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34178B2C-6960-49A7-8866-74629AD35CC4}" xr6:coauthVersionLast="47" xr6:coauthVersionMax="47" xr10:uidLastSave="{00000000-0000-0000-0000-000000000000}"/>
  <bookViews>
    <workbookView xWindow="-108" yWindow="-108" windowWidth="30936" windowHeight="12456" tabRatio="887" activeTab="7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Despesas'!$B$6:$Q$132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3" l="1"/>
  <c r="J5" i="13"/>
  <c r="J6" i="13" s="1"/>
  <c r="F6" i="13" s="1"/>
  <c r="P8" i="2"/>
  <c r="O8" i="2"/>
  <c r="J8" i="2"/>
  <c r="D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6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D382" i="4"/>
  <c r="C382" i="4"/>
  <c r="D381" i="4"/>
  <c r="C381" i="4"/>
  <c r="D380" i="4"/>
  <c r="C380" i="4"/>
  <c r="D379" i="4"/>
  <c r="C379" i="4"/>
  <c r="D378" i="4"/>
  <c r="C378" i="4"/>
  <c r="D377" i="4"/>
  <c r="C377" i="4"/>
  <c r="D376" i="4"/>
  <c r="C376" i="4"/>
  <c r="D375" i="4"/>
  <c r="C375" i="4"/>
  <c r="D374" i="4"/>
  <c r="C374" i="4"/>
  <c r="D373" i="4"/>
  <c r="C373" i="4"/>
  <c r="D372" i="4"/>
  <c r="C372" i="4"/>
  <c r="D371" i="4"/>
  <c r="C371" i="4"/>
  <c r="D370" i="4"/>
  <c r="C370" i="4"/>
  <c r="C369" i="4"/>
  <c r="C368" i="4"/>
  <c r="D367" i="4"/>
  <c r="C367" i="4"/>
  <c r="D366" i="4"/>
  <c r="C366" i="4"/>
  <c r="D365" i="4"/>
  <c r="C365" i="4"/>
  <c r="D364" i="4"/>
  <c r="C364" i="4"/>
  <c r="D363" i="4"/>
  <c r="C363" i="4"/>
  <c r="D362" i="4"/>
  <c r="C362" i="4"/>
  <c r="D361" i="4"/>
  <c r="C361" i="4"/>
  <c r="D360" i="4"/>
  <c r="C360" i="4"/>
  <c r="C359" i="4"/>
  <c r="D358" i="4"/>
  <c r="C358" i="4"/>
  <c r="D357" i="4"/>
  <c r="C357" i="4"/>
  <c r="D356" i="4"/>
  <c r="C356" i="4"/>
  <c r="D355" i="4"/>
  <c r="C355" i="4"/>
  <c r="C354" i="4"/>
  <c r="D353" i="4"/>
  <c r="C353" i="4"/>
  <c r="D352" i="4"/>
  <c r="C352" i="4"/>
  <c r="D351" i="4"/>
  <c r="C351" i="4"/>
  <c r="D350" i="4"/>
  <c r="C350" i="4"/>
  <c r="C349" i="4"/>
  <c r="D348" i="4"/>
  <c r="C348" i="4"/>
  <c r="D347" i="4"/>
  <c r="C347" i="4"/>
  <c r="D346" i="4"/>
  <c r="C346" i="4"/>
  <c r="D345" i="4"/>
  <c r="C345" i="4"/>
  <c r="D344" i="4"/>
  <c r="C344" i="4"/>
  <c r="D343" i="4"/>
  <c r="C343" i="4"/>
  <c r="D342" i="4"/>
  <c r="C342" i="4"/>
  <c r="D341" i="4"/>
  <c r="C341" i="4"/>
  <c r="D340" i="4"/>
  <c r="C340" i="4"/>
  <c r="D339" i="4"/>
  <c r="C339" i="4"/>
  <c r="D338" i="4"/>
  <c r="C338" i="4"/>
  <c r="D337" i="4"/>
  <c r="C337" i="4"/>
  <c r="D336" i="4"/>
  <c r="C336" i="4"/>
  <c r="D335" i="4"/>
  <c r="C335" i="4"/>
  <c r="D334" i="4"/>
  <c r="C334" i="4"/>
  <c r="D333" i="4"/>
  <c r="C333" i="4"/>
  <c r="D332" i="4"/>
  <c r="C332" i="4"/>
  <c r="D331" i="4"/>
  <c r="C331" i="4"/>
  <c r="C330" i="4"/>
  <c r="D329" i="4"/>
  <c r="C329" i="4"/>
  <c r="D328" i="4"/>
  <c r="C328" i="4"/>
  <c r="D327" i="4"/>
  <c r="C327" i="4"/>
  <c r="D326" i="4"/>
  <c r="C326" i="4"/>
  <c r="D325" i="4"/>
  <c r="C325" i="4"/>
  <c r="C324" i="4"/>
  <c r="D323" i="4"/>
  <c r="C323" i="4"/>
  <c r="D322" i="4"/>
  <c r="C322" i="4"/>
  <c r="D321" i="4"/>
  <c r="C321" i="4"/>
  <c r="D320" i="4"/>
  <c r="C320" i="4"/>
  <c r="D319" i="4"/>
  <c r="C319" i="4"/>
  <c r="D318" i="4"/>
  <c r="C318" i="4"/>
  <c r="D317" i="4"/>
  <c r="C317" i="4"/>
  <c r="D316" i="4"/>
  <c r="C316" i="4"/>
  <c r="D315" i="4"/>
  <c r="C315" i="4"/>
  <c r="D314" i="4"/>
  <c r="C314" i="4"/>
  <c r="D313" i="4"/>
  <c r="C313" i="4"/>
  <c r="D312" i="4"/>
  <c r="C312" i="4"/>
  <c r="D311" i="4"/>
  <c r="C311" i="4"/>
  <c r="D310" i="4"/>
  <c r="C310" i="4"/>
  <c r="D309" i="4"/>
  <c r="C309" i="4"/>
  <c r="D308" i="4"/>
  <c r="C308" i="4"/>
  <c r="D307" i="4"/>
  <c r="C307" i="4"/>
  <c r="D306" i="4"/>
  <c r="C306" i="4"/>
  <c r="D305" i="4"/>
  <c r="C305" i="4"/>
  <c r="D304" i="4"/>
  <c r="C304" i="4"/>
  <c r="D303" i="4"/>
  <c r="C303" i="4"/>
  <c r="D302" i="4"/>
  <c r="C302" i="4"/>
  <c r="D301" i="4"/>
  <c r="C301" i="4"/>
  <c r="D300" i="4"/>
  <c r="C300" i="4"/>
  <c r="D299" i="4"/>
  <c r="C299" i="4"/>
  <c r="D298" i="4"/>
  <c r="C298" i="4"/>
  <c r="D297" i="4"/>
  <c r="C297" i="4"/>
  <c r="D296" i="4"/>
  <c r="C296" i="4"/>
  <c r="D295" i="4"/>
  <c r="C295" i="4"/>
  <c r="D294" i="4"/>
  <c r="C294" i="4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/>
  <c r="D279" i="4"/>
  <c r="C279" i="4"/>
  <c r="D278" i="4"/>
  <c r="C278" i="4"/>
  <c r="D277" i="4"/>
  <c r="C277" i="4"/>
  <c r="D276" i="4"/>
  <c r="C276" i="4"/>
  <c r="D275" i="4"/>
  <c r="C275" i="4"/>
  <c r="D274" i="4"/>
  <c r="C274" i="4"/>
  <c r="D273" i="4"/>
  <c r="C273" i="4"/>
  <c r="D272" i="4"/>
  <c r="C272" i="4"/>
  <c r="D271" i="4"/>
  <c r="C271" i="4"/>
  <c r="D270" i="4"/>
  <c r="C270" i="4"/>
  <c r="D269" i="4"/>
  <c r="C269" i="4"/>
  <c r="D268" i="4"/>
  <c r="C268" i="4"/>
  <c r="D267" i="4"/>
  <c r="C267" i="4"/>
  <c r="D266" i="4"/>
  <c r="C266" i="4"/>
  <c r="D265" i="4"/>
  <c r="C265" i="4"/>
  <c r="D264" i="4"/>
  <c r="C264" i="4"/>
  <c r="D263" i="4"/>
  <c r="C263" i="4"/>
  <c r="D262" i="4"/>
  <c r="C262" i="4"/>
  <c r="D261" i="4"/>
  <c r="C261" i="4"/>
  <c r="D260" i="4"/>
  <c r="C260" i="4"/>
  <c r="D259" i="4"/>
  <c r="C259" i="4"/>
  <c r="D258" i="4"/>
  <c r="C258" i="4"/>
  <c r="D257" i="4"/>
  <c r="C257" i="4"/>
  <c r="D256" i="4"/>
  <c r="C256" i="4"/>
  <c r="D255" i="4"/>
  <c r="C255" i="4"/>
  <c r="D254" i="4"/>
  <c r="C254" i="4"/>
  <c r="D253" i="4"/>
  <c r="C253" i="4"/>
  <c r="D252" i="4"/>
  <c r="C252" i="4"/>
  <c r="D251" i="4"/>
  <c r="C251" i="4"/>
  <c r="D250" i="4"/>
  <c r="C250" i="4"/>
  <c r="D249" i="4"/>
  <c r="C249" i="4"/>
  <c r="D248" i="4"/>
  <c r="C248" i="4"/>
  <c r="D247" i="4"/>
  <c r="C247" i="4"/>
  <c r="D246" i="4"/>
  <c r="C246" i="4"/>
  <c r="D245" i="4"/>
  <c r="C245" i="4"/>
  <c r="D244" i="4"/>
  <c r="C244" i="4"/>
  <c r="D243" i="4"/>
  <c r="C243" i="4"/>
  <c r="D242" i="4"/>
  <c r="C242" i="4"/>
  <c r="D241" i="4"/>
  <c r="C241" i="4"/>
  <c r="D240" i="4"/>
  <c r="C240" i="4"/>
  <c r="D239" i="4"/>
  <c r="C239" i="4"/>
  <c r="D238" i="4"/>
  <c r="C238" i="4"/>
  <c r="D237" i="4"/>
  <c r="C237" i="4"/>
  <c r="D236" i="4"/>
  <c r="C236" i="4"/>
  <c r="D235" i="4"/>
  <c r="C235" i="4"/>
  <c r="D234" i="4"/>
  <c r="C234" i="4"/>
  <c r="D233" i="4"/>
  <c r="C233" i="4"/>
  <c r="D232" i="4"/>
  <c r="C232" i="4"/>
  <c r="D231" i="4"/>
  <c r="C231" i="4"/>
  <c r="D230" i="4"/>
  <c r="C230" i="4"/>
  <c r="D229" i="4"/>
  <c r="C229" i="4"/>
  <c r="D228" i="4"/>
  <c r="C228" i="4"/>
  <c r="D227" i="4"/>
  <c r="C227" i="4"/>
  <c r="D226" i="4"/>
  <c r="C226" i="4"/>
  <c r="D225" i="4"/>
  <c r="C225" i="4"/>
  <c r="D224" i="4"/>
  <c r="C224" i="4"/>
  <c r="D223" i="4"/>
  <c r="C223" i="4"/>
  <c r="D222" i="4"/>
  <c r="C222" i="4"/>
  <c r="D221" i="4"/>
  <c r="C221" i="4"/>
  <c r="D220" i="4"/>
  <c r="C220" i="4"/>
  <c r="D219" i="4"/>
  <c r="C219" i="4"/>
  <c r="D218" i="4"/>
  <c r="C218" i="4"/>
  <c r="D217" i="4"/>
  <c r="C217" i="4"/>
  <c r="D216" i="4"/>
  <c r="C216" i="4"/>
  <c r="D215" i="4"/>
  <c r="C215" i="4"/>
  <c r="D214" i="4"/>
  <c r="C214" i="4"/>
  <c r="D213" i="4"/>
  <c r="C213" i="4"/>
  <c r="D212" i="4"/>
  <c r="C212" i="4"/>
  <c r="D211" i="4"/>
  <c r="C211" i="4"/>
  <c r="D210" i="4"/>
  <c r="C210" i="4"/>
  <c r="D209" i="4"/>
  <c r="C209" i="4"/>
  <c r="D208" i="4"/>
  <c r="C208" i="4"/>
  <c r="D207" i="4"/>
  <c r="C207" i="4"/>
  <c r="D206" i="4"/>
  <c r="C206" i="4"/>
  <c r="D205" i="4"/>
  <c r="C205" i="4"/>
  <c r="D204" i="4"/>
  <c r="C204" i="4"/>
  <c r="D203" i="4"/>
  <c r="C203" i="4"/>
  <c r="D202" i="4"/>
  <c r="C202" i="4"/>
  <c r="D201" i="4"/>
  <c r="C201" i="4"/>
  <c r="D200" i="4"/>
  <c r="C200" i="4"/>
  <c r="D199" i="4"/>
  <c r="C199" i="4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3" i="4"/>
  <c r="C183" i="4"/>
  <c r="D182" i="4"/>
  <c r="C182" i="4"/>
  <c r="D181" i="4"/>
  <c r="C181" i="4"/>
  <c r="D180" i="4"/>
  <c r="C180" i="4"/>
  <c r="D179" i="4"/>
  <c r="C179" i="4"/>
  <c r="D178" i="4"/>
  <c r="C178" i="4"/>
  <c r="D177" i="4"/>
  <c r="C177" i="4"/>
  <c r="D176" i="4"/>
  <c r="C176" i="4"/>
  <c r="D175" i="4"/>
  <c r="C175" i="4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/>
  <c r="D167" i="4"/>
  <c r="C167" i="4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/>
  <c r="D159" i="4"/>
  <c r="C159" i="4"/>
  <c r="D158" i="4"/>
  <c r="C158" i="4"/>
  <c r="D157" i="4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C149" i="4"/>
  <c r="D148" i="4"/>
  <c r="C148" i="4"/>
  <c r="D147" i="4"/>
  <c r="C147" i="4"/>
  <c r="D146" i="4"/>
  <c r="C146" i="4"/>
  <c r="D145" i="4"/>
  <c r="C145" i="4"/>
  <c r="D144" i="4"/>
  <c r="C144" i="4"/>
  <c r="D143" i="4"/>
  <c r="C143" i="4"/>
  <c r="D142" i="4"/>
  <c r="C142" i="4"/>
  <c r="D141" i="4"/>
  <c r="C141" i="4"/>
  <c r="D140" i="4"/>
  <c r="C140" i="4"/>
  <c r="D139" i="4"/>
  <c r="C139" i="4"/>
  <c r="D138" i="4"/>
  <c r="C138" i="4"/>
  <c r="D137" i="4"/>
  <c r="C137" i="4"/>
  <c r="D136" i="4"/>
  <c r="C136" i="4"/>
  <c r="D135" i="4"/>
  <c r="C135" i="4"/>
  <c r="D134" i="4"/>
  <c r="C134" i="4"/>
  <c r="D133" i="4"/>
  <c r="C133" i="4"/>
  <c r="D132" i="4"/>
  <c r="C132" i="4"/>
  <c r="D131" i="4"/>
  <c r="C131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4" i="4"/>
  <c r="C124" i="4"/>
  <c r="D123" i="4"/>
  <c r="C123" i="4"/>
  <c r="D122" i="4"/>
  <c r="C122" i="4"/>
  <c r="D121" i="4"/>
  <c r="C121" i="4"/>
  <c r="D120" i="4"/>
  <c r="C120" i="4"/>
  <c r="D119" i="4"/>
  <c r="C119" i="4"/>
  <c r="D118" i="4"/>
  <c r="C118" i="4"/>
  <c r="D117" i="4"/>
  <c r="C117" i="4"/>
  <c r="D116" i="4"/>
  <c r="C116" i="4"/>
  <c r="D115" i="4"/>
  <c r="C115" i="4"/>
  <c r="D114" i="4"/>
  <c r="C114" i="4"/>
  <c r="D113" i="4"/>
  <c r="C113" i="4"/>
  <c r="D112" i="4"/>
  <c r="C112" i="4"/>
  <c r="D111" i="4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I11" i="4"/>
  <c r="E3" i="4"/>
  <c r="C3" i="4" s="1"/>
  <c r="F4" i="2" s="1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H9" i="3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5" i="13"/>
  <c r="E4" i="1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I6" i="1" s="1"/>
  <c r="K6" i="1" s="1"/>
  <c r="H5" i="1"/>
  <c r="H4" i="1"/>
  <c r="R132" i="2"/>
  <c r="M132" i="2"/>
  <c r="K132" i="2"/>
  <c r="D132" i="2"/>
  <c r="C132" i="2"/>
  <c r="Q131" i="2"/>
  <c r="R131" i="2" s="1"/>
  <c r="P131" i="2"/>
  <c r="M131" i="2"/>
  <c r="K131" i="2"/>
  <c r="D131" i="2"/>
  <c r="C131" i="2"/>
  <c r="Q130" i="2"/>
  <c r="R130" i="2" s="1"/>
  <c r="P130" i="2"/>
  <c r="M130" i="2"/>
  <c r="K130" i="2"/>
  <c r="D130" i="2"/>
  <c r="C130" i="2"/>
  <c r="Q129" i="2"/>
  <c r="R129" i="2" s="1"/>
  <c r="P129" i="2"/>
  <c r="M129" i="2"/>
  <c r="K129" i="2"/>
  <c r="D129" i="2"/>
  <c r="C129" i="2"/>
  <c r="Q128" i="2"/>
  <c r="R128" i="2" s="1"/>
  <c r="P128" i="2"/>
  <c r="O128" i="2"/>
  <c r="M128" i="2"/>
  <c r="K128" i="2"/>
  <c r="D128" i="2"/>
  <c r="C128" i="2"/>
  <c r="Q127" i="2"/>
  <c r="R127" i="2" s="1"/>
  <c r="P127" i="2"/>
  <c r="O127" i="2"/>
  <c r="M127" i="2"/>
  <c r="K127" i="2"/>
  <c r="D127" i="2"/>
  <c r="C127" i="2"/>
  <c r="Q126" i="2"/>
  <c r="R126" i="2" s="1"/>
  <c r="P126" i="2"/>
  <c r="O126" i="2"/>
  <c r="M126" i="2"/>
  <c r="K126" i="2"/>
  <c r="D126" i="2"/>
  <c r="C126" i="2"/>
  <c r="Q125" i="2"/>
  <c r="R125" i="2" s="1"/>
  <c r="P125" i="2"/>
  <c r="O125" i="2"/>
  <c r="M125" i="2"/>
  <c r="K125" i="2"/>
  <c r="D125" i="2"/>
  <c r="C125" i="2"/>
  <c r="P124" i="2"/>
  <c r="O124" i="2"/>
  <c r="J124" i="2"/>
  <c r="D124" i="2"/>
  <c r="C124" i="2"/>
  <c r="P123" i="2"/>
  <c r="O123" i="2"/>
  <c r="J123" i="2"/>
  <c r="M123" i="2" s="1"/>
  <c r="D123" i="2"/>
  <c r="C123" i="2"/>
  <c r="P122" i="2"/>
  <c r="O122" i="2"/>
  <c r="J122" i="2"/>
  <c r="Q122" i="2" s="1"/>
  <c r="R122" i="2" s="1"/>
  <c r="D122" i="2"/>
  <c r="C122" i="2"/>
  <c r="P121" i="2"/>
  <c r="O121" i="2"/>
  <c r="J121" i="2"/>
  <c r="K121" i="2" s="1"/>
  <c r="D121" i="2"/>
  <c r="C121" i="2"/>
  <c r="P120" i="2"/>
  <c r="O120" i="2"/>
  <c r="J120" i="2"/>
  <c r="M120" i="2" s="1"/>
  <c r="D120" i="2"/>
  <c r="C120" i="2"/>
  <c r="P119" i="2"/>
  <c r="O119" i="2"/>
  <c r="J119" i="2"/>
  <c r="M119" i="2" s="1"/>
  <c r="D119" i="2"/>
  <c r="C119" i="2"/>
  <c r="P118" i="2"/>
  <c r="O118" i="2"/>
  <c r="J118" i="2"/>
  <c r="M118" i="2" s="1"/>
  <c r="D118" i="2"/>
  <c r="C118" i="2"/>
  <c r="P117" i="2"/>
  <c r="O117" i="2"/>
  <c r="J117" i="2"/>
  <c r="M117" i="2" s="1"/>
  <c r="D117" i="2"/>
  <c r="C117" i="2"/>
  <c r="P116" i="2"/>
  <c r="O116" i="2"/>
  <c r="J116" i="2"/>
  <c r="D116" i="2"/>
  <c r="C116" i="2"/>
  <c r="P115" i="2"/>
  <c r="O115" i="2"/>
  <c r="J115" i="2"/>
  <c r="M115" i="2" s="1"/>
  <c r="D115" i="2"/>
  <c r="C115" i="2"/>
  <c r="P114" i="2"/>
  <c r="O114" i="2"/>
  <c r="J114" i="2"/>
  <c r="Q114" i="2" s="1"/>
  <c r="R114" i="2" s="1"/>
  <c r="D114" i="2"/>
  <c r="C114" i="2"/>
  <c r="P113" i="2"/>
  <c r="O113" i="2"/>
  <c r="J113" i="2"/>
  <c r="M113" i="2" s="1"/>
  <c r="D113" i="2"/>
  <c r="C113" i="2"/>
  <c r="P112" i="2"/>
  <c r="O112" i="2"/>
  <c r="J112" i="2"/>
  <c r="M112" i="2" s="1"/>
  <c r="D112" i="2"/>
  <c r="C112" i="2"/>
  <c r="P111" i="2"/>
  <c r="O111" i="2"/>
  <c r="J111" i="2"/>
  <c r="M111" i="2" s="1"/>
  <c r="D111" i="2"/>
  <c r="C111" i="2"/>
  <c r="P110" i="2"/>
  <c r="O110" i="2"/>
  <c r="J110" i="2"/>
  <c r="Q110" i="2" s="1"/>
  <c r="R110" i="2" s="1"/>
  <c r="D110" i="2"/>
  <c r="C110" i="2"/>
  <c r="P109" i="2"/>
  <c r="O109" i="2"/>
  <c r="J109" i="2"/>
  <c r="M109" i="2" s="1"/>
  <c r="D109" i="2"/>
  <c r="C109" i="2"/>
  <c r="P108" i="2"/>
  <c r="O108" i="2"/>
  <c r="J108" i="2"/>
  <c r="D108" i="2"/>
  <c r="C108" i="2"/>
  <c r="P107" i="2"/>
  <c r="O107" i="2"/>
  <c r="J107" i="2"/>
  <c r="M107" i="2" s="1"/>
  <c r="D107" i="2"/>
  <c r="C107" i="2"/>
  <c r="P106" i="2"/>
  <c r="O106" i="2"/>
  <c r="J106" i="2"/>
  <c r="Q106" i="2" s="1"/>
  <c r="R106" i="2" s="1"/>
  <c r="D106" i="2"/>
  <c r="C106" i="2"/>
  <c r="P105" i="2"/>
  <c r="O105" i="2"/>
  <c r="J105" i="2"/>
  <c r="K105" i="2" s="1"/>
  <c r="D105" i="2"/>
  <c r="C105" i="2"/>
  <c r="P104" i="2"/>
  <c r="O104" i="2"/>
  <c r="J104" i="2"/>
  <c r="M104" i="2" s="1"/>
  <c r="D104" i="2"/>
  <c r="C104" i="2"/>
  <c r="P103" i="2"/>
  <c r="O103" i="2"/>
  <c r="J103" i="2"/>
  <c r="M103" i="2" s="1"/>
  <c r="D103" i="2"/>
  <c r="C103" i="2"/>
  <c r="P102" i="2"/>
  <c r="O102" i="2"/>
  <c r="J102" i="2"/>
  <c r="K102" i="2" s="1"/>
  <c r="D102" i="2"/>
  <c r="C102" i="2"/>
  <c r="P101" i="2"/>
  <c r="O101" i="2"/>
  <c r="J101" i="2"/>
  <c r="M101" i="2" s="1"/>
  <c r="D101" i="2"/>
  <c r="C101" i="2"/>
  <c r="P100" i="2"/>
  <c r="O100" i="2"/>
  <c r="J100" i="2"/>
  <c r="D100" i="2"/>
  <c r="C100" i="2"/>
  <c r="P99" i="2"/>
  <c r="O99" i="2"/>
  <c r="J99" i="2"/>
  <c r="M99" i="2" s="1"/>
  <c r="D99" i="2"/>
  <c r="C99" i="2"/>
  <c r="P98" i="2"/>
  <c r="O98" i="2"/>
  <c r="J98" i="2"/>
  <c r="Q98" i="2" s="1"/>
  <c r="R98" i="2" s="1"/>
  <c r="D98" i="2"/>
  <c r="C98" i="2"/>
  <c r="P97" i="2"/>
  <c r="O97" i="2"/>
  <c r="J97" i="2"/>
  <c r="K97" i="2" s="1"/>
  <c r="D97" i="2"/>
  <c r="C97" i="2"/>
  <c r="P96" i="2"/>
  <c r="O96" i="2"/>
  <c r="J96" i="2"/>
  <c r="D96" i="2"/>
  <c r="C96" i="2"/>
  <c r="P95" i="2"/>
  <c r="O95" i="2"/>
  <c r="J95" i="2"/>
  <c r="M95" i="2" s="1"/>
  <c r="D95" i="2"/>
  <c r="C95" i="2"/>
  <c r="P94" i="2"/>
  <c r="O94" i="2"/>
  <c r="J94" i="2"/>
  <c r="K94" i="2" s="1"/>
  <c r="D94" i="2"/>
  <c r="C94" i="2"/>
  <c r="P93" i="2"/>
  <c r="O93" i="2"/>
  <c r="J93" i="2"/>
  <c r="M93" i="2" s="1"/>
  <c r="D93" i="2"/>
  <c r="C93" i="2"/>
  <c r="P92" i="2"/>
  <c r="O92" i="2"/>
  <c r="J92" i="2"/>
  <c r="D92" i="2"/>
  <c r="C92" i="2"/>
  <c r="P91" i="2"/>
  <c r="O91" i="2"/>
  <c r="J91" i="2"/>
  <c r="M91" i="2" s="1"/>
  <c r="D91" i="2"/>
  <c r="C91" i="2"/>
  <c r="P90" i="2"/>
  <c r="O90" i="2"/>
  <c r="J90" i="2"/>
  <c r="Q90" i="2" s="1"/>
  <c r="R90" i="2" s="1"/>
  <c r="D90" i="2"/>
  <c r="C90" i="2"/>
  <c r="P89" i="2"/>
  <c r="O89" i="2"/>
  <c r="J89" i="2"/>
  <c r="M89" i="2" s="1"/>
  <c r="D89" i="2"/>
  <c r="C89" i="2"/>
  <c r="P88" i="2"/>
  <c r="O88" i="2"/>
  <c r="J88" i="2"/>
  <c r="M88" i="2" s="1"/>
  <c r="D88" i="2"/>
  <c r="C88" i="2"/>
  <c r="P87" i="2"/>
  <c r="O87" i="2"/>
  <c r="J87" i="2"/>
  <c r="M87" i="2" s="1"/>
  <c r="D87" i="2"/>
  <c r="C87" i="2"/>
  <c r="P86" i="2"/>
  <c r="O86" i="2"/>
  <c r="J86" i="2"/>
  <c r="K86" i="2" s="1"/>
  <c r="D86" i="2"/>
  <c r="C86" i="2"/>
  <c r="P85" i="2"/>
  <c r="O85" i="2"/>
  <c r="J85" i="2"/>
  <c r="M85" i="2" s="1"/>
  <c r="D85" i="2"/>
  <c r="C85" i="2"/>
  <c r="P84" i="2"/>
  <c r="O84" i="2"/>
  <c r="J84" i="2"/>
  <c r="D84" i="2"/>
  <c r="C84" i="2"/>
  <c r="P83" i="2"/>
  <c r="O83" i="2"/>
  <c r="J83" i="2"/>
  <c r="M83" i="2" s="1"/>
  <c r="D83" i="2"/>
  <c r="C83" i="2"/>
  <c r="P82" i="2"/>
  <c r="O82" i="2"/>
  <c r="J82" i="2"/>
  <c r="Q82" i="2" s="1"/>
  <c r="R82" i="2" s="1"/>
  <c r="D82" i="2"/>
  <c r="C82" i="2"/>
  <c r="P81" i="2"/>
  <c r="O81" i="2"/>
  <c r="J81" i="2"/>
  <c r="Q81" i="2" s="1"/>
  <c r="R81" i="2" s="1"/>
  <c r="D81" i="2"/>
  <c r="C81" i="2"/>
  <c r="P80" i="2"/>
  <c r="O80" i="2"/>
  <c r="J80" i="2"/>
  <c r="M80" i="2" s="1"/>
  <c r="D80" i="2"/>
  <c r="C80" i="2"/>
  <c r="P79" i="2"/>
  <c r="O79" i="2"/>
  <c r="J79" i="2"/>
  <c r="M79" i="2" s="1"/>
  <c r="D79" i="2"/>
  <c r="C79" i="2"/>
  <c r="P78" i="2"/>
  <c r="O78" i="2"/>
  <c r="J78" i="2"/>
  <c r="K78" i="2" s="1"/>
  <c r="D78" i="2"/>
  <c r="C78" i="2"/>
  <c r="P77" i="2"/>
  <c r="O77" i="2"/>
  <c r="J77" i="2"/>
  <c r="M77" i="2" s="1"/>
  <c r="D77" i="2"/>
  <c r="C77" i="2"/>
  <c r="P76" i="2"/>
  <c r="O76" i="2"/>
  <c r="J76" i="2"/>
  <c r="D76" i="2"/>
  <c r="C76" i="2"/>
  <c r="P75" i="2"/>
  <c r="O75" i="2"/>
  <c r="J75" i="2"/>
  <c r="M75" i="2" s="1"/>
  <c r="D75" i="2"/>
  <c r="C75" i="2"/>
  <c r="P74" i="2"/>
  <c r="O74" i="2"/>
  <c r="J74" i="2"/>
  <c r="Q74" i="2" s="1"/>
  <c r="R74" i="2" s="1"/>
  <c r="D74" i="2"/>
  <c r="C74" i="2"/>
  <c r="P73" i="2"/>
  <c r="O73" i="2"/>
  <c r="J73" i="2"/>
  <c r="M73" i="2" s="1"/>
  <c r="D73" i="2"/>
  <c r="C73" i="2"/>
  <c r="P72" i="2"/>
  <c r="O72" i="2"/>
  <c r="J72" i="2"/>
  <c r="M72" i="2" s="1"/>
  <c r="D72" i="2"/>
  <c r="C72" i="2"/>
  <c r="P71" i="2"/>
  <c r="O71" i="2"/>
  <c r="J71" i="2"/>
  <c r="M71" i="2" s="1"/>
  <c r="D71" i="2"/>
  <c r="C71" i="2"/>
  <c r="P70" i="2"/>
  <c r="O70" i="2"/>
  <c r="J70" i="2"/>
  <c r="K70" i="2" s="1"/>
  <c r="D70" i="2"/>
  <c r="C70" i="2"/>
  <c r="P69" i="2"/>
  <c r="O69" i="2"/>
  <c r="J69" i="2"/>
  <c r="M69" i="2" s="1"/>
  <c r="D69" i="2"/>
  <c r="C69" i="2"/>
  <c r="P68" i="2"/>
  <c r="O68" i="2"/>
  <c r="J68" i="2"/>
  <c r="D68" i="2"/>
  <c r="C68" i="2"/>
  <c r="P67" i="2"/>
  <c r="O67" i="2"/>
  <c r="J67" i="2"/>
  <c r="M67" i="2" s="1"/>
  <c r="D67" i="2"/>
  <c r="C67" i="2"/>
  <c r="P66" i="2"/>
  <c r="O66" i="2"/>
  <c r="J66" i="2"/>
  <c r="Q66" i="2" s="1"/>
  <c r="R66" i="2" s="1"/>
  <c r="D66" i="2"/>
  <c r="C66" i="2"/>
  <c r="P65" i="2"/>
  <c r="O65" i="2"/>
  <c r="J65" i="2"/>
  <c r="Q65" i="2" s="1"/>
  <c r="R65" i="2" s="1"/>
  <c r="D65" i="2"/>
  <c r="C65" i="2"/>
  <c r="P64" i="2"/>
  <c r="O64" i="2"/>
  <c r="J64" i="2"/>
  <c r="D64" i="2"/>
  <c r="C64" i="2"/>
  <c r="P63" i="2"/>
  <c r="O63" i="2"/>
  <c r="J63" i="2"/>
  <c r="M63" i="2" s="1"/>
  <c r="D63" i="2"/>
  <c r="C63" i="2"/>
  <c r="P62" i="2"/>
  <c r="O62" i="2"/>
  <c r="J62" i="2"/>
  <c r="K62" i="2" s="1"/>
  <c r="D62" i="2"/>
  <c r="C62" i="2"/>
  <c r="P61" i="2"/>
  <c r="O61" i="2"/>
  <c r="J61" i="2"/>
  <c r="M61" i="2" s="1"/>
  <c r="D61" i="2"/>
  <c r="C61" i="2"/>
  <c r="P60" i="2"/>
  <c r="O60" i="2"/>
  <c r="J60" i="2"/>
  <c r="D60" i="2"/>
  <c r="C60" i="2"/>
  <c r="P59" i="2"/>
  <c r="O59" i="2"/>
  <c r="J59" i="2"/>
  <c r="M59" i="2" s="1"/>
  <c r="D59" i="2"/>
  <c r="C59" i="2"/>
  <c r="P58" i="2"/>
  <c r="O58" i="2"/>
  <c r="J58" i="2"/>
  <c r="Q58" i="2" s="1"/>
  <c r="R58" i="2" s="1"/>
  <c r="D58" i="2"/>
  <c r="C58" i="2"/>
  <c r="P57" i="2"/>
  <c r="O57" i="2"/>
  <c r="J57" i="2"/>
  <c r="M57" i="2" s="1"/>
  <c r="D57" i="2"/>
  <c r="C57" i="2"/>
  <c r="P56" i="2"/>
  <c r="O56" i="2"/>
  <c r="J56" i="2"/>
  <c r="M56" i="2" s="1"/>
  <c r="D56" i="2"/>
  <c r="C56" i="2"/>
  <c r="P55" i="2"/>
  <c r="O55" i="2"/>
  <c r="J55" i="2"/>
  <c r="M55" i="2" s="1"/>
  <c r="D55" i="2"/>
  <c r="C55" i="2"/>
  <c r="P54" i="2"/>
  <c r="O54" i="2"/>
  <c r="J54" i="2"/>
  <c r="K54" i="2" s="1"/>
  <c r="D54" i="2"/>
  <c r="C54" i="2"/>
  <c r="P53" i="2"/>
  <c r="O53" i="2"/>
  <c r="J53" i="2"/>
  <c r="D53" i="2"/>
  <c r="C53" i="2"/>
  <c r="P52" i="2"/>
  <c r="O52" i="2"/>
  <c r="J52" i="2"/>
  <c r="D52" i="2"/>
  <c r="C52" i="2"/>
  <c r="P51" i="2"/>
  <c r="O51" i="2"/>
  <c r="J51" i="2"/>
  <c r="M51" i="2" s="1"/>
  <c r="D51" i="2"/>
  <c r="C51" i="2"/>
  <c r="P50" i="2"/>
  <c r="O50" i="2"/>
  <c r="J50" i="2"/>
  <c r="Q50" i="2" s="1"/>
  <c r="R50" i="2" s="1"/>
  <c r="D50" i="2"/>
  <c r="C50" i="2"/>
  <c r="P49" i="2"/>
  <c r="O49" i="2"/>
  <c r="J49" i="2"/>
  <c r="M49" i="2" s="1"/>
  <c r="D49" i="2"/>
  <c r="C49" i="2"/>
  <c r="P48" i="2"/>
  <c r="O48" i="2"/>
  <c r="J48" i="2"/>
  <c r="K48" i="2" s="1"/>
  <c r="D48" i="2"/>
  <c r="C48" i="2"/>
  <c r="P47" i="2"/>
  <c r="O47" i="2"/>
  <c r="J47" i="2"/>
  <c r="M47" i="2" s="1"/>
  <c r="D47" i="2"/>
  <c r="C47" i="2"/>
  <c r="P46" i="2"/>
  <c r="O46" i="2"/>
  <c r="J46" i="2"/>
  <c r="K46" i="2" s="1"/>
  <c r="D46" i="2"/>
  <c r="C46" i="2"/>
  <c r="P45" i="2"/>
  <c r="O45" i="2"/>
  <c r="J45" i="2"/>
  <c r="M45" i="2" s="1"/>
  <c r="D45" i="2"/>
  <c r="C45" i="2"/>
  <c r="P44" i="2"/>
  <c r="O44" i="2"/>
  <c r="J44" i="2"/>
  <c r="Q44" i="2" s="1"/>
  <c r="R44" i="2" s="1"/>
  <c r="D44" i="2"/>
  <c r="C44" i="2"/>
  <c r="P43" i="2"/>
  <c r="O43" i="2"/>
  <c r="J43" i="2"/>
  <c r="M43" i="2" s="1"/>
  <c r="D43" i="2"/>
  <c r="C43" i="2"/>
  <c r="P42" i="2"/>
  <c r="O42" i="2"/>
  <c r="J42" i="2"/>
  <c r="Q42" i="2" s="1"/>
  <c r="R42" i="2" s="1"/>
  <c r="D42" i="2"/>
  <c r="C42" i="2"/>
  <c r="P41" i="2"/>
  <c r="O41" i="2"/>
  <c r="J41" i="2"/>
  <c r="K41" i="2" s="1"/>
  <c r="D41" i="2"/>
  <c r="C41" i="2"/>
  <c r="P40" i="2"/>
  <c r="O40" i="2"/>
  <c r="J40" i="2"/>
  <c r="K40" i="2" s="1"/>
  <c r="D40" i="2"/>
  <c r="C40" i="2"/>
  <c r="P39" i="2"/>
  <c r="O39" i="2"/>
  <c r="J39" i="2"/>
  <c r="M39" i="2" s="1"/>
  <c r="D39" i="2"/>
  <c r="C39" i="2"/>
  <c r="P38" i="2"/>
  <c r="O38" i="2"/>
  <c r="J38" i="2"/>
  <c r="K38" i="2" s="1"/>
  <c r="D38" i="2"/>
  <c r="C38" i="2"/>
  <c r="P37" i="2"/>
  <c r="O37" i="2"/>
  <c r="J37" i="2"/>
  <c r="M37" i="2" s="1"/>
  <c r="D37" i="2"/>
  <c r="C37" i="2"/>
  <c r="P36" i="2"/>
  <c r="O36" i="2"/>
  <c r="J36" i="2"/>
  <c r="Q36" i="2" s="1"/>
  <c r="R36" i="2" s="1"/>
  <c r="D36" i="2"/>
  <c r="C36" i="2"/>
  <c r="P35" i="2"/>
  <c r="O35" i="2"/>
  <c r="J35" i="2"/>
  <c r="M35" i="2" s="1"/>
  <c r="D35" i="2"/>
  <c r="C35" i="2"/>
  <c r="P34" i="2"/>
  <c r="O34" i="2"/>
  <c r="J34" i="2"/>
  <c r="Q34" i="2" s="1"/>
  <c r="R34" i="2" s="1"/>
  <c r="D34" i="2"/>
  <c r="C34" i="2"/>
  <c r="P33" i="2"/>
  <c r="O33" i="2"/>
  <c r="J33" i="2"/>
  <c r="M33" i="2" s="1"/>
  <c r="D33" i="2"/>
  <c r="C33" i="2"/>
  <c r="P32" i="2"/>
  <c r="O32" i="2"/>
  <c r="J32" i="2"/>
  <c r="K32" i="2" s="1"/>
  <c r="D32" i="2"/>
  <c r="C32" i="2"/>
  <c r="P31" i="2"/>
  <c r="O31" i="2"/>
  <c r="J31" i="2"/>
  <c r="M31" i="2" s="1"/>
  <c r="D31" i="2"/>
  <c r="C31" i="2"/>
  <c r="P30" i="2"/>
  <c r="O30" i="2"/>
  <c r="J30" i="2"/>
  <c r="K30" i="2" s="1"/>
  <c r="D30" i="2"/>
  <c r="C30" i="2"/>
  <c r="P29" i="2"/>
  <c r="O29" i="2"/>
  <c r="J29" i="2"/>
  <c r="M29" i="2" s="1"/>
  <c r="D29" i="2"/>
  <c r="C29" i="2"/>
  <c r="P28" i="2"/>
  <c r="O28" i="2"/>
  <c r="J28" i="2"/>
  <c r="Q28" i="2" s="1"/>
  <c r="R28" i="2" s="1"/>
  <c r="D28" i="2"/>
  <c r="C28" i="2"/>
  <c r="P27" i="2"/>
  <c r="O27" i="2"/>
  <c r="J27" i="2"/>
  <c r="M27" i="2" s="1"/>
  <c r="D27" i="2"/>
  <c r="C27" i="2"/>
  <c r="P26" i="2"/>
  <c r="O26" i="2"/>
  <c r="J26" i="2"/>
  <c r="Q26" i="2" s="1"/>
  <c r="R26" i="2" s="1"/>
  <c r="D26" i="2"/>
  <c r="C26" i="2"/>
  <c r="P25" i="2"/>
  <c r="O25" i="2"/>
  <c r="J25" i="2"/>
  <c r="Q25" i="2" s="1"/>
  <c r="R25" i="2" s="1"/>
  <c r="D25" i="2"/>
  <c r="C25" i="2"/>
  <c r="P24" i="2"/>
  <c r="O24" i="2"/>
  <c r="J24" i="2"/>
  <c r="K24" i="2" s="1"/>
  <c r="D24" i="2"/>
  <c r="C24" i="2"/>
  <c r="P23" i="2"/>
  <c r="O23" i="2"/>
  <c r="J23" i="2"/>
  <c r="M23" i="2" s="1"/>
  <c r="D23" i="2"/>
  <c r="C23" i="2"/>
  <c r="P22" i="2"/>
  <c r="O22" i="2"/>
  <c r="J22" i="2"/>
  <c r="K22" i="2" s="1"/>
  <c r="D22" i="2"/>
  <c r="C22" i="2"/>
  <c r="P21" i="2"/>
  <c r="O21" i="2"/>
  <c r="J21" i="2"/>
  <c r="M21" i="2" s="1"/>
  <c r="D21" i="2"/>
  <c r="C21" i="2"/>
  <c r="P20" i="2"/>
  <c r="O20" i="2"/>
  <c r="J20" i="2"/>
  <c r="Q20" i="2" s="1"/>
  <c r="R20" i="2" s="1"/>
  <c r="D20" i="2"/>
  <c r="C20" i="2"/>
  <c r="P19" i="2"/>
  <c r="O19" i="2"/>
  <c r="J19" i="2"/>
  <c r="M19" i="2" s="1"/>
  <c r="D19" i="2"/>
  <c r="C19" i="2"/>
  <c r="P18" i="2"/>
  <c r="O18" i="2"/>
  <c r="J18" i="2"/>
  <c r="M18" i="2" s="1"/>
  <c r="D18" i="2"/>
  <c r="C18" i="2"/>
  <c r="P17" i="2"/>
  <c r="O17" i="2"/>
  <c r="J17" i="2"/>
  <c r="K17" i="2" s="1"/>
  <c r="D17" i="2"/>
  <c r="C17" i="2"/>
  <c r="P16" i="2"/>
  <c r="O16" i="2"/>
  <c r="J16" i="2"/>
  <c r="M16" i="2" s="1"/>
  <c r="D16" i="2"/>
  <c r="C16" i="2"/>
  <c r="P15" i="2"/>
  <c r="O15" i="2"/>
  <c r="J15" i="2"/>
  <c r="D15" i="2"/>
  <c r="C15" i="2"/>
  <c r="P14" i="2"/>
  <c r="O14" i="2"/>
  <c r="J14" i="2"/>
  <c r="Q14" i="2" s="1"/>
  <c r="R14" i="2" s="1"/>
  <c r="D14" i="2"/>
  <c r="C14" i="2"/>
  <c r="P13" i="2"/>
  <c r="O13" i="2"/>
  <c r="J13" i="2"/>
  <c r="Q13" i="2" s="1"/>
  <c r="R13" i="2" s="1"/>
  <c r="D13" i="2"/>
  <c r="C13" i="2"/>
  <c r="P12" i="2"/>
  <c r="O12" i="2"/>
  <c r="J12" i="2"/>
  <c r="M12" i="2" s="1"/>
  <c r="D12" i="2"/>
  <c r="C12" i="2"/>
  <c r="P11" i="2"/>
  <c r="O11" i="2"/>
  <c r="J11" i="2"/>
  <c r="D11" i="2"/>
  <c r="C11" i="2"/>
  <c r="P10" i="2"/>
  <c r="O10" i="2"/>
  <c r="I10" i="2"/>
  <c r="J10" i="2" s="1"/>
  <c r="D4" i="13" s="1"/>
  <c r="D10" i="2"/>
  <c r="C10" i="2"/>
  <c r="P9" i="2"/>
  <c r="O9" i="2"/>
  <c r="J9" i="2"/>
  <c r="C4" i="13" s="1"/>
  <c r="D9" i="2"/>
  <c r="C9" i="2"/>
  <c r="Q7" i="2"/>
  <c r="R7" i="2" s="1"/>
  <c r="P7" i="2"/>
  <c r="O7" i="2"/>
  <c r="M7" i="2"/>
  <c r="D7" i="2"/>
  <c r="C7" i="2"/>
  <c r="H4" i="2"/>
  <c r="G4" i="2"/>
  <c r="E4" i="2"/>
  <c r="H3" i="2"/>
  <c r="G3" i="2"/>
  <c r="A6" i="13" l="1"/>
  <c r="A5" i="13"/>
  <c r="F4" i="13"/>
  <c r="G4" i="13" s="1"/>
  <c r="H4" i="13" s="1"/>
  <c r="F5" i="13"/>
  <c r="J7" i="13"/>
  <c r="A7" i="13" s="1"/>
  <c r="B6" i="13"/>
  <c r="E5" i="13"/>
  <c r="E6" i="13"/>
  <c r="Q101" i="2"/>
  <c r="R101" i="2" s="1"/>
  <c r="O22" i="5"/>
  <c r="O29" i="6" s="1"/>
  <c r="J17" i="1"/>
  <c r="M8" i="2"/>
  <c r="K8" i="2"/>
  <c r="M98" i="2"/>
  <c r="K101" i="2"/>
  <c r="K77" i="2"/>
  <c r="Q86" i="2"/>
  <c r="R86" i="2" s="1"/>
  <c r="K91" i="2"/>
  <c r="I18" i="1"/>
  <c r="K18" i="1" s="1"/>
  <c r="Q62" i="2"/>
  <c r="R62" i="2" s="1"/>
  <c r="M97" i="2"/>
  <c r="K103" i="2"/>
  <c r="M14" i="2"/>
  <c r="M62" i="2"/>
  <c r="F11" i="5"/>
  <c r="F16" i="6" s="1"/>
  <c r="Q35" i="2"/>
  <c r="R35" i="2" s="1"/>
  <c r="Q59" i="2"/>
  <c r="R59" i="2" s="1"/>
  <c r="M105" i="2"/>
  <c r="Q19" i="2"/>
  <c r="R19" i="2" s="1"/>
  <c r="Q33" i="2"/>
  <c r="R33" i="2" s="1"/>
  <c r="Q47" i="2"/>
  <c r="R47" i="2" s="1"/>
  <c r="K73" i="2"/>
  <c r="M94" i="2"/>
  <c r="K93" i="2"/>
  <c r="Q105" i="2"/>
  <c r="R105" i="2" s="1"/>
  <c r="K113" i="2"/>
  <c r="K119" i="2"/>
  <c r="I10" i="1"/>
  <c r="K10" i="1" s="1"/>
  <c r="M21" i="5"/>
  <c r="M28" i="6" s="1"/>
  <c r="Q73" i="2"/>
  <c r="R73" i="2" s="1"/>
  <c r="Q94" i="2"/>
  <c r="R94" i="2" s="1"/>
  <c r="S11" i="7"/>
  <c r="Q49" i="2"/>
  <c r="R49" i="2" s="1"/>
  <c r="Q69" i="2"/>
  <c r="R69" i="2" s="1"/>
  <c r="Q113" i="2"/>
  <c r="R113" i="2" s="1"/>
  <c r="Q119" i="2"/>
  <c r="R119" i="2" s="1"/>
  <c r="Q48" i="2"/>
  <c r="R48" i="2" s="1"/>
  <c r="M121" i="2"/>
  <c r="I9" i="1"/>
  <c r="K9" i="1" s="1"/>
  <c r="V11" i="7"/>
  <c r="M3" i="2"/>
  <c r="M41" i="2"/>
  <c r="K79" i="2"/>
  <c r="J6" i="1"/>
  <c r="Q54" i="2"/>
  <c r="R54" i="2" s="1"/>
  <c r="Q55" i="2"/>
  <c r="R55" i="2" s="1"/>
  <c r="K67" i="2"/>
  <c r="Q22" i="2"/>
  <c r="R22" i="2" s="1"/>
  <c r="K33" i="2"/>
  <c r="Q38" i="2"/>
  <c r="R38" i="2" s="1"/>
  <c r="Q85" i="2"/>
  <c r="R85" i="2" s="1"/>
  <c r="Q89" i="2"/>
  <c r="R89" i="2" s="1"/>
  <c r="Q97" i="2"/>
  <c r="R97" i="2" s="1"/>
  <c r="I14" i="1"/>
  <c r="K14" i="1" s="1"/>
  <c r="E13" i="5"/>
  <c r="E18" i="6" s="1"/>
  <c r="Q18" i="2"/>
  <c r="R18" i="2" s="1"/>
  <c r="Q118" i="2"/>
  <c r="R118" i="2" s="1"/>
  <c r="E16" i="5"/>
  <c r="E23" i="6" s="1"/>
  <c r="Q37" i="2"/>
  <c r="R37" i="2" s="1"/>
  <c r="K59" i="2"/>
  <c r="K69" i="2"/>
  <c r="Q78" i="2"/>
  <c r="R78" i="2" s="1"/>
  <c r="M114" i="2"/>
  <c r="I22" i="1"/>
  <c r="K22" i="1" s="1"/>
  <c r="M23" i="5"/>
  <c r="M30" i="6" s="1"/>
  <c r="K23" i="2"/>
  <c r="Q32" i="2"/>
  <c r="R32" i="2" s="1"/>
  <c r="M54" i="2"/>
  <c r="K55" i="2"/>
  <c r="Q63" i="2"/>
  <c r="R63" i="2" s="1"/>
  <c r="Q77" i="2"/>
  <c r="R77" i="2" s="1"/>
  <c r="Q87" i="2"/>
  <c r="R87" i="2" s="1"/>
  <c r="Q91" i="2"/>
  <c r="R91" i="2" s="1"/>
  <c r="K98" i="2"/>
  <c r="Q103" i="2"/>
  <c r="R103" i="2" s="1"/>
  <c r="M8" i="7"/>
  <c r="M7" i="7"/>
  <c r="H6" i="4"/>
  <c r="K10" i="4" s="1"/>
  <c r="C7" i="1"/>
  <c r="J4" i="2"/>
  <c r="J5" i="2" s="1"/>
  <c r="K25" i="2"/>
  <c r="Q27" i="2"/>
  <c r="R27" i="2" s="1"/>
  <c r="Q46" i="2"/>
  <c r="R46" i="2" s="1"/>
  <c r="Q57" i="2"/>
  <c r="R57" i="2" s="1"/>
  <c r="K65" i="2"/>
  <c r="K66" i="2"/>
  <c r="K71" i="2"/>
  <c r="K81" i="2"/>
  <c r="K82" i="2"/>
  <c r="K83" i="2"/>
  <c r="K110" i="2"/>
  <c r="K111" i="2"/>
  <c r="I12" i="1"/>
  <c r="K12" i="1" s="1"/>
  <c r="I17" i="1"/>
  <c r="K17" i="1" s="1"/>
  <c r="I11" i="5"/>
  <c r="I16" i="6" s="1"/>
  <c r="I16" i="5"/>
  <c r="I23" i="6" s="1"/>
  <c r="I25" i="5"/>
  <c r="I32" i="6" s="1"/>
  <c r="Q21" i="2"/>
  <c r="R21" i="2" s="1"/>
  <c r="M25" i="2"/>
  <c r="Q31" i="2"/>
  <c r="R31" i="2" s="1"/>
  <c r="K39" i="2"/>
  <c r="K49" i="2"/>
  <c r="Q51" i="2"/>
  <c r="R51" i="2" s="1"/>
  <c r="Q61" i="2"/>
  <c r="R61" i="2" s="1"/>
  <c r="M65" i="2"/>
  <c r="M66" i="2"/>
  <c r="M70" i="2"/>
  <c r="M81" i="2"/>
  <c r="M82" i="2"/>
  <c r="K89" i="2"/>
  <c r="K90" i="2"/>
  <c r="K95" i="2"/>
  <c r="Q102" i="2"/>
  <c r="R102" i="2" s="1"/>
  <c r="M110" i="2"/>
  <c r="Q115" i="2"/>
  <c r="R115" i="2" s="1"/>
  <c r="K118" i="2"/>
  <c r="N11" i="5"/>
  <c r="N16" i="6" s="1"/>
  <c r="I17" i="5"/>
  <c r="I24" i="6" s="1"/>
  <c r="I27" i="5"/>
  <c r="I34" i="6" s="1"/>
  <c r="C20" i="1"/>
  <c r="Q30" i="2"/>
  <c r="R30" i="2" s="1"/>
  <c r="Q40" i="2"/>
  <c r="R40" i="2" s="1"/>
  <c r="Q41" i="2"/>
  <c r="R41" i="2" s="1"/>
  <c r="Q45" i="2"/>
  <c r="R45" i="2" s="1"/>
  <c r="Q121" i="2"/>
  <c r="R121" i="2" s="1"/>
  <c r="I18" i="5"/>
  <c r="I25" i="6" s="1"/>
  <c r="T11" i="7"/>
  <c r="Q71" i="2"/>
  <c r="R71" i="2" s="1"/>
  <c r="Q83" i="2"/>
  <c r="R83" i="2" s="1"/>
  <c r="Q111" i="2"/>
  <c r="R111" i="2" s="1"/>
  <c r="H13" i="5"/>
  <c r="H18" i="6" s="1"/>
  <c r="I19" i="5"/>
  <c r="I26" i="6" s="1"/>
  <c r="Q24" i="2"/>
  <c r="R24" i="2" s="1"/>
  <c r="Q29" i="2"/>
  <c r="R29" i="2" s="1"/>
  <c r="Q39" i="2"/>
  <c r="R39" i="2" s="1"/>
  <c r="K47" i="2"/>
  <c r="K57" i="2"/>
  <c r="K58" i="2"/>
  <c r="K63" i="2"/>
  <c r="Q70" i="2"/>
  <c r="R70" i="2" s="1"/>
  <c r="M78" i="2"/>
  <c r="K85" i="2"/>
  <c r="M86" i="2"/>
  <c r="K87" i="2"/>
  <c r="Q95" i="2"/>
  <c r="R95" i="2" s="1"/>
  <c r="K99" i="2"/>
  <c r="Q109" i="2"/>
  <c r="R109" i="2" s="1"/>
  <c r="Q117" i="2"/>
  <c r="R117" i="2" s="1"/>
  <c r="I13" i="5"/>
  <c r="I18" i="6" s="1"/>
  <c r="R4" i="7"/>
  <c r="C21" i="1"/>
  <c r="Q23" i="2"/>
  <c r="R23" i="2" s="1"/>
  <c r="K31" i="2"/>
  <c r="Q43" i="2"/>
  <c r="R43" i="2" s="1"/>
  <c r="K61" i="2"/>
  <c r="Q79" i="2"/>
  <c r="R79" i="2" s="1"/>
  <c r="Q93" i="2"/>
  <c r="R93" i="2" s="1"/>
  <c r="M102" i="2"/>
  <c r="K114" i="2"/>
  <c r="K115" i="2"/>
  <c r="M122" i="2"/>
  <c r="I16" i="1"/>
  <c r="K16" i="1" s="1"/>
  <c r="D17" i="1" s="1"/>
  <c r="J19" i="1"/>
  <c r="C5" i="1"/>
  <c r="C12" i="1" s="1"/>
  <c r="F15" i="5"/>
  <c r="F9" i="6" s="1"/>
  <c r="C19" i="1"/>
  <c r="K10" i="2"/>
  <c r="D5" i="13"/>
  <c r="M10" i="2"/>
  <c r="K15" i="2"/>
  <c r="D354" i="4" s="1"/>
  <c r="D6" i="13"/>
  <c r="M15" i="2"/>
  <c r="M5" i="2"/>
  <c r="K11" i="2"/>
  <c r="D359" i="4" s="1"/>
  <c r="K12" i="2"/>
  <c r="D349" i="4" s="1"/>
  <c r="M13" i="2"/>
  <c r="K16" i="2"/>
  <c r="D368" i="4" s="1"/>
  <c r="M17" i="2"/>
  <c r="M53" i="2"/>
  <c r="K53" i="2"/>
  <c r="K64" i="2"/>
  <c r="Q64" i="2"/>
  <c r="R64" i="2" s="1"/>
  <c r="K96" i="2"/>
  <c r="Q96" i="2"/>
  <c r="R96" i="2" s="1"/>
  <c r="I8" i="1"/>
  <c r="K8" i="1" s="1"/>
  <c r="J15" i="1"/>
  <c r="I15" i="1"/>
  <c r="K15" i="1" s="1"/>
  <c r="Q9" i="2"/>
  <c r="R9" i="2" s="1"/>
  <c r="M11" i="2"/>
  <c r="K18" i="2"/>
  <c r="Q52" i="2"/>
  <c r="R52" i="2" s="1"/>
  <c r="M52" i="2"/>
  <c r="M64" i="2"/>
  <c r="K74" i="2"/>
  <c r="K75" i="2"/>
  <c r="Q84" i="2"/>
  <c r="R84" i="2" s="1"/>
  <c r="M84" i="2"/>
  <c r="K84" i="2"/>
  <c r="M96" i="2"/>
  <c r="K106" i="2"/>
  <c r="K107" i="2"/>
  <c r="Q123" i="2"/>
  <c r="R123" i="2" s="1"/>
  <c r="J13" i="1"/>
  <c r="K19" i="2"/>
  <c r="K20" i="2"/>
  <c r="K21" i="2"/>
  <c r="M22" i="2"/>
  <c r="M24" i="2"/>
  <c r="K26" i="2"/>
  <c r="K27" i="2"/>
  <c r="K28" i="2"/>
  <c r="K29" i="2"/>
  <c r="M30" i="2"/>
  <c r="M32" i="2"/>
  <c r="K34" i="2"/>
  <c r="K35" i="2"/>
  <c r="K36" i="2"/>
  <c r="K37" i="2"/>
  <c r="M38" i="2"/>
  <c r="M40" i="2"/>
  <c r="K42" i="2"/>
  <c r="K43" i="2"/>
  <c r="K44" i="2"/>
  <c r="K45" i="2"/>
  <c r="M46" i="2"/>
  <c r="M48" i="2"/>
  <c r="K50" i="2"/>
  <c r="K51" i="2"/>
  <c r="K52" i="2"/>
  <c r="Q67" i="2"/>
  <c r="R67" i="2" s="1"/>
  <c r="K72" i="2"/>
  <c r="Q72" i="2"/>
  <c r="R72" i="2" s="1"/>
  <c r="M74" i="2"/>
  <c r="Q99" i="2"/>
  <c r="R99" i="2" s="1"/>
  <c r="K104" i="2"/>
  <c r="Q104" i="2"/>
  <c r="R104" i="2" s="1"/>
  <c r="M106" i="2"/>
  <c r="Q116" i="2"/>
  <c r="R116" i="2" s="1"/>
  <c r="M116" i="2"/>
  <c r="K116" i="2"/>
  <c r="C6" i="13"/>
  <c r="I9" i="5"/>
  <c r="N9" i="5"/>
  <c r="F9" i="5"/>
  <c r="M9" i="5"/>
  <c r="E9" i="5"/>
  <c r="Q17" i="2"/>
  <c r="R17" i="2" s="1"/>
  <c r="M20" i="2"/>
  <c r="M26" i="2"/>
  <c r="M28" i="2"/>
  <c r="M34" i="2"/>
  <c r="M36" i="2"/>
  <c r="M42" i="2"/>
  <c r="M44" i="2"/>
  <c r="M50" i="2"/>
  <c r="Q53" i="2"/>
  <c r="R53" i="2" s="1"/>
  <c r="Q60" i="2"/>
  <c r="R60" i="2" s="1"/>
  <c r="M60" i="2"/>
  <c r="K60" i="2"/>
  <c r="Q92" i="2"/>
  <c r="R92" i="2" s="1"/>
  <c r="M92" i="2"/>
  <c r="K92" i="2"/>
  <c r="I4" i="1"/>
  <c r="J11" i="1"/>
  <c r="I11" i="1"/>
  <c r="K11" i="1" s="1"/>
  <c r="J3" i="2"/>
  <c r="Q75" i="2"/>
  <c r="R75" i="2" s="1"/>
  <c r="K80" i="2"/>
  <c r="Q80" i="2"/>
  <c r="R80" i="2" s="1"/>
  <c r="Q107" i="2"/>
  <c r="R107" i="2" s="1"/>
  <c r="K112" i="2"/>
  <c r="Q112" i="2"/>
  <c r="R112" i="2" s="1"/>
  <c r="Q124" i="2"/>
  <c r="R124" i="2" s="1"/>
  <c r="M124" i="2"/>
  <c r="K124" i="2"/>
  <c r="K3" i="2"/>
  <c r="H4" i="4"/>
  <c r="M14" i="5"/>
  <c r="M19" i="6" s="1"/>
  <c r="H14" i="5"/>
  <c r="H19" i="6" s="1"/>
  <c r="Q68" i="2"/>
  <c r="R68" i="2" s="1"/>
  <c r="M68" i="2"/>
  <c r="K68" i="2"/>
  <c r="Q100" i="2"/>
  <c r="R100" i="2" s="1"/>
  <c r="M100" i="2"/>
  <c r="K100" i="2"/>
  <c r="I5" i="1"/>
  <c r="K5" i="1" s="1"/>
  <c r="I7" i="1"/>
  <c r="K7" i="1" s="1"/>
  <c r="J9" i="1"/>
  <c r="C5" i="13"/>
  <c r="M9" i="2"/>
  <c r="K56" i="2"/>
  <c r="Q56" i="2"/>
  <c r="R56" i="2" s="1"/>
  <c r="M58" i="2"/>
  <c r="K88" i="2"/>
  <c r="Q88" i="2"/>
  <c r="R88" i="2" s="1"/>
  <c r="M90" i="2"/>
  <c r="K122" i="2"/>
  <c r="K123" i="2"/>
  <c r="Q76" i="2"/>
  <c r="R76" i="2" s="1"/>
  <c r="M76" i="2"/>
  <c r="K76" i="2"/>
  <c r="Q108" i="2"/>
  <c r="R108" i="2" s="1"/>
  <c r="M108" i="2"/>
  <c r="K108" i="2"/>
  <c r="K120" i="2"/>
  <c r="Q120" i="2"/>
  <c r="R120" i="2" s="1"/>
  <c r="J21" i="1"/>
  <c r="I21" i="1"/>
  <c r="K21" i="1" s="1"/>
  <c r="K109" i="2"/>
  <c r="K117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G16" i="6" s="1"/>
  <c r="O11" i="5"/>
  <c r="O16" i="6" s="1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H16" i="6" s="1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J16" i="6" s="1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K16" i="6" s="1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L16" i="6" s="1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E16" i="6" s="1"/>
  <c r="M11" i="5"/>
  <c r="M16" i="6" s="1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I4" i="13" l="1"/>
  <c r="J5" i="1"/>
  <c r="G5" i="13"/>
  <c r="H5" i="13" s="1"/>
  <c r="I6" i="13" s="1"/>
  <c r="G6" i="13"/>
  <c r="H6" i="13" s="1"/>
  <c r="F7" i="13"/>
  <c r="B7" i="13"/>
  <c r="D7" i="13"/>
  <c r="J8" i="13"/>
  <c r="A8" i="13" s="1"/>
  <c r="E7" i="13"/>
  <c r="C7" i="13"/>
  <c r="Q8" i="2"/>
  <c r="R8" i="2" s="1"/>
  <c r="D330" i="4"/>
  <c r="D369" i="4"/>
  <c r="J7" i="1"/>
  <c r="M4" i="2"/>
  <c r="Q12" i="2"/>
  <c r="R12" i="2" s="1"/>
  <c r="K4" i="2"/>
  <c r="E13" i="4" s="1"/>
  <c r="D13" i="4" s="1"/>
  <c r="Q16" i="2"/>
  <c r="R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7" i="5"/>
  <c r="L30" i="5" s="1"/>
  <c r="L31" i="5" s="1"/>
  <c r="L14" i="6"/>
  <c r="L13" i="6" s="1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G12" i="4" a="1"/>
  <c r="G12" i="4" s="1"/>
  <c r="D324" i="4"/>
  <c r="K5" i="2"/>
  <c r="P3" i="2"/>
  <c r="O14" i="6"/>
  <c r="O13" i="6" s="1"/>
  <c r="O33" i="5"/>
  <c r="O7" i="5"/>
  <c r="O30" i="5" s="1"/>
  <c r="O31" i="5" s="1"/>
  <c r="D32" i="6"/>
  <c r="C32" i="6" s="1"/>
  <c r="C25" i="5"/>
  <c r="D14" i="6"/>
  <c r="D33" i="5"/>
  <c r="D7" i="5"/>
  <c r="D30" i="5" s="1"/>
  <c r="D31" i="5" s="1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G13" i="6" s="1"/>
  <c r="G7" i="5"/>
  <c r="G30" i="5" s="1"/>
  <c r="F28" i="6"/>
  <c r="M24" i="6"/>
  <c r="M22" i="6" s="1"/>
  <c r="M37" i="5"/>
  <c r="D24" i="6"/>
  <c r="D37" i="5"/>
  <c r="C17" i="5"/>
  <c r="K14" i="6"/>
  <c r="K13" i="6" s="1"/>
  <c r="K7" i="5"/>
  <c r="K30" i="5" s="1"/>
  <c r="K31" i="5" s="1"/>
  <c r="K33" i="5"/>
  <c r="C27" i="5"/>
  <c r="D34" i="6"/>
  <c r="C34" i="6" s="1"/>
  <c r="D27" i="7"/>
  <c r="E27" i="7" s="1"/>
  <c r="C3" i="7" s="1"/>
  <c r="E3" i="7"/>
  <c r="E14" i="6"/>
  <c r="E13" i="6" s="1"/>
  <c r="E7" i="5"/>
  <c r="E30" i="5" s="1"/>
  <c r="E31" i="5" s="1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13" i="6" s="1"/>
  <c r="M33" i="5"/>
  <c r="M7" i="5"/>
  <c r="M30" i="5" s="1"/>
  <c r="M31" i="5" s="1"/>
  <c r="O6" i="6"/>
  <c r="O10" i="6"/>
  <c r="O8" i="6" s="1"/>
  <c r="O12" i="6" s="1"/>
  <c r="J10" i="6"/>
  <c r="J8" i="6" s="1"/>
  <c r="J12" i="6" s="1"/>
  <c r="J6" i="6"/>
  <c r="D16" i="6"/>
  <c r="C16" i="6" s="1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13" i="6" s="1"/>
  <c r="F7" i="5"/>
  <c r="F30" i="5" s="1"/>
  <c r="F31" i="5" s="1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13" i="6" s="1"/>
  <c r="N7" i="5"/>
  <c r="N30" i="5" s="1"/>
  <c r="N31" i="5" s="1"/>
  <c r="N33" i="5"/>
  <c r="Q15" i="2"/>
  <c r="R15" i="2" s="1"/>
  <c r="Q10" i="2"/>
  <c r="R10" i="2" s="1"/>
  <c r="H33" i="5"/>
  <c r="H14" i="6"/>
  <c r="H13" i="6" s="1"/>
  <c r="H7" i="5"/>
  <c r="L3" i="2" s="1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13" i="6" s="1"/>
  <c r="J33" i="5"/>
  <c r="J7" i="5"/>
  <c r="J30" i="5" s="1"/>
  <c r="D14" i="1"/>
  <c r="I33" i="5"/>
  <c r="I14" i="6"/>
  <c r="I13" i="6" s="1"/>
  <c r="I7" i="5"/>
  <c r="D16" i="1"/>
  <c r="Q11" i="2"/>
  <c r="R11" i="2" s="1"/>
  <c r="I5" i="13" l="1"/>
  <c r="G7" i="13"/>
  <c r="H7" i="13" s="1"/>
  <c r="F8" i="13"/>
  <c r="E8" i="13"/>
  <c r="B8" i="13"/>
  <c r="D8" i="13"/>
  <c r="J9" i="13"/>
  <c r="A9" i="13" s="1"/>
  <c r="C8" i="13"/>
  <c r="J2" i="1"/>
  <c r="G22" i="6"/>
  <c r="D9" i="1"/>
  <c r="L4" i="2"/>
  <c r="O20" i="6"/>
  <c r="O21" i="6" s="1"/>
  <c r="G20" i="6"/>
  <c r="G21" i="6" s="1"/>
  <c r="O22" i="6"/>
  <c r="F22" i="6"/>
  <c r="L22" i="6"/>
  <c r="H22" i="6"/>
  <c r="L20" i="6"/>
  <c r="L21" i="6" s="1"/>
  <c r="N20" i="6"/>
  <c r="N21" i="6" s="1"/>
  <c r="J22" i="6"/>
  <c r="K20" i="6"/>
  <c r="K21" i="6" s="1"/>
  <c r="M20" i="6"/>
  <c r="M36" i="6" s="1"/>
  <c r="E20" i="6"/>
  <c r="E36" i="6" s="1"/>
  <c r="N22" i="6"/>
  <c r="C33" i="5"/>
  <c r="F20" i="6"/>
  <c r="I20" i="6"/>
  <c r="I36" i="6" s="1"/>
  <c r="I37" i="6" s="1"/>
  <c r="H20" i="6"/>
  <c r="J20" i="6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D13" i="6"/>
  <c r="C13" i="6" s="1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37" i="6"/>
  <c r="J4" i="5"/>
  <c r="E7" i="7"/>
  <c r="I11" i="7"/>
  <c r="E6" i="7"/>
  <c r="E8" i="7"/>
  <c r="E5" i="7"/>
  <c r="D19" i="1"/>
  <c r="L37" i="6"/>
  <c r="L4" i="5"/>
  <c r="I7" i="13" l="1"/>
  <c r="G8" i="13"/>
  <c r="H8" i="13" s="1"/>
  <c r="I8" i="13" s="1"/>
  <c r="F9" i="13"/>
  <c r="B9" i="13"/>
  <c r="D9" i="13"/>
  <c r="J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G9" i="13" l="1"/>
  <c r="H9" i="13" s="1"/>
  <c r="F10" i="13"/>
  <c r="E10" i="13"/>
  <c r="D10" i="13"/>
  <c r="B10" i="13"/>
  <c r="C10" i="13"/>
  <c r="J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9" i="13" l="1"/>
  <c r="G10" i="13"/>
  <c r="H10" i="13" s="1"/>
  <c r="F11" i="13"/>
  <c r="J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10" i="13" l="1"/>
  <c r="G11" i="13"/>
  <c r="H11" i="13" s="1"/>
  <c r="I11" i="13" s="1"/>
  <c r="F12" i="13"/>
  <c r="C12" i="13"/>
  <c r="J13" i="13"/>
  <c r="B12" i="13"/>
  <c r="D12" i="13"/>
  <c r="E12" i="13"/>
  <c r="N5" i="7"/>
  <c r="N6" i="7"/>
  <c r="N7" i="7"/>
  <c r="N8" i="7"/>
  <c r="D9" i="4"/>
  <c r="C9" i="4"/>
  <c r="E10" i="4"/>
  <c r="B13" i="13" l="1"/>
  <c r="A13" i="13"/>
  <c r="C13" i="13"/>
  <c r="E13" i="13"/>
  <c r="G12" i="13"/>
  <c r="H12" i="13" s="1"/>
  <c r="I12" i="13" s="1"/>
  <c r="D13" i="13"/>
  <c r="F13" i="13"/>
  <c r="J14" i="13"/>
  <c r="A14" i="13" s="1"/>
  <c r="C10" i="4"/>
  <c r="D10" i="4"/>
  <c r="C14" i="13" l="1"/>
  <c r="E14" i="13"/>
  <c r="G13" i="13"/>
  <c r="H13" i="13" s="1"/>
  <c r="I13" i="13" s="1"/>
  <c r="J15" i="13"/>
  <c r="A15" i="13" s="1"/>
  <c r="F14" i="13"/>
  <c r="B14" i="13"/>
  <c r="D14" i="13"/>
  <c r="G14" i="13" l="1"/>
  <c r="H14" i="13" s="1"/>
  <c r="I14" i="13" s="1"/>
  <c r="E15" i="13"/>
  <c r="J16" i="13"/>
  <c r="A16" i="13" s="1"/>
  <c r="D15" i="13"/>
  <c r="B15" i="13"/>
  <c r="C15" i="13"/>
  <c r="F15" i="13"/>
  <c r="C16" i="13" l="1"/>
  <c r="J17" i="13"/>
  <c r="A17" i="13" s="1"/>
  <c r="B16" i="13"/>
  <c r="D16" i="13"/>
  <c r="E16" i="13"/>
  <c r="F16" i="13"/>
  <c r="G15" i="13"/>
  <c r="H15" i="13" s="1"/>
  <c r="I15" i="13" s="1"/>
  <c r="E17" i="13" l="1"/>
  <c r="D17" i="13"/>
  <c r="J18" i="13"/>
  <c r="A18" i="13" s="1"/>
  <c r="F17" i="13"/>
  <c r="B17" i="13"/>
  <c r="C17" i="13"/>
  <c r="G16" i="13"/>
  <c r="H16" i="13" s="1"/>
  <c r="I16" i="13" s="1"/>
  <c r="G17" i="13" l="1"/>
  <c r="H17" i="13" s="1"/>
  <c r="I17" i="13" s="1"/>
  <c r="E18" i="13"/>
  <c r="B18" i="13"/>
  <c r="F18" i="13"/>
  <c r="J19" i="13"/>
  <c r="D18" i="13"/>
  <c r="C18" i="13"/>
  <c r="B19" i="13" l="1"/>
  <c r="A19" i="13"/>
  <c r="C19" i="13"/>
  <c r="F19" i="13"/>
  <c r="D19" i="13"/>
  <c r="G18" i="13"/>
  <c r="H18" i="13" s="1"/>
  <c r="I18" i="13" s="1"/>
  <c r="E19" i="13"/>
  <c r="J20" i="13"/>
  <c r="F20" i="13" l="1"/>
  <c r="A20" i="13"/>
  <c r="C20" i="13"/>
  <c r="G19" i="13"/>
  <c r="H19" i="13" s="1"/>
  <c r="I19" i="13" s="1"/>
  <c r="J21" i="13"/>
  <c r="D20" i="13"/>
  <c r="G20" i="13" s="1"/>
  <c r="B20" i="13"/>
  <c r="E20" i="13"/>
  <c r="H20" i="13" l="1"/>
  <c r="I20" i="13" s="1"/>
  <c r="F21" i="13"/>
  <c r="A21" i="13"/>
  <c r="D21" i="13"/>
  <c r="B21" i="13"/>
  <c r="J22" i="13"/>
  <c r="A22" i="13" s="1"/>
  <c r="C21" i="13"/>
  <c r="E21" i="13"/>
  <c r="E22" i="13" l="1"/>
  <c r="C22" i="13"/>
  <c r="F22" i="13"/>
  <c r="G21" i="13"/>
  <c r="H21" i="13" s="1"/>
  <c r="I21" i="13" s="1"/>
  <c r="B22" i="13"/>
  <c r="D22" i="13"/>
  <c r="G22" i="13" s="1"/>
  <c r="J23" i="13"/>
  <c r="A23" i="13" s="1"/>
  <c r="H22" i="13" l="1"/>
  <c r="I22" i="13" s="1"/>
  <c r="E23" i="13"/>
  <c r="F23" i="13"/>
  <c r="J24" i="13"/>
  <c r="A24" i="13" s="1"/>
  <c r="D23" i="13"/>
  <c r="B23" i="13"/>
  <c r="C23" i="13"/>
  <c r="C24" i="13" l="1"/>
  <c r="D24" i="13"/>
  <c r="F24" i="13"/>
  <c r="J25" i="13"/>
  <c r="A25" i="13" s="1"/>
  <c r="E24" i="13"/>
  <c r="B24" i="13"/>
  <c r="G23" i="13"/>
  <c r="H23" i="13" s="1"/>
  <c r="I23" i="13" s="1"/>
  <c r="D25" i="13" l="1"/>
  <c r="B25" i="13"/>
  <c r="G24" i="13"/>
  <c r="H24" i="13" s="1"/>
  <c r="I24" i="13" s="1"/>
  <c r="J26" i="13"/>
  <c r="A26" i="13" s="1"/>
  <c r="E25" i="13"/>
  <c r="F25" i="13"/>
  <c r="C25" i="13"/>
  <c r="G25" i="13" l="1"/>
  <c r="H25" i="13" s="1"/>
  <c r="I25" i="13" s="1"/>
  <c r="D26" i="13"/>
  <c r="B26" i="13"/>
  <c r="J27" i="13"/>
  <c r="A27" i="13" s="1"/>
  <c r="C26" i="13"/>
  <c r="E26" i="13"/>
  <c r="F26" i="13"/>
  <c r="G26" i="13" l="1"/>
  <c r="H26" i="13" s="1"/>
  <c r="I26" i="13" s="1"/>
  <c r="D27" i="13"/>
  <c r="D29" i="13" s="1"/>
  <c r="F27" i="13"/>
  <c r="B27" i="13"/>
  <c r="B29" i="13" s="1"/>
  <c r="C27" i="13"/>
  <c r="C29" i="13" s="1"/>
  <c r="E27" i="13"/>
  <c r="E29" i="13" s="1"/>
  <c r="G27" i="13" l="1"/>
  <c r="H27" i="13" s="1"/>
  <c r="I27" i="13" s="1"/>
  <c r="H29" i="13" l="1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<sst xmlns="http://schemas.openxmlformats.org/spreadsheetml/2006/main" count="341" uniqueCount="242">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</sst>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5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</fonts>
  <fills count="6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</fills>
  <borders count="124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581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6" xfId="0" applyNumberFormat="1" applyBorder="1" applyAlignment="1">
      <alignment horizontal="right" vertical="center"/>
    </xf>
    <xf numFmtId="170" fontId="144" fillId="62" borderId="116" xfId="0" applyNumberFormat="1" applyFont="1" applyFill="1" applyBorder="1" applyAlignment="1">
      <alignment horizontal="right" vertical="center"/>
    </xf>
    <xf numFmtId="174" fontId="0" fillId="0" borderId="118" xfId="0" applyNumberFormat="1" applyBorder="1" applyAlignment="1">
      <alignment horizontal="center" vertical="center"/>
    </xf>
    <xf numFmtId="0" fontId="143" fillId="61" borderId="121" xfId="0" applyFont="1" applyFill="1" applyBorder="1" applyAlignment="1">
      <alignment horizontal="center" vertical="center" wrapText="1"/>
    </xf>
    <xf numFmtId="170" fontId="0" fillId="0" borderId="122" xfId="0" applyNumberFormat="1" applyBorder="1" applyAlignment="1">
      <alignment horizontal="right" vertical="center"/>
    </xf>
    <xf numFmtId="0" fontId="33" fillId="61" borderId="119" xfId="0" applyFont="1" applyFill="1" applyBorder="1" applyAlignment="1">
      <alignment horizontal="center" vertical="center" wrapText="1"/>
    </xf>
    <xf numFmtId="0" fontId="33" fillId="61" borderId="120" xfId="0" applyFont="1" applyFill="1" applyBorder="1" applyAlignment="1">
      <alignment horizontal="center" vertical="center" wrapText="1"/>
    </xf>
    <xf numFmtId="170" fontId="83" fillId="0" borderId="116" xfId="0" applyNumberFormat="1" applyFont="1" applyBorder="1" applyAlignment="1">
      <alignment horizontal="right" vertical="center"/>
    </xf>
    <xf numFmtId="170" fontId="83" fillId="0" borderId="122" xfId="0" applyNumberFormat="1" applyFont="1" applyBorder="1" applyAlignment="1">
      <alignment horizontal="right" vertical="center"/>
    </xf>
    <xf numFmtId="170" fontId="85" fillId="0" borderId="116" xfId="0" applyNumberFormat="1" applyFont="1" applyBorder="1" applyAlignment="1">
      <alignment horizontal="right" vertical="center"/>
    </xf>
    <xf numFmtId="170" fontId="35" fillId="62" borderId="116" xfId="0" applyNumberFormat="1" applyFont="1" applyFill="1" applyBorder="1" applyAlignment="1">
      <alignment horizontal="right" vertical="center"/>
    </xf>
    <xf numFmtId="174" fontId="85" fillId="0" borderId="117" xfId="0" applyNumberFormat="1" applyFont="1" applyBorder="1" applyAlignment="1">
      <alignment horizontal="center" vertic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42" fillId="60" borderId="116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0" fontId="33" fillId="61" borderId="121" xfId="0" applyFont="1" applyFill="1" applyBorder="1" applyAlignment="1">
      <alignment horizontal="center" vertical="center" wrapText="1"/>
    </xf>
    <xf numFmtId="170" fontId="85" fillId="0" borderId="118" xfId="0" applyNumberFormat="1" applyFont="1" applyBorder="1" applyAlignment="1">
      <alignment horizontal="right" vertical="center"/>
    </xf>
    <xf numFmtId="170" fontId="83" fillId="0" borderId="118" xfId="0" applyNumberFormat="1" applyFont="1" applyBorder="1" applyAlignment="1">
      <alignment horizontal="right" vertical="center"/>
    </xf>
    <xf numFmtId="170" fontId="83" fillId="0" borderId="123" xfId="0" applyNumberFormat="1" applyFont="1" applyBorder="1" applyAlignment="1">
      <alignment horizontal="right" vertical="center"/>
    </xf>
  </cellXfs>
  <cellStyles count="1">
    <cellStyle name="Normal" xfId="0" builtinId="0"/>
  </cellStyles>
  <dxfs count="56">
    <dxf>
      <font>
        <b/>
        <i val="0"/>
      </font>
      <fill>
        <patternFill>
          <bgColor rgb="FF00FF9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5672.41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0.54022952380952383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5.133,00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R$5.943,03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R$810,03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J27" totalsRowShown="0" headerRowDxfId="55" dataDxfId="53" headerRowBorderDxfId="54" tableBorderDxfId="52" totalsRowBorderDxfId="51">
  <autoFilter ref="A3:J27" xr:uid="{EC1D8C12-92C2-46FE-9ECA-77DA0C14A593}"/>
  <tableColumns count="10">
    <tableColumn id="1" xr3:uid="{49E6F9FE-A713-4C99-8B64-74D3124E300F}" name="Competência" dataDxfId="40">
      <calculatedColumnFormula>CHOOSE(MONTH($J4),"JAN","FEV","MAR","ABR","MAI","JUN","JUL","AGO","SET","OUT","NOV","DEZ")&amp;"/"&amp;TEXT($J4,"AA")</calculatedColumnFormula>
    </tableColumn>
    <tableColumn id="2" xr3:uid="{AA842246-0B63-4943-A09B-D4FF83B4D890}" name="Faturamento" dataDxfId="50">
      <calculatedColumnFormula>IF(SUMIFS('💸  Receitas'!$G:$G,'💸  Receitas'!$A:$A,"&gt;="&amp;$J4,'💸  Receitas'!$A:$A,"&lt;"&amp;EDATE($J4,1),'💸  Receitas'!$E:$E,"FATURAMENTO")=0,SUMIFS('💸  Receitas'!$G:$G,'💸  Receitas'!$A:$A,"&gt;="&amp;$J4,'💸  Receitas'!$A:$A,"&lt;"&amp;EDATE($J4,1),'💸  Receitas'!$E:$E,"&lt;&gt;"),SUMIFS('💸  Receitas'!$G:$G,'💸  Receitas'!$A:$A,"&gt;="&amp;$J4,'💸  Receitas'!$A:$A,"&lt;"&amp;EDATE($J4,1),'💸  Receitas'!$E:$E,"FATURAMENTO"))</calculatedColumnFormula>
    </tableColumn>
    <tableColumn id="3" xr3:uid="{E1EC1505-5F68-439B-B35E-1103E3A845B1}" name="INSS" dataDxfId="49">
      <calculatedColumnFormula>SUMIFS('📋 Despesas'!$J:$J,'📋 Despesas'!$B:$B,"&gt;="&amp;$J4,'📋 Despesas'!$B:$B,"&lt;"&amp;EDATE($J4,1),'📋 Despesas'!$E:$E,"*INSS*")</calculatedColumnFormula>
    </tableColumn>
    <tableColumn id="4" xr3:uid="{D0B1CFFC-B88F-4DB5-A456-41246D945239}" name="Pró-labore" dataDxfId="48">
      <calculatedColumnFormula>SUMIFS('📋 Despesas'!$J:$J,'📋 Despesas'!$B:$B,"&gt;="&amp;$J4,'📋 Despesas'!$B:$B,"&lt;"&amp;EDATE($J4,1),'📋 Despesas'!$E:$E,"*PROLABORE*")+SUMIFS('📋 Despesas'!$J:$J,'📋 Despesas'!$B:$B,"&gt;="&amp;$J4,'📋 Despesas'!$B:$B,"&lt;"&amp;EDATE($J4,1),'📋 Despesas'!$E:$E,"*PRÓ-LABORE*")</calculatedColumnFormula>
    </tableColumn>
    <tableColumn id="5" xr3:uid="{77727A5A-FA1D-4D71-96B7-6DAED548D0B1}" name="DAS" dataDxfId="47">
      <calculatedColumnFormula>SUMIFS('📋 Despesas'!$J:$J,'📋 Despesas'!$B:$B,"&gt;="&amp;$J4,'📋 Despesas'!$B:$B,"&lt;"&amp;EDATE($J4,1),'📋 Despesas'!$E:$E,"*DAS*")</calculatedColumnFormula>
    </tableColumn>
    <tableColumn id="9" xr3:uid="{D50E7F7D-C2A9-4468-9E54-5A7774964C52}" name="DL Pagos" dataDxfId="43">
      <calculatedColumnFormula>SUMIFS('📋 Despesas'!$J:$J,'📋 Despesas'!$B:$B,"&gt;="&amp;$J4,'📋 Despesas'!$B:$B,"&lt;"&amp;EDATE($J4,1),'📋 Despesas'!$E:$E,"*LUCRO*")</calculatedColumnFormula>
    </tableColumn>
    <tableColumn id="6" xr3:uid="{B2330911-A231-447F-AE80-EEF885E9F629}" name="Demais gastos" dataDxfId="42">
      <calculatedColumnFormula>SUMIFS('📋 Despesas'!$J:$J,'📋 Despesas'!$B:$B,"&gt;="&amp;$J4,'📋 Despesas'!$B:$B,"&lt;"&amp;EDATE($J4,1))-C4-D4-E4-F4</calculatedColumnFormula>
    </tableColumn>
    <tableColumn id="7" xr3:uid="{623B1D79-AA67-4233-8FEA-95CED91E7329}" name="Saldo" dataDxfId="41">
      <calculatedColumnFormula>B4-C4-D4-E4-G4-Tabela2[[#This Row],[DL Pagos]]</calculatedColumnFormula>
    </tableColumn>
    <tableColumn id="11" xr3:uid="{A493229A-E374-44D1-B73C-8F00A779F13E}" name="Acumulado" dataDxfId="1">
      <calculatedColumnFormula>SUM($H$4:H4)</calculatedColumnFormula>
    </tableColumn>
    <tableColumn id="8" xr3:uid="{D6A0AD79-E866-4923-A13D-C2CC8A2C9DE6}" name="Data base" dataDxfId="4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5">
  <autoFilter ref="G2:G33" xr:uid="{9FB9B7D2-0F7C-4CD2-9F22-4122B7DAD9DC}"/>
  <tableColumns count="1">
    <tableColumn id="1" xr3:uid="{5683796C-C110-4EC9-9665-6268F3588A24}" name="data" dataDxfId="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4827.59</v>
      </c>
      <c r="J2" s="212">
        <f t="shared" si="0"/>
        <v>4550</v>
      </c>
      <c r="K2" s="213">
        <f t="shared" si="0"/>
        <v>4827.59</v>
      </c>
      <c r="L2" s="4">
        <f t="shared" si="0"/>
        <v>0.94249925946486757</v>
      </c>
      <c r="M2" s="5"/>
      <c r="N2" s="365"/>
      <c r="O2" s="365"/>
    </row>
    <row r="3" spans="1:15" ht="18.75" customHeight="1">
      <c r="A3" s="365"/>
      <c r="B3" s="6" t="s">
        <v>190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0.88308666666666669</v>
      </c>
      <c r="F4" s="360"/>
      <c r="G4" s="549" t="s">
        <v>12</v>
      </c>
      <c r="H4" s="15" t="str">
        <f>'📈Det. Resultados'!B9</f>
        <v>PROLABORE</v>
      </c>
      <c r="I4" s="317">
        <f>SUMIFS('📋 Despesas'!$J$7:$J$17824,'📋 Despesas'!$F$7:$F$17824,H4,'📋 Despesas'!$C$7:$C$17824,$B$3,'📋 Despesas'!$D$7:$D$17824,$C$3)</f>
        <v>2670</v>
      </c>
      <c r="J4" s="209">
        <f>SUMIFS('📋 Despesas'!$K$7:$K$17824,'📋 Despesas'!$F$7:$F$17824,H4,'📋 Despesas'!$C$7:$C$17824,$B$3,'📋 Despesas'!$D$7:$D$17824,$C$3)</f>
        <v>2670</v>
      </c>
      <c r="K4" s="16">
        <f>I4</f>
        <v>2670</v>
      </c>
      <c r="L4" s="17">
        <f>IFERROR((K4/$K$2),0)</f>
        <v>0.55307099401564752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50"/>
      <c r="H5" s="15" t="str">
        <f>'📈Det. Resultados'!B10</f>
        <v>INSS</v>
      </c>
      <c r="I5" s="317">
        <f>SUMIFS('📋 Despesas'!$J$7:$J$17824,'📋 Despesas'!$F$7:$F$17824,H5,'📋 Despesas'!$C$7:$C$17824,$B$3,'📋 Despesas'!$D$7:$D$17824,$C$3)</f>
        <v>330</v>
      </c>
      <c r="J5" s="209">
        <f>SUMIFS('📋 Despesas'!$K$7:$K$17824,'📋 Despesas'!$F$7:$F$17824,H5,'📋 Despesas'!$C$7:$C$17824,$B$3,'📋 Despesas'!$D$7:$D$17824,$C$3)</f>
        <v>330</v>
      </c>
      <c r="K5" s="16">
        <f t="shared" ref="K5:K21" si="1">I5</f>
        <v>330</v>
      </c>
      <c r="L5" s="17">
        <f t="shared" ref="L5:L22" si="2">IFERROR((K5/$K$2),0)</f>
        <v>6.8357089148001385E-2</v>
      </c>
      <c r="M5" s="5"/>
      <c r="N5" s="365"/>
      <c r="O5" s="365"/>
    </row>
    <row r="6" spans="1:15" ht="21" customHeight="1">
      <c r="A6" s="365"/>
      <c r="B6" s="19" t="s">
        <v>212</v>
      </c>
      <c r="C6" s="345">
        <f>C7-C5</f>
        <v>0</v>
      </c>
      <c r="D6" s="354" t="s">
        <v>15</v>
      </c>
      <c r="E6" s="322"/>
      <c r="F6" s="353"/>
      <c r="G6" s="550"/>
      <c r="H6" s="15" t="str">
        <f>'📈Det. Resultados'!B11</f>
        <v>DL</v>
      </c>
      <c r="I6" s="317">
        <f>SUMIFS('📋 Despesas'!$J$7:$J$17824,'📋 Despesas'!$F$7:$F$17824,H6,'📋 Despesas'!$C$7:$C$17824,$B$3,'📋 Despesas'!$D$7:$D$17824,$C$3)</f>
        <v>0</v>
      </c>
      <c r="J6" s="209">
        <f>SUMIFS('📋 Despesas'!$K$7:$K$17824,'📋 Despesas'!$F$7:$F$17824,H6,'📋 Despesas'!$C$7:$C$17824,$B$3,'📋 Despesas'!$D$7:$D$17824,$C$3)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50"/>
      <c r="H7" s="15" t="str">
        <f>'📈Det. Resultados'!B12</f>
        <v>CONTABILIDADE</v>
      </c>
      <c r="I7" s="317">
        <f>SUMIFS('📋 Despesas'!$J$7:$J$17824,'📋 Despesas'!$F$7:$F$17824,H7,'📋 Despesas'!$C$7:$C$17824,$B$3,'📋 Despesas'!$D$7:$D$17824,$C$3)</f>
        <v>950</v>
      </c>
      <c r="J7" s="209">
        <f>SUMIFS('📋 Despesas'!$K$7:$K$17824,'📋 Despesas'!$F$7:$F$17824,H7,'📋 Despesas'!$C$7:$C$17824,$B$3,'📋 Despesas'!$D$7:$D$17824,$C$3)</f>
        <v>950</v>
      </c>
      <c r="K7" s="16">
        <f t="shared" si="1"/>
        <v>950</v>
      </c>
      <c r="L7" s="17">
        <f t="shared" si="2"/>
        <v>0.19678555966848882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-4827.59</v>
      </c>
      <c r="D8" s="349"/>
      <c r="E8" s="350"/>
      <c r="F8" s="351"/>
      <c r="G8" s="550"/>
      <c r="H8" s="15" t="str">
        <f>'📈Det. Resultados'!B13</f>
        <v>OUTROS</v>
      </c>
      <c r="I8" s="444">
        <f>SUMIFS('📋 Despesas'!$J$7:$J$17824,'📋 Despesas'!$F$7:$F$17824,H8,'📋 Despesas'!$C$7:$C$17824,$B$3,'📋 Despesas'!$D$7:$D$17824,$C$3)</f>
        <v>0</v>
      </c>
      <c r="J8" s="209">
        <f>SUMIFS('📋 Despesas'!$K$7:$K$17824,'📋 Despesas'!$F$7:$F$17824,H8,'📋 Despesas'!$C$7:$C$17824,$B$3,'📋 Despesas'!$D$7:$D$17824,$C$3)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5672.41</v>
      </c>
      <c r="D9" s="559">
        <f>(C7*E4)-(C19+C21)</f>
        <v>5672.41</v>
      </c>
      <c r="E9" s="560"/>
      <c r="F9" s="561"/>
      <c r="G9" s="551"/>
      <c r="H9" s="15" t="str">
        <f>'📈Det. Resultados'!B14</f>
        <v>ADM</v>
      </c>
      <c r="I9" s="444">
        <f>SUMIFS('📋 Despesas'!$J$7:$J$17824,'📋 Despesas'!$F$7:$F$17824,H9,'📋 Despesas'!$C$7:$C$17824,$B$3,'📋 Despesas'!$D$7:$D$17824,$C$3)</f>
        <v>277.59000000000003</v>
      </c>
      <c r="J9" s="209">
        <f>SUMIFS('📋 Despesas'!$K$7:$K$17824,'📋 Despesas'!$F$7:$F$17824,H9,'📋 Despesas'!$C$7:$C$17824,$B$3,'📋 Despesas'!$D$7:$D$17824,$C$3)</f>
        <v>0</v>
      </c>
      <c r="K9" s="16">
        <f t="shared" si="1"/>
        <v>277.59000000000003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0.54022952380952383</v>
      </c>
      <c r="D10" s="361">
        <f>(C19+C21)/E4</f>
        <v>4076.6100722465894</v>
      </c>
      <c r="E10" s="557" t="s">
        <v>21</v>
      </c>
      <c r="F10" s="558"/>
      <c r="G10" s="344"/>
      <c r="H10" s="15">
        <f>'📈Det. Resultados'!B15</f>
        <v>0</v>
      </c>
      <c r="I10" s="317">
        <f>SUMIFS('📋 Despesas'!$J$7:$J$17824,'📋 Despesas'!$F$7:$F$17824,H10,'📋 Despesas'!$C$7:$C$17824,$B$3,'📋 Despesas'!$D$7:$D$17824,$C$3)</f>
        <v>0</v>
      </c>
      <c r="J10" s="209">
        <f>SUMIFS('📋 Despesas'!$K$7:$K$17824,'📋 Despesas'!$F$7:$F$17824,H10,'📋 Despesas'!$C$7:$C$17824,$B$3,'📋 Despesas'!$D$7:$D$17824,$C$3)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Despesas'!$J$7:$J$17824,'📋 Despesas'!$F$7:$F$17824,H11,'📋 Despesas'!$C$7:$C$17824,$B$3,'📋 Despesas'!$D$7:$D$17824,$C$3)</f>
        <v>0</v>
      </c>
      <c r="J11" s="209">
        <f>SUMIFS('📋 Despesas'!$K$7:$K$17824,'📋 Despesas'!$F$7:$F$17824,H11,'📋 Despesas'!$C$7:$C$17824,$B$3,'📋 Despesas'!$D$7:$D$17824,$C$3)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4227.59</v>
      </c>
      <c r="E12" s="365"/>
      <c r="F12" s="552"/>
      <c r="G12" s="554" t="s">
        <v>23</v>
      </c>
      <c r="H12" s="15">
        <f>'📈Det. Resultados'!B17</f>
        <v>0</v>
      </c>
      <c r="I12" s="317">
        <f>SUMIFS('📋 Despesas'!$J$7:$J$17824,'📋 Despesas'!$F$7:$F$17824,H12,'📋 Despesas'!$C$7:$C$17824,$B$3,'📋 Despesas'!$D$7:$D$17824,$C$3)</f>
        <v>0</v>
      </c>
      <c r="J12" s="209">
        <f>SUMIFS('📋 Despesas'!$K$7:$K$17824,'📋 Despesas'!$F$7:$F$17824,H12,'📋 Despesas'!$C$7:$C$17824,$B$3,'📋 Despesas'!$D$7:$D$17824,$C$3)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53"/>
      <c r="G13" s="555"/>
      <c r="H13" s="15">
        <f>'📈Det. Resultados'!B18</f>
        <v>0</v>
      </c>
      <c r="I13" s="317">
        <f>SUMIFS('📋 Despesas'!$J$7:$J$17824,'📋 Despesas'!$F$7:$F$17824,H13,'📋 Despesas'!$C$7:$C$17824,$B$3,'📋 Despesas'!$D$7:$D$17824,$C$3)</f>
        <v>0</v>
      </c>
      <c r="J13" s="209">
        <f>SUMIFS('📋 Despesas'!$K$7:$K$17824,'📋 Despesas'!$F$7:$F$17824,H13,'📋 Despesas'!$C$7:$C$17824,$B$3,'📋 Despesas'!$D$7:$D$17824,$C$3)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5.7142857142857141E-2</v>
      </c>
      <c r="D14" s="236">
        <f>SUM(K11:K21)</f>
        <v>600</v>
      </c>
      <c r="E14" s="365"/>
      <c r="F14" s="553"/>
      <c r="G14" s="555"/>
      <c r="H14" s="15">
        <f>'📈Det. Resultados'!B19</f>
        <v>0</v>
      </c>
      <c r="I14" s="317">
        <f>SUMIFS('📋 Despesas'!$J$7:$J$17824,'📋 Despesas'!$F$7:$F$17824,H14,'📋 Despesas'!$C$7:$C$17824,$B$3,'📋 Despesas'!$D$7:$D$17824,$C$3)</f>
        <v>0</v>
      </c>
      <c r="J14" s="209">
        <f>SUMIFS('📋 Despesas'!$K$7:$K$17824,'📋 Despesas'!$F$7:$F$17824,H14,'📋 Despesas'!$C$7:$C$17824,$B$3,'📋 Despesas'!$D$7:$D$17824,$C$3)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53"/>
      <c r="G15" s="555"/>
      <c r="H15" s="15">
        <f>'📈Det. Resultados'!B20</f>
        <v>0</v>
      </c>
      <c r="I15" s="317">
        <f>SUMIFS('📋 Despesas'!$J$7:$J$17824,'📋 Despesas'!$F$7:$F$17824,H15,'📋 Despesas'!$C$7:$C$17824,$B$3,'📋 Despesas'!$D$7:$D$17824,$C$3)</f>
        <v>0</v>
      </c>
      <c r="J15" s="209">
        <f>SUMIFS('📋 Despesas'!$K$7:$K$17824,'📋 Despesas'!$F$7:$F$17824,H15,'📋 Despesas'!$C$7:$C$17824,$B$3,'📋 Despesas'!$D$7:$D$17824,$C$3)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53"/>
      <c r="G16" s="555"/>
      <c r="H16" s="15">
        <f>'📈Det. Resultados'!B21</f>
        <v>0</v>
      </c>
      <c r="I16" s="317">
        <f>SUMIFS('📋 Despesas'!$J$7:$J$17824,'📋 Despesas'!$F$7:$F$17824,H16,'📋 Despesas'!$C$7:$C$17824,$B$3,'📋 Despesas'!$D$7:$D$17824,$C$3)</f>
        <v>0</v>
      </c>
      <c r="J16" s="209">
        <f>SUMIFS('📋 Despesas'!$K$7:$K$17824,'📋 Despesas'!$F$7:$F$17824,H16,'📋 Despesas'!$C$7:$C$17824,$B$3,'📋 Despesas'!$D$7:$D$17824,$C$3)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53"/>
      <c r="G17" s="555"/>
      <c r="H17" s="15" t="str">
        <f>'📈Det. Resultados'!B22</f>
        <v>DAS</v>
      </c>
      <c r="I17" s="317">
        <f>SUMIFS('📋 Despesas'!$J$7:$J$17824,'📋 Despesas'!$F$7:$F$17824,H17,'📋 Despesas'!$C$7:$C$17824,$B$3,'📋 Despesas'!$D$7:$D$17824,$C$3)</f>
        <v>600</v>
      </c>
      <c r="J17" s="209">
        <f>SUMIFS('📋 Despesas'!$K$7:$K$17824,'📋 Despesas'!$F$7:$F$17824,H17,'📋 Despesas'!$C$7:$C$17824,$B$3,'📋 Despesas'!$D$7:$D$17824,$C$3)</f>
        <v>600</v>
      </c>
      <c r="K17" s="16">
        <f t="shared" si="1"/>
        <v>600</v>
      </c>
      <c r="L17" s="208">
        <f t="shared" si="2"/>
        <v>0.12428561663272979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53"/>
      <c r="G18" s="555"/>
      <c r="H18" s="15" t="str">
        <f>'📈Det. Resultados'!B23</f>
        <v>TAXAS</v>
      </c>
      <c r="I18" s="317">
        <f>SUMIFS('📋 Despesas'!$J$7:$J$17824,'📋 Despesas'!$F$7:$F$17824,H18,'📋 Despesas'!$C$7:$C$17824,$B$3,'📋 Despesas'!$D$7:$D$17824,$C$3)</f>
        <v>0</v>
      </c>
      <c r="J18" s="209">
        <f>SUMIFS('📋 Despesas'!$K$7:$K$17824,'📋 Despesas'!$F$7:$F$17824,H18,'📋 Despesas'!$C$7:$C$17824,$B$3,'📋 Despesas'!$D$7:$D$17824,$C$3)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Despesas'!$J$7:$J$18165,'📋 Despesas'!$H$7:$H$18165,B19,'📋 Despesas'!$C$7:$C$18165,$B$3,'📋 Despesas'!$D$7:$D$18165,$C$3)</f>
        <v>3600</v>
      </c>
      <c r="D19" s="30">
        <f t="shared" ref="D19:D21" si="3">C19/$C$22</f>
        <v>0.74571369979637869</v>
      </c>
      <c r="E19" s="365"/>
      <c r="F19" s="553"/>
      <c r="G19" s="555"/>
      <c r="H19" s="15">
        <f>'📈Det. Resultados'!B24</f>
        <v>0</v>
      </c>
      <c r="I19" s="317">
        <f>SUMIFS('📋 Despesas'!$J$7:$J$17824,'📋 Despesas'!$F$7:$F$17824,H19,'📋 Despesas'!$C$7:$C$17824,$B$3,'📋 Despesas'!$D$7:$D$17824,$C$3)</f>
        <v>0</v>
      </c>
      <c r="J19" s="209">
        <f>SUMIFS('📋 Despesas'!$K$7:$K$17824,'📋 Despesas'!$F$7:$F$17824,H19,'📋 Despesas'!$C$7:$C$17824,$B$3,'📋 Despesas'!$D$7:$D$17824,$C$3)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Despesas'!$J$7:$J$18165,'📋 Despesas'!$H$7:$H$18165,B20,'📋 Despesas'!$C$7:$C$18165,$B$3,'📋 Despesas'!$D$7:$D$18165,$C$3)</f>
        <v>1227.5899999999999</v>
      </c>
      <c r="D20" s="31">
        <f t="shared" si="3"/>
        <v>0.25428630020362125</v>
      </c>
      <c r="E20" s="365"/>
      <c r="F20" s="553"/>
      <c r="G20" s="555"/>
      <c r="H20" s="15">
        <f>'📈Det. Resultados'!B25</f>
        <v>0</v>
      </c>
      <c r="I20" s="317">
        <f>SUMIFS('📋 Despesas'!$J$7:$J$17824,'📋 Despesas'!$F$7:$F$17824,H20,'📋 Despesas'!$C$7:$C$17824,$B$3,'📋 Despesas'!$D$7:$D$17824,$C$3)</f>
        <v>0</v>
      </c>
      <c r="J20" s="209">
        <f>SUMIFS('📋 Despesas'!$K$7:$K$17824,'📋 Despesas'!$F$7:$F$17824,H20,'📋 Despesas'!$C$7:$C$17824,$B$3,'📋 Despesas'!$D$7:$D$17824,$C$3)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Despesas'!$J$7:$J$18165,'📋 Despesas'!$H$7:$H$18165,B21,'📋 Despesas'!$C$7:$C$18165,$B$3,'📋 Despesas'!$D$7:$D$18165,$C$3)</f>
        <v>0</v>
      </c>
      <c r="D21" s="31">
        <f t="shared" si="3"/>
        <v>0</v>
      </c>
      <c r="E21" s="365"/>
      <c r="F21" s="553"/>
      <c r="G21" s="555"/>
      <c r="H21" s="15">
        <f>'📈Det. Resultados'!B26</f>
        <v>0</v>
      </c>
      <c r="I21" s="317">
        <f>SUMIFS('📋 Despesas'!$J$7:$J$17824,'📋 Despesas'!$F$7:$F$17824,H21,'📋 Despesas'!$C$7:$C$17824,$B$3,'📋 Despesas'!$D$7:$D$17824,$C$3)</f>
        <v>0</v>
      </c>
      <c r="J21" s="209">
        <f>SUMIFS('📋 Despesas'!$K$7:$K$17824,'📋 Despesas'!$F$7:$F$17824,H21,'📋 Despesas'!$C$7:$C$17824,$B$3,'📋 Despesas'!$D$7:$D$17824,$C$3)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4827.59</v>
      </c>
      <c r="D22" s="419">
        <f t="shared" ref="D22" si="4">SUM(D19:D21)</f>
        <v>1</v>
      </c>
      <c r="E22" s="32"/>
      <c r="F22" s="553"/>
      <c r="G22" s="556"/>
      <c r="H22" s="15">
        <f>'📈Det. Resultados'!B27</f>
        <v>0</v>
      </c>
      <c r="I22" s="317">
        <f>SUMIFS('📋 Despesas'!$J$7:$J$17824,'📋 Despesas'!$F$7:$F$17824,H22,'📋 Despesas'!$C$7:$C$17824,$B$3,'📋 Despesas'!$D$7:$D$17824,$C$3)</f>
        <v>0</v>
      </c>
      <c r="J22" s="209">
        <f>SUMIFS('📋 Despesas'!$K$7:$K$17824,'📋 Despesas'!$F$7:$F$17824,H22,'📋 Despesas'!$C$7:$C$17824,$B$3,'📋 Despesas'!$D$7:$D$17824,$C$3)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197</v>
      </c>
      <c r="C23" s="415">
        <f>C19+C21</f>
        <v>3600</v>
      </c>
      <c r="D23" s="416">
        <f>C23/C7</f>
        <v>0.34285714285714286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9" priority="6" operator="greaterThan">
      <formula>0.35</formula>
    </cfRule>
    <cfRule type="cellIs" dxfId="38" priority="7" operator="lessThan">
      <formula>0.35</formula>
    </cfRule>
  </conditionalFormatting>
  <conditionalFormatting sqref="C14">
    <cfRule type="cellIs" dxfId="37" priority="8" operator="greaterThan">
      <formula>0.33</formula>
    </cfRule>
    <cfRule type="cellIs" dxfId="36" priority="9" operator="lessThanOrEqual">
      <formula>0.33</formula>
    </cfRule>
  </conditionalFormatting>
  <conditionalFormatting sqref="C17">
    <cfRule type="cellIs" dxfId="35" priority="10" operator="lessThan">
      <formula>0.1</formula>
    </cfRule>
    <cfRule type="cellIs" dxfId="34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I335"/>
  <sheetViews>
    <sheetView showGridLines="0" zoomScale="90" zoomScaleNormal="90" workbookViewId="0">
      <pane ySplit="6" topLeftCell="A7" activePane="bottomLeft" state="frozen"/>
      <selection activeCell="H1" sqref="H1"/>
      <selection pane="bottomLeft" activeCell="I17" sqref="I17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200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47" t="s">
        <v>37</v>
      </c>
      <c r="F3" s="548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ERRO</v>
      </c>
      <c r="M3" s="321">
        <f ca="1">SUMIFS(M:M,O:O,H3)</f>
        <v>0</v>
      </c>
      <c r="N3" s="434" t="s">
        <v>198</v>
      </c>
      <c r="O3" s="435">
        <v>46174</v>
      </c>
      <c r="P3" s="436">
        <f>SUMIFS(K7:K8182,'📋 Despesas'!N7:N8182,"&gt;="&amp;O3,'📋 Despesas'!N7:N8182,"&lt;="&amp;O4)</f>
        <v>5133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SUMIFS($J7:$J17824,$O7:$O17824,$H4)</f>
        <v>5943.0300000000007</v>
      </c>
      <c r="K4" s="333">
        <f ca="1">SUMIFS(K:K,O:O,H4)</f>
        <v>5133</v>
      </c>
      <c r="L4" s="334" t="str">
        <f ca="1">IF(M4=(SUMIFS('📈Det. Resultados'!$7:$7,'📈Det. Resultados'!$3:$3,H4)),"OK","ERRO")</f>
        <v>ERRO</v>
      </c>
      <c r="M4" s="335">
        <f ca="1">SUMIFS(M:M,O:O,H4)</f>
        <v>5943.0300000000007</v>
      </c>
      <c r="N4" s="434" t="s">
        <v>199</v>
      </c>
      <c r="O4" s="435">
        <v>46203</v>
      </c>
      <c r="P4" s="433"/>
      <c r="Q4" s="36"/>
      <c r="R4" s="191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5943.0300000000007</v>
      </c>
      <c r="K5" s="331">
        <f>SUM(K7:K17824)</f>
        <v>9323</v>
      </c>
      <c r="L5" s="328"/>
      <c r="M5" s="330">
        <f>SUBTOTAL(9,J7:J17824)</f>
        <v>10133.030000000001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217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202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220">
        <v>46113</v>
      </c>
      <c r="C7" s="46" t="str">
        <f t="shared" ref="C7:C66" si="0">IF(B7&lt;&gt;"",PROPER(TEXT(B7,"mmmm")),"")</f>
        <v>Abril</v>
      </c>
      <c r="D7" t="str">
        <f t="shared" ref="D7:D66" si="1">IF(B7&lt;&gt;"",TEXT(B7,"aaaa"),"")</f>
        <v>2026</v>
      </c>
      <c r="E7" s="407" t="s">
        <v>221</v>
      </c>
      <c r="F7" s="188" t="s">
        <v>211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8" si="2">J7</f>
        <v>202.44</v>
      </c>
      <c r="N7" s="220">
        <v>46184</v>
      </c>
      <c r="O7" s="315" t="str">
        <f t="shared" ref="O7:O66" si="3">IF(N7&lt;&gt;"",TEXT(N7,"mmmm"),"")</f>
        <v>junho</v>
      </c>
      <c r="P7" t="str">
        <f t="shared" ref="P7:P66" si="4">IF(N7&lt;&gt;"",TEXT(N7,"aaaa"),"")</f>
        <v>2026</v>
      </c>
      <c r="Q7" s="46" t="str">
        <f t="shared" ref="Q7:Q67" si="5">IF(J7=0,"",IF(K7=0,"PAGO","A PAGAR"))</f>
        <v>PAGO</v>
      </c>
      <c r="R7" s="218" t="str">
        <f t="shared" ref="R7:R35" ca="1" si="6">IF(Q7="PAGO", "✓ OK", IF(Q7="A PAGAR", IF(N7&lt;TODAY(), "⚠ EM ATRASO", "EM DIA"), ""))</f>
        <v>✓ OK</v>
      </c>
    </row>
    <row r="8" spans="1:35" ht="15" customHeight="1">
      <c r="B8" s="220">
        <v>46113</v>
      </c>
      <c r="C8" s="46" t="str">
        <f t="shared" ref="C8" si="7">IF(B8&lt;&gt;"",PROPER(TEXT(B8,"mmmm")),"")</f>
        <v>Abril</v>
      </c>
      <c r="D8" t="str">
        <f t="shared" ref="D8" si="8">IF(B8&lt;&gt;"",TEXT(B8,"aaaa"),"")</f>
        <v>2026</v>
      </c>
      <c r="E8" s="407" t="s">
        <v>24</v>
      </c>
      <c r="F8" s="188" t="s">
        <v>24</v>
      </c>
      <c r="G8" s="407" t="s">
        <v>216</v>
      </c>
      <c r="H8" s="407" t="s">
        <v>29</v>
      </c>
      <c r="I8" s="406">
        <v>1513</v>
      </c>
      <c r="J8" s="406">
        <f t="shared" ref="J8" si="9">I8</f>
        <v>1513</v>
      </c>
      <c r="K8" s="404">
        <f t="shared" ref="K8" si="10">J8</f>
        <v>1513</v>
      </c>
      <c r="L8" s="46" t="s">
        <v>28</v>
      </c>
      <c r="M8" s="242">
        <f t="shared" ref="M8" si="11">J8</f>
        <v>1513</v>
      </c>
      <c r="N8" s="220">
        <v>46178</v>
      </c>
      <c r="O8" s="315" t="str">
        <f t="shared" ref="O8" si="12">IF(N8&lt;&gt;"",TEXT(N8,"mmmm"),"")</f>
        <v>junho</v>
      </c>
      <c r="P8" t="str">
        <f t="shared" ref="P8" si="13">IF(N8&lt;&gt;"",TEXT(N8,"aaaa"),"")</f>
        <v>2026</v>
      </c>
      <c r="Q8" s="46" t="str">
        <f t="shared" ref="Q8" si="14">IF(J8=0,"",IF(K8=0,"PAGO","A PAGAR"))</f>
        <v>A PAGAR</v>
      </c>
      <c r="R8" s="218" t="str">
        <f t="shared" ca="1" si="6"/>
        <v>⚠ EM ATRASO</v>
      </c>
    </row>
    <row r="9" spans="1:35" ht="15" customHeight="1">
      <c r="B9" s="220">
        <v>46143</v>
      </c>
      <c r="C9" s="46" t="str">
        <f t="shared" si="0"/>
        <v>Maio</v>
      </c>
      <c r="D9" t="str">
        <f t="shared" si="1"/>
        <v>2026</v>
      </c>
      <c r="E9" s="407" t="s">
        <v>221</v>
      </c>
      <c r="F9" s="188" t="s">
        <v>211</v>
      </c>
      <c r="G9" s="407" t="s">
        <v>55</v>
      </c>
      <c r="H9" s="407" t="s">
        <v>32</v>
      </c>
      <c r="I9" s="406">
        <v>330</v>
      </c>
      <c r="J9" s="406">
        <f t="shared" ref="J9:K67" si="15">I9</f>
        <v>330</v>
      </c>
      <c r="K9" s="404">
        <v>0</v>
      </c>
      <c r="L9" s="46" t="s">
        <v>28</v>
      </c>
      <c r="M9" s="242">
        <f t="shared" si="2"/>
        <v>330</v>
      </c>
      <c r="N9" s="220">
        <v>46192</v>
      </c>
      <c r="O9" s="315" t="str">
        <f t="shared" si="3"/>
        <v>junho</v>
      </c>
      <c r="P9" t="str">
        <f t="shared" si="4"/>
        <v>2026</v>
      </c>
      <c r="Q9" s="46" t="str">
        <f t="shared" si="5"/>
        <v>PAGO</v>
      </c>
      <c r="R9" s="218" t="str">
        <f t="shared" ca="1" si="6"/>
        <v>✓ OK</v>
      </c>
    </row>
    <row r="10" spans="1:35" ht="15" customHeight="1">
      <c r="B10" s="220">
        <v>46143</v>
      </c>
      <c r="C10" s="46" t="str">
        <f t="shared" si="0"/>
        <v>Maio</v>
      </c>
      <c r="D10" t="str">
        <f t="shared" si="1"/>
        <v>2026</v>
      </c>
      <c r="E10" s="407" t="s">
        <v>24</v>
      </c>
      <c r="F10" s="188" t="s">
        <v>24</v>
      </c>
      <c r="G10" s="407" t="s">
        <v>216</v>
      </c>
      <c r="H10" s="407" t="s">
        <v>29</v>
      </c>
      <c r="I10" s="406">
        <f>3000-330</f>
        <v>2670</v>
      </c>
      <c r="J10" s="406">
        <f t="shared" si="15"/>
        <v>2670</v>
      </c>
      <c r="K10" s="404">
        <f t="shared" si="15"/>
        <v>2670</v>
      </c>
      <c r="L10" s="46" t="s">
        <v>28</v>
      </c>
      <c r="M10" s="242">
        <f t="shared" si="2"/>
        <v>2670</v>
      </c>
      <c r="N10" s="220">
        <v>46178</v>
      </c>
      <c r="O10" s="315" t="str">
        <f t="shared" si="3"/>
        <v>junho</v>
      </c>
      <c r="P10" t="str">
        <f t="shared" si="4"/>
        <v>2026</v>
      </c>
      <c r="Q10" s="46" t="str">
        <f t="shared" si="5"/>
        <v>A PAGAR</v>
      </c>
      <c r="R10" s="218" t="str">
        <f t="shared" ca="1" si="6"/>
        <v>⚠ EM ATRASO</v>
      </c>
    </row>
    <row r="11" spans="1:35" ht="15" customHeight="1">
      <c r="B11" s="408">
        <v>46204</v>
      </c>
      <c r="C11" s="46" t="str">
        <f t="shared" si="0"/>
        <v>Julho</v>
      </c>
      <c r="D11" t="str">
        <f t="shared" si="1"/>
        <v>2026</v>
      </c>
      <c r="E11" s="407" t="s">
        <v>54</v>
      </c>
      <c r="F11" s="188" t="s">
        <v>54</v>
      </c>
      <c r="G11" s="407" t="s">
        <v>222</v>
      </c>
      <c r="H11" s="407" t="s">
        <v>29</v>
      </c>
      <c r="I11" s="406">
        <v>590</v>
      </c>
      <c r="J11" s="406">
        <f t="shared" si="15"/>
        <v>590</v>
      </c>
      <c r="K11" s="404">
        <f t="shared" si="15"/>
        <v>590</v>
      </c>
      <c r="L11" s="46" t="s">
        <v>28</v>
      </c>
      <c r="M11" s="242">
        <f t="shared" si="2"/>
        <v>590</v>
      </c>
      <c r="N11" s="220">
        <v>46213</v>
      </c>
      <c r="O11" s="315" t="str">
        <f t="shared" si="3"/>
        <v>julho</v>
      </c>
      <c r="P11" t="str">
        <f t="shared" si="4"/>
        <v>2026</v>
      </c>
      <c r="Q11" s="46" t="str">
        <f t="shared" si="5"/>
        <v>A PAGAR</v>
      </c>
      <c r="R11" s="218" t="str">
        <f t="shared" ca="1" si="6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220</v>
      </c>
      <c r="F12" s="188" t="s">
        <v>54</v>
      </c>
      <c r="G12" s="407" t="s">
        <v>222</v>
      </c>
      <c r="H12" s="407" t="s">
        <v>30</v>
      </c>
      <c r="I12" s="406">
        <v>950</v>
      </c>
      <c r="J12" s="406">
        <f t="shared" si="15"/>
        <v>950</v>
      </c>
      <c r="K12" s="404">
        <f t="shared" si="15"/>
        <v>950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Q12" s="46" t="str">
        <f t="shared" si="5"/>
        <v>A PAGAR</v>
      </c>
      <c r="R12" s="218" t="str">
        <f t="shared" ca="1" si="6"/>
        <v>EM DIA</v>
      </c>
    </row>
    <row r="13" spans="1:35" ht="15" customHeight="1">
      <c r="B13" s="220">
        <v>46187</v>
      </c>
      <c r="C13" s="46" t="str">
        <f t="shared" si="0"/>
        <v>Junho</v>
      </c>
      <c r="D13" t="str">
        <f t="shared" si="1"/>
        <v>2026</v>
      </c>
      <c r="E13" s="407" t="s">
        <v>229</v>
      </c>
      <c r="F13" s="188" t="s">
        <v>225</v>
      </c>
      <c r="G13" s="407" t="s">
        <v>226</v>
      </c>
      <c r="H13" s="407" t="s">
        <v>30</v>
      </c>
      <c r="I13" s="406">
        <v>106</v>
      </c>
      <c r="J13" s="406">
        <f t="shared" si="15"/>
        <v>106</v>
      </c>
      <c r="K13" s="404">
        <v>0</v>
      </c>
      <c r="L13" s="46" t="s">
        <v>28</v>
      </c>
      <c r="M13" s="242">
        <f t="shared" si="2"/>
        <v>106</v>
      </c>
      <c r="N13" s="220">
        <v>46187</v>
      </c>
      <c r="O13" s="315" t="str">
        <f t="shared" si="3"/>
        <v>junho</v>
      </c>
      <c r="P13" t="str">
        <f t="shared" si="4"/>
        <v>2026</v>
      </c>
      <c r="Q13" s="46" t="str">
        <f t="shared" si="5"/>
        <v>PAGO</v>
      </c>
      <c r="R13" s="218" t="str">
        <f t="shared" ca="1" si="6"/>
        <v>✓ OK</v>
      </c>
    </row>
    <row r="14" spans="1:35" ht="15" customHeight="1">
      <c r="B14" s="220">
        <v>46187</v>
      </c>
      <c r="C14" s="46" t="str">
        <f t="shared" si="0"/>
        <v>Junho</v>
      </c>
      <c r="D14" t="str">
        <f t="shared" si="1"/>
        <v>2026</v>
      </c>
      <c r="E14" s="407" t="s">
        <v>227</v>
      </c>
      <c r="F14" s="188" t="s">
        <v>225</v>
      </c>
      <c r="G14" s="407" t="s">
        <v>228</v>
      </c>
      <c r="H14" s="407" t="s">
        <v>30</v>
      </c>
      <c r="I14" s="406">
        <v>171.59</v>
      </c>
      <c r="J14" s="406">
        <f t="shared" si="15"/>
        <v>171.59</v>
      </c>
      <c r="K14" s="404">
        <v>0</v>
      </c>
      <c r="L14" s="46" t="s">
        <v>28</v>
      </c>
      <c r="M14" s="242">
        <f t="shared" si="2"/>
        <v>171.59</v>
      </c>
      <c r="N14" s="220">
        <v>46187</v>
      </c>
      <c r="O14" s="315" t="str">
        <f t="shared" si="3"/>
        <v>junho</v>
      </c>
      <c r="P14" t="str">
        <f t="shared" si="4"/>
        <v>2026</v>
      </c>
      <c r="Q14" s="46" t="str">
        <f t="shared" si="5"/>
        <v>PAGO</v>
      </c>
      <c r="R14" s="218" t="str">
        <f t="shared" ca="1" si="6"/>
        <v>✓ OK</v>
      </c>
    </row>
    <row r="15" spans="1:35" ht="15" customHeight="1">
      <c r="B15" s="408">
        <v>46174</v>
      </c>
      <c r="C15" s="46" t="str">
        <f t="shared" si="0"/>
        <v>Junho</v>
      </c>
      <c r="D15" t="str">
        <f t="shared" si="1"/>
        <v>2026</v>
      </c>
      <c r="E15" s="407" t="s">
        <v>24</v>
      </c>
      <c r="F15" s="188" t="s">
        <v>24</v>
      </c>
      <c r="G15" s="407" t="s">
        <v>216</v>
      </c>
      <c r="H15" s="407" t="s">
        <v>29</v>
      </c>
      <c r="I15" s="406">
        <v>2670</v>
      </c>
      <c r="J15" s="406">
        <f t="shared" si="15"/>
        <v>2670</v>
      </c>
      <c r="K15" s="404">
        <f t="shared" si="15"/>
        <v>2670</v>
      </c>
      <c r="L15" s="46" t="s">
        <v>28</v>
      </c>
      <c r="M15" s="242">
        <f t="shared" si="2"/>
        <v>2670</v>
      </c>
      <c r="N15" s="220">
        <v>46208</v>
      </c>
      <c r="O15" s="315" t="str">
        <f t="shared" si="3"/>
        <v>julho</v>
      </c>
      <c r="P15" t="str">
        <f t="shared" si="4"/>
        <v>2026</v>
      </c>
      <c r="Q15" s="46" t="str">
        <f t="shared" si="5"/>
        <v>A PAGAR</v>
      </c>
      <c r="R15" s="218" t="str">
        <f t="shared" ca="1" si="6"/>
        <v>EM DIA</v>
      </c>
    </row>
    <row r="16" spans="1:35" ht="15" customHeight="1">
      <c r="B16" s="220">
        <v>46174</v>
      </c>
      <c r="C16" s="46" t="str">
        <f t="shared" si="0"/>
        <v>Junho</v>
      </c>
      <c r="D16" t="str">
        <f t="shared" si="1"/>
        <v>2026</v>
      </c>
      <c r="E16" s="407" t="s">
        <v>221</v>
      </c>
      <c r="F16" s="188" t="s">
        <v>211</v>
      </c>
      <c r="G16" s="407" t="s">
        <v>55</v>
      </c>
      <c r="H16" s="407" t="s">
        <v>29</v>
      </c>
      <c r="I16" s="406">
        <v>330</v>
      </c>
      <c r="J16" s="406">
        <f t="shared" si="15"/>
        <v>330</v>
      </c>
      <c r="K16" s="404">
        <f t="shared" si="15"/>
        <v>330</v>
      </c>
      <c r="L16" s="46" t="s">
        <v>28</v>
      </c>
      <c r="M16" s="242">
        <f t="shared" si="2"/>
        <v>330</v>
      </c>
      <c r="N16" s="220">
        <v>46223</v>
      </c>
      <c r="O16" s="315" t="str">
        <f t="shared" si="3"/>
        <v>julho</v>
      </c>
      <c r="P16" t="str">
        <f t="shared" si="4"/>
        <v>2026</v>
      </c>
      <c r="Q16" s="46" t="str">
        <f t="shared" si="5"/>
        <v>A PAGAR</v>
      </c>
      <c r="R16" s="218" t="str">
        <f t="shared" ca="1" si="6"/>
        <v>EM DIA</v>
      </c>
    </row>
    <row r="17" spans="2:18" ht="15" customHeight="1">
      <c r="B17" s="220">
        <v>46203</v>
      </c>
      <c r="C17" s="46" t="str">
        <f t="shared" si="0"/>
        <v>Junho</v>
      </c>
      <c r="D17" t="str">
        <f t="shared" si="1"/>
        <v>2026</v>
      </c>
      <c r="E17" s="407" t="s">
        <v>230</v>
      </c>
      <c r="F17" s="188" t="s">
        <v>230</v>
      </c>
      <c r="G17" s="407" t="s">
        <v>55</v>
      </c>
      <c r="H17" s="407" t="s">
        <v>29</v>
      </c>
      <c r="I17" s="406">
        <v>600</v>
      </c>
      <c r="J17" s="406">
        <f t="shared" si="15"/>
        <v>600</v>
      </c>
      <c r="K17" s="404">
        <f t="shared" si="15"/>
        <v>600</v>
      </c>
      <c r="L17" s="46" t="s">
        <v>28</v>
      </c>
      <c r="M17" s="242">
        <f t="shared" si="2"/>
        <v>600</v>
      </c>
      <c r="N17" s="220">
        <v>46223</v>
      </c>
      <c r="O17" s="315" t="str">
        <f t="shared" si="3"/>
        <v>julho</v>
      </c>
      <c r="P17" t="str">
        <f t="shared" si="4"/>
        <v>2026</v>
      </c>
      <c r="Q17" s="46" t="str">
        <f t="shared" si="5"/>
        <v>A PAGAR</v>
      </c>
      <c r="R17" s="218" t="str">
        <f t="shared" ca="1" si="6"/>
        <v>EM DIA</v>
      </c>
    </row>
    <row r="18" spans="2:18" ht="15" customHeight="1">
      <c r="C18" s="46" t="str">
        <f t="shared" si="0"/>
        <v/>
      </c>
      <c r="D18" t="str">
        <f t="shared" si="1"/>
        <v/>
      </c>
      <c r="F18" s="188"/>
      <c r="J18" s="406">
        <f t="shared" si="15"/>
        <v>0</v>
      </c>
      <c r="K18" s="404">
        <f t="shared" si="15"/>
        <v>0</v>
      </c>
      <c r="L18" s="46"/>
      <c r="M18" s="242">
        <f t="shared" si="2"/>
        <v>0</v>
      </c>
      <c r="O18" s="315" t="str">
        <f t="shared" si="3"/>
        <v/>
      </c>
      <c r="P18" t="str">
        <f t="shared" si="4"/>
        <v/>
      </c>
      <c r="Q18" s="46" t="str">
        <f t="shared" si="5"/>
        <v/>
      </c>
      <c r="R18" s="218" t="str">
        <f t="shared" ca="1" si="6"/>
        <v/>
      </c>
    </row>
    <row r="19" spans="2:18" ht="15" customHeight="1">
      <c r="C19" s="46" t="str">
        <f t="shared" si="0"/>
        <v/>
      </c>
      <c r="D19" t="str">
        <f t="shared" si="1"/>
        <v/>
      </c>
      <c r="F19" s="188"/>
      <c r="J19" s="406">
        <f t="shared" si="15"/>
        <v>0</v>
      </c>
      <c r="K19" s="404">
        <f t="shared" si="15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Q19" s="46" t="str">
        <f t="shared" si="5"/>
        <v/>
      </c>
      <c r="R19" s="218" t="str">
        <f t="shared" ca="1" si="6"/>
        <v/>
      </c>
    </row>
    <row r="20" spans="2:18" ht="15" customHeight="1">
      <c r="C20" s="46" t="str">
        <f t="shared" si="0"/>
        <v/>
      </c>
      <c r="D20" t="str">
        <f t="shared" si="1"/>
        <v/>
      </c>
      <c r="F20" s="188"/>
      <c r="J20" s="406">
        <f t="shared" si="15"/>
        <v>0</v>
      </c>
      <c r="K20" s="404">
        <f t="shared" si="15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Q20" s="46" t="str">
        <f t="shared" si="5"/>
        <v/>
      </c>
      <c r="R20" s="218" t="str">
        <f t="shared" ca="1" si="6"/>
        <v/>
      </c>
    </row>
    <row r="21" spans="2:18" ht="15" customHeight="1">
      <c r="C21" s="46" t="str">
        <f t="shared" si="0"/>
        <v/>
      </c>
      <c r="D21" t="str">
        <f t="shared" si="1"/>
        <v/>
      </c>
      <c r="F21" s="188"/>
      <c r="J21" s="406">
        <f t="shared" si="15"/>
        <v>0</v>
      </c>
      <c r="K21" s="404">
        <f t="shared" si="15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Q21" s="46" t="str">
        <f t="shared" si="5"/>
        <v/>
      </c>
      <c r="R21" s="218" t="str">
        <f t="shared" ca="1" si="6"/>
        <v/>
      </c>
    </row>
    <row r="22" spans="2:18" ht="15" customHeight="1">
      <c r="C22" s="46" t="str">
        <f t="shared" si="0"/>
        <v/>
      </c>
      <c r="D22" t="str">
        <f t="shared" si="1"/>
        <v/>
      </c>
      <c r="F22" s="188"/>
      <c r="J22" s="406">
        <f t="shared" si="15"/>
        <v>0</v>
      </c>
      <c r="K22" s="404">
        <f t="shared" si="15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Q22" s="46" t="str">
        <f t="shared" si="5"/>
        <v/>
      </c>
      <c r="R22" s="218" t="str">
        <f t="shared" ca="1" si="6"/>
        <v/>
      </c>
    </row>
    <row r="23" spans="2:18" ht="15" customHeight="1">
      <c r="C23" s="46" t="str">
        <f t="shared" si="0"/>
        <v/>
      </c>
      <c r="D23" t="str">
        <f t="shared" si="1"/>
        <v/>
      </c>
      <c r="F23" s="188"/>
      <c r="J23" s="406">
        <f t="shared" si="15"/>
        <v>0</v>
      </c>
      <c r="K23" s="404">
        <f t="shared" si="15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Q23" s="46" t="str">
        <f t="shared" si="5"/>
        <v/>
      </c>
      <c r="R23" s="218" t="str">
        <f t="shared" ca="1" si="6"/>
        <v/>
      </c>
    </row>
    <row r="24" spans="2:18" ht="15" customHeight="1">
      <c r="C24" s="46" t="str">
        <f t="shared" si="0"/>
        <v/>
      </c>
      <c r="D24" t="str">
        <f t="shared" si="1"/>
        <v/>
      </c>
      <c r="F24" s="188"/>
      <c r="J24" s="406">
        <f t="shared" si="15"/>
        <v>0</v>
      </c>
      <c r="K24" s="404">
        <f t="shared" si="15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Q24" s="46" t="str">
        <f t="shared" si="5"/>
        <v/>
      </c>
      <c r="R24" s="218" t="str">
        <f t="shared" ca="1" si="6"/>
        <v/>
      </c>
    </row>
    <row r="25" spans="2:18" ht="15" customHeight="1">
      <c r="C25" s="46" t="str">
        <f t="shared" si="0"/>
        <v/>
      </c>
      <c r="D25" t="str">
        <f t="shared" si="1"/>
        <v/>
      </c>
      <c r="F25" s="188"/>
      <c r="J25" s="406">
        <f t="shared" si="15"/>
        <v>0</v>
      </c>
      <c r="K25" s="404">
        <f t="shared" si="15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Q25" s="46" t="str">
        <f t="shared" si="5"/>
        <v/>
      </c>
      <c r="R25" s="218" t="str">
        <f t="shared" ca="1" si="6"/>
        <v/>
      </c>
    </row>
    <row r="26" spans="2:18" ht="15" customHeight="1">
      <c r="C26" s="46" t="str">
        <f t="shared" si="0"/>
        <v/>
      </c>
      <c r="D26" t="str">
        <f t="shared" si="1"/>
        <v/>
      </c>
      <c r="F26" s="188"/>
      <c r="J26" s="406">
        <f t="shared" si="15"/>
        <v>0</v>
      </c>
      <c r="K26" s="404">
        <f t="shared" si="15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Q26" s="46" t="str">
        <f t="shared" si="5"/>
        <v/>
      </c>
      <c r="R26" s="218" t="str">
        <f t="shared" ca="1" si="6"/>
        <v/>
      </c>
    </row>
    <row r="27" spans="2:18" ht="15" customHeight="1">
      <c r="C27" s="46" t="str">
        <f t="shared" si="0"/>
        <v/>
      </c>
      <c r="D27" t="str">
        <f t="shared" si="1"/>
        <v/>
      </c>
      <c r="F27" s="188"/>
      <c r="J27" s="406">
        <f t="shared" si="15"/>
        <v>0</v>
      </c>
      <c r="K27" s="404">
        <f t="shared" si="15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Q27" s="46" t="str">
        <f t="shared" si="5"/>
        <v/>
      </c>
      <c r="R27" s="218" t="str">
        <f t="shared" ca="1" si="6"/>
        <v/>
      </c>
    </row>
    <row r="28" spans="2:18" ht="15" customHeight="1">
      <c r="C28" s="46" t="str">
        <f t="shared" si="0"/>
        <v/>
      </c>
      <c r="D28" t="str">
        <f t="shared" si="1"/>
        <v/>
      </c>
      <c r="F28" s="188"/>
      <c r="J28" s="406">
        <f t="shared" si="15"/>
        <v>0</v>
      </c>
      <c r="K28" s="404">
        <f t="shared" si="15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Q28" s="46" t="str">
        <f t="shared" si="5"/>
        <v/>
      </c>
      <c r="R28" s="218" t="str">
        <f t="shared" ca="1" si="6"/>
        <v/>
      </c>
    </row>
    <row r="29" spans="2:18" ht="15" customHeight="1">
      <c r="C29" s="46" t="str">
        <f t="shared" si="0"/>
        <v/>
      </c>
      <c r="D29" t="str">
        <f t="shared" si="1"/>
        <v/>
      </c>
      <c r="F29" s="188"/>
      <c r="J29" s="406">
        <f t="shared" si="15"/>
        <v>0</v>
      </c>
      <c r="K29" s="404">
        <f t="shared" si="15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Q29" s="46" t="str">
        <f t="shared" si="5"/>
        <v/>
      </c>
      <c r="R29" s="218" t="str">
        <f t="shared" ca="1" si="6"/>
        <v/>
      </c>
    </row>
    <row r="30" spans="2:18" ht="15" customHeight="1">
      <c r="C30" s="46" t="str">
        <f t="shared" si="0"/>
        <v/>
      </c>
      <c r="D30" t="str">
        <f t="shared" si="1"/>
        <v/>
      </c>
      <c r="F30" s="188"/>
      <c r="J30" s="406">
        <f t="shared" si="15"/>
        <v>0</v>
      </c>
      <c r="K30" s="404">
        <f t="shared" si="15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Q30" s="46" t="str">
        <f t="shared" si="5"/>
        <v/>
      </c>
      <c r="R30" s="218" t="str">
        <f t="shared" ca="1" si="6"/>
        <v/>
      </c>
    </row>
    <row r="31" spans="2:18" ht="15" customHeight="1">
      <c r="C31" s="46" t="str">
        <f t="shared" si="0"/>
        <v/>
      </c>
      <c r="D31" t="str">
        <f t="shared" si="1"/>
        <v/>
      </c>
      <c r="F31" s="188"/>
      <c r="J31" s="406">
        <f t="shared" si="15"/>
        <v>0</v>
      </c>
      <c r="K31" s="404">
        <f t="shared" si="15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Q31" s="46" t="str">
        <f t="shared" si="5"/>
        <v/>
      </c>
      <c r="R31" s="218" t="str">
        <f t="shared" ca="1" si="6"/>
        <v/>
      </c>
    </row>
    <row r="32" spans="2:18" ht="15" customHeight="1">
      <c r="C32" s="46" t="str">
        <f t="shared" si="0"/>
        <v/>
      </c>
      <c r="D32" t="str">
        <f t="shared" si="1"/>
        <v/>
      </c>
      <c r="F32" s="188"/>
      <c r="J32" s="406">
        <f t="shared" si="15"/>
        <v>0</v>
      </c>
      <c r="K32" s="404">
        <f t="shared" si="15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Q32" s="46" t="str">
        <f t="shared" si="5"/>
        <v/>
      </c>
      <c r="R32" s="218" t="str">
        <f t="shared" ca="1" si="6"/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6">
        <f t="shared" si="15"/>
        <v>0</v>
      </c>
      <c r="K33" s="404">
        <f t="shared" si="15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Q33" s="46" t="str">
        <f t="shared" si="5"/>
        <v/>
      </c>
      <c r="R33" s="218" t="str">
        <f t="shared" ca="1" si="6"/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6">
        <f t="shared" si="15"/>
        <v>0</v>
      </c>
      <c r="K34" s="404">
        <f t="shared" si="15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Q34" s="46" t="str">
        <f t="shared" si="5"/>
        <v/>
      </c>
      <c r="R34" s="218" t="str">
        <f t="shared" ca="1" si="6"/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6">
        <f t="shared" si="15"/>
        <v>0</v>
      </c>
      <c r="K35" s="404">
        <f t="shared" si="15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Q35" s="46" t="str">
        <f t="shared" si="5"/>
        <v/>
      </c>
      <c r="R35" s="218" t="str">
        <f t="shared" ca="1" si="6"/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6">
        <f t="shared" si="15"/>
        <v>0</v>
      </c>
      <c r="K36" s="404">
        <f t="shared" si="15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Q36" s="46" t="str">
        <f t="shared" si="5"/>
        <v/>
      </c>
      <c r="R36" s="218" t="str">
        <f t="shared" ref="R36:R67" ca="1" si="16">IF(Q36="PAGO", "✓ OK", IF(Q36="A PAGAR", IF(N36&lt;TODAY(), "⚠ EM ATRASO", "EM DIA"), ""))</f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6">
        <f t="shared" si="15"/>
        <v>0</v>
      </c>
      <c r="K37" s="404">
        <f t="shared" si="15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Q37" s="46" t="str">
        <f t="shared" si="5"/>
        <v/>
      </c>
      <c r="R37" s="218" t="str">
        <f t="shared" ca="1" si="16"/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6">
        <f t="shared" si="15"/>
        <v>0</v>
      </c>
      <c r="K38" s="404">
        <f t="shared" si="15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Q38" s="46" t="str">
        <f t="shared" si="5"/>
        <v/>
      </c>
      <c r="R38" s="218" t="str">
        <f t="shared" ca="1" si="16"/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6">
        <f t="shared" si="15"/>
        <v>0</v>
      </c>
      <c r="K39" s="404">
        <f t="shared" si="15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Q39" s="46" t="str">
        <f t="shared" si="5"/>
        <v/>
      </c>
      <c r="R39" s="218" t="str">
        <f t="shared" ca="1" si="16"/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6">
        <f t="shared" si="15"/>
        <v>0</v>
      </c>
      <c r="K40" s="404">
        <f t="shared" si="15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Q40" s="46" t="str">
        <f t="shared" si="5"/>
        <v/>
      </c>
      <c r="R40" s="218" t="str">
        <f t="shared" ca="1" si="16"/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6">
        <f t="shared" si="15"/>
        <v>0</v>
      </c>
      <c r="K41" s="404">
        <f t="shared" si="15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Q41" s="46" t="str">
        <f t="shared" si="5"/>
        <v/>
      </c>
      <c r="R41" s="218" t="str">
        <f t="shared" ca="1" si="16"/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6">
        <f t="shared" si="15"/>
        <v>0</v>
      </c>
      <c r="K42" s="404">
        <f t="shared" si="15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Q42" s="46" t="str">
        <f t="shared" si="5"/>
        <v/>
      </c>
      <c r="R42" s="218" t="str">
        <f t="shared" ca="1" si="16"/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6">
        <f t="shared" si="15"/>
        <v>0</v>
      </c>
      <c r="K43" s="404">
        <f t="shared" si="15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Q43" s="46" t="str">
        <f t="shared" si="5"/>
        <v/>
      </c>
      <c r="R43" s="218" t="str">
        <f t="shared" ca="1" si="16"/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6">
        <f t="shared" si="15"/>
        <v>0</v>
      </c>
      <c r="K44" s="404">
        <f t="shared" si="15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Q44" s="46" t="str">
        <f t="shared" si="5"/>
        <v/>
      </c>
      <c r="R44" s="218" t="str">
        <f t="shared" ca="1" si="16"/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6">
        <f t="shared" si="15"/>
        <v>0</v>
      </c>
      <c r="K45" s="404">
        <f t="shared" si="15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Q45" s="46" t="str">
        <f t="shared" si="5"/>
        <v/>
      </c>
      <c r="R45" s="218" t="str">
        <f t="shared" ca="1" si="16"/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6">
        <f t="shared" si="15"/>
        <v>0</v>
      </c>
      <c r="K46" s="404">
        <f t="shared" si="15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Q46" s="46" t="str">
        <f t="shared" si="5"/>
        <v/>
      </c>
      <c r="R46" s="218" t="str">
        <f t="shared" ca="1" si="16"/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6">
        <f t="shared" si="15"/>
        <v>0</v>
      </c>
      <c r="K47" s="404">
        <f t="shared" si="15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Q47" s="46" t="str">
        <f t="shared" si="5"/>
        <v/>
      </c>
      <c r="R47" s="218" t="str">
        <f t="shared" ca="1" si="16"/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6">
        <f t="shared" si="15"/>
        <v>0</v>
      </c>
      <c r="K48" s="404">
        <f t="shared" si="15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Q48" s="46" t="str">
        <f t="shared" si="5"/>
        <v/>
      </c>
      <c r="R48" s="218" t="str">
        <f t="shared" ca="1" si="16"/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6">
        <f t="shared" si="15"/>
        <v>0</v>
      </c>
      <c r="K49" s="404">
        <f t="shared" si="15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Q49" s="46" t="str">
        <f t="shared" si="5"/>
        <v/>
      </c>
      <c r="R49" s="218" t="str">
        <f t="shared" ca="1" si="16"/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6">
        <f t="shared" si="15"/>
        <v>0</v>
      </c>
      <c r="K50" s="404">
        <f t="shared" si="15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Q50" s="46" t="str">
        <f t="shared" si="5"/>
        <v/>
      </c>
      <c r="R50" s="218" t="str">
        <f t="shared" ca="1" si="16"/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6">
        <f t="shared" si="15"/>
        <v>0</v>
      </c>
      <c r="K51" s="404">
        <f t="shared" si="15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Q51" s="46" t="str">
        <f t="shared" si="5"/>
        <v/>
      </c>
      <c r="R51" s="218" t="str">
        <f t="shared" ca="1" si="16"/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6">
        <f t="shared" si="15"/>
        <v>0</v>
      </c>
      <c r="K52" s="404">
        <f t="shared" si="15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Q52" s="46" t="str">
        <f t="shared" si="5"/>
        <v/>
      </c>
      <c r="R52" s="218" t="str">
        <f t="shared" ca="1" si="16"/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6">
        <f t="shared" si="15"/>
        <v>0</v>
      </c>
      <c r="K53" s="404">
        <f t="shared" si="15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Q53" s="46" t="str">
        <f t="shared" si="5"/>
        <v/>
      </c>
      <c r="R53" s="218" t="str">
        <f t="shared" ca="1" si="16"/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6">
        <f t="shared" si="15"/>
        <v>0</v>
      </c>
      <c r="K54" s="404">
        <f t="shared" si="15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Q54" s="46" t="str">
        <f t="shared" si="5"/>
        <v/>
      </c>
      <c r="R54" s="218" t="str">
        <f t="shared" ca="1" si="16"/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6">
        <f t="shared" si="15"/>
        <v>0</v>
      </c>
      <c r="K55" s="404">
        <f t="shared" si="15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Q55" s="46" t="str">
        <f t="shared" si="5"/>
        <v/>
      </c>
      <c r="R55" s="218" t="str">
        <f t="shared" ca="1" si="16"/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6">
        <f t="shared" si="15"/>
        <v>0</v>
      </c>
      <c r="K56" s="404">
        <f t="shared" si="15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Q56" s="46" t="str">
        <f t="shared" si="5"/>
        <v/>
      </c>
      <c r="R56" s="218" t="str">
        <f t="shared" ca="1" si="16"/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6">
        <f t="shared" si="15"/>
        <v>0</v>
      </c>
      <c r="K57" s="404">
        <f t="shared" si="15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Q57" s="46" t="str">
        <f t="shared" si="5"/>
        <v/>
      </c>
      <c r="R57" s="218" t="str">
        <f t="shared" ca="1" si="16"/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6">
        <f t="shared" si="15"/>
        <v>0</v>
      </c>
      <c r="K58" s="404">
        <f t="shared" si="15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Q58" s="46" t="str">
        <f t="shared" si="5"/>
        <v/>
      </c>
      <c r="R58" s="218" t="str">
        <f t="shared" ca="1" si="16"/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6">
        <f t="shared" si="15"/>
        <v>0</v>
      </c>
      <c r="K59" s="404">
        <f t="shared" si="15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Q59" s="46" t="str">
        <f t="shared" si="5"/>
        <v/>
      </c>
      <c r="R59" s="218" t="str">
        <f t="shared" ca="1" si="16"/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6">
        <f t="shared" si="15"/>
        <v>0</v>
      </c>
      <c r="K60" s="404">
        <f t="shared" si="15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Q60" s="46" t="str">
        <f t="shared" si="5"/>
        <v/>
      </c>
      <c r="R60" s="218" t="str">
        <f t="shared" ca="1" si="16"/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6">
        <f t="shared" si="15"/>
        <v>0</v>
      </c>
      <c r="K61" s="404">
        <f t="shared" si="15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Q61" s="46" t="str">
        <f t="shared" si="5"/>
        <v/>
      </c>
      <c r="R61" s="218" t="str">
        <f t="shared" ca="1" si="16"/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6">
        <f t="shared" si="15"/>
        <v>0</v>
      </c>
      <c r="K62" s="404">
        <f t="shared" si="15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Q62" s="46" t="str">
        <f t="shared" si="5"/>
        <v/>
      </c>
      <c r="R62" s="218" t="str">
        <f t="shared" ca="1" si="16"/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6">
        <f t="shared" si="15"/>
        <v>0</v>
      </c>
      <c r="K63" s="404">
        <f t="shared" si="15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Q63" s="46" t="str">
        <f t="shared" si="5"/>
        <v/>
      </c>
      <c r="R63" s="218" t="str">
        <f t="shared" ca="1" si="16"/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6">
        <f t="shared" si="15"/>
        <v>0</v>
      </c>
      <c r="K64" s="404">
        <f t="shared" si="15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Q64" s="46" t="str">
        <f t="shared" si="5"/>
        <v/>
      </c>
      <c r="R64" s="218" t="str">
        <f t="shared" ca="1" si="16"/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6">
        <f t="shared" si="15"/>
        <v>0</v>
      </c>
      <c r="K65" s="404">
        <f t="shared" si="15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Q65" s="46" t="str">
        <f t="shared" si="5"/>
        <v/>
      </c>
      <c r="R65" s="218" t="str">
        <f t="shared" ca="1" si="16"/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6">
        <f t="shared" si="15"/>
        <v>0</v>
      </c>
      <c r="K66" s="404">
        <f t="shared" si="15"/>
        <v>0</v>
      </c>
      <c r="L66" s="46"/>
      <c r="M66" s="242">
        <f t="shared" si="2"/>
        <v>0</v>
      </c>
      <c r="O66" s="315" t="str">
        <f t="shared" si="3"/>
        <v/>
      </c>
      <c r="P66" t="str">
        <f t="shared" si="4"/>
        <v/>
      </c>
      <c r="Q66" s="46" t="str">
        <f t="shared" si="5"/>
        <v/>
      </c>
      <c r="R66" s="218" t="str">
        <f t="shared" ca="1" si="16"/>
        <v/>
      </c>
    </row>
    <row r="67" spans="3:18" ht="15" customHeight="1">
      <c r="C67" s="46" t="str">
        <f t="shared" ref="C67:C130" si="17">IF(B67&lt;&gt;"",PROPER(TEXT(B67,"mmmm")),"")</f>
        <v/>
      </c>
      <c r="D67" t="str">
        <f t="shared" ref="D67:D130" si="18">IF(B67&lt;&gt;"",TEXT(B67,"aaaa"),"")</f>
        <v/>
      </c>
      <c r="F67" s="188"/>
      <c r="J67" s="406">
        <f t="shared" si="15"/>
        <v>0</v>
      </c>
      <c r="K67" s="404">
        <f t="shared" si="15"/>
        <v>0</v>
      </c>
      <c r="L67" s="46"/>
      <c r="M67" s="242">
        <f t="shared" si="2"/>
        <v>0</v>
      </c>
      <c r="O67" s="315" t="str">
        <f t="shared" ref="O67:O128" si="19">IF(N67&lt;&gt;"",TEXT(N67,"mmmm"),"")</f>
        <v/>
      </c>
      <c r="P67" t="str">
        <f t="shared" ref="P67:P130" si="20">IF(N67&lt;&gt;"",TEXT(N67,"aaaa"),"")</f>
        <v/>
      </c>
      <c r="Q67" s="46" t="str">
        <f t="shared" si="5"/>
        <v/>
      </c>
      <c r="R67" s="218" t="str">
        <f t="shared" ca="1" si="16"/>
        <v/>
      </c>
    </row>
    <row r="68" spans="3:18" ht="15" customHeight="1">
      <c r="C68" s="46" t="str">
        <f t="shared" si="17"/>
        <v/>
      </c>
      <c r="D68" t="str">
        <f t="shared" si="18"/>
        <v/>
      </c>
      <c r="F68" s="188"/>
      <c r="J68" s="406">
        <f t="shared" ref="J68:K124" si="21">I68</f>
        <v>0</v>
      </c>
      <c r="K68" s="404">
        <f t="shared" si="21"/>
        <v>0</v>
      </c>
      <c r="L68" s="46"/>
      <c r="M68" s="242">
        <f t="shared" si="2"/>
        <v>0</v>
      </c>
      <c r="O68" s="315" t="str">
        <f t="shared" si="19"/>
        <v/>
      </c>
      <c r="P68" t="str">
        <f t="shared" si="20"/>
        <v/>
      </c>
      <c r="Q68" s="46" t="str">
        <f t="shared" ref="Q68:Q131" si="22">IF(J68=0,"",IF(K68=0,"PAGO","A PAGAR"))</f>
        <v/>
      </c>
      <c r="R68" s="218" t="str">
        <f t="shared" ref="R68:R99" ca="1" si="23">IF(Q68="PAGO", "✓ OK", IF(Q68="A PAGAR", IF(N68&lt;TODAY(), "⚠ EM ATRASO", "EM DIA"), ""))</f>
        <v/>
      </c>
    </row>
    <row r="69" spans="3:18" ht="15" customHeight="1">
      <c r="C69" s="46" t="str">
        <f t="shared" si="17"/>
        <v/>
      </c>
      <c r="D69" t="str">
        <f t="shared" si="18"/>
        <v/>
      </c>
      <c r="F69" s="188"/>
      <c r="J69" s="406">
        <f t="shared" si="21"/>
        <v>0</v>
      </c>
      <c r="K69" s="404">
        <f t="shared" si="21"/>
        <v>0</v>
      </c>
      <c r="L69" s="46"/>
      <c r="M69" s="242">
        <f t="shared" ref="M69:M132" si="24">J69</f>
        <v>0</v>
      </c>
      <c r="O69" s="315" t="str">
        <f t="shared" si="19"/>
        <v/>
      </c>
      <c r="P69" t="str">
        <f t="shared" si="20"/>
        <v/>
      </c>
      <c r="Q69" s="46" t="str">
        <f t="shared" si="22"/>
        <v/>
      </c>
      <c r="R69" s="218" t="str">
        <f t="shared" ca="1" si="23"/>
        <v/>
      </c>
    </row>
    <row r="70" spans="3:18" ht="15" customHeight="1">
      <c r="C70" s="46" t="str">
        <f t="shared" si="17"/>
        <v/>
      </c>
      <c r="D70" t="str">
        <f t="shared" si="18"/>
        <v/>
      </c>
      <c r="F70" s="188"/>
      <c r="J70" s="406">
        <f t="shared" si="21"/>
        <v>0</v>
      </c>
      <c r="K70" s="404">
        <f t="shared" si="21"/>
        <v>0</v>
      </c>
      <c r="L70" s="46"/>
      <c r="M70" s="242">
        <f t="shared" si="24"/>
        <v>0</v>
      </c>
      <c r="O70" s="315" t="str">
        <f t="shared" si="19"/>
        <v/>
      </c>
      <c r="P70" t="str">
        <f t="shared" si="20"/>
        <v/>
      </c>
      <c r="Q70" s="46" t="str">
        <f t="shared" si="22"/>
        <v/>
      </c>
      <c r="R70" s="218" t="str">
        <f t="shared" ca="1" si="23"/>
        <v/>
      </c>
    </row>
    <row r="71" spans="3:18" ht="15" customHeight="1">
      <c r="C71" s="46" t="str">
        <f t="shared" si="17"/>
        <v/>
      </c>
      <c r="D71" t="str">
        <f t="shared" si="18"/>
        <v/>
      </c>
      <c r="F71" s="188"/>
      <c r="J71" s="406">
        <f t="shared" si="21"/>
        <v>0</v>
      </c>
      <c r="K71" s="404">
        <f t="shared" si="21"/>
        <v>0</v>
      </c>
      <c r="L71" s="46"/>
      <c r="M71" s="242">
        <f t="shared" si="24"/>
        <v>0</v>
      </c>
      <c r="O71" s="315" t="str">
        <f t="shared" si="19"/>
        <v/>
      </c>
      <c r="P71" t="str">
        <f t="shared" si="20"/>
        <v/>
      </c>
      <c r="Q71" s="46" t="str">
        <f t="shared" si="22"/>
        <v/>
      </c>
      <c r="R71" s="218" t="str">
        <f t="shared" ca="1" si="23"/>
        <v/>
      </c>
    </row>
    <row r="72" spans="3:18" ht="15" customHeight="1">
      <c r="C72" s="46" t="str">
        <f t="shared" si="17"/>
        <v/>
      </c>
      <c r="D72" t="str">
        <f t="shared" si="18"/>
        <v/>
      </c>
      <c r="F72" s="188"/>
      <c r="J72" s="406">
        <f t="shared" si="21"/>
        <v>0</v>
      </c>
      <c r="K72" s="404">
        <f t="shared" si="21"/>
        <v>0</v>
      </c>
      <c r="L72" s="46"/>
      <c r="M72" s="242">
        <f t="shared" si="24"/>
        <v>0</v>
      </c>
      <c r="O72" s="315" t="str">
        <f t="shared" si="19"/>
        <v/>
      </c>
      <c r="P72" t="str">
        <f t="shared" si="20"/>
        <v/>
      </c>
      <c r="Q72" s="46" t="str">
        <f t="shared" si="22"/>
        <v/>
      </c>
      <c r="R72" s="218" t="str">
        <f t="shared" ca="1" si="23"/>
        <v/>
      </c>
    </row>
    <row r="73" spans="3:18" ht="15" customHeight="1">
      <c r="C73" s="46" t="str">
        <f t="shared" si="17"/>
        <v/>
      </c>
      <c r="D73" t="str">
        <f t="shared" si="18"/>
        <v/>
      </c>
      <c r="F73" s="188"/>
      <c r="J73" s="406">
        <f t="shared" si="21"/>
        <v>0</v>
      </c>
      <c r="K73" s="404">
        <f t="shared" si="21"/>
        <v>0</v>
      </c>
      <c r="L73" s="46"/>
      <c r="M73" s="242">
        <f t="shared" si="24"/>
        <v>0</v>
      </c>
      <c r="O73" s="315" t="str">
        <f t="shared" si="19"/>
        <v/>
      </c>
      <c r="P73" t="str">
        <f t="shared" si="20"/>
        <v/>
      </c>
      <c r="Q73" s="46" t="str">
        <f t="shared" si="22"/>
        <v/>
      </c>
      <c r="R73" s="218" t="str">
        <f t="shared" ca="1" si="23"/>
        <v/>
      </c>
    </row>
    <row r="74" spans="3:18" ht="15" customHeight="1">
      <c r="C74" s="46" t="str">
        <f t="shared" si="17"/>
        <v/>
      </c>
      <c r="D74" t="str">
        <f t="shared" si="18"/>
        <v/>
      </c>
      <c r="F74" s="188"/>
      <c r="J74" s="406">
        <f t="shared" si="21"/>
        <v>0</v>
      </c>
      <c r="K74" s="404">
        <f t="shared" si="21"/>
        <v>0</v>
      </c>
      <c r="L74" s="46"/>
      <c r="M74" s="242">
        <f t="shared" si="24"/>
        <v>0</v>
      </c>
      <c r="O74" s="315" t="str">
        <f t="shared" si="19"/>
        <v/>
      </c>
      <c r="P74" t="str">
        <f t="shared" si="20"/>
        <v/>
      </c>
      <c r="Q74" s="46" t="str">
        <f t="shared" si="22"/>
        <v/>
      </c>
      <c r="R74" s="218" t="str">
        <f t="shared" ca="1" si="23"/>
        <v/>
      </c>
    </row>
    <row r="75" spans="3:18" ht="15" customHeight="1">
      <c r="C75" s="46" t="str">
        <f t="shared" si="17"/>
        <v/>
      </c>
      <c r="D75" t="str">
        <f t="shared" si="18"/>
        <v/>
      </c>
      <c r="F75" s="188"/>
      <c r="J75" s="406">
        <f t="shared" si="21"/>
        <v>0</v>
      </c>
      <c r="K75" s="404">
        <f t="shared" si="21"/>
        <v>0</v>
      </c>
      <c r="L75" s="46"/>
      <c r="M75" s="242">
        <f t="shared" si="24"/>
        <v>0</v>
      </c>
      <c r="O75" s="315" t="str">
        <f t="shared" si="19"/>
        <v/>
      </c>
      <c r="P75" t="str">
        <f t="shared" si="20"/>
        <v/>
      </c>
      <c r="Q75" s="46" t="str">
        <f t="shared" si="22"/>
        <v/>
      </c>
      <c r="R75" s="218" t="str">
        <f t="shared" ca="1" si="23"/>
        <v/>
      </c>
    </row>
    <row r="76" spans="3:18" ht="15" customHeight="1">
      <c r="C76" s="46" t="str">
        <f t="shared" si="17"/>
        <v/>
      </c>
      <c r="D76" t="str">
        <f t="shared" si="18"/>
        <v/>
      </c>
      <c r="F76" s="188"/>
      <c r="J76" s="406">
        <f t="shared" si="21"/>
        <v>0</v>
      </c>
      <c r="K76" s="404">
        <f t="shared" si="21"/>
        <v>0</v>
      </c>
      <c r="L76" s="46"/>
      <c r="M76" s="242">
        <f t="shared" si="24"/>
        <v>0</v>
      </c>
      <c r="O76" s="315" t="str">
        <f t="shared" si="19"/>
        <v/>
      </c>
      <c r="P76" t="str">
        <f t="shared" si="20"/>
        <v/>
      </c>
      <c r="Q76" s="46" t="str">
        <f t="shared" si="22"/>
        <v/>
      </c>
      <c r="R76" s="218" t="str">
        <f t="shared" ca="1" si="23"/>
        <v/>
      </c>
    </row>
    <row r="77" spans="3:18" ht="15" customHeight="1">
      <c r="C77" s="46" t="str">
        <f t="shared" si="17"/>
        <v/>
      </c>
      <c r="D77" t="str">
        <f t="shared" si="18"/>
        <v/>
      </c>
      <c r="F77" s="188"/>
      <c r="J77" s="406">
        <f t="shared" si="21"/>
        <v>0</v>
      </c>
      <c r="K77" s="404">
        <f t="shared" si="21"/>
        <v>0</v>
      </c>
      <c r="L77" s="46"/>
      <c r="M77" s="242">
        <f t="shared" si="24"/>
        <v>0</v>
      </c>
      <c r="O77" s="315" t="str">
        <f t="shared" si="19"/>
        <v/>
      </c>
      <c r="P77" t="str">
        <f t="shared" si="20"/>
        <v/>
      </c>
      <c r="Q77" s="46" t="str">
        <f t="shared" si="22"/>
        <v/>
      </c>
      <c r="R77" s="218" t="str">
        <f t="shared" ca="1" si="23"/>
        <v/>
      </c>
    </row>
    <row r="78" spans="3:18" ht="15" customHeight="1">
      <c r="C78" s="46" t="str">
        <f t="shared" si="17"/>
        <v/>
      </c>
      <c r="D78" t="str">
        <f t="shared" si="18"/>
        <v/>
      </c>
      <c r="F78" s="188"/>
      <c r="J78" s="406">
        <f t="shared" si="21"/>
        <v>0</v>
      </c>
      <c r="K78" s="404">
        <f t="shared" si="21"/>
        <v>0</v>
      </c>
      <c r="L78" s="46"/>
      <c r="M78" s="242">
        <f t="shared" si="24"/>
        <v>0</v>
      </c>
      <c r="O78" s="315" t="str">
        <f t="shared" si="19"/>
        <v/>
      </c>
      <c r="P78" t="str">
        <f t="shared" si="20"/>
        <v/>
      </c>
      <c r="Q78" s="46" t="str">
        <f t="shared" si="22"/>
        <v/>
      </c>
      <c r="R78" s="218" t="str">
        <f t="shared" ca="1" si="23"/>
        <v/>
      </c>
    </row>
    <row r="79" spans="3:18" ht="15" customHeight="1">
      <c r="C79" s="46" t="str">
        <f t="shared" si="17"/>
        <v/>
      </c>
      <c r="D79" t="str">
        <f t="shared" si="18"/>
        <v/>
      </c>
      <c r="F79" s="188"/>
      <c r="J79" s="406">
        <f t="shared" si="21"/>
        <v>0</v>
      </c>
      <c r="K79" s="404">
        <f t="shared" si="21"/>
        <v>0</v>
      </c>
      <c r="L79" s="46"/>
      <c r="M79" s="242">
        <f t="shared" si="24"/>
        <v>0</v>
      </c>
      <c r="O79" s="315" t="str">
        <f t="shared" si="19"/>
        <v/>
      </c>
      <c r="P79" t="str">
        <f t="shared" si="20"/>
        <v/>
      </c>
      <c r="Q79" s="46" t="str">
        <f t="shared" si="22"/>
        <v/>
      </c>
      <c r="R79" s="218" t="str">
        <f t="shared" ca="1" si="23"/>
        <v/>
      </c>
    </row>
    <row r="80" spans="3:18" ht="15" customHeight="1">
      <c r="C80" s="46" t="str">
        <f t="shared" si="17"/>
        <v/>
      </c>
      <c r="D80" t="str">
        <f t="shared" si="18"/>
        <v/>
      </c>
      <c r="F80" s="188"/>
      <c r="J80" s="406">
        <f t="shared" si="21"/>
        <v>0</v>
      </c>
      <c r="K80" s="404">
        <f t="shared" si="21"/>
        <v>0</v>
      </c>
      <c r="L80" s="46"/>
      <c r="M80" s="242">
        <f t="shared" si="24"/>
        <v>0</v>
      </c>
      <c r="O80" s="315" t="str">
        <f t="shared" si="19"/>
        <v/>
      </c>
      <c r="P80" t="str">
        <f t="shared" si="20"/>
        <v/>
      </c>
      <c r="Q80" s="46" t="str">
        <f t="shared" si="22"/>
        <v/>
      </c>
      <c r="R80" s="218" t="str">
        <f t="shared" ca="1" si="23"/>
        <v/>
      </c>
    </row>
    <row r="81" spans="3:18" ht="15" customHeight="1">
      <c r="C81" s="46" t="str">
        <f t="shared" si="17"/>
        <v/>
      </c>
      <c r="D81" t="str">
        <f t="shared" si="18"/>
        <v/>
      </c>
      <c r="F81" s="188"/>
      <c r="J81" s="406">
        <f t="shared" si="21"/>
        <v>0</v>
      </c>
      <c r="K81" s="404">
        <f t="shared" si="21"/>
        <v>0</v>
      </c>
      <c r="L81" s="46"/>
      <c r="M81" s="242">
        <f t="shared" si="24"/>
        <v>0</v>
      </c>
      <c r="O81" s="315" t="str">
        <f t="shared" si="19"/>
        <v/>
      </c>
      <c r="P81" t="str">
        <f t="shared" si="20"/>
        <v/>
      </c>
      <c r="Q81" s="46" t="str">
        <f t="shared" si="22"/>
        <v/>
      </c>
      <c r="R81" s="218" t="str">
        <f t="shared" ca="1" si="23"/>
        <v/>
      </c>
    </row>
    <row r="82" spans="3:18" ht="15" customHeight="1">
      <c r="C82" s="46" t="str">
        <f t="shared" si="17"/>
        <v/>
      </c>
      <c r="D82" t="str">
        <f t="shared" si="18"/>
        <v/>
      </c>
      <c r="F82" s="188"/>
      <c r="J82" s="406">
        <f t="shared" si="21"/>
        <v>0</v>
      </c>
      <c r="K82" s="404">
        <f t="shared" si="21"/>
        <v>0</v>
      </c>
      <c r="L82" s="46"/>
      <c r="M82" s="242">
        <f t="shared" si="24"/>
        <v>0</v>
      </c>
      <c r="O82" s="315" t="str">
        <f t="shared" si="19"/>
        <v/>
      </c>
      <c r="P82" t="str">
        <f t="shared" si="20"/>
        <v/>
      </c>
      <c r="Q82" s="46" t="str">
        <f t="shared" si="22"/>
        <v/>
      </c>
      <c r="R82" s="218" t="str">
        <f t="shared" ca="1" si="23"/>
        <v/>
      </c>
    </row>
    <row r="83" spans="3:18" ht="15" customHeight="1">
      <c r="C83" s="46" t="str">
        <f t="shared" si="17"/>
        <v/>
      </c>
      <c r="D83" t="str">
        <f t="shared" si="18"/>
        <v/>
      </c>
      <c r="F83" s="188"/>
      <c r="J83" s="406">
        <f t="shared" si="21"/>
        <v>0</v>
      </c>
      <c r="K83" s="404">
        <f t="shared" si="21"/>
        <v>0</v>
      </c>
      <c r="L83" s="46"/>
      <c r="M83" s="242">
        <f t="shared" si="24"/>
        <v>0</v>
      </c>
      <c r="O83" s="315" t="str">
        <f t="shared" si="19"/>
        <v/>
      </c>
      <c r="P83" t="str">
        <f t="shared" si="20"/>
        <v/>
      </c>
      <c r="Q83" s="46" t="str">
        <f t="shared" si="22"/>
        <v/>
      </c>
      <c r="R83" s="218" t="str">
        <f t="shared" ca="1" si="23"/>
        <v/>
      </c>
    </row>
    <row r="84" spans="3:18" ht="15" customHeight="1">
      <c r="C84" s="46" t="str">
        <f t="shared" si="17"/>
        <v/>
      </c>
      <c r="D84" t="str">
        <f t="shared" si="18"/>
        <v/>
      </c>
      <c r="F84" s="188"/>
      <c r="J84" s="406">
        <f t="shared" si="21"/>
        <v>0</v>
      </c>
      <c r="K84" s="404">
        <f t="shared" si="21"/>
        <v>0</v>
      </c>
      <c r="L84" s="46"/>
      <c r="M84" s="242">
        <f t="shared" si="24"/>
        <v>0</v>
      </c>
      <c r="O84" s="315" t="str">
        <f t="shared" si="19"/>
        <v/>
      </c>
      <c r="P84" t="str">
        <f t="shared" si="20"/>
        <v/>
      </c>
      <c r="Q84" s="46" t="str">
        <f t="shared" si="22"/>
        <v/>
      </c>
      <c r="R84" s="218" t="str">
        <f t="shared" ca="1" si="23"/>
        <v/>
      </c>
    </row>
    <row r="85" spans="3:18" ht="15" customHeight="1">
      <c r="C85" s="46" t="str">
        <f t="shared" si="17"/>
        <v/>
      </c>
      <c r="D85" t="str">
        <f t="shared" si="18"/>
        <v/>
      </c>
      <c r="F85" s="188"/>
      <c r="J85" s="406">
        <f t="shared" si="21"/>
        <v>0</v>
      </c>
      <c r="K85" s="404">
        <f t="shared" si="21"/>
        <v>0</v>
      </c>
      <c r="L85" s="46"/>
      <c r="M85" s="242">
        <f t="shared" si="24"/>
        <v>0</v>
      </c>
      <c r="O85" s="315" t="str">
        <f t="shared" si="19"/>
        <v/>
      </c>
      <c r="P85" t="str">
        <f t="shared" si="20"/>
        <v/>
      </c>
      <c r="Q85" s="46" t="str">
        <f t="shared" si="22"/>
        <v/>
      </c>
      <c r="R85" s="218" t="str">
        <f t="shared" ca="1" si="23"/>
        <v/>
      </c>
    </row>
    <row r="86" spans="3:18" ht="15" customHeight="1">
      <c r="C86" s="46" t="str">
        <f t="shared" si="17"/>
        <v/>
      </c>
      <c r="D86" t="str">
        <f t="shared" si="18"/>
        <v/>
      </c>
      <c r="F86" s="188"/>
      <c r="J86" s="406">
        <f t="shared" si="21"/>
        <v>0</v>
      </c>
      <c r="K86" s="404">
        <f t="shared" si="21"/>
        <v>0</v>
      </c>
      <c r="L86" s="46"/>
      <c r="M86" s="242">
        <f t="shared" si="24"/>
        <v>0</v>
      </c>
      <c r="O86" s="315" t="str">
        <f t="shared" si="19"/>
        <v/>
      </c>
      <c r="P86" t="str">
        <f t="shared" si="20"/>
        <v/>
      </c>
      <c r="Q86" s="46" t="str">
        <f t="shared" si="22"/>
        <v/>
      </c>
      <c r="R86" s="218" t="str">
        <f t="shared" ca="1" si="23"/>
        <v/>
      </c>
    </row>
    <row r="87" spans="3:18" ht="15" customHeight="1">
      <c r="C87" s="46" t="str">
        <f t="shared" si="17"/>
        <v/>
      </c>
      <c r="D87" t="str">
        <f t="shared" si="18"/>
        <v/>
      </c>
      <c r="F87" s="188"/>
      <c r="J87" s="406">
        <f t="shared" si="21"/>
        <v>0</v>
      </c>
      <c r="K87" s="404">
        <f t="shared" si="21"/>
        <v>0</v>
      </c>
      <c r="L87" s="46"/>
      <c r="M87" s="242">
        <f t="shared" si="24"/>
        <v>0</v>
      </c>
      <c r="O87" s="315" t="str">
        <f t="shared" si="19"/>
        <v/>
      </c>
      <c r="P87" t="str">
        <f t="shared" si="20"/>
        <v/>
      </c>
      <c r="Q87" s="46" t="str">
        <f t="shared" si="22"/>
        <v/>
      </c>
      <c r="R87" s="218" t="str">
        <f t="shared" ca="1" si="23"/>
        <v/>
      </c>
    </row>
    <row r="88" spans="3:18" ht="15" customHeight="1">
      <c r="C88" s="46" t="str">
        <f t="shared" si="17"/>
        <v/>
      </c>
      <c r="D88" t="str">
        <f t="shared" si="18"/>
        <v/>
      </c>
      <c r="F88" s="188"/>
      <c r="J88" s="406">
        <f t="shared" si="21"/>
        <v>0</v>
      </c>
      <c r="K88" s="404">
        <f t="shared" si="21"/>
        <v>0</v>
      </c>
      <c r="L88" s="46"/>
      <c r="M88" s="242">
        <f t="shared" si="24"/>
        <v>0</v>
      </c>
      <c r="O88" s="315" t="str">
        <f t="shared" si="19"/>
        <v/>
      </c>
      <c r="P88" t="str">
        <f t="shared" si="20"/>
        <v/>
      </c>
      <c r="Q88" s="46" t="str">
        <f t="shared" si="22"/>
        <v/>
      </c>
      <c r="R88" s="218" t="str">
        <f t="shared" ca="1" si="23"/>
        <v/>
      </c>
    </row>
    <row r="89" spans="3:18" ht="15" customHeight="1">
      <c r="C89" s="46" t="str">
        <f t="shared" si="17"/>
        <v/>
      </c>
      <c r="D89" t="str">
        <f t="shared" si="18"/>
        <v/>
      </c>
      <c r="F89" s="188"/>
      <c r="J89" s="406">
        <f t="shared" si="21"/>
        <v>0</v>
      </c>
      <c r="K89" s="404">
        <f t="shared" si="21"/>
        <v>0</v>
      </c>
      <c r="L89" s="46"/>
      <c r="M89" s="242">
        <f t="shared" si="24"/>
        <v>0</v>
      </c>
      <c r="O89" s="315" t="str">
        <f t="shared" si="19"/>
        <v/>
      </c>
      <c r="P89" t="str">
        <f t="shared" si="20"/>
        <v/>
      </c>
      <c r="Q89" s="46" t="str">
        <f t="shared" si="22"/>
        <v/>
      </c>
      <c r="R89" s="218" t="str">
        <f t="shared" ca="1" si="23"/>
        <v/>
      </c>
    </row>
    <row r="90" spans="3:18" ht="15" customHeight="1">
      <c r="C90" s="46" t="str">
        <f t="shared" si="17"/>
        <v/>
      </c>
      <c r="D90" t="str">
        <f t="shared" si="18"/>
        <v/>
      </c>
      <c r="F90" s="188"/>
      <c r="J90" s="406">
        <f t="shared" si="21"/>
        <v>0</v>
      </c>
      <c r="K90" s="404">
        <f t="shared" si="21"/>
        <v>0</v>
      </c>
      <c r="L90" s="46"/>
      <c r="M90" s="242">
        <f t="shared" si="24"/>
        <v>0</v>
      </c>
      <c r="O90" s="315" t="str">
        <f t="shared" si="19"/>
        <v/>
      </c>
      <c r="P90" t="str">
        <f t="shared" si="20"/>
        <v/>
      </c>
      <c r="Q90" s="46" t="str">
        <f t="shared" si="22"/>
        <v/>
      </c>
      <c r="R90" s="218" t="str">
        <f t="shared" ca="1" si="23"/>
        <v/>
      </c>
    </row>
    <row r="91" spans="3:18" ht="15" customHeight="1">
      <c r="C91" s="46" t="str">
        <f t="shared" si="17"/>
        <v/>
      </c>
      <c r="D91" t="str">
        <f t="shared" si="18"/>
        <v/>
      </c>
      <c r="F91" s="188"/>
      <c r="J91" s="406">
        <f t="shared" si="21"/>
        <v>0</v>
      </c>
      <c r="K91" s="404">
        <f t="shared" si="21"/>
        <v>0</v>
      </c>
      <c r="L91" s="46"/>
      <c r="M91" s="242">
        <f t="shared" si="24"/>
        <v>0</v>
      </c>
      <c r="O91" s="315" t="str">
        <f t="shared" si="19"/>
        <v/>
      </c>
      <c r="P91" t="str">
        <f t="shared" si="20"/>
        <v/>
      </c>
      <c r="Q91" s="46" t="str">
        <f t="shared" si="22"/>
        <v/>
      </c>
      <c r="R91" s="218" t="str">
        <f t="shared" ca="1" si="23"/>
        <v/>
      </c>
    </row>
    <row r="92" spans="3:18" ht="15" customHeight="1">
      <c r="C92" s="46" t="str">
        <f t="shared" si="17"/>
        <v/>
      </c>
      <c r="D92" t="str">
        <f t="shared" si="18"/>
        <v/>
      </c>
      <c r="F92" s="188"/>
      <c r="J92" s="406">
        <f t="shared" si="21"/>
        <v>0</v>
      </c>
      <c r="K92" s="404">
        <f t="shared" si="21"/>
        <v>0</v>
      </c>
      <c r="L92" s="46"/>
      <c r="M92" s="242">
        <f t="shared" si="24"/>
        <v>0</v>
      </c>
      <c r="O92" s="315" t="str">
        <f t="shared" si="19"/>
        <v/>
      </c>
      <c r="P92" t="str">
        <f t="shared" si="20"/>
        <v/>
      </c>
      <c r="Q92" s="46" t="str">
        <f t="shared" si="22"/>
        <v/>
      </c>
      <c r="R92" s="218" t="str">
        <f t="shared" ca="1" si="23"/>
        <v/>
      </c>
    </row>
    <row r="93" spans="3:18" ht="15" customHeight="1">
      <c r="C93" s="46" t="str">
        <f t="shared" si="17"/>
        <v/>
      </c>
      <c r="D93" t="str">
        <f t="shared" si="18"/>
        <v/>
      </c>
      <c r="F93" s="188"/>
      <c r="J93" s="406">
        <f t="shared" si="21"/>
        <v>0</v>
      </c>
      <c r="K93" s="404">
        <f t="shared" si="21"/>
        <v>0</v>
      </c>
      <c r="L93" s="46"/>
      <c r="M93" s="242">
        <f t="shared" si="24"/>
        <v>0</v>
      </c>
      <c r="O93" s="315" t="str">
        <f t="shared" si="19"/>
        <v/>
      </c>
      <c r="P93" t="str">
        <f t="shared" si="20"/>
        <v/>
      </c>
      <c r="Q93" s="46" t="str">
        <f t="shared" si="22"/>
        <v/>
      </c>
      <c r="R93" s="218" t="str">
        <f t="shared" ca="1" si="23"/>
        <v/>
      </c>
    </row>
    <row r="94" spans="3:18" ht="15" customHeight="1">
      <c r="C94" s="46" t="str">
        <f t="shared" si="17"/>
        <v/>
      </c>
      <c r="D94" t="str">
        <f t="shared" si="18"/>
        <v/>
      </c>
      <c r="F94" s="188"/>
      <c r="J94" s="406">
        <f t="shared" si="21"/>
        <v>0</v>
      </c>
      <c r="K94" s="404">
        <f t="shared" si="21"/>
        <v>0</v>
      </c>
      <c r="L94" s="46"/>
      <c r="M94" s="242">
        <f t="shared" si="24"/>
        <v>0</v>
      </c>
      <c r="O94" s="315" t="str">
        <f t="shared" si="19"/>
        <v/>
      </c>
      <c r="P94" t="str">
        <f t="shared" si="20"/>
        <v/>
      </c>
      <c r="Q94" s="46" t="str">
        <f t="shared" si="22"/>
        <v/>
      </c>
      <c r="R94" s="218" t="str">
        <f t="shared" ca="1" si="23"/>
        <v/>
      </c>
    </row>
    <row r="95" spans="3:18" ht="15" customHeight="1">
      <c r="C95" s="46" t="str">
        <f t="shared" si="17"/>
        <v/>
      </c>
      <c r="D95" t="str">
        <f t="shared" si="18"/>
        <v/>
      </c>
      <c r="F95" s="188"/>
      <c r="J95" s="406">
        <f t="shared" si="21"/>
        <v>0</v>
      </c>
      <c r="K95" s="404">
        <f t="shared" si="21"/>
        <v>0</v>
      </c>
      <c r="L95" s="46"/>
      <c r="M95" s="242">
        <f t="shared" si="24"/>
        <v>0</v>
      </c>
      <c r="O95" s="315" t="str">
        <f t="shared" si="19"/>
        <v/>
      </c>
      <c r="P95" t="str">
        <f t="shared" si="20"/>
        <v/>
      </c>
      <c r="Q95" s="46" t="str">
        <f t="shared" si="22"/>
        <v/>
      </c>
      <c r="R95" s="218" t="str">
        <f t="shared" ca="1" si="23"/>
        <v/>
      </c>
    </row>
    <row r="96" spans="3:18" ht="15" customHeight="1">
      <c r="C96" s="46" t="str">
        <f t="shared" si="17"/>
        <v/>
      </c>
      <c r="D96" t="str">
        <f t="shared" si="18"/>
        <v/>
      </c>
      <c r="F96" s="188"/>
      <c r="J96" s="406">
        <f t="shared" si="21"/>
        <v>0</v>
      </c>
      <c r="K96" s="404">
        <f t="shared" si="21"/>
        <v>0</v>
      </c>
      <c r="L96" s="46"/>
      <c r="M96" s="242">
        <f t="shared" si="24"/>
        <v>0</v>
      </c>
      <c r="O96" s="315" t="str">
        <f t="shared" si="19"/>
        <v/>
      </c>
      <c r="P96" t="str">
        <f t="shared" si="20"/>
        <v/>
      </c>
      <c r="Q96" s="46" t="str">
        <f t="shared" si="22"/>
        <v/>
      </c>
      <c r="R96" s="218" t="str">
        <f t="shared" ca="1" si="23"/>
        <v/>
      </c>
    </row>
    <row r="97" spans="3:18" ht="15" customHeight="1">
      <c r="C97" s="46" t="str">
        <f t="shared" si="17"/>
        <v/>
      </c>
      <c r="D97" t="str">
        <f t="shared" si="18"/>
        <v/>
      </c>
      <c r="F97" s="188"/>
      <c r="J97" s="406">
        <f t="shared" si="21"/>
        <v>0</v>
      </c>
      <c r="K97" s="404">
        <f t="shared" si="21"/>
        <v>0</v>
      </c>
      <c r="L97" s="46"/>
      <c r="M97" s="242">
        <f t="shared" si="24"/>
        <v>0</v>
      </c>
      <c r="O97" s="315" t="str">
        <f t="shared" si="19"/>
        <v/>
      </c>
      <c r="P97" t="str">
        <f t="shared" si="20"/>
        <v/>
      </c>
      <c r="Q97" s="46" t="str">
        <f t="shared" si="22"/>
        <v/>
      </c>
      <c r="R97" s="218" t="str">
        <f t="shared" ca="1" si="23"/>
        <v/>
      </c>
    </row>
    <row r="98" spans="3:18" ht="15" customHeight="1">
      <c r="C98" s="46" t="str">
        <f t="shared" si="17"/>
        <v/>
      </c>
      <c r="D98" t="str">
        <f t="shared" si="18"/>
        <v/>
      </c>
      <c r="F98" s="188"/>
      <c r="J98" s="406">
        <f t="shared" si="21"/>
        <v>0</v>
      </c>
      <c r="K98" s="404">
        <f t="shared" si="21"/>
        <v>0</v>
      </c>
      <c r="L98" s="46"/>
      <c r="M98" s="242">
        <f t="shared" si="24"/>
        <v>0</v>
      </c>
      <c r="O98" s="315" t="str">
        <f t="shared" si="19"/>
        <v/>
      </c>
      <c r="P98" t="str">
        <f t="shared" si="20"/>
        <v/>
      </c>
      <c r="Q98" s="46" t="str">
        <f t="shared" si="22"/>
        <v/>
      </c>
      <c r="R98" s="218" t="str">
        <f t="shared" ca="1" si="23"/>
        <v/>
      </c>
    </row>
    <row r="99" spans="3:18" ht="15" customHeight="1">
      <c r="C99" s="46" t="str">
        <f t="shared" si="17"/>
        <v/>
      </c>
      <c r="D99" t="str">
        <f t="shared" si="18"/>
        <v/>
      </c>
      <c r="F99" s="188"/>
      <c r="J99" s="406">
        <f t="shared" si="21"/>
        <v>0</v>
      </c>
      <c r="K99" s="404">
        <f t="shared" si="21"/>
        <v>0</v>
      </c>
      <c r="L99" s="46"/>
      <c r="M99" s="242">
        <f t="shared" si="24"/>
        <v>0</v>
      </c>
      <c r="O99" s="315" t="str">
        <f t="shared" si="19"/>
        <v/>
      </c>
      <c r="P99" t="str">
        <f t="shared" si="20"/>
        <v/>
      </c>
      <c r="Q99" s="46" t="str">
        <f t="shared" si="22"/>
        <v/>
      </c>
      <c r="R99" s="218" t="str">
        <f t="shared" ca="1" si="23"/>
        <v/>
      </c>
    </row>
    <row r="100" spans="3:18" ht="15" customHeight="1">
      <c r="C100" s="46" t="str">
        <f t="shared" si="17"/>
        <v/>
      </c>
      <c r="D100" t="str">
        <f t="shared" si="18"/>
        <v/>
      </c>
      <c r="F100" s="188"/>
      <c r="J100" s="406">
        <f t="shared" si="21"/>
        <v>0</v>
      </c>
      <c r="K100" s="404">
        <f t="shared" si="21"/>
        <v>0</v>
      </c>
      <c r="L100" s="46"/>
      <c r="M100" s="242">
        <f t="shared" si="24"/>
        <v>0</v>
      </c>
      <c r="O100" s="315" t="str">
        <f t="shared" si="19"/>
        <v/>
      </c>
      <c r="P100" t="str">
        <f t="shared" si="20"/>
        <v/>
      </c>
      <c r="Q100" s="46" t="str">
        <f t="shared" si="22"/>
        <v/>
      </c>
      <c r="R100" s="218" t="str">
        <f t="shared" ref="R100:R131" ca="1" si="25">IF(Q100="PAGO", "✓ OK", IF(Q100="A PAGAR", IF(N100&lt;TODAY(), "⚠ EM ATRASO", "EM DIA"), ""))</f>
        <v/>
      </c>
    </row>
    <row r="101" spans="3:18" ht="15" customHeight="1">
      <c r="C101" s="46" t="str">
        <f t="shared" si="17"/>
        <v/>
      </c>
      <c r="D101" t="str">
        <f t="shared" si="18"/>
        <v/>
      </c>
      <c r="F101" s="188"/>
      <c r="J101" s="406">
        <f t="shared" si="21"/>
        <v>0</v>
      </c>
      <c r="K101" s="404">
        <f t="shared" si="21"/>
        <v>0</v>
      </c>
      <c r="L101" s="46"/>
      <c r="M101" s="242">
        <f t="shared" si="24"/>
        <v>0</v>
      </c>
      <c r="O101" s="315" t="str">
        <f t="shared" si="19"/>
        <v/>
      </c>
      <c r="P101" t="str">
        <f t="shared" si="20"/>
        <v/>
      </c>
      <c r="Q101" s="46" t="str">
        <f t="shared" si="22"/>
        <v/>
      </c>
      <c r="R101" s="218" t="str">
        <f t="shared" ca="1" si="25"/>
        <v/>
      </c>
    </row>
    <row r="102" spans="3:18" ht="15" customHeight="1">
      <c r="C102" s="46" t="str">
        <f t="shared" si="17"/>
        <v/>
      </c>
      <c r="D102" t="str">
        <f t="shared" si="18"/>
        <v/>
      </c>
      <c r="F102" s="188"/>
      <c r="J102" s="406">
        <f t="shared" si="21"/>
        <v>0</v>
      </c>
      <c r="K102" s="404">
        <f t="shared" si="21"/>
        <v>0</v>
      </c>
      <c r="L102" s="46"/>
      <c r="M102" s="242">
        <f t="shared" si="24"/>
        <v>0</v>
      </c>
      <c r="O102" s="315" t="str">
        <f t="shared" si="19"/>
        <v/>
      </c>
      <c r="P102" t="str">
        <f t="shared" si="20"/>
        <v/>
      </c>
      <c r="Q102" s="46" t="str">
        <f t="shared" si="22"/>
        <v/>
      </c>
      <c r="R102" s="218" t="str">
        <f t="shared" ca="1" si="25"/>
        <v/>
      </c>
    </row>
    <row r="103" spans="3:18" ht="15" customHeight="1">
      <c r="C103" s="46" t="str">
        <f t="shared" si="17"/>
        <v/>
      </c>
      <c r="D103" t="str">
        <f t="shared" si="18"/>
        <v/>
      </c>
      <c r="F103" s="188"/>
      <c r="J103" s="406">
        <f t="shared" si="21"/>
        <v>0</v>
      </c>
      <c r="K103" s="404">
        <f t="shared" si="21"/>
        <v>0</v>
      </c>
      <c r="L103" s="46"/>
      <c r="M103" s="242">
        <f t="shared" si="24"/>
        <v>0</v>
      </c>
      <c r="O103" s="315" t="str">
        <f t="shared" si="19"/>
        <v/>
      </c>
      <c r="P103" t="str">
        <f t="shared" si="20"/>
        <v/>
      </c>
      <c r="Q103" s="46" t="str">
        <f t="shared" si="22"/>
        <v/>
      </c>
      <c r="R103" s="218" t="str">
        <f t="shared" ca="1" si="25"/>
        <v/>
      </c>
    </row>
    <row r="104" spans="3:18" ht="15" customHeight="1">
      <c r="C104" s="46" t="str">
        <f t="shared" si="17"/>
        <v/>
      </c>
      <c r="D104" t="str">
        <f t="shared" si="18"/>
        <v/>
      </c>
      <c r="F104" s="188"/>
      <c r="J104" s="406">
        <f t="shared" si="21"/>
        <v>0</v>
      </c>
      <c r="K104" s="404">
        <f t="shared" si="21"/>
        <v>0</v>
      </c>
      <c r="L104" s="46"/>
      <c r="M104" s="242">
        <f t="shared" si="24"/>
        <v>0</v>
      </c>
      <c r="O104" s="315" t="str">
        <f t="shared" si="19"/>
        <v/>
      </c>
      <c r="P104" t="str">
        <f t="shared" si="20"/>
        <v/>
      </c>
      <c r="Q104" s="46" t="str">
        <f t="shared" si="22"/>
        <v/>
      </c>
      <c r="R104" s="218" t="str">
        <f t="shared" ca="1" si="25"/>
        <v/>
      </c>
    </row>
    <row r="105" spans="3:18" ht="15" customHeight="1">
      <c r="C105" s="46" t="str">
        <f t="shared" si="17"/>
        <v/>
      </c>
      <c r="D105" t="str">
        <f t="shared" si="18"/>
        <v/>
      </c>
      <c r="F105" s="188"/>
      <c r="J105" s="406">
        <f t="shared" si="21"/>
        <v>0</v>
      </c>
      <c r="K105" s="404">
        <f t="shared" si="21"/>
        <v>0</v>
      </c>
      <c r="L105" s="46"/>
      <c r="M105" s="242">
        <f t="shared" si="24"/>
        <v>0</v>
      </c>
      <c r="O105" s="315" t="str">
        <f t="shared" si="19"/>
        <v/>
      </c>
      <c r="P105" t="str">
        <f t="shared" si="20"/>
        <v/>
      </c>
      <c r="Q105" s="46" t="str">
        <f t="shared" si="22"/>
        <v/>
      </c>
      <c r="R105" s="218" t="str">
        <f t="shared" ca="1" si="25"/>
        <v/>
      </c>
    </row>
    <row r="106" spans="3:18" ht="15" customHeight="1">
      <c r="C106" s="46" t="str">
        <f t="shared" si="17"/>
        <v/>
      </c>
      <c r="D106" t="str">
        <f t="shared" si="18"/>
        <v/>
      </c>
      <c r="F106" s="188"/>
      <c r="J106" s="406">
        <f t="shared" si="21"/>
        <v>0</v>
      </c>
      <c r="K106" s="404">
        <f t="shared" si="21"/>
        <v>0</v>
      </c>
      <c r="L106" s="46"/>
      <c r="M106" s="242">
        <f t="shared" si="24"/>
        <v>0</v>
      </c>
      <c r="O106" s="315" t="str">
        <f t="shared" si="19"/>
        <v/>
      </c>
      <c r="P106" t="str">
        <f t="shared" si="20"/>
        <v/>
      </c>
      <c r="Q106" s="46" t="str">
        <f t="shared" si="22"/>
        <v/>
      </c>
      <c r="R106" s="218" t="str">
        <f t="shared" ca="1" si="25"/>
        <v/>
      </c>
    </row>
    <row r="107" spans="3:18" ht="15" customHeight="1">
      <c r="C107" s="46" t="str">
        <f t="shared" si="17"/>
        <v/>
      </c>
      <c r="D107" t="str">
        <f t="shared" si="18"/>
        <v/>
      </c>
      <c r="F107" s="188"/>
      <c r="J107" s="406">
        <f t="shared" si="21"/>
        <v>0</v>
      </c>
      <c r="K107" s="404">
        <f t="shared" si="21"/>
        <v>0</v>
      </c>
      <c r="L107" s="46"/>
      <c r="M107" s="242">
        <f t="shared" si="24"/>
        <v>0</v>
      </c>
      <c r="O107" s="315" t="str">
        <f t="shared" si="19"/>
        <v/>
      </c>
      <c r="P107" t="str">
        <f t="shared" si="20"/>
        <v/>
      </c>
      <c r="Q107" s="46" t="str">
        <f t="shared" si="22"/>
        <v/>
      </c>
      <c r="R107" s="218" t="str">
        <f t="shared" ca="1" si="25"/>
        <v/>
      </c>
    </row>
    <row r="108" spans="3:18" ht="15" customHeight="1">
      <c r="C108" s="46" t="str">
        <f t="shared" si="17"/>
        <v/>
      </c>
      <c r="D108" t="str">
        <f t="shared" si="18"/>
        <v/>
      </c>
      <c r="F108" s="188"/>
      <c r="J108" s="406">
        <f t="shared" si="21"/>
        <v>0</v>
      </c>
      <c r="K108" s="404">
        <f t="shared" si="21"/>
        <v>0</v>
      </c>
      <c r="L108" s="46"/>
      <c r="M108" s="242">
        <f t="shared" si="24"/>
        <v>0</v>
      </c>
      <c r="O108" s="315" t="str">
        <f t="shared" si="19"/>
        <v/>
      </c>
      <c r="P108" t="str">
        <f t="shared" si="20"/>
        <v/>
      </c>
      <c r="Q108" s="46" t="str">
        <f t="shared" si="22"/>
        <v/>
      </c>
      <c r="R108" s="218" t="str">
        <f t="shared" ca="1" si="25"/>
        <v/>
      </c>
    </row>
    <row r="109" spans="3:18" ht="15" customHeight="1">
      <c r="C109" s="46" t="str">
        <f t="shared" si="17"/>
        <v/>
      </c>
      <c r="D109" t="str">
        <f t="shared" si="18"/>
        <v/>
      </c>
      <c r="F109" s="188"/>
      <c r="J109" s="406">
        <f t="shared" si="21"/>
        <v>0</v>
      </c>
      <c r="K109" s="404">
        <f t="shared" si="21"/>
        <v>0</v>
      </c>
      <c r="L109" s="46"/>
      <c r="M109" s="242">
        <f t="shared" si="24"/>
        <v>0</v>
      </c>
      <c r="O109" s="315" t="str">
        <f t="shared" si="19"/>
        <v/>
      </c>
      <c r="P109" t="str">
        <f t="shared" si="20"/>
        <v/>
      </c>
      <c r="Q109" s="46" t="str">
        <f t="shared" si="22"/>
        <v/>
      </c>
      <c r="R109" s="218" t="str">
        <f t="shared" ca="1" si="25"/>
        <v/>
      </c>
    </row>
    <row r="110" spans="3:18" ht="15" customHeight="1">
      <c r="C110" s="46" t="str">
        <f t="shared" si="17"/>
        <v/>
      </c>
      <c r="D110" t="str">
        <f t="shared" si="18"/>
        <v/>
      </c>
      <c r="F110" s="188"/>
      <c r="J110" s="406">
        <f t="shared" si="21"/>
        <v>0</v>
      </c>
      <c r="K110" s="404">
        <f t="shared" si="21"/>
        <v>0</v>
      </c>
      <c r="L110" s="46"/>
      <c r="M110" s="242">
        <f t="shared" si="24"/>
        <v>0</v>
      </c>
      <c r="O110" s="315" t="str">
        <f t="shared" si="19"/>
        <v/>
      </c>
      <c r="P110" t="str">
        <f t="shared" si="20"/>
        <v/>
      </c>
      <c r="Q110" s="46" t="str">
        <f t="shared" si="22"/>
        <v/>
      </c>
      <c r="R110" s="218" t="str">
        <f t="shared" ca="1" si="25"/>
        <v/>
      </c>
    </row>
    <row r="111" spans="3:18" ht="15" customHeight="1">
      <c r="C111" s="46" t="str">
        <f t="shared" si="17"/>
        <v/>
      </c>
      <c r="D111" t="str">
        <f t="shared" si="18"/>
        <v/>
      </c>
      <c r="F111" s="188"/>
      <c r="J111" s="406">
        <f t="shared" si="21"/>
        <v>0</v>
      </c>
      <c r="K111" s="404">
        <f t="shared" si="21"/>
        <v>0</v>
      </c>
      <c r="L111" s="46"/>
      <c r="M111" s="242">
        <f t="shared" si="24"/>
        <v>0</v>
      </c>
      <c r="O111" s="315" t="str">
        <f t="shared" si="19"/>
        <v/>
      </c>
      <c r="P111" t="str">
        <f t="shared" si="20"/>
        <v/>
      </c>
      <c r="Q111" s="46" t="str">
        <f t="shared" si="22"/>
        <v/>
      </c>
      <c r="R111" s="218" t="str">
        <f t="shared" ca="1" si="25"/>
        <v/>
      </c>
    </row>
    <row r="112" spans="3:18" ht="15" customHeight="1">
      <c r="C112" s="46" t="str">
        <f t="shared" si="17"/>
        <v/>
      </c>
      <c r="D112" t="str">
        <f t="shared" si="18"/>
        <v/>
      </c>
      <c r="F112" s="188"/>
      <c r="J112" s="406">
        <f t="shared" si="21"/>
        <v>0</v>
      </c>
      <c r="K112" s="404">
        <f t="shared" si="21"/>
        <v>0</v>
      </c>
      <c r="L112" s="46"/>
      <c r="M112" s="242">
        <f t="shared" si="24"/>
        <v>0</v>
      </c>
      <c r="O112" s="315" t="str">
        <f t="shared" si="19"/>
        <v/>
      </c>
      <c r="P112" t="str">
        <f t="shared" si="20"/>
        <v/>
      </c>
      <c r="Q112" s="46" t="str">
        <f t="shared" si="22"/>
        <v/>
      </c>
      <c r="R112" s="218" t="str">
        <f t="shared" ca="1" si="25"/>
        <v/>
      </c>
    </row>
    <row r="113" spans="3:18" ht="15" customHeight="1">
      <c r="C113" s="46" t="str">
        <f t="shared" si="17"/>
        <v/>
      </c>
      <c r="D113" t="str">
        <f t="shared" si="18"/>
        <v/>
      </c>
      <c r="F113" s="188"/>
      <c r="J113" s="406">
        <f t="shared" si="21"/>
        <v>0</v>
      </c>
      <c r="K113" s="404">
        <f t="shared" si="21"/>
        <v>0</v>
      </c>
      <c r="L113" s="46"/>
      <c r="M113" s="242">
        <f t="shared" si="24"/>
        <v>0</v>
      </c>
      <c r="O113" s="315" t="str">
        <f t="shared" si="19"/>
        <v/>
      </c>
      <c r="P113" t="str">
        <f t="shared" si="20"/>
        <v/>
      </c>
      <c r="Q113" s="46" t="str">
        <f t="shared" si="22"/>
        <v/>
      </c>
      <c r="R113" s="218" t="str">
        <f t="shared" ca="1" si="25"/>
        <v/>
      </c>
    </row>
    <row r="114" spans="3:18" ht="15" customHeight="1">
      <c r="C114" s="46" t="str">
        <f t="shared" si="17"/>
        <v/>
      </c>
      <c r="D114" t="str">
        <f t="shared" si="18"/>
        <v/>
      </c>
      <c r="F114" s="188"/>
      <c r="J114" s="406">
        <f t="shared" si="21"/>
        <v>0</v>
      </c>
      <c r="K114" s="404">
        <f t="shared" si="21"/>
        <v>0</v>
      </c>
      <c r="L114" s="46"/>
      <c r="M114" s="242">
        <f t="shared" si="24"/>
        <v>0</v>
      </c>
      <c r="O114" s="315" t="str">
        <f t="shared" si="19"/>
        <v/>
      </c>
      <c r="P114" t="str">
        <f t="shared" si="20"/>
        <v/>
      </c>
      <c r="Q114" s="46" t="str">
        <f t="shared" si="22"/>
        <v/>
      </c>
      <c r="R114" s="218" t="str">
        <f t="shared" ca="1" si="25"/>
        <v/>
      </c>
    </row>
    <row r="115" spans="3:18" ht="15" customHeight="1">
      <c r="C115" s="46" t="str">
        <f t="shared" si="17"/>
        <v/>
      </c>
      <c r="D115" t="str">
        <f t="shared" si="18"/>
        <v/>
      </c>
      <c r="F115" s="188"/>
      <c r="J115" s="406">
        <f t="shared" si="21"/>
        <v>0</v>
      </c>
      <c r="K115" s="404">
        <f t="shared" si="21"/>
        <v>0</v>
      </c>
      <c r="L115" s="46"/>
      <c r="M115" s="242">
        <f t="shared" si="24"/>
        <v>0</v>
      </c>
      <c r="O115" s="315" t="str">
        <f t="shared" si="19"/>
        <v/>
      </c>
      <c r="P115" t="str">
        <f t="shared" si="20"/>
        <v/>
      </c>
      <c r="Q115" s="46" t="str">
        <f t="shared" si="22"/>
        <v/>
      </c>
      <c r="R115" s="218" t="str">
        <f t="shared" ca="1" si="25"/>
        <v/>
      </c>
    </row>
    <row r="116" spans="3:18" ht="15" customHeight="1">
      <c r="C116" s="46" t="str">
        <f t="shared" si="17"/>
        <v/>
      </c>
      <c r="D116" t="str">
        <f t="shared" si="18"/>
        <v/>
      </c>
      <c r="F116" s="188"/>
      <c r="J116" s="406">
        <f t="shared" si="21"/>
        <v>0</v>
      </c>
      <c r="K116" s="404">
        <f t="shared" si="21"/>
        <v>0</v>
      </c>
      <c r="L116" s="46"/>
      <c r="M116" s="242">
        <f t="shared" si="24"/>
        <v>0</v>
      </c>
      <c r="O116" s="315" t="str">
        <f t="shared" si="19"/>
        <v/>
      </c>
      <c r="P116" t="str">
        <f t="shared" si="20"/>
        <v/>
      </c>
      <c r="Q116" s="46" t="str">
        <f t="shared" si="22"/>
        <v/>
      </c>
      <c r="R116" s="218" t="str">
        <f t="shared" ca="1" si="25"/>
        <v/>
      </c>
    </row>
    <row r="117" spans="3:18" ht="15" customHeight="1">
      <c r="C117" s="46" t="str">
        <f t="shared" si="17"/>
        <v/>
      </c>
      <c r="D117" t="str">
        <f t="shared" si="18"/>
        <v/>
      </c>
      <c r="F117" s="188"/>
      <c r="J117" s="406">
        <f t="shared" si="21"/>
        <v>0</v>
      </c>
      <c r="K117" s="404">
        <f t="shared" si="21"/>
        <v>0</v>
      </c>
      <c r="L117" s="46"/>
      <c r="M117" s="242">
        <f t="shared" si="24"/>
        <v>0</v>
      </c>
      <c r="O117" s="315" t="str">
        <f t="shared" si="19"/>
        <v/>
      </c>
      <c r="P117" t="str">
        <f t="shared" si="20"/>
        <v/>
      </c>
      <c r="Q117" s="46" t="str">
        <f t="shared" si="22"/>
        <v/>
      </c>
      <c r="R117" s="218" t="str">
        <f t="shared" ca="1" si="25"/>
        <v/>
      </c>
    </row>
    <row r="118" spans="3:18" ht="15" customHeight="1">
      <c r="C118" s="46" t="str">
        <f t="shared" si="17"/>
        <v/>
      </c>
      <c r="D118" t="str">
        <f t="shared" si="18"/>
        <v/>
      </c>
      <c r="F118" s="188"/>
      <c r="J118" s="406">
        <f t="shared" si="21"/>
        <v>0</v>
      </c>
      <c r="K118" s="404">
        <f t="shared" si="21"/>
        <v>0</v>
      </c>
      <c r="L118" s="46"/>
      <c r="M118" s="242">
        <f t="shared" si="24"/>
        <v>0</v>
      </c>
      <c r="O118" s="315" t="str">
        <f t="shared" si="19"/>
        <v/>
      </c>
      <c r="P118" t="str">
        <f t="shared" si="20"/>
        <v/>
      </c>
      <c r="Q118" s="46" t="str">
        <f t="shared" si="22"/>
        <v/>
      </c>
      <c r="R118" s="218" t="str">
        <f t="shared" ca="1" si="25"/>
        <v/>
      </c>
    </row>
    <row r="119" spans="3:18" ht="15" customHeight="1">
      <c r="C119" s="46" t="str">
        <f t="shared" si="17"/>
        <v/>
      </c>
      <c r="D119" t="str">
        <f t="shared" si="18"/>
        <v/>
      </c>
      <c r="F119" s="188"/>
      <c r="J119" s="406">
        <f t="shared" si="21"/>
        <v>0</v>
      </c>
      <c r="K119" s="404">
        <f t="shared" si="21"/>
        <v>0</v>
      </c>
      <c r="L119" s="46"/>
      <c r="M119" s="242">
        <f t="shared" si="24"/>
        <v>0</v>
      </c>
      <c r="O119" s="315" t="str">
        <f t="shared" si="19"/>
        <v/>
      </c>
      <c r="P119" t="str">
        <f t="shared" si="20"/>
        <v/>
      </c>
      <c r="Q119" s="46" t="str">
        <f t="shared" si="22"/>
        <v/>
      </c>
      <c r="R119" s="218" t="str">
        <f t="shared" ca="1" si="25"/>
        <v/>
      </c>
    </row>
    <row r="120" spans="3:18" ht="15" customHeight="1">
      <c r="C120" s="46" t="str">
        <f t="shared" si="17"/>
        <v/>
      </c>
      <c r="D120" t="str">
        <f t="shared" si="18"/>
        <v/>
      </c>
      <c r="F120" s="188"/>
      <c r="J120" s="406">
        <f t="shared" si="21"/>
        <v>0</v>
      </c>
      <c r="K120" s="404">
        <f t="shared" si="21"/>
        <v>0</v>
      </c>
      <c r="L120" s="46"/>
      <c r="M120" s="242">
        <f t="shared" si="24"/>
        <v>0</v>
      </c>
      <c r="O120" s="315" t="str">
        <f t="shared" si="19"/>
        <v/>
      </c>
      <c r="P120" t="str">
        <f t="shared" si="20"/>
        <v/>
      </c>
      <c r="Q120" s="46" t="str">
        <f t="shared" si="22"/>
        <v/>
      </c>
      <c r="R120" s="218" t="str">
        <f t="shared" ca="1" si="25"/>
        <v/>
      </c>
    </row>
    <row r="121" spans="3:18" ht="15" customHeight="1">
      <c r="C121" s="46" t="str">
        <f t="shared" si="17"/>
        <v/>
      </c>
      <c r="D121" t="str">
        <f t="shared" si="18"/>
        <v/>
      </c>
      <c r="F121" s="188"/>
      <c r="J121" s="406">
        <f t="shared" si="21"/>
        <v>0</v>
      </c>
      <c r="K121" s="404">
        <f t="shared" si="21"/>
        <v>0</v>
      </c>
      <c r="L121" s="46"/>
      <c r="M121" s="242">
        <f t="shared" si="24"/>
        <v>0</v>
      </c>
      <c r="O121" s="315" t="str">
        <f t="shared" si="19"/>
        <v/>
      </c>
      <c r="P121" t="str">
        <f t="shared" si="20"/>
        <v/>
      </c>
      <c r="Q121" s="46" t="str">
        <f t="shared" si="22"/>
        <v/>
      </c>
      <c r="R121" s="218" t="str">
        <f t="shared" ca="1" si="25"/>
        <v/>
      </c>
    </row>
    <row r="122" spans="3:18" ht="15" customHeight="1">
      <c r="C122" s="46" t="str">
        <f t="shared" si="17"/>
        <v/>
      </c>
      <c r="D122" t="str">
        <f t="shared" si="18"/>
        <v/>
      </c>
      <c r="F122" s="188"/>
      <c r="J122" s="406">
        <f t="shared" si="21"/>
        <v>0</v>
      </c>
      <c r="K122" s="404">
        <f t="shared" si="21"/>
        <v>0</v>
      </c>
      <c r="L122" s="46"/>
      <c r="M122" s="242">
        <f t="shared" si="24"/>
        <v>0</v>
      </c>
      <c r="O122" s="315" t="str">
        <f t="shared" si="19"/>
        <v/>
      </c>
      <c r="P122" t="str">
        <f t="shared" si="20"/>
        <v/>
      </c>
      <c r="Q122" s="46" t="str">
        <f t="shared" si="22"/>
        <v/>
      </c>
      <c r="R122" s="218" t="str">
        <f t="shared" ca="1" si="25"/>
        <v/>
      </c>
    </row>
    <row r="123" spans="3:18" ht="15" customHeight="1">
      <c r="C123" s="46" t="str">
        <f t="shared" si="17"/>
        <v/>
      </c>
      <c r="D123" t="str">
        <f t="shared" si="18"/>
        <v/>
      </c>
      <c r="F123" s="188"/>
      <c r="J123" s="406">
        <f t="shared" si="21"/>
        <v>0</v>
      </c>
      <c r="K123" s="404">
        <f t="shared" si="21"/>
        <v>0</v>
      </c>
      <c r="L123" s="46"/>
      <c r="M123" s="242">
        <f t="shared" si="24"/>
        <v>0</v>
      </c>
      <c r="O123" s="315" t="str">
        <f t="shared" si="19"/>
        <v/>
      </c>
      <c r="P123" t="str">
        <f t="shared" si="20"/>
        <v/>
      </c>
      <c r="Q123" s="46" t="str">
        <f t="shared" si="22"/>
        <v/>
      </c>
      <c r="R123" s="218" t="str">
        <f t="shared" ca="1" si="25"/>
        <v/>
      </c>
    </row>
    <row r="124" spans="3:18" ht="15" customHeight="1">
      <c r="C124" s="46" t="str">
        <f t="shared" si="17"/>
        <v/>
      </c>
      <c r="D124" t="str">
        <f t="shared" si="18"/>
        <v/>
      </c>
      <c r="F124" s="188"/>
      <c r="J124" s="406">
        <f t="shared" si="21"/>
        <v>0</v>
      </c>
      <c r="K124" s="404">
        <f t="shared" si="21"/>
        <v>0</v>
      </c>
      <c r="L124" s="46"/>
      <c r="M124" s="242">
        <f t="shared" si="24"/>
        <v>0</v>
      </c>
      <c r="O124" s="315" t="str">
        <f t="shared" si="19"/>
        <v/>
      </c>
      <c r="P124" t="str">
        <f t="shared" si="20"/>
        <v/>
      </c>
      <c r="Q124" s="46" t="str">
        <f t="shared" si="22"/>
        <v/>
      </c>
      <c r="R124" s="218" t="str">
        <f t="shared" ca="1" si="25"/>
        <v/>
      </c>
    </row>
    <row r="125" spans="3:18" ht="15" customHeight="1">
      <c r="C125" s="46" t="str">
        <f t="shared" si="17"/>
        <v/>
      </c>
      <c r="D125" t="str">
        <f t="shared" si="18"/>
        <v/>
      </c>
      <c r="F125" s="188"/>
      <c r="K125" s="404">
        <f t="shared" ref="K125:K132" si="26">J125</f>
        <v>0</v>
      </c>
      <c r="L125" s="46"/>
      <c r="M125" s="242">
        <f t="shared" si="24"/>
        <v>0</v>
      </c>
      <c r="O125" s="315" t="str">
        <f t="shared" si="19"/>
        <v/>
      </c>
      <c r="P125" t="str">
        <f t="shared" si="20"/>
        <v/>
      </c>
      <c r="Q125" s="46" t="str">
        <f t="shared" si="22"/>
        <v/>
      </c>
      <c r="R125" s="218" t="str">
        <f t="shared" ca="1" si="25"/>
        <v/>
      </c>
    </row>
    <row r="126" spans="3:18" ht="15" customHeight="1">
      <c r="C126" s="46" t="str">
        <f t="shared" si="17"/>
        <v/>
      </c>
      <c r="D126" t="str">
        <f t="shared" si="18"/>
        <v/>
      </c>
      <c r="F126" s="188"/>
      <c r="K126" s="404">
        <f t="shared" si="26"/>
        <v>0</v>
      </c>
      <c r="L126" s="46"/>
      <c r="M126" s="242">
        <f t="shared" si="24"/>
        <v>0</v>
      </c>
      <c r="O126" s="315" t="str">
        <f t="shared" si="19"/>
        <v/>
      </c>
      <c r="P126" t="str">
        <f t="shared" si="20"/>
        <v/>
      </c>
      <c r="Q126" s="46" t="str">
        <f t="shared" si="22"/>
        <v/>
      </c>
      <c r="R126" s="218" t="str">
        <f t="shared" ca="1" si="25"/>
        <v/>
      </c>
    </row>
    <row r="127" spans="3:18" ht="15" customHeight="1">
      <c r="C127" s="46" t="str">
        <f t="shared" si="17"/>
        <v/>
      </c>
      <c r="D127" t="str">
        <f t="shared" si="18"/>
        <v/>
      </c>
      <c r="F127" s="188"/>
      <c r="K127" s="404">
        <f t="shared" si="26"/>
        <v>0</v>
      </c>
      <c r="L127" s="46"/>
      <c r="M127" s="242">
        <f t="shared" si="24"/>
        <v>0</v>
      </c>
      <c r="O127" s="315" t="str">
        <f t="shared" si="19"/>
        <v/>
      </c>
      <c r="P127" t="str">
        <f t="shared" si="20"/>
        <v/>
      </c>
      <c r="Q127" s="46" t="str">
        <f t="shared" si="22"/>
        <v/>
      </c>
      <c r="R127" s="218" t="str">
        <f t="shared" ca="1" si="25"/>
        <v/>
      </c>
    </row>
    <row r="128" spans="3:18" ht="15" customHeight="1">
      <c r="C128" s="46" t="str">
        <f t="shared" si="17"/>
        <v/>
      </c>
      <c r="D128" t="str">
        <f t="shared" si="18"/>
        <v/>
      </c>
      <c r="F128" s="188"/>
      <c r="K128" s="404">
        <f t="shared" si="26"/>
        <v>0</v>
      </c>
      <c r="L128" s="46"/>
      <c r="M128" s="242">
        <f t="shared" si="24"/>
        <v>0</v>
      </c>
      <c r="O128" s="315" t="str">
        <f t="shared" si="19"/>
        <v/>
      </c>
      <c r="P128" t="str">
        <f t="shared" si="20"/>
        <v/>
      </c>
      <c r="Q128" s="46" t="str">
        <f t="shared" si="22"/>
        <v/>
      </c>
      <c r="R128" s="218" t="str">
        <f t="shared" ca="1" si="25"/>
        <v/>
      </c>
    </row>
    <row r="129" spans="3:18" ht="15" customHeight="1">
      <c r="C129" s="46" t="str">
        <f t="shared" si="17"/>
        <v/>
      </c>
      <c r="D129" t="str">
        <f t="shared" si="18"/>
        <v/>
      </c>
      <c r="F129" s="188"/>
      <c r="K129" s="404">
        <f t="shared" si="26"/>
        <v>0</v>
      </c>
      <c r="L129" s="46"/>
      <c r="M129" s="242">
        <f t="shared" si="24"/>
        <v>0</v>
      </c>
      <c r="P129" t="str">
        <f t="shared" si="20"/>
        <v/>
      </c>
      <c r="Q129" s="46" t="str">
        <f t="shared" si="22"/>
        <v/>
      </c>
      <c r="R129" s="218" t="str">
        <f t="shared" ca="1" si="25"/>
        <v/>
      </c>
    </row>
    <row r="130" spans="3:18" ht="15" customHeight="1">
      <c r="C130" s="46" t="str">
        <f t="shared" si="17"/>
        <v/>
      </c>
      <c r="D130" t="str">
        <f t="shared" si="18"/>
        <v/>
      </c>
      <c r="F130" s="188"/>
      <c r="K130" s="404">
        <f t="shared" si="26"/>
        <v>0</v>
      </c>
      <c r="L130" s="46"/>
      <c r="M130" s="242">
        <f t="shared" si="24"/>
        <v>0</v>
      </c>
      <c r="P130" t="str">
        <f t="shared" si="20"/>
        <v/>
      </c>
      <c r="Q130" s="46" t="str">
        <f t="shared" si="22"/>
        <v/>
      </c>
      <c r="R130" s="218" t="str">
        <f t="shared" ca="1" si="25"/>
        <v/>
      </c>
    </row>
    <row r="131" spans="3:18" ht="15" customHeight="1">
      <c r="C131" s="46" t="str">
        <f t="shared" ref="C131:C132" si="27">IF(B131&lt;&gt;"",PROPER(TEXT(B131,"mmmm")),"")</f>
        <v/>
      </c>
      <c r="D131" t="str">
        <f t="shared" ref="D131:D132" si="28">IF(B131&lt;&gt;"",TEXT(B131,"aaaa"),"")</f>
        <v/>
      </c>
      <c r="F131" s="188"/>
      <c r="K131" s="404">
        <f t="shared" si="26"/>
        <v>0</v>
      </c>
      <c r="L131" s="46"/>
      <c r="M131" s="242">
        <f t="shared" si="24"/>
        <v>0</v>
      </c>
      <c r="P131" t="str">
        <f t="shared" ref="P131" si="29">IF(N131&lt;&gt;"",TEXT(N131,"aaaa"),"")</f>
        <v/>
      </c>
      <c r="Q131" s="46" t="str">
        <f t="shared" si="22"/>
        <v/>
      </c>
      <c r="R131" s="218" t="str">
        <f t="shared" ca="1" si="25"/>
        <v/>
      </c>
    </row>
    <row r="132" spans="3:18" ht="15" customHeight="1">
      <c r="C132" s="46" t="str">
        <f t="shared" si="27"/>
        <v/>
      </c>
      <c r="D132" t="str">
        <f t="shared" si="28"/>
        <v/>
      </c>
      <c r="F132" s="188"/>
      <c r="K132" s="404">
        <f t="shared" si="26"/>
        <v>0</v>
      </c>
      <c r="L132" s="46"/>
      <c r="M132" s="242">
        <f t="shared" si="24"/>
        <v>0</v>
      </c>
      <c r="R132" s="218" t="str">
        <f t="shared" ref="R132" ca="1" si="30">IF(Q132="PAGO", "✓ OK", IF(Q132="A PAGAR", IF(N132&lt;TODAY(), "⚠ EM ATRASO", "EM DIA"), ""))</f>
        <v/>
      </c>
    </row>
    <row r="133" spans="3:18" ht="15" customHeight="1">
      <c r="F133" s="188"/>
      <c r="L133" s="46"/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</sheetData>
  <autoFilter ref="B6:Q132" xr:uid="{00000000-0001-0000-0100-000000000000}"/>
  <dataConsolidate/>
  <mergeCells count="1">
    <mergeCell ref="E3:F3"/>
  </mergeCells>
  <phoneticPr fontId="72" type="noConversion"/>
  <conditionalFormatting sqref="B7:R9247">
    <cfRule type="expression" dxfId="33" priority="21">
      <formula>$R7="⚠️ EM ATRASO"</formula>
    </cfRule>
  </conditionalFormatting>
  <conditionalFormatting sqref="C1:D1">
    <cfRule type="cellIs" dxfId="32" priority="14" operator="lessThan">
      <formula>0</formula>
    </cfRule>
    <cfRule type="cellIs" dxfId="31" priority="15" operator="greaterThan">
      <formula>0</formula>
    </cfRule>
  </conditionalFormatting>
  <conditionalFormatting sqref="K1:K1048576">
    <cfRule type="cellIs" dxfId="30" priority="8" operator="equal">
      <formula>0</formula>
    </cfRule>
  </conditionalFormatting>
  <conditionalFormatting sqref="L3:L4">
    <cfRule type="containsText" dxfId="29" priority="16" operator="containsText" text="OK">
      <formula>NOT(ISERROR(SEARCH(("OK"),(L3))))</formula>
    </cfRule>
    <cfRule type="containsText" dxfId="28" priority="17" operator="containsText" text="ERRO">
      <formula>NOT(ISERROR(SEARCH(("ERRO"),(L3))))</formula>
    </cfRule>
  </conditionalFormatting>
  <conditionalFormatting sqref="Q1:Q1048576">
    <cfRule type="cellIs" dxfId="27" priority="9" operator="equal">
      <formula>"A PAGAR"</formula>
    </cfRule>
    <cfRule type="cellIs" dxfId="26" priority="10" operator="equal">
      <formula>"PAGO"</formula>
    </cfRule>
  </conditionalFormatting>
  <conditionalFormatting sqref="R1:R1048576">
    <cfRule type="containsText" dxfId="25" priority="5" stopIfTrue="1" operator="containsText" text="✔ OK">
      <formula>NOT(ISERROR(SEARCH("✔ OK",R1)))</formula>
    </cfRule>
    <cfRule type="containsText" dxfId="24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2:P1048576 P1:P6 O1:O1048576" xr:uid="{5FD9C375-511C-4C7B-9278-05824CFFB273}"/>
    <dataValidation type="list" allowBlank="1" showInputMessage="1" showErrorMessage="1" sqref="L7:L189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E8" sqref="E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3" t="s">
        <v>58</v>
      </c>
      <c r="E6" s="533" t="s">
        <v>223</v>
      </c>
      <c r="F6" s="533" t="s">
        <v>219</v>
      </c>
      <c r="G6" s="524" t="s">
        <v>213</v>
      </c>
      <c r="H6" s="525" t="s">
        <v>218</v>
      </c>
      <c r="I6" s="50" t="s">
        <v>59</v>
      </c>
      <c r="J6" s="244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237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224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3" priority="20">
      <formula>#REF!="⚠️ EM ATRASO"</formula>
    </cfRule>
  </conditionalFormatting>
  <conditionalFormatting sqref="G38:G221">
    <cfRule type="expression" dxfId="22" priority="19">
      <formula>#REF!=LARGE((#REF!)*((#REF!)&lt;TODAY()),1)</formula>
    </cfRule>
  </conditionalFormatting>
  <conditionalFormatting sqref="G130:G221">
    <cfRule type="expression" dxfId="21" priority="2">
      <formula>G130=LARGE(G$6:G$36,1)</formula>
    </cfRule>
    <cfRule type="expression" dxfId="20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63" t="s">
        <v>61</v>
      </c>
      <c r="H1" s="564"/>
      <c r="I1" s="248" t="s">
        <v>62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65" t="s">
        <v>37</v>
      </c>
      <c r="C2" s="566"/>
      <c r="D2" s="566"/>
      <c r="E2" s="567"/>
      <c r="F2" s="206"/>
      <c r="G2" s="57" t="s">
        <v>63</v>
      </c>
      <c r="H2" s="58" t="s">
        <v>64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quarta-feira</v>
      </c>
      <c r="E3" s="196">
        <f ca="1">TODAY()</f>
        <v>46190</v>
      </c>
      <c r="F3" s="206"/>
      <c r="G3" s="61">
        <v>46174</v>
      </c>
      <c r="H3" s="61">
        <v>46203</v>
      </c>
      <c r="I3" s="251" t="s">
        <v>66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9" t="str">
        <f t="shared" ca="1" si="0"/>
        <v>quinta-feira</v>
      </c>
      <c r="E4" s="250">
        <f t="shared" ref="E4:E10" ca="1" si="1">E3+1</f>
        <v>46191</v>
      </c>
      <c r="F4" s="368"/>
      <c r="G4" s="252" t="s">
        <v>68</v>
      </c>
      <c r="H4" s="338">
        <f>SUMIFS('📋 Despesas'!J7:J17824,'📋 Despesas'!N7:N17824,"&gt;="&amp;G3,'📋 Despesas'!N7:N17824,"&lt;="&amp;H3)</f>
        <v>5943.0300000000007</v>
      </c>
      <c r="I4" s="63">
        <f>I2-H4</f>
        <v>-5943.0300000000007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9" t="str">
        <f t="shared" ca="1" si="0"/>
        <v>sexta-feira</v>
      </c>
      <c r="E5" s="250">
        <f t="shared" ca="1" si="1"/>
        <v>46192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9" t="str">
        <f t="shared" ca="1" si="0"/>
        <v>sábado</v>
      </c>
      <c r="E6" s="250">
        <f t="shared" ca="1" si="1"/>
        <v>46193</v>
      </c>
      <c r="F6" s="53"/>
      <c r="G6" s="201" t="s">
        <v>71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9" t="str">
        <f t="shared" ca="1" si="0"/>
        <v>domingo</v>
      </c>
      <c r="E7" s="250">
        <f t="shared" ca="1" si="1"/>
        <v>46194</v>
      </c>
      <c r="F7" s="53"/>
      <c r="G7" s="202" t="s">
        <v>73</v>
      </c>
      <c r="H7" s="214">
        <f>I4+H6</f>
        <v>4556.9699999999993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9" t="str">
        <f t="shared" ca="1" si="0"/>
        <v>segunda-feira</v>
      </c>
      <c r="E8" s="250">
        <f t="shared" ca="1" si="1"/>
        <v>46195</v>
      </c>
      <c r="F8" s="53"/>
      <c r="G8" s="203" t="s">
        <v>75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193</v>
      </c>
      <c r="C9" s="197">
        <f ca="1">IFERROR(SUMIFS('📋 Despesas'!$K:$K,'📋 Despesas'!$N:$N,E9),"S/D")</f>
        <v>0</v>
      </c>
      <c r="D9" s="249" t="str">
        <f t="shared" ca="1" si="0"/>
        <v>terça-feira</v>
      </c>
      <c r="E9" s="250">
        <f t="shared" ca="1" si="1"/>
        <v>46196</v>
      </c>
      <c r="F9" s="53"/>
      <c r="G9" s="203" t="s">
        <v>76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194</v>
      </c>
      <c r="C10" s="197">
        <f ca="1">IFERROR(SUMIFS('📋 Despesas'!$K:$K,'📋 Despesas'!$N:$N,E10),"S/D")</f>
        <v>0</v>
      </c>
      <c r="D10" s="249" t="str">
        <f t="shared" ca="1" si="0"/>
        <v>quarta-feira</v>
      </c>
      <c r="E10" s="250">
        <f t="shared" ca="1" si="1"/>
        <v>46197</v>
      </c>
      <c r="F10" s="53"/>
      <c r="G10" s="205" t="s">
        <v>77</v>
      </c>
      <c r="H10" s="219">
        <f>H7+H8+H9</f>
        <v>4556.9699999999993</v>
      </c>
      <c r="I10" s="54"/>
      <c r="J10" s="53"/>
      <c r="K10" s="392">
        <f>I2-(SUMIFS('📋 Despesas'!M7:M8182,'📋 Despesas'!N7:N8182,"&gt;="&amp;G3,'📋 Despesas'!N7:N8182,"&lt;="&amp;H11))+H8+H9+H6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78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Despesas'!E7:J17824, ('📋 Despesas'!N7:N17824=H11) * ('📋 Despesas'!K7:K17824&gt;0)),"Sem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810.03000000000065</v>
      </c>
      <c r="E13" s="384">
        <f ca="1">'📋 Despesas'!K4</f>
        <v>5133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62" t="s">
        <v>79</v>
      </c>
      <c r="C14" s="553"/>
      <c r="D14" s="553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56</v>
      </c>
      <c r="D15" s="68" t="s">
        <v>80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4183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950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2670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9" priority="3">
      <formula>$D16&gt;0</formula>
    </cfRule>
  </conditionalFormatting>
  <conditionalFormatting sqref="I4">
    <cfRule type="cellIs" dxfId="18" priority="4" operator="lessThan">
      <formula>0</formula>
    </cfRule>
    <cfRule type="cellIs" dxfId="17" priority="5" operator="greaterThan">
      <formula>0</formula>
    </cfRule>
  </conditionalFormatting>
  <conditionalFormatting sqref="I11">
    <cfRule type="expression" dxfId="16" priority="1">
      <formula>$D17&gt;0</formula>
    </cfRule>
  </conditionalFormatting>
  <conditionalFormatting sqref="K1">
    <cfRule type="expression" dxfId="15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O10" sqref="O10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68" t="s">
        <v>81</v>
      </c>
      <c r="C2" s="569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82</v>
      </c>
      <c r="C3" s="513">
        <v>2026</v>
      </c>
      <c r="D3" s="448" t="s">
        <v>83</v>
      </c>
      <c r="E3" s="448" t="s">
        <v>84</v>
      </c>
      <c r="F3" s="448" t="s">
        <v>85</v>
      </c>
      <c r="G3" s="448" t="s">
        <v>86</v>
      </c>
      <c r="H3" s="448" t="s">
        <v>87</v>
      </c>
      <c r="I3" s="448" t="s">
        <v>88</v>
      </c>
      <c r="J3" s="448" t="s">
        <v>89</v>
      </c>
      <c r="K3" s="448" t="s">
        <v>90</v>
      </c>
      <c r="L3" s="448" t="s">
        <v>91</v>
      </c>
      <c r="M3" s="448" t="s">
        <v>92</v>
      </c>
      <c r="N3" s="448" t="s">
        <v>93</v>
      </c>
      <c r="O3" s="448" t="s">
        <v>94</v>
      </c>
      <c r="Q3" s="366"/>
    </row>
    <row r="4" spans="1:17" ht="18">
      <c r="A4" s="75"/>
      <c r="B4" s="449" t="s">
        <v>95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215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96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196</v>
      </c>
      <c r="C7" s="522">
        <f>SUMIFS($D7:$Q7,$D$2:$Q$2,$C$3)</f>
        <v>10133.030000000001</v>
      </c>
      <c r="D7" s="522">
        <f t="shared" ref="D7:O7" si="5">SUM(D8:D27)</f>
        <v>0</v>
      </c>
      <c r="E7" s="522">
        <f t="shared" si="5"/>
        <v>0</v>
      </c>
      <c r="F7" s="522">
        <f t="shared" si="5"/>
        <v>0</v>
      </c>
      <c r="G7" s="522">
        <f t="shared" si="5"/>
        <v>1715.44</v>
      </c>
      <c r="H7" s="522">
        <f t="shared" si="5"/>
        <v>3000</v>
      </c>
      <c r="I7" s="522">
        <f t="shared" si="5"/>
        <v>4827.59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6853</v>
      </c>
      <c r="D9" s="459">
        <f>SUMIFS('📋 Despesas'!$J$7:$J$17824,'📋 Despesas'!$F$7:$F$17824,$B9,'📋 Despesas'!$C$7:$C$17824,D$3,'📋 Despesas'!$D$7:$D$17824,D$2)</f>
        <v>0</v>
      </c>
      <c r="E9" s="459">
        <f>SUMIFS('📋 Despesas'!$J$7:$J$17824,'📋 Despesas'!$F$7:$F$17824,$B9,'📋 Despesas'!$C$7:$C$17824,E$3,'📋 Despesas'!$D$7:$D$17824,E$2)</f>
        <v>0</v>
      </c>
      <c r="F9" s="459">
        <f>SUMIFS('📋 Despesas'!$J$7:$J$17824,'📋 Despesas'!$F$7:$F$17824,$B9,'📋 Despesas'!$C$7:$C$17824,F$3,'📋 Despesas'!$D$7:$D$17824,F$2)</f>
        <v>0</v>
      </c>
      <c r="G9" s="459">
        <f>SUMIFS('📋 Despesas'!$J$7:$J$17824,'📋 Despesas'!$F$7:$F$17824,$B9,'📋 Despesas'!$C$7:$C$17824,G$3,'📋 Despesas'!$D$7:$D$17824,G$2)</f>
        <v>1513</v>
      </c>
      <c r="H9" s="459">
        <f>SUMIFS('📋 Despesas'!$J$7:$J$17824,'📋 Despesas'!$F$7:$F$17824,$B9,'📋 Despesas'!$C$7:$C$17824,H$3,'📋 Despesas'!$D$7:$D$17824,H$2)</f>
        <v>2670</v>
      </c>
      <c r="I9" s="459">
        <f>SUMIFS('📋 Despesas'!$J$7:$J$17824,'📋 Despesas'!$F$7:$F$17824,$B9,'📋 Despesas'!$C$7:$C$17824,I$3,'📋 Despesas'!$D$7:$D$17824,I$2)</f>
        <v>2670</v>
      </c>
      <c r="J9" s="459">
        <f>SUMIFS('📋 Despesas'!$J$7:$J$17824,'📋 Despesas'!$F$7:$F$17824,$B9,'📋 Despesas'!$C$7:$C$17824,J$3,'📋 Despesas'!$D$7:$D$17824,J$2)</f>
        <v>0</v>
      </c>
      <c r="K9" s="459">
        <f>SUMIFS('📋 Despesas'!$J$7:$J$17824,'📋 Despesas'!$F$7:$F$17824,$B9,'📋 Despesas'!$C$7:$C$17824,K$3,'📋 Despesas'!$D$7:$D$17824,K$2)</f>
        <v>0</v>
      </c>
      <c r="L9" s="459">
        <f>SUMIFS('📋 Despesas'!$J$7:$J$17824,'📋 Despesas'!$F$7:$F$17824,$B9,'📋 Despesas'!$C$7:$C$17824,L$3,'📋 Despesas'!$D$7:$D$17824,L$2)</f>
        <v>0</v>
      </c>
      <c r="M9" s="459">
        <f>SUMIFS('📋 Despesas'!$J$7:$J$17824,'📋 Despesas'!$F$7:$F$17824,$B9,'📋 Despesas'!$C$7:$C$17824,M$3,'📋 Despesas'!$D$7:$D$17824,M$2)</f>
        <v>0</v>
      </c>
      <c r="N9" s="459">
        <f>SUMIFS('📋 Despesas'!$J$7:$J$17824,'📋 Despesas'!$F$7:$F$17824,$B9,'📋 Despesas'!$C$7:$C$17824,N$3,'📋 Despesas'!$D$7:$D$17824,N$2)</f>
        <v>0</v>
      </c>
      <c r="O9" s="459">
        <f>SUMIFS('📋 Despesas'!$J$7:$J$17824,'📋 Despesas'!$F$7:$F$17824,$B9,'📋 Despesas'!$C$7:$C$17824,O$3,'📋 Despesas'!$D$7:$D$17824,O$2)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211</v>
      </c>
      <c r="C10" s="459">
        <f t="shared" si="6"/>
        <v>862.44</v>
      </c>
      <c r="D10" s="459">
        <f>SUMIFS('📋 Despesas'!$J$7:$J$17824,'📋 Despesas'!$F$7:$F$17824,$B10,'📋 Despesas'!$C$7:$C$17824,D$3,'📋 Despesas'!$D$7:$D$17824,D$2)</f>
        <v>0</v>
      </c>
      <c r="E10" s="459">
        <f>SUMIFS('📋 Despesas'!$J$7:$J$17824,'📋 Despesas'!$F$7:$F$17824,$B10,'📋 Despesas'!$C$7:$C$17824,E$3,'📋 Despesas'!$D$7:$D$17824,E$2)</f>
        <v>0</v>
      </c>
      <c r="F10" s="459">
        <f>SUMIFS('📋 Despesas'!$J$7:$J$17824,'📋 Despesas'!$F$7:$F$17824,$B10,'📋 Despesas'!$C$7:$C$17824,F$3,'📋 Despesas'!$D$7:$D$17824,F$2)</f>
        <v>0</v>
      </c>
      <c r="G10" s="459">
        <f>SUMIFS('📋 Despesas'!$J$7:$J$17824,'📋 Despesas'!$F$7:$F$17824,$B10,'📋 Despesas'!$C$7:$C$17824,G$3,'📋 Despesas'!$D$7:$D$17824,G$2)</f>
        <v>202.44</v>
      </c>
      <c r="H10" s="459">
        <f>SUMIFS('📋 Despesas'!$J$7:$J$17824,'📋 Despesas'!$F$7:$F$17824,$B10,'📋 Despesas'!$C$7:$C$17824,H$3,'📋 Despesas'!$D$7:$D$17824,H$2)</f>
        <v>330</v>
      </c>
      <c r="I10" s="459">
        <f>SUMIFS('📋 Despesas'!$J$7:$J$17824,'📋 Despesas'!$F$7:$F$17824,$B10,'📋 Despesas'!$C$7:$C$17824,I$3,'📋 Despesas'!$D$7:$D$17824,I$2)</f>
        <v>330</v>
      </c>
      <c r="J10" s="459">
        <f>SUMIFS('📋 Despesas'!$J$7:$J$17824,'📋 Despesas'!$F$7:$F$17824,$B10,'📋 Despesas'!$C$7:$C$17824,J$3,'📋 Despesas'!$D$7:$D$17824,J$2)</f>
        <v>0</v>
      </c>
      <c r="K10" s="459">
        <f>SUMIFS('📋 Despesas'!$J$7:$J$17824,'📋 Despesas'!$F$7:$F$17824,$B10,'📋 Despesas'!$C$7:$C$17824,K$3,'📋 Despesas'!$D$7:$D$17824,K$2)</f>
        <v>0</v>
      </c>
      <c r="L10" s="459">
        <f>SUMIFS('📋 Despesas'!$J$7:$J$17824,'📋 Despesas'!$F$7:$F$17824,$B10,'📋 Despesas'!$C$7:$C$17824,L$3,'📋 Despesas'!$D$7:$D$17824,L$2)</f>
        <v>0</v>
      </c>
      <c r="M10" s="459">
        <f>SUMIFS('📋 Despesas'!$J$7:$J$17824,'📋 Despesas'!$F$7:$F$17824,$B10,'📋 Despesas'!$C$7:$C$17824,M$3,'📋 Despesas'!$D$7:$D$17824,M$2)</f>
        <v>0</v>
      </c>
      <c r="N10" s="459">
        <f>SUMIFS('📋 Despesas'!$J$7:$J$17824,'📋 Despesas'!$F$7:$F$17824,$B10,'📋 Despesas'!$C$7:$C$17824,N$3,'📋 Despesas'!$D$7:$D$17824,N$2)</f>
        <v>0</v>
      </c>
      <c r="O10" s="459">
        <f>SUMIFS('📋 Despesas'!$J$7:$J$17824,'📋 Despesas'!$F$7:$F$17824,$B10,'📋 Despesas'!$C$7:$C$17824,O$3,'📋 Despesas'!$D$7:$D$17824,O$2)</f>
        <v>0</v>
      </c>
      <c r="P10" s="78"/>
      <c r="Q10" s="76" t="str">
        <v>INSS</v>
      </c>
    </row>
    <row r="11" spans="1:17" ht="18">
      <c r="A11" s="76"/>
      <c r="B11" s="458" t="s">
        <v>240</v>
      </c>
      <c r="C11" s="459">
        <f t="shared" si="6"/>
        <v>0</v>
      </c>
      <c r="D11" s="459">
        <f>SUMIFS('📋 Despesas'!$J$7:$J$17824,'📋 Despesas'!$F$7:$F$17824,$B11,'📋 Despesas'!$C$7:$C$17824,D$3,'📋 Despesas'!$D$7:$D$17824,D$2)</f>
        <v>0</v>
      </c>
      <c r="E11" s="459">
        <f>SUMIFS('📋 Despesas'!$J$7:$J$17824,'📋 Despesas'!$F$7:$F$17824,$B11,'📋 Despesas'!$C$7:$C$17824,E$3,'📋 Despesas'!$D$7:$D$17824,E$2)</f>
        <v>0</v>
      </c>
      <c r="F11" s="459">
        <f>SUMIFS('📋 Despesas'!$J$7:$J$17824,'📋 Despesas'!$F$7:$F$17824,$B11,'📋 Despesas'!$C$7:$C$17824,F$3,'📋 Despesas'!$D$7:$D$17824,F$2)</f>
        <v>0</v>
      </c>
      <c r="G11" s="459">
        <f>SUMIFS('📋 Despesas'!$J$7:$J$17824,'📋 Despesas'!$F$7:$F$17824,$B11,'📋 Despesas'!$C$7:$C$17824,G$3,'📋 Despesas'!$D$7:$D$17824,G$2)</f>
        <v>0</v>
      </c>
      <c r="H11" s="459">
        <f>SUMIFS('📋 Despesas'!$J$7:$J$17824,'📋 Despesas'!$F$7:$F$17824,$B11,'📋 Despesas'!$C$7:$C$17824,H$3,'📋 Despesas'!$D$7:$D$17824,H$2)</f>
        <v>0</v>
      </c>
      <c r="I11" s="459">
        <f>SUMIFS('📋 Despesas'!$J$7:$J$17824,'📋 Despesas'!$F$7:$F$17824,$B11,'📋 Despesas'!$C$7:$C$17824,I$3,'📋 Despesas'!$D$7:$D$17824,I$2)</f>
        <v>0</v>
      </c>
      <c r="J11" s="459">
        <f>SUMIFS('📋 Despesas'!$J$7:$J$17824,'📋 Despesas'!$F$7:$F$17824,$B11,'📋 Despesas'!$C$7:$C$17824,J$3,'📋 Despesas'!$D$7:$D$17824,J$2)</f>
        <v>0</v>
      </c>
      <c r="K11" s="459">
        <f>SUMIFS('📋 Despesas'!$J$7:$J$17824,'📋 Despesas'!$F$7:$F$17824,$B11,'📋 Despesas'!$C$7:$C$17824,K$3,'📋 Despesas'!$D$7:$D$17824,K$2)</f>
        <v>0</v>
      </c>
      <c r="L11" s="459">
        <f>SUMIFS('📋 Despesas'!$J$7:$J$17824,'📋 Despesas'!$F$7:$F$17824,$B11,'📋 Despesas'!$C$7:$C$17824,L$3,'📋 Despesas'!$D$7:$D$17824,L$2)</f>
        <v>0</v>
      </c>
      <c r="M11" s="459">
        <f>SUMIFS('📋 Despesas'!$J$7:$J$17824,'📋 Despesas'!$F$7:$F$17824,$B11,'📋 Despesas'!$C$7:$C$17824,M$3,'📋 Despesas'!$D$7:$D$17824,M$2)</f>
        <v>0</v>
      </c>
      <c r="N11" s="459">
        <f>SUMIFS('📋 Despesas'!$J$7:$J$17824,'📋 Despesas'!$F$7:$F$17824,$B11,'📋 Despesas'!$C$7:$C$17824,N$3,'📋 Despesas'!$D$7:$D$17824,N$2)</f>
        <v>0</v>
      </c>
      <c r="O11" s="459">
        <f>SUMIFS('📋 Despesas'!$J$7:$J$17824,'📋 Despesas'!$F$7:$F$17824,$B11,'📋 Despesas'!$C$7:$C$17824,O$3,'📋 Despesas'!$D$7:$D$17824,O$2)</f>
        <v>0</v>
      </c>
      <c r="P11" s="78"/>
      <c r="Q11" s="76" t="str">
        <v>DL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Despesas'!$J$7:$J$17824,'📋 Despesas'!$F$7:$F$17824,$B12,'📋 Despesas'!$C$7:$C$17824,D$3,'📋 Despesas'!$D$7:$D$17824,D$2)</f>
        <v>0</v>
      </c>
      <c r="E12" s="459">
        <f>SUMIFS('📋 Despesas'!$J$7:$J$17824,'📋 Despesas'!$F$7:$F$17824,$B12,'📋 Despesas'!$C$7:$C$17824,E$3,'📋 Despesas'!$D$7:$D$17824,E$2)</f>
        <v>0</v>
      </c>
      <c r="F12" s="459">
        <f>SUMIFS('📋 Despesas'!$J$7:$J$17824,'📋 Despesas'!$F$7:$F$17824,$B12,'📋 Despesas'!$C$7:$C$17824,F$3,'📋 Despesas'!$D$7:$D$17824,F$2)</f>
        <v>0</v>
      </c>
      <c r="G12" s="459">
        <f>SUMIFS('📋 Despesas'!$J$7:$J$17824,'📋 Despesas'!$F$7:$F$17824,$B12,'📋 Despesas'!$C$7:$C$17824,G$3,'📋 Despesas'!$D$7:$D$17824,G$2)</f>
        <v>0</v>
      </c>
      <c r="H12" s="459">
        <f>SUMIFS('📋 Despesas'!$J$7:$J$17824,'📋 Despesas'!$F$7:$F$17824,$B12,'📋 Despesas'!$C$7:$C$17824,H$3,'📋 Despesas'!$D$7:$D$17824,H$2)</f>
        <v>0</v>
      </c>
      <c r="I12" s="459">
        <f>SUMIFS('📋 Despesas'!$J$7:$J$17824,'📋 Despesas'!$F$7:$F$17824,$B12,'📋 Despesas'!$C$7:$C$17824,I$3,'📋 Despesas'!$D$7:$D$17824,I$2)</f>
        <v>950</v>
      </c>
      <c r="J12" s="459">
        <f>SUMIFS('📋 Despesas'!$J$7:$J$17824,'📋 Despesas'!$F$7:$F$17824,$B12,'📋 Despesas'!$C$7:$C$17824,J$3,'📋 Despesas'!$D$7:$D$17824,J$2)</f>
        <v>590</v>
      </c>
      <c r="K12" s="459">
        <f>SUMIFS('📋 Despesas'!$J$7:$J$17824,'📋 Despesas'!$F$7:$F$17824,$B12,'📋 Despesas'!$C$7:$C$17824,K$3,'📋 Despesas'!$D$7:$D$17824,K$2)</f>
        <v>0</v>
      </c>
      <c r="L12" s="459">
        <f>SUMIFS('📋 Despesas'!$J$7:$J$17824,'📋 Despesas'!$F$7:$F$17824,$B12,'📋 Despesas'!$C$7:$C$17824,L$3,'📋 Despesas'!$D$7:$D$17824,L$2)</f>
        <v>0</v>
      </c>
      <c r="M12" s="459">
        <f>SUMIFS('📋 Despesas'!$J$7:$J$17824,'📋 Despesas'!$F$7:$F$17824,$B12,'📋 Despesas'!$C$7:$C$17824,M$3,'📋 Despesas'!$D$7:$D$17824,M$2)</f>
        <v>0</v>
      </c>
      <c r="N12" s="459">
        <f>SUMIFS('📋 Despesas'!$J$7:$J$17824,'📋 Despesas'!$F$7:$F$17824,$B12,'📋 Despesas'!$C$7:$C$17824,N$3,'📋 Despesas'!$D$7:$D$17824,N$2)</f>
        <v>0</v>
      </c>
      <c r="O12" s="459">
        <f>SUMIFS('📋 Despesas'!$J$7:$J$17824,'📋 Despesas'!$F$7:$F$17824,$B12,'📋 Despesas'!$C$7:$C$17824,O$3,'📋 Despesas'!$D$7:$D$17824,O$2)</f>
        <v>0</v>
      </c>
      <c r="P12" s="78"/>
      <c r="Q12" s="76" t="str">
        <v>CONTABILIDADE</v>
      </c>
    </row>
    <row r="13" spans="1:17" ht="18">
      <c r="A13" s="76"/>
      <c r="B13" s="458" t="s">
        <v>214</v>
      </c>
      <c r="C13" s="459">
        <f t="shared" si="6"/>
        <v>0</v>
      </c>
      <c r="D13" s="459">
        <f>SUMIFS('📋 Despesas'!$J$7:$J$17824,'📋 Despesas'!$F$7:$F$17824,$B13,'📋 Despesas'!$C$7:$C$17824,D$3,'📋 Despesas'!$D$7:$D$17824,D$2)</f>
        <v>0</v>
      </c>
      <c r="E13" s="459">
        <f>SUMIFS('📋 Despesas'!$J$7:$J$17824,'📋 Despesas'!$F$7:$F$17824,$B13,'📋 Despesas'!$C$7:$C$17824,E$3,'📋 Despesas'!$D$7:$D$17824,E$2)</f>
        <v>0</v>
      </c>
      <c r="F13" s="459">
        <f>SUMIFS('📋 Despesas'!$J$7:$J$17824,'📋 Despesas'!$F$7:$F$17824,$B13,'📋 Despesas'!$C$7:$C$17824,F$3,'📋 Despesas'!$D$7:$D$17824,F$2)</f>
        <v>0</v>
      </c>
      <c r="G13" s="459">
        <f>SUMIFS('📋 Despesas'!$J$7:$J$17824,'📋 Despesas'!$F$7:$F$17824,$B13,'📋 Despesas'!$C$7:$C$17824,G$3,'📋 Despesas'!$D$7:$D$17824,G$2)</f>
        <v>0</v>
      </c>
      <c r="H13" s="459">
        <f>SUMIFS('📋 Despesas'!$J$7:$J$17824,'📋 Despesas'!$F$7:$F$17824,$B13,'📋 Despesas'!$C$7:$C$17824,H$3,'📋 Despesas'!$D$7:$D$17824,H$2)</f>
        <v>0</v>
      </c>
      <c r="I13" s="459">
        <f>SUMIFS('📋 Despesas'!$J$7:$J$17824,'📋 Despesas'!$F$7:$F$17824,$B13,'📋 Despesas'!$C$7:$C$17824,I$3,'📋 Despesas'!$D$7:$D$17824,I$2)</f>
        <v>0</v>
      </c>
      <c r="J13" s="459">
        <f>SUMIFS('📋 Despesas'!$J$7:$J$17824,'📋 Despesas'!$F$7:$F$17824,$B13,'📋 Despesas'!$C$7:$C$17824,J$3,'📋 Despesas'!$D$7:$D$17824,J$2)</f>
        <v>0</v>
      </c>
      <c r="K13" s="459">
        <f>SUMIFS('📋 Despesas'!$J$7:$J$17824,'📋 Despesas'!$F$7:$F$17824,$B13,'📋 Despesas'!$C$7:$C$17824,K$3,'📋 Despesas'!$D$7:$D$17824,K$2)</f>
        <v>0</v>
      </c>
      <c r="L13" s="459">
        <f>SUMIFS('📋 Despesas'!$J$7:$J$17824,'📋 Despesas'!$F$7:$F$17824,$B13,'📋 Despesas'!$C$7:$C$17824,L$3,'📋 Despesas'!$D$7:$D$17824,L$2)</f>
        <v>0</v>
      </c>
      <c r="M13" s="459">
        <f>SUMIFS('📋 Despesas'!$J$7:$J$17824,'📋 Despesas'!$F$7:$F$17824,$B13,'📋 Despesas'!$C$7:$C$17824,M$3,'📋 Despesas'!$D$7:$D$17824,M$2)</f>
        <v>0</v>
      </c>
      <c r="N13" s="459">
        <f>SUMIFS('📋 Despesas'!$J$7:$J$17824,'📋 Despesas'!$F$7:$F$17824,$B13,'📋 Despesas'!$C$7:$C$17824,N$3,'📋 Despesas'!$D$7:$D$17824,N$2)</f>
        <v>0</v>
      </c>
      <c r="O13" s="459">
        <f>SUMIFS('📋 Despesas'!$J$7:$J$17824,'📋 Despesas'!$F$7:$F$17824,$B13,'📋 Despesas'!$C$7:$C$17824,O$3,'📋 Despesas'!$D$7:$D$17824,O$2)</f>
        <v>0</v>
      </c>
      <c r="P13" s="78"/>
      <c r="Q13" s="76" t="str">
        <v>OUTROS</v>
      </c>
    </row>
    <row r="14" spans="1:17" ht="18">
      <c r="A14" s="76"/>
      <c r="B14" s="458" t="s">
        <v>225</v>
      </c>
      <c r="C14" s="459">
        <f t="shared" si="6"/>
        <v>277.59000000000003</v>
      </c>
      <c r="D14" s="459">
        <f>SUMIFS('📋 Despesas'!$J$7:$J$17824,'📋 Despesas'!$F$7:$F$17824,$B14,'📋 Despesas'!$C$7:$C$17824,D$3,'📋 Despesas'!$D$7:$D$17824,D$2)</f>
        <v>0</v>
      </c>
      <c r="E14" s="459">
        <f>SUMIFS('📋 Despesas'!$J$7:$J$17824,'📋 Despesas'!$F$7:$F$17824,$B14,'📋 Despesas'!$C$7:$C$17824,E$3,'📋 Despesas'!$D$7:$D$17824,E$2)</f>
        <v>0</v>
      </c>
      <c r="F14" s="459">
        <f>SUMIFS('📋 Despesas'!$J$7:$J$17824,'📋 Despesas'!$F$7:$F$17824,$B14,'📋 Despesas'!$C$7:$C$17824,F$3,'📋 Despesas'!$D$7:$D$17824,F$2)</f>
        <v>0</v>
      </c>
      <c r="G14" s="459">
        <f>SUMIFS('📋 Despesas'!$J$7:$J$17824,'📋 Despesas'!$F$7:$F$17824,$B14,'📋 Despesas'!$C$7:$C$17824,G$3,'📋 Despesas'!$D$7:$D$17824,G$2)</f>
        <v>0</v>
      </c>
      <c r="H14" s="459">
        <f>SUMIFS('📋 Despesas'!$J$7:$J$17824,'📋 Despesas'!$F$7:$F$17824,$B14,'📋 Despesas'!$C$7:$C$17824,H$3,'📋 Despesas'!$D$7:$D$17824,H$2)</f>
        <v>0</v>
      </c>
      <c r="I14" s="459">
        <f>SUMIFS('📋 Despesas'!$J$7:$J$17824,'📋 Despesas'!$F$7:$F$17824,$B14,'📋 Despesas'!$C$7:$C$17824,I$3,'📋 Despesas'!$D$7:$D$17824,I$2)</f>
        <v>277.59000000000003</v>
      </c>
      <c r="J14" s="459">
        <f>SUMIFS('📋 Despesas'!$J$7:$J$17824,'📋 Despesas'!$F$7:$F$17824,$B14,'📋 Despesas'!$C$7:$C$17824,J$3,'📋 Despesas'!$D$7:$D$17824,J$2)</f>
        <v>0</v>
      </c>
      <c r="K14" s="459">
        <f>SUMIFS('📋 Despesas'!$J$7:$J$17824,'📋 Despesas'!$F$7:$F$17824,$B14,'📋 Despesas'!$C$7:$C$17824,K$3,'📋 Despesas'!$D$7:$D$17824,K$2)</f>
        <v>0</v>
      </c>
      <c r="L14" s="459">
        <f>SUMIFS('📋 Despesas'!$J$7:$J$17824,'📋 Despesas'!$F$7:$F$17824,$B14,'📋 Despesas'!$C$7:$C$17824,L$3,'📋 Despesas'!$D$7:$D$17824,L$2)</f>
        <v>0</v>
      </c>
      <c r="M14" s="459">
        <f>SUMIFS('📋 Despesas'!$J$7:$J$17824,'📋 Despesas'!$F$7:$F$17824,$B14,'📋 Despesas'!$C$7:$C$17824,M$3,'📋 Despesas'!$D$7:$D$17824,M$2)</f>
        <v>0</v>
      </c>
      <c r="N14" s="459">
        <f>SUMIFS('📋 Despesas'!$J$7:$J$17824,'📋 Despesas'!$F$7:$F$17824,$B14,'📋 Despesas'!$C$7:$C$17824,N$3,'📋 Despesas'!$D$7:$D$17824,N$2)</f>
        <v>0</v>
      </c>
      <c r="O14" s="459">
        <f>SUMIFS('📋 Despesas'!$J$7:$J$17824,'📋 Despesas'!$F$7:$F$17824,$B14,'📋 Despesas'!$C$7:$C$17824,O$3,'📋 Despesas'!$D$7:$D$17824,O$2)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Despesas'!$J$7:$J$17824,'📋 Despesas'!$F$7:$F$17824,$B15,'📋 Despesas'!$C$7:$C$17824,D$3,'📋 Despesas'!$D$7:$D$17824,D$2)</f>
        <v>0</v>
      </c>
      <c r="E15" s="460">
        <f>SUMIFS('📋 Despesas'!$J$7:$J$17824,'📋 Despesas'!$F$7:$F$17824,$B15,'📋 Despesas'!$C$7:$C$17824,E$3,'📋 Despesas'!$D$7:$D$17824,E$2)</f>
        <v>0</v>
      </c>
      <c r="F15" s="460">
        <f>SUMIFS('📋 Despesas'!$J$7:$J$17824,'📋 Despesas'!$F$7:$F$17824,$B15,'📋 Despesas'!$C$7:$C$17824,F$3,'📋 Despesas'!$D$7:$D$17824,F$2)</f>
        <v>0</v>
      </c>
      <c r="G15" s="460">
        <f>SUMIFS('📋 Despesas'!$J$7:$J$17824,'📋 Despesas'!$F$7:$F$17824,$B15,'📋 Despesas'!$C$7:$C$17824,G$3,'📋 Despesas'!$D$7:$D$17824,G$2)</f>
        <v>0</v>
      </c>
      <c r="H15" s="460">
        <f>SUMIFS('📋 Despesas'!$J$7:$J$17824,'📋 Despesas'!$F$7:$F$17824,$B15,'📋 Despesas'!$C$7:$C$17824,H$3,'📋 Despesas'!$D$7:$D$17824,H$2)</f>
        <v>0</v>
      </c>
      <c r="I15" s="460">
        <f>SUMIFS('📋 Despesas'!$J$7:$J$17824,'📋 Despesas'!$F$7:$F$17824,$B15,'📋 Despesas'!$C$7:$C$17824,I$3,'📋 Despesas'!$D$7:$D$17824,I$2)</f>
        <v>0</v>
      </c>
      <c r="J15" s="460">
        <f>SUMIFS('📋 Despesas'!$J$7:$J$17824,'📋 Despesas'!$F$7:$F$17824,$B15,'📋 Despesas'!$C$7:$C$17824,J$3,'📋 Despesas'!$D$7:$D$17824,J$2)</f>
        <v>0</v>
      </c>
      <c r="K15" s="460">
        <f>SUMIFS('📋 Despesas'!$J$7:$J$17824,'📋 Despesas'!$F$7:$F$17824,$B15,'📋 Despesas'!$C$7:$C$17824,K$3,'📋 Despesas'!$D$7:$D$17824,K$2)</f>
        <v>0</v>
      </c>
      <c r="L15" s="460">
        <f>SUMIFS('📋 Despesas'!$J$7:$J$17824,'📋 Despesas'!$F$7:$F$17824,$B15,'📋 Despesas'!$C$7:$C$17824,L$3,'📋 Despesas'!$D$7:$D$17824,L$2)</f>
        <v>0</v>
      </c>
      <c r="M15" s="460">
        <f>SUMIFS('📋 Despesas'!$J$7:$J$17824,'📋 Despesas'!$F$7:$F$17824,$B15,'📋 Despesas'!$C$7:$C$17824,M$3,'📋 Despesas'!$D$7:$D$17824,M$2)</f>
        <v>0</v>
      </c>
      <c r="N15" s="460">
        <f>SUMIFS('📋 Despesas'!$J$7:$J$17824,'📋 Despesas'!$F$7:$F$17824,$B15,'📋 Despesas'!$C$7:$C$17824,N$3,'📋 Despesas'!$D$7:$D$17824,N$2)</f>
        <v>0</v>
      </c>
      <c r="O15" s="460">
        <f>SUMIFS('📋 Despesas'!$J$7:$J$17824,'📋 Despesas'!$F$7:$F$17824,$B15,'📋 Despesas'!$C$7:$C$17824,O$3,'📋 Despesas'!$D$7:$D$17824,O$2)</f>
        <v>0</v>
      </c>
      <c r="P15" s="253"/>
      <c r="Q15" s="254" t="str">
        <v>DAS</v>
      </c>
    </row>
    <row r="16" spans="1:17" ht="18">
      <c r="B16" s="455"/>
      <c r="C16" s="456">
        <f t="shared" si="6"/>
        <v>0</v>
      </c>
      <c r="D16" s="460">
        <f>SUMIFS('📋 Despesas'!$J$7:$J$17824,'📋 Despesas'!$F$7:$F$17824,$B16,'📋 Despesas'!$C$7:$C$17824,D$3,'📋 Despesas'!$D$7:$D$17824,D$2)</f>
        <v>0</v>
      </c>
      <c r="E16" s="460">
        <f>SUMIFS('📋 Despesas'!$J$7:$J$17824,'📋 Despesas'!$F$7:$F$17824,$B16,'📋 Despesas'!$C$7:$C$17824,E$3,'📋 Despesas'!$D$7:$D$17824,E$2)</f>
        <v>0</v>
      </c>
      <c r="F16" s="460">
        <f>SUMIFS('📋 Despesas'!$J$7:$J$17824,'📋 Despesas'!$F$7:$F$17824,$B16,'📋 Despesas'!$C$7:$C$17824,F$3,'📋 Despesas'!$D$7:$D$17824,F$2)</f>
        <v>0</v>
      </c>
      <c r="G16" s="460">
        <f>SUMIFS('📋 Despesas'!$J$7:$J$17824,'📋 Despesas'!$F$7:$F$17824,$B16,'📋 Despesas'!$C$7:$C$17824,G$3,'📋 Despesas'!$D$7:$D$17824,G$2)</f>
        <v>0</v>
      </c>
      <c r="H16" s="460">
        <f>SUMIFS('📋 Despesas'!$J$7:$J$17824,'📋 Despesas'!$F$7:$F$17824,$B16,'📋 Despesas'!$C$7:$C$17824,H$3,'📋 Despesas'!$D$7:$D$17824,H$2)</f>
        <v>0</v>
      </c>
      <c r="I16" s="460">
        <f>SUMIFS('📋 Despesas'!$J$7:$J$17824,'📋 Despesas'!$F$7:$F$17824,$B16,'📋 Despesas'!$C$7:$C$17824,I$3,'📋 Despesas'!$D$7:$D$17824,I$2)</f>
        <v>0</v>
      </c>
      <c r="J16" s="460">
        <f>SUMIFS('📋 Despesas'!$J$7:$J$17824,'📋 Despesas'!$F$7:$F$17824,$B16,'📋 Despesas'!$C$7:$C$17824,J$3,'📋 Despesas'!$D$7:$D$17824,J$2)</f>
        <v>0</v>
      </c>
      <c r="K16" s="460">
        <f>SUMIFS('📋 Despesas'!$J$7:$J$17824,'📋 Despesas'!$F$7:$F$17824,$B16,'📋 Despesas'!$C$7:$C$17824,K$3,'📋 Despesas'!$D$7:$D$17824,K$2)</f>
        <v>0</v>
      </c>
      <c r="L16" s="460">
        <f>SUMIFS('📋 Despesas'!$J$7:$J$17824,'📋 Despesas'!$F$7:$F$17824,$B16,'📋 Despesas'!$C$7:$C$17824,L$3,'📋 Despesas'!$D$7:$D$17824,L$2)</f>
        <v>0</v>
      </c>
      <c r="M16" s="460">
        <f>SUMIFS('📋 Despesas'!$J$7:$J$17824,'📋 Despesas'!$F$7:$F$17824,$B16,'📋 Despesas'!$C$7:$C$17824,M$3,'📋 Despesas'!$D$7:$D$17824,M$2)</f>
        <v>0</v>
      </c>
      <c r="N16" s="460">
        <f>SUMIFS('📋 Despesas'!$J$7:$J$17824,'📋 Despesas'!$F$7:$F$17824,$B16,'📋 Despesas'!$C$7:$C$17824,N$3,'📋 Despesas'!$D$7:$D$17824,N$2)</f>
        <v>0</v>
      </c>
      <c r="O16" s="460">
        <f>SUMIFS('📋 Despesas'!$J$7:$J$17824,'📋 Despesas'!$F$7:$F$17824,$B16,'📋 Despesas'!$C$7:$C$17824,O$3,'📋 Despesas'!$D$7:$D$17824,O$2)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Despesas'!$J$7:$J$17824,'📋 Despesas'!$F$7:$F$17824,$B17,'📋 Despesas'!$C$7:$C$17824,D$3,'📋 Despesas'!$D$7:$D$17824,D$2)</f>
        <v>0</v>
      </c>
      <c r="E17" s="460">
        <f>SUMIFS('📋 Despesas'!$J$7:$J$17824,'📋 Despesas'!$F$7:$F$17824,$B17,'📋 Despesas'!$C$7:$C$17824,E$3,'📋 Despesas'!$D$7:$D$17824,E$2)</f>
        <v>0</v>
      </c>
      <c r="F17" s="460">
        <f>SUMIFS('📋 Despesas'!$J$7:$J$17824,'📋 Despesas'!$F$7:$F$17824,$B17,'📋 Despesas'!$C$7:$C$17824,F$3,'📋 Despesas'!$D$7:$D$17824,F$2)</f>
        <v>0</v>
      </c>
      <c r="G17" s="460">
        <f>SUMIFS('📋 Despesas'!$J$7:$J$17824,'📋 Despesas'!$F$7:$F$17824,$B17,'📋 Despesas'!$C$7:$C$17824,G$3,'📋 Despesas'!$D$7:$D$17824,G$2)</f>
        <v>0</v>
      </c>
      <c r="H17" s="460">
        <f>SUMIFS('📋 Despesas'!$J$7:$J$17824,'📋 Despesas'!$F$7:$F$17824,$B17,'📋 Despesas'!$C$7:$C$17824,H$3,'📋 Despesas'!$D$7:$D$17824,H$2)</f>
        <v>0</v>
      </c>
      <c r="I17" s="460">
        <f>SUMIFS('📋 Despesas'!$J$7:$J$17824,'📋 Despesas'!$F$7:$F$17824,$B17,'📋 Despesas'!$C$7:$C$17824,I$3,'📋 Despesas'!$D$7:$D$17824,I$2)</f>
        <v>0</v>
      </c>
      <c r="J17" s="460">
        <f>SUMIFS('📋 Despesas'!$J$7:$J$17824,'📋 Despesas'!$F$7:$F$17824,$B17,'📋 Despesas'!$C$7:$C$17824,J$3,'📋 Despesas'!$D$7:$D$17824,J$2)</f>
        <v>0</v>
      </c>
      <c r="K17" s="460">
        <f>SUMIFS('📋 Despesas'!$J$7:$J$17824,'📋 Despesas'!$F$7:$F$17824,$B17,'📋 Despesas'!$C$7:$C$17824,K$3,'📋 Despesas'!$D$7:$D$17824,K$2)</f>
        <v>0</v>
      </c>
      <c r="L17" s="460">
        <f>SUMIFS('📋 Despesas'!$J$7:$J$17824,'📋 Despesas'!$F$7:$F$17824,$B17,'📋 Despesas'!$C$7:$C$17824,L$3,'📋 Despesas'!$D$7:$D$17824,L$2)</f>
        <v>0</v>
      </c>
      <c r="M17" s="460">
        <f>SUMIFS('📋 Despesas'!$J$7:$J$17824,'📋 Despesas'!$F$7:$F$17824,$B17,'📋 Despesas'!$C$7:$C$17824,M$3,'📋 Despesas'!$D$7:$D$17824,M$2)</f>
        <v>0</v>
      </c>
      <c r="N17" s="460">
        <f>SUMIFS('📋 Despesas'!$J$7:$J$17824,'📋 Despesas'!$F$7:$F$17824,$B17,'📋 Despesas'!$C$7:$C$17824,N$3,'📋 Despesas'!$D$7:$D$17824,N$2)</f>
        <v>0</v>
      </c>
      <c r="O17" s="460">
        <f>SUMIFS('📋 Despesas'!$J$7:$J$17824,'📋 Despesas'!$F$7:$F$17824,$B17,'📋 Despesas'!$C$7:$C$17824,O$3,'📋 Despesas'!$D$7:$D$17824,O$2)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Despesas'!$J$7:$J$17824,'📋 Despesas'!$F$7:$F$17824,$B18,'📋 Despesas'!$C$7:$C$17824,D$3,'📋 Despesas'!$D$7:$D$17824,D$2)</f>
        <v>0</v>
      </c>
      <c r="E18" s="460">
        <f>SUMIFS('📋 Despesas'!$J$7:$J$17824,'📋 Despesas'!$F$7:$F$17824,$B18,'📋 Despesas'!$C$7:$C$17824,E$3,'📋 Despesas'!$D$7:$D$17824,E$2)</f>
        <v>0</v>
      </c>
      <c r="F18" s="460">
        <f>SUMIFS('📋 Despesas'!$J$7:$J$17824,'📋 Despesas'!$F$7:$F$17824,$B18,'📋 Despesas'!$C$7:$C$17824,F$3,'📋 Despesas'!$D$7:$D$17824,F$2)</f>
        <v>0</v>
      </c>
      <c r="G18" s="460">
        <f>SUMIFS('📋 Despesas'!$J$7:$J$17824,'📋 Despesas'!$F$7:$F$17824,$B18,'📋 Despesas'!$C$7:$C$17824,G$3,'📋 Despesas'!$D$7:$D$17824,G$2)</f>
        <v>0</v>
      </c>
      <c r="H18" s="460">
        <f>SUMIFS('📋 Despesas'!$J$7:$J$17824,'📋 Despesas'!$F$7:$F$17824,$B18,'📋 Despesas'!$C$7:$C$17824,H$3,'📋 Despesas'!$D$7:$D$17824,H$2)</f>
        <v>0</v>
      </c>
      <c r="I18" s="460">
        <f>SUMIFS('📋 Despesas'!$J$7:$J$17824,'📋 Despesas'!$F$7:$F$17824,$B18,'📋 Despesas'!$C$7:$C$17824,I$3,'📋 Despesas'!$D$7:$D$17824,I$2)</f>
        <v>0</v>
      </c>
      <c r="J18" s="460">
        <f>SUMIFS('📋 Despesas'!$J$7:$J$17824,'📋 Despesas'!$F$7:$F$17824,$B18,'📋 Despesas'!$C$7:$C$17824,J$3,'📋 Despesas'!$D$7:$D$17824,J$2)</f>
        <v>0</v>
      </c>
      <c r="K18" s="460">
        <f>SUMIFS('📋 Despesas'!$J$7:$J$17824,'📋 Despesas'!$F$7:$F$17824,$B18,'📋 Despesas'!$C$7:$C$17824,K$3,'📋 Despesas'!$D$7:$D$17824,K$2)</f>
        <v>0</v>
      </c>
      <c r="L18" s="460">
        <f>SUMIFS('📋 Despesas'!$J$7:$J$17824,'📋 Despesas'!$F$7:$F$17824,$B18,'📋 Despesas'!$C$7:$C$17824,L$3,'📋 Despesas'!$D$7:$D$17824,L$2)</f>
        <v>0</v>
      </c>
      <c r="M18" s="460">
        <f>SUMIFS('📋 Despesas'!$J$7:$J$17824,'📋 Despesas'!$F$7:$F$17824,$B18,'📋 Despesas'!$C$7:$C$17824,M$3,'📋 Despesas'!$D$7:$D$17824,M$2)</f>
        <v>0</v>
      </c>
      <c r="N18" s="460">
        <f>SUMIFS('📋 Despesas'!$J$7:$J$17824,'📋 Despesas'!$F$7:$F$17824,$B18,'📋 Despesas'!$C$7:$C$17824,N$3,'📋 Despesas'!$D$7:$D$17824,N$2)</f>
        <v>0</v>
      </c>
      <c r="O18" s="460">
        <f>SUMIFS('📋 Despesas'!$J$7:$J$17824,'📋 Despesas'!$F$7:$F$17824,$B18,'📋 Despesas'!$C$7:$C$17824,O$3,'📋 Despesas'!$D$7:$D$17824,O$2)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Despesas'!$J$7:$J$17824,'📋 Despesas'!$F$7:$F$17824,$B19,'📋 Despesas'!$C$7:$C$17824,D$3,'📋 Despesas'!$D$7:$D$17824,D$2)</f>
        <v>0</v>
      </c>
      <c r="E19" s="460">
        <f>SUMIFS('📋 Despesas'!$J$7:$J$17824,'📋 Despesas'!$F$7:$F$17824,$B19,'📋 Despesas'!$C$7:$C$17824,E$3,'📋 Despesas'!$D$7:$D$17824,E$2)</f>
        <v>0</v>
      </c>
      <c r="F19" s="460">
        <f>SUMIFS('📋 Despesas'!$J$7:$J$17824,'📋 Despesas'!$F$7:$F$17824,$B19,'📋 Despesas'!$C$7:$C$17824,F$3,'📋 Despesas'!$D$7:$D$17824,F$2)</f>
        <v>0</v>
      </c>
      <c r="G19" s="460">
        <f>SUMIFS('📋 Despesas'!$J$7:$J$17824,'📋 Despesas'!$F$7:$F$17824,$B19,'📋 Despesas'!$C$7:$C$17824,G$3,'📋 Despesas'!$D$7:$D$17824,G$2)</f>
        <v>0</v>
      </c>
      <c r="H19" s="460">
        <f>SUMIFS('📋 Despesas'!$J$7:$J$17824,'📋 Despesas'!$F$7:$F$17824,$B19,'📋 Despesas'!$C$7:$C$17824,H$3,'📋 Despesas'!$D$7:$D$17824,H$2)</f>
        <v>0</v>
      </c>
      <c r="I19" s="460">
        <f>SUMIFS('📋 Despesas'!$J$7:$J$17824,'📋 Despesas'!$F$7:$F$17824,$B19,'📋 Despesas'!$C$7:$C$17824,I$3,'📋 Despesas'!$D$7:$D$17824,I$2)</f>
        <v>0</v>
      </c>
      <c r="J19" s="460">
        <f>SUMIFS('📋 Despesas'!$J$7:$J$17824,'📋 Despesas'!$F$7:$F$17824,$B19,'📋 Despesas'!$C$7:$C$17824,J$3,'📋 Despesas'!$D$7:$D$17824,J$2)</f>
        <v>0</v>
      </c>
      <c r="K19" s="460">
        <f>SUMIFS('📋 Despesas'!$J$7:$J$17824,'📋 Despesas'!$F$7:$F$17824,$B19,'📋 Despesas'!$C$7:$C$17824,K$3,'📋 Despesas'!$D$7:$D$17824,K$2)</f>
        <v>0</v>
      </c>
      <c r="L19" s="460">
        <f>SUMIFS('📋 Despesas'!$J$7:$J$17824,'📋 Despesas'!$F$7:$F$17824,$B19,'📋 Despesas'!$C$7:$C$17824,L$3,'📋 Despesas'!$D$7:$D$17824,L$2)</f>
        <v>0</v>
      </c>
      <c r="M19" s="460">
        <f>SUMIFS('📋 Despesas'!$J$7:$J$17824,'📋 Despesas'!$F$7:$F$17824,$B19,'📋 Despesas'!$C$7:$C$17824,M$3,'📋 Despesas'!$D$7:$D$17824,M$2)</f>
        <v>0</v>
      </c>
      <c r="N19" s="460">
        <f>SUMIFS('📋 Despesas'!$J$7:$J$17824,'📋 Despesas'!$F$7:$F$17824,$B19,'📋 Despesas'!$C$7:$C$17824,N$3,'📋 Despesas'!$D$7:$D$17824,N$2)</f>
        <v>0</v>
      </c>
      <c r="O19" s="460">
        <f>SUMIFS('📋 Despesas'!$J$7:$J$17824,'📋 Despesas'!$F$7:$F$17824,$B19,'📋 Despesas'!$C$7:$C$17824,O$3,'📋 Despesas'!$D$7:$D$17824,O$2)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Despesas'!$J$7:$J$17824,'📋 Despesas'!$F$7:$F$17824,$B20,'📋 Despesas'!$C$7:$C$17824,D$3,'📋 Despesas'!$D$7:$D$17824,D$2)</f>
        <v>0</v>
      </c>
      <c r="E20" s="460">
        <f>SUMIFS('📋 Despesas'!$J$7:$J$17824,'📋 Despesas'!$F$7:$F$17824,$B20,'📋 Despesas'!$C$7:$C$17824,E$3,'📋 Despesas'!$D$7:$D$17824,E$2)</f>
        <v>0</v>
      </c>
      <c r="F20" s="460">
        <f>SUMIFS('📋 Despesas'!$J$7:$J$17824,'📋 Despesas'!$F$7:$F$17824,$B20,'📋 Despesas'!$C$7:$C$17824,F$3,'📋 Despesas'!$D$7:$D$17824,F$2)</f>
        <v>0</v>
      </c>
      <c r="G20" s="460">
        <f>SUMIFS('📋 Despesas'!$J$7:$J$17824,'📋 Despesas'!$F$7:$F$17824,$B20,'📋 Despesas'!$C$7:$C$17824,G$3,'📋 Despesas'!$D$7:$D$17824,G$2)</f>
        <v>0</v>
      </c>
      <c r="H20" s="460">
        <f>SUMIFS('📋 Despesas'!$J$7:$J$17824,'📋 Despesas'!$F$7:$F$17824,$B20,'📋 Despesas'!$C$7:$C$17824,H$3,'📋 Despesas'!$D$7:$D$17824,H$2)</f>
        <v>0</v>
      </c>
      <c r="I20" s="460">
        <f>SUMIFS('📋 Despesas'!$J$7:$J$17824,'📋 Despesas'!$F$7:$F$17824,$B20,'📋 Despesas'!$C$7:$C$17824,I$3,'📋 Despesas'!$D$7:$D$17824,I$2)</f>
        <v>0</v>
      </c>
      <c r="J20" s="460">
        <f>SUMIFS('📋 Despesas'!$J$7:$J$17824,'📋 Despesas'!$F$7:$F$17824,$B20,'📋 Despesas'!$C$7:$C$17824,J$3,'📋 Despesas'!$D$7:$D$17824,J$2)</f>
        <v>0</v>
      </c>
      <c r="K20" s="460">
        <f>SUMIFS('📋 Despesas'!$J$7:$J$17824,'📋 Despesas'!$F$7:$F$17824,$B20,'📋 Despesas'!$C$7:$C$17824,K$3,'📋 Despesas'!$D$7:$D$17824,K$2)</f>
        <v>0</v>
      </c>
      <c r="L20" s="460">
        <f>SUMIFS('📋 Despesas'!$J$7:$J$17824,'📋 Despesas'!$F$7:$F$17824,$B20,'📋 Despesas'!$C$7:$C$17824,L$3,'📋 Despesas'!$D$7:$D$17824,L$2)</f>
        <v>0</v>
      </c>
      <c r="M20" s="460">
        <f>SUMIFS('📋 Despesas'!$J$7:$J$17824,'📋 Despesas'!$F$7:$F$17824,$B20,'📋 Despesas'!$C$7:$C$17824,M$3,'📋 Despesas'!$D$7:$D$17824,M$2)</f>
        <v>0</v>
      </c>
      <c r="N20" s="460">
        <f>SUMIFS('📋 Despesas'!$J$7:$J$17824,'📋 Despesas'!$F$7:$F$17824,$B20,'📋 Despesas'!$C$7:$C$17824,N$3,'📋 Despesas'!$D$7:$D$17824,N$2)</f>
        <v>0</v>
      </c>
      <c r="O20" s="460">
        <f>SUMIFS('📋 Despesas'!$J$7:$J$17824,'📋 Despesas'!$F$7:$F$17824,$B20,'📋 Despesas'!$C$7:$C$17824,O$3,'📋 Despesas'!$D$7:$D$17824,O$2)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Despesas'!$J$7:$J$17824,'📋 Despesas'!$F$7:$F$17824,$B21,'📋 Despesas'!$C$7:$C$17824,D$3,'📋 Despesas'!$D$7:$D$17824,D$2)</f>
        <v>0</v>
      </c>
      <c r="E21" s="460">
        <f>SUMIFS('📋 Despesas'!$J$7:$J$17824,'📋 Despesas'!$F$7:$F$17824,$B21,'📋 Despesas'!$C$7:$C$17824,E$3,'📋 Despesas'!$D$7:$D$17824,E$2)</f>
        <v>0</v>
      </c>
      <c r="F21" s="460">
        <f>SUMIFS('📋 Despesas'!$J$7:$J$17824,'📋 Despesas'!$F$7:$F$17824,$B21,'📋 Despesas'!$C$7:$C$17824,F$3,'📋 Despesas'!$D$7:$D$17824,F$2)</f>
        <v>0</v>
      </c>
      <c r="G21" s="460">
        <f>SUMIFS('📋 Despesas'!$J$7:$J$17824,'📋 Despesas'!$F$7:$F$17824,$B21,'📋 Despesas'!$C$7:$C$17824,G$3,'📋 Despesas'!$D$7:$D$17824,G$2)</f>
        <v>0</v>
      </c>
      <c r="H21" s="460">
        <f>SUMIFS('📋 Despesas'!$J$7:$J$17824,'📋 Despesas'!$F$7:$F$17824,$B21,'📋 Despesas'!$C$7:$C$17824,H$3,'📋 Despesas'!$D$7:$D$17824,H$2)</f>
        <v>0</v>
      </c>
      <c r="I21" s="460">
        <f>SUMIFS('📋 Despesas'!$J$7:$J$17824,'📋 Despesas'!$F$7:$F$17824,$B21,'📋 Despesas'!$C$7:$C$17824,I$3,'📋 Despesas'!$D$7:$D$17824,I$2)</f>
        <v>0</v>
      </c>
      <c r="J21" s="460">
        <f>SUMIFS('📋 Despesas'!$J$7:$J$17824,'📋 Despesas'!$F$7:$F$17824,$B21,'📋 Despesas'!$C$7:$C$17824,J$3,'📋 Despesas'!$D$7:$D$17824,J$2)</f>
        <v>0</v>
      </c>
      <c r="K21" s="460">
        <f>SUMIFS('📋 Despesas'!$J$7:$J$17824,'📋 Despesas'!$F$7:$F$17824,$B21,'📋 Despesas'!$C$7:$C$17824,K$3,'📋 Despesas'!$D$7:$D$17824,K$2)</f>
        <v>0</v>
      </c>
      <c r="L21" s="460">
        <f>SUMIFS('📋 Despesas'!$J$7:$J$17824,'📋 Despesas'!$F$7:$F$17824,$B21,'📋 Despesas'!$C$7:$C$17824,L$3,'📋 Despesas'!$D$7:$D$17824,L$2)</f>
        <v>0</v>
      </c>
      <c r="M21" s="460">
        <f>SUMIFS('📋 Despesas'!$J$7:$J$17824,'📋 Despesas'!$F$7:$F$17824,$B21,'📋 Despesas'!$C$7:$C$17824,M$3,'📋 Despesas'!$D$7:$D$17824,M$2)</f>
        <v>0</v>
      </c>
      <c r="N21" s="460">
        <f>SUMIFS('📋 Despesas'!$J$7:$J$17824,'📋 Despesas'!$F$7:$F$17824,$B21,'📋 Despesas'!$C$7:$C$17824,N$3,'📋 Despesas'!$D$7:$D$17824,N$2)</f>
        <v>0</v>
      </c>
      <c r="O21" s="460">
        <f>SUMIFS('📋 Despesas'!$J$7:$J$17824,'📋 Despesas'!$F$7:$F$17824,$B21,'📋 Despesas'!$C$7:$C$17824,O$3,'📋 Despesas'!$D$7:$D$17824,O$2)</f>
        <v>0</v>
      </c>
      <c r="P21" s="253"/>
      <c r="Q21" s="254"/>
    </row>
    <row r="22" spans="1:17" ht="15.75" customHeight="1">
      <c r="B22" s="483" t="s">
        <v>230</v>
      </c>
      <c r="C22" s="485">
        <f t="shared" si="6"/>
        <v>600</v>
      </c>
      <c r="D22" s="485">
        <f>SUMIFS('📋 Despesas'!$J$7:$J$17824,'📋 Despesas'!$F$7:$F$17824,$B22,'📋 Despesas'!$C$7:$C$17824,D$3,'📋 Despesas'!$D$7:$D$17824,D$2)</f>
        <v>0</v>
      </c>
      <c r="E22" s="485">
        <f>SUMIFS('📋 Despesas'!$J$7:$J$17824,'📋 Despesas'!$F$7:$F$17824,$B22,'📋 Despesas'!$C$7:$C$17824,E$3,'📋 Despesas'!$D$7:$D$17824,E$2)</f>
        <v>0</v>
      </c>
      <c r="F22" s="485">
        <f>SUMIFS('📋 Despesas'!$J$7:$J$17824,'📋 Despesas'!$F$7:$F$17824,$B22,'📋 Despesas'!$C$7:$C$17824,F$3,'📋 Despesas'!$D$7:$D$17824,F$2)</f>
        <v>0</v>
      </c>
      <c r="G22" s="485">
        <f>SUMIFS('📋 Despesas'!$J$7:$J$17824,'📋 Despesas'!$F$7:$F$17824,$B22,'📋 Despesas'!$C$7:$C$17824,G$3,'📋 Despesas'!$D$7:$D$17824,G$2)</f>
        <v>0</v>
      </c>
      <c r="H22" s="485">
        <f>SUMIFS('📋 Despesas'!$J$7:$J$17824,'📋 Despesas'!$F$7:$F$17824,$B22,'📋 Despesas'!$C$7:$C$17824,H$3,'📋 Despesas'!$D$7:$D$17824,H$2)</f>
        <v>0</v>
      </c>
      <c r="I22" s="485">
        <f>SUMIFS('📋 Despesas'!$J$7:$J$17824,'📋 Despesas'!$F$7:$F$17824,$B22,'📋 Despesas'!$C$7:$C$17824,I$3,'📋 Despesas'!$D$7:$D$17824,I$2)</f>
        <v>600</v>
      </c>
      <c r="J22" s="485">
        <f>SUMIFS('📋 Despesas'!$J$7:$J$17824,'📋 Despesas'!$F$7:$F$17824,$B22,'📋 Despesas'!$C$7:$C$17824,J$3,'📋 Despesas'!$D$7:$D$17824,J$2)</f>
        <v>0</v>
      </c>
      <c r="K22" s="485">
        <f>SUMIFS('📋 Despesas'!$J$7:$J$17824,'📋 Despesas'!$F$7:$F$17824,$B22,'📋 Despesas'!$C$7:$C$17824,K$3,'📋 Despesas'!$D$7:$D$17824,K$2)</f>
        <v>0</v>
      </c>
      <c r="L22" s="485">
        <f>SUMIFS('📋 Despesas'!$J$7:$J$17824,'📋 Despesas'!$F$7:$F$17824,$B22,'📋 Despesas'!$C$7:$C$17824,L$3,'📋 Despesas'!$D$7:$D$17824,L$2)</f>
        <v>0</v>
      </c>
      <c r="M22" s="485">
        <f>SUMIFS('📋 Despesas'!$J$7:$J$17824,'📋 Despesas'!$F$7:$F$17824,$B22,'📋 Despesas'!$C$7:$C$17824,M$3,'📋 Despesas'!$D$7:$D$17824,M$2)</f>
        <v>0</v>
      </c>
      <c r="N22" s="485">
        <f>SUMIFS('📋 Despesas'!$J$7:$J$17824,'📋 Despesas'!$F$7:$F$17824,$B22,'📋 Despesas'!$C$7:$C$17824,N$3,'📋 Despesas'!$D$7:$D$17824,N$2)</f>
        <v>0</v>
      </c>
      <c r="O22" s="485">
        <f>SUMIFS('📋 Despesas'!$J$7:$J$17824,'📋 Despesas'!$F$7:$F$17824,$B22,'📋 Despesas'!$C$7:$C$17824,O$3,'📋 Despesas'!$D$7:$D$17824,O$2)</f>
        <v>0</v>
      </c>
      <c r="P22" s="253"/>
      <c r="Q22" s="254"/>
    </row>
    <row r="23" spans="1:17" ht="15.75" customHeight="1">
      <c r="B23" s="484" t="s">
        <v>201</v>
      </c>
      <c r="C23" s="486">
        <f t="shared" si="6"/>
        <v>0</v>
      </c>
      <c r="D23" s="486">
        <f>SUMIFS('📋 Despesas'!$J$7:$J$17824,'📋 Despesas'!$F$7:$F$17824,$B23,'📋 Despesas'!$C$7:$C$17824,D$3,'📋 Despesas'!$D$7:$D$17824,D$2)</f>
        <v>0</v>
      </c>
      <c r="E23" s="486">
        <f>SUMIFS('📋 Despesas'!$J$7:$J$17824,'📋 Despesas'!$F$7:$F$17824,$B23,'📋 Despesas'!$C$7:$C$17824,E$3,'📋 Despesas'!$D$7:$D$17824,E$2)</f>
        <v>0</v>
      </c>
      <c r="F23" s="486">
        <f>SUMIFS('📋 Despesas'!$J$7:$J$17824,'📋 Despesas'!$F$7:$F$17824,$B23,'📋 Despesas'!$C$7:$C$17824,F$3,'📋 Despesas'!$D$7:$D$17824,F$2)</f>
        <v>0</v>
      </c>
      <c r="G23" s="486">
        <f>SUMIFS('📋 Despesas'!$J$7:$J$17824,'📋 Despesas'!$F$7:$F$17824,$B23,'📋 Despesas'!$C$7:$C$17824,G$3,'📋 Despesas'!$D$7:$D$17824,G$2)</f>
        <v>0</v>
      </c>
      <c r="H23" s="486">
        <f>SUMIFS('📋 Despesas'!$J$7:$J$17824,'📋 Despesas'!$F$7:$F$17824,$B23,'📋 Despesas'!$C$7:$C$17824,H$3,'📋 Despesas'!$D$7:$D$17824,H$2)</f>
        <v>0</v>
      </c>
      <c r="I23" s="486">
        <f>SUMIFS('📋 Despesas'!$J$7:$J$17824,'📋 Despesas'!$F$7:$F$17824,$B23,'📋 Despesas'!$C$7:$C$17824,I$3,'📋 Despesas'!$D$7:$D$17824,I$2)</f>
        <v>0</v>
      </c>
      <c r="J23" s="486">
        <f>SUMIFS('📋 Despesas'!$J$7:$J$17824,'📋 Despesas'!$F$7:$F$17824,$B23,'📋 Despesas'!$C$7:$C$17824,J$3,'📋 Despesas'!$D$7:$D$17824,J$2)</f>
        <v>0</v>
      </c>
      <c r="K23" s="486">
        <f>SUMIFS('📋 Despesas'!$J$7:$J$17824,'📋 Despesas'!$F$7:$F$17824,$B23,'📋 Despesas'!$C$7:$C$17824,K$3,'📋 Despesas'!$D$7:$D$17824,K$2)</f>
        <v>0</v>
      </c>
      <c r="L23" s="486">
        <f>SUMIFS('📋 Despesas'!$J$7:$J$17824,'📋 Despesas'!$F$7:$F$17824,$B23,'📋 Despesas'!$C$7:$C$17824,L$3,'📋 Despesas'!$D$7:$D$17824,L$2)</f>
        <v>0</v>
      </c>
      <c r="M23" s="486">
        <f>SUMIFS('📋 Despesas'!$J$7:$J$17824,'📋 Despesas'!$F$7:$F$17824,$B23,'📋 Despesas'!$C$7:$C$17824,M$3,'📋 Despesas'!$D$7:$D$17824,M$2)</f>
        <v>0</v>
      </c>
      <c r="N23" s="486">
        <f>SUMIFS('📋 Despesas'!$J$7:$J$17824,'📋 Despesas'!$F$7:$F$17824,$B23,'📋 Despesas'!$C$7:$C$17824,N$3,'📋 Despesas'!$D$7:$D$17824,N$2)</f>
        <v>0</v>
      </c>
      <c r="O23" s="486">
        <f>SUMIFS('📋 Despesas'!$J$7:$J$17824,'📋 Despesas'!$F$7:$F$17824,$B23,'📋 Despesas'!$C$7:$C$17824,O$3,'📋 Despesas'!$D$7:$D$17824,O$2)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Despesas'!$J$7:$J$17824,'📋 Despesas'!$F$7:$F$17824,$B24,'📋 Despesas'!$C$7:$C$17824,D$3,'📋 Despesas'!$D$7:$D$17824,D$2)</f>
        <v>0</v>
      </c>
      <c r="E24" s="460">
        <f>SUMIFS('📋 Despesas'!$J$7:$J$17824,'📋 Despesas'!$F$7:$F$17824,$B24,'📋 Despesas'!$C$7:$C$17824,E$3,'📋 Despesas'!$D$7:$D$17824,E$2)</f>
        <v>0</v>
      </c>
      <c r="F24" s="460">
        <f>SUMIFS('📋 Despesas'!$J$7:$J$17824,'📋 Despesas'!$F$7:$F$17824,$B24,'📋 Despesas'!$C$7:$C$17824,F$3,'📋 Despesas'!$D$7:$D$17824,F$2)</f>
        <v>0</v>
      </c>
      <c r="G24" s="460">
        <f>SUMIFS('📋 Despesas'!$J$7:$J$17824,'📋 Despesas'!$F$7:$F$17824,$B24,'📋 Despesas'!$C$7:$C$17824,G$3,'📋 Despesas'!$D$7:$D$17824,G$2)</f>
        <v>0</v>
      </c>
      <c r="H24" s="460">
        <f>SUMIFS('📋 Despesas'!$J$7:$J$17824,'📋 Despesas'!$F$7:$F$17824,$B24,'📋 Despesas'!$C$7:$C$17824,H$3,'📋 Despesas'!$D$7:$D$17824,H$2)</f>
        <v>0</v>
      </c>
      <c r="I24" s="460">
        <f>SUMIFS('📋 Despesas'!$J$7:$J$17824,'📋 Despesas'!$F$7:$F$17824,$B24,'📋 Despesas'!$C$7:$C$17824,I$3,'📋 Despesas'!$D$7:$D$17824,I$2)</f>
        <v>0</v>
      </c>
      <c r="J24" s="460">
        <f>SUMIFS('📋 Despesas'!$J$7:$J$17824,'📋 Despesas'!$F$7:$F$17824,$B24,'📋 Despesas'!$C$7:$C$17824,J$3,'📋 Despesas'!$D$7:$D$17824,J$2)</f>
        <v>0</v>
      </c>
      <c r="K24" s="460">
        <f>SUMIFS('📋 Despesas'!$J$7:$J$17824,'📋 Despesas'!$F$7:$F$17824,$B24,'📋 Despesas'!$C$7:$C$17824,K$3,'📋 Despesas'!$D$7:$D$17824,K$2)</f>
        <v>0</v>
      </c>
      <c r="L24" s="460">
        <f>SUMIFS('📋 Despesas'!$J$7:$J$17824,'📋 Despesas'!$F$7:$F$17824,$B24,'📋 Despesas'!$C$7:$C$17824,L$3,'📋 Despesas'!$D$7:$D$17824,L$2)</f>
        <v>0</v>
      </c>
      <c r="M24" s="460">
        <f>SUMIFS('📋 Despesas'!$J$7:$J$17824,'📋 Despesas'!$F$7:$F$17824,$B24,'📋 Despesas'!$C$7:$C$17824,M$3,'📋 Despesas'!$D$7:$D$17824,M$2)</f>
        <v>0</v>
      </c>
      <c r="N24" s="460">
        <f>SUMIFS('📋 Despesas'!$J$7:$J$17824,'📋 Despesas'!$F$7:$F$17824,$B24,'📋 Despesas'!$C$7:$C$17824,N$3,'📋 Despesas'!$D$7:$D$17824,N$2)</f>
        <v>0</v>
      </c>
      <c r="O24" s="460">
        <f>SUMIFS('📋 Despesas'!$J$7:$J$17824,'📋 Despesas'!$F$7:$F$17824,$B24,'📋 Despesas'!$C$7:$C$17824,O$3,'📋 Despesas'!$D$7:$D$17824,O$2)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Despesas'!$J$7:$J$17824,'📋 Despesas'!$F$7:$F$17824,$B25,'📋 Despesas'!$C$7:$C$17824,D$3,'📋 Despesas'!$D$7:$D$17824,D$2)</f>
        <v>0</v>
      </c>
      <c r="E25" s="485">
        <f>SUMIFS('📋 Despesas'!$J$7:$J$17824,'📋 Despesas'!$F$7:$F$17824,$B25,'📋 Despesas'!$C$7:$C$17824,E$3,'📋 Despesas'!$D$7:$D$17824,E$2)</f>
        <v>0</v>
      </c>
      <c r="F25" s="485">
        <f>SUMIFS('📋 Despesas'!$J$7:$J$17824,'📋 Despesas'!$F$7:$F$17824,$B25,'📋 Despesas'!$C$7:$C$17824,F$3,'📋 Despesas'!$D$7:$D$17824,F$2)</f>
        <v>0</v>
      </c>
      <c r="G25" s="485">
        <f>SUMIFS('📋 Despesas'!$J$7:$J$17824,'📋 Despesas'!$F$7:$F$17824,$B25,'📋 Despesas'!$C$7:$C$17824,G$3,'📋 Despesas'!$D$7:$D$17824,G$2)</f>
        <v>0</v>
      </c>
      <c r="H25" s="485">
        <f>SUMIFS('📋 Despesas'!$J$7:$J$17824,'📋 Despesas'!$F$7:$F$17824,$B25,'📋 Despesas'!$C$7:$C$17824,H$3,'📋 Despesas'!$D$7:$D$17824,H$2)</f>
        <v>0</v>
      </c>
      <c r="I25" s="485">
        <f>SUMIFS('📋 Despesas'!$J$7:$J$17824,'📋 Despesas'!$F$7:$F$17824,$B25,'📋 Despesas'!$C$7:$C$17824,I$3,'📋 Despesas'!$D$7:$D$17824,I$2)</f>
        <v>0</v>
      </c>
      <c r="J25" s="485">
        <f>SUMIFS('📋 Despesas'!$J$7:$J$17824,'📋 Despesas'!$F$7:$F$17824,$B25,'📋 Despesas'!$C$7:$C$17824,J$3,'📋 Despesas'!$D$7:$D$17824,J$2)</f>
        <v>0</v>
      </c>
      <c r="K25" s="485">
        <f>SUMIFS('📋 Despesas'!$J$7:$J$17824,'📋 Despesas'!$F$7:$F$17824,$B25,'📋 Despesas'!$C$7:$C$17824,K$3,'📋 Despesas'!$D$7:$D$17824,K$2)</f>
        <v>0</v>
      </c>
      <c r="L25" s="485">
        <f>SUMIFS('📋 Despesas'!$J$7:$J$17824,'📋 Despesas'!$F$7:$F$17824,$B25,'📋 Despesas'!$C$7:$C$17824,L$3,'📋 Despesas'!$D$7:$D$17824,L$2)</f>
        <v>0</v>
      </c>
      <c r="M25" s="485">
        <f>SUMIFS('📋 Despesas'!$J$7:$J$17824,'📋 Despesas'!$F$7:$F$17824,$B25,'📋 Despesas'!$C$7:$C$17824,M$3,'📋 Despesas'!$D$7:$D$17824,M$2)</f>
        <v>0</v>
      </c>
      <c r="N25" s="485">
        <f>SUMIFS('📋 Despesas'!$J$7:$J$17824,'📋 Despesas'!$F$7:$F$17824,$B25,'📋 Despesas'!$C$7:$C$17824,N$3,'📋 Despesas'!$D$7:$D$17824,N$2)</f>
        <v>0</v>
      </c>
      <c r="O25" s="485">
        <f>SUMIFS('📋 Despesas'!$J$7:$J$17824,'📋 Despesas'!$F$7:$F$17824,$B25,'📋 Despesas'!$C$7:$C$17824,O$3,'📋 Despesas'!$D$7:$D$17824,O$2)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Despesas'!$J$7:$J$17824,'📋 Despesas'!$F$7:$F$17824,$B26,'📋 Despesas'!$C$7:$C$17824,D$3,'📋 Despesas'!$D$7:$D$17824,D$2)</f>
        <v>0</v>
      </c>
      <c r="E26" s="485">
        <f>SUMIFS('📋 Despesas'!$J$7:$J$17824,'📋 Despesas'!$F$7:$F$17824,$B26,'📋 Despesas'!$C$7:$C$17824,E$3,'📋 Despesas'!$D$7:$D$17824,E$2)</f>
        <v>0</v>
      </c>
      <c r="F26" s="485">
        <f>SUMIFS('📋 Despesas'!$J$7:$J$17824,'📋 Despesas'!$F$7:$F$17824,$B26,'📋 Despesas'!$C$7:$C$17824,F$3,'📋 Despesas'!$D$7:$D$17824,F$2)</f>
        <v>0</v>
      </c>
      <c r="G26" s="485">
        <f>SUMIFS('📋 Despesas'!$J$7:$J$17824,'📋 Despesas'!$F$7:$F$17824,$B26,'📋 Despesas'!$C$7:$C$17824,G$3,'📋 Despesas'!$D$7:$D$17824,G$2)</f>
        <v>0</v>
      </c>
      <c r="H26" s="485">
        <f>SUMIFS('📋 Despesas'!$J$7:$J$17824,'📋 Despesas'!$F$7:$F$17824,$B26,'📋 Despesas'!$C$7:$C$17824,H$3,'📋 Despesas'!$D$7:$D$17824,H$2)</f>
        <v>0</v>
      </c>
      <c r="I26" s="485">
        <f>SUMIFS('📋 Despesas'!$J$7:$J$17824,'📋 Despesas'!$F$7:$F$17824,$B26,'📋 Despesas'!$C$7:$C$17824,I$3,'📋 Despesas'!$D$7:$D$17824,I$2)</f>
        <v>0</v>
      </c>
      <c r="J26" s="485">
        <f>SUMIFS('📋 Despesas'!$J$7:$J$17824,'📋 Despesas'!$F$7:$F$17824,$B26,'📋 Despesas'!$C$7:$C$17824,J$3,'📋 Despesas'!$D$7:$D$17824,J$2)</f>
        <v>0</v>
      </c>
      <c r="K26" s="485">
        <f>SUMIFS('📋 Despesas'!$J$7:$J$17824,'📋 Despesas'!$F$7:$F$17824,$B26,'📋 Despesas'!$C$7:$C$17824,K$3,'📋 Despesas'!$D$7:$D$17824,K$2)</f>
        <v>0</v>
      </c>
      <c r="L26" s="485">
        <f>SUMIFS('📋 Despesas'!$J$7:$J$17824,'📋 Despesas'!$F$7:$F$17824,$B26,'📋 Despesas'!$C$7:$C$17824,L$3,'📋 Despesas'!$D$7:$D$17824,L$2)</f>
        <v>0</v>
      </c>
      <c r="M26" s="485">
        <f>SUMIFS('📋 Despesas'!$J$7:$J$17824,'📋 Despesas'!$F$7:$F$17824,$B26,'📋 Despesas'!$C$7:$C$17824,M$3,'📋 Despesas'!$D$7:$D$17824,M$2)</f>
        <v>0</v>
      </c>
      <c r="N26" s="485">
        <f>SUMIFS('📋 Despesas'!$J$7:$J$17824,'📋 Despesas'!$F$7:$F$17824,$B26,'📋 Despesas'!$C$7:$C$17824,N$3,'📋 Despesas'!$D$7:$D$17824,N$2)</f>
        <v>0</v>
      </c>
      <c r="O26" s="485">
        <f>SUMIFS('📋 Despesas'!$J$7:$J$17824,'📋 Despesas'!$F$7:$F$17824,$B26,'📋 Despesas'!$C$7:$C$17824,O$3,'📋 Despesas'!$D$7:$D$17824,O$2)</f>
        <v>0</v>
      </c>
      <c r="P26" s="253"/>
      <c r="Q26" s="254"/>
    </row>
    <row r="27" spans="1:17" ht="15.6" customHeight="1">
      <c r="A27" s="192" t="s">
        <v>98</v>
      </c>
      <c r="B27" s="455"/>
      <c r="C27" s="456">
        <f t="shared" si="6"/>
        <v>0</v>
      </c>
      <c r="D27" s="461">
        <f>SUMIFS('📋 Despesas'!$J$7:$J$17824,'📋 Despesas'!$F$7:$F$17824,$B27,'📋 Despesas'!$C$7:$C$17824,D$3,'📋 Despesas'!$D$7:$D$17824,D$2)</f>
        <v>0</v>
      </c>
      <c r="E27" s="461">
        <f>SUMIFS('📋 Despesas'!$J$7:$J$17824,'📋 Despesas'!$F$7:$F$17824,$B27,'📋 Despesas'!$C$7:$C$17824,E$3,'📋 Despesas'!$D$7:$D$17824,E$2)</f>
        <v>0</v>
      </c>
      <c r="F27" s="461">
        <f>SUMIFS('📋 Despesas'!$J$7:$J$17824,'📋 Despesas'!$F$7:$F$17824,$B27,'📋 Despesas'!$C$7:$C$17824,F$3,'📋 Despesas'!$D$7:$D$17824,F$2)</f>
        <v>0</v>
      </c>
      <c r="G27" s="461">
        <f>SUMIFS('📋 Despesas'!$J$7:$J$17824,'📋 Despesas'!$F$7:$F$17824,$B27,'📋 Despesas'!$C$7:$C$17824,G$3,'📋 Despesas'!$D$7:$D$17824,G$2)</f>
        <v>0</v>
      </c>
      <c r="H27" s="461">
        <f>SUMIFS('📋 Despesas'!$J$7:$J$17824,'📋 Despesas'!$F$7:$F$17824,$B27,'📋 Despesas'!$C$7:$C$17824,H$3,'📋 Despesas'!$D$7:$D$17824,H$2)</f>
        <v>0</v>
      </c>
      <c r="I27" s="461">
        <f>SUMIFS('📋 Despesas'!$J$7:$J$17824,'📋 Despesas'!$F$7:$F$17824,$B27,'📋 Despesas'!$C$7:$C$17824,I$3,'📋 Despesas'!$D$7:$D$17824,I$2)</f>
        <v>0</v>
      </c>
      <c r="J27" s="461">
        <f>SUMIFS('📋 Despesas'!$J$7:$J$17824,'📋 Despesas'!$F$7:$F$17824,$B27,'📋 Despesas'!$C$7:$C$17824,J$3,'📋 Despesas'!$D$7:$D$17824,J$2)</f>
        <v>0</v>
      </c>
      <c r="K27" s="461">
        <f>SUMIFS('📋 Despesas'!$J$7:$J$17824,'📋 Despesas'!$F$7:$F$17824,$B27,'📋 Despesas'!$C$7:$C$17824,K$3,'📋 Despesas'!$D$7:$D$17824,K$2)</f>
        <v>0</v>
      </c>
      <c r="L27" s="461">
        <f>SUMIFS('📋 Despesas'!$J$7:$J$17824,'📋 Despesas'!$F$7:$F$17824,$B27,'📋 Despesas'!$C$7:$C$17824,L$3,'📋 Despesas'!$D$7:$D$17824,L$2)</f>
        <v>0</v>
      </c>
      <c r="M27" s="461">
        <f>SUMIFS('📋 Despesas'!$J$7:$J$17824,'📋 Despesas'!$F$7:$F$17824,$B27,'📋 Despesas'!$C$7:$C$17824,M$3,'📋 Despesas'!$D$7:$D$17824,M$2)</f>
        <v>0</v>
      </c>
      <c r="N27" s="461">
        <f>SUMIFS('📋 Despesas'!$J$7:$J$17824,'📋 Despesas'!$F$7:$F$17824,$B27,'📋 Despesas'!$C$7:$C$17824,N$3,'📋 Despesas'!$D$7:$D$17824,N$2)</f>
        <v>0</v>
      </c>
      <c r="O27" s="461">
        <f>SUMIFS('📋 Despesas'!$J$7:$J$17824,'📋 Despesas'!$F$7:$F$17824,$B27,'📋 Despesas'!$C$7:$C$17824,O$3,'📋 Despesas'!$D$7:$D$17824,O$2)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99</v>
      </c>
      <c r="C30" s="482">
        <f t="shared" ref="C30:O30" si="7">C6-C7</f>
        <v>366.96999999999935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-1715.44</v>
      </c>
      <c r="H30" s="482">
        <f t="shared" si="7"/>
        <v>-3000</v>
      </c>
      <c r="I30" s="482">
        <f t="shared" si="7"/>
        <v>5672.41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100</v>
      </c>
      <c r="C31" s="467">
        <f>IFERROR((C30/C4),0)</f>
        <v>3.494952380952375E-2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>
        <f t="shared" si="8"/>
        <v>0</v>
      </c>
      <c r="H31" s="467">
        <f t="shared" si="8"/>
        <v>0</v>
      </c>
      <c r="I31" s="467">
        <f t="shared" si="8"/>
        <v>0.54022952380952383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208</v>
      </c>
      <c r="C33" s="516">
        <f t="shared" ref="C33:O33" si="9">SUM(C9:C13)</f>
        <v>9255.44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1715.44</v>
      </c>
      <c r="H33" s="516">
        <f t="shared" si="9"/>
        <v>3000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209</v>
      </c>
      <c r="C34" s="520">
        <f t="shared" ref="C34:O34" si="10">IFERROR((C33/C4),0)</f>
        <v>0.88147047619047625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101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205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102</v>
      </c>
      <c r="C37" s="474">
        <f>SUM(D37:O37)</f>
        <v>600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600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103</v>
      </c>
      <c r="C38" s="519">
        <f t="shared" ref="C38:O38" si="13">IFERROR((C37/C4),0)</f>
        <v>5.7142857142857141E-2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5.7142857142857141E-2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206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207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104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4" priority="1" operator="lessThan">
      <formula>0</formula>
    </cfRule>
  </conditionalFormatting>
  <conditionalFormatting sqref="C34:O34">
    <cfRule type="cellIs" dxfId="13" priority="4" operator="greaterThan">
      <formula>0.35</formula>
    </cfRule>
  </conditionalFormatting>
  <conditionalFormatting sqref="P9:P28">
    <cfRule type="cellIs" dxfId="12" priority="17" operator="greaterThan">
      <formula>0</formula>
    </cfRule>
  </conditionalFormatting>
  <conditionalFormatting sqref="P9:Q28 D30:O31">
    <cfRule type="cellIs" dxfId="11" priority="14" operator="lessThan">
      <formula>0</formula>
    </cfRule>
  </conditionalFormatting>
  <conditionalFormatting sqref="Q9:Q29">
    <cfRule type="cellIs" dxfId="10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70"/>
      <c r="C4" s="553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105</v>
      </c>
      <c r="C5" s="255">
        <f>'📈Det. Resultados'!C3</f>
        <v>2026</v>
      </c>
      <c r="D5" s="74" t="s">
        <v>83</v>
      </c>
      <c r="E5" s="74" t="s">
        <v>84</v>
      </c>
      <c r="F5" s="74" t="s">
        <v>85</v>
      </c>
      <c r="G5" s="74" t="s">
        <v>86</v>
      </c>
      <c r="H5" s="74" t="s">
        <v>87</v>
      </c>
      <c r="I5" s="74" t="s">
        <v>88</v>
      </c>
      <c r="J5" s="74" t="s">
        <v>89</v>
      </c>
      <c r="K5" s="74" t="s">
        <v>90</v>
      </c>
      <c r="L5" s="74" t="s">
        <v>91</v>
      </c>
      <c r="M5" s="74" t="s">
        <v>92</v>
      </c>
      <c r="N5" s="74" t="s">
        <v>93</v>
      </c>
      <c r="O5" s="89" t="s">
        <v>94</v>
      </c>
    </row>
    <row r="6" spans="2:15" ht="15.6">
      <c r="B6" s="90" t="s">
        <v>106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107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108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204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109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110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111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195</v>
      </c>
      <c r="C13" s="499">
        <f>SUMIFS('🏭 DRE'!$D13:$R13,'🏭 DRE'!$D$4:$R$4,$C$5)</f>
        <v>-9533.0300000000007</v>
      </c>
      <c r="D13" s="500">
        <f>SUM(D14:D19)</f>
        <v>0</v>
      </c>
      <c r="E13" s="500">
        <f t="shared" ref="E13:O13" si="4">SUM(E14:E19)</f>
        <v>0</v>
      </c>
      <c r="F13" s="500">
        <f t="shared" si="4"/>
        <v>0</v>
      </c>
      <c r="G13" s="500">
        <f t="shared" si="4"/>
        <v>-1715.44</v>
      </c>
      <c r="H13" s="500">
        <f t="shared" si="4"/>
        <v>-3000</v>
      </c>
      <c r="I13" s="500">
        <f t="shared" si="4"/>
        <v>-4227.59</v>
      </c>
      <c r="J13" s="500">
        <f t="shared" si="4"/>
        <v>-590</v>
      </c>
      <c r="K13" s="500">
        <f t="shared" si="4"/>
        <v>0</v>
      </c>
      <c r="L13" s="500">
        <f t="shared" si="4"/>
        <v>0</v>
      </c>
      <c r="M13" s="500">
        <f t="shared" si="4"/>
        <v>0</v>
      </c>
      <c r="N13" s="500">
        <f t="shared" si="4"/>
        <v>0</v>
      </c>
      <c r="O13" s="500">
        <f t="shared" si="4"/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-6853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-862.44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5.6">
      <c r="B16" s="77" t="str">
        <f>'📈Det. Resultados'!B11</f>
        <v>DL</v>
      </c>
      <c r="C16" s="260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-277.59000000000003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-277.59000000000003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112</v>
      </c>
      <c r="C20" s="96">
        <f>SUMIFS('🏭 DRE'!$D20:$R20,'🏭 DRE'!$D$4:$R$4,$C$5)</f>
        <v>966.96999999999935</v>
      </c>
      <c r="D20" s="262">
        <f t="shared" ref="D20:O20" si="5">D12+D13</f>
        <v>0</v>
      </c>
      <c r="E20" s="262">
        <f t="shared" si="5"/>
        <v>0</v>
      </c>
      <c r="F20" s="262">
        <f t="shared" si="5"/>
        <v>0</v>
      </c>
      <c r="G20" s="262">
        <f t="shared" si="5"/>
        <v>-1715.44</v>
      </c>
      <c r="H20" s="262">
        <f t="shared" si="5"/>
        <v>-3000</v>
      </c>
      <c r="I20" s="262">
        <f t="shared" si="5"/>
        <v>6272.41</v>
      </c>
      <c r="J20" s="262">
        <f t="shared" si="5"/>
        <v>-590</v>
      </c>
      <c r="K20" s="262">
        <f t="shared" si="5"/>
        <v>0</v>
      </c>
      <c r="L20" s="262">
        <f t="shared" si="5"/>
        <v>0</v>
      </c>
      <c r="M20" s="262">
        <f t="shared" si="5"/>
        <v>0</v>
      </c>
      <c r="N20" s="262">
        <f t="shared" si="5"/>
        <v>0</v>
      </c>
      <c r="O20" s="97">
        <f t="shared" si="5"/>
        <v>0</v>
      </c>
    </row>
    <row r="21" spans="1:18" ht="21.6" customHeight="1">
      <c r="A21" s="82"/>
      <c r="B21" s="505" t="s">
        <v>113</v>
      </c>
      <c r="C21" s="506">
        <f t="shared" ref="C21:O21" si="6">IFERROR((C20/C12),0)</f>
        <v>9.2092380952380884E-2</v>
      </c>
      <c r="D21" s="507">
        <f t="shared" si="6"/>
        <v>0</v>
      </c>
      <c r="E21" s="507">
        <f t="shared" si="6"/>
        <v>0</v>
      </c>
      <c r="F21" s="507">
        <f t="shared" si="6"/>
        <v>0</v>
      </c>
      <c r="G21" s="507">
        <f t="shared" si="6"/>
        <v>0</v>
      </c>
      <c r="H21" s="507">
        <f t="shared" si="6"/>
        <v>0</v>
      </c>
      <c r="I21" s="507">
        <f t="shared" si="6"/>
        <v>0.59737238095238099</v>
      </c>
      <c r="J21" s="507">
        <f t="shared" si="6"/>
        <v>0</v>
      </c>
      <c r="K21" s="507">
        <f t="shared" si="6"/>
        <v>0</v>
      </c>
      <c r="L21" s="507">
        <f t="shared" si="6"/>
        <v>0</v>
      </c>
      <c r="M21" s="507">
        <f t="shared" si="6"/>
        <v>0</v>
      </c>
      <c r="N21" s="507">
        <f t="shared" si="6"/>
        <v>0</v>
      </c>
      <c r="O21" s="508">
        <f t="shared" si="6"/>
        <v>0</v>
      </c>
      <c r="P21" s="82"/>
      <c r="Q21" s="82"/>
      <c r="R21" s="82"/>
    </row>
    <row r="22" spans="1:18" ht="20.399999999999999" customHeight="1">
      <c r="B22" s="494" t="s">
        <v>97</v>
      </c>
      <c r="C22" s="495">
        <f>SUMIFS($D22:$R22,$D$4:$R$4,$C$5)</f>
        <v>-600</v>
      </c>
      <c r="D22" s="496">
        <f t="shared" ref="D22:O22" si="7">SUM(D23:D34)</f>
        <v>0</v>
      </c>
      <c r="E22" s="496">
        <f t="shared" si="7"/>
        <v>0</v>
      </c>
      <c r="F22" s="496">
        <f t="shared" si="7"/>
        <v>0</v>
      </c>
      <c r="G22" s="496">
        <f t="shared" si="7"/>
        <v>0</v>
      </c>
      <c r="H22" s="496">
        <f t="shared" si="7"/>
        <v>0</v>
      </c>
      <c r="I22" s="496">
        <f t="shared" si="7"/>
        <v>-600</v>
      </c>
      <c r="J22" s="496">
        <f t="shared" si="7"/>
        <v>0</v>
      </c>
      <c r="K22" s="496">
        <f t="shared" si="7"/>
        <v>0</v>
      </c>
      <c r="L22" s="496">
        <f t="shared" si="7"/>
        <v>0</v>
      </c>
      <c r="M22" s="496">
        <f t="shared" si="7"/>
        <v>0</v>
      </c>
      <c r="N22" s="496">
        <f t="shared" si="7"/>
        <v>0</v>
      </c>
      <c r="O22" s="497">
        <f t="shared" si="7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DAS</v>
      </c>
      <c r="C29" s="489">
        <f>SUMIFS('🏭 DRE'!$D29:$R29,'🏭 DRE'!$D$4:$R$4,$C$5)</f>
        <v>-600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-600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210</v>
      </c>
      <c r="B36" s="490" t="s">
        <v>114</v>
      </c>
      <c r="C36" s="491">
        <f>SUMIFS('🏭 DRE'!$D36:$R36,'🏭 DRE'!$D$4:$R$4,$C$5)</f>
        <v>366.96999999999935</v>
      </c>
      <c r="D36" s="492">
        <f t="shared" ref="D36:O36" si="8">D20+D22</f>
        <v>0</v>
      </c>
      <c r="E36" s="492">
        <f t="shared" si="8"/>
        <v>0</v>
      </c>
      <c r="F36" s="492">
        <f t="shared" si="8"/>
        <v>0</v>
      </c>
      <c r="G36" s="492">
        <f t="shared" si="8"/>
        <v>-1715.44</v>
      </c>
      <c r="H36" s="492">
        <f t="shared" si="8"/>
        <v>-3000</v>
      </c>
      <c r="I36" s="492">
        <f t="shared" si="8"/>
        <v>5672.41</v>
      </c>
      <c r="J36" s="492">
        <f t="shared" si="8"/>
        <v>-590</v>
      </c>
      <c r="K36" s="492">
        <f t="shared" si="8"/>
        <v>0</v>
      </c>
      <c r="L36" s="492">
        <f t="shared" si="8"/>
        <v>0</v>
      </c>
      <c r="M36" s="492">
        <f t="shared" si="8"/>
        <v>0</v>
      </c>
      <c r="N36" s="492">
        <f t="shared" si="8"/>
        <v>0</v>
      </c>
      <c r="O36" s="493">
        <f t="shared" si="8"/>
        <v>0</v>
      </c>
    </row>
    <row r="37" spans="1:15" ht="15.75" customHeight="1">
      <c r="A37" s="217"/>
      <c r="B37" s="509" t="s">
        <v>115</v>
      </c>
      <c r="C37" s="510">
        <f>C36/C6</f>
        <v>3.494952380952375E-2</v>
      </c>
      <c r="D37" s="511" t="str">
        <f t="shared" ref="D37:O37" si="9">IF(D6=0,"",D36/D6)</f>
        <v/>
      </c>
      <c r="E37" s="511" t="str">
        <f t="shared" si="9"/>
        <v/>
      </c>
      <c r="F37" s="511" t="str">
        <f t="shared" si="9"/>
        <v/>
      </c>
      <c r="G37" s="511" t="str">
        <f t="shared" si="9"/>
        <v/>
      </c>
      <c r="H37" s="511" t="str">
        <f t="shared" si="9"/>
        <v/>
      </c>
      <c r="I37" s="511">
        <f t="shared" si="9"/>
        <v>0.54022952380952383</v>
      </c>
      <c r="J37" s="511" t="str">
        <f t="shared" si="9"/>
        <v/>
      </c>
      <c r="K37" s="511" t="str">
        <f t="shared" si="9"/>
        <v/>
      </c>
      <c r="L37" s="511" t="str">
        <f t="shared" si="9"/>
        <v/>
      </c>
      <c r="M37" s="511" t="str">
        <f t="shared" si="9"/>
        <v/>
      </c>
      <c r="N37" s="511" t="str">
        <f t="shared" si="9"/>
        <v/>
      </c>
      <c r="O37" s="512" t="str">
        <f t="shared" si="9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9" priority="7" operator="lessThan">
      <formula>0</formula>
    </cfRule>
  </conditionalFormatting>
  <conditionalFormatting sqref="C36:O36">
    <cfRule type="cellIs" dxfId="8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J29"/>
  <sheetViews>
    <sheetView tabSelected="1" workbookViewId="0">
      <pane ySplit="3" topLeftCell="A4" activePane="bottomLeft" state="frozen"/>
      <selection pane="bottomLeft" activeCell="H3" sqref="H3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9" width="17" customWidth="1"/>
    <col min="10" max="10" width="10.5" hidden="1" customWidth="1"/>
  </cols>
  <sheetData>
    <row r="1" spans="1:10" ht="24" customHeight="1">
      <c r="A1" s="571" t="s">
        <v>238</v>
      </c>
      <c r="B1" s="553"/>
      <c r="C1" s="553"/>
      <c r="D1" s="553"/>
      <c r="E1" s="553"/>
      <c r="F1" s="553"/>
      <c r="G1" s="553"/>
      <c r="H1" s="553"/>
    </row>
    <row r="3" spans="1:10" ht="25.95" customHeight="1">
      <c r="A3" s="540" t="s">
        <v>231</v>
      </c>
      <c r="B3" s="541" t="s">
        <v>232</v>
      </c>
      <c r="C3" s="541" t="s">
        <v>211</v>
      </c>
      <c r="D3" s="541" t="s">
        <v>233</v>
      </c>
      <c r="E3" s="541" t="s">
        <v>230</v>
      </c>
      <c r="F3" s="541" t="s">
        <v>239</v>
      </c>
      <c r="G3" s="541" t="s">
        <v>234</v>
      </c>
      <c r="H3" s="541" t="s">
        <v>235</v>
      </c>
      <c r="I3" s="577" t="s">
        <v>241</v>
      </c>
      <c r="J3" s="538" t="s">
        <v>236</v>
      </c>
    </row>
    <row r="4" spans="1:10" ht="19.95" customHeight="1">
      <c r="A4" s="546" t="str">
        <f t="shared" ref="A4:A27" si="0">CHOOSE(MONTH($J4),"JAN","FEV","MAR","ABR","MAI","JUN","JUL","AGO","SET","OUT","NOV","DEZ")&amp;"/"&amp;TEXT($J4,"AA")</f>
        <v>ABR/26</v>
      </c>
      <c r="B4" s="535">
        <f>IF(SUMIFS('💸  Receitas'!$G:$G,'💸  Receitas'!$A:$A,"&gt;="&amp;$J4,'💸  Receitas'!$A:$A,"&lt;"&amp;EDATE($J4,1),'💸  Receitas'!$E:$E,"FATURAMENTO")=0,SUMIFS('💸  Receitas'!$G:$G,'💸  Receitas'!$A:$A,"&gt;="&amp;$J4,'💸  Receitas'!$A:$A,"&lt;"&amp;EDATE($J4,1),'💸  Receitas'!$E:$E,"&lt;&gt;"),SUMIFS('💸  Receitas'!$G:$G,'💸  Receitas'!$A:$A,"&gt;="&amp;$J4,'💸  Receitas'!$A:$A,"&lt;"&amp;EDATE($J4,1),'💸  Receitas'!$E:$E,"FATURAMENTO"))</f>
        <v>0</v>
      </c>
      <c r="C4" s="535">
        <f>SUMIFS('📋 Despesas'!$J:$J,'📋 Despesas'!$B:$B,"&gt;="&amp;$J4,'📋 Despesas'!$B:$B,"&lt;"&amp;EDATE($J4,1),'📋 Despesas'!$E:$E,"*INSS*")</f>
        <v>202.44</v>
      </c>
      <c r="D4" s="535">
        <f>SUMIFS('📋 Despesas'!$J:$J,'📋 Despesas'!$B:$B,"&gt;="&amp;$J4,'📋 Despesas'!$B:$B,"&lt;"&amp;EDATE($J4,1),'📋 Despesas'!$E:$E,"*PROLABORE*")+SUMIFS('📋 Despesas'!$J:$J,'📋 Despesas'!$B:$B,"&gt;="&amp;$J4,'📋 Despesas'!$B:$B,"&lt;"&amp;EDATE($J4,1),'📋 Despesas'!$E:$E,"*PRÓ-LABORE*")</f>
        <v>1513</v>
      </c>
      <c r="E4" s="535">
        <f>SUMIFS('📋 Despesas'!$J:$J,'📋 Despesas'!$B:$B,"&gt;="&amp;$J4,'📋 Despesas'!$B:$B,"&lt;"&amp;EDATE($J4,1),'📋 Despesas'!$E:$E,"*DAS*")</f>
        <v>0</v>
      </c>
      <c r="F4" s="535">
        <f>SUMIFS('📋 Despesas'!$J:$J,'📋 Despesas'!$B:$B,"&gt;="&amp;$J4,'📋 Despesas'!$B:$B,"&lt;"&amp;EDATE($J4,1),'📋 Despesas'!$E:$E,"*LUCRO*")</f>
        <v>0</v>
      </c>
      <c r="G4" s="535">
        <f>SUMIFS('📋 Despesas'!$J:$J,'📋 Despesas'!$B:$B,"&gt;="&amp;$J4,'📋 Despesas'!$B:$B,"&lt;"&amp;EDATE($J4,1))-C4-D4-E4-F4</f>
        <v>0</v>
      </c>
      <c r="H4" s="544">
        <f>B4-C4-D4-E4-G4-Tabela2[[#This Row],[DL Pagos]]</f>
        <v>-1715.44</v>
      </c>
      <c r="I4" s="578">
        <f>SUM($H$4:H4)</f>
        <v>-1715.44</v>
      </c>
      <c r="J4" s="537">
        <v>46113</v>
      </c>
    </row>
    <row r="5" spans="1:10" ht="19.95" customHeight="1">
      <c r="A5" s="546" t="str">
        <f t="shared" si="0"/>
        <v>MAI/26</v>
      </c>
      <c r="B5" s="535">
        <f>IF(SUMIFS('💸  Receitas'!$G:$G,'💸  Receitas'!$A:$A,"&gt;="&amp;$J5,'💸  Receitas'!$A:$A,"&lt;"&amp;EDATE($J5,1),'💸  Receitas'!$E:$E,"FATURAMENTO")=0,SUMIFS('💸  Receitas'!$G:$G,'💸  Receitas'!$A:$A,"&gt;="&amp;$J5,'💸  Receitas'!$A:$A,"&lt;"&amp;EDATE($J5,1),'💸  Receitas'!$E:$E,"&lt;&gt;"),SUMIFS('💸  Receitas'!$G:$G,'💸  Receitas'!$A:$A,"&gt;="&amp;$J5,'💸  Receitas'!$A:$A,"&lt;"&amp;EDATE($J5,1),'💸  Receitas'!$E:$E,"FATURAMENTO"))</f>
        <v>0</v>
      </c>
      <c r="C5" s="535">
        <f>SUMIFS('📋 Despesas'!$J:$J,'📋 Despesas'!$B:$B,"&gt;="&amp;$J5,'📋 Despesas'!$B:$B,"&lt;"&amp;EDATE($J5,1),'📋 Despesas'!$E:$E,"*INSS*")</f>
        <v>330</v>
      </c>
      <c r="D5" s="535">
        <f>SUMIFS('📋 Despesas'!$J:$J,'📋 Despesas'!$B:$B,"&gt;="&amp;$J5,'📋 Despesas'!$B:$B,"&lt;"&amp;EDATE($J5,1),'📋 Despesas'!$E:$E,"*PROLABORE*")+SUMIFS('📋 Despesas'!$J:$J,'📋 Despesas'!$B:$B,"&gt;="&amp;$J5,'📋 Despesas'!$B:$B,"&lt;"&amp;EDATE($J5,1),'📋 Despesas'!$E:$E,"*PRÓ-LABORE*")</f>
        <v>2670</v>
      </c>
      <c r="E5" s="535">
        <f>SUMIFS('📋 Despesas'!$J:$J,'📋 Despesas'!$B:$B,"&gt;="&amp;$J5,'📋 Despesas'!$B:$B,"&lt;"&amp;EDATE($J5,1),'📋 Despesas'!$E:$E,"*DAS*")</f>
        <v>0</v>
      </c>
      <c r="F5" s="535">
        <f>SUMIFS('📋 Despesas'!$J:$J,'📋 Despesas'!$B:$B,"&gt;="&amp;$J5,'📋 Despesas'!$B:$B,"&lt;"&amp;EDATE($J5,1),'📋 Despesas'!$E:$E,"*LUCRO*")</f>
        <v>0</v>
      </c>
      <c r="G5" s="535">
        <f>SUMIFS('📋 Despesas'!$J:$J,'📋 Despesas'!$B:$B,"&gt;="&amp;$J5,'📋 Despesas'!$B:$B,"&lt;"&amp;EDATE($J5,1))-C5-D5-E5-F5</f>
        <v>0</v>
      </c>
      <c r="H5" s="544">
        <f>B5-C5-D5-E5-G5-Tabela2[[#This Row],[DL Pagos]]</f>
        <v>-3000</v>
      </c>
      <c r="I5" s="578">
        <f>SUM($H$4:H5)</f>
        <v>-4715.4400000000005</v>
      </c>
      <c r="J5" s="537">
        <f>EDATE(J4,1)</f>
        <v>46143</v>
      </c>
    </row>
    <row r="6" spans="1:10" ht="19.95" customHeight="1">
      <c r="A6" s="546" t="str">
        <f t="shared" si="0"/>
        <v>JUN/26</v>
      </c>
      <c r="B6" s="535">
        <f>IF(SUMIFS('💸  Receitas'!$G:$G,'💸  Receitas'!$A:$A,"&gt;="&amp;$J6,'💸  Receitas'!$A:$A,"&lt;"&amp;EDATE($J6,1),'💸  Receitas'!$E:$E,"FATURAMENTO")=0,SUMIFS('💸  Receitas'!$G:$G,'💸  Receitas'!$A:$A,"&gt;="&amp;$J6,'💸  Receitas'!$A:$A,"&lt;"&amp;EDATE($J6,1),'💸  Receitas'!$E:$E,"&lt;&gt;"),SUMIFS('💸  Receitas'!$G:$G,'💸  Receitas'!$A:$A,"&gt;="&amp;$J6,'💸  Receitas'!$A:$A,"&lt;"&amp;EDATE($J6,1),'💸  Receitas'!$E:$E,"FATURAMENTO"))</f>
        <v>10000</v>
      </c>
      <c r="C6" s="535">
        <f>SUMIFS('📋 Despesas'!$J:$J,'📋 Despesas'!$B:$B,"&gt;="&amp;$J6,'📋 Despesas'!$B:$B,"&lt;"&amp;EDATE($J6,1),'📋 Despesas'!$E:$E,"*INSS*")</f>
        <v>330</v>
      </c>
      <c r="D6" s="535">
        <f>SUMIFS('📋 Despesas'!$J:$J,'📋 Despesas'!$B:$B,"&gt;="&amp;$J6,'📋 Despesas'!$B:$B,"&lt;"&amp;EDATE($J6,1),'📋 Despesas'!$E:$E,"*PROLABORE*")+SUMIFS('📋 Despesas'!$J:$J,'📋 Despesas'!$B:$B,"&gt;="&amp;$J6,'📋 Despesas'!$B:$B,"&lt;"&amp;EDATE($J6,1),'📋 Despesas'!$E:$E,"*PRÓ-LABORE*")</f>
        <v>2670</v>
      </c>
      <c r="E6" s="535">
        <f>SUMIFS('📋 Despesas'!$J:$J,'📋 Despesas'!$B:$B,"&gt;="&amp;$J6,'📋 Despesas'!$B:$B,"&lt;"&amp;EDATE($J6,1),'📋 Despesas'!$E:$E,"*DAS*")</f>
        <v>600</v>
      </c>
      <c r="F6" s="535">
        <f>SUMIFS('📋 Despesas'!$J:$J,'📋 Despesas'!$B:$B,"&gt;="&amp;$J6,'📋 Despesas'!$B:$B,"&lt;"&amp;EDATE($J6,1),'📋 Despesas'!$E:$E,"*LUCRO*")</f>
        <v>0</v>
      </c>
      <c r="G6" s="535">
        <f>SUMIFS('📋 Despesas'!$J:$J,'📋 Despesas'!$B:$B,"&gt;="&amp;$J6,'📋 Despesas'!$B:$B,"&lt;"&amp;EDATE($J6,1))-C6-D6-E6-F6</f>
        <v>1227.5900000000001</v>
      </c>
      <c r="H6" s="544">
        <f>B6-C6-D6-E6-G6-Tabela2[[#This Row],[DL Pagos]]</f>
        <v>5172.41</v>
      </c>
      <c r="I6" s="578">
        <f>SUM($H$4:H6)</f>
        <v>456.96999999999935</v>
      </c>
      <c r="J6" s="537">
        <f t="shared" ref="J6:J27" si="1">EDATE(J5,1)</f>
        <v>46174</v>
      </c>
    </row>
    <row r="7" spans="1:10" ht="19.95" customHeight="1">
      <c r="A7" s="546" t="str">
        <f t="shared" si="0"/>
        <v>JUL/26</v>
      </c>
      <c r="B7" s="535">
        <f>IF(SUMIFS('💸  Receitas'!$G:$G,'💸  Receitas'!$A:$A,"&gt;="&amp;$J7,'💸  Receitas'!$A:$A,"&lt;"&amp;EDATE($J7,1),'💸  Receitas'!$E:$E,"FATURAMENTO")=0,SUMIFS('💸  Receitas'!$G:$G,'💸  Receitas'!$A:$A,"&gt;="&amp;$J7,'💸  Receitas'!$A:$A,"&lt;"&amp;EDATE($J7,1),'💸  Receitas'!$E:$E,"&lt;&gt;"),SUMIFS('💸  Receitas'!$G:$G,'💸  Receitas'!$A:$A,"&gt;="&amp;$J7,'💸  Receitas'!$A:$A,"&lt;"&amp;EDATE($J7,1),'💸  Receitas'!$E:$E,"FATURAMENTO"))</f>
        <v>0</v>
      </c>
      <c r="C7" s="535">
        <f>SUMIFS('📋 Despesas'!$J:$J,'📋 Despesas'!$B:$B,"&gt;="&amp;$J7,'📋 Despesas'!$B:$B,"&lt;"&amp;EDATE($J7,1),'📋 Despesas'!$E:$E,"*INSS*")</f>
        <v>0</v>
      </c>
      <c r="D7" s="535">
        <f>SUMIFS('📋 Despesas'!$J:$J,'📋 Despesas'!$B:$B,"&gt;="&amp;$J7,'📋 Despesas'!$B:$B,"&lt;"&amp;EDATE($J7,1),'📋 Despesas'!$E:$E,"*PROLABORE*")+SUMIFS('📋 Despesas'!$J:$J,'📋 Despesas'!$B:$B,"&gt;="&amp;$J7,'📋 Despesas'!$B:$B,"&lt;"&amp;EDATE($J7,1),'📋 Despesas'!$E:$E,"*PRÓ-LABORE*")</f>
        <v>0</v>
      </c>
      <c r="E7" s="535">
        <f>SUMIFS('📋 Despesas'!$J:$J,'📋 Despesas'!$B:$B,"&gt;="&amp;$J7,'📋 Despesas'!$B:$B,"&lt;"&amp;EDATE($J7,1),'📋 Despesas'!$E:$E,"*DAS*")</f>
        <v>0</v>
      </c>
      <c r="F7" s="535">
        <f>SUMIFS('📋 Despesas'!$J:$J,'📋 Despesas'!$B:$B,"&gt;="&amp;$J7,'📋 Despesas'!$B:$B,"&lt;"&amp;EDATE($J7,1),'📋 Despesas'!$E:$E,"*LUCRO*")</f>
        <v>0</v>
      </c>
      <c r="G7" s="535">
        <f>SUMIFS('📋 Despesas'!$J:$J,'📋 Despesas'!$B:$B,"&gt;="&amp;$J7,'📋 Despesas'!$B:$B,"&lt;"&amp;EDATE($J7,1))-C7-D7-E7-F7</f>
        <v>590</v>
      </c>
      <c r="H7" s="544">
        <f>B7-C7-D7-E7-G7-Tabela2[[#This Row],[DL Pagos]]</f>
        <v>-590</v>
      </c>
      <c r="I7" s="578">
        <f>SUM($H$4:H7)</f>
        <v>-133.03000000000065</v>
      </c>
      <c r="J7" s="537">
        <f t="shared" si="1"/>
        <v>46204</v>
      </c>
    </row>
    <row r="8" spans="1:10" ht="19.95" customHeight="1">
      <c r="A8" s="546" t="str">
        <f t="shared" si="0"/>
        <v>AGO/26</v>
      </c>
      <c r="B8" s="535">
        <f>IF(SUMIFS('💸  Receitas'!$G:$G,'💸  Receitas'!$A:$A,"&gt;="&amp;$J8,'💸  Receitas'!$A:$A,"&lt;"&amp;EDATE($J8,1),'💸  Receitas'!$E:$E,"FATURAMENTO")=0,SUMIFS('💸  Receitas'!$G:$G,'💸  Receitas'!$A:$A,"&gt;="&amp;$J8,'💸  Receitas'!$A:$A,"&lt;"&amp;EDATE($J8,1),'💸  Receitas'!$E:$E,"&lt;&gt;"),SUMIFS('💸  Receitas'!$G:$G,'💸  Receitas'!$A:$A,"&gt;="&amp;$J8,'💸  Receitas'!$A:$A,"&lt;"&amp;EDATE($J8,1),'💸  Receitas'!$E:$E,"FATURAMENTO"))</f>
        <v>0</v>
      </c>
      <c r="C8" s="535">
        <f>SUMIFS('📋 Despesas'!$J:$J,'📋 Despesas'!$B:$B,"&gt;="&amp;$J8,'📋 Despesas'!$B:$B,"&lt;"&amp;EDATE($J8,1),'📋 Despesas'!$E:$E,"*INSS*")</f>
        <v>0</v>
      </c>
      <c r="D8" s="535">
        <f>SUMIFS('📋 Despesas'!$J:$J,'📋 Despesas'!$B:$B,"&gt;="&amp;$J8,'📋 Despesas'!$B:$B,"&lt;"&amp;EDATE($J8,1),'📋 Despesas'!$E:$E,"*PROLABORE*")+SUMIFS('📋 Despesas'!$J:$J,'📋 Despesas'!$B:$B,"&gt;="&amp;$J8,'📋 Despesas'!$B:$B,"&lt;"&amp;EDATE($J8,1),'📋 Despesas'!$E:$E,"*PRÓ-LABORE*")</f>
        <v>0</v>
      </c>
      <c r="E8" s="535">
        <f>SUMIFS('📋 Despesas'!$J:$J,'📋 Despesas'!$B:$B,"&gt;="&amp;$J8,'📋 Despesas'!$B:$B,"&lt;"&amp;EDATE($J8,1),'📋 Despesas'!$E:$E,"*DAS*")</f>
        <v>0</v>
      </c>
      <c r="F8" s="535">
        <f>SUMIFS('📋 Despesas'!$J:$J,'📋 Despesas'!$B:$B,"&gt;="&amp;$J8,'📋 Despesas'!$B:$B,"&lt;"&amp;EDATE($J8,1),'📋 Despesas'!$E:$E,"*LUCRO*")</f>
        <v>0</v>
      </c>
      <c r="G8" s="535">
        <f>SUMIFS('📋 Despesas'!$J:$J,'📋 Despesas'!$B:$B,"&gt;="&amp;$J8,'📋 Despesas'!$B:$B,"&lt;"&amp;EDATE($J8,1))-C8-D8-E8-F8</f>
        <v>0</v>
      </c>
      <c r="H8" s="544">
        <f>B8-C8-D8-E8-G8-Tabela2[[#This Row],[DL Pagos]]</f>
        <v>0</v>
      </c>
      <c r="I8" s="578">
        <f>SUM($H$4:H8)</f>
        <v>-133.03000000000065</v>
      </c>
      <c r="J8" s="537">
        <f t="shared" si="1"/>
        <v>46235</v>
      </c>
    </row>
    <row r="9" spans="1:10" ht="19.95" customHeight="1">
      <c r="A9" s="546" t="str">
        <f t="shared" si="0"/>
        <v>SET/26</v>
      </c>
      <c r="B9" s="535">
        <f>IF(SUMIFS('💸  Receitas'!$G:$G,'💸  Receitas'!$A:$A,"&gt;="&amp;$J9,'💸  Receitas'!$A:$A,"&lt;"&amp;EDATE($J9,1),'💸  Receitas'!$E:$E,"FATURAMENTO")=0,SUMIFS('💸  Receitas'!$G:$G,'💸  Receitas'!$A:$A,"&gt;="&amp;$J9,'💸  Receitas'!$A:$A,"&lt;"&amp;EDATE($J9,1),'💸  Receitas'!$E:$E,"&lt;&gt;"),SUMIFS('💸  Receitas'!$G:$G,'💸  Receitas'!$A:$A,"&gt;="&amp;$J9,'💸  Receitas'!$A:$A,"&lt;"&amp;EDATE($J9,1),'💸  Receitas'!$E:$E,"FATURAMENTO"))</f>
        <v>0</v>
      </c>
      <c r="C9" s="535">
        <f>SUMIFS('📋 Despesas'!$J:$J,'📋 Despesas'!$B:$B,"&gt;="&amp;$J9,'📋 Despesas'!$B:$B,"&lt;"&amp;EDATE($J9,1),'📋 Despesas'!$E:$E,"*INSS*")</f>
        <v>0</v>
      </c>
      <c r="D9" s="535">
        <f>SUMIFS('📋 Despesas'!$J:$J,'📋 Despesas'!$B:$B,"&gt;="&amp;$J9,'📋 Despesas'!$B:$B,"&lt;"&amp;EDATE($J9,1),'📋 Despesas'!$E:$E,"*PROLABORE*")+SUMIFS('📋 Despesas'!$J:$J,'📋 Despesas'!$B:$B,"&gt;="&amp;$J9,'📋 Despesas'!$B:$B,"&lt;"&amp;EDATE($J9,1),'📋 Despesas'!$E:$E,"*PRÓ-LABORE*")</f>
        <v>0</v>
      </c>
      <c r="E9" s="535">
        <f>SUMIFS('📋 Despesas'!$J:$J,'📋 Despesas'!$B:$B,"&gt;="&amp;$J9,'📋 Despesas'!$B:$B,"&lt;"&amp;EDATE($J9,1),'📋 Despesas'!$E:$E,"*DAS*")</f>
        <v>0</v>
      </c>
      <c r="F9" s="535">
        <f>SUMIFS('📋 Despesas'!$J:$J,'📋 Despesas'!$B:$B,"&gt;="&amp;$J9,'📋 Despesas'!$B:$B,"&lt;"&amp;EDATE($J9,1),'📋 Despesas'!$E:$E,"*LUCRO*")</f>
        <v>0</v>
      </c>
      <c r="G9" s="535">
        <f>SUMIFS('📋 Despesas'!$J:$J,'📋 Despesas'!$B:$B,"&gt;="&amp;$J9,'📋 Despesas'!$B:$B,"&lt;"&amp;EDATE($J9,1))-C9-D9-E9-F9</f>
        <v>0</v>
      </c>
      <c r="H9" s="544">
        <f>B9-C9-D9-E9-G9-Tabela2[[#This Row],[DL Pagos]]</f>
        <v>0</v>
      </c>
      <c r="I9" s="578">
        <f>SUM($H$4:H9)</f>
        <v>-133.03000000000065</v>
      </c>
      <c r="J9" s="537">
        <f t="shared" si="1"/>
        <v>46266</v>
      </c>
    </row>
    <row r="10" spans="1:10" ht="19.95" customHeight="1">
      <c r="A10" s="546" t="str">
        <f t="shared" si="0"/>
        <v>OUT/26</v>
      </c>
      <c r="B10" s="535">
        <f>IF(SUMIFS('💸  Receitas'!$G:$G,'💸  Receitas'!$A:$A,"&gt;="&amp;$J10,'💸  Receitas'!$A:$A,"&lt;"&amp;EDATE($J10,1),'💸  Receitas'!$E:$E,"FATURAMENTO")=0,SUMIFS('💸  Receitas'!$G:$G,'💸  Receitas'!$A:$A,"&gt;="&amp;$J10,'💸  Receitas'!$A:$A,"&lt;"&amp;EDATE($J10,1),'💸  Receitas'!$E:$E,"&lt;&gt;"),SUMIFS('💸  Receitas'!$G:$G,'💸  Receitas'!$A:$A,"&gt;="&amp;$J10,'💸  Receitas'!$A:$A,"&lt;"&amp;EDATE($J10,1),'💸  Receitas'!$E:$E,"FATURAMENTO"))</f>
        <v>0</v>
      </c>
      <c r="C10" s="535">
        <f>SUMIFS('📋 Despesas'!$J:$J,'📋 Despesas'!$B:$B,"&gt;="&amp;$J10,'📋 Despesas'!$B:$B,"&lt;"&amp;EDATE($J10,1),'📋 Despesas'!$E:$E,"*INSS*")</f>
        <v>0</v>
      </c>
      <c r="D10" s="535">
        <f>SUMIFS('📋 Despesas'!$J:$J,'📋 Despesas'!$B:$B,"&gt;="&amp;$J10,'📋 Despesas'!$B:$B,"&lt;"&amp;EDATE($J10,1),'📋 Despesas'!$E:$E,"*PROLABORE*")+SUMIFS('📋 Despesas'!$J:$J,'📋 Despesas'!$B:$B,"&gt;="&amp;$J10,'📋 Despesas'!$B:$B,"&lt;"&amp;EDATE($J10,1),'📋 Despesas'!$E:$E,"*PRÓ-LABORE*")</f>
        <v>0</v>
      </c>
      <c r="E10" s="535">
        <f>SUMIFS('📋 Despesas'!$J:$J,'📋 Despesas'!$B:$B,"&gt;="&amp;$J10,'📋 Despesas'!$B:$B,"&lt;"&amp;EDATE($J10,1),'📋 Despesas'!$E:$E,"*DAS*")</f>
        <v>0</v>
      </c>
      <c r="F10" s="535">
        <f>SUMIFS('📋 Despesas'!$J:$J,'📋 Despesas'!$B:$B,"&gt;="&amp;$J10,'📋 Despesas'!$B:$B,"&lt;"&amp;EDATE($J10,1),'📋 Despesas'!$E:$E,"*LUCRO*")</f>
        <v>0</v>
      </c>
      <c r="G10" s="535">
        <f>SUMIFS('📋 Despesas'!$J:$J,'📋 Despesas'!$B:$B,"&gt;="&amp;$J10,'📋 Despesas'!$B:$B,"&lt;"&amp;EDATE($J10,1))-C10-D10-E10-F10</f>
        <v>0</v>
      </c>
      <c r="H10" s="544">
        <f>B10-C10-D10-E10-G10-Tabela2[[#This Row],[DL Pagos]]</f>
        <v>0</v>
      </c>
      <c r="I10" s="578">
        <f>SUM($H$4:H10)</f>
        <v>-133.03000000000065</v>
      </c>
      <c r="J10" s="537">
        <f t="shared" si="1"/>
        <v>46296</v>
      </c>
    </row>
    <row r="11" spans="1:10" ht="19.95" customHeight="1">
      <c r="A11" s="546" t="str">
        <f t="shared" si="0"/>
        <v>NOV/26</v>
      </c>
      <c r="B11" s="535">
        <f>IF(SUMIFS('💸  Receitas'!$G:$G,'💸  Receitas'!$A:$A,"&gt;="&amp;$J11,'💸  Receitas'!$A:$A,"&lt;"&amp;EDATE($J11,1),'💸  Receitas'!$E:$E,"FATURAMENTO")=0,SUMIFS('💸  Receitas'!$G:$G,'💸  Receitas'!$A:$A,"&gt;="&amp;$J11,'💸  Receitas'!$A:$A,"&lt;"&amp;EDATE($J11,1),'💸  Receitas'!$E:$E,"&lt;&gt;"),SUMIFS('💸  Receitas'!$G:$G,'💸  Receitas'!$A:$A,"&gt;="&amp;$J11,'💸  Receitas'!$A:$A,"&lt;"&amp;EDATE($J11,1),'💸  Receitas'!$E:$E,"FATURAMENTO"))</f>
        <v>0</v>
      </c>
      <c r="C11" s="535">
        <f>SUMIFS('📋 Despesas'!$J:$J,'📋 Despesas'!$B:$B,"&gt;="&amp;$J11,'📋 Despesas'!$B:$B,"&lt;"&amp;EDATE($J11,1),'📋 Despesas'!$E:$E,"*INSS*")</f>
        <v>0</v>
      </c>
      <c r="D11" s="535">
        <f>SUMIFS('📋 Despesas'!$J:$J,'📋 Despesas'!$B:$B,"&gt;="&amp;$J11,'📋 Despesas'!$B:$B,"&lt;"&amp;EDATE($J11,1),'📋 Despesas'!$E:$E,"*PROLABORE*")+SUMIFS('📋 Despesas'!$J:$J,'📋 Despesas'!$B:$B,"&gt;="&amp;$J11,'📋 Despesas'!$B:$B,"&lt;"&amp;EDATE($J11,1),'📋 Despesas'!$E:$E,"*PRÓ-LABORE*")</f>
        <v>0</v>
      </c>
      <c r="E11" s="535">
        <f>SUMIFS('📋 Despesas'!$J:$J,'📋 Despesas'!$B:$B,"&gt;="&amp;$J11,'📋 Despesas'!$B:$B,"&lt;"&amp;EDATE($J11,1),'📋 Despesas'!$E:$E,"*DAS*")</f>
        <v>0</v>
      </c>
      <c r="F11" s="535">
        <f>SUMIFS('📋 Despesas'!$J:$J,'📋 Despesas'!$B:$B,"&gt;="&amp;$J11,'📋 Despesas'!$B:$B,"&lt;"&amp;EDATE($J11,1),'📋 Despesas'!$E:$E,"*LUCRO*")</f>
        <v>0</v>
      </c>
      <c r="G11" s="535">
        <f>SUMIFS('📋 Despesas'!$J:$J,'📋 Despesas'!$B:$B,"&gt;="&amp;$J11,'📋 Despesas'!$B:$B,"&lt;"&amp;EDATE($J11,1))-C11-D11-E11-F11</f>
        <v>0</v>
      </c>
      <c r="H11" s="544">
        <f>B11-C11-D11-E11-G11-Tabela2[[#This Row],[DL Pagos]]</f>
        <v>0</v>
      </c>
      <c r="I11" s="578">
        <f>SUM($H$4:H11)</f>
        <v>-133.03000000000065</v>
      </c>
      <c r="J11" s="537">
        <f t="shared" si="1"/>
        <v>46327</v>
      </c>
    </row>
    <row r="12" spans="1:10" ht="19.95" customHeight="1">
      <c r="A12" s="546" t="str">
        <f t="shared" si="0"/>
        <v>DEZ/26</v>
      </c>
      <c r="B12" s="535">
        <f>IF(SUMIFS('💸  Receitas'!$G:$G,'💸  Receitas'!$A:$A,"&gt;="&amp;$J12,'💸  Receitas'!$A:$A,"&lt;"&amp;EDATE($J12,1),'💸  Receitas'!$E:$E,"FATURAMENTO")=0,SUMIFS('💸  Receitas'!$G:$G,'💸  Receitas'!$A:$A,"&gt;="&amp;$J12,'💸  Receitas'!$A:$A,"&lt;"&amp;EDATE($J12,1),'💸  Receitas'!$E:$E,"&lt;&gt;"),SUMIFS('💸  Receitas'!$G:$G,'💸  Receitas'!$A:$A,"&gt;="&amp;$J12,'💸  Receitas'!$A:$A,"&lt;"&amp;EDATE($J12,1),'💸  Receitas'!$E:$E,"FATURAMENTO"))</f>
        <v>0</v>
      </c>
      <c r="C12" s="535">
        <f>SUMIFS('📋 Despesas'!$J:$J,'📋 Despesas'!$B:$B,"&gt;="&amp;$J12,'📋 Despesas'!$B:$B,"&lt;"&amp;EDATE($J12,1),'📋 Despesas'!$E:$E,"*INSS*")</f>
        <v>0</v>
      </c>
      <c r="D12" s="535">
        <f>SUMIFS('📋 Despesas'!$J:$J,'📋 Despesas'!$B:$B,"&gt;="&amp;$J12,'📋 Despesas'!$B:$B,"&lt;"&amp;EDATE($J12,1),'📋 Despesas'!$E:$E,"*PROLABORE*")+SUMIFS('📋 Despesas'!$J:$J,'📋 Despesas'!$B:$B,"&gt;="&amp;$J12,'📋 Despesas'!$B:$B,"&lt;"&amp;EDATE($J12,1),'📋 Despesas'!$E:$E,"*PRÓ-LABORE*")</f>
        <v>0</v>
      </c>
      <c r="E12" s="535">
        <f>SUMIFS('📋 Despesas'!$J:$J,'📋 Despesas'!$B:$B,"&gt;="&amp;$J12,'📋 Despesas'!$B:$B,"&lt;"&amp;EDATE($J12,1),'📋 Despesas'!$E:$E,"*DAS*")</f>
        <v>0</v>
      </c>
      <c r="F12" s="535">
        <f>SUMIFS('📋 Despesas'!$J:$J,'📋 Despesas'!$B:$B,"&gt;="&amp;$J12,'📋 Despesas'!$B:$B,"&lt;"&amp;EDATE($J12,1),'📋 Despesas'!$E:$E,"*LUCRO*")</f>
        <v>0</v>
      </c>
      <c r="G12" s="535">
        <f>SUMIFS('📋 Despesas'!$J:$J,'📋 Despesas'!$B:$B,"&gt;="&amp;$J12,'📋 Despesas'!$B:$B,"&lt;"&amp;EDATE($J12,1))-C12-D12-E12-F12</f>
        <v>0</v>
      </c>
      <c r="H12" s="542">
        <f>B12-C12-D12-E12-G12-Tabela2[[#This Row],[DL Pagos]]</f>
        <v>0</v>
      </c>
      <c r="I12" s="579">
        <f>SUM($H$4:H12)</f>
        <v>-133.03000000000065</v>
      </c>
      <c r="J12" s="537">
        <f t="shared" si="1"/>
        <v>46357</v>
      </c>
    </row>
    <row r="13" spans="1:10" ht="19.95" customHeight="1">
      <c r="A13" s="546" t="str">
        <f t="shared" si="0"/>
        <v>JAN/27</v>
      </c>
      <c r="B13" s="535">
        <f>IF(SUMIFS('💸  Receitas'!$G:$G,'💸  Receitas'!$A:$A,"&gt;="&amp;$J13,'💸  Receitas'!$A:$A,"&lt;"&amp;EDATE($J13,1),'💸  Receitas'!$E:$E,"FATURAMENTO")=0,SUMIFS('💸  Receitas'!$G:$G,'💸  Receitas'!$A:$A,"&gt;="&amp;$J13,'💸  Receitas'!$A:$A,"&lt;"&amp;EDATE($J13,1),'💸  Receitas'!$E:$E,"&lt;&gt;"),SUMIFS('💸  Receitas'!$G:$G,'💸  Receitas'!$A:$A,"&gt;="&amp;$J13,'💸  Receitas'!$A:$A,"&lt;"&amp;EDATE($J13,1),'💸  Receitas'!$E:$E,"FATURAMENTO"))</f>
        <v>0</v>
      </c>
      <c r="C13" s="535">
        <f>SUMIFS('📋 Despesas'!$J:$J,'📋 Despesas'!$B:$B,"&gt;="&amp;$J13,'📋 Despesas'!$B:$B,"&lt;"&amp;EDATE($J13,1),'📋 Despesas'!$E:$E,"*INSS*")</f>
        <v>0</v>
      </c>
      <c r="D13" s="535">
        <f>SUMIFS('📋 Despesas'!$J:$J,'📋 Despesas'!$B:$B,"&gt;="&amp;$J13,'📋 Despesas'!$B:$B,"&lt;"&amp;EDATE($J13,1),'📋 Despesas'!$E:$E,"*PROLABORE*")+SUMIFS('📋 Despesas'!$J:$J,'📋 Despesas'!$B:$B,"&gt;="&amp;$J13,'📋 Despesas'!$B:$B,"&lt;"&amp;EDATE($J13,1),'📋 Despesas'!$E:$E,"*PRÓ-LABORE*")</f>
        <v>0</v>
      </c>
      <c r="E13" s="535">
        <f>SUMIFS('📋 Despesas'!$J:$J,'📋 Despesas'!$B:$B,"&gt;="&amp;$J13,'📋 Despesas'!$B:$B,"&lt;"&amp;EDATE($J13,1),'📋 Despesas'!$E:$E,"*DAS*")</f>
        <v>0</v>
      </c>
      <c r="F13" s="535">
        <f>SUMIFS('📋 Despesas'!$J:$J,'📋 Despesas'!$B:$B,"&gt;="&amp;$J13,'📋 Despesas'!$B:$B,"&lt;"&amp;EDATE($J13,1),'📋 Despesas'!$E:$E,"*LUCRO*")</f>
        <v>0</v>
      </c>
      <c r="G13" s="535">
        <f>SUMIFS('📋 Despesas'!$J:$J,'📋 Despesas'!$B:$B,"&gt;="&amp;$J13,'📋 Despesas'!$B:$B,"&lt;"&amp;EDATE($J13,1))-C13-D13-E13-F13</f>
        <v>0</v>
      </c>
      <c r="H13" s="542">
        <f>B13-C13-D13-E13-G13-Tabela2[[#This Row],[DL Pagos]]</f>
        <v>0</v>
      </c>
      <c r="I13" s="579">
        <f>SUM($H$4:H13)</f>
        <v>-133.03000000000065</v>
      </c>
      <c r="J13" s="537">
        <f t="shared" si="1"/>
        <v>46388</v>
      </c>
    </row>
    <row r="14" spans="1:10" ht="19.95" customHeight="1">
      <c r="A14" s="546" t="str">
        <f t="shared" si="0"/>
        <v>FEV/27</v>
      </c>
      <c r="B14" s="535">
        <f>IF(SUMIFS('💸  Receitas'!$G:$G,'💸  Receitas'!$A:$A,"&gt;="&amp;$J14,'💸  Receitas'!$A:$A,"&lt;"&amp;EDATE($J14,1),'💸  Receitas'!$E:$E,"FATURAMENTO")=0,SUMIFS('💸  Receitas'!$G:$G,'💸  Receitas'!$A:$A,"&gt;="&amp;$J14,'💸  Receitas'!$A:$A,"&lt;"&amp;EDATE($J14,1),'💸  Receitas'!$E:$E,"&lt;&gt;"),SUMIFS('💸  Receitas'!$G:$G,'💸  Receitas'!$A:$A,"&gt;="&amp;$J14,'💸  Receitas'!$A:$A,"&lt;"&amp;EDATE($J14,1),'💸  Receitas'!$E:$E,"FATURAMENTO"))</f>
        <v>0</v>
      </c>
      <c r="C14" s="535">
        <f>SUMIFS('📋 Despesas'!$J:$J,'📋 Despesas'!$B:$B,"&gt;="&amp;$J14,'📋 Despesas'!$B:$B,"&lt;"&amp;EDATE($J14,1),'📋 Despesas'!$E:$E,"*INSS*")</f>
        <v>0</v>
      </c>
      <c r="D14" s="535">
        <f>SUMIFS('📋 Despesas'!$J:$J,'📋 Despesas'!$B:$B,"&gt;="&amp;$J14,'📋 Despesas'!$B:$B,"&lt;"&amp;EDATE($J14,1),'📋 Despesas'!$E:$E,"*PROLABORE*")+SUMIFS('📋 Despesas'!$J:$J,'📋 Despesas'!$B:$B,"&gt;="&amp;$J14,'📋 Despesas'!$B:$B,"&lt;"&amp;EDATE($J14,1),'📋 Despesas'!$E:$E,"*PRÓ-LABORE*")</f>
        <v>0</v>
      </c>
      <c r="E14" s="535">
        <f>SUMIFS('📋 Despesas'!$J:$J,'📋 Despesas'!$B:$B,"&gt;="&amp;$J14,'📋 Despesas'!$B:$B,"&lt;"&amp;EDATE($J14,1),'📋 Despesas'!$E:$E,"*DAS*")</f>
        <v>0</v>
      </c>
      <c r="F14" s="535">
        <f>SUMIFS('📋 Despesas'!$J:$J,'📋 Despesas'!$B:$B,"&gt;="&amp;$J14,'📋 Despesas'!$B:$B,"&lt;"&amp;EDATE($J14,1),'📋 Despesas'!$E:$E,"*LUCRO*")</f>
        <v>0</v>
      </c>
      <c r="G14" s="535">
        <f>SUMIFS('📋 Despesas'!$J:$J,'📋 Despesas'!$B:$B,"&gt;="&amp;$J14,'📋 Despesas'!$B:$B,"&lt;"&amp;EDATE($J14,1))-C14-D14-E14-F14</f>
        <v>0</v>
      </c>
      <c r="H14" s="542">
        <f>B14-C14-D14-E14-G14-Tabela2[[#This Row],[DL Pagos]]</f>
        <v>0</v>
      </c>
      <c r="I14" s="579">
        <f>SUM($H$4:H14)</f>
        <v>-133.03000000000065</v>
      </c>
      <c r="J14" s="537">
        <f t="shared" si="1"/>
        <v>46419</v>
      </c>
    </row>
    <row r="15" spans="1:10" ht="19.95" customHeight="1">
      <c r="A15" s="546" t="str">
        <f t="shared" si="0"/>
        <v>MAR/27</v>
      </c>
      <c r="B15" s="535">
        <f>IF(SUMIFS('💸  Receitas'!$G:$G,'💸  Receitas'!$A:$A,"&gt;="&amp;$J15,'💸  Receitas'!$A:$A,"&lt;"&amp;EDATE($J15,1),'💸  Receitas'!$E:$E,"FATURAMENTO")=0,SUMIFS('💸  Receitas'!$G:$G,'💸  Receitas'!$A:$A,"&gt;="&amp;$J15,'💸  Receitas'!$A:$A,"&lt;"&amp;EDATE($J15,1),'💸  Receitas'!$E:$E,"&lt;&gt;"),SUMIFS('💸  Receitas'!$G:$G,'💸  Receitas'!$A:$A,"&gt;="&amp;$J15,'💸  Receitas'!$A:$A,"&lt;"&amp;EDATE($J15,1),'💸  Receitas'!$E:$E,"FATURAMENTO"))</f>
        <v>0</v>
      </c>
      <c r="C15" s="535">
        <f>SUMIFS('📋 Despesas'!$J:$J,'📋 Despesas'!$B:$B,"&gt;="&amp;$J15,'📋 Despesas'!$B:$B,"&lt;"&amp;EDATE($J15,1),'📋 Despesas'!$E:$E,"*INSS*")</f>
        <v>0</v>
      </c>
      <c r="D15" s="535">
        <f>SUMIFS('📋 Despesas'!$J:$J,'📋 Despesas'!$B:$B,"&gt;="&amp;$J15,'📋 Despesas'!$B:$B,"&lt;"&amp;EDATE($J15,1),'📋 Despesas'!$E:$E,"*PROLABORE*")+SUMIFS('📋 Despesas'!$J:$J,'📋 Despesas'!$B:$B,"&gt;="&amp;$J15,'📋 Despesas'!$B:$B,"&lt;"&amp;EDATE($J15,1),'📋 Despesas'!$E:$E,"*PRÓ-LABORE*")</f>
        <v>0</v>
      </c>
      <c r="E15" s="535">
        <f>SUMIFS('📋 Despesas'!$J:$J,'📋 Despesas'!$B:$B,"&gt;="&amp;$J15,'📋 Despesas'!$B:$B,"&lt;"&amp;EDATE($J15,1),'📋 Despesas'!$E:$E,"*DAS*")</f>
        <v>0</v>
      </c>
      <c r="F15" s="535">
        <f>SUMIFS('📋 Despesas'!$J:$J,'📋 Despesas'!$B:$B,"&gt;="&amp;$J15,'📋 Despesas'!$B:$B,"&lt;"&amp;EDATE($J15,1),'📋 Despesas'!$E:$E,"*LUCRO*")</f>
        <v>0</v>
      </c>
      <c r="G15" s="535">
        <f>SUMIFS('📋 Despesas'!$J:$J,'📋 Despesas'!$B:$B,"&gt;="&amp;$J15,'📋 Despesas'!$B:$B,"&lt;"&amp;EDATE($J15,1))-C15-D15-E15-F15</f>
        <v>0</v>
      </c>
      <c r="H15" s="542">
        <f>B15-C15-D15-E15-G15-Tabela2[[#This Row],[DL Pagos]]</f>
        <v>0</v>
      </c>
      <c r="I15" s="579">
        <f>SUM($H$4:H15)</f>
        <v>-133.03000000000065</v>
      </c>
      <c r="J15" s="537">
        <f t="shared" si="1"/>
        <v>46447</v>
      </c>
    </row>
    <row r="16" spans="1:10" ht="19.95" customHeight="1">
      <c r="A16" s="546" t="str">
        <f t="shared" si="0"/>
        <v>ABR/27</v>
      </c>
      <c r="B16" s="535">
        <f>IF(SUMIFS('💸  Receitas'!$G:$G,'💸  Receitas'!$A:$A,"&gt;="&amp;$J16,'💸  Receitas'!$A:$A,"&lt;"&amp;EDATE($J16,1),'💸  Receitas'!$E:$E,"FATURAMENTO")=0,SUMIFS('💸  Receitas'!$G:$G,'💸  Receitas'!$A:$A,"&gt;="&amp;$J16,'💸  Receitas'!$A:$A,"&lt;"&amp;EDATE($J16,1),'💸  Receitas'!$E:$E,"&lt;&gt;"),SUMIFS('💸  Receitas'!$G:$G,'💸  Receitas'!$A:$A,"&gt;="&amp;$J16,'💸  Receitas'!$A:$A,"&lt;"&amp;EDATE($J16,1),'💸  Receitas'!$E:$E,"FATURAMENTO"))</f>
        <v>0</v>
      </c>
      <c r="C16" s="535">
        <f>SUMIFS('📋 Despesas'!$J:$J,'📋 Despesas'!$B:$B,"&gt;="&amp;$J16,'📋 Despesas'!$B:$B,"&lt;"&amp;EDATE($J16,1),'📋 Despesas'!$E:$E,"*INSS*")</f>
        <v>0</v>
      </c>
      <c r="D16" s="535">
        <f>SUMIFS('📋 Despesas'!$J:$J,'📋 Despesas'!$B:$B,"&gt;="&amp;$J16,'📋 Despesas'!$B:$B,"&lt;"&amp;EDATE($J16,1),'📋 Despesas'!$E:$E,"*PROLABORE*")+SUMIFS('📋 Despesas'!$J:$J,'📋 Despesas'!$B:$B,"&gt;="&amp;$J16,'📋 Despesas'!$B:$B,"&lt;"&amp;EDATE($J16,1),'📋 Despesas'!$E:$E,"*PRÓ-LABORE*")</f>
        <v>0</v>
      </c>
      <c r="E16" s="535">
        <f>SUMIFS('📋 Despesas'!$J:$J,'📋 Despesas'!$B:$B,"&gt;="&amp;$J16,'📋 Despesas'!$B:$B,"&lt;"&amp;EDATE($J16,1),'📋 Despesas'!$E:$E,"*DAS*")</f>
        <v>0</v>
      </c>
      <c r="F16" s="535">
        <f>SUMIFS('📋 Despesas'!$J:$J,'📋 Despesas'!$B:$B,"&gt;="&amp;$J16,'📋 Despesas'!$B:$B,"&lt;"&amp;EDATE($J16,1),'📋 Despesas'!$E:$E,"*LUCRO*")</f>
        <v>0</v>
      </c>
      <c r="G16" s="535">
        <f>SUMIFS('📋 Despesas'!$J:$J,'📋 Despesas'!$B:$B,"&gt;="&amp;$J16,'📋 Despesas'!$B:$B,"&lt;"&amp;EDATE($J16,1))-C16-D16-E16-F16</f>
        <v>0</v>
      </c>
      <c r="H16" s="542">
        <f>B16-C16-D16-E16-G16-Tabela2[[#This Row],[DL Pagos]]</f>
        <v>0</v>
      </c>
      <c r="I16" s="579">
        <f>SUM($H$4:H16)</f>
        <v>-133.03000000000065</v>
      </c>
      <c r="J16" s="537">
        <f t="shared" si="1"/>
        <v>46478</v>
      </c>
    </row>
    <row r="17" spans="1:10" ht="19.95" customHeight="1">
      <c r="A17" s="546" t="str">
        <f t="shared" si="0"/>
        <v>MAI/27</v>
      </c>
      <c r="B17" s="535">
        <f>IF(SUMIFS('💸  Receitas'!$G:$G,'💸  Receitas'!$A:$A,"&gt;="&amp;$J17,'💸  Receitas'!$A:$A,"&lt;"&amp;EDATE($J17,1),'💸  Receitas'!$E:$E,"FATURAMENTO")=0,SUMIFS('💸  Receitas'!$G:$G,'💸  Receitas'!$A:$A,"&gt;="&amp;$J17,'💸  Receitas'!$A:$A,"&lt;"&amp;EDATE($J17,1),'💸  Receitas'!$E:$E,"&lt;&gt;"),SUMIFS('💸  Receitas'!$G:$G,'💸  Receitas'!$A:$A,"&gt;="&amp;$J17,'💸  Receitas'!$A:$A,"&lt;"&amp;EDATE($J17,1),'💸  Receitas'!$E:$E,"FATURAMENTO"))</f>
        <v>0</v>
      </c>
      <c r="C17" s="535">
        <f>SUMIFS('📋 Despesas'!$J:$J,'📋 Despesas'!$B:$B,"&gt;="&amp;$J17,'📋 Despesas'!$B:$B,"&lt;"&amp;EDATE($J17,1),'📋 Despesas'!$E:$E,"*INSS*")</f>
        <v>0</v>
      </c>
      <c r="D17" s="535">
        <f>SUMIFS('📋 Despesas'!$J:$J,'📋 Despesas'!$B:$B,"&gt;="&amp;$J17,'📋 Despesas'!$B:$B,"&lt;"&amp;EDATE($J17,1),'📋 Despesas'!$E:$E,"*PROLABORE*")+SUMIFS('📋 Despesas'!$J:$J,'📋 Despesas'!$B:$B,"&gt;="&amp;$J17,'📋 Despesas'!$B:$B,"&lt;"&amp;EDATE($J17,1),'📋 Despesas'!$E:$E,"*PRÓ-LABORE*")</f>
        <v>0</v>
      </c>
      <c r="E17" s="535">
        <f>SUMIFS('📋 Despesas'!$J:$J,'📋 Despesas'!$B:$B,"&gt;="&amp;$J17,'📋 Despesas'!$B:$B,"&lt;"&amp;EDATE($J17,1),'📋 Despesas'!$E:$E,"*DAS*")</f>
        <v>0</v>
      </c>
      <c r="F17" s="535">
        <f>SUMIFS('📋 Despesas'!$J:$J,'📋 Despesas'!$B:$B,"&gt;="&amp;$J17,'📋 Despesas'!$B:$B,"&lt;"&amp;EDATE($J17,1),'📋 Despesas'!$E:$E,"*LUCRO*")</f>
        <v>0</v>
      </c>
      <c r="G17" s="535">
        <f>SUMIFS('📋 Despesas'!$J:$J,'📋 Despesas'!$B:$B,"&gt;="&amp;$J17,'📋 Despesas'!$B:$B,"&lt;"&amp;EDATE($J17,1))-C17-D17-E17-F17</f>
        <v>0</v>
      </c>
      <c r="H17" s="542">
        <f>B17-C17-D17-E17-G17-Tabela2[[#This Row],[DL Pagos]]</f>
        <v>0</v>
      </c>
      <c r="I17" s="579">
        <f>SUM($H$4:H17)</f>
        <v>-133.03000000000065</v>
      </c>
      <c r="J17" s="537">
        <f t="shared" si="1"/>
        <v>46508</v>
      </c>
    </row>
    <row r="18" spans="1:10" ht="19.95" customHeight="1">
      <c r="A18" s="546" t="str">
        <f t="shared" si="0"/>
        <v>JUN/27</v>
      </c>
      <c r="B18" s="535">
        <f>IF(SUMIFS('💸  Receitas'!$G:$G,'💸  Receitas'!$A:$A,"&gt;="&amp;$J18,'💸  Receitas'!$A:$A,"&lt;"&amp;EDATE($J18,1),'💸  Receitas'!$E:$E,"FATURAMENTO")=0,SUMIFS('💸  Receitas'!$G:$G,'💸  Receitas'!$A:$A,"&gt;="&amp;$J18,'💸  Receitas'!$A:$A,"&lt;"&amp;EDATE($J18,1),'💸  Receitas'!$E:$E,"&lt;&gt;"),SUMIFS('💸  Receitas'!$G:$G,'💸  Receitas'!$A:$A,"&gt;="&amp;$J18,'💸  Receitas'!$A:$A,"&lt;"&amp;EDATE($J18,1),'💸  Receitas'!$E:$E,"FATURAMENTO"))</f>
        <v>0</v>
      </c>
      <c r="C18" s="535">
        <f>SUMIFS('📋 Despesas'!$J:$J,'📋 Despesas'!$B:$B,"&gt;="&amp;$J18,'📋 Despesas'!$B:$B,"&lt;"&amp;EDATE($J18,1),'📋 Despesas'!$E:$E,"*INSS*")</f>
        <v>0</v>
      </c>
      <c r="D18" s="535">
        <f>SUMIFS('📋 Despesas'!$J:$J,'📋 Despesas'!$B:$B,"&gt;="&amp;$J18,'📋 Despesas'!$B:$B,"&lt;"&amp;EDATE($J18,1),'📋 Despesas'!$E:$E,"*PROLABORE*")+SUMIFS('📋 Despesas'!$J:$J,'📋 Despesas'!$B:$B,"&gt;="&amp;$J18,'📋 Despesas'!$B:$B,"&lt;"&amp;EDATE($J18,1),'📋 Despesas'!$E:$E,"*PRÓ-LABORE*")</f>
        <v>0</v>
      </c>
      <c r="E18" s="535">
        <f>SUMIFS('📋 Despesas'!$J:$J,'📋 Despesas'!$B:$B,"&gt;="&amp;$J18,'📋 Despesas'!$B:$B,"&lt;"&amp;EDATE($J18,1),'📋 Despesas'!$E:$E,"*DAS*")</f>
        <v>0</v>
      </c>
      <c r="F18" s="535">
        <f>SUMIFS('📋 Despesas'!$J:$J,'📋 Despesas'!$B:$B,"&gt;="&amp;$J18,'📋 Despesas'!$B:$B,"&lt;"&amp;EDATE($J18,1),'📋 Despesas'!$E:$E,"*LUCRO*")</f>
        <v>0</v>
      </c>
      <c r="G18" s="535">
        <f>SUMIFS('📋 Despesas'!$J:$J,'📋 Despesas'!$B:$B,"&gt;="&amp;$J18,'📋 Despesas'!$B:$B,"&lt;"&amp;EDATE($J18,1))-C18-D18-E18-F18</f>
        <v>0</v>
      </c>
      <c r="H18" s="542">
        <f>B18-C18-D18-E18-G18-Tabela2[[#This Row],[DL Pagos]]</f>
        <v>0</v>
      </c>
      <c r="I18" s="579">
        <f>SUM($H$4:H18)</f>
        <v>-133.03000000000065</v>
      </c>
      <c r="J18" s="537">
        <f t="shared" si="1"/>
        <v>46539</v>
      </c>
    </row>
    <row r="19" spans="1:10" ht="19.95" customHeight="1">
      <c r="A19" s="546" t="str">
        <f t="shared" si="0"/>
        <v>JUL/27</v>
      </c>
      <c r="B19" s="535">
        <f>IF(SUMIFS('💸  Receitas'!$G:$G,'💸  Receitas'!$A:$A,"&gt;="&amp;$J19,'💸  Receitas'!$A:$A,"&lt;"&amp;EDATE($J19,1),'💸  Receitas'!$E:$E,"FATURAMENTO")=0,SUMIFS('💸  Receitas'!$G:$G,'💸  Receitas'!$A:$A,"&gt;="&amp;$J19,'💸  Receitas'!$A:$A,"&lt;"&amp;EDATE($J19,1),'💸  Receitas'!$E:$E,"&lt;&gt;"),SUMIFS('💸  Receitas'!$G:$G,'💸  Receitas'!$A:$A,"&gt;="&amp;$J19,'💸  Receitas'!$A:$A,"&lt;"&amp;EDATE($J19,1),'💸  Receitas'!$E:$E,"FATURAMENTO"))</f>
        <v>0</v>
      </c>
      <c r="C19" s="535">
        <f>SUMIFS('📋 Despesas'!$J:$J,'📋 Despesas'!$B:$B,"&gt;="&amp;$J19,'📋 Despesas'!$B:$B,"&lt;"&amp;EDATE($J19,1),'📋 Despesas'!$E:$E,"*INSS*")</f>
        <v>0</v>
      </c>
      <c r="D19" s="535">
        <f>SUMIFS('📋 Despesas'!$J:$J,'📋 Despesas'!$B:$B,"&gt;="&amp;$J19,'📋 Despesas'!$B:$B,"&lt;"&amp;EDATE($J19,1),'📋 Despesas'!$E:$E,"*PROLABORE*")+SUMIFS('📋 Despesas'!$J:$J,'📋 Despesas'!$B:$B,"&gt;="&amp;$J19,'📋 Despesas'!$B:$B,"&lt;"&amp;EDATE($J19,1),'📋 Despesas'!$E:$E,"*PRÓ-LABORE*")</f>
        <v>0</v>
      </c>
      <c r="E19" s="535">
        <f>SUMIFS('📋 Despesas'!$J:$J,'📋 Despesas'!$B:$B,"&gt;="&amp;$J19,'📋 Despesas'!$B:$B,"&lt;"&amp;EDATE($J19,1),'📋 Despesas'!$E:$E,"*DAS*")</f>
        <v>0</v>
      </c>
      <c r="F19" s="535">
        <f>SUMIFS('📋 Despesas'!$J:$J,'📋 Despesas'!$B:$B,"&gt;="&amp;$J19,'📋 Despesas'!$B:$B,"&lt;"&amp;EDATE($J19,1),'📋 Despesas'!$E:$E,"*LUCRO*")</f>
        <v>0</v>
      </c>
      <c r="G19" s="535">
        <f>SUMIFS('📋 Despesas'!$J:$J,'📋 Despesas'!$B:$B,"&gt;="&amp;$J19,'📋 Despesas'!$B:$B,"&lt;"&amp;EDATE($J19,1))-C19-D19-E19-F19</f>
        <v>0</v>
      </c>
      <c r="H19" s="542">
        <f>B19-C19-D19-E19-G19-Tabela2[[#This Row],[DL Pagos]]</f>
        <v>0</v>
      </c>
      <c r="I19" s="579">
        <f>SUM($H$4:H19)</f>
        <v>-133.03000000000065</v>
      </c>
      <c r="J19" s="537">
        <f t="shared" si="1"/>
        <v>46569</v>
      </c>
    </row>
    <row r="20" spans="1:10" ht="19.95" customHeight="1">
      <c r="A20" s="546" t="str">
        <f t="shared" si="0"/>
        <v>AGO/27</v>
      </c>
      <c r="B20" s="535">
        <f>IF(SUMIFS('💸  Receitas'!$G:$G,'💸  Receitas'!$A:$A,"&gt;="&amp;$J20,'💸  Receitas'!$A:$A,"&lt;"&amp;EDATE($J20,1),'💸  Receitas'!$E:$E,"FATURAMENTO")=0,SUMIFS('💸  Receitas'!$G:$G,'💸  Receitas'!$A:$A,"&gt;="&amp;$J20,'💸  Receitas'!$A:$A,"&lt;"&amp;EDATE($J20,1),'💸  Receitas'!$E:$E,"&lt;&gt;"),SUMIFS('💸  Receitas'!$G:$G,'💸  Receitas'!$A:$A,"&gt;="&amp;$J20,'💸  Receitas'!$A:$A,"&lt;"&amp;EDATE($J20,1),'💸  Receitas'!$E:$E,"FATURAMENTO"))</f>
        <v>0</v>
      </c>
      <c r="C20" s="535">
        <f>SUMIFS('📋 Despesas'!$J:$J,'📋 Despesas'!$B:$B,"&gt;="&amp;$J20,'📋 Despesas'!$B:$B,"&lt;"&amp;EDATE($J20,1),'📋 Despesas'!$E:$E,"*INSS*")</f>
        <v>0</v>
      </c>
      <c r="D20" s="535">
        <f>SUMIFS('📋 Despesas'!$J:$J,'📋 Despesas'!$B:$B,"&gt;="&amp;$J20,'📋 Despesas'!$B:$B,"&lt;"&amp;EDATE($J20,1),'📋 Despesas'!$E:$E,"*PROLABORE*")+SUMIFS('📋 Despesas'!$J:$J,'📋 Despesas'!$B:$B,"&gt;="&amp;$J20,'📋 Despesas'!$B:$B,"&lt;"&amp;EDATE($J20,1),'📋 Despesas'!$E:$E,"*PRÓ-LABORE*")</f>
        <v>0</v>
      </c>
      <c r="E20" s="535">
        <f>SUMIFS('📋 Despesas'!$J:$J,'📋 Despesas'!$B:$B,"&gt;="&amp;$J20,'📋 Despesas'!$B:$B,"&lt;"&amp;EDATE($J20,1),'📋 Despesas'!$E:$E,"*DAS*")</f>
        <v>0</v>
      </c>
      <c r="F20" s="535">
        <f>SUMIFS('📋 Despesas'!$J:$J,'📋 Despesas'!$B:$B,"&gt;="&amp;$J20,'📋 Despesas'!$B:$B,"&lt;"&amp;EDATE($J20,1),'📋 Despesas'!$E:$E,"*LUCRO*")</f>
        <v>0</v>
      </c>
      <c r="G20" s="535">
        <f>SUMIFS('📋 Despesas'!$J:$J,'📋 Despesas'!$B:$B,"&gt;="&amp;$J20,'📋 Despesas'!$B:$B,"&lt;"&amp;EDATE($J20,1))-C20-D20-E20-F20</f>
        <v>0</v>
      </c>
      <c r="H20" s="542">
        <f>B20-C20-D20-E20-G20-Tabela2[[#This Row],[DL Pagos]]</f>
        <v>0</v>
      </c>
      <c r="I20" s="579">
        <f>SUM($H$4:H20)</f>
        <v>-133.03000000000065</v>
      </c>
      <c r="J20" s="537">
        <f t="shared" si="1"/>
        <v>46600</v>
      </c>
    </row>
    <row r="21" spans="1:10" ht="19.95" customHeight="1">
      <c r="A21" s="546" t="str">
        <f t="shared" si="0"/>
        <v>SET/27</v>
      </c>
      <c r="B21" s="535">
        <f>IF(SUMIFS('💸  Receitas'!$G:$G,'💸  Receitas'!$A:$A,"&gt;="&amp;$J21,'💸  Receitas'!$A:$A,"&lt;"&amp;EDATE($J21,1),'💸  Receitas'!$E:$E,"FATURAMENTO")=0,SUMIFS('💸  Receitas'!$G:$G,'💸  Receitas'!$A:$A,"&gt;="&amp;$J21,'💸  Receitas'!$A:$A,"&lt;"&amp;EDATE($J21,1),'💸  Receitas'!$E:$E,"&lt;&gt;"),SUMIFS('💸  Receitas'!$G:$G,'💸  Receitas'!$A:$A,"&gt;="&amp;$J21,'💸  Receitas'!$A:$A,"&lt;"&amp;EDATE($J21,1),'💸  Receitas'!$E:$E,"FATURAMENTO"))</f>
        <v>0</v>
      </c>
      <c r="C21" s="535">
        <f>SUMIFS('📋 Despesas'!$J:$J,'📋 Despesas'!$B:$B,"&gt;="&amp;$J21,'📋 Despesas'!$B:$B,"&lt;"&amp;EDATE($J21,1),'📋 Despesas'!$E:$E,"*INSS*")</f>
        <v>0</v>
      </c>
      <c r="D21" s="535">
        <f>SUMIFS('📋 Despesas'!$J:$J,'📋 Despesas'!$B:$B,"&gt;="&amp;$J21,'📋 Despesas'!$B:$B,"&lt;"&amp;EDATE($J21,1),'📋 Despesas'!$E:$E,"*PROLABORE*")+SUMIFS('📋 Despesas'!$J:$J,'📋 Despesas'!$B:$B,"&gt;="&amp;$J21,'📋 Despesas'!$B:$B,"&lt;"&amp;EDATE($J21,1),'📋 Despesas'!$E:$E,"*PRÓ-LABORE*")</f>
        <v>0</v>
      </c>
      <c r="E21" s="535">
        <f>SUMIFS('📋 Despesas'!$J:$J,'📋 Despesas'!$B:$B,"&gt;="&amp;$J21,'📋 Despesas'!$B:$B,"&lt;"&amp;EDATE($J21,1),'📋 Despesas'!$E:$E,"*DAS*")</f>
        <v>0</v>
      </c>
      <c r="F21" s="535">
        <f>SUMIFS('📋 Despesas'!$J:$J,'📋 Despesas'!$B:$B,"&gt;="&amp;$J21,'📋 Despesas'!$B:$B,"&lt;"&amp;EDATE($J21,1),'📋 Despesas'!$E:$E,"*LUCRO*")</f>
        <v>0</v>
      </c>
      <c r="G21" s="535">
        <f>SUMIFS('📋 Despesas'!$J:$J,'📋 Despesas'!$B:$B,"&gt;="&amp;$J21,'📋 Despesas'!$B:$B,"&lt;"&amp;EDATE($J21,1))-C21-D21-E21-F21</f>
        <v>0</v>
      </c>
      <c r="H21" s="542">
        <f>B21-C21-D21-E21-G21-Tabela2[[#This Row],[DL Pagos]]</f>
        <v>0</v>
      </c>
      <c r="I21" s="579">
        <f>SUM($H$4:H21)</f>
        <v>-133.03000000000065</v>
      </c>
      <c r="J21" s="537">
        <f t="shared" si="1"/>
        <v>46631</v>
      </c>
    </row>
    <row r="22" spans="1:10" ht="19.95" customHeight="1">
      <c r="A22" s="546" t="str">
        <f t="shared" si="0"/>
        <v>OUT/27</v>
      </c>
      <c r="B22" s="535">
        <f>IF(SUMIFS('💸  Receitas'!$G:$G,'💸  Receitas'!$A:$A,"&gt;="&amp;$J22,'💸  Receitas'!$A:$A,"&lt;"&amp;EDATE($J22,1),'💸  Receitas'!$E:$E,"FATURAMENTO")=0,SUMIFS('💸  Receitas'!$G:$G,'💸  Receitas'!$A:$A,"&gt;="&amp;$J22,'💸  Receitas'!$A:$A,"&lt;"&amp;EDATE($J22,1),'💸  Receitas'!$E:$E,"&lt;&gt;"),SUMIFS('💸  Receitas'!$G:$G,'💸  Receitas'!$A:$A,"&gt;="&amp;$J22,'💸  Receitas'!$A:$A,"&lt;"&amp;EDATE($J22,1),'💸  Receitas'!$E:$E,"FATURAMENTO"))</f>
        <v>0</v>
      </c>
      <c r="C22" s="535">
        <f>SUMIFS('📋 Despesas'!$J:$J,'📋 Despesas'!$B:$B,"&gt;="&amp;$J22,'📋 Despesas'!$B:$B,"&lt;"&amp;EDATE($J22,1),'📋 Despesas'!$E:$E,"*INSS*")</f>
        <v>0</v>
      </c>
      <c r="D22" s="535">
        <f>SUMIFS('📋 Despesas'!$J:$J,'📋 Despesas'!$B:$B,"&gt;="&amp;$J22,'📋 Despesas'!$B:$B,"&lt;"&amp;EDATE($J22,1),'📋 Despesas'!$E:$E,"*PROLABORE*")+SUMIFS('📋 Despesas'!$J:$J,'📋 Despesas'!$B:$B,"&gt;="&amp;$J22,'📋 Despesas'!$B:$B,"&lt;"&amp;EDATE($J22,1),'📋 Despesas'!$E:$E,"*PRÓ-LABORE*")</f>
        <v>0</v>
      </c>
      <c r="E22" s="535">
        <f>SUMIFS('📋 Despesas'!$J:$J,'📋 Despesas'!$B:$B,"&gt;="&amp;$J22,'📋 Despesas'!$B:$B,"&lt;"&amp;EDATE($J22,1),'📋 Despesas'!$E:$E,"*DAS*")</f>
        <v>0</v>
      </c>
      <c r="F22" s="535">
        <f>SUMIFS('📋 Despesas'!$J:$J,'📋 Despesas'!$B:$B,"&gt;="&amp;$J22,'📋 Despesas'!$B:$B,"&lt;"&amp;EDATE($J22,1),'📋 Despesas'!$E:$E,"*LUCRO*")</f>
        <v>0</v>
      </c>
      <c r="G22" s="535">
        <f>SUMIFS('📋 Despesas'!$J:$J,'📋 Despesas'!$B:$B,"&gt;="&amp;$J22,'📋 Despesas'!$B:$B,"&lt;"&amp;EDATE($J22,1))-C22-D22-E22-F22</f>
        <v>0</v>
      </c>
      <c r="H22" s="542">
        <f>B22-C22-D22-E22-G22-Tabela2[[#This Row],[DL Pagos]]</f>
        <v>0</v>
      </c>
      <c r="I22" s="579">
        <f>SUM($H$4:H22)</f>
        <v>-133.03000000000065</v>
      </c>
      <c r="J22" s="537">
        <f t="shared" si="1"/>
        <v>46661</v>
      </c>
    </row>
    <row r="23" spans="1:10" ht="19.95" customHeight="1">
      <c r="A23" s="546" t="str">
        <f t="shared" si="0"/>
        <v>NOV/27</v>
      </c>
      <c r="B23" s="535">
        <f>IF(SUMIFS('💸  Receitas'!$G:$G,'💸  Receitas'!$A:$A,"&gt;="&amp;$J23,'💸  Receitas'!$A:$A,"&lt;"&amp;EDATE($J23,1),'💸  Receitas'!$E:$E,"FATURAMENTO")=0,SUMIFS('💸  Receitas'!$G:$G,'💸  Receitas'!$A:$A,"&gt;="&amp;$J23,'💸  Receitas'!$A:$A,"&lt;"&amp;EDATE($J23,1),'💸  Receitas'!$E:$E,"&lt;&gt;"),SUMIFS('💸  Receitas'!$G:$G,'💸  Receitas'!$A:$A,"&gt;="&amp;$J23,'💸  Receitas'!$A:$A,"&lt;"&amp;EDATE($J23,1),'💸  Receitas'!$E:$E,"FATURAMENTO"))</f>
        <v>0</v>
      </c>
      <c r="C23" s="535">
        <f>SUMIFS('📋 Despesas'!$J:$J,'📋 Despesas'!$B:$B,"&gt;="&amp;$J23,'📋 Despesas'!$B:$B,"&lt;"&amp;EDATE($J23,1),'📋 Despesas'!$E:$E,"*INSS*")</f>
        <v>0</v>
      </c>
      <c r="D23" s="535">
        <f>SUMIFS('📋 Despesas'!$J:$J,'📋 Despesas'!$B:$B,"&gt;="&amp;$J23,'📋 Despesas'!$B:$B,"&lt;"&amp;EDATE($J23,1),'📋 Despesas'!$E:$E,"*PROLABORE*")+SUMIFS('📋 Despesas'!$J:$J,'📋 Despesas'!$B:$B,"&gt;="&amp;$J23,'📋 Despesas'!$B:$B,"&lt;"&amp;EDATE($J23,1),'📋 Despesas'!$E:$E,"*PRÓ-LABORE*")</f>
        <v>0</v>
      </c>
      <c r="E23" s="535">
        <f>SUMIFS('📋 Despesas'!$J:$J,'📋 Despesas'!$B:$B,"&gt;="&amp;$J23,'📋 Despesas'!$B:$B,"&lt;"&amp;EDATE($J23,1),'📋 Despesas'!$E:$E,"*DAS*")</f>
        <v>0</v>
      </c>
      <c r="F23" s="535">
        <f>SUMIFS('📋 Despesas'!$J:$J,'📋 Despesas'!$B:$B,"&gt;="&amp;$J23,'📋 Despesas'!$B:$B,"&lt;"&amp;EDATE($J23,1),'📋 Despesas'!$E:$E,"*LUCRO*")</f>
        <v>0</v>
      </c>
      <c r="G23" s="535">
        <f>SUMIFS('📋 Despesas'!$J:$J,'📋 Despesas'!$B:$B,"&gt;="&amp;$J23,'📋 Despesas'!$B:$B,"&lt;"&amp;EDATE($J23,1))-C23-D23-E23-F23</f>
        <v>0</v>
      </c>
      <c r="H23" s="542">
        <f>B23-C23-D23-E23-G23-Tabela2[[#This Row],[DL Pagos]]</f>
        <v>0</v>
      </c>
      <c r="I23" s="579">
        <f>SUM($H$4:H23)</f>
        <v>-133.03000000000065</v>
      </c>
      <c r="J23" s="537">
        <f t="shared" si="1"/>
        <v>46692</v>
      </c>
    </row>
    <row r="24" spans="1:10" ht="19.95" customHeight="1">
      <c r="A24" s="546" t="str">
        <f t="shared" si="0"/>
        <v>DEZ/27</v>
      </c>
      <c r="B24" s="535">
        <f>IF(SUMIFS('💸  Receitas'!$G:$G,'💸  Receitas'!$A:$A,"&gt;="&amp;$J24,'💸  Receitas'!$A:$A,"&lt;"&amp;EDATE($J24,1),'💸  Receitas'!$E:$E,"FATURAMENTO")=0,SUMIFS('💸  Receitas'!$G:$G,'💸  Receitas'!$A:$A,"&gt;="&amp;$J24,'💸  Receitas'!$A:$A,"&lt;"&amp;EDATE($J24,1),'💸  Receitas'!$E:$E,"&lt;&gt;"),SUMIFS('💸  Receitas'!$G:$G,'💸  Receitas'!$A:$A,"&gt;="&amp;$J24,'💸  Receitas'!$A:$A,"&lt;"&amp;EDATE($J24,1),'💸  Receitas'!$E:$E,"FATURAMENTO"))</f>
        <v>0</v>
      </c>
      <c r="C24" s="535">
        <f>SUMIFS('📋 Despesas'!$J:$J,'📋 Despesas'!$B:$B,"&gt;="&amp;$J24,'📋 Despesas'!$B:$B,"&lt;"&amp;EDATE($J24,1),'📋 Despesas'!$E:$E,"*INSS*")</f>
        <v>0</v>
      </c>
      <c r="D24" s="535">
        <f>SUMIFS('📋 Despesas'!$J:$J,'📋 Despesas'!$B:$B,"&gt;="&amp;$J24,'📋 Despesas'!$B:$B,"&lt;"&amp;EDATE($J24,1),'📋 Despesas'!$E:$E,"*PROLABORE*")+SUMIFS('📋 Despesas'!$J:$J,'📋 Despesas'!$B:$B,"&gt;="&amp;$J24,'📋 Despesas'!$B:$B,"&lt;"&amp;EDATE($J24,1),'📋 Despesas'!$E:$E,"*PRÓ-LABORE*")</f>
        <v>0</v>
      </c>
      <c r="E24" s="535">
        <f>SUMIFS('📋 Despesas'!$J:$J,'📋 Despesas'!$B:$B,"&gt;="&amp;$J24,'📋 Despesas'!$B:$B,"&lt;"&amp;EDATE($J24,1),'📋 Despesas'!$E:$E,"*DAS*")</f>
        <v>0</v>
      </c>
      <c r="F24" s="535">
        <f>SUMIFS('📋 Despesas'!$J:$J,'📋 Despesas'!$B:$B,"&gt;="&amp;$J24,'📋 Despesas'!$B:$B,"&lt;"&amp;EDATE($J24,1),'📋 Despesas'!$E:$E,"*LUCRO*")</f>
        <v>0</v>
      </c>
      <c r="G24" s="535">
        <f>SUMIFS('📋 Despesas'!$J:$J,'📋 Despesas'!$B:$B,"&gt;="&amp;$J24,'📋 Despesas'!$B:$B,"&lt;"&amp;EDATE($J24,1))-C24-D24-E24-F24</f>
        <v>0</v>
      </c>
      <c r="H24" s="542">
        <f>B24-C24-D24-E24-G24-Tabela2[[#This Row],[DL Pagos]]</f>
        <v>0</v>
      </c>
      <c r="I24" s="579">
        <f>SUM($H$4:H24)</f>
        <v>-133.03000000000065</v>
      </c>
      <c r="J24" s="537">
        <f t="shared" si="1"/>
        <v>46722</v>
      </c>
    </row>
    <row r="25" spans="1:10" ht="19.95" customHeight="1">
      <c r="A25" s="546" t="str">
        <f t="shared" si="0"/>
        <v>JAN/28</v>
      </c>
      <c r="B25" s="535">
        <f>IF(SUMIFS('💸  Receitas'!$G:$G,'💸  Receitas'!$A:$A,"&gt;="&amp;$J25,'💸  Receitas'!$A:$A,"&lt;"&amp;EDATE($J25,1),'💸  Receitas'!$E:$E,"FATURAMENTO")=0,SUMIFS('💸  Receitas'!$G:$G,'💸  Receitas'!$A:$A,"&gt;="&amp;$J25,'💸  Receitas'!$A:$A,"&lt;"&amp;EDATE($J25,1),'💸  Receitas'!$E:$E,"&lt;&gt;"),SUMIFS('💸  Receitas'!$G:$G,'💸  Receitas'!$A:$A,"&gt;="&amp;$J25,'💸  Receitas'!$A:$A,"&lt;"&amp;EDATE($J25,1),'💸  Receitas'!$E:$E,"FATURAMENTO"))</f>
        <v>0</v>
      </c>
      <c r="C25" s="535">
        <f>SUMIFS('📋 Despesas'!$J:$J,'📋 Despesas'!$B:$B,"&gt;="&amp;$J25,'📋 Despesas'!$B:$B,"&lt;"&amp;EDATE($J25,1),'📋 Despesas'!$E:$E,"*INSS*")</f>
        <v>0</v>
      </c>
      <c r="D25" s="535">
        <f>SUMIFS('📋 Despesas'!$J:$J,'📋 Despesas'!$B:$B,"&gt;="&amp;$J25,'📋 Despesas'!$B:$B,"&lt;"&amp;EDATE($J25,1),'📋 Despesas'!$E:$E,"*PROLABORE*")+SUMIFS('📋 Despesas'!$J:$J,'📋 Despesas'!$B:$B,"&gt;="&amp;$J25,'📋 Despesas'!$B:$B,"&lt;"&amp;EDATE($J25,1),'📋 Despesas'!$E:$E,"*PRÓ-LABORE*")</f>
        <v>0</v>
      </c>
      <c r="E25" s="535">
        <f>SUMIFS('📋 Despesas'!$J:$J,'📋 Despesas'!$B:$B,"&gt;="&amp;$J25,'📋 Despesas'!$B:$B,"&lt;"&amp;EDATE($J25,1),'📋 Despesas'!$E:$E,"*DAS*")</f>
        <v>0</v>
      </c>
      <c r="F25" s="535">
        <f>SUMIFS('📋 Despesas'!$J:$J,'📋 Despesas'!$B:$B,"&gt;="&amp;$J25,'📋 Despesas'!$B:$B,"&lt;"&amp;EDATE($J25,1),'📋 Despesas'!$E:$E,"*LUCRO*")</f>
        <v>0</v>
      </c>
      <c r="G25" s="535">
        <f>SUMIFS('📋 Despesas'!$J:$J,'📋 Despesas'!$B:$B,"&gt;="&amp;$J25,'📋 Despesas'!$B:$B,"&lt;"&amp;EDATE($J25,1))-C25-D25-E25-F25</f>
        <v>0</v>
      </c>
      <c r="H25" s="542">
        <f>B25-C25-D25-E25-G25-Tabela2[[#This Row],[DL Pagos]]</f>
        <v>0</v>
      </c>
      <c r="I25" s="579">
        <f>SUM($H$4:H25)</f>
        <v>-133.03000000000065</v>
      </c>
      <c r="J25" s="537">
        <f t="shared" si="1"/>
        <v>46753</v>
      </c>
    </row>
    <row r="26" spans="1:10" ht="19.95" customHeight="1">
      <c r="A26" s="546" t="str">
        <f t="shared" si="0"/>
        <v>FEV/28</v>
      </c>
      <c r="B26" s="535">
        <f>IF(SUMIFS('💸  Receitas'!$G:$G,'💸  Receitas'!$A:$A,"&gt;="&amp;$J26,'💸  Receitas'!$A:$A,"&lt;"&amp;EDATE($J26,1),'💸  Receitas'!$E:$E,"FATURAMENTO")=0,SUMIFS('💸  Receitas'!$G:$G,'💸  Receitas'!$A:$A,"&gt;="&amp;$J26,'💸  Receitas'!$A:$A,"&lt;"&amp;EDATE($J26,1),'💸  Receitas'!$E:$E,"&lt;&gt;"),SUMIFS('💸  Receitas'!$G:$G,'💸  Receitas'!$A:$A,"&gt;="&amp;$J26,'💸  Receitas'!$A:$A,"&lt;"&amp;EDATE($J26,1),'💸  Receitas'!$E:$E,"FATURAMENTO"))</f>
        <v>0</v>
      </c>
      <c r="C26" s="535">
        <f>SUMIFS('📋 Despesas'!$J:$J,'📋 Despesas'!$B:$B,"&gt;="&amp;$J26,'📋 Despesas'!$B:$B,"&lt;"&amp;EDATE($J26,1),'📋 Despesas'!$E:$E,"*INSS*")</f>
        <v>0</v>
      </c>
      <c r="D26" s="535">
        <f>SUMIFS('📋 Despesas'!$J:$J,'📋 Despesas'!$B:$B,"&gt;="&amp;$J26,'📋 Despesas'!$B:$B,"&lt;"&amp;EDATE($J26,1),'📋 Despesas'!$E:$E,"*PROLABORE*")+SUMIFS('📋 Despesas'!$J:$J,'📋 Despesas'!$B:$B,"&gt;="&amp;$J26,'📋 Despesas'!$B:$B,"&lt;"&amp;EDATE($J26,1),'📋 Despesas'!$E:$E,"*PRÓ-LABORE*")</f>
        <v>0</v>
      </c>
      <c r="E26" s="535">
        <f>SUMIFS('📋 Despesas'!$J:$J,'📋 Despesas'!$B:$B,"&gt;="&amp;$J26,'📋 Despesas'!$B:$B,"&lt;"&amp;EDATE($J26,1),'📋 Despesas'!$E:$E,"*DAS*")</f>
        <v>0</v>
      </c>
      <c r="F26" s="535">
        <f>SUMIFS('📋 Despesas'!$J:$J,'📋 Despesas'!$B:$B,"&gt;="&amp;$J26,'📋 Despesas'!$B:$B,"&lt;"&amp;EDATE($J26,1),'📋 Despesas'!$E:$E,"*LUCRO*")</f>
        <v>0</v>
      </c>
      <c r="G26" s="535">
        <f>SUMIFS('📋 Despesas'!$J:$J,'📋 Despesas'!$B:$B,"&gt;="&amp;$J26,'📋 Despesas'!$B:$B,"&lt;"&amp;EDATE($J26,1))-C26-D26-E26-F26</f>
        <v>0</v>
      </c>
      <c r="H26" s="542">
        <f>B26-C26-D26-E26-G26-Tabela2[[#This Row],[DL Pagos]]</f>
        <v>0</v>
      </c>
      <c r="I26" s="579">
        <f>SUM($H$4:H26)</f>
        <v>-133.03000000000065</v>
      </c>
      <c r="J26" s="537">
        <f t="shared" si="1"/>
        <v>46784</v>
      </c>
    </row>
    <row r="27" spans="1:10" ht="19.95" customHeight="1">
      <c r="A27" s="546" t="str">
        <f t="shared" si="0"/>
        <v>MAR/28</v>
      </c>
      <c r="B27" s="539">
        <f>IF(SUMIFS('💸  Receitas'!$G:$G,'💸  Receitas'!$A:$A,"&gt;="&amp;$J27,'💸  Receitas'!$A:$A,"&lt;"&amp;EDATE($J27,1),'💸  Receitas'!$E:$E,"FATURAMENTO")=0,SUMIFS('💸  Receitas'!$G:$G,'💸  Receitas'!$A:$A,"&gt;="&amp;$J27,'💸  Receitas'!$A:$A,"&lt;"&amp;EDATE($J27,1),'💸  Receitas'!$E:$E,"&lt;&gt;"),SUMIFS('💸  Receitas'!$G:$G,'💸  Receitas'!$A:$A,"&gt;="&amp;$J27,'💸  Receitas'!$A:$A,"&lt;"&amp;EDATE($J27,1),'💸  Receitas'!$E:$E,"FATURAMENTO"))</f>
        <v>0</v>
      </c>
      <c r="C27" s="539">
        <f>SUMIFS('📋 Despesas'!$J:$J,'📋 Despesas'!$B:$B,"&gt;="&amp;$J27,'📋 Despesas'!$B:$B,"&lt;"&amp;EDATE($J27,1),'📋 Despesas'!$E:$E,"*INSS*")</f>
        <v>0</v>
      </c>
      <c r="D27" s="539">
        <f>SUMIFS('📋 Despesas'!$J:$J,'📋 Despesas'!$B:$B,"&gt;="&amp;$J27,'📋 Despesas'!$B:$B,"&lt;"&amp;EDATE($J27,1),'📋 Despesas'!$E:$E,"*PROLABORE*")+SUMIFS('📋 Despesas'!$J:$J,'📋 Despesas'!$B:$B,"&gt;="&amp;$J27,'📋 Despesas'!$B:$B,"&lt;"&amp;EDATE($J27,1),'📋 Despesas'!$E:$E,"*PRÓ-LABORE*")</f>
        <v>0</v>
      </c>
      <c r="E27" s="539">
        <f>SUMIFS('📋 Despesas'!$J:$J,'📋 Despesas'!$B:$B,"&gt;="&amp;$J27,'📋 Despesas'!$B:$B,"&lt;"&amp;EDATE($J27,1),'📋 Despesas'!$E:$E,"*DAS*")</f>
        <v>0</v>
      </c>
      <c r="F27" s="539">
        <f>SUMIFS('📋 Despesas'!$J:$J,'📋 Despesas'!$B:$B,"&gt;="&amp;$J27,'📋 Despesas'!$B:$B,"&lt;"&amp;EDATE($J27,1),'📋 Despesas'!$E:$E,"*LUCRO*")</f>
        <v>0</v>
      </c>
      <c r="G27" s="535">
        <f>SUMIFS('📋 Despesas'!$J:$J,'📋 Despesas'!$B:$B,"&gt;="&amp;$J27,'📋 Despesas'!$B:$B,"&lt;"&amp;EDATE($J27,1))-C27-D27-E27-F27</f>
        <v>0</v>
      </c>
      <c r="H27" s="543">
        <f>B27-C27-D27-E27-G27-Tabela2[[#This Row],[DL Pagos]]</f>
        <v>0</v>
      </c>
      <c r="I27" s="580">
        <f>SUM($H$4:H27)</f>
        <v>-133.03000000000065</v>
      </c>
      <c r="J27" s="537">
        <f t="shared" si="1"/>
        <v>46813</v>
      </c>
    </row>
    <row r="29" spans="1:10" ht="22.05" customHeight="1">
      <c r="A29" s="545" t="s">
        <v>4</v>
      </c>
      <c r="B29" s="545">
        <f t="shared" ref="B29:H29" si="2">SUM(B4:B27)</f>
        <v>10000</v>
      </c>
      <c r="C29" s="545">
        <f t="shared" si="2"/>
        <v>862.44</v>
      </c>
      <c r="D29" s="545">
        <f t="shared" si="2"/>
        <v>6853</v>
      </c>
      <c r="E29" s="545">
        <f t="shared" si="2"/>
        <v>600</v>
      </c>
      <c r="F29" s="545"/>
      <c r="G29" s="545">
        <f t="shared" si="2"/>
        <v>1817.5900000000001</v>
      </c>
      <c r="H29" s="545">
        <f t="shared" si="2"/>
        <v>-133.03000000000065</v>
      </c>
      <c r="I29" s="545"/>
      <c r="J29" s="536" t="s">
        <v>98</v>
      </c>
    </row>
  </sheetData>
  <mergeCells count="1">
    <mergeCell ref="A1:H1"/>
  </mergeCells>
  <conditionalFormatting sqref="A4:I27">
    <cfRule type="expression" dxfId="0" priority="1">
      <formula>$I4&gt;0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203</v>
      </c>
    </row>
    <row r="3" spans="2:14">
      <c r="B3" s="193" t="s">
        <v>29</v>
      </c>
      <c r="D3" s="193" t="s">
        <v>28</v>
      </c>
      <c r="E3" s="193" t="s">
        <v>116</v>
      </c>
      <c r="G3" s="220">
        <v>46082</v>
      </c>
      <c r="I3" s="193" t="s">
        <v>191</v>
      </c>
      <c r="J3" s="193" t="s">
        <v>192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117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118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119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127</v>
      </c>
      <c r="D2" s="100" t="s">
        <v>128</v>
      </c>
      <c r="E2" s="101" t="s">
        <v>129</v>
      </c>
      <c r="F2" s="102"/>
      <c r="G2" s="103" t="s">
        <v>130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131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121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132</v>
      </c>
      <c r="I3" s="269" t="s">
        <v>133</v>
      </c>
      <c r="J3" s="53"/>
      <c r="K3" s="112">
        <f>I11</f>
        <v>0.02</v>
      </c>
      <c r="L3" s="113" t="s">
        <v>134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135</v>
      </c>
      <c r="C4" s="117" t="s">
        <v>136</v>
      </c>
      <c r="D4" s="117" t="s">
        <v>137</v>
      </c>
      <c r="E4" s="118" t="s">
        <v>138</v>
      </c>
      <c r="F4" s="102"/>
      <c r="G4" s="119" t="s">
        <v>139</v>
      </c>
      <c r="H4" s="120">
        <v>0.05</v>
      </c>
      <c r="I4" s="270">
        <v>0.35</v>
      </c>
      <c r="J4" s="53"/>
      <c r="K4" s="121" t="s">
        <v>140</v>
      </c>
      <c r="L4" s="122" t="s">
        <v>141</v>
      </c>
      <c r="M4" s="122" t="s">
        <v>142</v>
      </c>
      <c r="N4" s="123" t="s">
        <v>10</v>
      </c>
      <c r="O4" s="102"/>
      <c r="P4" s="367"/>
      <c r="Q4" s="124" t="s">
        <v>143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144</v>
      </c>
      <c r="C5" s="131" t="s">
        <v>145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146</v>
      </c>
      <c r="H5" s="120">
        <v>0.03</v>
      </c>
      <c r="I5" s="270">
        <v>0.35</v>
      </c>
      <c r="J5" s="53"/>
      <c r="K5" s="132" t="s">
        <v>147</v>
      </c>
      <c r="L5" s="133" t="s">
        <v>148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149</v>
      </c>
      <c r="S5" s="273" t="s">
        <v>150</v>
      </c>
      <c r="T5" s="274" t="s">
        <v>151</v>
      </c>
      <c r="U5" s="275" t="s">
        <v>152</v>
      </c>
      <c r="V5" s="276" t="s">
        <v>153</v>
      </c>
      <c r="W5" s="367"/>
      <c r="X5" s="573" t="s">
        <v>154</v>
      </c>
      <c r="Y5" s="574"/>
      <c r="Z5" s="102"/>
      <c r="AA5" s="102"/>
    </row>
    <row r="6" spans="1:27" ht="16.5" customHeight="1">
      <c r="A6" s="102"/>
      <c r="B6" s="137" t="s">
        <v>155</v>
      </c>
      <c r="C6" s="138" t="s">
        <v>156</v>
      </c>
      <c r="D6" s="138">
        <f>SUMIFS(J19:J936,B19:B936,B2,C19:C936,B3)</f>
        <v>0</v>
      </c>
      <c r="E6" s="277">
        <f t="shared" si="0"/>
        <v>0</v>
      </c>
      <c r="F6" s="102"/>
      <c r="G6" s="139" t="s">
        <v>157</v>
      </c>
      <c r="H6" s="140">
        <v>0.1</v>
      </c>
      <c r="I6" s="278">
        <v>0.3</v>
      </c>
      <c r="J6" s="53"/>
      <c r="K6" s="132" t="s">
        <v>158</v>
      </c>
      <c r="L6" s="133" t="s">
        <v>159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160</v>
      </c>
      <c r="R6" s="281"/>
      <c r="S6" s="282"/>
      <c r="T6" s="282"/>
      <c r="U6" s="282"/>
      <c r="V6" s="282"/>
      <c r="W6" s="279"/>
      <c r="X6" s="141">
        <v>14</v>
      </c>
      <c r="Y6" s="142" t="s">
        <v>161</v>
      </c>
      <c r="Z6" s="102"/>
      <c r="AA6" s="102"/>
    </row>
    <row r="7" spans="1:27" ht="16.5" customHeight="1">
      <c r="A7" s="102"/>
      <c r="B7" s="143" t="s">
        <v>162</v>
      </c>
      <c r="C7" s="144" t="s">
        <v>163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164</v>
      </c>
      <c r="L7" s="133" t="s">
        <v>165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166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167</v>
      </c>
      <c r="Z7" s="102"/>
      <c r="AA7" s="102"/>
    </row>
    <row r="8" spans="1:27" ht="16.5" customHeight="1">
      <c r="A8" s="102"/>
      <c r="B8" s="146" t="s">
        <v>168</v>
      </c>
      <c r="C8" s="147" t="s">
        <v>169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164</v>
      </c>
      <c r="L8" s="133" t="s">
        <v>170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171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172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173</v>
      </c>
      <c r="R9" s="281"/>
      <c r="S9" s="282"/>
      <c r="T9" s="282"/>
      <c r="U9" s="282"/>
      <c r="V9" s="282"/>
      <c r="W9" s="279"/>
      <c r="X9" s="148">
        <v>26</v>
      </c>
      <c r="Y9" s="142" t="s">
        <v>174</v>
      </c>
      <c r="Z9" s="102"/>
      <c r="AA9" s="102"/>
    </row>
    <row r="10" spans="1:27" ht="18">
      <c r="A10" s="102"/>
      <c r="B10" s="575" t="s">
        <v>175</v>
      </c>
      <c r="C10" s="576"/>
      <c r="D10" s="576"/>
      <c r="E10" s="576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176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154</v>
      </c>
      <c r="Z10" s="102"/>
      <c r="AA10" s="102"/>
    </row>
    <row r="11" spans="1:27" ht="18">
      <c r="A11" s="102"/>
      <c r="B11" s="286" t="s">
        <v>177</v>
      </c>
      <c r="C11" s="287" t="s">
        <v>178</v>
      </c>
      <c r="D11" s="153" t="s">
        <v>179</v>
      </c>
      <c r="E11" s="154" t="s">
        <v>180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181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147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72"/>
      <c r="R12" s="572"/>
      <c r="S12" s="572"/>
      <c r="T12" s="572"/>
      <c r="U12" s="572"/>
      <c r="V12" s="572"/>
      <c r="W12" s="279"/>
      <c r="X12" s="572"/>
      <c r="Y12" s="572"/>
      <c r="Z12" s="102"/>
      <c r="AA12" s="102"/>
    </row>
    <row r="13" spans="1:27" ht="15.6">
      <c r="A13" s="102"/>
      <c r="B13" s="291" t="s">
        <v>182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53"/>
      <c r="R13" s="553"/>
      <c r="S13" s="553"/>
      <c r="T13" s="553"/>
      <c r="U13" s="553"/>
      <c r="V13" s="553"/>
      <c r="W13" s="279"/>
      <c r="X13" s="553"/>
      <c r="Y13" s="553"/>
      <c r="Z13" s="102"/>
      <c r="AA13" s="102"/>
    </row>
    <row r="14" spans="1:27" ht="15.6">
      <c r="A14" s="102"/>
      <c r="B14" s="294" t="s">
        <v>164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183</v>
      </c>
      <c r="D18" s="171" t="s">
        <v>184</v>
      </c>
      <c r="E18" s="171" t="s">
        <v>9</v>
      </c>
      <c r="F18" s="172" t="s">
        <v>185</v>
      </c>
      <c r="G18" s="173" t="s">
        <v>9</v>
      </c>
      <c r="H18" s="174" t="s">
        <v>186</v>
      </c>
      <c r="I18" s="172" t="s">
        <v>145</v>
      </c>
      <c r="J18" s="172" t="s">
        <v>156</v>
      </c>
      <c r="K18" s="172" t="s">
        <v>163</v>
      </c>
      <c r="L18" s="172" t="s">
        <v>169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125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126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187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188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189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190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120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121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122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123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124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125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126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187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188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189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190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120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121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122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123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124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7" priority="3" operator="greaterThan">
      <formula>0.6</formula>
    </cfRule>
    <cfRule type="cellIs" dxfId="6" priority="4" operator="lessThan">
      <formula>0.6</formula>
    </cfRule>
  </conditionalFormatting>
  <conditionalFormatting sqref="D3">
    <cfRule type="cellIs" dxfId="5" priority="5" operator="greaterThan">
      <formula>0.4</formula>
    </cfRule>
    <cfRule type="cellIs" dxfId="4" priority="6" operator="lessThan">
      <formula>0.4</formula>
    </cfRule>
  </conditionalFormatting>
  <conditionalFormatting sqref="E5:E8">
    <cfRule type="cellIs" dxfId="3" priority="1" operator="lessThan">
      <formula>0</formula>
    </cfRule>
    <cfRule type="cellIs" dxfId="2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2026-06-17T20:54:59Z</dcterms:modified>
  <cp:category/>
  <cp:contentStatus/>
</cp:coreProperties>
</file>