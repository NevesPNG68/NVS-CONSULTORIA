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045A0FA2-45F9-404F-ABED-AF74DE766CC8}" xr6:coauthVersionLast="47" xr6:coauthVersionMax="47" xr10:uidLastSave="{00000000-0000-0000-0000-000000000000}"/>
  <bookViews>
    <workbookView xWindow="-108" yWindow="-108" windowWidth="3093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AUX" sheetId="9" r:id="rId8"/>
    <sheet name="Metas" sheetId="7" state="hidden" r:id="rId9"/>
  </sheets>
  <definedNames>
    <definedName name="_xlnm._FilterDatabase" localSheetId="2" hidden="1">'💸  Receitas'!$A$6:$J$681</definedName>
    <definedName name="_xlnm._FilterDatabase" localSheetId="1" hidden="1">'📋 Despesas'!$B$6:$Q$133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J11" i="3" s="1"/>
  <c r="I12" i="3"/>
  <c r="I13" i="3"/>
  <c r="I14" i="3"/>
  <c r="J14" i="3" s="1"/>
  <c r="I15" i="3"/>
  <c r="J15" i="3" s="1"/>
  <c r="I16" i="3"/>
  <c r="J16" i="3" s="1"/>
  <c r="I17" i="3"/>
  <c r="I18" i="3"/>
  <c r="I19" i="3"/>
  <c r="I20" i="3"/>
  <c r="J20" i="3" s="1"/>
  <c r="I21" i="3"/>
  <c r="I22" i="3"/>
  <c r="J22" i="3" s="1"/>
  <c r="I23" i="3"/>
  <c r="J23" i="3" s="1"/>
  <c r="I24" i="3"/>
  <c r="J24" i="3" s="1"/>
  <c r="I25" i="3"/>
  <c r="J25" i="3" s="1"/>
  <c r="I26" i="3"/>
  <c r="I27" i="3"/>
  <c r="I28" i="3"/>
  <c r="I29" i="3"/>
  <c r="I30" i="3"/>
  <c r="J30" i="3" s="1"/>
  <c r="I31" i="3"/>
  <c r="J31" i="3" s="1"/>
  <c r="I32" i="3"/>
  <c r="I33" i="3"/>
  <c r="J33" i="3" s="1"/>
  <c r="I34" i="3"/>
  <c r="I35" i="3"/>
  <c r="I36" i="3"/>
  <c r="I37" i="3"/>
  <c r="I38" i="3"/>
  <c r="J38" i="3" s="1"/>
  <c r="I39" i="3"/>
  <c r="J39" i="3" s="1"/>
  <c r="I40" i="3"/>
  <c r="I41" i="3"/>
  <c r="I42" i="3"/>
  <c r="I43" i="3"/>
  <c r="J43" i="3" s="1"/>
  <c r="I44" i="3"/>
  <c r="I45" i="3"/>
  <c r="I46" i="3"/>
  <c r="J46" i="3" s="1"/>
  <c r="I47" i="3"/>
  <c r="J47" i="3" s="1"/>
  <c r="I48" i="3"/>
  <c r="J48" i="3" s="1"/>
  <c r="I49" i="3"/>
  <c r="I50" i="3"/>
  <c r="I51" i="3"/>
  <c r="J51" i="3" s="1"/>
  <c r="I52" i="3"/>
  <c r="J52" i="3" s="1"/>
  <c r="I53" i="3"/>
  <c r="I54" i="3"/>
  <c r="J54" i="3" s="1"/>
  <c r="I55" i="3"/>
  <c r="J55" i="3" s="1"/>
  <c r="I56" i="3"/>
  <c r="I57" i="3"/>
  <c r="J57" i="3" s="1"/>
  <c r="I58" i="3"/>
  <c r="I59" i="3"/>
  <c r="I60" i="3"/>
  <c r="J60" i="3" s="1"/>
  <c r="I61" i="3"/>
  <c r="I62" i="3"/>
  <c r="J62" i="3" s="1"/>
  <c r="I63" i="3"/>
  <c r="I64" i="3"/>
  <c r="I65" i="3"/>
  <c r="I66" i="3"/>
  <c r="I67" i="3"/>
  <c r="I68" i="3"/>
  <c r="I69" i="3"/>
  <c r="I70" i="3"/>
  <c r="J70" i="3" s="1"/>
  <c r="I71" i="3"/>
  <c r="J71" i="3" s="1"/>
  <c r="I72" i="3"/>
  <c r="I73" i="3"/>
  <c r="I74" i="3"/>
  <c r="I75" i="3"/>
  <c r="J75" i="3" s="1"/>
  <c r="I76" i="3"/>
  <c r="I77" i="3"/>
  <c r="I78" i="3"/>
  <c r="J78" i="3" s="1"/>
  <c r="I79" i="3"/>
  <c r="J79" i="3" s="1"/>
  <c r="I80" i="3"/>
  <c r="J80" i="3" s="1"/>
  <c r="I81" i="3"/>
  <c r="I82" i="3"/>
  <c r="I83" i="3"/>
  <c r="I84" i="3"/>
  <c r="J84" i="3" s="1"/>
  <c r="I85" i="3"/>
  <c r="I86" i="3"/>
  <c r="J86" i="3" s="1"/>
  <c r="I87" i="3"/>
  <c r="J87" i="3" s="1"/>
  <c r="I88" i="3"/>
  <c r="J88" i="3" s="1"/>
  <c r="I89" i="3"/>
  <c r="J89" i="3" s="1"/>
  <c r="I90" i="3"/>
  <c r="I91" i="3"/>
  <c r="I92" i="3"/>
  <c r="I93" i="3"/>
  <c r="I94" i="3"/>
  <c r="J94" i="3" s="1"/>
  <c r="I95" i="3"/>
  <c r="J95" i="3" s="1"/>
  <c r="I96" i="3"/>
  <c r="I97" i="3"/>
  <c r="J97" i="3" s="1"/>
  <c r="I98" i="3"/>
  <c r="I99" i="3"/>
  <c r="I100" i="3"/>
  <c r="I101" i="3"/>
  <c r="I102" i="3"/>
  <c r="J102" i="3" s="1"/>
  <c r="I103" i="3"/>
  <c r="J103" i="3" s="1"/>
  <c r="I104" i="3"/>
  <c r="I105" i="3"/>
  <c r="I106" i="3"/>
  <c r="I107" i="3"/>
  <c r="J107" i="3" s="1"/>
  <c r="I108" i="3"/>
  <c r="I109" i="3"/>
  <c r="I110" i="3"/>
  <c r="J110" i="3" s="1"/>
  <c r="I111" i="3"/>
  <c r="J111" i="3" s="1"/>
  <c r="I112" i="3"/>
  <c r="J112" i="3" s="1"/>
  <c r="I113" i="3"/>
  <c r="I114" i="3"/>
  <c r="I115" i="3"/>
  <c r="J115" i="3" s="1"/>
  <c r="I116" i="3"/>
  <c r="J116" i="3" s="1"/>
  <c r="I117" i="3"/>
  <c r="I118" i="3"/>
  <c r="J118" i="3" s="1"/>
  <c r="I119" i="3"/>
  <c r="J119" i="3" s="1"/>
  <c r="I120" i="3"/>
  <c r="I121" i="3"/>
  <c r="J121" i="3" s="1"/>
  <c r="I122" i="3"/>
  <c r="I123" i="3"/>
  <c r="I124" i="3"/>
  <c r="J124" i="3" s="1"/>
  <c r="I125" i="3"/>
  <c r="I126" i="3"/>
  <c r="J126" i="3" s="1"/>
  <c r="I127" i="3"/>
  <c r="I128" i="3"/>
  <c r="I129" i="3"/>
  <c r="I130" i="3"/>
  <c r="I131" i="3"/>
  <c r="I132" i="3"/>
  <c r="I133" i="3"/>
  <c r="I134" i="3"/>
  <c r="J134" i="3" s="1"/>
  <c r="I135" i="3"/>
  <c r="J135" i="3" s="1"/>
  <c r="I136" i="3"/>
  <c r="I137" i="3"/>
  <c r="I138" i="3"/>
  <c r="I139" i="3"/>
  <c r="J139" i="3" s="1"/>
  <c r="I140" i="3"/>
  <c r="I141" i="3"/>
  <c r="I142" i="3"/>
  <c r="J142" i="3" s="1"/>
  <c r="I143" i="3"/>
  <c r="J143" i="3" s="1"/>
  <c r="I144" i="3"/>
  <c r="J144" i="3" s="1"/>
  <c r="I145" i="3"/>
  <c r="I146" i="3"/>
  <c r="I147" i="3"/>
  <c r="I148" i="3"/>
  <c r="J148" i="3" s="1"/>
  <c r="I149" i="3"/>
  <c r="I150" i="3"/>
  <c r="J150" i="3" s="1"/>
  <c r="I151" i="3"/>
  <c r="J151" i="3" s="1"/>
  <c r="I152" i="3"/>
  <c r="J152" i="3" s="1"/>
  <c r="I153" i="3"/>
  <c r="J153" i="3" s="1"/>
  <c r="I154" i="3"/>
  <c r="I155" i="3"/>
  <c r="I156" i="3"/>
  <c r="I157" i="3"/>
  <c r="I158" i="3"/>
  <c r="J158" i="3" s="1"/>
  <c r="I159" i="3"/>
  <c r="J159" i="3" s="1"/>
  <c r="I160" i="3"/>
  <c r="I161" i="3"/>
  <c r="J161" i="3" s="1"/>
  <c r="I162" i="3"/>
  <c r="I163" i="3"/>
  <c r="I164" i="3"/>
  <c r="I165" i="3"/>
  <c r="I166" i="3"/>
  <c r="J166" i="3" s="1"/>
  <c r="I167" i="3"/>
  <c r="J167" i="3" s="1"/>
  <c r="I168" i="3"/>
  <c r="I169" i="3"/>
  <c r="I170" i="3"/>
  <c r="I171" i="3"/>
  <c r="J171" i="3" s="1"/>
  <c r="I172" i="3"/>
  <c r="I173" i="3"/>
  <c r="I174" i="3"/>
  <c r="J174" i="3" s="1"/>
  <c r="I175" i="3"/>
  <c r="J175" i="3" s="1"/>
  <c r="I176" i="3"/>
  <c r="J176" i="3" s="1"/>
  <c r="I177" i="3"/>
  <c r="I178" i="3"/>
  <c r="I179" i="3"/>
  <c r="J179" i="3" s="1"/>
  <c r="I180" i="3"/>
  <c r="J180" i="3" s="1"/>
  <c r="I181" i="3"/>
  <c r="I182" i="3"/>
  <c r="J182" i="3" s="1"/>
  <c r="I183" i="3"/>
  <c r="J183" i="3" s="1"/>
  <c r="I184" i="3"/>
  <c r="I185" i="3"/>
  <c r="J185" i="3" s="1"/>
  <c r="I186" i="3"/>
  <c r="I187" i="3"/>
  <c r="I188" i="3"/>
  <c r="J188" i="3" s="1"/>
  <c r="I189" i="3"/>
  <c r="I190" i="3"/>
  <c r="J190" i="3" s="1"/>
  <c r="I191" i="3"/>
  <c r="I192" i="3"/>
  <c r="I193" i="3"/>
  <c r="I194" i="3"/>
  <c r="I195" i="3"/>
  <c r="I196" i="3"/>
  <c r="I197" i="3"/>
  <c r="I198" i="3"/>
  <c r="J198" i="3" s="1"/>
  <c r="I199" i="3"/>
  <c r="J199" i="3" s="1"/>
  <c r="I200" i="3"/>
  <c r="I201" i="3"/>
  <c r="I202" i="3"/>
  <c r="I203" i="3"/>
  <c r="J203" i="3" s="1"/>
  <c r="I204" i="3"/>
  <c r="I205" i="3"/>
  <c r="I206" i="3"/>
  <c r="J206" i="3" s="1"/>
  <c r="I207" i="3"/>
  <c r="J207" i="3" s="1"/>
  <c r="I208" i="3"/>
  <c r="J208" i="3" s="1"/>
  <c r="I209" i="3"/>
  <c r="I210" i="3"/>
  <c r="I211" i="3"/>
  <c r="I212" i="3"/>
  <c r="J212" i="3" s="1"/>
  <c r="I213" i="3"/>
  <c r="I214" i="3"/>
  <c r="J214" i="3" s="1"/>
  <c r="I215" i="3"/>
  <c r="J215" i="3" s="1"/>
  <c r="I216" i="3"/>
  <c r="J216" i="3" s="1"/>
  <c r="I217" i="3"/>
  <c r="J217" i="3" s="1"/>
  <c r="I218" i="3"/>
  <c r="I219" i="3"/>
  <c r="I220" i="3"/>
  <c r="I221" i="3"/>
  <c r="I222" i="3"/>
  <c r="J222" i="3" s="1"/>
  <c r="I223" i="3"/>
  <c r="J223" i="3" s="1"/>
  <c r="I224" i="3"/>
  <c r="I225" i="3"/>
  <c r="J225" i="3" s="1"/>
  <c r="I226" i="3"/>
  <c r="I227" i="3"/>
  <c r="I228" i="3"/>
  <c r="I229" i="3"/>
  <c r="I230" i="3"/>
  <c r="J230" i="3" s="1"/>
  <c r="I231" i="3"/>
  <c r="J231" i="3" s="1"/>
  <c r="I232" i="3"/>
  <c r="I233" i="3"/>
  <c r="I234" i="3"/>
  <c r="I235" i="3"/>
  <c r="J235" i="3" s="1"/>
  <c r="I236" i="3"/>
  <c r="I237" i="3"/>
  <c r="I238" i="3"/>
  <c r="J238" i="3" s="1"/>
  <c r="I239" i="3"/>
  <c r="J239" i="3" s="1"/>
  <c r="I240" i="3"/>
  <c r="J240" i="3" s="1"/>
  <c r="I241" i="3"/>
  <c r="I242" i="3"/>
  <c r="I243" i="3"/>
  <c r="J243" i="3" s="1"/>
  <c r="I244" i="3"/>
  <c r="J244" i="3" s="1"/>
  <c r="I245" i="3"/>
  <c r="I246" i="3"/>
  <c r="J246" i="3" s="1"/>
  <c r="I247" i="3"/>
  <c r="J247" i="3" s="1"/>
  <c r="I248" i="3"/>
  <c r="I249" i="3"/>
  <c r="J249" i="3" s="1"/>
  <c r="I250" i="3"/>
  <c r="I251" i="3"/>
  <c r="I252" i="3"/>
  <c r="J252" i="3" s="1"/>
  <c r="I253" i="3"/>
  <c r="I254" i="3"/>
  <c r="J254" i="3" s="1"/>
  <c r="I255" i="3"/>
  <c r="I256" i="3"/>
  <c r="I257" i="3"/>
  <c r="I258" i="3"/>
  <c r="I259" i="3"/>
  <c r="I260" i="3"/>
  <c r="I261" i="3"/>
  <c r="I262" i="3"/>
  <c r="J262" i="3" s="1"/>
  <c r="I263" i="3"/>
  <c r="J263" i="3" s="1"/>
  <c r="I264" i="3"/>
  <c r="I265" i="3"/>
  <c r="I266" i="3"/>
  <c r="I267" i="3"/>
  <c r="J267" i="3" s="1"/>
  <c r="I268" i="3"/>
  <c r="I269" i="3"/>
  <c r="I270" i="3"/>
  <c r="J270" i="3" s="1"/>
  <c r="I271" i="3"/>
  <c r="J271" i="3" s="1"/>
  <c r="I272" i="3"/>
  <c r="J272" i="3" s="1"/>
  <c r="I273" i="3"/>
  <c r="I274" i="3"/>
  <c r="I275" i="3"/>
  <c r="I276" i="3"/>
  <c r="J276" i="3" s="1"/>
  <c r="I277" i="3"/>
  <c r="I278" i="3"/>
  <c r="J278" i="3" s="1"/>
  <c r="I279" i="3"/>
  <c r="J279" i="3" s="1"/>
  <c r="I280" i="3"/>
  <c r="J280" i="3" s="1"/>
  <c r="I281" i="3"/>
  <c r="J281" i="3" s="1"/>
  <c r="I282" i="3"/>
  <c r="I283" i="3"/>
  <c r="I284" i="3"/>
  <c r="I285" i="3"/>
  <c r="I286" i="3"/>
  <c r="J286" i="3" s="1"/>
  <c r="I287" i="3"/>
  <c r="J287" i="3" s="1"/>
  <c r="I288" i="3"/>
  <c r="I289" i="3"/>
  <c r="J289" i="3" s="1"/>
  <c r="I290" i="3"/>
  <c r="I291" i="3"/>
  <c r="I292" i="3"/>
  <c r="I293" i="3"/>
  <c r="I294" i="3"/>
  <c r="J294" i="3" s="1"/>
  <c r="I295" i="3"/>
  <c r="J295" i="3" s="1"/>
  <c r="I296" i="3"/>
  <c r="I297" i="3"/>
  <c r="I298" i="3"/>
  <c r="I299" i="3"/>
  <c r="J299" i="3" s="1"/>
  <c r="I300" i="3"/>
  <c r="I301" i="3"/>
  <c r="I302" i="3"/>
  <c r="J302" i="3" s="1"/>
  <c r="I303" i="3"/>
  <c r="J303" i="3" s="1"/>
  <c r="I304" i="3"/>
  <c r="J304" i="3" s="1"/>
  <c r="I305" i="3"/>
  <c r="I306" i="3"/>
  <c r="I307" i="3"/>
  <c r="J307" i="3" s="1"/>
  <c r="I308" i="3"/>
  <c r="J308" i="3" s="1"/>
  <c r="I309" i="3"/>
  <c r="I310" i="3"/>
  <c r="J310" i="3" s="1"/>
  <c r="I311" i="3"/>
  <c r="J311" i="3" s="1"/>
  <c r="I312" i="3"/>
  <c r="I313" i="3"/>
  <c r="J313" i="3" s="1"/>
  <c r="I314" i="3"/>
  <c r="I315" i="3"/>
  <c r="I316" i="3"/>
  <c r="J316" i="3" s="1"/>
  <c r="I317" i="3"/>
  <c r="I318" i="3"/>
  <c r="J318" i="3" s="1"/>
  <c r="I319" i="3"/>
  <c r="I320" i="3"/>
  <c r="I321" i="3"/>
  <c r="I322" i="3"/>
  <c r="I323" i="3"/>
  <c r="I324" i="3"/>
  <c r="I325" i="3"/>
  <c r="I326" i="3"/>
  <c r="J326" i="3" s="1"/>
  <c r="I327" i="3"/>
  <c r="J327" i="3" s="1"/>
  <c r="I328" i="3"/>
  <c r="I329" i="3"/>
  <c r="I330" i="3"/>
  <c r="I331" i="3"/>
  <c r="J331" i="3" s="1"/>
  <c r="I332" i="3"/>
  <c r="I333" i="3"/>
  <c r="I334" i="3"/>
  <c r="J334" i="3" s="1"/>
  <c r="I335" i="3"/>
  <c r="J335" i="3" s="1"/>
  <c r="I336" i="3"/>
  <c r="J336" i="3" s="1"/>
  <c r="I337" i="3"/>
  <c r="I338" i="3"/>
  <c r="I339" i="3"/>
  <c r="I340" i="3"/>
  <c r="J340" i="3" s="1"/>
  <c r="I341" i="3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" i="1"/>
  <c r="Q126" i="2"/>
  <c r="R126" i="2" s="1"/>
  <c r="Q127" i="2"/>
  <c r="Q128" i="2"/>
  <c r="Q129" i="2"/>
  <c r="R129" i="2" s="1"/>
  <c r="Q130" i="2"/>
  <c r="Q131" i="2"/>
  <c r="Q132" i="2"/>
  <c r="R132" i="2" s="1"/>
  <c r="R131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K126" i="2"/>
  <c r="K127" i="2"/>
  <c r="K128" i="2"/>
  <c r="K129" i="2"/>
  <c r="K130" i="2"/>
  <c r="K131" i="2"/>
  <c r="K132" i="2"/>
  <c r="K133" i="2"/>
  <c r="J8" i="2"/>
  <c r="J9" i="2"/>
  <c r="K9" i="2" s="1"/>
  <c r="J10" i="2"/>
  <c r="K10" i="2" s="1"/>
  <c r="J11" i="2"/>
  <c r="M11" i="2" s="1"/>
  <c r="J12" i="2"/>
  <c r="K12" i="2" s="1"/>
  <c r="J13" i="2"/>
  <c r="M13" i="2" s="1"/>
  <c r="J14" i="2"/>
  <c r="J15" i="2"/>
  <c r="K15" i="2" s="1"/>
  <c r="J16" i="2"/>
  <c r="K16" i="2" s="1"/>
  <c r="J17" i="2"/>
  <c r="M17" i="2" s="1"/>
  <c r="J18" i="2"/>
  <c r="K18" i="2" s="1"/>
  <c r="J19" i="2"/>
  <c r="M19" i="2" s="1"/>
  <c r="J20" i="2"/>
  <c r="K20" i="2" s="1"/>
  <c r="J21" i="2"/>
  <c r="Q21" i="2" s="1"/>
  <c r="J22" i="2"/>
  <c r="K22" i="2" s="1"/>
  <c r="J23" i="2"/>
  <c r="K23" i="2" s="1"/>
  <c r="J24" i="2"/>
  <c r="K24" i="2" s="1"/>
  <c r="J25" i="2"/>
  <c r="Q25" i="2" s="1"/>
  <c r="J26" i="2"/>
  <c r="K26" i="2" s="1"/>
  <c r="J27" i="2"/>
  <c r="M27" i="2" s="1"/>
  <c r="J28" i="2"/>
  <c r="K28" i="2" s="1"/>
  <c r="J29" i="2"/>
  <c r="M29" i="2" s="1"/>
  <c r="J30" i="2"/>
  <c r="K30" i="2" s="1"/>
  <c r="J31" i="2"/>
  <c r="K31" i="2" s="1"/>
  <c r="J32" i="2"/>
  <c r="K32" i="2" s="1"/>
  <c r="J33" i="2"/>
  <c r="Q33" i="2" s="1"/>
  <c r="J34" i="2"/>
  <c r="K34" i="2" s="1"/>
  <c r="J35" i="2"/>
  <c r="M35" i="2" s="1"/>
  <c r="J36" i="2"/>
  <c r="K36" i="2" s="1"/>
  <c r="J37" i="2"/>
  <c r="K37" i="2" s="1"/>
  <c r="J38" i="2"/>
  <c r="K38" i="2" s="1"/>
  <c r="J39" i="2"/>
  <c r="Q39" i="2" s="1"/>
  <c r="J40" i="2"/>
  <c r="K40" i="2" s="1"/>
  <c r="J41" i="2"/>
  <c r="Q41" i="2" s="1"/>
  <c r="J42" i="2"/>
  <c r="K42" i="2" s="1"/>
  <c r="J43" i="2"/>
  <c r="M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Q49" i="2" s="1"/>
  <c r="J50" i="2"/>
  <c r="K50" i="2" s="1"/>
  <c r="J51" i="2"/>
  <c r="M51" i="2" s="1"/>
  <c r="J52" i="2"/>
  <c r="K52" i="2" s="1"/>
  <c r="J53" i="2"/>
  <c r="M53" i="2" s="1"/>
  <c r="J54" i="2"/>
  <c r="K54" i="2" s="1"/>
  <c r="J55" i="2"/>
  <c r="K55" i="2" s="1"/>
  <c r="J56" i="2"/>
  <c r="K56" i="2" s="1"/>
  <c r="J57" i="2"/>
  <c r="Q57" i="2" s="1"/>
  <c r="J58" i="2"/>
  <c r="K58" i="2" s="1"/>
  <c r="J59" i="2"/>
  <c r="M59" i="2" s="1"/>
  <c r="J60" i="2"/>
  <c r="K60" i="2" s="1"/>
  <c r="J61" i="2"/>
  <c r="Q61" i="2" s="1"/>
  <c r="J62" i="2"/>
  <c r="Q62" i="2" s="1"/>
  <c r="J63" i="2"/>
  <c r="K63" i="2" s="1"/>
  <c r="J64" i="2"/>
  <c r="K64" i="2" s="1"/>
  <c r="J65" i="2"/>
  <c r="Q65" i="2" s="1"/>
  <c r="J66" i="2"/>
  <c r="K66" i="2" s="1"/>
  <c r="J67" i="2"/>
  <c r="M67" i="2" s="1"/>
  <c r="J68" i="2"/>
  <c r="K68" i="2" s="1"/>
  <c r="J69" i="2"/>
  <c r="Q69" i="2" s="1"/>
  <c r="J70" i="2"/>
  <c r="Q70" i="2" s="1"/>
  <c r="J71" i="2"/>
  <c r="Q71" i="2" s="1"/>
  <c r="J72" i="2"/>
  <c r="K72" i="2" s="1"/>
  <c r="J73" i="2"/>
  <c r="Q73" i="2" s="1"/>
  <c r="J74" i="2"/>
  <c r="K74" i="2" s="1"/>
  <c r="J75" i="2"/>
  <c r="M75" i="2" s="1"/>
  <c r="J76" i="2"/>
  <c r="K76" i="2" s="1"/>
  <c r="J77" i="2"/>
  <c r="K77" i="2" s="1"/>
  <c r="J78" i="2"/>
  <c r="Q78" i="2" s="1"/>
  <c r="J79" i="2"/>
  <c r="K79" i="2" s="1"/>
  <c r="J80" i="2"/>
  <c r="K80" i="2" s="1"/>
  <c r="J81" i="2"/>
  <c r="Q81" i="2" s="1"/>
  <c r="J82" i="2"/>
  <c r="K82" i="2" s="1"/>
  <c r="J83" i="2"/>
  <c r="M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M89" i="2" s="1"/>
  <c r="J90" i="2"/>
  <c r="K90" i="2" s="1"/>
  <c r="J91" i="2"/>
  <c r="M91" i="2" s="1"/>
  <c r="J92" i="2"/>
  <c r="K92" i="2" s="1"/>
  <c r="J93" i="2"/>
  <c r="M93" i="2" s="1"/>
  <c r="J94" i="2"/>
  <c r="K94" i="2" s="1"/>
  <c r="J95" i="2"/>
  <c r="K95" i="2" s="1"/>
  <c r="J96" i="2"/>
  <c r="K96" i="2" s="1"/>
  <c r="J97" i="2"/>
  <c r="Q97" i="2" s="1"/>
  <c r="J98" i="2"/>
  <c r="K98" i="2" s="1"/>
  <c r="J99" i="2"/>
  <c r="M99" i="2" s="1"/>
  <c r="J100" i="2"/>
  <c r="K100" i="2" s="1"/>
  <c r="J101" i="2"/>
  <c r="Q101" i="2" s="1"/>
  <c r="J102" i="2"/>
  <c r="Q102" i="2" s="1"/>
  <c r="J103" i="2"/>
  <c r="Q103" i="2" s="1"/>
  <c r="J104" i="2"/>
  <c r="K104" i="2" s="1"/>
  <c r="J105" i="2"/>
  <c r="Q105" i="2" s="1"/>
  <c r="J106" i="2"/>
  <c r="K106" i="2" s="1"/>
  <c r="J107" i="2"/>
  <c r="M107" i="2" s="1"/>
  <c r="J108" i="2"/>
  <c r="K108" i="2" s="1"/>
  <c r="J109" i="2"/>
  <c r="M109" i="2" s="1"/>
  <c r="J110" i="2"/>
  <c r="K110" i="2" s="1"/>
  <c r="J111" i="2"/>
  <c r="K111" i="2" s="1"/>
  <c r="J112" i="2"/>
  <c r="K112" i="2" s="1"/>
  <c r="J113" i="2"/>
  <c r="Q113" i="2" s="1"/>
  <c r="J114" i="2"/>
  <c r="K114" i="2" s="1"/>
  <c r="J115" i="2"/>
  <c r="M115" i="2" s="1"/>
  <c r="J116" i="2"/>
  <c r="K116" i="2" s="1"/>
  <c r="J117" i="2"/>
  <c r="Q117" i="2" s="1"/>
  <c r="J118" i="2"/>
  <c r="K118" i="2" s="1"/>
  <c r="J119" i="2"/>
  <c r="K119" i="2" s="1"/>
  <c r="J120" i="2"/>
  <c r="K120" i="2" s="1"/>
  <c r="J121" i="2"/>
  <c r="Q121" i="2" s="1"/>
  <c r="J122" i="2"/>
  <c r="K122" i="2" s="1"/>
  <c r="J123" i="2"/>
  <c r="M123" i="2" s="1"/>
  <c r="J124" i="2"/>
  <c r="K124" i="2" s="1"/>
  <c r="J125" i="2"/>
  <c r="K125" i="2" s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J8" i="3"/>
  <c r="J9" i="3"/>
  <c r="J10" i="3"/>
  <c r="J12" i="3"/>
  <c r="J13" i="3"/>
  <c r="J17" i="3"/>
  <c r="J18" i="3"/>
  <c r="J19" i="3"/>
  <c r="J21" i="3"/>
  <c r="J26" i="3"/>
  <c r="J27" i="3"/>
  <c r="J28" i="3"/>
  <c r="J29" i="3"/>
  <c r="J32" i="3"/>
  <c r="J34" i="3"/>
  <c r="J35" i="3"/>
  <c r="J36" i="3"/>
  <c r="J37" i="3"/>
  <c r="J40" i="3"/>
  <c r="J41" i="3"/>
  <c r="J42" i="3"/>
  <c r="J44" i="3"/>
  <c r="J45" i="3"/>
  <c r="J49" i="3"/>
  <c r="J50" i="3"/>
  <c r="J53" i="3"/>
  <c r="J56" i="3"/>
  <c r="J58" i="3"/>
  <c r="J59" i="3"/>
  <c r="J61" i="3"/>
  <c r="J63" i="3"/>
  <c r="J64" i="3"/>
  <c r="J65" i="3"/>
  <c r="J66" i="3"/>
  <c r="J67" i="3"/>
  <c r="J68" i="3"/>
  <c r="J69" i="3"/>
  <c r="J72" i="3"/>
  <c r="J73" i="3"/>
  <c r="J74" i="3"/>
  <c r="J76" i="3"/>
  <c r="J77" i="3"/>
  <c r="J81" i="3"/>
  <c r="J82" i="3"/>
  <c r="J83" i="3"/>
  <c r="J85" i="3"/>
  <c r="J90" i="3"/>
  <c r="J91" i="3"/>
  <c r="J92" i="3"/>
  <c r="J93" i="3"/>
  <c r="J96" i="3"/>
  <c r="J98" i="3"/>
  <c r="J99" i="3"/>
  <c r="J100" i="3"/>
  <c r="J101" i="3"/>
  <c r="J104" i="3"/>
  <c r="J105" i="3"/>
  <c r="J106" i="3"/>
  <c r="J108" i="3"/>
  <c r="J109" i="3"/>
  <c r="J113" i="3"/>
  <c r="J114" i="3"/>
  <c r="J117" i="3"/>
  <c r="J120" i="3"/>
  <c r="J122" i="3"/>
  <c r="J123" i="3"/>
  <c r="J125" i="3"/>
  <c r="J127" i="3"/>
  <c r="J128" i="3"/>
  <c r="J129" i="3"/>
  <c r="J130" i="3"/>
  <c r="J131" i="3"/>
  <c r="J132" i="3"/>
  <c r="J133" i="3"/>
  <c r="J136" i="3"/>
  <c r="J137" i="3"/>
  <c r="J138" i="3"/>
  <c r="J140" i="3"/>
  <c r="J141" i="3"/>
  <c r="J145" i="3"/>
  <c r="J146" i="3"/>
  <c r="J147" i="3"/>
  <c r="J149" i="3"/>
  <c r="J154" i="3"/>
  <c r="J155" i="3"/>
  <c r="J156" i="3"/>
  <c r="J157" i="3"/>
  <c r="J160" i="3"/>
  <c r="J162" i="3"/>
  <c r="J163" i="3"/>
  <c r="J164" i="3"/>
  <c r="J165" i="3"/>
  <c r="J168" i="3"/>
  <c r="J169" i="3"/>
  <c r="J170" i="3"/>
  <c r="J172" i="3"/>
  <c r="J173" i="3"/>
  <c r="J177" i="3"/>
  <c r="J178" i="3"/>
  <c r="J181" i="3"/>
  <c r="J184" i="3"/>
  <c r="J186" i="3"/>
  <c r="J187" i="3"/>
  <c r="J189" i="3"/>
  <c r="J191" i="3"/>
  <c r="J192" i="3"/>
  <c r="J193" i="3"/>
  <c r="J194" i="3"/>
  <c r="J195" i="3"/>
  <c r="J196" i="3"/>
  <c r="J197" i="3"/>
  <c r="J200" i="3"/>
  <c r="J201" i="3"/>
  <c r="J202" i="3"/>
  <c r="J204" i="3"/>
  <c r="J205" i="3"/>
  <c r="J209" i="3"/>
  <c r="J210" i="3"/>
  <c r="J211" i="3"/>
  <c r="J213" i="3"/>
  <c r="J218" i="3"/>
  <c r="J219" i="3"/>
  <c r="J220" i="3"/>
  <c r="J221" i="3"/>
  <c r="J224" i="3"/>
  <c r="J226" i="3"/>
  <c r="J227" i="3"/>
  <c r="J228" i="3"/>
  <c r="J229" i="3"/>
  <c r="J232" i="3"/>
  <c r="J233" i="3"/>
  <c r="J234" i="3"/>
  <c r="J236" i="3"/>
  <c r="J237" i="3"/>
  <c r="J241" i="3"/>
  <c r="J242" i="3"/>
  <c r="J245" i="3"/>
  <c r="J248" i="3"/>
  <c r="J250" i="3"/>
  <c r="J251" i="3"/>
  <c r="J253" i="3"/>
  <c r="J255" i="3"/>
  <c r="J256" i="3"/>
  <c r="J257" i="3"/>
  <c r="J258" i="3"/>
  <c r="J259" i="3"/>
  <c r="J260" i="3"/>
  <c r="J261" i="3"/>
  <c r="J264" i="3"/>
  <c r="J265" i="3"/>
  <c r="J266" i="3"/>
  <c r="J268" i="3"/>
  <c r="J269" i="3"/>
  <c r="J273" i="3"/>
  <c r="J274" i="3"/>
  <c r="J275" i="3"/>
  <c r="J277" i="3"/>
  <c r="J282" i="3"/>
  <c r="J283" i="3"/>
  <c r="J284" i="3"/>
  <c r="J285" i="3"/>
  <c r="J288" i="3"/>
  <c r="J290" i="3"/>
  <c r="J291" i="3"/>
  <c r="J292" i="3"/>
  <c r="J293" i="3"/>
  <c r="J296" i="3"/>
  <c r="J297" i="3"/>
  <c r="J298" i="3"/>
  <c r="J300" i="3"/>
  <c r="J301" i="3"/>
  <c r="J305" i="3"/>
  <c r="J306" i="3"/>
  <c r="J309" i="3"/>
  <c r="J312" i="3"/>
  <c r="J314" i="3"/>
  <c r="J315" i="3"/>
  <c r="J317" i="3"/>
  <c r="J319" i="3"/>
  <c r="J320" i="3"/>
  <c r="J321" i="3"/>
  <c r="J322" i="3"/>
  <c r="J323" i="3"/>
  <c r="J324" i="3"/>
  <c r="J325" i="3"/>
  <c r="J328" i="3"/>
  <c r="J329" i="3"/>
  <c r="J330" i="3"/>
  <c r="J332" i="3"/>
  <c r="J333" i="3"/>
  <c r="J337" i="3"/>
  <c r="J338" i="3"/>
  <c r="J339" i="3"/>
  <c r="J341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I7" i="3"/>
  <c r="J7" i="3" s="1"/>
  <c r="C7" i="3"/>
  <c r="Q9" i="5" a="1"/>
  <c r="Q9" i="5" s="1"/>
  <c r="M126" i="2"/>
  <c r="M127" i="2"/>
  <c r="M128" i="2"/>
  <c r="M129" i="2"/>
  <c r="M130" i="2"/>
  <c r="M131" i="2"/>
  <c r="M132" i="2"/>
  <c r="M133" i="2"/>
  <c r="M7" i="2"/>
  <c r="M8" i="2"/>
  <c r="M15" i="2"/>
  <c r="M16" i="2"/>
  <c r="M18" i="2"/>
  <c r="M20" i="2"/>
  <c r="M23" i="2"/>
  <c r="M24" i="2"/>
  <c r="M28" i="2"/>
  <c r="M31" i="2"/>
  <c r="M32" i="2"/>
  <c r="M34" i="2"/>
  <c r="M36" i="2"/>
  <c r="M37" i="2"/>
  <c r="M39" i="2"/>
  <c r="M40" i="2"/>
  <c r="M44" i="2"/>
  <c r="M47" i="2"/>
  <c r="M48" i="2"/>
  <c r="M52" i="2"/>
  <c r="M55" i="2"/>
  <c r="M56" i="2"/>
  <c r="M60" i="2"/>
  <c r="M63" i="2"/>
  <c r="M64" i="2"/>
  <c r="M68" i="2"/>
  <c r="M71" i="2"/>
  <c r="M72" i="2"/>
  <c r="M76" i="2"/>
  <c r="M77" i="2"/>
  <c r="M79" i="2"/>
  <c r="M80" i="2"/>
  <c r="M84" i="2"/>
  <c r="M85" i="2"/>
  <c r="M87" i="2"/>
  <c r="M88" i="2"/>
  <c r="M92" i="2"/>
  <c r="M95" i="2"/>
  <c r="M96" i="2"/>
  <c r="M100" i="2"/>
  <c r="M103" i="2"/>
  <c r="M104" i="2"/>
  <c r="M108" i="2"/>
  <c r="M111" i="2"/>
  <c r="M112" i="2"/>
  <c r="M116" i="2"/>
  <c r="M119" i="2"/>
  <c r="M120" i="2"/>
  <c r="M124" i="2"/>
  <c r="R127" i="2"/>
  <c r="R128" i="2"/>
  <c r="R130" i="2"/>
  <c r="R133" i="2"/>
  <c r="M12" i="9"/>
  <c r="M12" i="2" l="1"/>
  <c r="Q118" i="2"/>
  <c r="Q54" i="2"/>
  <c r="M66" i="2"/>
  <c r="M50" i="2"/>
  <c r="M122" i="2"/>
  <c r="M106" i="2"/>
  <c r="M90" i="2"/>
  <c r="Q110" i="2"/>
  <c r="R110" i="2" s="1"/>
  <c r="Q46" i="2"/>
  <c r="Q38" i="2"/>
  <c r="M74" i="2"/>
  <c r="M58" i="2"/>
  <c r="M42" i="2"/>
  <c r="Q94" i="2"/>
  <c r="Q30" i="2"/>
  <c r="M26" i="2"/>
  <c r="M10" i="2"/>
  <c r="K103" i="2"/>
  <c r="Q86" i="2"/>
  <c r="Q22" i="2"/>
  <c r="M114" i="2"/>
  <c r="M98" i="2"/>
  <c r="K71" i="2"/>
  <c r="M82" i="2"/>
  <c r="K39" i="2"/>
  <c r="M41" i="2"/>
  <c r="M113" i="2"/>
  <c r="M65" i="2"/>
  <c r="K105" i="2"/>
  <c r="K73" i="2"/>
  <c r="K41" i="2"/>
  <c r="Q119" i="2"/>
  <c r="Q111" i="2"/>
  <c r="Q95" i="2"/>
  <c r="R95" i="2" s="1"/>
  <c r="Q87" i="2"/>
  <c r="R87" i="2" s="1"/>
  <c r="Q79" i="2"/>
  <c r="Q63" i="2"/>
  <c r="Q55" i="2"/>
  <c r="Q47" i="2"/>
  <c r="R47" i="2" s="1"/>
  <c r="Q31" i="2"/>
  <c r="Q23" i="2"/>
  <c r="R23" i="2" s="1"/>
  <c r="Q15" i="2"/>
  <c r="R15" i="2" s="1"/>
  <c r="M25" i="2"/>
  <c r="K97" i="2"/>
  <c r="K65" i="2"/>
  <c r="K33" i="2"/>
  <c r="Q125" i="2"/>
  <c r="R125" i="2" s="1"/>
  <c r="Q109" i="2"/>
  <c r="Q93" i="2"/>
  <c r="Q85" i="2"/>
  <c r="R85" i="2" s="1"/>
  <c r="Q77" i="2"/>
  <c r="R77" i="2" s="1"/>
  <c r="Q53" i="2"/>
  <c r="Q45" i="2"/>
  <c r="Q37" i="2"/>
  <c r="R37" i="2" s="1"/>
  <c r="Q29" i="2"/>
  <c r="R29" i="2" s="1"/>
  <c r="M49" i="2"/>
  <c r="M121" i="2"/>
  <c r="M73" i="2"/>
  <c r="Q124" i="2"/>
  <c r="Q116" i="2"/>
  <c r="Q108" i="2"/>
  <c r="R108" i="2" s="1"/>
  <c r="Q100" i="2"/>
  <c r="R100" i="2" s="1"/>
  <c r="Q92" i="2"/>
  <c r="Q84" i="2"/>
  <c r="Q76" i="2"/>
  <c r="R76" i="2" s="1"/>
  <c r="Q68" i="2"/>
  <c r="R68" i="2" s="1"/>
  <c r="Q60" i="2"/>
  <c r="Q52" i="2"/>
  <c r="Q44" i="2"/>
  <c r="R44" i="2" s="1"/>
  <c r="Q36" i="2"/>
  <c r="R36" i="2" s="1"/>
  <c r="Q28" i="2"/>
  <c r="Q20" i="2"/>
  <c r="R20" i="2" s="1"/>
  <c r="Q12" i="2"/>
  <c r="R12" i="2" s="1"/>
  <c r="Q9" i="2"/>
  <c r="R9" i="2" s="1"/>
  <c r="M9" i="2"/>
  <c r="K121" i="2"/>
  <c r="K89" i="2"/>
  <c r="K57" i="2"/>
  <c r="K25" i="2"/>
  <c r="Q123" i="2"/>
  <c r="Q115" i="2"/>
  <c r="R115" i="2" s="1"/>
  <c r="Q107" i="2"/>
  <c r="R107" i="2" s="1"/>
  <c r="Q99" i="2"/>
  <c r="Q91" i="2"/>
  <c r="Q83" i="2"/>
  <c r="R83" i="2" s="1"/>
  <c r="Q75" i="2"/>
  <c r="R75" i="2" s="1"/>
  <c r="Q67" i="2"/>
  <c r="Q59" i="2"/>
  <c r="Q51" i="2"/>
  <c r="R51" i="2" s="1"/>
  <c r="Q43" i="2"/>
  <c r="Q35" i="2"/>
  <c r="Q27" i="2"/>
  <c r="R27" i="2" s="1"/>
  <c r="Q19" i="2"/>
  <c r="R19" i="2" s="1"/>
  <c r="Q10" i="2"/>
  <c r="R10" i="2" s="1"/>
  <c r="M97" i="2"/>
  <c r="M105" i="2"/>
  <c r="M81" i="2"/>
  <c r="M57" i="2"/>
  <c r="M33" i="2"/>
  <c r="Q122" i="2"/>
  <c r="Q114" i="2"/>
  <c r="R114" i="2" s="1"/>
  <c r="Q106" i="2"/>
  <c r="R106" i="2" s="1"/>
  <c r="Q98" i="2"/>
  <c r="Q90" i="2"/>
  <c r="Q82" i="2"/>
  <c r="Q74" i="2"/>
  <c r="R74" i="2" s="1"/>
  <c r="Q66" i="2"/>
  <c r="Q58" i="2"/>
  <c r="R58" i="2" s="1"/>
  <c r="Q50" i="2"/>
  <c r="R50" i="2" s="1"/>
  <c r="Q42" i="2"/>
  <c r="R42" i="2" s="1"/>
  <c r="Q34" i="2"/>
  <c r="Q26" i="2"/>
  <c r="Q18" i="2"/>
  <c r="R18" i="2" s="1"/>
  <c r="Q8" i="2"/>
  <c r="R8" i="2" s="1"/>
  <c r="K113" i="2"/>
  <c r="K81" i="2"/>
  <c r="K49" i="2"/>
  <c r="K17" i="2"/>
  <c r="Q89" i="2"/>
  <c r="Q17" i="2"/>
  <c r="R17" i="2" s="1"/>
  <c r="Q120" i="2"/>
  <c r="R120" i="2" s="1"/>
  <c r="Q112" i="2"/>
  <c r="R112" i="2" s="1"/>
  <c r="Q104" i="2"/>
  <c r="Q96" i="2"/>
  <c r="Q88" i="2"/>
  <c r="R88" i="2" s="1"/>
  <c r="Q80" i="2"/>
  <c r="R80" i="2" s="1"/>
  <c r="Q72" i="2"/>
  <c r="Q64" i="2"/>
  <c r="R64" i="2" s="1"/>
  <c r="Q56" i="2"/>
  <c r="R56" i="2" s="1"/>
  <c r="Q48" i="2"/>
  <c r="R48" i="2" s="1"/>
  <c r="Q40" i="2"/>
  <c r="Q32" i="2"/>
  <c r="Q24" i="2"/>
  <c r="R24" i="2" s="1"/>
  <c r="Q16" i="2"/>
  <c r="R16" i="2" s="1"/>
  <c r="Q7" i="2"/>
  <c r="R7" i="2" s="1"/>
  <c r="R118" i="2"/>
  <c r="R94" i="2"/>
  <c r="R86" i="2"/>
  <c r="R54" i="2"/>
  <c r="R46" i="2"/>
  <c r="R38" i="2"/>
  <c r="R30" i="2"/>
  <c r="R22" i="2"/>
  <c r="R102" i="2"/>
  <c r="R78" i="2"/>
  <c r="R101" i="2"/>
  <c r="R69" i="2"/>
  <c r="R61" i="2"/>
  <c r="K102" i="2"/>
  <c r="K78" i="2"/>
  <c r="K62" i="2"/>
  <c r="R62" i="2" s="1"/>
  <c r="M45" i="2"/>
  <c r="K117" i="2"/>
  <c r="R117" i="2" s="1"/>
  <c r="K109" i="2"/>
  <c r="K101" i="2"/>
  <c r="K93" i="2"/>
  <c r="K69" i="2"/>
  <c r="K61" i="2"/>
  <c r="K53" i="2"/>
  <c r="K29" i="2"/>
  <c r="K21" i="2"/>
  <c r="R21" i="2" s="1"/>
  <c r="Q13" i="2"/>
  <c r="R13" i="2" s="1"/>
  <c r="K70" i="2"/>
  <c r="R70" i="2" s="1"/>
  <c r="K123" i="2"/>
  <c r="K115" i="2"/>
  <c r="K107" i="2"/>
  <c r="K99" i="2"/>
  <c r="R99" i="2" s="1"/>
  <c r="K91" i="2"/>
  <c r="K83" i="2"/>
  <c r="K75" i="2"/>
  <c r="K67" i="2"/>
  <c r="R67" i="2" s="1"/>
  <c r="K59" i="2"/>
  <c r="K51" i="2"/>
  <c r="K43" i="2"/>
  <c r="K35" i="2"/>
  <c r="R35" i="2" s="1"/>
  <c r="K27" i="2"/>
  <c r="K19" i="2"/>
  <c r="K11" i="2"/>
  <c r="Q11" i="2" s="1"/>
  <c r="R11" i="2" s="1"/>
  <c r="R84" i="2"/>
  <c r="R73" i="2"/>
  <c r="R113" i="2"/>
  <c r="R81" i="2"/>
  <c r="R25" i="2"/>
  <c r="R105" i="2"/>
  <c r="R65" i="2"/>
  <c r="R97" i="2"/>
  <c r="R57" i="2"/>
  <c r="R89" i="2"/>
  <c r="R49" i="2"/>
  <c r="R41" i="2"/>
  <c r="R121" i="2"/>
  <c r="R33" i="2"/>
  <c r="R66" i="2"/>
  <c r="R34" i="2"/>
  <c r="R90" i="2"/>
  <c r="R26" i="2"/>
  <c r="R82" i="2"/>
  <c r="R122" i="2"/>
  <c r="R98" i="2"/>
  <c r="R60" i="2"/>
  <c r="R116" i="2"/>
  <c r="R92" i="2"/>
  <c r="R52" i="2"/>
  <c r="R28" i="2"/>
  <c r="R124" i="2"/>
  <c r="R59" i="2"/>
  <c r="R123" i="2"/>
  <c r="R91" i="2"/>
  <c r="R31" i="2"/>
  <c r="R119" i="2"/>
  <c r="R55" i="2"/>
  <c r="R79" i="2"/>
  <c r="R103" i="2"/>
  <c r="R39" i="2"/>
  <c r="R63" i="2"/>
  <c r="R111" i="2"/>
  <c r="R71" i="2"/>
  <c r="R109" i="2"/>
  <c r="R45" i="2"/>
  <c r="M125" i="2"/>
  <c r="M21" i="2"/>
  <c r="M117" i="2"/>
  <c r="M69" i="2"/>
  <c r="R53" i="2"/>
  <c r="M61" i="2"/>
  <c r="R93" i="2"/>
  <c r="M101" i="2"/>
  <c r="M118" i="2"/>
  <c r="M110" i="2"/>
  <c r="M102" i="2"/>
  <c r="M94" i="2"/>
  <c r="M86" i="2"/>
  <c r="M78" i="2"/>
  <c r="M70" i="2"/>
  <c r="M62" i="2"/>
  <c r="M54" i="2"/>
  <c r="M46" i="2"/>
  <c r="M38" i="2"/>
  <c r="M30" i="2"/>
  <c r="M22" i="2"/>
  <c r="M14" i="2"/>
  <c r="R72" i="2"/>
  <c r="R96" i="2"/>
  <c r="R32" i="2"/>
  <c r="R104" i="2"/>
  <c r="R40" i="2"/>
  <c r="Q14" i="2" l="1"/>
  <c r="R14" i="2" s="1"/>
  <c r="R43" i="2"/>
  <c r="B19" i="6"/>
  <c r="C5" i="6"/>
  <c r="B33" i="6"/>
  <c r="B29" i="6"/>
  <c r="B30" i="6"/>
  <c r="B31" i="6"/>
  <c r="B32" i="6"/>
  <c r="B34" i="6"/>
  <c r="H3" i="2"/>
  <c r="C342" i="3" l="1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I342" i="3" l="1"/>
  <c r="J342" i="3" s="1"/>
  <c r="I343" i="3"/>
  <c r="J343" i="3" s="1"/>
  <c r="I344" i="3"/>
  <c r="J344" i="3" s="1"/>
  <c r="I345" i="3"/>
  <c r="J345" i="3" s="1"/>
  <c r="I346" i="3"/>
  <c r="J346" i="3" s="1"/>
  <c r="I347" i="3"/>
  <c r="J347" i="3" s="1"/>
  <c r="I348" i="3"/>
  <c r="J348" i="3" s="1"/>
  <c r="I349" i="3"/>
  <c r="J349" i="3" s="1"/>
  <c r="I350" i="3"/>
  <c r="J350" i="3" s="1"/>
  <c r="I351" i="3"/>
  <c r="J351" i="3" s="1"/>
  <c r="I352" i="3"/>
  <c r="J352" i="3" s="1"/>
  <c r="I353" i="3"/>
  <c r="J353" i="3" s="1"/>
  <c r="I354" i="3"/>
  <c r="J354" i="3" s="1"/>
  <c r="I355" i="3"/>
  <c r="J355" i="3" s="1"/>
  <c r="I356" i="3"/>
  <c r="J356" i="3" s="1"/>
  <c r="I357" i="3"/>
  <c r="J357" i="3" s="1"/>
  <c r="I358" i="3"/>
  <c r="J358" i="3" s="1"/>
  <c r="I359" i="3"/>
  <c r="J359" i="3" s="1"/>
  <c r="I360" i="3"/>
  <c r="J360" i="3" s="1"/>
  <c r="I361" i="3"/>
  <c r="J361" i="3" s="1"/>
  <c r="I362" i="3"/>
  <c r="J362" i="3" s="1"/>
  <c r="I363" i="3"/>
  <c r="J363" i="3" s="1"/>
  <c r="I364" i="3"/>
  <c r="J364" i="3" s="1"/>
  <c r="I365" i="3"/>
  <c r="J365" i="3" s="1"/>
  <c r="I366" i="3"/>
  <c r="J366" i="3" s="1"/>
  <c r="I367" i="3"/>
  <c r="J367" i="3" s="1"/>
  <c r="I368" i="3"/>
  <c r="J368" i="3" s="1"/>
  <c r="I369" i="3"/>
  <c r="J369" i="3" s="1"/>
  <c r="I370" i="3"/>
  <c r="J370" i="3" s="1"/>
  <c r="I371" i="3"/>
  <c r="J371" i="3" s="1"/>
  <c r="I372" i="3"/>
  <c r="J372" i="3" s="1"/>
  <c r="I373" i="3"/>
  <c r="J373" i="3" s="1"/>
  <c r="I374" i="3"/>
  <c r="J374" i="3" s="1"/>
  <c r="I375" i="3"/>
  <c r="J375" i="3" s="1"/>
  <c r="I376" i="3"/>
  <c r="J376" i="3" s="1"/>
  <c r="I377" i="3"/>
  <c r="J377" i="3" s="1"/>
  <c r="I378" i="3"/>
  <c r="J378" i="3" s="1"/>
  <c r="I379" i="3"/>
  <c r="J379" i="3" s="1"/>
  <c r="I380" i="3"/>
  <c r="J380" i="3" s="1"/>
  <c r="I381" i="3"/>
  <c r="J381" i="3" s="1"/>
  <c r="I382" i="3"/>
  <c r="J382" i="3" s="1"/>
  <c r="I383" i="3"/>
  <c r="J383" i="3" s="1"/>
  <c r="I384" i="3"/>
  <c r="J384" i="3" s="1"/>
  <c r="I385" i="3"/>
  <c r="J385" i="3" s="1"/>
  <c r="I386" i="3"/>
  <c r="J386" i="3" s="1"/>
  <c r="I387" i="3"/>
  <c r="J387" i="3" s="1"/>
  <c r="I388" i="3"/>
  <c r="J388" i="3" s="1"/>
  <c r="I389" i="3"/>
  <c r="J389" i="3" s="1"/>
  <c r="I390" i="3"/>
  <c r="J390" i="3" s="1"/>
  <c r="I391" i="3"/>
  <c r="J391" i="3" s="1"/>
  <c r="I392" i="3"/>
  <c r="J392" i="3" s="1"/>
  <c r="I393" i="3"/>
  <c r="J393" i="3" s="1"/>
  <c r="I394" i="3"/>
  <c r="J394" i="3" s="1"/>
  <c r="I395" i="3"/>
  <c r="J395" i="3" s="1"/>
  <c r="I396" i="3"/>
  <c r="J396" i="3" s="1"/>
  <c r="I397" i="3"/>
  <c r="J397" i="3" s="1"/>
  <c r="I398" i="3"/>
  <c r="J398" i="3" s="1"/>
  <c r="I399" i="3"/>
  <c r="J399" i="3" s="1"/>
  <c r="I400" i="3"/>
  <c r="J400" i="3" s="1"/>
  <c r="I401" i="3"/>
  <c r="J401" i="3" s="1"/>
  <c r="I402" i="3"/>
  <c r="J402" i="3" s="1"/>
  <c r="I403" i="3"/>
  <c r="J403" i="3" s="1"/>
  <c r="I404" i="3"/>
  <c r="J404" i="3" s="1"/>
  <c r="I405" i="3"/>
  <c r="J405" i="3" s="1"/>
  <c r="I406" i="3"/>
  <c r="J406" i="3" s="1"/>
  <c r="I407" i="3"/>
  <c r="J407" i="3" s="1"/>
  <c r="I408" i="3"/>
  <c r="J408" i="3" s="1"/>
  <c r="I409" i="3"/>
  <c r="J409" i="3" s="1"/>
  <c r="I410" i="3"/>
  <c r="J410" i="3" s="1"/>
  <c r="I411" i="3"/>
  <c r="J411" i="3" s="1"/>
  <c r="I412" i="3"/>
  <c r="J412" i="3" s="1"/>
  <c r="I413" i="3"/>
  <c r="J413" i="3" s="1"/>
  <c r="I414" i="3"/>
  <c r="J414" i="3" s="1"/>
  <c r="I415" i="3"/>
  <c r="J415" i="3" s="1"/>
  <c r="I416" i="3"/>
  <c r="J416" i="3" s="1"/>
  <c r="I417" i="3"/>
  <c r="J417" i="3" s="1"/>
  <c r="I418" i="3"/>
  <c r="J418" i="3" s="1"/>
  <c r="I419" i="3"/>
  <c r="J419" i="3" s="1"/>
  <c r="I420" i="3"/>
  <c r="J420" i="3" s="1"/>
  <c r="I421" i="3"/>
  <c r="J421" i="3" s="1"/>
  <c r="I422" i="3"/>
  <c r="J422" i="3" s="1"/>
  <c r="I423" i="3"/>
  <c r="J423" i="3" s="1"/>
  <c r="I424" i="3"/>
  <c r="J424" i="3" s="1"/>
  <c r="I425" i="3"/>
  <c r="J425" i="3" s="1"/>
  <c r="I426" i="3"/>
  <c r="J426" i="3" s="1"/>
  <c r="I427" i="3"/>
  <c r="J427" i="3" s="1"/>
  <c r="I428" i="3"/>
  <c r="J428" i="3" s="1"/>
  <c r="I429" i="3"/>
  <c r="J429" i="3" s="1"/>
  <c r="I430" i="3"/>
  <c r="J430" i="3" s="1"/>
  <c r="I431" i="3"/>
  <c r="J431" i="3" s="1"/>
  <c r="I432" i="3"/>
  <c r="J432" i="3" s="1"/>
  <c r="I433" i="3"/>
  <c r="J433" i="3" s="1"/>
  <c r="I434" i="3"/>
  <c r="J434" i="3" s="1"/>
  <c r="I435" i="3"/>
  <c r="J435" i="3" s="1"/>
  <c r="I436" i="3"/>
  <c r="J436" i="3" s="1"/>
  <c r="I437" i="3"/>
  <c r="J437" i="3" s="1"/>
  <c r="I438" i="3"/>
  <c r="J438" i="3" s="1"/>
  <c r="I439" i="3"/>
  <c r="J439" i="3" s="1"/>
  <c r="I440" i="3"/>
  <c r="J440" i="3" s="1"/>
  <c r="I441" i="3"/>
  <c r="J441" i="3" s="1"/>
  <c r="I442" i="3"/>
  <c r="J442" i="3" s="1"/>
  <c r="I443" i="3"/>
  <c r="J443" i="3" s="1"/>
  <c r="I444" i="3"/>
  <c r="J444" i="3" s="1"/>
  <c r="I445" i="3"/>
  <c r="J445" i="3" s="1"/>
  <c r="I446" i="3"/>
  <c r="J446" i="3" s="1"/>
  <c r="I447" i="3"/>
  <c r="J447" i="3" s="1"/>
  <c r="I448" i="3"/>
  <c r="J448" i="3" s="1"/>
  <c r="I449" i="3"/>
  <c r="J449" i="3" s="1"/>
  <c r="I450" i="3"/>
  <c r="J450" i="3" s="1"/>
  <c r="I451" i="3"/>
  <c r="J451" i="3" s="1"/>
  <c r="I452" i="3"/>
  <c r="J452" i="3" s="1"/>
  <c r="I453" i="3"/>
  <c r="J453" i="3" s="1"/>
  <c r="I454" i="3"/>
  <c r="J454" i="3" s="1"/>
  <c r="I455" i="3"/>
  <c r="J455" i="3" s="1"/>
  <c r="I456" i="3"/>
  <c r="J456" i="3" s="1"/>
  <c r="I457" i="3"/>
  <c r="J457" i="3" s="1"/>
  <c r="I458" i="3"/>
  <c r="J458" i="3" s="1"/>
  <c r="I459" i="3"/>
  <c r="J459" i="3" s="1"/>
  <c r="I460" i="3"/>
  <c r="J460" i="3" s="1"/>
  <c r="I461" i="3"/>
  <c r="J461" i="3" s="1"/>
  <c r="I462" i="3"/>
  <c r="J462" i="3" s="1"/>
  <c r="I463" i="3"/>
  <c r="J463" i="3" s="1"/>
  <c r="I464" i="3"/>
  <c r="J464" i="3" s="1"/>
  <c r="I465" i="3"/>
  <c r="J465" i="3" s="1"/>
  <c r="I466" i="3"/>
  <c r="J466" i="3" s="1"/>
  <c r="I467" i="3"/>
  <c r="J467" i="3" s="1"/>
  <c r="I468" i="3"/>
  <c r="J468" i="3" s="1"/>
  <c r="I469" i="3"/>
  <c r="J469" i="3" s="1"/>
  <c r="I470" i="3"/>
  <c r="J470" i="3" s="1"/>
  <c r="I471" i="3"/>
  <c r="J471" i="3" s="1"/>
  <c r="I472" i="3"/>
  <c r="J472" i="3" s="1"/>
  <c r="I473" i="3"/>
  <c r="J473" i="3" s="1"/>
  <c r="I474" i="3"/>
  <c r="J474" i="3" s="1"/>
  <c r="I475" i="3"/>
  <c r="J475" i="3" s="1"/>
  <c r="I476" i="3"/>
  <c r="J476" i="3" s="1"/>
  <c r="I477" i="3"/>
  <c r="J477" i="3" s="1"/>
  <c r="I478" i="3"/>
  <c r="J478" i="3" s="1"/>
  <c r="I479" i="3"/>
  <c r="J479" i="3" s="1"/>
  <c r="I480" i="3"/>
  <c r="J480" i="3" s="1"/>
  <c r="I481" i="3"/>
  <c r="J481" i="3" s="1"/>
  <c r="I482" i="3"/>
  <c r="J482" i="3" s="1"/>
  <c r="I483" i="3"/>
  <c r="J483" i="3" s="1"/>
  <c r="I484" i="3"/>
  <c r="J484" i="3" s="1"/>
  <c r="I485" i="3"/>
  <c r="J485" i="3" s="1"/>
  <c r="I486" i="3"/>
  <c r="J486" i="3" s="1"/>
  <c r="I487" i="3"/>
  <c r="J487" i="3" s="1"/>
  <c r="I488" i="3"/>
  <c r="J488" i="3" s="1"/>
  <c r="I489" i="3"/>
  <c r="J489" i="3" s="1"/>
  <c r="I490" i="3"/>
  <c r="J490" i="3" s="1"/>
  <c r="I491" i="3"/>
  <c r="J491" i="3" s="1"/>
  <c r="I492" i="3"/>
  <c r="J492" i="3" s="1"/>
  <c r="I493" i="3"/>
  <c r="J493" i="3" s="1"/>
  <c r="I494" i="3"/>
  <c r="J494" i="3" s="1"/>
  <c r="I495" i="3"/>
  <c r="J495" i="3" s="1"/>
  <c r="I496" i="3"/>
  <c r="J496" i="3" s="1"/>
  <c r="I497" i="3"/>
  <c r="J497" i="3" s="1"/>
  <c r="I498" i="3"/>
  <c r="J498" i="3" s="1"/>
  <c r="I499" i="3"/>
  <c r="J499" i="3" s="1"/>
  <c r="I500" i="3"/>
  <c r="J500" i="3" s="1"/>
  <c r="I501" i="3"/>
  <c r="J501" i="3" s="1"/>
  <c r="I502" i="3"/>
  <c r="J502" i="3" s="1"/>
  <c r="I503" i="3"/>
  <c r="J503" i="3" s="1"/>
  <c r="I504" i="3"/>
  <c r="J504" i="3" s="1"/>
  <c r="I505" i="3"/>
  <c r="J505" i="3" s="1"/>
  <c r="I506" i="3"/>
  <c r="J506" i="3" s="1"/>
  <c r="I507" i="3"/>
  <c r="J507" i="3" s="1"/>
  <c r="I508" i="3"/>
  <c r="J508" i="3" s="1"/>
  <c r="I509" i="3"/>
  <c r="J509" i="3" s="1"/>
  <c r="I510" i="3"/>
  <c r="J510" i="3" s="1"/>
  <c r="I511" i="3"/>
  <c r="J511" i="3" s="1"/>
  <c r="I512" i="3"/>
  <c r="J512" i="3" s="1"/>
  <c r="I513" i="3"/>
  <c r="J513" i="3" s="1"/>
  <c r="I514" i="3"/>
  <c r="J514" i="3" s="1"/>
  <c r="I515" i="3"/>
  <c r="J515" i="3" s="1"/>
  <c r="I516" i="3"/>
  <c r="J516" i="3" s="1"/>
  <c r="I517" i="3"/>
  <c r="J517" i="3" s="1"/>
  <c r="I518" i="3"/>
  <c r="J518" i="3" s="1"/>
  <c r="I519" i="3"/>
  <c r="J519" i="3" s="1"/>
  <c r="I520" i="3"/>
  <c r="J520" i="3" s="1"/>
  <c r="I521" i="3"/>
  <c r="J521" i="3" s="1"/>
  <c r="I522" i="3"/>
  <c r="J522" i="3" s="1"/>
  <c r="I523" i="3"/>
  <c r="J523" i="3" s="1"/>
  <c r="I524" i="3"/>
  <c r="J524" i="3" s="1"/>
  <c r="I525" i="3"/>
  <c r="J525" i="3" s="1"/>
  <c r="I526" i="3"/>
  <c r="J526" i="3" s="1"/>
  <c r="I527" i="3"/>
  <c r="J527" i="3" s="1"/>
  <c r="I528" i="3"/>
  <c r="J528" i="3" s="1"/>
  <c r="I529" i="3"/>
  <c r="J529" i="3" s="1"/>
  <c r="I530" i="3"/>
  <c r="J530" i="3" s="1"/>
  <c r="I531" i="3"/>
  <c r="J531" i="3" s="1"/>
  <c r="I532" i="3"/>
  <c r="J532" i="3" s="1"/>
  <c r="I533" i="3"/>
  <c r="J533" i="3" s="1"/>
  <c r="I534" i="3"/>
  <c r="J534" i="3" s="1"/>
  <c r="I535" i="3"/>
  <c r="J535" i="3" s="1"/>
  <c r="I536" i="3"/>
  <c r="J536" i="3" s="1"/>
  <c r="I537" i="3"/>
  <c r="J537" i="3" s="1"/>
  <c r="I538" i="3"/>
  <c r="J538" i="3" s="1"/>
  <c r="I539" i="3"/>
  <c r="J539" i="3" s="1"/>
  <c r="I540" i="3"/>
  <c r="J540" i="3" s="1"/>
  <c r="I541" i="3"/>
  <c r="J541" i="3" s="1"/>
  <c r="I542" i="3"/>
  <c r="J542" i="3" s="1"/>
  <c r="I543" i="3"/>
  <c r="J543" i="3" s="1"/>
  <c r="I544" i="3"/>
  <c r="J544" i="3" s="1"/>
  <c r="I545" i="3"/>
  <c r="J545" i="3" s="1"/>
  <c r="I546" i="3"/>
  <c r="J546" i="3" s="1"/>
  <c r="I547" i="3"/>
  <c r="J547" i="3" s="1"/>
  <c r="I548" i="3"/>
  <c r="J548" i="3" s="1"/>
  <c r="I549" i="3"/>
  <c r="J549" i="3" s="1"/>
  <c r="I550" i="3"/>
  <c r="J550" i="3" s="1"/>
  <c r="I551" i="3"/>
  <c r="J551" i="3" s="1"/>
  <c r="I552" i="3"/>
  <c r="J552" i="3" s="1"/>
  <c r="I553" i="3"/>
  <c r="J553" i="3" s="1"/>
  <c r="I554" i="3"/>
  <c r="J554" i="3" s="1"/>
  <c r="I555" i="3"/>
  <c r="J555" i="3" s="1"/>
  <c r="I556" i="3"/>
  <c r="J556" i="3" s="1"/>
  <c r="I557" i="3"/>
  <c r="J557" i="3" s="1"/>
  <c r="I558" i="3"/>
  <c r="J558" i="3" s="1"/>
  <c r="I559" i="3"/>
  <c r="J559" i="3" s="1"/>
  <c r="I560" i="3"/>
  <c r="J560" i="3" s="1"/>
  <c r="I561" i="3"/>
  <c r="J561" i="3" s="1"/>
  <c r="I562" i="3"/>
  <c r="J562" i="3" s="1"/>
  <c r="I563" i="3"/>
  <c r="J563" i="3" s="1"/>
  <c r="I564" i="3"/>
  <c r="J564" i="3" s="1"/>
  <c r="I565" i="3"/>
  <c r="J565" i="3" s="1"/>
  <c r="I566" i="3"/>
  <c r="J566" i="3" s="1"/>
  <c r="I567" i="3"/>
  <c r="J567" i="3" s="1"/>
  <c r="I568" i="3"/>
  <c r="J568" i="3" s="1"/>
  <c r="I569" i="3"/>
  <c r="J569" i="3" s="1"/>
  <c r="I570" i="3"/>
  <c r="J570" i="3" s="1"/>
  <c r="I571" i="3"/>
  <c r="J571" i="3" s="1"/>
  <c r="I572" i="3"/>
  <c r="J572" i="3" s="1"/>
  <c r="I573" i="3"/>
  <c r="J573" i="3" s="1"/>
  <c r="I574" i="3"/>
  <c r="J574" i="3" s="1"/>
  <c r="I575" i="3"/>
  <c r="J575" i="3" s="1"/>
  <c r="I576" i="3"/>
  <c r="J576" i="3" s="1"/>
  <c r="I577" i="3"/>
  <c r="J577" i="3" s="1"/>
  <c r="I578" i="3"/>
  <c r="J578" i="3" s="1"/>
  <c r="I579" i="3"/>
  <c r="J579" i="3" s="1"/>
  <c r="I580" i="3"/>
  <c r="J580" i="3" s="1"/>
  <c r="I581" i="3"/>
  <c r="J581" i="3" s="1"/>
  <c r="I582" i="3"/>
  <c r="J582" i="3" s="1"/>
  <c r="I583" i="3"/>
  <c r="J583" i="3" s="1"/>
  <c r="I584" i="3"/>
  <c r="J584" i="3" s="1"/>
  <c r="I585" i="3"/>
  <c r="J585" i="3" s="1"/>
  <c r="I586" i="3"/>
  <c r="J586" i="3" s="1"/>
  <c r="I587" i="3"/>
  <c r="J587" i="3" s="1"/>
  <c r="I588" i="3"/>
  <c r="J588" i="3" s="1"/>
  <c r="I589" i="3"/>
  <c r="J589" i="3" s="1"/>
  <c r="I590" i="3"/>
  <c r="J590" i="3" s="1"/>
  <c r="I591" i="3"/>
  <c r="J591" i="3" s="1"/>
  <c r="I592" i="3"/>
  <c r="J592" i="3" s="1"/>
  <c r="I593" i="3"/>
  <c r="J593" i="3" s="1"/>
  <c r="I594" i="3"/>
  <c r="J594" i="3" s="1"/>
  <c r="I595" i="3"/>
  <c r="J595" i="3" s="1"/>
  <c r="I596" i="3"/>
  <c r="J596" i="3" s="1"/>
  <c r="I597" i="3"/>
  <c r="J597" i="3" s="1"/>
  <c r="I598" i="3"/>
  <c r="J598" i="3" s="1"/>
  <c r="I599" i="3"/>
  <c r="J599" i="3" s="1"/>
  <c r="I600" i="3"/>
  <c r="J600" i="3" s="1"/>
  <c r="I601" i="3"/>
  <c r="J601" i="3" s="1"/>
  <c r="I602" i="3"/>
  <c r="J602" i="3" s="1"/>
  <c r="I603" i="3"/>
  <c r="J603" i="3" s="1"/>
  <c r="I604" i="3"/>
  <c r="J604" i="3" s="1"/>
  <c r="I605" i="3"/>
  <c r="J605" i="3" s="1"/>
  <c r="I606" i="3"/>
  <c r="J606" i="3" s="1"/>
  <c r="I607" i="3"/>
  <c r="J607" i="3" s="1"/>
  <c r="I608" i="3"/>
  <c r="J608" i="3" s="1"/>
  <c r="I609" i="3"/>
  <c r="J609" i="3" s="1"/>
  <c r="I610" i="3"/>
  <c r="J610" i="3" s="1"/>
  <c r="I611" i="3"/>
  <c r="J611" i="3" s="1"/>
  <c r="I612" i="3"/>
  <c r="J612" i="3" s="1"/>
  <c r="I613" i="3"/>
  <c r="J613" i="3" s="1"/>
  <c r="I614" i="3"/>
  <c r="J614" i="3" s="1"/>
  <c r="I615" i="3"/>
  <c r="J615" i="3" s="1"/>
  <c r="I616" i="3"/>
  <c r="J616" i="3" s="1"/>
  <c r="I617" i="3"/>
  <c r="J617" i="3" s="1"/>
  <c r="I618" i="3"/>
  <c r="J618" i="3" s="1"/>
  <c r="I619" i="3"/>
  <c r="J619" i="3" s="1"/>
  <c r="I620" i="3"/>
  <c r="J620" i="3" s="1"/>
  <c r="I621" i="3"/>
  <c r="J621" i="3" s="1"/>
  <c r="I622" i="3"/>
  <c r="J622" i="3" s="1"/>
  <c r="I623" i="3"/>
  <c r="J623" i="3" s="1"/>
  <c r="I624" i="3"/>
  <c r="J624" i="3" s="1"/>
  <c r="I625" i="3"/>
  <c r="J625" i="3" s="1"/>
  <c r="I626" i="3"/>
  <c r="J626" i="3" s="1"/>
  <c r="I627" i="3"/>
  <c r="J627" i="3" s="1"/>
  <c r="I628" i="3"/>
  <c r="J628" i="3" s="1"/>
  <c r="I629" i="3"/>
  <c r="J629" i="3" s="1"/>
  <c r="I630" i="3"/>
  <c r="J630" i="3" s="1"/>
  <c r="I631" i="3"/>
  <c r="J631" i="3" s="1"/>
  <c r="I632" i="3"/>
  <c r="J632" i="3" s="1"/>
  <c r="I633" i="3"/>
  <c r="J633" i="3" s="1"/>
  <c r="I634" i="3"/>
  <c r="J634" i="3" s="1"/>
  <c r="I635" i="3"/>
  <c r="J635" i="3" s="1"/>
  <c r="I636" i="3"/>
  <c r="J636" i="3" s="1"/>
  <c r="I637" i="3"/>
  <c r="J637" i="3" s="1"/>
  <c r="I638" i="3"/>
  <c r="J638" i="3" s="1"/>
  <c r="I639" i="3"/>
  <c r="J639" i="3" s="1"/>
  <c r="I640" i="3"/>
  <c r="J640" i="3" s="1"/>
  <c r="I641" i="3"/>
  <c r="J641" i="3" s="1"/>
  <c r="I642" i="3"/>
  <c r="J642" i="3" s="1"/>
  <c r="I643" i="3"/>
  <c r="J643" i="3" s="1"/>
  <c r="I644" i="3"/>
  <c r="J644" i="3" s="1"/>
  <c r="I645" i="3"/>
  <c r="J645" i="3" s="1"/>
  <c r="I646" i="3"/>
  <c r="J646" i="3" s="1"/>
  <c r="I647" i="3"/>
  <c r="J647" i="3" s="1"/>
  <c r="I648" i="3"/>
  <c r="J648" i="3" s="1"/>
  <c r="I649" i="3"/>
  <c r="J649" i="3" s="1"/>
  <c r="I650" i="3"/>
  <c r="J650" i="3" s="1"/>
  <c r="I651" i="3"/>
  <c r="J651" i="3" s="1"/>
  <c r="I652" i="3"/>
  <c r="J652" i="3" s="1"/>
  <c r="I653" i="3"/>
  <c r="J653" i="3" s="1"/>
  <c r="I654" i="3"/>
  <c r="J654" i="3" s="1"/>
  <c r="I655" i="3"/>
  <c r="J655" i="3" s="1"/>
  <c r="I656" i="3"/>
  <c r="J656" i="3" s="1"/>
  <c r="I657" i="3"/>
  <c r="J657" i="3" s="1"/>
  <c r="I658" i="3"/>
  <c r="J658" i="3" s="1"/>
  <c r="I659" i="3"/>
  <c r="J659" i="3" s="1"/>
  <c r="I660" i="3"/>
  <c r="J660" i="3" s="1"/>
  <c r="I661" i="3"/>
  <c r="J661" i="3" s="1"/>
  <c r="I662" i="3"/>
  <c r="J662" i="3" s="1"/>
  <c r="I663" i="3"/>
  <c r="J663" i="3" s="1"/>
  <c r="I664" i="3"/>
  <c r="J664" i="3" s="1"/>
  <c r="I665" i="3"/>
  <c r="J665" i="3" s="1"/>
  <c r="I666" i="3"/>
  <c r="J666" i="3" s="1"/>
  <c r="I667" i="3"/>
  <c r="J667" i="3" s="1"/>
  <c r="I668" i="3"/>
  <c r="J668" i="3" s="1"/>
  <c r="I669" i="3"/>
  <c r="J669" i="3" s="1"/>
  <c r="I670" i="3"/>
  <c r="J670" i="3" s="1"/>
  <c r="I671" i="3"/>
  <c r="J671" i="3" s="1"/>
  <c r="I672" i="3"/>
  <c r="J672" i="3" s="1"/>
  <c r="I673" i="3"/>
  <c r="J673" i="3" s="1"/>
  <c r="I674" i="3"/>
  <c r="J674" i="3" s="1"/>
  <c r="I675" i="3"/>
  <c r="J675" i="3" s="1"/>
  <c r="I676" i="3"/>
  <c r="J676" i="3" s="1"/>
  <c r="I677" i="3"/>
  <c r="J677" i="3" s="1"/>
  <c r="I678" i="3"/>
  <c r="J678" i="3" s="1"/>
  <c r="I679" i="3"/>
  <c r="J679" i="3" s="1"/>
  <c r="I680" i="3"/>
  <c r="J680" i="3" s="1"/>
  <c r="I681" i="3"/>
  <c r="J681" i="3" s="1"/>
  <c r="D342" i="3" l="1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D10591" i="3"/>
  <c r="B342" i="3" l="1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B10591" i="3"/>
  <c r="M4" i="9"/>
  <c r="M5" i="9"/>
  <c r="M6" i="9"/>
  <c r="M7" i="9"/>
  <c r="M8" i="9"/>
  <c r="M9" i="9"/>
  <c r="M10" i="9"/>
  <c r="M11" i="9"/>
  <c r="M3" i="9"/>
  <c r="D7" i="3"/>
  <c r="H4" i="2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16" i="4"/>
  <c r="B7" i="3"/>
  <c r="B23" i="6"/>
  <c r="B24" i="6"/>
  <c r="B25" i="6"/>
  <c r="B26" i="6"/>
  <c r="B27" i="6"/>
  <c r="B28" i="6"/>
  <c r="B15" i="6"/>
  <c r="B16" i="6"/>
  <c r="B17" i="6"/>
  <c r="B18" i="6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H24" i="7"/>
  <c r="F24" i="7"/>
  <c r="G24" i="7" s="1"/>
  <c r="H23" i="7"/>
  <c r="F23" i="7"/>
  <c r="G23" i="7" s="1"/>
  <c r="H22" i="7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G10" i="7"/>
  <c r="M3" i="7" s="1"/>
  <c r="D8" i="7"/>
  <c r="V4" i="7" s="1"/>
  <c r="D7" i="7"/>
  <c r="U4" i="7" s="1"/>
  <c r="M6" i="7"/>
  <c r="D6" i="7"/>
  <c r="T4" i="7"/>
  <c r="D5" i="7"/>
  <c r="S4" i="7" s="1"/>
  <c r="M2" i="7"/>
  <c r="K2" i="7"/>
  <c r="R4" i="7" s="1"/>
  <c r="H2" i="5"/>
  <c r="E3" i="4"/>
  <c r="D3" i="4" s="1"/>
  <c r="G4" i="2"/>
  <c r="E4" i="2"/>
  <c r="G3" i="2"/>
  <c r="H19" i="7"/>
  <c r="H27" i="7"/>
  <c r="E3" i="7" s="1"/>
  <c r="E8" i="7" s="1"/>
  <c r="H20" i="7"/>
  <c r="H21" i="7"/>
  <c r="H25" i="7"/>
  <c r="H26" i="7"/>
  <c r="H28" i="7"/>
  <c r="H29" i="7"/>
  <c r="H30" i="7"/>
  <c r="B14" i="6"/>
  <c r="C5" i="1" l="1"/>
  <c r="S11" i="7"/>
  <c r="U11" i="7"/>
  <c r="V11" i="7"/>
  <c r="Q5" i="7"/>
  <c r="M8" i="7"/>
  <c r="M7" i="7"/>
  <c r="T11" i="7"/>
  <c r="X7" i="7"/>
  <c r="X8" i="7" s="1"/>
  <c r="X10" i="7" s="1"/>
  <c r="H27" i="5"/>
  <c r="H34" i="6" s="1"/>
  <c r="J21" i="1"/>
  <c r="I21" i="1"/>
  <c r="K21" i="1" s="1"/>
  <c r="J18" i="1"/>
  <c r="M4" i="6"/>
  <c r="M7" i="6" s="1"/>
  <c r="M6" i="6" s="1"/>
  <c r="I2" i="5"/>
  <c r="M2" i="5"/>
  <c r="O4" i="6"/>
  <c r="O7" i="6" s="1"/>
  <c r="O6" i="6" s="1"/>
  <c r="E2" i="5"/>
  <c r="D2" i="5"/>
  <c r="N2" i="5"/>
  <c r="K2" i="5"/>
  <c r="G2" i="5"/>
  <c r="O2" i="5"/>
  <c r="H4" i="6"/>
  <c r="H7" i="6" s="1"/>
  <c r="H6" i="6" s="1"/>
  <c r="K4" i="6"/>
  <c r="K7" i="6" s="1"/>
  <c r="K6" i="6" s="1"/>
  <c r="G4" i="6"/>
  <c r="G7" i="6" s="1"/>
  <c r="G6" i="6" s="1"/>
  <c r="D4" i="6"/>
  <c r="D7" i="6" s="1"/>
  <c r="D6" i="6" s="1"/>
  <c r="N4" i="6"/>
  <c r="N7" i="6" s="1"/>
  <c r="N6" i="6" s="1"/>
  <c r="J4" i="6"/>
  <c r="J7" i="6" s="1"/>
  <c r="J6" i="6" s="1"/>
  <c r="I4" i="6"/>
  <c r="I7" i="6" s="1"/>
  <c r="I6" i="6" s="1"/>
  <c r="E4" i="6"/>
  <c r="E7" i="6" s="1"/>
  <c r="F4" i="6"/>
  <c r="F7" i="6" s="1"/>
  <c r="F6" i="6" s="1"/>
  <c r="L4" i="6"/>
  <c r="D19" i="7"/>
  <c r="E19" i="7" s="1"/>
  <c r="D26" i="7"/>
  <c r="E26" i="7" s="1"/>
  <c r="H6" i="4"/>
  <c r="F40" i="7"/>
  <c r="G40" i="7" s="1"/>
  <c r="D29" i="7"/>
  <c r="E29" i="7" s="1"/>
  <c r="D30" i="7"/>
  <c r="E30" i="7" s="1"/>
  <c r="D25" i="7"/>
  <c r="E25" i="7" s="1"/>
  <c r="C7" i="1"/>
  <c r="F37" i="7"/>
  <c r="G37" i="7" s="1"/>
  <c r="F42" i="7"/>
  <c r="G42" i="7" s="1"/>
  <c r="D20" i="7"/>
  <c r="E20" i="7" s="1"/>
  <c r="H39" i="7"/>
  <c r="H41" i="7"/>
  <c r="F34" i="7"/>
  <c r="G34" i="7" s="1"/>
  <c r="F38" i="7"/>
  <c r="G38" i="7" s="1"/>
  <c r="H36" i="7"/>
  <c r="H35" i="7"/>
  <c r="F35" i="7"/>
  <c r="G35" i="7" s="1"/>
  <c r="F31" i="7"/>
  <c r="G31" i="7" s="1"/>
  <c r="H34" i="7"/>
  <c r="H37" i="7"/>
  <c r="H40" i="7"/>
  <c r="H38" i="7"/>
  <c r="H31" i="7"/>
  <c r="F32" i="7"/>
  <c r="G32" i="7" s="1"/>
  <c r="F36" i="7"/>
  <c r="G36" i="7" s="1"/>
  <c r="H42" i="7"/>
  <c r="H33" i="7"/>
  <c r="F39" i="7"/>
  <c r="G39" i="7" s="1"/>
  <c r="F41" i="7"/>
  <c r="G41" i="7" s="1"/>
  <c r="H32" i="7"/>
  <c r="F33" i="7"/>
  <c r="G33" i="7" s="1"/>
  <c r="H6" i="5"/>
  <c r="H35" i="5"/>
  <c r="H36" i="5" s="1"/>
  <c r="J2" i="5"/>
  <c r="F2" i="5"/>
  <c r="L2" i="5"/>
  <c r="D27" i="7"/>
  <c r="E27" i="7" s="1"/>
  <c r="C3" i="7" s="1"/>
  <c r="D23" i="7"/>
  <c r="E23" i="7" s="1"/>
  <c r="D21" i="7"/>
  <c r="E21" i="7" s="1"/>
  <c r="I11" i="7"/>
  <c r="D28" i="7"/>
  <c r="E28" i="7" s="1"/>
  <c r="E6" i="7"/>
  <c r="E5" i="7"/>
  <c r="E7" i="7"/>
  <c r="D24" i="7"/>
  <c r="E24" i="7" s="1"/>
  <c r="D22" i="7"/>
  <c r="E22" i="7" s="1"/>
  <c r="E4" i="4"/>
  <c r="N35" i="5" l="1"/>
  <c r="N36" i="5" s="1"/>
  <c r="I6" i="5"/>
  <c r="I10" i="6" s="1"/>
  <c r="I35" i="5"/>
  <c r="I36" i="5" s="1"/>
  <c r="M5" i="2"/>
  <c r="L27" i="5"/>
  <c r="L34" i="6" s="1"/>
  <c r="O27" i="5"/>
  <c r="O34" i="6" s="1"/>
  <c r="F27" i="5"/>
  <c r="F34" i="6" s="1"/>
  <c r="G27" i="5"/>
  <c r="G34" i="6" s="1"/>
  <c r="J27" i="5"/>
  <c r="J34" i="6" s="1"/>
  <c r="K27" i="5"/>
  <c r="K34" i="6" s="1"/>
  <c r="N27" i="5"/>
  <c r="N34" i="6" s="1"/>
  <c r="M4" i="5"/>
  <c r="J4" i="5"/>
  <c r="H4" i="5"/>
  <c r="H5" i="5" s="1"/>
  <c r="I27" i="5"/>
  <c r="I34" i="6" s="1"/>
  <c r="D27" i="5"/>
  <c r="D34" i="6" s="1"/>
  <c r="E27" i="5"/>
  <c r="E34" i="6" s="1"/>
  <c r="M27" i="5"/>
  <c r="M34" i="6" s="1"/>
  <c r="M35" i="5"/>
  <c r="M36" i="5" s="1"/>
  <c r="N6" i="5"/>
  <c r="N10" i="6" s="1"/>
  <c r="D6" i="5"/>
  <c r="D10" i="6" s="1"/>
  <c r="M6" i="5"/>
  <c r="M10" i="6" s="1"/>
  <c r="O35" i="5"/>
  <c r="O36" i="5" s="1"/>
  <c r="O6" i="5"/>
  <c r="O10" i="6" s="1"/>
  <c r="G35" i="5"/>
  <c r="G36" i="5" s="1"/>
  <c r="G6" i="5"/>
  <c r="G10" i="6" s="1"/>
  <c r="E35" i="5"/>
  <c r="E36" i="5" s="1"/>
  <c r="E6" i="5"/>
  <c r="E10" i="6" s="1"/>
  <c r="K35" i="5"/>
  <c r="K36" i="5" s="1"/>
  <c r="D35" i="5"/>
  <c r="D36" i="5" s="1"/>
  <c r="K6" i="5"/>
  <c r="K10" i="6" s="1"/>
  <c r="C6" i="1"/>
  <c r="N4" i="5"/>
  <c r="L7" i="6"/>
  <c r="L6" i="6" s="1"/>
  <c r="D40" i="7"/>
  <c r="E40" i="7" s="1"/>
  <c r="D34" i="7"/>
  <c r="E34" i="7" s="1"/>
  <c r="K5" i="2"/>
  <c r="D31" i="7"/>
  <c r="E31" i="7" s="1"/>
  <c r="D41" i="7"/>
  <c r="E41" i="7" s="1"/>
  <c r="D37" i="7"/>
  <c r="E37" i="7" s="1"/>
  <c r="D39" i="7"/>
  <c r="E39" i="7" s="1"/>
  <c r="H10" i="6"/>
  <c r="D42" i="7"/>
  <c r="E42" i="7" s="1"/>
  <c r="D32" i="7"/>
  <c r="E32" i="7" s="1"/>
  <c r="I4" i="5"/>
  <c r="G4" i="5"/>
  <c r="F4" i="5"/>
  <c r="O4" i="5"/>
  <c r="D35" i="7"/>
  <c r="E35" i="7" s="1"/>
  <c r="D38" i="7"/>
  <c r="E38" i="7" s="1"/>
  <c r="D36" i="7"/>
  <c r="E36" i="7" s="1"/>
  <c r="E6" i="6"/>
  <c r="D33" i="7"/>
  <c r="E33" i="7" s="1"/>
  <c r="D4" i="5"/>
  <c r="L6" i="5"/>
  <c r="L35" i="5"/>
  <c r="L36" i="5" s="1"/>
  <c r="F35" i="5"/>
  <c r="F36" i="5" s="1"/>
  <c r="F6" i="5"/>
  <c r="J35" i="5"/>
  <c r="J36" i="5" s="1"/>
  <c r="J6" i="5"/>
  <c r="J10" i="6" s="1"/>
  <c r="I10" i="7"/>
  <c r="F11" i="7"/>
  <c r="K3" i="7"/>
  <c r="K4" i="5"/>
  <c r="E5" i="4"/>
  <c r="D4" i="4"/>
  <c r="E4" i="5" l="1"/>
  <c r="L4" i="5"/>
  <c r="C34" i="6"/>
  <c r="C27" i="5"/>
  <c r="M5" i="5"/>
  <c r="G5" i="5"/>
  <c r="L10" i="6"/>
  <c r="N5" i="5"/>
  <c r="C7" i="6"/>
  <c r="D5" i="5"/>
  <c r="C6" i="6"/>
  <c r="F5" i="5"/>
  <c r="I5" i="5"/>
  <c r="O5" i="5"/>
  <c r="J5" i="5"/>
  <c r="F10" i="6"/>
  <c r="C6" i="5"/>
  <c r="F13" i="7"/>
  <c r="F12" i="7"/>
  <c r="N2" i="7"/>
  <c r="F14" i="7"/>
  <c r="G11" i="7"/>
  <c r="K5" i="5"/>
  <c r="D5" i="4"/>
  <c r="E6" i="4"/>
  <c r="L5" i="5" l="1"/>
  <c r="E5" i="5"/>
  <c r="C4" i="5"/>
  <c r="C36" i="5" s="1"/>
  <c r="C10" i="6"/>
  <c r="G12" i="7"/>
  <c r="G14" i="7"/>
  <c r="G13" i="7"/>
  <c r="N3" i="7"/>
  <c r="D6" i="4"/>
  <c r="E7" i="4"/>
  <c r="C5" i="5" l="1"/>
  <c r="N5" i="7"/>
  <c r="N8" i="7"/>
  <c r="N6" i="7"/>
  <c r="N7" i="7"/>
  <c r="E8" i="4"/>
  <c r="D7" i="4"/>
  <c r="D297" i="4" l="1"/>
  <c r="H4" i="4"/>
  <c r="I4" i="4" s="1"/>
  <c r="H7" i="4" s="1"/>
  <c r="H10" i="4" s="1"/>
  <c r="D377" i="4"/>
  <c r="D378" i="4"/>
  <c r="D235" i="4"/>
  <c r="D275" i="4"/>
  <c r="D333" i="4"/>
  <c r="D255" i="4"/>
  <c r="D299" i="4"/>
  <c r="D311" i="4"/>
  <c r="D262" i="4"/>
  <c r="D332" i="4"/>
  <c r="D347" i="4"/>
  <c r="D279" i="4"/>
  <c r="D376" i="4"/>
  <c r="D334" i="4"/>
  <c r="D247" i="4"/>
  <c r="D230" i="4"/>
  <c r="D215" i="4"/>
  <c r="D295" i="4"/>
  <c r="D281" i="4"/>
  <c r="D324" i="4"/>
  <c r="D350" i="4"/>
  <c r="D259" i="4"/>
  <c r="D303" i="4"/>
  <c r="D351" i="4"/>
  <c r="D218" i="4"/>
  <c r="D329" i="4"/>
  <c r="D202" i="4"/>
  <c r="D204" i="4"/>
  <c r="D354" i="4"/>
  <c r="D315" i="4"/>
  <c r="D269" i="4"/>
  <c r="D321" i="4"/>
  <c r="D284" i="4"/>
  <c r="D283" i="4"/>
  <c r="D300" i="4"/>
  <c r="D318" i="4"/>
  <c r="D288" i="4"/>
  <c r="D331" i="4"/>
  <c r="D346" i="4"/>
  <c r="D245" i="4"/>
  <c r="D244" i="4"/>
  <c r="D278" i="4"/>
  <c r="D258" i="4"/>
  <c r="D373" i="4"/>
  <c r="D369" i="4"/>
  <c r="D252" i="4"/>
  <c r="D287" i="4"/>
  <c r="D271" i="4"/>
  <c r="D296" i="4"/>
  <c r="D268" i="4"/>
  <c r="D242" i="4"/>
  <c r="D226" i="4"/>
  <c r="D348" i="4"/>
  <c r="D342" i="4"/>
  <c r="D240" i="4"/>
  <c r="D349" i="4"/>
  <c r="D345" i="4"/>
  <c r="D229" i="4"/>
  <c r="D366" i="4"/>
  <c r="D272" i="4"/>
  <c r="D217" i="4"/>
  <c r="D363" i="4"/>
  <c r="D264" i="4"/>
  <c r="D205" i="4"/>
  <c r="D280" i="4"/>
  <c r="D360" i="4"/>
  <c r="D338" i="4"/>
  <c r="D254" i="4"/>
  <c r="D214" i="4"/>
  <c r="D212" i="4"/>
  <c r="D375" i="4"/>
  <c r="D361" i="4"/>
  <c r="D216" i="4"/>
  <c r="D313" i="4"/>
  <c r="D307" i="4"/>
  <c r="D231" i="4"/>
  <c r="D206" i="4"/>
  <c r="D306" i="4"/>
  <c r="D267" i="4"/>
  <c r="D282" i="4"/>
  <c r="D239" i="4"/>
  <c r="D270" i="4"/>
  <c r="D381" i="4"/>
  <c r="D302" i="4"/>
  <c r="D228" i="4"/>
  <c r="D340" i="4"/>
  <c r="D237" i="4"/>
  <c r="D251" i="4"/>
  <c r="D290" i="4"/>
  <c r="D256" i="4"/>
  <c r="D326" i="4"/>
  <c r="D238" i="4"/>
  <c r="D304" i="4"/>
  <c r="D257" i="4"/>
  <c r="D221" i="4"/>
  <c r="D203" i="4"/>
  <c r="D249" i="4"/>
  <c r="D276" i="4"/>
  <c r="D291" i="4"/>
  <c r="D370" i="4"/>
  <c r="D322" i="4"/>
  <c r="D208" i="4"/>
  <c r="D305" i="4"/>
  <c r="D368" i="4"/>
  <c r="D379" i="4"/>
  <c r="D353" i="4"/>
  <c r="D335" i="4"/>
  <c r="D319" i="4"/>
  <c r="D294" i="4"/>
  <c r="D273" i="4"/>
  <c r="D285" i="4"/>
  <c r="D301" i="4"/>
  <c r="D234" i="4"/>
  <c r="D224" i="4"/>
  <c r="D328" i="4"/>
  <c r="D357" i="4"/>
  <c r="D293" i="4"/>
  <c r="D355" i="4"/>
  <c r="D382" i="4"/>
  <c r="D266" i="4"/>
  <c r="D213" i="4"/>
  <c r="D286" i="4"/>
  <c r="D223" i="4"/>
  <c r="D209" i="4"/>
  <c r="D309" i="4"/>
  <c r="D277" i="4"/>
  <c r="D207" i="4"/>
  <c r="D317" i="4"/>
  <c r="D308" i="4"/>
  <c r="D201" i="4"/>
  <c r="D263" i="4"/>
  <c r="D339" i="4"/>
  <c r="D241" i="4"/>
  <c r="D359" i="4"/>
  <c r="D341" i="4"/>
  <c r="D222" i="4"/>
  <c r="D210" i="4"/>
  <c r="D362" i="4"/>
  <c r="D220" i="4"/>
  <c r="D330" i="4"/>
  <c r="D236" i="4"/>
  <c r="D320" i="4"/>
  <c r="D374" i="4"/>
  <c r="D352" i="4"/>
  <c r="D243" i="4"/>
  <c r="D323" i="4"/>
  <c r="D367" i="4"/>
  <c r="D298" i="4"/>
  <c r="D356" i="4"/>
  <c r="D211" i="4"/>
  <c r="D233" i="4"/>
  <c r="D227" i="4"/>
  <c r="D316" i="4"/>
  <c r="D364" i="4"/>
  <c r="D358" i="4"/>
  <c r="D265" i="4"/>
  <c r="D310" i="4"/>
  <c r="D274" i="4"/>
  <c r="D337" i="4"/>
  <c r="D253" i="4"/>
  <c r="D327" i="4"/>
  <c r="D371" i="4"/>
  <c r="D343" i="4"/>
  <c r="D314" i="4"/>
  <c r="D261" i="4"/>
  <c r="D250" i="4"/>
  <c r="D380" i="4"/>
  <c r="D336" i="4"/>
  <c r="D246" i="4"/>
  <c r="D325" i="4"/>
  <c r="D260" i="4"/>
  <c r="D292" i="4"/>
  <c r="D344" i="4"/>
  <c r="D248" i="4"/>
  <c r="D365" i="4"/>
  <c r="D289" i="4"/>
  <c r="D232" i="4"/>
  <c r="D372" i="4"/>
  <c r="D225" i="4"/>
  <c r="D219" i="4"/>
  <c r="D312" i="4"/>
  <c r="P3" i="2"/>
  <c r="K10" i="4"/>
  <c r="D99" i="4"/>
  <c r="C8" i="4"/>
  <c r="C7" i="4"/>
  <c r="G12" i="4" a="1"/>
  <c r="G12" i="4" s="1"/>
  <c r="D106" i="4"/>
  <c r="D123" i="4"/>
  <c r="D86" i="4"/>
  <c r="C6" i="4"/>
  <c r="D178" i="4"/>
  <c r="D140" i="4"/>
  <c r="C4" i="4"/>
  <c r="D116" i="4"/>
  <c r="C3" i="4"/>
  <c r="F4" i="2" s="1"/>
  <c r="C5" i="4"/>
  <c r="D135" i="4"/>
  <c r="D161" i="4"/>
  <c r="D181" i="4"/>
  <c r="D141" i="4"/>
  <c r="D185" i="4"/>
  <c r="D173" i="4"/>
  <c r="D69" i="4"/>
  <c r="D159" i="4"/>
  <c r="D124" i="4"/>
  <c r="D121" i="4"/>
  <c r="D76" i="4"/>
  <c r="D179" i="4"/>
  <c r="D111" i="4"/>
  <c r="D169" i="4"/>
  <c r="D193" i="4"/>
  <c r="D100" i="4"/>
  <c r="D176" i="4"/>
  <c r="D83" i="4"/>
  <c r="D75" i="4"/>
  <c r="D166" i="4"/>
  <c r="D162" i="4"/>
  <c r="D53" i="4"/>
  <c r="D165" i="4"/>
  <c r="D146" i="4"/>
  <c r="D96" i="4"/>
  <c r="D120" i="4"/>
  <c r="D95" i="4"/>
  <c r="D155" i="4"/>
  <c r="D170" i="4"/>
  <c r="D150" i="4"/>
  <c r="D133" i="4"/>
  <c r="D132" i="4"/>
  <c r="D52" i="4"/>
  <c r="D198" i="4"/>
  <c r="D109" i="4"/>
  <c r="D191" i="4"/>
  <c r="D94" i="4"/>
  <c r="D101" i="4"/>
  <c r="D145" i="4"/>
  <c r="D168" i="4"/>
  <c r="D200" i="4"/>
  <c r="D79" i="4"/>
  <c r="D87" i="4"/>
  <c r="D78" i="4"/>
  <c r="D61" i="4"/>
  <c r="D72" i="4"/>
  <c r="D126" i="4"/>
  <c r="D97" i="4"/>
  <c r="D196" i="4"/>
  <c r="D134" i="4"/>
  <c r="D90" i="4"/>
  <c r="D187" i="4"/>
  <c r="D98" i="4"/>
  <c r="D48" i="4"/>
  <c r="D192" i="4"/>
  <c r="D92" i="4"/>
  <c r="D118" i="4"/>
  <c r="D55" i="4"/>
  <c r="D113" i="4"/>
  <c r="D160" i="4"/>
  <c r="D156" i="4"/>
  <c r="D93" i="4"/>
  <c r="D91" i="4"/>
  <c r="D183" i="4"/>
  <c r="D157" i="4"/>
  <c r="D182" i="4"/>
  <c r="D89" i="4"/>
  <c r="D180" i="4"/>
  <c r="D71" i="4"/>
  <c r="D60" i="4"/>
  <c r="D174" i="4"/>
  <c r="D184" i="4"/>
  <c r="D138" i="4"/>
  <c r="D151" i="4"/>
  <c r="D154" i="4"/>
  <c r="D59" i="4"/>
  <c r="D70" i="4"/>
  <c r="D129" i="4"/>
  <c r="D107" i="4"/>
  <c r="D73" i="4"/>
  <c r="D56" i="4"/>
  <c r="D103" i="4"/>
  <c r="D105" i="4"/>
  <c r="D177" i="4"/>
  <c r="D64" i="4"/>
  <c r="D175" i="4"/>
  <c r="D158" i="4"/>
  <c r="D49" i="4"/>
  <c r="D172" i="4"/>
  <c r="D68" i="4"/>
  <c r="D127" i="4"/>
  <c r="D171" i="4"/>
  <c r="D137" i="4"/>
  <c r="D142" i="4"/>
  <c r="D164" i="4"/>
  <c r="D147" i="4"/>
  <c r="D66" i="4"/>
  <c r="D167" i="4"/>
  <c r="D81" i="4"/>
  <c r="D112" i="4"/>
  <c r="D139" i="4"/>
  <c r="D77" i="4"/>
  <c r="D57" i="4"/>
  <c r="D119" i="4"/>
  <c r="D62" i="4"/>
  <c r="D84" i="4"/>
  <c r="D130" i="4"/>
  <c r="D114" i="4"/>
  <c r="D74" i="4"/>
  <c r="D58" i="4"/>
  <c r="D149" i="4"/>
  <c r="D50" i="4"/>
  <c r="D153" i="4"/>
  <c r="D63" i="4"/>
  <c r="D102" i="4"/>
  <c r="D186" i="4"/>
  <c r="D188" i="4"/>
  <c r="D85" i="4"/>
  <c r="D51" i="4"/>
  <c r="D47" i="4"/>
  <c r="D80" i="4"/>
  <c r="D82" i="4"/>
  <c r="D189" i="4"/>
  <c r="D144" i="4"/>
  <c r="D143" i="4"/>
  <c r="D197" i="4"/>
  <c r="D125" i="4"/>
  <c r="D117" i="4"/>
  <c r="D152" i="4"/>
  <c r="D54" i="4"/>
  <c r="D67" i="4"/>
  <c r="D108" i="4"/>
  <c r="D88" i="4"/>
  <c r="D148" i="4"/>
  <c r="D131" i="4"/>
  <c r="D190" i="4"/>
  <c r="D115" i="4"/>
  <c r="D195" i="4"/>
  <c r="D122" i="4"/>
  <c r="D194" i="4"/>
  <c r="D163" i="4"/>
  <c r="D104" i="4"/>
  <c r="D110" i="4"/>
  <c r="D65" i="4"/>
  <c r="D199" i="4"/>
  <c r="D136" i="4"/>
  <c r="D128" i="4"/>
  <c r="D16" i="4"/>
  <c r="D44" i="4"/>
  <c r="D17" i="4"/>
  <c r="D25" i="4"/>
  <c r="D29" i="4"/>
  <c r="D46" i="4"/>
  <c r="D33" i="4"/>
  <c r="D40" i="4"/>
  <c r="D26" i="4"/>
  <c r="D20" i="4"/>
  <c r="D32" i="4"/>
  <c r="D38" i="4"/>
  <c r="D39" i="4"/>
  <c r="D42" i="4"/>
  <c r="D36" i="4"/>
  <c r="D28" i="4"/>
  <c r="D37" i="4"/>
  <c r="D41" i="4"/>
  <c r="D45" i="4"/>
  <c r="D21" i="4"/>
  <c r="D23" i="4"/>
  <c r="D30" i="4"/>
  <c r="D31" i="4"/>
  <c r="D34" i="4"/>
  <c r="D43" i="4"/>
  <c r="D24" i="4"/>
  <c r="D18" i="4"/>
  <c r="D27" i="4"/>
  <c r="D19" i="4"/>
  <c r="D35" i="4"/>
  <c r="D22" i="4"/>
  <c r="E9" i="4"/>
  <c r="C9" i="4" s="1"/>
  <c r="D8" i="4"/>
  <c r="J13" i="1" l="1"/>
  <c r="J4" i="2"/>
  <c r="J5" i="2" s="1"/>
  <c r="M4" i="2"/>
  <c r="I11" i="4"/>
  <c r="M3" i="2"/>
  <c r="J3" i="2"/>
  <c r="K3" i="2"/>
  <c r="K4" i="2"/>
  <c r="E13" i="4" s="1"/>
  <c r="D13" i="4" s="1"/>
  <c r="E10" i="4"/>
  <c r="C10" i="4" s="1"/>
  <c r="D9" i="4"/>
  <c r="I13" i="1" l="1"/>
  <c r="K13" i="1" s="1"/>
  <c r="H18" i="5"/>
  <c r="H25" i="6" s="1"/>
  <c r="N18" i="5"/>
  <c r="N25" i="6" s="1"/>
  <c r="D18" i="5"/>
  <c r="D25" i="6" s="1"/>
  <c r="M18" i="5"/>
  <c r="M25" i="6" s="1"/>
  <c r="I18" i="5"/>
  <c r="I25" i="6" s="1"/>
  <c r="L18" i="5"/>
  <c r="L25" i="6" s="1"/>
  <c r="F18" i="5"/>
  <c r="F25" i="6" s="1"/>
  <c r="O18" i="5"/>
  <c r="O25" i="6" s="1"/>
  <c r="E18" i="5"/>
  <c r="E25" i="6" s="1"/>
  <c r="K18" i="5"/>
  <c r="K25" i="6" s="1"/>
  <c r="J18" i="5"/>
  <c r="J25" i="6" s="1"/>
  <c r="G18" i="5"/>
  <c r="G25" i="6" s="1"/>
  <c r="J16" i="1"/>
  <c r="D10" i="4"/>
  <c r="I16" i="1" l="1"/>
  <c r="H21" i="5"/>
  <c r="H28" i="6" s="1"/>
  <c r="M21" i="5"/>
  <c r="M28" i="6" s="1"/>
  <c r="O21" i="5"/>
  <c r="O28" i="6" s="1"/>
  <c r="F21" i="5"/>
  <c r="F28" i="6" s="1"/>
  <c r="K21" i="5"/>
  <c r="K28" i="6" s="1"/>
  <c r="D21" i="5"/>
  <c r="D28" i="6" s="1"/>
  <c r="L21" i="5"/>
  <c r="L28" i="6" s="1"/>
  <c r="J21" i="5"/>
  <c r="J28" i="6" s="1"/>
  <c r="G21" i="5"/>
  <c r="G28" i="6" s="1"/>
  <c r="I21" i="5"/>
  <c r="I28" i="6" s="1"/>
  <c r="N21" i="5"/>
  <c r="N28" i="6" s="1"/>
  <c r="E21" i="5"/>
  <c r="E28" i="6" s="1"/>
  <c r="C18" i="5"/>
  <c r="I20" i="1" l="1"/>
  <c r="K20" i="1" s="1"/>
  <c r="J20" i="1"/>
  <c r="K16" i="1"/>
  <c r="D17" i="1" s="1"/>
  <c r="C17" i="1" s="1"/>
  <c r="D25" i="5"/>
  <c r="D32" i="6" s="1"/>
  <c r="H25" i="5"/>
  <c r="H32" i="6" s="1"/>
  <c r="I25" i="5"/>
  <c r="I32" i="6" s="1"/>
  <c r="J25" i="5"/>
  <c r="J32" i="6" s="1"/>
  <c r="O25" i="5"/>
  <c r="O32" i="6" s="1"/>
  <c r="K25" i="5"/>
  <c r="K32" i="6" s="1"/>
  <c r="G25" i="5"/>
  <c r="G32" i="6" s="1"/>
  <c r="L25" i="5"/>
  <c r="L32" i="6" s="1"/>
  <c r="E25" i="5"/>
  <c r="E32" i="6" s="1"/>
  <c r="M25" i="5"/>
  <c r="M32" i="6" s="1"/>
  <c r="F25" i="5"/>
  <c r="F32" i="6" s="1"/>
  <c r="N25" i="5"/>
  <c r="N32" i="6" s="1"/>
  <c r="D41" i="5"/>
  <c r="C21" i="5"/>
  <c r="C41" i="5" s="1"/>
  <c r="K41" i="5"/>
  <c r="E41" i="5"/>
  <c r="F41" i="5"/>
  <c r="O41" i="5"/>
  <c r="N41" i="5"/>
  <c r="I41" i="5"/>
  <c r="M41" i="5"/>
  <c r="G41" i="5"/>
  <c r="H41" i="5"/>
  <c r="L41" i="5"/>
  <c r="J41" i="5"/>
  <c r="C32" i="6" l="1"/>
  <c r="C25" i="5"/>
  <c r="K17" i="5" l="1"/>
  <c r="K24" i="6" s="1"/>
  <c r="L17" i="5"/>
  <c r="L24" i="6" s="1"/>
  <c r="F17" i="5"/>
  <c r="F24" i="6" s="1"/>
  <c r="J12" i="1" l="1"/>
  <c r="D17" i="5"/>
  <c r="D24" i="6" s="1"/>
  <c r="N17" i="5"/>
  <c r="N40" i="5" s="1"/>
  <c r="I12" i="1"/>
  <c r="K12" i="1" s="1"/>
  <c r="C16" i="1" s="1"/>
  <c r="M17" i="5"/>
  <c r="M39" i="5" s="1"/>
  <c r="G17" i="5"/>
  <c r="G24" i="6" s="1"/>
  <c r="I17" i="5"/>
  <c r="I40" i="5" s="1"/>
  <c r="H17" i="5"/>
  <c r="J17" i="5"/>
  <c r="J24" i="6" s="1"/>
  <c r="E17" i="5"/>
  <c r="O17" i="5"/>
  <c r="F16" i="5"/>
  <c r="F23" i="6" s="1"/>
  <c r="J11" i="1"/>
  <c r="K40" i="5"/>
  <c r="F40" i="5"/>
  <c r="L40" i="5"/>
  <c r="E16" i="5"/>
  <c r="E23" i="6" s="1"/>
  <c r="N16" i="5"/>
  <c r="N23" i="6" s="1"/>
  <c r="L16" i="5"/>
  <c r="L23" i="6" s="1"/>
  <c r="I11" i="1"/>
  <c r="K16" i="5"/>
  <c r="K23" i="6" s="1"/>
  <c r="J16" i="5"/>
  <c r="J23" i="6" s="1"/>
  <c r="M16" i="5"/>
  <c r="M23" i="6" s="1"/>
  <c r="O16" i="5"/>
  <c r="O23" i="6" s="1"/>
  <c r="H16" i="5"/>
  <c r="H23" i="6" s="1"/>
  <c r="I16" i="5"/>
  <c r="I23" i="6" s="1"/>
  <c r="D16" i="5"/>
  <c r="D23" i="6" s="1"/>
  <c r="G16" i="5"/>
  <c r="G23" i="6" s="1"/>
  <c r="F39" i="5"/>
  <c r="L39" i="5"/>
  <c r="K39" i="5"/>
  <c r="D40" i="5" l="1"/>
  <c r="H39" i="5"/>
  <c r="H24" i="6"/>
  <c r="I39" i="5"/>
  <c r="I24" i="6"/>
  <c r="M40" i="5"/>
  <c r="M24" i="6"/>
  <c r="O39" i="5"/>
  <c r="O24" i="6"/>
  <c r="E39" i="5"/>
  <c r="E24" i="6"/>
  <c r="N39" i="5"/>
  <c r="N24" i="6"/>
  <c r="J39" i="5"/>
  <c r="G39" i="5"/>
  <c r="G40" i="5"/>
  <c r="D39" i="5"/>
  <c r="J40" i="5"/>
  <c r="O40" i="5"/>
  <c r="C17" i="5"/>
  <c r="C39" i="5" s="1"/>
  <c r="H40" i="5"/>
  <c r="E40" i="5"/>
  <c r="K11" i="1"/>
  <c r="D16" i="1" s="1"/>
  <c r="C23" i="6"/>
  <c r="C11" i="6"/>
  <c r="C16" i="5"/>
  <c r="C40" i="5" l="1"/>
  <c r="L15" i="5"/>
  <c r="L9" i="6" s="1"/>
  <c r="L8" i="6" s="1"/>
  <c r="L12" i="6" s="1"/>
  <c r="G15" i="5"/>
  <c r="G9" i="6" s="1"/>
  <c r="G8" i="6" s="1"/>
  <c r="G12" i="6" s="1"/>
  <c r="D15" i="5"/>
  <c r="D9" i="6" s="1"/>
  <c r="H15" i="5"/>
  <c r="H9" i="6" s="1"/>
  <c r="H8" i="6" s="1"/>
  <c r="H12" i="6" s="1"/>
  <c r="K15" i="5"/>
  <c r="K9" i="6" s="1"/>
  <c r="K8" i="6" s="1"/>
  <c r="K12" i="6" s="1"/>
  <c r="I10" i="1"/>
  <c r="K10" i="1" s="1"/>
  <c r="M15" i="5"/>
  <c r="M9" i="6" s="1"/>
  <c r="M8" i="6" s="1"/>
  <c r="M12" i="6" s="1"/>
  <c r="O15" i="5"/>
  <c r="O9" i="6" s="1"/>
  <c r="O8" i="6" s="1"/>
  <c r="O12" i="6" s="1"/>
  <c r="N15" i="5"/>
  <c r="N9" i="6" s="1"/>
  <c r="N8" i="6" s="1"/>
  <c r="N12" i="6" s="1"/>
  <c r="J10" i="1"/>
  <c r="E15" i="5"/>
  <c r="E9" i="6" s="1"/>
  <c r="E8" i="6" s="1"/>
  <c r="E12" i="6" s="1"/>
  <c r="F15" i="5"/>
  <c r="F9" i="6" s="1"/>
  <c r="F8" i="6" s="1"/>
  <c r="F12" i="6" s="1"/>
  <c r="J15" i="5"/>
  <c r="J9" i="6" s="1"/>
  <c r="J8" i="6" s="1"/>
  <c r="J12" i="6" s="1"/>
  <c r="I15" i="5"/>
  <c r="I9" i="6" s="1"/>
  <c r="I8" i="6" s="1"/>
  <c r="I12" i="6" s="1"/>
  <c r="C25" i="6"/>
  <c r="I18" i="1"/>
  <c r="K18" i="1" s="1"/>
  <c r="H23" i="5"/>
  <c r="H30" i="6" s="1"/>
  <c r="N23" i="5"/>
  <c r="N30" i="6" s="1"/>
  <c r="G23" i="5"/>
  <c r="G30" i="6" s="1"/>
  <c r="I23" i="5"/>
  <c r="I30" i="6" s="1"/>
  <c r="J23" i="5"/>
  <c r="J30" i="6" s="1"/>
  <c r="D23" i="5"/>
  <c r="D30" i="6" s="1"/>
  <c r="E23" i="5"/>
  <c r="E30" i="6" s="1"/>
  <c r="F23" i="5"/>
  <c r="F30" i="6" s="1"/>
  <c r="K23" i="5"/>
  <c r="K30" i="6" s="1"/>
  <c r="L23" i="5"/>
  <c r="L30" i="6" s="1"/>
  <c r="O23" i="5"/>
  <c r="O30" i="6" s="1"/>
  <c r="M23" i="5"/>
  <c r="M30" i="6" s="1"/>
  <c r="H24" i="5" l="1"/>
  <c r="H31" i="6" s="1"/>
  <c r="J22" i="1"/>
  <c r="H26" i="5"/>
  <c r="H33" i="6" s="1"/>
  <c r="I22" i="1"/>
  <c r="K22" i="1" s="1"/>
  <c r="D26" i="5"/>
  <c r="E26" i="5"/>
  <c r="E33" i="6" s="1"/>
  <c r="O26" i="5"/>
  <c r="O33" i="6" s="1"/>
  <c r="M26" i="5"/>
  <c r="M33" i="6" s="1"/>
  <c r="J26" i="5"/>
  <c r="J33" i="6" s="1"/>
  <c r="I26" i="5"/>
  <c r="I33" i="6" s="1"/>
  <c r="L26" i="5"/>
  <c r="L33" i="6" s="1"/>
  <c r="G26" i="5"/>
  <c r="G33" i="6" s="1"/>
  <c r="K26" i="5"/>
  <c r="K33" i="6" s="1"/>
  <c r="N26" i="5"/>
  <c r="N33" i="6" s="1"/>
  <c r="F26" i="5"/>
  <c r="F33" i="6" s="1"/>
  <c r="C9" i="6"/>
  <c r="C15" i="5"/>
  <c r="C30" i="6"/>
  <c r="C23" i="5"/>
  <c r="D8" i="6"/>
  <c r="D12" i="6" s="1"/>
  <c r="C12" i="6" s="1"/>
  <c r="F24" i="5" l="1"/>
  <c r="F31" i="6" s="1"/>
  <c r="G24" i="5"/>
  <c r="G31" i="6" s="1"/>
  <c r="O24" i="5"/>
  <c r="O31" i="6" s="1"/>
  <c r="L24" i="5"/>
  <c r="L31" i="6" s="1"/>
  <c r="I19" i="1"/>
  <c r="K19" i="1" s="1"/>
  <c r="E24" i="5"/>
  <c r="E31" i="6" s="1"/>
  <c r="J19" i="1"/>
  <c r="K24" i="5"/>
  <c r="K31" i="6" s="1"/>
  <c r="J24" i="5"/>
  <c r="J31" i="6" s="1"/>
  <c r="I24" i="5"/>
  <c r="I31" i="6" s="1"/>
  <c r="M24" i="5"/>
  <c r="M31" i="6" s="1"/>
  <c r="D24" i="5"/>
  <c r="D31" i="6" s="1"/>
  <c r="D33" i="6"/>
  <c r="C33" i="6" s="1"/>
  <c r="C26" i="5"/>
  <c r="N24" i="5"/>
  <c r="C8" i="6"/>
  <c r="H12" i="5"/>
  <c r="H17" i="6" s="1"/>
  <c r="M12" i="5"/>
  <c r="M17" i="6" s="1"/>
  <c r="G12" i="5"/>
  <c r="G17" i="6" s="1"/>
  <c r="L12" i="5"/>
  <c r="L17" i="6" s="1"/>
  <c r="K12" i="5"/>
  <c r="K17" i="6" s="1"/>
  <c r="I12" i="5"/>
  <c r="I17" i="6" s="1"/>
  <c r="J12" i="5"/>
  <c r="J17" i="6" s="1"/>
  <c r="E12" i="5"/>
  <c r="E17" i="6" s="1"/>
  <c r="N12" i="5"/>
  <c r="N17" i="6" s="1"/>
  <c r="I7" i="1"/>
  <c r="D12" i="5"/>
  <c r="D17" i="6" s="1"/>
  <c r="C28" i="6"/>
  <c r="F12" i="5" l="1"/>
  <c r="F17" i="6" s="1"/>
  <c r="O12" i="5"/>
  <c r="O17" i="6" s="1"/>
  <c r="N31" i="6"/>
  <c r="C31" i="6" s="1"/>
  <c r="C24" i="5"/>
  <c r="K7" i="1"/>
  <c r="C12" i="5" l="1"/>
  <c r="I17" i="1" l="1"/>
  <c r="K17" i="1" s="1"/>
  <c r="J17" i="1"/>
  <c r="F22" i="5"/>
  <c r="F29" i="6" s="1"/>
  <c r="O22" i="5"/>
  <c r="O29" i="6" s="1"/>
  <c r="J22" i="5"/>
  <c r="J29" i="6" s="1"/>
  <c r="K22" i="5"/>
  <c r="K29" i="6" s="1"/>
  <c r="M22" i="5"/>
  <c r="M29" i="6" s="1"/>
  <c r="E22" i="5"/>
  <c r="E29" i="6" s="1"/>
  <c r="I22" i="5"/>
  <c r="I29" i="6" s="1"/>
  <c r="H22" i="5"/>
  <c r="H29" i="6" s="1"/>
  <c r="L22" i="5"/>
  <c r="L29" i="6" s="1"/>
  <c r="D22" i="5"/>
  <c r="D29" i="6" s="1"/>
  <c r="G22" i="5"/>
  <c r="G29" i="6" s="1"/>
  <c r="N22" i="5"/>
  <c r="N29" i="6" s="1"/>
  <c r="C29" i="6" l="1"/>
  <c r="C22" i="5"/>
  <c r="N10" i="5" l="1"/>
  <c r="N15" i="6" s="1"/>
  <c r="J5" i="1" l="1"/>
  <c r="H10" i="5"/>
  <c r="H15" i="6" s="1"/>
  <c r="L10" i="5"/>
  <c r="L15" i="6" s="1"/>
  <c r="I10" i="5"/>
  <c r="I15" i="6" s="1"/>
  <c r="K10" i="5"/>
  <c r="K15" i="6" s="1"/>
  <c r="I5" i="1"/>
  <c r="J10" i="5"/>
  <c r="J15" i="6" s="1"/>
  <c r="O10" i="5"/>
  <c r="O15" i="6" s="1"/>
  <c r="E10" i="5"/>
  <c r="E15" i="6" s="1"/>
  <c r="G10" i="5"/>
  <c r="G15" i="6" s="1"/>
  <c r="D10" i="5"/>
  <c r="F10" i="5"/>
  <c r="F15" i="6" s="1"/>
  <c r="M10" i="5"/>
  <c r="M15" i="6" s="1"/>
  <c r="I4" i="1"/>
  <c r="K5" i="1" l="1"/>
  <c r="C10" i="5"/>
  <c r="D15" i="6"/>
  <c r="C15" i="6" s="1"/>
  <c r="H9" i="5"/>
  <c r="I9" i="5"/>
  <c r="F9" i="5"/>
  <c r="N9" i="5"/>
  <c r="L9" i="5"/>
  <c r="E9" i="5"/>
  <c r="D9" i="5"/>
  <c r="O9" i="5"/>
  <c r="J4" i="1"/>
  <c r="M9" i="5"/>
  <c r="J9" i="5"/>
  <c r="G9" i="5"/>
  <c r="K9" i="5"/>
  <c r="K14" i="6" l="1"/>
  <c r="D14" i="6"/>
  <c r="C9" i="5"/>
  <c r="K4" i="1"/>
  <c r="E14" i="6"/>
  <c r="G14" i="6"/>
  <c r="L14" i="6"/>
  <c r="J14" i="6"/>
  <c r="N14" i="6"/>
  <c r="M14" i="6"/>
  <c r="F14" i="6"/>
  <c r="O14" i="6"/>
  <c r="I14" i="6"/>
  <c r="H14" i="6"/>
  <c r="J6" i="1" l="1"/>
  <c r="J11" i="5"/>
  <c r="J16" i="6" s="1"/>
  <c r="K11" i="5"/>
  <c r="K16" i="6" s="1"/>
  <c r="O11" i="5"/>
  <c r="O16" i="6" s="1"/>
  <c r="E11" i="5"/>
  <c r="E16" i="6" s="1"/>
  <c r="I11" i="5"/>
  <c r="I16" i="6" s="1"/>
  <c r="H11" i="5"/>
  <c r="H16" i="6" s="1"/>
  <c r="F11" i="5"/>
  <c r="F16" i="6" s="1"/>
  <c r="N11" i="5"/>
  <c r="N16" i="6" s="1"/>
  <c r="L11" i="5"/>
  <c r="G11" i="5"/>
  <c r="I6" i="1"/>
  <c r="K6" i="1" s="1"/>
  <c r="C14" i="6"/>
  <c r="D11" i="5"/>
  <c r="J15" i="1"/>
  <c r="M11" i="5"/>
  <c r="I15" i="1" l="1"/>
  <c r="K15" i="1" s="1"/>
  <c r="H20" i="5"/>
  <c r="H27" i="6" s="1"/>
  <c r="D20" i="5"/>
  <c r="D27" i="6" s="1"/>
  <c r="G20" i="5"/>
  <c r="G27" i="6" s="1"/>
  <c r="K20" i="5"/>
  <c r="K27" i="6" s="1"/>
  <c r="F20" i="5"/>
  <c r="F27" i="6" s="1"/>
  <c r="E20" i="5"/>
  <c r="E27" i="6" s="1"/>
  <c r="N20" i="5"/>
  <c r="N27" i="6" s="1"/>
  <c r="I20" i="5"/>
  <c r="I27" i="6" s="1"/>
  <c r="O20" i="5"/>
  <c r="O27" i="6" s="1"/>
  <c r="J20" i="5"/>
  <c r="J27" i="6" s="1"/>
  <c r="M20" i="5"/>
  <c r="M27" i="6" s="1"/>
  <c r="L20" i="5"/>
  <c r="L27" i="6" s="1"/>
  <c r="M16" i="6"/>
  <c r="G16" i="6"/>
  <c r="C11" i="5"/>
  <c r="D16" i="6"/>
  <c r="C19" i="1"/>
  <c r="C21" i="1"/>
  <c r="M19" i="5"/>
  <c r="M26" i="6" s="1"/>
  <c r="G19" i="5"/>
  <c r="G26" i="6" s="1"/>
  <c r="J19" i="5"/>
  <c r="J26" i="6" s="1"/>
  <c r="L19" i="5"/>
  <c r="L26" i="6" s="1"/>
  <c r="E19" i="5"/>
  <c r="E26" i="6" s="1"/>
  <c r="D19" i="5"/>
  <c r="D26" i="6" s="1"/>
  <c r="K19" i="5"/>
  <c r="K26" i="6" s="1"/>
  <c r="O19" i="5"/>
  <c r="O26" i="6" s="1"/>
  <c r="I14" i="1"/>
  <c r="K14" i="1" s="1"/>
  <c r="F19" i="5"/>
  <c r="F26" i="6" s="1"/>
  <c r="H19" i="5"/>
  <c r="H26" i="6" s="1"/>
  <c r="I19" i="5"/>
  <c r="I26" i="6" s="1"/>
  <c r="N19" i="5"/>
  <c r="N26" i="6" s="1"/>
  <c r="L16" i="6"/>
  <c r="L14" i="5" l="1"/>
  <c r="L19" i="6" s="1"/>
  <c r="G14" i="5"/>
  <c r="G19" i="6" s="1"/>
  <c r="E14" i="5"/>
  <c r="E19" i="6" s="1"/>
  <c r="O14" i="5"/>
  <c r="O19" i="6" s="1"/>
  <c r="I9" i="1"/>
  <c r="K9" i="1" s="1"/>
  <c r="H14" i="5"/>
  <c r="H19" i="6" s="1"/>
  <c r="D14" i="5"/>
  <c r="K14" i="5"/>
  <c r="K19" i="6" s="1"/>
  <c r="J14" i="5"/>
  <c r="J19" i="6" s="1"/>
  <c r="I14" i="5"/>
  <c r="I19" i="6" s="1"/>
  <c r="N14" i="5"/>
  <c r="N19" i="6" s="1"/>
  <c r="M14" i="5"/>
  <c r="M19" i="6" s="1"/>
  <c r="J9" i="1"/>
  <c r="F14" i="5"/>
  <c r="F19" i="6" s="1"/>
  <c r="J7" i="1"/>
  <c r="J14" i="1"/>
  <c r="J8" i="1"/>
  <c r="C26" i="6"/>
  <c r="L13" i="5"/>
  <c r="E13" i="5"/>
  <c r="O13" i="5"/>
  <c r="H13" i="5"/>
  <c r="C20" i="1"/>
  <c r="C22" i="1" s="1"/>
  <c r="D21" i="1" s="1"/>
  <c r="M13" i="5"/>
  <c r="I13" i="5"/>
  <c r="D13" i="5"/>
  <c r="D18" i="6" s="1"/>
  <c r="J13" i="5"/>
  <c r="G13" i="5"/>
  <c r="I8" i="1"/>
  <c r="F13" i="5"/>
  <c r="N13" i="5"/>
  <c r="K13" i="5"/>
  <c r="C27" i="6"/>
  <c r="C20" i="5"/>
  <c r="F22" i="6"/>
  <c r="F37" i="5"/>
  <c r="F38" i="5" s="1"/>
  <c r="C14" i="1"/>
  <c r="D14" i="1"/>
  <c r="G22" i="6"/>
  <c r="G37" i="5"/>
  <c r="G38" i="5" s="1"/>
  <c r="J22" i="6"/>
  <c r="J37" i="5"/>
  <c r="J38" i="5" s="1"/>
  <c r="O22" i="6"/>
  <c r="O37" i="5"/>
  <c r="O38" i="5" s="1"/>
  <c r="M22" i="6"/>
  <c r="M37" i="5"/>
  <c r="M38" i="5" s="1"/>
  <c r="C16" i="6"/>
  <c r="N22" i="6"/>
  <c r="N37" i="5"/>
  <c r="N38" i="5" s="1"/>
  <c r="K22" i="6"/>
  <c r="K37" i="5"/>
  <c r="K38" i="5" s="1"/>
  <c r="C23" i="1"/>
  <c r="D23" i="1" s="1"/>
  <c r="C19" i="5"/>
  <c r="D37" i="5"/>
  <c r="I22" i="6"/>
  <c r="I37" i="5"/>
  <c r="I38" i="5" s="1"/>
  <c r="E22" i="6"/>
  <c r="E37" i="5"/>
  <c r="E38" i="5" s="1"/>
  <c r="H22" i="6"/>
  <c r="H37" i="5"/>
  <c r="H38" i="5" s="1"/>
  <c r="L22" i="6"/>
  <c r="L37" i="5"/>
  <c r="L38" i="5" s="1"/>
  <c r="D19" i="6" l="1"/>
  <c r="C19" i="6" s="1"/>
  <c r="C14" i="5"/>
  <c r="D33" i="5"/>
  <c r="O18" i="6"/>
  <c r="O13" i="6" s="1"/>
  <c r="G18" i="6"/>
  <c r="G13" i="6" s="1"/>
  <c r="E18" i="6"/>
  <c r="E13" i="6" s="1"/>
  <c r="J18" i="6"/>
  <c r="J13" i="6" s="1"/>
  <c r="L18" i="6"/>
  <c r="L13" i="6" s="1"/>
  <c r="K18" i="6"/>
  <c r="I18" i="6"/>
  <c r="I13" i="6" s="1"/>
  <c r="M18" i="6"/>
  <c r="N18" i="6"/>
  <c r="N13" i="6" s="1"/>
  <c r="F18" i="6"/>
  <c r="F13" i="6" s="1"/>
  <c r="H18" i="6"/>
  <c r="H13" i="6" s="1"/>
  <c r="H7" i="5"/>
  <c r="J2" i="1"/>
  <c r="K8" i="1"/>
  <c r="D12" i="1" s="1"/>
  <c r="D7" i="5"/>
  <c r="H33" i="5"/>
  <c r="E7" i="5"/>
  <c r="M7" i="5"/>
  <c r="O7" i="5"/>
  <c r="L7" i="5"/>
  <c r="L33" i="5"/>
  <c r="M33" i="5"/>
  <c r="F7" i="5"/>
  <c r="E33" i="5"/>
  <c r="G33" i="5"/>
  <c r="F33" i="5"/>
  <c r="O33" i="5"/>
  <c r="K7" i="5"/>
  <c r="G7" i="5"/>
  <c r="J33" i="5"/>
  <c r="E4" i="1"/>
  <c r="D9" i="1" s="1"/>
  <c r="J7" i="5"/>
  <c r="C13" i="5"/>
  <c r="C33" i="5" s="1"/>
  <c r="C34" i="5" s="1"/>
  <c r="I2" i="1"/>
  <c r="I33" i="5"/>
  <c r="K33" i="5"/>
  <c r="N33" i="5"/>
  <c r="N7" i="5"/>
  <c r="I7" i="5"/>
  <c r="D20" i="1"/>
  <c r="D19" i="1"/>
  <c r="C37" i="5"/>
  <c r="C38" i="5" s="1"/>
  <c r="D38" i="5"/>
  <c r="C24" i="6"/>
  <c r="D22" i="6"/>
  <c r="C22" i="6" s="1"/>
  <c r="M13" i="6" l="1"/>
  <c r="K13" i="6"/>
  <c r="D13" i="6"/>
  <c r="E20" i="6"/>
  <c r="E36" i="6" s="1"/>
  <c r="E37" i="6" s="1"/>
  <c r="L20" i="6"/>
  <c r="L36" i="6" s="1"/>
  <c r="L37" i="6" s="1"/>
  <c r="G20" i="6"/>
  <c r="G21" i="6" s="1"/>
  <c r="N20" i="6"/>
  <c r="N36" i="6" s="1"/>
  <c r="N37" i="6" s="1"/>
  <c r="H20" i="6"/>
  <c r="H36" i="6" s="1"/>
  <c r="H37" i="6" s="1"/>
  <c r="F20" i="6"/>
  <c r="F36" i="6" s="1"/>
  <c r="F37" i="6" s="1"/>
  <c r="J20" i="6"/>
  <c r="J36" i="6" s="1"/>
  <c r="J37" i="6" s="1"/>
  <c r="I20" i="6"/>
  <c r="I36" i="6" s="1"/>
  <c r="I37" i="6" s="1"/>
  <c r="O20" i="6"/>
  <c r="O36" i="6" s="1"/>
  <c r="O37" i="6" s="1"/>
  <c r="C18" i="6"/>
  <c r="K30" i="5"/>
  <c r="K31" i="5" s="1"/>
  <c r="L30" i="5"/>
  <c r="L31" i="5" s="1"/>
  <c r="O30" i="5"/>
  <c r="O31" i="5" s="1"/>
  <c r="J30" i="5"/>
  <c r="J31" i="5" s="1"/>
  <c r="E30" i="5"/>
  <c r="E31" i="5" s="1"/>
  <c r="M30" i="5"/>
  <c r="M31" i="5" s="1"/>
  <c r="I30" i="5"/>
  <c r="I31" i="5" s="1"/>
  <c r="N30" i="5"/>
  <c r="N31" i="5" s="1"/>
  <c r="F30" i="5"/>
  <c r="F31" i="5" s="1"/>
  <c r="D30" i="5"/>
  <c r="D31" i="5" s="1"/>
  <c r="G30" i="5"/>
  <c r="G31" i="5" s="1"/>
  <c r="H30" i="5"/>
  <c r="H31" i="5" s="1"/>
  <c r="F34" i="5"/>
  <c r="G34" i="5"/>
  <c r="E34" i="5"/>
  <c r="H34" i="5"/>
  <c r="J34" i="5"/>
  <c r="N34" i="5"/>
  <c r="D34" i="5"/>
  <c r="M34" i="5"/>
  <c r="I34" i="5"/>
  <c r="O34" i="5"/>
  <c r="K34" i="5"/>
  <c r="L34" i="5"/>
  <c r="K2" i="1"/>
  <c r="L6" i="1" s="1"/>
  <c r="C17" i="6"/>
  <c r="L4" i="2"/>
  <c r="D10" i="1"/>
  <c r="L3" i="2"/>
  <c r="C7" i="5"/>
  <c r="C30" i="5" s="1"/>
  <c r="C31" i="5" s="1"/>
  <c r="D22" i="1"/>
  <c r="C12" i="1" l="1"/>
  <c r="D20" i="6"/>
  <c r="D21" i="6" s="1"/>
  <c r="K20" i="6"/>
  <c r="K36" i="6" s="1"/>
  <c r="K37" i="6" s="1"/>
  <c r="C13" i="6"/>
  <c r="M20" i="6"/>
  <c r="M36" i="6" s="1"/>
  <c r="M37" i="6" s="1"/>
  <c r="N21" i="6"/>
  <c r="E21" i="6"/>
  <c r="L21" i="6"/>
  <c r="F21" i="6"/>
  <c r="J21" i="6"/>
  <c r="O21" i="6"/>
  <c r="I21" i="6"/>
  <c r="H21" i="6"/>
  <c r="G36" i="6"/>
  <c r="G37" i="6" s="1"/>
  <c r="L16" i="1"/>
  <c r="L17" i="1"/>
  <c r="L18" i="1"/>
  <c r="L13" i="1"/>
  <c r="L7" i="1"/>
  <c r="L4" i="1"/>
  <c r="L12" i="1"/>
  <c r="L14" i="1"/>
  <c r="L11" i="1"/>
  <c r="L22" i="1"/>
  <c r="L5" i="1"/>
  <c r="C8" i="1"/>
  <c r="C9" i="1" s="1"/>
  <c r="C10" i="1" s="1"/>
  <c r="L10" i="1"/>
  <c r="L15" i="1"/>
  <c r="L19" i="1"/>
  <c r="L8" i="1"/>
  <c r="L21" i="1"/>
  <c r="L20" i="1"/>
  <c r="C20" i="6" l="1"/>
  <c r="C21" i="6" s="1"/>
  <c r="K21" i="6"/>
  <c r="D36" i="6"/>
  <c r="D37" i="6" s="1"/>
  <c r="M21" i="6"/>
  <c r="L2" i="1"/>
  <c r="C36" i="6" l="1"/>
  <c r="C3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<sst xmlns="http://schemas.openxmlformats.org/spreadsheetml/2006/main" count="313" uniqueCount="234">
  <si>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</si>
  <si>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</si>
  <si>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</si>
  <si>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</si>
  <si>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</si>
  <si>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</si>
  <si>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</si>
  <si>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</si>
  <si>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</si>
  <si>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</si>
  <si>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</si>
  <si>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</si>
  <si>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</si>
  <si>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</si>
  <si>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</si>
  <si>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</si>
  <si>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</si>
  <si>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</si>
  <si>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</si>
  <si>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</si>
  <si>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</si>
  <si>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</si>
  <si>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</si>
  <si>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</si>
  <si>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</si>
  <si>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</si>
  <si>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</si>
  <si>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</si>
  <si>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</si>
  <si>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</si>
  <si>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</si>
  <si>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</si>
  <si>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</si>
  <si>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</si>
  <si>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</si>
  <si>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</si>
  <si>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</si>
  <si>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</si>
  <si>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</si>
  <si>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</si>
  <si>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</si>
  <si>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</si>
  <si>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</si>
  <si>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</si>
  <si>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</si>
  <si>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</si>
  <si>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</si>
  <si>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</si>
  <si>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</si>
  <si>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</si>
  <si>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</si>
  <si>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</si>
  <si>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</si>
  <si>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</si>
  <si>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</si>
  <si>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</si>
  <si>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SIMPLES NACIONAL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</si>
  <si>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</si>
  <si>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</si>
  <si>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</si>
  <si>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</si>
  <si>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</si>
  <si>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</si>
  <si>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</si>
  <si>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</si>
  <si>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</si>
  <si>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</si>
  <si>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</si>
  <si>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</si>
  <si>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</si>
  <si>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</si>
  <si>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</si>
  <si>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</si>
  <si>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</si>
  <si>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</si>
  <si>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</si>
  <si>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</si>
  <si>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</si>
  <si>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</si>
  <si>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</si>
  <si>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</si>
  <si>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</si>
  <si>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</si>
  <si>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</si>
  <si>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</si>
  <si>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</si>
  <si>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</si>
  <si>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</si>
  <si>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</si>
  <si>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</si>
  <si>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</si>
  <si>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</si>
  <si>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</si>
  <si>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</si>
  <si>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</si>
  <si>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</si>
  <si>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</si>
  <si>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</si>
  <si>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</si>
  <si>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</si>
  <si>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</si>
  <si>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</si>
  <si>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</si>
  <si>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</si>
  <si>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</si>
  <si>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</si>
  <si>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</si>
  <si>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</si>
  <si>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</si>
  <si>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</si>
  <si>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</si>
  <si>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</si>
  <si>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</si>
  <si>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</si>
  <si>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</si>
  <si>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</si>
  <si>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</si>
  <si>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</si>
  <si>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</si>
  <si>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</si>
  <si>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</si>
  <si>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</si>
  <si>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</si>
  <si>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</si>
  <si>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</si>
  <si>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</si>
  <si>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</si>
  <si>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</si>
  <si>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</si>
  <si>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</si>
  <si>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</si>
  <si>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</si>
  <si>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</si>
  <si>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</si>
  <si>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</si>
  <si>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</si>
  <si>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</si>
  <si>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</si>
  <si>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</si>
  <si>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</si>
  <si>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</si>
  <si>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</si>
  <si>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</si>
  <si>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</si>
  <si>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</si>
  <si>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</si>
  <si>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</si>
  <si>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</si>
  <si>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</si>
  <si>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</si>
  <si>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</si>
  <si>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</si>
  <si>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</si>
  <si>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</si>
  <si>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</si>
  <si>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</si>
  <si>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</si>
  <si>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</si>
  <si>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</si>
  <si>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</si>
  <si>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</si>
  <si>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</si>
  <si>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</si>
  <si>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</si>
  <si>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</si>
  <si>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</si>
  <si>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</si>
  <si>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</si>
  <si>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</si>
  <si>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</si>
  <si>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</si>
  <si>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</si>
  <si>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</si>
  <si>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</si>
  <si>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</si>
  <si>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</si>
  <si>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</si>
  <si>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</si>
  <si>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</si>
  <si>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</si>
  <si>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</si>
  <si>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</si>
  <si>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</si>
  <si>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</si>
  <si>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</si>
  <si>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</si>
  <si>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</si>
  <si>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</si>
  <si>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</si>
  <si>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</si>
  <si>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</si>
  <si>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</si>
  <si>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</si>
  <si>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</si>
  <si>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</si>
  <si>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</si>
  <si>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</si>
  <si>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</si>
  <si>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</si>
  <si>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</si>
  <si>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</si>
  <si>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</si>
  <si>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</si>
  <si>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</si>
  <si>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</si>
  <si>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</si>
  <si>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</si>
  <si>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</si>
  <si>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</si>
  <si>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</si>
  <si>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</si>
  <si>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</si>
  <si>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</si>
  <si>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>LUCRO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</si>
  <si>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</si>
  <si>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</si>
  <si>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</si>
  <si>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</si>
  <si>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</si>
  <si>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</si>
  <si>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</si>
  <si>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</si>
  <si>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</si>
  <si>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>TRIBUTOS</t>
  </si>
  <si>
    <t xml:space="preserve">INSS </t>
  </si>
  <si>
    <t>ESCRITURAL</t>
  </si>
  <si>
    <t>DESCRIÇÃO</t>
  </si>
  <si>
    <t>CONTRATO</t>
  </si>
  <si>
    <t>ABERTURA DE CONTA</t>
  </si>
  <si>
    <t>ALMOÇO</t>
  </si>
  <si>
    <t>ADM</t>
  </si>
  <si>
    <t>QUINTILHA</t>
  </si>
  <si>
    <t>ABASTECIMENTO</t>
  </si>
  <si>
    <t>POSTO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</si>
</sst>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2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</fills>
  <borders count="116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4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40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</dxfs>
  <tableStyles count="0" defaultTableStyle="TableStyleMedium2" defaultPivotStyle="PivotStyleLight16"/>
  <colors>
    <mruColors>
      <color rgb="FF66FF33"/>
      <color rgb="FFFF00FF"/>
      <color rgb="FF0066FF"/>
      <color rgb="FFFFFF66"/>
      <color rgb="FFFFFF99"/>
      <color rgb="FF00FFFF"/>
      <color rgb="FF00FF00"/>
      <color rgb="FFFFFFCC"/>
      <color rgb="FF93FE68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5139.9699999999993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0.48952095238095233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4.550,00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R$5.360,03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R$810,03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39">
  <autoFilter ref="G2:G33" xr:uid="{9FB9B7D2-0F7C-4CD2-9F22-4122B7DAD9DC}"/>
  <tableColumns count="1">
    <tableColumn id="1" xr3:uid="{5683796C-C110-4EC9-9665-6268F3588A24}" name="data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A1:O1001"/>
  <sheetViews>
    <sheetView showGridLines="0" zoomScale="80" zoomScaleNormal="80" workbookViewId="0">
      <selection activeCell="L19" sqref="L19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5360.0300000000007</v>
      </c>
      <c r="J2" s="212">
        <f t="shared" si="0"/>
        <v>4550</v>
      </c>
      <c r="K2" s="213">
        <f t="shared" si="0"/>
        <v>5360.0300000000007</v>
      </c>
      <c r="L2" s="4">
        <f t="shared" si="0"/>
        <v>0.94821111075870823</v>
      </c>
      <c r="M2" s="5"/>
      <c r="N2" s="365"/>
      <c r="O2" s="365"/>
    </row>
    <row r="3" spans="1:15" ht="18.75" customHeight="1">
      <c r="A3" s="365"/>
      <c r="B3" s="6" t="s">
        <v>191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0.82594380952380952</v>
      </c>
      <c r="F4" s="360"/>
      <c r="G4" s="537" t="s">
        <v>12</v>
      </c>
      <c r="H4" s="15" t="str">
        <f>'📈Det. Resultados'!B9</f>
        <v>PROLABORE</v>
      </c>
      <c r="I4" s="317">
        <f>SUMIFS('📋 Despesas'!$J$7:$J$17825,'📋 Despesas'!$F$7:$F$17825,H4,'📋 Despesas'!$C$7:$C$17825,$B$3,'📋 Despesas'!$D$7:$D$17825,$C$3)</f>
        <v>3000</v>
      </c>
      <c r="J4" s="209">
        <f>SUMIFS('📋 Despesas'!$K$7:$K$17825,'📋 Despesas'!$F$7:$F$17825,H4,'📋 Despesas'!$C$7:$C$17825,$B$3,'📋 Despesas'!$D$7:$D$17825,$C$3)</f>
        <v>3000</v>
      </c>
      <c r="K4" s="16">
        <f>I4</f>
        <v>3000</v>
      </c>
      <c r="L4" s="17">
        <f>IFERROR((K4/$K$2),0)</f>
        <v>0.55969835989723926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38"/>
      <c r="H5" s="15" t="str">
        <f>'📈Det. Resultados'!B10</f>
        <v>INSS</v>
      </c>
      <c r="I5" s="317">
        <f>SUMIFS('📋 Despesas'!$J$7:$J$17825,'📋 Despesas'!$F$7:$F$17825,H5,'📋 Despesas'!$C$7:$C$17825,$B$3,'📋 Despesas'!$D$7:$D$17825,$C$3)</f>
        <v>0</v>
      </c>
      <c r="J5" s="209">
        <f>SUMIFS('📋 Despesas'!$K$7:$K$17825,'📋 Despesas'!$F$7:$F$17825,H5,'📋 Despesas'!$C$7:$C$17825,$B$3,'📋 Despesas'!$D$7:$D$17825,$C$3)</f>
        <v>0</v>
      </c>
      <c r="K5" s="16">
        <f t="shared" ref="K5:K21" si="1">I5</f>
        <v>0</v>
      </c>
      <c r="L5" s="17">
        <f t="shared" ref="L5:L22" si="2">IFERROR((K5/$K$2),0)</f>
        <v>0</v>
      </c>
      <c r="M5" s="5"/>
      <c r="N5" s="365"/>
      <c r="O5" s="365"/>
    </row>
    <row r="6" spans="1:15" ht="21" customHeight="1">
      <c r="A6" s="365"/>
      <c r="B6" s="19" t="s">
        <v>214</v>
      </c>
      <c r="C6" s="345">
        <f>C7-C5</f>
        <v>0</v>
      </c>
      <c r="D6" s="354" t="s">
        <v>15</v>
      </c>
      <c r="E6" s="322"/>
      <c r="F6" s="353"/>
      <c r="G6" s="538"/>
      <c r="H6" s="15" t="str">
        <f>'📈Det. Resultados'!B11</f>
        <v>LUCRO</v>
      </c>
      <c r="I6" s="317">
        <f>SUMIFS('📋 Despesas'!$J$7:$J$17825,'📋 Despesas'!$F$7:$F$17825,H6,'📋 Despesas'!$C$7:$C$17825,$B$3,'📋 Despesas'!$D$7:$D$17825,$C$3)</f>
        <v>0</v>
      </c>
      <c r="J6" s="209">
        <f>SUMIFS('📋 Despesas'!$K$7:$K$17825,'📋 Despesas'!$F$7:$F$17825,H6,'📋 Despesas'!$C$7:$C$17825,$B$3,'📋 Despesas'!$D$7:$D$17825,$C$3)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38"/>
      <c r="H7" s="15" t="str">
        <f>'📈Det. Resultados'!B12</f>
        <v>CONTABILIDADE</v>
      </c>
      <c r="I7" s="317">
        <f>SUMIFS('📋 Despesas'!$J$7:$J$17825,'📋 Despesas'!$F$7:$F$17825,H7,'📋 Despesas'!$C$7:$C$17825,$B$3,'📋 Despesas'!$D$7:$D$17825,$C$3)</f>
        <v>950</v>
      </c>
      <c r="J7" s="209">
        <f>SUMIFS('📋 Despesas'!$K$7:$K$17825,'📋 Despesas'!$F$7:$F$17825,H7,'📋 Despesas'!$C$7:$C$17825,$B$3,'📋 Despesas'!$D$7:$D$17825,$C$3)</f>
        <v>950</v>
      </c>
      <c r="K7" s="16">
        <f t="shared" si="1"/>
        <v>950</v>
      </c>
      <c r="L7" s="17">
        <f t="shared" si="2"/>
        <v>0.17723781396745911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-5360.0300000000007</v>
      </c>
      <c r="D8" s="349"/>
      <c r="E8" s="350"/>
      <c r="F8" s="351"/>
      <c r="G8" s="538"/>
      <c r="H8" s="15" t="str">
        <f>'📈Det. Resultados'!B13</f>
        <v>OUTROS</v>
      </c>
      <c r="I8" s="444">
        <f>SUMIFS('📋 Despesas'!$J$7:$J$17825,'📋 Despesas'!$F$7:$F$17825,H8,'📋 Despesas'!$C$7:$C$17825,$B$3,'📋 Despesas'!$D$7:$D$17825,$C$3)</f>
        <v>0</v>
      </c>
      <c r="J8" s="209">
        <f>SUMIFS('📋 Despesas'!$K$7:$K$17825,'📋 Despesas'!$F$7:$F$17825,H8,'📋 Despesas'!$C$7:$C$17825,$B$3,'📋 Despesas'!$D$7:$D$17825,$C$3)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5139.9699999999993</v>
      </c>
      <c r="D9" s="547">
        <f>(C7*E4)-(C19+C21)</f>
        <v>5139.9699999999993</v>
      </c>
      <c r="E9" s="548"/>
      <c r="F9" s="549"/>
      <c r="G9" s="539"/>
      <c r="H9" s="15" t="str">
        <f>'📈Det. Resultados'!B14</f>
        <v>ADM</v>
      </c>
      <c r="I9" s="444">
        <f>SUMIFS('📋 Despesas'!$J$7:$J$17825,'📋 Despesas'!$F$7:$F$17825,H9,'📋 Despesas'!$C$7:$C$17825,$B$3,'📋 Despesas'!$D$7:$D$17825,$C$3)</f>
        <v>277.59000000000003</v>
      </c>
      <c r="J9" s="209">
        <f>SUMIFS('📋 Despesas'!$K$7:$K$17825,'📋 Despesas'!$F$7:$F$17825,H9,'📋 Despesas'!$C$7:$C$17825,$B$3,'📋 Despesas'!$D$7:$D$17825,$C$3)</f>
        <v>0</v>
      </c>
      <c r="K9" s="16">
        <f t="shared" si="1"/>
        <v>277.59000000000003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0.48952095238095233</v>
      </c>
      <c r="D10" s="361">
        <f>(C19+C21)/E4</f>
        <v>4276.8526857009756</v>
      </c>
      <c r="E10" s="545" t="s">
        <v>21</v>
      </c>
      <c r="F10" s="546"/>
      <c r="G10" s="344"/>
      <c r="H10" s="15">
        <f>'📈Det. Resultados'!B15</f>
        <v>0</v>
      </c>
      <c r="I10" s="317">
        <f>SUMIFS('📋 Despesas'!$J$7:$J$17825,'📋 Despesas'!$F$7:$F$17825,H10,'📋 Despesas'!$C$7:$C$17825,$B$3,'📋 Despesas'!$D$7:$D$17825,$C$3)</f>
        <v>0</v>
      </c>
      <c r="J10" s="209">
        <f>SUMIFS('📋 Despesas'!$K$7:$K$17825,'📋 Despesas'!$F$7:$F$17825,H10,'📋 Despesas'!$C$7:$C$17825,$B$3,'📋 Despesas'!$D$7:$D$17825,$C$3)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Despesas'!$J$7:$J$17825,'📋 Despesas'!$F$7:$F$17825,H11,'📋 Despesas'!$C$7:$C$17825,$B$3,'📋 Despesas'!$D$7:$D$17825,$C$3)</f>
        <v>0</v>
      </c>
      <c r="J11" s="209">
        <f>SUMIFS('📋 Despesas'!$K$7:$K$17825,'📋 Despesas'!$F$7:$F$17825,H11,'📋 Despesas'!$C$7:$C$17825,$B$3,'📋 Despesas'!$D$7:$D$17825,$C$3)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4227.59</v>
      </c>
      <c r="E12" s="365"/>
      <c r="F12" s="540"/>
      <c r="G12" s="542" t="s">
        <v>23</v>
      </c>
      <c r="H12" s="15">
        <f>'📈Det. Resultados'!B17</f>
        <v>0</v>
      </c>
      <c r="I12" s="317">
        <f>SUMIFS('📋 Despesas'!$J$7:$J$17825,'📋 Despesas'!$F$7:$F$17825,H12,'📋 Despesas'!$C$7:$C$17825,$B$3,'📋 Despesas'!$D$7:$D$17825,$C$3)</f>
        <v>0</v>
      </c>
      <c r="J12" s="209">
        <f>SUMIFS('📋 Despesas'!$K$7:$K$17825,'📋 Despesas'!$F$7:$F$17825,H12,'📋 Despesas'!$C$7:$C$17825,$B$3,'📋 Despesas'!$D$7:$D$17825,$C$3)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41"/>
      <c r="G13" s="543"/>
      <c r="H13" s="15">
        <f>'📈Det. Resultados'!B18</f>
        <v>0</v>
      </c>
      <c r="I13" s="317">
        <f>SUMIFS('📋 Despesas'!$J$7:$J$17825,'📋 Despesas'!$F$7:$F$17825,H13,'📋 Despesas'!$C$7:$C$17825,$B$3,'📋 Despesas'!$D$7:$D$17825,$C$3)</f>
        <v>0</v>
      </c>
      <c r="J13" s="209">
        <f>SUMIFS('📋 Despesas'!$K$7:$K$17825,'📋 Despesas'!$F$7:$F$17825,H13,'📋 Despesas'!$C$7:$C$17825,$B$3,'📋 Despesas'!$D$7:$D$17825,$C$3)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0.10785142857142857</v>
      </c>
      <c r="D14" s="236">
        <f>SUM(K11:K21)</f>
        <v>1132.44</v>
      </c>
      <c r="E14" s="365"/>
      <c r="F14" s="541"/>
      <c r="G14" s="543"/>
      <c r="H14" s="15">
        <f>'📈Det. Resultados'!B19</f>
        <v>0</v>
      </c>
      <c r="I14" s="317">
        <f>SUMIFS('📋 Despesas'!$J$7:$J$17825,'📋 Despesas'!$F$7:$F$17825,H14,'📋 Despesas'!$C$7:$C$17825,$B$3,'📋 Despesas'!$D$7:$D$17825,$C$3)</f>
        <v>0</v>
      </c>
      <c r="J14" s="209">
        <f>SUMIFS('📋 Despesas'!$K$7:$K$17825,'📋 Despesas'!$F$7:$F$17825,H14,'📋 Despesas'!$C$7:$C$17825,$B$3,'📋 Despesas'!$D$7:$D$17825,$C$3)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41"/>
      <c r="G15" s="543"/>
      <c r="H15" s="15">
        <f>'📈Det. Resultados'!B20</f>
        <v>0</v>
      </c>
      <c r="I15" s="317">
        <f>SUMIFS('📋 Despesas'!$J$7:$J$17825,'📋 Despesas'!$F$7:$F$17825,H15,'📋 Despesas'!$C$7:$C$17825,$B$3,'📋 Despesas'!$D$7:$D$17825,$C$3)</f>
        <v>0</v>
      </c>
      <c r="J15" s="209">
        <f>SUMIFS('📋 Despesas'!$K$7:$K$17825,'📋 Despesas'!$F$7:$F$17825,H15,'📋 Despesas'!$C$7:$C$17825,$B$3,'📋 Despesas'!$D$7:$D$17825,$C$3)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41"/>
      <c r="G16" s="543"/>
      <c r="H16" s="15">
        <f>'📈Det. Resultados'!B21</f>
        <v>0</v>
      </c>
      <c r="I16" s="317">
        <f>SUMIFS('📋 Despesas'!$J$7:$J$17825,'📋 Despesas'!$F$7:$F$17825,H16,'📋 Despesas'!$C$7:$C$17825,$B$3,'📋 Despesas'!$D$7:$D$17825,$C$3)</f>
        <v>0</v>
      </c>
      <c r="J16" s="209">
        <f>SUMIFS('📋 Despesas'!$K$7:$K$17825,'📋 Despesas'!$F$7:$F$17825,H16,'📋 Despesas'!$C$7:$C$17825,$B$3,'📋 Despesas'!$D$7:$D$17825,$C$3)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41"/>
      <c r="G17" s="543"/>
      <c r="H17" s="15" t="str">
        <f>'📈Det. Resultados'!B22</f>
        <v>TRIBUTOS</v>
      </c>
      <c r="I17" s="317">
        <f>SUMIFS('📋 Despesas'!$J$7:$J$17825,'📋 Despesas'!$F$7:$F$17825,H17,'📋 Despesas'!$C$7:$C$17825,$B$3,'📋 Despesas'!$D$7:$D$17825,$C$3)</f>
        <v>1132.44</v>
      </c>
      <c r="J17" s="209">
        <f>SUMIFS('📋 Despesas'!$K$7:$K$17825,'📋 Despesas'!$F$7:$F$17825,H17,'📋 Despesas'!$C$7:$C$17825,$B$3,'📋 Despesas'!$D$7:$D$17825,$C$3)</f>
        <v>600</v>
      </c>
      <c r="K17" s="16">
        <f t="shared" si="1"/>
        <v>1132.44</v>
      </c>
      <c r="L17" s="208">
        <f t="shared" si="2"/>
        <v>0.21127493689400992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41"/>
      <c r="G18" s="543"/>
      <c r="H18" s="15" t="str">
        <f>'📈Det. Resultados'!B23</f>
        <v>TAXAS</v>
      </c>
      <c r="I18" s="317">
        <f>SUMIFS('📋 Despesas'!$J$7:$J$17825,'📋 Despesas'!$F$7:$F$17825,H18,'📋 Despesas'!$C$7:$C$17825,$B$3,'📋 Despesas'!$D$7:$D$17825,$C$3)</f>
        <v>0</v>
      </c>
      <c r="J18" s="209">
        <f>SUMIFS('📋 Despesas'!$K$7:$K$17825,'📋 Despesas'!$F$7:$F$17825,H18,'📋 Despesas'!$C$7:$C$17825,$B$3,'📋 Despesas'!$D$7:$D$17825,$C$3)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Despesas'!$J$7:$J$18166,'📋 Despesas'!$H$7:$H$18166,B19,'📋 Despesas'!$C$7:$C$18166,$B$3,'📋 Despesas'!$D$7:$D$18166,$C$3)</f>
        <v>3000</v>
      </c>
      <c r="D19" s="30">
        <f t="shared" ref="D19:D21" si="3">C19/$C$22</f>
        <v>0.55969835989723926</v>
      </c>
      <c r="E19" s="365"/>
      <c r="F19" s="541"/>
      <c r="G19" s="543"/>
      <c r="H19" s="15">
        <f>'📈Det. Resultados'!B24</f>
        <v>0</v>
      </c>
      <c r="I19" s="317">
        <f>SUMIFS('📋 Despesas'!$J$7:$J$17825,'📋 Despesas'!$F$7:$F$17825,H19,'📋 Despesas'!$C$7:$C$17825,$B$3,'📋 Despesas'!$D$7:$D$17825,$C$3)</f>
        <v>0</v>
      </c>
      <c r="J19" s="209">
        <f>SUMIFS('📋 Despesas'!$K$7:$K$17825,'📋 Despesas'!$F$7:$F$17825,H19,'📋 Despesas'!$C$7:$C$17825,$B$3,'📋 Despesas'!$D$7:$D$17825,$C$3)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Despesas'!$J$7:$J$18166,'📋 Despesas'!$H$7:$H$18166,B20,'📋 Despesas'!$C$7:$C$18166,$B$3,'📋 Despesas'!$D$7:$D$18166,$C$3)</f>
        <v>1827.59</v>
      </c>
      <c r="D20" s="31">
        <f t="shared" si="3"/>
        <v>0.3409663751881985</v>
      </c>
      <c r="E20" s="365"/>
      <c r="F20" s="541"/>
      <c r="G20" s="543"/>
      <c r="H20" s="15">
        <f>'📈Det. Resultados'!B25</f>
        <v>0</v>
      </c>
      <c r="I20" s="317">
        <f>SUMIFS('📋 Despesas'!$J$7:$J$17825,'📋 Despesas'!$F$7:$F$17825,H20,'📋 Despesas'!$C$7:$C$17825,$B$3,'📋 Despesas'!$D$7:$D$17825,$C$3)</f>
        <v>0</v>
      </c>
      <c r="J20" s="209">
        <f>SUMIFS('📋 Despesas'!$K$7:$K$17825,'📋 Despesas'!$F$7:$F$17825,H20,'📋 Despesas'!$C$7:$C$17825,$B$3,'📋 Despesas'!$D$7:$D$17825,$C$3)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Despesas'!$J$7:$J$18166,'📋 Despesas'!$H$7:$H$18166,B21,'📋 Despesas'!$C$7:$C$18166,$B$3,'📋 Despesas'!$D$7:$D$18166,$C$3)</f>
        <v>532.44000000000005</v>
      </c>
      <c r="D21" s="31">
        <f t="shared" si="3"/>
        <v>9.9335264914562044E-2</v>
      </c>
      <c r="E21" s="365"/>
      <c r="F21" s="541"/>
      <c r="G21" s="543"/>
      <c r="H21" s="15">
        <f>'📈Det. Resultados'!B26</f>
        <v>0</v>
      </c>
      <c r="I21" s="317">
        <f>SUMIFS('📋 Despesas'!$J$7:$J$17825,'📋 Despesas'!$F$7:$F$17825,H21,'📋 Despesas'!$C$7:$C$17825,$B$3,'📋 Despesas'!$D$7:$D$17825,$C$3)</f>
        <v>0</v>
      </c>
      <c r="J21" s="209">
        <f>SUMIFS('📋 Despesas'!$K$7:$K$17825,'📋 Despesas'!$F$7:$F$17825,H21,'📋 Despesas'!$C$7:$C$17825,$B$3,'📋 Despesas'!$D$7:$D$17825,$C$3)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5360.0300000000007</v>
      </c>
      <c r="D22" s="419">
        <f t="shared" ref="D22" si="4">SUM(D19:D21)</f>
        <v>0.99999999999999978</v>
      </c>
      <c r="E22" s="32"/>
      <c r="F22" s="541"/>
      <c r="G22" s="544"/>
      <c r="H22" s="15">
        <f>'📈Det. Resultados'!B27</f>
        <v>0</v>
      </c>
      <c r="I22" s="317">
        <f>SUMIFS('📋 Despesas'!$J$7:$J$17825,'📋 Despesas'!$F$7:$F$17825,H22,'📋 Despesas'!$C$7:$C$17825,$B$3,'📋 Despesas'!$D$7:$D$17825,$C$3)</f>
        <v>0</v>
      </c>
      <c r="J22" s="209">
        <f>SUMIFS('📋 Despesas'!$K$7:$K$17825,'📋 Despesas'!$F$7:$F$17825,H22,'📋 Despesas'!$C$7:$C$17825,$B$3,'📋 Despesas'!$D$7:$D$17825,$C$3)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198</v>
      </c>
      <c r="C23" s="415">
        <f>C19+C21</f>
        <v>3532.44</v>
      </c>
      <c r="D23" s="416">
        <f>C23/C7</f>
        <v>0.33642285714285713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7" priority="6" operator="greaterThan">
      <formula>0.35</formula>
    </cfRule>
    <cfRule type="cellIs" dxfId="36" priority="7" operator="lessThan">
      <formula>0.35</formula>
    </cfRule>
  </conditionalFormatting>
  <conditionalFormatting sqref="C14">
    <cfRule type="cellIs" dxfId="35" priority="8" operator="greaterThan">
      <formula>0.33</formula>
    </cfRule>
    <cfRule type="cellIs" dxfId="34" priority="9" operator="lessThanOrEqual">
      <formula>0.33</formula>
    </cfRule>
  </conditionalFormatting>
  <conditionalFormatting sqref="C17">
    <cfRule type="cellIs" dxfId="33" priority="10" operator="lessThan">
      <formula>0.1</formula>
    </cfRule>
    <cfRule type="cellIs" dxfId="32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I336"/>
  <sheetViews>
    <sheetView showGridLines="0" tabSelected="1" zoomScale="90" zoomScaleNormal="90" workbookViewId="0">
      <pane ySplit="6" topLeftCell="A7" activePane="bottomLeft" state="frozen"/>
      <selection activeCell="H1" sqref="H1"/>
      <selection pane="bottomLeft" activeCell="A14" sqref="A14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201</v>
      </c>
      <c r="O2" s="433"/>
      <c r="P2" s="433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35" t="s">
        <v>37</v>
      </c>
      <c r="F3" s="536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OK</v>
      </c>
      <c r="M3" s="321">
        <f ca="1">SUMIFS(M:M,O:O,H3)</f>
        <v>0</v>
      </c>
      <c r="N3" s="434" t="s">
        <v>199</v>
      </c>
      <c r="O3" s="435">
        <v>46174</v>
      </c>
      <c r="P3" s="436">
        <f>SUMIFS(K7:K8183,'📋 Despesas'!N7:N8183,"&gt;="&amp;O3,'📋 Despesas'!N7:N8183,"&lt;="&amp;O4)</f>
        <v>4550</v>
      </c>
      <c r="Q3" s="364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SUMIFS($J7:$J17825,$O7:$O17825,$H4)</f>
        <v>5360.0300000000007</v>
      </c>
      <c r="K4" s="333">
        <f ca="1">SUMIFS(K:K,O:O,H4)</f>
        <v>4550</v>
      </c>
      <c r="L4" s="334" t="str">
        <f ca="1">IF(M4=(SUMIFS('📈Det. Resultados'!$7:$7,'📈Det. Resultados'!$3:$3,H4)),"OK","ERRO")</f>
        <v>OK</v>
      </c>
      <c r="M4" s="335">
        <f ca="1">SUMIFS(M:M,O:O,H4)</f>
        <v>5360.0300000000007</v>
      </c>
      <c r="N4" s="434" t="s">
        <v>200</v>
      </c>
      <c r="O4" s="435">
        <v>46203</v>
      </c>
      <c r="P4" s="433"/>
      <c r="Q4" s="36"/>
      <c r="R4" s="191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5360.0300000000007</v>
      </c>
      <c r="K5" s="331">
        <f>SUM(K7:K17825)</f>
        <v>5140</v>
      </c>
      <c r="L5" s="328"/>
      <c r="M5" s="330">
        <f>SUBTOTAL(9,J7:J17825)</f>
        <v>5950.0300000000007</v>
      </c>
      <c r="N5" s="429"/>
      <c r="O5" s="313"/>
      <c r="P5" s="313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219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43" t="s">
        <v>53</v>
      </c>
      <c r="R6" s="443" t="s">
        <v>203</v>
      </c>
      <c r="S6" s="238"/>
      <c r="T6" s="238"/>
      <c r="U6" s="238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customHeight="1">
      <c r="B7" s="220">
        <v>46181</v>
      </c>
      <c r="C7" s="46" t="str">
        <f t="shared" ref="C7:C67" si="0">IF(B7&lt;&gt;"",PROPER(TEXT(B7,"mmmm")),"")</f>
        <v>Junho</v>
      </c>
      <c r="D7" t="str">
        <f t="shared" ref="D7:D67" si="1">IF(B7&lt;&gt;"",TEXT(B7,"aaaa"),"")</f>
        <v>2026</v>
      </c>
      <c r="E7" s="407" t="s">
        <v>224</v>
      </c>
      <c r="F7" s="188" t="s">
        <v>223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9" si="2">J7</f>
        <v>202.44</v>
      </c>
      <c r="N7" s="220">
        <v>46184</v>
      </c>
      <c r="O7" s="315" t="str">
        <f t="shared" ref="O7:O67" si="3">IF(N7&lt;&gt;"",TEXT(N7,"mmmm"),"")</f>
        <v>junho</v>
      </c>
      <c r="P7" t="str">
        <f t="shared" ref="P7:P67" si="4">IF(N7&lt;&gt;"",TEXT(N7,"aaaa"),"")</f>
        <v>2026</v>
      </c>
      <c r="Q7" s="46" t="str">
        <f t="shared" ref="Q7:Q68" si="5">IF(J7=0,"",IF(K7=0,"PAGO","A PAGAR"))</f>
        <v>PAGO</v>
      </c>
      <c r="R7" s="218" t="str">
        <f t="shared" ref="R7:R36" ca="1" si="6">IF(Q7="PAGO", "✓ OK", IF(Q7="A PAGAR", IF(N7&lt;TODAY(), "⚠ EM ATRASO", "EM DIA"), ""))</f>
        <v>✓ OK</v>
      </c>
    </row>
    <row r="8" spans="1:35" ht="15" customHeight="1">
      <c r="B8" s="220">
        <v>46174</v>
      </c>
      <c r="C8" s="46" t="str">
        <f t="shared" si="0"/>
        <v>Junho</v>
      </c>
      <c r="D8" t="str">
        <f t="shared" si="1"/>
        <v>2026</v>
      </c>
      <c r="E8" s="407" t="s">
        <v>224</v>
      </c>
      <c r="F8" s="188" t="s">
        <v>223</v>
      </c>
      <c r="G8" s="407" t="s">
        <v>55</v>
      </c>
      <c r="H8" s="407" t="s">
        <v>32</v>
      </c>
      <c r="I8" s="406">
        <v>330</v>
      </c>
      <c r="J8" s="406">
        <f t="shared" ref="J8:K68" si="7">I8</f>
        <v>330</v>
      </c>
      <c r="K8" s="404">
        <v>0</v>
      </c>
      <c r="L8" s="46" t="s">
        <v>28</v>
      </c>
      <c r="M8" s="242">
        <f t="shared" si="2"/>
        <v>330</v>
      </c>
      <c r="N8" s="220">
        <v>46192</v>
      </c>
      <c r="O8" s="315" t="str">
        <f t="shared" si="3"/>
        <v>junho</v>
      </c>
      <c r="P8" t="str">
        <f t="shared" si="4"/>
        <v>2026</v>
      </c>
      <c r="Q8" s="46" t="str">
        <f t="shared" si="5"/>
        <v>PAGO</v>
      </c>
      <c r="R8" s="218" t="str">
        <f t="shared" ca="1" si="6"/>
        <v>✓ OK</v>
      </c>
    </row>
    <row r="9" spans="1:35" ht="15" customHeight="1">
      <c r="B9" s="220">
        <v>46174</v>
      </c>
      <c r="C9" s="46" t="str">
        <f t="shared" si="0"/>
        <v>Junho</v>
      </c>
      <c r="D9" t="str">
        <f t="shared" si="1"/>
        <v>2026</v>
      </c>
      <c r="E9" s="407" t="s">
        <v>24</v>
      </c>
      <c r="F9" s="188" t="s">
        <v>24</v>
      </c>
      <c r="G9" s="407" t="s">
        <v>218</v>
      </c>
      <c r="H9" s="407" t="s">
        <v>29</v>
      </c>
      <c r="I9" s="406">
        <v>3000</v>
      </c>
      <c r="J9" s="406">
        <f t="shared" si="7"/>
        <v>3000</v>
      </c>
      <c r="K9" s="404">
        <f t="shared" si="7"/>
        <v>3000</v>
      </c>
      <c r="L9" s="46" t="s">
        <v>28</v>
      </c>
      <c r="M9" s="242">
        <f t="shared" si="2"/>
        <v>3000</v>
      </c>
      <c r="N9" s="220">
        <v>46183</v>
      </c>
      <c r="O9" s="315" t="str">
        <f t="shared" si="3"/>
        <v>junho</v>
      </c>
      <c r="P9" t="str">
        <f t="shared" si="4"/>
        <v>2026</v>
      </c>
      <c r="Q9" s="46" t="str">
        <f t="shared" si="5"/>
        <v>A PAGAR</v>
      </c>
      <c r="R9" s="218" t="str">
        <f t="shared" ca="1" si="6"/>
        <v>⚠ EM ATRASO</v>
      </c>
    </row>
    <row r="10" spans="1:35" ht="15" customHeight="1">
      <c r="B10" s="408">
        <v>46204</v>
      </c>
      <c r="C10" s="46" t="str">
        <f t="shared" si="0"/>
        <v>Julho</v>
      </c>
      <c r="D10" t="str">
        <f t="shared" si="1"/>
        <v>2026</v>
      </c>
      <c r="E10" s="407" t="s">
        <v>54</v>
      </c>
      <c r="F10" s="188" t="s">
        <v>54</v>
      </c>
      <c r="G10" s="407" t="s">
        <v>225</v>
      </c>
      <c r="H10" s="407" t="s">
        <v>29</v>
      </c>
      <c r="I10" s="406">
        <v>590</v>
      </c>
      <c r="J10" s="406">
        <f t="shared" si="7"/>
        <v>590</v>
      </c>
      <c r="K10" s="404">
        <f t="shared" si="7"/>
        <v>590</v>
      </c>
      <c r="L10" s="46" t="s">
        <v>28</v>
      </c>
      <c r="M10" s="242">
        <f t="shared" si="2"/>
        <v>590</v>
      </c>
      <c r="N10" s="220">
        <v>46213</v>
      </c>
      <c r="O10" s="315" t="str">
        <f t="shared" si="3"/>
        <v>julho</v>
      </c>
      <c r="P10" t="str">
        <f t="shared" si="4"/>
        <v>2026</v>
      </c>
      <c r="Q10" s="46" t="str">
        <f t="shared" si="5"/>
        <v>A PAGAR</v>
      </c>
      <c r="R10" s="218" t="str">
        <f t="shared" ca="1" si="6"/>
        <v>EM DIA</v>
      </c>
    </row>
    <row r="11" spans="1:35" ht="15" customHeight="1">
      <c r="B11" s="220">
        <v>46174</v>
      </c>
      <c r="C11" s="46" t="str">
        <f t="shared" si="0"/>
        <v>Junho</v>
      </c>
      <c r="D11" t="str">
        <f t="shared" si="1"/>
        <v>2026</v>
      </c>
      <c r="E11" s="407" t="s">
        <v>56</v>
      </c>
      <c r="F11" s="188" t="s">
        <v>223</v>
      </c>
      <c r="G11" s="407" t="s">
        <v>55</v>
      </c>
      <c r="H11" s="407" t="s">
        <v>30</v>
      </c>
      <c r="I11" s="406">
        <v>600</v>
      </c>
      <c r="J11" s="406">
        <f t="shared" si="7"/>
        <v>600</v>
      </c>
      <c r="K11" s="404">
        <f t="shared" si="7"/>
        <v>600</v>
      </c>
      <c r="L11" s="46" t="s">
        <v>28</v>
      </c>
      <c r="M11" s="242">
        <f t="shared" si="2"/>
        <v>600</v>
      </c>
      <c r="N11" s="220">
        <v>46193</v>
      </c>
      <c r="O11" s="315" t="str">
        <f t="shared" si="3"/>
        <v>junho</v>
      </c>
      <c r="P11" t="str">
        <f t="shared" si="4"/>
        <v>2026</v>
      </c>
      <c r="Q11" s="46" t="str">
        <f t="shared" si="5"/>
        <v>A PAGAR</v>
      </c>
      <c r="R11" s="218" t="str">
        <f t="shared" ca="1" si="6"/>
        <v>EM DIA</v>
      </c>
    </row>
    <row r="12" spans="1:35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222</v>
      </c>
      <c r="F12" s="188" t="s">
        <v>54</v>
      </c>
      <c r="G12" s="407" t="s">
        <v>225</v>
      </c>
      <c r="H12" s="407" t="s">
        <v>30</v>
      </c>
      <c r="I12" s="406">
        <v>950</v>
      </c>
      <c r="J12" s="406">
        <f t="shared" si="7"/>
        <v>950</v>
      </c>
      <c r="K12" s="404">
        <f t="shared" si="7"/>
        <v>950</v>
      </c>
      <c r="L12" s="46" t="s">
        <v>33</v>
      </c>
      <c r="M12" s="242">
        <f t="shared" si="2"/>
        <v>950</v>
      </c>
      <c r="N12" s="220">
        <v>46203</v>
      </c>
      <c r="O12" s="315" t="str">
        <f t="shared" si="3"/>
        <v>junho</v>
      </c>
      <c r="P12" t="str">
        <f t="shared" si="4"/>
        <v>2026</v>
      </c>
      <c r="Q12" s="46" t="str">
        <f t="shared" si="5"/>
        <v>A PAGAR</v>
      </c>
      <c r="R12" s="218" t="str">
        <f t="shared" ca="1" si="6"/>
        <v>EM DIA</v>
      </c>
    </row>
    <row r="13" spans="1:35" ht="15" customHeight="1">
      <c r="B13" s="220">
        <v>46187</v>
      </c>
      <c r="C13" s="46" t="str">
        <f t="shared" si="0"/>
        <v>Junho</v>
      </c>
      <c r="D13" t="str">
        <f t="shared" si="1"/>
        <v>2026</v>
      </c>
      <c r="E13" s="407" t="s">
        <v>229</v>
      </c>
      <c r="F13" s="188" t="s">
        <v>230</v>
      </c>
      <c r="G13" s="407" t="s">
        <v>231</v>
      </c>
      <c r="H13" s="407" t="s">
        <v>30</v>
      </c>
      <c r="I13" s="406">
        <v>106</v>
      </c>
      <c r="J13" s="406">
        <f t="shared" si="7"/>
        <v>106</v>
      </c>
      <c r="K13" s="404">
        <v>0</v>
      </c>
      <c r="L13" s="46" t="s">
        <v>28</v>
      </c>
      <c r="M13" s="242">
        <f t="shared" si="2"/>
        <v>106</v>
      </c>
      <c r="N13" s="220">
        <v>46187</v>
      </c>
      <c r="O13" s="315" t="str">
        <f t="shared" si="3"/>
        <v>junho</v>
      </c>
      <c r="P13" t="str">
        <f t="shared" si="4"/>
        <v>2026</v>
      </c>
      <c r="Q13" s="46" t="str">
        <f t="shared" si="5"/>
        <v>PAGO</v>
      </c>
      <c r="R13" s="218" t="str">
        <f t="shared" ca="1" si="6"/>
        <v>✓ OK</v>
      </c>
    </row>
    <row r="14" spans="1:35" ht="15" customHeight="1">
      <c r="B14" s="220">
        <v>46187</v>
      </c>
      <c r="C14" s="46" t="str">
        <f t="shared" si="0"/>
        <v>Junho</v>
      </c>
      <c r="D14" t="str">
        <f t="shared" si="1"/>
        <v>2026</v>
      </c>
      <c r="E14" s="407" t="s">
        <v>232</v>
      </c>
      <c r="F14" s="188" t="s">
        <v>230</v>
      </c>
      <c r="G14" s="407" t="s">
        <v>233</v>
      </c>
      <c r="H14" s="407" t="s">
        <v>30</v>
      </c>
      <c r="I14" s="406">
        <v>171.59</v>
      </c>
      <c r="J14" s="406">
        <f t="shared" si="7"/>
        <v>171.59</v>
      </c>
      <c r="K14" s="404">
        <v>0</v>
      </c>
      <c r="L14" s="46" t="s">
        <v>28</v>
      </c>
      <c r="M14" s="242">
        <f t="shared" si="2"/>
        <v>171.59</v>
      </c>
      <c r="N14" s="220">
        <v>46187</v>
      </c>
      <c r="O14" s="315" t="str">
        <f t="shared" si="3"/>
        <v>junho</v>
      </c>
      <c r="P14" t="str">
        <f t="shared" si="4"/>
        <v>2026</v>
      </c>
      <c r="Q14" s="46" t="str">
        <f t="shared" si="5"/>
        <v>PAGO</v>
      </c>
      <c r="R14" s="218" t="str">
        <f t="shared" ca="1" si="6"/>
        <v>✓ OK</v>
      </c>
    </row>
    <row r="15" spans="1:35" ht="15" customHeight="1">
      <c r="C15" s="46" t="str">
        <f t="shared" si="0"/>
        <v/>
      </c>
      <c r="D15" t="str">
        <f t="shared" si="1"/>
        <v/>
      </c>
      <c r="F15" s="188"/>
      <c r="J15" s="406">
        <f t="shared" si="7"/>
        <v>0</v>
      </c>
      <c r="K15" s="404">
        <f t="shared" si="7"/>
        <v>0</v>
      </c>
      <c r="L15" s="46"/>
      <c r="M15" s="242">
        <f t="shared" si="2"/>
        <v>0</v>
      </c>
      <c r="O15" s="315" t="str">
        <f t="shared" si="3"/>
        <v/>
      </c>
      <c r="P15" t="str">
        <f t="shared" si="4"/>
        <v/>
      </c>
      <c r="Q15" s="46" t="str">
        <f t="shared" si="5"/>
        <v/>
      </c>
      <c r="R15" s="218" t="str">
        <f t="shared" ca="1" si="6"/>
        <v/>
      </c>
    </row>
    <row r="16" spans="1:35" ht="15" customHeight="1">
      <c r="C16" s="46" t="str">
        <f t="shared" si="0"/>
        <v/>
      </c>
      <c r="D16" t="str">
        <f t="shared" si="1"/>
        <v/>
      </c>
      <c r="F16" s="188"/>
      <c r="J16" s="406">
        <f t="shared" si="7"/>
        <v>0</v>
      </c>
      <c r="K16" s="404">
        <f t="shared" si="7"/>
        <v>0</v>
      </c>
      <c r="L16" s="46"/>
      <c r="M16" s="242">
        <f t="shared" si="2"/>
        <v>0</v>
      </c>
      <c r="O16" s="315" t="str">
        <f t="shared" si="3"/>
        <v/>
      </c>
      <c r="P16" t="str">
        <f t="shared" si="4"/>
        <v/>
      </c>
      <c r="Q16" s="46" t="str">
        <f t="shared" si="5"/>
        <v/>
      </c>
      <c r="R16" s="218" t="str">
        <f t="shared" ca="1" si="6"/>
        <v/>
      </c>
    </row>
    <row r="17" spans="3:18" ht="15" customHeight="1">
      <c r="C17" s="46" t="str">
        <f t="shared" si="0"/>
        <v/>
      </c>
      <c r="D17" t="str">
        <f t="shared" si="1"/>
        <v/>
      </c>
      <c r="F17" s="188"/>
      <c r="J17" s="406">
        <f t="shared" si="7"/>
        <v>0</v>
      </c>
      <c r="K17" s="404">
        <f t="shared" si="7"/>
        <v>0</v>
      </c>
      <c r="L17" s="46"/>
      <c r="M17" s="242">
        <f t="shared" si="2"/>
        <v>0</v>
      </c>
      <c r="O17" s="315" t="str">
        <f t="shared" si="3"/>
        <v/>
      </c>
      <c r="P17" t="str">
        <f t="shared" si="4"/>
        <v/>
      </c>
      <c r="Q17" s="46" t="str">
        <f t="shared" si="5"/>
        <v/>
      </c>
      <c r="R17" s="218" t="str">
        <f t="shared" ca="1" si="6"/>
        <v/>
      </c>
    </row>
    <row r="18" spans="3:18" ht="15" customHeight="1">
      <c r="C18" s="46" t="str">
        <f t="shared" si="0"/>
        <v/>
      </c>
      <c r="D18" t="str">
        <f t="shared" si="1"/>
        <v/>
      </c>
      <c r="F18" s="188"/>
      <c r="J18" s="406">
        <f t="shared" si="7"/>
        <v>0</v>
      </c>
      <c r="K18" s="404">
        <f t="shared" si="7"/>
        <v>0</v>
      </c>
      <c r="L18" s="46"/>
      <c r="M18" s="242">
        <f t="shared" si="2"/>
        <v>0</v>
      </c>
      <c r="O18" s="315" t="str">
        <f t="shared" si="3"/>
        <v/>
      </c>
      <c r="P18" t="str">
        <f t="shared" si="4"/>
        <v/>
      </c>
      <c r="Q18" s="46" t="str">
        <f t="shared" si="5"/>
        <v/>
      </c>
      <c r="R18" s="218" t="str">
        <f t="shared" ca="1" si="6"/>
        <v/>
      </c>
    </row>
    <row r="19" spans="3:18" ht="15" customHeight="1">
      <c r="C19" s="46" t="str">
        <f t="shared" si="0"/>
        <v/>
      </c>
      <c r="D19" t="str">
        <f t="shared" si="1"/>
        <v/>
      </c>
      <c r="F19" s="188"/>
      <c r="J19" s="406">
        <f t="shared" si="7"/>
        <v>0</v>
      </c>
      <c r="K19" s="404">
        <f t="shared" si="7"/>
        <v>0</v>
      </c>
      <c r="L19" s="46"/>
      <c r="M19" s="242">
        <f t="shared" si="2"/>
        <v>0</v>
      </c>
      <c r="O19" s="315" t="str">
        <f t="shared" si="3"/>
        <v/>
      </c>
      <c r="P19" t="str">
        <f t="shared" si="4"/>
        <v/>
      </c>
      <c r="Q19" s="46" t="str">
        <f t="shared" si="5"/>
        <v/>
      </c>
      <c r="R19" s="218" t="str">
        <f t="shared" ca="1" si="6"/>
        <v/>
      </c>
    </row>
    <row r="20" spans="3:18" ht="15" customHeight="1">
      <c r="C20" s="46" t="str">
        <f t="shared" si="0"/>
        <v/>
      </c>
      <c r="D20" t="str">
        <f t="shared" si="1"/>
        <v/>
      </c>
      <c r="F20" s="188"/>
      <c r="J20" s="406">
        <f t="shared" si="7"/>
        <v>0</v>
      </c>
      <c r="K20" s="404">
        <f t="shared" si="7"/>
        <v>0</v>
      </c>
      <c r="L20" s="46"/>
      <c r="M20" s="242">
        <f t="shared" si="2"/>
        <v>0</v>
      </c>
      <c r="O20" s="315" t="str">
        <f t="shared" si="3"/>
        <v/>
      </c>
      <c r="P20" t="str">
        <f t="shared" si="4"/>
        <v/>
      </c>
      <c r="Q20" s="46" t="str">
        <f t="shared" si="5"/>
        <v/>
      </c>
      <c r="R20" s="218" t="str">
        <f t="shared" ca="1" si="6"/>
        <v/>
      </c>
    </row>
    <row r="21" spans="3:18" ht="15" customHeight="1">
      <c r="C21" s="46" t="str">
        <f t="shared" si="0"/>
        <v/>
      </c>
      <c r="D21" t="str">
        <f t="shared" si="1"/>
        <v/>
      </c>
      <c r="F21" s="188"/>
      <c r="J21" s="406">
        <f t="shared" si="7"/>
        <v>0</v>
      </c>
      <c r="K21" s="404">
        <f t="shared" si="7"/>
        <v>0</v>
      </c>
      <c r="L21" s="46"/>
      <c r="M21" s="242">
        <f t="shared" si="2"/>
        <v>0</v>
      </c>
      <c r="O21" s="315" t="str">
        <f t="shared" si="3"/>
        <v/>
      </c>
      <c r="P21" t="str">
        <f t="shared" si="4"/>
        <v/>
      </c>
      <c r="Q21" s="46" t="str">
        <f t="shared" si="5"/>
        <v/>
      </c>
      <c r="R21" s="218" t="str">
        <f t="shared" ca="1" si="6"/>
        <v/>
      </c>
    </row>
    <row r="22" spans="3:18" ht="15" customHeight="1">
      <c r="C22" s="46" t="str">
        <f t="shared" si="0"/>
        <v/>
      </c>
      <c r="D22" t="str">
        <f t="shared" si="1"/>
        <v/>
      </c>
      <c r="F22" s="188"/>
      <c r="J22" s="406">
        <f t="shared" si="7"/>
        <v>0</v>
      </c>
      <c r="K22" s="404">
        <f t="shared" si="7"/>
        <v>0</v>
      </c>
      <c r="L22" s="46"/>
      <c r="M22" s="242">
        <f t="shared" si="2"/>
        <v>0</v>
      </c>
      <c r="O22" s="315" t="str">
        <f t="shared" si="3"/>
        <v/>
      </c>
      <c r="P22" t="str">
        <f t="shared" si="4"/>
        <v/>
      </c>
      <c r="Q22" s="46" t="str">
        <f t="shared" si="5"/>
        <v/>
      </c>
      <c r="R22" s="218" t="str">
        <f t="shared" ca="1" si="6"/>
        <v/>
      </c>
    </row>
    <row r="23" spans="3:18" ht="15" customHeight="1">
      <c r="C23" s="46" t="str">
        <f t="shared" si="0"/>
        <v/>
      </c>
      <c r="D23" t="str">
        <f t="shared" si="1"/>
        <v/>
      </c>
      <c r="F23" s="188"/>
      <c r="J23" s="406">
        <f t="shared" si="7"/>
        <v>0</v>
      </c>
      <c r="K23" s="404">
        <f t="shared" si="7"/>
        <v>0</v>
      </c>
      <c r="L23" s="46"/>
      <c r="M23" s="242">
        <f t="shared" si="2"/>
        <v>0</v>
      </c>
      <c r="O23" s="315" t="str">
        <f t="shared" si="3"/>
        <v/>
      </c>
      <c r="P23" t="str">
        <f t="shared" si="4"/>
        <v/>
      </c>
      <c r="Q23" s="46" t="str">
        <f t="shared" si="5"/>
        <v/>
      </c>
      <c r="R23" s="218" t="str">
        <f t="shared" ca="1" si="6"/>
        <v/>
      </c>
    </row>
    <row r="24" spans="3:18" ht="15" customHeight="1">
      <c r="C24" s="46" t="str">
        <f t="shared" si="0"/>
        <v/>
      </c>
      <c r="D24" t="str">
        <f t="shared" si="1"/>
        <v/>
      </c>
      <c r="F24" s="188"/>
      <c r="J24" s="406">
        <f t="shared" si="7"/>
        <v>0</v>
      </c>
      <c r="K24" s="404">
        <f t="shared" si="7"/>
        <v>0</v>
      </c>
      <c r="L24" s="46"/>
      <c r="M24" s="242">
        <f t="shared" si="2"/>
        <v>0</v>
      </c>
      <c r="O24" s="315" t="str">
        <f t="shared" si="3"/>
        <v/>
      </c>
      <c r="P24" t="str">
        <f t="shared" si="4"/>
        <v/>
      </c>
      <c r="Q24" s="46" t="str">
        <f t="shared" si="5"/>
        <v/>
      </c>
      <c r="R24" s="218" t="str">
        <f t="shared" ca="1" si="6"/>
        <v/>
      </c>
    </row>
    <row r="25" spans="3:18" ht="15" customHeight="1">
      <c r="C25" s="46" t="str">
        <f t="shared" si="0"/>
        <v/>
      </c>
      <c r="D25" t="str">
        <f t="shared" si="1"/>
        <v/>
      </c>
      <c r="F25" s="188"/>
      <c r="J25" s="406">
        <f t="shared" si="7"/>
        <v>0</v>
      </c>
      <c r="K25" s="404">
        <f t="shared" si="7"/>
        <v>0</v>
      </c>
      <c r="L25" s="46"/>
      <c r="M25" s="242">
        <f t="shared" si="2"/>
        <v>0</v>
      </c>
      <c r="O25" s="315" t="str">
        <f t="shared" si="3"/>
        <v/>
      </c>
      <c r="P25" t="str">
        <f t="shared" si="4"/>
        <v/>
      </c>
      <c r="Q25" s="46" t="str">
        <f t="shared" si="5"/>
        <v/>
      </c>
      <c r="R25" s="218" t="str">
        <f t="shared" ca="1" si="6"/>
        <v/>
      </c>
    </row>
    <row r="26" spans="3:18" ht="15" customHeight="1">
      <c r="C26" s="46" t="str">
        <f t="shared" si="0"/>
        <v/>
      </c>
      <c r="D26" t="str">
        <f t="shared" si="1"/>
        <v/>
      </c>
      <c r="F26" s="188"/>
      <c r="J26" s="406">
        <f t="shared" si="7"/>
        <v>0</v>
      </c>
      <c r="K26" s="404">
        <f t="shared" si="7"/>
        <v>0</v>
      </c>
      <c r="L26" s="46"/>
      <c r="M26" s="242">
        <f t="shared" si="2"/>
        <v>0</v>
      </c>
      <c r="O26" s="315" t="str">
        <f t="shared" si="3"/>
        <v/>
      </c>
      <c r="P26" t="str">
        <f t="shared" si="4"/>
        <v/>
      </c>
      <c r="Q26" s="46" t="str">
        <f t="shared" si="5"/>
        <v/>
      </c>
      <c r="R26" s="218" t="str">
        <f t="shared" ca="1" si="6"/>
        <v/>
      </c>
    </row>
    <row r="27" spans="3:18" ht="15" customHeight="1">
      <c r="C27" s="46" t="str">
        <f t="shared" si="0"/>
        <v/>
      </c>
      <c r="D27" t="str">
        <f t="shared" si="1"/>
        <v/>
      </c>
      <c r="F27" s="188"/>
      <c r="J27" s="406">
        <f t="shared" si="7"/>
        <v>0</v>
      </c>
      <c r="K27" s="404">
        <f t="shared" si="7"/>
        <v>0</v>
      </c>
      <c r="L27" s="46"/>
      <c r="M27" s="242">
        <f t="shared" si="2"/>
        <v>0</v>
      </c>
      <c r="O27" s="315" t="str">
        <f t="shared" si="3"/>
        <v/>
      </c>
      <c r="P27" t="str">
        <f t="shared" si="4"/>
        <v/>
      </c>
      <c r="Q27" s="46" t="str">
        <f t="shared" si="5"/>
        <v/>
      </c>
      <c r="R27" s="218" t="str">
        <f t="shared" ca="1" si="6"/>
        <v/>
      </c>
    </row>
    <row r="28" spans="3:18" ht="15" customHeight="1">
      <c r="C28" s="46" t="str">
        <f t="shared" si="0"/>
        <v/>
      </c>
      <c r="D28" t="str">
        <f t="shared" si="1"/>
        <v/>
      </c>
      <c r="F28" s="188"/>
      <c r="J28" s="406">
        <f t="shared" si="7"/>
        <v>0</v>
      </c>
      <c r="K28" s="404">
        <f t="shared" si="7"/>
        <v>0</v>
      </c>
      <c r="L28" s="46"/>
      <c r="M28" s="242">
        <f t="shared" si="2"/>
        <v>0</v>
      </c>
      <c r="O28" s="315" t="str">
        <f t="shared" si="3"/>
        <v/>
      </c>
      <c r="P28" t="str">
        <f t="shared" si="4"/>
        <v/>
      </c>
      <c r="Q28" s="46" t="str">
        <f t="shared" si="5"/>
        <v/>
      </c>
      <c r="R28" s="218" t="str">
        <f t="shared" ca="1" si="6"/>
        <v/>
      </c>
    </row>
    <row r="29" spans="3:18" ht="15" customHeight="1">
      <c r="C29" s="46" t="str">
        <f t="shared" si="0"/>
        <v/>
      </c>
      <c r="D29" t="str">
        <f t="shared" si="1"/>
        <v/>
      </c>
      <c r="F29" s="188"/>
      <c r="J29" s="406">
        <f t="shared" si="7"/>
        <v>0</v>
      </c>
      <c r="K29" s="404">
        <f t="shared" si="7"/>
        <v>0</v>
      </c>
      <c r="L29" s="46"/>
      <c r="M29" s="242">
        <f t="shared" si="2"/>
        <v>0</v>
      </c>
      <c r="O29" s="315" t="str">
        <f t="shared" si="3"/>
        <v/>
      </c>
      <c r="P29" t="str">
        <f t="shared" si="4"/>
        <v/>
      </c>
      <c r="Q29" s="46" t="str">
        <f t="shared" si="5"/>
        <v/>
      </c>
      <c r="R29" s="218" t="str">
        <f t="shared" ca="1" si="6"/>
        <v/>
      </c>
    </row>
    <row r="30" spans="3:18" ht="15" customHeight="1">
      <c r="C30" s="46" t="str">
        <f t="shared" si="0"/>
        <v/>
      </c>
      <c r="D30" t="str">
        <f t="shared" si="1"/>
        <v/>
      </c>
      <c r="F30" s="188"/>
      <c r="J30" s="406">
        <f t="shared" si="7"/>
        <v>0</v>
      </c>
      <c r="K30" s="404">
        <f t="shared" si="7"/>
        <v>0</v>
      </c>
      <c r="L30" s="46"/>
      <c r="M30" s="242">
        <f t="shared" si="2"/>
        <v>0</v>
      </c>
      <c r="O30" s="315" t="str">
        <f t="shared" si="3"/>
        <v/>
      </c>
      <c r="P30" t="str">
        <f t="shared" si="4"/>
        <v/>
      </c>
      <c r="Q30" s="46" t="str">
        <f t="shared" si="5"/>
        <v/>
      </c>
      <c r="R30" s="218" t="str">
        <f t="shared" ca="1" si="6"/>
        <v/>
      </c>
    </row>
    <row r="31" spans="3:18" ht="15" customHeight="1">
      <c r="C31" s="46" t="str">
        <f t="shared" si="0"/>
        <v/>
      </c>
      <c r="D31" t="str">
        <f t="shared" si="1"/>
        <v/>
      </c>
      <c r="F31" s="188"/>
      <c r="J31" s="406">
        <f t="shared" si="7"/>
        <v>0</v>
      </c>
      <c r="K31" s="404">
        <f t="shared" si="7"/>
        <v>0</v>
      </c>
      <c r="L31" s="46"/>
      <c r="M31" s="242">
        <f t="shared" si="2"/>
        <v>0</v>
      </c>
      <c r="O31" s="315" t="str">
        <f t="shared" si="3"/>
        <v/>
      </c>
      <c r="P31" t="str">
        <f t="shared" si="4"/>
        <v/>
      </c>
      <c r="Q31" s="46" t="str">
        <f t="shared" si="5"/>
        <v/>
      </c>
      <c r="R31" s="218" t="str">
        <f t="shared" ca="1" si="6"/>
        <v/>
      </c>
    </row>
    <row r="32" spans="3:18" ht="15" customHeight="1">
      <c r="C32" s="46" t="str">
        <f t="shared" si="0"/>
        <v/>
      </c>
      <c r="D32" t="str">
        <f t="shared" si="1"/>
        <v/>
      </c>
      <c r="F32" s="188"/>
      <c r="J32" s="406">
        <f t="shared" si="7"/>
        <v>0</v>
      </c>
      <c r="K32" s="404">
        <f t="shared" si="7"/>
        <v>0</v>
      </c>
      <c r="L32" s="46"/>
      <c r="M32" s="242">
        <f t="shared" si="2"/>
        <v>0</v>
      </c>
      <c r="O32" s="315" t="str">
        <f t="shared" si="3"/>
        <v/>
      </c>
      <c r="P32" t="str">
        <f t="shared" si="4"/>
        <v/>
      </c>
      <c r="Q32" s="46" t="str">
        <f t="shared" si="5"/>
        <v/>
      </c>
      <c r="R32" s="218" t="str">
        <f t="shared" ca="1" si="6"/>
        <v/>
      </c>
    </row>
    <row r="33" spans="3:18" ht="15" customHeight="1">
      <c r="C33" s="46" t="str">
        <f t="shared" si="0"/>
        <v/>
      </c>
      <c r="D33" t="str">
        <f t="shared" si="1"/>
        <v/>
      </c>
      <c r="F33" s="188"/>
      <c r="J33" s="406">
        <f t="shared" si="7"/>
        <v>0</v>
      </c>
      <c r="K33" s="404">
        <f t="shared" si="7"/>
        <v>0</v>
      </c>
      <c r="L33" s="46"/>
      <c r="M33" s="242">
        <f t="shared" si="2"/>
        <v>0</v>
      </c>
      <c r="O33" s="315" t="str">
        <f t="shared" si="3"/>
        <v/>
      </c>
      <c r="P33" t="str">
        <f t="shared" si="4"/>
        <v/>
      </c>
      <c r="Q33" s="46" t="str">
        <f t="shared" si="5"/>
        <v/>
      </c>
      <c r="R33" s="218" t="str">
        <f t="shared" ca="1" si="6"/>
        <v/>
      </c>
    </row>
    <row r="34" spans="3:18" ht="15" customHeight="1">
      <c r="C34" s="46" t="str">
        <f t="shared" si="0"/>
        <v/>
      </c>
      <c r="D34" t="str">
        <f t="shared" si="1"/>
        <v/>
      </c>
      <c r="F34" s="188"/>
      <c r="J34" s="406">
        <f t="shared" si="7"/>
        <v>0</v>
      </c>
      <c r="K34" s="404">
        <f t="shared" si="7"/>
        <v>0</v>
      </c>
      <c r="L34" s="46"/>
      <c r="M34" s="242">
        <f t="shared" si="2"/>
        <v>0</v>
      </c>
      <c r="O34" s="315" t="str">
        <f t="shared" si="3"/>
        <v/>
      </c>
      <c r="P34" t="str">
        <f t="shared" si="4"/>
        <v/>
      </c>
      <c r="Q34" s="46" t="str">
        <f t="shared" si="5"/>
        <v/>
      </c>
      <c r="R34" s="218" t="str">
        <f t="shared" ca="1" si="6"/>
        <v/>
      </c>
    </row>
    <row r="35" spans="3:18" ht="15" customHeight="1">
      <c r="C35" s="46" t="str">
        <f t="shared" si="0"/>
        <v/>
      </c>
      <c r="D35" t="str">
        <f t="shared" si="1"/>
        <v/>
      </c>
      <c r="F35" s="188"/>
      <c r="J35" s="406">
        <f t="shared" si="7"/>
        <v>0</v>
      </c>
      <c r="K35" s="404">
        <f t="shared" si="7"/>
        <v>0</v>
      </c>
      <c r="L35" s="46"/>
      <c r="M35" s="242">
        <f t="shared" si="2"/>
        <v>0</v>
      </c>
      <c r="O35" s="315" t="str">
        <f t="shared" si="3"/>
        <v/>
      </c>
      <c r="P35" t="str">
        <f t="shared" si="4"/>
        <v/>
      </c>
      <c r="Q35" s="46" t="str">
        <f t="shared" si="5"/>
        <v/>
      </c>
      <c r="R35" s="218" t="str">
        <f t="shared" ca="1" si="6"/>
        <v/>
      </c>
    </row>
    <row r="36" spans="3:18" ht="15" customHeight="1">
      <c r="C36" s="46" t="str">
        <f t="shared" si="0"/>
        <v/>
      </c>
      <c r="D36" t="str">
        <f t="shared" si="1"/>
        <v/>
      </c>
      <c r="F36" s="188"/>
      <c r="J36" s="406">
        <f t="shared" si="7"/>
        <v>0</v>
      </c>
      <c r="K36" s="404">
        <f t="shared" si="7"/>
        <v>0</v>
      </c>
      <c r="L36" s="46"/>
      <c r="M36" s="242">
        <f t="shared" si="2"/>
        <v>0</v>
      </c>
      <c r="O36" s="315" t="str">
        <f t="shared" si="3"/>
        <v/>
      </c>
      <c r="P36" t="str">
        <f t="shared" si="4"/>
        <v/>
      </c>
      <c r="Q36" s="46" t="str">
        <f t="shared" si="5"/>
        <v/>
      </c>
      <c r="R36" s="218" t="str">
        <f t="shared" ca="1" si="6"/>
        <v/>
      </c>
    </row>
    <row r="37" spans="3:18" ht="15" customHeight="1">
      <c r="C37" s="46" t="str">
        <f t="shared" si="0"/>
        <v/>
      </c>
      <c r="D37" t="str">
        <f t="shared" si="1"/>
        <v/>
      </c>
      <c r="F37" s="188"/>
      <c r="J37" s="406">
        <f t="shared" si="7"/>
        <v>0</v>
      </c>
      <c r="K37" s="404">
        <f t="shared" si="7"/>
        <v>0</v>
      </c>
      <c r="L37" s="46"/>
      <c r="M37" s="242">
        <f t="shared" si="2"/>
        <v>0</v>
      </c>
      <c r="O37" s="315" t="str">
        <f t="shared" si="3"/>
        <v/>
      </c>
      <c r="P37" t="str">
        <f t="shared" si="4"/>
        <v/>
      </c>
      <c r="Q37" s="46" t="str">
        <f t="shared" si="5"/>
        <v/>
      </c>
      <c r="R37" s="218" t="str">
        <f t="shared" ref="R37:R68" ca="1" si="8">IF(Q37="PAGO", "✓ OK", IF(Q37="A PAGAR", IF(N37&lt;TODAY(), "⚠ EM ATRASO", "EM DIA"), ""))</f>
        <v/>
      </c>
    </row>
    <row r="38" spans="3:18" ht="15" customHeight="1">
      <c r="C38" s="46" t="str">
        <f t="shared" si="0"/>
        <v/>
      </c>
      <c r="D38" t="str">
        <f t="shared" si="1"/>
        <v/>
      </c>
      <c r="F38" s="188"/>
      <c r="J38" s="406">
        <f t="shared" si="7"/>
        <v>0</v>
      </c>
      <c r="K38" s="404">
        <f t="shared" si="7"/>
        <v>0</v>
      </c>
      <c r="L38" s="46"/>
      <c r="M38" s="242">
        <f t="shared" si="2"/>
        <v>0</v>
      </c>
      <c r="O38" s="315" t="str">
        <f t="shared" si="3"/>
        <v/>
      </c>
      <c r="P38" t="str">
        <f t="shared" si="4"/>
        <v/>
      </c>
      <c r="Q38" s="46" t="str">
        <f t="shared" si="5"/>
        <v/>
      </c>
      <c r="R38" s="218" t="str">
        <f t="shared" ca="1" si="8"/>
        <v/>
      </c>
    </row>
    <row r="39" spans="3:18" ht="15" customHeight="1">
      <c r="C39" s="46" t="str">
        <f t="shared" si="0"/>
        <v/>
      </c>
      <c r="D39" t="str">
        <f t="shared" si="1"/>
        <v/>
      </c>
      <c r="F39" s="188"/>
      <c r="J39" s="406">
        <f t="shared" si="7"/>
        <v>0</v>
      </c>
      <c r="K39" s="404">
        <f t="shared" si="7"/>
        <v>0</v>
      </c>
      <c r="L39" s="46"/>
      <c r="M39" s="242">
        <f t="shared" si="2"/>
        <v>0</v>
      </c>
      <c r="O39" s="315" t="str">
        <f t="shared" si="3"/>
        <v/>
      </c>
      <c r="P39" t="str">
        <f t="shared" si="4"/>
        <v/>
      </c>
      <c r="Q39" s="46" t="str">
        <f t="shared" si="5"/>
        <v/>
      </c>
      <c r="R39" s="218" t="str">
        <f t="shared" ca="1" si="8"/>
        <v/>
      </c>
    </row>
    <row r="40" spans="3:18" ht="15" customHeight="1">
      <c r="C40" s="46" t="str">
        <f t="shared" si="0"/>
        <v/>
      </c>
      <c r="D40" t="str">
        <f t="shared" si="1"/>
        <v/>
      </c>
      <c r="F40" s="188"/>
      <c r="J40" s="406">
        <f t="shared" si="7"/>
        <v>0</v>
      </c>
      <c r="K40" s="404">
        <f t="shared" si="7"/>
        <v>0</v>
      </c>
      <c r="L40" s="46"/>
      <c r="M40" s="242">
        <f t="shared" si="2"/>
        <v>0</v>
      </c>
      <c r="O40" s="315" t="str">
        <f t="shared" si="3"/>
        <v/>
      </c>
      <c r="P40" t="str">
        <f t="shared" si="4"/>
        <v/>
      </c>
      <c r="Q40" s="46" t="str">
        <f t="shared" si="5"/>
        <v/>
      </c>
      <c r="R40" s="218" t="str">
        <f t="shared" ca="1" si="8"/>
        <v/>
      </c>
    </row>
    <row r="41" spans="3:18" ht="15" customHeight="1">
      <c r="C41" s="46" t="str">
        <f t="shared" si="0"/>
        <v/>
      </c>
      <c r="D41" t="str">
        <f t="shared" si="1"/>
        <v/>
      </c>
      <c r="F41" s="188"/>
      <c r="J41" s="406">
        <f t="shared" si="7"/>
        <v>0</v>
      </c>
      <c r="K41" s="404">
        <f t="shared" si="7"/>
        <v>0</v>
      </c>
      <c r="L41" s="46"/>
      <c r="M41" s="242">
        <f t="shared" si="2"/>
        <v>0</v>
      </c>
      <c r="O41" s="315" t="str">
        <f t="shared" si="3"/>
        <v/>
      </c>
      <c r="P41" t="str">
        <f t="shared" si="4"/>
        <v/>
      </c>
      <c r="Q41" s="46" t="str">
        <f t="shared" si="5"/>
        <v/>
      </c>
      <c r="R41" s="218" t="str">
        <f t="shared" ca="1" si="8"/>
        <v/>
      </c>
    </row>
    <row r="42" spans="3:18" ht="15" customHeight="1">
      <c r="C42" s="46" t="str">
        <f t="shared" si="0"/>
        <v/>
      </c>
      <c r="D42" t="str">
        <f t="shared" si="1"/>
        <v/>
      </c>
      <c r="F42" s="188"/>
      <c r="J42" s="406">
        <f t="shared" si="7"/>
        <v>0</v>
      </c>
      <c r="K42" s="404">
        <f t="shared" si="7"/>
        <v>0</v>
      </c>
      <c r="L42" s="46"/>
      <c r="M42" s="242">
        <f t="shared" si="2"/>
        <v>0</v>
      </c>
      <c r="O42" s="315" t="str">
        <f t="shared" si="3"/>
        <v/>
      </c>
      <c r="P42" t="str">
        <f t="shared" si="4"/>
        <v/>
      </c>
      <c r="Q42" s="46" t="str">
        <f t="shared" si="5"/>
        <v/>
      </c>
      <c r="R42" s="218" t="str">
        <f t="shared" ca="1" si="8"/>
        <v/>
      </c>
    </row>
    <row r="43" spans="3:18" ht="15" customHeight="1">
      <c r="C43" s="46" t="str">
        <f t="shared" si="0"/>
        <v/>
      </c>
      <c r="D43" t="str">
        <f t="shared" si="1"/>
        <v/>
      </c>
      <c r="F43" s="188"/>
      <c r="J43" s="406">
        <f t="shared" si="7"/>
        <v>0</v>
      </c>
      <c r="K43" s="404">
        <f t="shared" si="7"/>
        <v>0</v>
      </c>
      <c r="L43" s="46"/>
      <c r="M43" s="242">
        <f t="shared" si="2"/>
        <v>0</v>
      </c>
      <c r="O43" s="315" t="str">
        <f t="shared" si="3"/>
        <v/>
      </c>
      <c r="P43" t="str">
        <f t="shared" si="4"/>
        <v/>
      </c>
      <c r="Q43" s="46" t="str">
        <f t="shared" si="5"/>
        <v/>
      </c>
      <c r="R43" s="218" t="str">
        <f t="shared" ca="1" si="8"/>
        <v/>
      </c>
    </row>
    <row r="44" spans="3:18" ht="15" customHeight="1">
      <c r="C44" s="46" t="str">
        <f t="shared" si="0"/>
        <v/>
      </c>
      <c r="D44" t="str">
        <f t="shared" si="1"/>
        <v/>
      </c>
      <c r="F44" s="188"/>
      <c r="J44" s="406">
        <f t="shared" si="7"/>
        <v>0</v>
      </c>
      <c r="K44" s="404">
        <f t="shared" si="7"/>
        <v>0</v>
      </c>
      <c r="L44" s="46"/>
      <c r="M44" s="242">
        <f t="shared" si="2"/>
        <v>0</v>
      </c>
      <c r="O44" s="315" t="str">
        <f t="shared" si="3"/>
        <v/>
      </c>
      <c r="P44" t="str">
        <f t="shared" si="4"/>
        <v/>
      </c>
      <c r="Q44" s="46" t="str">
        <f t="shared" si="5"/>
        <v/>
      </c>
      <c r="R44" s="218" t="str">
        <f t="shared" ca="1" si="8"/>
        <v/>
      </c>
    </row>
    <row r="45" spans="3:18" ht="15" customHeight="1">
      <c r="C45" s="46" t="str">
        <f t="shared" si="0"/>
        <v/>
      </c>
      <c r="D45" t="str">
        <f t="shared" si="1"/>
        <v/>
      </c>
      <c r="F45" s="188"/>
      <c r="J45" s="406">
        <f t="shared" si="7"/>
        <v>0</v>
      </c>
      <c r="K45" s="404">
        <f t="shared" si="7"/>
        <v>0</v>
      </c>
      <c r="L45" s="46"/>
      <c r="M45" s="242">
        <f t="shared" si="2"/>
        <v>0</v>
      </c>
      <c r="O45" s="315" t="str">
        <f t="shared" si="3"/>
        <v/>
      </c>
      <c r="P45" t="str">
        <f t="shared" si="4"/>
        <v/>
      </c>
      <c r="Q45" s="46" t="str">
        <f t="shared" si="5"/>
        <v/>
      </c>
      <c r="R45" s="218" t="str">
        <f t="shared" ca="1" si="8"/>
        <v/>
      </c>
    </row>
    <row r="46" spans="3:18" ht="15" customHeight="1">
      <c r="C46" s="46" t="str">
        <f t="shared" si="0"/>
        <v/>
      </c>
      <c r="D46" t="str">
        <f t="shared" si="1"/>
        <v/>
      </c>
      <c r="F46" s="188"/>
      <c r="J46" s="406">
        <f t="shared" si="7"/>
        <v>0</v>
      </c>
      <c r="K46" s="404">
        <f t="shared" si="7"/>
        <v>0</v>
      </c>
      <c r="L46" s="46"/>
      <c r="M46" s="242">
        <f t="shared" si="2"/>
        <v>0</v>
      </c>
      <c r="O46" s="315" t="str">
        <f t="shared" si="3"/>
        <v/>
      </c>
      <c r="P46" t="str">
        <f t="shared" si="4"/>
        <v/>
      </c>
      <c r="Q46" s="46" t="str">
        <f t="shared" si="5"/>
        <v/>
      </c>
      <c r="R46" s="218" t="str">
        <f t="shared" ca="1" si="8"/>
        <v/>
      </c>
    </row>
    <row r="47" spans="3:18" ht="15" customHeight="1">
      <c r="C47" s="46" t="str">
        <f t="shared" si="0"/>
        <v/>
      </c>
      <c r="D47" t="str">
        <f t="shared" si="1"/>
        <v/>
      </c>
      <c r="F47" s="188"/>
      <c r="J47" s="406">
        <f t="shared" si="7"/>
        <v>0</v>
      </c>
      <c r="K47" s="404">
        <f t="shared" si="7"/>
        <v>0</v>
      </c>
      <c r="L47" s="46"/>
      <c r="M47" s="242">
        <f t="shared" si="2"/>
        <v>0</v>
      </c>
      <c r="O47" s="315" t="str">
        <f t="shared" si="3"/>
        <v/>
      </c>
      <c r="P47" t="str">
        <f t="shared" si="4"/>
        <v/>
      </c>
      <c r="Q47" s="46" t="str">
        <f t="shared" si="5"/>
        <v/>
      </c>
      <c r="R47" s="218" t="str">
        <f t="shared" ca="1" si="8"/>
        <v/>
      </c>
    </row>
    <row r="48" spans="3:18" ht="15" customHeight="1">
      <c r="C48" s="46" t="str">
        <f t="shared" si="0"/>
        <v/>
      </c>
      <c r="D48" t="str">
        <f t="shared" si="1"/>
        <v/>
      </c>
      <c r="F48" s="188"/>
      <c r="J48" s="406">
        <f t="shared" si="7"/>
        <v>0</v>
      </c>
      <c r="K48" s="404">
        <f t="shared" si="7"/>
        <v>0</v>
      </c>
      <c r="L48" s="46"/>
      <c r="M48" s="242">
        <f t="shared" si="2"/>
        <v>0</v>
      </c>
      <c r="O48" s="315" t="str">
        <f t="shared" si="3"/>
        <v/>
      </c>
      <c r="P48" t="str">
        <f t="shared" si="4"/>
        <v/>
      </c>
      <c r="Q48" s="46" t="str">
        <f t="shared" si="5"/>
        <v/>
      </c>
      <c r="R48" s="218" t="str">
        <f t="shared" ca="1" si="8"/>
        <v/>
      </c>
    </row>
    <row r="49" spans="3:18" ht="15" customHeight="1">
      <c r="C49" s="46" t="str">
        <f t="shared" si="0"/>
        <v/>
      </c>
      <c r="D49" t="str">
        <f t="shared" si="1"/>
        <v/>
      </c>
      <c r="F49" s="188"/>
      <c r="J49" s="406">
        <f t="shared" si="7"/>
        <v>0</v>
      </c>
      <c r="K49" s="404">
        <f t="shared" si="7"/>
        <v>0</v>
      </c>
      <c r="L49" s="46"/>
      <c r="M49" s="242">
        <f t="shared" si="2"/>
        <v>0</v>
      </c>
      <c r="O49" s="315" t="str">
        <f t="shared" si="3"/>
        <v/>
      </c>
      <c r="P49" t="str">
        <f t="shared" si="4"/>
        <v/>
      </c>
      <c r="Q49" s="46" t="str">
        <f t="shared" si="5"/>
        <v/>
      </c>
      <c r="R49" s="218" t="str">
        <f t="shared" ca="1" si="8"/>
        <v/>
      </c>
    </row>
    <row r="50" spans="3:18" ht="15" customHeight="1">
      <c r="C50" s="46" t="str">
        <f t="shared" si="0"/>
        <v/>
      </c>
      <c r="D50" t="str">
        <f t="shared" si="1"/>
        <v/>
      </c>
      <c r="F50" s="188"/>
      <c r="J50" s="406">
        <f t="shared" si="7"/>
        <v>0</v>
      </c>
      <c r="K50" s="404">
        <f t="shared" si="7"/>
        <v>0</v>
      </c>
      <c r="L50" s="46"/>
      <c r="M50" s="242">
        <f t="shared" si="2"/>
        <v>0</v>
      </c>
      <c r="O50" s="315" t="str">
        <f t="shared" si="3"/>
        <v/>
      </c>
      <c r="P50" t="str">
        <f t="shared" si="4"/>
        <v/>
      </c>
      <c r="Q50" s="46" t="str">
        <f t="shared" si="5"/>
        <v/>
      </c>
      <c r="R50" s="218" t="str">
        <f t="shared" ca="1" si="8"/>
        <v/>
      </c>
    </row>
    <row r="51" spans="3:18" ht="15" customHeight="1">
      <c r="C51" s="46" t="str">
        <f t="shared" si="0"/>
        <v/>
      </c>
      <c r="D51" t="str">
        <f t="shared" si="1"/>
        <v/>
      </c>
      <c r="F51" s="188"/>
      <c r="J51" s="406">
        <f t="shared" si="7"/>
        <v>0</v>
      </c>
      <c r="K51" s="404">
        <f t="shared" si="7"/>
        <v>0</v>
      </c>
      <c r="L51" s="46"/>
      <c r="M51" s="242">
        <f t="shared" si="2"/>
        <v>0</v>
      </c>
      <c r="O51" s="315" t="str">
        <f t="shared" si="3"/>
        <v/>
      </c>
      <c r="P51" t="str">
        <f t="shared" si="4"/>
        <v/>
      </c>
      <c r="Q51" s="46" t="str">
        <f t="shared" si="5"/>
        <v/>
      </c>
      <c r="R51" s="218" t="str">
        <f t="shared" ca="1" si="8"/>
        <v/>
      </c>
    </row>
    <row r="52" spans="3:18" ht="15" customHeight="1">
      <c r="C52" s="46" t="str">
        <f t="shared" si="0"/>
        <v/>
      </c>
      <c r="D52" t="str">
        <f t="shared" si="1"/>
        <v/>
      </c>
      <c r="F52" s="188"/>
      <c r="J52" s="406">
        <f t="shared" si="7"/>
        <v>0</v>
      </c>
      <c r="K52" s="404">
        <f t="shared" si="7"/>
        <v>0</v>
      </c>
      <c r="L52" s="46"/>
      <c r="M52" s="242">
        <f t="shared" si="2"/>
        <v>0</v>
      </c>
      <c r="O52" s="315" t="str">
        <f t="shared" si="3"/>
        <v/>
      </c>
      <c r="P52" t="str">
        <f t="shared" si="4"/>
        <v/>
      </c>
      <c r="Q52" s="46" t="str">
        <f t="shared" si="5"/>
        <v/>
      </c>
      <c r="R52" s="218" t="str">
        <f t="shared" ca="1" si="8"/>
        <v/>
      </c>
    </row>
    <row r="53" spans="3:18" ht="15" customHeight="1">
      <c r="C53" s="46" t="str">
        <f t="shared" si="0"/>
        <v/>
      </c>
      <c r="D53" t="str">
        <f t="shared" si="1"/>
        <v/>
      </c>
      <c r="F53" s="188"/>
      <c r="J53" s="406">
        <f t="shared" si="7"/>
        <v>0</v>
      </c>
      <c r="K53" s="404">
        <f t="shared" si="7"/>
        <v>0</v>
      </c>
      <c r="L53" s="46"/>
      <c r="M53" s="242">
        <f t="shared" si="2"/>
        <v>0</v>
      </c>
      <c r="O53" s="315" t="str">
        <f t="shared" si="3"/>
        <v/>
      </c>
      <c r="P53" t="str">
        <f t="shared" si="4"/>
        <v/>
      </c>
      <c r="Q53" s="46" t="str">
        <f t="shared" si="5"/>
        <v/>
      </c>
      <c r="R53" s="218" t="str">
        <f t="shared" ca="1" si="8"/>
        <v/>
      </c>
    </row>
    <row r="54" spans="3:18" ht="15" customHeight="1">
      <c r="C54" s="46" t="str">
        <f t="shared" si="0"/>
        <v/>
      </c>
      <c r="D54" t="str">
        <f t="shared" si="1"/>
        <v/>
      </c>
      <c r="F54" s="188"/>
      <c r="J54" s="406">
        <f t="shared" si="7"/>
        <v>0</v>
      </c>
      <c r="K54" s="404">
        <f t="shared" si="7"/>
        <v>0</v>
      </c>
      <c r="L54" s="46"/>
      <c r="M54" s="242">
        <f t="shared" si="2"/>
        <v>0</v>
      </c>
      <c r="O54" s="315" t="str">
        <f t="shared" si="3"/>
        <v/>
      </c>
      <c r="P54" t="str">
        <f t="shared" si="4"/>
        <v/>
      </c>
      <c r="Q54" s="46" t="str">
        <f t="shared" si="5"/>
        <v/>
      </c>
      <c r="R54" s="218" t="str">
        <f t="shared" ca="1" si="8"/>
        <v/>
      </c>
    </row>
    <row r="55" spans="3:18" ht="15" customHeight="1">
      <c r="C55" s="46" t="str">
        <f t="shared" si="0"/>
        <v/>
      </c>
      <c r="D55" t="str">
        <f t="shared" si="1"/>
        <v/>
      </c>
      <c r="F55" s="188"/>
      <c r="J55" s="406">
        <f t="shared" si="7"/>
        <v>0</v>
      </c>
      <c r="K55" s="404">
        <f t="shared" si="7"/>
        <v>0</v>
      </c>
      <c r="L55" s="46"/>
      <c r="M55" s="242">
        <f t="shared" si="2"/>
        <v>0</v>
      </c>
      <c r="O55" s="315" t="str">
        <f t="shared" si="3"/>
        <v/>
      </c>
      <c r="P55" t="str">
        <f t="shared" si="4"/>
        <v/>
      </c>
      <c r="Q55" s="46" t="str">
        <f t="shared" si="5"/>
        <v/>
      </c>
      <c r="R55" s="218" t="str">
        <f t="shared" ca="1" si="8"/>
        <v/>
      </c>
    </row>
    <row r="56" spans="3:18" ht="15" customHeight="1">
      <c r="C56" s="46" t="str">
        <f t="shared" si="0"/>
        <v/>
      </c>
      <c r="D56" t="str">
        <f t="shared" si="1"/>
        <v/>
      </c>
      <c r="F56" s="188"/>
      <c r="J56" s="406">
        <f t="shared" si="7"/>
        <v>0</v>
      </c>
      <c r="K56" s="404">
        <f t="shared" si="7"/>
        <v>0</v>
      </c>
      <c r="L56" s="46"/>
      <c r="M56" s="242">
        <f t="shared" si="2"/>
        <v>0</v>
      </c>
      <c r="O56" s="315" t="str">
        <f t="shared" si="3"/>
        <v/>
      </c>
      <c r="P56" t="str">
        <f t="shared" si="4"/>
        <v/>
      </c>
      <c r="Q56" s="46" t="str">
        <f t="shared" si="5"/>
        <v/>
      </c>
      <c r="R56" s="218" t="str">
        <f t="shared" ca="1" si="8"/>
        <v/>
      </c>
    </row>
    <row r="57" spans="3:18" ht="15" customHeight="1">
      <c r="C57" s="46" t="str">
        <f t="shared" si="0"/>
        <v/>
      </c>
      <c r="D57" t="str">
        <f t="shared" si="1"/>
        <v/>
      </c>
      <c r="F57" s="188"/>
      <c r="J57" s="406">
        <f t="shared" si="7"/>
        <v>0</v>
      </c>
      <c r="K57" s="404">
        <f t="shared" si="7"/>
        <v>0</v>
      </c>
      <c r="L57" s="46"/>
      <c r="M57" s="242">
        <f t="shared" si="2"/>
        <v>0</v>
      </c>
      <c r="O57" s="315" t="str">
        <f t="shared" si="3"/>
        <v/>
      </c>
      <c r="P57" t="str">
        <f t="shared" si="4"/>
        <v/>
      </c>
      <c r="Q57" s="46" t="str">
        <f t="shared" si="5"/>
        <v/>
      </c>
      <c r="R57" s="218" t="str">
        <f t="shared" ca="1" si="8"/>
        <v/>
      </c>
    </row>
    <row r="58" spans="3:18" ht="15" customHeight="1">
      <c r="C58" s="46" t="str">
        <f t="shared" si="0"/>
        <v/>
      </c>
      <c r="D58" t="str">
        <f t="shared" si="1"/>
        <v/>
      </c>
      <c r="F58" s="188"/>
      <c r="J58" s="406">
        <f t="shared" si="7"/>
        <v>0</v>
      </c>
      <c r="K58" s="404">
        <f t="shared" si="7"/>
        <v>0</v>
      </c>
      <c r="L58" s="46"/>
      <c r="M58" s="242">
        <f t="shared" si="2"/>
        <v>0</v>
      </c>
      <c r="O58" s="315" t="str">
        <f t="shared" si="3"/>
        <v/>
      </c>
      <c r="P58" t="str">
        <f t="shared" si="4"/>
        <v/>
      </c>
      <c r="Q58" s="46" t="str">
        <f t="shared" si="5"/>
        <v/>
      </c>
      <c r="R58" s="218" t="str">
        <f t="shared" ca="1" si="8"/>
        <v/>
      </c>
    </row>
    <row r="59" spans="3:18" ht="15" customHeight="1">
      <c r="C59" s="46" t="str">
        <f t="shared" si="0"/>
        <v/>
      </c>
      <c r="D59" t="str">
        <f t="shared" si="1"/>
        <v/>
      </c>
      <c r="F59" s="188"/>
      <c r="J59" s="406">
        <f t="shared" si="7"/>
        <v>0</v>
      </c>
      <c r="K59" s="404">
        <f t="shared" si="7"/>
        <v>0</v>
      </c>
      <c r="L59" s="46"/>
      <c r="M59" s="242">
        <f t="shared" si="2"/>
        <v>0</v>
      </c>
      <c r="O59" s="315" t="str">
        <f t="shared" si="3"/>
        <v/>
      </c>
      <c r="P59" t="str">
        <f t="shared" si="4"/>
        <v/>
      </c>
      <c r="Q59" s="46" t="str">
        <f t="shared" si="5"/>
        <v/>
      </c>
      <c r="R59" s="218" t="str">
        <f t="shared" ca="1" si="8"/>
        <v/>
      </c>
    </row>
    <row r="60" spans="3:18" ht="15" customHeight="1">
      <c r="C60" s="46" t="str">
        <f t="shared" si="0"/>
        <v/>
      </c>
      <c r="D60" t="str">
        <f t="shared" si="1"/>
        <v/>
      </c>
      <c r="F60" s="188"/>
      <c r="J60" s="406">
        <f t="shared" si="7"/>
        <v>0</v>
      </c>
      <c r="K60" s="404">
        <f t="shared" si="7"/>
        <v>0</v>
      </c>
      <c r="L60" s="46"/>
      <c r="M60" s="242">
        <f t="shared" si="2"/>
        <v>0</v>
      </c>
      <c r="O60" s="315" t="str">
        <f t="shared" si="3"/>
        <v/>
      </c>
      <c r="P60" t="str">
        <f t="shared" si="4"/>
        <v/>
      </c>
      <c r="Q60" s="46" t="str">
        <f t="shared" si="5"/>
        <v/>
      </c>
      <c r="R60" s="218" t="str">
        <f t="shared" ca="1" si="8"/>
        <v/>
      </c>
    </row>
    <row r="61" spans="3:18" ht="15" customHeight="1">
      <c r="C61" s="46" t="str">
        <f t="shared" si="0"/>
        <v/>
      </c>
      <c r="D61" t="str">
        <f t="shared" si="1"/>
        <v/>
      </c>
      <c r="F61" s="188"/>
      <c r="J61" s="406">
        <f t="shared" si="7"/>
        <v>0</v>
      </c>
      <c r="K61" s="404">
        <f t="shared" si="7"/>
        <v>0</v>
      </c>
      <c r="L61" s="46"/>
      <c r="M61" s="242">
        <f t="shared" si="2"/>
        <v>0</v>
      </c>
      <c r="O61" s="315" t="str">
        <f t="shared" si="3"/>
        <v/>
      </c>
      <c r="P61" t="str">
        <f t="shared" si="4"/>
        <v/>
      </c>
      <c r="Q61" s="46" t="str">
        <f t="shared" si="5"/>
        <v/>
      </c>
      <c r="R61" s="218" t="str">
        <f t="shared" ca="1" si="8"/>
        <v/>
      </c>
    </row>
    <row r="62" spans="3:18" ht="15" customHeight="1">
      <c r="C62" s="46" t="str">
        <f t="shared" si="0"/>
        <v/>
      </c>
      <c r="D62" t="str">
        <f t="shared" si="1"/>
        <v/>
      </c>
      <c r="F62" s="188"/>
      <c r="J62" s="406">
        <f t="shared" si="7"/>
        <v>0</v>
      </c>
      <c r="K62" s="404">
        <f t="shared" si="7"/>
        <v>0</v>
      </c>
      <c r="L62" s="46"/>
      <c r="M62" s="242">
        <f t="shared" si="2"/>
        <v>0</v>
      </c>
      <c r="O62" s="315" t="str">
        <f t="shared" si="3"/>
        <v/>
      </c>
      <c r="P62" t="str">
        <f t="shared" si="4"/>
        <v/>
      </c>
      <c r="Q62" s="46" t="str">
        <f t="shared" si="5"/>
        <v/>
      </c>
      <c r="R62" s="218" t="str">
        <f t="shared" ca="1" si="8"/>
        <v/>
      </c>
    </row>
    <row r="63" spans="3:18" ht="15" customHeight="1">
      <c r="C63" s="46" t="str">
        <f t="shared" si="0"/>
        <v/>
      </c>
      <c r="D63" t="str">
        <f t="shared" si="1"/>
        <v/>
      </c>
      <c r="F63" s="188"/>
      <c r="J63" s="406">
        <f t="shared" si="7"/>
        <v>0</v>
      </c>
      <c r="K63" s="404">
        <f t="shared" si="7"/>
        <v>0</v>
      </c>
      <c r="L63" s="46"/>
      <c r="M63" s="242">
        <f t="shared" si="2"/>
        <v>0</v>
      </c>
      <c r="O63" s="315" t="str">
        <f t="shared" si="3"/>
        <v/>
      </c>
      <c r="P63" t="str">
        <f t="shared" si="4"/>
        <v/>
      </c>
      <c r="Q63" s="46" t="str">
        <f t="shared" si="5"/>
        <v/>
      </c>
      <c r="R63" s="218" t="str">
        <f t="shared" ca="1" si="8"/>
        <v/>
      </c>
    </row>
    <row r="64" spans="3:18" ht="15" customHeight="1">
      <c r="C64" s="46" t="str">
        <f t="shared" si="0"/>
        <v/>
      </c>
      <c r="D64" t="str">
        <f t="shared" si="1"/>
        <v/>
      </c>
      <c r="F64" s="188"/>
      <c r="J64" s="406">
        <f t="shared" si="7"/>
        <v>0</v>
      </c>
      <c r="K64" s="404">
        <f t="shared" si="7"/>
        <v>0</v>
      </c>
      <c r="L64" s="46"/>
      <c r="M64" s="242">
        <f t="shared" si="2"/>
        <v>0</v>
      </c>
      <c r="O64" s="315" t="str">
        <f t="shared" si="3"/>
        <v/>
      </c>
      <c r="P64" t="str">
        <f t="shared" si="4"/>
        <v/>
      </c>
      <c r="Q64" s="46" t="str">
        <f t="shared" si="5"/>
        <v/>
      </c>
      <c r="R64" s="218" t="str">
        <f t="shared" ca="1" si="8"/>
        <v/>
      </c>
    </row>
    <row r="65" spans="3:18" ht="15" customHeight="1">
      <c r="C65" s="46" t="str">
        <f t="shared" si="0"/>
        <v/>
      </c>
      <c r="D65" t="str">
        <f t="shared" si="1"/>
        <v/>
      </c>
      <c r="F65" s="188"/>
      <c r="J65" s="406">
        <f t="shared" si="7"/>
        <v>0</v>
      </c>
      <c r="K65" s="404">
        <f t="shared" si="7"/>
        <v>0</v>
      </c>
      <c r="L65" s="46"/>
      <c r="M65" s="242">
        <f t="shared" si="2"/>
        <v>0</v>
      </c>
      <c r="O65" s="315" t="str">
        <f t="shared" si="3"/>
        <v/>
      </c>
      <c r="P65" t="str">
        <f t="shared" si="4"/>
        <v/>
      </c>
      <c r="Q65" s="46" t="str">
        <f t="shared" si="5"/>
        <v/>
      </c>
      <c r="R65" s="218" t="str">
        <f t="shared" ca="1" si="8"/>
        <v/>
      </c>
    </row>
    <row r="66" spans="3:18" ht="15" customHeight="1">
      <c r="C66" s="46" t="str">
        <f t="shared" si="0"/>
        <v/>
      </c>
      <c r="D66" t="str">
        <f t="shared" si="1"/>
        <v/>
      </c>
      <c r="F66" s="188"/>
      <c r="J66" s="406">
        <f t="shared" si="7"/>
        <v>0</v>
      </c>
      <c r="K66" s="404">
        <f t="shared" si="7"/>
        <v>0</v>
      </c>
      <c r="L66" s="46"/>
      <c r="M66" s="242">
        <f t="shared" si="2"/>
        <v>0</v>
      </c>
      <c r="O66" s="315" t="str">
        <f t="shared" si="3"/>
        <v/>
      </c>
      <c r="P66" t="str">
        <f t="shared" si="4"/>
        <v/>
      </c>
      <c r="Q66" s="46" t="str">
        <f t="shared" si="5"/>
        <v/>
      </c>
      <c r="R66" s="218" t="str">
        <f t="shared" ca="1" si="8"/>
        <v/>
      </c>
    </row>
    <row r="67" spans="3:18" ht="15" customHeight="1">
      <c r="C67" s="46" t="str">
        <f t="shared" si="0"/>
        <v/>
      </c>
      <c r="D67" t="str">
        <f t="shared" si="1"/>
        <v/>
      </c>
      <c r="F67" s="188"/>
      <c r="J67" s="406">
        <f t="shared" si="7"/>
        <v>0</v>
      </c>
      <c r="K67" s="404">
        <f t="shared" si="7"/>
        <v>0</v>
      </c>
      <c r="L67" s="46"/>
      <c r="M67" s="242">
        <f t="shared" si="2"/>
        <v>0</v>
      </c>
      <c r="O67" s="315" t="str">
        <f t="shared" si="3"/>
        <v/>
      </c>
      <c r="P67" t="str">
        <f t="shared" si="4"/>
        <v/>
      </c>
      <c r="Q67" s="46" t="str">
        <f t="shared" si="5"/>
        <v/>
      </c>
      <c r="R67" s="218" t="str">
        <f t="shared" ca="1" si="8"/>
        <v/>
      </c>
    </row>
    <row r="68" spans="3:18" ht="15" customHeight="1">
      <c r="C68" s="46" t="str">
        <f t="shared" ref="C68:C131" si="9">IF(B68&lt;&gt;"",PROPER(TEXT(B68,"mmmm")),"")</f>
        <v/>
      </c>
      <c r="D68" t="str">
        <f t="shared" ref="D68:D131" si="10">IF(B68&lt;&gt;"",TEXT(B68,"aaaa"),"")</f>
        <v/>
      </c>
      <c r="F68" s="188"/>
      <c r="J68" s="406">
        <f t="shared" si="7"/>
        <v>0</v>
      </c>
      <c r="K68" s="404">
        <f t="shared" si="7"/>
        <v>0</v>
      </c>
      <c r="L68" s="46"/>
      <c r="M68" s="242">
        <f t="shared" si="2"/>
        <v>0</v>
      </c>
      <c r="O68" s="315" t="str">
        <f t="shared" ref="O68:O129" si="11">IF(N68&lt;&gt;"",TEXT(N68,"mmmm"),"")</f>
        <v/>
      </c>
      <c r="P68" t="str">
        <f t="shared" ref="P68:P131" si="12">IF(N68&lt;&gt;"",TEXT(N68,"aaaa"),"")</f>
        <v/>
      </c>
      <c r="Q68" s="46" t="str">
        <f t="shared" si="5"/>
        <v/>
      </c>
      <c r="R68" s="218" t="str">
        <f t="shared" ca="1" si="8"/>
        <v/>
      </c>
    </row>
    <row r="69" spans="3:18" ht="15" customHeight="1">
      <c r="C69" s="46" t="str">
        <f t="shared" si="9"/>
        <v/>
      </c>
      <c r="D69" t="str">
        <f t="shared" si="10"/>
        <v/>
      </c>
      <c r="F69" s="188"/>
      <c r="J69" s="406">
        <f t="shared" ref="J69:K125" si="13">I69</f>
        <v>0</v>
      </c>
      <c r="K69" s="404">
        <f t="shared" si="13"/>
        <v>0</v>
      </c>
      <c r="L69" s="46"/>
      <c r="M69" s="242">
        <f t="shared" si="2"/>
        <v>0</v>
      </c>
      <c r="O69" s="315" t="str">
        <f t="shared" si="11"/>
        <v/>
      </c>
      <c r="P69" t="str">
        <f t="shared" si="12"/>
        <v/>
      </c>
      <c r="Q69" s="46" t="str">
        <f t="shared" ref="Q69:Q132" si="14">IF(J69=0,"",IF(K69=0,"PAGO","A PAGAR"))</f>
        <v/>
      </c>
      <c r="R69" s="218" t="str">
        <f t="shared" ref="R69:R100" ca="1" si="15">IF(Q69="PAGO", "✓ OK", IF(Q69="A PAGAR", IF(N69&lt;TODAY(), "⚠ EM ATRASO", "EM DIA"), ""))</f>
        <v/>
      </c>
    </row>
    <row r="70" spans="3:18" ht="15" customHeight="1">
      <c r="C70" s="46" t="str">
        <f t="shared" si="9"/>
        <v/>
      </c>
      <c r="D70" t="str">
        <f t="shared" si="10"/>
        <v/>
      </c>
      <c r="F70" s="188"/>
      <c r="J70" s="406">
        <f t="shared" si="13"/>
        <v>0</v>
      </c>
      <c r="K70" s="404">
        <f t="shared" si="13"/>
        <v>0</v>
      </c>
      <c r="L70" s="46"/>
      <c r="M70" s="242">
        <f t="shared" ref="M70:M133" si="16">J70</f>
        <v>0</v>
      </c>
      <c r="O70" s="315" t="str">
        <f t="shared" si="11"/>
        <v/>
      </c>
      <c r="P70" t="str">
        <f t="shared" si="12"/>
        <v/>
      </c>
      <c r="Q70" s="46" t="str">
        <f t="shared" si="14"/>
        <v/>
      </c>
      <c r="R70" s="218" t="str">
        <f t="shared" ca="1" si="15"/>
        <v/>
      </c>
    </row>
    <row r="71" spans="3:18" ht="15" customHeight="1">
      <c r="C71" s="46" t="str">
        <f t="shared" si="9"/>
        <v/>
      </c>
      <c r="D71" t="str">
        <f t="shared" si="10"/>
        <v/>
      </c>
      <c r="F71" s="188"/>
      <c r="J71" s="406">
        <f t="shared" si="13"/>
        <v>0</v>
      </c>
      <c r="K71" s="404">
        <f t="shared" si="13"/>
        <v>0</v>
      </c>
      <c r="L71" s="46"/>
      <c r="M71" s="242">
        <f t="shared" si="16"/>
        <v>0</v>
      </c>
      <c r="O71" s="315" t="str">
        <f t="shared" si="11"/>
        <v/>
      </c>
      <c r="P71" t="str">
        <f t="shared" si="12"/>
        <v/>
      </c>
      <c r="Q71" s="46" t="str">
        <f t="shared" si="14"/>
        <v/>
      </c>
      <c r="R71" s="218" t="str">
        <f t="shared" ca="1" si="15"/>
        <v/>
      </c>
    </row>
    <row r="72" spans="3:18" ht="15" customHeight="1">
      <c r="C72" s="46" t="str">
        <f t="shared" si="9"/>
        <v/>
      </c>
      <c r="D72" t="str">
        <f t="shared" si="10"/>
        <v/>
      </c>
      <c r="F72" s="188"/>
      <c r="J72" s="406">
        <f t="shared" si="13"/>
        <v>0</v>
      </c>
      <c r="K72" s="404">
        <f t="shared" si="13"/>
        <v>0</v>
      </c>
      <c r="L72" s="46"/>
      <c r="M72" s="242">
        <f t="shared" si="16"/>
        <v>0</v>
      </c>
      <c r="O72" s="315" t="str">
        <f t="shared" si="11"/>
        <v/>
      </c>
      <c r="P72" t="str">
        <f t="shared" si="12"/>
        <v/>
      </c>
      <c r="Q72" s="46" t="str">
        <f t="shared" si="14"/>
        <v/>
      </c>
      <c r="R72" s="218" t="str">
        <f t="shared" ca="1" si="15"/>
        <v/>
      </c>
    </row>
    <row r="73" spans="3:18" ht="15" customHeight="1">
      <c r="C73" s="46" t="str">
        <f t="shared" si="9"/>
        <v/>
      </c>
      <c r="D73" t="str">
        <f t="shared" si="10"/>
        <v/>
      </c>
      <c r="F73" s="188"/>
      <c r="J73" s="406">
        <f t="shared" si="13"/>
        <v>0</v>
      </c>
      <c r="K73" s="404">
        <f t="shared" si="13"/>
        <v>0</v>
      </c>
      <c r="L73" s="46"/>
      <c r="M73" s="242">
        <f t="shared" si="16"/>
        <v>0</v>
      </c>
      <c r="O73" s="315" t="str">
        <f t="shared" si="11"/>
        <v/>
      </c>
      <c r="P73" t="str">
        <f t="shared" si="12"/>
        <v/>
      </c>
      <c r="Q73" s="46" t="str">
        <f t="shared" si="14"/>
        <v/>
      </c>
      <c r="R73" s="218" t="str">
        <f t="shared" ca="1" si="15"/>
        <v/>
      </c>
    </row>
    <row r="74" spans="3:18" ht="15" customHeight="1">
      <c r="C74" s="46" t="str">
        <f t="shared" si="9"/>
        <v/>
      </c>
      <c r="D74" t="str">
        <f t="shared" si="10"/>
        <v/>
      </c>
      <c r="F74" s="188"/>
      <c r="J74" s="406">
        <f t="shared" si="13"/>
        <v>0</v>
      </c>
      <c r="K74" s="404">
        <f t="shared" si="13"/>
        <v>0</v>
      </c>
      <c r="L74" s="46"/>
      <c r="M74" s="242">
        <f t="shared" si="16"/>
        <v>0</v>
      </c>
      <c r="O74" s="315" t="str">
        <f t="shared" si="11"/>
        <v/>
      </c>
      <c r="P74" t="str">
        <f t="shared" si="12"/>
        <v/>
      </c>
      <c r="Q74" s="46" t="str">
        <f t="shared" si="14"/>
        <v/>
      </c>
      <c r="R74" s="218" t="str">
        <f t="shared" ca="1" si="15"/>
        <v/>
      </c>
    </row>
    <row r="75" spans="3:18" ht="15" customHeight="1">
      <c r="C75" s="46" t="str">
        <f t="shared" si="9"/>
        <v/>
      </c>
      <c r="D75" t="str">
        <f t="shared" si="10"/>
        <v/>
      </c>
      <c r="F75" s="188"/>
      <c r="J75" s="406">
        <f t="shared" si="13"/>
        <v>0</v>
      </c>
      <c r="K75" s="404">
        <f t="shared" si="13"/>
        <v>0</v>
      </c>
      <c r="L75" s="46"/>
      <c r="M75" s="242">
        <f t="shared" si="16"/>
        <v>0</v>
      </c>
      <c r="O75" s="315" t="str">
        <f t="shared" si="11"/>
        <v/>
      </c>
      <c r="P75" t="str">
        <f t="shared" si="12"/>
        <v/>
      </c>
      <c r="Q75" s="46" t="str">
        <f t="shared" si="14"/>
        <v/>
      </c>
      <c r="R75" s="218" t="str">
        <f t="shared" ca="1" si="15"/>
        <v/>
      </c>
    </row>
    <row r="76" spans="3:18" ht="15" customHeight="1">
      <c r="C76" s="46" t="str">
        <f t="shared" si="9"/>
        <v/>
      </c>
      <c r="D76" t="str">
        <f t="shared" si="10"/>
        <v/>
      </c>
      <c r="F76" s="188"/>
      <c r="J76" s="406">
        <f t="shared" si="13"/>
        <v>0</v>
      </c>
      <c r="K76" s="404">
        <f t="shared" si="13"/>
        <v>0</v>
      </c>
      <c r="L76" s="46"/>
      <c r="M76" s="242">
        <f t="shared" si="16"/>
        <v>0</v>
      </c>
      <c r="O76" s="315" t="str">
        <f t="shared" si="11"/>
        <v/>
      </c>
      <c r="P76" t="str">
        <f t="shared" si="12"/>
        <v/>
      </c>
      <c r="Q76" s="46" t="str">
        <f t="shared" si="14"/>
        <v/>
      </c>
      <c r="R76" s="218" t="str">
        <f t="shared" ca="1" si="15"/>
        <v/>
      </c>
    </row>
    <row r="77" spans="3:18" ht="15" customHeight="1">
      <c r="C77" s="46" t="str">
        <f t="shared" si="9"/>
        <v/>
      </c>
      <c r="D77" t="str">
        <f t="shared" si="10"/>
        <v/>
      </c>
      <c r="F77" s="188"/>
      <c r="J77" s="406">
        <f t="shared" si="13"/>
        <v>0</v>
      </c>
      <c r="K77" s="404">
        <f t="shared" si="13"/>
        <v>0</v>
      </c>
      <c r="L77" s="46"/>
      <c r="M77" s="242">
        <f t="shared" si="16"/>
        <v>0</v>
      </c>
      <c r="O77" s="315" t="str">
        <f t="shared" si="11"/>
        <v/>
      </c>
      <c r="P77" t="str">
        <f t="shared" si="12"/>
        <v/>
      </c>
      <c r="Q77" s="46" t="str">
        <f t="shared" si="14"/>
        <v/>
      </c>
      <c r="R77" s="218" t="str">
        <f t="shared" ca="1" si="15"/>
        <v/>
      </c>
    </row>
    <row r="78" spans="3:18" ht="15" customHeight="1">
      <c r="C78" s="46" t="str">
        <f t="shared" si="9"/>
        <v/>
      </c>
      <c r="D78" t="str">
        <f t="shared" si="10"/>
        <v/>
      </c>
      <c r="F78" s="188"/>
      <c r="J78" s="406">
        <f t="shared" si="13"/>
        <v>0</v>
      </c>
      <c r="K78" s="404">
        <f t="shared" si="13"/>
        <v>0</v>
      </c>
      <c r="L78" s="46"/>
      <c r="M78" s="242">
        <f t="shared" si="16"/>
        <v>0</v>
      </c>
      <c r="O78" s="315" t="str">
        <f t="shared" si="11"/>
        <v/>
      </c>
      <c r="P78" t="str">
        <f t="shared" si="12"/>
        <v/>
      </c>
      <c r="Q78" s="46" t="str">
        <f t="shared" si="14"/>
        <v/>
      </c>
      <c r="R78" s="218" t="str">
        <f t="shared" ca="1" si="15"/>
        <v/>
      </c>
    </row>
    <row r="79" spans="3:18" ht="15" customHeight="1">
      <c r="C79" s="46" t="str">
        <f t="shared" si="9"/>
        <v/>
      </c>
      <c r="D79" t="str">
        <f t="shared" si="10"/>
        <v/>
      </c>
      <c r="F79" s="188"/>
      <c r="J79" s="406">
        <f t="shared" si="13"/>
        <v>0</v>
      </c>
      <c r="K79" s="404">
        <f t="shared" si="13"/>
        <v>0</v>
      </c>
      <c r="L79" s="46"/>
      <c r="M79" s="242">
        <f t="shared" si="16"/>
        <v>0</v>
      </c>
      <c r="O79" s="315" t="str">
        <f t="shared" si="11"/>
        <v/>
      </c>
      <c r="P79" t="str">
        <f t="shared" si="12"/>
        <v/>
      </c>
      <c r="Q79" s="46" t="str">
        <f t="shared" si="14"/>
        <v/>
      </c>
      <c r="R79" s="218" t="str">
        <f t="shared" ca="1" si="15"/>
        <v/>
      </c>
    </row>
    <row r="80" spans="3:18" ht="15" customHeight="1">
      <c r="C80" s="46" t="str">
        <f t="shared" si="9"/>
        <v/>
      </c>
      <c r="D80" t="str">
        <f t="shared" si="10"/>
        <v/>
      </c>
      <c r="F80" s="188"/>
      <c r="J80" s="406">
        <f t="shared" si="13"/>
        <v>0</v>
      </c>
      <c r="K80" s="404">
        <f t="shared" si="13"/>
        <v>0</v>
      </c>
      <c r="L80" s="46"/>
      <c r="M80" s="242">
        <f t="shared" si="16"/>
        <v>0</v>
      </c>
      <c r="O80" s="315" t="str">
        <f t="shared" si="11"/>
        <v/>
      </c>
      <c r="P80" t="str">
        <f t="shared" si="12"/>
        <v/>
      </c>
      <c r="Q80" s="46" t="str">
        <f t="shared" si="14"/>
        <v/>
      </c>
      <c r="R80" s="218" t="str">
        <f t="shared" ca="1" si="15"/>
        <v/>
      </c>
    </row>
    <row r="81" spans="3:18" ht="15" customHeight="1">
      <c r="C81" s="46" t="str">
        <f t="shared" si="9"/>
        <v/>
      </c>
      <c r="D81" t="str">
        <f t="shared" si="10"/>
        <v/>
      </c>
      <c r="F81" s="188"/>
      <c r="J81" s="406">
        <f t="shared" si="13"/>
        <v>0</v>
      </c>
      <c r="K81" s="404">
        <f t="shared" si="13"/>
        <v>0</v>
      </c>
      <c r="L81" s="46"/>
      <c r="M81" s="242">
        <f t="shared" si="16"/>
        <v>0</v>
      </c>
      <c r="O81" s="315" t="str">
        <f t="shared" si="11"/>
        <v/>
      </c>
      <c r="P81" t="str">
        <f t="shared" si="12"/>
        <v/>
      </c>
      <c r="Q81" s="46" t="str">
        <f t="shared" si="14"/>
        <v/>
      </c>
      <c r="R81" s="218" t="str">
        <f t="shared" ca="1" si="15"/>
        <v/>
      </c>
    </row>
    <row r="82" spans="3:18" ht="15" customHeight="1">
      <c r="C82" s="46" t="str">
        <f t="shared" si="9"/>
        <v/>
      </c>
      <c r="D82" t="str">
        <f t="shared" si="10"/>
        <v/>
      </c>
      <c r="F82" s="188"/>
      <c r="J82" s="406">
        <f t="shared" si="13"/>
        <v>0</v>
      </c>
      <c r="K82" s="404">
        <f t="shared" si="13"/>
        <v>0</v>
      </c>
      <c r="L82" s="46"/>
      <c r="M82" s="242">
        <f t="shared" si="16"/>
        <v>0</v>
      </c>
      <c r="O82" s="315" t="str">
        <f t="shared" si="11"/>
        <v/>
      </c>
      <c r="P82" t="str">
        <f t="shared" si="12"/>
        <v/>
      </c>
      <c r="Q82" s="46" t="str">
        <f t="shared" si="14"/>
        <v/>
      </c>
      <c r="R82" s="218" t="str">
        <f t="shared" ca="1" si="15"/>
        <v/>
      </c>
    </row>
    <row r="83" spans="3:18" ht="15" customHeight="1">
      <c r="C83" s="46" t="str">
        <f t="shared" si="9"/>
        <v/>
      </c>
      <c r="D83" t="str">
        <f t="shared" si="10"/>
        <v/>
      </c>
      <c r="F83" s="188"/>
      <c r="J83" s="406">
        <f t="shared" si="13"/>
        <v>0</v>
      </c>
      <c r="K83" s="404">
        <f t="shared" si="13"/>
        <v>0</v>
      </c>
      <c r="L83" s="46"/>
      <c r="M83" s="242">
        <f t="shared" si="16"/>
        <v>0</v>
      </c>
      <c r="O83" s="315" t="str">
        <f t="shared" si="11"/>
        <v/>
      </c>
      <c r="P83" t="str">
        <f t="shared" si="12"/>
        <v/>
      </c>
      <c r="Q83" s="46" t="str">
        <f t="shared" si="14"/>
        <v/>
      </c>
      <c r="R83" s="218" t="str">
        <f t="shared" ca="1" si="15"/>
        <v/>
      </c>
    </row>
    <row r="84" spans="3:18" ht="15" customHeight="1">
      <c r="C84" s="46" t="str">
        <f t="shared" si="9"/>
        <v/>
      </c>
      <c r="D84" t="str">
        <f t="shared" si="10"/>
        <v/>
      </c>
      <c r="F84" s="188"/>
      <c r="J84" s="406">
        <f t="shared" si="13"/>
        <v>0</v>
      </c>
      <c r="K84" s="404">
        <f t="shared" si="13"/>
        <v>0</v>
      </c>
      <c r="L84" s="46"/>
      <c r="M84" s="242">
        <f t="shared" si="16"/>
        <v>0</v>
      </c>
      <c r="O84" s="315" t="str">
        <f t="shared" si="11"/>
        <v/>
      </c>
      <c r="P84" t="str">
        <f t="shared" si="12"/>
        <v/>
      </c>
      <c r="Q84" s="46" t="str">
        <f t="shared" si="14"/>
        <v/>
      </c>
      <c r="R84" s="218" t="str">
        <f t="shared" ca="1" si="15"/>
        <v/>
      </c>
    </row>
    <row r="85" spans="3:18" ht="15" customHeight="1">
      <c r="C85" s="46" t="str">
        <f t="shared" si="9"/>
        <v/>
      </c>
      <c r="D85" t="str">
        <f t="shared" si="10"/>
        <v/>
      </c>
      <c r="F85" s="188"/>
      <c r="J85" s="406">
        <f t="shared" si="13"/>
        <v>0</v>
      </c>
      <c r="K85" s="404">
        <f t="shared" si="13"/>
        <v>0</v>
      </c>
      <c r="L85" s="46"/>
      <c r="M85" s="242">
        <f t="shared" si="16"/>
        <v>0</v>
      </c>
      <c r="O85" s="315" t="str">
        <f t="shared" si="11"/>
        <v/>
      </c>
      <c r="P85" t="str">
        <f t="shared" si="12"/>
        <v/>
      </c>
      <c r="Q85" s="46" t="str">
        <f t="shared" si="14"/>
        <v/>
      </c>
      <c r="R85" s="218" t="str">
        <f t="shared" ca="1" si="15"/>
        <v/>
      </c>
    </row>
    <row r="86" spans="3:18" ht="15" customHeight="1">
      <c r="C86" s="46" t="str">
        <f t="shared" si="9"/>
        <v/>
      </c>
      <c r="D86" t="str">
        <f t="shared" si="10"/>
        <v/>
      </c>
      <c r="F86" s="188"/>
      <c r="J86" s="406">
        <f t="shared" si="13"/>
        <v>0</v>
      </c>
      <c r="K86" s="404">
        <f t="shared" si="13"/>
        <v>0</v>
      </c>
      <c r="L86" s="46"/>
      <c r="M86" s="242">
        <f t="shared" si="16"/>
        <v>0</v>
      </c>
      <c r="O86" s="315" t="str">
        <f t="shared" si="11"/>
        <v/>
      </c>
      <c r="P86" t="str">
        <f t="shared" si="12"/>
        <v/>
      </c>
      <c r="Q86" s="46" t="str">
        <f t="shared" si="14"/>
        <v/>
      </c>
      <c r="R86" s="218" t="str">
        <f t="shared" ca="1" si="15"/>
        <v/>
      </c>
    </row>
    <row r="87" spans="3:18" ht="15" customHeight="1">
      <c r="C87" s="46" t="str">
        <f t="shared" si="9"/>
        <v/>
      </c>
      <c r="D87" t="str">
        <f t="shared" si="10"/>
        <v/>
      </c>
      <c r="F87" s="188"/>
      <c r="J87" s="406">
        <f t="shared" si="13"/>
        <v>0</v>
      </c>
      <c r="K87" s="404">
        <f t="shared" si="13"/>
        <v>0</v>
      </c>
      <c r="L87" s="46"/>
      <c r="M87" s="242">
        <f t="shared" si="16"/>
        <v>0</v>
      </c>
      <c r="O87" s="315" t="str">
        <f t="shared" si="11"/>
        <v/>
      </c>
      <c r="P87" t="str">
        <f t="shared" si="12"/>
        <v/>
      </c>
      <c r="Q87" s="46" t="str">
        <f t="shared" si="14"/>
        <v/>
      </c>
      <c r="R87" s="218" t="str">
        <f t="shared" ca="1" si="15"/>
        <v/>
      </c>
    </row>
    <row r="88" spans="3:18" ht="15" customHeight="1">
      <c r="C88" s="46" t="str">
        <f t="shared" si="9"/>
        <v/>
      </c>
      <c r="D88" t="str">
        <f t="shared" si="10"/>
        <v/>
      </c>
      <c r="F88" s="188"/>
      <c r="J88" s="406">
        <f t="shared" si="13"/>
        <v>0</v>
      </c>
      <c r="K88" s="404">
        <f t="shared" si="13"/>
        <v>0</v>
      </c>
      <c r="L88" s="46"/>
      <c r="M88" s="242">
        <f t="shared" si="16"/>
        <v>0</v>
      </c>
      <c r="O88" s="315" t="str">
        <f t="shared" si="11"/>
        <v/>
      </c>
      <c r="P88" t="str">
        <f t="shared" si="12"/>
        <v/>
      </c>
      <c r="Q88" s="46" t="str">
        <f t="shared" si="14"/>
        <v/>
      </c>
      <c r="R88" s="218" t="str">
        <f t="shared" ca="1" si="15"/>
        <v/>
      </c>
    </row>
    <row r="89" spans="3:18" ht="15" customHeight="1">
      <c r="C89" s="46" t="str">
        <f t="shared" si="9"/>
        <v/>
      </c>
      <c r="D89" t="str">
        <f t="shared" si="10"/>
        <v/>
      </c>
      <c r="F89" s="188"/>
      <c r="J89" s="406">
        <f t="shared" si="13"/>
        <v>0</v>
      </c>
      <c r="K89" s="404">
        <f t="shared" si="13"/>
        <v>0</v>
      </c>
      <c r="L89" s="46"/>
      <c r="M89" s="242">
        <f t="shared" si="16"/>
        <v>0</v>
      </c>
      <c r="O89" s="315" t="str">
        <f t="shared" si="11"/>
        <v/>
      </c>
      <c r="P89" t="str">
        <f t="shared" si="12"/>
        <v/>
      </c>
      <c r="Q89" s="46" t="str">
        <f t="shared" si="14"/>
        <v/>
      </c>
      <c r="R89" s="218" t="str">
        <f t="shared" ca="1" si="15"/>
        <v/>
      </c>
    </row>
    <row r="90" spans="3:18" ht="15" customHeight="1">
      <c r="C90" s="46" t="str">
        <f t="shared" si="9"/>
        <v/>
      </c>
      <c r="D90" t="str">
        <f t="shared" si="10"/>
        <v/>
      </c>
      <c r="F90" s="188"/>
      <c r="J90" s="406">
        <f t="shared" si="13"/>
        <v>0</v>
      </c>
      <c r="K90" s="404">
        <f t="shared" si="13"/>
        <v>0</v>
      </c>
      <c r="L90" s="46"/>
      <c r="M90" s="242">
        <f t="shared" si="16"/>
        <v>0</v>
      </c>
      <c r="O90" s="315" t="str">
        <f t="shared" si="11"/>
        <v/>
      </c>
      <c r="P90" t="str">
        <f t="shared" si="12"/>
        <v/>
      </c>
      <c r="Q90" s="46" t="str">
        <f t="shared" si="14"/>
        <v/>
      </c>
      <c r="R90" s="218" t="str">
        <f t="shared" ca="1" si="15"/>
        <v/>
      </c>
    </row>
    <row r="91" spans="3:18" ht="15" customHeight="1">
      <c r="C91" s="46" t="str">
        <f t="shared" si="9"/>
        <v/>
      </c>
      <c r="D91" t="str">
        <f t="shared" si="10"/>
        <v/>
      </c>
      <c r="F91" s="188"/>
      <c r="J91" s="406">
        <f t="shared" si="13"/>
        <v>0</v>
      </c>
      <c r="K91" s="404">
        <f t="shared" si="13"/>
        <v>0</v>
      </c>
      <c r="L91" s="46"/>
      <c r="M91" s="242">
        <f t="shared" si="16"/>
        <v>0</v>
      </c>
      <c r="O91" s="315" t="str">
        <f t="shared" si="11"/>
        <v/>
      </c>
      <c r="P91" t="str">
        <f t="shared" si="12"/>
        <v/>
      </c>
      <c r="Q91" s="46" t="str">
        <f t="shared" si="14"/>
        <v/>
      </c>
      <c r="R91" s="218" t="str">
        <f t="shared" ca="1" si="15"/>
        <v/>
      </c>
    </row>
    <row r="92" spans="3:18" ht="15" customHeight="1">
      <c r="C92" s="46" t="str">
        <f t="shared" si="9"/>
        <v/>
      </c>
      <c r="D92" t="str">
        <f t="shared" si="10"/>
        <v/>
      </c>
      <c r="F92" s="188"/>
      <c r="J92" s="406">
        <f t="shared" si="13"/>
        <v>0</v>
      </c>
      <c r="K92" s="404">
        <f t="shared" si="13"/>
        <v>0</v>
      </c>
      <c r="L92" s="46"/>
      <c r="M92" s="242">
        <f t="shared" si="16"/>
        <v>0</v>
      </c>
      <c r="O92" s="315" t="str">
        <f t="shared" si="11"/>
        <v/>
      </c>
      <c r="P92" t="str">
        <f t="shared" si="12"/>
        <v/>
      </c>
      <c r="Q92" s="46" t="str">
        <f t="shared" si="14"/>
        <v/>
      </c>
      <c r="R92" s="218" t="str">
        <f t="shared" ca="1" si="15"/>
        <v/>
      </c>
    </row>
    <row r="93" spans="3:18" ht="15" customHeight="1">
      <c r="C93" s="46" t="str">
        <f t="shared" si="9"/>
        <v/>
      </c>
      <c r="D93" t="str">
        <f t="shared" si="10"/>
        <v/>
      </c>
      <c r="F93" s="188"/>
      <c r="J93" s="406">
        <f t="shared" si="13"/>
        <v>0</v>
      </c>
      <c r="K93" s="404">
        <f t="shared" si="13"/>
        <v>0</v>
      </c>
      <c r="L93" s="46"/>
      <c r="M93" s="242">
        <f t="shared" si="16"/>
        <v>0</v>
      </c>
      <c r="O93" s="315" t="str">
        <f t="shared" si="11"/>
        <v/>
      </c>
      <c r="P93" t="str">
        <f t="shared" si="12"/>
        <v/>
      </c>
      <c r="Q93" s="46" t="str">
        <f t="shared" si="14"/>
        <v/>
      </c>
      <c r="R93" s="218" t="str">
        <f t="shared" ca="1" si="15"/>
        <v/>
      </c>
    </row>
    <row r="94" spans="3:18" ht="15" customHeight="1">
      <c r="C94" s="46" t="str">
        <f t="shared" si="9"/>
        <v/>
      </c>
      <c r="D94" t="str">
        <f t="shared" si="10"/>
        <v/>
      </c>
      <c r="F94" s="188"/>
      <c r="J94" s="406">
        <f t="shared" si="13"/>
        <v>0</v>
      </c>
      <c r="K94" s="404">
        <f t="shared" si="13"/>
        <v>0</v>
      </c>
      <c r="L94" s="46"/>
      <c r="M94" s="242">
        <f t="shared" si="16"/>
        <v>0</v>
      </c>
      <c r="O94" s="315" t="str">
        <f t="shared" si="11"/>
        <v/>
      </c>
      <c r="P94" t="str">
        <f t="shared" si="12"/>
        <v/>
      </c>
      <c r="Q94" s="46" t="str">
        <f t="shared" si="14"/>
        <v/>
      </c>
      <c r="R94" s="218" t="str">
        <f t="shared" ca="1" si="15"/>
        <v/>
      </c>
    </row>
    <row r="95" spans="3:18" ht="15" customHeight="1">
      <c r="C95" s="46" t="str">
        <f t="shared" si="9"/>
        <v/>
      </c>
      <c r="D95" t="str">
        <f t="shared" si="10"/>
        <v/>
      </c>
      <c r="F95" s="188"/>
      <c r="J95" s="406">
        <f t="shared" si="13"/>
        <v>0</v>
      </c>
      <c r="K95" s="404">
        <f t="shared" si="13"/>
        <v>0</v>
      </c>
      <c r="L95" s="46"/>
      <c r="M95" s="242">
        <f t="shared" si="16"/>
        <v>0</v>
      </c>
      <c r="O95" s="315" t="str">
        <f t="shared" si="11"/>
        <v/>
      </c>
      <c r="P95" t="str">
        <f t="shared" si="12"/>
        <v/>
      </c>
      <c r="Q95" s="46" t="str">
        <f t="shared" si="14"/>
        <v/>
      </c>
      <c r="R95" s="218" t="str">
        <f t="shared" ca="1" si="15"/>
        <v/>
      </c>
    </row>
    <row r="96" spans="3:18" ht="15" customHeight="1">
      <c r="C96" s="46" t="str">
        <f t="shared" si="9"/>
        <v/>
      </c>
      <c r="D96" t="str">
        <f t="shared" si="10"/>
        <v/>
      </c>
      <c r="F96" s="188"/>
      <c r="J96" s="406">
        <f t="shared" si="13"/>
        <v>0</v>
      </c>
      <c r="K96" s="404">
        <f t="shared" si="13"/>
        <v>0</v>
      </c>
      <c r="L96" s="46"/>
      <c r="M96" s="242">
        <f t="shared" si="16"/>
        <v>0</v>
      </c>
      <c r="O96" s="315" t="str">
        <f t="shared" si="11"/>
        <v/>
      </c>
      <c r="P96" t="str">
        <f t="shared" si="12"/>
        <v/>
      </c>
      <c r="Q96" s="46" t="str">
        <f t="shared" si="14"/>
        <v/>
      </c>
      <c r="R96" s="218" t="str">
        <f t="shared" ca="1" si="15"/>
        <v/>
      </c>
    </row>
    <row r="97" spans="3:18" ht="15" customHeight="1">
      <c r="C97" s="46" t="str">
        <f t="shared" si="9"/>
        <v/>
      </c>
      <c r="D97" t="str">
        <f t="shared" si="10"/>
        <v/>
      </c>
      <c r="F97" s="188"/>
      <c r="J97" s="406">
        <f t="shared" si="13"/>
        <v>0</v>
      </c>
      <c r="K97" s="404">
        <f t="shared" si="13"/>
        <v>0</v>
      </c>
      <c r="L97" s="46"/>
      <c r="M97" s="242">
        <f t="shared" si="16"/>
        <v>0</v>
      </c>
      <c r="O97" s="315" t="str">
        <f t="shared" si="11"/>
        <v/>
      </c>
      <c r="P97" t="str">
        <f t="shared" si="12"/>
        <v/>
      </c>
      <c r="Q97" s="46" t="str">
        <f t="shared" si="14"/>
        <v/>
      </c>
      <c r="R97" s="218" t="str">
        <f t="shared" ca="1" si="15"/>
        <v/>
      </c>
    </row>
    <row r="98" spans="3:18" ht="15" customHeight="1">
      <c r="C98" s="46" t="str">
        <f t="shared" si="9"/>
        <v/>
      </c>
      <c r="D98" t="str">
        <f t="shared" si="10"/>
        <v/>
      </c>
      <c r="F98" s="188"/>
      <c r="J98" s="406">
        <f t="shared" si="13"/>
        <v>0</v>
      </c>
      <c r="K98" s="404">
        <f t="shared" si="13"/>
        <v>0</v>
      </c>
      <c r="L98" s="46"/>
      <c r="M98" s="242">
        <f t="shared" si="16"/>
        <v>0</v>
      </c>
      <c r="O98" s="315" t="str">
        <f t="shared" si="11"/>
        <v/>
      </c>
      <c r="P98" t="str">
        <f t="shared" si="12"/>
        <v/>
      </c>
      <c r="Q98" s="46" t="str">
        <f t="shared" si="14"/>
        <v/>
      </c>
      <c r="R98" s="218" t="str">
        <f t="shared" ca="1" si="15"/>
        <v/>
      </c>
    </row>
    <row r="99" spans="3:18" ht="15" customHeight="1">
      <c r="C99" s="46" t="str">
        <f t="shared" si="9"/>
        <v/>
      </c>
      <c r="D99" t="str">
        <f t="shared" si="10"/>
        <v/>
      </c>
      <c r="F99" s="188"/>
      <c r="J99" s="406">
        <f t="shared" si="13"/>
        <v>0</v>
      </c>
      <c r="K99" s="404">
        <f t="shared" si="13"/>
        <v>0</v>
      </c>
      <c r="L99" s="46"/>
      <c r="M99" s="242">
        <f t="shared" si="16"/>
        <v>0</v>
      </c>
      <c r="O99" s="315" t="str">
        <f t="shared" si="11"/>
        <v/>
      </c>
      <c r="P99" t="str">
        <f t="shared" si="12"/>
        <v/>
      </c>
      <c r="Q99" s="46" t="str">
        <f t="shared" si="14"/>
        <v/>
      </c>
      <c r="R99" s="218" t="str">
        <f t="shared" ca="1" si="15"/>
        <v/>
      </c>
    </row>
    <row r="100" spans="3:18" ht="15" customHeight="1">
      <c r="C100" s="46" t="str">
        <f t="shared" si="9"/>
        <v/>
      </c>
      <c r="D100" t="str">
        <f t="shared" si="10"/>
        <v/>
      </c>
      <c r="F100" s="188"/>
      <c r="J100" s="406">
        <f t="shared" si="13"/>
        <v>0</v>
      </c>
      <c r="K100" s="404">
        <f t="shared" si="13"/>
        <v>0</v>
      </c>
      <c r="L100" s="46"/>
      <c r="M100" s="242">
        <f t="shared" si="16"/>
        <v>0</v>
      </c>
      <c r="O100" s="315" t="str">
        <f t="shared" si="11"/>
        <v/>
      </c>
      <c r="P100" t="str">
        <f t="shared" si="12"/>
        <v/>
      </c>
      <c r="Q100" s="46" t="str">
        <f t="shared" si="14"/>
        <v/>
      </c>
      <c r="R100" s="218" t="str">
        <f t="shared" ca="1" si="15"/>
        <v/>
      </c>
    </row>
    <row r="101" spans="3:18" ht="15" customHeight="1">
      <c r="C101" s="46" t="str">
        <f t="shared" si="9"/>
        <v/>
      </c>
      <c r="D101" t="str">
        <f t="shared" si="10"/>
        <v/>
      </c>
      <c r="F101" s="188"/>
      <c r="J101" s="406">
        <f t="shared" si="13"/>
        <v>0</v>
      </c>
      <c r="K101" s="404">
        <f t="shared" si="13"/>
        <v>0</v>
      </c>
      <c r="L101" s="46"/>
      <c r="M101" s="242">
        <f t="shared" si="16"/>
        <v>0</v>
      </c>
      <c r="O101" s="315" t="str">
        <f t="shared" si="11"/>
        <v/>
      </c>
      <c r="P101" t="str">
        <f t="shared" si="12"/>
        <v/>
      </c>
      <c r="Q101" s="46" t="str">
        <f t="shared" si="14"/>
        <v/>
      </c>
      <c r="R101" s="218" t="str">
        <f t="shared" ref="R101:R132" ca="1" si="17">IF(Q101="PAGO", "✓ OK", IF(Q101="A PAGAR", IF(N101&lt;TODAY(), "⚠ EM ATRASO", "EM DIA"), ""))</f>
        <v/>
      </c>
    </row>
    <row r="102" spans="3:18" ht="15" customHeight="1">
      <c r="C102" s="46" t="str">
        <f t="shared" si="9"/>
        <v/>
      </c>
      <c r="D102" t="str">
        <f t="shared" si="10"/>
        <v/>
      </c>
      <c r="F102" s="188"/>
      <c r="J102" s="406">
        <f t="shared" si="13"/>
        <v>0</v>
      </c>
      <c r="K102" s="404">
        <f t="shared" si="13"/>
        <v>0</v>
      </c>
      <c r="L102" s="46"/>
      <c r="M102" s="242">
        <f t="shared" si="16"/>
        <v>0</v>
      </c>
      <c r="O102" s="315" t="str">
        <f t="shared" si="11"/>
        <v/>
      </c>
      <c r="P102" t="str">
        <f t="shared" si="12"/>
        <v/>
      </c>
      <c r="Q102" s="46" t="str">
        <f t="shared" si="14"/>
        <v/>
      </c>
      <c r="R102" s="218" t="str">
        <f t="shared" ca="1" si="17"/>
        <v/>
      </c>
    </row>
    <row r="103" spans="3:18" ht="15" customHeight="1">
      <c r="C103" s="46" t="str">
        <f t="shared" si="9"/>
        <v/>
      </c>
      <c r="D103" t="str">
        <f t="shared" si="10"/>
        <v/>
      </c>
      <c r="F103" s="188"/>
      <c r="J103" s="406">
        <f t="shared" si="13"/>
        <v>0</v>
      </c>
      <c r="K103" s="404">
        <f t="shared" si="13"/>
        <v>0</v>
      </c>
      <c r="L103" s="46"/>
      <c r="M103" s="242">
        <f t="shared" si="16"/>
        <v>0</v>
      </c>
      <c r="O103" s="315" t="str">
        <f t="shared" si="11"/>
        <v/>
      </c>
      <c r="P103" t="str">
        <f t="shared" si="12"/>
        <v/>
      </c>
      <c r="Q103" s="46" t="str">
        <f t="shared" si="14"/>
        <v/>
      </c>
      <c r="R103" s="218" t="str">
        <f t="shared" ca="1" si="17"/>
        <v/>
      </c>
    </row>
    <row r="104" spans="3:18" ht="15" customHeight="1">
      <c r="C104" s="46" t="str">
        <f t="shared" si="9"/>
        <v/>
      </c>
      <c r="D104" t="str">
        <f t="shared" si="10"/>
        <v/>
      </c>
      <c r="F104" s="188"/>
      <c r="J104" s="406">
        <f t="shared" si="13"/>
        <v>0</v>
      </c>
      <c r="K104" s="404">
        <f t="shared" si="13"/>
        <v>0</v>
      </c>
      <c r="L104" s="46"/>
      <c r="M104" s="242">
        <f t="shared" si="16"/>
        <v>0</v>
      </c>
      <c r="O104" s="315" t="str">
        <f t="shared" si="11"/>
        <v/>
      </c>
      <c r="P104" t="str">
        <f t="shared" si="12"/>
        <v/>
      </c>
      <c r="Q104" s="46" t="str">
        <f t="shared" si="14"/>
        <v/>
      </c>
      <c r="R104" s="218" t="str">
        <f t="shared" ca="1" si="17"/>
        <v/>
      </c>
    </row>
    <row r="105" spans="3:18" ht="15" customHeight="1">
      <c r="C105" s="46" t="str">
        <f t="shared" si="9"/>
        <v/>
      </c>
      <c r="D105" t="str">
        <f t="shared" si="10"/>
        <v/>
      </c>
      <c r="F105" s="188"/>
      <c r="J105" s="406">
        <f t="shared" si="13"/>
        <v>0</v>
      </c>
      <c r="K105" s="404">
        <f t="shared" si="13"/>
        <v>0</v>
      </c>
      <c r="L105" s="46"/>
      <c r="M105" s="242">
        <f t="shared" si="16"/>
        <v>0</v>
      </c>
      <c r="O105" s="315" t="str">
        <f t="shared" si="11"/>
        <v/>
      </c>
      <c r="P105" t="str">
        <f t="shared" si="12"/>
        <v/>
      </c>
      <c r="Q105" s="46" t="str">
        <f t="shared" si="14"/>
        <v/>
      </c>
      <c r="R105" s="218" t="str">
        <f t="shared" ca="1" si="17"/>
        <v/>
      </c>
    </row>
    <row r="106" spans="3:18" ht="15" customHeight="1">
      <c r="C106" s="46" t="str">
        <f t="shared" si="9"/>
        <v/>
      </c>
      <c r="D106" t="str">
        <f t="shared" si="10"/>
        <v/>
      </c>
      <c r="F106" s="188"/>
      <c r="J106" s="406">
        <f t="shared" si="13"/>
        <v>0</v>
      </c>
      <c r="K106" s="404">
        <f t="shared" si="13"/>
        <v>0</v>
      </c>
      <c r="L106" s="46"/>
      <c r="M106" s="242">
        <f t="shared" si="16"/>
        <v>0</v>
      </c>
      <c r="O106" s="315" t="str">
        <f t="shared" si="11"/>
        <v/>
      </c>
      <c r="P106" t="str">
        <f t="shared" si="12"/>
        <v/>
      </c>
      <c r="Q106" s="46" t="str">
        <f t="shared" si="14"/>
        <v/>
      </c>
      <c r="R106" s="218" t="str">
        <f t="shared" ca="1" si="17"/>
        <v/>
      </c>
    </row>
    <row r="107" spans="3:18" ht="15" customHeight="1">
      <c r="C107" s="46" t="str">
        <f t="shared" si="9"/>
        <v/>
      </c>
      <c r="D107" t="str">
        <f t="shared" si="10"/>
        <v/>
      </c>
      <c r="F107" s="188"/>
      <c r="J107" s="406">
        <f t="shared" si="13"/>
        <v>0</v>
      </c>
      <c r="K107" s="404">
        <f t="shared" si="13"/>
        <v>0</v>
      </c>
      <c r="L107" s="46"/>
      <c r="M107" s="242">
        <f t="shared" si="16"/>
        <v>0</v>
      </c>
      <c r="O107" s="315" t="str">
        <f t="shared" si="11"/>
        <v/>
      </c>
      <c r="P107" t="str">
        <f t="shared" si="12"/>
        <v/>
      </c>
      <c r="Q107" s="46" t="str">
        <f t="shared" si="14"/>
        <v/>
      </c>
      <c r="R107" s="218" t="str">
        <f t="shared" ca="1" si="17"/>
        <v/>
      </c>
    </row>
    <row r="108" spans="3:18" ht="15" customHeight="1">
      <c r="C108" s="46" t="str">
        <f t="shared" si="9"/>
        <v/>
      </c>
      <c r="D108" t="str">
        <f t="shared" si="10"/>
        <v/>
      </c>
      <c r="F108" s="188"/>
      <c r="J108" s="406">
        <f t="shared" si="13"/>
        <v>0</v>
      </c>
      <c r="K108" s="404">
        <f t="shared" si="13"/>
        <v>0</v>
      </c>
      <c r="L108" s="46"/>
      <c r="M108" s="242">
        <f t="shared" si="16"/>
        <v>0</v>
      </c>
      <c r="O108" s="315" t="str">
        <f t="shared" si="11"/>
        <v/>
      </c>
      <c r="P108" t="str">
        <f t="shared" si="12"/>
        <v/>
      </c>
      <c r="Q108" s="46" t="str">
        <f t="shared" si="14"/>
        <v/>
      </c>
      <c r="R108" s="218" t="str">
        <f t="shared" ca="1" si="17"/>
        <v/>
      </c>
    </row>
    <row r="109" spans="3:18" ht="15" customHeight="1">
      <c r="C109" s="46" t="str">
        <f t="shared" si="9"/>
        <v/>
      </c>
      <c r="D109" t="str">
        <f t="shared" si="10"/>
        <v/>
      </c>
      <c r="F109" s="188"/>
      <c r="J109" s="406">
        <f t="shared" si="13"/>
        <v>0</v>
      </c>
      <c r="K109" s="404">
        <f t="shared" si="13"/>
        <v>0</v>
      </c>
      <c r="L109" s="46"/>
      <c r="M109" s="242">
        <f t="shared" si="16"/>
        <v>0</v>
      </c>
      <c r="O109" s="315" t="str">
        <f t="shared" si="11"/>
        <v/>
      </c>
      <c r="P109" t="str">
        <f t="shared" si="12"/>
        <v/>
      </c>
      <c r="Q109" s="46" t="str">
        <f t="shared" si="14"/>
        <v/>
      </c>
      <c r="R109" s="218" t="str">
        <f t="shared" ca="1" si="17"/>
        <v/>
      </c>
    </row>
    <row r="110" spans="3:18" ht="15" customHeight="1">
      <c r="C110" s="46" t="str">
        <f t="shared" si="9"/>
        <v/>
      </c>
      <c r="D110" t="str">
        <f t="shared" si="10"/>
        <v/>
      </c>
      <c r="F110" s="188"/>
      <c r="J110" s="406">
        <f t="shared" si="13"/>
        <v>0</v>
      </c>
      <c r="K110" s="404">
        <f t="shared" si="13"/>
        <v>0</v>
      </c>
      <c r="L110" s="46"/>
      <c r="M110" s="242">
        <f t="shared" si="16"/>
        <v>0</v>
      </c>
      <c r="O110" s="315" t="str">
        <f t="shared" si="11"/>
        <v/>
      </c>
      <c r="P110" t="str">
        <f t="shared" si="12"/>
        <v/>
      </c>
      <c r="Q110" s="46" t="str">
        <f t="shared" si="14"/>
        <v/>
      </c>
      <c r="R110" s="218" t="str">
        <f t="shared" ca="1" si="17"/>
        <v/>
      </c>
    </row>
    <row r="111" spans="3:18" ht="15" customHeight="1">
      <c r="C111" s="46" t="str">
        <f t="shared" si="9"/>
        <v/>
      </c>
      <c r="D111" t="str">
        <f t="shared" si="10"/>
        <v/>
      </c>
      <c r="F111" s="188"/>
      <c r="J111" s="406">
        <f t="shared" si="13"/>
        <v>0</v>
      </c>
      <c r="K111" s="404">
        <f t="shared" si="13"/>
        <v>0</v>
      </c>
      <c r="L111" s="46"/>
      <c r="M111" s="242">
        <f t="shared" si="16"/>
        <v>0</v>
      </c>
      <c r="O111" s="315" t="str">
        <f t="shared" si="11"/>
        <v/>
      </c>
      <c r="P111" t="str">
        <f t="shared" si="12"/>
        <v/>
      </c>
      <c r="Q111" s="46" t="str">
        <f t="shared" si="14"/>
        <v/>
      </c>
      <c r="R111" s="218" t="str">
        <f t="shared" ca="1" si="17"/>
        <v/>
      </c>
    </row>
    <row r="112" spans="3:18" ht="15" customHeight="1">
      <c r="C112" s="46" t="str">
        <f t="shared" si="9"/>
        <v/>
      </c>
      <c r="D112" t="str">
        <f t="shared" si="10"/>
        <v/>
      </c>
      <c r="F112" s="188"/>
      <c r="J112" s="406">
        <f t="shared" si="13"/>
        <v>0</v>
      </c>
      <c r="K112" s="404">
        <f t="shared" si="13"/>
        <v>0</v>
      </c>
      <c r="L112" s="46"/>
      <c r="M112" s="242">
        <f t="shared" si="16"/>
        <v>0</v>
      </c>
      <c r="O112" s="315" t="str">
        <f t="shared" si="11"/>
        <v/>
      </c>
      <c r="P112" t="str">
        <f t="shared" si="12"/>
        <v/>
      </c>
      <c r="Q112" s="46" t="str">
        <f t="shared" si="14"/>
        <v/>
      </c>
      <c r="R112" s="218" t="str">
        <f t="shared" ca="1" si="17"/>
        <v/>
      </c>
    </row>
    <row r="113" spans="3:18" ht="15" customHeight="1">
      <c r="C113" s="46" t="str">
        <f t="shared" si="9"/>
        <v/>
      </c>
      <c r="D113" t="str">
        <f t="shared" si="10"/>
        <v/>
      </c>
      <c r="F113" s="188"/>
      <c r="J113" s="406">
        <f t="shared" si="13"/>
        <v>0</v>
      </c>
      <c r="K113" s="404">
        <f t="shared" si="13"/>
        <v>0</v>
      </c>
      <c r="L113" s="46"/>
      <c r="M113" s="242">
        <f t="shared" si="16"/>
        <v>0</v>
      </c>
      <c r="O113" s="315" t="str">
        <f t="shared" si="11"/>
        <v/>
      </c>
      <c r="P113" t="str">
        <f t="shared" si="12"/>
        <v/>
      </c>
      <c r="Q113" s="46" t="str">
        <f t="shared" si="14"/>
        <v/>
      </c>
      <c r="R113" s="218" t="str">
        <f t="shared" ca="1" si="17"/>
        <v/>
      </c>
    </row>
    <row r="114" spans="3:18" ht="15" customHeight="1">
      <c r="C114" s="46" t="str">
        <f t="shared" si="9"/>
        <v/>
      </c>
      <c r="D114" t="str">
        <f t="shared" si="10"/>
        <v/>
      </c>
      <c r="F114" s="188"/>
      <c r="J114" s="406">
        <f t="shared" si="13"/>
        <v>0</v>
      </c>
      <c r="K114" s="404">
        <f t="shared" si="13"/>
        <v>0</v>
      </c>
      <c r="L114" s="46"/>
      <c r="M114" s="242">
        <f t="shared" si="16"/>
        <v>0</v>
      </c>
      <c r="O114" s="315" t="str">
        <f t="shared" si="11"/>
        <v/>
      </c>
      <c r="P114" t="str">
        <f t="shared" si="12"/>
        <v/>
      </c>
      <c r="Q114" s="46" t="str">
        <f t="shared" si="14"/>
        <v/>
      </c>
      <c r="R114" s="218" t="str">
        <f t="shared" ca="1" si="17"/>
        <v/>
      </c>
    </row>
    <row r="115" spans="3:18" ht="15" customHeight="1">
      <c r="C115" s="46" t="str">
        <f t="shared" si="9"/>
        <v/>
      </c>
      <c r="D115" t="str">
        <f t="shared" si="10"/>
        <v/>
      </c>
      <c r="F115" s="188"/>
      <c r="J115" s="406">
        <f t="shared" si="13"/>
        <v>0</v>
      </c>
      <c r="K115" s="404">
        <f t="shared" si="13"/>
        <v>0</v>
      </c>
      <c r="L115" s="46"/>
      <c r="M115" s="242">
        <f t="shared" si="16"/>
        <v>0</v>
      </c>
      <c r="O115" s="315" t="str">
        <f t="shared" si="11"/>
        <v/>
      </c>
      <c r="P115" t="str">
        <f t="shared" si="12"/>
        <v/>
      </c>
      <c r="Q115" s="46" t="str">
        <f t="shared" si="14"/>
        <v/>
      </c>
      <c r="R115" s="218" t="str">
        <f t="shared" ca="1" si="17"/>
        <v/>
      </c>
    </row>
    <row r="116" spans="3:18" ht="15" customHeight="1">
      <c r="C116" s="46" t="str">
        <f t="shared" si="9"/>
        <v/>
      </c>
      <c r="D116" t="str">
        <f t="shared" si="10"/>
        <v/>
      </c>
      <c r="F116" s="188"/>
      <c r="J116" s="406">
        <f t="shared" si="13"/>
        <v>0</v>
      </c>
      <c r="K116" s="404">
        <f t="shared" si="13"/>
        <v>0</v>
      </c>
      <c r="L116" s="46"/>
      <c r="M116" s="242">
        <f t="shared" si="16"/>
        <v>0</v>
      </c>
      <c r="O116" s="315" t="str">
        <f t="shared" si="11"/>
        <v/>
      </c>
      <c r="P116" t="str">
        <f t="shared" si="12"/>
        <v/>
      </c>
      <c r="Q116" s="46" t="str">
        <f t="shared" si="14"/>
        <v/>
      </c>
      <c r="R116" s="218" t="str">
        <f t="shared" ca="1" si="17"/>
        <v/>
      </c>
    </row>
    <row r="117" spans="3:18" ht="15" customHeight="1">
      <c r="C117" s="46" t="str">
        <f t="shared" si="9"/>
        <v/>
      </c>
      <c r="D117" t="str">
        <f t="shared" si="10"/>
        <v/>
      </c>
      <c r="F117" s="188"/>
      <c r="J117" s="406">
        <f t="shared" si="13"/>
        <v>0</v>
      </c>
      <c r="K117" s="404">
        <f t="shared" si="13"/>
        <v>0</v>
      </c>
      <c r="L117" s="46"/>
      <c r="M117" s="242">
        <f t="shared" si="16"/>
        <v>0</v>
      </c>
      <c r="O117" s="315" t="str">
        <f t="shared" si="11"/>
        <v/>
      </c>
      <c r="P117" t="str">
        <f t="shared" si="12"/>
        <v/>
      </c>
      <c r="Q117" s="46" t="str">
        <f t="shared" si="14"/>
        <v/>
      </c>
      <c r="R117" s="218" t="str">
        <f t="shared" ca="1" si="17"/>
        <v/>
      </c>
    </row>
    <row r="118" spans="3:18" ht="15" customHeight="1">
      <c r="C118" s="46" t="str">
        <f t="shared" si="9"/>
        <v/>
      </c>
      <c r="D118" t="str">
        <f t="shared" si="10"/>
        <v/>
      </c>
      <c r="F118" s="188"/>
      <c r="J118" s="406">
        <f t="shared" si="13"/>
        <v>0</v>
      </c>
      <c r="K118" s="404">
        <f t="shared" si="13"/>
        <v>0</v>
      </c>
      <c r="L118" s="46"/>
      <c r="M118" s="242">
        <f t="shared" si="16"/>
        <v>0</v>
      </c>
      <c r="O118" s="315" t="str">
        <f t="shared" si="11"/>
        <v/>
      </c>
      <c r="P118" t="str">
        <f t="shared" si="12"/>
        <v/>
      </c>
      <c r="Q118" s="46" t="str">
        <f t="shared" si="14"/>
        <v/>
      </c>
      <c r="R118" s="218" t="str">
        <f t="shared" ca="1" si="17"/>
        <v/>
      </c>
    </row>
    <row r="119" spans="3:18" ht="15" customHeight="1">
      <c r="C119" s="46" t="str">
        <f t="shared" si="9"/>
        <v/>
      </c>
      <c r="D119" t="str">
        <f t="shared" si="10"/>
        <v/>
      </c>
      <c r="F119" s="188"/>
      <c r="J119" s="406">
        <f t="shared" si="13"/>
        <v>0</v>
      </c>
      <c r="K119" s="404">
        <f t="shared" si="13"/>
        <v>0</v>
      </c>
      <c r="L119" s="46"/>
      <c r="M119" s="242">
        <f t="shared" si="16"/>
        <v>0</v>
      </c>
      <c r="O119" s="315" t="str">
        <f t="shared" si="11"/>
        <v/>
      </c>
      <c r="P119" t="str">
        <f t="shared" si="12"/>
        <v/>
      </c>
      <c r="Q119" s="46" t="str">
        <f t="shared" si="14"/>
        <v/>
      </c>
      <c r="R119" s="218" t="str">
        <f t="shared" ca="1" si="17"/>
        <v/>
      </c>
    </row>
    <row r="120" spans="3:18" ht="15" customHeight="1">
      <c r="C120" s="46" t="str">
        <f t="shared" si="9"/>
        <v/>
      </c>
      <c r="D120" t="str">
        <f t="shared" si="10"/>
        <v/>
      </c>
      <c r="F120" s="188"/>
      <c r="J120" s="406">
        <f t="shared" si="13"/>
        <v>0</v>
      </c>
      <c r="K120" s="404">
        <f t="shared" si="13"/>
        <v>0</v>
      </c>
      <c r="L120" s="46"/>
      <c r="M120" s="242">
        <f t="shared" si="16"/>
        <v>0</v>
      </c>
      <c r="O120" s="315" t="str">
        <f t="shared" si="11"/>
        <v/>
      </c>
      <c r="P120" t="str">
        <f t="shared" si="12"/>
        <v/>
      </c>
      <c r="Q120" s="46" t="str">
        <f t="shared" si="14"/>
        <v/>
      </c>
      <c r="R120" s="218" t="str">
        <f t="shared" ca="1" si="17"/>
        <v/>
      </c>
    </row>
    <row r="121" spans="3:18" ht="15" customHeight="1">
      <c r="C121" s="46" t="str">
        <f t="shared" si="9"/>
        <v/>
      </c>
      <c r="D121" t="str">
        <f t="shared" si="10"/>
        <v/>
      </c>
      <c r="F121" s="188"/>
      <c r="J121" s="406">
        <f t="shared" si="13"/>
        <v>0</v>
      </c>
      <c r="K121" s="404">
        <f t="shared" si="13"/>
        <v>0</v>
      </c>
      <c r="L121" s="46"/>
      <c r="M121" s="242">
        <f t="shared" si="16"/>
        <v>0</v>
      </c>
      <c r="O121" s="315" t="str">
        <f t="shared" si="11"/>
        <v/>
      </c>
      <c r="P121" t="str">
        <f t="shared" si="12"/>
        <v/>
      </c>
      <c r="Q121" s="46" t="str">
        <f t="shared" si="14"/>
        <v/>
      </c>
      <c r="R121" s="218" t="str">
        <f t="shared" ca="1" si="17"/>
        <v/>
      </c>
    </row>
    <row r="122" spans="3:18" ht="15" customHeight="1">
      <c r="C122" s="46" t="str">
        <f t="shared" si="9"/>
        <v/>
      </c>
      <c r="D122" t="str">
        <f t="shared" si="10"/>
        <v/>
      </c>
      <c r="F122" s="188"/>
      <c r="J122" s="406">
        <f t="shared" si="13"/>
        <v>0</v>
      </c>
      <c r="K122" s="404">
        <f t="shared" si="13"/>
        <v>0</v>
      </c>
      <c r="L122" s="46"/>
      <c r="M122" s="242">
        <f t="shared" si="16"/>
        <v>0</v>
      </c>
      <c r="O122" s="315" t="str">
        <f t="shared" si="11"/>
        <v/>
      </c>
      <c r="P122" t="str">
        <f t="shared" si="12"/>
        <v/>
      </c>
      <c r="Q122" s="46" t="str">
        <f t="shared" si="14"/>
        <v/>
      </c>
      <c r="R122" s="218" t="str">
        <f t="shared" ca="1" si="17"/>
        <v/>
      </c>
    </row>
    <row r="123" spans="3:18" ht="15" customHeight="1">
      <c r="C123" s="46" t="str">
        <f t="shared" si="9"/>
        <v/>
      </c>
      <c r="D123" t="str">
        <f t="shared" si="10"/>
        <v/>
      </c>
      <c r="F123" s="188"/>
      <c r="J123" s="406">
        <f t="shared" si="13"/>
        <v>0</v>
      </c>
      <c r="K123" s="404">
        <f t="shared" si="13"/>
        <v>0</v>
      </c>
      <c r="L123" s="46"/>
      <c r="M123" s="242">
        <f t="shared" si="16"/>
        <v>0</v>
      </c>
      <c r="O123" s="315" t="str">
        <f t="shared" si="11"/>
        <v/>
      </c>
      <c r="P123" t="str">
        <f t="shared" si="12"/>
        <v/>
      </c>
      <c r="Q123" s="46" t="str">
        <f t="shared" si="14"/>
        <v/>
      </c>
      <c r="R123" s="218" t="str">
        <f t="shared" ca="1" si="17"/>
        <v/>
      </c>
    </row>
    <row r="124" spans="3:18" ht="15" customHeight="1">
      <c r="C124" s="46" t="str">
        <f t="shared" si="9"/>
        <v/>
      </c>
      <c r="D124" t="str">
        <f t="shared" si="10"/>
        <v/>
      </c>
      <c r="F124" s="188"/>
      <c r="J124" s="406">
        <f t="shared" si="13"/>
        <v>0</v>
      </c>
      <c r="K124" s="404">
        <f t="shared" si="13"/>
        <v>0</v>
      </c>
      <c r="L124" s="46"/>
      <c r="M124" s="242">
        <f t="shared" si="16"/>
        <v>0</v>
      </c>
      <c r="O124" s="315" t="str">
        <f t="shared" si="11"/>
        <v/>
      </c>
      <c r="P124" t="str">
        <f t="shared" si="12"/>
        <v/>
      </c>
      <c r="Q124" s="46" t="str">
        <f t="shared" si="14"/>
        <v/>
      </c>
      <c r="R124" s="218" t="str">
        <f t="shared" ca="1" si="17"/>
        <v/>
      </c>
    </row>
    <row r="125" spans="3:18" ht="15" customHeight="1">
      <c r="C125" s="46" t="str">
        <f t="shared" si="9"/>
        <v/>
      </c>
      <c r="D125" t="str">
        <f t="shared" si="10"/>
        <v/>
      </c>
      <c r="F125" s="188"/>
      <c r="J125" s="406">
        <f t="shared" si="13"/>
        <v>0</v>
      </c>
      <c r="K125" s="404">
        <f t="shared" si="13"/>
        <v>0</v>
      </c>
      <c r="L125" s="46"/>
      <c r="M125" s="242">
        <f t="shared" si="16"/>
        <v>0</v>
      </c>
      <c r="O125" s="315" t="str">
        <f t="shared" si="11"/>
        <v/>
      </c>
      <c r="P125" t="str">
        <f t="shared" si="12"/>
        <v/>
      </c>
      <c r="Q125" s="46" t="str">
        <f t="shared" si="14"/>
        <v/>
      </c>
      <c r="R125" s="218" t="str">
        <f t="shared" ca="1" si="17"/>
        <v/>
      </c>
    </row>
    <row r="126" spans="3:18" ht="15" customHeight="1">
      <c r="C126" s="46" t="str">
        <f t="shared" si="9"/>
        <v/>
      </c>
      <c r="D126" t="str">
        <f t="shared" si="10"/>
        <v/>
      </c>
      <c r="F126" s="188"/>
      <c r="K126" s="404">
        <f t="shared" ref="K126:K133" si="18">J126</f>
        <v>0</v>
      </c>
      <c r="L126" s="46"/>
      <c r="M126" s="242">
        <f t="shared" si="16"/>
        <v>0</v>
      </c>
      <c r="O126" s="315" t="str">
        <f t="shared" si="11"/>
        <v/>
      </c>
      <c r="P126" t="str">
        <f t="shared" si="12"/>
        <v/>
      </c>
      <c r="Q126" s="46" t="str">
        <f t="shared" si="14"/>
        <v/>
      </c>
      <c r="R126" s="218" t="str">
        <f t="shared" ca="1" si="17"/>
        <v/>
      </c>
    </row>
    <row r="127" spans="3:18" ht="15" customHeight="1">
      <c r="C127" s="46" t="str">
        <f t="shared" si="9"/>
        <v/>
      </c>
      <c r="D127" t="str">
        <f t="shared" si="10"/>
        <v/>
      </c>
      <c r="F127" s="188"/>
      <c r="K127" s="404">
        <f t="shared" si="18"/>
        <v>0</v>
      </c>
      <c r="L127" s="46"/>
      <c r="M127" s="242">
        <f t="shared" si="16"/>
        <v>0</v>
      </c>
      <c r="O127" s="315" t="str">
        <f t="shared" si="11"/>
        <v/>
      </c>
      <c r="P127" t="str">
        <f t="shared" si="12"/>
        <v/>
      </c>
      <c r="Q127" s="46" t="str">
        <f t="shared" si="14"/>
        <v/>
      </c>
      <c r="R127" s="218" t="str">
        <f t="shared" ca="1" si="17"/>
        <v/>
      </c>
    </row>
    <row r="128" spans="3:18" ht="15" customHeight="1">
      <c r="C128" s="46" t="str">
        <f t="shared" si="9"/>
        <v/>
      </c>
      <c r="D128" t="str">
        <f t="shared" si="10"/>
        <v/>
      </c>
      <c r="F128" s="188"/>
      <c r="K128" s="404">
        <f t="shared" si="18"/>
        <v>0</v>
      </c>
      <c r="L128" s="46"/>
      <c r="M128" s="242">
        <f t="shared" si="16"/>
        <v>0</v>
      </c>
      <c r="O128" s="315" t="str">
        <f t="shared" si="11"/>
        <v/>
      </c>
      <c r="P128" t="str">
        <f t="shared" si="12"/>
        <v/>
      </c>
      <c r="Q128" s="46" t="str">
        <f t="shared" si="14"/>
        <v/>
      </c>
      <c r="R128" s="218" t="str">
        <f t="shared" ca="1" si="17"/>
        <v/>
      </c>
    </row>
    <row r="129" spans="3:18" ht="15" customHeight="1">
      <c r="C129" s="46" t="str">
        <f t="shared" si="9"/>
        <v/>
      </c>
      <c r="D129" t="str">
        <f t="shared" si="10"/>
        <v/>
      </c>
      <c r="F129" s="188"/>
      <c r="K129" s="404">
        <f t="shared" si="18"/>
        <v>0</v>
      </c>
      <c r="L129" s="46"/>
      <c r="M129" s="242">
        <f t="shared" si="16"/>
        <v>0</v>
      </c>
      <c r="O129" s="315" t="str">
        <f t="shared" si="11"/>
        <v/>
      </c>
      <c r="P129" t="str">
        <f t="shared" si="12"/>
        <v/>
      </c>
      <c r="Q129" s="46" t="str">
        <f t="shared" si="14"/>
        <v/>
      </c>
      <c r="R129" s="218" t="str">
        <f t="shared" ca="1" si="17"/>
        <v/>
      </c>
    </row>
    <row r="130" spans="3:18" ht="15" customHeight="1">
      <c r="C130" s="46" t="str">
        <f t="shared" si="9"/>
        <v/>
      </c>
      <c r="D130" t="str">
        <f t="shared" si="10"/>
        <v/>
      </c>
      <c r="F130" s="188"/>
      <c r="K130" s="404">
        <f t="shared" si="18"/>
        <v>0</v>
      </c>
      <c r="L130" s="46"/>
      <c r="M130" s="242">
        <f t="shared" si="16"/>
        <v>0</v>
      </c>
      <c r="P130" t="str">
        <f t="shared" si="12"/>
        <v/>
      </c>
      <c r="Q130" s="46" t="str">
        <f t="shared" si="14"/>
        <v/>
      </c>
      <c r="R130" s="218" t="str">
        <f t="shared" ca="1" si="17"/>
        <v/>
      </c>
    </row>
    <row r="131" spans="3:18" ht="15" customHeight="1">
      <c r="C131" s="46" t="str">
        <f t="shared" si="9"/>
        <v/>
      </c>
      <c r="D131" t="str">
        <f t="shared" si="10"/>
        <v/>
      </c>
      <c r="F131" s="188"/>
      <c r="K131" s="404">
        <f t="shared" si="18"/>
        <v>0</v>
      </c>
      <c r="L131" s="46"/>
      <c r="M131" s="242">
        <f t="shared" si="16"/>
        <v>0</v>
      </c>
      <c r="P131" t="str">
        <f t="shared" si="12"/>
        <v/>
      </c>
      <c r="Q131" s="46" t="str">
        <f t="shared" si="14"/>
        <v/>
      </c>
      <c r="R131" s="218" t="str">
        <f t="shared" ca="1" si="17"/>
        <v/>
      </c>
    </row>
    <row r="132" spans="3:18" ht="15" customHeight="1">
      <c r="C132" s="46" t="str">
        <f t="shared" ref="C132:C133" si="19">IF(B132&lt;&gt;"",PROPER(TEXT(B132,"mmmm")),"")</f>
        <v/>
      </c>
      <c r="D132" t="str">
        <f t="shared" ref="D132:D133" si="20">IF(B132&lt;&gt;"",TEXT(B132,"aaaa"),"")</f>
        <v/>
      </c>
      <c r="F132" s="188"/>
      <c r="K132" s="404">
        <f t="shared" si="18"/>
        <v>0</v>
      </c>
      <c r="L132" s="46"/>
      <c r="M132" s="242">
        <f t="shared" si="16"/>
        <v>0</v>
      </c>
      <c r="P132" t="str">
        <f t="shared" ref="P132" si="21">IF(N132&lt;&gt;"",TEXT(N132,"aaaa"),"")</f>
        <v/>
      </c>
      <c r="Q132" s="46" t="str">
        <f t="shared" si="14"/>
        <v/>
      </c>
      <c r="R132" s="218" t="str">
        <f t="shared" ca="1" si="17"/>
        <v/>
      </c>
    </row>
    <row r="133" spans="3:18" ht="15" customHeight="1">
      <c r="C133" s="46" t="str">
        <f t="shared" si="19"/>
        <v/>
      </c>
      <c r="D133" t="str">
        <f t="shared" si="20"/>
        <v/>
      </c>
      <c r="F133" s="188"/>
      <c r="K133" s="404">
        <f t="shared" si="18"/>
        <v>0</v>
      </c>
      <c r="L133" s="46"/>
      <c r="M133" s="242">
        <f t="shared" si="16"/>
        <v>0</v>
      </c>
      <c r="R133" s="218" t="str">
        <f t="shared" ref="R133" ca="1" si="22">IF(Q133="PAGO", "✓ OK", IF(Q133="A PAGAR", IF(N133&lt;TODAY(), "⚠ EM ATRASO", "EM DIA"), ""))</f>
        <v/>
      </c>
    </row>
    <row r="134" spans="3:18" ht="15" customHeight="1">
      <c r="F134" s="188"/>
      <c r="L134" s="46"/>
    </row>
    <row r="135" spans="3:18" ht="15" customHeight="1">
      <c r="F135" s="188"/>
      <c r="L135" s="46"/>
    </row>
    <row r="136" spans="3:18" ht="15" customHeight="1">
      <c r="F136" s="188"/>
      <c r="L136" s="46"/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  <c r="L189" s="46"/>
    </row>
    <row r="190" spans="6:12" ht="15" customHeight="1">
      <c r="F190" s="188"/>
      <c r="L190" s="46"/>
    </row>
    <row r="191" spans="6:12" ht="15" customHeight="1">
      <c r="F191" s="188"/>
    </row>
    <row r="192" spans="6:12" ht="15" customHeight="1">
      <c r="F192" s="188"/>
    </row>
    <row r="193" spans="6:6" ht="15" customHeight="1">
      <c r="F193" s="188"/>
    </row>
    <row r="194" spans="6:6" ht="15" customHeight="1">
      <c r="F194" s="188"/>
    </row>
    <row r="195" spans="6:6" ht="15" customHeight="1">
      <c r="F195" s="188"/>
    </row>
    <row r="196" spans="6:6" ht="15" customHeight="1">
      <c r="F196" s="188"/>
    </row>
    <row r="197" spans="6:6" ht="15" customHeight="1">
      <c r="F197" s="188"/>
    </row>
    <row r="198" spans="6:6" ht="15" customHeight="1">
      <c r="F198" s="188"/>
    </row>
    <row r="199" spans="6:6" ht="15" customHeight="1">
      <c r="F199" s="188"/>
    </row>
    <row r="200" spans="6:6" ht="15" customHeight="1">
      <c r="F200" s="188"/>
    </row>
    <row r="201" spans="6:6" ht="15" customHeight="1">
      <c r="F201" s="188"/>
    </row>
    <row r="202" spans="6:6" ht="15" customHeight="1">
      <c r="F202" s="188"/>
    </row>
    <row r="203" spans="6:6" ht="15" customHeight="1">
      <c r="F203" s="188"/>
    </row>
    <row r="204" spans="6:6" ht="15" customHeight="1">
      <c r="F204" s="188"/>
    </row>
    <row r="205" spans="6:6" ht="15" customHeight="1">
      <c r="F205" s="188"/>
    </row>
    <row r="206" spans="6:6" ht="15" customHeight="1">
      <c r="F206" s="188"/>
    </row>
    <row r="207" spans="6:6" ht="15" customHeight="1">
      <c r="F207" s="188"/>
    </row>
    <row r="208" spans="6:6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  <row r="336" spans="6:6" ht="15" customHeight="1">
      <c r="F336" s="188"/>
    </row>
  </sheetData>
  <autoFilter ref="B6:Q133" xr:uid="{00000000-0001-0000-0100-000000000000}"/>
  <dataConsolidate/>
  <mergeCells count="1">
    <mergeCell ref="E3:F3"/>
  </mergeCells>
  <phoneticPr fontId="72" type="noConversion"/>
  <conditionalFormatting sqref="B7:R9248">
    <cfRule type="expression" dxfId="31" priority="21">
      <formula>$R7="⚠️ EM ATRASO"</formula>
    </cfRule>
  </conditionalFormatting>
  <conditionalFormatting sqref="C1:D1">
    <cfRule type="cellIs" dxfId="30" priority="14" operator="lessThan">
      <formula>0</formula>
    </cfRule>
    <cfRule type="cellIs" dxfId="29" priority="15" operator="greaterThan">
      <formula>0</formula>
    </cfRule>
  </conditionalFormatting>
  <conditionalFormatting sqref="K1:K1048576">
    <cfRule type="cellIs" dxfId="28" priority="8" operator="equal">
      <formula>0</formula>
    </cfRule>
  </conditionalFormatting>
  <conditionalFormatting sqref="L3:L4">
    <cfRule type="containsText" dxfId="27" priority="16" operator="containsText" text="OK">
      <formula>NOT(ISERROR(SEARCH(("OK"),(L3))))</formula>
    </cfRule>
    <cfRule type="containsText" dxfId="26" priority="17" operator="containsText" text="ERRO">
      <formula>NOT(ISERROR(SEARCH(("ERRO"),(L3))))</formula>
    </cfRule>
  </conditionalFormatting>
  <conditionalFormatting sqref="Q1:Q1048576">
    <cfRule type="cellIs" dxfId="25" priority="9" operator="equal">
      <formula>"A PAGAR"</formula>
    </cfRule>
    <cfRule type="cellIs" dxfId="24" priority="10" operator="equal">
      <formula>"PAGO"</formula>
    </cfRule>
  </conditionalFormatting>
  <conditionalFormatting sqref="R1:R1048576">
    <cfRule type="containsText" dxfId="23" priority="5" stopIfTrue="1" operator="containsText" text="✔ OK">
      <formula>NOT(ISERROR(SEARCH("✔ OK",R1)))</formula>
    </cfRule>
    <cfRule type="containsText" dxfId="22" priority="7" operator="containsText" text="⚠️ EM ATRASO">
      <formula>NOT(ISERROR(SEARCH("⚠️ EM ATRASO",R1)))</formula>
    </cfRule>
  </conditionalFormatting>
  <dataValidations count="2">
    <dataValidation allowBlank="1" showInputMessage="1" showErrorMessage="1" sqref="P133:P1048576 P1:P6 O1:O1048576" xr:uid="{5FD9C375-511C-4C7B-9278-05824CFFB273}"/>
    <dataValidation type="list" allowBlank="1" showInputMessage="1" showErrorMessage="1" sqref="L7:L190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G18" sqref="G18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57</v>
      </c>
      <c r="C6" s="49" t="s">
        <v>58</v>
      </c>
      <c r="D6" s="243" t="s">
        <v>59</v>
      </c>
      <c r="E6" s="533" t="s">
        <v>226</v>
      </c>
      <c r="F6" s="533" t="s">
        <v>221</v>
      </c>
      <c r="G6" s="524" t="s">
        <v>215</v>
      </c>
      <c r="H6" s="525" t="s">
        <v>220</v>
      </c>
      <c r="I6" s="50" t="s">
        <v>60</v>
      </c>
      <c r="J6" s="244" t="s">
        <v>61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227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228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1" priority="20">
      <formula>#REF!="⚠️ EM ATRASO"</formula>
    </cfRule>
  </conditionalFormatting>
  <conditionalFormatting sqref="G38:G221">
    <cfRule type="expression" dxfId="20" priority="19">
      <formula>#REF!=LARGE((#REF!)*((#REF!)&lt;TODAY()),1)</formula>
    </cfRule>
  </conditionalFormatting>
  <conditionalFormatting sqref="G130:G221">
    <cfRule type="expression" dxfId="19" priority="2">
      <formula>G130=LARGE(G$6:G$36,1)</formula>
    </cfRule>
    <cfRule type="expression" dxfId="18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51" t="s">
        <v>62</v>
      </c>
      <c r="H1" s="552"/>
      <c r="I1" s="248" t="s">
        <v>63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53" t="s">
        <v>37</v>
      </c>
      <c r="C2" s="554"/>
      <c r="D2" s="554"/>
      <c r="E2" s="555"/>
      <c r="F2" s="206"/>
      <c r="G2" s="57" t="s">
        <v>64</v>
      </c>
      <c r="H2" s="58" t="s">
        <v>65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66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segunda-feira</v>
      </c>
      <c r="E3" s="196">
        <f ca="1">TODAY()</f>
        <v>46188</v>
      </c>
      <c r="F3" s="206"/>
      <c r="G3" s="61">
        <v>46174</v>
      </c>
      <c r="H3" s="61">
        <v>46203</v>
      </c>
      <c r="I3" s="251" t="s">
        <v>67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68</v>
      </c>
      <c r="C4" s="197">
        <f ca="1">IFERROR(SUMIFS('📋 Despesas'!$K:$K,'📋 Despesas'!$N:$N,E4),"S/D")</f>
        <v>0</v>
      </c>
      <c r="D4" s="249" t="str">
        <f t="shared" ca="1" si="0"/>
        <v>terça-feira</v>
      </c>
      <c r="E4" s="250">
        <f t="shared" ref="E4:E10" ca="1" si="1">E3+1</f>
        <v>46189</v>
      </c>
      <c r="F4" s="368"/>
      <c r="G4" s="252" t="s">
        <v>69</v>
      </c>
      <c r="H4" s="338">
        <f>SUMIFS('📋 Despesas'!J7:J17825,'📋 Despesas'!N7:N17825,"&gt;="&amp;G3,'📋 Despesas'!N7:N17825,"&lt;="&amp;H3)</f>
        <v>5360.0300000000007</v>
      </c>
      <c r="I4" s="63">
        <f>I2-H4</f>
        <v>-5360.0300000000007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70</v>
      </c>
      <c r="C5" s="197">
        <f ca="1">IFERROR(SUMIFS('📋 Despesas'!$K:$K,'📋 Despesas'!$N:$N,E5),"S/D")</f>
        <v>0</v>
      </c>
      <c r="D5" s="249" t="str">
        <f t="shared" ca="1" si="0"/>
        <v>quarta-feira</v>
      </c>
      <c r="E5" s="250">
        <f t="shared" ca="1" si="1"/>
        <v>46190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71</v>
      </c>
      <c r="C6" s="197">
        <f ca="1">IFERROR(SUMIFS('📋 Despesas'!$K:$K,'📋 Despesas'!$N:$N,E6),"S/D")</f>
        <v>0</v>
      </c>
      <c r="D6" s="249" t="str">
        <f t="shared" ca="1" si="0"/>
        <v>quinta-feira</v>
      </c>
      <c r="E6" s="250">
        <f t="shared" ca="1" si="1"/>
        <v>46191</v>
      </c>
      <c r="F6" s="53"/>
      <c r="G6" s="201" t="s">
        <v>72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73</v>
      </c>
      <c r="C7" s="197">
        <f ca="1">IFERROR(SUMIFS('📋 Despesas'!$K:$K,'📋 Despesas'!$N:$N,E7),"S/D")</f>
        <v>0</v>
      </c>
      <c r="D7" s="249" t="str">
        <f t="shared" ca="1" si="0"/>
        <v>sexta-feira</v>
      </c>
      <c r="E7" s="250">
        <f t="shared" ca="1" si="1"/>
        <v>46192</v>
      </c>
      <c r="F7" s="53"/>
      <c r="G7" s="202" t="s">
        <v>74</v>
      </c>
      <c r="H7" s="214">
        <f>I4+H6</f>
        <v>5139.9699999999993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75</v>
      </c>
      <c r="C8" s="197">
        <f ca="1">IFERROR(SUMIFS('📋 Despesas'!$K:$K,'📋 Despesas'!$N:$N,E8),"S/D")</f>
        <v>600</v>
      </c>
      <c r="D8" s="249" t="str">
        <f t="shared" ca="1" si="0"/>
        <v>sábado</v>
      </c>
      <c r="E8" s="250">
        <f t="shared" ca="1" si="1"/>
        <v>46193</v>
      </c>
      <c r="F8" s="53"/>
      <c r="G8" s="203" t="s">
        <v>76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194</v>
      </c>
      <c r="C9" s="197">
        <f ca="1">IFERROR(SUMIFS('📋 Despesas'!$K:$K,'📋 Despesas'!$N:$N,E9),"S/D")</f>
        <v>0</v>
      </c>
      <c r="D9" s="249" t="str">
        <f t="shared" ca="1" si="0"/>
        <v>domingo</v>
      </c>
      <c r="E9" s="250">
        <f t="shared" ca="1" si="1"/>
        <v>46194</v>
      </c>
      <c r="F9" s="53"/>
      <c r="G9" s="203" t="s">
        <v>77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195</v>
      </c>
      <c r="C10" s="197">
        <f ca="1">IFERROR(SUMIFS('📋 Despesas'!$K:$K,'📋 Despesas'!$N:$N,E10),"S/D")</f>
        <v>0</v>
      </c>
      <c r="D10" s="249" t="str">
        <f t="shared" ca="1" si="0"/>
        <v>segunda-feira</v>
      </c>
      <c r="E10" s="250">
        <f t="shared" ca="1" si="1"/>
        <v>46195</v>
      </c>
      <c r="F10" s="53"/>
      <c r="G10" s="205" t="s">
        <v>78</v>
      </c>
      <c r="H10" s="219">
        <f>H7+H8+H9</f>
        <v>5139.9699999999993</v>
      </c>
      <c r="I10" s="54"/>
      <c r="J10" s="53"/>
      <c r="K10" s="392">
        <f>I2-(SUMIFS('📋 Despesas'!M7:M8183,'📋 Despesas'!N7:N8183,"&gt;="&amp;G3,'📋 Despesas'!N7:N8183,"&lt;="&amp;H11))+H8+H9+H6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79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Despesas'!E7:J17825, ('📋 Despesas'!N7:N17825=H11) * ('📋 Despesas'!K7:K17825&gt;0)),"Sem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810.03000000000065</v>
      </c>
      <c r="E13" s="384">
        <f ca="1">'📋 Despesas'!K4</f>
        <v>4550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50" t="s">
        <v>80</v>
      </c>
      <c r="C14" s="541"/>
      <c r="D14" s="541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57</v>
      </c>
      <c r="D15" s="68" t="s">
        <v>81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3000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600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950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7" priority="3">
      <formula>$D16&gt;0</formula>
    </cfRule>
  </conditionalFormatting>
  <conditionalFormatting sqref="I4">
    <cfRule type="cellIs" dxfId="16" priority="4" operator="lessThan">
      <formula>0</formula>
    </cfRule>
    <cfRule type="cellIs" dxfId="15" priority="5" operator="greaterThan">
      <formula>0</formula>
    </cfRule>
  </conditionalFormatting>
  <conditionalFormatting sqref="I11">
    <cfRule type="expression" dxfId="14" priority="1">
      <formula>$D17&gt;0</formula>
    </cfRule>
  </conditionalFormatting>
  <conditionalFormatting sqref="K1">
    <cfRule type="expression" dxfId="13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56" t="s">
        <v>82</v>
      </c>
      <c r="C2" s="557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83</v>
      </c>
      <c r="C3" s="513">
        <v>2026</v>
      </c>
      <c r="D3" s="448" t="s">
        <v>84</v>
      </c>
      <c r="E3" s="448" t="s">
        <v>85</v>
      </c>
      <c r="F3" s="448" t="s">
        <v>86</v>
      </c>
      <c r="G3" s="448" t="s">
        <v>87</v>
      </c>
      <c r="H3" s="448" t="s">
        <v>88</v>
      </c>
      <c r="I3" s="448" t="s">
        <v>89</v>
      </c>
      <c r="J3" s="448" t="s">
        <v>90</v>
      </c>
      <c r="K3" s="448" t="s">
        <v>91</v>
      </c>
      <c r="L3" s="448" t="s">
        <v>92</v>
      </c>
      <c r="M3" s="448" t="s">
        <v>93</v>
      </c>
      <c r="N3" s="448" t="s">
        <v>94</v>
      </c>
      <c r="O3" s="448" t="s">
        <v>95</v>
      </c>
      <c r="Q3" s="366"/>
    </row>
    <row r="4" spans="1:17" ht="18">
      <c r="A4" s="75"/>
      <c r="B4" s="449" t="s">
        <v>96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217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97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197</v>
      </c>
      <c r="C7" s="522">
        <f>SUMIFS($D7:$Q7,$D$2:$Q$2,$C$3)</f>
        <v>5950.0300000000007</v>
      </c>
      <c r="D7" s="522">
        <f t="shared" ref="D7:O7" si="5">SUM(D8:D27)</f>
        <v>0</v>
      </c>
      <c r="E7" s="522">
        <f t="shared" si="5"/>
        <v>0</v>
      </c>
      <c r="F7" s="522">
        <f t="shared" si="5"/>
        <v>0</v>
      </c>
      <c r="G7" s="522">
        <f t="shared" si="5"/>
        <v>0</v>
      </c>
      <c r="H7" s="522">
        <f t="shared" si="5"/>
        <v>0</v>
      </c>
      <c r="I7" s="522">
        <f t="shared" si="5"/>
        <v>5360.0300000000007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3000</v>
      </c>
      <c r="D9" s="459">
        <f>SUMIFS('📋 Despesas'!$J$7:$J$17825,'📋 Despesas'!$F$7:$F$17825,$B9,'📋 Despesas'!$C$7:$C$17825,D$3,'📋 Despesas'!$D$7:$D$17825,D$2)</f>
        <v>0</v>
      </c>
      <c r="E9" s="459">
        <f>SUMIFS('📋 Despesas'!$J$7:$J$17825,'📋 Despesas'!$F$7:$F$17825,$B9,'📋 Despesas'!$C$7:$C$17825,E$3,'📋 Despesas'!$D$7:$D$17825,E$2)</f>
        <v>0</v>
      </c>
      <c r="F9" s="459">
        <f>SUMIFS('📋 Despesas'!$J$7:$J$17825,'📋 Despesas'!$F$7:$F$17825,$B9,'📋 Despesas'!$C$7:$C$17825,F$3,'📋 Despesas'!$D$7:$D$17825,F$2)</f>
        <v>0</v>
      </c>
      <c r="G9" s="459">
        <f>SUMIFS('📋 Despesas'!$J$7:$J$17825,'📋 Despesas'!$F$7:$F$17825,$B9,'📋 Despesas'!$C$7:$C$17825,G$3,'📋 Despesas'!$D$7:$D$17825,G$2)</f>
        <v>0</v>
      </c>
      <c r="H9" s="459">
        <f>SUMIFS('📋 Despesas'!$J$7:$J$17825,'📋 Despesas'!$F$7:$F$17825,$B9,'📋 Despesas'!$C$7:$C$17825,H$3,'📋 Despesas'!$D$7:$D$17825,H$2)</f>
        <v>0</v>
      </c>
      <c r="I9" s="459">
        <f>SUMIFS('📋 Despesas'!$J$7:$J$17825,'📋 Despesas'!$F$7:$F$17825,$B9,'📋 Despesas'!$C$7:$C$17825,I$3,'📋 Despesas'!$D$7:$D$17825,I$2)</f>
        <v>3000</v>
      </c>
      <c r="J9" s="459">
        <f>SUMIFS('📋 Despesas'!$J$7:$J$17825,'📋 Despesas'!$F$7:$F$17825,$B9,'📋 Despesas'!$C$7:$C$17825,J$3,'📋 Despesas'!$D$7:$D$17825,J$2)</f>
        <v>0</v>
      </c>
      <c r="K9" s="459">
        <f>SUMIFS('📋 Despesas'!$J$7:$J$17825,'📋 Despesas'!$F$7:$F$17825,$B9,'📋 Despesas'!$C$7:$C$17825,K$3,'📋 Despesas'!$D$7:$D$17825,K$2)</f>
        <v>0</v>
      </c>
      <c r="L9" s="459">
        <f>SUMIFS('📋 Despesas'!$J$7:$J$17825,'📋 Despesas'!$F$7:$F$17825,$B9,'📋 Despesas'!$C$7:$C$17825,L$3,'📋 Despesas'!$D$7:$D$17825,L$2)</f>
        <v>0</v>
      </c>
      <c r="M9" s="459">
        <f>SUMIFS('📋 Despesas'!$J$7:$J$17825,'📋 Despesas'!$F$7:$F$17825,$B9,'📋 Despesas'!$C$7:$C$17825,M$3,'📋 Despesas'!$D$7:$D$17825,M$2)</f>
        <v>0</v>
      </c>
      <c r="N9" s="459">
        <f>SUMIFS('📋 Despesas'!$J$7:$J$17825,'📋 Despesas'!$F$7:$F$17825,$B9,'📋 Despesas'!$C$7:$C$17825,N$3,'📋 Despesas'!$D$7:$D$17825,N$2)</f>
        <v>0</v>
      </c>
      <c r="O9" s="459">
        <f>SUMIFS('📋 Despesas'!$J$7:$J$17825,'📋 Despesas'!$F$7:$F$17825,$B9,'📋 Despesas'!$C$7:$C$17825,O$3,'📋 Despesas'!$D$7:$D$17825,O$2)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8" t="s">
        <v>212</v>
      </c>
      <c r="C10" s="459">
        <f t="shared" si="6"/>
        <v>0</v>
      </c>
      <c r="D10" s="459">
        <f>SUMIFS('📋 Despesas'!$J$7:$J$17825,'📋 Despesas'!$F$7:$F$17825,$B10,'📋 Despesas'!$C$7:$C$17825,D$3,'📋 Despesas'!$D$7:$D$17825,D$2)</f>
        <v>0</v>
      </c>
      <c r="E10" s="459">
        <f>SUMIFS('📋 Despesas'!$J$7:$J$17825,'📋 Despesas'!$F$7:$F$17825,$B10,'📋 Despesas'!$C$7:$C$17825,E$3,'📋 Despesas'!$D$7:$D$17825,E$2)</f>
        <v>0</v>
      </c>
      <c r="F10" s="459">
        <f>SUMIFS('📋 Despesas'!$J$7:$J$17825,'📋 Despesas'!$F$7:$F$17825,$B10,'📋 Despesas'!$C$7:$C$17825,F$3,'📋 Despesas'!$D$7:$D$17825,F$2)</f>
        <v>0</v>
      </c>
      <c r="G10" s="459">
        <f>SUMIFS('📋 Despesas'!$J$7:$J$17825,'📋 Despesas'!$F$7:$F$17825,$B10,'📋 Despesas'!$C$7:$C$17825,G$3,'📋 Despesas'!$D$7:$D$17825,G$2)</f>
        <v>0</v>
      </c>
      <c r="H10" s="459">
        <f>SUMIFS('📋 Despesas'!$J$7:$J$17825,'📋 Despesas'!$F$7:$F$17825,$B10,'📋 Despesas'!$C$7:$C$17825,H$3,'📋 Despesas'!$D$7:$D$17825,H$2)</f>
        <v>0</v>
      </c>
      <c r="I10" s="459">
        <f>SUMIFS('📋 Despesas'!$J$7:$J$17825,'📋 Despesas'!$F$7:$F$17825,$B10,'📋 Despesas'!$C$7:$C$17825,I$3,'📋 Despesas'!$D$7:$D$17825,I$2)</f>
        <v>0</v>
      </c>
      <c r="J10" s="459">
        <f>SUMIFS('📋 Despesas'!$J$7:$J$17825,'📋 Despesas'!$F$7:$F$17825,$B10,'📋 Despesas'!$C$7:$C$17825,J$3,'📋 Despesas'!$D$7:$D$17825,J$2)</f>
        <v>0</v>
      </c>
      <c r="K10" s="459">
        <f>SUMIFS('📋 Despesas'!$J$7:$J$17825,'📋 Despesas'!$F$7:$F$17825,$B10,'📋 Despesas'!$C$7:$C$17825,K$3,'📋 Despesas'!$D$7:$D$17825,K$2)</f>
        <v>0</v>
      </c>
      <c r="L10" s="459">
        <f>SUMIFS('📋 Despesas'!$J$7:$J$17825,'📋 Despesas'!$F$7:$F$17825,$B10,'📋 Despesas'!$C$7:$C$17825,L$3,'📋 Despesas'!$D$7:$D$17825,L$2)</f>
        <v>0</v>
      </c>
      <c r="M10" s="459">
        <f>SUMIFS('📋 Despesas'!$J$7:$J$17825,'📋 Despesas'!$F$7:$F$17825,$B10,'📋 Despesas'!$C$7:$C$17825,M$3,'📋 Despesas'!$D$7:$D$17825,M$2)</f>
        <v>0</v>
      </c>
      <c r="N10" s="459">
        <f>SUMIFS('📋 Despesas'!$J$7:$J$17825,'📋 Despesas'!$F$7:$F$17825,$B10,'📋 Despesas'!$C$7:$C$17825,N$3,'📋 Despesas'!$D$7:$D$17825,N$2)</f>
        <v>0</v>
      </c>
      <c r="O10" s="459">
        <f>SUMIFS('📋 Despesas'!$J$7:$J$17825,'📋 Despesas'!$F$7:$F$17825,$B10,'📋 Despesas'!$C$7:$C$17825,O$3,'📋 Despesas'!$D$7:$D$17825,O$2)</f>
        <v>0</v>
      </c>
      <c r="P10" s="78"/>
      <c r="Q10" s="76" t="str">
        <v>INSS</v>
      </c>
    </row>
    <row r="11" spans="1:17" ht="18">
      <c r="A11" s="76"/>
      <c r="B11" s="458" t="s">
        <v>213</v>
      </c>
      <c r="C11" s="459">
        <f t="shared" si="6"/>
        <v>0</v>
      </c>
      <c r="D11" s="459">
        <f>SUMIFS('📋 Despesas'!$J$7:$J$17825,'📋 Despesas'!$F$7:$F$17825,$B11,'📋 Despesas'!$C$7:$C$17825,D$3,'📋 Despesas'!$D$7:$D$17825,D$2)</f>
        <v>0</v>
      </c>
      <c r="E11" s="459">
        <f>SUMIFS('📋 Despesas'!$J$7:$J$17825,'📋 Despesas'!$F$7:$F$17825,$B11,'📋 Despesas'!$C$7:$C$17825,E$3,'📋 Despesas'!$D$7:$D$17825,E$2)</f>
        <v>0</v>
      </c>
      <c r="F11" s="459">
        <f>SUMIFS('📋 Despesas'!$J$7:$J$17825,'📋 Despesas'!$F$7:$F$17825,$B11,'📋 Despesas'!$C$7:$C$17825,F$3,'📋 Despesas'!$D$7:$D$17825,F$2)</f>
        <v>0</v>
      </c>
      <c r="G11" s="459">
        <f>SUMIFS('📋 Despesas'!$J$7:$J$17825,'📋 Despesas'!$F$7:$F$17825,$B11,'📋 Despesas'!$C$7:$C$17825,G$3,'📋 Despesas'!$D$7:$D$17825,G$2)</f>
        <v>0</v>
      </c>
      <c r="H11" s="459">
        <f>SUMIFS('📋 Despesas'!$J$7:$J$17825,'📋 Despesas'!$F$7:$F$17825,$B11,'📋 Despesas'!$C$7:$C$17825,H$3,'📋 Despesas'!$D$7:$D$17825,H$2)</f>
        <v>0</v>
      </c>
      <c r="I11" s="459">
        <f>SUMIFS('📋 Despesas'!$J$7:$J$17825,'📋 Despesas'!$F$7:$F$17825,$B11,'📋 Despesas'!$C$7:$C$17825,I$3,'📋 Despesas'!$D$7:$D$17825,I$2)</f>
        <v>0</v>
      </c>
      <c r="J11" s="459">
        <f>SUMIFS('📋 Despesas'!$J$7:$J$17825,'📋 Despesas'!$F$7:$F$17825,$B11,'📋 Despesas'!$C$7:$C$17825,J$3,'📋 Despesas'!$D$7:$D$17825,J$2)</f>
        <v>0</v>
      </c>
      <c r="K11" s="459">
        <f>SUMIFS('📋 Despesas'!$J$7:$J$17825,'📋 Despesas'!$F$7:$F$17825,$B11,'📋 Despesas'!$C$7:$C$17825,K$3,'📋 Despesas'!$D$7:$D$17825,K$2)</f>
        <v>0</v>
      </c>
      <c r="L11" s="459">
        <f>SUMIFS('📋 Despesas'!$J$7:$J$17825,'📋 Despesas'!$F$7:$F$17825,$B11,'📋 Despesas'!$C$7:$C$17825,L$3,'📋 Despesas'!$D$7:$D$17825,L$2)</f>
        <v>0</v>
      </c>
      <c r="M11" s="459">
        <f>SUMIFS('📋 Despesas'!$J$7:$J$17825,'📋 Despesas'!$F$7:$F$17825,$B11,'📋 Despesas'!$C$7:$C$17825,M$3,'📋 Despesas'!$D$7:$D$17825,M$2)</f>
        <v>0</v>
      </c>
      <c r="N11" s="459">
        <f>SUMIFS('📋 Despesas'!$J$7:$J$17825,'📋 Despesas'!$F$7:$F$17825,$B11,'📋 Despesas'!$C$7:$C$17825,N$3,'📋 Despesas'!$D$7:$D$17825,N$2)</f>
        <v>0</v>
      </c>
      <c r="O11" s="459">
        <f>SUMIFS('📋 Despesas'!$J$7:$J$17825,'📋 Despesas'!$F$7:$F$17825,$B11,'📋 Despesas'!$C$7:$C$17825,O$3,'📋 Despesas'!$D$7:$D$17825,O$2)</f>
        <v>0</v>
      </c>
      <c r="P11" s="78"/>
      <c r="Q11" s="76" t="str">
        <v>LUCRO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Despesas'!$J$7:$J$17825,'📋 Despesas'!$F$7:$F$17825,$B12,'📋 Despesas'!$C$7:$C$17825,D$3,'📋 Despesas'!$D$7:$D$17825,D$2)</f>
        <v>0</v>
      </c>
      <c r="E12" s="459">
        <f>SUMIFS('📋 Despesas'!$J$7:$J$17825,'📋 Despesas'!$F$7:$F$17825,$B12,'📋 Despesas'!$C$7:$C$17825,E$3,'📋 Despesas'!$D$7:$D$17825,E$2)</f>
        <v>0</v>
      </c>
      <c r="F12" s="459">
        <f>SUMIFS('📋 Despesas'!$J$7:$J$17825,'📋 Despesas'!$F$7:$F$17825,$B12,'📋 Despesas'!$C$7:$C$17825,F$3,'📋 Despesas'!$D$7:$D$17825,F$2)</f>
        <v>0</v>
      </c>
      <c r="G12" s="459">
        <f>SUMIFS('📋 Despesas'!$J$7:$J$17825,'📋 Despesas'!$F$7:$F$17825,$B12,'📋 Despesas'!$C$7:$C$17825,G$3,'📋 Despesas'!$D$7:$D$17825,G$2)</f>
        <v>0</v>
      </c>
      <c r="H12" s="459">
        <f>SUMIFS('📋 Despesas'!$J$7:$J$17825,'📋 Despesas'!$F$7:$F$17825,$B12,'📋 Despesas'!$C$7:$C$17825,H$3,'📋 Despesas'!$D$7:$D$17825,H$2)</f>
        <v>0</v>
      </c>
      <c r="I12" s="459">
        <f>SUMIFS('📋 Despesas'!$J$7:$J$17825,'📋 Despesas'!$F$7:$F$17825,$B12,'📋 Despesas'!$C$7:$C$17825,I$3,'📋 Despesas'!$D$7:$D$17825,I$2)</f>
        <v>950</v>
      </c>
      <c r="J12" s="459">
        <f>SUMIFS('📋 Despesas'!$J$7:$J$17825,'📋 Despesas'!$F$7:$F$17825,$B12,'📋 Despesas'!$C$7:$C$17825,J$3,'📋 Despesas'!$D$7:$D$17825,J$2)</f>
        <v>590</v>
      </c>
      <c r="K12" s="459">
        <f>SUMIFS('📋 Despesas'!$J$7:$J$17825,'📋 Despesas'!$F$7:$F$17825,$B12,'📋 Despesas'!$C$7:$C$17825,K$3,'📋 Despesas'!$D$7:$D$17825,K$2)</f>
        <v>0</v>
      </c>
      <c r="L12" s="459">
        <f>SUMIFS('📋 Despesas'!$J$7:$J$17825,'📋 Despesas'!$F$7:$F$17825,$B12,'📋 Despesas'!$C$7:$C$17825,L$3,'📋 Despesas'!$D$7:$D$17825,L$2)</f>
        <v>0</v>
      </c>
      <c r="M12" s="459">
        <f>SUMIFS('📋 Despesas'!$J$7:$J$17825,'📋 Despesas'!$F$7:$F$17825,$B12,'📋 Despesas'!$C$7:$C$17825,M$3,'📋 Despesas'!$D$7:$D$17825,M$2)</f>
        <v>0</v>
      </c>
      <c r="N12" s="459">
        <f>SUMIFS('📋 Despesas'!$J$7:$J$17825,'📋 Despesas'!$F$7:$F$17825,$B12,'📋 Despesas'!$C$7:$C$17825,N$3,'📋 Despesas'!$D$7:$D$17825,N$2)</f>
        <v>0</v>
      </c>
      <c r="O12" s="459">
        <f>SUMIFS('📋 Despesas'!$J$7:$J$17825,'📋 Despesas'!$F$7:$F$17825,$B12,'📋 Despesas'!$C$7:$C$17825,O$3,'📋 Despesas'!$D$7:$D$17825,O$2)</f>
        <v>0</v>
      </c>
      <c r="P12" s="78"/>
      <c r="Q12" s="76" t="str">
        <v>CONTABILIDADE</v>
      </c>
    </row>
    <row r="13" spans="1:17" ht="18">
      <c r="A13" s="76"/>
      <c r="B13" s="458" t="s">
        <v>216</v>
      </c>
      <c r="C13" s="459">
        <f t="shared" si="6"/>
        <v>0</v>
      </c>
      <c r="D13" s="459">
        <f>SUMIFS('📋 Despesas'!$J$7:$J$17825,'📋 Despesas'!$F$7:$F$17825,$B13,'📋 Despesas'!$C$7:$C$17825,D$3,'📋 Despesas'!$D$7:$D$17825,D$2)</f>
        <v>0</v>
      </c>
      <c r="E13" s="459">
        <f>SUMIFS('📋 Despesas'!$J$7:$J$17825,'📋 Despesas'!$F$7:$F$17825,$B13,'📋 Despesas'!$C$7:$C$17825,E$3,'📋 Despesas'!$D$7:$D$17825,E$2)</f>
        <v>0</v>
      </c>
      <c r="F13" s="459">
        <f>SUMIFS('📋 Despesas'!$J$7:$J$17825,'📋 Despesas'!$F$7:$F$17825,$B13,'📋 Despesas'!$C$7:$C$17825,F$3,'📋 Despesas'!$D$7:$D$17825,F$2)</f>
        <v>0</v>
      </c>
      <c r="G13" s="459">
        <f>SUMIFS('📋 Despesas'!$J$7:$J$17825,'📋 Despesas'!$F$7:$F$17825,$B13,'📋 Despesas'!$C$7:$C$17825,G$3,'📋 Despesas'!$D$7:$D$17825,G$2)</f>
        <v>0</v>
      </c>
      <c r="H13" s="459">
        <f>SUMIFS('📋 Despesas'!$J$7:$J$17825,'📋 Despesas'!$F$7:$F$17825,$B13,'📋 Despesas'!$C$7:$C$17825,H$3,'📋 Despesas'!$D$7:$D$17825,H$2)</f>
        <v>0</v>
      </c>
      <c r="I13" s="459">
        <f>SUMIFS('📋 Despesas'!$J$7:$J$17825,'📋 Despesas'!$F$7:$F$17825,$B13,'📋 Despesas'!$C$7:$C$17825,I$3,'📋 Despesas'!$D$7:$D$17825,I$2)</f>
        <v>0</v>
      </c>
      <c r="J13" s="459">
        <f>SUMIFS('📋 Despesas'!$J$7:$J$17825,'📋 Despesas'!$F$7:$F$17825,$B13,'📋 Despesas'!$C$7:$C$17825,J$3,'📋 Despesas'!$D$7:$D$17825,J$2)</f>
        <v>0</v>
      </c>
      <c r="K13" s="459">
        <f>SUMIFS('📋 Despesas'!$J$7:$J$17825,'📋 Despesas'!$F$7:$F$17825,$B13,'📋 Despesas'!$C$7:$C$17825,K$3,'📋 Despesas'!$D$7:$D$17825,K$2)</f>
        <v>0</v>
      </c>
      <c r="L13" s="459">
        <f>SUMIFS('📋 Despesas'!$J$7:$J$17825,'📋 Despesas'!$F$7:$F$17825,$B13,'📋 Despesas'!$C$7:$C$17825,L$3,'📋 Despesas'!$D$7:$D$17825,L$2)</f>
        <v>0</v>
      </c>
      <c r="M13" s="459">
        <f>SUMIFS('📋 Despesas'!$J$7:$J$17825,'📋 Despesas'!$F$7:$F$17825,$B13,'📋 Despesas'!$C$7:$C$17825,M$3,'📋 Despesas'!$D$7:$D$17825,M$2)</f>
        <v>0</v>
      </c>
      <c r="N13" s="459">
        <f>SUMIFS('📋 Despesas'!$J$7:$J$17825,'📋 Despesas'!$F$7:$F$17825,$B13,'📋 Despesas'!$C$7:$C$17825,N$3,'📋 Despesas'!$D$7:$D$17825,N$2)</f>
        <v>0</v>
      </c>
      <c r="O13" s="459">
        <f>SUMIFS('📋 Despesas'!$J$7:$J$17825,'📋 Despesas'!$F$7:$F$17825,$B13,'📋 Despesas'!$C$7:$C$17825,O$3,'📋 Despesas'!$D$7:$D$17825,O$2)</f>
        <v>0</v>
      </c>
      <c r="P13" s="78"/>
      <c r="Q13" s="76" t="str">
        <v>OUTROS</v>
      </c>
    </row>
    <row r="14" spans="1:17" ht="18">
      <c r="A14" s="76"/>
      <c r="B14" s="458" t="s">
        <v>230</v>
      </c>
      <c r="C14" s="459">
        <f t="shared" si="6"/>
        <v>277.59000000000003</v>
      </c>
      <c r="D14" s="459">
        <f>SUMIFS('📋 Despesas'!$J$7:$J$17825,'📋 Despesas'!$F$7:$F$17825,$B14,'📋 Despesas'!$C$7:$C$17825,D$3,'📋 Despesas'!$D$7:$D$17825,D$2)</f>
        <v>0</v>
      </c>
      <c r="E14" s="459">
        <f>SUMIFS('📋 Despesas'!$J$7:$J$17825,'📋 Despesas'!$F$7:$F$17825,$B14,'📋 Despesas'!$C$7:$C$17825,E$3,'📋 Despesas'!$D$7:$D$17825,E$2)</f>
        <v>0</v>
      </c>
      <c r="F14" s="459">
        <f>SUMIFS('📋 Despesas'!$J$7:$J$17825,'📋 Despesas'!$F$7:$F$17825,$B14,'📋 Despesas'!$C$7:$C$17825,F$3,'📋 Despesas'!$D$7:$D$17825,F$2)</f>
        <v>0</v>
      </c>
      <c r="G14" s="459">
        <f>SUMIFS('📋 Despesas'!$J$7:$J$17825,'📋 Despesas'!$F$7:$F$17825,$B14,'📋 Despesas'!$C$7:$C$17825,G$3,'📋 Despesas'!$D$7:$D$17825,G$2)</f>
        <v>0</v>
      </c>
      <c r="H14" s="459">
        <f>SUMIFS('📋 Despesas'!$J$7:$J$17825,'📋 Despesas'!$F$7:$F$17825,$B14,'📋 Despesas'!$C$7:$C$17825,H$3,'📋 Despesas'!$D$7:$D$17825,H$2)</f>
        <v>0</v>
      </c>
      <c r="I14" s="459">
        <f>SUMIFS('📋 Despesas'!$J$7:$J$17825,'📋 Despesas'!$F$7:$F$17825,$B14,'📋 Despesas'!$C$7:$C$17825,I$3,'📋 Despesas'!$D$7:$D$17825,I$2)</f>
        <v>277.59000000000003</v>
      </c>
      <c r="J14" s="459">
        <f>SUMIFS('📋 Despesas'!$J$7:$J$17825,'📋 Despesas'!$F$7:$F$17825,$B14,'📋 Despesas'!$C$7:$C$17825,J$3,'📋 Despesas'!$D$7:$D$17825,J$2)</f>
        <v>0</v>
      </c>
      <c r="K14" s="459">
        <f>SUMIFS('📋 Despesas'!$J$7:$J$17825,'📋 Despesas'!$F$7:$F$17825,$B14,'📋 Despesas'!$C$7:$C$17825,K$3,'📋 Despesas'!$D$7:$D$17825,K$2)</f>
        <v>0</v>
      </c>
      <c r="L14" s="459">
        <f>SUMIFS('📋 Despesas'!$J$7:$J$17825,'📋 Despesas'!$F$7:$F$17825,$B14,'📋 Despesas'!$C$7:$C$17825,L$3,'📋 Despesas'!$D$7:$D$17825,L$2)</f>
        <v>0</v>
      </c>
      <c r="M14" s="459">
        <f>SUMIFS('📋 Despesas'!$J$7:$J$17825,'📋 Despesas'!$F$7:$F$17825,$B14,'📋 Despesas'!$C$7:$C$17825,M$3,'📋 Despesas'!$D$7:$D$17825,M$2)</f>
        <v>0</v>
      </c>
      <c r="N14" s="459">
        <f>SUMIFS('📋 Despesas'!$J$7:$J$17825,'📋 Despesas'!$F$7:$F$17825,$B14,'📋 Despesas'!$C$7:$C$17825,N$3,'📋 Despesas'!$D$7:$D$17825,N$2)</f>
        <v>0</v>
      </c>
      <c r="O14" s="459">
        <f>SUMIFS('📋 Despesas'!$J$7:$J$17825,'📋 Despesas'!$F$7:$F$17825,$B14,'📋 Despesas'!$C$7:$C$17825,O$3,'📋 Despesas'!$D$7:$D$17825,O$2)</f>
        <v>0</v>
      </c>
      <c r="P14" s="78"/>
      <c r="Q14" s="76" t="str">
        <v>ADM</v>
      </c>
    </row>
    <row r="15" spans="1:17" ht="18">
      <c r="A15" s="79"/>
      <c r="B15" s="455"/>
      <c r="C15" s="456">
        <f t="shared" si="6"/>
        <v>0</v>
      </c>
      <c r="D15" s="460">
        <f>SUMIFS('📋 Despesas'!$J$7:$J$17825,'📋 Despesas'!$F$7:$F$17825,$B15,'📋 Despesas'!$C$7:$C$17825,D$3,'📋 Despesas'!$D$7:$D$17825,D$2)</f>
        <v>0</v>
      </c>
      <c r="E15" s="460">
        <f>SUMIFS('📋 Despesas'!$J$7:$J$17825,'📋 Despesas'!$F$7:$F$17825,$B15,'📋 Despesas'!$C$7:$C$17825,E$3,'📋 Despesas'!$D$7:$D$17825,E$2)</f>
        <v>0</v>
      </c>
      <c r="F15" s="460">
        <f>SUMIFS('📋 Despesas'!$J$7:$J$17825,'📋 Despesas'!$F$7:$F$17825,$B15,'📋 Despesas'!$C$7:$C$17825,F$3,'📋 Despesas'!$D$7:$D$17825,F$2)</f>
        <v>0</v>
      </c>
      <c r="G15" s="460">
        <f>SUMIFS('📋 Despesas'!$J$7:$J$17825,'📋 Despesas'!$F$7:$F$17825,$B15,'📋 Despesas'!$C$7:$C$17825,G$3,'📋 Despesas'!$D$7:$D$17825,G$2)</f>
        <v>0</v>
      </c>
      <c r="H15" s="460">
        <f>SUMIFS('📋 Despesas'!$J$7:$J$17825,'📋 Despesas'!$F$7:$F$17825,$B15,'📋 Despesas'!$C$7:$C$17825,H$3,'📋 Despesas'!$D$7:$D$17825,H$2)</f>
        <v>0</v>
      </c>
      <c r="I15" s="460">
        <f>SUMIFS('📋 Despesas'!$J$7:$J$17825,'📋 Despesas'!$F$7:$F$17825,$B15,'📋 Despesas'!$C$7:$C$17825,I$3,'📋 Despesas'!$D$7:$D$17825,I$2)</f>
        <v>0</v>
      </c>
      <c r="J15" s="460">
        <f>SUMIFS('📋 Despesas'!$J$7:$J$17825,'📋 Despesas'!$F$7:$F$17825,$B15,'📋 Despesas'!$C$7:$C$17825,J$3,'📋 Despesas'!$D$7:$D$17825,J$2)</f>
        <v>0</v>
      </c>
      <c r="K15" s="460">
        <f>SUMIFS('📋 Despesas'!$J$7:$J$17825,'📋 Despesas'!$F$7:$F$17825,$B15,'📋 Despesas'!$C$7:$C$17825,K$3,'📋 Despesas'!$D$7:$D$17825,K$2)</f>
        <v>0</v>
      </c>
      <c r="L15" s="460">
        <f>SUMIFS('📋 Despesas'!$J$7:$J$17825,'📋 Despesas'!$F$7:$F$17825,$B15,'📋 Despesas'!$C$7:$C$17825,L$3,'📋 Despesas'!$D$7:$D$17825,L$2)</f>
        <v>0</v>
      </c>
      <c r="M15" s="460">
        <f>SUMIFS('📋 Despesas'!$J$7:$J$17825,'📋 Despesas'!$F$7:$F$17825,$B15,'📋 Despesas'!$C$7:$C$17825,M$3,'📋 Despesas'!$D$7:$D$17825,M$2)</f>
        <v>0</v>
      </c>
      <c r="N15" s="460">
        <f>SUMIFS('📋 Despesas'!$J$7:$J$17825,'📋 Despesas'!$F$7:$F$17825,$B15,'📋 Despesas'!$C$7:$C$17825,N$3,'📋 Despesas'!$D$7:$D$17825,N$2)</f>
        <v>0</v>
      </c>
      <c r="O15" s="460">
        <f>SUMIFS('📋 Despesas'!$J$7:$J$17825,'📋 Despesas'!$F$7:$F$17825,$B15,'📋 Despesas'!$C$7:$C$17825,O$3,'📋 Despesas'!$D$7:$D$17825,O$2)</f>
        <v>0</v>
      </c>
      <c r="P15" s="253"/>
      <c r="Q15" s="254" t="str">
        <v>TRIBUTOS</v>
      </c>
    </row>
    <row r="16" spans="1:17" ht="18">
      <c r="B16" s="455"/>
      <c r="C16" s="456">
        <f t="shared" si="6"/>
        <v>0</v>
      </c>
      <c r="D16" s="460">
        <f>SUMIFS('📋 Despesas'!$J$7:$J$17825,'📋 Despesas'!$F$7:$F$17825,$B16,'📋 Despesas'!$C$7:$C$17825,D$3,'📋 Despesas'!$D$7:$D$17825,D$2)</f>
        <v>0</v>
      </c>
      <c r="E16" s="460">
        <f>SUMIFS('📋 Despesas'!$J$7:$J$17825,'📋 Despesas'!$F$7:$F$17825,$B16,'📋 Despesas'!$C$7:$C$17825,E$3,'📋 Despesas'!$D$7:$D$17825,E$2)</f>
        <v>0</v>
      </c>
      <c r="F16" s="460">
        <f>SUMIFS('📋 Despesas'!$J$7:$J$17825,'📋 Despesas'!$F$7:$F$17825,$B16,'📋 Despesas'!$C$7:$C$17825,F$3,'📋 Despesas'!$D$7:$D$17825,F$2)</f>
        <v>0</v>
      </c>
      <c r="G16" s="460">
        <f>SUMIFS('📋 Despesas'!$J$7:$J$17825,'📋 Despesas'!$F$7:$F$17825,$B16,'📋 Despesas'!$C$7:$C$17825,G$3,'📋 Despesas'!$D$7:$D$17825,G$2)</f>
        <v>0</v>
      </c>
      <c r="H16" s="460">
        <f>SUMIFS('📋 Despesas'!$J$7:$J$17825,'📋 Despesas'!$F$7:$F$17825,$B16,'📋 Despesas'!$C$7:$C$17825,H$3,'📋 Despesas'!$D$7:$D$17825,H$2)</f>
        <v>0</v>
      </c>
      <c r="I16" s="460">
        <f>SUMIFS('📋 Despesas'!$J$7:$J$17825,'📋 Despesas'!$F$7:$F$17825,$B16,'📋 Despesas'!$C$7:$C$17825,I$3,'📋 Despesas'!$D$7:$D$17825,I$2)</f>
        <v>0</v>
      </c>
      <c r="J16" s="460">
        <f>SUMIFS('📋 Despesas'!$J$7:$J$17825,'📋 Despesas'!$F$7:$F$17825,$B16,'📋 Despesas'!$C$7:$C$17825,J$3,'📋 Despesas'!$D$7:$D$17825,J$2)</f>
        <v>0</v>
      </c>
      <c r="K16" s="460">
        <f>SUMIFS('📋 Despesas'!$J$7:$J$17825,'📋 Despesas'!$F$7:$F$17825,$B16,'📋 Despesas'!$C$7:$C$17825,K$3,'📋 Despesas'!$D$7:$D$17825,K$2)</f>
        <v>0</v>
      </c>
      <c r="L16" s="460">
        <f>SUMIFS('📋 Despesas'!$J$7:$J$17825,'📋 Despesas'!$F$7:$F$17825,$B16,'📋 Despesas'!$C$7:$C$17825,L$3,'📋 Despesas'!$D$7:$D$17825,L$2)</f>
        <v>0</v>
      </c>
      <c r="M16" s="460">
        <f>SUMIFS('📋 Despesas'!$J$7:$J$17825,'📋 Despesas'!$F$7:$F$17825,$B16,'📋 Despesas'!$C$7:$C$17825,M$3,'📋 Despesas'!$D$7:$D$17825,M$2)</f>
        <v>0</v>
      </c>
      <c r="N16" s="460">
        <f>SUMIFS('📋 Despesas'!$J$7:$J$17825,'📋 Despesas'!$F$7:$F$17825,$B16,'📋 Despesas'!$C$7:$C$17825,N$3,'📋 Despesas'!$D$7:$D$17825,N$2)</f>
        <v>0</v>
      </c>
      <c r="O16" s="460">
        <f>SUMIFS('📋 Despesas'!$J$7:$J$17825,'📋 Despesas'!$F$7:$F$17825,$B16,'📋 Despesas'!$C$7:$C$17825,O$3,'📋 Despesas'!$D$7:$D$17825,O$2)</f>
        <v>0</v>
      </c>
      <c r="P16" s="253"/>
      <c r="Q16" s="254" t="str">
        <v>TAXAS</v>
      </c>
    </row>
    <row r="17" spans="1:17" ht="18">
      <c r="B17" s="455"/>
      <c r="C17" s="456">
        <f t="shared" si="6"/>
        <v>0</v>
      </c>
      <c r="D17" s="460">
        <f>SUMIFS('📋 Despesas'!$J$7:$J$17825,'📋 Despesas'!$F$7:$F$17825,$B17,'📋 Despesas'!$C$7:$C$17825,D$3,'📋 Despesas'!$D$7:$D$17825,D$2)</f>
        <v>0</v>
      </c>
      <c r="E17" s="460">
        <f>SUMIFS('📋 Despesas'!$J$7:$J$17825,'📋 Despesas'!$F$7:$F$17825,$B17,'📋 Despesas'!$C$7:$C$17825,E$3,'📋 Despesas'!$D$7:$D$17825,E$2)</f>
        <v>0</v>
      </c>
      <c r="F17" s="460">
        <f>SUMIFS('📋 Despesas'!$J$7:$J$17825,'📋 Despesas'!$F$7:$F$17825,$B17,'📋 Despesas'!$C$7:$C$17825,F$3,'📋 Despesas'!$D$7:$D$17825,F$2)</f>
        <v>0</v>
      </c>
      <c r="G17" s="460">
        <f>SUMIFS('📋 Despesas'!$J$7:$J$17825,'📋 Despesas'!$F$7:$F$17825,$B17,'📋 Despesas'!$C$7:$C$17825,G$3,'📋 Despesas'!$D$7:$D$17825,G$2)</f>
        <v>0</v>
      </c>
      <c r="H17" s="460">
        <f>SUMIFS('📋 Despesas'!$J$7:$J$17825,'📋 Despesas'!$F$7:$F$17825,$B17,'📋 Despesas'!$C$7:$C$17825,H$3,'📋 Despesas'!$D$7:$D$17825,H$2)</f>
        <v>0</v>
      </c>
      <c r="I17" s="460">
        <f>SUMIFS('📋 Despesas'!$J$7:$J$17825,'📋 Despesas'!$F$7:$F$17825,$B17,'📋 Despesas'!$C$7:$C$17825,I$3,'📋 Despesas'!$D$7:$D$17825,I$2)</f>
        <v>0</v>
      </c>
      <c r="J17" s="460">
        <f>SUMIFS('📋 Despesas'!$J$7:$J$17825,'📋 Despesas'!$F$7:$F$17825,$B17,'📋 Despesas'!$C$7:$C$17825,J$3,'📋 Despesas'!$D$7:$D$17825,J$2)</f>
        <v>0</v>
      </c>
      <c r="K17" s="460">
        <f>SUMIFS('📋 Despesas'!$J$7:$J$17825,'📋 Despesas'!$F$7:$F$17825,$B17,'📋 Despesas'!$C$7:$C$17825,K$3,'📋 Despesas'!$D$7:$D$17825,K$2)</f>
        <v>0</v>
      </c>
      <c r="L17" s="460">
        <f>SUMIFS('📋 Despesas'!$J$7:$J$17825,'📋 Despesas'!$F$7:$F$17825,$B17,'📋 Despesas'!$C$7:$C$17825,L$3,'📋 Despesas'!$D$7:$D$17825,L$2)</f>
        <v>0</v>
      </c>
      <c r="M17" s="460">
        <f>SUMIFS('📋 Despesas'!$J$7:$J$17825,'📋 Despesas'!$F$7:$F$17825,$B17,'📋 Despesas'!$C$7:$C$17825,M$3,'📋 Despesas'!$D$7:$D$17825,M$2)</f>
        <v>0</v>
      </c>
      <c r="N17" s="460">
        <f>SUMIFS('📋 Despesas'!$J$7:$J$17825,'📋 Despesas'!$F$7:$F$17825,$B17,'📋 Despesas'!$C$7:$C$17825,N$3,'📋 Despesas'!$D$7:$D$17825,N$2)</f>
        <v>0</v>
      </c>
      <c r="O17" s="460">
        <f>SUMIFS('📋 Despesas'!$J$7:$J$17825,'📋 Despesas'!$F$7:$F$17825,$B17,'📋 Despesas'!$C$7:$C$17825,O$3,'📋 Despesas'!$D$7:$D$17825,O$2)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Despesas'!$J$7:$J$17825,'📋 Despesas'!$F$7:$F$17825,$B18,'📋 Despesas'!$C$7:$C$17825,D$3,'📋 Despesas'!$D$7:$D$17825,D$2)</f>
        <v>0</v>
      </c>
      <c r="E18" s="460">
        <f>SUMIFS('📋 Despesas'!$J$7:$J$17825,'📋 Despesas'!$F$7:$F$17825,$B18,'📋 Despesas'!$C$7:$C$17825,E$3,'📋 Despesas'!$D$7:$D$17825,E$2)</f>
        <v>0</v>
      </c>
      <c r="F18" s="460">
        <f>SUMIFS('📋 Despesas'!$J$7:$J$17825,'📋 Despesas'!$F$7:$F$17825,$B18,'📋 Despesas'!$C$7:$C$17825,F$3,'📋 Despesas'!$D$7:$D$17825,F$2)</f>
        <v>0</v>
      </c>
      <c r="G18" s="460">
        <f>SUMIFS('📋 Despesas'!$J$7:$J$17825,'📋 Despesas'!$F$7:$F$17825,$B18,'📋 Despesas'!$C$7:$C$17825,G$3,'📋 Despesas'!$D$7:$D$17825,G$2)</f>
        <v>0</v>
      </c>
      <c r="H18" s="460">
        <f>SUMIFS('📋 Despesas'!$J$7:$J$17825,'📋 Despesas'!$F$7:$F$17825,$B18,'📋 Despesas'!$C$7:$C$17825,H$3,'📋 Despesas'!$D$7:$D$17825,H$2)</f>
        <v>0</v>
      </c>
      <c r="I18" s="460">
        <f>SUMIFS('📋 Despesas'!$J$7:$J$17825,'📋 Despesas'!$F$7:$F$17825,$B18,'📋 Despesas'!$C$7:$C$17825,I$3,'📋 Despesas'!$D$7:$D$17825,I$2)</f>
        <v>0</v>
      </c>
      <c r="J18" s="460">
        <f>SUMIFS('📋 Despesas'!$J$7:$J$17825,'📋 Despesas'!$F$7:$F$17825,$B18,'📋 Despesas'!$C$7:$C$17825,J$3,'📋 Despesas'!$D$7:$D$17825,J$2)</f>
        <v>0</v>
      </c>
      <c r="K18" s="460">
        <f>SUMIFS('📋 Despesas'!$J$7:$J$17825,'📋 Despesas'!$F$7:$F$17825,$B18,'📋 Despesas'!$C$7:$C$17825,K$3,'📋 Despesas'!$D$7:$D$17825,K$2)</f>
        <v>0</v>
      </c>
      <c r="L18" s="460">
        <f>SUMIFS('📋 Despesas'!$J$7:$J$17825,'📋 Despesas'!$F$7:$F$17825,$B18,'📋 Despesas'!$C$7:$C$17825,L$3,'📋 Despesas'!$D$7:$D$17825,L$2)</f>
        <v>0</v>
      </c>
      <c r="M18" s="460">
        <f>SUMIFS('📋 Despesas'!$J$7:$J$17825,'📋 Despesas'!$F$7:$F$17825,$B18,'📋 Despesas'!$C$7:$C$17825,M$3,'📋 Despesas'!$D$7:$D$17825,M$2)</f>
        <v>0</v>
      </c>
      <c r="N18" s="460">
        <f>SUMIFS('📋 Despesas'!$J$7:$J$17825,'📋 Despesas'!$F$7:$F$17825,$B18,'📋 Despesas'!$C$7:$C$17825,N$3,'📋 Despesas'!$D$7:$D$17825,N$2)</f>
        <v>0</v>
      </c>
      <c r="O18" s="460">
        <f>SUMIFS('📋 Despesas'!$J$7:$J$17825,'📋 Despesas'!$F$7:$F$17825,$B18,'📋 Despesas'!$C$7:$C$17825,O$3,'📋 Despesas'!$D$7:$D$17825,O$2)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Despesas'!$J$7:$J$17825,'📋 Despesas'!$F$7:$F$17825,$B19,'📋 Despesas'!$C$7:$C$17825,D$3,'📋 Despesas'!$D$7:$D$17825,D$2)</f>
        <v>0</v>
      </c>
      <c r="E19" s="460">
        <f>SUMIFS('📋 Despesas'!$J$7:$J$17825,'📋 Despesas'!$F$7:$F$17825,$B19,'📋 Despesas'!$C$7:$C$17825,E$3,'📋 Despesas'!$D$7:$D$17825,E$2)</f>
        <v>0</v>
      </c>
      <c r="F19" s="460">
        <f>SUMIFS('📋 Despesas'!$J$7:$J$17825,'📋 Despesas'!$F$7:$F$17825,$B19,'📋 Despesas'!$C$7:$C$17825,F$3,'📋 Despesas'!$D$7:$D$17825,F$2)</f>
        <v>0</v>
      </c>
      <c r="G19" s="460">
        <f>SUMIFS('📋 Despesas'!$J$7:$J$17825,'📋 Despesas'!$F$7:$F$17825,$B19,'📋 Despesas'!$C$7:$C$17825,G$3,'📋 Despesas'!$D$7:$D$17825,G$2)</f>
        <v>0</v>
      </c>
      <c r="H19" s="460">
        <f>SUMIFS('📋 Despesas'!$J$7:$J$17825,'📋 Despesas'!$F$7:$F$17825,$B19,'📋 Despesas'!$C$7:$C$17825,H$3,'📋 Despesas'!$D$7:$D$17825,H$2)</f>
        <v>0</v>
      </c>
      <c r="I19" s="460">
        <f>SUMIFS('📋 Despesas'!$J$7:$J$17825,'📋 Despesas'!$F$7:$F$17825,$B19,'📋 Despesas'!$C$7:$C$17825,I$3,'📋 Despesas'!$D$7:$D$17825,I$2)</f>
        <v>0</v>
      </c>
      <c r="J19" s="460">
        <f>SUMIFS('📋 Despesas'!$J$7:$J$17825,'📋 Despesas'!$F$7:$F$17825,$B19,'📋 Despesas'!$C$7:$C$17825,J$3,'📋 Despesas'!$D$7:$D$17825,J$2)</f>
        <v>0</v>
      </c>
      <c r="K19" s="460">
        <f>SUMIFS('📋 Despesas'!$J$7:$J$17825,'📋 Despesas'!$F$7:$F$17825,$B19,'📋 Despesas'!$C$7:$C$17825,K$3,'📋 Despesas'!$D$7:$D$17825,K$2)</f>
        <v>0</v>
      </c>
      <c r="L19" s="460">
        <f>SUMIFS('📋 Despesas'!$J$7:$J$17825,'📋 Despesas'!$F$7:$F$17825,$B19,'📋 Despesas'!$C$7:$C$17825,L$3,'📋 Despesas'!$D$7:$D$17825,L$2)</f>
        <v>0</v>
      </c>
      <c r="M19" s="460">
        <f>SUMIFS('📋 Despesas'!$J$7:$J$17825,'📋 Despesas'!$F$7:$F$17825,$B19,'📋 Despesas'!$C$7:$C$17825,M$3,'📋 Despesas'!$D$7:$D$17825,M$2)</f>
        <v>0</v>
      </c>
      <c r="N19" s="460">
        <f>SUMIFS('📋 Despesas'!$J$7:$J$17825,'📋 Despesas'!$F$7:$F$17825,$B19,'📋 Despesas'!$C$7:$C$17825,N$3,'📋 Despesas'!$D$7:$D$17825,N$2)</f>
        <v>0</v>
      </c>
      <c r="O19" s="460">
        <f>SUMIFS('📋 Despesas'!$J$7:$J$17825,'📋 Despesas'!$F$7:$F$17825,$B19,'📋 Despesas'!$C$7:$C$17825,O$3,'📋 Despesas'!$D$7:$D$17825,O$2)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Despesas'!$J$7:$J$17825,'📋 Despesas'!$F$7:$F$17825,$B20,'📋 Despesas'!$C$7:$C$17825,D$3,'📋 Despesas'!$D$7:$D$17825,D$2)</f>
        <v>0</v>
      </c>
      <c r="E20" s="460">
        <f>SUMIFS('📋 Despesas'!$J$7:$J$17825,'📋 Despesas'!$F$7:$F$17825,$B20,'📋 Despesas'!$C$7:$C$17825,E$3,'📋 Despesas'!$D$7:$D$17825,E$2)</f>
        <v>0</v>
      </c>
      <c r="F20" s="460">
        <f>SUMIFS('📋 Despesas'!$J$7:$J$17825,'📋 Despesas'!$F$7:$F$17825,$B20,'📋 Despesas'!$C$7:$C$17825,F$3,'📋 Despesas'!$D$7:$D$17825,F$2)</f>
        <v>0</v>
      </c>
      <c r="G20" s="460">
        <f>SUMIFS('📋 Despesas'!$J$7:$J$17825,'📋 Despesas'!$F$7:$F$17825,$B20,'📋 Despesas'!$C$7:$C$17825,G$3,'📋 Despesas'!$D$7:$D$17825,G$2)</f>
        <v>0</v>
      </c>
      <c r="H20" s="460">
        <f>SUMIFS('📋 Despesas'!$J$7:$J$17825,'📋 Despesas'!$F$7:$F$17825,$B20,'📋 Despesas'!$C$7:$C$17825,H$3,'📋 Despesas'!$D$7:$D$17825,H$2)</f>
        <v>0</v>
      </c>
      <c r="I20" s="460">
        <f>SUMIFS('📋 Despesas'!$J$7:$J$17825,'📋 Despesas'!$F$7:$F$17825,$B20,'📋 Despesas'!$C$7:$C$17825,I$3,'📋 Despesas'!$D$7:$D$17825,I$2)</f>
        <v>0</v>
      </c>
      <c r="J20" s="460">
        <f>SUMIFS('📋 Despesas'!$J$7:$J$17825,'📋 Despesas'!$F$7:$F$17825,$B20,'📋 Despesas'!$C$7:$C$17825,J$3,'📋 Despesas'!$D$7:$D$17825,J$2)</f>
        <v>0</v>
      </c>
      <c r="K20" s="460">
        <f>SUMIFS('📋 Despesas'!$J$7:$J$17825,'📋 Despesas'!$F$7:$F$17825,$B20,'📋 Despesas'!$C$7:$C$17825,K$3,'📋 Despesas'!$D$7:$D$17825,K$2)</f>
        <v>0</v>
      </c>
      <c r="L20" s="460">
        <f>SUMIFS('📋 Despesas'!$J$7:$J$17825,'📋 Despesas'!$F$7:$F$17825,$B20,'📋 Despesas'!$C$7:$C$17825,L$3,'📋 Despesas'!$D$7:$D$17825,L$2)</f>
        <v>0</v>
      </c>
      <c r="M20" s="460">
        <f>SUMIFS('📋 Despesas'!$J$7:$J$17825,'📋 Despesas'!$F$7:$F$17825,$B20,'📋 Despesas'!$C$7:$C$17825,M$3,'📋 Despesas'!$D$7:$D$17825,M$2)</f>
        <v>0</v>
      </c>
      <c r="N20" s="460">
        <f>SUMIFS('📋 Despesas'!$J$7:$J$17825,'📋 Despesas'!$F$7:$F$17825,$B20,'📋 Despesas'!$C$7:$C$17825,N$3,'📋 Despesas'!$D$7:$D$17825,N$2)</f>
        <v>0</v>
      </c>
      <c r="O20" s="460">
        <f>SUMIFS('📋 Despesas'!$J$7:$J$17825,'📋 Despesas'!$F$7:$F$17825,$B20,'📋 Despesas'!$C$7:$C$17825,O$3,'📋 Despesas'!$D$7:$D$17825,O$2)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Despesas'!$J$7:$J$17825,'📋 Despesas'!$F$7:$F$17825,$B21,'📋 Despesas'!$C$7:$C$17825,D$3,'📋 Despesas'!$D$7:$D$17825,D$2)</f>
        <v>0</v>
      </c>
      <c r="E21" s="460">
        <f>SUMIFS('📋 Despesas'!$J$7:$J$17825,'📋 Despesas'!$F$7:$F$17825,$B21,'📋 Despesas'!$C$7:$C$17825,E$3,'📋 Despesas'!$D$7:$D$17825,E$2)</f>
        <v>0</v>
      </c>
      <c r="F21" s="460">
        <f>SUMIFS('📋 Despesas'!$J$7:$J$17825,'📋 Despesas'!$F$7:$F$17825,$B21,'📋 Despesas'!$C$7:$C$17825,F$3,'📋 Despesas'!$D$7:$D$17825,F$2)</f>
        <v>0</v>
      </c>
      <c r="G21" s="460">
        <f>SUMIFS('📋 Despesas'!$J$7:$J$17825,'📋 Despesas'!$F$7:$F$17825,$B21,'📋 Despesas'!$C$7:$C$17825,G$3,'📋 Despesas'!$D$7:$D$17825,G$2)</f>
        <v>0</v>
      </c>
      <c r="H21" s="460">
        <f>SUMIFS('📋 Despesas'!$J$7:$J$17825,'📋 Despesas'!$F$7:$F$17825,$B21,'📋 Despesas'!$C$7:$C$17825,H$3,'📋 Despesas'!$D$7:$D$17825,H$2)</f>
        <v>0</v>
      </c>
      <c r="I21" s="460">
        <f>SUMIFS('📋 Despesas'!$J$7:$J$17825,'📋 Despesas'!$F$7:$F$17825,$B21,'📋 Despesas'!$C$7:$C$17825,I$3,'📋 Despesas'!$D$7:$D$17825,I$2)</f>
        <v>0</v>
      </c>
      <c r="J21" s="460">
        <f>SUMIFS('📋 Despesas'!$J$7:$J$17825,'📋 Despesas'!$F$7:$F$17825,$B21,'📋 Despesas'!$C$7:$C$17825,J$3,'📋 Despesas'!$D$7:$D$17825,J$2)</f>
        <v>0</v>
      </c>
      <c r="K21" s="460">
        <f>SUMIFS('📋 Despesas'!$J$7:$J$17825,'📋 Despesas'!$F$7:$F$17825,$B21,'📋 Despesas'!$C$7:$C$17825,K$3,'📋 Despesas'!$D$7:$D$17825,K$2)</f>
        <v>0</v>
      </c>
      <c r="L21" s="460">
        <f>SUMIFS('📋 Despesas'!$J$7:$J$17825,'📋 Despesas'!$F$7:$F$17825,$B21,'📋 Despesas'!$C$7:$C$17825,L$3,'📋 Despesas'!$D$7:$D$17825,L$2)</f>
        <v>0</v>
      </c>
      <c r="M21" s="460">
        <f>SUMIFS('📋 Despesas'!$J$7:$J$17825,'📋 Despesas'!$F$7:$F$17825,$B21,'📋 Despesas'!$C$7:$C$17825,M$3,'📋 Despesas'!$D$7:$D$17825,M$2)</f>
        <v>0</v>
      </c>
      <c r="N21" s="460">
        <f>SUMIFS('📋 Despesas'!$J$7:$J$17825,'📋 Despesas'!$F$7:$F$17825,$B21,'📋 Despesas'!$C$7:$C$17825,N$3,'📋 Despesas'!$D$7:$D$17825,N$2)</f>
        <v>0</v>
      </c>
      <c r="O21" s="460">
        <f>SUMIFS('📋 Despesas'!$J$7:$J$17825,'📋 Despesas'!$F$7:$F$17825,$B21,'📋 Despesas'!$C$7:$C$17825,O$3,'📋 Despesas'!$D$7:$D$17825,O$2)</f>
        <v>0</v>
      </c>
      <c r="P21" s="253"/>
      <c r="Q21" s="254"/>
    </row>
    <row r="22" spans="1:17" ht="15.75" customHeight="1">
      <c r="B22" s="483" t="s">
        <v>223</v>
      </c>
      <c r="C22" s="485">
        <f t="shared" si="6"/>
        <v>1132.44</v>
      </c>
      <c r="D22" s="485">
        <f>SUMIFS('📋 Despesas'!$J$7:$J$17825,'📋 Despesas'!$F$7:$F$17825,$B22,'📋 Despesas'!$C$7:$C$17825,D$3,'📋 Despesas'!$D$7:$D$17825,D$2)</f>
        <v>0</v>
      </c>
      <c r="E22" s="485">
        <f>SUMIFS('📋 Despesas'!$J$7:$J$17825,'📋 Despesas'!$F$7:$F$17825,$B22,'📋 Despesas'!$C$7:$C$17825,E$3,'📋 Despesas'!$D$7:$D$17825,E$2)</f>
        <v>0</v>
      </c>
      <c r="F22" s="485">
        <f>SUMIFS('📋 Despesas'!$J$7:$J$17825,'📋 Despesas'!$F$7:$F$17825,$B22,'📋 Despesas'!$C$7:$C$17825,F$3,'📋 Despesas'!$D$7:$D$17825,F$2)</f>
        <v>0</v>
      </c>
      <c r="G22" s="485">
        <f>SUMIFS('📋 Despesas'!$J$7:$J$17825,'📋 Despesas'!$F$7:$F$17825,$B22,'📋 Despesas'!$C$7:$C$17825,G$3,'📋 Despesas'!$D$7:$D$17825,G$2)</f>
        <v>0</v>
      </c>
      <c r="H22" s="485">
        <f>SUMIFS('📋 Despesas'!$J$7:$J$17825,'📋 Despesas'!$F$7:$F$17825,$B22,'📋 Despesas'!$C$7:$C$17825,H$3,'📋 Despesas'!$D$7:$D$17825,H$2)</f>
        <v>0</v>
      </c>
      <c r="I22" s="485">
        <f>SUMIFS('📋 Despesas'!$J$7:$J$17825,'📋 Despesas'!$F$7:$F$17825,$B22,'📋 Despesas'!$C$7:$C$17825,I$3,'📋 Despesas'!$D$7:$D$17825,I$2)</f>
        <v>1132.44</v>
      </c>
      <c r="J22" s="485">
        <f>SUMIFS('📋 Despesas'!$J$7:$J$17825,'📋 Despesas'!$F$7:$F$17825,$B22,'📋 Despesas'!$C$7:$C$17825,J$3,'📋 Despesas'!$D$7:$D$17825,J$2)</f>
        <v>0</v>
      </c>
      <c r="K22" s="485">
        <f>SUMIFS('📋 Despesas'!$J$7:$J$17825,'📋 Despesas'!$F$7:$F$17825,$B22,'📋 Despesas'!$C$7:$C$17825,K$3,'📋 Despesas'!$D$7:$D$17825,K$2)</f>
        <v>0</v>
      </c>
      <c r="L22" s="485">
        <f>SUMIFS('📋 Despesas'!$J$7:$J$17825,'📋 Despesas'!$F$7:$F$17825,$B22,'📋 Despesas'!$C$7:$C$17825,L$3,'📋 Despesas'!$D$7:$D$17825,L$2)</f>
        <v>0</v>
      </c>
      <c r="M22" s="485">
        <f>SUMIFS('📋 Despesas'!$J$7:$J$17825,'📋 Despesas'!$F$7:$F$17825,$B22,'📋 Despesas'!$C$7:$C$17825,M$3,'📋 Despesas'!$D$7:$D$17825,M$2)</f>
        <v>0</v>
      </c>
      <c r="N22" s="485">
        <f>SUMIFS('📋 Despesas'!$J$7:$J$17825,'📋 Despesas'!$F$7:$F$17825,$B22,'📋 Despesas'!$C$7:$C$17825,N$3,'📋 Despesas'!$D$7:$D$17825,N$2)</f>
        <v>0</v>
      </c>
      <c r="O22" s="485">
        <f>SUMIFS('📋 Despesas'!$J$7:$J$17825,'📋 Despesas'!$F$7:$F$17825,$B22,'📋 Despesas'!$C$7:$C$17825,O$3,'📋 Despesas'!$D$7:$D$17825,O$2)</f>
        <v>0</v>
      </c>
      <c r="P22" s="253"/>
      <c r="Q22" s="254"/>
    </row>
    <row r="23" spans="1:17" ht="15.75" customHeight="1">
      <c r="B23" s="484" t="s">
        <v>202</v>
      </c>
      <c r="C23" s="486">
        <f t="shared" si="6"/>
        <v>0</v>
      </c>
      <c r="D23" s="486">
        <f>SUMIFS('📋 Despesas'!$J$7:$J$17825,'📋 Despesas'!$F$7:$F$17825,$B23,'📋 Despesas'!$C$7:$C$17825,D$3,'📋 Despesas'!$D$7:$D$17825,D$2)</f>
        <v>0</v>
      </c>
      <c r="E23" s="486">
        <f>SUMIFS('📋 Despesas'!$J$7:$J$17825,'📋 Despesas'!$F$7:$F$17825,$B23,'📋 Despesas'!$C$7:$C$17825,E$3,'📋 Despesas'!$D$7:$D$17825,E$2)</f>
        <v>0</v>
      </c>
      <c r="F23" s="486">
        <f>SUMIFS('📋 Despesas'!$J$7:$J$17825,'📋 Despesas'!$F$7:$F$17825,$B23,'📋 Despesas'!$C$7:$C$17825,F$3,'📋 Despesas'!$D$7:$D$17825,F$2)</f>
        <v>0</v>
      </c>
      <c r="G23" s="486">
        <f>SUMIFS('📋 Despesas'!$J$7:$J$17825,'📋 Despesas'!$F$7:$F$17825,$B23,'📋 Despesas'!$C$7:$C$17825,G$3,'📋 Despesas'!$D$7:$D$17825,G$2)</f>
        <v>0</v>
      </c>
      <c r="H23" s="486">
        <f>SUMIFS('📋 Despesas'!$J$7:$J$17825,'📋 Despesas'!$F$7:$F$17825,$B23,'📋 Despesas'!$C$7:$C$17825,H$3,'📋 Despesas'!$D$7:$D$17825,H$2)</f>
        <v>0</v>
      </c>
      <c r="I23" s="486">
        <f>SUMIFS('📋 Despesas'!$J$7:$J$17825,'📋 Despesas'!$F$7:$F$17825,$B23,'📋 Despesas'!$C$7:$C$17825,I$3,'📋 Despesas'!$D$7:$D$17825,I$2)</f>
        <v>0</v>
      </c>
      <c r="J23" s="486">
        <f>SUMIFS('📋 Despesas'!$J$7:$J$17825,'📋 Despesas'!$F$7:$F$17825,$B23,'📋 Despesas'!$C$7:$C$17825,J$3,'📋 Despesas'!$D$7:$D$17825,J$2)</f>
        <v>0</v>
      </c>
      <c r="K23" s="486">
        <f>SUMIFS('📋 Despesas'!$J$7:$J$17825,'📋 Despesas'!$F$7:$F$17825,$B23,'📋 Despesas'!$C$7:$C$17825,K$3,'📋 Despesas'!$D$7:$D$17825,K$2)</f>
        <v>0</v>
      </c>
      <c r="L23" s="486">
        <f>SUMIFS('📋 Despesas'!$J$7:$J$17825,'📋 Despesas'!$F$7:$F$17825,$B23,'📋 Despesas'!$C$7:$C$17825,L$3,'📋 Despesas'!$D$7:$D$17825,L$2)</f>
        <v>0</v>
      </c>
      <c r="M23" s="486">
        <f>SUMIFS('📋 Despesas'!$J$7:$J$17825,'📋 Despesas'!$F$7:$F$17825,$B23,'📋 Despesas'!$C$7:$C$17825,M$3,'📋 Despesas'!$D$7:$D$17825,M$2)</f>
        <v>0</v>
      </c>
      <c r="N23" s="486">
        <f>SUMIFS('📋 Despesas'!$J$7:$J$17825,'📋 Despesas'!$F$7:$F$17825,$B23,'📋 Despesas'!$C$7:$C$17825,N$3,'📋 Despesas'!$D$7:$D$17825,N$2)</f>
        <v>0</v>
      </c>
      <c r="O23" s="486">
        <f>SUMIFS('📋 Despesas'!$J$7:$J$17825,'📋 Despesas'!$F$7:$F$17825,$B23,'📋 Despesas'!$C$7:$C$17825,O$3,'📋 Despesas'!$D$7:$D$17825,O$2)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Despesas'!$J$7:$J$17825,'📋 Despesas'!$F$7:$F$17825,$B24,'📋 Despesas'!$C$7:$C$17825,D$3,'📋 Despesas'!$D$7:$D$17825,D$2)</f>
        <v>0</v>
      </c>
      <c r="E24" s="460">
        <f>SUMIFS('📋 Despesas'!$J$7:$J$17825,'📋 Despesas'!$F$7:$F$17825,$B24,'📋 Despesas'!$C$7:$C$17825,E$3,'📋 Despesas'!$D$7:$D$17825,E$2)</f>
        <v>0</v>
      </c>
      <c r="F24" s="460">
        <f>SUMIFS('📋 Despesas'!$J$7:$J$17825,'📋 Despesas'!$F$7:$F$17825,$B24,'📋 Despesas'!$C$7:$C$17825,F$3,'📋 Despesas'!$D$7:$D$17825,F$2)</f>
        <v>0</v>
      </c>
      <c r="G24" s="460">
        <f>SUMIFS('📋 Despesas'!$J$7:$J$17825,'📋 Despesas'!$F$7:$F$17825,$B24,'📋 Despesas'!$C$7:$C$17825,G$3,'📋 Despesas'!$D$7:$D$17825,G$2)</f>
        <v>0</v>
      </c>
      <c r="H24" s="460">
        <f>SUMIFS('📋 Despesas'!$J$7:$J$17825,'📋 Despesas'!$F$7:$F$17825,$B24,'📋 Despesas'!$C$7:$C$17825,H$3,'📋 Despesas'!$D$7:$D$17825,H$2)</f>
        <v>0</v>
      </c>
      <c r="I24" s="460">
        <f>SUMIFS('📋 Despesas'!$J$7:$J$17825,'📋 Despesas'!$F$7:$F$17825,$B24,'📋 Despesas'!$C$7:$C$17825,I$3,'📋 Despesas'!$D$7:$D$17825,I$2)</f>
        <v>0</v>
      </c>
      <c r="J24" s="460">
        <f>SUMIFS('📋 Despesas'!$J$7:$J$17825,'📋 Despesas'!$F$7:$F$17825,$B24,'📋 Despesas'!$C$7:$C$17825,J$3,'📋 Despesas'!$D$7:$D$17825,J$2)</f>
        <v>0</v>
      </c>
      <c r="K24" s="460">
        <f>SUMIFS('📋 Despesas'!$J$7:$J$17825,'📋 Despesas'!$F$7:$F$17825,$B24,'📋 Despesas'!$C$7:$C$17825,K$3,'📋 Despesas'!$D$7:$D$17825,K$2)</f>
        <v>0</v>
      </c>
      <c r="L24" s="460">
        <f>SUMIFS('📋 Despesas'!$J$7:$J$17825,'📋 Despesas'!$F$7:$F$17825,$B24,'📋 Despesas'!$C$7:$C$17825,L$3,'📋 Despesas'!$D$7:$D$17825,L$2)</f>
        <v>0</v>
      </c>
      <c r="M24" s="460">
        <f>SUMIFS('📋 Despesas'!$J$7:$J$17825,'📋 Despesas'!$F$7:$F$17825,$B24,'📋 Despesas'!$C$7:$C$17825,M$3,'📋 Despesas'!$D$7:$D$17825,M$2)</f>
        <v>0</v>
      </c>
      <c r="N24" s="460">
        <f>SUMIFS('📋 Despesas'!$J$7:$J$17825,'📋 Despesas'!$F$7:$F$17825,$B24,'📋 Despesas'!$C$7:$C$17825,N$3,'📋 Despesas'!$D$7:$D$17825,N$2)</f>
        <v>0</v>
      </c>
      <c r="O24" s="460">
        <f>SUMIFS('📋 Despesas'!$J$7:$J$17825,'📋 Despesas'!$F$7:$F$17825,$B24,'📋 Despesas'!$C$7:$C$17825,O$3,'📋 Despesas'!$D$7:$D$17825,O$2)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Despesas'!$J$7:$J$17825,'📋 Despesas'!$F$7:$F$17825,$B25,'📋 Despesas'!$C$7:$C$17825,D$3,'📋 Despesas'!$D$7:$D$17825,D$2)</f>
        <v>0</v>
      </c>
      <c r="E25" s="485">
        <f>SUMIFS('📋 Despesas'!$J$7:$J$17825,'📋 Despesas'!$F$7:$F$17825,$B25,'📋 Despesas'!$C$7:$C$17825,E$3,'📋 Despesas'!$D$7:$D$17825,E$2)</f>
        <v>0</v>
      </c>
      <c r="F25" s="485">
        <f>SUMIFS('📋 Despesas'!$J$7:$J$17825,'📋 Despesas'!$F$7:$F$17825,$B25,'📋 Despesas'!$C$7:$C$17825,F$3,'📋 Despesas'!$D$7:$D$17825,F$2)</f>
        <v>0</v>
      </c>
      <c r="G25" s="485">
        <f>SUMIFS('📋 Despesas'!$J$7:$J$17825,'📋 Despesas'!$F$7:$F$17825,$B25,'📋 Despesas'!$C$7:$C$17825,G$3,'📋 Despesas'!$D$7:$D$17825,G$2)</f>
        <v>0</v>
      </c>
      <c r="H25" s="485">
        <f>SUMIFS('📋 Despesas'!$J$7:$J$17825,'📋 Despesas'!$F$7:$F$17825,$B25,'📋 Despesas'!$C$7:$C$17825,H$3,'📋 Despesas'!$D$7:$D$17825,H$2)</f>
        <v>0</v>
      </c>
      <c r="I25" s="485">
        <f>SUMIFS('📋 Despesas'!$J$7:$J$17825,'📋 Despesas'!$F$7:$F$17825,$B25,'📋 Despesas'!$C$7:$C$17825,I$3,'📋 Despesas'!$D$7:$D$17825,I$2)</f>
        <v>0</v>
      </c>
      <c r="J25" s="485">
        <f>SUMIFS('📋 Despesas'!$J$7:$J$17825,'📋 Despesas'!$F$7:$F$17825,$B25,'📋 Despesas'!$C$7:$C$17825,J$3,'📋 Despesas'!$D$7:$D$17825,J$2)</f>
        <v>0</v>
      </c>
      <c r="K25" s="485">
        <f>SUMIFS('📋 Despesas'!$J$7:$J$17825,'📋 Despesas'!$F$7:$F$17825,$B25,'📋 Despesas'!$C$7:$C$17825,K$3,'📋 Despesas'!$D$7:$D$17825,K$2)</f>
        <v>0</v>
      </c>
      <c r="L25" s="485">
        <f>SUMIFS('📋 Despesas'!$J$7:$J$17825,'📋 Despesas'!$F$7:$F$17825,$B25,'📋 Despesas'!$C$7:$C$17825,L$3,'📋 Despesas'!$D$7:$D$17825,L$2)</f>
        <v>0</v>
      </c>
      <c r="M25" s="485">
        <f>SUMIFS('📋 Despesas'!$J$7:$J$17825,'📋 Despesas'!$F$7:$F$17825,$B25,'📋 Despesas'!$C$7:$C$17825,M$3,'📋 Despesas'!$D$7:$D$17825,M$2)</f>
        <v>0</v>
      </c>
      <c r="N25" s="485">
        <f>SUMIFS('📋 Despesas'!$J$7:$J$17825,'📋 Despesas'!$F$7:$F$17825,$B25,'📋 Despesas'!$C$7:$C$17825,N$3,'📋 Despesas'!$D$7:$D$17825,N$2)</f>
        <v>0</v>
      </c>
      <c r="O25" s="485">
        <f>SUMIFS('📋 Despesas'!$J$7:$J$17825,'📋 Despesas'!$F$7:$F$17825,$B25,'📋 Despesas'!$C$7:$C$17825,O$3,'📋 Despesas'!$D$7:$D$17825,O$2)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Despesas'!$J$7:$J$17825,'📋 Despesas'!$F$7:$F$17825,$B26,'📋 Despesas'!$C$7:$C$17825,D$3,'📋 Despesas'!$D$7:$D$17825,D$2)</f>
        <v>0</v>
      </c>
      <c r="E26" s="485">
        <f>SUMIFS('📋 Despesas'!$J$7:$J$17825,'📋 Despesas'!$F$7:$F$17825,$B26,'📋 Despesas'!$C$7:$C$17825,E$3,'📋 Despesas'!$D$7:$D$17825,E$2)</f>
        <v>0</v>
      </c>
      <c r="F26" s="485">
        <f>SUMIFS('📋 Despesas'!$J$7:$J$17825,'📋 Despesas'!$F$7:$F$17825,$B26,'📋 Despesas'!$C$7:$C$17825,F$3,'📋 Despesas'!$D$7:$D$17825,F$2)</f>
        <v>0</v>
      </c>
      <c r="G26" s="485">
        <f>SUMIFS('📋 Despesas'!$J$7:$J$17825,'📋 Despesas'!$F$7:$F$17825,$B26,'📋 Despesas'!$C$7:$C$17825,G$3,'📋 Despesas'!$D$7:$D$17825,G$2)</f>
        <v>0</v>
      </c>
      <c r="H26" s="485">
        <f>SUMIFS('📋 Despesas'!$J$7:$J$17825,'📋 Despesas'!$F$7:$F$17825,$B26,'📋 Despesas'!$C$7:$C$17825,H$3,'📋 Despesas'!$D$7:$D$17825,H$2)</f>
        <v>0</v>
      </c>
      <c r="I26" s="485">
        <f>SUMIFS('📋 Despesas'!$J$7:$J$17825,'📋 Despesas'!$F$7:$F$17825,$B26,'📋 Despesas'!$C$7:$C$17825,I$3,'📋 Despesas'!$D$7:$D$17825,I$2)</f>
        <v>0</v>
      </c>
      <c r="J26" s="485">
        <f>SUMIFS('📋 Despesas'!$J$7:$J$17825,'📋 Despesas'!$F$7:$F$17825,$B26,'📋 Despesas'!$C$7:$C$17825,J$3,'📋 Despesas'!$D$7:$D$17825,J$2)</f>
        <v>0</v>
      </c>
      <c r="K26" s="485">
        <f>SUMIFS('📋 Despesas'!$J$7:$J$17825,'📋 Despesas'!$F$7:$F$17825,$B26,'📋 Despesas'!$C$7:$C$17825,K$3,'📋 Despesas'!$D$7:$D$17825,K$2)</f>
        <v>0</v>
      </c>
      <c r="L26" s="485">
        <f>SUMIFS('📋 Despesas'!$J$7:$J$17825,'📋 Despesas'!$F$7:$F$17825,$B26,'📋 Despesas'!$C$7:$C$17825,L$3,'📋 Despesas'!$D$7:$D$17825,L$2)</f>
        <v>0</v>
      </c>
      <c r="M26" s="485">
        <f>SUMIFS('📋 Despesas'!$J$7:$J$17825,'📋 Despesas'!$F$7:$F$17825,$B26,'📋 Despesas'!$C$7:$C$17825,M$3,'📋 Despesas'!$D$7:$D$17825,M$2)</f>
        <v>0</v>
      </c>
      <c r="N26" s="485">
        <f>SUMIFS('📋 Despesas'!$J$7:$J$17825,'📋 Despesas'!$F$7:$F$17825,$B26,'📋 Despesas'!$C$7:$C$17825,N$3,'📋 Despesas'!$D$7:$D$17825,N$2)</f>
        <v>0</v>
      </c>
      <c r="O26" s="485">
        <f>SUMIFS('📋 Despesas'!$J$7:$J$17825,'📋 Despesas'!$F$7:$F$17825,$B26,'📋 Despesas'!$C$7:$C$17825,O$3,'📋 Despesas'!$D$7:$D$17825,O$2)</f>
        <v>0</v>
      </c>
      <c r="P26" s="253"/>
      <c r="Q26" s="254"/>
    </row>
    <row r="27" spans="1:17" ht="15.6" customHeight="1">
      <c r="A27" s="192" t="s">
        <v>99</v>
      </c>
      <c r="B27" s="455"/>
      <c r="C27" s="456">
        <f t="shared" si="6"/>
        <v>0</v>
      </c>
      <c r="D27" s="461">
        <f>SUMIFS('📋 Despesas'!$J$7:$J$17825,'📋 Despesas'!$F$7:$F$17825,$B27,'📋 Despesas'!$C$7:$C$17825,D$3,'📋 Despesas'!$D$7:$D$17825,D$2)</f>
        <v>0</v>
      </c>
      <c r="E27" s="461">
        <f>SUMIFS('📋 Despesas'!$J$7:$J$17825,'📋 Despesas'!$F$7:$F$17825,$B27,'📋 Despesas'!$C$7:$C$17825,E$3,'📋 Despesas'!$D$7:$D$17825,E$2)</f>
        <v>0</v>
      </c>
      <c r="F27" s="461">
        <f>SUMIFS('📋 Despesas'!$J$7:$J$17825,'📋 Despesas'!$F$7:$F$17825,$B27,'📋 Despesas'!$C$7:$C$17825,F$3,'📋 Despesas'!$D$7:$D$17825,F$2)</f>
        <v>0</v>
      </c>
      <c r="G27" s="461">
        <f>SUMIFS('📋 Despesas'!$J$7:$J$17825,'📋 Despesas'!$F$7:$F$17825,$B27,'📋 Despesas'!$C$7:$C$17825,G$3,'📋 Despesas'!$D$7:$D$17825,G$2)</f>
        <v>0</v>
      </c>
      <c r="H27" s="461">
        <f>SUMIFS('📋 Despesas'!$J$7:$J$17825,'📋 Despesas'!$F$7:$F$17825,$B27,'📋 Despesas'!$C$7:$C$17825,H$3,'📋 Despesas'!$D$7:$D$17825,H$2)</f>
        <v>0</v>
      </c>
      <c r="I27" s="461">
        <f>SUMIFS('📋 Despesas'!$J$7:$J$17825,'📋 Despesas'!$F$7:$F$17825,$B27,'📋 Despesas'!$C$7:$C$17825,I$3,'📋 Despesas'!$D$7:$D$17825,I$2)</f>
        <v>0</v>
      </c>
      <c r="J27" s="461">
        <f>SUMIFS('📋 Despesas'!$J$7:$J$17825,'📋 Despesas'!$F$7:$F$17825,$B27,'📋 Despesas'!$C$7:$C$17825,J$3,'📋 Despesas'!$D$7:$D$17825,J$2)</f>
        <v>0</v>
      </c>
      <c r="K27" s="461">
        <f>SUMIFS('📋 Despesas'!$J$7:$J$17825,'📋 Despesas'!$F$7:$F$17825,$B27,'📋 Despesas'!$C$7:$C$17825,K$3,'📋 Despesas'!$D$7:$D$17825,K$2)</f>
        <v>0</v>
      </c>
      <c r="L27" s="461">
        <f>SUMIFS('📋 Despesas'!$J$7:$J$17825,'📋 Despesas'!$F$7:$F$17825,$B27,'📋 Despesas'!$C$7:$C$17825,L$3,'📋 Despesas'!$D$7:$D$17825,L$2)</f>
        <v>0</v>
      </c>
      <c r="M27" s="461">
        <f>SUMIFS('📋 Despesas'!$J$7:$J$17825,'📋 Despesas'!$F$7:$F$17825,$B27,'📋 Despesas'!$C$7:$C$17825,M$3,'📋 Despesas'!$D$7:$D$17825,M$2)</f>
        <v>0</v>
      </c>
      <c r="N27" s="461">
        <f>SUMIFS('📋 Despesas'!$J$7:$J$17825,'📋 Despesas'!$F$7:$F$17825,$B27,'📋 Despesas'!$C$7:$C$17825,N$3,'📋 Despesas'!$D$7:$D$17825,N$2)</f>
        <v>0</v>
      </c>
      <c r="O27" s="461">
        <f>SUMIFS('📋 Despesas'!$J$7:$J$17825,'📋 Despesas'!$F$7:$F$17825,$B27,'📋 Despesas'!$C$7:$C$17825,O$3,'📋 Despesas'!$D$7:$D$17825,O$2)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100</v>
      </c>
      <c r="C30" s="482">
        <f t="shared" ref="C30:O30" si="7">C6-C7</f>
        <v>4549.9699999999993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0</v>
      </c>
      <c r="H30" s="482">
        <f t="shared" si="7"/>
        <v>0</v>
      </c>
      <c r="I30" s="482">
        <f t="shared" si="7"/>
        <v>5139.9699999999993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101</v>
      </c>
      <c r="C31" s="467">
        <f>IFERROR((C30/C4),0)</f>
        <v>0.43333047619047615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 t="str">
        <f t="shared" si="8"/>
        <v/>
      </c>
      <c r="H31" s="467" t="str">
        <f t="shared" si="8"/>
        <v/>
      </c>
      <c r="I31" s="467">
        <f t="shared" si="8"/>
        <v>0.48952095238095233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209</v>
      </c>
      <c r="C33" s="516">
        <f t="shared" ref="C33:O33" si="9">SUM(C9:C13)</f>
        <v>4540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0</v>
      </c>
      <c r="H33" s="516">
        <f t="shared" si="9"/>
        <v>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210</v>
      </c>
      <c r="C34" s="520">
        <f t="shared" ref="C34:O34" si="10">IFERROR((C33/C4),0)</f>
        <v>0.43238095238095237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102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206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103</v>
      </c>
      <c r="C37" s="474">
        <f>SUM(D37:O37)</f>
        <v>1132.44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1132.44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104</v>
      </c>
      <c r="C38" s="519">
        <f t="shared" ref="C38:O38" si="13">IFERROR((C37/C4),0)</f>
        <v>0.10785142857142857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0.10785142857142857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207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208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105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2" priority="1" operator="lessThan">
      <formula>0</formula>
    </cfRule>
  </conditionalFormatting>
  <conditionalFormatting sqref="C34:O34">
    <cfRule type="cellIs" dxfId="11" priority="4" operator="greaterThan">
      <formula>0.35</formula>
    </cfRule>
  </conditionalFormatting>
  <conditionalFormatting sqref="P9:P28">
    <cfRule type="cellIs" dxfId="10" priority="17" operator="greaterThan">
      <formula>0</formula>
    </cfRule>
  </conditionalFormatting>
  <conditionalFormatting sqref="P9:Q28 D30:O31">
    <cfRule type="cellIs" dxfId="9" priority="14" operator="lessThan">
      <formula>0</formula>
    </cfRule>
  </conditionalFormatting>
  <conditionalFormatting sqref="Q9:Q29">
    <cfRule type="cellIs" dxfId="8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58"/>
      <c r="C4" s="541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106</v>
      </c>
      <c r="C5" s="255">
        <f>'📈Det. Resultados'!C3</f>
        <v>2026</v>
      </c>
      <c r="D5" s="74" t="s">
        <v>84</v>
      </c>
      <c r="E5" s="74" t="s">
        <v>85</v>
      </c>
      <c r="F5" s="74" t="s">
        <v>86</v>
      </c>
      <c r="G5" s="74" t="s">
        <v>87</v>
      </c>
      <c r="H5" s="74" t="s">
        <v>88</v>
      </c>
      <c r="I5" s="74" t="s">
        <v>89</v>
      </c>
      <c r="J5" s="74" t="s">
        <v>90</v>
      </c>
      <c r="K5" s="74" t="s">
        <v>91</v>
      </c>
      <c r="L5" s="74" t="s">
        <v>92</v>
      </c>
      <c r="M5" s="74" t="s">
        <v>93</v>
      </c>
      <c r="N5" s="74" t="s">
        <v>94</v>
      </c>
      <c r="O5" s="89" t="s">
        <v>95</v>
      </c>
    </row>
    <row r="6" spans="2:15" ht="15.6">
      <c r="B6" s="90" t="s">
        <v>107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108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109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205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110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111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112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196</v>
      </c>
      <c r="C13" s="499">
        <f>SUMIFS('🏭 DRE'!$D13:$R13,'🏭 DRE'!$D$4:$R$4,$C$5)</f>
        <v>-4817.59</v>
      </c>
      <c r="D13" s="500">
        <f>SUM(D14:D19)</f>
        <v>0</v>
      </c>
      <c r="E13" s="500">
        <f t="shared" ref="E13:O13" si="4">SUM(E14:E19)</f>
        <v>0</v>
      </c>
      <c r="F13" s="500">
        <f t="shared" si="4"/>
        <v>0</v>
      </c>
      <c r="G13" s="500">
        <f t="shared" si="4"/>
        <v>0</v>
      </c>
      <c r="H13" s="500">
        <f t="shared" si="4"/>
        <v>0</v>
      </c>
      <c r="I13" s="500">
        <f t="shared" si="4"/>
        <v>-4227.59</v>
      </c>
      <c r="J13" s="500">
        <f t="shared" si="4"/>
        <v>-590</v>
      </c>
      <c r="K13" s="500">
        <f t="shared" si="4"/>
        <v>0</v>
      </c>
      <c r="L13" s="500">
        <f t="shared" si="4"/>
        <v>0</v>
      </c>
      <c r="M13" s="500">
        <f t="shared" si="4"/>
        <v>0</v>
      </c>
      <c r="N13" s="500">
        <f t="shared" si="4"/>
        <v>0</v>
      </c>
      <c r="O13" s="500">
        <f t="shared" si="4"/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-3000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0</v>
      </c>
      <c r="H14" s="94">
        <f>-'📈Det. Resultados'!H9</f>
        <v>0</v>
      </c>
      <c r="I14" s="94">
        <f>-'📈Det. Resultados'!I9</f>
        <v>-3000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0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0</v>
      </c>
      <c r="H15" s="94">
        <f>-'📈Det. Resultados'!H10</f>
        <v>0</v>
      </c>
      <c r="I15" s="94">
        <f>-'📈Det. Resultados'!I10</f>
        <v>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5.6">
      <c r="B16" s="77" t="str">
        <f>'📈Det. Resultados'!B11</f>
        <v>LUCRO</v>
      </c>
      <c r="C16" s="260">
        <f>SUMIFS('🏭 DRE'!$D16:$R16,'🏭 DRE'!$D$4:$R$4,$C$5)</f>
        <v>0</v>
      </c>
      <c r="D16" s="94">
        <f>-'📈Det. Resultados'!D11</f>
        <v>0</v>
      </c>
      <c r="E16" s="94">
        <f>-'📈Det. Resultados'!E11</f>
        <v>0</v>
      </c>
      <c r="F16" s="94">
        <f>-'📈Det. Resultados'!F11</f>
        <v>0</v>
      </c>
      <c r="G16" s="94">
        <f>-'📈Det. Resultados'!G11</f>
        <v>0</v>
      </c>
      <c r="H16" s="94">
        <f>-'📈Det. Resultados'!H11</f>
        <v>0</v>
      </c>
      <c r="I16" s="94">
        <f>-'📈Det. Resultados'!I11</f>
        <v>0</v>
      </c>
      <c r="J16" s="94">
        <f>-'📈Det. Resultados'!J11</f>
        <v>0</v>
      </c>
      <c r="K16" s="94">
        <f>-'📈Det. Resultados'!K11</f>
        <v>0</v>
      </c>
      <c r="L16" s="94">
        <f>-'📈Det. Resultados'!L11</f>
        <v>0</v>
      </c>
      <c r="M16" s="94">
        <f>-'📈Det. Resultados'!M11</f>
        <v>0</v>
      </c>
      <c r="N16" s="94">
        <f>-'📈Det. Resultados'!N11</f>
        <v>0</v>
      </c>
      <c r="O16" s="261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60">
        <f>SUMIFS('🏭 DRE'!$D19:$R19,'🏭 DRE'!$D$4:$R$4,$C$5)</f>
        <v>-277.59000000000003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-277.59000000000003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113</v>
      </c>
      <c r="C20" s="96">
        <f>SUMIFS('🏭 DRE'!$D20:$R20,'🏭 DRE'!$D$4:$R$4,$C$5)</f>
        <v>5682.41</v>
      </c>
      <c r="D20" s="262">
        <f t="shared" ref="D20:O20" si="5">D12+D13</f>
        <v>0</v>
      </c>
      <c r="E20" s="262">
        <f t="shared" si="5"/>
        <v>0</v>
      </c>
      <c r="F20" s="262">
        <f t="shared" si="5"/>
        <v>0</v>
      </c>
      <c r="G20" s="262">
        <f t="shared" si="5"/>
        <v>0</v>
      </c>
      <c r="H20" s="262">
        <f t="shared" si="5"/>
        <v>0</v>
      </c>
      <c r="I20" s="262">
        <f t="shared" si="5"/>
        <v>6272.41</v>
      </c>
      <c r="J20" s="262">
        <f t="shared" si="5"/>
        <v>-590</v>
      </c>
      <c r="K20" s="262">
        <f t="shared" si="5"/>
        <v>0</v>
      </c>
      <c r="L20" s="262">
        <f t="shared" si="5"/>
        <v>0</v>
      </c>
      <c r="M20" s="262">
        <f t="shared" si="5"/>
        <v>0</v>
      </c>
      <c r="N20" s="262">
        <f t="shared" si="5"/>
        <v>0</v>
      </c>
      <c r="O20" s="97">
        <f t="shared" si="5"/>
        <v>0</v>
      </c>
    </row>
    <row r="21" spans="1:18" ht="21.6" customHeight="1">
      <c r="A21" s="82"/>
      <c r="B21" s="505" t="s">
        <v>114</v>
      </c>
      <c r="C21" s="506">
        <f t="shared" ref="C21:O21" si="6">IFERROR((C20/C12),0)</f>
        <v>0.54118190476190475</v>
      </c>
      <c r="D21" s="507">
        <f t="shared" si="6"/>
        <v>0</v>
      </c>
      <c r="E21" s="507">
        <f t="shared" si="6"/>
        <v>0</v>
      </c>
      <c r="F21" s="507">
        <f t="shared" si="6"/>
        <v>0</v>
      </c>
      <c r="G21" s="507">
        <f t="shared" si="6"/>
        <v>0</v>
      </c>
      <c r="H21" s="507">
        <f t="shared" si="6"/>
        <v>0</v>
      </c>
      <c r="I21" s="507">
        <f t="shared" si="6"/>
        <v>0.59737238095238099</v>
      </c>
      <c r="J21" s="507">
        <f t="shared" si="6"/>
        <v>0</v>
      </c>
      <c r="K21" s="507">
        <f t="shared" si="6"/>
        <v>0</v>
      </c>
      <c r="L21" s="507">
        <f t="shared" si="6"/>
        <v>0</v>
      </c>
      <c r="M21" s="507">
        <f t="shared" si="6"/>
        <v>0</v>
      </c>
      <c r="N21" s="507">
        <f t="shared" si="6"/>
        <v>0</v>
      </c>
      <c r="O21" s="508">
        <f t="shared" si="6"/>
        <v>0</v>
      </c>
      <c r="P21" s="82"/>
      <c r="Q21" s="82"/>
      <c r="R21" s="82"/>
    </row>
    <row r="22" spans="1:18" ht="20.399999999999999" customHeight="1">
      <c r="B22" s="494" t="s">
        <v>98</v>
      </c>
      <c r="C22" s="495">
        <f>SUMIFS($D22:$R22,$D$4:$R$4,$C$5)</f>
        <v>-1132.44</v>
      </c>
      <c r="D22" s="496">
        <f t="shared" ref="D22:O22" si="7">SUM(D23:D34)</f>
        <v>0</v>
      </c>
      <c r="E22" s="496">
        <f t="shared" si="7"/>
        <v>0</v>
      </c>
      <c r="F22" s="496">
        <f t="shared" si="7"/>
        <v>0</v>
      </c>
      <c r="G22" s="496">
        <f t="shared" si="7"/>
        <v>0</v>
      </c>
      <c r="H22" s="496">
        <f t="shared" si="7"/>
        <v>0</v>
      </c>
      <c r="I22" s="496">
        <f t="shared" si="7"/>
        <v>-1132.44</v>
      </c>
      <c r="J22" s="496">
        <f t="shared" si="7"/>
        <v>0</v>
      </c>
      <c r="K22" s="496">
        <f t="shared" si="7"/>
        <v>0</v>
      </c>
      <c r="L22" s="496">
        <f t="shared" si="7"/>
        <v>0</v>
      </c>
      <c r="M22" s="496">
        <f t="shared" si="7"/>
        <v>0</v>
      </c>
      <c r="N22" s="496">
        <f t="shared" si="7"/>
        <v>0</v>
      </c>
      <c r="O22" s="497">
        <f t="shared" si="7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TRIBUTOS</v>
      </c>
      <c r="C29" s="489">
        <f>SUMIFS('🏭 DRE'!$D29:$R29,'🏭 DRE'!$D$4:$R$4,$C$5)</f>
        <v>-1132.44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-1132.44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211</v>
      </c>
      <c r="B36" s="490" t="s">
        <v>115</v>
      </c>
      <c r="C36" s="491">
        <f>SUMIFS('🏭 DRE'!$D36:$R36,'🏭 DRE'!$D$4:$R$4,$C$5)</f>
        <v>4549.9699999999993</v>
      </c>
      <c r="D36" s="492">
        <f t="shared" ref="D36:O36" si="8">D20+D22</f>
        <v>0</v>
      </c>
      <c r="E36" s="492">
        <f t="shared" si="8"/>
        <v>0</v>
      </c>
      <c r="F36" s="492">
        <f t="shared" si="8"/>
        <v>0</v>
      </c>
      <c r="G36" s="492">
        <f t="shared" si="8"/>
        <v>0</v>
      </c>
      <c r="H36" s="492">
        <f t="shared" si="8"/>
        <v>0</v>
      </c>
      <c r="I36" s="492">
        <f t="shared" si="8"/>
        <v>5139.9699999999993</v>
      </c>
      <c r="J36" s="492">
        <f t="shared" si="8"/>
        <v>-590</v>
      </c>
      <c r="K36" s="492">
        <f t="shared" si="8"/>
        <v>0</v>
      </c>
      <c r="L36" s="492">
        <f t="shared" si="8"/>
        <v>0</v>
      </c>
      <c r="M36" s="492">
        <f t="shared" si="8"/>
        <v>0</v>
      </c>
      <c r="N36" s="492">
        <f t="shared" si="8"/>
        <v>0</v>
      </c>
      <c r="O36" s="493">
        <f t="shared" si="8"/>
        <v>0</v>
      </c>
    </row>
    <row r="37" spans="1:15" ht="15.75" customHeight="1">
      <c r="A37" s="217"/>
      <c r="B37" s="509" t="s">
        <v>116</v>
      </c>
      <c r="C37" s="510">
        <f>C36/C6</f>
        <v>0.43333047619047615</v>
      </c>
      <c r="D37" s="511" t="str">
        <f t="shared" ref="D37:O37" si="9">IF(D6=0,"",D36/D6)</f>
        <v/>
      </c>
      <c r="E37" s="511" t="str">
        <f t="shared" si="9"/>
        <v/>
      </c>
      <c r="F37" s="511" t="str">
        <f t="shared" si="9"/>
        <v/>
      </c>
      <c r="G37" s="511" t="str">
        <f t="shared" si="9"/>
        <v/>
      </c>
      <c r="H37" s="511" t="str">
        <f t="shared" si="9"/>
        <v/>
      </c>
      <c r="I37" s="511">
        <f t="shared" si="9"/>
        <v>0.48952095238095233</v>
      </c>
      <c r="J37" s="511" t="str">
        <f t="shared" si="9"/>
        <v/>
      </c>
      <c r="K37" s="511" t="str">
        <f t="shared" si="9"/>
        <v/>
      </c>
      <c r="L37" s="511" t="str">
        <f t="shared" si="9"/>
        <v/>
      </c>
      <c r="M37" s="511" t="str">
        <f t="shared" si="9"/>
        <v/>
      </c>
      <c r="N37" s="511" t="str">
        <f t="shared" si="9"/>
        <v/>
      </c>
      <c r="O37" s="512" t="str">
        <f t="shared" si="9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7" priority="7" operator="lessThan">
      <formula>0</formula>
    </cfRule>
  </conditionalFormatting>
  <conditionalFormatting sqref="C36:O36">
    <cfRule type="cellIs" dxfId="6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A2D3-12AF-4E69-9DD2-62F2B3C5552B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57DF-C191-4E27-B724-7117F4E1DE78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204</v>
      </c>
    </row>
    <row r="3" spans="2:14">
      <c r="B3" s="193" t="s">
        <v>29</v>
      </c>
      <c r="D3" s="193" t="s">
        <v>28</v>
      </c>
      <c r="E3" s="193" t="s">
        <v>117</v>
      </c>
      <c r="G3" s="220">
        <v>46082</v>
      </c>
      <c r="I3" s="193" t="s">
        <v>192</v>
      </c>
      <c r="J3" s="193" t="s">
        <v>193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118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119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120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128</v>
      </c>
      <c r="D2" s="100" t="s">
        <v>129</v>
      </c>
      <c r="E2" s="101" t="s">
        <v>130</v>
      </c>
      <c r="F2" s="102"/>
      <c r="G2" s="103" t="s">
        <v>131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132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122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133</v>
      </c>
      <c r="I3" s="269" t="s">
        <v>134</v>
      </c>
      <c r="J3" s="53"/>
      <c r="K3" s="112">
        <f>I11</f>
        <v>0.02</v>
      </c>
      <c r="L3" s="113" t="s">
        <v>135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136</v>
      </c>
      <c r="C4" s="117" t="s">
        <v>137</v>
      </c>
      <c r="D4" s="117" t="s">
        <v>138</v>
      </c>
      <c r="E4" s="118" t="s">
        <v>139</v>
      </c>
      <c r="F4" s="102"/>
      <c r="G4" s="119" t="s">
        <v>140</v>
      </c>
      <c r="H4" s="120">
        <v>0.05</v>
      </c>
      <c r="I4" s="270">
        <v>0.35</v>
      </c>
      <c r="J4" s="53"/>
      <c r="K4" s="121" t="s">
        <v>141</v>
      </c>
      <c r="L4" s="122" t="s">
        <v>142</v>
      </c>
      <c r="M4" s="122" t="s">
        <v>143</v>
      </c>
      <c r="N4" s="123" t="s">
        <v>10</v>
      </c>
      <c r="O4" s="102"/>
      <c r="P4" s="367"/>
      <c r="Q4" s="124" t="s">
        <v>144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145</v>
      </c>
      <c r="C5" s="131" t="s">
        <v>146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147</v>
      </c>
      <c r="H5" s="120">
        <v>0.03</v>
      </c>
      <c r="I5" s="270">
        <v>0.35</v>
      </c>
      <c r="J5" s="53"/>
      <c r="K5" s="132" t="s">
        <v>148</v>
      </c>
      <c r="L5" s="133" t="s">
        <v>149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150</v>
      </c>
      <c r="S5" s="273" t="s">
        <v>151</v>
      </c>
      <c r="T5" s="274" t="s">
        <v>152</v>
      </c>
      <c r="U5" s="275" t="s">
        <v>153</v>
      </c>
      <c r="V5" s="276" t="s">
        <v>154</v>
      </c>
      <c r="W5" s="367"/>
      <c r="X5" s="560" t="s">
        <v>155</v>
      </c>
      <c r="Y5" s="561"/>
      <c r="Z5" s="102"/>
      <c r="AA5" s="102"/>
    </row>
    <row r="6" spans="1:27" ht="16.5" customHeight="1">
      <c r="A6" s="102"/>
      <c r="B6" s="137" t="s">
        <v>156</v>
      </c>
      <c r="C6" s="138" t="s">
        <v>157</v>
      </c>
      <c r="D6" s="138">
        <f>SUMIFS(J19:J936,B19:B936,B2,C19:C936,B3)</f>
        <v>0</v>
      </c>
      <c r="E6" s="277">
        <f t="shared" si="0"/>
        <v>0</v>
      </c>
      <c r="F6" s="102"/>
      <c r="G6" s="139" t="s">
        <v>158</v>
      </c>
      <c r="H6" s="140">
        <v>0.1</v>
      </c>
      <c r="I6" s="278">
        <v>0.3</v>
      </c>
      <c r="J6" s="53"/>
      <c r="K6" s="132" t="s">
        <v>159</v>
      </c>
      <c r="L6" s="133" t="s">
        <v>160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161</v>
      </c>
      <c r="R6" s="281"/>
      <c r="S6" s="282"/>
      <c r="T6" s="282"/>
      <c r="U6" s="282"/>
      <c r="V6" s="282"/>
      <c r="W6" s="279"/>
      <c r="X6" s="141">
        <v>14</v>
      </c>
      <c r="Y6" s="142" t="s">
        <v>162</v>
      </c>
      <c r="Z6" s="102"/>
      <c r="AA6" s="102"/>
    </row>
    <row r="7" spans="1:27" ht="16.5" customHeight="1">
      <c r="A7" s="102"/>
      <c r="B7" s="143" t="s">
        <v>163</v>
      </c>
      <c r="C7" s="144" t="s">
        <v>164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165</v>
      </c>
      <c r="L7" s="133" t="s">
        <v>166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167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168</v>
      </c>
      <c r="Z7" s="102"/>
      <c r="AA7" s="102"/>
    </row>
    <row r="8" spans="1:27" ht="16.5" customHeight="1">
      <c r="A8" s="102"/>
      <c r="B8" s="146" t="s">
        <v>169</v>
      </c>
      <c r="C8" s="147" t="s">
        <v>170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165</v>
      </c>
      <c r="L8" s="133" t="s">
        <v>171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172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173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174</v>
      </c>
      <c r="R9" s="281"/>
      <c r="S9" s="282"/>
      <c r="T9" s="282"/>
      <c r="U9" s="282"/>
      <c r="V9" s="282"/>
      <c r="W9" s="279"/>
      <c r="X9" s="148">
        <v>26</v>
      </c>
      <c r="Y9" s="142" t="s">
        <v>175</v>
      </c>
      <c r="Z9" s="102"/>
      <c r="AA9" s="102"/>
    </row>
    <row r="10" spans="1:27" ht="18">
      <c r="A10" s="102"/>
      <c r="B10" s="562" t="s">
        <v>176</v>
      </c>
      <c r="C10" s="563"/>
      <c r="D10" s="563"/>
      <c r="E10" s="563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177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155</v>
      </c>
      <c r="Z10" s="102"/>
      <c r="AA10" s="102"/>
    </row>
    <row r="11" spans="1:27" ht="18">
      <c r="A11" s="102"/>
      <c r="B11" s="286" t="s">
        <v>178</v>
      </c>
      <c r="C11" s="287" t="s">
        <v>179</v>
      </c>
      <c r="D11" s="153" t="s">
        <v>180</v>
      </c>
      <c r="E11" s="154" t="s">
        <v>181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182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148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59"/>
      <c r="R12" s="559"/>
      <c r="S12" s="559"/>
      <c r="T12" s="559"/>
      <c r="U12" s="559"/>
      <c r="V12" s="559"/>
      <c r="W12" s="279"/>
      <c r="X12" s="559"/>
      <c r="Y12" s="559"/>
      <c r="Z12" s="102"/>
      <c r="AA12" s="102"/>
    </row>
    <row r="13" spans="1:27" ht="15.6">
      <c r="A13" s="102"/>
      <c r="B13" s="291" t="s">
        <v>183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41"/>
      <c r="R13" s="541"/>
      <c r="S13" s="541"/>
      <c r="T13" s="541"/>
      <c r="U13" s="541"/>
      <c r="V13" s="541"/>
      <c r="W13" s="279"/>
      <c r="X13" s="541"/>
      <c r="Y13" s="541"/>
      <c r="Z13" s="102"/>
      <c r="AA13" s="102"/>
    </row>
    <row r="14" spans="1:27" ht="15.6">
      <c r="A14" s="102"/>
      <c r="B14" s="294" t="s">
        <v>165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184</v>
      </c>
      <c r="D18" s="171" t="s">
        <v>185</v>
      </c>
      <c r="E18" s="171" t="s">
        <v>9</v>
      </c>
      <c r="F18" s="172" t="s">
        <v>186</v>
      </c>
      <c r="G18" s="173" t="s">
        <v>9</v>
      </c>
      <c r="H18" s="174" t="s">
        <v>187</v>
      </c>
      <c r="I18" s="172" t="s">
        <v>146</v>
      </c>
      <c r="J18" s="172" t="s">
        <v>157</v>
      </c>
      <c r="K18" s="172" t="s">
        <v>164</v>
      </c>
      <c r="L18" s="172" t="s">
        <v>170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126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127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188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189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190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191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121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122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123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124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125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126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127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188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189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190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191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121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122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123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124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125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2026-06-15T17:09:37Z</dcterms:modified>
  <cp:category/>
  <cp:contentStatus/>
</cp:coreProperties>
</file>