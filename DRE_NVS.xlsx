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" ContentType="application/msword"/>
  <Default Extension="docx" ContentType="application/vnd.openxmlformats-officedocument.wordprocessingml.document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5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6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enato.Neves\Documents\TRABALHOS 2025\NVS\"/>
    </mc:Choice>
  </mc:AlternateContent>
  <xr:revisionPtr revIDLastSave="0" documentId="13_ncr:1_{57B9EAB3-8432-42CC-8206-8EF4F4015F55}" xr6:coauthVersionLast="47" xr6:coauthVersionMax="47" xr10:uidLastSave="{00000000-0000-0000-0000-000000000000}"/>
  <bookViews>
    <workbookView xWindow="768" yWindow="768" windowWidth="23040" windowHeight="8880" tabRatio="887" activeTab="7" xr2:uid="{00000000-000D-0000-FFFF-FFFF00000000}"/>
  </bookViews>
  <sheets>
    <sheet name="📊 DASHBOAD" sheetId="1" r:id="rId1"/>
    <sheet name="📋 Despesas" sheetId="2" r:id="rId2"/>
    <sheet name="💸  Receitas" sheetId="3" r:id="rId3"/>
    <sheet name="💰Fluxo de Pagamentos" sheetId="4" r:id="rId4"/>
    <sheet name="📈Det. Resultados" sheetId="5" r:id="rId5"/>
    <sheet name="🏭 DRE" sheetId="6" r:id="rId6"/>
    <sheet name="explicação MC" sheetId="12" state="hidden" r:id="rId7"/>
    <sheet name="Controle Distr. Lucro" sheetId="13" r:id="rId8"/>
    <sheet name="AUX" sheetId="9" r:id="rId9"/>
    <sheet name="Metas" sheetId="7" state="hidden" r:id="rId10"/>
  </sheets>
  <definedNames>
    <definedName name="_xlnm._FilterDatabase" localSheetId="7" hidden="1">'💸  Receitas'!$A$6:$J$681</definedName>
    <definedName name="_xlnm._FilterDatabase" localSheetId="1" hidden="1">'📋 Despesas'!$B$6:$Q$133</definedName>
  </definedNames>
  <calcPr calcId="191029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8" i="2" l="1"/>
  <c r="O8" i="2"/>
  <c r="J8" i="2"/>
  <c r="D8" i="2"/>
  <c r="C8" i="2"/>
  <c r="A5" i="13"/>
  <c r="A6" i="13"/>
  <c r="A7" i="13"/>
  <c r="A8" i="13"/>
  <c r="A9" i="13"/>
  <c r="A10" i="13"/>
  <c r="A11" i="13"/>
  <c r="A12" i="13"/>
  <c r="A13" i="13"/>
  <c r="A14" i="13"/>
  <c r="A15" i="13"/>
  <c r="A16" i="13"/>
  <c r="A17" i="13"/>
  <c r="A18" i="13"/>
  <c r="A19" i="13"/>
  <c r="A20" i="13"/>
  <c r="A21" i="13"/>
  <c r="A22" i="13"/>
  <c r="A23" i="13"/>
  <c r="A24" i="13"/>
  <c r="A25" i="13"/>
  <c r="A26" i="13"/>
  <c r="A27" i="13"/>
  <c r="A4" i="13"/>
  <c r="F42" i="7"/>
  <c r="G42" i="7" s="1"/>
  <c r="F41" i="7"/>
  <c r="G41" i="7" s="1"/>
  <c r="F40" i="7"/>
  <c r="G40" i="7" s="1"/>
  <c r="F39" i="7"/>
  <c r="G39" i="7" s="1"/>
  <c r="F38" i="7"/>
  <c r="G38" i="7" s="1"/>
  <c r="F37" i="7"/>
  <c r="G37" i="7" s="1"/>
  <c r="F36" i="7"/>
  <c r="G36" i="7" s="1"/>
  <c r="F35" i="7"/>
  <c r="G35" i="7" s="1"/>
  <c r="F34" i="7"/>
  <c r="G34" i="7" s="1"/>
  <c r="F33" i="7"/>
  <c r="G33" i="7" s="1"/>
  <c r="F32" i="7"/>
  <c r="G32" i="7" s="1"/>
  <c r="F31" i="7"/>
  <c r="G31" i="7" s="1"/>
  <c r="F30" i="7"/>
  <c r="G30" i="7" s="1"/>
  <c r="F29" i="7"/>
  <c r="G29" i="7" s="1"/>
  <c r="F28" i="7"/>
  <c r="G28" i="7" s="1"/>
  <c r="F27" i="7"/>
  <c r="G27" i="7" s="1"/>
  <c r="D3" i="7" s="1"/>
  <c r="F26" i="7"/>
  <c r="G26" i="7" s="1"/>
  <c r="F25" i="7"/>
  <c r="G25" i="7" s="1"/>
  <c r="F24" i="7"/>
  <c r="G24" i="7" s="1"/>
  <c r="F23" i="7"/>
  <c r="G23" i="7" s="1"/>
  <c r="F22" i="7"/>
  <c r="G22" i="7" s="1"/>
  <c r="F21" i="7"/>
  <c r="G21" i="7" s="1"/>
  <c r="F20" i="7"/>
  <c r="G20" i="7" s="1"/>
  <c r="F19" i="7"/>
  <c r="G19" i="7" s="1"/>
  <c r="D14" i="7"/>
  <c r="E14" i="7" s="1"/>
  <c r="E13" i="7"/>
  <c r="E12" i="7"/>
  <c r="M5" i="7" s="1"/>
  <c r="R11" i="7"/>
  <c r="X7" i="7" s="1"/>
  <c r="X8" i="7" s="1"/>
  <c r="X10" i="7" s="1"/>
  <c r="G10" i="7"/>
  <c r="M3" i="7" s="1"/>
  <c r="D8" i="7"/>
  <c r="V4" i="7" s="1"/>
  <c r="D7" i="7"/>
  <c r="U4" i="7" s="1"/>
  <c r="M6" i="7"/>
  <c r="D6" i="7"/>
  <c r="T4" i="7" s="1"/>
  <c r="D5" i="7"/>
  <c r="S4" i="7" s="1"/>
  <c r="M2" i="7"/>
  <c r="K2" i="7"/>
  <c r="Q5" i="7" s="1"/>
  <c r="M12" i="9"/>
  <c r="M11" i="9"/>
  <c r="M10" i="9"/>
  <c r="M9" i="9"/>
  <c r="M8" i="9"/>
  <c r="M7" i="9"/>
  <c r="M6" i="9"/>
  <c r="M5" i="9"/>
  <c r="M4" i="9"/>
  <c r="M3" i="9"/>
  <c r="B34" i="6"/>
  <c r="B33" i="6"/>
  <c r="B32" i="6"/>
  <c r="B31" i="6"/>
  <c r="B30" i="6"/>
  <c r="B29" i="6"/>
  <c r="B28" i="6"/>
  <c r="B27" i="6"/>
  <c r="B26" i="6"/>
  <c r="B25" i="6"/>
  <c r="B24" i="6"/>
  <c r="B23" i="6"/>
  <c r="B19" i="6"/>
  <c r="B18" i="6"/>
  <c r="B17" i="6"/>
  <c r="B16" i="6"/>
  <c r="B15" i="6"/>
  <c r="B14" i="6"/>
  <c r="C5" i="6"/>
  <c r="Q9" i="5" a="1"/>
  <c r="Q9" i="5" s="1"/>
  <c r="O2" i="5"/>
  <c r="N2" i="5"/>
  <c r="N23" i="5" s="1"/>
  <c r="N30" i="6" s="1"/>
  <c r="M2" i="5"/>
  <c r="M13" i="5" s="1"/>
  <c r="M18" i="6" s="1"/>
  <c r="L2" i="5"/>
  <c r="L13" i="5" s="1"/>
  <c r="L18" i="6" s="1"/>
  <c r="K2" i="5"/>
  <c r="J2" i="5"/>
  <c r="J13" i="5" s="1"/>
  <c r="J18" i="6" s="1"/>
  <c r="I2" i="5"/>
  <c r="I20" i="5" s="1"/>
  <c r="I27" i="6" s="1"/>
  <c r="H2" i="5"/>
  <c r="H25" i="5" s="1"/>
  <c r="H32" i="6" s="1"/>
  <c r="G2" i="5"/>
  <c r="G19" i="5" s="1"/>
  <c r="G26" i="6" s="1"/>
  <c r="F2" i="5"/>
  <c r="F19" i="5" s="1"/>
  <c r="F26" i="6" s="1"/>
  <c r="E2" i="5"/>
  <c r="E21" i="5" s="1"/>
  <c r="D2" i="5"/>
  <c r="D26" i="5" s="1"/>
  <c r="C9914" i="4"/>
  <c r="C9913" i="4"/>
  <c r="C9912" i="4"/>
  <c r="C9911" i="4"/>
  <c r="C9910" i="4"/>
  <c r="C9909" i="4"/>
  <c r="C9908" i="4"/>
  <c r="C9907" i="4"/>
  <c r="C9906" i="4"/>
  <c r="C9905" i="4"/>
  <c r="C9904" i="4"/>
  <c r="C9903" i="4"/>
  <c r="C9902" i="4"/>
  <c r="C9901" i="4"/>
  <c r="C9900" i="4"/>
  <c r="C9899" i="4"/>
  <c r="C9898" i="4"/>
  <c r="C9897" i="4"/>
  <c r="C9896" i="4"/>
  <c r="C9895" i="4"/>
  <c r="C9894" i="4"/>
  <c r="C9893" i="4"/>
  <c r="C9892" i="4"/>
  <c r="C9891" i="4"/>
  <c r="C9890" i="4"/>
  <c r="C9889" i="4"/>
  <c r="C9888" i="4"/>
  <c r="C9887" i="4"/>
  <c r="C9886" i="4"/>
  <c r="C9885" i="4"/>
  <c r="C9884" i="4"/>
  <c r="C9883" i="4"/>
  <c r="C9882" i="4"/>
  <c r="C9881" i="4"/>
  <c r="C9880" i="4"/>
  <c r="C9879" i="4"/>
  <c r="C9878" i="4"/>
  <c r="C9877" i="4"/>
  <c r="C9876" i="4"/>
  <c r="C9875" i="4"/>
  <c r="C9874" i="4"/>
  <c r="C9873" i="4"/>
  <c r="C9872" i="4"/>
  <c r="C9871" i="4"/>
  <c r="C9870" i="4"/>
  <c r="C9869" i="4"/>
  <c r="C9868" i="4"/>
  <c r="C9867" i="4"/>
  <c r="C9866" i="4"/>
  <c r="C9865" i="4"/>
  <c r="C9864" i="4"/>
  <c r="C9863" i="4"/>
  <c r="C9862" i="4"/>
  <c r="C9861" i="4"/>
  <c r="C9860" i="4"/>
  <c r="C9859" i="4"/>
  <c r="C9858" i="4"/>
  <c r="C9857" i="4"/>
  <c r="C9856" i="4"/>
  <c r="C9855" i="4"/>
  <c r="C9854" i="4"/>
  <c r="C9853" i="4"/>
  <c r="C9852" i="4"/>
  <c r="C9851" i="4"/>
  <c r="C9850" i="4"/>
  <c r="C9849" i="4"/>
  <c r="C9848" i="4"/>
  <c r="C9847" i="4"/>
  <c r="C9846" i="4"/>
  <c r="C9845" i="4"/>
  <c r="C9844" i="4"/>
  <c r="C9843" i="4"/>
  <c r="C9842" i="4"/>
  <c r="C9841" i="4"/>
  <c r="C9840" i="4"/>
  <c r="C9839" i="4"/>
  <c r="C9838" i="4"/>
  <c r="C9837" i="4"/>
  <c r="C9836" i="4"/>
  <c r="C9835" i="4"/>
  <c r="C9834" i="4"/>
  <c r="C9833" i="4"/>
  <c r="C9832" i="4"/>
  <c r="C9831" i="4"/>
  <c r="C9830" i="4"/>
  <c r="C9829" i="4"/>
  <c r="C9828" i="4"/>
  <c r="C9827" i="4"/>
  <c r="C9826" i="4"/>
  <c r="C9825" i="4"/>
  <c r="C9824" i="4"/>
  <c r="C9823" i="4"/>
  <c r="C9822" i="4"/>
  <c r="C9821" i="4"/>
  <c r="C9820" i="4"/>
  <c r="C9819" i="4"/>
  <c r="C9818" i="4"/>
  <c r="C9817" i="4"/>
  <c r="C9816" i="4"/>
  <c r="C9815" i="4"/>
  <c r="C9814" i="4"/>
  <c r="C9813" i="4"/>
  <c r="C9812" i="4"/>
  <c r="C9811" i="4"/>
  <c r="C9810" i="4"/>
  <c r="C9809" i="4"/>
  <c r="C9808" i="4"/>
  <c r="C9807" i="4"/>
  <c r="C9806" i="4"/>
  <c r="C9805" i="4"/>
  <c r="C9804" i="4"/>
  <c r="C9803" i="4"/>
  <c r="C9802" i="4"/>
  <c r="C9801" i="4"/>
  <c r="C9800" i="4"/>
  <c r="C9799" i="4"/>
  <c r="C9798" i="4"/>
  <c r="C9797" i="4"/>
  <c r="C9796" i="4"/>
  <c r="C9795" i="4"/>
  <c r="C9794" i="4"/>
  <c r="C9793" i="4"/>
  <c r="C9792" i="4"/>
  <c r="C9791" i="4"/>
  <c r="C9790" i="4"/>
  <c r="C9789" i="4"/>
  <c r="C9788" i="4"/>
  <c r="C9787" i="4"/>
  <c r="C9786" i="4"/>
  <c r="C9785" i="4"/>
  <c r="C9784" i="4"/>
  <c r="C9783" i="4"/>
  <c r="C9782" i="4"/>
  <c r="C9781" i="4"/>
  <c r="C9780" i="4"/>
  <c r="C9779" i="4"/>
  <c r="C9778" i="4"/>
  <c r="C9777" i="4"/>
  <c r="C9776" i="4"/>
  <c r="C9775" i="4"/>
  <c r="C9774" i="4"/>
  <c r="C9773" i="4"/>
  <c r="C9772" i="4"/>
  <c r="C9771" i="4"/>
  <c r="C9770" i="4"/>
  <c r="C9769" i="4"/>
  <c r="C9768" i="4"/>
  <c r="C9767" i="4"/>
  <c r="C9766" i="4"/>
  <c r="C9765" i="4"/>
  <c r="C9764" i="4"/>
  <c r="C9763" i="4"/>
  <c r="C9762" i="4"/>
  <c r="C9761" i="4"/>
  <c r="C9760" i="4"/>
  <c r="C9759" i="4"/>
  <c r="C9758" i="4"/>
  <c r="C9757" i="4"/>
  <c r="C9756" i="4"/>
  <c r="C9755" i="4"/>
  <c r="C9754" i="4"/>
  <c r="C9753" i="4"/>
  <c r="C9752" i="4"/>
  <c r="C9751" i="4"/>
  <c r="C9750" i="4"/>
  <c r="C9749" i="4"/>
  <c r="C9748" i="4"/>
  <c r="C9747" i="4"/>
  <c r="C9746" i="4"/>
  <c r="C9745" i="4"/>
  <c r="C9744" i="4"/>
  <c r="C9743" i="4"/>
  <c r="C9742" i="4"/>
  <c r="C9741" i="4"/>
  <c r="C9740" i="4"/>
  <c r="C9739" i="4"/>
  <c r="C9738" i="4"/>
  <c r="C9737" i="4"/>
  <c r="C9736" i="4"/>
  <c r="C9735" i="4"/>
  <c r="C9734" i="4"/>
  <c r="C9733" i="4"/>
  <c r="C9732" i="4"/>
  <c r="C9731" i="4"/>
  <c r="C9730" i="4"/>
  <c r="C9729" i="4"/>
  <c r="C9728" i="4"/>
  <c r="C9727" i="4"/>
  <c r="C9726" i="4"/>
  <c r="C9725" i="4"/>
  <c r="C9724" i="4"/>
  <c r="C9723" i="4"/>
  <c r="C9722" i="4"/>
  <c r="C9721" i="4"/>
  <c r="C9720" i="4"/>
  <c r="C9719" i="4"/>
  <c r="C9718" i="4"/>
  <c r="C9717" i="4"/>
  <c r="C9716" i="4"/>
  <c r="C9715" i="4"/>
  <c r="C9714" i="4"/>
  <c r="C9713" i="4"/>
  <c r="C9712" i="4"/>
  <c r="C9711" i="4"/>
  <c r="C9710" i="4"/>
  <c r="C9709" i="4"/>
  <c r="C9708" i="4"/>
  <c r="C9707" i="4"/>
  <c r="C9706" i="4"/>
  <c r="C9705" i="4"/>
  <c r="C9704" i="4"/>
  <c r="C9703" i="4"/>
  <c r="C9702" i="4"/>
  <c r="C9701" i="4"/>
  <c r="C9700" i="4"/>
  <c r="C9699" i="4"/>
  <c r="C9698" i="4"/>
  <c r="C9697" i="4"/>
  <c r="C9696" i="4"/>
  <c r="C9695" i="4"/>
  <c r="C9694" i="4"/>
  <c r="C9693" i="4"/>
  <c r="C9692" i="4"/>
  <c r="C9691" i="4"/>
  <c r="C9690" i="4"/>
  <c r="C9689" i="4"/>
  <c r="C9688" i="4"/>
  <c r="C9687" i="4"/>
  <c r="C9686" i="4"/>
  <c r="C9685" i="4"/>
  <c r="C9684" i="4"/>
  <c r="C9683" i="4"/>
  <c r="C9682" i="4"/>
  <c r="C9681" i="4"/>
  <c r="C9680" i="4"/>
  <c r="C9679" i="4"/>
  <c r="C9678" i="4"/>
  <c r="C9677" i="4"/>
  <c r="C9676" i="4"/>
  <c r="C9675" i="4"/>
  <c r="C9674" i="4"/>
  <c r="C9673" i="4"/>
  <c r="C9672" i="4"/>
  <c r="C9671" i="4"/>
  <c r="C9670" i="4"/>
  <c r="C9669" i="4"/>
  <c r="C9668" i="4"/>
  <c r="C9667" i="4"/>
  <c r="C9666" i="4"/>
  <c r="C9665" i="4"/>
  <c r="C9664" i="4"/>
  <c r="C9663" i="4"/>
  <c r="C9662" i="4"/>
  <c r="C9661" i="4"/>
  <c r="C9660" i="4"/>
  <c r="C9659" i="4"/>
  <c r="C9658" i="4"/>
  <c r="C9657" i="4"/>
  <c r="C9656" i="4"/>
  <c r="C9655" i="4"/>
  <c r="C9654" i="4"/>
  <c r="C9653" i="4"/>
  <c r="C9652" i="4"/>
  <c r="C9651" i="4"/>
  <c r="C9650" i="4"/>
  <c r="C9649" i="4"/>
  <c r="C9648" i="4"/>
  <c r="C9647" i="4"/>
  <c r="C9646" i="4"/>
  <c r="C9645" i="4"/>
  <c r="C9644" i="4"/>
  <c r="C9643" i="4"/>
  <c r="C9642" i="4"/>
  <c r="C9641" i="4"/>
  <c r="C9640" i="4"/>
  <c r="C9639" i="4"/>
  <c r="C9638" i="4"/>
  <c r="C9637" i="4"/>
  <c r="C9636" i="4"/>
  <c r="C9635" i="4"/>
  <c r="C9634" i="4"/>
  <c r="C9633" i="4"/>
  <c r="C9632" i="4"/>
  <c r="C9631" i="4"/>
  <c r="C9630" i="4"/>
  <c r="C9629" i="4"/>
  <c r="C9628" i="4"/>
  <c r="C9627" i="4"/>
  <c r="C9626" i="4"/>
  <c r="C9625" i="4"/>
  <c r="C9624" i="4"/>
  <c r="C9623" i="4"/>
  <c r="C9622" i="4"/>
  <c r="C9621" i="4"/>
  <c r="C9620" i="4"/>
  <c r="C9619" i="4"/>
  <c r="C9618" i="4"/>
  <c r="C9617" i="4"/>
  <c r="C9616" i="4"/>
  <c r="C9615" i="4"/>
  <c r="C9614" i="4"/>
  <c r="C9613" i="4"/>
  <c r="C9612" i="4"/>
  <c r="C9611" i="4"/>
  <c r="C9610" i="4"/>
  <c r="C9609" i="4"/>
  <c r="C9608" i="4"/>
  <c r="C9607" i="4"/>
  <c r="C9606" i="4"/>
  <c r="C9605" i="4"/>
  <c r="C9604" i="4"/>
  <c r="C9603" i="4"/>
  <c r="C9602" i="4"/>
  <c r="C9601" i="4"/>
  <c r="C9600" i="4"/>
  <c r="C9599" i="4"/>
  <c r="C9598" i="4"/>
  <c r="C9597" i="4"/>
  <c r="C9596" i="4"/>
  <c r="C9595" i="4"/>
  <c r="C9594" i="4"/>
  <c r="C9593" i="4"/>
  <c r="C9592" i="4"/>
  <c r="C9591" i="4"/>
  <c r="C9590" i="4"/>
  <c r="C9589" i="4"/>
  <c r="C9588" i="4"/>
  <c r="C9587" i="4"/>
  <c r="C9586" i="4"/>
  <c r="C9585" i="4"/>
  <c r="C9584" i="4"/>
  <c r="C9583" i="4"/>
  <c r="C9582" i="4"/>
  <c r="C9581" i="4"/>
  <c r="C9580" i="4"/>
  <c r="C9579" i="4"/>
  <c r="C9578" i="4"/>
  <c r="C9577" i="4"/>
  <c r="C9576" i="4"/>
  <c r="C9575" i="4"/>
  <c r="C9574" i="4"/>
  <c r="C9573" i="4"/>
  <c r="C9572" i="4"/>
  <c r="C9571" i="4"/>
  <c r="C9570" i="4"/>
  <c r="C9569" i="4"/>
  <c r="C9568" i="4"/>
  <c r="C9567" i="4"/>
  <c r="C9566" i="4"/>
  <c r="C9565" i="4"/>
  <c r="C9564" i="4"/>
  <c r="C9563" i="4"/>
  <c r="C9562" i="4"/>
  <c r="C9561" i="4"/>
  <c r="C9560" i="4"/>
  <c r="C9559" i="4"/>
  <c r="C9558" i="4"/>
  <c r="C9557" i="4"/>
  <c r="C9556" i="4"/>
  <c r="C9555" i="4"/>
  <c r="C9554" i="4"/>
  <c r="C9553" i="4"/>
  <c r="C9552" i="4"/>
  <c r="C9551" i="4"/>
  <c r="C9550" i="4"/>
  <c r="C9549" i="4"/>
  <c r="C9548" i="4"/>
  <c r="C9547" i="4"/>
  <c r="C9546" i="4"/>
  <c r="C9545" i="4"/>
  <c r="C9544" i="4"/>
  <c r="C9543" i="4"/>
  <c r="C9542" i="4"/>
  <c r="C9541" i="4"/>
  <c r="C9540" i="4"/>
  <c r="C9539" i="4"/>
  <c r="C9538" i="4"/>
  <c r="C9537" i="4"/>
  <c r="C9536" i="4"/>
  <c r="C9535" i="4"/>
  <c r="C9534" i="4"/>
  <c r="C9533" i="4"/>
  <c r="C9532" i="4"/>
  <c r="C9531" i="4"/>
  <c r="C9530" i="4"/>
  <c r="C9529" i="4"/>
  <c r="C9528" i="4"/>
  <c r="C9527" i="4"/>
  <c r="C9526" i="4"/>
  <c r="C9525" i="4"/>
  <c r="C9524" i="4"/>
  <c r="C9523" i="4"/>
  <c r="C9522" i="4"/>
  <c r="C9521" i="4"/>
  <c r="C9520" i="4"/>
  <c r="C9519" i="4"/>
  <c r="C9518" i="4"/>
  <c r="C9517" i="4"/>
  <c r="C9516" i="4"/>
  <c r="C9515" i="4"/>
  <c r="C9514" i="4"/>
  <c r="C9513" i="4"/>
  <c r="C9512" i="4"/>
  <c r="C9511" i="4"/>
  <c r="C9510" i="4"/>
  <c r="C9509" i="4"/>
  <c r="C9508" i="4"/>
  <c r="C9507" i="4"/>
  <c r="C9506" i="4"/>
  <c r="C9505" i="4"/>
  <c r="C9504" i="4"/>
  <c r="C9503" i="4"/>
  <c r="C9502" i="4"/>
  <c r="C9501" i="4"/>
  <c r="C9500" i="4"/>
  <c r="C9499" i="4"/>
  <c r="C9498" i="4"/>
  <c r="C9497" i="4"/>
  <c r="C9496" i="4"/>
  <c r="C9495" i="4"/>
  <c r="C9494" i="4"/>
  <c r="C9493" i="4"/>
  <c r="C9492" i="4"/>
  <c r="C9491" i="4"/>
  <c r="C9490" i="4"/>
  <c r="C9489" i="4"/>
  <c r="C9488" i="4"/>
  <c r="C9487" i="4"/>
  <c r="C9486" i="4"/>
  <c r="C9485" i="4"/>
  <c r="C9484" i="4"/>
  <c r="C9483" i="4"/>
  <c r="C9482" i="4"/>
  <c r="C9481" i="4"/>
  <c r="C9480" i="4"/>
  <c r="C9479" i="4"/>
  <c r="C9478" i="4"/>
  <c r="C9477" i="4"/>
  <c r="C9476" i="4"/>
  <c r="C9475" i="4"/>
  <c r="C9474" i="4"/>
  <c r="C9473" i="4"/>
  <c r="C9472" i="4"/>
  <c r="C9471" i="4"/>
  <c r="C9470" i="4"/>
  <c r="C9469" i="4"/>
  <c r="C9468" i="4"/>
  <c r="C9467" i="4"/>
  <c r="C9466" i="4"/>
  <c r="C9465" i="4"/>
  <c r="C9464" i="4"/>
  <c r="C9463" i="4"/>
  <c r="C9462" i="4"/>
  <c r="C9461" i="4"/>
  <c r="C9460" i="4"/>
  <c r="C9459" i="4"/>
  <c r="C9458" i="4"/>
  <c r="C9457" i="4"/>
  <c r="C9456" i="4"/>
  <c r="C9455" i="4"/>
  <c r="C9454" i="4"/>
  <c r="C9453" i="4"/>
  <c r="C9452" i="4"/>
  <c r="C9451" i="4"/>
  <c r="C9450" i="4"/>
  <c r="C9449" i="4"/>
  <c r="C9448" i="4"/>
  <c r="C9447" i="4"/>
  <c r="C9446" i="4"/>
  <c r="C9445" i="4"/>
  <c r="C9444" i="4"/>
  <c r="C9443" i="4"/>
  <c r="C9442" i="4"/>
  <c r="C9441" i="4"/>
  <c r="C9440" i="4"/>
  <c r="C9439" i="4"/>
  <c r="C9438" i="4"/>
  <c r="C9437" i="4"/>
  <c r="C9436" i="4"/>
  <c r="C9435" i="4"/>
  <c r="C9434" i="4"/>
  <c r="C9433" i="4"/>
  <c r="C9432" i="4"/>
  <c r="C9431" i="4"/>
  <c r="C9430" i="4"/>
  <c r="C9429" i="4"/>
  <c r="C9428" i="4"/>
  <c r="C9427" i="4"/>
  <c r="C9426" i="4"/>
  <c r="C9425" i="4"/>
  <c r="C9424" i="4"/>
  <c r="C9423" i="4"/>
  <c r="C9422" i="4"/>
  <c r="C9421" i="4"/>
  <c r="C9420" i="4"/>
  <c r="C9419" i="4"/>
  <c r="C9418" i="4"/>
  <c r="C9417" i="4"/>
  <c r="C9416" i="4"/>
  <c r="C9415" i="4"/>
  <c r="C9414" i="4"/>
  <c r="C9413" i="4"/>
  <c r="C9412" i="4"/>
  <c r="C9411" i="4"/>
  <c r="C9410" i="4"/>
  <c r="C9409" i="4"/>
  <c r="C9408" i="4"/>
  <c r="C9407" i="4"/>
  <c r="C9406" i="4"/>
  <c r="C9405" i="4"/>
  <c r="C9404" i="4"/>
  <c r="C9403" i="4"/>
  <c r="C9402" i="4"/>
  <c r="C9401" i="4"/>
  <c r="C9400" i="4"/>
  <c r="C9399" i="4"/>
  <c r="C9398" i="4"/>
  <c r="C9397" i="4"/>
  <c r="C9396" i="4"/>
  <c r="C9395" i="4"/>
  <c r="C9394" i="4"/>
  <c r="C9393" i="4"/>
  <c r="C9392" i="4"/>
  <c r="C9391" i="4"/>
  <c r="C9390" i="4"/>
  <c r="C9389" i="4"/>
  <c r="C9388" i="4"/>
  <c r="C9387" i="4"/>
  <c r="C9386" i="4"/>
  <c r="C9385" i="4"/>
  <c r="C9384" i="4"/>
  <c r="C9383" i="4"/>
  <c r="C9382" i="4"/>
  <c r="C9381" i="4"/>
  <c r="C9380" i="4"/>
  <c r="C9379" i="4"/>
  <c r="C9378" i="4"/>
  <c r="C9377" i="4"/>
  <c r="C9376" i="4"/>
  <c r="C9375" i="4"/>
  <c r="C9374" i="4"/>
  <c r="C9373" i="4"/>
  <c r="C9372" i="4"/>
  <c r="C9371" i="4"/>
  <c r="C9370" i="4"/>
  <c r="C9369" i="4"/>
  <c r="C9368" i="4"/>
  <c r="C9367" i="4"/>
  <c r="C9366" i="4"/>
  <c r="C9365" i="4"/>
  <c r="C9364" i="4"/>
  <c r="C9363" i="4"/>
  <c r="C9362" i="4"/>
  <c r="C9361" i="4"/>
  <c r="C9360" i="4"/>
  <c r="C9359" i="4"/>
  <c r="C9358" i="4"/>
  <c r="C9357" i="4"/>
  <c r="C9356" i="4"/>
  <c r="C9355" i="4"/>
  <c r="C9354" i="4"/>
  <c r="C9353" i="4"/>
  <c r="C9352" i="4"/>
  <c r="C9351" i="4"/>
  <c r="C9350" i="4"/>
  <c r="C9349" i="4"/>
  <c r="C9348" i="4"/>
  <c r="C9347" i="4"/>
  <c r="C9346" i="4"/>
  <c r="C9345" i="4"/>
  <c r="C9344" i="4"/>
  <c r="C9343" i="4"/>
  <c r="C9342" i="4"/>
  <c r="C9341" i="4"/>
  <c r="C9340" i="4"/>
  <c r="C9339" i="4"/>
  <c r="C9338" i="4"/>
  <c r="C9337" i="4"/>
  <c r="C9336" i="4"/>
  <c r="C9335" i="4"/>
  <c r="C9334" i="4"/>
  <c r="C9333" i="4"/>
  <c r="C9332" i="4"/>
  <c r="C9331" i="4"/>
  <c r="C9330" i="4"/>
  <c r="C9329" i="4"/>
  <c r="C9328" i="4"/>
  <c r="C9327" i="4"/>
  <c r="C9326" i="4"/>
  <c r="C9325" i="4"/>
  <c r="C9324" i="4"/>
  <c r="C9323" i="4"/>
  <c r="C9322" i="4"/>
  <c r="C9321" i="4"/>
  <c r="C9320" i="4"/>
  <c r="C9319" i="4"/>
  <c r="C9318" i="4"/>
  <c r="C9317" i="4"/>
  <c r="C9316" i="4"/>
  <c r="C9315" i="4"/>
  <c r="C9314" i="4"/>
  <c r="C9313" i="4"/>
  <c r="C9312" i="4"/>
  <c r="C9311" i="4"/>
  <c r="C9310" i="4"/>
  <c r="C9309" i="4"/>
  <c r="C9308" i="4"/>
  <c r="C9307" i="4"/>
  <c r="C9306" i="4"/>
  <c r="C9305" i="4"/>
  <c r="C9304" i="4"/>
  <c r="C9303" i="4"/>
  <c r="C9302" i="4"/>
  <c r="C9301" i="4"/>
  <c r="C9300" i="4"/>
  <c r="C9299" i="4"/>
  <c r="C9298" i="4"/>
  <c r="C9297" i="4"/>
  <c r="C9296" i="4"/>
  <c r="C9295" i="4"/>
  <c r="C9294" i="4"/>
  <c r="C9293" i="4"/>
  <c r="C9292" i="4"/>
  <c r="C9291" i="4"/>
  <c r="C9290" i="4"/>
  <c r="C9289" i="4"/>
  <c r="C9288" i="4"/>
  <c r="C9287" i="4"/>
  <c r="C9286" i="4"/>
  <c r="C9285" i="4"/>
  <c r="C9284" i="4"/>
  <c r="C9283" i="4"/>
  <c r="C9282" i="4"/>
  <c r="C9281" i="4"/>
  <c r="C9280" i="4"/>
  <c r="C9279" i="4"/>
  <c r="C9278" i="4"/>
  <c r="C9277" i="4"/>
  <c r="C9276" i="4"/>
  <c r="C9275" i="4"/>
  <c r="C9274" i="4"/>
  <c r="C9273" i="4"/>
  <c r="C9272" i="4"/>
  <c r="C9271" i="4"/>
  <c r="C9270" i="4"/>
  <c r="C9269" i="4"/>
  <c r="C9268" i="4"/>
  <c r="C9267" i="4"/>
  <c r="C9266" i="4"/>
  <c r="C9265" i="4"/>
  <c r="C9264" i="4"/>
  <c r="C9263" i="4"/>
  <c r="C9262" i="4"/>
  <c r="C9261" i="4"/>
  <c r="C9260" i="4"/>
  <c r="C9259" i="4"/>
  <c r="C9258" i="4"/>
  <c r="C9257" i="4"/>
  <c r="C9256" i="4"/>
  <c r="C9255" i="4"/>
  <c r="C9254" i="4"/>
  <c r="C9253" i="4"/>
  <c r="C9252" i="4"/>
  <c r="C9251" i="4"/>
  <c r="C9250" i="4"/>
  <c r="C9249" i="4"/>
  <c r="C9248" i="4"/>
  <c r="C9247" i="4"/>
  <c r="C9246" i="4"/>
  <c r="C9245" i="4"/>
  <c r="C9244" i="4"/>
  <c r="C9243" i="4"/>
  <c r="C9242" i="4"/>
  <c r="C9241" i="4"/>
  <c r="C9240" i="4"/>
  <c r="C9239" i="4"/>
  <c r="C9238" i="4"/>
  <c r="C9237" i="4"/>
  <c r="C9236" i="4"/>
  <c r="C9235" i="4"/>
  <c r="C9234" i="4"/>
  <c r="C9233" i="4"/>
  <c r="C9232" i="4"/>
  <c r="C9231" i="4"/>
  <c r="C9230" i="4"/>
  <c r="C9229" i="4"/>
  <c r="C9228" i="4"/>
  <c r="C9227" i="4"/>
  <c r="C9226" i="4"/>
  <c r="C9225" i="4"/>
  <c r="C9224" i="4"/>
  <c r="C9223" i="4"/>
  <c r="C9222" i="4"/>
  <c r="C9221" i="4"/>
  <c r="C9220" i="4"/>
  <c r="C9219" i="4"/>
  <c r="C9218" i="4"/>
  <c r="C9217" i="4"/>
  <c r="C9216" i="4"/>
  <c r="C9215" i="4"/>
  <c r="C9214" i="4"/>
  <c r="C9213" i="4"/>
  <c r="C9212" i="4"/>
  <c r="C9211" i="4"/>
  <c r="C9210" i="4"/>
  <c r="C9209" i="4"/>
  <c r="C9208" i="4"/>
  <c r="C9207" i="4"/>
  <c r="C9206" i="4"/>
  <c r="C9205" i="4"/>
  <c r="C9204" i="4"/>
  <c r="C9203" i="4"/>
  <c r="C9202" i="4"/>
  <c r="C9201" i="4"/>
  <c r="C9200" i="4"/>
  <c r="C9199" i="4"/>
  <c r="C9198" i="4"/>
  <c r="C9197" i="4"/>
  <c r="C9196" i="4"/>
  <c r="C9195" i="4"/>
  <c r="C9194" i="4"/>
  <c r="C9193" i="4"/>
  <c r="C9192" i="4"/>
  <c r="C9191" i="4"/>
  <c r="C9190" i="4"/>
  <c r="C9189" i="4"/>
  <c r="C9188" i="4"/>
  <c r="C9187" i="4"/>
  <c r="C9186" i="4"/>
  <c r="C9185" i="4"/>
  <c r="C9184" i="4"/>
  <c r="C9183" i="4"/>
  <c r="C9182" i="4"/>
  <c r="C9181" i="4"/>
  <c r="C9180" i="4"/>
  <c r="C9179" i="4"/>
  <c r="C9178" i="4"/>
  <c r="C9177" i="4"/>
  <c r="C9176" i="4"/>
  <c r="C9175" i="4"/>
  <c r="C9174" i="4"/>
  <c r="C9173" i="4"/>
  <c r="C9172" i="4"/>
  <c r="C9171" i="4"/>
  <c r="C9170" i="4"/>
  <c r="C9169" i="4"/>
  <c r="C9168" i="4"/>
  <c r="C9167" i="4"/>
  <c r="C9166" i="4"/>
  <c r="C9165" i="4"/>
  <c r="C9164" i="4"/>
  <c r="C9163" i="4"/>
  <c r="C9162" i="4"/>
  <c r="C9161" i="4"/>
  <c r="C9160" i="4"/>
  <c r="C9159" i="4"/>
  <c r="C9158" i="4"/>
  <c r="C9157" i="4"/>
  <c r="C9156" i="4"/>
  <c r="C9155" i="4"/>
  <c r="C9154" i="4"/>
  <c r="C9153" i="4"/>
  <c r="C9152" i="4"/>
  <c r="C9151" i="4"/>
  <c r="C9150" i="4"/>
  <c r="C9149" i="4"/>
  <c r="C9148" i="4"/>
  <c r="C9147" i="4"/>
  <c r="C9146" i="4"/>
  <c r="C9145" i="4"/>
  <c r="C9144" i="4"/>
  <c r="C9143" i="4"/>
  <c r="C9142" i="4"/>
  <c r="C9141" i="4"/>
  <c r="C9140" i="4"/>
  <c r="C9139" i="4"/>
  <c r="C9138" i="4"/>
  <c r="C9137" i="4"/>
  <c r="C9136" i="4"/>
  <c r="C9135" i="4"/>
  <c r="C9134" i="4"/>
  <c r="C9133" i="4"/>
  <c r="C9132" i="4"/>
  <c r="C9131" i="4"/>
  <c r="C9130" i="4"/>
  <c r="C9129" i="4"/>
  <c r="C9128" i="4"/>
  <c r="C9127" i="4"/>
  <c r="C9126" i="4"/>
  <c r="C9125" i="4"/>
  <c r="C9124" i="4"/>
  <c r="C9123" i="4"/>
  <c r="C9122" i="4"/>
  <c r="C9121" i="4"/>
  <c r="C9120" i="4"/>
  <c r="C9119" i="4"/>
  <c r="C9118" i="4"/>
  <c r="C9117" i="4"/>
  <c r="C9116" i="4"/>
  <c r="C9115" i="4"/>
  <c r="C9114" i="4"/>
  <c r="C9113" i="4"/>
  <c r="C9112" i="4"/>
  <c r="C9111" i="4"/>
  <c r="C9110" i="4"/>
  <c r="C9109" i="4"/>
  <c r="C9108" i="4"/>
  <c r="C9107" i="4"/>
  <c r="C9106" i="4"/>
  <c r="C9105" i="4"/>
  <c r="C9104" i="4"/>
  <c r="C9103" i="4"/>
  <c r="C9102" i="4"/>
  <c r="C9101" i="4"/>
  <c r="C9100" i="4"/>
  <c r="C9099" i="4"/>
  <c r="C9098" i="4"/>
  <c r="C9097" i="4"/>
  <c r="C9096" i="4"/>
  <c r="C9095" i="4"/>
  <c r="C9094" i="4"/>
  <c r="C9093" i="4"/>
  <c r="C9092" i="4"/>
  <c r="C9091" i="4"/>
  <c r="C9090" i="4"/>
  <c r="C9089" i="4"/>
  <c r="C9088" i="4"/>
  <c r="C9087" i="4"/>
  <c r="C9086" i="4"/>
  <c r="C9085" i="4"/>
  <c r="C9084" i="4"/>
  <c r="C9083" i="4"/>
  <c r="C9082" i="4"/>
  <c r="C9081" i="4"/>
  <c r="C9080" i="4"/>
  <c r="C9079" i="4"/>
  <c r="C9078" i="4"/>
  <c r="C9077" i="4"/>
  <c r="C9076" i="4"/>
  <c r="C9075" i="4"/>
  <c r="C9074" i="4"/>
  <c r="C9073" i="4"/>
  <c r="C9072" i="4"/>
  <c r="C9071" i="4"/>
  <c r="C9070" i="4"/>
  <c r="C9069" i="4"/>
  <c r="C9068" i="4"/>
  <c r="C9067" i="4"/>
  <c r="C9066" i="4"/>
  <c r="C9065" i="4"/>
  <c r="C9064" i="4"/>
  <c r="C9063" i="4"/>
  <c r="C9062" i="4"/>
  <c r="C9061" i="4"/>
  <c r="C9060" i="4"/>
  <c r="C9059" i="4"/>
  <c r="C9058" i="4"/>
  <c r="C9057" i="4"/>
  <c r="C9056" i="4"/>
  <c r="C9055" i="4"/>
  <c r="C9054" i="4"/>
  <c r="C9053" i="4"/>
  <c r="C9052" i="4"/>
  <c r="C9051" i="4"/>
  <c r="C9050" i="4"/>
  <c r="C9049" i="4"/>
  <c r="C9048" i="4"/>
  <c r="C9047" i="4"/>
  <c r="C9046" i="4"/>
  <c r="C9045" i="4"/>
  <c r="C9044" i="4"/>
  <c r="C9043" i="4"/>
  <c r="C9042" i="4"/>
  <c r="C9041" i="4"/>
  <c r="C9040" i="4"/>
  <c r="C9039" i="4"/>
  <c r="C9038" i="4"/>
  <c r="C9037" i="4"/>
  <c r="C9036" i="4"/>
  <c r="C9035" i="4"/>
  <c r="C9034" i="4"/>
  <c r="C9033" i="4"/>
  <c r="C9032" i="4"/>
  <c r="C9031" i="4"/>
  <c r="C9030" i="4"/>
  <c r="C9029" i="4"/>
  <c r="C9028" i="4"/>
  <c r="C9027" i="4"/>
  <c r="C9026" i="4"/>
  <c r="C9025" i="4"/>
  <c r="C9024" i="4"/>
  <c r="C9023" i="4"/>
  <c r="C9022" i="4"/>
  <c r="C9021" i="4"/>
  <c r="C9020" i="4"/>
  <c r="C9019" i="4"/>
  <c r="C9018" i="4"/>
  <c r="C9017" i="4"/>
  <c r="C9016" i="4"/>
  <c r="C9015" i="4"/>
  <c r="C9014" i="4"/>
  <c r="C9013" i="4"/>
  <c r="C9012" i="4"/>
  <c r="C9011" i="4"/>
  <c r="C9010" i="4"/>
  <c r="C9009" i="4"/>
  <c r="C9008" i="4"/>
  <c r="C9007" i="4"/>
  <c r="C9006" i="4"/>
  <c r="C9005" i="4"/>
  <c r="C9004" i="4"/>
  <c r="C9003" i="4"/>
  <c r="C9002" i="4"/>
  <c r="C9001" i="4"/>
  <c r="C9000" i="4"/>
  <c r="C8999" i="4"/>
  <c r="C8998" i="4"/>
  <c r="C8997" i="4"/>
  <c r="C8996" i="4"/>
  <c r="C8995" i="4"/>
  <c r="C8994" i="4"/>
  <c r="C8993" i="4"/>
  <c r="C8992" i="4"/>
  <c r="C8991" i="4"/>
  <c r="C8990" i="4"/>
  <c r="C8989" i="4"/>
  <c r="C8988" i="4"/>
  <c r="C8987" i="4"/>
  <c r="C8986" i="4"/>
  <c r="C8985" i="4"/>
  <c r="C8984" i="4"/>
  <c r="C8983" i="4"/>
  <c r="C8982" i="4"/>
  <c r="C8981" i="4"/>
  <c r="C8980" i="4"/>
  <c r="C8979" i="4"/>
  <c r="C8978" i="4"/>
  <c r="C8977" i="4"/>
  <c r="C8976" i="4"/>
  <c r="C8975" i="4"/>
  <c r="C8974" i="4"/>
  <c r="C8973" i="4"/>
  <c r="C8972" i="4"/>
  <c r="C8971" i="4"/>
  <c r="C8970" i="4"/>
  <c r="C8969" i="4"/>
  <c r="C8968" i="4"/>
  <c r="C8967" i="4"/>
  <c r="C8966" i="4"/>
  <c r="C8965" i="4"/>
  <c r="C8964" i="4"/>
  <c r="C8963" i="4"/>
  <c r="C8962" i="4"/>
  <c r="C8961" i="4"/>
  <c r="C8960" i="4"/>
  <c r="C8959" i="4"/>
  <c r="C8958" i="4"/>
  <c r="C8957" i="4"/>
  <c r="C8956" i="4"/>
  <c r="C8955" i="4"/>
  <c r="C8954" i="4"/>
  <c r="C8953" i="4"/>
  <c r="C8952" i="4"/>
  <c r="C8951" i="4"/>
  <c r="C8950" i="4"/>
  <c r="C8949" i="4"/>
  <c r="C8948" i="4"/>
  <c r="C8947" i="4"/>
  <c r="C8946" i="4"/>
  <c r="C8945" i="4"/>
  <c r="C8944" i="4"/>
  <c r="C8943" i="4"/>
  <c r="C8942" i="4"/>
  <c r="C8941" i="4"/>
  <c r="C8940" i="4"/>
  <c r="C8939" i="4"/>
  <c r="C8938" i="4"/>
  <c r="C8937" i="4"/>
  <c r="C8936" i="4"/>
  <c r="C8935" i="4"/>
  <c r="C8934" i="4"/>
  <c r="C8933" i="4"/>
  <c r="C8932" i="4"/>
  <c r="C8931" i="4"/>
  <c r="C8930" i="4"/>
  <c r="C8929" i="4"/>
  <c r="C8928" i="4"/>
  <c r="C8927" i="4"/>
  <c r="C8926" i="4"/>
  <c r="C8925" i="4"/>
  <c r="C8924" i="4"/>
  <c r="C8923" i="4"/>
  <c r="C8922" i="4"/>
  <c r="C8921" i="4"/>
  <c r="C8920" i="4"/>
  <c r="C8919" i="4"/>
  <c r="C8918" i="4"/>
  <c r="C8917" i="4"/>
  <c r="C8916" i="4"/>
  <c r="C8915" i="4"/>
  <c r="C8914" i="4"/>
  <c r="C8913" i="4"/>
  <c r="C8912" i="4"/>
  <c r="C8911" i="4"/>
  <c r="C8910" i="4"/>
  <c r="C8909" i="4"/>
  <c r="C8908" i="4"/>
  <c r="C8907" i="4"/>
  <c r="C8906" i="4"/>
  <c r="C8905" i="4"/>
  <c r="C8904" i="4"/>
  <c r="C8903" i="4"/>
  <c r="C8902" i="4"/>
  <c r="C8901" i="4"/>
  <c r="C8900" i="4"/>
  <c r="C8899" i="4"/>
  <c r="C8898" i="4"/>
  <c r="C8897" i="4"/>
  <c r="C8896" i="4"/>
  <c r="C8895" i="4"/>
  <c r="C8894" i="4"/>
  <c r="C8893" i="4"/>
  <c r="C8892" i="4"/>
  <c r="C8891" i="4"/>
  <c r="C8890" i="4"/>
  <c r="C8889" i="4"/>
  <c r="C8888" i="4"/>
  <c r="C8887" i="4"/>
  <c r="C8886" i="4"/>
  <c r="C8885" i="4"/>
  <c r="C8884" i="4"/>
  <c r="C8883" i="4"/>
  <c r="C8882" i="4"/>
  <c r="C8881" i="4"/>
  <c r="C8880" i="4"/>
  <c r="C8879" i="4"/>
  <c r="C8878" i="4"/>
  <c r="C8877" i="4"/>
  <c r="C8876" i="4"/>
  <c r="C8875" i="4"/>
  <c r="C8874" i="4"/>
  <c r="C8873" i="4"/>
  <c r="C8872" i="4"/>
  <c r="C8871" i="4"/>
  <c r="C8870" i="4"/>
  <c r="C8869" i="4"/>
  <c r="C8868" i="4"/>
  <c r="C8867" i="4"/>
  <c r="C8866" i="4"/>
  <c r="C8865" i="4"/>
  <c r="C8864" i="4"/>
  <c r="C8863" i="4"/>
  <c r="C8862" i="4"/>
  <c r="C8861" i="4"/>
  <c r="C8860" i="4"/>
  <c r="C8859" i="4"/>
  <c r="C8858" i="4"/>
  <c r="C8857" i="4"/>
  <c r="C8856" i="4"/>
  <c r="C8855" i="4"/>
  <c r="C8854" i="4"/>
  <c r="C8853" i="4"/>
  <c r="C8852" i="4"/>
  <c r="C8851" i="4"/>
  <c r="C8850" i="4"/>
  <c r="C8849" i="4"/>
  <c r="C8848" i="4"/>
  <c r="C8847" i="4"/>
  <c r="C8846" i="4"/>
  <c r="C8845" i="4"/>
  <c r="C8844" i="4"/>
  <c r="C8843" i="4"/>
  <c r="C8842" i="4"/>
  <c r="C8841" i="4"/>
  <c r="C8840" i="4"/>
  <c r="C8839" i="4"/>
  <c r="C8838" i="4"/>
  <c r="C8837" i="4"/>
  <c r="C8836" i="4"/>
  <c r="C8835" i="4"/>
  <c r="C8834" i="4"/>
  <c r="C8833" i="4"/>
  <c r="C8832" i="4"/>
  <c r="C8831" i="4"/>
  <c r="C8830" i="4"/>
  <c r="C8829" i="4"/>
  <c r="C8828" i="4"/>
  <c r="C8827" i="4"/>
  <c r="C8826" i="4"/>
  <c r="C8825" i="4"/>
  <c r="C8824" i="4"/>
  <c r="C8823" i="4"/>
  <c r="C8822" i="4"/>
  <c r="C8821" i="4"/>
  <c r="C8820" i="4"/>
  <c r="C8819" i="4"/>
  <c r="C8818" i="4"/>
  <c r="C8817" i="4"/>
  <c r="C8816" i="4"/>
  <c r="C8815" i="4"/>
  <c r="C8814" i="4"/>
  <c r="C8813" i="4"/>
  <c r="C8812" i="4"/>
  <c r="C8811" i="4"/>
  <c r="C8810" i="4"/>
  <c r="C8809" i="4"/>
  <c r="C8808" i="4"/>
  <c r="C8807" i="4"/>
  <c r="C8806" i="4"/>
  <c r="C8805" i="4"/>
  <c r="C8804" i="4"/>
  <c r="C8803" i="4"/>
  <c r="C8802" i="4"/>
  <c r="C8801" i="4"/>
  <c r="C8800" i="4"/>
  <c r="C8799" i="4"/>
  <c r="C8798" i="4"/>
  <c r="C8797" i="4"/>
  <c r="C8796" i="4"/>
  <c r="C8795" i="4"/>
  <c r="C8794" i="4"/>
  <c r="C8793" i="4"/>
  <c r="C8792" i="4"/>
  <c r="C8791" i="4"/>
  <c r="C8790" i="4"/>
  <c r="C8789" i="4"/>
  <c r="C8788" i="4"/>
  <c r="C8787" i="4"/>
  <c r="C8786" i="4"/>
  <c r="C8785" i="4"/>
  <c r="C8784" i="4"/>
  <c r="C8783" i="4"/>
  <c r="C8782" i="4"/>
  <c r="C8781" i="4"/>
  <c r="C8780" i="4"/>
  <c r="C8779" i="4"/>
  <c r="C8778" i="4"/>
  <c r="C8777" i="4"/>
  <c r="C8776" i="4"/>
  <c r="C8775" i="4"/>
  <c r="C8774" i="4"/>
  <c r="C8773" i="4"/>
  <c r="C8772" i="4"/>
  <c r="C8771" i="4"/>
  <c r="C8770" i="4"/>
  <c r="C8769" i="4"/>
  <c r="C8768" i="4"/>
  <c r="C8767" i="4"/>
  <c r="C8766" i="4"/>
  <c r="C8765" i="4"/>
  <c r="C8764" i="4"/>
  <c r="C8763" i="4"/>
  <c r="C8762" i="4"/>
  <c r="C8761" i="4"/>
  <c r="C8760" i="4"/>
  <c r="C8759" i="4"/>
  <c r="C8758" i="4"/>
  <c r="C8757" i="4"/>
  <c r="C8756" i="4"/>
  <c r="C8755" i="4"/>
  <c r="C8754" i="4"/>
  <c r="C8753" i="4"/>
  <c r="C8752" i="4"/>
  <c r="C8751" i="4"/>
  <c r="C8750" i="4"/>
  <c r="C8749" i="4"/>
  <c r="C8748" i="4"/>
  <c r="C8747" i="4"/>
  <c r="C8746" i="4"/>
  <c r="C8745" i="4"/>
  <c r="C8744" i="4"/>
  <c r="C8743" i="4"/>
  <c r="C8742" i="4"/>
  <c r="C8741" i="4"/>
  <c r="C8740" i="4"/>
  <c r="C8739" i="4"/>
  <c r="C8738" i="4"/>
  <c r="C8737" i="4"/>
  <c r="C8736" i="4"/>
  <c r="C8735" i="4"/>
  <c r="C8734" i="4"/>
  <c r="C8733" i="4"/>
  <c r="C8732" i="4"/>
  <c r="C8731" i="4"/>
  <c r="C8730" i="4"/>
  <c r="C8729" i="4"/>
  <c r="C8728" i="4"/>
  <c r="C8727" i="4"/>
  <c r="C8726" i="4"/>
  <c r="C8725" i="4"/>
  <c r="C8724" i="4"/>
  <c r="C8723" i="4"/>
  <c r="C8722" i="4"/>
  <c r="C8721" i="4"/>
  <c r="C8720" i="4"/>
  <c r="C8719" i="4"/>
  <c r="C8718" i="4"/>
  <c r="C8717" i="4"/>
  <c r="C8716" i="4"/>
  <c r="C8715" i="4"/>
  <c r="C8714" i="4"/>
  <c r="C8713" i="4"/>
  <c r="C8712" i="4"/>
  <c r="C8711" i="4"/>
  <c r="C8710" i="4"/>
  <c r="C8709" i="4"/>
  <c r="C8708" i="4"/>
  <c r="C8707" i="4"/>
  <c r="C8706" i="4"/>
  <c r="C8705" i="4"/>
  <c r="C8704" i="4"/>
  <c r="C8703" i="4"/>
  <c r="C8702" i="4"/>
  <c r="C8701" i="4"/>
  <c r="C8700" i="4"/>
  <c r="C8699" i="4"/>
  <c r="C8698" i="4"/>
  <c r="C8697" i="4"/>
  <c r="C8696" i="4"/>
  <c r="C8695" i="4"/>
  <c r="C8694" i="4"/>
  <c r="C8693" i="4"/>
  <c r="C8692" i="4"/>
  <c r="C8691" i="4"/>
  <c r="C8690" i="4"/>
  <c r="C8689" i="4"/>
  <c r="C8688" i="4"/>
  <c r="C8687" i="4"/>
  <c r="C8686" i="4"/>
  <c r="C8685" i="4"/>
  <c r="C8684" i="4"/>
  <c r="C8683" i="4"/>
  <c r="C8682" i="4"/>
  <c r="C8681" i="4"/>
  <c r="C8680" i="4"/>
  <c r="C8679" i="4"/>
  <c r="C8678" i="4"/>
  <c r="C8677" i="4"/>
  <c r="C8676" i="4"/>
  <c r="C8675" i="4"/>
  <c r="C8674" i="4"/>
  <c r="C8673" i="4"/>
  <c r="C8672" i="4"/>
  <c r="C8671" i="4"/>
  <c r="C8670" i="4"/>
  <c r="C8669" i="4"/>
  <c r="C8668" i="4"/>
  <c r="C8667" i="4"/>
  <c r="C8666" i="4"/>
  <c r="C8665" i="4"/>
  <c r="C8664" i="4"/>
  <c r="C8663" i="4"/>
  <c r="C8662" i="4"/>
  <c r="C8661" i="4"/>
  <c r="C8660" i="4"/>
  <c r="C8659" i="4"/>
  <c r="C8658" i="4"/>
  <c r="C8657" i="4"/>
  <c r="C8656" i="4"/>
  <c r="C8655" i="4"/>
  <c r="C8654" i="4"/>
  <c r="C8653" i="4"/>
  <c r="C8652" i="4"/>
  <c r="C8651" i="4"/>
  <c r="C8650" i="4"/>
  <c r="C8649" i="4"/>
  <c r="C8648" i="4"/>
  <c r="C8647" i="4"/>
  <c r="C8646" i="4"/>
  <c r="C8645" i="4"/>
  <c r="C8644" i="4"/>
  <c r="C8643" i="4"/>
  <c r="C8642" i="4"/>
  <c r="C8641" i="4"/>
  <c r="C8640" i="4"/>
  <c r="C8639" i="4"/>
  <c r="C8638" i="4"/>
  <c r="C8637" i="4"/>
  <c r="C8636" i="4"/>
  <c r="C8635" i="4"/>
  <c r="C8634" i="4"/>
  <c r="C8633" i="4"/>
  <c r="C8632" i="4"/>
  <c r="C8631" i="4"/>
  <c r="C8630" i="4"/>
  <c r="C8629" i="4"/>
  <c r="C8628" i="4"/>
  <c r="C8627" i="4"/>
  <c r="C8626" i="4"/>
  <c r="C8625" i="4"/>
  <c r="C8624" i="4"/>
  <c r="C8623" i="4"/>
  <c r="C8622" i="4"/>
  <c r="C8621" i="4"/>
  <c r="C8620" i="4"/>
  <c r="C8619" i="4"/>
  <c r="C8618" i="4"/>
  <c r="C8617" i="4"/>
  <c r="C8616" i="4"/>
  <c r="C8615" i="4"/>
  <c r="C8614" i="4"/>
  <c r="C8613" i="4"/>
  <c r="C8612" i="4"/>
  <c r="C8611" i="4"/>
  <c r="C8610" i="4"/>
  <c r="C8609" i="4"/>
  <c r="C8608" i="4"/>
  <c r="C8607" i="4"/>
  <c r="C8606" i="4"/>
  <c r="C8605" i="4"/>
  <c r="C8604" i="4"/>
  <c r="C8603" i="4"/>
  <c r="C8602" i="4"/>
  <c r="C8601" i="4"/>
  <c r="C8600" i="4"/>
  <c r="C8599" i="4"/>
  <c r="C8598" i="4"/>
  <c r="C8597" i="4"/>
  <c r="C8596" i="4"/>
  <c r="C8595" i="4"/>
  <c r="C8594" i="4"/>
  <c r="C8593" i="4"/>
  <c r="C8592" i="4"/>
  <c r="C8591" i="4"/>
  <c r="C8590" i="4"/>
  <c r="C8589" i="4"/>
  <c r="C8588" i="4"/>
  <c r="C8587" i="4"/>
  <c r="C8586" i="4"/>
  <c r="C8585" i="4"/>
  <c r="C8584" i="4"/>
  <c r="C8583" i="4"/>
  <c r="C8582" i="4"/>
  <c r="C8581" i="4"/>
  <c r="C8580" i="4"/>
  <c r="C8579" i="4"/>
  <c r="C8578" i="4"/>
  <c r="C8577" i="4"/>
  <c r="C8576" i="4"/>
  <c r="C8575" i="4"/>
  <c r="C8574" i="4"/>
  <c r="C8573" i="4"/>
  <c r="C8572" i="4"/>
  <c r="C8571" i="4"/>
  <c r="C8570" i="4"/>
  <c r="C8569" i="4"/>
  <c r="C8568" i="4"/>
  <c r="C8567" i="4"/>
  <c r="C8566" i="4"/>
  <c r="C8565" i="4"/>
  <c r="C8564" i="4"/>
  <c r="C8563" i="4"/>
  <c r="C8562" i="4"/>
  <c r="C8561" i="4"/>
  <c r="C8560" i="4"/>
  <c r="C8559" i="4"/>
  <c r="C8558" i="4"/>
  <c r="C8557" i="4"/>
  <c r="C8556" i="4"/>
  <c r="C8555" i="4"/>
  <c r="C8554" i="4"/>
  <c r="C8553" i="4"/>
  <c r="C8552" i="4"/>
  <c r="C8551" i="4"/>
  <c r="C8550" i="4"/>
  <c r="C8549" i="4"/>
  <c r="C8548" i="4"/>
  <c r="C8547" i="4"/>
  <c r="C8546" i="4"/>
  <c r="C8545" i="4"/>
  <c r="C8544" i="4"/>
  <c r="C8543" i="4"/>
  <c r="C8542" i="4"/>
  <c r="C8541" i="4"/>
  <c r="C8540" i="4"/>
  <c r="C8539" i="4"/>
  <c r="C8538" i="4"/>
  <c r="C8537" i="4"/>
  <c r="C8536" i="4"/>
  <c r="C8535" i="4"/>
  <c r="C8534" i="4"/>
  <c r="C8533" i="4"/>
  <c r="C8532" i="4"/>
  <c r="C8531" i="4"/>
  <c r="C8530" i="4"/>
  <c r="C8529" i="4"/>
  <c r="C8528" i="4"/>
  <c r="C8527" i="4"/>
  <c r="C8526" i="4"/>
  <c r="C8525" i="4"/>
  <c r="C8524" i="4"/>
  <c r="C8523" i="4"/>
  <c r="C8522" i="4"/>
  <c r="C8521" i="4"/>
  <c r="C8520" i="4"/>
  <c r="C8519" i="4"/>
  <c r="C8518" i="4"/>
  <c r="C8517" i="4"/>
  <c r="C8516" i="4"/>
  <c r="C8515" i="4"/>
  <c r="C8514" i="4"/>
  <c r="C8513" i="4"/>
  <c r="C8512" i="4"/>
  <c r="C8511" i="4"/>
  <c r="C8510" i="4"/>
  <c r="C8509" i="4"/>
  <c r="C8508" i="4"/>
  <c r="C8507" i="4"/>
  <c r="C8506" i="4"/>
  <c r="C8505" i="4"/>
  <c r="C8504" i="4"/>
  <c r="C8503" i="4"/>
  <c r="C8502" i="4"/>
  <c r="C8501" i="4"/>
  <c r="C8500" i="4"/>
  <c r="C8499" i="4"/>
  <c r="C8498" i="4"/>
  <c r="C8497" i="4"/>
  <c r="C8496" i="4"/>
  <c r="C8495" i="4"/>
  <c r="C8494" i="4"/>
  <c r="C8493" i="4"/>
  <c r="C8492" i="4"/>
  <c r="C8491" i="4"/>
  <c r="C8490" i="4"/>
  <c r="C8489" i="4"/>
  <c r="C8488" i="4"/>
  <c r="C8487" i="4"/>
  <c r="C8486" i="4"/>
  <c r="C8485" i="4"/>
  <c r="C8484" i="4"/>
  <c r="C8483" i="4"/>
  <c r="C8482" i="4"/>
  <c r="C8481" i="4"/>
  <c r="C8480" i="4"/>
  <c r="C8479" i="4"/>
  <c r="C8478" i="4"/>
  <c r="C8477" i="4"/>
  <c r="C8476" i="4"/>
  <c r="C8475" i="4"/>
  <c r="C8474" i="4"/>
  <c r="C8473" i="4"/>
  <c r="C8472" i="4"/>
  <c r="C8471" i="4"/>
  <c r="C8470" i="4"/>
  <c r="C8469" i="4"/>
  <c r="C8468" i="4"/>
  <c r="C8467" i="4"/>
  <c r="C8466" i="4"/>
  <c r="C8465" i="4"/>
  <c r="C8464" i="4"/>
  <c r="C8463" i="4"/>
  <c r="C8462" i="4"/>
  <c r="C8461" i="4"/>
  <c r="C8460" i="4"/>
  <c r="C8459" i="4"/>
  <c r="C8458" i="4"/>
  <c r="C8457" i="4"/>
  <c r="C8456" i="4"/>
  <c r="C8455" i="4"/>
  <c r="C8454" i="4"/>
  <c r="C8453" i="4"/>
  <c r="C8452" i="4"/>
  <c r="C8451" i="4"/>
  <c r="C8450" i="4"/>
  <c r="C8449" i="4"/>
  <c r="C8448" i="4"/>
  <c r="C8447" i="4"/>
  <c r="C8446" i="4"/>
  <c r="C8445" i="4"/>
  <c r="C8444" i="4"/>
  <c r="C8443" i="4"/>
  <c r="C8442" i="4"/>
  <c r="C8441" i="4"/>
  <c r="C8440" i="4"/>
  <c r="C8439" i="4"/>
  <c r="C8438" i="4"/>
  <c r="C8437" i="4"/>
  <c r="C8436" i="4"/>
  <c r="C8435" i="4"/>
  <c r="C8434" i="4"/>
  <c r="C8433" i="4"/>
  <c r="C8432" i="4"/>
  <c r="C8431" i="4"/>
  <c r="C8430" i="4"/>
  <c r="C8429" i="4"/>
  <c r="C8428" i="4"/>
  <c r="C8427" i="4"/>
  <c r="C8426" i="4"/>
  <c r="C8425" i="4"/>
  <c r="C8424" i="4"/>
  <c r="C8423" i="4"/>
  <c r="C8422" i="4"/>
  <c r="C8421" i="4"/>
  <c r="C8420" i="4"/>
  <c r="C8419" i="4"/>
  <c r="C8418" i="4"/>
  <c r="C8417" i="4"/>
  <c r="C8416" i="4"/>
  <c r="C8415" i="4"/>
  <c r="C8414" i="4"/>
  <c r="C8413" i="4"/>
  <c r="C8412" i="4"/>
  <c r="C8411" i="4"/>
  <c r="C8410" i="4"/>
  <c r="C8409" i="4"/>
  <c r="C8408" i="4"/>
  <c r="C8407" i="4"/>
  <c r="C8406" i="4"/>
  <c r="C8405" i="4"/>
  <c r="C8404" i="4"/>
  <c r="C8403" i="4"/>
  <c r="C8402" i="4"/>
  <c r="C8401" i="4"/>
  <c r="C8400" i="4"/>
  <c r="C8399" i="4"/>
  <c r="C8398" i="4"/>
  <c r="C8397" i="4"/>
  <c r="C8396" i="4"/>
  <c r="C8395" i="4"/>
  <c r="C8394" i="4"/>
  <c r="C8393" i="4"/>
  <c r="C8392" i="4"/>
  <c r="C8391" i="4"/>
  <c r="C8390" i="4"/>
  <c r="C8389" i="4"/>
  <c r="C8388" i="4"/>
  <c r="C8387" i="4"/>
  <c r="C8386" i="4"/>
  <c r="C8385" i="4"/>
  <c r="C8384" i="4"/>
  <c r="C8383" i="4"/>
  <c r="C8382" i="4"/>
  <c r="C8381" i="4"/>
  <c r="C8380" i="4"/>
  <c r="C8379" i="4"/>
  <c r="C8378" i="4"/>
  <c r="C8377" i="4"/>
  <c r="C8376" i="4"/>
  <c r="C8375" i="4"/>
  <c r="C8374" i="4"/>
  <c r="C8373" i="4"/>
  <c r="C8372" i="4"/>
  <c r="C8371" i="4"/>
  <c r="C8370" i="4"/>
  <c r="C8369" i="4"/>
  <c r="C8368" i="4"/>
  <c r="C8367" i="4"/>
  <c r="C8366" i="4"/>
  <c r="C8365" i="4"/>
  <c r="C8364" i="4"/>
  <c r="C8363" i="4"/>
  <c r="C8362" i="4"/>
  <c r="C8361" i="4"/>
  <c r="C8360" i="4"/>
  <c r="C8359" i="4"/>
  <c r="C8358" i="4"/>
  <c r="C8357" i="4"/>
  <c r="C8356" i="4"/>
  <c r="C8355" i="4"/>
  <c r="C8354" i="4"/>
  <c r="C8353" i="4"/>
  <c r="C8352" i="4"/>
  <c r="C8351" i="4"/>
  <c r="C8350" i="4"/>
  <c r="C8349" i="4"/>
  <c r="C8348" i="4"/>
  <c r="C8347" i="4"/>
  <c r="C8346" i="4"/>
  <c r="C8345" i="4"/>
  <c r="C8344" i="4"/>
  <c r="C8343" i="4"/>
  <c r="C8342" i="4"/>
  <c r="C8341" i="4"/>
  <c r="C8340" i="4"/>
  <c r="C8339" i="4"/>
  <c r="C8338" i="4"/>
  <c r="C8337" i="4"/>
  <c r="C8336" i="4"/>
  <c r="C8335" i="4"/>
  <c r="C8334" i="4"/>
  <c r="C8333" i="4"/>
  <c r="C8332" i="4"/>
  <c r="C8331" i="4"/>
  <c r="C8330" i="4"/>
  <c r="C8329" i="4"/>
  <c r="C8328" i="4"/>
  <c r="C8327" i="4"/>
  <c r="C8326" i="4"/>
  <c r="C8325" i="4"/>
  <c r="C8324" i="4"/>
  <c r="C8323" i="4"/>
  <c r="C8322" i="4"/>
  <c r="C8321" i="4"/>
  <c r="C8320" i="4"/>
  <c r="C8319" i="4"/>
  <c r="C8318" i="4"/>
  <c r="C8317" i="4"/>
  <c r="C8316" i="4"/>
  <c r="C8315" i="4"/>
  <c r="C8314" i="4"/>
  <c r="C8313" i="4"/>
  <c r="C8312" i="4"/>
  <c r="C8311" i="4"/>
  <c r="C8310" i="4"/>
  <c r="C8309" i="4"/>
  <c r="C8308" i="4"/>
  <c r="C8307" i="4"/>
  <c r="C8306" i="4"/>
  <c r="C8305" i="4"/>
  <c r="C8304" i="4"/>
  <c r="C8303" i="4"/>
  <c r="C8302" i="4"/>
  <c r="C8301" i="4"/>
  <c r="C8300" i="4"/>
  <c r="C8299" i="4"/>
  <c r="C8298" i="4"/>
  <c r="C8297" i="4"/>
  <c r="C8296" i="4"/>
  <c r="C8295" i="4"/>
  <c r="C8294" i="4"/>
  <c r="C8293" i="4"/>
  <c r="C8292" i="4"/>
  <c r="C8291" i="4"/>
  <c r="C8290" i="4"/>
  <c r="C8289" i="4"/>
  <c r="C8288" i="4"/>
  <c r="C8287" i="4"/>
  <c r="C8286" i="4"/>
  <c r="C8285" i="4"/>
  <c r="C8284" i="4"/>
  <c r="C8283" i="4"/>
  <c r="C8282" i="4"/>
  <c r="C8281" i="4"/>
  <c r="C8280" i="4"/>
  <c r="C8279" i="4"/>
  <c r="C8278" i="4"/>
  <c r="C8277" i="4"/>
  <c r="C8276" i="4"/>
  <c r="C8275" i="4"/>
  <c r="C8274" i="4"/>
  <c r="C8273" i="4"/>
  <c r="C8272" i="4"/>
  <c r="C8271" i="4"/>
  <c r="C8270" i="4"/>
  <c r="C8269" i="4"/>
  <c r="C8268" i="4"/>
  <c r="C8267" i="4"/>
  <c r="C8266" i="4"/>
  <c r="C8265" i="4"/>
  <c r="C8264" i="4"/>
  <c r="C8263" i="4"/>
  <c r="C8262" i="4"/>
  <c r="C8261" i="4"/>
  <c r="C8260" i="4"/>
  <c r="C8259" i="4"/>
  <c r="C8258" i="4"/>
  <c r="C8257" i="4"/>
  <c r="C8256" i="4"/>
  <c r="C8255" i="4"/>
  <c r="C8254" i="4"/>
  <c r="C8253" i="4"/>
  <c r="C8252" i="4"/>
  <c r="C8251" i="4"/>
  <c r="C8250" i="4"/>
  <c r="C8249" i="4"/>
  <c r="C8248" i="4"/>
  <c r="C8247" i="4"/>
  <c r="C8246" i="4"/>
  <c r="C8245" i="4"/>
  <c r="C8244" i="4"/>
  <c r="C8243" i="4"/>
  <c r="C8242" i="4"/>
  <c r="C8241" i="4"/>
  <c r="C8240" i="4"/>
  <c r="C8239" i="4"/>
  <c r="C8238" i="4"/>
  <c r="C8237" i="4"/>
  <c r="C8236" i="4"/>
  <c r="C8235" i="4"/>
  <c r="C8234" i="4"/>
  <c r="C8233" i="4"/>
  <c r="C8232" i="4"/>
  <c r="C8231" i="4"/>
  <c r="C8230" i="4"/>
  <c r="C8229" i="4"/>
  <c r="C8228" i="4"/>
  <c r="C8227" i="4"/>
  <c r="C8226" i="4"/>
  <c r="C8225" i="4"/>
  <c r="C8224" i="4"/>
  <c r="C8223" i="4"/>
  <c r="C8222" i="4"/>
  <c r="C8221" i="4"/>
  <c r="C8220" i="4"/>
  <c r="C8219" i="4"/>
  <c r="C8218" i="4"/>
  <c r="C8217" i="4"/>
  <c r="C8216" i="4"/>
  <c r="C8215" i="4"/>
  <c r="C8214" i="4"/>
  <c r="C8213" i="4"/>
  <c r="C8212" i="4"/>
  <c r="C8211" i="4"/>
  <c r="C8210" i="4"/>
  <c r="C8209" i="4"/>
  <c r="C8208" i="4"/>
  <c r="C8207" i="4"/>
  <c r="C8206" i="4"/>
  <c r="C8205" i="4"/>
  <c r="C8204" i="4"/>
  <c r="C8203" i="4"/>
  <c r="C8202" i="4"/>
  <c r="C8201" i="4"/>
  <c r="C8200" i="4"/>
  <c r="C8199" i="4"/>
  <c r="C8198" i="4"/>
  <c r="C8197" i="4"/>
  <c r="C8196" i="4"/>
  <c r="C8195" i="4"/>
  <c r="C8194" i="4"/>
  <c r="C8193" i="4"/>
  <c r="C8192" i="4"/>
  <c r="C8191" i="4"/>
  <c r="C8190" i="4"/>
  <c r="C8189" i="4"/>
  <c r="C8188" i="4"/>
  <c r="C8187" i="4"/>
  <c r="C8186" i="4"/>
  <c r="C8185" i="4"/>
  <c r="C8184" i="4"/>
  <c r="C8183" i="4"/>
  <c r="C8182" i="4"/>
  <c r="C8181" i="4"/>
  <c r="C8180" i="4"/>
  <c r="C8179" i="4"/>
  <c r="C8178" i="4"/>
  <c r="C8177" i="4"/>
  <c r="C8176" i="4"/>
  <c r="C8175" i="4"/>
  <c r="C8174" i="4"/>
  <c r="C8173" i="4"/>
  <c r="C8172" i="4"/>
  <c r="C8171" i="4"/>
  <c r="C8170" i="4"/>
  <c r="C8169" i="4"/>
  <c r="C8168" i="4"/>
  <c r="C8167" i="4"/>
  <c r="C8166" i="4"/>
  <c r="C8165" i="4"/>
  <c r="C8164" i="4"/>
  <c r="C8163" i="4"/>
  <c r="C8162" i="4"/>
  <c r="C8161" i="4"/>
  <c r="C8160" i="4"/>
  <c r="C8159" i="4"/>
  <c r="C8158" i="4"/>
  <c r="C8157" i="4"/>
  <c r="C8156" i="4"/>
  <c r="C8155" i="4"/>
  <c r="C8154" i="4"/>
  <c r="C8153" i="4"/>
  <c r="C8152" i="4"/>
  <c r="C8151" i="4"/>
  <c r="C8150" i="4"/>
  <c r="C8149" i="4"/>
  <c r="C8148" i="4"/>
  <c r="C8147" i="4"/>
  <c r="C8146" i="4"/>
  <c r="C8145" i="4"/>
  <c r="C8144" i="4"/>
  <c r="C8143" i="4"/>
  <c r="C8142" i="4"/>
  <c r="C8141" i="4"/>
  <c r="C8140" i="4"/>
  <c r="C8139" i="4"/>
  <c r="C8138" i="4"/>
  <c r="C8137" i="4"/>
  <c r="C8136" i="4"/>
  <c r="C8135" i="4"/>
  <c r="C8134" i="4"/>
  <c r="C8133" i="4"/>
  <c r="C8132" i="4"/>
  <c r="C8131" i="4"/>
  <c r="C8130" i="4"/>
  <c r="C8129" i="4"/>
  <c r="C8128" i="4"/>
  <c r="C8127" i="4"/>
  <c r="C8126" i="4"/>
  <c r="C8125" i="4"/>
  <c r="C8124" i="4"/>
  <c r="C8123" i="4"/>
  <c r="C8122" i="4"/>
  <c r="C8121" i="4"/>
  <c r="C8120" i="4"/>
  <c r="C8119" i="4"/>
  <c r="C8118" i="4"/>
  <c r="C8117" i="4"/>
  <c r="C8116" i="4"/>
  <c r="C8115" i="4"/>
  <c r="C8114" i="4"/>
  <c r="C8113" i="4"/>
  <c r="C8112" i="4"/>
  <c r="C8111" i="4"/>
  <c r="C8110" i="4"/>
  <c r="C8109" i="4"/>
  <c r="C8108" i="4"/>
  <c r="C8107" i="4"/>
  <c r="C8106" i="4"/>
  <c r="C8105" i="4"/>
  <c r="C8104" i="4"/>
  <c r="C8103" i="4"/>
  <c r="C8102" i="4"/>
  <c r="C8101" i="4"/>
  <c r="C8100" i="4"/>
  <c r="C8099" i="4"/>
  <c r="C8098" i="4"/>
  <c r="C8097" i="4"/>
  <c r="C8096" i="4"/>
  <c r="C8095" i="4"/>
  <c r="C8094" i="4"/>
  <c r="C8093" i="4"/>
  <c r="C8092" i="4"/>
  <c r="C8091" i="4"/>
  <c r="C8090" i="4"/>
  <c r="C8089" i="4"/>
  <c r="C8088" i="4"/>
  <c r="C8087" i="4"/>
  <c r="C8086" i="4"/>
  <c r="C8085" i="4"/>
  <c r="C8084" i="4"/>
  <c r="C8083" i="4"/>
  <c r="C8082" i="4"/>
  <c r="C8081" i="4"/>
  <c r="C8080" i="4"/>
  <c r="C8079" i="4"/>
  <c r="C8078" i="4"/>
  <c r="C8077" i="4"/>
  <c r="C8076" i="4"/>
  <c r="C8075" i="4"/>
  <c r="C8074" i="4"/>
  <c r="C8073" i="4"/>
  <c r="C8072" i="4"/>
  <c r="C8071" i="4"/>
  <c r="C8070" i="4"/>
  <c r="C8069" i="4"/>
  <c r="C8068" i="4"/>
  <c r="C8067" i="4"/>
  <c r="C8066" i="4"/>
  <c r="C8065" i="4"/>
  <c r="C8064" i="4"/>
  <c r="C8063" i="4"/>
  <c r="C8062" i="4"/>
  <c r="C8061" i="4"/>
  <c r="C8060" i="4"/>
  <c r="C8059" i="4"/>
  <c r="C8058" i="4"/>
  <c r="C8057" i="4"/>
  <c r="C8056" i="4"/>
  <c r="C8055" i="4"/>
  <c r="C8054" i="4"/>
  <c r="C8053" i="4"/>
  <c r="C8052" i="4"/>
  <c r="C8051" i="4"/>
  <c r="C8050" i="4"/>
  <c r="C8049" i="4"/>
  <c r="C8048" i="4"/>
  <c r="C8047" i="4"/>
  <c r="C8046" i="4"/>
  <c r="C8045" i="4"/>
  <c r="C8044" i="4"/>
  <c r="C8043" i="4"/>
  <c r="C8042" i="4"/>
  <c r="C8041" i="4"/>
  <c r="C8040" i="4"/>
  <c r="C8039" i="4"/>
  <c r="C8038" i="4"/>
  <c r="C8037" i="4"/>
  <c r="C8036" i="4"/>
  <c r="C8035" i="4"/>
  <c r="C8034" i="4"/>
  <c r="C8033" i="4"/>
  <c r="C8032" i="4"/>
  <c r="C8031" i="4"/>
  <c r="C8030" i="4"/>
  <c r="C8029" i="4"/>
  <c r="C8028" i="4"/>
  <c r="C8027" i="4"/>
  <c r="C8026" i="4"/>
  <c r="C8025" i="4"/>
  <c r="C8024" i="4"/>
  <c r="C8023" i="4"/>
  <c r="C8022" i="4"/>
  <c r="C8021" i="4"/>
  <c r="C8020" i="4"/>
  <c r="C8019" i="4"/>
  <c r="C8018" i="4"/>
  <c r="C8017" i="4"/>
  <c r="C8016" i="4"/>
  <c r="C8015" i="4"/>
  <c r="C8014" i="4"/>
  <c r="C8013" i="4"/>
  <c r="C8012" i="4"/>
  <c r="C8011" i="4"/>
  <c r="C8010" i="4"/>
  <c r="C8009" i="4"/>
  <c r="C8008" i="4"/>
  <c r="C8007" i="4"/>
  <c r="C8006" i="4"/>
  <c r="C8005" i="4"/>
  <c r="C8004" i="4"/>
  <c r="C8003" i="4"/>
  <c r="C8002" i="4"/>
  <c r="C8001" i="4"/>
  <c r="C8000" i="4"/>
  <c r="C7999" i="4"/>
  <c r="C7998" i="4"/>
  <c r="C7997" i="4"/>
  <c r="C7996" i="4"/>
  <c r="C7995" i="4"/>
  <c r="C7994" i="4"/>
  <c r="C7993" i="4"/>
  <c r="C7992" i="4"/>
  <c r="C7991" i="4"/>
  <c r="C7990" i="4"/>
  <c r="C7989" i="4"/>
  <c r="C7988" i="4"/>
  <c r="C7987" i="4"/>
  <c r="C7986" i="4"/>
  <c r="C7985" i="4"/>
  <c r="C7984" i="4"/>
  <c r="C7983" i="4"/>
  <c r="C7982" i="4"/>
  <c r="C7981" i="4"/>
  <c r="C7980" i="4"/>
  <c r="C7979" i="4"/>
  <c r="C7978" i="4"/>
  <c r="C7977" i="4"/>
  <c r="C7976" i="4"/>
  <c r="C7975" i="4"/>
  <c r="C7974" i="4"/>
  <c r="C7973" i="4"/>
  <c r="C7972" i="4"/>
  <c r="C7971" i="4"/>
  <c r="C7970" i="4"/>
  <c r="C7969" i="4"/>
  <c r="C7968" i="4"/>
  <c r="C7967" i="4"/>
  <c r="C7966" i="4"/>
  <c r="C7965" i="4"/>
  <c r="C7964" i="4"/>
  <c r="C7963" i="4"/>
  <c r="C7962" i="4"/>
  <c r="C7961" i="4"/>
  <c r="C7960" i="4"/>
  <c r="C7959" i="4"/>
  <c r="C7958" i="4"/>
  <c r="C7957" i="4"/>
  <c r="C7956" i="4"/>
  <c r="C7955" i="4"/>
  <c r="C7954" i="4"/>
  <c r="C7953" i="4"/>
  <c r="C7952" i="4"/>
  <c r="C7951" i="4"/>
  <c r="C7950" i="4"/>
  <c r="C7949" i="4"/>
  <c r="C7948" i="4"/>
  <c r="C7947" i="4"/>
  <c r="C7946" i="4"/>
  <c r="C7945" i="4"/>
  <c r="C7944" i="4"/>
  <c r="C7943" i="4"/>
  <c r="C7942" i="4"/>
  <c r="C7941" i="4"/>
  <c r="C7940" i="4"/>
  <c r="C7939" i="4"/>
  <c r="C7938" i="4"/>
  <c r="C7937" i="4"/>
  <c r="C7936" i="4"/>
  <c r="C7935" i="4"/>
  <c r="C7934" i="4"/>
  <c r="C7933" i="4"/>
  <c r="C7932" i="4"/>
  <c r="C7931" i="4"/>
  <c r="C7930" i="4"/>
  <c r="C7929" i="4"/>
  <c r="C7928" i="4"/>
  <c r="C7927" i="4"/>
  <c r="C7926" i="4"/>
  <c r="C7925" i="4"/>
  <c r="C7924" i="4"/>
  <c r="C7923" i="4"/>
  <c r="C7922" i="4"/>
  <c r="C7921" i="4"/>
  <c r="C7920" i="4"/>
  <c r="C7919" i="4"/>
  <c r="C7918" i="4"/>
  <c r="C7917" i="4"/>
  <c r="C7916" i="4"/>
  <c r="C7915" i="4"/>
  <c r="C7914" i="4"/>
  <c r="C7913" i="4"/>
  <c r="C7912" i="4"/>
  <c r="C7911" i="4"/>
  <c r="C7910" i="4"/>
  <c r="C7909" i="4"/>
  <c r="C7908" i="4"/>
  <c r="C7907" i="4"/>
  <c r="C7906" i="4"/>
  <c r="C7905" i="4"/>
  <c r="C7904" i="4"/>
  <c r="C7903" i="4"/>
  <c r="C7902" i="4"/>
  <c r="C7901" i="4"/>
  <c r="C7900" i="4"/>
  <c r="C7899" i="4"/>
  <c r="C7898" i="4"/>
  <c r="C7897" i="4"/>
  <c r="C7896" i="4"/>
  <c r="C7895" i="4"/>
  <c r="C7894" i="4"/>
  <c r="C7893" i="4"/>
  <c r="C7892" i="4"/>
  <c r="C7891" i="4"/>
  <c r="C7890" i="4"/>
  <c r="C7889" i="4"/>
  <c r="C7888" i="4"/>
  <c r="C7887" i="4"/>
  <c r="C7886" i="4"/>
  <c r="C7885" i="4"/>
  <c r="C7884" i="4"/>
  <c r="C7883" i="4"/>
  <c r="C7882" i="4"/>
  <c r="C7881" i="4"/>
  <c r="C7880" i="4"/>
  <c r="C7879" i="4"/>
  <c r="C7878" i="4"/>
  <c r="C7877" i="4"/>
  <c r="C7876" i="4"/>
  <c r="C7875" i="4"/>
  <c r="C7874" i="4"/>
  <c r="C7873" i="4"/>
  <c r="C7872" i="4"/>
  <c r="C7871" i="4"/>
  <c r="C7870" i="4"/>
  <c r="C7869" i="4"/>
  <c r="C7868" i="4"/>
  <c r="C7867" i="4"/>
  <c r="C7866" i="4"/>
  <c r="C7865" i="4"/>
  <c r="C7864" i="4"/>
  <c r="C7863" i="4"/>
  <c r="C7862" i="4"/>
  <c r="C7861" i="4"/>
  <c r="C7860" i="4"/>
  <c r="C7859" i="4"/>
  <c r="C7858" i="4"/>
  <c r="C7857" i="4"/>
  <c r="C7856" i="4"/>
  <c r="C7855" i="4"/>
  <c r="C7854" i="4"/>
  <c r="C7853" i="4"/>
  <c r="C7852" i="4"/>
  <c r="C7851" i="4"/>
  <c r="C7850" i="4"/>
  <c r="C7849" i="4"/>
  <c r="C7848" i="4"/>
  <c r="C7847" i="4"/>
  <c r="C7846" i="4"/>
  <c r="C7845" i="4"/>
  <c r="C7844" i="4"/>
  <c r="C7843" i="4"/>
  <c r="C7842" i="4"/>
  <c r="C7841" i="4"/>
  <c r="C7840" i="4"/>
  <c r="C7839" i="4"/>
  <c r="C7838" i="4"/>
  <c r="C7837" i="4"/>
  <c r="C7836" i="4"/>
  <c r="C7835" i="4"/>
  <c r="C7834" i="4"/>
  <c r="C7833" i="4"/>
  <c r="C7832" i="4"/>
  <c r="C7831" i="4"/>
  <c r="C7830" i="4"/>
  <c r="C7829" i="4"/>
  <c r="C7828" i="4"/>
  <c r="C7827" i="4"/>
  <c r="C7826" i="4"/>
  <c r="C7825" i="4"/>
  <c r="C7824" i="4"/>
  <c r="C7823" i="4"/>
  <c r="C7822" i="4"/>
  <c r="C7821" i="4"/>
  <c r="C7820" i="4"/>
  <c r="C7819" i="4"/>
  <c r="C7818" i="4"/>
  <c r="C7817" i="4"/>
  <c r="C7816" i="4"/>
  <c r="C7815" i="4"/>
  <c r="C7814" i="4"/>
  <c r="C7813" i="4"/>
  <c r="C7812" i="4"/>
  <c r="C7811" i="4"/>
  <c r="C7810" i="4"/>
  <c r="C7809" i="4"/>
  <c r="C7808" i="4"/>
  <c r="C7807" i="4"/>
  <c r="C7806" i="4"/>
  <c r="C7805" i="4"/>
  <c r="C7804" i="4"/>
  <c r="C7803" i="4"/>
  <c r="C7802" i="4"/>
  <c r="C7801" i="4"/>
  <c r="C7800" i="4"/>
  <c r="C7799" i="4"/>
  <c r="C7798" i="4"/>
  <c r="C7797" i="4"/>
  <c r="C7796" i="4"/>
  <c r="C7795" i="4"/>
  <c r="C7794" i="4"/>
  <c r="C7793" i="4"/>
  <c r="C7792" i="4"/>
  <c r="C7791" i="4"/>
  <c r="C7790" i="4"/>
  <c r="C7789" i="4"/>
  <c r="C7788" i="4"/>
  <c r="C7787" i="4"/>
  <c r="C7786" i="4"/>
  <c r="C7785" i="4"/>
  <c r="C7784" i="4"/>
  <c r="C7783" i="4"/>
  <c r="C7782" i="4"/>
  <c r="C7781" i="4"/>
  <c r="C7780" i="4"/>
  <c r="C7779" i="4"/>
  <c r="C7778" i="4"/>
  <c r="C7777" i="4"/>
  <c r="C7776" i="4"/>
  <c r="C7775" i="4"/>
  <c r="C7774" i="4"/>
  <c r="C7773" i="4"/>
  <c r="C7772" i="4"/>
  <c r="C7771" i="4"/>
  <c r="C7770" i="4"/>
  <c r="C7769" i="4"/>
  <c r="C7768" i="4"/>
  <c r="C7767" i="4"/>
  <c r="C7766" i="4"/>
  <c r="C7765" i="4"/>
  <c r="C7764" i="4"/>
  <c r="C7763" i="4"/>
  <c r="C7762" i="4"/>
  <c r="C7761" i="4"/>
  <c r="C7760" i="4"/>
  <c r="C7759" i="4"/>
  <c r="C7758" i="4"/>
  <c r="C7757" i="4"/>
  <c r="C7756" i="4"/>
  <c r="C7755" i="4"/>
  <c r="C7754" i="4"/>
  <c r="C7753" i="4"/>
  <c r="C7752" i="4"/>
  <c r="C7751" i="4"/>
  <c r="C7750" i="4"/>
  <c r="C7749" i="4"/>
  <c r="C7748" i="4"/>
  <c r="C7747" i="4"/>
  <c r="C7746" i="4"/>
  <c r="C7745" i="4"/>
  <c r="C7744" i="4"/>
  <c r="C7743" i="4"/>
  <c r="C7742" i="4"/>
  <c r="C7741" i="4"/>
  <c r="C7740" i="4"/>
  <c r="C7739" i="4"/>
  <c r="C7738" i="4"/>
  <c r="C7737" i="4"/>
  <c r="C7736" i="4"/>
  <c r="C7735" i="4"/>
  <c r="C7734" i="4"/>
  <c r="C7733" i="4"/>
  <c r="C7732" i="4"/>
  <c r="C7731" i="4"/>
  <c r="C7730" i="4"/>
  <c r="C7729" i="4"/>
  <c r="C7728" i="4"/>
  <c r="C7727" i="4"/>
  <c r="C7726" i="4"/>
  <c r="C7725" i="4"/>
  <c r="C7724" i="4"/>
  <c r="C7723" i="4"/>
  <c r="C7722" i="4"/>
  <c r="C7721" i="4"/>
  <c r="C7720" i="4"/>
  <c r="C7719" i="4"/>
  <c r="C7718" i="4"/>
  <c r="C7717" i="4"/>
  <c r="C7716" i="4"/>
  <c r="C7715" i="4"/>
  <c r="C7714" i="4"/>
  <c r="C7713" i="4"/>
  <c r="C7712" i="4"/>
  <c r="C7711" i="4"/>
  <c r="C7710" i="4"/>
  <c r="C7709" i="4"/>
  <c r="C7708" i="4"/>
  <c r="C7707" i="4"/>
  <c r="C7706" i="4"/>
  <c r="C7705" i="4"/>
  <c r="C7704" i="4"/>
  <c r="C7703" i="4"/>
  <c r="C7702" i="4"/>
  <c r="C7701" i="4"/>
  <c r="C7700" i="4"/>
  <c r="C7699" i="4"/>
  <c r="C7698" i="4"/>
  <c r="C7697" i="4"/>
  <c r="C7696" i="4"/>
  <c r="C7695" i="4"/>
  <c r="C7694" i="4"/>
  <c r="C7693" i="4"/>
  <c r="C7692" i="4"/>
  <c r="C7691" i="4"/>
  <c r="C7690" i="4"/>
  <c r="C7689" i="4"/>
  <c r="C7688" i="4"/>
  <c r="C7687" i="4"/>
  <c r="C7686" i="4"/>
  <c r="C7685" i="4"/>
  <c r="C7684" i="4"/>
  <c r="C7683" i="4"/>
  <c r="C7682" i="4"/>
  <c r="C7681" i="4"/>
  <c r="C7680" i="4"/>
  <c r="C7679" i="4"/>
  <c r="C7678" i="4"/>
  <c r="C7677" i="4"/>
  <c r="C7676" i="4"/>
  <c r="C7675" i="4"/>
  <c r="C7674" i="4"/>
  <c r="C7673" i="4"/>
  <c r="C7672" i="4"/>
  <c r="C7671" i="4"/>
  <c r="C7670" i="4"/>
  <c r="C7669" i="4"/>
  <c r="C7668" i="4"/>
  <c r="C7667" i="4"/>
  <c r="C7666" i="4"/>
  <c r="C7665" i="4"/>
  <c r="C7664" i="4"/>
  <c r="C7663" i="4"/>
  <c r="C7662" i="4"/>
  <c r="C7661" i="4"/>
  <c r="C7660" i="4"/>
  <c r="C7659" i="4"/>
  <c r="C7658" i="4"/>
  <c r="C7657" i="4"/>
  <c r="C7656" i="4"/>
  <c r="C7655" i="4"/>
  <c r="C7654" i="4"/>
  <c r="C7653" i="4"/>
  <c r="C7652" i="4"/>
  <c r="C7651" i="4"/>
  <c r="C7650" i="4"/>
  <c r="C7649" i="4"/>
  <c r="C7648" i="4"/>
  <c r="C7647" i="4"/>
  <c r="C7646" i="4"/>
  <c r="C7645" i="4"/>
  <c r="C7644" i="4"/>
  <c r="C7643" i="4"/>
  <c r="C7642" i="4"/>
  <c r="C7641" i="4"/>
  <c r="C7640" i="4"/>
  <c r="C7639" i="4"/>
  <c r="C7638" i="4"/>
  <c r="C7637" i="4"/>
  <c r="C7636" i="4"/>
  <c r="C7635" i="4"/>
  <c r="C7634" i="4"/>
  <c r="C7633" i="4"/>
  <c r="C7632" i="4"/>
  <c r="C7631" i="4"/>
  <c r="C7630" i="4"/>
  <c r="C7629" i="4"/>
  <c r="C7628" i="4"/>
  <c r="C7627" i="4"/>
  <c r="C7626" i="4"/>
  <c r="C7625" i="4"/>
  <c r="C7624" i="4"/>
  <c r="C7623" i="4"/>
  <c r="C7622" i="4"/>
  <c r="C7621" i="4"/>
  <c r="C7620" i="4"/>
  <c r="C7619" i="4"/>
  <c r="C7618" i="4"/>
  <c r="C7617" i="4"/>
  <c r="C7616" i="4"/>
  <c r="C7615" i="4"/>
  <c r="C7614" i="4"/>
  <c r="C7613" i="4"/>
  <c r="C7612" i="4"/>
  <c r="C7611" i="4"/>
  <c r="C7610" i="4"/>
  <c r="C7609" i="4"/>
  <c r="C7608" i="4"/>
  <c r="C7607" i="4"/>
  <c r="C7606" i="4"/>
  <c r="C7605" i="4"/>
  <c r="C7604" i="4"/>
  <c r="C7603" i="4"/>
  <c r="C7602" i="4"/>
  <c r="C7601" i="4"/>
  <c r="C7600" i="4"/>
  <c r="C7599" i="4"/>
  <c r="C7598" i="4"/>
  <c r="C7597" i="4"/>
  <c r="C7596" i="4"/>
  <c r="C7595" i="4"/>
  <c r="C7594" i="4"/>
  <c r="C7593" i="4"/>
  <c r="C7592" i="4"/>
  <c r="C7591" i="4"/>
  <c r="C7590" i="4"/>
  <c r="C7589" i="4"/>
  <c r="C7588" i="4"/>
  <c r="C7587" i="4"/>
  <c r="C7586" i="4"/>
  <c r="C7585" i="4"/>
  <c r="C7584" i="4"/>
  <c r="C7583" i="4"/>
  <c r="C7582" i="4"/>
  <c r="C7581" i="4"/>
  <c r="C7580" i="4"/>
  <c r="C7579" i="4"/>
  <c r="C7578" i="4"/>
  <c r="C7577" i="4"/>
  <c r="C7576" i="4"/>
  <c r="C7575" i="4"/>
  <c r="C7574" i="4"/>
  <c r="C7573" i="4"/>
  <c r="C7572" i="4"/>
  <c r="C7571" i="4"/>
  <c r="C7570" i="4"/>
  <c r="C7569" i="4"/>
  <c r="C7568" i="4"/>
  <c r="C7567" i="4"/>
  <c r="C7566" i="4"/>
  <c r="C7565" i="4"/>
  <c r="C7564" i="4"/>
  <c r="C7563" i="4"/>
  <c r="C7562" i="4"/>
  <c r="C7561" i="4"/>
  <c r="C7560" i="4"/>
  <c r="C7559" i="4"/>
  <c r="C7558" i="4"/>
  <c r="C7557" i="4"/>
  <c r="C7556" i="4"/>
  <c r="C7555" i="4"/>
  <c r="C7554" i="4"/>
  <c r="C7553" i="4"/>
  <c r="C7552" i="4"/>
  <c r="C7551" i="4"/>
  <c r="C7550" i="4"/>
  <c r="C7549" i="4"/>
  <c r="C7548" i="4"/>
  <c r="C7547" i="4"/>
  <c r="C7546" i="4"/>
  <c r="C7545" i="4"/>
  <c r="C7544" i="4"/>
  <c r="C7543" i="4"/>
  <c r="C7542" i="4"/>
  <c r="C7541" i="4"/>
  <c r="C7540" i="4"/>
  <c r="C7539" i="4"/>
  <c r="C7538" i="4"/>
  <c r="C7537" i="4"/>
  <c r="C7536" i="4"/>
  <c r="C7535" i="4"/>
  <c r="C7534" i="4"/>
  <c r="C7533" i="4"/>
  <c r="C7532" i="4"/>
  <c r="C7531" i="4"/>
  <c r="C7530" i="4"/>
  <c r="C7529" i="4"/>
  <c r="C7528" i="4"/>
  <c r="C7527" i="4"/>
  <c r="C7526" i="4"/>
  <c r="C7525" i="4"/>
  <c r="C7524" i="4"/>
  <c r="C7523" i="4"/>
  <c r="C7522" i="4"/>
  <c r="C7521" i="4"/>
  <c r="C7520" i="4"/>
  <c r="C7519" i="4"/>
  <c r="C7518" i="4"/>
  <c r="C7517" i="4"/>
  <c r="C7516" i="4"/>
  <c r="C7515" i="4"/>
  <c r="C7514" i="4"/>
  <c r="C7513" i="4"/>
  <c r="C7512" i="4"/>
  <c r="C7511" i="4"/>
  <c r="C7510" i="4"/>
  <c r="C7509" i="4"/>
  <c r="C7508" i="4"/>
  <c r="C7507" i="4"/>
  <c r="C7506" i="4"/>
  <c r="C7505" i="4"/>
  <c r="C7504" i="4"/>
  <c r="C7503" i="4"/>
  <c r="C7502" i="4"/>
  <c r="C7501" i="4"/>
  <c r="C7500" i="4"/>
  <c r="C7499" i="4"/>
  <c r="C7498" i="4"/>
  <c r="C7497" i="4"/>
  <c r="C7496" i="4"/>
  <c r="C7495" i="4"/>
  <c r="C7494" i="4"/>
  <c r="C7493" i="4"/>
  <c r="C7492" i="4"/>
  <c r="C7491" i="4"/>
  <c r="C7490" i="4"/>
  <c r="C7489" i="4"/>
  <c r="C7488" i="4"/>
  <c r="C7487" i="4"/>
  <c r="C7486" i="4"/>
  <c r="C7485" i="4"/>
  <c r="C7484" i="4"/>
  <c r="C7483" i="4"/>
  <c r="C7482" i="4"/>
  <c r="C7481" i="4"/>
  <c r="C7480" i="4"/>
  <c r="C7479" i="4"/>
  <c r="C7478" i="4"/>
  <c r="C7477" i="4"/>
  <c r="C7476" i="4"/>
  <c r="C7475" i="4"/>
  <c r="C7474" i="4"/>
  <c r="C7473" i="4"/>
  <c r="C7472" i="4"/>
  <c r="C7471" i="4"/>
  <c r="C7470" i="4"/>
  <c r="C7469" i="4"/>
  <c r="C7468" i="4"/>
  <c r="C7467" i="4"/>
  <c r="C7466" i="4"/>
  <c r="C7465" i="4"/>
  <c r="C7464" i="4"/>
  <c r="C7463" i="4"/>
  <c r="C7462" i="4"/>
  <c r="C7461" i="4"/>
  <c r="C7460" i="4"/>
  <c r="C7459" i="4"/>
  <c r="C7458" i="4"/>
  <c r="C7457" i="4"/>
  <c r="C7456" i="4"/>
  <c r="C7455" i="4"/>
  <c r="C7454" i="4"/>
  <c r="C7453" i="4"/>
  <c r="C7452" i="4"/>
  <c r="C7451" i="4"/>
  <c r="C7450" i="4"/>
  <c r="C7449" i="4"/>
  <c r="C7448" i="4"/>
  <c r="C7447" i="4"/>
  <c r="C7446" i="4"/>
  <c r="C7445" i="4"/>
  <c r="C7444" i="4"/>
  <c r="C7443" i="4"/>
  <c r="C7442" i="4"/>
  <c r="C7441" i="4"/>
  <c r="C7440" i="4"/>
  <c r="C7439" i="4"/>
  <c r="C7438" i="4"/>
  <c r="C7437" i="4"/>
  <c r="C7436" i="4"/>
  <c r="C7435" i="4"/>
  <c r="C7434" i="4"/>
  <c r="C7433" i="4"/>
  <c r="C7432" i="4"/>
  <c r="C7431" i="4"/>
  <c r="C7430" i="4"/>
  <c r="C7429" i="4"/>
  <c r="C7428" i="4"/>
  <c r="C7427" i="4"/>
  <c r="C7426" i="4"/>
  <c r="C7425" i="4"/>
  <c r="C7424" i="4"/>
  <c r="C7423" i="4"/>
  <c r="C7422" i="4"/>
  <c r="C7421" i="4"/>
  <c r="C7420" i="4"/>
  <c r="C7419" i="4"/>
  <c r="C7418" i="4"/>
  <c r="C7417" i="4"/>
  <c r="C7416" i="4"/>
  <c r="C7415" i="4"/>
  <c r="C7414" i="4"/>
  <c r="C7413" i="4"/>
  <c r="C7412" i="4"/>
  <c r="C7411" i="4"/>
  <c r="C7410" i="4"/>
  <c r="C7409" i="4"/>
  <c r="C7408" i="4"/>
  <c r="C7407" i="4"/>
  <c r="C7406" i="4"/>
  <c r="C7405" i="4"/>
  <c r="C7404" i="4"/>
  <c r="C7403" i="4"/>
  <c r="C7402" i="4"/>
  <c r="C7401" i="4"/>
  <c r="C7400" i="4"/>
  <c r="C7399" i="4"/>
  <c r="C7398" i="4"/>
  <c r="C7397" i="4"/>
  <c r="C7396" i="4"/>
  <c r="C7395" i="4"/>
  <c r="C7394" i="4"/>
  <c r="C7393" i="4"/>
  <c r="C7392" i="4"/>
  <c r="C7391" i="4"/>
  <c r="C7390" i="4"/>
  <c r="C7389" i="4"/>
  <c r="C7388" i="4"/>
  <c r="C7387" i="4"/>
  <c r="C7386" i="4"/>
  <c r="C7385" i="4"/>
  <c r="C7384" i="4"/>
  <c r="C7383" i="4"/>
  <c r="C7382" i="4"/>
  <c r="C7381" i="4"/>
  <c r="C7380" i="4"/>
  <c r="C7379" i="4"/>
  <c r="C7378" i="4"/>
  <c r="C7377" i="4"/>
  <c r="C7376" i="4"/>
  <c r="C7375" i="4"/>
  <c r="C7374" i="4"/>
  <c r="C7373" i="4"/>
  <c r="C7372" i="4"/>
  <c r="C7371" i="4"/>
  <c r="C7370" i="4"/>
  <c r="C7369" i="4"/>
  <c r="C7368" i="4"/>
  <c r="C7367" i="4"/>
  <c r="C7366" i="4"/>
  <c r="C7365" i="4"/>
  <c r="C7364" i="4"/>
  <c r="C7363" i="4"/>
  <c r="C7362" i="4"/>
  <c r="C7361" i="4"/>
  <c r="C7360" i="4"/>
  <c r="C7359" i="4"/>
  <c r="C7358" i="4"/>
  <c r="C7357" i="4"/>
  <c r="C7356" i="4"/>
  <c r="C7355" i="4"/>
  <c r="C7354" i="4"/>
  <c r="C7353" i="4"/>
  <c r="C7352" i="4"/>
  <c r="C7351" i="4"/>
  <c r="C7350" i="4"/>
  <c r="C7349" i="4"/>
  <c r="C7348" i="4"/>
  <c r="C7347" i="4"/>
  <c r="C7346" i="4"/>
  <c r="C7345" i="4"/>
  <c r="C7344" i="4"/>
  <c r="C7343" i="4"/>
  <c r="C7342" i="4"/>
  <c r="C7341" i="4"/>
  <c r="C7340" i="4"/>
  <c r="C7339" i="4"/>
  <c r="C7338" i="4"/>
  <c r="C7337" i="4"/>
  <c r="C7336" i="4"/>
  <c r="C7335" i="4"/>
  <c r="C7334" i="4"/>
  <c r="C7333" i="4"/>
  <c r="C7332" i="4"/>
  <c r="C7331" i="4"/>
  <c r="C7330" i="4"/>
  <c r="C7329" i="4"/>
  <c r="C7328" i="4"/>
  <c r="C7327" i="4"/>
  <c r="C7326" i="4"/>
  <c r="C7325" i="4"/>
  <c r="C7324" i="4"/>
  <c r="C7323" i="4"/>
  <c r="C7322" i="4"/>
  <c r="C7321" i="4"/>
  <c r="C7320" i="4"/>
  <c r="C7319" i="4"/>
  <c r="C7318" i="4"/>
  <c r="C7317" i="4"/>
  <c r="C7316" i="4"/>
  <c r="C7315" i="4"/>
  <c r="C7314" i="4"/>
  <c r="C7313" i="4"/>
  <c r="C7312" i="4"/>
  <c r="C7311" i="4"/>
  <c r="C7310" i="4"/>
  <c r="C7309" i="4"/>
  <c r="C7308" i="4"/>
  <c r="C7307" i="4"/>
  <c r="C7306" i="4"/>
  <c r="C7305" i="4"/>
  <c r="C7304" i="4"/>
  <c r="C7303" i="4"/>
  <c r="C7302" i="4"/>
  <c r="C7301" i="4"/>
  <c r="C7300" i="4"/>
  <c r="C7299" i="4"/>
  <c r="C7298" i="4"/>
  <c r="C7297" i="4"/>
  <c r="C7296" i="4"/>
  <c r="C7295" i="4"/>
  <c r="C7294" i="4"/>
  <c r="C7293" i="4"/>
  <c r="C7292" i="4"/>
  <c r="C7291" i="4"/>
  <c r="C7290" i="4"/>
  <c r="C7289" i="4"/>
  <c r="C7288" i="4"/>
  <c r="C7287" i="4"/>
  <c r="C7286" i="4"/>
  <c r="C7285" i="4"/>
  <c r="C7284" i="4"/>
  <c r="C7283" i="4"/>
  <c r="C7282" i="4"/>
  <c r="C7281" i="4"/>
  <c r="C7280" i="4"/>
  <c r="C7279" i="4"/>
  <c r="C7278" i="4"/>
  <c r="C7277" i="4"/>
  <c r="C7276" i="4"/>
  <c r="C7275" i="4"/>
  <c r="C7274" i="4"/>
  <c r="C7273" i="4"/>
  <c r="C7272" i="4"/>
  <c r="C7271" i="4"/>
  <c r="C7270" i="4"/>
  <c r="C7269" i="4"/>
  <c r="C7268" i="4"/>
  <c r="C7267" i="4"/>
  <c r="C7266" i="4"/>
  <c r="C7265" i="4"/>
  <c r="C7264" i="4"/>
  <c r="C7263" i="4"/>
  <c r="C7262" i="4"/>
  <c r="C7261" i="4"/>
  <c r="C7260" i="4"/>
  <c r="C7259" i="4"/>
  <c r="C7258" i="4"/>
  <c r="C7257" i="4"/>
  <c r="C7256" i="4"/>
  <c r="C7255" i="4"/>
  <c r="C7254" i="4"/>
  <c r="C7253" i="4"/>
  <c r="C7252" i="4"/>
  <c r="C7251" i="4"/>
  <c r="C7250" i="4"/>
  <c r="C7249" i="4"/>
  <c r="C7248" i="4"/>
  <c r="C7247" i="4"/>
  <c r="C7246" i="4"/>
  <c r="C7245" i="4"/>
  <c r="C7244" i="4"/>
  <c r="C7243" i="4"/>
  <c r="C7242" i="4"/>
  <c r="C7241" i="4"/>
  <c r="C7240" i="4"/>
  <c r="C7239" i="4"/>
  <c r="C7238" i="4"/>
  <c r="C7237" i="4"/>
  <c r="C7236" i="4"/>
  <c r="C7235" i="4"/>
  <c r="C7234" i="4"/>
  <c r="C7233" i="4"/>
  <c r="C7232" i="4"/>
  <c r="C7231" i="4"/>
  <c r="C7230" i="4"/>
  <c r="C7229" i="4"/>
  <c r="C7228" i="4"/>
  <c r="C7227" i="4"/>
  <c r="C7226" i="4"/>
  <c r="C7225" i="4"/>
  <c r="C7224" i="4"/>
  <c r="C7223" i="4"/>
  <c r="C7222" i="4"/>
  <c r="C7221" i="4"/>
  <c r="C7220" i="4"/>
  <c r="C7219" i="4"/>
  <c r="C7218" i="4"/>
  <c r="C7217" i="4"/>
  <c r="C7216" i="4"/>
  <c r="C7215" i="4"/>
  <c r="C7214" i="4"/>
  <c r="C7213" i="4"/>
  <c r="C7212" i="4"/>
  <c r="C7211" i="4"/>
  <c r="C7210" i="4"/>
  <c r="C7209" i="4"/>
  <c r="C7208" i="4"/>
  <c r="C7207" i="4"/>
  <c r="C7206" i="4"/>
  <c r="C7205" i="4"/>
  <c r="C7204" i="4"/>
  <c r="C7203" i="4"/>
  <c r="C7202" i="4"/>
  <c r="C7201" i="4"/>
  <c r="C7200" i="4"/>
  <c r="C7199" i="4"/>
  <c r="C7198" i="4"/>
  <c r="C7197" i="4"/>
  <c r="C7196" i="4"/>
  <c r="C7195" i="4"/>
  <c r="C7194" i="4"/>
  <c r="C7193" i="4"/>
  <c r="C7192" i="4"/>
  <c r="C7191" i="4"/>
  <c r="C7190" i="4"/>
  <c r="C7189" i="4"/>
  <c r="C7188" i="4"/>
  <c r="C7187" i="4"/>
  <c r="C7186" i="4"/>
  <c r="C7185" i="4"/>
  <c r="C7184" i="4"/>
  <c r="C7183" i="4"/>
  <c r="C7182" i="4"/>
  <c r="C7181" i="4"/>
  <c r="C7180" i="4"/>
  <c r="C7179" i="4"/>
  <c r="C7178" i="4"/>
  <c r="C7177" i="4"/>
  <c r="C7176" i="4"/>
  <c r="C7175" i="4"/>
  <c r="C7174" i="4"/>
  <c r="C7173" i="4"/>
  <c r="C7172" i="4"/>
  <c r="C7171" i="4"/>
  <c r="C7170" i="4"/>
  <c r="C7169" i="4"/>
  <c r="C7168" i="4"/>
  <c r="C7167" i="4"/>
  <c r="C7166" i="4"/>
  <c r="C7165" i="4"/>
  <c r="C7164" i="4"/>
  <c r="C7163" i="4"/>
  <c r="C7162" i="4"/>
  <c r="C7161" i="4"/>
  <c r="C7160" i="4"/>
  <c r="C7159" i="4"/>
  <c r="C7158" i="4"/>
  <c r="C7157" i="4"/>
  <c r="C7156" i="4"/>
  <c r="C7155" i="4"/>
  <c r="C7154" i="4"/>
  <c r="C7153" i="4"/>
  <c r="C7152" i="4"/>
  <c r="C7151" i="4"/>
  <c r="C7150" i="4"/>
  <c r="C7149" i="4"/>
  <c r="C7148" i="4"/>
  <c r="C7147" i="4"/>
  <c r="C7146" i="4"/>
  <c r="C7145" i="4"/>
  <c r="C7144" i="4"/>
  <c r="C7143" i="4"/>
  <c r="C7142" i="4"/>
  <c r="C7141" i="4"/>
  <c r="C7140" i="4"/>
  <c r="C7139" i="4"/>
  <c r="C7138" i="4"/>
  <c r="C7137" i="4"/>
  <c r="C7136" i="4"/>
  <c r="C7135" i="4"/>
  <c r="C7134" i="4"/>
  <c r="C7133" i="4"/>
  <c r="C7132" i="4"/>
  <c r="C7131" i="4"/>
  <c r="C7130" i="4"/>
  <c r="C7129" i="4"/>
  <c r="C7128" i="4"/>
  <c r="C7127" i="4"/>
  <c r="C7126" i="4"/>
  <c r="C7125" i="4"/>
  <c r="C7124" i="4"/>
  <c r="C7123" i="4"/>
  <c r="C7122" i="4"/>
  <c r="C7121" i="4"/>
  <c r="C7120" i="4"/>
  <c r="C7119" i="4"/>
  <c r="C7118" i="4"/>
  <c r="C7117" i="4"/>
  <c r="C7116" i="4"/>
  <c r="C7115" i="4"/>
  <c r="C7114" i="4"/>
  <c r="C7113" i="4"/>
  <c r="C7112" i="4"/>
  <c r="C7111" i="4"/>
  <c r="C7110" i="4"/>
  <c r="C7109" i="4"/>
  <c r="C7108" i="4"/>
  <c r="C7107" i="4"/>
  <c r="C7106" i="4"/>
  <c r="C7105" i="4"/>
  <c r="C7104" i="4"/>
  <c r="C7103" i="4"/>
  <c r="C7102" i="4"/>
  <c r="C7101" i="4"/>
  <c r="C7100" i="4"/>
  <c r="C7099" i="4"/>
  <c r="C7098" i="4"/>
  <c r="C7097" i="4"/>
  <c r="C7096" i="4"/>
  <c r="C7095" i="4"/>
  <c r="C7094" i="4"/>
  <c r="C7093" i="4"/>
  <c r="C7092" i="4"/>
  <c r="C7091" i="4"/>
  <c r="C7090" i="4"/>
  <c r="C7089" i="4"/>
  <c r="C7088" i="4"/>
  <c r="C7087" i="4"/>
  <c r="C7086" i="4"/>
  <c r="C7085" i="4"/>
  <c r="C7084" i="4"/>
  <c r="C7083" i="4"/>
  <c r="C7082" i="4"/>
  <c r="C7081" i="4"/>
  <c r="C7080" i="4"/>
  <c r="C7079" i="4"/>
  <c r="C7078" i="4"/>
  <c r="C7077" i="4"/>
  <c r="C7076" i="4"/>
  <c r="C7075" i="4"/>
  <c r="C7074" i="4"/>
  <c r="C7073" i="4"/>
  <c r="C7072" i="4"/>
  <c r="C7071" i="4"/>
  <c r="C7070" i="4"/>
  <c r="C7069" i="4"/>
  <c r="C7068" i="4"/>
  <c r="C7067" i="4"/>
  <c r="C7066" i="4"/>
  <c r="C7065" i="4"/>
  <c r="C7064" i="4"/>
  <c r="C7063" i="4"/>
  <c r="C7062" i="4"/>
  <c r="C7061" i="4"/>
  <c r="C7060" i="4"/>
  <c r="C7059" i="4"/>
  <c r="C7058" i="4"/>
  <c r="C7057" i="4"/>
  <c r="C7056" i="4"/>
  <c r="C7055" i="4"/>
  <c r="C7054" i="4"/>
  <c r="C7053" i="4"/>
  <c r="C7052" i="4"/>
  <c r="C7051" i="4"/>
  <c r="C7050" i="4"/>
  <c r="C7049" i="4"/>
  <c r="C7048" i="4"/>
  <c r="C7047" i="4"/>
  <c r="C7046" i="4"/>
  <c r="C7045" i="4"/>
  <c r="C7044" i="4"/>
  <c r="C7043" i="4"/>
  <c r="C7042" i="4"/>
  <c r="C7041" i="4"/>
  <c r="C7040" i="4"/>
  <c r="C7039" i="4"/>
  <c r="C7038" i="4"/>
  <c r="C7037" i="4"/>
  <c r="C7036" i="4"/>
  <c r="C7035" i="4"/>
  <c r="C7034" i="4"/>
  <c r="C7033" i="4"/>
  <c r="C7032" i="4"/>
  <c r="C7031" i="4"/>
  <c r="C7030" i="4"/>
  <c r="C7029" i="4"/>
  <c r="C7028" i="4"/>
  <c r="C7027" i="4"/>
  <c r="C7026" i="4"/>
  <c r="C7025" i="4"/>
  <c r="C7024" i="4"/>
  <c r="C7023" i="4"/>
  <c r="C7022" i="4"/>
  <c r="C7021" i="4"/>
  <c r="C7020" i="4"/>
  <c r="C7019" i="4"/>
  <c r="C7018" i="4"/>
  <c r="C7017" i="4"/>
  <c r="C7016" i="4"/>
  <c r="C7015" i="4"/>
  <c r="C7014" i="4"/>
  <c r="C7013" i="4"/>
  <c r="C7012" i="4"/>
  <c r="C7011" i="4"/>
  <c r="C7010" i="4"/>
  <c r="C7009" i="4"/>
  <c r="C7008" i="4"/>
  <c r="C7007" i="4"/>
  <c r="C7006" i="4"/>
  <c r="C7005" i="4"/>
  <c r="C7004" i="4"/>
  <c r="C7003" i="4"/>
  <c r="C7002" i="4"/>
  <c r="C7001" i="4"/>
  <c r="C7000" i="4"/>
  <c r="C6999" i="4"/>
  <c r="C6998" i="4"/>
  <c r="C6997" i="4"/>
  <c r="C6996" i="4"/>
  <c r="C6995" i="4"/>
  <c r="C6994" i="4"/>
  <c r="C6993" i="4"/>
  <c r="C6992" i="4"/>
  <c r="C6991" i="4"/>
  <c r="C6990" i="4"/>
  <c r="C6989" i="4"/>
  <c r="C6988" i="4"/>
  <c r="C6987" i="4"/>
  <c r="C6986" i="4"/>
  <c r="C6985" i="4"/>
  <c r="C6984" i="4"/>
  <c r="C6983" i="4"/>
  <c r="C6982" i="4"/>
  <c r="C6981" i="4"/>
  <c r="C6980" i="4"/>
  <c r="C6979" i="4"/>
  <c r="C6978" i="4"/>
  <c r="C6977" i="4"/>
  <c r="C6976" i="4"/>
  <c r="C6975" i="4"/>
  <c r="C6974" i="4"/>
  <c r="C6973" i="4"/>
  <c r="C6972" i="4"/>
  <c r="C6971" i="4"/>
  <c r="C6970" i="4"/>
  <c r="C6969" i="4"/>
  <c r="C6968" i="4"/>
  <c r="C6967" i="4"/>
  <c r="C6966" i="4"/>
  <c r="C6965" i="4"/>
  <c r="C6964" i="4"/>
  <c r="C6963" i="4"/>
  <c r="C6962" i="4"/>
  <c r="C6961" i="4"/>
  <c r="C6960" i="4"/>
  <c r="C6959" i="4"/>
  <c r="C6958" i="4"/>
  <c r="C6957" i="4"/>
  <c r="C6956" i="4"/>
  <c r="C6955" i="4"/>
  <c r="C6954" i="4"/>
  <c r="C6953" i="4"/>
  <c r="C6952" i="4"/>
  <c r="C6951" i="4"/>
  <c r="C6950" i="4"/>
  <c r="C6949" i="4"/>
  <c r="C6948" i="4"/>
  <c r="C6947" i="4"/>
  <c r="C6946" i="4"/>
  <c r="C6945" i="4"/>
  <c r="C6944" i="4"/>
  <c r="C6943" i="4"/>
  <c r="C6942" i="4"/>
  <c r="C6941" i="4"/>
  <c r="C6940" i="4"/>
  <c r="C6939" i="4"/>
  <c r="C6938" i="4"/>
  <c r="C6937" i="4"/>
  <c r="C6936" i="4"/>
  <c r="C6935" i="4"/>
  <c r="C6934" i="4"/>
  <c r="C6933" i="4"/>
  <c r="C6932" i="4"/>
  <c r="C6931" i="4"/>
  <c r="C6930" i="4"/>
  <c r="C6929" i="4"/>
  <c r="C6928" i="4"/>
  <c r="C6927" i="4"/>
  <c r="C6926" i="4"/>
  <c r="C6925" i="4"/>
  <c r="C6924" i="4"/>
  <c r="C6923" i="4"/>
  <c r="C6922" i="4"/>
  <c r="C6921" i="4"/>
  <c r="C6920" i="4"/>
  <c r="C6919" i="4"/>
  <c r="C6918" i="4"/>
  <c r="C6917" i="4"/>
  <c r="C6916" i="4"/>
  <c r="C6915" i="4"/>
  <c r="C6914" i="4"/>
  <c r="C6913" i="4"/>
  <c r="C6912" i="4"/>
  <c r="C6911" i="4"/>
  <c r="C6910" i="4"/>
  <c r="C6909" i="4"/>
  <c r="C6908" i="4"/>
  <c r="C6907" i="4"/>
  <c r="C6906" i="4"/>
  <c r="C6905" i="4"/>
  <c r="C6904" i="4"/>
  <c r="C6903" i="4"/>
  <c r="C6902" i="4"/>
  <c r="C6901" i="4"/>
  <c r="C6900" i="4"/>
  <c r="C6899" i="4"/>
  <c r="C6898" i="4"/>
  <c r="C6897" i="4"/>
  <c r="C6896" i="4"/>
  <c r="C6895" i="4"/>
  <c r="C6894" i="4"/>
  <c r="C6893" i="4"/>
  <c r="C6892" i="4"/>
  <c r="C6891" i="4"/>
  <c r="C6890" i="4"/>
  <c r="C6889" i="4"/>
  <c r="C6888" i="4"/>
  <c r="C6887" i="4"/>
  <c r="C6886" i="4"/>
  <c r="C6885" i="4"/>
  <c r="C6884" i="4"/>
  <c r="C6883" i="4"/>
  <c r="C6882" i="4"/>
  <c r="C6881" i="4"/>
  <c r="C6880" i="4"/>
  <c r="C6879" i="4"/>
  <c r="C6878" i="4"/>
  <c r="C6877" i="4"/>
  <c r="C6876" i="4"/>
  <c r="C6875" i="4"/>
  <c r="C6874" i="4"/>
  <c r="C6873" i="4"/>
  <c r="C6872" i="4"/>
  <c r="C6871" i="4"/>
  <c r="C6870" i="4"/>
  <c r="C6869" i="4"/>
  <c r="C6868" i="4"/>
  <c r="C6867" i="4"/>
  <c r="C6866" i="4"/>
  <c r="C6865" i="4"/>
  <c r="C6864" i="4"/>
  <c r="C6863" i="4"/>
  <c r="C6862" i="4"/>
  <c r="C6861" i="4"/>
  <c r="C6860" i="4"/>
  <c r="C6859" i="4"/>
  <c r="C6858" i="4"/>
  <c r="C6857" i="4"/>
  <c r="C6856" i="4"/>
  <c r="C6855" i="4"/>
  <c r="C6854" i="4"/>
  <c r="C6853" i="4"/>
  <c r="C6852" i="4"/>
  <c r="C6851" i="4"/>
  <c r="C6850" i="4"/>
  <c r="C6849" i="4"/>
  <c r="C6848" i="4"/>
  <c r="C6847" i="4"/>
  <c r="C6846" i="4"/>
  <c r="C6845" i="4"/>
  <c r="C6844" i="4"/>
  <c r="C6843" i="4"/>
  <c r="C6842" i="4"/>
  <c r="C6841" i="4"/>
  <c r="C6840" i="4"/>
  <c r="C6839" i="4"/>
  <c r="C6838" i="4"/>
  <c r="C6837" i="4"/>
  <c r="C6836" i="4"/>
  <c r="C6835" i="4"/>
  <c r="C6834" i="4"/>
  <c r="C6833" i="4"/>
  <c r="C6832" i="4"/>
  <c r="C6831" i="4"/>
  <c r="C6830" i="4"/>
  <c r="C6829" i="4"/>
  <c r="C6828" i="4"/>
  <c r="C6827" i="4"/>
  <c r="C6826" i="4"/>
  <c r="C6825" i="4"/>
  <c r="C6824" i="4"/>
  <c r="C6823" i="4"/>
  <c r="C6822" i="4"/>
  <c r="C6821" i="4"/>
  <c r="C6820" i="4"/>
  <c r="C6819" i="4"/>
  <c r="C6818" i="4"/>
  <c r="C6817" i="4"/>
  <c r="C6816" i="4"/>
  <c r="C6815" i="4"/>
  <c r="C6814" i="4"/>
  <c r="C6813" i="4"/>
  <c r="C6812" i="4"/>
  <c r="C6811" i="4"/>
  <c r="C6810" i="4"/>
  <c r="C6809" i="4"/>
  <c r="C6808" i="4"/>
  <c r="C6807" i="4"/>
  <c r="C6806" i="4"/>
  <c r="C6805" i="4"/>
  <c r="C6804" i="4"/>
  <c r="C6803" i="4"/>
  <c r="C6802" i="4"/>
  <c r="C6801" i="4"/>
  <c r="C6800" i="4"/>
  <c r="C6799" i="4"/>
  <c r="C6798" i="4"/>
  <c r="C6797" i="4"/>
  <c r="C6796" i="4"/>
  <c r="C6795" i="4"/>
  <c r="C6794" i="4"/>
  <c r="C6793" i="4"/>
  <c r="C6792" i="4"/>
  <c r="C6791" i="4"/>
  <c r="C6790" i="4"/>
  <c r="C6789" i="4"/>
  <c r="C6788" i="4"/>
  <c r="C6787" i="4"/>
  <c r="C6786" i="4"/>
  <c r="C6785" i="4"/>
  <c r="C6784" i="4"/>
  <c r="C6783" i="4"/>
  <c r="C6782" i="4"/>
  <c r="C6781" i="4"/>
  <c r="C6780" i="4"/>
  <c r="C6779" i="4"/>
  <c r="C6778" i="4"/>
  <c r="C6777" i="4"/>
  <c r="C6776" i="4"/>
  <c r="C6775" i="4"/>
  <c r="C6774" i="4"/>
  <c r="C6773" i="4"/>
  <c r="C6772" i="4"/>
  <c r="C6771" i="4"/>
  <c r="C6770" i="4"/>
  <c r="C6769" i="4"/>
  <c r="C6768" i="4"/>
  <c r="C6767" i="4"/>
  <c r="C6766" i="4"/>
  <c r="C6765" i="4"/>
  <c r="C6764" i="4"/>
  <c r="C6763" i="4"/>
  <c r="C6762" i="4"/>
  <c r="C6761" i="4"/>
  <c r="C6760" i="4"/>
  <c r="C6759" i="4"/>
  <c r="C6758" i="4"/>
  <c r="C6757" i="4"/>
  <c r="C6756" i="4"/>
  <c r="C6755" i="4"/>
  <c r="C6754" i="4"/>
  <c r="C6753" i="4"/>
  <c r="C6752" i="4"/>
  <c r="C6751" i="4"/>
  <c r="C6750" i="4"/>
  <c r="C6749" i="4"/>
  <c r="C6748" i="4"/>
  <c r="C6747" i="4"/>
  <c r="C6746" i="4"/>
  <c r="C6745" i="4"/>
  <c r="C6744" i="4"/>
  <c r="C6743" i="4"/>
  <c r="C6742" i="4"/>
  <c r="C6741" i="4"/>
  <c r="C6740" i="4"/>
  <c r="C6739" i="4"/>
  <c r="C6738" i="4"/>
  <c r="C6737" i="4"/>
  <c r="C6736" i="4"/>
  <c r="C6735" i="4"/>
  <c r="C6734" i="4"/>
  <c r="C6733" i="4"/>
  <c r="C6732" i="4"/>
  <c r="C6731" i="4"/>
  <c r="C6730" i="4"/>
  <c r="C6729" i="4"/>
  <c r="C6728" i="4"/>
  <c r="C6727" i="4"/>
  <c r="C6726" i="4"/>
  <c r="C6725" i="4"/>
  <c r="C6724" i="4"/>
  <c r="C6723" i="4"/>
  <c r="C6722" i="4"/>
  <c r="C6721" i="4"/>
  <c r="C6720" i="4"/>
  <c r="C6719" i="4"/>
  <c r="C6718" i="4"/>
  <c r="C6717" i="4"/>
  <c r="C6716" i="4"/>
  <c r="C6715" i="4"/>
  <c r="C6714" i="4"/>
  <c r="C6713" i="4"/>
  <c r="C6712" i="4"/>
  <c r="C6711" i="4"/>
  <c r="C6710" i="4"/>
  <c r="C6709" i="4"/>
  <c r="C6708" i="4"/>
  <c r="C6707" i="4"/>
  <c r="C6706" i="4"/>
  <c r="C6705" i="4"/>
  <c r="C6704" i="4"/>
  <c r="C6703" i="4"/>
  <c r="C6702" i="4"/>
  <c r="C6701" i="4"/>
  <c r="C6700" i="4"/>
  <c r="C6699" i="4"/>
  <c r="C6698" i="4"/>
  <c r="C6697" i="4"/>
  <c r="C6696" i="4"/>
  <c r="C6695" i="4"/>
  <c r="C6694" i="4"/>
  <c r="C6693" i="4"/>
  <c r="C6692" i="4"/>
  <c r="C6691" i="4"/>
  <c r="C6690" i="4"/>
  <c r="C6689" i="4"/>
  <c r="C6688" i="4"/>
  <c r="C6687" i="4"/>
  <c r="C6686" i="4"/>
  <c r="C6685" i="4"/>
  <c r="C6684" i="4"/>
  <c r="C6683" i="4"/>
  <c r="C6682" i="4"/>
  <c r="C6681" i="4"/>
  <c r="C6680" i="4"/>
  <c r="C6679" i="4"/>
  <c r="C6678" i="4"/>
  <c r="C6677" i="4"/>
  <c r="C6676" i="4"/>
  <c r="C6675" i="4"/>
  <c r="C6674" i="4"/>
  <c r="C6673" i="4"/>
  <c r="C6672" i="4"/>
  <c r="C6671" i="4"/>
  <c r="C6670" i="4"/>
  <c r="C6669" i="4"/>
  <c r="C6668" i="4"/>
  <c r="C6667" i="4"/>
  <c r="C6666" i="4"/>
  <c r="C6665" i="4"/>
  <c r="C6664" i="4"/>
  <c r="C6663" i="4"/>
  <c r="C6662" i="4"/>
  <c r="C6661" i="4"/>
  <c r="C6660" i="4"/>
  <c r="C6659" i="4"/>
  <c r="C6658" i="4"/>
  <c r="C6657" i="4"/>
  <c r="C6656" i="4"/>
  <c r="C6655" i="4"/>
  <c r="C6654" i="4"/>
  <c r="C6653" i="4"/>
  <c r="C6652" i="4"/>
  <c r="C6651" i="4"/>
  <c r="C6650" i="4"/>
  <c r="C6649" i="4"/>
  <c r="C6648" i="4"/>
  <c r="C6647" i="4"/>
  <c r="C6646" i="4"/>
  <c r="C6645" i="4"/>
  <c r="C6644" i="4"/>
  <c r="C6643" i="4"/>
  <c r="C6642" i="4"/>
  <c r="C6641" i="4"/>
  <c r="C6640" i="4"/>
  <c r="C6639" i="4"/>
  <c r="C6638" i="4"/>
  <c r="C6637" i="4"/>
  <c r="C6636" i="4"/>
  <c r="C6635" i="4"/>
  <c r="C6634" i="4"/>
  <c r="C6633" i="4"/>
  <c r="C6632" i="4"/>
  <c r="C6631" i="4"/>
  <c r="C6630" i="4"/>
  <c r="C6629" i="4"/>
  <c r="C6628" i="4"/>
  <c r="C6627" i="4"/>
  <c r="C6626" i="4"/>
  <c r="C6625" i="4"/>
  <c r="C6624" i="4"/>
  <c r="C6623" i="4"/>
  <c r="C6622" i="4"/>
  <c r="C6621" i="4"/>
  <c r="C6620" i="4"/>
  <c r="C6619" i="4"/>
  <c r="C6618" i="4"/>
  <c r="C6617" i="4"/>
  <c r="C6616" i="4"/>
  <c r="C6615" i="4"/>
  <c r="C6614" i="4"/>
  <c r="C6613" i="4"/>
  <c r="C6612" i="4"/>
  <c r="C6611" i="4"/>
  <c r="C6610" i="4"/>
  <c r="C6609" i="4"/>
  <c r="C6608" i="4"/>
  <c r="C6607" i="4"/>
  <c r="C6606" i="4"/>
  <c r="C6605" i="4"/>
  <c r="C6604" i="4"/>
  <c r="C6603" i="4"/>
  <c r="C6602" i="4"/>
  <c r="C6601" i="4"/>
  <c r="C6600" i="4"/>
  <c r="C6599" i="4"/>
  <c r="C6598" i="4"/>
  <c r="C6597" i="4"/>
  <c r="C6596" i="4"/>
  <c r="C6595" i="4"/>
  <c r="C6594" i="4"/>
  <c r="C6593" i="4"/>
  <c r="C6592" i="4"/>
  <c r="C6591" i="4"/>
  <c r="C6590" i="4"/>
  <c r="C6589" i="4"/>
  <c r="C6588" i="4"/>
  <c r="C6587" i="4"/>
  <c r="C6586" i="4"/>
  <c r="C6585" i="4"/>
  <c r="C6584" i="4"/>
  <c r="C6583" i="4"/>
  <c r="C6582" i="4"/>
  <c r="C6581" i="4"/>
  <c r="C6580" i="4"/>
  <c r="C6579" i="4"/>
  <c r="C6578" i="4"/>
  <c r="C6577" i="4"/>
  <c r="C6576" i="4"/>
  <c r="C6575" i="4"/>
  <c r="C6574" i="4"/>
  <c r="C6573" i="4"/>
  <c r="C6572" i="4"/>
  <c r="C6571" i="4"/>
  <c r="C6570" i="4"/>
  <c r="C6569" i="4"/>
  <c r="C6568" i="4"/>
  <c r="C6567" i="4"/>
  <c r="C6566" i="4"/>
  <c r="C6565" i="4"/>
  <c r="C6564" i="4"/>
  <c r="C6563" i="4"/>
  <c r="C6562" i="4"/>
  <c r="C6561" i="4"/>
  <c r="C6560" i="4"/>
  <c r="C6559" i="4"/>
  <c r="C6558" i="4"/>
  <c r="C6557" i="4"/>
  <c r="C6556" i="4"/>
  <c r="C6555" i="4"/>
  <c r="C6554" i="4"/>
  <c r="C6553" i="4"/>
  <c r="C6552" i="4"/>
  <c r="C6551" i="4"/>
  <c r="C6550" i="4"/>
  <c r="C6549" i="4"/>
  <c r="C6548" i="4"/>
  <c r="C6547" i="4"/>
  <c r="C6546" i="4"/>
  <c r="C6545" i="4"/>
  <c r="C6544" i="4"/>
  <c r="C6543" i="4"/>
  <c r="C6542" i="4"/>
  <c r="C6541" i="4"/>
  <c r="C6540" i="4"/>
  <c r="C6539" i="4"/>
  <c r="C6538" i="4"/>
  <c r="C6537" i="4"/>
  <c r="C6536" i="4"/>
  <c r="C6535" i="4"/>
  <c r="C6534" i="4"/>
  <c r="C6533" i="4"/>
  <c r="C6532" i="4"/>
  <c r="C6531" i="4"/>
  <c r="C6530" i="4"/>
  <c r="C6529" i="4"/>
  <c r="C6528" i="4"/>
  <c r="C6527" i="4"/>
  <c r="C6526" i="4"/>
  <c r="C6525" i="4"/>
  <c r="C6524" i="4"/>
  <c r="C6523" i="4"/>
  <c r="C6522" i="4"/>
  <c r="C6521" i="4"/>
  <c r="C6520" i="4"/>
  <c r="C6519" i="4"/>
  <c r="C6518" i="4"/>
  <c r="C6517" i="4"/>
  <c r="C6516" i="4"/>
  <c r="C6515" i="4"/>
  <c r="C6514" i="4"/>
  <c r="C6513" i="4"/>
  <c r="C6512" i="4"/>
  <c r="C6511" i="4"/>
  <c r="C6510" i="4"/>
  <c r="C6509" i="4"/>
  <c r="C6508" i="4"/>
  <c r="C6507" i="4"/>
  <c r="C6506" i="4"/>
  <c r="C6505" i="4"/>
  <c r="C6504" i="4"/>
  <c r="C6503" i="4"/>
  <c r="C6502" i="4"/>
  <c r="C6501" i="4"/>
  <c r="C6500" i="4"/>
  <c r="C6499" i="4"/>
  <c r="C6498" i="4"/>
  <c r="C6497" i="4"/>
  <c r="C6496" i="4"/>
  <c r="C6495" i="4"/>
  <c r="C6494" i="4"/>
  <c r="C6493" i="4"/>
  <c r="C6492" i="4"/>
  <c r="C6491" i="4"/>
  <c r="C6490" i="4"/>
  <c r="C6489" i="4"/>
  <c r="C6488" i="4"/>
  <c r="C6487" i="4"/>
  <c r="C6486" i="4"/>
  <c r="C6485" i="4"/>
  <c r="C6484" i="4"/>
  <c r="C6483" i="4"/>
  <c r="C6482" i="4"/>
  <c r="C6481" i="4"/>
  <c r="C6480" i="4"/>
  <c r="C6479" i="4"/>
  <c r="C6478" i="4"/>
  <c r="C6477" i="4"/>
  <c r="C6476" i="4"/>
  <c r="C6475" i="4"/>
  <c r="C6474" i="4"/>
  <c r="C6473" i="4"/>
  <c r="C6472" i="4"/>
  <c r="C6471" i="4"/>
  <c r="C6470" i="4"/>
  <c r="C6469" i="4"/>
  <c r="C6468" i="4"/>
  <c r="C6467" i="4"/>
  <c r="C6466" i="4"/>
  <c r="C6465" i="4"/>
  <c r="C6464" i="4"/>
  <c r="C6463" i="4"/>
  <c r="C6462" i="4"/>
  <c r="C6461" i="4"/>
  <c r="C6460" i="4"/>
  <c r="C6459" i="4"/>
  <c r="C6458" i="4"/>
  <c r="C6457" i="4"/>
  <c r="C6456" i="4"/>
  <c r="C6455" i="4"/>
  <c r="C6454" i="4"/>
  <c r="C6453" i="4"/>
  <c r="C6452" i="4"/>
  <c r="C6451" i="4"/>
  <c r="C6450" i="4"/>
  <c r="C6449" i="4"/>
  <c r="C6448" i="4"/>
  <c r="C6447" i="4"/>
  <c r="C6446" i="4"/>
  <c r="C6445" i="4"/>
  <c r="C6444" i="4"/>
  <c r="C6443" i="4"/>
  <c r="C6442" i="4"/>
  <c r="C6441" i="4"/>
  <c r="C6440" i="4"/>
  <c r="C6439" i="4"/>
  <c r="C6438" i="4"/>
  <c r="C6437" i="4"/>
  <c r="C6436" i="4"/>
  <c r="C6435" i="4"/>
  <c r="C6434" i="4"/>
  <c r="C6433" i="4"/>
  <c r="C6432" i="4"/>
  <c r="C6431" i="4"/>
  <c r="C6430" i="4"/>
  <c r="C6429" i="4"/>
  <c r="C6428" i="4"/>
  <c r="C6427" i="4"/>
  <c r="C6426" i="4"/>
  <c r="C6425" i="4"/>
  <c r="C6424" i="4"/>
  <c r="C6423" i="4"/>
  <c r="C6422" i="4"/>
  <c r="C6421" i="4"/>
  <c r="C6420" i="4"/>
  <c r="C6419" i="4"/>
  <c r="C6418" i="4"/>
  <c r="C6417" i="4"/>
  <c r="C6416" i="4"/>
  <c r="C6415" i="4"/>
  <c r="C6414" i="4"/>
  <c r="C6413" i="4"/>
  <c r="C6412" i="4"/>
  <c r="C6411" i="4"/>
  <c r="C6410" i="4"/>
  <c r="C6409" i="4"/>
  <c r="C6408" i="4"/>
  <c r="C6407" i="4"/>
  <c r="C6406" i="4"/>
  <c r="C6405" i="4"/>
  <c r="C6404" i="4"/>
  <c r="C6403" i="4"/>
  <c r="C6402" i="4"/>
  <c r="C6401" i="4"/>
  <c r="C6400" i="4"/>
  <c r="C6399" i="4"/>
  <c r="C6398" i="4"/>
  <c r="C6397" i="4"/>
  <c r="C6396" i="4"/>
  <c r="C6395" i="4"/>
  <c r="C6394" i="4"/>
  <c r="C6393" i="4"/>
  <c r="C6392" i="4"/>
  <c r="C6391" i="4"/>
  <c r="C6390" i="4"/>
  <c r="C6389" i="4"/>
  <c r="C6388" i="4"/>
  <c r="C6387" i="4"/>
  <c r="C6386" i="4"/>
  <c r="C6385" i="4"/>
  <c r="C6384" i="4"/>
  <c r="C6383" i="4"/>
  <c r="C6382" i="4"/>
  <c r="C6381" i="4"/>
  <c r="C6380" i="4"/>
  <c r="C6379" i="4"/>
  <c r="C6378" i="4"/>
  <c r="C6377" i="4"/>
  <c r="C6376" i="4"/>
  <c r="C6375" i="4"/>
  <c r="C6374" i="4"/>
  <c r="C6373" i="4"/>
  <c r="C6372" i="4"/>
  <c r="C6371" i="4"/>
  <c r="C6370" i="4"/>
  <c r="C6369" i="4"/>
  <c r="C6368" i="4"/>
  <c r="C6367" i="4"/>
  <c r="C6366" i="4"/>
  <c r="C6365" i="4"/>
  <c r="C6364" i="4"/>
  <c r="C6363" i="4"/>
  <c r="C6362" i="4"/>
  <c r="C6361" i="4"/>
  <c r="C6360" i="4"/>
  <c r="C6359" i="4"/>
  <c r="C6358" i="4"/>
  <c r="C6357" i="4"/>
  <c r="C6356" i="4"/>
  <c r="C6355" i="4"/>
  <c r="C6354" i="4"/>
  <c r="C6353" i="4"/>
  <c r="C6352" i="4"/>
  <c r="C6351" i="4"/>
  <c r="C6350" i="4"/>
  <c r="C6349" i="4"/>
  <c r="C6348" i="4"/>
  <c r="C6347" i="4"/>
  <c r="C6346" i="4"/>
  <c r="C6345" i="4"/>
  <c r="C6344" i="4"/>
  <c r="C6343" i="4"/>
  <c r="C6342" i="4"/>
  <c r="C6341" i="4"/>
  <c r="C6340" i="4"/>
  <c r="C6339" i="4"/>
  <c r="C6338" i="4"/>
  <c r="C6337" i="4"/>
  <c r="C6336" i="4"/>
  <c r="C6335" i="4"/>
  <c r="C6334" i="4"/>
  <c r="C6333" i="4"/>
  <c r="C6332" i="4"/>
  <c r="C6331" i="4"/>
  <c r="C6330" i="4"/>
  <c r="C6329" i="4"/>
  <c r="C6328" i="4"/>
  <c r="C6327" i="4"/>
  <c r="C6326" i="4"/>
  <c r="C6325" i="4"/>
  <c r="C6324" i="4"/>
  <c r="C6323" i="4"/>
  <c r="C6322" i="4"/>
  <c r="C6321" i="4"/>
  <c r="C6320" i="4"/>
  <c r="C6319" i="4"/>
  <c r="C6318" i="4"/>
  <c r="C6317" i="4"/>
  <c r="C6316" i="4"/>
  <c r="C6315" i="4"/>
  <c r="C6314" i="4"/>
  <c r="C6313" i="4"/>
  <c r="C6312" i="4"/>
  <c r="C6311" i="4"/>
  <c r="C6310" i="4"/>
  <c r="C6309" i="4"/>
  <c r="C6308" i="4"/>
  <c r="C6307" i="4"/>
  <c r="C6306" i="4"/>
  <c r="C6305" i="4"/>
  <c r="C6304" i="4"/>
  <c r="C6303" i="4"/>
  <c r="C6302" i="4"/>
  <c r="C6301" i="4"/>
  <c r="C6300" i="4"/>
  <c r="C6299" i="4"/>
  <c r="C6298" i="4"/>
  <c r="C6297" i="4"/>
  <c r="C6296" i="4"/>
  <c r="C6295" i="4"/>
  <c r="C6294" i="4"/>
  <c r="C6293" i="4"/>
  <c r="C6292" i="4"/>
  <c r="C6291" i="4"/>
  <c r="C6290" i="4"/>
  <c r="C6289" i="4"/>
  <c r="C6288" i="4"/>
  <c r="C6287" i="4"/>
  <c r="C6286" i="4"/>
  <c r="C6285" i="4"/>
  <c r="C6284" i="4"/>
  <c r="C6283" i="4"/>
  <c r="C6282" i="4"/>
  <c r="C6281" i="4"/>
  <c r="C6280" i="4"/>
  <c r="C6279" i="4"/>
  <c r="C6278" i="4"/>
  <c r="C6277" i="4"/>
  <c r="C6276" i="4"/>
  <c r="C6275" i="4"/>
  <c r="C6274" i="4"/>
  <c r="C6273" i="4"/>
  <c r="C6272" i="4"/>
  <c r="C6271" i="4"/>
  <c r="C6270" i="4"/>
  <c r="C6269" i="4"/>
  <c r="C6268" i="4"/>
  <c r="C6267" i="4"/>
  <c r="C6266" i="4"/>
  <c r="C6265" i="4"/>
  <c r="C6264" i="4"/>
  <c r="C6263" i="4"/>
  <c r="C6262" i="4"/>
  <c r="C6261" i="4"/>
  <c r="C6260" i="4"/>
  <c r="C6259" i="4"/>
  <c r="C6258" i="4"/>
  <c r="C6257" i="4"/>
  <c r="C6256" i="4"/>
  <c r="C6255" i="4"/>
  <c r="C6254" i="4"/>
  <c r="C6253" i="4"/>
  <c r="C6252" i="4"/>
  <c r="C6251" i="4"/>
  <c r="C6250" i="4"/>
  <c r="C6249" i="4"/>
  <c r="C6248" i="4"/>
  <c r="C6247" i="4"/>
  <c r="C6246" i="4"/>
  <c r="C6245" i="4"/>
  <c r="C6244" i="4"/>
  <c r="C6243" i="4"/>
  <c r="C6242" i="4"/>
  <c r="C6241" i="4"/>
  <c r="C6240" i="4"/>
  <c r="C6239" i="4"/>
  <c r="C6238" i="4"/>
  <c r="C6237" i="4"/>
  <c r="C6236" i="4"/>
  <c r="C6235" i="4"/>
  <c r="C6234" i="4"/>
  <c r="C6233" i="4"/>
  <c r="C6232" i="4"/>
  <c r="C6231" i="4"/>
  <c r="C6230" i="4"/>
  <c r="C6229" i="4"/>
  <c r="C6228" i="4"/>
  <c r="C6227" i="4"/>
  <c r="C6226" i="4"/>
  <c r="C6225" i="4"/>
  <c r="C6224" i="4"/>
  <c r="C6223" i="4"/>
  <c r="C6222" i="4"/>
  <c r="C6221" i="4"/>
  <c r="C6220" i="4"/>
  <c r="C6219" i="4"/>
  <c r="C6218" i="4"/>
  <c r="C6217" i="4"/>
  <c r="C6216" i="4"/>
  <c r="C6215" i="4"/>
  <c r="C6214" i="4"/>
  <c r="C6213" i="4"/>
  <c r="C6212" i="4"/>
  <c r="C6211" i="4"/>
  <c r="C6210" i="4"/>
  <c r="C6209" i="4"/>
  <c r="C6208" i="4"/>
  <c r="C6207" i="4"/>
  <c r="C6206" i="4"/>
  <c r="C6205" i="4"/>
  <c r="C6204" i="4"/>
  <c r="C6203" i="4"/>
  <c r="C6202" i="4"/>
  <c r="C6201" i="4"/>
  <c r="C6200" i="4"/>
  <c r="C6199" i="4"/>
  <c r="C6198" i="4"/>
  <c r="C6197" i="4"/>
  <c r="C6196" i="4"/>
  <c r="C6195" i="4"/>
  <c r="C6194" i="4"/>
  <c r="C6193" i="4"/>
  <c r="C6192" i="4"/>
  <c r="C6191" i="4"/>
  <c r="C6190" i="4"/>
  <c r="C6189" i="4"/>
  <c r="C6188" i="4"/>
  <c r="C6187" i="4"/>
  <c r="C6186" i="4"/>
  <c r="C6185" i="4"/>
  <c r="C6184" i="4"/>
  <c r="C6183" i="4"/>
  <c r="C6182" i="4"/>
  <c r="C6181" i="4"/>
  <c r="C6180" i="4"/>
  <c r="C6179" i="4"/>
  <c r="C6178" i="4"/>
  <c r="C6177" i="4"/>
  <c r="C6176" i="4"/>
  <c r="C6175" i="4"/>
  <c r="C6174" i="4"/>
  <c r="C6173" i="4"/>
  <c r="C6172" i="4"/>
  <c r="C6171" i="4"/>
  <c r="C6170" i="4"/>
  <c r="C6169" i="4"/>
  <c r="C6168" i="4"/>
  <c r="C6167" i="4"/>
  <c r="C6166" i="4"/>
  <c r="C6165" i="4"/>
  <c r="C6164" i="4"/>
  <c r="C6163" i="4"/>
  <c r="C6162" i="4"/>
  <c r="C6161" i="4"/>
  <c r="C6160" i="4"/>
  <c r="C6159" i="4"/>
  <c r="C6158" i="4"/>
  <c r="C6157" i="4"/>
  <c r="C6156" i="4"/>
  <c r="C6155" i="4"/>
  <c r="C6154" i="4"/>
  <c r="C6153" i="4"/>
  <c r="C6152" i="4"/>
  <c r="C6151" i="4"/>
  <c r="C6150" i="4"/>
  <c r="C6149" i="4"/>
  <c r="C6148" i="4"/>
  <c r="C6147" i="4"/>
  <c r="C6146" i="4"/>
  <c r="C6145" i="4"/>
  <c r="C6144" i="4"/>
  <c r="C6143" i="4"/>
  <c r="C6142" i="4"/>
  <c r="C6141" i="4"/>
  <c r="C6140" i="4"/>
  <c r="C6139" i="4"/>
  <c r="C6138" i="4"/>
  <c r="C6137" i="4"/>
  <c r="C6136" i="4"/>
  <c r="C6135" i="4"/>
  <c r="C6134" i="4"/>
  <c r="C6133" i="4"/>
  <c r="C6132" i="4"/>
  <c r="C6131" i="4"/>
  <c r="C6130" i="4"/>
  <c r="C6129" i="4"/>
  <c r="C6128" i="4"/>
  <c r="C6127" i="4"/>
  <c r="C6126" i="4"/>
  <c r="C6125" i="4"/>
  <c r="C6124" i="4"/>
  <c r="C6123" i="4"/>
  <c r="C6122" i="4"/>
  <c r="C6121" i="4"/>
  <c r="C6120" i="4"/>
  <c r="C6119" i="4"/>
  <c r="C6118" i="4"/>
  <c r="C6117" i="4"/>
  <c r="C6116" i="4"/>
  <c r="C6115" i="4"/>
  <c r="C6114" i="4"/>
  <c r="C6113" i="4"/>
  <c r="C6112" i="4"/>
  <c r="C6111" i="4"/>
  <c r="C6110" i="4"/>
  <c r="C6109" i="4"/>
  <c r="C6108" i="4"/>
  <c r="C6107" i="4"/>
  <c r="C6106" i="4"/>
  <c r="C6105" i="4"/>
  <c r="C6104" i="4"/>
  <c r="C6103" i="4"/>
  <c r="C6102" i="4"/>
  <c r="C6101" i="4"/>
  <c r="C6100" i="4"/>
  <c r="C6099" i="4"/>
  <c r="C6098" i="4"/>
  <c r="C6097" i="4"/>
  <c r="C6096" i="4"/>
  <c r="C6095" i="4"/>
  <c r="C6094" i="4"/>
  <c r="C6093" i="4"/>
  <c r="C6092" i="4"/>
  <c r="C6091" i="4"/>
  <c r="C6090" i="4"/>
  <c r="C6089" i="4"/>
  <c r="C6088" i="4"/>
  <c r="C6087" i="4"/>
  <c r="C6086" i="4"/>
  <c r="C6085" i="4"/>
  <c r="C6084" i="4"/>
  <c r="C6083" i="4"/>
  <c r="C6082" i="4"/>
  <c r="C6081" i="4"/>
  <c r="C6080" i="4"/>
  <c r="C6079" i="4"/>
  <c r="C6078" i="4"/>
  <c r="C6077" i="4"/>
  <c r="C6076" i="4"/>
  <c r="C6075" i="4"/>
  <c r="C6074" i="4"/>
  <c r="C6073" i="4"/>
  <c r="C6072" i="4"/>
  <c r="C6071" i="4"/>
  <c r="C6070" i="4"/>
  <c r="C6069" i="4"/>
  <c r="C6068" i="4"/>
  <c r="C6067" i="4"/>
  <c r="C6066" i="4"/>
  <c r="C6065" i="4"/>
  <c r="C6064" i="4"/>
  <c r="C6063" i="4"/>
  <c r="C6062" i="4"/>
  <c r="C6061" i="4"/>
  <c r="C6060" i="4"/>
  <c r="C6059" i="4"/>
  <c r="C6058" i="4"/>
  <c r="C6057" i="4"/>
  <c r="C6056" i="4"/>
  <c r="C6055" i="4"/>
  <c r="C6054" i="4"/>
  <c r="C6053" i="4"/>
  <c r="C6052" i="4"/>
  <c r="C6051" i="4"/>
  <c r="C6050" i="4"/>
  <c r="C6049" i="4"/>
  <c r="C6048" i="4"/>
  <c r="C6047" i="4"/>
  <c r="C6046" i="4"/>
  <c r="C6045" i="4"/>
  <c r="C6044" i="4"/>
  <c r="C6043" i="4"/>
  <c r="C6042" i="4"/>
  <c r="C6041" i="4"/>
  <c r="C6040" i="4"/>
  <c r="C6039" i="4"/>
  <c r="C6038" i="4"/>
  <c r="C6037" i="4"/>
  <c r="C6036" i="4"/>
  <c r="C6035" i="4"/>
  <c r="C6034" i="4"/>
  <c r="C6033" i="4"/>
  <c r="C6032" i="4"/>
  <c r="C6031" i="4"/>
  <c r="C6030" i="4"/>
  <c r="C6029" i="4"/>
  <c r="C6028" i="4"/>
  <c r="C6027" i="4"/>
  <c r="C6026" i="4"/>
  <c r="C6025" i="4"/>
  <c r="C6024" i="4"/>
  <c r="C6023" i="4"/>
  <c r="C6022" i="4"/>
  <c r="C6021" i="4"/>
  <c r="C6020" i="4"/>
  <c r="C6019" i="4"/>
  <c r="C6018" i="4"/>
  <c r="C6017" i="4"/>
  <c r="C6016" i="4"/>
  <c r="C6015" i="4"/>
  <c r="C6014" i="4"/>
  <c r="C6013" i="4"/>
  <c r="C6012" i="4"/>
  <c r="C6011" i="4"/>
  <c r="C6010" i="4"/>
  <c r="C6009" i="4"/>
  <c r="C6008" i="4"/>
  <c r="C6007" i="4"/>
  <c r="C6006" i="4"/>
  <c r="C6005" i="4"/>
  <c r="C6004" i="4"/>
  <c r="C6003" i="4"/>
  <c r="C6002" i="4"/>
  <c r="C6001" i="4"/>
  <c r="C6000" i="4"/>
  <c r="C5999" i="4"/>
  <c r="C5998" i="4"/>
  <c r="C5997" i="4"/>
  <c r="C5996" i="4"/>
  <c r="C5995" i="4"/>
  <c r="C5994" i="4"/>
  <c r="C5993" i="4"/>
  <c r="C5992" i="4"/>
  <c r="C5991" i="4"/>
  <c r="C5990" i="4"/>
  <c r="C5989" i="4"/>
  <c r="C5988" i="4"/>
  <c r="C5987" i="4"/>
  <c r="C5986" i="4"/>
  <c r="C5985" i="4"/>
  <c r="C5984" i="4"/>
  <c r="C5983" i="4"/>
  <c r="C5982" i="4"/>
  <c r="C5981" i="4"/>
  <c r="C5980" i="4"/>
  <c r="C5979" i="4"/>
  <c r="C5978" i="4"/>
  <c r="C5977" i="4"/>
  <c r="C5976" i="4"/>
  <c r="C5975" i="4"/>
  <c r="C5974" i="4"/>
  <c r="C5973" i="4"/>
  <c r="C5972" i="4"/>
  <c r="C5971" i="4"/>
  <c r="C5970" i="4"/>
  <c r="C5969" i="4"/>
  <c r="C5968" i="4"/>
  <c r="C5967" i="4"/>
  <c r="C5966" i="4"/>
  <c r="C5965" i="4"/>
  <c r="C5964" i="4"/>
  <c r="C5963" i="4"/>
  <c r="C5962" i="4"/>
  <c r="C5961" i="4"/>
  <c r="C5960" i="4"/>
  <c r="C5959" i="4"/>
  <c r="C5958" i="4"/>
  <c r="C5957" i="4"/>
  <c r="C5956" i="4"/>
  <c r="C5955" i="4"/>
  <c r="C5954" i="4"/>
  <c r="C5953" i="4"/>
  <c r="C5952" i="4"/>
  <c r="C5951" i="4"/>
  <c r="C5950" i="4"/>
  <c r="C5949" i="4"/>
  <c r="C5948" i="4"/>
  <c r="C5947" i="4"/>
  <c r="C5946" i="4"/>
  <c r="C5945" i="4"/>
  <c r="C5944" i="4"/>
  <c r="C5943" i="4"/>
  <c r="C5942" i="4"/>
  <c r="C5941" i="4"/>
  <c r="C5940" i="4"/>
  <c r="C5939" i="4"/>
  <c r="C5938" i="4"/>
  <c r="C5937" i="4"/>
  <c r="C5936" i="4"/>
  <c r="C5935" i="4"/>
  <c r="C5934" i="4"/>
  <c r="C5933" i="4"/>
  <c r="C5932" i="4"/>
  <c r="C5931" i="4"/>
  <c r="C5930" i="4"/>
  <c r="C5929" i="4"/>
  <c r="C5928" i="4"/>
  <c r="C5927" i="4"/>
  <c r="C5926" i="4"/>
  <c r="C5925" i="4"/>
  <c r="C5924" i="4"/>
  <c r="C5923" i="4"/>
  <c r="C5922" i="4"/>
  <c r="C5921" i="4"/>
  <c r="C5920" i="4"/>
  <c r="C5919" i="4"/>
  <c r="C5918" i="4"/>
  <c r="C5917" i="4"/>
  <c r="C5916" i="4"/>
  <c r="C5915" i="4"/>
  <c r="C5914" i="4"/>
  <c r="C5913" i="4"/>
  <c r="C5912" i="4"/>
  <c r="C5911" i="4"/>
  <c r="C5910" i="4"/>
  <c r="C5909" i="4"/>
  <c r="C5908" i="4"/>
  <c r="C5907" i="4"/>
  <c r="C5906" i="4"/>
  <c r="C5905" i="4"/>
  <c r="C5904" i="4"/>
  <c r="C5903" i="4"/>
  <c r="C5902" i="4"/>
  <c r="C5901" i="4"/>
  <c r="C5900" i="4"/>
  <c r="C5899" i="4"/>
  <c r="C5898" i="4"/>
  <c r="C5897" i="4"/>
  <c r="C5896" i="4"/>
  <c r="C5895" i="4"/>
  <c r="C5894" i="4"/>
  <c r="C5893" i="4"/>
  <c r="C5892" i="4"/>
  <c r="C5891" i="4"/>
  <c r="C5890" i="4"/>
  <c r="C5889" i="4"/>
  <c r="C5888" i="4"/>
  <c r="C5887" i="4"/>
  <c r="C5886" i="4"/>
  <c r="C5885" i="4"/>
  <c r="C5884" i="4"/>
  <c r="C5883" i="4"/>
  <c r="C5882" i="4"/>
  <c r="C5881" i="4"/>
  <c r="C5880" i="4"/>
  <c r="C5879" i="4"/>
  <c r="C5878" i="4"/>
  <c r="C5877" i="4"/>
  <c r="C5876" i="4"/>
  <c r="C5875" i="4"/>
  <c r="C5874" i="4"/>
  <c r="C5873" i="4"/>
  <c r="C5872" i="4"/>
  <c r="C5871" i="4"/>
  <c r="C5870" i="4"/>
  <c r="C5869" i="4"/>
  <c r="C5868" i="4"/>
  <c r="C5867" i="4"/>
  <c r="C5866" i="4"/>
  <c r="C5865" i="4"/>
  <c r="C5864" i="4"/>
  <c r="C5863" i="4"/>
  <c r="C5862" i="4"/>
  <c r="C5861" i="4"/>
  <c r="C5860" i="4"/>
  <c r="C5859" i="4"/>
  <c r="C5858" i="4"/>
  <c r="C5857" i="4"/>
  <c r="C5856" i="4"/>
  <c r="C5855" i="4"/>
  <c r="C5854" i="4"/>
  <c r="C5853" i="4"/>
  <c r="C5852" i="4"/>
  <c r="C5851" i="4"/>
  <c r="C5850" i="4"/>
  <c r="C5849" i="4"/>
  <c r="C5848" i="4"/>
  <c r="C5847" i="4"/>
  <c r="C5846" i="4"/>
  <c r="C5845" i="4"/>
  <c r="C5844" i="4"/>
  <c r="C5843" i="4"/>
  <c r="C5842" i="4"/>
  <c r="C5841" i="4"/>
  <c r="C5840" i="4"/>
  <c r="C5839" i="4"/>
  <c r="C5838" i="4"/>
  <c r="C5837" i="4"/>
  <c r="C5836" i="4"/>
  <c r="C5835" i="4"/>
  <c r="C5834" i="4"/>
  <c r="C5833" i="4"/>
  <c r="C5832" i="4"/>
  <c r="C5831" i="4"/>
  <c r="C5830" i="4"/>
  <c r="C5829" i="4"/>
  <c r="C5828" i="4"/>
  <c r="C5827" i="4"/>
  <c r="C5826" i="4"/>
  <c r="C5825" i="4"/>
  <c r="C5824" i="4"/>
  <c r="C5823" i="4"/>
  <c r="C5822" i="4"/>
  <c r="C5821" i="4"/>
  <c r="C5820" i="4"/>
  <c r="C5819" i="4"/>
  <c r="C5818" i="4"/>
  <c r="C5817" i="4"/>
  <c r="C5816" i="4"/>
  <c r="C5815" i="4"/>
  <c r="C5814" i="4"/>
  <c r="C5813" i="4"/>
  <c r="C5812" i="4"/>
  <c r="C5811" i="4"/>
  <c r="C5810" i="4"/>
  <c r="C5809" i="4"/>
  <c r="C5808" i="4"/>
  <c r="C5807" i="4"/>
  <c r="C5806" i="4"/>
  <c r="C5805" i="4"/>
  <c r="C5804" i="4"/>
  <c r="C5803" i="4"/>
  <c r="C5802" i="4"/>
  <c r="C5801" i="4"/>
  <c r="C5800" i="4"/>
  <c r="C5799" i="4"/>
  <c r="C5798" i="4"/>
  <c r="C5797" i="4"/>
  <c r="C5796" i="4"/>
  <c r="C5795" i="4"/>
  <c r="C5794" i="4"/>
  <c r="C5793" i="4"/>
  <c r="C5792" i="4"/>
  <c r="C5791" i="4"/>
  <c r="C5790" i="4"/>
  <c r="C5789" i="4"/>
  <c r="C5788" i="4"/>
  <c r="C5787" i="4"/>
  <c r="C5786" i="4"/>
  <c r="C5785" i="4"/>
  <c r="C5784" i="4"/>
  <c r="C5783" i="4"/>
  <c r="C5782" i="4"/>
  <c r="C5781" i="4"/>
  <c r="C5780" i="4"/>
  <c r="C5779" i="4"/>
  <c r="C5778" i="4"/>
  <c r="C5777" i="4"/>
  <c r="C5776" i="4"/>
  <c r="C5775" i="4"/>
  <c r="C5774" i="4"/>
  <c r="C5773" i="4"/>
  <c r="C5772" i="4"/>
  <c r="C5771" i="4"/>
  <c r="C5770" i="4"/>
  <c r="C5769" i="4"/>
  <c r="C5768" i="4"/>
  <c r="C5767" i="4"/>
  <c r="C5766" i="4"/>
  <c r="C5765" i="4"/>
  <c r="C5764" i="4"/>
  <c r="C5763" i="4"/>
  <c r="C5762" i="4"/>
  <c r="C5761" i="4"/>
  <c r="C5760" i="4"/>
  <c r="C5759" i="4"/>
  <c r="C5758" i="4"/>
  <c r="C5757" i="4"/>
  <c r="C5756" i="4"/>
  <c r="C5755" i="4"/>
  <c r="C5754" i="4"/>
  <c r="C5753" i="4"/>
  <c r="C5752" i="4"/>
  <c r="C5751" i="4"/>
  <c r="C5750" i="4"/>
  <c r="C5749" i="4"/>
  <c r="C5748" i="4"/>
  <c r="C5747" i="4"/>
  <c r="C5746" i="4"/>
  <c r="C5745" i="4"/>
  <c r="C5744" i="4"/>
  <c r="C5743" i="4"/>
  <c r="C5742" i="4"/>
  <c r="C5741" i="4"/>
  <c r="C5740" i="4"/>
  <c r="C5739" i="4"/>
  <c r="C5738" i="4"/>
  <c r="C5737" i="4"/>
  <c r="C5736" i="4"/>
  <c r="C5735" i="4"/>
  <c r="C5734" i="4"/>
  <c r="C5733" i="4"/>
  <c r="C5732" i="4"/>
  <c r="C5731" i="4"/>
  <c r="C5730" i="4"/>
  <c r="C5729" i="4"/>
  <c r="C5728" i="4"/>
  <c r="C5727" i="4"/>
  <c r="C5726" i="4"/>
  <c r="C5725" i="4"/>
  <c r="C5724" i="4"/>
  <c r="C5723" i="4"/>
  <c r="C5722" i="4"/>
  <c r="C5721" i="4"/>
  <c r="C5720" i="4"/>
  <c r="C5719" i="4"/>
  <c r="C5718" i="4"/>
  <c r="C5717" i="4"/>
  <c r="C5716" i="4"/>
  <c r="C5715" i="4"/>
  <c r="C5714" i="4"/>
  <c r="C5713" i="4"/>
  <c r="C5712" i="4"/>
  <c r="C5711" i="4"/>
  <c r="C5710" i="4"/>
  <c r="C5709" i="4"/>
  <c r="C5708" i="4"/>
  <c r="C5707" i="4"/>
  <c r="C5706" i="4"/>
  <c r="C5705" i="4"/>
  <c r="C5704" i="4"/>
  <c r="C5703" i="4"/>
  <c r="C5702" i="4"/>
  <c r="C5701" i="4"/>
  <c r="C5700" i="4"/>
  <c r="C5699" i="4"/>
  <c r="C5698" i="4"/>
  <c r="C5697" i="4"/>
  <c r="C5696" i="4"/>
  <c r="C5695" i="4"/>
  <c r="C5694" i="4"/>
  <c r="C5693" i="4"/>
  <c r="C5692" i="4"/>
  <c r="C5691" i="4"/>
  <c r="C5690" i="4"/>
  <c r="C5689" i="4"/>
  <c r="C5688" i="4"/>
  <c r="C5687" i="4"/>
  <c r="C5686" i="4"/>
  <c r="C5685" i="4"/>
  <c r="C5684" i="4"/>
  <c r="C5683" i="4"/>
  <c r="C5682" i="4"/>
  <c r="C5681" i="4"/>
  <c r="C5680" i="4"/>
  <c r="C5679" i="4"/>
  <c r="C5678" i="4"/>
  <c r="C5677" i="4"/>
  <c r="C5676" i="4"/>
  <c r="C5675" i="4"/>
  <c r="C5674" i="4"/>
  <c r="C5673" i="4"/>
  <c r="C5672" i="4"/>
  <c r="C5671" i="4"/>
  <c r="C5670" i="4"/>
  <c r="C5669" i="4"/>
  <c r="C5668" i="4"/>
  <c r="C5667" i="4"/>
  <c r="C5666" i="4"/>
  <c r="C5665" i="4"/>
  <c r="C5664" i="4"/>
  <c r="C5663" i="4"/>
  <c r="C5662" i="4"/>
  <c r="C5661" i="4"/>
  <c r="C5660" i="4"/>
  <c r="C5659" i="4"/>
  <c r="C5658" i="4"/>
  <c r="C5657" i="4"/>
  <c r="C5656" i="4"/>
  <c r="C5655" i="4"/>
  <c r="C5654" i="4"/>
  <c r="C5653" i="4"/>
  <c r="C5652" i="4"/>
  <c r="C5651" i="4"/>
  <c r="C5650" i="4"/>
  <c r="C5649" i="4"/>
  <c r="C5648" i="4"/>
  <c r="C5647" i="4"/>
  <c r="C5646" i="4"/>
  <c r="C5645" i="4"/>
  <c r="C5644" i="4"/>
  <c r="C5643" i="4"/>
  <c r="C5642" i="4"/>
  <c r="C5641" i="4"/>
  <c r="C5640" i="4"/>
  <c r="C5639" i="4"/>
  <c r="C5638" i="4"/>
  <c r="C5637" i="4"/>
  <c r="C5636" i="4"/>
  <c r="C5635" i="4"/>
  <c r="C5634" i="4"/>
  <c r="C5633" i="4"/>
  <c r="C5632" i="4"/>
  <c r="C5631" i="4"/>
  <c r="C5630" i="4"/>
  <c r="C5629" i="4"/>
  <c r="C5628" i="4"/>
  <c r="C5627" i="4"/>
  <c r="C5626" i="4"/>
  <c r="C5625" i="4"/>
  <c r="C5624" i="4"/>
  <c r="C5623" i="4"/>
  <c r="C5622" i="4"/>
  <c r="C5621" i="4"/>
  <c r="C5620" i="4"/>
  <c r="C5619" i="4"/>
  <c r="C5618" i="4"/>
  <c r="C5617" i="4"/>
  <c r="C5616" i="4"/>
  <c r="C5615" i="4"/>
  <c r="C5614" i="4"/>
  <c r="C5613" i="4"/>
  <c r="C5612" i="4"/>
  <c r="C5611" i="4"/>
  <c r="C5610" i="4"/>
  <c r="C5609" i="4"/>
  <c r="C5608" i="4"/>
  <c r="C5607" i="4"/>
  <c r="C5606" i="4"/>
  <c r="C5605" i="4"/>
  <c r="C5604" i="4"/>
  <c r="C5603" i="4"/>
  <c r="C5602" i="4"/>
  <c r="C5601" i="4"/>
  <c r="C5600" i="4"/>
  <c r="C5599" i="4"/>
  <c r="C5598" i="4"/>
  <c r="C5597" i="4"/>
  <c r="C5596" i="4"/>
  <c r="C5595" i="4"/>
  <c r="C5594" i="4"/>
  <c r="C5593" i="4"/>
  <c r="C5592" i="4"/>
  <c r="C5591" i="4"/>
  <c r="C5590" i="4"/>
  <c r="C5589" i="4"/>
  <c r="C5588" i="4"/>
  <c r="C5587" i="4"/>
  <c r="C5586" i="4"/>
  <c r="C5585" i="4"/>
  <c r="C5584" i="4"/>
  <c r="C5583" i="4"/>
  <c r="C5582" i="4"/>
  <c r="C5581" i="4"/>
  <c r="C5580" i="4"/>
  <c r="C5579" i="4"/>
  <c r="C5578" i="4"/>
  <c r="C5577" i="4"/>
  <c r="C5576" i="4"/>
  <c r="C5575" i="4"/>
  <c r="C5574" i="4"/>
  <c r="C5573" i="4"/>
  <c r="C5572" i="4"/>
  <c r="C5571" i="4"/>
  <c r="C5570" i="4"/>
  <c r="C5569" i="4"/>
  <c r="C5568" i="4"/>
  <c r="C5567" i="4"/>
  <c r="C5566" i="4"/>
  <c r="C5565" i="4"/>
  <c r="C5564" i="4"/>
  <c r="C5563" i="4"/>
  <c r="C5562" i="4"/>
  <c r="C5561" i="4"/>
  <c r="C5560" i="4"/>
  <c r="C5559" i="4"/>
  <c r="C5558" i="4"/>
  <c r="C5557" i="4"/>
  <c r="C5556" i="4"/>
  <c r="C5555" i="4"/>
  <c r="C5554" i="4"/>
  <c r="C5553" i="4"/>
  <c r="C5552" i="4"/>
  <c r="C5551" i="4"/>
  <c r="C5550" i="4"/>
  <c r="C5549" i="4"/>
  <c r="C5548" i="4"/>
  <c r="C5547" i="4"/>
  <c r="C5546" i="4"/>
  <c r="C5545" i="4"/>
  <c r="C5544" i="4"/>
  <c r="C5543" i="4"/>
  <c r="C5542" i="4"/>
  <c r="C5541" i="4"/>
  <c r="C5540" i="4"/>
  <c r="C5539" i="4"/>
  <c r="C5538" i="4"/>
  <c r="C5537" i="4"/>
  <c r="C5536" i="4"/>
  <c r="C5535" i="4"/>
  <c r="C5534" i="4"/>
  <c r="C5533" i="4"/>
  <c r="C5532" i="4"/>
  <c r="C5531" i="4"/>
  <c r="C5530" i="4"/>
  <c r="C5529" i="4"/>
  <c r="C5528" i="4"/>
  <c r="C5527" i="4"/>
  <c r="C5526" i="4"/>
  <c r="C5525" i="4"/>
  <c r="C5524" i="4"/>
  <c r="C5523" i="4"/>
  <c r="C5522" i="4"/>
  <c r="C5521" i="4"/>
  <c r="C5520" i="4"/>
  <c r="C5519" i="4"/>
  <c r="C5518" i="4"/>
  <c r="C5517" i="4"/>
  <c r="C5516" i="4"/>
  <c r="C5515" i="4"/>
  <c r="C5514" i="4"/>
  <c r="C5513" i="4"/>
  <c r="C5512" i="4"/>
  <c r="C5511" i="4"/>
  <c r="C5510" i="4"/>
  <c r="C5509" i="4"/>
  <c r="C5508" i="4"/>
  <c r="C5507" i="4"/>
  <c r="C5506" i="4"/>
  <c r="C5505" i="4"/>
  <c r="C5504" i="4"/>
  <c r="C5503" i="4"/>
  <c r="C5502" i="4"/>
  <c r="C5501" i="4"/>
  <c r="C5500" i="4"/>
  <c r="C5499" i="4"/>
  <c r="C5498" i="4"/>
  <c r="C5497" i="4"/>
  <c r="C5496" i="4"/>
  <c r="C5495" i="4"/>
  <c r="C5494" i="4"/>
  <c r="C5493" i="4"/>
  <c r="C5492" i="4"/>
  <c r="C5491" i="4"/>
  <c r="C5490" i="4"/>
  <c r="C5489" i="4"/>
  <c r="C5488" i="4"/>
  <c r="C5487" i="4"/>
  <c r="C5486" i="4"/>
  <c r="C5485" i="4"/>
  <c r="C5484" i="4"/>
  <c r="C5483" i="4"/>
  <c r="C5482" i="4"/>
  <c r="C5481" i="4"/>
  <c r="C5480" i="4"/>
  <c r="C5479" i="4"/>
  <c r="C5478" i="4"/>
  <c r="C5477" i="4"/>
  <c r="C5476" i="4"/>
  <c r="C5475" i="4"/>
  <c r="C5474" i="4"/>
  <c r="C5473" i="4"/>
  <c r="C5472" i="4"/>
  <c r="C5471" i="4"/>
  <c r="C5470" i="4"/>
  <c r="C5469" i="4"/>
  <c r="C5468" i="4"/>
  <c r="C5467" i="4"/>
  <c r="C5466" i="4"/>
  <c r="C5465" i="4"/>
  <c r="C5464" i="4"/>
  <c r="C5463" i="4"/>
  <c r="C5462" i="4"/>
  <c r="C5461" i="4"/>
  <c r="C5460" i="4"/>
  <c r="C5459" i="4"/>
  <c r="C5458" i="4"/>
  <c r="C5457" i="4"/>
  <c r="C5456" i="4"/>
  <c r="C5455" i="4"/>
  <c r="C5454" i="4"/>
  <c r="C5453" i="4"/>
  <c r="C5452" i="4"/>
  <c r="C5451" i="4"/>
  <c r="C5450" i="4"/>
  <c r="C5449" i="4"/>
  <c r="C5448" i="4"/>
  <c r="C5447" i="4"/>
  <c r="C5446" i="4"/>
  <c r="C5445" i="4"/>
  <c r="C5444" i="4"/>
  <c r="C5443" i="4"/>
  <c r="C5442" i="4"/>
  <c r="C5441" i="4"/>
  <c r="C5440" i="4"/>
  <c r="C5439" i="4"/>
  <c r="C5438" i="4"/>
  <c r="C5437" i="4"/>
  <c r="C5436" i="4"/>
  <c r="C5435" i="4"/>
  <c r="C5434" i="4"/>
  <c r="C5433" i="4"/>
  <c r="C5432" i="4"/>
  <c r="C5431" i="4"/>
  <c r="C5430" i="4"/>
  <c r="C5429" i="4"/>
  <c r="C5428" i="4"/>
  <c r="C5427" i="4"/>
  <c r="C5426" i="4"/>
  <c r="C5425" i="4"/>
  <c r="C5424" i="4"/>
  <c r="C5423" i="4"/>
  <c r="C5422" i="4"/>
  <c r="C5421" i="4"/>
  <c r="C5420" i="4"/>
  <c r="C5419" i="4"/>
  <c r="C5418" i="4"/>
  <c r="C5417" i="4"/>
  <c r="C5416" i="4"/>
  <c r="C5415" i="4"/>
  <c r="C5414" i="4"/>
  <c r="C5413" i="4"/>
  <c r="C5412" i="4"/>
  <c r="C5411" i="4"/>
  <c r="C5410" i="4"/>
  <c r="C5409" i="4"/>
  <c r="C5408" i="4"/>
  <c r="C5407" i="4"/>
  <c r="C5406" i="4"/>
  <c r="C5405" i="4"/>
  <c r="C5404" i="4"/>
  <c r="C5403" i="4"/>
  <c r="C5402" i="4"/>
  <c r="C5401" i="4"/>
  <c r="C5400" i="4"/>
  <c r="C5399" i="4"/>
  <c r="C5398" i="4"/>
  <c r="C5397" i="4"/>
  <c r="C5396" i="4"/>
  <c r="C5395" i="4"/>
  <c r="C5394" i="4"/>
  <c r="C5393" i="4"/>
  <c r="C5392" i="4"/>
  <c r="C5391" i="4"/>
  <c r="C5390" i="4"/>
  <c r="C5389" i="4"/>
  <c r="C5388" i="4"/>
  <c r="C5387" i="4"/>
  <c r="C5386" i="4"/>
  <c r="C5385" i="4"/>
  <c r="C5384" i="4"/>
  <c r="C5383" i="4"/>
  <c r="C5382" i="4"/>
  <c r="C5381" i="4"/>
  <c r="C5380" i="4"/>
  <c r="C5379" i="4"/>
  <c r="C5378" i="4"/>
  <c r="C5377" i="4"/>
  <c r="C5376" i="4"/>
  <c r="C5375" i="4"/>
  <c r="C5374" i="4"/>
  <c r="C5373" i="4"/>
  <c r="C5372" i="4"/>
  <c r="C5371" i="4"/>
  <c r="C5370" i="4"/>
  <c r="C5369" i="4"/>
  <c r="C5368" i="4"/>
  <c r="C5367" i="4"/>
  <c r="C5366" i="4"/>
  <c r="C5365" i="4"/>
  <c r="C5364" i="4"/>
  <c r="C5363" i="4"/>
  <c r="C5362" i="4"/>
  <c r="C5361" i="4"/>
  <c r="C5360" i="4"/>
  <c r="C5359" i="4"/>
  <c r="C5358" i="4"/>
  <c r="C5357" i="4"/>
  <c r="C5356" i="4"/>
  <c r="C5355" i="4"/>
  <c r="C5354" i="4"/>
  <c r="C5353" i="4"/>
  <c r="C5352" i="4"/>
  <c r="C5351" i="4"/>
  <c r="C5350" i="4"/>
  <c r="C5349" i="4"/>
  <c r="C5348" i="4"/>
  <c r="C5347" i="4"/>
  <c r="C5346" i="4"/>
  <c r="C5345" i="4"/>
  <c r="C5344" i="4"/>
  <c r="C5343" i="4"/>
  <c r="C5342" i="4"/>
  <c r="C5341" i="4"/>
  <c r="C5340" i="4"/>
  <c r="C5339" i="4"/>
  <c r="C5338" i="4"/>
  <c r="C5337" i="4"/>
  <c r="C5336" i="4"/>
  <c r="C5335" i="4"/>
  <c r="C5334" i="4"/>
  <c r="C5333" i="4"/>
  <c r="C5332" i="4"/>
  <c r="C5331" i="4"/>
  <c r="C5330" i="4"/>
  <c r="C5329" i="4"/>
  <c r="C5328" i="4"/>
  <c r="C5327" i="4"/>
  <c r="C5326" i="4"/>
  <c r="C5325" i="4"/>
  <c r="C5324" i="4"/>
  <c r="C5323" i="4"/>
  <c r="C5322" i="4"/>
  <c r="C5321" i="4"/>
  <c r="C5320" i="4"/>
  <c r="C5319" i="4"/>
  <c r="C5318" i="4"/>
  <c r="C5317" i="4"/>
  <c r="C5316" i="4"/>
  <c r="C5315" i="4"/>
  <c r="C5314" i="4"/>
  <c r="C5313" i="4"/>
  <c r="C5312" i="4"/>
  <c r="C5311" i="4"/>
  <c r="C5310" i="4"/>
  <c r="C5309" i="4"/>
  <c r="C5308" i="4"/>
  <c r="C5307" i="4"/>
  <c r="C5306" i="4"/>
  <c r="C5305" i="4"/>
  <c r="C5304" i="4"/>
  <c r="C5303" i="4"/>
  <c r="C5302" i="4"/>
  <c r="C5301" i="4"/>
  <c r="C5300" i="4"/>
  <c r="C5299" i="4"/>
  <c r="C5298" i="4"/>
  <c r="C5297" i="4"/>
  <c r="C5296" i="4"/>
  <c r="C5295" i="4"/>
  <c r="C5294" i="4"/>
  <c r="C5293" i="4"/>
  <c r="C5292" i="4"/>
  <c r="C5291" i="4"/>
  <c r="C5290" i="4"/>
  <c r="C5289" i="4"/>
  <c r="C5288" i="4"/>
  <c r="C5287" i="4"/>
  <c r="C5286" i="4"/>
  <c r="C5285" i="4"/>
  <c r="C5284" i="4"/>
  <c r="C5283" i="4"/>
  <c r="C5282" i="4"/>
  <c r="C5281" i="4"/>
  <c r="C5280" i="4"/>
  <c r="C5279" i="4"/>
  <c r="C5278" i="4"/>
  <c r="C5277" i="4"/>
  <c r="C5276" i="4"/>
  <c r="C5275" i="4"/>
  <c r="C5274" i="4"/>
  <c r="C5273" i="4"/>
  <c r="C5272" i="4"/>
  <c r="C5271" i="4"/>
  <c r="C5270" i="4"/>
  <c r="C5269" i="4"/>
  <c r="C5268" i="4"/>
  <c r="C5267" i="4"/>
  <c r="C5266" i="4"/>
  <c r="C5265" i="4"/>
  <c r="C5264" i="4"/>
  <c r="C5263" i="4"/>
  <c r="C5262" i="4"/>
  <c r="C5261" i="4"/>
  <c r="C5260" i="4"/>
  <c r="C5259" i="4"/>
  <c r="C5258" i="4"/>
  <c r="C5257" i="4"/>
  <c r="C5256" i="4"/>
  <c r="C5255" i="4"/>
  <c r="C5254" i="4"/>
  <c r="C5253" i="4"/>
  <c r="C5252" i="4"/>
  <c r="C5251" i="4"/>
  <c r="C5250" i="4"/>
  <c r="C5249" i="4"/>
  <c r="C5248" i="4"/>
  <c r="C5247" i="4"/>
  <c r="C5246" i="4"/>
  <c r="C5245" i="4"/>
  <c r="C5244" i="4"/>
  <c r="C5243" i="4"/>
  <c r="C5242" i="4"/>
  <c r="C5241" i="4"/>
  <c r="C5240" i="4"/>
  <c r="C5239" i="4"/>
  <c r="C5238" i="4"/>
  <c r="C5237" i="4"/>
  <c r="C5236" i="4"/>
  <c r="C5235" i="4"/>
  <c r="C5234" i="4"/>
  <c r="C5233" i="4"/>
  <c r="C5232" i="4"/>
  <c r="C5231" i="4"/>
  <c r="C5230" i="4"/>
  <c r="C5229" i="4"/>
  <c r="C5228" i="4"/>
  <c r="C5227" i="4"/>
  <c r="C5226" i="4"/>
  <c r="C5225" i="4"/>
  <c r="C5224" i="4"/>
  <c r="C5223" i="4"/>
  <c r="C5222" i="4"/>
  <c r="C5221" i="4"/>
  <c r="C5220" i="4"/>
  <c r="C5219" i="4"/>
  <c r="C5218" i="4"/>
  <c r="C5217" i="4"/>
  <c r="C5216" i="4"/>
  <c r="C5215" i="4"/>
  <c r="C5214" i="4"/>
  <c r="C5213" i="4"/>
  <c r="C5212" i="4"/>
  <c r="C5211" i="4"/>
  <c r="C5210" i="4"/>
  <c r="C5209" i="4"/>
  <c r="C5208" i="4"/>
  <c r="C5207" i="4"/>
  <c r="C5206" i="4"/>
  <c r="C5205" i="4"/>
  <c r="C5204" i="4"/>
  <c r="C5203" i="4"/>
  <c r="C5202" i="4"/>
  <c r="C5201" i="4"/>
  <c r="C5200" i="4"/>
  <c r="C5199" i="4"/>
  <c r="C5198" i="4"/>
  <c r="C5197" i="4"/>
  <c r="C5196" i="4"/>
  <c r="C5195" i="4"/>
  <c r="C5194" i="4"/>
  <c r="C5193" i="4"/>
  <c r="C5192" i="4"/>
  <c r="C5191" i="4"/>
  <c r="C5190" i="4"/>
  <c r="C5189" i="4"/>
  <c r="C5188" i="4"/>
  <c r="C5187" i="4"/>
  <c r="C5186" i="4"/>
  <c r="C5185" i="4"/>
  <c r="C5184" i="4"/>
  <c r="C5183" i="4"/>
  <c r="C5182" i="4"/>
  <c r="C5181" i="4"/>
  <c r="C5180" i="4"/>
  <c r="C5179" i="4"/>
  <c r="C5178" i="4"/>
  <c r="C5177" i="4"/>
  <c r="C5176" i="4"/>
  <c r="C5175" i="4"/>
  <c r="C5174" i="4"/>
  <c r="C5173" i="4"/>
  <c r="C5172" i="4"/>
  <c r="C5171" i="4"/>
  <c r="C5170" i="4"/>
  <c r="C5169" i="4"/>
  <c r="C5168" i="4"/>
  <c r="C5167" i="4"/>
  <c r="C5166" i="4"/>
  <c r="C5165" i="4"/>
  <c r="C5164" i="4"/>
  <c r="C5163" i="4"/>
  <c r="C5162" i="4"/>
  <c r="C5161" i="4"/>
  <c r="C5160" i="4"/>
  <c r="C5159" i="4"/>
  <c r="C5158" i="4"/>
  <c r="C5157" i="4"/>
  <c r="C5156" i="4"/>
  <c r="C5155" i="4"/>
  <c r="C5154" i="4"/>
  <c r="C5153" i="4"/>
  <c r="C5152" i="4"/>
  <c r="C5151" i="4"/>
  <c r="C5150" i="4"/>
  <c r="C5149" i="4"/>
  <c r="C5148" i="4"/>
  <c r="C5147" i="4"/>
  <c r="C5146" i="4"/>
  <c r="C5145" i="4"/>
  <c r="C5144" i="4"/>
  <c r="C5143" i="4"/>
  <c r="C5142" i="4"/>
  <c r="C5141" i="4"/>
  <c r="C5140" i="4"/>
  <c r="C5139" i="4"/>
  <c r="C5138" i="4"/>
  <c r="C5137" i="4"/>
  <c r="C5136" i="4"/>
  <c r="C5135" i="4"/>
  <c r="C5134" i="4"/>
  <c r="C5133" i="4"/>
  <c r="C5132" i="4"/>
  <c r="C5131" i="4"/>
  <c r="C5130" i="4"/>
  <c r="C5129" i="4"/>
  <c r="C5128" i="4"/>
  <c r="C5127" i="4"/>
  <c r="C5126" i="4"/>
  <c r="C5125" i="4"/>
  <c r="C5124" i="4"/>
  <c r="C5123" i="4"/>
  <c r="C5122" i="4"/>
  <c r="C5121" i="4"/>
  <c r="C5120" i="4"/>
  <c r="C5119" i="4"/>
  <c r="C5118" i="4"/>
  <c r="C5117" i="4"/>
  <c r="C5116" i="4"/>
  <c r="C5115" i="4"/>
  <c r="C5114" i="4"/>
  <c r="C5113" i="4"/>
  <c r="C5112" i="4"/>
  <c r="C5111" i="4"/>
  <c r="C5110" i="4"/>
  <c r="C5109" i="4"/>
  <c r="C5108" i="4"/>
  <c r="C5107" i="4"/>
  <c r="C5106" i="4"/>
  <c r="C5105" i="4"/>
  <c r="C5104" i="4"/>
  <c r="C5103" i="4"/>
  <c r="C5102" i="4"/>
  <c r="C5101" i="4"/>
  <c r="C5100" i="4"/>
  <c r="C5099" i="4"/>
  <c r="C5098" i="4"/>
  <c r="C5097" i="4"/>
  <c r="C5096" i="4"/>
  <c r="C5095" i="4"/>
  <c r="C5094" i="4"/>
  <c r="C5093" i="4"/>
  <c r="C5092" i="4"/>
  <c r="C5091" i="4"/>
  <c r="C5090" i="4"/>
  <c r="C5089" i="4"/>
  <c r="C5088" i="4"/>
  <c r="C5087" i="4"/>
  <c r="C5086" i="4"/>
  <c r="C5085" i="4"/>
  <c r="C5084" i="4"/>
  <c r="C5083" i="4"/>
  <c r="C5082" i="4"/>
  <c r="C5081" i="4"/>
  <c r="C5080" i="4"/>
  <c r="C5079" i="4"/>
  <c r="C5078" i="4"/>
  <c r="C5077" i="4"/>
  <c r="C5076" i="4"/>
  <c r="C5075" i="4"/>
  <c r="C5074" i="4"/>
  <c r="C5073" i="4"/>
  <c r="C5072" i="4"/>
  <c r="C5071" i="4"/>
  <c r="C5070" i="4"/>
  <c r="C5069" i="4"/>
  <c r="C5068" i="4"/>
  <c r="C5067" i="4"/>
  <c r="C5066" i="4"/>
  <c r="C5065" i="4"/>
  <c r="C5064" i="4"/>
  <c r="C5063" i="4"/>
  <c r="C5062" i="4"/>
  <c r="C5061" i="4"/>
  <c r="C5060" i="4"/>
  <c r="C5059" i="4"/>
  <c r="C5058" i="4"/>
  <c r="C5057" i="4"/>
  <c r="C5056" i="4"/>
  <c r="C5055" i="4"/>
  <c r="C5054" i="4"/>
  <c r="C5053" i="4"/>
  <c r="C5052" i="4"/>
  <c r="C5051" i="4"/>
  <c r="C5050" i="4"/>
  <c r="C5049" i="4"/>
  <c r="C5048" i="4"/>
  <c r="C5047" i="4"/>
  <c r="C5046" i="4"/>
  <c r="C5045" i="4"/>
  <c r="C5044" i="4"/>
  <c r="C5043" i="4"/>
  <c r="C5042" i="4"/>
  <c r="C5041" i="4"/>
  <c r="C5040" i="4"/>
  <c r="C5039" i="4"/>
  <c r="C5038" i="4"/>
  <c r="C5037" i="4"/>
  <c r="C5036" i="4"/>
  <c r="C5035" i="4"/>
  <c r="C5034" i="4"/>
  <c r="C5033" i="4"/>
  <c r="C5032" i="4"/>
  <c r="C5031" i="4"/>
  <c r="C5030" i="4"/>
  <c r="C5029" i="4"/>
  <c r="C5028" i="4"/>
  <c r="C5027" i="4"/>
  <c r="C5026" i="4"/>
  <c r="C5025" i="4"/>
  <c r="C5024" i="4"/>
  <c r="C5023" i="4"/>
  <c r="C5022" i="4"/>
  <c r="C5021" i="4"/>
  <c r="C5020" i="4"/>
  <c r="C5019" i="4"/>
  <c r="C5018" i="4"/>
  <c r="C5017" i="4"/>
  <c r="C5016" i="4"/>
  <c r="C5015" i="4"/>
  <c r="C5014" i="4"/>
  <c r="C5013" i="4"/>
  <c r="C5012" i="4"/>
  <c r="C5011" i="4"/>
  <c r="C5010" i="4"/>
  <c r="C5009" i="4"/>
  <c r="C5008" i="4"/>
  <c r="C5007" i="4"/>
  <c r="C5006" i="4"/>
  <c r="C5005" i="4"/>
  <c r="C5004" i="4"/>
  <c r="C5003" i="4"/>
  <c r="C5002" i="4"/>
  <c r="C5001" i="4"/>
  <c r="C5000" i="4"/>
  <c r="C4999" i="4"/>
  <c r="C4998" i="4"/>
  <c r="C4997" i="4"/>
  <c r="C4996" i="4"/>
  <c r="C4995" i="4"/>
  <c r="C4994" i="4"/>
  <c r="C4993" i="4"/>
  <c r="C4992" i="4"/>
  <c r="C4991" i="4"/>
  <c r="C4990" i="4"/>
  <c r="C4989" i="4"/>
  <c r="C4988" i="4"/>
  <c r="C4987" i="4"/>
  <c r="C4986" i="4"/>
  <c r="C4985" i="4"/>
  <c r="C4984" i="4"/>
  <c r="C4983" i="4"/>
  <c r="C4982" i="4"/>
  <c r="C4981" i="4"/>
  <c r="C4980" i="4"/>
  <c r="C4979" i="4"/>
  <c r="C4978" i="4"/>
  <c r="C4977" i="4"/>
  <c r="C4976" i="4"/>
  <c r="C4975" i="4"/>
  <c r="C4974" i="4"/>
  <c r="C4973" i="4"/>
  <c r="C4972" i="4"/>
  <c r="C4971" i="4"/>
  <c r="C4970" i="4"/>
  <c r="C4969" i="4"/>
  <c r="C4968" i="4"/>
  <c r="C4967" i="4"/>
  <c r="C4966" i="4"/>
  <c r="C4965" i="4"/>
  <c r="C4964" i="4"/>
  <c r="C4963" i="4"/>
  <c r="C4962" i="4"/>
  <c r="C4961" i="4"/>
  <c r="C4960" i="4"/>
  <c r="C4959" i="4"/>
  <c r="C4958" i="4"/>
  <c r="C4957" i="4"/>
  <c r="C4956" i="4"/>
  <c r="C4955" i="4"/>
  <c r="C4954" i="4"/>
  <c r="C4953" i="4"/>
  <c r="C4952" i="4"/>
  <c r="C4951" i="4"/>
  <c r="C4950" i="4"/>
  <c r="C4949" i="4"/>
  <c r="C4948" i="4"/>
  <c r="C4947" i="4"/>
  <c r="C4946" i="4"/>
  <c r="C4945" i="4"/>
  <c r="C4944" i="4"/>
  <c r="C4943" i="4"/>
  <c r="C4942" i="4"/>
  <c r="C4941" i="4"/>
  <c r="C4940" i="4"/>
  <c r="C4939" i="4"/>
  <c r="C4938" i="4"/>
  <c r="C4937" i="4"/>
  <c r="C4936" i="4"/>
  <c r="C4935" i="4"/>
  <c r="C4934" i="4"/>
  <c r="C4933" i="4"/>
  <c r="C4932" i="4"/>
  <c r="C4931" i="4"/>
  <c r="C4930" i="4"/>
  <c r="C4929" i="4"/>
  <c r="C4928" i="4"/>
  <c r="C4927" i="4"/>
  <c r="C4926" i="4"/>
  <c r="C4925" i="4"/>
  <c r="C4924" i="4"/>
  <c r="C4923" i="4"/>
  <c r="C4922" i="4"/>
  <c r="C4921" i="4"/>
  <c r="C4920" i="4"/>
  <c r="C4919" i="4"/>
  <c r="C4918" i="4"/>
  <c r="C4917" i="4"/>
  <c r="C4916" i="4"/>
  <c r="C4915" i="4"/>
  <c r="C4914" i="4"/>
  <c r="C4913" i="4"/>
  <c r="C4912" i="4"/>
  <c r="C4911" i="4"/>
  <c r="C4910" i="4"/>
  <c r="C4909" i="4"/>
  <c r="C4908" i="4"/>
  <c r="C4907" i="4"/>
  <c r="C4906" i="4"/>
  <c r="C4905" i="4"/>
  <c r="C4904" i="4"/>
  <c r="C4903" i="4"/>
  <c r="C4902" i="4"/>
  <c r="C4901" i="4"/>
  <c r="C4900" i="4"/>
  <c r="C4899" i="4"/>
  <c r="C4898" i="4"/>
  <c r="C4897" i="4"/>
  <c r="C4896" i="4"/>
  <c r="C4895" i="4"/>
  <c r="C4894" i="4"/>
  <c r="C4893" i="4"/>
  <c r="C4892" i="4"/>
  <c r="C4891" i="4"/>
  <c r="C4890" i="4"/>
  <c r="C4889" i="4"/>
  <c r="C4888" i="4"/>
  <c r="C4887" i="4"/>
  <c r="C4886" i="4"/>
  <c r="C4885" i="4"/>
  <c r="C4884" i="4"/>
  <c r="C4883" i="4"/>
  <c r="C4882" i="4"/>
  <c r="C4881" i="4"/>
  <c r="C4880" i="4"/>
  <c r="C4879" i="4"/>
  <c r="C4878" i="4"/>
  <c r="C4877" i="4"/>
  <c r="C4876" i="4"/>
  <c r="C4875" i="4"/>
  <c r="C4874" i="4"/>
  <c r="C4873" i="4"/>
  <c r="C4872" i="4"/>
  <c r="C4871" i="4"/>
  <c r="C4870" i="4"/>
  <c r="C4869" i="4"/>
  <c r="C4868" i="4"/>
  <c r="C4867" i="4"/>
  <c r="C4866" i="4"/>
  <c r="C4865" i="4"/>
  <c r="C4864" i="4"/>
  <c r="C4863" i="4"/>
  <c r="C4862" i="4"/>
  <c r="C4861" i="4"/>
  <c r="C4860" i="4"/>
  <c r="C4859" i="4"/>
  <c r="C4858" i="4"/>
  <c r="C4857" i="4"/>
  <c r="C4856" i="4"/>
  <c r="C4855" i="4"/>
  <c r="C4854" i="4"/>
  <c r="C4853" i="4"/>
  <c r="C4852" i="4"/>
  <c r="C4851" i="4"/>
  <c r="C4850" i="4"/>
  <c r="C4849" i="4"/>
  <c r="C4848" i="4"/>
  <c r="C4847" i="4"/>
  <c r="C4846" i="4"/>
  <c r="C4845" i="4"/>
  <c r="C4844" i="4"/>
  <c r="C4843" i="4"/>
  <c r="C4842" i="4"/>
  <c r="C4841" i="4"/>
  <c r="C4840" i="4"/>
  <c r="C4839" i="4"/>
  <c r="C4838" i="4"/>
  <c r="C4837" i="4"/>
  <c r="C4836" i="4"/>
  <c r="C4835" i="4"/>
  <c r="C4834" i="4"/>
  <c r="C4833" i="4"/>
  <c r="C4832" i="4"/>
  <c r="C4831" i="4"/>
  <c r="C4830" i="4"/>
  <c r="C4829" i="4"/>
  <c r="C4828" i="4"/>
  <c r="C4827" i="4"/>
  <c r="C4826" i="4"/>
  <c r="C4825" i="4"/>
  <c r="C4824" i="4"/>
  <c r="C4823" i="4"/>
  <c r="C4822" i="4"/>
  <c r="C4821" i="4"/>
  <c r="C4820" i="4"/>
  <c r="C4819" i="4"/>
  <c r="C4818" i="4"/>
  <c r="C4817" i="4"/>
  <c r="C4816" i="4"/>
  <c r="C4815" i="4"/>
  <c r="C4814" i="4"/>
  <c r="C4813" i="4"/>
  <c r="C4812" i="4"/>
  <c r="C4811" i="4"/>
  <c r="C4810" i="4"/>
  <c r="C4809" i="4"/>
  <c r="C4808" i="4"/>
  <c r="C4807" i="4"/>
  <c r="C4806" i="4"/>
  <c r="C4805" i="4"/>
  <c r="C4804" i="4"/>
  <c r="C4803" i="4"/>
  <c r="C4802" i="4"/>
  <c r="C4801" i="4"/>
  <c r="C4800" i="4"/>
  <c r="C4799" i="4"/>
  <c r="C4798" i="4"/>
  <c r="C4797" i="4"/>
  <c r="C4796" i="4"/>
  <c r="C4795" i="4"/>
  <c r="C4794" i="4"/>
  <c r="C4793" i="4"/>
  <c r="C4792" i="4"/>
  <c r="C4791" i="4"/>
  <c r="C4790" i="4"/>
  <c r="C4789" i="4"/>
  <c r="C4788" i="4"/>
  <c r="C4787" i="4"/>
  <c r="C4786" i="4"/>
  <c r="C4785" i="4"/>
  <c r="C4784" i="4"/>
  <c r="C4783" i="4"/>
  <c r="C4782" i="4"/>
  <c r="C4781" i="4"/>
  <c r="C4780" i="4"/>
  <c r="C4779" i="4"/>
  <c r="C4778" i="4"/>
  <c r="C4777" i="4"/>
  <c r="C4776" i="4"/>
  <c r="C4775" i="4"/>
  <c r="C4774" i="4"/>
  <c r="C4773" i="4"/>
  <c r="C4772" i="4"/>
  <c r="C4771" i="4"/>
  <c r="C4770" i="4"/>
  <c r="C4769" i="4"/>
  <c r="C4768" i="4"/>
  <c r="C4767" i="4"/>
  <c r="C4766" i="4"/>
  <c r="C4765" i="4"/>
  <c r="C4764" i="4"/>
  <c r="C4763" i="4"/>
  <c r="C4762" i="4"/>
  <c r="C4761" i="4"/>
  <c r="C4760" i="4"/>
  <c r="C4759" i="4"/>
  <c r="C4758" i="4"/>
  <c r="C4757" i="4"/>
  <c r="C4756" i="4"/>
  <c r="C4755" i="4"/>
  <c r="C4754" i="4"/>
  <c r="C4753" i="4"/>
  <c r="C4752" i="4"/>
  <c r="C4751" i="4"/>
  <c r="C4750" i="4"/>
  <c r="C4749" i="4"/>
  <c r="C4748" i="4"/>
  <c r="C4747" i="4"/>
  <c r="C4746" i="4"/>
  <c r="C4745" i="4"/>
  <c r="C4744" i="4"/>
  <c r="C4743" i="4"/>
  <c r="C4742" i="4"/>
  <c r="C4741" i="4"/>
  <c r="C4740" i="4"/>
  <c r="C4739" i="4"/>
  <c r="C4738" i="4"/>
  <c r="C4737" i="4"/>
  <c r="C4736" i="4"/>
  <c r="C4735" i="4"/>
  <c r="C4734" i="4"/>
  <c r="C4733" i="4"/>
  <c r="C4732" i="4"/>
  <c r="C4731" i="4"/>
  <c r="C4730" i="4"/>
  <c r="C4729" i="4"/>
  <c r="C4728" i="4"/>
  <c r="C4727" i="4"/>
  <c r="C4726" i="4"/>
  <c r="C4725" i="4"/>
  <c r="C4724" i="4"/>
  <c r="C4723" i="4"/>
  <c r="C4722" i="4"/>
  <c r="C4721" i="4"/>
  <c r="C4720" i="4"/>
  <c r="C4719" i="4"/>
  <c r="C4718" i="4"/>
  <c r="C4717" i="4"/>
  <c r="C4716" i="4"/>
  <c r="C4715" i="4"/>
  <c r="C4714" i="4"/>
  <c r="C4713" i="4"/>
  <c r="C4712" i="4"/>
  <c r="C4711" i="4"/>
  <c r="C4710" i="4"/>
  <c r="C4709" i="4"/>
  <c r="C4708" i="4"/>
  <c r="C4707" i="4"/>
  <c r="C4706" i="4"/>
  <c r="C4705" i="4"/>
  <c r="C4704" i="4"/>
  <c r="C4703" i="4"/>
  <c r="C4702" i="4"/>
  <c r="C4701" i="4"/>
  <c r="C4700" i="4"/>
  <c r="C4699" i="4"/>
  <c r="C4698" i="4"/>
  <c r="C4697" i="4"/>
  <c r="C4696" i="4"/>
  <c r="C4695" i="4"/>
  <c r="C4694" i="4"/>
  <c r="C4693" i="4"/>
  <c r="C4692" i="4"/>
  <c r="C4691" i="4"/>
  <c r="C4690" i="4"/>
  <c r="C4689" i="4"/>
  <c r="C4688" i="4"/>
  <c r="C4687" i="4"/>
  <c r="C4686" i="4"/>
  <c r="C4685" i="4"/>
  <c r="C4684" i="4"/>
  <c r="C4683" i="4"/>
  <c r="C4682" i="4"/>
  <c r="C4681" i="4"/>
  <c r="C4680" i="4"/>
  <c r="C4679" i="4"/>
  <c r="C4678" i="4"/>
  <c r="C4677" i="4"/>
  <c r="C4676" i="4"/>
  <c r="C4675" i="4"/>
  <c r="C4674" i="4"/>
  <c r="C4673" i="4"/>
  <c r="C4672" i="4"/>
  <c r="C4671" i="4"/>
  <c r="C4670" i="4"/>
  <c r="C4669" i="4"/>
  <c r="C4668" i="4"/>
  <c r="C4667" i="4"/>
  <c r="C4666" i="4"/>
  <c r="C4665" i="4"/>
  <c r="C4664" i="4"/>
  <c r="C4663" i="4"/>
  <c r="C4662" i="4"/>
  <c r="C4661" i="4"/>
  <c r="C4660" i="4"/>
  <c r="C4659" i="4"/>
  <c r="C4658" i="4"/>
  <c r="C4657" i="4"/>
  <c r="C4656" i="4"/>
  <c r="C4655" i="4"/>
  <c r="C4654" i="4"/>
  <c r="C4653" i="4"/>
  <c r="C4652" i="4"/>
  <c r="C4651" i="4"/>
  <c r="C4650" i="4"/>
  <c r="C4649" i="4"/>
  <c r="C4648" i="4"/>
  <c r="C4647" i="4"/>
  <c r="C4646" i="4"/>
  <c r="C4645" i="4"/>
  <c r="C4644" i="4"/>
  <c r="C4643" i="4"/>
  <c r="C4642" i="4"/>
  <c r="C4641" i="4"/>
  <c r="C4640" i="4"/>
  <c r="C4639" i="4"/>
  <c r="C4638" i="4"/>
  <c r="C4637" i="4"/>
  <c r="C4636" i="4"/>
  <c r="C4635" i="4"/>
  <c r="C4634" i="4"/>
  <c r="C4633" i="4"/>
  <c r="C4632" i="4"/>
  <c r="C4631" i="4"/>
  <c r="C4630" i="4"/>
  <c r="C4629" i="4"/>
  <c r="C4628" i="4"/>
  <c r="C4627" i="4"/>
  <c r="C4626" i="4"/>
  <c r="C4625" i="4"/>
  <c r="C4624" i="4"/>
  <c r="C4623" i="4"/>
  <c r="C4622" i="4"/>
  <c r="C4621" i="4"/>
  <c r="C4620" i="4"/>
  <c r="C4619" i="4"/>
  <c r="C4618" i="4"/>
  <c r="C4617" i="4"/>
  <c r="C4616" i="4"/>
  <c r="C4615" i="4"/>
  <c r="C4614" i="4"/>
  <c r="C4613" i="4"/>
  <c r="C4612" i="4"/>
  <c r="C4611" i="4"/>
  <c r="C4610" i="4"/>
  <c r="C4609" i="4"/>
  <c r="C4608" i="4"/>
  <c r="C4607" i="4"/>
  <c r="C4606" i="4"/>
  <c r="C4605" i="4"/>
  <c r="C4604" i="4"/>
  <c r="C4603" i="4"/>
  <c r="C4602" i="4"/>
  <c r="C4601" i="4"/>
  <c r="C4600" i="4"/>
  <c r="C4599" i="4"/>
  <c r="C4598" i="4"/>
  <c r="C4597" i="4"/>
  <c r="C4596" i="4"/>
  <c r="C4595" i="4"/>
  <c r="C4594" i="4"/>
  <c r="C4593" i="4"/>
  <c r="C4592" i="4"/>
  <c r="C4591" i="4"/>
  <c r="C4590" i="4"/>
  <c r="C4589" i="4"/>
  <c r="C4588" i="4"/>
  <c r="C4587" i="4"/>
  <c r="C4586" i="4"/>
  <c r="C4585" i="4"/>
  <c r="C4584" i="4"/>
  <c r="C4583" i="4"/>
  <c r="C4582" i="4"/>
  <c r="C4581" i="4"/>
  <c r="C4580" i="4"/>
  <c r="C4579" i="4"/>
  <c r="C4578" i="4"/>
  <c r="C4577" i="4"/>
  <c r="C4576" i="4"/>
  <c r="C4575" i="4"/>
  <c r="C4574" i="4"/>
  <c r="C4573" i="4"/>
  <c r="C4572" i="4"/>
  <c r="C4571" i="4"/>
  <c r="C4570" i="4"/>
  <c r="C4569" i="4"/>
  <c r="C4568" i="4"/>
  <c r="C4567" i="4"/>
  <c r="C4566" i="4"/>
  <c r="C4565" i="4"/>
  <c r="C4564" i="4"/>
  <c r="C4563" i="4"/>
  <c r="C4562" i="4"/>
  <c r="C4561" i="4"/>
  <c r="C4560" i="4"/>
  <c r="C4559" i="4"/>
  <c r="C4558" i="4"/>
  <c r="C4557" i="4"/>
  <c r="C4556" i="4"/>
  <c r="C4555" i="4"/>
  <c r="C4554" i="4"/>
  <c r="C4553" i="4"/>
  <c r="C4552" i="4"/>
  <c r="C4551" i="4"/>
  <c r="C4550" i="4"/>
  <c r="C4549" i="4"/>
  <c r="C4548" i="4"/>
  <c r="C4547" i="4"/>
  <c r="C4546" i="4"/>
  <c r="C4545" i="4"/>
  <c r="C4544" i="4"/>
  <c r="C4543" i="4"/>
  <c r="C4542" i="4"/>
  <c r="C4541" i="4"/>
  <c r="C4540" i="4"/>
  <c r="C4539" i="4"/>
  <c r="C4538" i="4"/>
  <c r="C4537" i="4"/>
  <c r="C4536" i="4"/>
  <c r="C4535" i="4"/>
  <c r="C4534" i="4"/>
  <c r="C4533" i="4"/>
  <c r="C4532" i="4"/>
  <c r="C4531" i="4"/>
  <c r="C4530" i="4"/>
  <c r="C4529" i="4"/>
  <c r="C4528" i="4"/>
  <c r="C4527" i="4"/>
  <c r="C4526" i="4"/>
  <c r="C4525" i="4"/>
  <c r="C4524" i="4"/>
  <c r="C4523" i="4"/>
  <c r="C4522" i="4"/>
  <c r="C4521" i="4"/>
  <c r="C4520" i="4"/>
  <c r="C4519" i="4"/>
  <c r="C4518" i="4"/>
  <c r="C4517" i="4"/>
  <c r="C4516" i="4"/>
  <c r="C4515" i="4"/>
  <c r="C4514" i="4"/>
  <c r="C4513" i="4"/>
  <c r="C4512" i="4"/>
  <c r="C4511" i="4"/>
  <c r="C4510" i="4"/>
  <c r="C4509" i="4"/>
  <c r="C4508" i="4"/>
  <c r="C4507" i="4"/>
  <c r="C4506" i="4"/>
  <c r="C4505" i="4"/>
  <c r="C4504" i="4"/>
  <c r="C4503" i="4"/>
  <c r="C4502" i="4"/>
  <c r="C4501" i="4"/>
  <c r="C4500" i="4"/>
  <c r="C4499" i="4"/>
  <c r="C4498" i="4"/>
  <c r="C4497" i="4"/>
  <c r="C4496" i="4"/>
  <c r="C4495" i="4"/>
  <c r="C4494" i="4"/>
  <c r="C4493" i="4"/>
  <c r="C4492" i="4"/>
  <c r="C4491" i="4"/>
  <c r="C4490" i="4"/>
  <c r="C4489" i="4"/>
  <c r="C4488" i="4"/>
  <c r="C4487" i="4"/>
  <c r="C4486" i="4"/>
  <c r="C4485" i="4"/>
  <c r="C4484" i="4"/>
  <c r="C4483" i="4"/>
  <c r="C4482" i="4"/>
  <c r="C4481" i="4"/>
  <c r="C4480" i="4"/>
  <c r="C4479" i="4"/>
  <c r="C4478" i="4"/>
  <c r="C4477" i="4"/>
  <c r="C4476" i="4"/>
  <c r="C4475" i="4"/>
  <c r="C4474" i="4"/>
  <c r="C4473" i="4"/>
  <c r="C4472" i="4"/>
  <c r="C4471" i="4"/>
  <c r="C4470" i="4"/>
  <c r="C4469" i="4"/>
  <c r="C4468" i="4"/>
  <c r="C4467" i="4"/>
  <c r="C4466" i="4"/>
  <c r="C4465" i="4"/>
  <c r="C4464" i="4"/>
  <c r="C4463" i="4"/>
  <c r="C4462" i="4"/>
  <c r="C4461" i="4"/>
  <c r="C4460" i="4"/>
  <c r="C4459" i="4"/>
  <c r="C4458" i="4"/>
  <c r="C4457" i="4"/>
  <c r="C4456" i="4"/>
  <c r="C4455" i="4"/>
  <c r="C4454" i="4"/>
  <c r="C4453" i="4"/>
  <c r="C4452" i="4"/>
  <c r="C4451" i="4"/>
  <c r="C4450" i="4"/>
  <c r="C4449" i="4"/>
  <c r="C4448" i="4"/>
  <c r="C4447" i="4"/>
  <c r="C4446" i="4"/>
  <c r="C4445" i="4"/>
  <c r="C4444" i="4"/>
  <c r="C4443" i="4"/>
  <c r="C4442" i="4"/>
  <c r="C4441" i="4"/>
  <c r="C4440" i="4"/>
  <c r="C4439" i="4"/>
  <c r="C4438" i="4"/>
  <c r="C4437" i="4"/>
  <c r="C4436" i="4"/>
  <c r="C4435" i="4"/>
  <c r="C4434" i="4"/>
  <c r="C4433" i="4"/>
  <c r="C4432" i="4"/>
  <c r="C4431" i="4"/>
  <c r="C4430" i="4"/>
  <c r="C4429" i="4"/>
  <c r="C4428" i="4"/>
  <c r="C4427" i="4"/>
  <c r="C4426" i="4"/>
  <c r="C4425" i="4"/>
  <c r="C4424" i="4"/>
  <c r="C4423" i="4"/>
  <c r="C4422" i="4"/>
  <c r="C4421" i="4"/>
  <c r="C4420" i="4"/>
  <c r="C4419" i="4"/>
  <c r="C4418" i="4"/>
  <c r="C4417" i="4"/>
  <c r="C4416" i="4"/>
  <c r="C4415" i="4"/>
  <c r="C4414" i="4"/>
  <c r="C4413" i="4"/>
  <c r="C4412" i="4"/>
  <c r="C4411" i="4"/>
  <c r="C4410" i="4"/>
  <c r="C4409" i="4"/>
  <c r="C4408" i="4"/>
  <c r="C4407" i="4"/>
  <c r="C4406" i="4"/>
  <c r="C4405" i="4"/>
  <c r="C4404" i="4"/>
  <c r="C4403" i="4"/>
  <c r="C4402" i="4"/>
  <c r="C4401" i="4"/>
  <c r="C4400" i="4"/>
  <c r="C4399" i="4"/>
  <c r="C4398" i="4"/>
  <c r="C4397" i="4"/>
  <c r="C4396" i="4"/>
  <c r="C4395" i="4"/>
  <c r="C4394" i="4"/>
  <c r="C4393" i="4"/>
  <c r="C4392" i="4"/>
  <c r="C4391" i="4"/>
  <c r="C4390" i="4"/>
  <c r="C4389" i="4"/>
  <c r="C4388" i="4"/>
  <c r="C4387" i="4"/>
  <c r="C4386" i="4"/>
  <c r="C4385" i="4"/>
  <c r="C4384" i="4"/>
  <c r="C4383" i="4"/>
  <c r="C4382" i="4"/>
  <c r="C4381" i="4"/>
  <c r="C4380" i="4"/>
  <c r="C4379" i="4"/>
  <c r="C4378" i="4"/>
  <c r="C4377" i="4"/>
  <c r="C4376" i="4"/>
  <c r="C4375" i="4"/>
  <c r="C4374" i="4"/>
  <c r="C4373" i="4"/>
  <c r="C4372" i="4"/>
  <c r="C4371" i="4"/>
  <c r="C4370" i="4"/>
  <c r="C4369" i="4"/>
  <c r="C4368" i="4"/>
  <c r="C4367" i="4"/>
  <c r="C4366" i="4"/>
  <c r="C4365" i="4"/>
  <c r="C4364" i="4"/>
  <c r="C4363" i="4"/>
  <c r="C4362" i="4"/>
  <c r="C4361" i="4"/>
  <c r="C4360" i="4"/>
  <c r="C4359" i="4"/>
  <c r="C4358" i="4"/>
  <c r="C4357" i="4"/>
  <c r="C4356" i="4"/>
  <c r="C4355" i="4"/>
  <c r="C4354" i="4"/>
  <c r="C4353" i="4"/>
  <c r="C4352" i="4"/>
  <c r="C4351" i="4"/>
  <c r="C4350" i="4"/>
  <c r="C4349" i="4"/>
  <c r="C4348" i="4"/>
  <c r="C4347" i="4"/>
  <c r="C4346" i="4"/>
  <c r="C4345" i="4"/>
  <c r="C4344" i="4"/>
  <c r="C4343" i="4"/>
  <c r="C4342" i="4"/>
  <c r="C4341" i="4"/>
  <c r="C4340" i="4"/>
  <c r="C4339" i="4"/>
  <c r="C4338" i="4"/>
  <c r="C4337" i="4"/>
  <c r="C4336" i="4"/>
  <c r="C4335" i="4"/>
  <c r="C4334" i="4"/>
  <c r="C4333" i="4"/>
  <c r="C4332" i="4"/>
  <c r="C4331" i="4"/>
  <c r="C4330" i="4"/>
  <c r="C4329" i="4"/>
  <c r="C4328" i="4"/>
  <c r="C4327" i="4"/>
  <c r="C4326" i="4"/>
  <c r="C4325" i="4"/>
  <c r="C4324" i="4"/>
  <c r="C4323" i="4"/>
  <c r="C4322" i="4"/>
  <c r="C4321" i="4"/>
  <c r="C4320" i="4"/>
  <c r="C4319" i="4"/>
  <c r="C4318" i="4"/>
  <c r="C4317" i="4"/>
  <c r="C4316" i="4"/>
  <c r="C4315" i="4"/>
  <c r="C4314" i="4"/>
  <c r="C4313" i="4"/>
  <c r="C4312" i="4"/>
  <c r="C4311" i="4"/>
  <c r="C4310" i="4"/>
  <c r="C4309" i="4"/>
  <c r="C4308" i="4"/>
  <c r="C4307" i="4"/>
  <c r="C4306" i="4"/>
  <c r="C4305" i="4"/>
  <c r="C4304" i="4"/>
  <c r="C4303" i="4"/>
  <c r="C4302" i="4"/>
  <c r="C4301" i="4"/>
  <c r="C4300" i="4"/>
  <c r="C4299" i="4"/>
  <c r="C4298" i="4"/>
  <c r="C4297" i="4"/>
  <c r="C4296" i="4"/>
  <c r="C4295" i="4"/>
  <c r="C4294" i="4"/>
  <c r="C4293" i="4"/>
  <c r="C4292" i="4"/>
  <c r="C4291" i="4"/>
  <c r="C4290" i="4"/>
  <c r="C4289" i="4"/>
  <c r="C4288" i="4"/>
  <c r="C4287" i="4"/>
  <c r="C4286" i="4"/>
  <c r="C4285" i="4"/>
  <c r="C4284" i="4"/>
  <c r="C4283" i="4"/>
  <c r="C4282" i="4"/>
  <c r="C4281" i="4"/>
  <c r="C4280" i="4"/>
  <c r="C4279" i="4"/>
  <c r="C4278" i="4"/>
  <c r="C4277" i="4"/>
  <c r="C4276" i="4"/>
  <c r="C4275" i="4"/>
  <c r="C4274" i="4"/>
  <c r="C4273" i="4"/>
  <c r="C4272" i="4"/>
  <c r="C4271" i="4"/>
  <c r="C4270" i="4"/>
  <c r="C4269" i="4"/>
  <c r="C4268" i="4"/>
  <c r="C4267" i="4"/>
  <c r="C4266" i="4"/>
  <c r="C4265" i="4"/>
  <c r="C4264" i="4"/>
  <c r="C4263" i="4"/>
  <c r="C4262" i="4"/>
  <c r="C4261" i="4"/>
  <c r="C4260" i="4"/>
  <c r="C4259" i="4"/>
  <c r="C4258" i="4"/>
  <c r="C4257" i="4"/>
  <c r="C4256" i="4"/>
  <c r="C4255" i="4"/>
  <c r="C4254" i="4"/>
  <c r="C4253" i="4"/>
  <c r="C4252" i="4"/>
  <c r="C4251" i="4"/>
  <c r="C4250" i="4"/>
  <c r="C4249" i="4"/>
  <c r="C4248" i="4"/>
  <c r="C4247" i="4"/>
  <c r="C4246" i="4"/>
  <c r="C4245" i="4"/>
  <c r="C4244" i="4"/>
  <c r="C4243" i="4"/>
  <c r="C4242" i="4"/>
  <c r="C4241" i="4"/>
  <c r="C4240" i="4"/>
  <c r="C4239" i="4"/>
  <c r="C4238" i="4"/>
  <c r="C4237" i="4"/>
  <c r="C4236" i="4"/>
  <c r="C4235" i="4"/>
  <c r="C4234" i="4"/>
  <c r="C4233" i="4"/>
  <c r="C4232" i="4"/>
  <c r="C4231" i="4"/>
  <c r="C4230" i="4"/>
  <c r="C4229" i="4"/>
  <c r="C4228" i="4"/>
  <c r="C4227" i="4"/>
  <c r="C4226" i="4"/>
  <c r="C4225" i="4"/>
  <c r="C4224" i="4"/>
  <c r="C4223" i="4"/>
  <c r="C4222" i="4"/>
  <c r="C4221" i="4"/>
  <c r="C4220" i="4"/>
  <c r="C4219" i="4"/>
  <c r="C4218" i="4"/>
  <c r="C4217" i="4"/>
  <c r="C4216" i="4"/>
  <c r="C4215" i="4"/>
  <c r="C4214" i="4"/>
  <c r="C4213" i="4"/>
  <c r="C4212" i="4"/>
  <c r="C4211" i="4"/>
  <c r="C4210" i="4"/>
  <c r="C4209" i="4"/>
  <c r="C4208" i="4"/>
  <c r="C4207" i="4"/>
  <c r="C4206" i="4"/>
  <c r="C4205" i="4"/>
  <c r="C4204" i="4"/>
  <c r="C4203" i="4"/>
  <c r="C4202" i="4"/>
  <c r="C4201" i="4"/>
  <c r="C4200" i="4"/>
  <c r="C4199" i="4"/>
  <c r="C4198" i="4"/>
  <c r="C4197" i="4"/>
  <c r="C4196" i="4"/>
  <c r="C4195" i="4"/>
  <c r="C4194" i="4"/>
  <c r="C4193" i="4"/>
  <c r="C4192" i="4"/>
  <c r="C4191" i="4"/>
  <c r="C4190" i="4"/>
  <c r="C4189" i="4"/>
  <c r="C4188" i="4"/>
  <c r="C4187" i="4"/>
  <c r="C4186" i="4"/>
  <c r="C4185" i="4"/>
  <c r="C4184" i="4"/>
  <c r="C4183" i="4"/>
  <c r="C4182" i="4"/>
  <c r="C4181" i="4"/>
  <c r="C4180" i="4"/>
  <c r="C4179" i="4"/>
  <c r="C4178" i="4"/>
  <c r="C4177" i="4"/>
  <c r="C4176" i="4"/>
  <c r="C4175" i="4"/>
  <c r="C4174" i="4"/>
  <c r="C4173" i="4"/>
  <c r="C4172" i="4"/>
  <c r="C4171" i="4"/>
  <c r="C4170" i="4"/>
  <c r="C4169" i="4"/>
  <c r="C4168" i="4"/>
  <c r="C4167" i="4"/>
  <c r="C4166" i="4"/>
  <c r="C4165" i="4"/>
  <c r="C4164" i="4"/>
  <c r="C4163" i="4"/>
  <c r="C4162" i="4"/>
  <c r="C4161" i="4"/>
  <c r="C4160" i="4"/>
  <c r="C4159" i="4"/>
  <c r="C4158" i="4"/>
  <c r="C4157" i="4"/>
  <c r="C4156" i="4"/>
  <c r="C4155" i="4"/>
  <c r="C4154" i="4"/>
  <c r="C4153" i="4"/>
  <c r="C4152" i="4"/>
  <c r="C4151" i="4"/>
  <c r="C4150" i="4"/>
  <c r="C4149" i="4"/>
  <c r="C4148" i="4"/>
  <c r="C4147" i="4"/>
  <c r="C4146" i="4"/>
  <c r="C4145" i="4"/>
  <c r="C4144" i="4"/>
  <c r="C4143" i="4"/>
  <c r="C4142" i="4"/>
  <c r="C4141" i="4"/>
  <c r="C4140" i="4"/>
  <c r="C4139" i="4"/>
  <c r="C4138" i="4"/>
  <c r="C4137" i="4"/>
  <c r="C4136" i="4"/>
  <c r="C4135" i="4"/>
  <c r="C4134" i="4"/>
  <c r="C4133" i="4"/>
  <c r="C4132" i="4"/>
  <c r="C4131" i="4"/>
  <c r="C4130" i="4"/>
  <c r="C4129" i="4"/>
  <c r="C4128" i="4"/>
  <c r="C4127" i="4"/>
  <c r="C4126" i="4"/>
  <c r="C4125" i="4"/>
  <c r="C4124" i="4"/>
  <c r="C4123" i="4"/>
  <c r="C4122" i="4"/>
  <c r="C4121" i="4"/>
  <c r="C4120" i="4"/>
  <c r="C4119" i="4"/>
  <c r="C4118" i="4"/>
  <c r="C4117" i="4"/>
  <c r="C4116" i="4"/>
  <c r="C4115" i="4"/>
  <c r="C4114" i="4"/>
  <c r="C4113" i="4"/>
  <c r="C4112" i="4"/>
  <c r="C4111" i="4"/>
  <c r="C4110" i="4"/>
  <c r="C4109" i="4"/>
  <c r="C4108" i="4"/>
  <c r="C4107" i="4"/>
  <c r="C4106" i="4"/>
  <c r="C4105" i="4"/>
  <c r="C4104" i="4"/>
  <c r="C4103" i="4"/>
  <c r="C4102" i="4"/>
  <c r="C4101" i="4"/>
  <c r="C4100" i="4"/>
  <c r="C4099" i="4"/>
  <c r="C4098" i="4"/>
  <c r="C4097" i="4"/>
  <c r="C4096" i="4"/>
  <c r="C4095" i="4"/>
  <c r="C4094" i="4"/>
  <c r="C4093" i="4"/>
  <c r="C4092" i="4"/>
  <c r="C4091" i="4"/>
  <c r="C4090" i="4"/>
  <c r="C4089" i="4"/>
  <c r="C4088" i="4"/>
  <c r="C4087" i="4"/>
  <c r="C4086" i="4"/>
  <c r="C4085" i="4"/>
  <c r="C4084" i="4"/>
  <c r="C4083" i="4"/>
  <c r="C4082" i="4"/>
  <c r="C4081" i="4"/>
  <c r="C4080" i="4"/>
  <c r="C4079" i="4"/>
  <c r="C4078" i="4"/>
  <c r="C4077" i="4"/>
  <c r="C4076" i="4"/>
  <c r="C4075" i="4"/>
  <c r="C4074" i="4"/>
  <c r="C4073" i="4"/>
  <c r="C4072" i="4"/>
  <c r="C4071" i="4"/>
  <c r="C4070" i="4"/>
  <c r="C4069" i="4"/>
  <c r="C4068" i="4"/>
  <c r="C4067" i="4"/>
  <c r="C4066" i="4"/>
  <c r="C4065" i="4"/>
  <c r="C4064" i="4"/>
  <c r="C4063" i="4"/>
  <c r="C4062" i="4"/>
  <c r="C4061" i="4"/>
  <c r="C4060" i="4"/>
  <c r="C4059" i="4"/>
  <c r="C4058" i="4"/>
  <c r="C4057" i="4"/>
  <c r="C4056" i="4"/>
  <c r="C4055" i="4"/>
  <c r="C4054" i="4"/>
  <c r="C4053" i="4"/>
  <c r="C4052" i="4"/>
  <c r="C4051" i="4"/>
  <c r="C4050" i="4"/>
  <c r="C4049" i="4"/>
  <c r="C4048" i="4"/>
  <c r="C4047" i="4"/>
  <c r="C4046" i="4"/>
  <c r="C4045" i="4"/>
  <c r="C4044" i="4"/>
  <c r="C4043" i="4"/>
  <c r="C4042" i="4"/>
  <c r="C4041" i="4"/>
  <c r="C4040" i="4"/>
  <c r="C4039" i="4"/>
  <c r="C4038" i="4"/>
  <c r="C4037" i="4"/>
  <c r="C4036" i="4"/>
  <c r="C4035" i="4"/>
  <c r="C4034" i="4"/>
  <c r="C4033" i="4"/>
  <c r="C4032" i="4"/>
  <c r="C4031" i="4"/>
  <c r="C4030" i="4"/>
  <c r="C4029" i="4"/>
  <c r="C4028" i="4"/>
  <c r="C4027" i="4"/>
  <c r="C4026" i="4"/>
  <c r="C4025" i="4"/>
  <c r="C4024" i="4"/>
  <c r="C4023" i="4"/>
  <c r="C4022" i="4"/>
  <c r="C4021" i="4"/>
  <c r="C4020" i="4"/>
  <c r="C4019" i="4"/>
  <c r="C4018" i="4"/>
  <c r="C4017" i="4"/>
  <c r="C4016" i="4"/>
  <c r="C4015" i="4"/>
  <c r="C4014" i="4"/>
  <c r="C4013" i="4"/>
  <c r="C4012" i="4"/>
  <c r="C4011" i="4"/>
  <c r="C4010" i="4"/>
  <c r="C4009" i="4"/>
  <c r="C4008" i="4"/>
  <c r="C4007" i="4"/>
  <c r="C4006" i="4"/>
  <c r="C4005" i="4"/>
  <c r="C4004" i="4"/>
  <c r="C4003" i="4"/>
  <c r="C4002" i="4"/>
  <c r="C4001" i="4"/>
  <c r="C4000" i="4"/>
  <c r="C3999" i="4"/>
  <c r="C3998" i="4"/>
  <c r="C3997" i="4"/>
  <c r="C3996" i="4"/>
  <c r="C3995" i="4"/>
  <c r="C3994" i="4"/>
  <c r="C3993" i="4"/>
  <c r="C3992" i="4"/>
  <c r="C3991" i="4"/>
  <c r="C3990" i="4"/>
  <c r="C3989" i="4"/>
  <c r="C3988" i="4"/>
  <c r="C3987" i="4"/>
  <c r="C3986" i="4"/>
  <c r="C3985" i="4"/>
  <c r="C3984" i="4"/>
  <c r="C3983" i="4"/>
  <c r="C3982" i="4"/>
  <c r="C3981" i="4"/>
  <c r="C3980" i="4"/>
  <c r="C3979" i="4"/>
  <c r="C3978" i="4"/>
  <c r="C3977" i="4"/>
  <c r="C3976" i="4"/>
  <c r="C3975" i="4"/>
  <c r="C3974" i="4"/>
  <c r="C3973" i="4"/>
  <c r="C3972" i="4"/>
  <c r="C3971" i="4"/>
  <c r="C3970" i="4"/>
  <c r="C3969" i="4"/>
  <c r="C3968" i="4"/>
  <c r="C3967" i="4"/>
  <c r="C3966" i="4"/>
  <c r="C3965" i="4"/>
  <c r="C3964" i="4"/>
  <c r="C3963" i="4"/>
  <c r="C3962" i="4"/>
  <c r="C3961" i="4"/>
  <c r="C3960" i="4"/>
  <c r="C3959" i="4"/>
  <c r="C3958" i="4"/>
  <c r="C3957" i="4"/>
  <c r="C3956" i="4"/>
  <c r="C3955" i="4"/>
  <c r="C3954" i="4"/>
  <c r="C3953" i="4"/>
  <c r="C3952" i="4"/>
  <c r="C3951" i="4"/>
  <c r="C3950" i="4"/>
  <c r="C3949" i="4"/>
  <c r="C3948" i="4"/>
  <c r="C3947" i="4"/>
  <c r="C3946" i="4"/>
  <c r="C3945" i="4"/>
  <c r="C3944" i="4"/>
  <c r="C3943" i="4"/>
  <c r="C3942" i="4"/>
  <c r="C3941" i="4"/>
  <c r="C3940" i="4"/>
  <c r="C3939" i="4"/>
  <c r="C3938" i="4"/>
  <c r="C3937" i="4"/>
  <c r="C3936" i="4"/>
  <c r="C3935" i="4"/>
  <c r="C3934" i="4"/>
  <c r="C3933" i="4"/>
  <c r="C3932" i="4"/>
  <c r="C3931" i="4"/>
  <c r="C3930" i="4"/>
  <c r="C3929" i="4"/>
  <c r="C3928" i="4"/>
  <c r="C3927" i="4"/>
  <c r="C3926" i="4"/>
  <c r="C3925" i="4"/>
  <c r="C3924" i="4"/>
  <c r="C3923" i="4"/>
  <c r="C3922" i="4"/>
  <c r="C3921" i="4"/>
  <c r="C3920" i="4"/>
  <c r="C3919" i="4"/>
  <c r="C3918" i="4"/>
  <c r="C3917" i="4"/>
  <c r="C3916" i="4"/>
  <c r="C3915" i="4"/>
  <c r="C3914" i="4"/>
  <c r="C3913" i="4"/>
  <c r="C3912" i="4"/>
  <c r="C3911" i="4"/>
  <c r="C3910" i="4"/>
  <c r="C3909" i="4"/>
  <c r="C3908" i="4"/>
  <c r="C3907" i="4"/>
  <c r="C3906" i="4"/>
  <c r="C3905" i="4"/>
  <c r="C3904" i="4"/>
  <c r="C3903" i="4"/>
  <c r="C3902" i="4"/>
  <c r="C3901" i="4"/>
  <c r="C3900" i="4"/>
  <c r="C3899" i="4"/>
  <c r="C3898" i="4"/>
  <c r="C3897" i="4"/>
  <c r="C3896" i="4"/>
  <c r="C3895" i="4"/>
  <c r="C3894" i="4"/>
  <c r="C3893" i="4"/>
  <c r="C3892" i="4"/>
  <c r="C3891" i="4"/>
  <c r="C3890" i="4"/>
  <c r="C3889" i="4"/>
  <c r="C3888" i="4"/>
  <c r="C3887" i="4"/>
  <c r="C3886" i="4"/>
  <c r="C3885" i="4"/>
  <c r="C3884" i="4"/>
  <c r="C3883" i="4"/>
  <c r="C3882" i="4"/>
  <c r="C3881" i="4"/>
  <c r="C3880" i="4"/>
  <c r="C3879" i="4"/>
  <c r="C3878" i="4"/>
  <c r="C3877" i="4"/>
  <c r="C3876" i="4"/>
  <c r="C3875" i="4"/>
  <c r="C3874" i="4"/>
  <c r="C3873" i="4"/>
  <c r="C3872" i="4"/>
  <c r="C3871" i="4"/>
  <c r="C3870" i="4"/>
  <c r="C3869" i="4"/>
  <c r="C3868" i="4"/>
  <c r="C3867" i="4"/>
  <c r="C3866" i="4"/>
  <c r="C3865" i="4"/>
  <c r="C3864" i="4"/>
  <c r="C3863" i="4"/>
  <c r="C3862" i="4"/>
  <c r="C3861" i="4"/>
  <c r="C3860" i="4"/>
  <c r="C3859" i="4"/>
  <c r="C3858" i="4"/>
  <c r="C3857" i="4"/>
  <c r="C3856" i="4"/>
  <c r="C3855" i="4"/>
  <c r="C3854" i="4"/>
  <c r="C3853" i="4"/>
  <c r="C3852" i="4"/>
  <c r="C3851" i="4"/>
  <c r="C3850" i="4"/>
  <c r="C3849" i="4"/>
  <c r="C3848" i="4"/>
  <c r="C3847" i="4"/>
  <c r="C3846" i="4"/>
  <c r="C3845" i="4"/>
  <c r="C3844" i="4"/>
  <c r="C3843" i="4"/>
  <c r="C3842" i="4"/>
  <c r="C3841" i="4"/>
  <c r="C3840" i="4"/>
  <c r="C3839" i="4"/>
  <c r="C3838" i="4"/>
  <c r="C3837" i="4"/>
  <c r="C3836" i="4"/>
  <c r="C3835" i="4"/>
  <c r="C3834" i="4"/>
  <c r="C3833" i="4"/>
  <c r="C3832" i="4"/>
  <c r="C3831" i="4"/>
  <c r="C3830" i="4"/>
  <c r="C3829" i="4"/>
  <c r="C3828" i="4"/>
  <c r="C3827" i="4"/>
  <c r="C3826" i="4"/>
  <c r="C3825" i="4"/>
  <c r="C3824" i="4"/>
  <c r="C3823" i="4"/>
  <c r="C3822" i="4"/>
  <c r="C3821" i="4"/>
  <c r="C3820" i="4"/>
  <c r="C3819" i="4"/>
  <c r="C3818" i="4"/>
  <c r="C3817" i="4"/>
  <c r="C3816" i="4"/>
  <c r="C3815" i="4"/>
  <c r="C3814" i="4"/>
  <c r="C3813" i="4"/>
  <c r="C3812" i="4"/>
  <c r="C3811" i="4"/>
  <c r="C3810" i="4"/>
  <c r="C3809" i="4"/>
  <c r="C3808" i="4"/>
  <c r="C3807" i="4"/>
  <c r="C3806" i="4"/>
  <c r="C3805" i="4"/>
  <c r="C3804" i="4"/>
  <c r="C3803" i="4"/>
  <c r="C3802" i="4"/>
  <c r="C3801" i="4"/>
  <c r="C3800" i="4"/>
  <c r="C3799" i="4"/>
  <c r="C3798" i="4"/>
  <c r="C3797" i="4"/>
  <c r="C3796" i="4"/>
  <c r="C3795" i="4"/>
  <c r="C3794" i="4"/>
  <c r="C3793" i="4"/>
  <c r="C3792" i="4"/>
  <c r="C3791" i="4"/>
  <c r="C3790" i="4"/>
  <c r="C3789" i="4"/>
  <c r="C3788" i="4"/>
  <c r="C3787" i="4"/>
  <c r="C3786" i="4"/>
  <c r="C3785" i="4"/>
  <c r="C3784" i="4"/>
  <c r="C3783" i="4"/>
  <c r="C3782" i="4"/>
  <c r="C3781" i="4"/>
  <c r="C3780" i="4"/>
  <c r="C3779" i="4"/>
  <c r="C3778" i="4"/>
  <c r="C3777" i="4"/>
  <c r="C3776" i="4"/>
  <c r="C3775" i="4"/>
  <c r="C3774" i="4"/>
  <c r="C3773" i="4"/>
  <c r="C3772" i="4"/>
  <c r="C3771" i="4"/>
  <c r="C3770" i="4"/>
  <c r="C3769" i="4"/>
  <c r="C3768" i="4"/>
  <c r="C3767" i="4"/>
  <c r="C3766" i="4"/>
  <c r="C3765" i="4"/>
  <c r="C3764" i="4"/>
  <c r="C3763" i="4"/>
  <c r="C3762" i="4"/>
  <c r="C3761" i="4"/>
  <c r="C3760" i="4"/>
  <c r="C3759" i="4"/>
  <c r="C3758" i="4"/>
  <c r="C3757" i="4"/>
  <c r="C3756" i="4"/>
  <c r="C3755" i="4"/>
  <c r="C3754" i="4"/>
  <c r="C3753" i="4"/>
  <c r="C3752" i="4"/>
  <c r="C3751" i="4"/>
  <c r="C3750" i="4"/>
  <c r="C3749" i="4"/>
  <c r="C3748" i="4"/>
  <c r="C3747" i="4"/>
  <c r="C3746" i="4"/>
  <c r="C3745" i="4"/>
  <c r="C3744" i="4"/>
  <c r="C3743" i="4"/>
  <c r="C3742" i="4"/>
  <c r="C3741" i="4"/>
  <c r="C3740" i="4"/>
  <c r="C3739" i="4"/>
  <c r="C3738" i="4"/>
  <c r="C3737" i="4"/>
  <c r="C3736" i="4"/>
  <c r="C3735" i="4"/>
  <c r="C3734" i="4"/>
  <c r="C3733" i="4"/>
  <c r="C3732" i="4"/>
  <c r="C3731" i="4"/>
  <c r="C3730" i="4"/>
  <c r="C3729" i="4"/>
  <c r="C3728" i="4"/>
  <c r="C3727" i="4"/>
  <c r="C3726" i="4"/>
  <c r="C3725" i="4"/>
  <c r="C3724" i="4"/>
  <c r="C3723" i="4"/>
  <c r="C3722" i="4"/>
  <c r="C3721" i="4"/>
  <c r="C3720" i="4"/>
  <c r="C3719" i="4"/>
  <c r="C3718" i="4"/>
  <c r="C3717" i="4"/>
  <c r="C3716" i="4"/>
  <c r="C3715" i="4"/>
  <c r="C3714" i="4"/>
  <c r="C3713" i="4"/>
  <c r="C3712" i="4"/>
  <c r="C3711" i="4"/>
  <c r="C3710" i="4"/>
  <c r="C3709" i="4"/>
  <c r="C3708" i="4"/>
  <c r="C3707" i="4"/>
  <c r="C3706" i="4"/>
  <c r="C3705" i="4"/>
  <c r="C3704" i="4"/>
  <c r="C3703" i="4"/>
  <c r="C3702" i="4"/>
  <c r="C3701" i="4"/>
  <c r="C3700" i="4"/>
  <c r="C3699" i="4"/>
  <c r="C3698" i="4"/>
  <c r="C3697" i="4"/>
  <c r="C3696" i="4"/>
  <c r="C3695" i="4"/>
  <c r="C3694" i="4"/>
  <c r="C3693" i="4"/>
  <c r="C3692" i="4"/>
  <c r="C3691" i="4"/>
  <c r="C3690" i="4"/>
  <c r="C3689" i="4"/>
  <c r="C3688" i="4"/>
  <c r="C3687" i="4"/>
  <c r="C3686" i="4"/>
  <c r="C3685" i="4"/>
  <c r="C3684" i="4"/>
  <c r="C3683" i="4"/>
  <c r="C3682" i="4"/>
  <c r="C3681" i="4"/>
  <c r="C3680" i="4"/>
  <c r="C3679" i="4"/>
  <c r="C3678" i="4"/>
  <c r="C3677" i="4"/>
  <c r="C3676" i="4"/>
  <c r="C3675" i="4"/>
  <c r="C3674" i="4"/>
  <c r="C3673" i="4"/>
  <c r="C3672" i="4"/>
  <c r="C3671" i="4"/>
  <c r="C3670" i="4"/>
  <c r="C3669" i="4"/>
  <c r="C3668" i="4"/>
  <c r="C3667" i="4"/>
  <c r="C3666" i="4"/>
  <c r="C3665" i="4"/>
  <c r="C3664" i="4"/>
  <c r="C3663" i="4"/>
  <c r="C3662" i="4"/>
  <c r="C3661" i="4"/>
  <c r="C3660" i="4"/>
  <c r="C3659" i="4"/>
  <c r="C3658" i="4"/>
  <c r="C3657" i="4"/>
  <c r="C3656" i="4"/>
  <c r="C3655" i="4"/>
  <c r="C3654" i="4"/>
  <c r="C3653" i="4"/>
  <c r="C3652" i="4"/>
  <c r="C3651" i="4"/>
  <c r="C3650" i="4"/>
  <c r="C3649" i="4"/>
  <c r="C3648" i="4"/>
  <c r="C3647" i="4"/>
  <c r="C3646" i="4"/>
  <c r="C3645" i="4"/>
  <c r="C3644" i="4"/>
  <c r="C3643" i="4"/>
  <c r="C3642" i="4"/>
  <c r="C3641" i="4"/>
  <c r="C3640" i="4"/>
  <c r="C3639" i="4"/>
  <c r="C3638" i="4"/>
  <c r="C3637" i="4"/>
  <c r="C3636" i="4"/>
  <c r="C3635" i="4"/>
  <c r="C3634" i="4"/>
  <c r="C3633" i="4"/>
  <c r="C3632" i="4"/>
  <c r="C3631" i="4"/>
  <c r="C3630" i="4"/>
  <c r="C3629" i="4"/>
  <c r="C3628" i="4"/>
  <c r="C3627" i="4"/>
  <c r="C3626" i="4"/>
  <c r="C3625" i="4"/>
  <c r="C3624" i="4"/>
  <c r="C3623" i="4"/>
  <c r="C3622" i="4"/>
  <c r="C3621" i="4"/>
  <c r="C3620" i="4"/>
  <c r="C3619" i="4"/>
  <c r="C3618" i="4"/>
  <c r="C3617" i="4"/>
  <c r="C3616" i="4"/>
  <c r="C3615" i="4"/>
  <c r="C3614" i="4"/>
  <c r="C3613" i="4"/>
  <c r="C3612" i="4"/>
  <c r="C3611" i="4"/>
  <c r="C3610" i="4"/>
  <c r="C3609" i="4"/>
  <c r="C3608" i="4"/>
  <c r="C3607" i="4"/>
  <c r="C3606" i="4"/>
  <c r="C3605" i="4"/>
  <c r="C3604" i="4"/>
  <c r="C3603" i="4"/>
  <c r="C3602" i="4"/>
  <c r="C3601" i="4"/>
  <c r="C3600" i="4"/>
  <c r="C3599" i="4"/>
  <c r="C3598" i="4"/>
  <c r="C3597" i="4"/>
  <c r="C3596" i="4"/>
  <c r="C3595" i="4"/>
  <c r="C3594" i="4"/>
  <c r="C3593" i="4"/>
  <c r="C3592" i="4"/>
  <c r="C3591" i="4"/>
  <c r="C3590" i="4"/>
  <c r="C3589" i="4"/>
  <c r="C3588" i="4"/>
  <c r="C3587" i="4"/>
  <c r="C3586" i="4"/>
  <c r="C3585" i="4"/>
  <c r="C3584" i="4"/>
  <c r="C3583" i="4"/>
  <c r="C3582" i="4"/>
  <c r="C3581" i="4"/>
  <c r="C3580" i="4"/>
  <c r="C3579" i="4"/>
  <c r="C3578" i="4"/>
  <c r="C3577" i="4"/>
  <c r="C3576" i="4"/>
  <c r="C3575" i="4"/>
  <c r="C3574" i="4"/>
  <c r="C3573" i="4"/>
  <c r="C3572" i="4"/>
  <c r="C3571" i="4"/>
  <c r="C3570" i="4"/>
  <c r="C3569" i="4"/>
  <c r="C3568" i="4"/>
  <c r="C3567" i="4"/>
  <c r="C3566" i="4"/>
  <c r="C3565" i="4"/>
  <c r="C3564" i="4"/>
  <c r="C3563" i="4"/>
  <c r="C3562" i="4"/>
  <c r="C3561" i="4"/>
  <c r="C3560" i="4"/>
  <c r="C3559" i="4"/>
  <c r="C3558" i="4"/>
  <c r="C3557" i="4"/>
  <c r="C3556" i="4"/>
  <c r="C3555" i="4"/>
  <c r="C3554" i="4"/>
  <c r="C3553" i="4"/>
  <c r="C3552" i="4"/>
  <c r="C3551" i="4"/>
  <c r="C3550" i="4"/>
  <c r="C3549" i="4"/>
  <c r="C3548" i="4"/>
  <c r="C3547" i="4"/>
  <c r="C3546" i="4"/>
  <c r="C3545" i="4"/>
  <c r="C3544" i="4"/>
  <c r="C3543" i="4"/>
  <c r="C3542" i="4"/>
  <c r="C3541" i="4"/>
  <c r="C3540" i="4"/>
  <c r="C3539" i="4"/>
  <c r="C3538" i="4"/>
  <c r="C3537" i="4"/>
  <c r="C3536" i="4"/>
  <c r="C3535" i="4"/>
  <c r="C3534" i="4"/>
  <c r="C3533" i="4"/>
  <c r="C3532" i="4"/>
  <c r="C3531" i="4"/>
  <c r="C3530" i="4"/>
  <c r="C3529" i="4"/>
  <c r="C3528" i="4"/>
  <c r="C3527" i="4"/>
  <c r="C3526" i="4"/>
  <c r="C3525" i="4"/>
  <c r="C3524" i="4"/>
  <c r="C3523" i="4"/>
  <c r="C3522" i="4"/>
  <c r="C3521" i="4"/>
  <c r="C3520" i="4"/>
  <c r="C3519" i="4"/>
  <c r="C3518" i="4"/>
  <c r="C3517" i="4"/>
  <c r="C3516" i="4"/>
  <c r="C3515" i="4"/>
  <c r="C3514" i="4"/>
  <c r="C3513" i="4"/>
  <c r="C3512" i="4"/>
  <c r="C3511" i="4"/>
  <c r="C3510" i="4"/>
  <c r="C3509" i="4"/>
  <c r="C3508" i="4"/>
  <c r="C3507" i="4"/>
  <c r="C3506" i="4"/>
  <c r="C3505" i="4"/>
  <c r="C3504" i="4"/>
  <c r="C3503" i="4"/>
  <c r="C3502" i="4"/>
  <c r="C3501" i="4"/>
  <c r="C3500" i="4"/>
  <c r="C3499" i="4"/>
  <c r="C3498" i="4"/>
  <c r="C3497" i="4"/>
  <c r="C3496" i="4"/>
  <c r="C3495" i="4"/>
  <c r="C3494" i="4"/>
  <c r="C3493" i="4"/>
  <c r="C3492" i="4"/>
  <c r="C3491" i="4"/>
  <c r="C3490" i="4"/>
  <c r="C3489" i="4"/>
  <c r="C3488" i="4"/>
  <c r="C3487" i="4"/>
  <c r="C3486" i="4"/>
  <c r="C3485" i="4"/>
  <c r="C3484" i="4"/>
  <c r="C3483" i="4"/>
  <c r="C3482" i="4"/>
  <c r="C3481" i="4"/>
  <c r="C3480" i="4"/>
  <c r="C3479" i="4"/>
  <c r="C3478" i="4"/>
  <c r="C3477" i="4"/>
  <c r="C3476" i="4"/>
  <c r="C3475" i="4"/>
  <c r="C3474" i="4"/>
  <c r="C3473" i="4"/>
  <c r="C3472" i="4"/>
  <c r="C3471" i="4"/>
  <c r="C3470" i="4"/>
  <c r="C3469" i="4"/>
  <c r="C3468" i="4"/>
  <c r="C3467" i="4"/>
  <c r="C3466" i="4"/>
  <c r="C3465" i="4"/>
  <c r="C3464" i="4"/>
  <c r="C3463" i="4"/>
  <c r="C3462" i="4"/>
  <c r="C3461" i="4"/>
  <c r="C3460" i="4"/>
  <c r="C3459" i="4"/>
  <c r="C3458" i="4"/>
  <c r="C3457" i="4"/>
  <c r="C3456" i="4"/>
  <c r="C3455" i="4"/>
  <c r="C3454" i="4"/>
  <c r="C3453" i="4"/>
  <c r="C3452" i="4"/>
  <c r="C3451" i="4"/>
  <c r="C3450" i="4"/>
  <c r="C3449" i="4"/>
  <c r="C3448" i="4"/>
  <c r="C3447" i="4"/>
  <c r="C3446" i="4"/>
  <c r="C3445" i="4"/>
  <c r="C3444" i="4"/>
  <c r="C3443" i="4"/>
  <c r="C3442" i="4"/>
  <c r="C3441" i="4"/>
  <c r="C3440" i="4"/>
  <c r="C3439" i="4"/>
  <c r="C3438" i="4"/>
  <c r="C3437" i="4"/>
  <c r="C3436" i="4"/>
  <c r="C3435" i="4"/>
  <c r="C3434" i="4"/>
  <c r="C3433" i="4"/>
  <c r="C3432" i="4"/>
  <c r="C3431" i="4"/>
  <c r="C3430" i="4"/>
  <c r="C3429" i="4"/>
  <c r="C3428" i="4"/>
  <c r="C3427" i="4"/>
  <c r="C3426" i="4"/>
  <c r="C3425" i="4"/>
  <c r="C3424" i="4"/>
  <c r="C3423" i="4"/>
  <c r="C3422" i="4"/>
  <c r="C3421" i="4"/>
  <c r="C3420" i="4"/>
  <c r="C3419" i="4"/>
  <c r="C3418" i="4"/>
  <c r="C3417" i="4"/>
  <c r="C3416" i="4"/>
  <c r="C3415" i="4"/>
  <c r="C3414" i="4"/>
  <c r="C3413" i="4"/>
  <c r="C3412" i="4"/>
  <c r="C3411" i="4"/>
  <c r="C3410" i="4"/>
  <c r="C3409" i="4"/>
  <c r="C3408" i="4"/>
  <c r="C3407" i="4"/>
  <c r="C3406" i="4"/>
  <c r="C3405" i="4"/>
  <c r="C3404" i="4"/>
  <c r="C3403" i="4"/>
  <c r="C3402" i="4"/>
  <c r="C3401" i="4"/>
  <c r="C3400" i="4"/>
  <c r="C3399" i="4"/>
  <c r="C3398" i="4"/>
  <c r="C3397" i="4"/>
  <c r="C3396" i="4"/>
  <c r="C3395" i="4"/>
  <c r="C3394" i="4"/>
  <c r="C3393" i="4"/>
  <c r="C3392" i="4"/>
  <c r="C3391" i="4"/>
  <c r="C3390" i="4"/>
  <c r="C3389" i="4"/>
  <c r="C3388" i="4"/>
  <c r="C3387" i="4"/>
  <c r="C3386" i="4"/>
  <c r="C3385" i="4"/>
  <c r="C3384" i="4"/>
  <c r="C3383" i="4"/>
  <c r="C3382" i="4"/>
  <c r="C3381" i="4"/>
  <c r="C3380" i="4"/>
  <c r="C3379" i="4"/>
  <c r="C3378" i="4"/>
  <c r="C3377" i="4"/>
  <c r="C3376" i="4"/>
  <c r="C3375" i="4"/>
  <c r="C3374" i="4"/>
  <c r="C3373" i="4"/>
  <c r="C3372" i="4"/>
  <c r="C3371" i="4"/>
  <c r="C3370" i="4"/>
  <c r="C3369" i="4"/>
  <c r="C3368" i="4"/>
  <c r="C3367" i="4"/>
  <c r="C3366" i="4"/>
  <c r="C3365" i="4"/>
  <c r="C3364" i="4"/>
  <c r="C3363" i="4"/>
  <c r="C3362" i="4"/>
  <c r="C3361" i="4"/>
  <c r="C3360" i="4"/>
  <c r="C3359" i="4"/>
  <c r="C3358" i="4"/>
  <c r="C3357" i="4"/>
  <c r="C3356" i="4"/>
  <c r="C3355" i="4"/>
  <c r="C3354" i="4"/>
  <c r="C3353" i="4"/>
  <c r="C3352" i="4"/>
  <c r="C3351" i="4"/>
  <c r="C3350" i="4"/>
  <c r="C3349" i="4"/>
  <c r="C3348" i="4"/>
  <c r="C3347" i="4"/>
  <c r="C3346" i="4"/>
  <c r="C3345" i="4"/>
  <c r="C3344" i="4"/>
  <c r="C3343" i="4"/>
  <c r="C3342" i="4"/>
  <c r="C3341" i="4"/>
  <c r="C3340" i="4"/>
  <c r="C3339" i="4"/>
  <c r="C3338" i="4"/>
  <c r="C3337" i="4"/>
  <c r="C3336" i="4"/>
  <c r="C3335" i="4"/>
  <c r="C3334" i="4"/>
  <c r="C3333" i="4"/>
  <c r="C3332" i="4"/>
  <c r="C3331" i="4"/>
  <c r="C3330" i="4"/>
  <c r="C3329" i="4"/>
  <c r="C3328" i="4"/>
  <c r="C3327" i="4"/>
  <c r="C3326" i="4"/>
  <c r="C3325" i="4"/>
  <c r="C3324" i="4"/>
  <c r="C3323" i="4"/>
  <c r="C3322" i="4"/>
  <c r="C3321" i="4"/>
  <c r="C3320" i="4"/>
  <c r="C3319" i="4"/>
  <c r="C3318" i="4"/>
  <c r="C3317" i="4"/>
  <c r="C3316" i="4"/>
  <c r="C3315" i="4"/>
  <c r="C3314" i="4"/>
  <c r="C3313" i="4"/>
  <c r="C3312" i="4"/>
  <c r="C3311" i="4"/>
  <c r="C3310" i="4"/>
  <c r="C3309" i="4"/>
  <c r="C3308" i="4"/>
  <c r="C3307" i="4"/>
  <c r="C3306" i="4"/>
  <c r="C3305" i="4"/>
  <c r="C3304" i="4"/>
  <c r="C3303" i="4"/>
  <c r="C3302" i="4"/>
  <c r="C3301" i="4"/>
  <c r="C3300" i="4"/>
  <c r="C3299" i="4"/>
  <c r="C3298" i="4"/>
  <c r="C3297" i="4"/>
  <c r="C3296" i="4"/>
  <c r="C3295" i="4"/>
  <c r="C3294" i="4"/>
  <c r="C3293" i="4"/>
  <c r="C3292" i="4"/>
  <c r="C3291" i="4"/>
  <c r="C3290" i="4"/>
  <c r="C3289" i="4"/>
  <c r="C3288" i="4"/>
  <c r="C3287" i="4"/>
  <c r="C3286" i="4"/>
  <c r="C3285" i="4"/>
  <c r="C3284" i="4"/>
  <c r="C3283" i="4"/>
  <c r="C3282" i="4"/>
  <c r="C3281" i="4"/>
  <c r="C3280" i="4"/>
  <c r="C3279" i="4"/>
  <c r="C3278" i="4"/>
  <c r="C3277" i="4"/>
  <c r="C3276" i="4"/>
  <c r="C3275" i="4"/>
  <c r="C3274" i="4"/>
  <c r="C3273" i="4"/>
  <c r="C3272" i="4"/>
  <c r="C3271" i="4"/>
  <c r="C3270" i="4"/>
  <c r="C3269" i="4"/>
  <c r="C3268" i="4"/>
  <c r="C3267" i="4"/>
  <c r="C3266" i="4"/>
  <c r="C3265" i="4"/>
  <c r="C3264" i="4"/>
  <c r="C3263" i="4"/>
  <c r="C3262" i="4"/>
  <c r="C3261" i="4"/>
  <c r="C3260" i="4"/>
  <c r="C3259" i="4"/>
  <c r="C3258" i="4"/>
  <c r="C3257" i="4"/>
  <c r="C3256" i="4"/>
  <c r="C3255" i="4"/>
  <c r="C3254" i="4"/>
  <c r="C3253" i="4"/>
  <c r="C3252" i="4"/>
  <c r="C3251" i="4"/>
  <c r="C3250" i="4"/>
  <c r="C3249" i="4"/>
  <c r="C3248" i="4"/>
  <c r="C3247" i="4"/>
  <c r="C3246" i="4"/>
  <c r="C3245" i="4"/>
  <c r="C3244" i="4"/>
  <c r="C3243" i="4"/>
  <c r="C3242" i="4"/>
  <c r="C3241" i="4"/>
  <c r="C3240" i="4"/>
  <c r="C3239" i="4"/>
  <c r="C3238" i="4"/>
  <c r="C3237" i="4"/>
  <c r="C3236" i="4"/>
  <c r="C3235" i="4"/>
  <c r="C3234" i="4"/>
  <c r="C3233" i="4"/>
  <c r="C3232" i="4"/>
  <c r="C3231" i="4"/>
  <c r="C3230" i="4"/>
  <c r="C3229" i="4"/>
  <c r="C3228" i="4"/>
  <c r="C3227" i="4"/>
  <c r="C3226" i="4"/>
  <c r="C3225" i="4"/>
  <c r="C3224" i="4"/>
  <c r="C3223" i="4"/>
  <c r="C3222" i="4"/>
  <c r="C3221" i="4"/>
  <c r="C3220" i="4"/>
  <c r="C3219" i="4"/>
  <c r="C3218" i="4"/>
  <c r="C3217" i="4"/>
  <c r="C3216" i="4"/>
  <c r="C3215" i="4"/>
  <c r="C3214" i="4"/>
  <c r="C3213" i="4"/>
  <c r="C3212" i="4"/>
  <c r="C3211" i="4"/>
  <c r="C3210" i="4"/>
  <c r="C3209" i="4"/>
  <c r="C3208" i="4"/>
  <c r="C3207" i="4"/>
  <c r="C3206" i="4"/>
  <c r="C3205" i="4"/>
  <c r="C3204" i="4"/>
  <c r="C3203" i="4"/>
  <c r="C3202" i="4"/>
  <c r="C3201" i="4"/>
  <c r="C3200" i="4"/>
  <c r="C3199" i="4"/>
  <c r="C3198" i="4"/>
  <c r="C3197" i="4"/>
  <c r="C3196" i="4"/>
  <c r="C3195" i="4"/>
  <c r="C3194" i="4"/>
  <c r="C3193" i="4"/>
  <c r="C3192" i="4"/>
  <c r="C3191" i="4"/>
  <c r="C3190" i="4"/>
  <c r="C3189" i="4"/>
  <c r="C3188" i="4"/>
  <c r="C3187" i="4"/>
  <c r="C3186" i="4"/>
  <c r="C3185" i="4"/>
  <c r="C3184" i="4"/>
  <c r="C3183" i="4"/>
  <c r="C3182" i="4"/>
  <c r="C3181" i="4"/>
  <c r="C3180" i="4"/>
  <c r="C3179" i="4"/>
  <c r="C3178" i="4"/>
  <c r="C3177" i="4"/>
  <c r="C3176" i="4"/>
  <c r="C3175" i="4"/>
  <c r="C3174" i="4"/>
  <c r="C3173" i="4"/>
  <c r="C3172" i="4"/>
  <c r="C3171" i="4"/>
  <c r="C3170" i="4"/>
  <c r="C3169" i="4"/>
  <c r="C3168" i="4"/>
  <c r="C3167" i="4"/>
  <c r="C3166" i="4"/>
  <c r="C3165" i="4"/>
  <c r="C3164" i="4"/>
  <c r="C3163" i="4"/>
  <c r="C3162" i="4"/>
  <c r="C3161" i="4"/>
  <c r="C3160" i="4"/>
  <c r="C3159" i="4"/>
  <c r="C3158" i="4"/>
  <c r="C3157" i="4"/>
  <c r="C3156" i="4"/>
  <c r="C3155" i="4"/>
  <c r="C3154" i="4"/>
  <c r="C3153" i="4"/>
  <c r="C3152" i="4"/>
  <c r="C3151" i="4"/>
  <c r="C3150" i="4"/>
  <c r="C3149" i="4"/>
  <c r="C3148" i="4"/>
  <c r="C3147" i="4"/>
  <c r="C3146" i="4"/>
  <c r="C3145" i="4"/>
  <c r="C3144" i="4"/>
  <c r="C3143" i="4"/>
  <c r="C3142" i="4"/>
  <c r="C3141" i="4"/>
  <c r="C3140" i="4"/>
  <c r="C3139" i="4"/>
  <c r="C3138" i="4"/>
  <c r="C3137" i="4"/>
  <c r="C3136" i="4"/>
  <c r="C3135" i="4"/>
  <c r="C3134" i="4"/>
  <c r="C3133" i="4"/>
  <c r="C3132" i="4"/>
  <c r="C3131" i="4"/>
  <c r="C3130" i="4"/>
  <c r="C3129" i="4"/>
  <c r="C3128" i="4"/>
  <c r="C3127" i="4"/>
  <c r="C3126" i="4"/>
  <c r="C3125" i="4"/>
  <c r="C3124" i="4"/>
  <c r="C3123" i="4"/>
  <c r="C3122" i="4"/>
  <c r="C3121" i="4"/>
  <c r="C3120" i="4"/>
  <c r="C3119" i="4"/>
  <c r="C3118" i="4"/>
  <c r="C3117" i="4"/>
  <c r="C3116" i="4"/>
  <c r="C3115" i="4"/>
  <c r="C3114" i="4"/>
  <c r="C3113" i="4"/>
  <c r="C3112" i="4"/>
  <c r="C3111" i="4"/>
  <c r="C3110" i="4"/>
  <c r="C3109" i="4"/>
  <c r="C3108" i="4"/>
  <c r="C3107" i="4"/>
  <c r="C3106" i="4"/>
  <c r="C3105" i="4"/>
  <c r="C3104" i="4"/>
  <c r="C3103" i="4"/>
  <c r="C3102" i="4"/>
  <c r="C3101" i="4"/>
  <c r="C3100" i="4"/>
  <c r="C3099" i="4"/>
  <c r="C3098" i="4"/>
  <c r="C3097" i="4"/>
  <c r="C3096" i="4"/>
  <c r="C3095" i="4"/>
  <c r="C3094" i="4"/>
  <c r="C3093" i="4"/>
  <c r="C3092" i="4"/>
  <c r="C3091" i="4"/>
  <c r="C3090" i="4"/>
  <c r="C3089" i="4"/>
  <c r="C3088" i="4"/>
  <c r="C3087" i="4"/>
  <c r="C3086" i="4"/>
  <c r="C3085" i="4"/>
  <c r="C3084" i="4"/>
  <c r="C3083" i="4"/>
  <c r="C3082" i="4"/>
  <c r="C3081" i="4"/>
  <c r="C3080" i="4"/>
  <c r="C3079" i="4"/>
  <c r="C3078" i="4"/>
  <c r="C3077" i="4"/>
  <c r="C3076" i="4"/>
  <c r="C3075" i="4"/>
  <c r="C3074" i="4"/>
  <c r="C3073" i="4"/>
  <c r="C3072" i="4"/>
  <c r="C3071" i="4"/>
  <c r="C3070" i="4"/>
  <c r="C3069" i="4"/>
  <c r="C3068" i="4"/>
  <c r="C3067" i="4"/>
  <c r="C3066" i="4"/>
  <c r="C3065" i="4"/>
  <c r="C3064" i="4"/>
  <c r="C3063" i="4"/>
  <c r="C3062" i="4"/>
  <c r="C3061" i="4"/>
  <c r="C3060" i="4"/>
  <c r="C3059" i="4"/>
  <c r="C3058" i="4"/>
  <c r="C3057" i="4"/>
  <c r="C3056" i="4"/>
  <c r="C3055" i="4"/>
  <c r="C3054" i="4"/>
  <c r="C3053" i="4"/>
  <c r="C3052" i="4"/>
  <c r="C3051" i="4"/>
  <c r="C3050" i="4"/>
  <c r="C3049" i="4"/>
  <c r="C3048" i="4"/>
  <c r="C3047" i="4"/>
  <c r="C3046" i="4"/>
  <c r="C3045" i="4"/>
  <c r="C3044" i="4"/>
  <c r="C3043" i="4"/>
  <c r="C3042" i="4"/>
  <c r="C3041" i="4"/>
  <c r="C3040" i="4"/>
  <c r="C3039" i="4"/>
  <c r="C3038" i="4"/>
  <c r="C3037" i="4"/>
  <c r="C3036" i="4"/>
  <c r="C3035" i="4"/>
  <c r="C3034" i="4"/>
  <c r="C3033" i="4"/>
  <c r="C3032" i="4"/>
  <c r="C3031" i="4"/>
  <c r="C3030" i="4"/>
  <c r="C3029" i="4"/>
  <c r="C3028" i="4"/>
  <c r="C3027" i="4"/>
  <c r="C3026" i="4"/>
  <c r="C3025" i="4"/>
  <c r="C3024" i="4"/>
  <c r="C3023" i="4"/>
  <c r="C3022" i="4"/>
  <c r="C3021" i="4"/>
  <c r="C3020" i="4"/>
  <c r="C3019" i="4"/>
  <c r="C3018" i="4"/>
  <c r="C3017" i="4"/>
  <c r="C3016" i="4"/>
  <c r="C3015" i="4"/>
  <c r="C3014" i="4"/>
  <c r="C3013" i="4"/>
  <c r="C3012" i="4"/>
  <c r="C3011" i="4"/>
  <c r="C3010" i="4"/>
  <c r="C3009" i="4"/>
  <c r="C3008" i="4"/>
  <c r="C3007" i="4"/>
  <c r="C3006" i="4"/>
  <c r="C3005" i="4"/>
  <c r="C3004" i="4"/>
  <c r="C3003" i="4"/>
  <c r="C3002" i="4"/>
  <c r="C3001" i="4"/>
  <c r="C3000" i="4"/>
  <c r="C2999" i="4"/>
  <c r="C2998" i="4"/>
  <c r="C2997" i="4"/>
  <c r="C2996" i="4"/>
  <c r="C2995" i="4"/>
  <c r="C2994" i="4"/>
  <c r="C2993" i="4"/>
  <c r="C2992" i="4"/>
  <c r="C2991" i="4"/>
  <c r="C2990" i="4"/>
  <c r="C2989" i="4"/>
  <c r="C2988" i="4"/>
  <c r="C2987" i="4"/>
  <c r="C2986" i="4"/>
  <c r="C2985" i="4"/>
  <c r="C2984" i="4"/>
  <c r="C2983" i="4"/>
  <c r="C2982" i="4"/>
  <c r="C2981" i="4"/>
  <c r="C2980" i="4"/>
  <c r="C2979" i="4"/>
  <c r="C2978" i="4"/>
  <c r="C2977" i="4"/>
  <c r="C2976" i="4"/>
  <c r="C2975" i="4"/>
  <c r="C2974" i="4"/>
  <c r="C2973" i="4"/>
  <c r="C2972" i="4"/>
  <c r="C2971" i="4"/>
  <c r="C2970" i="4"/>
  <c r="C2969" i="4"/>
  <c r="C2968" i="4"/>
  <c r="C2967" i="4"/>
  <c r="C2966" i="4"/>
  <c r="C2965" i="4"/>
  <c r="C2964" i="4"/>
  <c r="C2963" i="4"/>
  <c r="C2962" i="4"/>
  <c r="C2961" i="4"/>
  <c r="C2960" i="4"/>
  <c r="C2959" i="4"/>
  <c r="C2958" i="4"/>
  <c r="C2957" i="4"/>
  <c r="C2956" i="4"/>
  <c r="C2955" i="4"/>
  <c r="C2954" i="4"/>
  <c r="C2953" i="4"/>
  <c r="C2952" i="4"/>
  <c r="C2951" i="4"/>
  <c r="C2950" i="4"/>
  <c r="C2949" i="4"/>
  <c r="C2948" i="4"/>
  <c r="C2947" i="4"/>
  <c r="C2946" i="4"/>
  <c r="C2945" i="4"/>
  <c r="C2944" i="4"/>
  <c r="C2943" i="4"/>
  <c r="C2942" i="4"/>
  <c r="C2941" i="4"/>
  <c r="C2940" i="4"/>
  <c r="C2939" i="4"/>
  <c r="C2938" i="4"/>
  <c r="C2937" i="4"/>
  <c r="C2936" i="4"/>
  <c r="C2935" i="4"/>
  <c r="C2934" i="4"/>
  <c r="C2933" i="4"/>
  <c r="C2932" i="4"/>
  <c r="C2931" i="4"/>
  <c r="C2930" i="4"/>
  <c r="C2929" i="4"/>
  <c r="C2928" i="4"/>
  <c r="C2927" i="4"/>
  <c r="C2926" i="4"/>
  <c r="C2925" i="4"/>
  <c r="C2924" i="4"/>
  <c r="C2923" i="4"/>
  <c r="C2922" i="4"/>
  <c r="C2921" i="4"/>
  <c r="C2920" i="4"/>
  <c r="C2919" i="4"/>
  <c r="C2918" i="4"/>
  <c r="C2917" i="4"/>
  <c r="C2916" i="4"/>
  <c r="C2915" i="4"/>
  <c r="C2914" i="4"/>
  <c r="C2913" i="4"/>
  <c r="C2912" i="4"/>
  <c r="C2911" i="4"/>
  <c r="C2910" i="4"/>
  <c r="C2909" i="4"/>
  <c r="C2908" i="4"/>
  <c r="C2907" i="4"/>
  <c r="C2906" i="4"/>
  <c r="C2905" i="4"/>
  <c r="C2904" i="4"/>
  <c r="C2903" i="4"/>
  <c r="C2902" i="4"/>
  <c r="C2901" i="4"/>
  <c r="C2900" i="4"/>
  <c r="C2899" i="4"/>
  <c r="C2898" i="4"/>
  <c r="C2897" i="4"/>
  <c r="C2896" i="4"/>
  <c r="C2895" i="4"/>
  <c r="C2894" i="4"/>
  <c r="C2893" i="4"/>
  <c r="C2892" i="4"/>
  <c r="C2891" i="4"/>
  <c r="C2890" i="4"/>
  <c r="C2889" i="4"/>
  <c r="C2888" i="4"/>
  <c r="C2887" i="4"/>
  <c r="C2886" i="4"/>
  <c r="C2885" i="4"/>
  <c r="C2884" i="4"/>
  <c r="C2883" i="4"/>
  <c r="C2882" i="4"/>
  <c r="C2881" i="4"/>
  <c r="C2880" i="4"/>
  <c r="C2879" i="4"/>
  <c r="C2878" i="4"/>
  <c r="C2877" i="4"/>
  <c r="C2876" i="4"/>
  <c r="C2875" i="4"/>
  <c r="C2874" i="4"/>
  <c r="C2873" i="4"/>
  <c r="C2872" i="4"/>
  <c r="C2871" i="4"/>
  <c r="C2870" i="4"/>
  <c r="C2869" i="4"/>
  <c r="C2868" i="4"/>
  <c r="C2867" i="4"/>
  <c r="C2866" i="4"/>
  <c r="C2865" i="4"/>
  <c r="C2864" i="4"/>
  <c r="C2863" i="4"/>
  <c r="C2862" i="4"/>
  <c r="C2861" i="4"/>
  <c r="C2860" i="4"/>
  <c r="C2859" i="4"/>
  <c r="C2858" i="4"/>
  <c r="C2857" i="4"/>
  <c r="C2856" i="4"/>
  <c r="C2855" i="4"/>
  <c r="C2854" i="4"/>
  <c r="C2853" i="4"/>
  <c r="C2852" i="4"/>
  <c r="C2851" i="4"/>
  <c r="C2850" i="4"/>
  <c r="C2849" i="4"/>
  <c r="C2848" i="4"/>
  <c r="C2847" i="4"/>
  <c r="C2846" i="4"/>
  <c r="C2845" i="4"/>
  <c r="C2844" i="4"/>
  <c r="C2843" i="4"/>
  <c r="C2842" i="4"/>
  <c r="C2841" i="4"/>
  <c r="C2840" i="4"/>
  <c r="C2839" i="4"/>
  <c r="C2838" i="4"/>
  <c r="C2837" i="4"/>
  <c r="C2836" i="4"/>
  <c r="C2835" i="4"/>
  <c r="C2834" i="4"/>
  <c r="C2833" i="4"/>
  <c r="C2832" i="4"/>
  <c r="C2831" i="4"/>
  <c r="C2830" i="4"/>
  <c r="C2829" i="4"/>
  <c r="C2828" i="4"/>
  <c r="C2827" i="4"/>
  <c r="C2826" i="4"/>
  <c r="C2825" i="4"/>
  <c r="C2824" i="4"/>
  <c r="C2823" i="4"/>
  <c r="C2822" i="4"/>
  <c r="C2821" i="4"/>
  <c r="C2820" i="4"/>
  <c r="C2819" i="4"/>
  <c r="C2818" i="4"/>
  <c r="C2817" i="4"/>
  <c r="C2816" i="4"/>
  <c r="C2815" i="4"/>
  <c r="C2814" i="4"/>
  <c r="C2813" i="4"/>
  <c r="C2812" i="4"/>
  <c r="C2811" i="4"/>
  <c r="C2810" i="4"/>
  <c r="C2809" i="4"/>
  <c r="C2808" i="4"/>
  <c r="C2807" i="4"/>
  <c r="C2806" i="4"/>
  <c r="C2805" i="4"/>
  <c r="C2804" i="4"/>
  <c r="C2803" i="4"/>
  <c r="C2802" i="4"/>
  <c r="C2801" i="4"/>
  <c r="C2800" i="4"/>
  <c r="C2799" i="4"/>
  <c r="C2798" i="4"/>
  <c r="C2797" i="4"/>
  <c r="C2796" i="4"/>
  <c r="C2795" i="4"/>
  <c r="C2794" i="4"/>
  <c r="C2793" i="4"/>
  <c r="C2792" i="4"/>
  <c r="C2791" i="4"/>
  <c r="C2790" i="4"/>
  <c r="C2789" i="4"/>
  <c r="C2788" i="4"/>
  <c r="C2787" i="4"/>
  <c r="C2786" i="4"/>
  <c r="C2785" i="4"/>
  <c r="C2784" i="4"/>
  <c r="C2783" i="4"/>
  <c r="C2782" i="4"/>
  <c r="C2781" i="4"/>
  <c r="C2780" i="4"/>
  <c r="C2779" i="4"/>
  <c r="C2778" i="4"/>
  <c r="C2777" i="4"/>
  <c r="C2776" i="4"/>
  <c r="C2775" i="4"/>
  <c r="C2774" i="4"/>
  <c r="C2773" i="4"/>
  <c r="C2772" i="4"/>
  <c r="C2771" i="4"/>
  <c r="C2770" i="4"/>
  <c r="C2769" i="4"/>
  <c r="C2768" i="4"/>
  <c r="C2767" i="4"/>
  <c r="C2766" i="4"/>
  <c r="C2765" i="4"/>
  <c r="C2764" i="4"/>
  <c r="C2763" i="4"/>
  <c r="C2762" i="4"/>
  <c r="C2761" i="4"/>
  <c r="C2760" i="4"/>
  <c r="C2759" i="4"/>
  <c r="C2758" i="4"/>
  <c r="C2757" i="4"/>
  <c r="C2756" i="4"/>
  <c r="C2755" i="4"/>
  <c r="C2754" i="4"/>
  <c r="C2753" i="4"/>
  <c r="C2752" i="4"/>
  <c r="C2751" i="4"/>
  <c r="C2750" i="4"/>
  <c r="C2749" i="4"/>
  <c r="C2748" i="4"/>
  <c r="C2747" i="4"/>
  <c r="C2746" i="4"/>
  <c r="C2745" i="4"/>
  <c r="C2744" i="4"/>
  <c r="C2743" i="4"/>
  <c r="C2742" i="4"/>
  <c r="C2741" i="4"/>
  <c r="C2740" i="4"/>
  <c r="C2739" i="4"/>
  <c r="C2738" i="4"/>
  <c r="C2737" i="4"/>
  <c r="C2736" i="4"/>
  <c r="C2735" i="4"/>
  <c r="C2734" i="4"/>
  <c r="C2733" i="4"/>
  <c r="C2732" i="4"/>
  <c r="C2731" i="4"/>
  <c r="C2730" i="4"/>
  <c r="C2729" i="4"/>
  <c r="C2728" i="4"/>
  <c r="C2727" i="4"/>
  <c r="C2726" i="4"/>
  <c r="C2725" i="4"/>
  <c r="C2724" i="4"/>
  <c r="C2723" i="4"/>
  <c r="C2722" i="4"/>
  <c r="C2721" i="4"/>
  <c r="C2720" i="4"/>
  <c r="C2719" i="4"/>
  <c r="C2718" i="4"/>
  <c r="C2717" i="4"/>
  <c r="C2716" i="4"/>
  <c r="C2715" i="4"/>
  <c r="C2714" i="4"/>
  <c r="C2713" i="4"/>
  <c r="C2712" i="4"/>
  <c r="C2711" i="4"/>
  <c r="C2710" i="4"/>
  <c r="C2709" i="4"/>
  <c r="C2708" i="4"/>
  <c r="C2707" i="4"/>
  <c r="C2706" i="4"/>
  <c r="C2705" i="4"/>
  <c r="C2704" i="4"/>
  <c r="C2703" i="4"/>
  <c r="C2702" i="4"/>
  <c r="C2701" i="4"/>
  <c r="C2700" i="4"/>
  <c r="C2699" i="4"/>
  <c r="C2698" i="4"/>
  <c r="C2697" i="4"/>
  <c r="C2696" i="4"/>
  <c r="C2695" i="4"/>
  <c r="C2694" i="4"/>
  <c r="C2693" i="4"/>
  <c r="C2692" i="4"/>
  <c r="C2691" i="4"/>
  <c r="C2690" i="4"/>
  <c r="C2689" i="4"/>
  <c r="C2688" i="4"/>
  <c r="C2687" i="4"/>
  <c r="C2686" i="4"/>
  <c r="C2685" i="4"/>
  <c r="C2684" i="4"/>
  <c r="C2683" i="4"/>
  <c r="C2682" i="4"/>
  <c r="C2681" i="4"/>
  <c r="C2680" i="4"/>
  <c r="C2679" i="4"/>
  <c r="C2678" i="4"/>
  <c r="C2677" i="4"/>
  <c r="C2676" i="4"/>
  <c r="C2675" i="4"/>
  <c r="C2674" i="4"/>
  <c r="C2673" i="4"/>
  <c r="C2672" i="4"/>
  <c r="C2671" i="4"/>
  <c r="C2670" i="4"/>
  <c r="C2669" i="4"/>
  <c r="C2668" i="4"/>
  <c r="C2667" i="4"/>
  <c r="C2666" i="4"/>
  <c r="C2665" i="4"/>
  <c r="C2664" i="4"/>
  <c r="C2663" i="4"/>
  <c r="C2662" i="4"/>
  <c r="C2661" i="4"/>
  <c r="C2660" i="4"/>
  <c r="C2659" i="4"/>
  <c r="C2658" i="4"/>
  <c r="C2657" i="4"/>
  <c r="C2656" i="4"/>
  <c r="C2655" i="4"/>
  <c r="C2654" i="4"/>
  <c r="C2653" i="4"/>
  <c r="C2652" i="4"/>
  <c r="C2651" i="4"/>
  <c r="C2650" i="4"/>
  <c r="C2649" i="4"/>
  <c r="C2648" i="4"/>
  <c r="C2647" i="4"/>
  <c r="C2646" i="4"/>
  <c r="C2645" i="4"/>
  <c r="C2644" i="4"/>
  <c r="C2643" i="4"/>
  <c r="C2642" i="4"/>
  <c r="C2641" i="4"/>
  <c r="C2640" i="4"/>
  <c r="C2639" i="4"/>
  <c r="C2638" i="4"/>
  <c r="C2637" i="4"/>
  <c r="C2636" i="4"/>
  <c r="C2635" i="4"/>
  <c r="C2634" i="4"/>
  <c r="C2633" i="4"/>
  <c r="C2632" i="4"/>
  <c r="C2631" i="4"/>
  <c r="C2630" i="4"/>
  <c r="C2629" i="4"/>
  <c r="C2628" i="4"/>
  <c r="C2627" i="4"/>
  <c r="C2626" i="4"/>
  <c r="C2625" i="4"/>
  <c r="C2624" i="4"/>
  <c r="C2623" i="4"/>
  <c r="C2622" i="4"/>
  <c r="C2621" i="4"/>
  <c r="C2620" i="4"/>
  <c r="C2619" i="4"/>
  <c r="C2618" i="4"/>
  <c r="C2617" i="4"/>
  <c r="C2616" i="4"/>
  <c r="C2615" i="4"/>
  <c r="C2614" i="4"/>
  <c r="C2613" i="4"/>
  <c r="C2612" i="4"/>
  <c r="C2611" i="4"/>
  <c r="C2610" i="4"/>
  <c r="C2609" i="4"/>
  <c r="C2608" i="4"/>
  <c r="C2607" i="4"/>
  <c r="C2606" i="4"/>
  <c r="C2605" i="4"/>
  <c r="C2604" i="4"/>
  <c r="C2603" i="4"/>
  <c r="C2602" i="4"/>
  <c r="C2601" i="4"/>
  <c r="C2600" i="4"/>
  <c r="C2599" i="4"/>
  <c r="C2598" i="4"/>
  <c r="C2597" i="4"/>
  <c r="C2596" i="4"/>
  <c r="C2595" i="4"/>
  <c r="C2594" i="4"/>
  <c r="C2593" i="4"/>
  <c r="C2592" i="4"/>
  <c r="C2591" i="4"/>
  <c r="C2590" i="4"/>
  <c r="C2589" i="4"/>
  <c r="C2588" i="4"/>
  <c r="C2587" i="4"/>
  <c r="C2586" i="4"/>
  <c r="C2585" i="4"/>
  <c r="C2584" i="4"/>
  <c r="C2583" i="4"/>
  <c r="C2582" i="4"/>
  <c r="C2581" i="4"/>
  <c r="C2580" i="4"/>
  <c r="C2579" i="4"/>
  <c r="C2578" i="4"/>
  <c r="C2577" i="4"/>
  <c r="C2576" i="4"/>
  <c r="C2575" i="4"/>
  <c r="C2574" i="4"/>
  <c r="C2573" i="4"/>
  <c r="C2572" i="4"/>
  <c r="C2571" i="4"/>
  <c r="C2570" i="4"/>
  <c r="C2569" i="4"/>
  <c r="C2568" i="4"/>
  <c r="C2567" i="4"/>
  <c r="C2566" i="4"/>
  <c r="C2565" i="4"/>
  <c r="C2564" i="4"/>
  <c r="C2563" i="4"/>
  <c r="C2562" i="4"/>
  <c r="C2561" i="4"/>
  <c r="C2560" i="4"/>
  <c r="C2559" i="4"/>
  <c r="C2558" i="4"/>
  <c r="C2557" i="4"/>
  <c r="C2556" i="4"/>
  <c r="C2555" i="4"/>
  <c r="C2554" i="4"/>
  <c r="C2553" i="4"/>
  <c r="C2552" i="4"/>
  <c r="C2551" i="4"/>
  <c r="C2550" i="4"/>
  <c r="C2549" i="4"/>
  <c r="C2548" i="4"/>
  <c r="C2547" i="4"/>
  <c r="C2546" i="4"/>
  <c r="C2545" i="4"/>
  <c r="C2544" i="4"/>
  <c r="C2543" i="4"/>
  <c r="C2542" i="4"/>
  <c r="C2541" i="4"/>
  <c r="C2540" i="4"/>
  <c r="C2539" i="4"/>
  <c r="C2538" i="4"/>
  <c r="C2537" i="4"/>
  <c r="C2536" i="4"/>
  <c r="C2535" i="4"/>
  <c r="C2534" i="4"/>
  <c r="C2533" i="4"/>
  <c r="C2532" i="4"/>
  <c r="C2531" i="4"/>
  <c r="C2530" i="4"/>
  <c r="C2529" i="4"/>
  <c r="C2528" i="4"/>
  <c r="C2527" i="4"/>
  <c r="C2526" i="4"/>
  <c r="C2525" i="4"/>
  <c r="C2524" i="4"/>
  <c r="C2523" i="4"/>
  <c r="C2522" i="4"/>
  <c r="C2521" i="4"/>
  <c r="C2520" i="4"/>
  <c r="C2519" i="4"/>
  <c r="C2518" i="4"/>
  <c r="C2517" i="4"/>
  <c r="C2516" i="4"/>
  <c r="C2515" i="4"/>
  <c r="C2514" i="4"/>
  <c r="C2513" i="4"/>
  <c r="C2512" i="4"/>
  <c r="C2511" i="4"/>
  <c r="C2510" i="4"/>
  <c r="C2509" i="4"/>
  <c r="C2508" i="4"/>
  <c r="C2507" i="4"/>
  <c r="C2506" i="4"/>
  <c r="C2505" i="4"/>
  <c r="C2504" i="4"/>
  <c r="C2503" i="4"/>
  <c r="C2502" i="4"/>
  <c r="C2501" i="4"/>
  <c r="C2500" i="4"/>
  <c r="C2499" i="4"/>
  <c r="C2498" i="4"/>
  <c r="C2497" i="4"/>
  <c r="C2496" i="4"/>
  <c r="C2495" i="4"/>
  <c r="C2494" i="4"/>
  <c r="C2493" i="4"/>
  <c r="C2492" i="4"/>
  <c r="C2491" i="4"/>
  <c r="C2490" i="4"/>
  <c r="C2489" i="4"/>
  <c r="C2488" i="4"/>
  <c r="C2487" i="4"/>
  <c r="C2486" i="4"/>
  <c r="C2485" i="4"/>
  <c r="C2484" i="4"/>
  <c r="C2483" i="4"/>
  <c r="C2482" i="4"/>
  <c r="C2481" i="4"/>
  <c r="C2480" i="4"/>
  <c r="C2479" i="4"/>
  <c r="C2478" i="4"/>
  <c r="C2477" i="4"/>
  <c r="C2476" i="4"/>
  <c r="C2475" i="4"/>
  <c r="C2474" i="4"/>
  <c r="C2473" i="4"/>
  <c r="C2472" i="4"/>
  <c r="C2471" i="4"/>
  <c r="C2470" i="4"/>
  <c r="C2469" i="4"/>
  <c r="C2468" i="4"/>
  <c r="C2467" i="4"/>
  <c r="C2466" i="4"/>
  <c r="C2465" i="4"/>
  <c r="C2464" i="4"/>
  <c r="C2463" i="4"/>
  <c r="C2462" i="4"/>
  <c r="C2461" i="4"/>
  <c r="C2460" i="4"/>
  <c r="C2459" i="4"/>
  <c r="C2458" i="4"/>
  <c r="C2457" i="4"/>
  <c r="C2456" i="4"/>
  <c r="C2455" i="4"/>
  <c r="C2454" i="4"/>
  <c r="C2453" i="4"/>
  <c r="C2452" i="4"/>
  <c r="C2451" i="4"/>
  <c r="C2450" i="4"/>
  <c r="C2449" i="4"/>
  <c r="C2448" i="4"/>
  <c r="C2447" i="4"/>
  <c r="C2446" i="4"/>
  <c r="C2445" i="4"/>
  <c r="C2444" i="4"/>
  <c r="C2443" i="4"/>
  <c r="C2442" i="4"/>
  <c r="C2441" i="4"/>
  <c r="C2440" i="4"/>
  <c r="C2439" i="4"/>
  <c r="C2438" i="4"/>
  <c r="C2437" i="4"/>
  <c r="C2436" i="4"/>
  <c r="C2435" i="4"/>
  <c r="C2434" i="4"/>
  <c r="C2433" i="4"/>
  <c r="C2432" i="4"/>
  <c r="C2431" i="4"/>
  <c r="C2430" i="4"/>
  <c r="C2429" i="4"/>
  <c r="C2428" i="4"/>
  <c r="C2427" i="4"/>
  <c r="C2426" i="4"/>
  <c r="C2425" i="4"/>
  <c r="C2424" i="4"/>
  <c r="C2423" i="4"/>
  <c r="C2422" i="4"/>
  <c r="C2421" i="4"/>
  <c r="C2420" i="4"/>
  <c r="C2419" i="4"/>
  <c r="C2418" i="4"/>
  <c r="C2417" i="4"/>
  <c r="C2416" i="4"/>
  <c r="C2415" i="4"/>
  <c r="C2414" i="4"/>
  <c r="C2413" i="4"/>
  <c r="C2412" i="4"/>
  <c r="C2411" i="4"/>
  <c r="C2410" i="4"/>
  <c r="C2409" i="4"/>
  <c r="C2408" i="4"/>
  <c r="C2407" i="4"/>
  <c r="C2406" i="4"/>
  <c r="C2405" i="4"/>
  <c r="C2404" i="4"/>
  <c r="C2403" i="4"/>
  <c r="C2402" i="4"/>
  <c r="C2401" i="4"/>
  <c r="C2400" i="4"/>
  <c r="C2399" i="4"/>
  <c r="C2398" i="4"/>
  <c r="C2397" i="4"/>
  <c r="C2396" i="4"/>
  <c r="C2395" i="4"/>
  <c r="C2394" i="4"/>
  <c r="C2393" i="4"/>
  <c r="C2392" i="4"/>
  <c r="C2391" i="4"/>
  <c r="C2390" i="4"/>
  <c r="C2389" i="4"/>
  <c r="C2388" i="4"/>
  <c r="C2387" i="4"/>
  <c r="C2386" i="4"/>
  <c r="C2385" i="4"/>
  <c r="C2384" i="4"/>
  <c r="C2383" i="4"/>
  <c r="C2382" i="4"/>
  <c r="C2381" i="4"/>
  <c r="C2380" i="4"/>
  <c r="C2379" i="4"/>
  <c r="C2378" i="4"/>
  <c r="C2377" i="4"/>
  <c r="C2376" i="4"/>
  <c r="C2375" i="4"/>
  <c r="C2374" i="4"/>
  <c r="C2373" i="4"/>
  <c r="C2372" i="4"/>
  <c r="C2371" i="4"/>
  <c r="C2370" i="4"/>
  <c r="C2369" i="4"/>
  <c r="C2368" i="4"/>
  <c r="C2367" i="4"/>
  <c r="C2366" i="4"/>
  <c r="C2365" i="4"/>
  <c r="C2364" i="4"/>
  <c r="C2363" i="4"/>
  <c r="C2362" i="4"/>
  <c r="C2361" i="4"/>
  <c r="C2360" i="4"/>
  <c r="C2359" i="4"/>
  <c r="C2358" i="4"/>
  <c r="C2357" i="4"/>
  <c r="C2356" i="4"/>
  <c r="C2355" i="4"/>
  <c r="C2354" i="4"/>
  <c r="C2353" i="4"/>
  <c r="C2352" i="4"/>
  <c r="C2351" i="4"/>
  <c r="C2350" i="4"/>
  <c r="C2349" i="4"/>
  <c r="C2348" i="4"/>
  <c r="C2347" i="4"/>
  <c r="C2346" i="4"/>
  <c r="C2345" i="4"/>
  <c r="C2344" i="4"/>
  <c r="C2343" i="4"/>
  <c r="C2342" i="4"/>
  <c r="C2341" i="4"/>
  <c r="C2340" i="4"/>
  <c r="C2339" i="4"/>
  <c r="C2338" i="4"/>
  <c r="C2337" i="4"/>
  <c r="C2336" i="4"/>
  <c r="C2335" i="4"/>
  <c r="C2334" i="4"/>
  <c r="C2333" i="4"/>
  <c r="C2332" i="4"/>
  <c r="C2331" i="4"/>
  <c r="C2330" i="4"/>
  <c r="C2329" i="4"/>
  <c r="C2328" i="4"/>
  <c r="C2327" i="4"/>
  <c r="C2326" i="4"/>
  <c r="C2325" i="4"/>
  <c r="C2324" i="4"/>
  <c r="C2323" i="4"/>
  <c r="C2322" i="4"/>
  <c r="C2321" i="4"/>
  <c r="C2320" i="4"/>
  <c r="C2319" i="4"/>
  <c r="C2318" i="4"/>
  <c r="C2317" i="4"/>
  <c r="C2316" i="4"/>
  <c r="C2315" i="4"/>
  <c r="C2314" i="4"/>
  <c r="C2313" i="4"/>
  <c r="C2312" i="4"/>
  <c r="C2311" i="4"/>
  <c r="C2310" i="4"/>
  <c r="C2309" i="4"/>
  <c r="C2308" i="4"/>
  <c r="C2307" i="4"/>
  <c r="C2306" i="4"/>
  <c r="C2305" i="4"/>
  <c r="C2304" i="4"/>
  <c r="C2303" i="4"/>
  <c r="C2302" i="4"/>
  <c r="C2301" i="4"/>
  <c r="C2300" i="4"/>
  <c r="C2299" i="4"/>
  <c r="C2298" i="4"/>
  <c r="C2297" i="4"/>
  <c r="C2296" i="4"/>
  <c r="C2295" i="4"/>
  <c r="C2294" i="4"/>
  <c r="C2293" i="4"/>
  <c r="C2292" i="4"/>
  <c r="C2291" i="4"/>
  <c r="C2290" i="4"/>
  <c r="C2289" i="4"/>
  <c r="C2288" i="4"/>
  <c r="C2287" i="4"/>
  <c r="C2286" i="4"/>
  <c r="C2285" i="4"/>
  <c r="C2284" i="4"/>
  <c r="C2283" i="4"/>
  <c r="C2282" i="4"/>
  <c r="C2281" i="4"/>
  <c r="C2280" i="4"/>
  <c r="C2279" i="4"/>
  <c r="C2278" i="4"/>
  <c r="C2277" i="4"/>
  <c r="C2276" i="4"/>
  <c r="C2275" i="4"/>
  <c r="C2274" i="4"/>
  <c r="C2273" i="4"/>
  <c r="C2272" i="4"/>
  <c r="C2271" i="4"/>
  <c r="C2270" i="4"/>
  <c r="C2269" i="4"/>
  <c r="C2268" i="4"/>
  <c r="C2267" i="4"/>
  <c r="C2266" i="4"/>
  <c r="C2265" i="4"/>
  <c r="C2264" i="4"/>
  <c r="C2263" i="4"/>
  <c r="C2262" i="4"/>
  <c r="C2261" i="4"/>
  <c r="C2260" i="4"/>
  <c r="C2259" i="4"/>
  <c r="C2258" i="4"/>
  <c r="C2257" i="4"/>
  <c r="C2256" i="4"/>
  <c r="C2255" i="4"/>
  <c r="C2254" i="4"/>
  <c r="C2253" i="4"/>
  <c r="C2252" i="4"/>
  <c r="C2251" i="4"/>
  <c r="C2250" i="4"/>
  <c r="C2249" i="4"/>
  <c r="C2248" i="4"/>
  <c r="C2247" i="4"/>
  <c r="C2246" i="4"/>
  <c r="C2245" i="4"/>
  <c r="C2244" i="4"/>
  <c r="C2243" i="4"/>
  <c r="C2242" i="4"/>
  <c r="C2241" i="4"/>
  <c r="C2240" i="4"/>
  <c r="C2239" i="4"/>
  <c r="C2238" i="4"/>
  <c r="C2237" i="4"/>
  <c r="C2236" i="4"/>
  <c r="C2235" i="4"/>
  <c r="C2234" i="4"/>
  <c r="C2233" i="4"/>
  <c r="C2232" i="4"/>
  <c r="C2231" i="4"/>
  <c r="C2230" i="4"/>
  <c r="C2229" i="4"/>
  <c r="C2228" i="4"/>
  <c r="C2227" i="4"/>
  <c r="C2226" i="4"/>
  <c r="C2225" i="4"/>
  <c r="C2224" i="4"/>
  <c r="C2223" i="4"/>
  <c r="C2222" i="4"/>
  <c r="C2221" i="4"/>
  <c r="C2220" i="4"/>
  <c r="C2219" i="4"/>
  <c r="C2218" i="4"/>
  <c r="C2217" i="4"/>
  <c r="C2216" i="4"/>
  <c r="C2215" i="4"/>
  <c r="C2214" i="4"/>
  <c r="C2213" i="4"/>
  <c r="C2212" i="4"/>
  <c r="C2211" i="4"/>
  <c r="C2210" i="4"/>
  <c r="C2209" i="4"/>
  <c r="C2208" i="4"/>
  <c r="C2207" i="4"/>
  <c r="C2206" i="4"/>
  <c r="C2205" i="4"/>
  <c r="C2204" i="4"/>
  <c r="C2203" i="4"/>
  <c r="C2202" i="4"/>
  <c r="C2201" i="4"/>
  <c r="C2200" i="4"/>
  <c r="C2199" i="4"/>
  <c r="C2198" i="4"/>
  <c r="C2197" i="4"/>
  <c r="C2196" i="4"/>
  <c r="C2195" i="4"/>
  <c r="C2194" i="4"/>
  <c r="C2193" i="4"/>
  <c r="C2192" i="4"/>
  <c r="C2191" i="4"/>
  <c r="C2190" i="4"/>
  <c r="C2189" i="4"/>
  <c r="C2188" i="4"/>
  <c r="C2187" i="4"/>
  <c r="C2186" i="4"/>
  <c r="C2185" i="4"/>
  <c r="C2184" i="4"/>
  <c r="C2183" i="4"/>
  <c r="C2182" i="4"/>
  <c r="C2181" i="4"/>
  <c r="C2180" i="4"/>
  <c r="C2179" i="4"/>
  <c r="C2178" i="4"/>
  <c r="C2177" i="4"/>
  <c r="C2176" i="4"/>
  <c r="C2175" i="4"/>
  <c r="C2174" i="4"/>
  <c r="C2173" i="4"/>
  <c r="C2172" i="4"/>
  <c r="C2171" i="4"/>
  <c r="C2170" i="4"/>
  <c r="C2169" i="4"/>
  <c r="C2168" i="4"/>
  <c r="C2167" i="4"/>
  <c r="C2166" i="4"/>
  <c r="C2165" i="4"/>
  <c r="C2164" i="4"/>
  <c r="C2163" i="4"/>
  <c r="C2162" i="4"/>
  <c r="C2161" i="4"/>
  <c r="C2160" i="4"/>
  <c r="C2159" i="4"/>
  <c r="C2158" i="4"/>
  <c r="C2157" i="4"/>
  <c r="C2156" i="4"/>
  <c r="C2155" i="4"/>
  <c r="C2154" i="4"/>
  <c r="C2153" i="4"/>
  <c r="C2152" i="4"/>
  <c r="C2151" i="4"/>
  <c r="C2150" i="4"/>
  <c r="C2149" i="4"/>
  <c r="C2148" i="4"/>
  <c r="C2147" i="4"/>
  <c r="C2146" i="4"/>
  <c r="C2145" i="4"/>
  <c r="C2144" i="4"/>
  <c r="C2143" i="4"/>
  <c r="C2142" i="4"/>
  <c r="C2141" i="4"/>
  <c r="C2140" i="4"/>
  <c r="C2139" i="4"/>
  <c r="C2138" i="4"/>
  <c r="C2137" i="4"/>
  <c r="C2136" i="4"/>
  <c r="C2135" i="4"/>
  <c r="C2134" i="4"/>
  <c r="C2133" i="4"/>
  <c r="C2132" i="4"/>
  <c r="C2131" i="4"/>
  <c r="C2130" i="4"/>
  <c r="C2129" i="4"/>
  <c r="C2128" i="4"/>
  <c r="C2127" i="4"/>
  <c r="C2126" i="4"/>
  <c r="C2125" i="4"/>
  <c r="C2124" i="4"/>
  <c r="C2123" i="4"/>
  <c r="C2122" i="4"/>
  <c r="C2121" i="4"/>
  <c r="C2120" i="4"/>
  <c r="C2119" i="4"/>
  <c r="C2118" i="4"/>
  <c r="C2117" i="4"/>
  <c r="C2116" i="4"/>
  <c r="C2115" i="4"/>
  <c r="C2114" i="4"/>
  <c r="C2113" i="4"/>
  <c r="C2112" i="4"/>
  <c r="C2111" i="4"/>
  <c r="C2110" i="4"/>
  <c r="C2109" i="4"/>
  <c r="C2108" i="4"/>
  <c r="C2107" i="4"/>
  <c r="C2106" i="4"/>
  <c r="C2105" i="4"/>
  <c r="C2104" i="4"/>
  <c r="C2103" i="4"/>
  <c r="C2102" i="4"/>
  <c r="C2101" i="4"/>
  <c r="C2100" i="4"/>
  <c r="C2099" i="4"/>
  <c r="C2098" i="4"/>
  <c r="C2097" i="4"/>
  <c r="C2096" i="4"/>
  <c r="C2095" i="4"/>
  <c r="C2094" i="4"/>
  <c r="C2093" i="4"/>
  <c r="C2092" i="4"/>
  <c r="C2091" i="4"/>
  <c r="C2090" i="4"/>
  <c r="C2089" i="4"/>
  <c r="C2088" i="4"/>
  <c r="C2087" i="4"/>
  <c r="C2086" i="4"/>
  <c r="C2085" i="4"/>
  <c r="C2084" i="4"/>
  <c r="C2083" i="4"/>
  <c r="C2082" i="4"/>
  <c r="C2081" i="4"/>
  <c r="C2080" i="4"/>
  <c r="C2079" i="4"/>
  <c r="C2078" i="4"/>
  <c r="C2077" i="4"/>
  <c r="C2076" i="4"/>
  <c r="C2075" i="4"/>
  <c r="C2074" i="4"/>
  <c r="C2073" i="4"/>
  <c r="C2072" i="4"/>
  <c r="C2071" i="4"/>
  <c r="C2070" i="4"/>
  <c r="C2069" i="4"/>
  <c r="C2068" i="4"/>
  <c r="C2067" i="4"/>
  <c r="C2066" i="4"/>
  <c r="C2065" i="4"/>
  <c r="C2064" i="4"/>
  <c r="C2063" i="4"/>
  <c r="C2062" i="4"/>
  <c r="C2061" i="4"/>
  <c r="C2060" i="4"/>
  <c r="C2059" i="4"/>
  <c r="C2058" i="4"/>
  <c r="C2057" i="4"/>
  <c r="C2056" i="4"/>
  <c r="C2055" i="4"/>
  <c r="C2054" i="4"/>
  <c r="C2053" i="4"/>
  <c r="C2052" i="4"/>
  <c r="C2051" i="4"/>
  <c r="C2050" i="4"/>
  <c r="C2049" i="4"/>
  <c r="C2048" i="4"/>
  <c r="C2047" i="4"/>
  <c r="C2046" i="4"/>
  <c r="C2045" i="4"/>
  <c r="C2044" i="4"/>
  <c r="C2043" i="4"/>
  <c r="C2042" i="4"/>
  <c r="C2041" i="4"/>
  <c r="C2040" i="4"/>
  <c r="C2039" i="4"/>
  <c r="C2038" i="4"/>
  <c r="C2037" i="4"/>
  <c r="C2036" i="4"/>
  <c r="C2035" i="4"/>
  <c r="C2034" i="4"/>
  <c r="C2033" i="4"/>
  <c r="C2032" i="4"/>
  <c r="C2031" i="4"/>
  <c r="C2030" i="4"/>
  <c r="C2029" i="4"/>
  <c r="C2028" i="4"/>
  <c r="C2027" i="4"/>
  <c r="C2026" i="4"/>
  <c r="C2025" i="4"/>
  <c r="C2024" i="4"/>
  <c r="C2023" i="4"/>
  <c r="C2022" i="4"/>
  <c r="C2021" i="4"/>
  <c r="C2020" i="4"/>
  <c r="C2019" i="4"/>
  <c r="C2018" i="4"/>
  <c r="C2017" i="4"/>
  <c r="C2016" i="4"/>
  <c r="C2015" i="4"/>
  <c r="C2014" i="4"/>
  <c r="C2013" i="4"/>
  <c r="C2012" i="4"/>
  <c r="C2011" i="4"/>
  <c r="C2010" i="4"/>
  <c r="C2009" i="4"/>
  <c r="C2008" i="4"/>
  <c r="C2007" i="4"/>
  <c r="C2006" i="4"/>
  <c r="C2005" i="4"/>
  <c r="C2004" i="4"/>
  <c r="C2003" i="4"/>
  <c r="C2002" i="4"/>
  <c r="C2001" i="4"/>
  <c r="C2000" i="4"/>
  <c r="C1999" i="4"/>
  <c r="C1998" i="4"/>
  <c r="C1997" i="4"/>
  <c r="C1996" i="4"/>
  <c r="C1995" i="4"/>
  <c r="C1994" i="4"/>
  <c r="C1993" i="4"/>
  <c r="C1992" i="4"/>
  <c r="C1991" i="4"/>
  <c r="C1990" i="4"/>
  <c r="C1989" i="4"/>
  <c r="C1988" i="4"/>
  <c r="C1987" i="4"/>
  <c r="C1986" i="4"/>
  <c r="C1985" i="4"/>
  <c r="C1984" i="4"/>
  <c r="C1983" i="4"/>
  <c r="C1982" i="4"/>
  <c r="C1981" i="4"/>
  <c r="C1980" i="4"/>
  <c r="C1979" i="4"/>
  <c r="C1978" i="4"/>
  <c r="C1977" i="4"/>
  <c r="C1976" i="4"/>
  <c r="C1975" i="4"/>
  <c r="C1974" i="4"/>
  <c r="C1973" i="4"/>
  <c r="C1972" i="4"/>
  <c r="C1971" i="4"/>
  <c r="C1970" i="4"/>
  <c r="C1969" i="4"/>
  <c r="C1968" i="4"/>
  <c r="C1967" i="4"/>
  <c r="C1966" i="4"/>
  <c r="C1965" i="4"/>
  <c r="C1964" i="4"/>
  <c r="C1963" i="4"/>
  <c r="C1962" i="4"/>
  <c r="C1961" i="4"/>
  <c r="C1960" i="4"/>
  <c r="C1959" i="4"/>
  <c r="C1958" i="4"/>
  <c r="C1957" i="4"/>
  <c r="C1956" i="4"/>
  <c r="C1955" i="4"/>
  <c r="C1954" i="4"/>
  <c r="C1953" i="4"/>
  <c r="C1952" i="4"/>
  <c r="C1951" i="4"/>
  <c r="C1950" i="4"/>
  <c r="C1949" i="4"/>
  <c r="C1948" i="4"/>
  <c r="C1947" i="4"/>
  <c r="C1946" i="4"/>
  <c r="C1945" i="4"/>
  <c r="C1944" i="4"/>
  <c r="C1943" i="4"/>
  <c r="C1942" i="4"/>
  <c r="C1941" i="4"/>
  <c r="C1940" i="4"/>
  <c r="C1939" i="4"/>
  <c r="C1938" i="4"/>
  <c r="C1937" i="4"/>
  <c r="C1936" i="4"/>
  <c r="C1935" i="4"/>
  <c r="C1934" i="4"/>
  <c r="C1933" i="4"/>
  <c r="C1932" i="4"/>
  <c r="C1931" i="4"/>
  <c r="C1930" i="4"/>
  <c r="C1929" i="4"/>
  <c r="C1928" i="4"/>
  <c r="C1927" i="4"/>
  <c r="C1926" i="4"/>
  <c r="C1925" i="4"/>
  <c r="C1924" i="4"/>
  <c r="C1923" i="4"/>
  <c r="C1922" i="4"/>
  <c r="C1921" i="4"/>
  <c r="C1920" i="4"/>
  <c r="C1919" i="4"/>
  <c r="C1918" i="4"/>
  <c r="C1917" i="4"/>
  <c r="C1916" i="4"/>
  <c r="C1915" i="4"/>
  <c r="C1914" i="4"/>
  <c r="C1913" i="4"/>
  <c r="C1912" i="4"/>
  <c r="C1911" i="4"/>
  <c r="C1910" i="4"/>
  <c r="C1909" i="4"/>
  <c r="C1908" i="4"/>
  <c r="C1907" i="4"/>
  <c r="C1906" i="4"/>
  <c r="C1905" i="4"/>
  <c r="C1904" i="4"/>
  <c r="C1903" i="4"/>
  <c r="C1902" i="4"/>
  <c r="C1901" i="4"/>
  <c r="C1900" i="4"/>
  <c r="C1899" i="4"/>
  <c r="C1898" i="4"/>
  <c r="C1897" i="4"/>
  <c r="C1896" i="4"/>
  <c r="C1895" i="4"/>
  <c r="C1894" i="4"/>
  <c r="C1893" i="4"/>
  <c r="C1892" i="4"/>
  <c r="C1891" i="4"/>
  <c r="C1890" i="4"/>
  <c r="C1889" i="4"/>
  <c r="C1888" i="4"/>
  <c r="C1887" i="4"/>
  <c r="C1886" i="4"/>
  <c r="C1885" i="4"/>
  <c r="C1884" i="4"/>
  <c r="C1883" i="4"/>
  <c r="C1882" i="4"/>
  <c r="C1881" i="4"/>
  <c r="C1880" i="4"/>
  <c r="C1879" i="4"/>
  <c r="C1878" i="4"/>
  <c r="C1877" i="4"/>
  <c r="C1876" i="4"/>
  <c r="C1875" i="4"/>
  <c r="C1874" i="4"/>
  <c r="C1873" i="4"/>
  <c r="C1872" i="4"/>
  <c r="C1871" i="4"/>
  <c r="C1870" i="4"/>
  <c r="C1869" i="4"/>
  <c r="C1868" i="4"/>
  <c r="C1867" i="4"/>
  <c r="C1866" i="4"/>
  <c r="C1865" i="4"/>
  <c r="C1864" i="4"/>
  <c r="C1863" i="4"/>
  <c r="C1862" i="4"/>
  <c r="C1861" i="4"/>
  <c r="C1860" i="4"/>
  <c r="C1859" i="4"/>
  <c r="C1858" i="4"/>
  <c r="C1857" i="4"/>
  <c r="C1856" i="4"/>
  <c r="C1855" i="4"/>
  <c r="C1854" i="4"/>
  <c r="C1853" i="4"/>
  <c r="C1852" i="4"/>
  <c r="C1851" i="4"/>
  <c r="C1850" i="4"/>
  <c r="C1849" i="4"/>
  <c r="C1848" i="4"/>
  <c r="C1847" i="4"/>
  <c r="C1846" i="4"/>
  <c r="C1845" i="4"/>
  <c r="C1844" i="4"/>
  <c r="C1843" i="4"/>
  <c r="C1842" i="4"/>
  <c r="C1841" i="4"/>
  <c r="C1840" i="4"/>
  <c r="C1839" i="4"/>
  <c r="C1838" i="4"/>
  <c r="C1837" i="4"/>
  <c r="C1836" i="4"/>
  <c r="C1835" i="4"/>
  <c r="C1834" i="4"/>
  <c r="C1833" i="4"/>
  <c r="C1832" i="4"/>
  <c r="C1831" i="4"/>
  <c r="C1830" i="4"/>
  <c r="C1829" i="4"/>
  <c r="C1828" i="4"/>
  <c r="C1827" i="4"/>
  <c r="C1826" i="4"/>
  <c r="C1825" i="4"/>
  <c r="C1824" i="4"/>
  <c r="C1823" i="4"/>
  <c r="C1822" i="4"/>
  <c r="C1821" i="4"/>
  <c r="C1820" i="4"/>
  <c r="C1819" i="4"/>
  <c r="C1818" i="4"/>
  <c r="C1817" i="4"/>
  <c r="C1816" i="4"/>
  <c r="C1815" i="4"/>
  <c r="C1814" i="4"/>
  <c r="C1813" i="4"/>
  <c r="C1812" i="4"/>
  <c r="C1811" i="4"/>
  <c r="C1810" i="4"/>
  <c r="C1809" i="4"/>
  <c r="C1808" i="4"/>
  <c r="C1807" i="4"/>
  <c r="C1806" i="4"/>
  <c r="C1805" i="4"/>
  <c r="C1804" i="4"/>
  <c r="C1803" i="4"/>
  <c r="C1802" i="4"/>
  <c r="C1801" i="4"/>
  <c r="C1800" i="4"/>
  <c r="C1799" i="4"/>
  <c r="C1798" i="4"/>
  <c r="C1797" i="4"/>
  <c r="C1796" i="4"/>
  <c r="C1795" i="4"/>
  <c r="C1794" i="4"/>
  <c r="C1793" i="4"/>
  <c r="C1792" i="4"/>
  <c r="C1791" i="4"/>
  <c r="C1790" i="4"/>
  <c r="C1789" i="4"/>
  <c r="C1788" i="4"/>
  <c r="C1787" i="4"/>
  <c r="C1786" i="4"/>
  <c r="C1785" i="4"/>
  <c r="C1784" i="4"/>
  <c r="C1783" i="4"/>
  <c r="C1782" i="4"/>
  <c r="C1781" i="4"/>
  <c r="C1780" i="4"/>
  <c r="C1779" i="4"/>
  <c r="C1778" i="4"/>
  <c r="C1777" i="4"/>
  <c r="C1776" i="4"/>
  <c r="C1775" i="4"/>
  <c r="C1774" i="4"/>
  <c r="C1773" i="4"/>
  <c r="C1772" i="4"/>
  <c r="C1771" i="4"/>
  <c r="C1770" i="4"/>
  <c r="C1769" i="4"/>
  <c r="C1768" i="4"/>
  <c r="C1767" i="4"/>
  <c r="C1766" i="4"/>
  <c r="C1765" i="4"/>
  <c r="C1764" i="4"/>
  <c r="C1763" i="4"/>
  <c r="C1762" i="4"/>
  <c r="C1761" i="4"/>
  <c r="C1760" i="4"/>
  <c r="C1759" i="4"/>
  <c r="C1758" i="4"/>
  <c r="C1757" i="4"/>
  <c r="C1756" i="4"/>
  <c r="C1755" i="4"/>
  <c r="C1754" i="4"/>
  <c r="C1753" i="4"/>
  <c r="C1752" i="4"/>
  <c r="C1751" i="4"/>
  <c r="C1750" i="4"/>
  <c r="C1749" i="4"/>
  <c r="C1748" i="4"/>
  <c r="C1747" i="4"/>
  <c r="C1746" i="4"/>
  <c r="C1745" i="4"/>
  <c r="C1744" i="4"/>
  <c r="C1743" i="4"/>
  <c r="C1742" i="4"/>
  <c r="C1741" i="4"/>
  <c r="C1740" i="4"/>
  <c r="C1739" i="4"/>
  <c r="C1738" i="4"/>
  <c r="C1737" i="4"/>
  <c r="C1736" i="4"/>
  <c r="C1735" i="4"/>
  <c r="C1734" i="4"/>
  <c r="C1733" i="4"/>
  <c r="C1732" i="4"/>
  <c r="C1731" i="4"/>
  <c r="C1730" i="4"/>
  <c r="C1729" i="4"/>
  <c r="C1728" i="4"/>
  <c r="C1727" i="4"/>
  <c r="C1726" i="4"/>
  <c r="C1725" i="4"/>
  <c r="C1724" i="4"/>
  <c r="C1723" i="4"/>
  <c r="C1722" i="4"/>
  <c r="C1721" i="4"/>
  <c r="C1720" i="4"/>
  <c r="C1719" i="4"/>
  <c r="C1718" i="4"/>
  <c r="C1717" i="4"/>
  <c r="C1716" i="4"/>
  <c r="C1715" i="4"/>
  <c r="C1714" i="4"/>
  <c r="C1713" i="4"/>
  <c r="C1712" i="4"/>
  <c r="C1711" i="4"/>
  <c r="C1710" i="4"/>
  <c r="C1709" i="4"/>
  <c r="C1708" i="4"/>
  <c r="C1707" i="4"/>
  <c r="C1706" i="4"/>
  <c r="C1705" i="4"/>
  <c r="C1704" i="4"/>
  <c r="C1703" i="4"/>
  <c r="C1702" i="4"/>
  <c r="C1701" i="4"/>
  <c r="C1700" i="4"/>
  <c r="C1699" i="4"/>
  <c r="C1698" i="4"/>
  <c r="C1697" i="4"/>
  <c r="C1696" i="4"/>
  <c r="C1695" i="4"/>
  <c r="C1694" i="4"/>
  <c r="C1693" i="4"/>
  <c r="C1692" i="4"/>
  <c r="C1691" i="4"/>
  <c r="C1690" i="4"/>
  <c r="C1689" i="4"/>
  <c r="C1688" i="4"/>
  <c r="C1687" i="4"/>
  <c r="C1686" i="4"/>
  <c r="C1685" i="4"/>
  <c r="C1684" i="4"/>
  <c r="C1683" i="4"/>
  <c r="C1682" i="4"/>
  <c r="C1681" i="4"/>
  <c r="C1680" i="4"/>
  <c r="C1679" i="4"/>
  <c r="C1678" i="4"/>
  <c r="C1677" i="4"/>
  <c r="C1676" i="4"/>
  <c r="C1675" i="4"/>
  <c r="C1674" i="4"/>
  <c r="C1673" i="4"/>
  <c r="C1672" i="4"/>
  <c r="C1671" i="4"/>
  <c r="C1670" i="4"/>
  <c r="C1669" i="4"/>
  <c r="C1668" i="4"/>
  <c r="C1667" i="4"/>
  <c r="C1666" i="4"/>
  <c r="C1665" i="4"/>
  <c r="C1664" i="4"/>
  <c r="C1663" i="4"/>
  <c r="C1662" i="4"/>
  <c r="C1661" i="4"/>
  <c r="C1660" i="4"/>
  <c r="C1659" i="4"/>
  <c r="C1658" i="4"/>
  <c r="C1657" i="4"/>
  <c r="C1656" i="4"/>
  <c r="C1655" i="4"/>
  <c r="C1654" i="4"/>
  <c r="C1653" i="4"/>
  <c r="C1652" i="4"/>
  <c r="C1651" i="4"/>
  <c r="C1650" i="4"/>
  <c r="C1649" i="4"/>
  <c r="C1648" i="4"/>
  <c r="C1647" i="4"/>
  <c r="C1646" i="4"/>
  <c r="C1645" i="4"/>
  <c r="C1644" i="4"/>
  <c r="C1643" i="4"/>
  <c r="C1642" i="4"/>
  <c r="C1641" i="4"/>
  <c r="C1640" i="4"/>
  <c r="C1639" i="4"/>
  <c r="C1638" i="4"/>
  <c r="C1637" i="4"/>
  <c r="C1636" i="4"/>
  <c r="C1635" i="4"/>
  <c r="C1634" i="4"/>
  <c r="C1633" i="4"/>
  <c r="C1632" i="4"/>
  <c r="C1631" i="4"/>
  <c r="C1630" i="4"/>
  <c r="C1629" i="4"/>
  <c r="C1628" i="4"/>
  <c r="C1627" i="4"/>
  <c r="C1626" i="4"/>
  <c r="C1625" i="4"/>
  <c r="C1624" i="4"/>
  <c r="C1623" i="4"/>
  <c r="C1622" i="4"/>
  <c r="C1621" i="4"/>
  <c r="C1620" i="4"/>
  <c r="C1619" i="4"/>
  <c r="C1618" i="4"/>
  <c r="C1617" i="4"/>
  <c r="C1616" i="4"/>
  <c r="C1615" i="4"/>
  <c r="C1614" i="4"/>
  <c r="C1613" i="4"/>
  <c r="C1612" i="4"/>
  <c r="C1611" i="4"/>
  <c r="C1610" i="4"/>
  <c r="C1609" i="4"/>
  <c r="C1608" i="4"/>
  <c r="C1607" i="4"/>
  <c r="C1606" i="4"/>
  <c r="C1605" i="4"/>
  <c r="C1604" i="4"/>
  <c r="C1603" i="4"/>
  <c r="C1602" i="4"/>
  <c r="C1601" i="4"/>
  <c r="C1600" i="4"/>
  <c r="C1599" i="4"/>
  <c r="C1598" i="4"/>
  <c r="C1597" i="4"/>
  <c r="C1596" i="4"/>
  <c r="C1595" i="4"/>
  <c r="C1594" i="4"/>
  <c r="C1593" i="4"/>
  <c r="C1592" i="4"/>
  <c r="C1591" i="4"/>
  <c r="C1590" i="4"/>
  <c r="C1589" i="4"/>
  <c r="C1588" i="4"/>
  <c r="C1587" i="4"/>
  <c r="C1586" i="4"/>
  <c r="C1585" i="4"/>
  <c r="C1584" i="4"/>
  <c r="C1583" i="4"/>
  <c r="C1582" i="4"/>
  <c r="C1581" i="4"/>
  <c r="C1580" i="4"/>
  <c r="C1579" i="4"/>
  <c r="C1578" i="4"/>
  <c r="C1577" i="4"/>
  <c r="C1576" i="4"/>
  <c r="C1575" i="4"/>
  <c r="C1574" i="4"/>
  <c r="C1573" i="4"/>
  <c r="C1572" i="4"/>
  <c r="C1571" i="4"/>
  <c r="C1570" i="4"/>
  <c r="C1569" i="4"/>
  <c r="C1568" i="4"/>
  <c r="C1567" i="4"/>
  <c r="C1566" i="4"/>
  <c r="C1565" i="4"/>
  <c r="C1564" i="4"/>
  <c r="C1563" i="4"/>
  <c r="C1562" i="4"/>
  <c r="C1561" i="4"/>
  <c r="C1560" i="4"/>
  <c r="C1559" i="4"/>
  <c r="C1558" i="4"/>
  <c r="C1557" i="4"/>
  <c r="C1556" i="4"/>
  <c r="C1555" i="4"/>
  <c r="C1554" i="4"/>
  <c r="C1553" i="4"/>
  <c r="C1552" i="4"/>
  <c r="C1551" i="4"/>
  <c r="C1550" i="4"/>
  <c r="C1549" i="4"/>
  <c r="C1548" i="4"/>
  <c r="C1547" i="4"/>
  <c r="C1546" i="4"/>
  <c r="C1545" i="4"/>
  <c r="C1544" i="4"/>
  <c r="C1543" i="4"/>
  <c r="C1542" i="4"/>
  <c r="C1541" i="4"/>
  <c r="C1540" i="4"/>
  <c r="C1539" i="4"/>
  <c r="C1538" i="4"/>
  <c r="C1537" i="4"/>
  <c r="C1536" i="4"/>
  <c r="C1535" i="4"/>
  <c r="C1534" i="4"/>
  <c r="C1533" i="4"/>
  <c r="C1532" i="4"/>
  <c r="C1531" i="4"/>
  <c r="C1530" i="4"/>
  <c r="C1529" i="4"/>
  <c r="C1528" i="4"/>
  <c r="C1527" i="4"/>
  <c r="C1526" i="4"/>
  <c r="C1525" i="4"/>
  <c r="C1524" i="4"/>
  <c r="C1523" i="4"/>
  <c r="C1522" i="4"/>
  <c r="C1521" i="4"/>
  <c r="C1520" i="4"/>
  <c r="C1519" i="4"/>
  <c r="C1518" i="4"/>
  <c r="C1517" i="4"/>
  <c r="C1516" i="4"/>
  <c r="C1515" i="4"/>
  <c r="C1514" i="4"/>
  <c r="C1513" i="4"/>
  <c r="C1512" i="4"/>
  <c r="C1511" i="4"/>
  <c r="C1510" i="4"/>
  <c r="C1509" i="4"/>
  <c r="C1508" i="4"/>
  <c r="C1507" i="4"/>
  <c r="C1506" i="4"/>
  <c r="C1505" i="4"/>
  <c r="C1504" i="4"/>
  <c r="C1503" i="4"/>
  <c r="C1502" i="4"/>
  <c r="C1501" i="4"/>
  <c r="C1500" i="4"/>
  <c r="C1499" i="4"/>
  <c r="C1498" i="4"/>
  <c r="C1497" i="4"/>
  <c r="C1496" i="4"/>
  <c r="C1495" i="4"/>
  <c r="C1494" i="4"/>
  <c r="C1493" i="4"/>
  <c r="C1492" i="4"/>
  <c r="C1491" i="4"/>
  <c r="C1490" i="4"/>
  <c r="C1489" i="4"/>
  <c r="C1488" i="4"/>
  <c r="C1487" i="4"/>
  <c r="C1486" i="4"/>
  <c r="C1485" i="4"/>
  <c r="C1484" i="4"/>
  <c r="C1483" i="4"/>
  <c r="C1482" i="4"/>
  <c r="C1481" i="4"/>
  <c r="C1480" i="4"/>
  <c r="C1479" i="4"/>
  <c r="C1478" i="4"/>
  <c r="C1477" i="4"/>
  <c r="C1476" i="4"/>
  <c r="C1475" i="4"/>
  <c r="C1474" i="4"/>
  <c r="C1473" i="4"/>
  <c r="C1472" i="4"/>
  <c r="C1471" i="4"/>
  <c r="C1470" i="4"/>
  <c r="C1469" i="4"/>
  <c r="C1468" i="4"/>
  <c r="C1467" i="4"/>
  <c r="C1466" i="4"/>
  <c r="C1465" i="4"/>
  <c r="C1464" i="4"/>
  <c r="C1463" i="4"/>
  <c r="C1462" i="4"/>
  <c r="C1461" i="4"/>
  <c r="C1460" i="4"/>
  <c r="C1459" i="4"/>
  <c r="C1458" i="4"/>
  <c r="C1457" i="4"/>
  <c r="C1456" i="4"/>
  <c r="C1455" i="4"/>
  <c r="C1454" i="4"/>
  <c r="C1453" i="4"/>
  <c r="C1452" i="4"/>
  <c r="C1451" i="4"/>
  <c r="C1450" i="4"/>
  <c r="C1449" i="4"/>
  <c r="C1448" i="4"/>
  <c r="C1447" i="4"/>
  <c r="C1446" i="4"/>
  <c r="C1445" i="4"/>
  <c r="C1444" i="4"/>
  <c r="C1443" i="4"/>
  <c r="C1442" i="4"/>
  <c r="C1441" i="4"/>
  <c r="C1440" i="4"/>
  <c r="C1439" i="4"/>
  <c r="C1438" i="4"/>
  <c r="C1437" i="4"/>
  <c r="C1436" i="4"/>
  <c r="C1435" i="4"/>
  <c r="C1434" i="4"/>
  <c r="C1433" i="4"/>
  <c r="C1432" i="4"/>
  <c r="C1431" i="4"/>
  <c r="C1430" i="4"/>
  <c r="C1429" i="4"/>
  <c r="C1428" i="4"/>
  <c r="C1427" i="4"/>
  <c r="C1426" i="4"/>
  <c r="C1425" i="4"/>
  <c r="C1424" i="4"/>
  <c r="C1423" i="4"/>
  <c r="C1422" i="4"/>
  <c r="C1421" i="4"/>
  <c r="C1420" i="4"/>
  <c r="C1419" i="4"/>
  <c r="C1418" i="4"/>
  <c r="C1417" i="4"/>
  <c r="C1416" i="4"/>
  <c r="C1415" i="4"/>
  <c r="C1414" i="4"/>
  <c r="C1413" i="4"/>
  <c r="C1412" i="4"/>
  <c r="C1411" i="4"/>
  <c r="C1410" i="4"/>
  <c r="C1409" i="4"/>
  <c r="C1408" i="4"/>
  <c r="C1407" i="4"/>
  <c r="C1406" i="4"/>
  <c r="C1405" i="4"/>
  <c r="C1404" i="4"/>
  <c r="C1403" i="4"/>
  <c r="C1402" i="4"/>
  <c r="C1401" i="4"/>
  <c r="C1400" i="4"/>
  <c r="C1399" i="4"/>
  <c r="C1398" i="4"/>
  <c r="C1397" i="4"/>
  <c r="C1396" i="4"/>
  <c r="C1395" i="4"/>
  <c r="C1394" i="4"/>
  <c r="C1393" i="4"/>
  <c r="C1392" i="4"/>
  <c r="C1391" i="4"/>
  <c r="C1390" i="4"/>
  <c r="C1389" i="4"/>
  <c r="C1388" i="4"/>
  <c r="C1387" i="4"/>
  <c r="C1386" i="4"/>
  <c r="C1385" i="4"/>
  <c r="C1384" i="4"/>
  <c r="C1383" i="4"/>
  <c r="C1382" i="4"/>
  <c r="C1381" i="4"/>
  <c r="C1380" i="4"/>
  <c r="C1379" i="4"/>
  <c r="C1378" i="4"/>
  <c r="C1377" i="4"/>
  <c r="C1376" i="4"/>
  <c r="C1375" i="4"/>
  <c r="C1374" i="4"/>
  <c r="C1373" i="4"/>
  <c r="C1372" i="4"/>
  <c r="C1371" i="4"/>
  <c r="C1370" i="4"/>
  <c r="C1369" i="4"/>
  <c r="C1368" i="4"/>
  <c r="C1367" i="4"/>
  <c r="C1366" i="4"/>
  <c r="C1365" i="4"/>
  <c r="C1364" i="4"/>
  <c r="C1363" i="4"/>
  <c r="C1362" i="4"/>
  <c r="C1361" i="4"/>
  <c r="C1360" i="4"/>
  <c r="C1359" i="4"/>
  <c r="C1358" i="4"/>
  <c r="C1357" i="4"/>
  <c r="C1356" i="4"/>
  <c r="C1355" i="4"/>
  <c r="C1354" i="4"/>
  <c r="C1353" i="4"/>
  <c r="C1352" i="4"/>
  <c r="C1351" i="4"/>
  <c r="C1350" i="4"/>
  <c r="C1349" i="4"/>
  <c r="C1348" i="4"/>
  <c r="C1347" i="4"/>
  <c r="C1346" i="4"/>
  <c r="C1345" i="4"/>
  <c r="C1344" i="4"/>
  <c r="C1343" i="4"/>
  <c r="C1342" i="4"/>
  <c r="C1341" i="4"/>
  <c r="C1340" i="4"/>
  <c r="C1339" i="4"/>
  <c r="C1338" i="4"/>
  <c r="C1337" i="4"/>
  <c r="C1336" i="4"/>
  <c r="C1335" i="4"/>
  <c r="C1334" i="4"/>
  <c r="C1333" i="4"/>
  <c r="C1332" i="4"/>
  <c r="C1331" i="4"/>
  <c r="C1330" i="4"/>
  <c r="C1329" i="4"/>
  <c r="C1328" i="4"/>
  <c r="C1327" i="4"/>
  <c r="C1326" i="4"/>
  <c r="C1325" i="4"/>
  <c r="C1324" i="4"/>
  <c r="C1323" i="4"/>
  <c r="C1322" i="4"/>
  <c r="C1321" i="4"/>
  <c r="C1320" i="4"/>
  <c r="C1319" i="4"/>
  <c r="C1318" i="4"/>
  <c r="C1317" i="4"/>
  <c r="C1316" i="4"/>
  <c r="C1315" i="4"/>
  <c r="C1314" i="4"/>
  <c r="C1313" i="4"/>
  <c r="C1312" i="4"/>
  <c r="C1311" i="4"/>
  <c r="C1310" i="4"/>
  <c r="C1309" i="4"/>
  <c r="C1308" i="4"/>
  <c r="C1307" i="4"/>
  <c r="C1306" i="4"/>
  <c r="C1305" i="4"/>
  <c r="C1304" i="4"/>
  <c r="C1303" i="4"/>
  <c r="C1302" i="4"/>
  <c r="C1301" i="4"/>
  <c r="C1300" i="4"/>
  <c r="C1299" i="4"/>
  <c r="C1298" i="4"/>
  <c r="C1297" i="4"/>
  <c r="C1296" i="4"/>
  <c r="C1295" i="4"/>
  <c r="C1294" i="4"/>
  <c r="C1293" i="4"/>
  <c r="C1292" i="4"/>
  <c r="C1291" i="4"/>
  <c r="C1290" i="4"/>
  <c r="C1289" i="4"/>
  <c r="C1288" i="4"/>
  <c r="C1287" i="4"/>
  <c r="C1286" i="4"/>
  <c r="C1285" i="4"/>
  <c r="C1284" i="4"/>
  <c r="C1283" i="4"/>
  <c r="C1282" i="4"/>
  <c r="C1281" i="4"/>
  <c r="C1280" i="4"/>
  <c r="C1279" i="4"/>
  <c r="C1278" i="4"/>
  <c r="C1277" i="4"/>
  <c r="C1276" i="4"/>
  <c r="C1275" i="4"/>
  <c r="C1274" i="4"/>
  <c r="C1273" i="4"/>
  <c r="C1272" i="4"/>
  <c r="C1271" i="4"/>
  <c r="C1270" i="4"/>
  <c r="C1269" i="4"/>
  <c r="C1268" i="4"/>
  <c r="C1267" i="4"/>
  <c r="C1266" i="4"/>
  <c r="C1265" i="4"/>
  <c r="C1264" i="4"/>
  <c r="C1263" i="4"/>
  <c r="C1262" i="4"/>
  <c r="C1261" i="4"/>
  <c r="C1260" i="4"/>
  <c r="C1259" i="4"/>
  <c r="C1258" i="4"/>
  <c r="C1257" i="4"/>
  <c r="C1256" i="4"/>
  <c r="C1255" i="4"/>
  <c r="C1254" i="4"/>
  <c r="C1253" i="4"/>
  <c r="C1252" i="4"/>
  <c r="C1251" i="4"/>
  <c r="C1250" i="4"/>
  <c r="C1249" i="4"/>
  <c r="C1248" i="4"/>
  <c r="C1247" i="4"/>
  <c r="C1246" i="4"/>
  <c r="C1245" i="4"/>
  <c r="C1244" i="4"/>
  <c r="C1243" i="4"/>
  <c r="C1242" i="4"/>
  <c r="C1241" i="4"/>
  <c r="C1240" i="4"/>
  <c r="C1239" i="4"/>
  <c r="C1238" i="4"/>
  <c r="C1237" i="4"/>
  <c r="C1236" i="4"/>
  <c r="C1235" i="4"/>
  <c r="C1234" i="4"/>
  <c r="C1233" i="4"/>
  <c r="C1232" i="4"/>
  <c r="C1231" i="4"/>
  <c r="C1230" i="4"/>
  <c r="C1229" i="4"/>
  <c r="C1228" i="4"/>
  <c r="C1227" i="4"/>
  <c r="C1226" i="4"/>
  <c r="C1225" i="4"/>
  <c r="C1224" i="4"/>
  <c r="C1223" i="4"/>
  <c r="C1222" i="4"/>
  <c r="C1221" i="4"/>
  <c r="C1220" i="4"/>
  <c r="C1219" i="4"/>
  <c r="C1218" i="4"/>
  <c r="C1217" i="4"/>
  <c r="C1216" i="4"/>
  <c r="C1215" i="4"/>
  <c r="C1214" i="4"/>
  <c r="C1213" i="4"/>
  <c r="C1212" i="4"/>
  <c r="C1211" i="4"/>
  <c r="C1210" i="4"/>
  <c r="C1209" i="4"/>
  <c r="C1208" i="4"/>
  <c r="C1207" i="4"/>
  <c r="C1206" i="4"/>
  <c r="C1205" i="4"/>
  <c r="C1204" i="4"/>
  <c r="C1203" i="4"/>
  <c r="C1202" i="4"/>
  <c r="C1201" i="4"/>
  <c r="C1200" i="4"/>
  <c r="C1199" i="4"/>
  <c r="C1198" i="4"/>
  <c r="C1197" i="4"/>
  <c r="C1196" i="4"/>
  <c r="C1195" i="4"/>
  <c r="C1194" i="4"/>
  <c r="C1193" i="4"/>
  <c r="C1192" i="4"/>
  <c r="C1191" i="4"/>
  <c r="C1190" i="4"/>
  <c r="C1189" i="4"/>
  <c r="C1188" i="4"/>
  <c r="C1187" i="4"/>
  <c r="C1186" i="4"/>
  <c r="C1185" i="4"/>
  <c r="C1184" i="4"/>
  <c r="C1183" i="4"/>
  <c r="C1182" i="4"/>
  <c r="C1181" i="4"/>
  <c r="C1180" i="4"/>
  <c r="C1179" i="4"/>
  <c r="C1178" i="4"/>
  <c r="C1177" i="4"/>
  <c r="C1176" i="4"/>
  <c r="C1175" i="4"/>
  <c r="C1174" i="4"/>
  <c r="C1173" i="4"/>
  <c r="C1172" i="4"/>
  <c r="C1171" i="4"/>
  <c r="C1170" i="4"/>
  <c r="C1169" i="4"/>
  <c r="C1168" i="4"/>
  <c r="C1167" i="4"/>
  <c r="C1166" i="4"/>
  <c r="C1165" i="4"/>
  <c r="C1164" i="4"/>
  <c r="C1163" i="4"/>
  <c r="C1162" i="4"/>
  <c r="C1161" i="4"/>
  <c r="C1160" i="4"/>
  <c r="C1159" i="4"/>
  <c r="C1158" i="4"/>
  <c r="C1157" i="4"/>
  <c r="C1156" i="4"/>
  <c r="C1155" i="4"/>
  <c r="C1154" i="4"/>
  <c r="C1153" i="4"/>
  <c r="C1152" i="4"/>
  <c r="C1151" i="4"/>
  <c r="C1150" i="4"/>
  <c r="C1149" i="4"/>
  <c r="C1148" i="4"/>
  <c r="C1147" i="4"/>
  <c r="C1146" i="4"/>
  <c r="C1145" i="4"/>
  <c r="C1144" i="4"/>
  <c r="C1143" i="4"/>
  <c r="C1142" i="4"/>
  <c r="C1141" i="4"/>
  <c r="C1140" i="4"/>
  <c r="C1139" i="4"/>
  <c r="C1138" i="4"/>
  <c r="C1137" i="4"/>
  <c r="C1136" i="4"/>
  <c r="C1135" i="4"/>
  <c r="C1134" i="4"/>
  <c r="C1133" i="4"/>
  <c r="C1132" i="4"/>
  <c r="C1131" i="4"/>
  <c r="C1130" i="4"/>
  <c r="C1129" i="4"/>
  <c r="C1128" i="4"/>
  <c r="C1127" i="4"/>
  <c r="C1126" i="4"/>
  <c r="C1125" i="4"/>
  <c r="C1124" i="4"/>
  <c r="C1123" i="4"/>
  <c r="C1122" i="4"/>
  <c r="C1121" i="4"/>
  <c r="C1120" i="4"/>
  <c r="C1119" i="4"/>
  <c r="C1118" i="4"/>
  <c r="C1117" i="4"/>
  <c r="C1116" i="4"/>
  <c r="C1115" i="4"/>
  <c r="C1114" i="4"/>
  <c r="C1113" i="4"/>
  <c r="C1112" i="4"/>
  <c r="C1111" i="4"/>
  <c r="C1110" i="4"/>
  <c r="C1109" i="4"/>
  <c r="C1108" i="4"/>
  <c r="C1107" i="4"/>
  <c r="C1106" i="4"/>
  <c r="C1105" i="4"/>
  <c r="C1104" i="4"/>
  <c r="C1103" i="4"/>
  <c r="C1102" i="4"/>
  <c r="C1101" i="4"/>
  <c r="C1100" i="4"/>
  <c r="C1099" i="4"/>
  <c r="C1098" i="4"/>
  <c r="C1097" i="4"/>
  <c r="C1096" i="4"/>
  <c r="C1095" i="4"/>
  <c r="C1094" i="4"/>
  <c r="C1093" i="4"/>
  <c r="C1092" i="4"/>
  <c r="C1091" i="4"/>
  <c r="C1090" i="4"/>
  <c r="C1089" i="4"/>
  <c r="C1088" i="4"/>
  <c r="C1087" i="4"/>
  <c r="C1086" i="4"/>
  <c r="C1085" i="4"/>
  <c r="C1084" i="4"/>
  <c r="C1083" i="4"/>
  <c r="C1082" i="4"/>
  <c r="C1081" i="4"/>
  <c r="C1080" i="4"/>
  <c r="C1079" i="4"/>
  <c r="C1078" i="4"/>
  <c r="C1077" i="4"/>
  <c r="C1076" i="4"/>
  <c r="C1075" i="4"/>
  <c r="C1074" i="4"/>
  <c r="C1073" i="4"/>
  <c r="C1072" i="4"/>
  <c r="C1071" i="4"/>
  <c r="C1070" i="4"/>
  <c r="C1069" i="4"/>
  <c r="C1068" i="4"/>
  <c r="C1067" i="4"/>
  <c r="C1066" i="4"/>
  <c r="C1065" i="4"/>
  <c r="C1064" i="4"/>
  <c r="C1063" i="4"/>
  <c r="C1062" i="4"/>
  <c r="C1061" i="4"/>
  <c r="C1060" i="4"/>
  <c r="C1059" i="4"/>
  <c r="C1058" i="4"/>
  <c r="C1057" i="4"/>
  <c r="C1056" i="4"/>
  <c r="C1055" i="4"/>
  <c r="C1054" i="4"/>
  <c r="C1053" i="4"/>
  <c r="C1052" i="4"/>
  <c r="C1051" i="4"/>
  <c r="C1050" i="4"/>
  <c r="C1049" i="4"/>
  <c r="C1048" i="4"/>
  <c r="C1047" i="4"/>
  <c r="C1046" i="4"/>
  <c r="C1045" i="4"/>
  <c r="C1044" i="4"/>
  <c r="C1043" i="4"/>
  <c r="C1042" i="4"/>
  <c r="C1041" i="4"/>
  <c r="C1040" i="4"/>
  <c r="C1039" i="4"/>
  <c r="C1038" i="4"/>
  <c r="C1037" i="4"/>
  <c r="C1036" i="4"/>
  <c r="C1035" i="4"/>
  <c r="C1034" i="4"/>
  <c r="C1033" i="4"/>
  <c r="C1032" i="4"/>
  <c r="C1031" i="4"/>
  <c r="C1030" i="4"/>
  <c r="C1029" i="4"/>
  <c r="C1028" i="4"/>
  <c r="C1027" i="4"/>
  <c r="C1026" i="4"/>
  <c r="C1025" i="4"/>
  <c r="C1024" i="4"/>
  <c r="C1023" i="4"/>
  <c r="C1022" i="4"/>
  <c r="C1021" i="4"/>
  <c r="C1020" i="4"/>
  <c r="C1019" i="4"/>
  <c r="C1018" i="4"/>
  <c r="C1017" i="4"/>
  <c r="C1016" i="4"/>
  <c r="C1015" i="4"/>
  <c r="C1014" i="4"/>
  <c r="C1013" i="4"/>
  <c r="C1012" i="4"/>
  <c r="C1011" i="4"/>
  <c r="C1010" i="4"/>
  <c r="C1009" i="4"/>
  <c r="C1008" i="4"/>
  <c r="C1007" i="4"/>
  <c r="C1006" i="4"/>
  <c r="C1005" i="4"/>
  <c r="C1004" i="4"/>
  <c r="C1003" i="4"/>
  <c r="C1002" i="4"/>
  <c r="C1001" i="4"/>
  <c r="C1000" i="4"/>
  <c r="C999" i="4"/>
  <c r="C998" i="4"/>
  <c r="C997" i="4"/>
  <c r="C996" i="4"/>
  <c r="C995" i="4"/>
  <c r="C994" i="4"/>
  <c r="C993" i="4"/>
  <c r="C992" i="4"/>
  <c r="C991" i="4"/>
  <c r="C990" i="4"/>
  <c r="C989" i="4"/>
  <c r="C988" i="4"/>
  <c r="C987" i="4"/>
  <c r="C986" i="4"/>
  <c r="C985" i="4"/>
  <c r="C984" i="4"/>
  <c r="C983" i="4"/>
  <c r="C982" i="4"/>
  <c r="C981" i="4"/>
  <c r="C980" i="4"/>
  <c r="C979" i="4"/>
  <c r="C978" i="4"/>
  <c r="C977" i="4"/>
  <c r="C976" i="4"/>
  <c r="C975" i="4"/>
  <c r="C974" i="4"/>
  <c r="C973" i="4"/>
  <c r="C972" i="4"/>
  <c r="C971" i="4"/>
  <c r="C970" i="4"/>
  <c r="C969" i="4"/>
  <c r="C968" i="4"/>
  <c r="C967" i="4"/>
  <c r="C966" i="4"/>
  <c r="C965" i="4"/>
  <c r="C964" i="4"/>
  <c r="C963" i="4"/>
  <c r="C962" i="4"/>
  <c r="C961" i="4"/>
  <c r="C960" i="4"/>
  <c r="C959" i="4"/>
  <c r="C958" i="4"/>
  <c r="C957" i="4"/>
  <c r="C956" i="4"/>
  <c r="C955" i="4"/>
  <c r="C954" i="4"/>
  <c r="C953" i="4"/>
  <c r="C952" i="4"/>
  <c r="C951" i="4"/>
  <c r="C950" i="4"/>
  <c r="C949" i="4"/>
  <c r="C948" i="4"/>
  <c r="C947" i="4"/>
  <c r="C946" i="4"/>
  <c r="C945" i="4"/>
  <c r="C944" i="4"/>
  <c r="C943" i="4"/>
  <c r="C942" i="4"/>
  <c r="C941" i="4"/>
  <c r="C940" i="4"/>
  <c r="C939" i="4"/>
  <c r="C938" i="4"/>
  <c r="C937" i="4"/>
  <c r="C936" i="4"/>
  <c r="C935" i="4"/>
  <c r="C934" i="4"/>
  <c r="C933" i="4"/>
  <c r="C932" i="4"/>
  <c r="C931" i="4"/>
  <c r="C930" i="4"/>
  <c r="C929" i="4"/>
  <c r="C928" i="4"/>
  <c r="C927" i="4"/>
  <c r="C926" i="4"/>
  <c r="C925" i="4"/>
  <c r="C924" i="4"/>
  <c r="C923" i="4"/>
  <c r="C922" i="4"/>
  <c r="C921" i="4"/>
  <c r="C920" i="4"/>
  <c r="C919" i="4"/>
  <c r="C918" i="4"/>
  <c r="C917" i="4"/>
  <c r="C916" i="4"/>
  <c r="C915" i="4"/>
  <c r="C914" i="4"/>
  <c r="C913" i="4"/>
  <c r="C912" i="4"/>
  <c r="C911" i="4"/>
  <c r="C910" i="4"/>
  <c r="C909" i="4"/>
  <c r="C908" i="4"/>
  <c r="C907" i="4"/>
  <c r="C906" i="4"/>
  <c r="C905" i="4"/>
  <c r="C904" i="4"/>
  <c r="C903" i="4"/>
  <c r="C902" i="4"/>
  <c r="C901" i="4"/>
  <c r="C900" i="4"/>
  <c r="C899" i="4"/>
  <c r="C898" i="4"/>
  <c r="C897" i="4"/>
  <c r="C896" i="4"/>
  <c r="C895" i="4"/>
  <c r="C894" i="4"/>
  <c r="C893" i="4"/>
  <c r="C892" i="4"/>
  <c r="C891" i="4"/>
  <c r="C890" i="4"/>
  <c r="C889" i="4"/>
  <c r="C888" i="4"/>
  <c r="C887" i="4"/>
  <c r="C886" i="4"/>
  <c r="C885" i="4"/>
  <c r="C884" i="4"/>
  <c r="C883" i="4"/>
  <c r="C882" i="4"/>
  <c r="C881" i="4"/>
  <c r="C880" i="4"/>
  <c r="C879" i="4"/>
  <c r="C878" i="4"/>
  <c r="C877" i="4"/>
  <c r="C876" i="4"/>
  <c r="C875" i="4"/>
  <c r="C874" i="4"/>
  <c r="C873" i="4"/>
  <c r="C872" i="4"/>
  <c r="C871" i="4"/>
  <c r="C870" i="4"/>
  <c r="C869" i="4"/>
  <c r="C868" i="4"/>
  <c r="C867" i="4"/>
  <c r="C866" i="4"/>
  <c r="C865" i="4"/>
  <c r="C864" i="4"/>
  <c r="C863" i="4"/>
  <c r="C862" i="4"/>
  <c r="C861" i="4"/>
  <c r="C860" i="4"/>
  <c r="C859" i="4"/>
  <c r="C858" i="4"/>
  <c r="C857" i="4"/>
  <c r="C856" i="4"/>
  <c r="C855" i="4"/>
  <c r="C854" i="4"/>
  <c r="C853" i="4"/>
  <c r="C852" i="4"/>
  <c r="C851" i="4"/>
  <c r="C850" i="4"/>
  <c r="C849" i="4"/>
  <c r="C848" i="4"/>
  <c r="C847" i="4"/>
  <c r="C846" i="4"/>
  <c r="C845" i="4"/>
  <c r="C844" i="4"/>
  <c r="C843" i="4"/>
  <c r="C842" i="4"/>
  <c r="C841" i="4"/>
  <c r="C840" i="4"/>
  <c r="C839" i="4"/>
  <c r="C838" i="4"/>
  <c r="C837" i="4"/>
  <c r="C836" i="4"/>
  <c r="C835" i="4"/>
  <c r="C834" i="4"/>
  <c r="C833" i="4"/>
  <c r="C832" i="4"/>
  <c r="C831" i="4"/>
  <c r="C830" i="4"/>
  <c r="C829" i="4"/>
  <c r="C828" i="4"/>
  <c r="C827" i="4"/>
  <c r="C826" i="4"/>
  <c r="C825" i="4"/>
  <c r="C824" i="4"/>
  <c r="C823" i="4"/>
  <c r="C822" i="4"/>
  <c r="C821" i="4"/>
  <c r="C820" i="4"/>
  <c r="C819" i="4"/>
  <c r="C818" i="4"/>
  <c r="C817" i="4"/>
  <c r="C816" i="4"/>
  <c r="C815" i="4"/>
  <c r="C814" i="4"/>
  <c r="C813" i="4"/>
  <c r="C812" i="4"/>
  <c r="C811" i="4"/>
  <c r="C810" i="4"/>
  <c r="C809" i="4"/>
  <c r="C808" i="4"/>
  <c r="C807" i="4"/>
  <c r="C806" i="4"/>
  <c r="C805" i="4"/>
  <c r="C804" i="4"/>
  <c r="C803" i="4"/>
  <c r="C802" i="4"/>
  <c r="C801" i="4"/>
  <c r="C800" i="4"/>
  <c r="C799" i="4"/>
  <c r="C798" i="4"/>
  <c r="C797" i="4"/>
  <c r="C796" i="4"/>
  <c r="C795" i="4"/>
  <c r="C794" i="4"/>
  <c r="C793" i="4"/>
  <c r="C792" i="4"/>
  <c r="C791" i="4"/>
  <c r="C790" i="4"/>
  <c r="C789" i="4"/>
  <c r="C788" i="4"/>
  <c r="C787" i="4"/>
  <c r="C786" i="4"/>
  <c r="C785" i="4"/>
  <c r="C784" i="4"/>
  <c r="C783" i="4"/>
  <c r="C782" i="4"/>
  <c r="C781" i="4"/>
  <c r="C780" i="4"/>
  <c r="C779" i="4"/>
  <c r="C778" i="4"/>
  <c r="C777" i="4"/>
  <c r="C776" i="4"/>
  <c r="C775" i="4"/>
  <c r="C774" i="4"/>
  <c r="C773" i="4"/>
  <c r="C772" i="4"/>
  <c r="C771" i="4"/>
  <c r="C770" i="4"/>
  <c r="C769" i="4"/>
  <c r="C768" i="4"/>
  <c r="C767" i="4"/>
  <c r="C766" i="4"/>
  <c r="C765" i="4"/>
  <c r="C764" i="4"/>
  <c r="C763" i="4"/>
  <c r="C762" i="4"/>
  <c r="C761" i="4"/>
  <c r="C760" i="4"/>
  <c r="C759" i="4"/>
  <c r="C758" i="4"/>
  <c r="C757" i="4"/>
  <c r="C756" i="4"/>
  <c r="C755" i="4"/>
  <c r="C754" i="4"/>
  <c r="C753" i="4"/>
  <c r="C752" i="4"/>
  <c r="C751" i="4"/>
  <c r="C750" i="4"/>
  <c r="C749" i="4"/>
  <c r="C748" i="4"/>
  <c r="C747" i="4"/>
  <c r="C746" i="4"/>
  <c r="C745" i="4"/>
  <c r="C744" i="4"/>
  <c r="C743" i="4"/>
  <c r="C742" i="4"/>
  <c r="C741" i="4"/>
  <c r="C740" i="4"/>
  <c r="C739" i="4"/>
  <c r="C738" i="4"/>
  <c r="C737" i="4"/>
  <c r="C736" i="4"/>
  <c r="C735" i="4"/>
  <c r="C734" i="4"/>
  <c r="C733" i="4"/>
  <c r="C732" i="4"/>
  <c r="C731" i="4"/>
  <c r="C730" i="4"/>
  <c r="C729" i="4"/>
  <c r="C728" i="4"/>
  <c r="C727" i="4"/>
  <c r="C726" i="4"/>
  <c r="C725" i="4"/>
  <c r="C724" i="4"/>
  <c r="C723" i="4"/>
  <c r="C722" i="4"/>
  <c r="C721" i="4"/>
  <c r="C720" i="4"/>
  <c r="C719" i="4"/>
  <c r="C718" i="4"/>
  <c r="C717" i="4"/>
  <c r="C716" i="4"/>
  <c r="C715" i="4"/>
  <c r="C714" i="4"/>
  <c r="C713" i="4"/>
  <c r="C712" i="4"/>
  <c r="C711" i="4"/>
  <c r="C710" i="4"/>
  <c r="C709" i="4"/>
  <c r="C708" i="4"/>
  <c r="C707" i="4"/>
  <c r="C706" i="4"/>
  <c r="C705" i="4"/>
  <c r="C704" i="4"/>
  <c r="C703" i="4"/>
  <c r="C702" i="4"/>
  <c r="C701" i="4"/>
  <c r="C700" i="4"/>
  <c r="C699" i="4"/>
  <c r="C698" i="4"/>
  <c r="C697" i="4"/>
  <c r="C696" i="4"/>
  <c r="C695" i="4"/>
  <c r="C694" i="4"/>
  <c r="C693" i="4"/>
  <c r="C692" i="4"/>
  <c r="C691" i="4"/>
  <c r="C690" i="4"/>
  <c r="C689" i="4"/>
  <c r="C688" i="4"/>
  <c r="C687" i="4"/>
  <c r="C686" i="4"/>
  <c r="C685" i="4"/>
  <c r="C684" i="4"/>
  <c r="C683" i="4"/>
  <c r="C682" i="4"/>
  <c r="C681" i="4"/>
  <c r="C680" i="4"/>
  <c r="C679" i="4"/>
  <c r="C678" i="4"/>
  <c r="C677" i="4"/>
  <c r="C676" i="4"/>
  <c r="C675" i="4"/>
  <c r="C674" i="4"/>
  <c r="C673" i="4"/>
  <c r="C672" i="4"/>
  <c r="C671" i="4"/>
  <c r="C670" i="4"/>
  <c r="C669" i="4"/>
  <c r="C668" i="4"/>
  <c r="C667" i="4"/>
  <c r="C666" i="4"/>
  <c r="C665" i="4"/>
  <c r="C664" i="4"/>
  <c r="C663" i="4"/>
  <c r="C662" i="4"/>
  <c r="C661" i="4"/>
  <c r="C660" i="4"/>
  <c r="C659" i="4"/>
  <c r="C658" i="4"/>
  <c r="C657" i="4"/>
  <c r="C656" i="4"/>
  <c r="C655" i="4"/>
  <c r="C654" i="4"/>
  <c r="C653" i="4"/>
  <c r="C652" i="4"/>
  <c r="C651" i="4"/>
  <c r="C650" i="4"/>
  <c r="C649" i="4"/>
  <c r="C648" i="4"/>
  <c r="C647" i="4"/>
  <c r="C646" i="4"/>
  <c r="C645" i="4"/>
  <c r="C644" i="4"/>
  <c r="C643" i="4"/>
  <c r="C642" i="4"/>
  <c r="C641" i="4"/>
  <c r="C640" i="4"/>
  <c r="C639" i="4"/>
  <c r="C638" i="4"/>
  <c r="C637" i="4"/>
  <c r="C636" i="4"/>
  <c r="C635" i="4"/>
  <c r="C634" i="4"/>
  <c r="C633" i="4"/>
  <c r="C632" i="4"/>
  <c r="C631" i="4"/>
  <c r="C630" i="4"/>
  <c r="C629" i="4"/>
  <c r="C628" i="4"/>
  <c r="C627" i="4"/>
  <c r="C626" i="4"/>
  <c r="C625" i="4"/>
  <c r="C624" i="4"/>
  <c r="C623" i="4"/>
  <c r="C622" i="4"/>
  <c r="C621" i="4"/>
  <c r="C620" i="4"/>
  <c r="C619" i="4"/>
  <c r="C618" i="4"/>
  <c r="C617" i="4"/>
  <c r="C616" i="4"/>
  <c r="C615" i="4"/>
  <c r="C614" i="4"/>
  <c r="C613" i="4"/>
  <c r="C612" i="4"/>
  <c r="C611" i="4"/>
  <c r="C610" i="4"/>
  <c r="C609" i="4"/>
  <c r="C608" i="4"/>
  <c r="C607" i="4"/>
  <c r="C606" i="4"/>
  <c r="C605" i="4"/>
  <c r="C604" i="4"/>
  <c r="C603" i="4"/>
  <c r="C602" i="4"/>
  <c r="C601" i="4"/>
  <c r="C600" i="4"/>
  <c r="C599" i="4"/>
  <c r="C598" i="4"/>
  <c r="C597" i="4"/>
  <c r="C596" i="4"/>
  <c r="C595" i="4"/>
  <c r="C594" i="4"/>
  <c r="C593" i="4"/>
  <c r="C592" i="4"/>
  <c r="C591" i="4"/>
  <c r="C590" i="4"/>
  <c r="C589" i="4"/>
  <c r="C588" i="4"/>
  <c r="C587" i="4"/>
  <c r="C586" i="4"/>
  <c r="C585" i="4"/>
  <c r="C584" i="4"/>
  <c r="C583" i="4"/>
  <c r="C582" i="4"/>
  <c r="C581" i="4"/>
  <c r="C580" i="4"/>
  <c r="C579" i="4"/>
  <c r="C578" i="4"/>
  <c r="C577" i="4"/>
  <c r="C576" i="4"/>
  <c r="C575" i="4"/>
  <c r="C574" i="4"/>
  <c r="C573" i="4"/>
  <c r="C572" i="4"/>
  <c r="C571" i="4"/>
  <c r="C570" i="4"/>
  <c r="C569" i="4"/>
  <c r="C568" i="4"/>
  <c r="C567" i="4"/>
  <c r="C566" i="4"/>
  <c r="C565" i="4"/>
  <c r="C564" i="4"/>
  <c r="C563" i="4"/>
  <c r="C562" i="4"/>
  <c r="C561" i="4"/>
  <c r="C560" i="4"/>
  <c r="C559" i="4"/>
  <c r="C558" i="4"/>
  <c r="C557" i="4"/>
  <c r="C556" i="4"/>
  <c r="C555" i="4"/>
  <c r="C554" i="4"/>
  <c r="C553" i="4"/>
  <c r="C552" i="4"/>
  <c r="C551" i="4"/>
  <c r="C550" i="4"/>
  <c r="C549" i="4"/>
  <c r="C548" i="4"/>
  <c r="C547" i="4"/>
  <c r="C546" i="4"/>
  <c r="C545" i="4"/>
  <c r="C544" i="4"/>
  <c r="C543" i="4"/>
  <c r="C542" i="4"/>
  <c r="C541" i="4"/>
  <c r="C540" i="4"/>
  <c r="C539" i="4"/>
  <c r="C538" i="4"/>
  <c r="C537" i="4"/>
  <c r="C536" i="4"/>
  <c r="C535" i="4"/>
  <c r="C534" i="4"/>
  <c r="C533" i="4"/>
  <c r="C532" i="4"/>
  <c r="C531" i="4"/>
  <c r="C530" i="4"/>
  <c r="C529" i="4"/>
  <c r="C528" i="4"/>
  <c r="C527" i="4"/>
  <c r="C526" i="4"/>
  <c r="C525" i="4"/>
  <c r="C524" i="4"/>
  <c r="C523" i="4"/>
  <c r="C522" i="4"/>
  <c r="C521" i="4"/>
  <c r="C520" i="4"/>
  <c r="C519" i="4"/>
  <c r="C518" i="4"/>
  <c r="C517" i="4"/>
  <c r="C516" i="4"/>
  <c r="C515" i="4"/>
  <c r="C514" i="4"/>
  <c r="C513" i="4"/>
  <c r="C512" i="4"/>
  <c r="C511" i="4"/>
  <c r="C510" i="4"/>
  <c r="C509" i="4"/>
  <c r="C508" i="4"/>
  <c r="C507" i="4"/>
  <c r="C506" i="4"/>
  <c r="C505" i="4"/>
  <c r="C504" i="4"/>
  <c r="C503" i="4"/>
  <c r="C502" i="4"/>
  <c r="C501" i="4"/>
  <c r="C500" i="4"/>
  <c r="C499" i="4"/>
  <c r="C498" i="4"/>
  <c r="C497" i="4"/>
  <c r="C496" i="4"/>
  <c r="C495" i="4"/>
  <c r="C494" i="4"/>
  <c r="C493" i="4"/>
  <c r="C492" i="4"/>
  <c r="C491" i="4"/>
  <c r="C490" i="4"/>
  <c r="C489" i="4"/>
  <c r="C488" i="4"/>
  <c r="C487" i="4"/>
  <c r="C486" i="4"/>
  <c r="C485" i="4"/>
  <c r="C484" i="4"/>
  <c r="C483" i="4"/>
  <c r="C482" i="4"/>
  <c r="C481" i="4"/>
  <c r="C480" i="4"/>
  <c r="C479" i="4"/>
  <c r="C478" i="4"/>
  <c r="C477" i="4"/>
  <c r="C476" i="4"/>
  <c r="C475" i="4"/>
  <c r="C474" i="4"/>
  <c r="C473" i="4"/>
  <c r="C472" i="4"/>
  <c r="C471" i="4"/>
  <c r="C470" i="4"/>
  <c r="C469" i="4"/>
  <c r="C468" i="4"/>
  <c r="C467" i="4"/>
  <c r="C466" i="4"/>
  <c r="C465" i="4"/>
  <c r="C464" i="4"/>
  <c r="C463" i="4"/>
  <c r="C462" i="4"/>
  <c r="C461" i="4"/>
  <c r="C460" i="4"/>
  <c r="C459" i="4"/>
  <c r="C458" i="4"/>
  <c r="C457" i="4"/>
  <c r="C456" i="4"/>
  <c r="C455" i="4"/>
  <c r="C454" i="4"/>
  <c r="C453" i="4"/>
  <c r="C452" i="4"/>
  <c r="C451" i="4"/>
  <c r="C450" i="4"/>
  <c r="C449" i="4"/>
  <c r="C448" i="4"/>
  <c r="C447" i="4"/>
  <c r="C446" i="4"/>
  <c r="C445" i="4"/>
  <c r="C444" i="4"/>
  <c r="C443" i="4"/>
  <c r="C442" i="4"/>
  <c r="C441" i="4"/>
  <c r="C440" i="4"/>
  <c r="C439" i="4"/>
  <c r="C438" i="4"/>
  <c r="C437" i="4"/>
  <c r="C436" i="4"/>
  <c r="C435" i="4"/>
  <c r="C434" i="4"/>
  <c r="C433" i="4"/>
  <c r="C432" i="4"/>
  <c r="C431" i="4"/>
  <c r="C430" i="4"/>
  <c r="C429" i="4"/>
  <c r="C428" i="4"/>
  <c r="C427" i="4"/>
  <c r="C426" i="4"/>
  <c r="C425" i="4"/>
  <c r="C424" i="4"/>
  <c r="C423" i="4"/>
  <c r="C422" i="4"/>
  <c r="C421" i="4"/>
  <c r="C420" i="4"/>
  <c r="C419" i="4"/>
  <c r="C418" i="4"/>
  <c r="C417" i="4"/>
  <c r="C416" i="4"/>
  <c r="C415" i="4"/>
  <c r="C414" i="4"/>
  <c r="C413" i="4"/>
  <c r="C412" i="4"/>
  <c r="C411" i="4"/>
  <c r="C410" i="4"/>
  <c r="C409" i="4"/>
  <c r="C408" i="4"/>
  <c r="C407" i="4"/>
  <c r="C406" i="4"/>
  <c r="C405" i="4"/>
  <c r="C404" i="4"/>
  <c r="C403" i="4"/>
  <c r="C402" i="4"/>
  <c r="C401" i="4"/>
  <c r="C400" i="4"/>
  <c r="C399" i="4"/>
  <c r="C398" i="4"/>
  <c r="C397" i="4"/>
  <c r="C396" i="4"/>
  <c r="C395" i="4"/>
  <c r="C394" i="4"/>
  <c r="C393" i="4"/>
  <c r="C392" i="4"/>
  <c r="C391" i="4"/>
  <c r="C390" i="4"/>
  <c r="C389" i="4"/>
  <c r="C388" i="4"/>
  <c r="C387" i="4"/>
  <c r="C386" i="4"/>
  <c r="C385" i="4"/>
  <c r="C384" i="4"/>
  <c r="D382" i="4"/>
  <c r="C382" i="4"/>
  <c r="D381" i="4"/>
  <c r="C381" i="4"/>
  <c r="D380" i="4"/>
  <c r="C380" i="4"/>
  <c r="D379" i="4"/>
  <c r="C379" i="4"/>
  <c r="D378" i="4"/>
  <c r="C378" i="4"/>
  <c r="D377" i="4"/>
  <c r="C377" i="4"/>
  <c r="D376" i="4"/>
  <c r="C376" i="4"/>
  <c r="D375" i="4"/>
  <c r="C375" i="4"/>
  <c r="D374" i="4"/>
  <c r="C374" i="4"/>
  <c r="D373" i="4"/>
  <c r="C373" i="4"/>
  <c r="D372" i="4"/>
  <c r="C372" i="4"/>
  <c r="D371" i="4"/>
  <c r="C371" i="4"/>
  <c r="D370" i="4"/>
  <c r="C370" i="4"/>
  <c r="C369" i="4"/>
  <c r="C368" i="4"/>
  <c r="D367" i="4"/>
  <c r="C367" i="4"/>
  <c r="D366" i="4"/>
  <c r="C366" i="4"/>
  <c r="D365" i="4"/>
  <c r="C365" i="4"/>
  <c r="D364" i="4"/>
  <c r="C364" i="4"/>
  <c r="D363" i="4"/>
  <c r="C363" i="4"/>
  <c r="D362" i="4"/>
  <c r="C362" i="4"/>
  <c r="D361" i="4"/>
  <c r="C361" i="4"/>
  <c r="D360" i="4"/>
  <c r="C360" i="4"/>
  <c r="C359" i="4"/>
  <c r="D358" i="4"/>
  <c r="C358" i="4"/>
  <c r="D357" i="4"/>
  <c r="C357" i="4"/>
  <c r="D356" i="4"/>
  <c r="C356" i="4"/>
  <c r="D355" i="4"/>
  <c r="C355" i="4"/>
  <c r="C354" i="4"/>
  <c r="D353" i="4"/>
  <c r="C353" i="4"/>
  <c r="D352" i="4"/>
  <c r="C352" i="4"/>
  <c r="D351" i="4"/>
  <c r="C351" i="4"/>
  <c r="D350" i="4"/>
  <c r="C350" i="4"/>
  <c r="C349" i="4"/>
  <c r="D348" i="4"/>
  <c r="C348" i="4"/>
  <c r="D347" i="4"/>
  <c r="C347" i="4"/>
  <c r="D346" i="4"/>
  <c r="C346" i="4"/>
  <c r="D345" i="4"/>
  <c r="C345" i="4"/>
  <c r="D344" i="4"/>
  <c r="C344" i="4"/>
  <c r="D343" i="4"/>
  <c r="C343" i="4"/>
  <c r="D342" i="4"/>
  <c r="C342" i="4"/>
  <c r="D341" i="4"/>
  <c r="C341" i="4"/>
  <c r="D340" i="4"/>
  <c r="C340" i="4"/>
  <c r="D339" i="4"/>
  <c r="C339" i="4"/>
  <c r="D338" i="4"/>
  <c r="C338" i="4"/>
  <c r="D337" i="4"/>
  <c r="C337" i="4"/>
  <c r="D336" i="4"/>
  <c r="C336" i="4"/>
  <c r="D335" i="4"/>
  <c r="C335" i="4"/>
  <c r="D334" i="4"/>
  <c r="C334" i="4"/>
  <c r="D333" i="4"/>
  <c r="C333" i="4"/>
  <c r="D332" i="4"/>
  <c r="C332" i="4"/>
  <c r="D331" i="4"/>
  <c r="C331" i="4"/>
  <c r="D330" i="4"/>
  <c r="C330" i="4"/>
  <c r="D329" i="4"/>
  <c r="C329" i="4"/>
  <c r="D328" i="4"/>
  <c r="C328" i="4"/>
  <c r="D327" i="4"/>
  <c r="C327" i="4"/>
  <c r="D326" i="4"/>
  <c r="C326" i="4"/>
  <c r="D325" i="4"/>
  <c r="C325" i="4"/>
  <c r="C324" i="4"/>
  <c r="D323" i="4"/>
  <c r="C323" i="4"/>
  <c r="D322" i="4"/>
  <c r="C322" i="4"/>
  <c r="D321" i="4"/>
  <c r="C321" i="4"/>
  <c r="D320" i="4"/>
  <c r="C320" i="4"/>
  <c r="D319" i="4"/>
  <c r="C319" i="4"/>
  <c r="D318" i="4"/>
  <c r="C318" i="4"/>
  <c r="D317" i="4"/>
  <c r="C317" i="4"/>
  <c r="D316" i="4"/>
  <c r="C316" i="4"/>
  <c r="D315" i="4"/>
  <c r="C315" i="4"/>
  <c r="D314" i="4"/>
  <c r="C314" i="4"/>
  <c r="D313" i="4"/>
  <c r="C313" i="4"/>
  <c r="D312" i="4"/>
  <c r="C312" i="4"/>
  <c r="D311" i="4"/>
  <c r="C311" i="4"/>
  <c r="D310" i="4"/>
  <c r="C310" i="4"/>
  <c r="D309" i="4"/>
  <c r="C309" i="4"/>
  <c r="D308" i="4"/>
  <c r="C308" i="4"/>
  <c r="D307" i="4"/>
  <c r="C307" i="4"/>
  <c r="D306" i="4"/>
  <c r="C306" i="4"/>
  <c r="D305" i="4"/>
  <c r="C305" i="4"/>
  <c r="D304" i="4"/>
  <c r="C304" i="4"/>
  <c r="D303" i="4"/>
  <c r="C303" i="4"/>
  <c r="D302" i="4"/>
  <c r="C302" i="4"/>
  <c r="D301" i="4"/>
  <c r="C301" i="4"/>
  <c r="D300" i="4"/>
  <c r="C300" i="4"/>
  <c r="D299" i="4"/>
  <c r="C299" i="4"/>
  <c r="D298" i="4"/>
  <c r="C298" i="4"/>
  <c r="D297" i="4"/>
  <c r="C297" i="4"/>
  <c r="D296" i="4"/>
  <c r="C296" i="4"/>
  <c r="D295" i="4"/>
  <c r="C295" i="4"/>
  <c r="D294" i="4"/>
  <c r="C294" i="4"/>
  <c r="D293" i="4"/>
  <c r="C293" i="4"/>
  <c r="D292" i="4"/>
  <c r="C292" i="4"/>
  <c r="D291" i="4"/>
  <c r="C291" i="4"/>
  <c r="D290" i="4"/>
  <c r="C290" i="4"/>
  <c r="D289" i="4"/>
  <c r="C289" i="4"/>
  <c r="D288" i="4"/>
  <c r="C288" i="4"/>
  <c r="D287" i="4"/>
  <c r="C287" i="4"/>
  <c r="D286" i="4"/>
  <c r="C286" i="4"/>
  <c r="D285" i="4"/>
  <c r="C285" i="4"/>
  <c r="D284" i="4"/>
  <c r="C284" i="4"/>
  <c r="D283" i="4"/>
  <c r="C283" i="4"/>
  <c r="D282" i="4"/>
  <c r="C282" i="4"/>
  <c r="D281" i="4"/>
  <c r="C281" i="4"/>
  <c r="D280" i="4"/>
  <c r="C280" i="4"/>
  <c r="D279" i="4"/>
  <c r="C279" i="4"/>
  <c r="D278" i="4"/>
  <c r="C278" i="4"/>
  <c r="D277" i="4"/>
  <c r="C277" i="4"/>
  <c r="D276" i="4"/>
  <c r="C276" i="4"/>
  <c r="D275" i="4"/>
  <c r="C275" i="4"/>
  <c r="D274" i="4"/>
  <c r="C274" i="4"/>
  <c r="D273" i="4"/>
  <c r="C273" i="4"/>
  <c r="D272" i="4"/>
  <c r="C272" i="4"/>
  <c r="D271" i="4"/>
  <c r="C271" i="4"/>
  <c r="D270" i="4"/>
  <c r="C270" i="4"/>
  <c r="D269" i="4"/>
  <c r="C269" i="4"/>
  <c r="D268" i="4"/>
  <c r="C268" i="4"/>
  <c r="D267" i="4"/>
  <c r="C267" i="4"/>
  <c r="D266" i="4"/>
  <c r="C266" i="4"/>
  <c r="D265" i="4"/>
  <c r="C265" i="4"/>
  <c r="D264" i="4"/>
  <c r="C264" i="4"/>
  <c r="D263" i="4"/>
  <c r="C263" i="4"/>
  <c r="D262" i="4"/>
  <c r="C262" i="4"/>
  <c r="D261" i="4"/>
  <c r="C261" i="4"/>
  <c r="D260" i="4"/>
  <c r="C260" i="4"/>
  <c r="D259" i="4"/>
  <c r="C259" i="4"/>
  <c r="D258" i="4"/>
  <c r="C258" i="4"/>
  <c r="D257" i="4"/>
  <c r="C257" i="4"/>
  <c r="D256" i="4"/>
  <c r="C256" i="4"/>
  <c r="D255" i="4"/>
  <c r="C255" i="4"/>
  <c r="D254" i="4"/>
  <c r="C254" i="4"/>
  <c r="D253" i="4"/>
  <c r="C253" i="4"/>
  <c r="D252" i="4"/>
  <c r="C252" i="4"/>
  <c r="D251" i="4"/>
  <c r="C251" i="4"/>
  <c r="D250" i="4"/>
  <c r="C250" i="4"/>
  <c r="D249" i="4"/>
  <c r="C249" i="4"/>
  <c r="D248" i="4"/>
  <c r="C248" i="4"/>
  <c r="D247" i="4"/>
  <c r="C247" i="4"/>
  <c r="D246" i="4"/>
  <c r="C246" i="4"/>
  <c r="D245" i="4"/>
  <c r="C245" i="4"/>
  <c r="D244" i="4"/>
  <c r="C244" i="4"/>
  <c r="D243" i="4"/>
  <c r="C243" i="4"/>
  <c r="D242" i="4"/>
  <c r="C242" i="4"/>
  <c r="D241" i="4"/>
  <c r="C241" i="4"/>
  <c r="D240" i="4"/>
  <c r="C240" i="4"/>
  <c r="D239" i="4"/>
  <c r="C239" i="4"/>
  <c r="D238" i="4"/>
  <c r="C238" i="4"/>
  <c r="D237" i="4"/>
  <c r="C237" i="4"/>
  <c r="D236" i="4"/>
  <c r="C236" i="4"/>
  <c r="D235" i="4"/>
  <c r="C235" i="4"/>
  <c r="D234" i="4"/>
  <c r="C234" i="4"/>
  <c r="D233" i="4"/>
  <c r="C233" i="4"/>
  <c r="D232" i="4"/>
  <c r="C232" i="4"/>
  <c r="D231" i="4"/>
  <c r="C231" i="4"/>
  <c r="D230" i="4"/>
  <c r="C230" i="4"/>
  <c r="D229" i="4"/>
  <c r="C229" i="4"/>
  <c r="D228" i="4"/>
  <c r="C228" i="4"/>
  <c r="D227" i="4"/>
  <c r="C227" i="4"/>
  <c r="D226" i="4"/>
  <c r="C226" i="4"/>
  <c r="D225" i="4"/>
  <c r="C225" i="4"/>
  <c r="D224" i="4"/>
  <c r="C224" i="4"/>
  <c r="D223" i="4"/>
  <c r="C223" i="4"/>
  <c r="D222" i="4"/>
  <c r="C222" i="4"/>
  <c r="D221" i="4"/>
  <c r="C221" i="4"/>
  <c r="D220" i="4"/>
  <c r="C220" i="4"/>
  <c r="D219" i="4"/>
  <c r="C219" i="4"/>
  <c r="D218" i="4"/>
  <c r="C218" i="4"/>
  <c r="D217" i="4"/>
  <c r="C217" i="4"/>
  <c r="D216" i="4"/>
  <c r="C216" i="4"/>
  <c r="D215" i="4"/>
  <c r="C215" i="4"/>
  <c r="D214" i="4"/>
  <c r="C214" i="4"/>
  <c r="D213" i="4"/>
  <c r="C213" i="4"/>
  <c r="D212" i="4"/>
  <c r="C212" i="4"/>
  <c r="D211" i="4"/>
  <c r="C211" i="4"/>
  <c r="D210" i="4"/>
  <c r="C210" i="4"/>
  <c r="D209" i="4"/>
  <c r="C209" i="4"/>
  <c r="D208" i="4"/>
  <c r="C208" i="4"/>
  <c r="D207" i="4"/>
  <c r="C207" i="4"/>
  <c r="D206" i="4"/>
  <c r="C206" i="4"/>
  <c r="D205" i="4"/>
  <c r="C205" i="4"/>
  <c r="D204" i="4"/>
  <c r="C204" i="4"/>
  <c r="D203" i="4"/>
  <c r="C203" i="4"/>
  <c r="D202" i="4"/>
  <c r="C202" i="4"/>
  <c r="D201" i="4"/>
  <c r="C201" i="4"/>
  <c r="D200" i="4"/>
  <c r="C200" i="4"/>
  <c r="D199" i="4"/>
  <c r="C199" i="4"/>
  <c r="D198" i="4"/>
  <c r="C198" i="4"/>
  <c r="D197" i="4"/>
  <c r="C197" i="4"/>
  <c r="D196" i="4"/>
  <c r="C196" i="4"/>
  <c r="D195" i="4"/>
  <c r="C195" i="4"/>
  <c r="D194" i="4"/>
  <c r="C194" i="4"/>
  <c r="D193" i="4"/>
  <c r="C193" i="4"/>
  <c r="D192" i="4"/>
  <c r="C192" i="4"/>
  <c r="D191" i="4"/>
  <c r="C191" i="4"/>
  <c r="D190" i="4"/>
  <c r="C190" i="4"/>
  <c r="D189" i="4"/>
  <c r="C189" i="4"/>
  <c r="D188" i="4"/>
  <c r="C188" i="4"/>
  <c r="D187" i="4"/>
  <c r="C187" i="4"/>
  <c r="D186" i="4"/>
  <c r="C186" i="4"/>
  <c r="D185" i="4"/>
  <c r="C185" i="4"/>
  <c r="D184" i="4"/>
  <c r="C184" i="4"/>
  <c r="D183" i="4"/>
  <c r="C183" i="4"/>
  <c r="D182" i="4"/>
  <c r="C182" i="4"/>
  <c r="D181" i="4"/>
  <c r="C181" i="4"/>
  <c r="D180" i="4"/>
  <c r="C180" i="4"/>
  <c r="D179" i="4"/>
  <c r="C179" i="4"/>
  <c r="D178" i="4"/>
  <c r="C178" i="4"/>
  <c r="D177" i="4"/>
  <c r="C177" i="4"/>
  <c r="D176" i="4"/>
  <c r="C176" i="4"/>
  <c r="D175" i="4"/>
  <c r="C175" i="4"/>
  <c r="D174" i="4"/>
  <c r="C174" i="4"/>
  <c r="D173" i="4"/>
  <c r="C173" i="4"/>
  <c r="D172" i="4"/>
  <c r="C172" i="4"/>
  <c r="D171" i="4"/>
  <c r="C171" i="4"/>
  <c r="D170" i="4"/>
  <c r="C170" i="4"/>
  <c r="D169" i="4"/>
  <c r="C169" i="4"/>
  <c r="D168" i="4"/>
  <c r="C168" i="4"/>
  <c r="D167" i="4"/>
  <c r="C167" i="4"/>
  <c r="D166" i="4"/>
  <c r="C166" i="4"/>
  <c r="D165" i="4"/>
  <c r="C165" i="4"/>
  <c r="D164" i="4"/>
  <c r="C164" i="4"/>
  <c r="D163" i="4"/>
  <c r="C163" i="4"/>
  <c r="D162" i="4"/>
  <c r="C162" i="4"/>
  <c r="D161" i="4"/>
  <c r="C161" i="4"/>
  <c r="D160" i="4"/>
  <c r="C160" i="4"/>
  <c r="D159" i="4"/>
  <c r="C159" i="4"/>
  <c r="D158" i="4"/>
  <c r="C158" i="4"/>
  <c r="D157" i="4"/>
  <c r="C157" i="4"/>
  <c r="D156" i="4"/>
  <c r="C156" i="4"/>
  <c r="D155" i="4"/>
  <c r="C155" i="4"/>
  <c r="D154" i="4"/>
  <c r="C154" i="4"/>
  <c r="D153" i="4"/>
  <c r="C153" i="4"/>
  <c r="D152" i="4"/>
  <c r="C152" i="4"/>
  <c r="D151" i="4"/>
  <c r="C151" i="4"/>
  <c r="D150" i="4"/>
  <c r="C150" i="4"/>
  <c r="D149" i="4"/>
  <c r="C149" i="4"/>
  <c r="D148" i="4"/>
  <c r="C148" i="4"/>
  <c r="D147" i="4"/>
  <c r="C147" i="4"/>
  <c r="D146" i="4"/>
  <c r="C146" i="4"/>
  <c r="D145" i="4"/>
  <c r="C145" i="4"/>
  <c r="D144" i="4"/>
  <c r="C144" i="4"/>
  <c r="D143" i="4"/>
  <c r="C143" i="4"/>
  <c r="D142" i="4"/>
  <c r="C142" i="4"/>
  <c r="D141" i="4"/>
  <c r="C141" i="4"/>
  <c r="D140" i="4"/>
  <c r="C140" i="4"/>
  <c r="D139" i="4"/>
  <c r="C139" i="4"/>
  <c r="D138" i="4"/>
  <c r="C138" i="4"/>
  <c r="D137" i="4"/>
  <c r="C137" i="4"/>
  <c r="D136" i="4"/>
  <c r="C136" i="4"/>
  <c r="D135" i="4"/>
  <c r="C135" i="4"/>
  <c r="D134" i="4"/>
  <c r="C134" i="4"/>
  <c r="D133" i="4"/>
  <c r="C133" i="4"/>
  <c r="D132" i="4"/>
  <c r="C132" i="4"/>
  <c r="D131" i="4"/>
  <c r="C131" i="4"/>
  <c r="D130" i="4"/>
  <c r="C130" i="4"/>
  <c r="D129" i="4"/>
  <c r="C129" i="4"/>
  <c r="D128" i="4"/>
  <c r="C128" i="4"/>
  <c r="D127" i="4"/>
  <c r="C127" i="4"/>
  <c r="D126" i="4"/>
  <c r="C126" i="4"/>
  <c r="D125" i="4"/>
  <c r="C125" i="4"/>
  <c r="D124" i="4"/>
  <c r="C124" i="4"/>
  <c r="D123" i="4"/>
  <c r="C123" i="4"/>
  <c r="D122" i="4"/>
  <c r="C122" i="4"/>
  <c r="D121" i="4"/>
  <c r="C121" i="4"/>
  <c r="D120" i="4"/>
  <c r="C120" i="4"/>
  <c r="D119" i="4"/>
  <c r="C119" i="4"/>
  <c r="D118" i="4"/>
  <c r="C118" i="4"/>
  <c r="D117" i="4"/>
  <c r="C117" i="4"/>
  <c r="D116" i="4"/>
  <c r="C116" i="4"/>
  <c r="D115" i="4"/>
  <c r="C115" i="4"/>
  <c r="D114" i="4"/>
  <c r="C114" i="4"/>
  <c r="D113" i="4"/>
  <c r="C113" i="4"/>
  <c r="D112" i="4"/>
  <c r="C112" i="4"/>
  <c r="D111" i="4"/>
  <c r="C111" i="4"/>
  <c r="D110" i="4"/>
  <c r="C110" i="4"/>
  <c r="D109" i="4"/>
  <c r="C109" i="4"/>
  <c r="D108" i="4"/>
  <c r="C108" i="4"/>
  <c r="D107" i="4"/>
  <c r="C107" i="4"/>
  <c r="D106" i="4"/>
  <c r="C106" i="4"/>
  <c r="D105" i="4"/>
  <c r="C105" i="4"/>
  <c r="D104" i="4"/>
  <c r="C104" i="4"/>
  <c r="D103" i="4"/>
  <c r="C103" i="4"/>
  <c r="D102" i="4"/>
  <c r="C102" i="4"/>
  <c r="D101" i="4"/>
  <c r="C101" i="4"/>
  <c r="D100" i="4"/>
  <c r="C100" i="4"/>
  <c r="D99" i="4"/>
  <c r="C99" i="4"/>
  <c r="D98" i="4"/>
  <c r="C98" i="4"/>
  <c r="D97" i="4"/>
  <c r="C97" i="4"/>
  <c r="D96" i="4"/>
  <c r="C96" i="4"/>
  <c r="D95" i="4"/>
  <c r="C95" i="4"/>
  <c r="D94" i="4"/>
  <c r="C94" i="4"/>
  <c r="D93" i="4"/>
  <c r="C93" i="4"/>
  <c r="D92" i="4"/>
  <c r="C92" i="4"/>
  <c r="D91" i="4"/>
  <c r="C91" i="4"/>
  <c r="D90" i="4"/>
  <c r="C90" i="4"/>
  <c r="D89" i="4"/>
  <c r="C89" i="4"/>
  <c r="D88" i="4"/>
  <c r="C88" i="4"/>
  <c r="D87" i="4"/>
  <c r="C87" i="4"/>
  <c r="D86" i="4"/>
  <c r="C86" i="4"/>
  <c r="D85" i="4"/>
  <c r="C85" i="4"/>
  <c r="D84" i="4"/>
  <c r="C84" i="4"/>
  <c r="D83" i="4"/>
  <c r="C83" i="4"/>
  <c r="D82" i="4"/>
  <c r="C82" i="4"/>
  <c r="D81" i="4"/>
  <c r="C81" i="4"/>
  <c r="D80" i="4"/>
  <c r="C80" i="4"/>
  <c r="D79" i="4"/>
  <c r="C79" i="4"/>
  <c r="D78" i="4"/>
  <c r="C78" i="4"/>
  <c r="D77" i="4"/>
  <c r="C77" i="4"/>
  <c r="D76" i="4"/>
  <c r="C76" i="4"/>
  <c r="D75" i="4"/>
  <c r="C75" i="4"/>
  <c r="D74" i="4"/>
  <c r="C74" i="4"/>
  <c r="D73" i="4"/>
  <c r="C73" i="4"/>
  <c r="D72" i="4"/>
  <c r="C72" i="4"/>
  <c r="D71" i="4"/>
  <c r="C71" i="4"/>
  <c r="D70" i="4"/>
  <c r="C70" i="4"/>
  <c r="D69" i="4"/>
  <c r="C69" i="4"/>
  <c r="D68" i="4"/>
  <c r="C68" i="4"/>
  <c r="D67" i="4"/>
  <c r="C67" i="4"/>
  <c r="D66" i="4"/>
  <c r="C66" i="4"/>
  <c r="D65" i="4"/>
  <c r="C65" i="4"/>
  <c r="D64" i="4"/>
  <c r="C64" i="4"/>
  <c r="D63" i="4"/>
  <c r="C63" i="4"/>
  <c r="D62" i="4"/>
  <c r="C62" i="4"/>
  <c r="D61" i="4"/>
  <c r="C61" i="4"/>
  <c r="D60" i="4"/>
  <c r="C60" i="4"/>
  <c r="D59" i="4"/>
  <c r="C59" i="4"/>
  <c r="D58" i="4"/>
  <c r="C58" i="4"/>
  <c r="D57" i="4"/>
  <c r="C57" i="4"/>
  <c r="D56" i="4"/>
  <c r="C56" i="4"/>
  <c r="D55" i="4"/>
  <c r="C55" i="4"/>
  <c r="D54" i="4"/>
  <c r="C54" i="4"/>
  <c r="D53" i="4"/>
  <c r="C53" i="4"/>
  <c r="D52" i="4"/>
  <c r="C52" i="4"/>
  <c r="D51" i="4"/>
  <c r="C51" i="4"/>
  <c r="D50" i="4"/>
  <c r="C50" i="4"/>
  <c r="D49" i="4"/>
  <c r="C49" i="4"/>
  <c r="D48" i="4"/>
  <c r="C48" i="4"/>
  <c r="D47" i="4"/>
  <c r="C47" i="4"/>
  <c r="D46" i="4"/>
  <c r="C46" i="4"/>
  <c r="D45" i="4"/>
  <c r="C45" i="4"/>
  <c r="D44" i="4"/>
  <c r="C44" i="4"/>
  <c r="D43" i="4"/>
  <c r="C43" i="4"/>
  <c r="D42" i="4"/>
  <c r="C42" i="4"/>
  <c r="D41" i="4"/>
  <c r="C41" i="4"/>
  <c r="D40" i="4"/>
  <c r="C40" i="4"/>
  <c r="D39" i="4"/>
  <c r="C39" i="4"/>
  <c r="D38" i="4"/>
  <c r="C38" i="4"/>
  <c r="D37" i="4"/>
  <c r="C37" i="4"/>
  <c r="D36" i="4"/>
  <c r="C36" i="4"/>
  <c r="D35" i="4"/>
  <c r="C35" i="4"/>
  <c r="D34" i="4"/>
  <c r="C34" i="4"/>
  <c r="D33" i="4"/>
  <c r="C33" i="4"/>
  <c r="D32" i="4"/>
  <c r="C32" i="4"/>
  <c r="D31" i="4"/>
  <c r="C31" i="4"/>
  <c r="D30" i="4"/>
  <c r="C30" i="4"/>
  <c r="D29" i="4"/>
  <c r="C29" i="4"/>
  <c r="D28" i="4"/>
  <c r="C28" i="4"/>
  <c r="D27" i="4"/>
  <c r="C27" i="4"/>
  <c r="D26" i="4"/>
  <c r="C26" i="4"/>
  <c r="D25" i="4"/>
  <c r="C25" i="4"/>
  <c r="D24" i="4"/>
  <c r="C24" i="4"/>
  <c r="D23" i="4"/>
  <c r="C23" i="4"/>
  <c r="D22" i="4"/>
  <c r="C22" i="4"/>
  <c r="D21" i="4"/>
  <c r="C21" i="4"/>
  <c r="D20" i="4"/>
  <c r="C20" i="4"/>
  <c r="D19" i="4"/>
  <c r="C19" i="4"/>
  <c r="D18" i="4"/>
  <c r="C18" i="4"/>
  <c r="D17" i="4"/>
  <c r="C17" i="4"/>
  <c r="D16" i="4"/>
  <c r="C16" i="4"/>
  <c r="I11" i="4"/>
  <c r="E3" i="4"/>
  <c r="C3" i="4" s="1"/>
  <c r="D10591" i="3"/>
  <c r="C10591" i="3"/>
  <c r="B10591" i="3"/>
  <c r="D10590" i="3"/>
  <c r="C10590" i="3"/>
  <c r="B10590" i="3"/>
  <c r="D10589" i="3"/>
  <c r="C10589" i="3"/>
  <c r="B10589" i="3"/>
  <c r="D10588" i="3"/>
  <c r="C10588" i="3"/>
  <c r="B10588" i="3"/>
  <c r="D10587" i="3"/>
  <c r="C10587" i="3"/>
  <c r="B10587" i="3"/>
  <c r="D10586" i="3"/>
  <c r="C10586" i="3"/>
  <c r="B10586" i="3"/>
  <c r="D10585" i="3"/>
  <c r="C10585" i="3"/>
  <c r="B10585" i="3"/>
  <c r="D10584" i="3"/>
  <c r="C10584" i="3"/>
  <c r="B10584" i="3"/>
  <c r="D10583" i="3"/>
  <c r="C10583" i="3"/>
  <c r="B10583" i="3"/>
  <c r="D10582" i="3"/>
  <c r="C10582" i="3"/>
  <c r="B10582" i="3"/>
  <c r="D10581" i="3"/>
  <c r="C10581" i="3"/>
  <c r="B10581" i="3"/>
  <c r="D10580" i="3"/>
  <c r="C10580" i="3"/>
  <c r="B10580" i="3"/>
  <c r="D10579" i="3"/>
  <c r="C10579" i="3"/>
  <c r="B10579" i="3"/>
  <c r="D10578" i="3"/>
  <c r="C10578" i="3"/>
  <c r="B10578" i="3"/>
  <c r="D10577" i="3"/>
  <c r="C10577" i="3"/>
  <c r="B10577" i="3"/>
  <c r="D10576" i="3"/>
  <c r="C10576" i="3"/>
  <c r="B10576" i="3"/>
  <c r="D10575" i="3"/>
  <c r="C10575" i="3"/>
  <c r="B10575" i="3"/>
  <c r="D10574" i="3"/>
  <c r="C10574" i="3"/>
  <c r="B10574" i="3"/>
  <c r="D10573" i="3"/>
  <c r="C10573" i="3"/>
  <c r="B10573" i="3"/>
  <c r="D10572" i="3"/>
  <c r="C10572" i="3"/>
  <c r="B10572" i="3"/>
  <c r="D10571" i="3"/>
  <c r="C10571" i="3"/>
  <c r="B10571" i="3"/>
  <c r="D10570" i="3"/>
  <c r="C10570" i="3"/>
  <c r="B10570" i="3"/>
  <c r="D10569" i="3"/>
  <c r="C10569" i="3"/>
  <c r="B10569" i="3"/>
  <c r="D10568" i="3"/>
  <c r="C10568" i="3"/>
  <c r="B10568" i="3"/>
  <c r="D10567" i="3"/>
  <c r="C10567" i="3"/>
  <c r="B10567" i="3"/>
  <c r="D10566" i="3"/>
  <c r="C10566" i="3"/>
  <c r="B10566" i="3"/>
  <c r="D10565" i="3"/>
  <c r="C10565" i="3"/>
  <c r="B10565" i="3"/>
  <c r="D10564" i="3"/>
  <c r="C10564" i="3"/>
  <c r="B10564" i="3"/>
  <c r="D10563" i="3"/>
  <c r="C10563" i="3"/>
  <c r="B10563" i="3"/>
  <c r="D10562" i="3"/>
  <c r="C10562" i="3"/>
  <c r="B10562" i="3"/>
  <c r="D10561" i="3"/>
  <c r="C10561" i="3"/>
  <c r="B10561" i="3"/>
  <c r="D10560" i="3"/>
  <c r="C10560" i="3"/>
  <c r="B10560" i="3"/>
  <c r="D10559" i="3"/>
  <c r="C10559" i="3"/>
  <c r="B10559" i="3"/>
  <c r="D10558" i="3"/>
  <c r="C10558" i="3"/>
  <c r="B10558" i="3"/>
  <c r="D10557" i="3"/>
  <c r="C10557" i="3"/>
  <c r="B10557" i="3"/>
  <c r="D10556" i="3"/>
  <c r="C10556" i="3"/>
  <c r="B10556" i="3"/>
  <c r="D10555" i="3"/>
  <c r="C10555" i="3"/>
  <c r="B10555" i="3"/>
  <c r="D10554" i="3"/>
  <c r="C10554" i="3"/>
  <c r="B10554" i="3"/>
  <c r="D10553" i="3"/>
  <c r="C10553" i="3"/>
  <c r="B10553" i="3"/>
  <c r="D10552" i="3"/>
  <c r="C10552" i="3"/>
  <c r="B10552" i="3"/>
  <c r="D10551" i="3"/>
  <c r="C10551" i="3"/>
  <c r="B10551" i="3"/>
  <c r="D10550" i="3"/>
  <c r="C10550" i="3"/>
  <c r="B10550" i="3"/>
  <c r="D10549" i="3"/>
  <c r="C10549" i="3"/>
  <c r="B10549" i="3"/>
  <c r="D10548" i="3"/>
  <c r="C10548" i="3"/>
  <c r="B10548" i="3"/>
  <c r="D10547" i="3"/>
  <c r="C10547" i="3"/>
  <c r="B10547" i="3"/>
  <c r="D10546" i="3"/>
  <c r="C10546" i="3"/>
  <c r="B10546" i="3"/>
  <c r="D10545" i="3"/>
  <c r="C10545" i="3"/>
  <c r="B10545" i="3"/>
  <c r="D10544" i="3"/>
  <c r="C10544" i="3"/>
  <c r="B10544" i="3"/>
  <c r="D10543" i="3"/>
  <c r="C10543" i="3"/>
  <c r="B10543" i="3"/>
  <c r="D10542" i="3"/>
  <c r="C10542" i="3"/>
  <c r="B10542" i="3"/>
  <c r="D10541" i="3"/>
  <c r="C10541" i="3"/>
  <c r="B10541" i="3"/>
  <c r="D10540" i="3"/>
  <c r="C10540" i="3"/>
  <c r="B10540" i="3"/>
  <c r="D10539" i="3"/>
  <c r="C10539" i="3"/>
  <c r="B10539" i="3"/>
  <c r="D10538" i="3"/>
  <c r="C10538" i="3"/>
  <c r="B10538" i="3"/>
  <c r="D10537" i="3"/>
  <c r="C10537" i="3"/>
  <c r="B10537" i="3"/>
  <c r="D10536" i="3"/>
  <c r="C10536" i="3"/>
  <c r="B10536" i="3"/>
  <c r="D10535" i="3"/>
  <c r="C10535" i="3"/>
  <c r="B10535" i="3"/>
  <c r="D10534" i="3"/>
  <c r="C10534" i="3"/>
  <c r="B10534" i="3"/>
  <c r="D10533" i="3"/>
  <c r="C10533" i="3"/>
  <c r="B10533" i="3"/>
  <c r="D10532" i="3"/>
  <c r="C10532" i="3"/>
  <c r="B10532" i="3"/>
  <c r="D10531" i="3"/>
  <c r="C10531" i="3"/>
  <c r="B10531" i="3"/>
  <c r="D10530" i="3"/>
  <c r="C10530" i="3"/>
  <c r="B10530" i="3"/>
  <c r="D10529" i="3"/>
  <c r="C10529" i="3"/>
  <c r="B10529" i="3"/>
  <c r="D10528" i="3"/>
  <c r="C10528" i="3"/>
  <c r="B10528" i="3"/>
  <c r="D10527" i="3"/>
  <c r="C10527" i="3"/>
  <c r="B10527" i="3"/>
  <c r="D10526" i="3"/>
  <c r="C10526" i="3"/>
  <c r="B10526" i="3"/>
  <c r="D10525" i="3"/>
  <c r="C10525" i="3"/>
  <c r="B10525" i="3"/>
  <c r="D10524" i="3"/>
  <c r="C10524" i="3"/>
  <c r="B10524" i="3"/>
  <c r="D10523" i="3"/>
  <c r="C10523" i="3"/>
  <c r="B10523" i="3"/>
  <c r="D10522" i="3"/>
  <c r="C10522" i="3"/>
  <c r="B10522" i="3"/>
  <c r="D10521" i="3"/>
  <c r="C10521" i="3"/>
  <c r="B10521" i="3"/>
  <c r="D10520" i="3"/>
  <c r="C10520" i="3"/>
  <c r="B10520" i="3"/>
  <c r="D10519" i="3"/>
  <c r="C10519" i="3"/>
  <c r="B10519" i="3"/>
  <c r="D10518" i="3"/>
  <c r="C10518" i="3"/>
  <c r="B10518" i="3"/>
  <c r="D10517" i="3"/>
  <c r="C10517" i="3"/>
  <c r="B10517" i="3"/>
  <c r="D10516" i="3"/>
  <c r="C10516" i="3"/>
  <c r="B10516" i="3"/>
  <c r="D10515" i="3"/>
  <c r="C10515" i="3"/>
  <c r="B10515" i="3"/>
  <c r="D10514" i="3"/>
  <c r="C10514" i="3"/>
  <c r="B10514" i="3"/>
  <c r="D10513" i="3"/>
  <c r="C10513" i="3"/>
  <c r="B10513" i="3"/>
  <c r="D10512" i="3"/>
  <c r="C10512" i="3"/>
  <c r="B10512" i="3"/>
  <c r="D10511" i="3"/>
  <c r="C10511" i="3"/>
  <c r="B10511" i="3"/>
  <c r="D10510" i="3"/>
  <c r="C10510" i="3"/>
  <c r="B10510" i="3"/>
  <c r="D10509" i="3"/>
  <c r="C10509" i="3"/>
  <c r="B10509" i="3"/>
  <c r="D10508" i="3"/>
  <c r="C10508" i="3"/>
  <c r="B10508" i="3"/>
  <c r="D10507" i="3"/>
  <c r="C10507" i="3"/>
  <c r="B10507" i="3"/>
  <c r="D10506" i="3"/>
  <c r="C10506" i="3"/>
  <c r="B10506" i="3"/>
  <c r="D10505" i="3"/>
  <c r="C10505" i="3"/>
  <c r="B10505" i="3"/>
  <c r="D10504" i="3"/>
  <c r="C10504" i="3"/>
  <c r="B10504" i="3"/>
  <c r="D10503" i="3"/>
  <c r="C10503" i="3"/>
  <c r="B10503" i="3"/>
  <c r="D10502" i="3"/>
  <c r="C10502" i="3"/>
  <c r="B10502" i="3"/>
  <c r="D10501" i="3"/>
  <c r="C10501" i="3"/>
  <c r="B10501" i="3"/>
  <c r="D10500" i="3"/>
  <c r="C10500" i="3"/>
  <c r="B10500" i="3"/>
  <c r="D10499" i="3"/>
  <c r="C10499" i="3"/>
  <c r="B10499" i="3"/>
  <c r="D10498" i="3"/>
  <c r="C10498" i="3"/>
  <c r="B10498" i="3"/>
  <c r="D10497" i="3"/>
  <c r="C10497" i="3"/>
  <c r="B10497" i="3"/>
  <c r="D10496" i="3"/>
  <c r="C10496" i="3"/>
  <c r="B10496" i="3"/>
  <c r="D10495" i="3"/>
  <c r="C10495" i="3"/>
  <c r="B10495" i="3"/>
  <c r="D10494" i="3"/>
  <c r="C10494" i="3"/>
  <c r="B10494" i="3"/>
  <c r="D10493" i="3"/>
  <c r="C10493" i="3"/>
  <c r="B10493" i="3"/>
  <c r="D10492" i="3"/>
  <c r="C10492" i="3"/>
  <c r="B10492" i="3"/>
  <c r="D10491" i="3"/>
  <c r="C10491" i="3"/>
  <c r="B10491" i="3"/>
  <c r="D10490" i="3"/>
  <c r="C10490" i="3"/>
  <c r="B10490" i="3"/>
  <c r="D10489" i="3"/>
  <c r="C10489" i="3"/>
  <c r="B10489" i="3"/>
  <c r="D10488" i="3"/>
  <c r="C10488" i="3"/>
  <c r="B10488" i="3"/>
  <c r="D10487" i="3"/>
  <c r="C10487" i="3"/>
  <c r="B10487" i="3"/>
  <c r="D10486" i="3"/>
  <c r="C10486" i="3"/>
  <c r="B10486" i="3"/>
  <c r="D10485" i="3"/>
  <c r="C10485" i="3"/>
  <c r="B10485" i="3"/>
  <c r="D10484" i="3"/>
  <c r="C10484" i="3"/>
  <c r="B10484" i="3"/>
  <c r="D10483" i="3"/>
  <c r="C10483" i="3"/>
  <c r="B10483" i="3"/>
  <c r="D10482" i="3"/>
  <c r="C10482" i="3"/>
  <c r="B10482" i="3"/>
  <c r="D10481" i="3"/>
  <c r="C10481" i="3"/>
  <c r="B10481" i="3"/>
  <c r="D10480" i="3"/>
  <c r="C10480" i="3"/>
  <c r="B10480" i="3"/>
  <c r="D10479" i="3"/>
  <c r="C10479" i="3"/>
  <c r="B10479" i="3"/>
  <c r="D10478" i="3"/>
  <c r="C10478" i="3"/>
  <c r="B10478" i="3"/>
  <c r="D10477" i="3"/>
  <c r="C10477" i="3"/>
  <c r="B10477" i="3"/>
  <c r="D10476" i="3"/>
  <c r="C10476" i="3"/>
  <c r="B10476" i="3"/>
  <c r="D10475" i="3"/>
  <c r="C10475" i="3"/>
  <c r="B10475" i="3"/>
  <c r="D10474" i="3"/>
  <c r="C10474" i="3"/>
  <c r="B10474" i="3"/>
  <c r="D10473" i="3"/>
  <c r="C10473" i="3"/>
  <c r="B10473" i="3"/>
  <c r="D10472" i="3"/>
  <c r="C10472" i="3"/>
  <c r="B10472" i="3"/>
  <c r="D10471" i="3"/>
  <c r="C10471" i="3"/>
  <c r="B10471" i="3"/>
  <c r="D10470" i="3"/>
  <c r="C10470" i="3"/>
  <c r="B10470" i="3"/>
  <c r="D10469" i="3"/>
  <c r="C10469" i="3"/>
  <c r="B10469" i="3"/>
  <c r="D10468" i="3"/>
  <c r="C10468" i="3"/>
  <c r="B10468" i="3"/>
  <c r="D10467" i="3"/>
  <c r="C10467" i="3"/>
  <c r="B10467" i="3"/>
  <c r="D10466" i="3"/>
  <c r="C10466" i="3"/>
  <c r="B10466" i="3"/>
  <c r="D10465" i="3"/>
  <c r="C10465" i="3"/>
  <c r="B10465" i="3"/>
  <c r="D10464" i="3"/>
  <c r="C10464" i="3"/>
  <c r="B10464" i="3"/>
  <c r="D10463" i="3"/>
  <c r="C10463" i="3"/>
  <c r="B10463" i="3"/>
  <c r="D10462" i="3"/>
  <c r="C10462" i="3"/>
  <c r="B10462" i="3"/>
  <c r="D10461" i="3"/>
  <c r="C10461" i="3"/>
  <c r="B10461" i="3"/>
  <c r="D10460" i="3"/>
  <c r="C10460" i="3"/>
  <c r="B10460" i="3"/>
  <c r="D10459" i="3"/>
  <c r="C10459" i="3"/>
  <c r="B10459" i="3"/>
  <c r="D10458" i="3"/>
  <c r="C10458" i="3"/>
  <c r="B10458" i="3"/>
  <c r="D10457" i="3"/>
  <c r="C10457" i="3"/>
  <c r="B10457" i="3"/>
  <c r="D10456" i="3"/>
  <c r="C10456" i="3"/>
  <c r="B10456" i="3"/>
  <c r="D10455" i="3"/>
  <c r="C10455" i="3"/>
  <c r="B10455" i="3"/>
  <c r="D10454" i="3"/>
  <c r="C10454" i="3"/>
  <c r="B10454" i="3"/>
  <c r="D10453" i="3"/>
  <c r="C10453" i="3"/>
  <c r="B10453" i="3"/>
  <c r="D10452" i="3"/>
  <c r="C10452" i="3"/>
  <c r="B10452" i="3"/>
  <c r="D10451" i="3"/>
  <c r="C10451" i="3"/>
  <c r="B10451" i="3"/>
  <c r="D10450" i="3"/>
  <c r="C10450" i="3"/>
  <c r="B10450" i="3"/>
  <c r="D10449" i="3"/>
  <c r="C10449" i="3"/>
  <c r="B10449" i="3"/>
  <c r="D10448" i="3"/>
  <c r="C10448" i="3"/>
  <c r="B10448" i="3"/>
  <c r="D10447" i="3"/>
  <c r="C10447" i="3"/>
  <c r="B10447" i="3"/>
  <c r="D10446" i="3"/>
  <c r="C10446" i="3"/>
  <c r="B10446" i="3"/>
  <c r="D10445" i="3"/>
  <c r="C10445" i="3"/>
  <c r="B10445" i="3"/>
  <c r="D10444" i="3"/>
  <c r="C10444" i="3"/>
  <c r="B10444" i="3"/>
  <c r="D10443" i="3"/>
  <c r="C10443" i="3"/>
  <c r="B10443" i="3"/>
  <c r="D10442" i="3"/>
  <c r="C10442" i="3"/>
  <c r="B10442" i="3"/>
  <c r="D10441" i="3"/>
  <c r="C10441" i="3"/>
  <c r="B10441" i="3"/>
  <c r="D10440" i="3"/>
  <c r="C10440" i="3"/>
  <c r="B10440" i="3"/>
  <c r="D10439" i="3"/>
  <c r="C10439" i="3"/>
  <c r="B10439" i="3"/>
  <c r="D10438" i="3"/>
  <c r="C10438" i="3"/>
  <c r="B10438" i="3"/>
  <c r="D10437" i="3"/>
  <c r="C10437" i="3"/>
  <c r="B10437" i="3"/>
  <c r="D10436" i="3"/>
  <c r="C10436" i="3"/>
  <c r="B10436" i="3"/>
  <c r="D10435" i="3"/>
  <c r="C10435" i="3"/>
  <c r="B10435" i="3"/>
  <c r="D10434" i="3"/>
  <c r="C10434" i="3"/>
  <c r="B10434" i="3"/>
  <c r="D10433" i="3"/>
  <c r="C10433" i="3"/>
  <c r="B10433" i="3"/>
  <c r="D10432" i="3"/>
  <c r="C10432" i="3"/>
  <c r="B10432" i="3"/>
  <c r="D10431" i="3"/>
  <c r="C10431" i="3"/>
  <c r="B10431" i="3"/>
  <c r="D10430" i="3"/>
  <c r="C10430" i="3"/>
  <c r="B10430" i="3"/>
  <c r="D10429" i="3"/>
  <c r="C10429" i="3"/>
  <c r="B10429" i="3"/>
  <c r="D10428" i="3"/>
  <c r="C10428" i="3"/>
  <c r="B10428" i="3"/>
  <c r="D10427" i="3"/>
  <c r="C10427" i="3"/>
  <c r="B10427" i="3"/>
  <c r="D10426" i="3"/>
  <c r="C10426" i="3"/>
  <c r="B10426" i="3"/>
  <c r="D10425" i="3"/>
  <c r="C10425" i="3"/>
  <c r="B10425" i="3"/>
  <c r="D10424" i="3"/>
  <c r="C10424" i="3"/>
  <c r="B10424" i="3"/>
  <c r="D10423" i="3"/>
  <c r="C10423" i="3"/>
  <c r="B10423" i="3"/>
  <c r="D10422" i="3"/>
  <c r="C10422" i="3"/>
  <c r="B10422" i="3"/>
  <c r="D10421" i="3"/>
  <c r="C10421" i="3"/>
  <c r="B10421" i="3"/>
  <c r="D10420" i="3"/>
  <c r="C10420" i="3"/>
  <c r="B10420" i="3"/>
  <c r="D10419" i="3"/>
  <c r="C10419" i="3"/>
  <c r="B10419" i="3"/>
  <c r="D10418" i="3"/>
  <c r="C10418" i="3"/>
  <c r="B10418" i="3"/>
  <c r="D10417" i="3"/>
  <c r="C10417" i="3"/>
  <c r="B10417" i="3"/>
  <c r="D10416" i="3"/>
  <c r="C10416" i="3"/>
  <c r="B10416" i="3"/>
  <c r="D10415" i="3"/>
  <c r="C10415" i="3"/>
  <c r="B10415" i="3"/>
  <c r="D10414" i="3"/>
  <c r="C10414" i="3"/>
  <c r="B10414" i="3"/>
  <c r="D10413" i="3"/>
  <c r="C10413" i="3"/>
  <c r="B10413" i="3"/>
  <c r="D10412" i="3"/>
  <c r="C10412" i="3"/>
  <c r="B10412" i="3"/>
  <c r="D10411" i="3"/>
  <c r="C10411" i="3"/>
  <c r="B10411" i="3"/>
  <c r="D10410" i="3"/>
  <c r="C10410" i="3"/>
  <c r="B10410" i="3"/>
  <c r="D10409" i="3"/>
  <c r="C10409" i="3"/>
  <c r="B10409" i="3"/>
  <c r="D10408" i="3"/>
  <c r="C10408" i="3"/>
  <c r="B10408" i="3"/>
  <c r="D10407" i="3"/>
  <c r="C10407" i="3"/>
  <c r="B10407" i="3"/>
  <c r="D10406" i="3"/>
  <c r="C10406" i="3"/>
  <c r="B10406" i="3"/>
  <c r="D10405" i="3"/>
  <c r="C10405" i="3"/>
  <c r="B10405" i="3"/>
  <c r="D10404" i="3"/>
  <c r="C10404" i="3"/>
  <c r="B10404" i="3"/>
  <c r="D10403" i="3"/>
  <c r="C10403" i="3"/>
  <c r="B10403" i="3"/>
  <c r="D10402" i="3"/>
  <c r="C10402" i="3"/>
  <c r="B10402" i="3"/>
  <c r="D10401" i="3"/>
  <c r="C10401" i="3"/>
  <c r="B10401" i="3"/>
  <c r="D10400" i="3"/>
  <c r="C10400" i="3"/>
  <c r="B10400" i="3"/>
  <c r="D10399" i="3"/>
  <c r="C10399" i="3"/>
  <c r="B10399" i="3"/>
  <c r="D10398" i="3"/>
  <c r="C10398" i="3"/>
  <c r="B10398" i="3"/>
  <c r="D10397" i="3"/>
  <c r="C10397" i="3"/>
  <c r="B10397" i="3"/>
  <c r="D10396" i="3"/>
  <c r="C10396" i="3"/>
  <c r="B10396" i="3"/>
  <c r="D10395" i="3"/>
  <c r="C10395" i="3"/>
  <c r="B10395" i="3"/>
  <c r="D10394" i="3"/>
  <c r="C10394" i="3"/>
  <c r="B10394" i="3"/>
  <c r="D10393" i="3"/>
  <c r="C10393" i="3"/>
  <c r="B10393" i="3"/>
  <c r="D10392" i="3"/>
  <c r="C10392" i="3"/>
  <c r="B10392" i="3"/>
  <c r="D10391" i="3"/>
  <c r="C10391" i="3"/>
  <c r="B10391" i="3"/>
  <c r="D10390" i="3"/>
  <c r="C10390" i="3"/>
  <c r="B10390" i="3"/>
  <c r="D10389" i="3"/>
  <c r="C10389" i="3"/>
  <c r="B10389" i="3"/>
  <c r="D10388" i="3"/>
  <c r="C10388" i="3"/>
  <c r="B10388" i="3"/>
  <c r="D10387" i="3"/>
  <c r="C10387" i="3"/>
  <c r="B10387" i="3"/>
  <c r="D10386" i="3"/>
  <c r="C10386" i="3"/>
  <c r="B10386" i="3"/>
  <c r="D10385" i="3"/>
  <c r="C10385" i="3"/>
  <c r="B10385" i="3"/>
  <c r="D10384" i="3"/>
  <c r="C10384" i="3"/>
  <c r="B10384" i="3"/>
  <c r="D10383" i="3"/>
  <c r="C10383" i="3"/>
  <c r="B10383" i="3"/>
  <c r="D10382" i="3"/>
  <c r="C10382" i="3"/>
  <c r="B10382" i="3"/>
  <c r="D10381" i="3"/>
  <c r="C10381" i="3"/>
  <c r="B10381" i="3"/>
  <c r="D10380" i="3"/>
  <c r="C10380" i="3"/>
  <c r="B10380" i="3"/>
  <c r="D10379" i="3"/>
  <c r="C10379" i="3"/>
  <c r="B10379" i="3"/>
  <c r="D10378" i="3"/>
  <c r="C10378" i="3"/>
  <c r="B10378" i="3"/>
  <c r="D10377" i="3"/>
  <c r="C10377" i="3"/>
  <c r="B10377" i="3"/>
  <c r="D10376" i="3"/>
  <c r="C10376" i="3"/>
  <c r="B10376" i="3"/>
  <c r="D10375" i="3"/>
  <c r="C10375" i="3"/>
  <c r="B10375" i="3"/>
  <c r="D10374" i="3"/>
  <c r="C10374" i="3"/>
  <c r="B10374" i="3"/>
  <c r="D10373" i="3"/>
  <c r="C10373" i="3"/>
  <c r="B10373" i="3"/>
  <c r="D10372" i="3"/>
  <c r="C10372" i="3"/>
  <c r="B10372" i="3"/>
  <c r="D10371" i="3"/>
  <c r="C10371" i="3"/>
  <c r="B10371" i="3"/>
  <c r="D10370" i="3"/>
  <c r="C10370" i="3"/>
  <c r="B10370" i="3"/>
  <c r="D10369" i="3"/>
  <c r="C10369" i="3"/>
  <c r="B10369" i="3"/>
  <c r="D10368" i="3"/>
  <c r="C10368" i="3"/>
  <c r="B10368" i="3"/>
  <c r="D10367" i="3"/>
  <c r="C10367" i="3"/>
  <c r="B10367" i="3"/>
  <c r="D10366" i="3"/>
  <c r="C10366" i="3"/>
  <c r="B10366" i="3"/>
  <c r="D10365" i="3"/>
  <c r="C10365" i="3"/>
  <c r="B10365" i="3"/>
  <c r="D10364" i="3"/>
  <c r="C10364" i="3"/>
  <c r="B10364" i="3"/>
  <c r="D10363" i="3"/>
  <c r="C10363" i="3"/>
  <c r="B10363" i="3"/>
  <c r="D10362" i="3"/>
  <c r="C10362" i="3"/>
  <c r="B10362" i="3"/>
  <c r="D10361" i="3"/>
  <c r="C10361" i="3"/>
  <c r="B10361" i="3"/>
  <c r="D10360" i="3"/>
  <c r="C10360" i="3"/>
  <c r="B10360" i="3"/>
  <c r="D10359" i="3"/>
  <c r="C10359" i="3"/>
  <c r="B10359" i="3"/>
  <c r="D10358" i="3"/>
  <c r="C10358" i="3"/>
  <c r="B10358" i="3"/>
  <c r="D10357" i="3"/>
  <c r="C10357" i="3"/>
  <c r="B10357" i="3"/>
  <c r="D10356" i="3"/>
  <c r="C10356" i="3"/>
  <c r="B10356" i="3"/>
  <c r="D10355" i="3"/>
  <c r="C10355" i="3"/>
  <c r="B10355" i="3"/>
  <c r="D10354" i="3"/>
  <c r="C10354" i="3"/>
  <c r="B10354" i="3"/>
  <c r="D10353" i="3"/>
  <c r="C10353" i="3"/>
  <c r="B10353" i="3"/>
  <c r="D10352" i="3"/>
  <c r="C10352" i="3"/>
  <c r="B10352" i="3"/>
  <c r="D10351" i="3"/>
  <c r="C10351" i="3"/>
  <c r="B10351" i="3"/>
  <c r="D10350" i="3"/>
  <c r="C10350" i="3"/>
  <c r="B10350" i="3"/>
  <c r="D10349" i="3"/>
  <c r="C10349" i="3"/>
  <c r="B10349" i="3"/>
  <c r="D10348" i="3"/>
  <c r="C10348" i="3"/>
  <c r="B10348" i="3"/>
  <c r="D10347" i="3"/>
  <c r="C10347" i="3"/>
  <c r="B10347" i="3"/>
  <c r="D10346" i="3"/>
  <c r="C10346" i="3"/>
  <c r="B10346" i="3"/>
  <c r="D10345" i="3"/>
  <c r="C10345" i="3"/>
  <c r="B10345" i="3"/>
  <c r="D10344" i="3"/>
  <c r="C10344" i="3"/>
  <c r="B10344" i="3"/>
  <c r="D10343" i="3"/>
  <c r="C10343" i="3"/>
  <c r="B10343" i="3"/>
  <c r="D10342" i="3"/>
  <c r="C10342" i="3"/>
  <c r="B10342" i="3"/>
  <c r="D10341" i="3"/>
  <c r="C10341" i="3"/>
  <c r="B10341" i="3"/>
  <c r="D10340" i="3"/>
  <c r="C10340" i="3"/>
  <c r="B10340" i="3"/>
  <c r="D10339" i="3"/>
  <c r="C10339" i="3"/>
  <c r="B10339" i="3"/>
  <c r="D10338" i="3"/>
  <c r="C10338" i="3"/>
  <c r="B10338" i="3"/>
  <c r="D10337" i="3"/>
  <c r="C10337" i="3"/>
  <c r="B10337" i="3"/>
  <c r="D10336" i="3"/>
  <c r="C10336" i="3"/>
  <c r="B10336" i="3"/>
  <c r="D10335" i="3"/>
  <c r="C10335" i="3"/>
  <c r="B10335" i="3"/>
  <c r="D10334" i="3"/>
  <c r="C10334" i="3"/>
  <c r="B10334" i="3"/>
  <c r="D10333" i="3"/>
  <c r="C10333" i="3"/>
  <c r="B10333" i="3"/>
  <c r="D10332" i="3"/>
  <c r="C10332" i="3"/>
  <c r="B10332" i="3"/>
  <c r="D10331" i="3"/>
  <c r="C10331" i="3"/>
  <c r="B10331" i="3"/>
  <c r="D10330" i="3"/>
  <c r="C10330" i="3"/>
  <c r="B10330" i="3"/>
  <c r="D10329" i="3"/>
  <c r="C10329" i="3"/>
  <c r="B10329" i="3"/>
  <c r="D10328" i="3"/>
  <c r="C10328" i="3"/>
  <c r="B10328" i="3"/>
  <c r="D10327" i="3"/>
  <c r="C10327" i="3"/>
  <c r="B10327" i="3"/>
  <c r="D10326" i="3"/>
  <c r="C10326" i="3"/>
  <c r="B10326" i="3"/>
  <c r="D10325" i="3"/>
  <c r="C10325" i="3"/>
  <c r="B10325" i="3"/>
  <c r="D10324" i="3"/>
  <c r="C10324" i="3"/>
  <c r="B10324" i="3"/>
  <c r="D10323" i="3"/>
  <c r="C10323" i="3"/>
  <c r="B10323" i="3"/>
  <c r="D10322" i="3"/>
  <c r="C10322" i="3"/>
  <c r="B10322" i="3"/>
  <c r="D10321" i="3"/>
  <c r="C10321" i="3"/>
  <c r="B10321" i="3"/>
  <c r="D10320" i="3"/>
  <c r="C10320" i="3"/>
  <c r="B10320" i="3"/>
  <c r="D10319" i="3"/>
  <c r="C10319" i="3"/>
  <c r="B10319" i="3"/>
  <c r="D10318" i="3"/>
  <c r="C10318" i="3"/>
  <c r="B10318" i="3"/>
  <c r="D10317" i="3"/>
  <c r="C10317" i="3"/>
  <c r="B10317" i="3"/>
  <c r="D10316" i="3"/>
  <c r="C10316" i="3"/>
  <c r="B10316" i="3"/>
  <c r="D10315" i="3"/>
  <c r="C10315" i="3"/>
  <c r="B10315" i="3"/>
  <c r="D10314" i="3"/>
  <c r="C10314" i="3"/>
  <c r="B10314" i="3"/>
  <c r="D10313" i="3"/>
  <c r="C10313" i="3"/>
  <c r="B10313" i="3"/>
  <c r="D10312" i="3"/>
  <c r="C10312" i="3"/>
  <c r="B10312" i="3"/>
  <c r="D10311" i="3"/>
  <c r="C10311" i="3"/>
  <c r="B10311" i="3"/>
  <c r="D10310" i="3"/>
  <c r="C10310" i="3"/>
  <c r="B10310" i="3"/>
  <c r="D10309" i="3"/>
  <c r="C10309" i="3"/>
  <c r="B10309" i="3"/>
  <c r="D10308" i="3"/>
  <c r="C10308" i="3"/>
  <c r="B10308" i="3"/>
  <c r="D10307" i="3"/>
  <c r="C10307" i="3"/>
  <c r="B10307" i="3"/>
  <c r="D10306" i="3"/>
  <c r="C10306" i="3"/>
  <c r="B10306" i="3"/>
  <c r="D10305" i="3"/>
  <c r="C10305" i="3"/>
  <c r="B10305" i="3"/>
  <c r="D10304" i="3"/>
  <c r="C10304" i="3"/>
  <c r="B10304" i="3"/>
  <c r="D10303" i="3"/>
  <c r="C10303" i="3"/>
  <c r="B10303" i="3"/>
  <c r="D10302" i="3"/>
  <c r="C10302" i="3"/>
  <c r="B10302" i="3"/>
  <c r="D10301" i="3"/>
  <c r="C10301" i="3"/>
  <c r="B10301" i="3"/>
  <c r="D10300" i="3"/>
  <c r="C10300" i="3"/>
  <c r="B10300" i="3"/>
  <c r="D10299" i="3"/>
  <c r="C10299" i="3"/>
  <c r="B10299" i="3"/>
  <c r="D10298" i="3"/>
  <c r="C10298" i="3"/>
  <c r="B10298" i="3"/>
  <c r="D10297" i="3"/>
  <c r="C10297" i="3"/>
  <c r="B10297" i="3"/>
  <c r="D10296" i="3"/>
  <c r="C10296" i="3"/>
  <c r="B10296" i="3"/>
  <c r="D10295" i="3"/>
  <c r="C10295" i="3"/>
  <c r="B10295" i="3"/>
  <c r="D10294" i="3"/>
  <c r="C10294" i="3"/>
  <c r="B10294" i="3"/>
  <c r="D10293" i="3"/>
  <c r="C10293" i="3"/>
  <c r="B10293" i="3"/>
  <c r="D10292" i="3"/>
  <c r="C10292" i="3"/>
  <c r="B10292" i="3"/>
  <c r="D10291" i="3"/>
  <c r="C10291" i="3"/>
  <c r="B10291" i="3"/>
  <c r="D10290" i="3"/>
  <c r="C10290" i="3"/>
  <c r="B10290" i="3"/>
  <c r="D10289" i="3"/>
  <c r="C10289" i="3"/>
  <c r="B10289" i="3"/>
  <c r="D10288" i="3"/>
  <c r="C10288" i="3"/>
  <c r="B10288" i="3"/>
  <c r="D10287" i="3"/>
  <c r="C10287" i="3"/>
  <c r="B10287" i="3"/>
  <c r="D10286" i="3"/>
  <c r="C10286" i="3"/>
  <c r="B10286" i="3"/>
  <c r="D10285" i="3"/>
  <c r="C10285" i="3"/>
  <c r="B10285" i="3"/>
  <c r="D10284" i="3"/>
  <c r="C10284" i="3"/>
  <c r="B10284" i="3"/>
  <c r="D10283" i="3"/>
  <c r="C10283" i="3"/>
  <c r="B10283" i="3"/>
  <c r="D10282" i="3"/>
  <c r="C10282" i="3"/>
  <c r="B10282" i="3"/>
  <c r="D10281" i="3"/>
  <c r="C10281" i="3"/>
  <c r="B10281" i="3"/>
  <c r="D10280" i="3"/>
  <c r="C10280" i="3"/>
  <c r="B10280" i="3"/>
  <c r="D10279" i="3"/>
  <c r="C10279" i="3"/>
  <c r="B10279" i="3"/>
  <c r="D10278" i="3"/>
  <c r="C10278" i="3"/>
  <c r="B10278" i="3"/>
  <c r="D10277" i="3"/>
  <c r="C10277" i="3"/>
  <c r="B10277" i="3"/>
  <c r="D10276" i="3"/>
  <c r="C10276" i="3"/>
  <c r="B10276" i="3"/>
  <c r="D10275" i="3"/>
  <c r="C10275" i="3"/>
  <c r="B10275" i="3"/>
  <c r="D10274" i="3"/>
  <c r="C10274" i="3"/>
  <c r="B10274" i="3"/>
  <c r="D10273" i="3"/>
  <c r="C10273" i="3"/>
  <c r="B10273" i="3"/>
  <c r="D10272" i="3"/>
  <c r="C10272" i="3"/>
  <c r="B10272" i="3"/>
  <c r="D10271" i="3"/>
  <c r="C10271" i="3"/>
  <c r="B10271" i="3"/>
  <c r="D10270" i="3"/>
  <c r="C10270" i="3"/>
  <c r="B10270" i="3"/>
  <c r="D10269" i="3"/>
  <c r="C10269" i="3"/>
  <c r="B10269" i="3"/>
  <c r="D10268" i="3"/>
  <c r="C10268" i="3"/>
  <c r="B10268" i="3"/>
  <c r="D10267" i="3"/>
  <c r="C10267" i="3"/>
  <c r="B10267" i="3"/>
  <c r="D10266" i="3"/>
  <c r="C10266" i="3"/>
  <c r="B10266" i="3"/>
  <c r="D10265" i="3"/>
  <c r="C10265" i="3"/>
  <c r="B10265" i="3"/>
  <c r="D10264" i="3"/>
  <c r="C10264" i="3"/>
  <c r="B10264" i="3"/>
  <c r="D10263" i="3"/>
  <c r="C10263" i="3"/>
  <c r="B10263" i="3"/>
  <c r="D10262" i="3"/>
  <c r="C10262" i="3"/>
  <c r="B10262" i="3"/>
  <c r="D10261" i="3"/>
  <c r="C10261" i="3"/>
  <c r="B10261" i="3"/>
  <c r="D10260" i="3"/>
  <c r="C10260" i="3"/>
  <c r="B10260" i="3"/>
  <c r="D10259" i="3"/>
  <c r="C10259" i="3"/>
  <c r="B10259" i="3"/>
  <c r="D10258" i="3"/>
  <c r="C10258" i="3"/>
  <c r="B10258" i="3"/>
  <c r="D10257" i="3"/>
  <c r="C10257" i="3"/>
  <c r="B10257" i="3"/>
  <c r="D10256" i="3"/>
  <c r="C10256" i="3"/>
  <c r="B10256" i="3"/>
  <c r="D10255" i="3"/>
  <c r="C10255" i="3"/>
  <c r="B10255" i="3"/>
  <c r="D10254" i="3"/>
  <c r="C10254" i="3"/>
  <c r="B10254" i="3"/>
  <c r="D10253" i="3"/>
  <c r="C10253" i="3"/>
  <c r="B10253" i="3"/>
  <c r="D10252" i="3"/>
  <c r="C10252" i="3"/>
  <c r="B10252" i="3"/>
  <c r="D10251" i="3"/>
  <c r="C10251" i="3"/>
  <c r="B10251" i="3"/>
  <c r="D10250" i="3"/>
  <c r="C10250" i="3"/>
  <c r="B10250" i="3"/>
  <c r="D10249" i="3"/>
  <c r="C10249" i="3"/>
  <c r="B10249" i="3"/>
  <c r="D10248" i="3"/>
  <c r="C10248" i="3"/>
  <c r="B10248" i="3"/>
  <c r="D10247" i="3"/>
  <c r="C10247" i="3"/>
  <c r="B10247" i="3"/>
  <c r="D10246" i="3"/>
  <c r="C10246" i="3"/>
  <c r="B10246" i="3"/>
  <c r="D10245" i="3"/>
  <c r="C10245" i="3"/>
  <c r="B10245" i="3"/>
  <c r="D10244" i="3"/>
  <c r="C10244" i="3"/>
  <c r="B10244" i="3"/>
  <c r="D10243" i="3"/>
  <c r="C10243" i="3"/>
  <c r="B10243" i="3"/>
  <c r="D10242" i="3"/>
  <c r="C10242" i="3"/>
  <c r="B10242" i="3"/>
  <c r="D10241" i="3"/>
  <c r="C10241" i="3"/>
  <c r="B10241" i="3"/>
  <c r="D10240" i="3"/>
  <c r="C10240" i="3"/>
  <c r="B10240" i="3"/>
  <c r="D10239" i="3"/>
  <c r="C10239" i="3"/>
  <c r="B10239" i="3"/>
  <c r="D10238" i="3"/>
  <c r="C10238" i="3"/>
  <c r="B10238" i="3"/>
  <c r="D10237" i="3"/>
  <c r="C10237" i="3"/>
  <c r="B10237" i="3"/>
  <c r="D10236" i="3"/>
  <c r="C10236" i="3"/>
  <c r="B10236" i="3"/>
  <c r="D10235" i="3"/>
  <c r="C10235" i="3"/>
  <c r="B10235" i="3"/>
  <c r="D10234" i="3"/>
  <c r="C10234" i="3"/>
  <c r="B10234" i="3"/>
  <c r="D10233" i="3"/>
  <c r="C10233" i="3"/>
  <c r="B10233" i="3"/>
  <c r="D10232" i="3"/>
  <c r="C10232" i="3"/>
  <c r="B10232" i="3"/>
  <c r="D10231" i="3"/>
  <c r="C10231" i="3"/>
  <c r="B10231" i="3"/>
  <c r="D10230" i="3"/>
  <c r="C10230" i="3"/>
  <c r="B10230" i="3"/>
  <c r="D10229" i="3"/>
  <c r="C10229" i="3"/>
  <c r="B10229" i="3"/>
  <c r="D10228" i="3"/>
  <c r="C10228" i="3"/>
  <c r="B10228" i="3"/>
  <c r="D10227" i="3"/>
  <c r="C10227" i="3"/>
  <c r="B10227" i="3"/>
  <c r="D10226" i="3"/>
  <c r="C10226" i="3"/>
  <c r="B10226" i="3"/>
  <c r="D10225" i="3"/>
  <c r="C10225" i="3"/>
  <c r="B10225" i="3"/>
  <c r="D10224" i="3"/>
  <c r="C10224" i="3"/>
  <c r="B10224" i="3"/>
  <c r="D10223" i="3"/>
  <c r="C10223" i="3"/>
  <c r="B10223" i="3"/>
  <c r="D10222" i="3"/>
  <c r="C10222" i="3"/>
  <c r="B10222" i="3"/>
  <c r="D10221" i="3"/>
  <c r="C10221" i="3"/>
  <c r="B10221" i="3"/>
  <c r="D10220" i="3"/>
  <c r="C10220" i="3"/>
  <c r="B10220" i="3"/>
  <c r="D10219" i="3"/>
  <c r="C10219" i="3"/>
  <c r="B10219" i="3"/>
  <c r="D10218" i="3"/>
  <c r="C10218" i="3"/>
  <c r="B10218" i="3"/>
  <c r="D10217" i="3"/>
  <c r="C10217" i="3"/>
  <c r="B10217" i="3"/>
  <c r="D10216" i="3"/>
  <c r="C10216" i="3"/>
  <c r="B10216" i="3"/>
  <c r="D10215" i="3"/>
  <c r="C10215" i="3"/>
  <c r="B10215" i="3"/>
  <c r="D10214" i="3"/>
  <c r="C10214" i="3"/>
  <c r="B10214" i="3"/>
  <c r="D10213" i="3"/>
  <c r="C10213" i="3"/>
  <c r="B10213" i="3"/>
  <c r="D10212" i="3"/>
  <c r="C10212" i="3"/>
  <c r="B10212" i="3"/>
  <c r="D10211" i="3"/>
  <c r="C10211" i="3"/>
  <c r="B10211" i="3"/>
  <c r="D10210" i="3"/>
  <c r="C10210" i="3"/>
  <c r="B10210" i="3"/>
  <c r="D10209" i="3"/>
  <c r="C10209" i="3"/>
  <c r="B10209" i="3"/>
  <c r="D10208" i="3"/>
  <c r="C10208" i="3"/>
  <c r="B10208" i="3"/>
  <c r="D10207" i="3"/>
  <c r="C10207" i="3"/>
  <c r="B10207" i="3"/>
  <c r="D10206" i="3"/>
  <c r="C10206" i="3"/>
  <c r="B10206" i="3"/>
  <c r="D10205" i="3"/>
  <c r="C10205" i="3"/>
  <c r="B10205" i="3"/>
  <c r="D10204" i="3"/>
  <c r="C10204" i="3"/>
  <c r="B10204" i="3"/>
  <c r="D10203" i="3"/>
  <c r="C10203" i="3"/>
  <c r="B10203" i="3"/>
  <c r="D10202" i="3"/>
  <c r="C10202" i="3"/>
  <c r="B10202" i="3"/>
  <c r="D10201" i="3"/>
  <c r="C10201" i="3"/>
  <c r="B10201" i="3"/>
  <c r="D10200" i="3"/>
  <c r="C10200" i="3"/>
  <c r="B10200" i="3"/>
  <c r="D10199" i="3"/>
  <c r="C10199" i="3"/>
  <c r="B10199" i="3"/>
  <c r="D10198" i="3"/>
  <c r="C10198" i="3"/>
  <c r="B10198" i="3"/>
  <c r="D10197" i="3"/>
  <c r="C10197" i="3"/>
  <c r="B10197" i="3"/>
  <c r="D10196" i="3"/>
  <c r="C10196" i="3"/>
  <c r="B10196" i="3"/>
  <c r="D10195" i="3"/>
  <c r="C10195" i="3"/>
  <c r="B10195" i="3"/>
  <c r="D10194" i="3"/>
  <c r="C10194" i="3"/>
  <c r="B10194" i="3"/>
  <c r="D10193" i="3"/>
  <c r="C10193" i="3"/>
  <c r="B10193" i="3"/>
  <c r="D10192" i="3"/>
  <c r="C10192" i="3"/>
  <c r="B10192" i="3"/>
  <c r="D10191" i="3"/>
  <c r="C10191" i="3"/>
  <c r="B10191" i="3"/>
  <c r="D10190" i="3"/>
  <c r="C10190" i="3"/>
  <c r="B10190" i="3"/>
  <c r="D10189" i="3"/>
  <c r="C10189" i="3"/>
  <c r="B10189" i="3"/>
  <c r="D10188" i="3"/>
  <c r="C10188" i="3"/>
  <c r="B10188" i="3"/>
  <c r="D10187" i="3"/>
  <c r="C10187" i="3"/>
  <c r="B10187" i="3"/>
  <c r="D10186" i="3"/>
  <c r="C10186" i="3"/>
  <c r="B10186" i="3"/>
  <c r="D10185" i="3"/>
  <c r="C10185" i="3"/>
  <c r="B10185" i="3"/>
  <c r="D10184" i="3"/>
  <c r="C10184" i="3"/>
  <c r="B10184" i="3"/>
  <c r="D10183" i="3"/>
  <c r="C10183" i="3"/>
  <c r="B10183" i="3"/>
  <c r="D10182" i="3"/>
  <c r="C10182" i="3"/>
  <c r="B10182" i="3"/>
  <c r="D10181" i="3"/>
  <c r="C10181" i="3"/>
  <c r="B10181" i="3"/>
  <c r="D10180" i="3"/>
  <c r="C10180" i="3"/>
  <c r="B10180" i="3"/>
  <c r="D10179" i="3"/>
  <c r="C10179" i="3"/>
  <c r="B10179" i="3"/>
  <c r="D10178" i="3"/>
  <c r="C10178" i="3"/>
  <c r="B10178" i="3"/>
  <c r="D10177" i="3"/>
  <c r="C10177" i="3"/>
  <c r="B10177" i="3"/>
  <c r="D10176" i="3"/>
  <c r="C10176" i="3"/>
  <c r="B10176" i="3"/>
  <c r="D10175" i="3"/>
  <c r="C10175" i="3"/>
  <c r="B10175" i="3"/>
  <c r="D10174" i="3"/>
  <c r="C10174" i="3"/>
  <c r="B10174" i="3"/>
  <c r="D10173" i="3"/>
  <c r="C10173" i="3"/>
  <c r="B10173" i="3"/>
  <c r="D10172" i="3"/>
  <c r="C10172" i="3"/>
  <c r="B10172" i="3"/>
  <c r="D10171" i="3"/>
  <c r="C10171" i="3"/>
  <c r="B10171" i="3"/>
  <c r="D10170" i="3"/>
  <c r="C10170" i="3"/>
  <c r="B10170" i="3"/>
  <c r="D10169" i="3"/>
  <c r="C10169" i="3"/>
  <c r="B10169" i="3"/>
  <c r="D10168" i="3"/>
  <c r="C10168" i="3"/>
  <c r="B10168" i="3"/>
  <c r="D10167" i="3"/>
  <c r="C10167" i="3"/>
  <c r="B10167" i="3"/>
  <c r="D10166" i="3"/>
  <c r="C10166" i="3"/>
  <c r="B10166" i="3"/>
  <c r="D10165" i="3"/>
  <c r="C10165" i="3"/>
  <c r="B10165" i="3"/>
  <c r="D10164" i="3"/>
  <c r="C10164" i="3"/>
  <c r="B10164" i="3"/>
  <c r="D10163" i="3"/>
  <c r="C10163" i="3"/>
  <c r="B10163" i="3"/>
  <c r="D10162" i="3"/>
  <c r="C10162" i="3"/>
  <c r="B10162" i="3"/>
  <c r="D10161" i="3"/>
  <c r="C10161" i="3"/>
  <c r="B10161" i="3"/>
  <c r="D10160" i="3"/>
  <c r="C10160" i="3"/>
  <c r="B10160" i="3"/>
  <c r="D10159" i="3"/>
  <c r="C10159" i="3"/>
  <c r="B10159" i="3"/>
  <c r="D10158" i="3"/>
  <c r="C10158" i="3"/>
  <c r="B10158" i="3"/>
  <c r="D10157" i="3"/>
  <c r="C10157" i="3"/>
  <c r="B10157" i="3"/>
  <c r="D10156" i="3"/>
  <c r="C10156" i="3"/>
  <c r="B10156" i="3"/>
  <c r="D10155" i="3"/>
  <c r="C10155" i="3"/>
  <c r="B10155" i="3"/>
  <c r="D10154" i="3"/>
  <c r="C10154" i="3"/>
  <c r="B10154" i="3"/>
  <c r="D10153" i="3"/>
  <c r="C10153" i="3"/>
  <c r="B10153" i="3"/>
  <c r="D10152" i="3"/>
  <c r="C10152" i="3"/>
  <c r="B10152" i="3"/>
  <c r="D10151" i="3"/>
  <c r="C10151" i="3"/>
  <c r="B10151" i="3"/>
  <c r="D10150" i="3"/>
  <c r="C10150" i="3"/>
  <c r="B10150" i="3"/>
  <c r="D10149" i="3"/>
  <c r="C10149" i="3"/>
  <c r="B10149" i="3"/>
  <c r="D10148" i="3"/>
  <c r="C10148" i="3"/>
  <c r="B10148" i="3"/>
  <c r="D10147" i="3"/>
  <c r="C10147" i="3"/>
  <c r="B10147" i="3"/>
  <c r="D10146" i="3"/>
  <c r="C10146" i="3"/>
  <c r="B10146" i="3"/>
  <c r="D10145" i="3"/>
  <c r="C10145" i="3"/>
  <c r="B10145" i="3"/>
  <c r="D10144" i="3"/>
  <c r="C10144" i="3"/>
  <c r="B10144" i="3"/>
  <c r="D10143" i="3"/>
  <c r="C10143" i="3"/>
  <c r="B10143" i="3"/>
  <c r="D10142" i="3"/>
  <c r="C10142" i="3"/>
  <c r="B10142" i="3"/>
  <c r="D10141" i="3"/>
  <c r="C10141" i="3"/>
  <c r="B10141" i="3"/>
  <c r="D10140" i="3"/>
  <c r="C10140" i="3"/>
  <c r="B10140" i="3"/>
  <c r="D10139" i="3"/>
  <c r="C10139" i="3"/>
  <c r="B10139" i="3"/>
  <c r="D10138" i="3"/>
  <c r="C10138" i="3"/>
  <c r="B10138" i="3"/>
  <c r="D10137" i="3"/>
  <c r="C10137" i="3"/>
  <c r="B10137" i="3"/>
  <c r="D10136" i="3"/>
  <c r="C10136" i="3"/>
  <c r="B10136" i="3"/>
  <c r="D10135" i="3"/>
  <c r="C10135" i="3"/>
  <c r="B10135" i="3"/>
  <c r="D10134" i="3"/>
  <c r="C10134" i="3"/>
  <c r="B10134" i="3"/>
  <c r="D10133" i="3"/>
  <c r="C10133" i="3"/>
  <c r="B10133" i="3"/>
  <c r="D10132" i="3"/>
  <c r="C10132" i="3"/>
  <c r="B10132" i="3"/>
  <c r="D10131" i="3"/>
  <c r="C10131" i="3"/>
  <c r="B10131" i="3"/>
  <c r="D10130" i="3"/>
  <c r="C10130" i="3"/>
  <c r="B10130" i="3"/>
  <c r="D10129" i="3"/>
  <c r="C10129" i="3"/>
  <c r="B10129" i="3"/>
  <c r="D10128" i="3"/>
  <c r="C10128" i="3"/>
  <c r="B10128" i="3"/>
  <c r="D10127" i="3"/>
  <c r="C10127" i="3"/>
  <c r="B10127" i="3"/>
  <c r="D10126" i="3"/>
  <c r="C10126" i="3"/>
  <c r="B10126" i="3"/>
  <c r="D10125" i="3"/>
  <c r="C10125" i="3"/>
  <c r="B10125" i="3"/>
  <c r="D10124" i="3"/>
  <c r="C10124" i="3"/>
  <c r="B10124" i="3"/>
  <c r="D10123" i="3"/>
  <c r="C10123" i="3"/>
  <c r="B10123" i="3"/>
  <c r="D10122" i="3"/>
  <c r="C10122" i="3"/>
  <c r="B10122" i="3"/>
  <c r="D10121" i="3"/>
  <c r="C10121" i="3"/>
  <c r="B10121" i="3"/>
  <c r="D10120" i="3"/>
  <c r="C10120" i="3"/>
  <c r="B10120" i="3"/>
  <c r="D10119" i="3"/>
  <c r="C10119" i="3"/>
  <c r="B10119" i="3"/>
  <c r="D10118" i="3"/>
  <c r="C10118" i="3"/>
  <c r="B10118" i="3"/>
  <c r="D10117" i="3"/>
  <c r="C10117" i="3"/>
  <c r="B10117" i="3"/>
  <c r="D10116" i="3"/>
  <c r="C10116" i="3"/>
  <c r="B10116" i="3"/>
  <c r="D10115" i="3"/>
  <c r="C10115" i="3"/>
  <c r="B10115" i="3"/>
  <c r="D10114" i="3"/>
  <c r="C10114" i="3"/>
  <c r="B10114" i="3"/>
  <c r="D10113" i="3"/>
  <c r="C10113" i="3"/>
  <c r="B10113" i="3"/>
  <c r="D10112" i="3"/>
  <c r="C10112" i="3"/>
  <c r="B10112" i="3"/>
  <c r="D10111" i="3"/>
  <c r="C10111" i="3"/>
  <c r="B10111" i="3"/>
  <c r="D10110" i="3"/>
  <c r="C10110" i="3"/>
  <c r="B10110" i="3"/>
  <c r="D10109" i="3"/>
  <c r="C10109" i="3"/>
  <c r="B10109" i="3"/>
  <c r="D10108" i="3"/>
  <c r="C10108" i="3"/>
  <c r="B10108" i="3"/>
  <c r="D10107" i="3"/>
  <c r="C10107" i="3"/>
  <c r="B10107" i="3"/>
  <c r="D10106" i="3"/>
  <c r="C10106" i="3"/>
  <c r="B10106" i="3"/>
  <c r="D10105" i="3"/>
  <c r="C10105" i="3"/>
  <c r="B10105" i="3"/>
  <c r="D10104" i="3"/>
  <c r="C10104" i="3"/>
  <c r="B10104" i="3"/>
  <c r="D10103" i="3"/>
  <c r="C10103" i="3"/>
  <c r="B10103" i="3"/>
  <c r="D10102" i="3"/>
  <c r="C10102" i="3"/>
  <c r="B10102" i="3"/>
  <c r="D10101" i="3"/>
  <c r="C10101" i="3"/>
  <c r="B10101" i="3"/>
  <c r="D10100" i="3"/>
  <c r="C10100" i="3"/>
  <c r="B10100" i="3"/>
  <c r="D10099" i="3"/>
  <c r="C10099" i="3"/>
  <c r="B10099" i="3"/>
  <c r="D10098" i="3"/>
  <c r="C10098" i="3"/>
  <c r="B10098" i="3"/>
  <c r="D10097" i="3"/>
  <c r="C10097" i="3"/>
  <c r="B10097" i="3"/>
  <c r="D10096" i="3"/>
  <c r="C10096" i="3"/>
  <c r="B10096" i="3"/>
  <c r="D10095" i="3"/>
  <c r="C10095" i="3"/>
  <c r="B10095" i="3"/>
  <c r="D10094" i="3"/>
  <c r="C10094" i="3"/>
  <c r="B10094" i="3"/>
  <c r="D10093" i="3"/>
  <c r="C10093" i="3"/>
  <c r="B10093" i="3"/>
  <c r="D10092" i="3"/>
  <c r="C10092" i="3"/>
  <c r="B10092" i="3"/>
  <c r="D10091" i="3"/>
  <c r="C10091" i="3"/>
  <c r="B10091" i="3"/>
  <c r="D10090" i="3"/>
  <c r="C10090" i="3"/>
  <c r="B10090" i="3"/>
  <c r="D10089" i="3"/>
  <c r="C10089" i="3"/>
  <c r="B10089" i="3"/>
  <c r="D10088" i="3"/>
  <c r="C10088" i="3"/>
  <c r="B10088" i="3"/>
  <c r="D10087" i="3"/>
  <c r="C10087" i="3"/>
  <c r="B10087" i="3"/>
  <c r="D10086" i="3"/>
  <c r="C10086" i="3"/>
  <c r="B10086" i="3"/>
  <c r="D10085" i="3"/>
  <c r="C10085" i="3"/>
  <c r="B10085" i="3"/>
  <c r="D10084" i="3"/>
  <c r="C10084" i="3"/>
  <c r="B10084" i="3"/>
  <c r="D10083" i="3"/>
  <c r="C10083" i="3"/>
  <c r="B10083" i="3"/>
  <c r="D10082" i="3"/>
  <c r="C10082" i="3"/>
  <c r="B10082" i="3"/>
  <c r="D10081" i="3"/>
  <c r="C10081" i="3"/>
  <c r="B10081" i="3"/>
  <c r="D10080" i="3"/>
  <c r="C10080" i="3"/>
  <c r="B10080" i="3"/>
  <c r="D10079" i="3"/>
  <c r="C10079" i="3"/>
  <c r="B10079" i="3"/>
  <c r="D10078" i="3"/>
  <c r="C10078" i="3"/>
  <c r="B10078" i="3"/>
  <c r="D10077" i="3"/>
  <c r="C10077" i="3"/>
  <c r="B10077" i="3"/>
  <c r="D10076" i="3"/>
  <c r="C10076" i="3"/>
  <c r="B10076" i="3"/>
  <c r="D10075" i="3"/>
  <c r="C10075" i="3"/>
  <c r="B10075" i="3"/>
  <c r="D10074" i="3"/>
  <c r="C10074" i="3"/>
  <c r="B10074" i="3"/>
  <c r="D10073" i="3"/>
  <c r="C10073" i="3"/>
  <c r="B10073" i="3"/>
  <c r="D10072" i="3"/>
  <c r="C10072" i="3"/>
  <c r="B10072" i="3"/>
  <c r="D10071" i="3"/>
  <c r="C10071" i="3"/>
  <c r="B10071" i="3"/>
  <c r="D10070" i="3"/>
  <c r="C10070" i="3"/>
  <c r="B10070" i="3"/>
  <c r="D10069" i="3"/>
  <c r="C10069" i="3"/>
  <c r="B10069" i="3"/>
  <c r="D10068" i="3"/>
  <c r="C10068" i="3"/>
  <c r="B10068" i="3"/>
  <c r="D10067" i="3"/>
  <c r="C10067" i="3"/>
  <c r="B10067" i="3"/>
  <c r="D10066" i="3"/>
  <c r="C10066" i="3"/>
  <c r="B10066" i="3"/>
  <c r="D10065" i="3"/>
  <c r="C10065" i="3"/>
  <c r="B10065" i="3"/>
  <c r="D10064" i="3"/>
  <c r="C10064" i="3"/>
  <c r="B10064" i="3"/>
  <c r="D10063" i="3"/>
  <c r="C10063" i="3"/>
  <c r="B10063" i="3"/>
  <c r="D10062" i="3"/>
  <c r="C10062" i="3"/>
  <c r="B10062" i="3"/>
  <c r="D10061" i="3"/>
  <c r="C10061" i="3"/>
  <c r="B10061" i="3"/>
  <c r="D10060" i="3"/>
  <c r="C10060" i="3"/>
  <c r="B10060" i="3"/>
  <c r="D10059" i="3"/>
  <c r="C10059" i="3"/>
  <c r="B10059" i="3"/>
  <c r="D10058" i="3"/>
  <c r="C10058" i="3"/>
  <c r="B10058" i="3"/>
  <c r="D10057" i="3"/>
  <c r="C10057" i="3"/>
  <c r="B10057" i="3"/>
  <c r="D10056" i="3"/>
  <c r="C10056" i="3"/>
  <c r="B10056" i="3"/>
  <c r="D10055" i="3"/>
  <c r="C10055" i="3"/>
  <c r="B10055" i="3"/>
  <c r="D10054" i="3"/>
  <c r="C10054" i="3"/>
  <c r="B10054" i="3"/>
  <c r="D10053" i="3"/>
  <c r="C10053" i="3"/>
  <c r="B10053" i="3"/>
  <c r="D10052" i="3"/>
  <c r="C10052" i="3"/>
  <c r="B10052" i="3"/>
  <c r="D10051" i="3"/>
  <c r="C10051" i="3"/>
  <c r="B10051" i="3"/>
  <c r="D10050" i="3"/>
  <c r="C10050" i="3"/>
  <c r="B10050" i="3"/>
  <c r="D10049" i="3"/>
  <c r="C10049" i="3"/>
  <c r="B10049" i="3"/>
  <c r="D10048" i="3"/>
  <c r="C10048" i="3"/>
  <c r="B10048" i="3"/>
  <c r="D10047" i="3"/>
  <c r="C10047" i="3"/>
  <c r="B10047" i="3"/>
  <c r="D10046" i="3"/>
  <c r="C10046" i="3"/>
  <c r="B10046" i="3"/>
  <c r="D10045" i="3"/>
  <c r="C10045" i="3"/>
  <c r="B10045" i="3"/>
  <c r="D10044" i="3"/>
  <c r="C10044" i="3"/>
  <c r="B10044" i="3"/>
  <c r="D10043" i="3"/>
  <c r="C10043" i="3"/>
  <c r="B10043" i="3"/>
  <c r="D10042" i="3"/>
  <c r="C10042" i="3"/>
  <c r="B10042" i="3"/>
  <c r="D10041" i="3"/>
  <c r="C10041" i="3"/>
  <c r="B10041" i="3"/>
  <c r="D10040" i="3"/>
  <c r="C10040" i="3"/>
  <c r="B10040" i="3"/>
  <c r="D10039" i="3"/>
  <c r="C10039" i="3"/>
  <c r="B10039" i="3"/>
  <c r="D10038" i="3"/>
  <c r="C10038" i="3"/>
  <c r="B10038" i="3"/>
  <c r="D10037" i="3"/>
  <c r="C10037" i="3"/>
  <c r="B10037" i="3"/>
  <c r="D10036" i="3"/>
  <c r="C10036" i="3"/>
  <c r="B10036" i="3"/>
  <c r="D10035" i="3"/>
  <c r="C10035" i="3"/>
  <c r="B10035" i="3"/>
  <c r="D10034" i="3"/>
  <c r="C10034" i="3"/>
  <c r="B10034" i="3"/>
  <c r="D10033" i="3"/>
  <c r="C10033" i="3"/>
  <c r="B10033" i="3"/>
  <c r="D10032" i="3"/>
  <c r="C10032" i="3"/>
  <c r="B10032" i="3"/>
  <c r="D10031" i="3"/>
  <c r="C10031" i="3"/>
  <c r="B10031" i="3"/>
  <c r="D10030" i="3"/>
  <c r="C10030" i="3"/>
  <c r="B10030" i="3"/>
  <c r="D10029" i="3"/>
  <c r="C10029" i="3"/>
  <c r="B10029" i="3"/>
  <c r="D10028" i="3"/>
  <c r="C10028" i="3"/>
  <c r="B10028" i="3"/>
  <c r="D10027" i="3"/>
  <c r="C10027" i="3"/>
  <c r="B10027" i="3"/>
  <c r="D10026" i="3"/>
  <c r="C10026" i="3"/>
  <c r="B10026" i="3"/>
  <c r="D10025" i="3"/>
  <c r="C10025" i="3"/>
  <c r="B10025" i="3"/>
  <c r="D10024" i="3"/>
  <c r="C10024" i="3"/>
  <c r="B10024" i="3"/>
  <c r="D10023" i="3"/>
  <c r="C10023" i="3"/>
  <c r="B10023" i="3"/>
  <c r="D10022" i="3"/>
  <c r="C10022" i="3"/>
  <c r="B10022" i="3"/>
  <c r="D10021" i="3"/>
  <c r="C10021" i="3"/>
  <c r="B10021" i="3"/>
  <c r="D10020" i="3"/>
  <c r="C10020" i="3"/>
  <c r="B10020" i="3"/>
  <c r="D10019" i="3"/>
  <c r="C10019" i="3"/>
  <c r="B10019" i="3"/>
  <c r="D10018" i="3"/>
  <c r="C10018" i="3"/>
  <c r="B10018" i="3"/>
  <c r="D10017" i="3"/>
  <c r="C10017" i="3"/>
  <c r="B10017" i="3"/>
  <c r="D10016" i="3"/>
  <c r="C10016" i="3"/>
  <c r="B10016" i="3"/>
  <c r="D10015" i="3"/>
  <c r="C10015" i="3"/>
  <c r="B10015" i="3"/>
  <c r="D10014" i="3"/>
  <c r="C10014" i="3"/>
  <c r="B10014" i="3"/>
  <c r="D10013" i="3"/>
  <c r="C10013" i="3"/>
  <c r="B10013" i="3"/>
  <c r="D10012" i="3"/>
  <c r="C10012" i="3"/>
  <c r="B10012" i="3"/>
  <c r="D10011" i="3"/>
  <c r="C10011" i="3"/>
  <c r="B10011" i="3"/>
  <c r="D10010" i="3"/>
  <c r="C10010" i="3"/>
  <c r="B10010" i="3"/>
  <c r="D10009" i="3"/>
  <c r="C10009" i="3"/>
  <c r="B10009" i="3"/>
  <c r="D10008" i="3"/>
  <c r="C10008" i="3"/>
  <c r="B10008" i="3"/>
  <c r="D10007" i="3"/>
  <c r="C10007" i="3"/>
  <c r="B10007" i="3"/>
  <c r="D10006" i="3"/>
  <c r="C10006" i="3"/>
  <c r="B10006" i="3"/>
  <c r="D10005" i="3"/>
  <c r="C10005" i="3"/>
  <c r="B10005" i="3"/>
  <c r="D10004" i="3"/>
  <c r="C10004" i="3"/>
  <c r="B10004" i="3"/>
  <c r="D10003" i="3"/>
  <c r="C10003" i="3"/>
  <c r="B10003" i="3"/>
  <c r="D10002" i="3"/>
  <c r="C10002" i="3"/>
  <c r="B10002" i="3"/>
  <c r="D10001" i="3"/>
  <c r="C10001" i="3"/>
  <c r="B10001" i="3"/>
  <c r="D10000" i="3"/>
  <c r="C10000" i="3"/>
  <c r="B10000" i="3"/>
  <c r="D9999" i="3"/>
  <c r="C9999" i="3"/>
  <c r="B9999" i="3"/>
  <c r="D9998" i="3"/>
  <c r="C9998" i="3"/>
  <c r="B9998" i="3"/>
  <c r="D9997" i="3"/>
  <c r="C9997" i="3"/>
  <c r="B9997" i="3"/>
  <c r="D9996" i="3"/>
  <c r="C9996" i="3"/>
  <c r="B9996" i="3"/>
  <c r="D9995" i="3"/>
  <c r="C9995" i="3"/>
  <c r="B9995" i="3"/>
  <c r="D9994" i="3"/>
  <c r="C9994" i="3"/>
  <c r="B9994" i="3"/>
  <c r="D9993" i="3"/>
  <c r="C9993" i="3"/>
  <c r="B9993" i="3"/>
  <c r="D9992" i="3"/>
  <c r="C9992" i="3"/>
  <c r="B9992" i="3"/>
  <c r="D9991" i="3"/>
  <c r="C9991" i="3"/>
  <c r="B9991" i="3"/>
  <c r="D9990" i="3"/>
  <c r="C9990" i="3"/>
  <c r="B9990" i="3"/>
  <c r="D9989" i="3"/>
  <c r="C9989" i="3"/>
  <c r="B9989" i="3"/>
  <c r="D9988" i="3"/>
  <c r="C9988" i="3"/>
  <c r="B9988" i="3"/>
  <c r="D9987" i="3"/>
  <c r="C9987" i="3"/>
  <c r="B9987" i="3"/>
  <c r="D9986" i="3"/>
  <c r="C9986" i="3"/>
  <c r="B9986" i="3"/>
  <c r="D9985" i="3"/>
  <c r="C9985" i="3"/>
  <c r="B9985" i="3"/>
  <c r="D9984" i="3"/>
  <c r="C9984" i="3"/>
  <c r="B9984" i="3"/>
  <c r="D9983" i="3"/>
  <c r="C9983" i="3"/>
  <c r="B9983" i="3"/>
  <c r="D9982" i="3"/>
  <c r="C9982" i="3"/>
  <c r="B9982" i="3"/>
  <c r="D9981" i="3"/>
  <c r="C9981" i="3"/>
  <c r="B9981" i="3"/>
  <c r="D9980" i="3"/>
  <c r="C9980" i="3"/>
  <c r="B9980" i="3"/>
  <c r="D9979" i="3"/>
  <c r="C9979" i="3"/>
  <c r="B9979" i="3"/>
  <c r="D9978" i="3"/>
  <c r="C9978" i="3"/>
  <c r="B9978" i="3"/>
  <c r="D9977" i="3"/>
  <c r="C9977" i="3"/>
  <c r="B9977" i="3"/>
  <c r="D9976" i="3"/>
  <c r="C9976" i="3"/>
  <c r="B9976" i="3"/>
  <c r="D9975" i="3"/>
  <c r="C9975" i="3"/>
  <c r="B9975" i="3"/>
  <c r="D9974" i="3"/>
  <c r="C9974" i="3"/>
  <c r="B9974" i="3"/>
  <c r="D9973" i="3"/>
  <c r="C9973" i="3"/>
  <c r="B9973" i="3"/>
  <c r="D9972" i="3"/>
  <c r="C9972" i="3"/>
  <c r="B9972" i="3"/>
  <c r="D9971" i="3"/>
  <c r="C9971" i="3"/>
  <c r="B9971" i="3"/>
  <c r="D9970" i="3"/>
  <c r="C9970" i="3"/>
  <c r="B9970" i="3"/>
  <c r="D9969" i="3"/>
  <c r="C9969" i="3"/>
  <c r="B9969" i="3"/>
  <c r="D9968" i="3"/>
  <c r="C9968" i="3"/>
  <c r="B9968" i="3"/>
  <c r="D9967" i="3"/>
  <c r="C9967" i="3"/>
  <c r="B9967" i="3"/>
  <c r="D9966" i="3"/>
  <c r="C9966" i="3"/>
  <c r="B9966" i="3"/>
  <c r="D9965" i="3"/>
  <c r="C9965" i="3"/>
  <c r="B9965" i="3"/>
  <c r="D9964" i="3"/>
  <c r="C9964" i="3"/>
  <c r="B9964" i="3"/>
  <c r="D9963" i="3"/>
  <c r="C9963" i="3"/>
  <c r="B9963" i="3"/>
  <c r="D9962" i="3"/>
  <c r="C9962" i="3"/>
  <c r="B9962" i="3"/>
  <c r="D9961" i="3"/>
  <c r="C9961" i="3"/>
  <c r="B9961" i="3"/>
  <c r="D9960" i="3"/>
  <c r="C9960" i="3"/>
  <c r="B9960" i="3"/>
  <c r="D9959" i="3"/>
  <c r="C9959" i="3"/>
  <c r="B9959" i="3"/>
  <c r="D9958" i="3"/>
  <c r="C9958" i="3"/>
  <c r="B9958" i="3"/>
  <c r="D9957" i="3"/>
  <c r="C9957" i="3"/>
  <c r="B9957" i="3"/>
  <c r="D9956" i="3"/>
  <c r="C9956" i="3"/>
  <c r="B9956" i="3"/>
  <c r="D9955" i="3"/>
  <c r="C9955" i="3"/>
  <c r="B9955" i="3"/>
  <c r="D9954" i="3"/>
  <c r="C9954" i="3"/>
  <c r="B9954" i="3"/>
  <c r="D9953" i="3"/>
  <c r="C9953" i="3"/>
  <c r="B9953" i="3"/>
  <c r="D9952" i="3"/>
  <c r="C9952" i="3"/>
  <c r="B9952" i="3"/>
  <c r="D9951" i="3"/>
  <c r="C9951" i="3"/>
  <c r="B9951" i="3"/>
  <c r="D9950" i="3"/>
  <c r="C9950" i="3"/>
  <c r="B9950" i="3"/>
  <c r="D9949" i="3"/>
  <c r="C9949" i="3"/>
  <c r="B9949" i="3"/>
  <c r="D9948" i="3"/>
  <c r="C9948" i="3"/>
  <c r="B9948" i="3"/>
  <c r="D9947" i="3"/>
  <c r="C9947" i="3"/>
  <c r="B9947" i="3"/>
  <c r="D9946" i="3"/>
  <c r="C9946" i="3"/>
  <c r="B9946" i="3"/>
  <c r="D9945" i="3"/>
  <c r="C9945" i="3"/>
  <c r="B9945" i="3"/>
  <c r="D9944" i="3"/>
  <c r="C9944" i="3"/>
  <c r="B9944" i="3"/>
  <c r="D9943" i="3"/>
  <c r="C9943" i="3"/>
  <c r="B9943" i="3"/>
  <c r="D9942" i="3"/>
  <c r="C9942" i="3"/>
  <c r="B9942" i="3"/>
  <c r="D9941" i="3"/>
  <c r="C9941" i="3"/>
  <c r="B9941" i="3"/>
  <c r="D9940" i="3"/>
  <c r="C9940" i="3"/>
  <c r="B9940" i="3"/>
  <c r="D9939" i="3"/>
  <c r="C9939" i="3"/>
  <c r="B9939" i="3"/>
  <c r="D9938" i="3"/>
  <c r="C9938" i="3"/>
  <c r="B9938" i="3"/>
  <c r="D9937" i="3"/>
  <c r="C9937" i="3"/>
  <c r="B9937" i="3"/>
  <c r="D9936" i="3"/>
  <c r="C9936" i="3"/>
  <c r="B9936" i="3"/>
  <c r="D9935" i="3"/>
  <c r="C9935" i="3"/>
  <c r="B9935" i="3"/>
  <c r="D9934" i="3"/>
  <c r="C9934" i="3"/>
  <c r="B9934" i="3"/>
  <c r="D9933" i="3"/>
  <c r="C9933" i="3"/>
  <c r="B9933" i="3"/>
  <c r="D9932" i="3"/>
  <c r="C9932" i="3"/>
  <c r="B9932" i="3"/>
  <c r="D9931" i="3"/>
  <c r="C9931" i="3"/>
  <c r="B9931" i="3"/>
  <c r="D9930" i="3"/>
  <c r="C9930" i="3"/>
  <c r="B9930" i="3"/>
  <c r="D9929" i="3"/>
  <c r="C9929" i="3"/>
  <c r="B9929" i="3"/>
  <c r="D9928" i="3"/>
  <c r="C9928" i="3"/>
  <c r="B9928" i="3"/>
  <c r="D9927" i="3"/>
  <c r="C9927" i="3"/>
  <c r="B9927" i="3"/>
  <c r="D9926" i="3"/>
  <c r="C9926" i="3"/>
  <c r="B9926" i="3"/>
  <c r="D9925" i="3"/>
  <c r="C9925" i="3"/>
  <c r="B9925" i="3"/>
  <c r="D9924" i="3"/>
  <c r="C9924" i="3"/>
  <c r="B9924" i="3"/>
  <c r="D9923" i="3"/>
  <c r="C9923" i="3"/>
  <c r="B9923" i="3"/>
  <c r="D9922" i="3"/>
  <c r="C9922" i="3"/>
  <c r="B9922" i="3"/>
  <c r="D9921" i="3"/>
  <c r="C9921" i="3"/>
  <c r="B9921" i="3"/>
  <c r="D9920" i="3"/>
  <c r="C9920" i="3"/>
  <c r="B9920" i="3"/>
  <c r="D9919" i="3"/>
  <c r="C9919" i="3"/>
  <c r="B9919" i="3"/>
  <c r="D9918" i="3"/>
  <c r="C9918" i="3"/>
  <c r="B9918" i="3"/>
  <c r="D9917" i="3"/>
  <c r="C9917" i="3"/>
  <c r="B9917" i="3"/>
  <c r="D9916" i="3"/>
  <c r="C9916" i="3"/>
  <c r="B9916" i="3"/>
  <c r="D9915" i="3"/>
  <c r="C9915" i="3"/>
  <c r="B9915" i="3"/>
  <c r="D9914" i="3"/>
  <c r="C9914" i="3"/>
  <c r="B9914" i="3"/>
  <c r="D9913" i="3"/>
  <c r="C9913" i="3"/>
  <c r="B9913" i="3"/>
  <c r="D9912" i="3"/>
  <c r="C9912" i="3"/>
  <c r="B9912" i="3"/>
  <c r="D9911" i="3"/>
  <c r="C9911" i="3"/>
  <c r="B9911" i="3"/>
  <c r="D9910" i="3"/>
  <c r="C9910" i="3"/>
  <c r="B9910" i="3"/>
  <c r="D9909" i="3"/>
  <c r="C9909" i="3"/>
  <c r="B9909" i="3"/>
  <c r="D9908" i="3"/>
  <c r="C9908" i="3"/>
  <c r="B9908" i="3"/>
  <c r="D9907" i="3"/>
  <c r="C9907" i="3"/>
  <c r="B9907" i="3"/>
  <c r="D9906" i="3"/>
  <c r="C9906" i="3"/>
  <c r="B9906" i="3"/>
  <c r="D9905" i="3"/>
  <c r="C9905" i="3"/>
  <c r="B9905" i="3"/>
  <c r="D9904" i="3"/>
  <c r="C9904" i="3"/>
  <c r="B9904" i="3"/>
  <c r="D9903" i="3"/>
  <c r="C9903" i="3"/>
  <c r="B9903" i="3"/>
  <c r="D9902" i="3"/>
  <c r="C9902" i="3"/>
  <c r="B9902" i="3"/>
  <c r="D9901" i="3"/>
  <c r="C9901" i="3"/>
  <c r="B9901" i="3"/>
  <c r="D9900" i="3"/>
  <c r="C9900" i="3"/>
  <c r="B9900" i="3"/>
  <c r="D9899" i="3"/>
  <c r="C9899" i="3"/>
  <c r="B9899" i="3"/>
  <c r="D9898" i="3"/>
  <c r="C9898" i="3"/>
  <c r="B9898" i="3"/>
  <c r="D9897" i="3"/>
  <c r="C9897" i="3"/>
  <c r="B9897" i="3"/>
  <c r="D9896" i="3"/>
  <c r="C9896" i="3"/>
  <c r="B9896" i="3"/>
  <c r="D9895" i="3"/>
  <c r="C9895" i="3"/>
  <c r="B9895" i="3"/>
  <c r="D9894" i="3"/>
  <c r="C9894" i="3"/>
  <c r="B9894" i="3"/>
  <c r="D9893" i="3"/>
  <c r="C9893" i="3"/>
  <c r="B9893" i="3"/>
  <c r="D9892" i="3"/>
  <c r="C9892" i="3"/>
  <c r="B9892" i="3"/>
  <c r="D9891" i="3"/>
  <c r="C9891" i="3"/>
  <c r="B9891" i="3"/>
  <c r="D9890" i="3"/>
  <c r="C9890" i="3"/>
  <c r="B9890" i="3"/>
  <c r="D9889" i="3"/>
  <c r="C9889" i="3"/>
  <c r="B9889" i="3"/>
  <c r="D9888" i="3"/>
  <c r="C9888" i="3"/>
  <c r="B9888" i="3"/>
  <c r="D9887" i="3"/>
  <c r="C9887" i="3"/>
  <c r="B9887" i="3"/>
  <c r="D9886" i="3"/>
  <c r="C9886" i="3"/>
  <c r="B9886" i="3"/>
  <c r="D9885" i="3"/>
  <c r="C9885" i="3"/>
  <c r="B9885" i="3"/>
  <c r="D9884" i="3"/>
  <c r="C9884" i="3"/>
  <c r="B9884" i="3"/>
  <c r="D9883" i="3"/>
  <c r="C9883" i="3"/>
  <c r="B9883" i="3"/>
  <c r="D9882" i="3"/>
  <c r="C9882" i="3"/>
  <c r="B9882" i="3"/>
  <c r="D9881" i="3"/>
  <c r="C9881" i="3"/>
  <c r="B9881" i="3"/>
  <c r="D9880" i="3"/>
  <c r="C9880" i="3"/>
  <c r="B9880" i="3"/>
  <c r="D9879" i="3"/>
  <c r="C9879" i="3"/>
  <c r="B9879" i="3"/>
  <c r="D9878" i="3"/>
  <c r="C9878" i="3"/>
  <c r="B9878" i="3"/>
  <c r="D9877" i="3"/>
  <c r="C9877" i="3"/>
  <c r="B9877" i="3"/>
  <c r="D9876" i="3"/>
  <c r="C9876" i="3"/>
  <c r="B9876" i="3"/>
  <c r="D9875" i="3"/>
  <c r="C9875" i="3"/>
  <c r="B9875" i="3"/>
  <c r="D9874" i="3"/>
  <c r="C9874" i="3"/>
  <c r="B9874" i="3"/>
  <c r="D9873" i="3"/>
  <c r="C9873" i="3"/>
  <c r="B9873" i="3"/>
  <c r="D9872" i="3"/>
  <c r="C9872" i="3"/>
  <c r="B9872" i="3"/>
  <c r="D9871" i="3"/>
  <c r="C9871" i="3"/>
  <c r="B9871" i="3"/>
  <c r="D9870" i="3"/>
  <c r="C9870" i="3"/>
  <c r="B9870" i="3"/>
  <c r="D9869" i="3"/>
  <c r="C9869" i="3"/>
  <c r="B9869" i="3"/>
  <c r="D9868" i="3"/>
  <c r="C9868" i="3"/>
  <c r="B9868" i="3"/>
  <c r="D9867" i="3"/>
  <c r="C9867" i="3"/>
  <c r="B9867" i="3"/>
  <c r="D9866" i="3"/>
  <c r="C9866" i="3"/>
  <c r="B9866" i="3"/>
  <c r="D9865" i="3"/>
  <c r="C9865" i="3"/>
  <c r="B9865" i="3"/>
  <c r="D9864" i="3"/>
  <c r="C9864" i="3"/>
  <c r="B9864" i="3"/>
  <c r="D9863" i="3"/>
  <c r="C9863" i="3"/>
  <c r="B9863" i="3"/>
  <c r="D9862" i="3"/>
  <c r="C9862" i="3"/>
  <c r="B9862" i="3"/>
  <c r="D9861" i="3"/>
  <c r="C9861" i="3"/>
  <c r="B9861" i="3"/>
  <c r="D9860" i="3"/>
  <c r="C9860" i="3"/>
  <c r="B9860" i="3"/>
  <c r="D9859" i="3"/>
  <c r="C9859" i="3"/>
  <c r="B9859" i="3"/>
  <c r="D9858" i="3"/>
  <c r="C9858" i="3"/>
  <c r="B9858" i="3"/>
  <c r="D9857" i="3"/>
  <c r="C9857" i="3"/>
  <c r="B9857" i="3"/>
  <c r="D9856" i="3"/>
  <c r="C9856" i="3"/>
  <c r="B9856" i="3"/>
  <c r="D9855" i="3"/>
  <c r="C9855" i="3"/>
  <c r="B9855" i="3"/>
  <c r="D9854" i="3"/>
  <c r="C9854" i="3"/>
  <c r="B9854" i="3"/>
  <c r="D9853" i="3"/>
  <c r="C9853" i="3"/>
  <c r="B9853" i="3"/>
  <c r="D9852" i="3"/>
  <c r="C9852" i="3"/>
  <c r="B9852" i="3"/>
  <c r="D9851" i="3"/>
  <c r="C9851" i="3"/>
  <c r="B9851" i="3"/>
  <c r="D9850" i="3"/>
  <c r="C9850" i="3"/>
  <c r="B9850" i="3"/>
  <c r="D9849" i="3"/>
  <c r="C9849" i="3"/>
  <c r="B9849" i="3"/>
  <c r="D9848" i="3"/>
  <c r="C9848" i="3"/>
  <c r="B9848" i="3"/>
  <c r="D9847" i="3"/>
  <c r="C9847" i="3"/>
  <c r="B9847" i="3"/>
  <c r="D9846" i="3"/>
  <c r="C9846" i="3"/>
  <c r="B9846" i="3"/>
  <c r="D9845" i="3"/>
  <c r="C9845" i="3"/>
  <c r="B9845" i="3"/>
  <c r="D9844" i="3"/>
  <c r="C9844" i="3"/>
  <c r="B9844" i="3"/>
  <c r="D9843" i="3"/>
  <c r="C9843" i="3"/>
  <c r="B9843" i="3"/>
  <c r="D9842" i="3"/>
  <c r="C9842" i="3"/>
  <c r="B9842" i="3"/>
  <c r="D9841" i="3"/>
  <c r="C9841" i="3"/>
  <c r="B9841" i="3"/>
  <c r="D9840" i="3"/>
  <c r="C9840" i="3"/>
  <c r="B9840" i="3"/>
  <c r="D9839" i="3"/>
  <c r="C9839" i="3"/>
  <c r="B9839" i="3"/>
  <c r="D9838" i="3"/>
  <c r="C9838" i="3"/>
  <c r="B9838" i="3"/>
  <c r="D9837" i="3"/>
  <c r="C9837" i="3"/>
  <c r="B9837" i="3"/>
  <c r="D9836" i="3"/>
  <c r="C9836" i="3"/>
  <c r="B9836" i="3"/>
  <c r="D9835" i="3"/>
  <c r="C9835" i="3"/>
  <c r="B9835" i="3"/>
  <c r="D9834" i="3"/>
  <c r="C9834" i="3"/>
  <c r="B9834" i="3"/>
  <c r="D9833" i="3"/>
  <c r="C9833" i="3"/>
  <c r="B9833" i="3"/>
  <c r="D9832" i="3"/>
  <c r="C9832" i="3"/>
  <c r="B9832" i="3"/>
  <c r="D9831" i="3"/>
  <c r="C9831" i="3"/>
  <c r="B9831" i="3"/>
  <c r="D9830" i="3"/>
  <c r="C9830" i="3"/>
  <c r="B9830" i="3"/>
  <c r="D9829" i="3"/>
  <c r="C9829" i="3"/>
  <c r="B9829" i="3"/>
  <c r="D9828" i="3"/>
  <c r="C9828" i="3"/>
  <c r="B9828" i="3"/>
  <c r="D9827" i="3"/>
  <c r="C9827" i="3"/>
  <c r="B9827" i="3"/>
  <c r="D9826" i="3"/>
  <c r="C9826" i="3"/>
  <c r="B9826" i="3"/>
  <c r="D9825" i="3"/>
  <c r="C9825" i="3"/>
  <c r="B9825" i="3"/>
  <c r="D9824" i="3"/>
  <c r="C9824" i="3"/>
  <c r="B9824" i="3"/>
  <c r="D9823" i="3"/>
  <c r="C9823" i="3"/>
  <c r="B9823" i="3"/>
  <c r="D9822" i="3"/>
  <c r="C9822" i="3"/>
  <c r="B9822" i="3"/>
  <c r="D9821" i="3"/>
  <c r="C9821" i="3"/>
  <c r="B9821" i="3"/>
  <c r="D9820" i="3"/>
  <c r="C9820" i="3"/>
  <c r="B9820" i="3"/>
  <c r="D9819" i="3"/>
  <c r="C9819" i="3"/>
  <c r="B9819" i="3"/>
  <c r="D9818" i="3"/>
  <c r="C9818" i="3"/>
  <c r="B9818" i="3"/>
  <c r="D9817" i="3"/>
  <c r="C9817" i="3"/>
  <c r="B9817" i="3"/>
  <c r="D9816" i="3"/>
  <c r="C9816" i="3"/>
  <c r="B9816" i="3"/>
  <c r="D9815" i="3"/>
  <c r="C9815" i="3"/>
  <c r="B9815" i="3"/>
  <c r="D9814" i="3"/>
  <c r="C9814" i="3"/>
  <c r="B9814" i="3"/>
  <c r="D9813" i="3"/>
  <c r="C9813" i="3"/>
  <c r="B9813" i="3"/>
  <c r="D9812" i="3"/>
  <c r="C9812" i="3"/>
  <c r="B9812" i="3"/>
  <c r="D9811" i="3"/>
  <c r="C9811" i="3"/>
  <c r="B9811" i="3"/>
  <c r="D9810" i="3"/>
  <c r="C9810" i="3"/>
  <c r="B9810" i="3"/>
  <c r="D9809" i="3"/>
  <c r="C9809" i="3"/>
  <c r="B9809" i="3"/>
  <c r="D9808" i="3"/>
  <c r="C9808" i="3"/>
  <c r="B9808" i="3"/>
  <c r="D9807" i="3"/>
  <c r="C9807" i="3"/>
  <c r="B9807" i="3"/>
  <c r="D9806" i="3"/>
  <c r="C9806" i="3"/>
  <c r="B9806" i="3"/>
  <c r="D9805" i="3"/>
  <c r="C9805" i="3"/>
  <c r="B9805" i="3"/>
  <c r="D9804" i="3"/>
  <c r="C9804" i="3"/>
  <c r="B9804" i="3"/>
  <c r="D9803" i="3"/>
  <c r="C9803" i="3"/>
  <c r="B9803" i="3"/>
  <c r="D9802" i="3"/>
  <c r="C9802" i="3"/>
  <c r="B9802" i="3"/>
  <c r="D9801" i="3"/>
  <c r="C9801" i="3"/>
  <c r="B9801" i="3"/>
  <c r="D9800" i="3"/>
  <c r="C9800" i="3"/>
  <c r="B9800" i="3"/>
  <c r="D9799" i="3"/>
  <c r="C9799" i="3"/>
  <c r="B9799" i="3"/>
  <c r="D9798" i="3"/>
  <c r="C9798" i="3"/>
  <c r="B9798" i="3"/>
  <c r="D9797" i="3"/>
  <c r="C9797" i="3"/>
  <c r="B9797" i="3"/>
  <c r="D9796" i="3"/>
  <c r="C9796" i="3"/>
  <c r="B9796" i="3"/>
  <c r="D9795" i="3"/>
  <c r="C9795" i="3"/>
  <c r="B9795" i="3"/>
  <c r="D9794" i="3"/>
  <c r="C9794" i="3"/>
  <c r="B9794" i="3"/>
  <c r="D9793" i="3"/>
  <c r="C9793" i="3"/>
  <c r="B9793" i="3"/>
  <c r="D9792" i="3"/>
  <c r="C9792" i="3"/>
  <c r="B9792" i="3"/>
  <c r="D9791" i="3"/>
  <c r="C9791" i="3"/>
  <c r="B9791" i="3"/>
  <c r="D9790" i="3"/>
  <c r="C9790" i="3"/>
  <c r="B9790" i="3"/>
  <c r="D9789" i="3"/>
  <c r="C9789" i="3"/>
  <c r="B9789" i="3"/>
  <c r="D9788" i="3"/>
  <c r="C9788" i="3"/>
  <c r="B9788" i="3"/>
  <c r="D9787" i="3"/>
  <c r="C9787" i="3"/>
  <c r="B9787" i="3"/>
  <c r="D9786" i="3"/>
  <c r="C9786" i="3"/>
  <c r="B9786" i="3"/>
  <c r="D9785" i="3"/>
  <c r="C9785" i="3"/>
  <c r="B9785" i="3"/>
  <c r="D9784" i="3"/>
  <c r="C9784" i="3"/>
  <c r="B9784" i="3"/>
  <c r="D9783" i="3"/>
  <c r="C9783" i="3"/>
  <c r="B9783" i="3"/>
  <c r="D9782" i="3"/>
  <c r="C9782" i="3"/>
  <c r="B9782" i="3"/>
  <c r="D9781" i="3"/>
  <c r="C9781" i="3"/>
  <c r="B9781" i="3"/>
  <c r="D9780" i="3"/>
  <c r="C9780" i="3"/>
  <c r="B9780" i="3"/>
  <c r="D9779" i="3"/>
  <c r="C9779" i="3"/>
  <c r="B9779" i="3"/>
  <c r="D9778" i="3"/>
  <c r="C9778" i="3"/>
  <c r="B9778" i="3"/>
  <c r="D9777" i="3"/>
  <c r="C9777" i="3"/>
  <c r="B9777" i="3"/>
  <c r="D9776" i="3"/>
  <c r="C9776" i="3"/>
  <c r="B9776" i="3"/>
  <c r="D9775" i="3"/>
  <c r="C9775" i="3"/>
  <c r="B9775" i="3"/>
  <c r="D9774" i="3"/>
  <c r="C9774" i="3"/>
  <c r="B9774" i="3"/>
  <c r="D9773" i="3"/>
  <c r="C9773" i="3"/>
  <c r="B9773" i="3"/>
  <c r="D9772" i="3"/>
  <c r="C9772" i="3"/>
  <c r="B9772" i="3"/>
  <c r="D9771" i="3"/>
  <c r="C9771" i="3"/>
  <c r="B9771" i="3"/>
  <c r="D9770" i="3"/>
  <c r="C9770" i="3"/>
  <c r="B9770" i="3"/>
  <c r="D9769" i="3"/>
  <c r="C9769" i="3"/>
  <c r="B9769" i="3"/>
  <c r="D9768" i="3"/>
  <c r="C9768" i="3"/>
  <c r="B9768" i="3"/>
  <c r="D9767" i="3"/>
  <c r="C9767" i="3"/>
  <c r="B9767" i="3"/>
  <c r="D9766" i="3"/>
  <c r="C9766" i="3"/>
  <c r="B9766" i="3"/>
  <c r="D9765" i="3"/>
  <c r="C9765" i="3"/>
  <c r="B9765" i="3"/>
  <c r="D9764" i="3"/>
  <c r="C9764" i="3"/>
  <c r="B9764" i="3"/>
  <c r="D9763" i="3"/>
  <c r="C9763" i="3"/>
  <c r="B9763" i="3"/>
  <c r="D9762" i="3"/>
  <c r="C9762" i="3"/>
  <c r="B9762" i="3"/>
  <c r="D9761" i="3"/>
  <c r="C9761" i="3"/>
  <c r="B9761" i="3"/>
  <c r="D9760" i="3"/>
  <c r="C9760" i="3"/>
  <c r="B9760" i="3"/>
  <c r="D9759" i="3"/>
  <c r="C9759" i="3"/>
  <c r="B9759" i="3"/>
  <c r="D9758" i="3"/>
  <c r="C9758" i="3"/>
  <c r="B9758" i="3"/>
  <c r="D9757" i="3"/>
  <c r="C9757" i="3"/>
  <c r="B9757" i="3"/>
  <c r="D9756" i="3"/>
  <c r="C9756" i="3"/>
  <c r="B9756" i="3"/>
  <c r="D9755" i="3"/>
  <c r="C9755" i="3"/>
  <c r="B9755" i="3"/>
  <c r="D9754" i="3"/>
  <c r="C9754" i="3"/>
  <c r="B9754" i="3"/>
  <c r="D9753" i="3"/>
  <c r="C9753" i="3"/>
  <c r="B9753" i="3"/>
  <c r="D9752" i="3"/>
  <c r="C9752" i="3"/>
  <c r="B9752" i="3"/>
  <c r="D9751" i="3"/>
  <c r="C9751" i="3"/>
  <c r="B9751" i="3"/>
  <c r="D9750" i="3"/>
  <c r="C9750" i="3"/>
  <c r="B9750" i="3"/>
  <c r="D9749" i="3"/>
  <c r="C9749" i="3"/>
  <c r="B9749" i="3"/>
  <c r="D9748" i="3"/>
  <c r="C9748" i="3"/>
  <c r="B9748" i="3"/>
  <c r="D9747" i="3"/>
  <c r="C9747" i="3"/>
  <c r="B9747" i="3"/>
  <c r="D9746" i="3"/>
  <c r="C9746" i="3"/>
  <c r="B9746" i="3"/>
  <c r="D9745" i="3"/>
  <c r="C9745" i="3"/>
  <c r="B9745" i="3"/>
  <c r="D9744" i="3"/>
  <c r="C9744" i="3"/>
  <c r="B9744" i="3"/>
  <c r="D9743" i="3"/>
  <c r="C9743" i="3"/>
  <c r="B9743" i="3"/>
  <c r="D9742" i="3"/>
  <c r="C9742" i="3"/>
  <c r="B9742" i="3"/>
  <c r="D9741" i="3"/>
  <c r="C9741" i="3"/>
  <c r="B9741" i="3"/>
  <c r="D9740" i="3"/>
  <c r="C9740" i="3"/>
  <c r="B9740" i="3"/>
  <c r="D9739" i="3"/>
  <c r="C9739" i="3"/>
  <c r="B9739" i="3"/>
  <c r="D9738" i="3"/>
  <c r="C9738" i="3"/>
  <c r="B9738" i="3"/>
  <c r="D9737" i="3"/>
  <c r="C9737" i="3"/>
  <c r="B9737" i="3"/>
  <c r="D9736" i="3"/>
  <c r="C9736" i="3"/>
  <c r="B9736" i="3"/>
  <c r="D9735" i="3"/>
  <c r="C9735" i="3"/>
  <c r="B9735" i="3"/>
  <c r="D9734" i="3"/>
  <c r="C9734" i="3"/>
  <c r="B9734" i="3"/>
  <c r="D9733" i="3"/>
  <c r="C9733" i="3"/>
  <c r="B9733" i="3"/>
  <c r="D9732" i="3"/>
  <c r="C9732" i="3"/>
  <c r="B9732" i="3"/>
  <c r="D9731" i="3"/>
  <c r="C9731" i="3"/>
  <c r="B9731" i="3"/>
  <c r="D9730" i="3"/>
  <c r="C9730" i="3"/>
  <c r="B9730" i="3"/>
  <c r="D9729" i="3"/>
  <c r="C9729" i="3"/>
  <c r="B9729" i="3"/>
  <c r="D9728" i="3"/>
  <c r="C9728" i="3"/>
  <c r="B9728" i="3"/>
  <c r="D9727" i="3"/>
  <c r="C9727" i="3"/>
  <c r="B9727" i="3"/>
  <c r="D9726" i="3"/>
  <c r="C9726" i="3"/>
  <c r="B9726" i="3"/>
  <c r="D9725" i="3"/>
  <c r="C9725" i="3"/>
  <c r="B9725" i="3"/>
  <c r="D9724" i="3"/>
  <c r="C9724" i="3"/>
  <c r="B9724" i="3"/>
  <c r="D9723" i="3"/>
  <c r="C9723" i="3"/>
  <c r="B9723" i="3"/>
  <c r="D9722" i="3"/>
  <c r="C9722" i="3"/>
  <c r="B9722" i="3"/>
  <c r="D9721" i="3"/>
  <c r="C9721" i="3"/>
  <c r="B9721" i="3"/>
  <c r="D9720" i="3"/>
  <c r="C9720" i="3"/>
  <c r="B9720" i="3"/>
  <c r="D9719" i="3"/>
  <c r="C9719" i="3"/>
  <c r="B9719" i="3"/>
  <c r="D9718" i="3"/>
  <c r="C9718" i="3"/>
  <c r="B9718" i="3"/>
  <c r="D9717" i="3"/>
  <c r="C9717" i="3"/>
  <c r="B9717" i="3"/>
  <c r="D9716" i="3"/>
  <c r="C9716" i="3"/>
  <c r="B9716" i="3"/>
  <c r="D9715" i="3"/>
  <c r="C9715" i="3"/>
  <c r="B9715" i="3"/>
  <c r="D9714" i="3"/>
  <c r="C9714" i="3"/>
  <c r="B9714" i="3"/>
  <c r="D9713" i="3"/>
  <c r="C9713" i="3"/>
  <c r="B9713" i="3"/>
  <c r="D9712" i="3"/>
  <c r="C9712" i="3"/>
  <c r="B9712" i="3"/>
  <c r="D9711" i="3"/>
  <c r="C9711" i="3"/>
  <c r="B9711" i="3"/>
  <c r="D9710" i="3"/>
  <c r="C9710" i="3"/>
  <c r="B9710" i="3"/>
  <c r="D9709" i="3"/>
  <c r="C9709" i="3"/>
  <c r="B9709" i="3"/>
  <c r="D9708" i="3"/>
  <c r="C9708" i="3"/>
  <c r="B9708" i="3"/>
  <c r="D9707" i="3"/>
  <c r="C9707" i="3"/>
  <c r="B9707" i="3"/>
  <c r="D9706" i="3"/>
  <c r="C9706" i="3"/>
  <c r="B9706" i="3"/>
  <c r="D9705" i="3"/>
  <c r="C9705" i="3"/>
  <c r="B9705" i="3"/>
  <c r="D9704" i="3"/>
  <c r="C9704" i="3"/>
  <c r="B9704" i="3"/>
  <c r="D9703" i="3"/>
  <c r="C9703" i="3"/>
  <c r="B9703" i="3"/>
  <c r="D9702" i="3"/>
  <c r="C9702" i="3"/>
  <c r="B9702" i="3"/>
  <c r="D9701" i="3"/>
  <c r="C9701" i="3"/>
  <c r="B9701" i="3"/>
  <c r="D9700" i="3"/>
  <c r="C9700" i="3"/>
  <c r="B9700" i="3"/>
  <c r="D9699" i="3"/>
  <c r="C9699" i="3"/>
  <c r="B9699" i="3"/>
  <c r="D9698" i="3"/>
  <c r="C9698" i="3"/>
  <c r="B9698" i="3"/>
  <c r="D9697" i="3"/>
  <c r="C9697" i="3"/>
  <c r="B9697" i="3"/>
  <c r="D9696" i="3"/>
  <c r="C9696" i="3"/>
  <c r="B9696" i="3"/>
  <c r="D9695" i="3"/>
  <c r="C9695" i="3"/>
  <c r="B9695" i="3"/>
  <c r="D9694" i="3"/>
  <c r="C9694" i="3"/>
  <c r="B9694" i="3"/>
  <c r="D9693" i="3"/>
  <c r="C9693" i="3"/>
  <c r="B9693" i="3"/>
  <c r="D9692" i="3"/>
  <c r="C9692" i="3"/>
  <c r="B9692" i="3"/>
  <c r="D9691" i="3"/>
  <c r="C9691" i="3"/>
  <c r="B9691" i="3"/>
  <c r="D9690" i="3"/>
  <c r="C9690" i="3"/>
  <c r="B9690" i="3"/>
  <c r="D9689" i="3"/>
  <c r="C9689" i="3"/>
  <c r="B9689" i="3"/>
  <c r="D9688" i="3"/>
  <c r="C9688" i="3"/>
  <c r="B9688" i="3"/>
  <c r="D9687" i="3"/>
  <c r="C9687" i="3"/>
  <c r="B9687" i="3"/>
  <c r="D9686" i="3"/>
  <c r="C9686" i="3"/>
  <c r="B9686" i="3"/>
  <c r="D9685" i="3"/>
  <c r="C9685" i="3"/>
  <c r="B9685" i="3"/>
  <c r="D9684" i="3"/>
  <c r="C9684" i="3"/>
  <c r="B9684" i="3"/>
  <c r="D9683" i="3"/>
  <c r="C9683" i="3"/>
  <c r="B9683" i="3"/>
  <c r="D9682" i="3"/>
  <c r="C9682" i="3"/>
  <c r="B9682" i="3"/>
  <c r="D9681" i="3"/>
  <c r="C9681" i="3"/>
  <c r="B9681" i="3"/>
  <c r="D9680" i="3"/>
  <c r="C9680" i="3"/>
  <c r="B9680" i="3"/>
  <c r="D9679" i="3"/>
  <c r="C9679" i="3"/>
  <c r="B9679" i="3"/>
  <c r="D9678" i="3"/>
  <c r="C9678" i="3"/>
  <c r="B9678" i="3"/>
  <c r="D9677" i="3"/>
  <c r="C9677" i="3"/>
  <c r="B9677" i="3"/>
  <c r="D9676" i="3"/>
  <c r="C9676" i="3"/>
  <c r="B9676" i="3"/>
  <c r="D9675" i="3"/>
  <c r="C9675" i="3"/>
  <c r="B9675" i="3"/>
  <c r="D9674" i="3"/>
  <c r="C9674" i="3"/>
  <c r="B9674" i="3"/>
  <c r="D9673" i="3"/>
  <c r="C9673" i="3"/>
  <c r="B9673" i="3"/>
  <c r="D9672" i="3"/>
  <c r="C9672" i="3"/>
  <c r="B9672" i="3"/>
  <c r="D9671" i="3"/>
  <c r="C9671" i="3"/>
  <c r="B9671" i="3"/>
  <c r="D9670" i="3"/>
  <c r="C9670" i="3"/>
  <c r="B9670" i="3"/>
  <c r="D9669" i="3"/>
  <c r="C9669" i="3"/>
  <c r="B9669" i="3"/>
  <c r="D9668" i="3"/>
  <c r="C9668" i="3"/>
  <c r="B9668" i="3"/>
  <c r="D9667" i="3"/>
  <c r="C9667" i="3"/>
  <c r="B9667" i="3"/>
  <c r="D9666" i="3"/>
  <c r="C9666" i="3"/>
  <c r="B9666" i="3"/>
  <c r="D9665" i="3"/>
  <c r="C9665" i="3"/>
  <c r="B9665" i="3"/>
  <c r="D9664" i="3"/>
  <c r="C9664" i="3"/>
  <c r="B9664" i="3"/>
  <c r="D9663" i="3"/>
  <c r="C9663" i="3"/>
  <c r="B9663" i="3"/>
  <c r="D9662" i="3"/>
  <c r="C9662" i="3"/>
  <c r="B9662" i="3"/>
  <c r="D9661" i="3"/>
  <c r="C9661" i="3"/>
  <c r="B9661" i="3"/>
  <c r="D9660" i="3"/>
  <c r="C9660" i="3"/>
  <c r="B9660" i="3"/>
  <c r="D9659" i="3"/>
  <c r="C9659" i="3"/>
  <c r="B9659" i="3"/>
  <c r="D9658" i="3"/>
  <c r="C9658" i="3"/>
  <c r="B9658" i="3"/>
  <c r="D9657" i="3"/>
  <c r="C9657" i="3"/>
  <c r="B9657" i="3"/>
  <c r="D9656" i="3"/>
  <c r="C9656" i="3"/>
  <c r="B9656" i="3"/>
  <c r="D9655" i="3"/>
  <c r="C9655" i="3"/>
  <c r="B9655" i="3"/>
  <c r="D9654" i="3"/>
  <c r="C9654" i="3"/>
  <c r="B9654" i="3"/>
  <c r="D9653" i="3"/>
  <c r="C9653" i="3"/>
  <c r="B9653" i="3"/>
  <c r="D9652" i="3"/>
  <c r="C9652" i="3"/>
  <c r="B9652" i="3"/>
  <c r="D9651" i="3"/>
  <c r="C9651" i="3"/>
  <c r="B9651" i="3"/>
  <c r="D9650" i="3"/>
  <c r="C9650" i="3"/>
  <c r="B9650" i="3"/>
  <c r="D9649" i="3"/>
  <c r="C9649" i="3"/>
  <c r="B9649" i="3"/>
  <c r="D9648" i="3"/>
  <c r="C9648" i="3"/>
  <c r="B9648" i="3"/>
  <c r="D9647" i="3"/>
  <c r="C9647" i="3"/>
  <c r="B9647" i="3"/>
  <c r="D9646" i="3"/>
  <c r="C9646" i="3"/>
  <c r="B9646" i="3"/>
  <c r="D9645" i="3"/>
  <c r="C9645" i="3"/>
  <c r="B9645" i="3"/>
  <c r="D9644" i="3"/>
  <c r="C9644" i="3"/>
  <c r="B9644" i="3"/>
  <c r="D9643" i="3"/>
  <c r="C9643" i="3"/>
  <c r="B9643" i="3"/>
  <c r="D9642" i="3"/>
  <c r="C9642" i="3"/>
  <c r="B9642" i="3"/>
  <c r="D9641" i="3"/>
  <c r="C9641" i="3"/>
  <c r="B9641" i="3"/>
  <c r="D9640" i="3"/>
  <c r="C9640" i="3"/>
  <c r="B9640" i="3"/>
  <c r="D9639" i="3"/>
  <c r="C9639" i="3"/>
  <c r="B9639" i="3"/>
  <c r="D9638" i="3"/>
  <c r="C9638" i="3"/>
  <c r="B9638" i="3"/>
  <c r="D9637" i="3"/>
  <c r="C9637" i="3"/>
  <c r="B9637" i="3"/>
  <c r="D9636" i="3"/>
  <c r="C9636" i="3"/>
  <c r="B9636" i="3"/>
  <c r="D9635" i="3"/>
  <c r="C9635" i="3"/>
  <c r="B9635" i="3"/>
  <c r="D9634" i="3"/>
  <c r="C9634" i="3"/>
  <c r="B9634" i="3"/>
  <c r="D9633" i="3"/>
  <c r="C9633" i="3"/>
  <c r="B9633" i="3"/>
  <c r="D9632" i="3"/>
  <c r="C9632" i="3"/>
  <c r="B9632" i="3"/>
  <c r="D9631" i="3"/>
  <c r="C9631" i="3"/>
  <c r="B9631" i="3"/>
  <c r="D9630" i="3"/>
  <c r="C9630" i="3"/>
  <c r="B9630" i="3"/>
  <c r="D9629" i="3"/>
  <c r="C9629" i="3"/>
  <c r="B9629" i="3"/>
  <c r="D9628" i="3"/>
  <c r="C9628" i="3"/>
  <c r="B9628" i="3"/>
  <c r="D9627" i="3"/>
  <c r="C9627" i="3"/>
  <c r="B9627" i="3"/>
  <c r="D9626" i="3"/>
  <c r="C9626" i="3"/>
  <c r="B9626" i="3"/>
  <c r="D9625" i="3"/>
  <c r="C9625" i="3"/>
  <c r="B9625" i="3"/>
  <c r="D9624" i="3"/>
  <c r="C9624" i="3"/>
  <c r="B9624" i="3"/>
  <c r="D9623" i="3"/>
  <c r="C9623" i="3"/>
  <c r="B9623" i="3"/>
  <c r="D9622" i="3"/>
  <c r="C9622" i="3"/>
  <c r="B9622" i="3"/>
  <c r="D9621" i="3"/>
  <c r="C9621" i="3"/>
  <c r="B9621" i="3"/>
  <c r="D9620" i="3"/>
  <c r="C9620" i="3"/>
  <c r="B9620" i="3"/>
  <c r="D9619" i="3"/>
  <c r="C9619" i="3"/>
  <c r="B9619" i="3"/>
  <c r="D9618" i="3"/>
  <c r="C9618" i="3"/>
  <c r="B9618" i="3"/>
  <c r="D9617" i="3"/>
  <c r="C9617" i="3"/>
  <c r="B9617" i="3"/>
  <c r="D9616" i="3"/>
  <c r="C9616" i="3"/>
  <c r="B9616" i="3"/>
  <c r="D9615" i="3"/>
  <c r="C9615" i="3"/>
  <c r="B9615" i="3"/>
  <c r="D9614" i="3"/>
  <c r="C9614" i="3"/>
  <c r="B9614" i="3"/>
  <c r="D9613" i="3"/>
  <c r="C9613" i="3"/>
  <c r="B9613" i="3"/>
  <c r="D9612" i="3"/>
  <c r="C9612" i="3"/>
  <c r="B9612" i="3"/>
  <c r="D9611" i="3"/>
  <c r="C9611" i="3"/>
  <c r="B9611" i="3"/>
  <c r="D9610" i="3"/>
  <c r="C9610" i="3"/>
  <c r="B9610" i="3"/>
  <c r="D9609" i="3"/>
  <c r="C9609" i="3"/>
  <c r="B9609" i="3"/>
  <c r="D9608" i="3"/>
  <c r="C9608" i="3"/>
  <c r="B9608" i="3"/>
  <c r="D9607" i="3"/>
  <c r="C9607" i="3"/>
  <c r="B9607" i="3"/>
  <c r="D9606" i="3"/>
  <c r="C9606" i="3"/>
  <c r="B9606" i="3"/>
  <c r="D9605" i="3"/>
  <c r="C9605" i="3"/>
  <c r="B9605" i="3"/>
  <c r="D9604" i="3"/>
  <c r="C9604" i="3"/>
  <c r="B9604" i="3"/>
  <c r="D9603" i="3"/>
  <c r="C9603" i="3"/>
  <c r="B9603" i="3"/>
  <c r="D9602" i="3"/>
  <c r="C9602" i="3"/>
  <c r="B9602" i="3"/>
  <c r="D9601" i="3"/>
  <c r="C9601" i="3"/>
  <c r="B9601" i="3"/>
  <c r="D9600" i="3"/>
  <c r="C9600" i="3"/>
  <c r="B9600" i="3"/>
  <c r="D9599" i="3"/>
  <c r="C9599" i="3"/>
  <c r="B9599" i="3"/>
  <c r="D9598" i="3"/>
  <c r="C9598" i="3"/>
  <c r="B9598" i="3"/>
  <c r="D9597" i="3"/>
  <c r="C9597" i="3"/>
  <c r="B9597" i="3"/>
  <c r="D9596" i="3"/>
  <c r="C9596" i="3"/>
  <c r="B9596" i="3"/>
  <c r="D9595" i="3"/>
  <c r="C9595" i="3"/>
  <c r="B9595" i="3"/>
  <c r="D9594" i="3"/>
  <c r="C9594" i="3"/>
  <c r="B9594" i="3"/>
  <c r="D9593" i="3"/>
  <c r="C9593" i="3"/>
  <c r="B9593" i="3"/>
  <c r="D9592" i="3"/>
  <c r="C9592" i="3"/>
  <c r="B9592" i="3"/>
  <c r="D9591" i="3"/>
  <c r="C9591" i="3"/>
  <c r="B9591" i="3"/>
  <c r="D9590" i="3"/>
  <c r="C9590" i="3"/>
  <c r="B9590" i="3"/>
  <c r="D9589" i="3"/>
  <c r="C9589" i="3"/>
  <c r="B9589" i="3"/>
  <c r="D9588" i="3"/>
  <c r="C9588" i="3"/>
  <c r="B9588" i="3"/>
  <c r="D9587" i="3"/>
  <c r="C9587" i="3"/>
  <c r="B9587" i="3"/>
  <c r="D9586" i="3"/>
  <c r="C9586" i="3"/>
  <c r="B9586" i="3"/>
  <c r="D9585" i="3"/>
  <c r="C9585" i="3"/>
  <c r="B9585" i="3"/>
  <c r="D9584" i="3"/>
  <c r="C9584" i="3"/>
  <c r="B9584" i="3"/>
  <c r="D9583" i="3"/>
  <c r="C9583" i="3"/>
  <c r="B9583" i="3"/>
  <c r="D9582" i="3"/>
  <c r="C9582" i="3"/>
  <c r="B9582" i="3"/>
  <c r="D9581" i="3"/>
  <c r="C9581" i="3"/>
  <c r="B9581" i="3"/>
  <c r="D9580" i="3"/>
  <c r="C9580" i="3"/>
  <c r="B9580" i="3"/>
  <c r="D9579" i="3"/>
  <c r="C9579" i="3"/>
  <c r="B9579" i="3"/>
  <c r="D9578" i="3"/>
  <c r="C9578" i="3"/>
  <c r="B9578" i="3"/>
  <c r="D9577" i="3"/>
  <c r="C9577" i="3"/>
  <c r="B9577" i="3"/>
  <c r="D9576" i="3"/>
  <c r="C9576" i="3"/>
  <c r="B9576" i="3"/>
  <c r="D9575" i="3"/>
  <c r="C9575" i="3"/>
  <c r="B9575" i="3"/>
  <c r="D9574" i="3"/>
  <c r="C9574" i="3"/>
  <c r="B9574" i="3"/>
  <c r="D9573" i="3"/>
  <c r="C9573" i="3"/>
  <c r="B9573" i="3"/>
  <c r="D9572" i="3"/>
  <c r="C9572" i="3"/>
  <c r="B9572" i="3"/>
  <c r="D9571" i="3"/>
  <c r="C9571" i="3"/>
  <c r="B9571" i="3"/>
  <c r="D9570" i="3"/>
  <c r="C9570" i="3"/>
  <c r="B9570" i="3"/>
  <c r="D9569" i="3"/>
  <c r="C9569" i="3"/>
  <c r="B9569" i="3"/>
  <c r="D9568" i="3"/>
  <c r="C9568" i="3"/>
  <c r="B9568" i="3"/>
  <c r="D9567" i="3"/>
  <c r="C9567" i="3"/>
  <c r="B9567" i="3"/>
  <c r="D9566" i="3"/>
  <c r="C9566" i="3"/>
  <c r="B9566" i="3"/>
  <c r="D9565" i="3"/>
  <c r="C9565" i="3"/>
  <c r="B9565" i="3"/>
  <c r="D9564" i="3"/>
  <c r="C9564" i="3"/>
  <c r="B9564" i="3"/>
  <c r="D9563" i="3"/>
  <c r="C9563" i="3"/>
  <c r="B9563" i="3"/>
  <c r="D9562" i="3"/>
  <c r="C9562" i="3"/>
  <c r="B9562" i="3"/>
  <c r="D9561" i="3"/>
  <c r="C9561" i="3"/>
  <c r="B9561" i="3"/>
  <c r="D9560" i="3"/>
  <c r="C9560" i="3"/>
  <c r="B9560" i="3"/>
  <c r="D9559" i="3"/>
  <c r="C9559" i="3"/>
  <c r="B9559" i="3"/>
  <c r="D9558" i="3"/>
  <c r="C9558" i="3"/>
  <c r="B9558" i="3"/>
  <c r="D9557" i="3"/>
  <c r="C9557" i="3"/>
  <c r="B9557" i="3"/>
  <c r="D9556" i="3"/>
  <c r="C9556" i="3"/>
  <c r="B9556" i="3"/>
  <c r="D9555" i="3"/>
  <c r="C9555" i="3"/>
  <c r="B9555" i="3"/>
  <c r="D9554" i="3"/>
  <c r="C9554" i="3"/>
  <c r="B9554" i="3"/>
  <c r="D9553" i="3"/>
  <c r="C9553" i="3"/>
  <c r="B9553" i="3"/>
  <c r="D9552" i="3"/>
  <c r="C9552" i="3"/>
  <c r="B9552" i="3"/>
  <c r="D9551" i="3"/>
  <c r="C9551" i="3"/>
  <c r="B9551" i="3"/>
  <c r="D9550" i="3"/>
  <c r="C9550" i="3"/>
  <c r="B9550" i="3"/>
  <c r="D9549" i="3"/>
  <c r="C9549" i="3"/>
  <c r="B9549" i="3"/>
  <c r="D9548" i="3"/>
  <c r="C9548" i="3"/>
  <c r="B9548" i="3"/>
  <c r="D9547" i="3"/>
  <c r="C9547" i="3"/>
  <c r="B9547" i="3"/>
  <c r="D9546" i="3"/>
  <c r="C9546" i="3"/>
  <c r="B9546" i="3"/>
  <c r="D9545" i="3"/>
  <c r="C9545" i="3"/>
  <c r="B9545" i="3"/>
  <c r="D9544" i="3"/>
  <c r="C9544" i="3"/>
  <c r="B9544" i="3"/>
  <c r="D9543" i="3"/>
  <c r="C9543" i="3"/>
  <c r="B9543" i="3"/>
  <c r="D9542" i="3"/>
  <c r="C9542" i="3"/>
  <c r="B9542" i="3"/>
  <c r="D9541" i="3"/>
  <c r="C9541" i="3"/>
  <c r="B9541" i="3"/>
  <c r="D9540" i="3"/>
  <c r="C9540" i="3"/>
  <c r="B9540" i="3"/>
  <c r="D9539" i="3"/>
  <c r="C9539" i="3"/>
  <c r="B9539" i="3"/>
  <c r="D9538" i="3"/>
  <c r="C9538" i="3"/>
  <c r="B9538" i="3"/>
  <c r="D9537" i="3"/>
  <c r="C9537" i="3"/>
  <c r="B9537" i="3"/>
  <c r="D9536" i="3"/>
  <c r="C9536" i="3"/>
  <c r="B9536" i="3"/>
  <c r="D9535" i="3"/>
  <c r="C9535" i="3"/>
  <c r="B9535" i="3"/>
  <c r="D9534" i="3"/>
  <c r="C9534" i="3"/>
  <c r="B9534" i="3"/>
  <c r="D9533" i="3"/>
  <c r="C9533" i="3"/>
  <c r="B9533" i="3"/>
  <c r="D9532" i="3"/>
  <c r="C9532" i="3"/>
  <c r="B9532" i="3"/>
  <c r="D9531" i="3"/>
  <c r="C9531" i="3"/>
  <c r="B9531" i="3"/>
  <c r="D9530" i="3"/>
  <c r="C9530" i="3"/>
  <c r="B9530" i="3"/>
  <c r="D9529" i="3"/>
  <c r="C9529" i="3"/>
  <c r="B9529" i="3"/>
  <c r="D9528" i="3"/>
  <c r="C9528" i="3"/>
  <c r="B9528" i="3"/>
  <c r="D9527" i="3"/>
  <c r="C9527" i="3"/>
  <c r="B9527" i="3"/>
  <c r="D9526" i="3"/>
  <c r="C9526" i="3"/>
  <c r="B9526" i="3"/>
  <c r="D9525" i="3"/>
  <c r="C9525" i="3"/>
  <c r="B9525" i="3"/>
  <c r="D9524" i="3"/>
  <c r="C9524" i="3"/>
  <c r="B9524" i="3"/>
  <c r="D9523" i="3"/>
  <c r="C9523" i="3"/>
  <c r="B9523" i="3"/>
  <c r="D9522" i="3"/>
  <c r="C9522" i="3"/>
  <c r="B9522" i="3"/>
  <c r="D9521" i="3"/>
  <c r="C9521" i="3"/>
  <c r="B9521" i="3"/>
  <c r="D9520" i="3"/>
  <c r="C9520" i="3"/>
  <c r="B9520" i="3"/>
  <c r="D9519" i="3"/>
  <c r="C9519" i="3"/>
  <c r="B9519" i="3"/>
  <c r="D9518" i="3"/>
  <c r="C9518" i="3"/>
  <c r="B9518" i="3"/>
  <c r="D9517" i="3"/>
  <c r="C9517" i="3"/>
  <c r="B9517" i="3"/>
  <c r="D9516" i="3"/>
  <c r="C9516" i="3"/>
  <c r="B9516" i="3"/>
  <c r="D9515" i="3"/>
  <c r="C9515" i="3"/>
  <c r="B9515" i="3"/>
  <c r="D9514" i="3"/>
  <c r="C9514" i="3"/>
  <c r="B9514" i="3"/>
  <c r="D9513" i="3"/>
  <c r="C9513" i="3"/>
  <c r="B9513" i="3"/>
  <c r="D9512" i="3"/>
  <c r="C9512" i="3"/>
  <c r="B9512" i="3"/>
  <c r="D9511" i="3"/>
  <c r="C9511" i="3"/>
  <c r="B9511" i="3"/>
  <c r="D9510" i="3"/>
  <c r="C9510" i="3"/>
  <c r="B9510" i="3"/>
  <c r="D9509" i="3"/>
  <c r="C9509" i="3"/>
  <c r="B9509" i="3"/>
  <c r="D9508" i="3"/>
  <c r="C9508" i="3"/>
  <c r="B9508" i="3"/>
  <c r="D9507" i="3"/>
  <c r="C9507" i="3"/>
  <c r="B9507" i="3"/>
  <c r="D9506" i="3"/>
  <c r="C9506" i="3"/>
  <c r="B9506" i="3"/>
  <c r="D9505" i="3"/>
  <c r="C9505" i="3"/>
  <c r="B9505" i="3"/>
  <c r="D9504" i="3"/>
  <c r="C9504" i="3"/>
  <c r="B9504" i="3"/>
  <c r="D9503" i="3"/>
  <c r="C9503" i="3"/>
  <c r="B9503" i="3"/>
  <c r="D9502" i="3"/>
  <c r="C9502" i="3"/>
  <c r="B9502" i="3"/>
  <c r="D9501" i="3"/>
  <c r="C9501" i="3"/>
  <c r="B9501" i="3"/>
  <c r="D9500" i="3"/>
  <c r="C9500" i="3"/>
  <c r="B9500" i="3"/>
  <c r="D9499" i="3"/>
  <c r="C9499" i="3"/>
  <c r="B9499" i="3"/>
  <c r="D9498" i="3"/>
  <c r="C9498" i="3"/>
  <c r="B9498" i="3"/>
  <c r="D9497" i="3"/>
  <c r="C9497" i="3"/>
  <c r="B9497" i="3"/>
  <c r="D9496" i="3"/>
  <c r="C9496" i="3"/>
  <c r="B9496" i="3"/>
  <c r="D9495" i="3"/>
  <c r="C9495" i="3"/>
  <c r="B9495" i="3"/>
  <c r="D9494" i="3"/>
  <c r="C9494" i="3"/>
  <c r="B9494" i="3"/>
  <c r="D9493" i="3"/>
  <c r="C9493" i="3"/>
  <c r="B9493" i="3"/>
  <c r="D9492" i="3"/>
  <c r="C9492" i="3"/>
  <c r="B9492" i="3"/>
  <c r="D9491" i="3"/>
  <c r="C9491" i="3"/>
  <c r="B9491" i="3"/>
  <c r="D9490" i="3"/>
  <c r="C9490" i="3"/>
  <c r="B9490" i="3"/>
  <c r="D9489" i="3"/>
  <c r="C9489" i="3"/>
  <c r="B9489" i="3"/>
  <c r="D9488" i="3"/>
  <c r="C9488" i="3"/>
  <c r="B9488" i="3"/>
  <c r="D9487" i="3"/>
  <c r="C9487" i="3"/>
  <c r="B9487" i="3"/>
  <c r="D9486" i="3"/>
  <c r="C9486" i="3"/>
  <c r="B9486" i="3"/>
  <c r="D9485" i="3"/>
  <c r="C9485" i="3"/>
  <c r="B9485" i="3"/>
  <c r="D9484" i="3"/>
  <c r="C9484" i="3"/>
  <c r="B9484" i="3"/>
  <c r="D9483" i="3"/>
  <c r="C9483" i="3"/>
  <c r="B9483" i="3"/>
  <c r="D9482" i="3"/>
  <c r="C9482" i="3"/>
  <c r="B9482" i="3"/>
  <c r="D9481" i="3"/>
  <c r="C9481" i="3"/>
  <c r="B9481" i="3"/>
  <c r="D9480" i="3"/>
  <c r="C9480" i="3"/>
  <c r="B9480" i="3"/>
  <c r="D9479" i="3"/>
  <c r="C9479" i="3"/>
  <c r="B9479" i="3"/>
  <c r="D9478" i="3"/>
  <c r="C9478" i="3"/>
  <c r="B9478" i="3"/>
  <c r="D9477" i="3"/>
  <c r="C9477" i="3"/>
  <c r="B9477" i="3"/>
  <c r="D9476" i="3"/>
  <c r="C9476" i="3"/>
  <c r="B9476" i="3"/>
  <c r="D9475" i="3"/>
  <c r="C9475" i="3"/>
  <c r="B9475" i="3"/>
  <c r="D9474" i="3"/>
  <c r="C9474" i="3"/>
  <c r="B9474" i="3"/>
  <c r="D9473" i="3"/>
  <c r="C9473" i="3"/>
  <c r="B9473" i="3"/>
  <c r="D9472" i="3"/>
  <c r="C9472" i="3"/>
  <c r="B9472" i="3"/>
  <c r="D9471" i="3"/>
  <c r="C9471" i="3"/>
  <c r="B9471" i="3"/>
  <c r="D9470" i="3"/>
  <c r="C9470" i="3"/>
  <c r="B9470" i="3"/>
  <c r="D9469" i="3"/>
  <c r="C9469" i="3"/>
  <c r="B9469" i="3"/>
  <c r="D9468" i="3"/>
  <c r="C9468" i="3"/>
  <c r="B9468" i="3"/>
  <c r="D9467" i="3"/>
  <c r="C9467" i="3"/>
  <c r="B9467" i="3"/>
  <c r="D9466" i="3"/>
  <c r="C9466" i="3"/>
  <c r="B9466" i="3"/>
  <c r="D9465" i="3"/>
  <c r="C9465" i="3"/>
  <c r="B9465" i="3"/>
  <c r="D9464" i="3"/>
  <c r="C9464" i="3"/>
  <c r="B9464" i="3"/>
  <c r="D9463" i="3"/>
  <c r="C9463" i="3"/>
  <c r="B9463" i="3"/>
  <c r="D9462" i="3"/>
  <c r="C9462" i="3"/>
  <c r="B9462" i="3"/>
  <c r="D9461" i="3"/>
  <c r="C9461" i="3"/>
  <c r="B9461" i="3"/>
  <c r="D9460" i="3"/>
  <c r="C9460" i="3"/>
  <c r="B9460" i="3"/>
  <c r="D9459" i="3"/>
  <c r="C9459" i="3"/>
  <c r="B9459" i="3"/>
  <c r="D9458" i="3"/>
  <c r="C9458" i="3"/>
  <c r="B9458" i="3"/>
  <c r="D9457" i="3"/>
  <c r="C9457" i="3"/>
  <c r="B9457" i="3"/>
  <c r="D9456" i="3"/>
  <c r="C9456" i="3"/>
  <c r="B9456" i="3"/>
  <c r="D9455" i="3"/>
  <c r="C9455" i="3"/>
  <c r="B9455" i="3"/>
  <c r="D9454" i="3"/>
  <c r="C9454" i="3"/>
  <c r="B9454" i="3"/>
  <c r="D9453" i="3"/>
  <c r="C9453" i="3"/>
  <c r="B9453" i="3"/>
  <c r="D9452" i="3"/>
  <c r="C9452" i="3"/>
  <c r="B9452" i="3"/>
  <c r="D9451" i="3"/>
  <c r="C9451" i="3"/>
  <c r="B9451" i="3"/>
  <c r="D9450" i="3"/>
  <c r="C9450" i="3"/>
  <c r="B9450" i="3"/>
  <c r="D9449" i="3"/>
  <c r="C9449" i="3"/>
  <c r="B9449" i="3"/>
  <c r="D9448" i="3"/>
  <c r="C9448" i="3"/>
  <c r="B9448" i="3"/>
  <c r="D9447" i="3"/>
  <c r="C9447" i="3"/>
  <c r="B9447" i="3"/>
  <c r="D9446" i="3"/>
  <c r="C9446" i="3"/>
  <c r="B9446" i="3"/>
  <c r="D9445" i="3"/>
  <c r="C9445" i="3"/>
  <c r="B9445" i="3"/>
  <c r="D9444" i="3"/>
  <c r="C9444" i="3"/>
  <c r="B9444" i="3"/>
  <c r="D9443" i="3"/>
  <c r="C9443" i="3"/>
  <c r="B9443" i="3"/>
  <c r="D9442" i="3"/>
  <c r="C9442" i="3"/>
  <c r="B9442" i="3"/>
  <c r="D9441" i="3"/>
  <c r="C9441" i="3"/>
  <c r="B9441" i="3"/>
  <c r="D9440" i="3"/>
  <c r="C9440" i="3"/>
  <c r="B9440" i="3"/>
  <c r="D9439" i="3"/>
  <c r="C9439" i="3"/>
  <c r="B9439" i="3"/>
  <c r="D9438" i="3"/>
  <c r="C9438" i="3"/>
  <c r="B9438" i="3"/>
  <c r="D9437" i="3"/>
  <c r="C9437" i="3"/>
  <c r="B9437" i="3"/>
  <c r="D9436" i="3"/>
  <c r="C9436" i="3"/>
  <c r="B9436" i="3"/>
  <c r="D9435" i="3"/>
  <c r="C9435" i="3"/>
  <c r="B9435" i="3"/>
  <c r="D9434" i="3"/>
  <c r="C9434" i="3"/>
  <c r="B9434" i="3"/>
  <c r="D9433" i="3"/>
  <c r="C9433" i="3"/>
  <c r="B9433" i="3"/>
  <c r="D9432" i="3"/>
  <c r="C9432" i="3"/>
  <c r="B9432" i="3"/>
  <c r="D9431" i="3"/>
  <c r="C9431" i="3"/>
  <c r="B9431" i="3"/>
  <c r="D9430" i="3"/>
  <c r="C9430" i="3"/>
  <c r="B9430" i="3"/>
  <c r="D9429" i="3"/>
  <c r="C9429" i="3"/>
  <c r="B9429" i="3"/>
  <c r="D9428" i="3"/>
  <c r="C9428" i="3"/>
  <c r="B9428" i="3"/>
  <c r="D9427" i="3"/>
  <c r="C9427" i="3"/>
  <c r="B9427" i="3"/>
  <c r="D9426" i="3"/>
  <c r="C9426" i="3"/>
  <c r="B9426" i="3"/>
  <c r="D9425" i="3"/>
  <c r="C9425" i="3"/>
  <c r="B9425" i="3"/>
  <c r="D9424" i="3"/>
  <c r="C9424" i="3"/>
  <c r="B9424" i="3"/>
  <c r="D9423" i="3"/>
  <c r="C9423" i="3"/>
  <c r="B9423" i="3"/>
  <c r="D9422" i="3"/>
  <c r="C9422" i="3"/>
  <c r="B9422" i="3"/>
  <c r="D9421" i="3"/>
  <c r="C9421" i="3"/>
  <c r="B9421" i="3"/>
  <c r="D9420" i="3"/>
  <c r="C9420" i="3"/>
  <c r="B9420" i="3"/>
  <c r="D9419" i="3"/>
  <c r="C9419" i="3"/>
  <c r="B9419" i="3"/>
  <c r="D9418" i="3"/>
  <c r="C9418" i="3"/>
  <c r="B9418" i="3"/>
  <c r="D9417" i="3"/>
  <c r="C9417" i="3"/>
  <c r="B9417" i="3"/>
  <c r="D9416" i="3"/>
  <c r="C9416" i="3"/>
  <c r="B9416" i="3"/>
  <c r="D9415" i="3"/>
  <c r="C9415" i="3"/>
  <c r="B9415" i="3"/>
  <c r="D9414" i="3"/>
  <c r="C9414" i="3"/>
  <c r="B9414" i="3"/>
  <c r="D9413" i="3"/>
  <c r="C9413" i="3"/>
  <c r="B9413" i="3"/>
  <c r="D9412" i="3"/>
  <c r="C9412" i="3"/>
  <c r="B9412" i="3"/>
  <c r="D9411" i="3"/>
  <c r="C9411" i="3"/>
  <c r="B9411" i="3"/>
  <c r="D9410" i="3"/>
  <c r="C9410" i="3"/>
  <c r="B9410" i="3"/>
  <c r="D9409" i="3"/>
  <c r="C9409" i="3"/>
  <c r="B9409" i="3"/>
  <c r="D9408" i="3"/>
  <c r="C9408" i="3"/>
  <c r="B9408" i="3"/>
  <c r="D9407" i="3"/>
  <c r="C9407" i="3"/>
  <c r="B9407" i="3"/>
  <c r="D9406" i="3"/>
  <c r="C9406" i="3"/>
  <c r="B9406" i="3"/>
  <c r="D9405" i="3"/>
  <c r="C9405" i="3"/>
  <c r="B9405" i="3"/>
  <c r="D9404" i="3"/>
  <c r="C9404" i="3"/>
  <c r="B9404" i="3"/>
  <c r="D9403" i="3"/>
  <c r="C9403" i="3"/>
  <c r="B9403" i="3"/>
  <c r="D9402" i="3"/>
  <c r="C9402" i="3"/>
  <c r="B9402" i="3"/>
  <c r="D9401" i="3"/>
  <c r="C9401" i="3"/>
  <c r="B9401" i="3"/>
  <c r="D9400" i="3"/>
  <c r="C9400" i="3"/>
  <c r="B9400" i="3"/>
  <c r="D9399" i="3"/>
  <c r="C9399" i="3"/>
  <c r="B9399" i="3"/>
  <c r="D9398" i="3"/>
  <c r="C9398" i="3"/>
  <c r="B9398" i="3"/>
  <c r="D9397" i="3"/>
  <c r="C9397" i="3"/>
  <c r="B9397" i="3"/>
  <c r="D9396" i="3"/>
  <c r="C9396" i="3"/>
  <c r="B9396" i="3"/>
  <c r="D9395" i="3"/>
  <c r="C9395" i="3"/>
  <c r="B9395" i="3"/>
  <c r="D9394" i="3"/>
  <c r="C9394" i="3"/>
  <c r="B9394" i="3"/>
  <c r="D9393" i="3"/>
  <c r="C9393" i="3"/>
  <c r="B9393" i="3"/>
  <c r="D9392" i="3"/>
  <c r="C9392" i="3"/>
  <c r="B9392" i="3"/>
  <c r="D9391" i="3"/>
  <c r="C9391" i="3"/>
  <c r="B9391" i="3"/>
  <c r="D9390" i="3"/>
  <c r="C9390" i="3"/>
  <c r="B9390" i="3"/>
  <c r="D9389" i="3"/>
  <c r="C9389" i="3"/>
  <c r="B9389" i="3"/>
  <c r="D9388" i="3"/>
  <c r="C9388" i="3"/>
  <c r="B9388" i="3"/>
  <c r="D9387" i="3"/>
  <c r="C9387" i="3"/>
  <c r="B9387" i="3"/>
  <c r="D9386" i="3"/>
  <c r="C9386" i="3"/>
  <c r="B9386" i="3"/>
  <c r="D9385" i="3"/>
  <c r="C9385" i="3"/>
  <c r="B9385" i="3"/>
  <c r="D9384" i="3"/>
  <c r="C9384" i="3"/>
  <c r="B9384" i="3"/>
  <c r="D9383" i="3"/>
  <c r="C9383" i="3"/>
  <c r="B9383" i="3"/>
  <c r="D9382" i="3"/>
  <c r="C9382" i="3"/>
  <c r="B9382" i="3"/>
  <c r="D9381" i="3"/>
  <c r="C9381" i="3"/>
  <c r="B9381" i="3"/>
  <c r="D9380" i="3"/>
  <c r="C9380" i="3"/>
  <c r="B9380" i="3"/>
  <c r="D9379" i="3"/>
  <c r="C9379" i="3"/>
  <c r="B9379" i="3"/>
  <c r="D9378" i="3"/>
  <c r="C9378" i="3"/>
  <c r="B9378" i="3"/>
  <c r="D9377" i="3"/>
  <c r="C9377" i="3"/>
  <c r="B9377" i="3"/>
  <c r="D9376" i="3"/>
  <c r="C9376" i="3"/>
  <c r="B9376" i="3"/>
  <c r="D9375" i="3"/>
  <c r="C9375" i="3"/>
  <c r="B9375" i="3"/>
  <c r="D9374" i="3"/>
  <c r="C9374" i="3"/>
  <c r="B9374" i="3"/>
  <c r="D9373" i="3"/>
  <c r="C9373" i="3"/>
  <c r="B9373" i="3"/>
  <c r="D9372" i="3"/>
  <c r="C9372" i="3"/>
  <c r="B9372" i="3"/>
  <c r="D9371" i="3"/>
  <c r="C9371" i="3"/>
  <c r="B9371" i="3"/>
  <c r="D9370" i="3"/>
  <c r="C9370" i="3"/>
  <c r="B9370" i="3"/>
  <c r="D9369" i="3"/>
  <c r="C9369" i="3"/>
  <c r="B9369" i="3"/>
  <c r="D9368" i="3"/>
  <c r="C9368" i="3"/>
  <c r="B9368" i="3"/>
  <c r="D9367" i="3"/>
  <c r="C9367" i="3"/>
  <c r="B9367" i="3"/>
  <c r="D9366" i="3"/>
  <c r="C9366" i="3"/>
  <c r="B9366" i="3"/>
  <c r="D9365" i="3"/>
  <c r="C9365" i="3"/>
  <c r="B9365" i="3"/>
  <c r="D9364" i="3"/>
  <c r="C9364" i="3"/>
  <c r="B9364" i="3"/>
  <c r="D9363" i="3"/>
  <c r="C9363" i="3"/>
  <c r="B9363" i="3"/>
  <c r="D9362" i="3"/>
  <c r="C9362" i="3"/>
  <c r="B9362" i="3"/>
  <c r="D9361" i="3"/>
  <c r="C9361" i="3"/>
  <c r="B9361" i="3"/>
  <c r="D9360" i="3"/>
  <c r="C9360" i="3"/>
  <c r="B9360" i="3"/>
  <c r="D9359" i="3"/>
  <c r="C9359" i="3"/>
  <c r="B9359" i="3"/>
  <c r="D9358" i="3"/>
  <c r="C9358" i="3"/>
  <c r="B9358" i="3"/>
  <c r="D9357" i="3"/>
  <c r="C9357" i="3"/>
  <c r="B9357" i="3"/>
  <c r="D9356" i="3"/>
  <c r="C9356" i="3"/>
  <c r="B9356" i="3"/>
  <c r="D9355" i="3"/>
  <c r="C9355" i="3"/>
  <c r="B9355" i="3"/>
  <c r="D9354" i="3"/>
  <c r="C9354" i="3"/>
  <c r="B9354" i="3"/>
  <c r="D9353" i="3"/>
  <c r="C9353" i="3"/>
  <c r="B9353" i="3"/>
  <c r="D9352" i="3"/>
  <c r="C9352" i="3"/>
  <c r="B9352" i="3"/>
  <c r="D9351" i="3"/>
  <c r="C9351" i="3"/>
  <c r="B9351" i="3"/>
  <c r="D9350" i="3"/>
  <c r="C9350" i="3"/>
  <c r="B9350" i="3"/>
  <c r="D9349" i="3"/>
  <c r="C9349" i="3"/>
  <c r="B9349" i="3"/>
  <c r="D9348" i="3"/>
  <c r="C9348" i="3"/>
  <c r="B9348" i="3"/>
  <c r="D9347" i="3"/>
  <c r="C9347" i="3"/>
  <c r="B9347" i="3"/>
  <c r="D9346" i="3"/>
  <c r="C9346" i="3"/>
  <c r="B9346" i="3"/>
  <c r="D9345" i="3"/>
  <c r="C9345" i="3"/>
  <c r="B9345" i="3"/>
  <c r="D9344" i="3"/>
  <c r="C9344" i="3"/>
  <c r="B9344" i="3"/>
  <c r="D9343" i="3"/>
  <c r="C9343" i="3"/>
  <c r="B9343" i="3"/>
  <c r="D9342" i="3"/>
  <c r="C9342" i="3"/>
  <c r="B9342" i="3"/>
  <c r="D9341" i="3"/>
  <c r="C9341" i="3"/>
  <c r="B9341" i="3"/>
  <c r="D9340" i="3"/>
  <c r="C9340" i="3"/>
  <c r="B9340" i="3"/>
  <c r="D9339" i="3"/>
  <c r="C9339" i="3"/>
  <c r="B9339" i="3"/>
  <c r="D9338" i="3"/>
  <c r="C9338" i="3"/>
  <c r="B9338" i="3"/>
  <c r="D9337" i="3"/>
  <c r="C9337" i="3"/>
  <c r="B9337" i="3"/>
  <c r="D9336" i="3"/>
  <c r="C9336" i="3"/>
  <c r="B9336" i="3"/>
  <c r="D9335" i="3"/>
  <c r="C9335" i="3"/>
  <c r="B9335" i="3"/>
  <c r="D9334" i="3"/>
  <c r="C9334" i="3"/>
  <c r="B9334" i="3"/>
  <c r="D9333" i="3"/>
  <c r="C9333" i="3"/>
  <c r="B9333" i="3"/>
  <c r="D9332" i="3"/>
  <c r="C9332" i="3"/>
  <c r="B9332" i="3"/>
  <c r="D9331" i="3"/>
  <c r="C9331" i="3"/>
  <c r="B9331" i="3"/>
  <c r="D9330" i="3"/>
  <c r="C9330" i="3"/>
  <c r="B9330" i="3"/>
  <c r="D9329" i="3"/>
  <c r="C9329" i="3"/>
  <c r="B9329" i="3"/>
  <c r="D9328" i="3"/>
  <c r="C9328" i="3"/>
  <c r="B9328" i="3"/>
  <c r="D9327" i="3"/>
  <c r="C9327" i="3"/>
  <c r="B9327" i="3"/>
  <c r="D9326" i="3"/>
  <c r="C9326" i="3"/>
  <c r="B9326" i="3"/>
  <c r="D9325" i="3"/>
  <c r="C9325" i="3"/>
  <c r="B9325" i="3"/>
  <c r="D9324" i="3"/>
  <c r="C9324" i="3"/>
  <c r="B9324" i="3"/>
  <c r="D9323" i="3"/>
  <c r="C9323" i="3"/>
  <c r="B9323" i="3"/>
  <c r="D9322" i="3"/>
  <c r="C9322" i="3"/>
  <c r="B9322" i="3"/>
  <c r="D9321" i="3"/>
  <c r="C9321" i="3"/>
  <c r="B9321" i="3"/>
  <c r="D9320" i="3"/>
  <c r="C9320" i="3"/>
  <c r="B9320" i="3"/>
  <c r="D9319" i="3"/>
  <c r="C9319" i="3"/>
  <c r="B9319" i="3"/>
  <c r="D9318" i="3"/>
  <c r="C9318" i="3"/>
  <c r="B9318" i="3"/>
  <c r="D9317" i="3"/>
  <c r="C9317" i="3"/>
  <c r="B9317" i="3"/>
  <c r="D9316" i="3"/>
  <c r="C9316" i="3"/>
  <c r="B9316" i="3"/>
  <c r="D9315" i="3"/>
  <c r="C9315" i="3"/>
  <c r="B9315" i="3"/>
  <c r="D9314" i="3"/>
  <c r="C9314" i="3"/>
  <c r="B9314" i="3"/>
  <c r="D9313" i="3"/>
  <c r="C9313" i="3"/>
  <c r="B9313" i="3"/>
  <c r="D9312" i="3"/>
  <c r="C9312" i="3"/>
  <c r="B9312" i="3"/>
  <c r="D9311" i="3"/>
  <c r="C9311" i="3"/>
  <c r="B9311" i="3"/>
  <c r="D9310" i="3"/>
  <c r="C9310" i="3"/>
  <c r="B9310" i="3"/>
  <c r="D9309" i="3"/>
  <c r="C9309" i="3"/>
  <c r="B9309" i="3"/>
  <c r="D9308" i="3"/>
  <c r="C9308" i="3"/>
  <c r="B9308" i="3"/>
  <c r="D9307" i="3"/>
  <c r="C9307" i="3"/>
  <c r="B9307" i="3"/>
  <c r="D9306" i="3"/>
  <c r="C9306" i="3"/>
  <c r="B9306" i="3"/>
  <c r="D9305" i="3"/>
  <c r="C9305" i="3"/>
  <c r="B9305" i="3"/>
  <c r="D9304" i="3"/>
  <c r="C9304" i="3"/>
  <c r="B9304" i="3"/>
  <c r="D9303" i="3"/>
  <c r="C9303" i="3"/>
  <c r="B9303" i="3"/>
  <c r="D9302" i="3"/>
  <c r="C9302" i="3"/>
  <c r="B9302" i="3"/>
  <c r="D9301" i="3"/>
  <c r="C9301" i="3"/>
  <c r="B9301" i="3"/>
  <c r="D9300" i="3"/>
  <c r="C9300" i="3"/>
  <c r="B9300" i="3"/>
  <c r="D9299" i="3"/>
  <c r="C9299" i="3"/>
  <c r="B9299" i="3"/>
  <c r="D9298" i="3"/>
  <c r="C9298" i="3"/>
  <c r="B9298" i="3"/>
  <c r="D9297" i="3"/>
  <c r="C9297" i="3"/>
  <c r="B9297" i="3"/>
  <c r="D9296" i="3"/>
  <c r="C9296" i="3"/>
  <c r="B9296" i="3"/>
  <c r="D9295" i="3"/>
  <c r="C9295" i="3"/>
  <c r="B9295" i="3"/>
  <c r="D9294" i="3"/>
  <c r="C9294" i="3"/>
  <c r="B9294" i="3"/>
  <c r="D9293" i="3"/>
  <c r="C9293" i="3"/>
  <c r="B9293" i="3"/>
  <c r="D9292" i="3"/>
  <c r="C9292" i="3"/>
  <c r="B9292" i="3"/>
  <c r="D9291" i="3"/>
  <c r="C9291" i="3"/>
  <c r="B9291" i="3"/>
  <c r="D9290" i="3"/>
  <c r="C9290" i="3"/>
  <c r="B9290" i="3"/>
  <c r="D9289" i="3"/>
  <c r="C9289" i="3"/>
  <c r="B9289" i="3"/>
  <c r="D9288" i="3"/>
  <c r="C9288" i="3"/>
  <c r="B9288" i="3"/>
  <c r="D9287" i="3"/>
  <c r="C9287" i="3"/>
  <c r="B9287" i="3"/>
  <c r="D9286" i="3"/>
  <c r="C9286" i="3"/>
  <c r="B9286" i="3"/>
  <c r="D9285" i="3"/>
  <c r="C9285" i="3"/>
  <c r="B9285" i="3"/>
  <c r="D9284" i="3"/>
  <c r="C9284" i="3"/>
  <c r="B9284" i="3"/>
  <c r="D9283" i="3"/>
  <c r="C9283" i="3"/>
  <c r="B9283" i="3"/>
  <c r="D9282" i="3"/>
  <c r="C9282" i="3"/>
  <c r="B9282" i="3"/>
  <c r="D9281" i="3"/>
  <c r="C9281" i="3"/>
  <c r="B9281" i="3"/>
  <c r="D9280" i="3"/>
  <c r="C9280" i="3"/>
  <c r="B9280" i="3"/>
  <c r="D9279" i="3"/>
  <c r="C9279" i="3"/>
  <c r="B9279" i="3"/>
  <c r="D9278" i="3"/>
  <c r="C9278" i="3"/>
  <c r="B9278" i="3"/>
  <c r="D9277" i="3"/>
  <c r="C9277" i="3"/>
  <c r="B9277" i="3"/>
  <c r="D9276" i="3"/>
  <c r="C9276" i="3"/>
  <c r="B9276" i="3"/>
  <c r="D9275" i="3"/>
  <c r="C9275" i="3"/>
  <c r="B9275" i="3"/>
  <c r="D9274" i="3"/>
  <c r="C9274" i="3"/>
  <c r="B9274" i="3"/>
  <c r="D9273" i="3"/>
  <c r="C9273" i="3"/>
  <c r="B9273" i="3"/>
  <c r="D9272" i="3"/>
  <c r="C9272" i="3"/>
  <c r="B9272" i="3"/>
  <c r="D9271" i="3"/>
  <c r="C9271" i="3"/>
  <c r="B9271" i="3"/>
  <c r="D9270" i="3"/>
  <c r="C9270" i="3"/>
  <c r="B9270" i="3"/>
  <c r="D9269" i="3"/>
  <c r="C9269" i="3"/>
  <c r="B9269" i="3"/>
  <c r="D9268" i="3"/>
  <c r="C9268" i="3"/>
  <c r="B9268" i="3"/>
  <c r="D9267" i="3"/>
  <c r="C9267" i="3"/>
  <c r="B9267" i="3"/>
  <c r="D9266" i="3"/>
  <c r="C9266" i="3"/>
  <c r="B9266" i="3"/>
  <c r="D9265" i="3"/>
  <c r="C9265" i="3"/>
  <c r="B9265" i="3"/>
  <c r="D9264" i="3"/>
  <c r="C9264" i="3"/>
  <c r="B9264" i="3"/>
  <c r="D9263" i="3"/>
  <c r="C9263" i="3"/>
  <c r="B9263" i="3"/>
  <c r="D9262" i="3"/>
  <c r="C9262" i="3"/>
  <c r="B9262" i="3"/>
  <c r="D9261" i="3"/>
  <c r="C9261" i="3"/>
  <c r="B9261" i="3"/>
  <c r="D9260" i="3"/>
  <c r="C9260" i="3"/>
  <c r="B9260" i="3"/>
  <c r="D9259" i="3"/>
  <c r="C9259" i="3"/>
  <c r="B9259" i="3"/>
  <c r="D9258" i="3"/>
  <c r="C9258" i="3"/>
  <c r="B9258" i="3"/>
  <c r="D9257" i="3"/>
  <c r="C9257" i="3"/>
  <c r="B9257" i="3"/>
  <c r="D9256" i="3"/>
  <c r="C9256" i="3"/>
  <c r="B9256" i="3"/>
  <c r="D9255" i="3"/>
  <c r="C9255" i="3"/>
  <c r="B9255" i="3"/>
  <c r="D9254" i="3"/>
  <c r="C9254" i="3"/>
  <c r="B9254" i="3"/>
  <c r="D9253" i="3"/>
  <c r="C9253" i="3"/>
  <c r="B9253" i="3"/>
  <c r="D9252" i="3"/>
  <c r="C9252" i="3"/>
  <c r="B9252" i="3"/>
  <c r="D9251" i="3"/>
  <c r="C9251" i="3"/>
  <c r="B9251" i="3"/>
  <c r="D9250" i="3"/>
  <c r="C9250" i="3"/>
  <c r="B9250" i="3"/>
  <c r="D9249" i="3"/>
  <c r="C9249" i="3"/>
  <c r="B9249" i="3"/>
  <c r="D9248" i="3"/>
  <c r="C9248" i="3"/>
  <c r="B9248" i="3"/>
  <c r="D9247" i="3"/>
  <c r="C9247" i="3"/>
  <c r="B9247" i="3"/>
  <c r="D9246" i="3"/>
  <c r="C9246" i="3"/>
  <c r="B9246" i="3"/>
  <c r="D9245" i="3"/>
  <c r="C9245" i="3"/>
  <c r="B9245" i="3"/>
  <c r="D9244" i="3"/>
  <c r="C9244" i="3"/>
  <c r="B9244" i="3"/>
  <c r="D9243" i="3"/>
  <c r="C9243" i="3"/>
  <c r="B9243" i="3"/>
  <c r="D9242" i="3"/>
  <c r="C9242" i="3"/>
  <c r="B9242" i="3"/>
  <c r="D9241" i="3"/>
  <c r="C9241" i="3"/>
  <c r="B9241" i="3"/>
  <c r="D9240" i="3"/>
  <c r="C9240" i="3"/>
  <c r="B9240" i="3"/>
  <c r="D9239" i="3"/>
  <c r="C9239" i="3"/>
  <c r="B9239" i="3"/>
  <c r="D9238" i="3"/>
  <c r="C9238" i="3"/>
  <c r="B9238" i="3"/>
  <c r="D9237" i="3"/>
  <c r="C9237" i="3"/>
  <c r="B9237" i="3"/>
  <c r="D9236" i="3"/>
  <c r="C9236" i="3"/>
  <c r="B9236" i="3"/>
  <c r="D9235" i="3"/>
  <c r="C9235" i="3"/>
  <c r="B9235" i="3"/>
  <c r="D9234" i="3"/>
  <c r="C9234" i="3"/>
  <c r="B9234" i="3"/>
  <c r="D9233" i="3"/>
  <c r="C9233" i="3"/>
  <c r="B9233" i="3"/>
  <c r="D9232" i="3"/>
  <c r="C9232" i="3"/>
  <c r="B9232" i="3"/>
  <c r="D9231" i="3"/>
  <c r="C9231" i="3"/>
  <c r="B9231" i="3"/>
  <c r="D9230" i="3"/>
  <c r="C9230" i="3"/>
  <c r="B9230" i="3"/>
  <c r="D9229" i="3"/>
  <c r="C9229" i="3"/>
  <c r="B9229" i="3"/>
  <c r="D9228" i="3"/>
  <c r="C9228" i="3"/>
  <c r="B9228" i="3"/>
  <c r="D9227" i="3"/>
  <c r="C9227" i="3"/>
  <c r="B9227" i="3"/>
  <c r="D9226" i="3"/>
  <c r="C9226" i="3"/>
  <c r="B9226" i="3"/>
  <c r="D9225" i="3"/>
  <c r="C9225" i="3"/>
  <c r="B9225" i="3"/>
  <c r="D9224" i="3"/>
  <c r="C9224" i="3"/>
  <c r="B9224" i="3"/>
  <c r="D9223" i="3"/>
  <c r="C9223" i="3"/>
  <c r="B9223" i="3"/>
  <c r="D9222" i="3"/>
  <c r="C9222" i="3"/>
  <c r="B9222" i="3"/>
  <c r="D9221" i="3"/>
  <c r="C9221" i="3"/>
  <c r="B9221" i="3"/>
  <c r="D9220" i="3"/>
  <c r="C9220" i="3"/>
  <c r="B9220" i="3"/>
  <c r="D9219" i="3"/>
  <c r="C9219" i="3"/>
  <c r="B9219" i="3"/>
  <c r="D9218" i="3"/>
  <c r="C9218" i="3"/>
  <c r="B9218" i="3"/>
  <c r="D9217" i="3"/>
  <c r="C9217" i="3"/>
  <c r="B9217" i="3"/>
  <c r="D9216" i="3"/>
  <c r="C9216" i="3"/>
  <c r="B9216" i="3"/>
  <c r="D9215" i="3"/>
  <c r="C9215" i="3"/>
  <c r="B9215" i="3"/>
  <c r="D9214" i="3"/>
  <c r="C9214" i="3"/>
  <c r="B9214" i="3"/>
  <c r="D9213" i="3"/>
  <c r="C9213" i="3"/>
  <c r="B9213" i="3"/>
  <c r="D9212" i="3"/>
  <c r="C9212" i="3"/>
  <c r="B9212" i="3"/>
  <c r="D9211" i="3"/>
  <c r="C9211" i="3"/>
  <c r="B9211" i="3"/>
  <c r="D9210" i="3"/>
  <c r="C9210" i="3"/>
  <c r="B9210" i="3"/>
  <c r="D9209" i="3"/>
  <c r="C9209" i="3"/>
  <c r="B9209" i="3"/>
  <c r="D9208" i="3"/>
  <c r="C9208" i="3"/>
  <c r="B9208" i="3"/>
  <c r="D9207" i="3"/>
  <c r="C9207" i="3"/>
  <c r="B9207" i="3"/>
  <c r="D9206" i="3"/>
  <c r="C9206" i="3"/>
  <c r="B9206" i="3"/>
  <c r="D9205" i="3"/>
  <c r="C9205" i="3"/>
  <c r="B9205" i="3"/>
  <c r="D9204" i="3"/>
  <c r="C9204" i="3"/>
  <c r="B9204" i="3"/>
  <c r="D9203" i="3"/>
  <c r="C9203" i="3"/>
  <c r="B9203" i="3"/>
  <c r="D9202" i="3"/>
  <c r="C9202" i="3"/>
  <c r="B9202" i="3"/>
  <c r="D9201" i="3"/>
  <c r="C9201" i="3"/>
  <c r="B9201" i="3"/>
  <c r="D9200" i="3"/>
  <c r="C9200" i="3"/>
  <c r="B9200" i="3"/>
  <c r="D9199" i="3"/>
  <c r="C9199" i="3"/>
  <c r="B9199" i="3"/>
  <c r="D9198" i="3"/>
  <c r="C9198" i="3"/>
  <c r="B9198" i="3"/>
  <c r="D9197" i="3"/>
  <c r="C9197" i="3"/>
  <c r="B9197" i="3"/>
  <c r="D9196" i="3"/>
  <c r="C9196" i="3"/>
  <c r="B9196" i="3"/>
  <c r="D9195" i="3"/>
  <c r="C9195" i="3"/>
  <c r="B9195" i="3"/>
  <c r="D9194" i="3"/>
  <c r="C9194" i="3"/>
  <c r="B9194" i="3"/>
  <c r="D9193" i="3"/>
  <c r="C9193" i="3"/>
  <c r="B9193" i="3"/>
  <c r="D9192" i="3"/>
  <c r="C9192" i="3"/>
  <c r="B9192" i="3"/>
  <c r="D9191" i="3"/>
  <c r="C9191" i="3"/>
  <c r="B9191" i="3"/>
  <c r="D9190" i="3"/>
  <c r="C9190" i="3"/>
  <c r="B9190" i="3"/>
  <c r="D9189" i="3"/>
  <c r="C9189" i="3"/>
  <c r="B9189" i="3"/>
  <c r="D9188" i="3"/>
  <c r="C9188" i="3"/>
  <c r="B9188" i="3"/>
  <c r="D9187" i="3"/>
  <c r="C9187" i="3"/>
  <c r="B9187" i="3"/>
  <c r="D9186" i="3"/>
  <c r="C9186" i="3"/>
  <c r="B9186" i="3"/>
  <c r="D9185" i="3"/>
  <c r="C9185" i="3"/>
  <c r="B9185" i="3"/>
  <c r="D9184" i="3"/>
  <c r="C9184" i="3"/>
  <c r="B9184" i="3"/>
  <c r="D9183" i="3"/>
  <c r="C9183" i="3"/>
  <c r="B9183" i="3"/>
  <c r="D9182" i="3"/>
  <c r="C9182" i="3"/>
  <c r="B9182" i="3"/>
  <c r="D9181" i="3"/>
  <c r="C9181" i="3"/>
  <c r="B9181" i="3"/>
  <c r="D9180" i="3"/>
  <c r="C9180" i="3"/>
  <c r="B9180" i="3"/>
  <c r="D9179" i="3"/>
  <c r="C9179" i="3"/>
  <c r="B9179" i="3"/>
  <c r="D9178" i="3"/>
  <c r="C9178" i="3"/>
  <c r="B9178" i="3"/>
  <c r="D9177" i="3"/>
  <c r="C9177" i="3"/>
  <c r="B9177" i="3"/>
  <c r="D9176" i="3"/>
  <c r="C9176" i="3"/>
  <c r="B9176" i="3"/>
  <c r="D9175" i="3"/>
  <c r="C9175" i="3"/>
  <c r="B9175" i="3"/>
  <c r="D9174" i="3"/>
  <c r="C9174" i="3"/>
  <c r="B9174" i="3"/>
  <c r="D9173" i="3"/>
  <c r="C9173" i="3"/>
  <c r="B9173" i="3"/>
  <c r="D9172" i="3"/>
  <c r="C9172" i="3"/>
  <c r="B9172" i="3"/>
  <c r="D9171" i="3"/>
  <c r="C9171" i="3"/>
  <c r="B9171" i="3"/>
  <c r="D9170" i="3"/>
  <c r="C9170" i="3"/>
  <c r="B9170" i="3"/>
  <c r="D9169" i="3"/>
  <c r="C9169" i="3"/>
  <c r="B9169" i="3"/>
  <c r="D9168" i="3"/>
  <c r="C9168" i="3"/>
  <c r="B9168" i="3"/>
  <c r="D9167" i="3"/>
  <c r="C9167" i="3"/>
  <c r="B9167" i="3"/>
  <c r="D9166" i="3"/>
  <c r="C9166" i="3"/>
  <c r="B9166" i="3"/>
  <c r="D9165" i="3"/>
  <c r="C9165" i="3"/>
  <c r="B9165" i="3"/>
  <c r="D9164" i="3"/>
  <c r="C9164" i="3"/>
  <c r="B9164" i="3"/>
  <c r="D9163" i="3"/>
  <c r="C9163" i="3"/>
  <c r="B9163" i="3"/>
  <c r="D9162" i="3"/>
  <c r="C9162" i="3"/>
  <c r="B9162" i="3"/>
  <c r="D9161" i="3"/>
  <c r="C9161" i="3"/>
  <c r="B9161" i="3"/>
  <c r="D9160" i="3"/>
  <c r="C9160" i="3"/>
  <c r="B9160" i="3"/>
  <c r="D9159" i="3"/>
  <c r="C9159" i="3"/>
  <c r="B9159" i="3"/>
  <c r="D9158" i="3"/>
  <c r="C9158" i="3"/>
  <c r="B9158" i="3"/>
  <c r="D9157" i="3"/>
  <c r="C9157" i="3"/>
  <c r="B9157" i="3"/>
  <c r="D9156" i="3"/>
  <c r="C9156" i="3"/>
  <c r="B9156" i="3"/>
  <c r="D9155" i="3"/>
  <c r="C9155" i="3"/>
  <c r="B9155" i="3"/>
  <c r="D9154" i="3"/>
  <c r="C9154" i="3"/>
  <c r="B9154" i="3"/>
  <c r="D9153" i="3"/>
  <c r="C9153" i="3"/>
  <c r="B9153" i="3"/>
  <c r="D9152" i="3"/>
  <c r="C9152" i="3"/>
  <c r="B9152" i="3"/>
  <c r="D9151" i="3"/>
  <c r="C9151" i="3"/>
  <c r="B9151" i="3"/>
  <c r="D9150" i="3"/>
  <c r="C9150" i="3"/>
  <c r="B9150" i="3"/>
  <c r="D9149" i="3"/>
  <c r="C9149" i="3"/>
  <c r="B9149" i="3"/>
  <c r="D9148" i="3"/>
  <c r="C9148" i="3"/>
  <c r="B9148" i="3"/>
  <c r="D9147" i="3"/>
  <c r="C9147" i="3"/>
  <c r="B9147" i="3"/>
  <c r="D9146" i="3"/>
  <c r="C9146" i="3"/>
  <c r="B9146" i="3"/>
  <c r="D9145" i="3"/>
  <c r="C9145" i="3"/>
  <c r="B9145" i="3"/>
  <c r="D9144" i="3"/>
  <c r="C9144" i="3"/>
  <c r="B9144" i="3"/>
  <c r="D9143" i="3"/>
  <c r="C9143" i="3"/>
  <c r="B9143" i="3"/>
  <c r="D9142" i="3"/>
  <c r="C9142" i="3"/>
  <c r="B9142" i="3"/>
  <c r="D9141" i="3"/>
  <c r="C9141" i="3"/>
  <c r="B9141" i="3"/>
  <c r="D9140" i="3"/>
  <c r="C9140" i="3"/>
  <c r="B9140" i="3"/>
  <c r="D9139" i="3"/>
  <c r="C9139" i="3"/>
  <c r="B9139" i="3"/>
  <c r="D9138" i="3"/>
  <c r="C9138" i="3"/>
  <c r="B9138" i="3"/>
  <c r="D9137" i="3"/>
  <c r="C9137" i="3"/>
  <c r="B9137" i="3"/>
  <c r="D9136" i="3"/>
  <c r="C9136" i="3"/>
  <c r="B9136" i="3"/>
  <c r="D9135" i="3"/>
  <c r="C9135" i="3"/>
  <c r="B9135" i="3"/>
  <c r="D9134" i="3"/>
  <c r="C9134" i="3"/>
  <c r="B9134" i="3"/>
  <c r="D9133" i="3"/>
  <c r="C9133" i="3"/>
  <c r="B9133" i="3"/>
  <c r="D9132" i="3"/>
  <c r="C9132" i="3"/>
  <c r="B9132" i="3"/>
  <c r="D9131" i="3"/>
  <c r="C9131" i="3"/>
  <c r="B9131" i="3"/>
  <c r="D9130" i="3"/>
  <c r="C9130" i="3"/>
  <c r="B9130" i="3"/>
  <c r="D9129" i="3"/>
  <c r="C9129" i="3"/>
  <c r="B9129" i="3"/>
  <c r="D9128" i="3"/>
  <c r="C9128" i="3"/>
  <c r="B9128" i="3"/>
  <c r="D9127" i="3"/>
  <c r="C9127" i="3"/>
  <c r="B9127" i="3"/>
  <c r="D9126" i="3"/>
  <c r="C9126" i="3"/>
  <c r="B9126" i="3"/>
  <c r="D9125" i="3"/>
  <c r="C9125" i="3"/>
  <c r="B9125" i="3"/>
  <c r="D9124" i="3"/>
  <c r="C9124" i="3"/>
  <c r="B9124" i="3"/>
  <c r="D9123" i="3"/>
  <c r="C9123" i="3"/>
  <c r="B9123" i="3"/>
  <c r="D9122" i="3"/>
  <c r="C9122" i="3"/>
  <c r="B9122" i="3"/>
  <c r="D9121" i="3"/>
  <c r="C9121" i="3"/>
  <c r="B9121" i="3"/>
  <c r="D9120" i="3"/>
  <c r="C9120" i="3"/>
  <c r="B9120" i="3"/>
  <c r="D9119" i="3"/>
  <c r="C9119" i="3"/>
  <c r="B9119" i="3"/>
  <c r="D9118" i="3"/>
  <c r="C9118" i="3"/>
  <c r="B9118" i="3"/>
  <c r="D9117" i="3"/>
  <c r="C9117" i="3"/>
  <c r="B9117" i="3"/>
  <c r="D9116" i="3"/>
  <c r="C9116" i="3"/>
  <c r="B9116" i="3"/>
  <c r="D9115" i="3"/>
  <c r="C9115" i="3"/>
  <c r="B9115" i="3"/>
  <c r="D9114" i="3"/>
  <c r="C9114" i="3"/>
  <c r="B9114" i="3"/>
  <c r="D9113" i="3"/>
  <c r="C9113" i="3"/>
  <c r="B9113" i="3"/>
  <c r="D9112" i="3"/>
  <c r="C9112" i="3"/>
  <c r="B9112" i="3"/>
  <c r="D9111" i="3"/>
  <c r="C9111" i="3"/>
  <c r="B9111" i="3"/>
  <c r="D9110" i="3"/>
  <c r="C9110" i="3"/>
  <c r="B9110" i="3"/>
  <c r="D9109" i="3"/>
  <c r="C9109" i="3"/>
  <c r="B9109" i="3"/>
  <c r="D9108" i="3"/>
  <c r="C9108" i="3"/>
  <c r="B9108" i="3"/>
  <c r="D9107" i="3"/>
  <c r="C9107" i="3"/>
  <c r="B9107" i="3"/>
  <c r="D9106" i="3"/>
  <c r="C9106" i="3"/>
  <c r="B9106" i="3"/>
  <c r="D9105" i="3"/>
  <c r="C9105" i="3"/>
  <c r="B9105" i="3"/>
  <c r="D9104" i="3"/>
  <c r="C9104" i="3"/>
  <c r="B9104" i="3"/>
  <c r="D9103" i="3"/>
  <c r="C9103" i="3"/>
  <c r="B9103" i="3"/>
  <c r="D9102" i="3"/>
  <c r="C9102" i="3"/>
  <c r="B9102" i="3"/>
  <c r="D9101" i="3"/>
  <c r="C9101" i="3"/>
  <c r="B9101" i="3"/>
  <c r="D9100" i="3"/>
  <c r="C9100" i="3"/>
  <c r="B9100" i="3"/>
  <c r="D9099" i="3"/>
  <c r="C9099" i="3"/>
  <c r="B9099" i="3"/>
  <c r="D9098" i="3"/>
  <c r="C9098" i="3"/>
  <c r="B9098" i="3"/>
  <c r="D9097" i="3"/>
  <c r="C9097" i="3"/>
  <c r="B9097" i="3"/>
  <c r="D9096" i="3"/>
  <c r="C9096" i="3"/>
  <c r="B9096" i="3"/>
  <c r="D9095" i="3"/>
  <c r="C9095" i="3"/>
  <c r="B9095" i="3"/>
  <c r="D9094" i="3"/>
  <c r="C9094" i="3"/>
  <c r="B9094" i="3"/>
  <c r="D9093" i="3"/>
  <c r="C9093" i="3"/>
  <c r="B9093" i="3"/>
  <c r="D9092" i="3"/>
  <c r="C9092" i="3"/>
  <c r="B9092" i="3"/>
  <c r="D9091" i="3"/>
  <c r="C9091" i="3"/>
  <c r="B9091" i="3"/>
  <c r="D9090" i="3"/>
  <c r="C9090" i="3"/>
  <c r="B9090" i="3"/>
  <c r="D9089" i="3"/>
  <c r="C9089" i="3"/>
  <c r="B9089" i="3"/>
  <c r="D9088" i="3"/>
  <c r="C9088" i="3"/>
  <c r="B9088" i="3"/>
  <c r="D9087" i="3"/>
  <c r="C9087" i="3"/>
  <c r="B9087" i="3"/>
  <c r="D9086" i="3"/>
  <c r="C9086" i="3"/>
  <c r="B9086" i="3"/>
  <c r="D9085" i="3"/>
  <c r="C9085" i="3"/>
  <c r="B9085" i="3"/>
  <c r="D9084" i="3"/>
  <c r="C9084" i="3"/>
  <c r="B9084" i="3"/>
  <c r="D9083" i="3"/>
  <c r="C9083" i="3"/>
  <c r="B9083" i="3"/>
  <c r="D9082" i="3"/>
  <c r="C9082" i="3"/>
  <c r="B9082" i="3"/>
  <c r="D9081" i="3"/>
  <c r="C9081" i="3"/>
  <c r="B9081" i="3"/>
  <c r="D9080" i="3"/>
  <c r="C9080" i="3"/>
  <c r="B9080" i="3"/>
  <c r="D9079" i="3"/>
  <c r="C9079" i="3"/>
  <c r="B9079" i="3"/>
  <c r="D9078" i="3"/>
  <c r="C9078" i="3"/>
  <c r="B9078" i="3"/>
  <c r="D9077" i="3"/>
  <c r="C9077" i="3"/>
  <c r="B9077" i="3"/>
  <c r="D9076" i="3"/>
  <c r="C9076" i="3"/>
  <c r="B9076" i="3"/>
  <c r="D9075" i="3"/>
  <c r="C9075" i="3"/>
  <c r="B9075" i="3"/>
  <c r="D9074" i="3"/>
  <c r="C9074" i="3"/>
  <c r="B9074" i="3"/>
  <c r="D9073" i="3"/>
  <c r="C9073" i="3"/>
  <c r="B9073" i="3"/>
  <c r="D9072" i="3"/>
  <c r="C9072" i="3"/>
  <c r="B9072" i="3"/>
  <c r="D9071" i="3"/>
  <c r="C9071" i="3"/>
  <c r="B9071" i="3"/>
  <c r="D9070" i="3"/>
  <c r="C9070" i="3"/>
  <c r="B9070" i="3"/>
  <c r="D9069" i="3"/>
  <c r="C9069" i="3"/>
  <c r="B9069" i="3"/>
  <c r="D9068" i="3"/>
  <c r="C9068" i="3"/>
  <c r="B9068" i="3"/>
  <c r="D9067" i="3"/>
  <c r="C9067" i="3"/>
  <c r="B9067" i="3"/>
  <c r="D9066" i="3"/>
  <c r="C9066" i="3"/>
  <c r="B9066" i="3"/>
  <c r="D9065" i="3"/>
  <c r="C9065" i="3"/>
  <c r="B9065" i="3"/>
  <c r="D9064" i="3"/>
  <c r="C9064" i="3"/>
  <c r="B9064" i="3"/>
  <c r="D9063" i="3"/>
  <c r="C9063" i="3"/>
  <c r="B9063" i="3"/>
  <c r="D9062" i="3"/>
  <c r="C9062" i="3"/>
  <c r="B9062" i="3"/>
  <c r="D9061" i="3"/>
  <c r="C9061" i="3"/>
  <c r="B9061" i="3"/>
  <c r="D9060" i="3"/>
  <c r="C9060" i="3"/>
  <c r="B9060" i="3"/>
  <c r="D9059" i="3"/>
  <c r="C9059" i="3"/>
  <c r="B9059" i="3"/>
  <c r="D9058" i="3"/>
  <c r="C9058" i="3"/>
  <c r="B9058" i="3"/>
  <c r="D9057" i="3"/>
  <c r="C9057" i="3"/>
  <c r="B9057" i="3"/>
  <c r="D9056" i="3"/>
  <c r="C9056" i="3"/>
  <c r="B9056" i="3"/>
  <c r="D9055" i="3"/>
  <c r="C9055" i="3"/>
  <c r="B9055" i="3"/>
  <c r="D9054" i="3"/>
  <c r="C9054" i="3"/>
  <c r="B9054" i="3"/>
  <c r="D9053" i="3"/>
  <c r="C9053" i="3"/>
  <c r="B9053" i="3"/>
  <c r="D9052" i="3"/>
  <c r="C9052" i="3"/>
  <c r="B9052" i="3"/>
  <c r="D9051" i="3"/>
  <c r="C9051" i="3"/>
  <c r="B9051" i="3"/>
  <c r="D9050" i="3"/>
  <c r="C9050" i="3"/>
  <c r="B9050" i="3"/>
  <c r="D9049" i="3"/>
  <c r="C9049" i="3"/>
  <c r="B9049" i="3"/>
  <c r="D9048" i="3"/>
  <c r="C9048" i="3"/>
  <c r="B9048" i="3"/>
  <c r="D9047" i="3"/>
  <c r="C9047" i="3"/>
  <c r="B9047" i="3"/>
  <c r="D9046" i="3"/>
  <c r="C9046" i="3"/>
  <c r="B9046" i="3"/>
  <c r="D9045" i="3"/>
  <c r="C9045" i="3"/>
  <c r="B9045" i="3"/>
  <c r="D9044" i="3"/>
  <c r="C9044" i="3"/>
  <c r="B9044" i="3"/>
  <c r="D9043" i="3"/>
  <c r="C9043" i="3"/>
  <c r="B9043" i="3"/>
  <c r="D9042" i="3"/>
  <c r="C9042" i="3"/>
  <c r="B9042" i="3"/>
  <c r="D9041" i="3"/>
  <c r="C9041" i="3"/>
  <c r="B9041" i="3"/>
  <c r="D9040" i="3"/>
  <c r="C9040" i="3"/>
  <c r="B9040" i="3"/>
  <c r="D9039" i="3"/>
  <c r="C9039" i="3"/>
  <c r="B9039" i="3"/>
  <c r="D9038" i="3"/>
  <c r="C9038" i="3"/>
  <c r="B9038" i="3"/>
  <c r="D9037" i="3"/>
  <c r="C9037" i="3"/>
  <c r="B9037" i="3"/>
  <c r="D9036" i="3"/>
  <c r="C9036" i="3"/>
  <c r="B9036" i="3"/>
  <c r="D9035" i="3"/>
  <c r="C9035" i="3"/>
  <c r="B9035" i="3"/>
  <c r="D9034" i="3"/>
  <c r="C9034" i="3"/>
  <c r="B9034" i="3"/>
  <c r="D9033" i="3"/>
  <c r="C9033" i="3"/>
  <c r="B9033" i="3"/>
  <c r="D9032" i="3"/>
  <c r="C9032" i="3"/>
  <c r="B9032" i="3"/>
  <c r="D9031" i="3"/>
  <c r="C9031" i="3"/>
  <c r="B9031" i="3"/>
  <c r="D9030" i="3"/>
  <c r="C9030" i="3"/>
  <c r="B9030" i="3"/>
  <c r="D9029" i="3"/>
  <c r="C9029" i="3"/>
  <c r="B9029" i="3"/>
  <c r="D9028" i="3"/>
  <c r="C9028" i="3"/>
  <c r="B9028" i="3"/>
  <c r="D9027" i="3"/>
  <c r="C9027" i="3"/>
  <c r="B9027" i="3"/>
  <c r="D9026" i="3"/>
  <c r="C9026" i="3"/>
  <c r="B9026" i="3"/>
  <c r="D9025" i="3"/>
  <c r="C9025" i="3"/>
  <c r="B9025" i="3"/>
  <c r="D9024" i="3"/>
  <c r="C9024" i="3"/>
  <c r="B9024" i="3"/>
  <c r="D9023" i="3"/>
  <c r="C9023" i="3"/>
  <c r="B9023" i="3"/>
  <c r="D9022" i="3"/>
  <c r="C9022" i="3"/>
  <c r="B9022" i="3"/>
  <c r="D9021" i="3"/>
  <c r="C9021" i="3"/>
  <c r="B9021" i="3"/>
  <c r="D9020" i="3"/>
  <c r="C9020" i="3"/>
  <c r="B9020" i="3"/>
  <c r="D9019" i="3"/>
  <c r="C9019" i="3"/>
  <c r="B9019" i="3"/>
  <c r="D9018" i="3"/>
  <c r="C9018" i="3"/>
  <c r="B9018" i="3"/>
  <c r="D9017" i="3"/>
  <c r="C9017" i="3"/>
  <c r="B9017" i="3"/>
  <c r="D9016" i="3"/>
  <c r="C9016" i="3"/>
  <c r="B9016" i="3"/>
  <c r="D9015" i="3"/>
  <c r="C9015" i="3"/>
  <c r="B9015" i="3"/>
  <c r="D9014" i="3"/>
  <c r="C9014" i="3"/>
  <c r="B9014" i="3"/>
  <c r="D9013" i="3"/>
  <c r="C9013" i="3"/>
  <c r="B9013" i="3"/>
  <c r="D9012" i="3"/>
  <c r="C9012" i="3"/>
  <c r="B9012" i="3"/>
  <c r="D9011" i="3"/>
  <c r="C9011" i="3"/>
  <c r="B9011" i="3"/>
  <c r="D9010" i="3"/>
  <c r="C9010" i="3"/>
  <c r="B9010" i="3"/>
  <c r="D9009" i="3"/>
  <c r="C9009" i="3"/>
  <c r="B9009" i="3"/>
  <c r="D9008" i="3"/>
  <c r="C9008" i="3"/>
  <c r="B9008" i="3"/>
  <c r="D9007" i="3"/>
  <c r="C9007" i="3"/>
  <c r="B9007" i="3"/>
  <c r="D9006" i="3"/>
  <c r="C9006" i="3"/>
  <c r="B9006" i="3"/>
  <c r="D9005" i="3"/>
  <c r="C9005" i="3"/>
  <c r="B9005" i="3"/>
  <c r="D9004" i="3"/>
  <c r="C9004" i="3"/>
  <c r="B9004" i="3"/>
  <c r="D9003" i="3"/>
  <c r="C9003" i="3"/>
  <c r="B9003" i="3"/>
  <c r="D9002" i="3"/>
  <c r="C9002" i="3"/>
  <c r="B9002" i="3"/>
  <c r="D9001" i="3"/>
  <c r="C9001" i="3"/>
  <c r="B9001" i="3"/>
  <c r="D9000" i="3"/>
  <c r="C9000" i="3"/>
  <c r="B9000" i="3"/>
  <c r="D8999" i="3"/>
  <c r="C8999" i="3"/>
  <c r="B8999" i="3"/>
  <c r="D8998" i="3"/>
  <c r="C8998" i="3"/>
  <c r="B8998" i="3"/>
  <c r="D8997" i="3"/>
  <c r="C8997" i="3"/>
  <c r="B8997" i="3"/>
  <c r="D8996" i="3"/>
  <c r="C8996" i="3"/>
  <c r="B8996" i="3"/>
  <c r="D8995" i="3"/>
  <c r="C8995" i="3"/>
  <c r="B8995" i="3"/>
  <c r="D8994" i="3"/>
  <c r="C8994" i="3"/>
  <c r="B8994" i="3"/>
  <c r="D8993" i="3"/>
  <c r="C8993" i="3"/>
  <c r="B8993" i="3"/>
  <c r="D8992" i="3"/>
  <c r="C8992" i="3"/>
  <c r="B8992" i="3"/>
  <c r="D8991" i="3"/>
  <c r="C8991" i="3"/>
  <c r="B8991" i="3"/>
  <c r="D8990" i="3"/>
  <c r="C8990" i="3"/>
  <c r="B8990" i="3"/>
  <c r="D8989" i="3"/>
  <c r="C8989" i="3"/>
  <c r="B8989" i="3"/>
  <c r="D8988" i="3"/>
  <c r="C8988" i="3"/>
  <c r="B8988" i="3"/>
  <c r="D8987" i="3"/>
  <c r="C8987" i="3"/>
  <c r="B8987" i="3"/>
  <c r="D8986" i="3"/>
  <c r="C8986" i="3"/>
  <c r="B8986" i="3"/>
  <c r="D8985" i="3"/>
  <c r="C8985" i="3"/>
  <c r="B8985" i="3"/>
  <c r="D8984" i="3"/>
  <c r="C8984" i="3"/>
  <c r="B8984" i="3"/>
  <c r="D8983" i="3"/>
  <c r="C8983" i="3"/>
  <c r="B8983" i="3"/>
  <c r="D8982" i="3"/>
  <c r="C8982" i="3"/>
  <c r="B8982" i="3"/>
  <c r="D8981" i="3"/>
  <c r="C8981" i="3"/>
  <c r="B8981" i="3"/>
  <c r="D8980" i="3"/>
  <c r="C8980" i="3"/>
  <c r="B8980" i="3"/>
  <c r="D8979" i="3"/>
  <c r="C8979" i="3"/>
  <c r="B8979" i="3"/>
  <c r="D8978" i="3"/>
  <c r="C8978" i="3"/>
  <c r="B8978" i="3"/>
  <c r="D8977" i="3"/>
  <c r="C8977" i="3"/>
  <c r="B8977" i="3"/>
  <c r="D8976" i="3"/>
  <c r="C8976" i="3"/>
  <c r="B8976" i="3"/>
  <c r="D8975" i="3"/>
  <c r="C8975" i="3"/>
  <c r="B8975" i="3"/>
  <c r="D8974" i="3"/>
  <c r="C8974" i="3"/>
  <c r="B8974" i="3"/>
  <c r="D8973" i="3"/>
  <c r="C8973" i="3"/>
  <c r="B8973" i="3"/>
  <c r="D8972" i="3"/>
  <c r="C8972" i="3"/>
  <c r="B8972" i="3"/>
  <c r="D8971" i="3"/>
  <c r="C8971" i="3"/>
  <c r="B8971" i="3"/>
  <c r="D8970" i="3"/>
  <c r="C8970" i="3"/>
  <c r="B8970" i="3"/>
  <c r="D8969" i="3"/>
  <c r="C8969" i="3"/>
  <c r="B8969" i="3"/>
  <c r="D8968" i="3"/>
  <c r="C8968" i="3"/>
  <c r="B8968" i="3"/>
  <c r="D8967" i="3"/>
  <c r="C8967" i="3"/>
  <c r="B8967" i="3"/>
  <c r="D8966" i="3"/>
  <c r="C8966" i="3"/>
  <c r="B8966" i="3"/>
  <c r="D8965" i="3"/>
  <c r="C8965" i="3"/>
  <c r="B8965" i="3"/>
  <c r="D8964" i="3"/>
  <c r="C8964" i="3"/>
  <c r="B8964" i="3"/>
  <c r="D8963" i="3"/>
  <c r="C8963" i="3"/>
  <c r="B8963" i="3"/>
  <c r="D8962" i="3"/>
  <c r="C8962" i="3"/>
  <c r="B8962" i="3"/>
  <c r="D8961" i="3"/>
  <c r="C8961" i="3"/>
  <c r="B8961" i="3"/>
  <c r="D8960" i="3"/>
  <c r="C8960" i="3"/>
  <c r="B8960" i="3"/>
  <c r="D8959" i="3"/>
  <c r="C8959" i="3"/>
  <c r="B8959" i="3"/>
  <c r="D8958" i="3"/>
  <c r="C8958" i="3"/>
  <c r="B8958" i="3"/>
  <c r="D8957" i="3"/>
  <c r="C8957" i="3"/>
  <c r="B8957" i="3"/>
  <c r="D8956" i="3"/>
  <c r="C8956" i="3"/>
  <c r="B8956" i="3"/>
  <c r="D8955" i="3"/>
  <c r="C8955" i="3"/>
  <c r="B8955" i="3"/>
  <c r="D8954" i="3"/>
  <c r="C8954" i="3"/>
  <c r="B8954" i="3"/>
  <c r="D8953" i="3"/>
  <c r="C8953" i="3"/>
  <c r="B8953" i="3"/>
  <c r="D8952" i="3"/>
  <c r="C8952" i="3"/>
  <c r="B8952" i="3"/>
  <c r="D8951" i="3"/>
  <c r="C8951" i="3"/>
  <c r="B8951" i="3"/>
  <c r="D8950" i="3"/>
  <c r="C8950" i="3"/>
  <c r="B8950" i="3"/>
  <c r="D8949" i="3"/>
  <c r="C8949" i="3"/>
  <c r="B8949" i="3"/>
  <c r="D8948" i="3"/>
  <c r="C8948" i="3"/>
  <c r="B8948" i="3"/>
  <c r="D8947" i="3"/>
  <c r="C8947" i="3"/>
  <c r="B8947" i="3"/>
  <c r="D8946" i="3"/>
  <c r="C8946" i="3"/>
  <c r="B8946" i="3"/>
  <c r="D8945" i="3"/>
  <c r="C8945" i="3"/>
  <c r="B8945" i="3"/>
  <c r="D8944" i="3"/>
  <c r="C8944" i="3"/>
  <c r="B8944" i="3"/>
  <c r="D8943" i="3"/>
  <c r="C8943" i="3"/>
  <c r="B8943" i="3"/>
  <c r="D8942" i="3"/>
  <c r="C8942" i="3"/>
  <c r="B8942" i="3"/>
  <c r="D8941" i="3"/>
  <c r="C8941" i="3"/>
  <c r="B8941" i="3"/>
  <c r="D8940" i="3"/>
  <c r="C8940" i="3"/>
  <c r="B8940" i="3"/>
  <c r="D8939" i="3"/>
  <c r="C8939" i="3"/>
  <c r="B8939" i="3"/>
  <c r="D8938" i="3"/>
  <c r="C8938" i="3"/>
  <c r="B8938" i="3"/>
  <c r="D8937" i="3"/>
  <c r="C8937" i="3"/>
  <c r="B8937" i="3"/>
  <c r="D8936" i="3"/>
  <c r="C8936" i="3"/>
  <c r="B8936" i="3"/>
  <c r="D8935" i="3"/>
  <c r="C8935" i="3"/>
  <c r="B8935" i="3"/>
  <c r="D8934" i="3"/>
  <c r="C8934" i="3"/>
  <c r="B8934" i="3"/>
  <c r="D8933" i="3"/>
  <c r="C8933" i="3"/>
  <c r="B8933" i="3"/>
  <c r="D8932" i="3"/>
  <c r="C8932" i="3"/>
  <c r="B8932" i="3"/>
  <c r="D8931" i="3"/>
  <c r="C8931" i="3"/>
  <c r="B8931" i="3"/>
  <c r="D8930" i="3"/>
  <c r="C8930" i="3"/>
  <c r="B8930" i="3"/>
  <c r="D8929" i="3"/>
  <c r="C8929" i="3"/>
  <c r="B8929" i="3"/>
  <c r="D8928" i="3"/>
  <c r="C8928" i="3"/>
  <c r="B8928" i="3"/>
  <c r="D8927" i="3"/>
  <c r="C8927" i="3"/>
  <c r="B8927" i="3"/>
  <c r="D8926" i="3"/>
  <c r="C8926" i="3"/>
  <c r="B8926" i="3"/>
  <c r="D8925" i="3"/>
  <c r="C8925" i="3"/>
  <c r="B8925" i="3"/>
  <c r="D8924" i="3"/>
  <c r="C8924" i="3"/>
  <c r="B8924" i="3"/>
  <c r="D8923" i="3"/>
  <c r="C8923" i="3"/>
  <c r="B8923" i="3"/>
  <c r="D8922" i="3"/>
  <c r="C8922" i="3"/>
  <c r="B8922" i="3"/>
  <c r="D8921" i="3"/>
  <c r="C8921" i="3"/>
  <c r="B8921" i="3"/>
  <c r="D8920" i="3"/>
  <c r="C8920" i="3"/>
  <c r="B8920" i="3"/>
  <c r="D8919" i="3"/>
  <c r="C8919" i="3"/>
  <c r="B8919" i="3"/>
  <c r="D8918" i="3"/>
  <c r="C8918" i="3"/>
  <c r="B8918" i="3"/>
  <c r="D8917" i="3"/>
  <c r="C8917" i="3"/>
  <c r="B8917" i="3"/>
  <c r="D8916" i="3"/>
  <c r="C8916" i="3"/>
  <c r="B8916" i="3"/>
  <c r="D8915" i="3"/>
  <c r="C8915" i="3"/>
  <c r="B8915" i="3"/>
  <c r="D8914" i="3"/>
  <c r="C8914" i="3"/>
  <c r="B8914" i="3"/>
  <c r="D8913" i="3"/>
  <c r="C8913" i="3"/>
  <c r="B8913" i="3"/>
  <c r="D8912" i="3"/>
  <c r="C8912" i="3"/>
  <c r="B8912" i="3"/>
  <c r="D8911" i="3"/>
  <c r="C8911" i="3"/>
  <c r="B8911" i="3"/>
  <c r="D8910" i="3"/>
  <c r="C8910" i="3"/>
  <c r="B8910" i="3"/>
  <c r="D8909" i="3"/>
  <c r="C8909" i="3"/>
  <c r="B8909" i="3"/>
  <c r="D8908" i="3"/>
  <c r="C8908" i="3"/>
  <c r="B8908" i="3"/>
  <c r="D8907" i="3"/>
  <c r="C8907" i="3"/>
  <c r="B8907" i="3"/>
  <c r="D8906" i="3"/>
  <c r="C8906" i="3"/>
  <c r="B8906" i="3"/>
  <c r="D8905" i="3"/>
  <c r="C8905" i="3"/>
  <c r="B8905" i="3"/>
  <c r="D8904" i="3"/>
  <c r="C8904" i="3"/>
  <c r="B8904" i="3"/>
  <c r="D8903" i="3"/>
  <c r="C8903" i="3"/>
  <c r="B8903" i="3"/>
  <c r="D8902" i="3"/>
  <c r="C8902" i="3"/>
  <c r="B8902" i="3"/>
  <c r="D8901" i="3"/>
  <c r="C8901" i="3"/>
  <c r="B8901" i="3"/>
  <c r="D8900" i="3"/>
  <c r="C8900" i="3"/>
  <c r="B8900" i="3"/>
  <c r="D8899" i="3"/>
  <c r="C8899" i="3"/>
  <c r="B8899" i="3"/>
  <c r="D8898" i="3"/>
  <c r="C8898" i="3"/>
  <c r="B8898" i="3"/>
  <c r="D8897" i="3"/>
  <c r="C8897" i="3"/>
  <c r="B8897" i="3"/>
  <c r="D8896" i="3"/>
  <c r="C8896" i="3"/>
  <c r="B8896" i="3"/>
  <c r="D8895" i="3"/>
  <c r="C8895" i="3"/>
  <c r="B8895" i="3"/>
  <c r="D8894" i="3"/>
  <c r="C8894" i="3"/>
  <c r="B8894" i="3"/>
  <c r="D8893" i="3"/>
  <c r="C8893" i="3"/>
  <c r="B8893" i="3"/>
  <c r="D8892" i="3"/>
  <c r="C8892" i="3"/>
  <c r="B8892" i="3"/>
  <c r="D8891" i="3"/>
  <c r="C8891" i="3"/>
  <c r="B8891" i="3"/>
  <c r="D8890" i="3"/>
  <c r="C8890" i="3"/>
  <c r="B8890" i="3"/>
  <c r="D8889" i="3"/>
  <c r="C8889" i="3"/>
  <c r="B8889" i="3"/>
  <c r="D8888" i="3"/>
  <c r="C8888" i="3"/>
  <c r="B8888" i="3"/>
  <c r="D8887" i="3"/>
  <c r="C8887" i="3"/>
  <c r="B8887" i="3"/>
  <c r="D8886" i="3"/>
  <c r="C8886" i="3"/>
  <c r="B8886" i="3"/>
  <c r="D8885" i="3"/>
  <c r="C8885" i="3"/>
  <c r="B8885" i="3"/>
  <c r="D8884" i="3"/>
  <c r="C8884" i="3"/>
  <c r="B8884" i="3"/>
  <c r="D8883" i="3"/>
  <c r="C8883" i="3"/>
  <c r="B8883" i="3"/>
  <c r="D8882" i="3"/>
  <c r="C8882" i="3"/>
  <c r="B8882" i="3"/>
  <c r="D8881" i="3"/>
  <c r="C8881" i="3"/>
  <c r="B8881" i="3"/>
  <c r="D8880" i="3"/>
  <c r="C8880" i="3"/>
  <c r="B8880" i="3"/>
  <c r="D8879" i="3"/>
  <c r="C8879" i="3"/>
  <c r="B8879" i="3"/>
  <c r="D8878" i="3"/>
  <c r="C8878" i="3"/>
  <c r="B8878" i="3"/>
  <c r="D8877" i="3"/>
  <c r="C8877" i="3"/>
  <c r="B8877" i="3"/>
  <c r="D8876" i="3"/>
  <c r="C8876" i="3"/>
  <c r="B8876" i="3"/>
  <c r="D8875" i="3"/>
  <c r="C8875" i="3"/>
  <c r="B8875" i="3"/>
  <c r="D8874" i="3"/>
  <c r="C8874" i="3"/>
  <c r="B8874" i="3"/>
  <c r="D8873" i="3"/>
  <c r="C8873" i="3"/>
  <c r="B8873" i="3"/>
  <c r="D8872" i="3"/>
  <c r="C8872" i="3"/>
  <c r="B8872" i="3"/>
  <c r="D8871" i="3"/>
  <c r="C8871" i="3"/>
  <c r="B8871" i="3"/>
  <c r="D8870" i="3"/>
  <c r="C8870" i="3"/>
  <c r="B8870" i="3"/>
  <c r="D8869" i="3"/>
  <c r="C8869" i="3"/>
  <c r="B8869" i="3"/>
  <c r="D8868" i="3"/>
  <c r="C8868" i="3"/>
  <c r="B8868" i="3"/>
  <c r="D8867" i="3"/>
  <c r="C8867" i="3"/>
  <c r="B8867" i="3"/>
  <c r="D8866" i="3"/>
  <c r="C8866" i="3"/>
  <c r="B8866" i="3"/>
  <c r="D8865" i="3"/>
  <c r="C8865" i="3"/>
  <c r="B8865" i="3"/>
  <c r="D8864" i="3"/>
  <c r="C8864" i="3"/>
  <c r="B8864" i="3"/>
  <c r="D8863" i="3"/>
  <c r="C8863" i="3"/>
  <c r="B8863" i="3"/>
  <c r="D8862" i="3"/>
  <c r="C8862" i="3"/>
  <c r="B8862" i="3"/>
  <c r="D8861" i="3"/>
  <c r="C8861" i="3"/>
  <c r="B8861" i="3"/>
  <c r="D8860" i="3"/>
  <c r="C8860" i="3"/>
  <c r="B8860" i="3"/>
  <c r="D8859" i="3"/>
  <c r="C8859" i="3"/>
  <c r="B8859" i="3"/>
  <c r="D8858" i="3"/>
  <c r="C8858" i="3"/>
  <c r="B8858" i="3"/>
  <c r="D8857" i="3"/>
  <c r="C8857" i="3"/>
  <c r="B8857" i="3"/>
  <c r="D8856" i="3"/>
  <c r="C8856" i="3"/>
  <c r="B8856" i="3"/>
  <c r="D8855" i="3"/>
  <c r="C8855" i="3"/>
  <c r="B8855" i="3"/>
  <c r="D8854" i="3"/>
  <c r="C8854" i="3"/>
  <c r="B8854" i="3"/>
  <c r="D8853" i="3"/>
  <c r="C8853" i="3"/>
  <c r="B8853" i="3"/>
  <c r="D8852" i="3"/>
  <c r="C8852" i="3"/>
  <c r="B8852" i="3"/>
  <c r="D8851" i="3"/>
  <c r="C8851" i="3"/>
  <c r="B8851" i="3"/>
  <c r="D8850" i="3"/>
  <c r="C8850" i="3"/>
  <c r="B8850" i="3"/>
  <c r="D8849" i="3"/>
  <c r="C8849" i="3"/>
  <c r="B8849" i="3"/>
  <c r="D8848" i="3"/>
  <c r="C8848" i="3"/>
  <c r="B8848" i="3"/>
  <c r="D8847" i="3"/>
  <c r="C8847" i="3"/>
  <c r="B8847" i="3"/>
  <c r="D8846" i="3"/>
  <c r="C8846" i="3"/>
  <c r="B8846" i="3"/>
  <c r="D8845" i="3"/>
  <c r="C8845" i="3"/>
  <c r="B8845" i="3"/>
  <c r="D8844" i="3"/>
  <c r="C8844" i="3"/>
  <c r="B8844" i="3"/>
  <c r="D8843" i="3"/>
  <c r="C8843" i="3"/>
  <c r="B8843" i="3"/>
  <c r="D8842" i="3"/>
  <c r="C8842" i="3"/>
  <c r="B8842" i="3"/>
  <c r="D8841" i="3"/>
  <c r="C8841" i="3"/>
  <c r="B8841" i="3"/>
  <c r="D8840" i="3"/>
  <c r="C8840" i="3"/>
  <c r="B8840" i="3"/>
  <c r="D8839" i="3"/>
  <c r="C8839" i="3"/>
  <c r="B8839" i="3"/>
  <c r="D8838" i="3"/>
  <c r="C8838" i="3"/>
  <c r="B8838" i="3"/>
  <c r="D8837" i="3"/>
  <c r="C8837" i="3"/>
  <c r="B8837" i="3"/>
  <c r="D8836" i="3"/>
  <c r="C8836" i="3"/>
  <c r="B8836" i="3"/>
  <c r="D8835" i="3"/>
  <c r="C8835" i="3"/>
  <c r="B8835" i="3"/>
  <c r="D8834" i="3"/>
  <c r="C8834" i="3"/>
  <c r="B8834" i="3"/>
  <c r="D8833" i="3"/>
  <c r="C8833" i="3"/>
  <c r="B8833" i="3"/>
  <c r="D8832" i="3"/>
  <c r="C8832" i="3"/>
  <c r="B8832" i="3"/>
  <c r="D8831" i="3"/>
  <c r="C8831" i="3"/>
  <c r="B8831" i="3"/>
  <c r="D8830" i="3"/>
  <c r="C8830" i="3"/>
  <c r="B8830" i="3"/>
  <c r="D8829" i="3"/>
  <c r="C8829" i="3"/>
  <c r="B8829" i="3"/>
  <c r="D8828" i="3"/>
  <c r="C8828" i="3"/>
  <c r="B8828" i="3"/>
  <c r="D8827" i="3"/>
  <c r="C8827" i="3"/>
  <c r="B8827" i="3"/>
  <c r="D8826" i="3"/>
  <c r="C8826" i="3"/>
  <c r="B8826" i="3"/>
  <c r="D8825" i="3"/>
  <c r="C8825" i="3"/>
  <c r="B8825" i="3"/>
  <c r="D8824" i="3"/>
  <c r="C8824" i="3"/>
  <c r="B8824" i="3"/>
  <c r="D8823" i="3"/>
  <c r="C8823" i="3"/>
  <c r="B8823" i="3"/>
  <c r="D8822" i="3"/>
  <c r="C8822" i="3"/>
  <c r="B8822" i="3"/>
  <c r="D8821" i="3"/>
  <c r="C8821" i="3"/>
  <c r="B8821" i="3"/>
  <c r="D8820" i="3"/>
  <c r="C8820" i="3"/>
  <c r="B8820" i="3"/>
  <c r="D8819" i="3"/>
  <c r="C8819" i="3"/>
  <c r="B8819" i="3"/>
  <c r="D8818" i="3"/>
  <c r="C8818" i="3"/>
  <c r="B8818" i="3"/>
  <c r="D8817" i="3"/>
  <c r="C8817" i="3"/>
  <c r="B8817" i="3"/>
  <c r="D8816" i="3"/>
  <c r="C8816" i="3"/>
  <c r="B8816" i="3"/>
  <c r="D8815" i="3"/>
  <c r="C8815" i="3"/>
  <c r="B8815" i="3"/>
  <c r="D8814" i="3"/>
  <c r="C8814" i="3"/>
  <c r="B8814" i="3"/>
  <c r="D8813" i="3"/>
  <c r="C8813" i="3"/>
  <c r="B8813" i="3"/>
  <c r="D8812" i="3"/>
  <c r="C8812" i="3"/>
  <c r="B8812" i="3"/>
  <c r="D8811" i="3"/>
  <c r="C8811" i="3"/>
  <c r="B8811" i="3"/>
  <c r="D8810" i="3"/>
  <c r="C8810" i="3"/>
  <c r="B8810" i="3"/>
  <c r="D8809" i="3"/>
  <c r="C8809" i="3"/>
  <c r="B8809" i="3"/>
  <c r="D8808" i="3"/>
  <c r="C8808" i="3"/>
  <c r="B8808" i="3"/>
  <c r="D8807" i="3"/>
  <c r="C8807" i="3"/>
  <c r="B8807" i="3"/>
  <c r="D8806" i="3"/>
  <c r="C8806" i="3"/>
  <c r="B8806" i="3"/>
  <c r="D8805" i="3"/>
  <c r="C8805" i="3"/>
  <c r="B8805" i="3"/>
  <c r="D8804" i="3"/>
  <c r="C8804" i="3"/>
  <c r="B8804" i="3"/>
  <c r="D8803" i="3"/>
  <c r="C8803" i="3"/>
  <c r="B8803" i="3"/>
  <c r="D8802" i="3"/>
  <c r="C8802" i="3"/>
  <c r="B8802" i="3"/>
  <c r="D8801" i="3"/>
  <c r="C8801" i="3"/>
  <c r="B8801" i="3"/>
  <c r="D8800" i="3"/>
  <c r="C8800" i="3"/>
  <c r="B8800" i="3"/>
  <c r="D8799" i="3"/>
  <c r="C8799" i="3"/>
  <c r="B8799" i="3"/>
  <c r="D8798" i="3"/>
  <c r="C8798" i="3"/>
  <c r="B8798" i="3"/>
  <c r="D8797" i="3"/>
  <c r="C8797" i="3"/>
  <c r="B8797" i="3"/>
  <c r="D8796" i="3"/>
  <c r="C8796" i="3"/>
  <c r="B8796" i="3"/>
  <c r="D8795" i="3"/>
  <c r="C8795" i="3"/>
  <c r="B8795" i="3"/>
  <c r="D8794" i="3"/>
  <c r="C8794" i="3"/>
  <c r="B8794" i="3"/>
  <c r="D8793" i="3"/>
  <c r="C8793" i="3"/>
  <c r="B8793" i="3"/>
  <c r="D8792" i="3"/>
  <c r="C8792" i="3"/>
  <c r="B8792" i="3"/>
  <c r="D8791" i="3"/>
  <c r="C8791" i="3"/>
  <c r="B8791" i="3"/>
  <c r="D8790" i="3"/>
  <c r="C8790" i="3"/>
  <c r="B8790" i="3"/>
  <c r="D8789" i="3"/>
  <c r="C8789" i="3"/>
  <c r="B8789" i="3"/>
  <c r="D8788" i="3"/>
  <c r="C8788" i="3"/>
  <c r="B8788" i="3"/>
  <c r="D8787" i="3"/>
  <c r="C8787" i="3"/>
  <c r="B8787" i="3"/>
  <c r="D8786" i="3"/>
  <c r="C8786" i="3"/>
  <c r="B8786" i="3"/>
  <c r="D8785" i="3"/>
  <c r="C8785" i="3"/>
  <c r="B8785" i="3"/>
  <c r="D8784" i="3"/>
  <c r="C8784" i="3"/>
  <c r="B8784" i="3"/>
  <c r="D8783" i="3"/>
  <c r="C8783" i="3"/>
  <c r="B8783" i="3"/>
  <c r="D8782" i="3"/>
  <c r="C8782" i="3"/>
  <c r="B8782" i="3"/>
  <c r="D8781" i="3"/>
  <c r="C8781" i="3"/>
  <c r="B8781" i="3"/>
  <c r="D8780" i="3"/>
  <c r="C8780" i="3"/>
  <c r="B8780" i="3"/>
  <c r="D8779" i="3"/>
  <c r="C8779" i="3"/>
  <c r="B8779" i="3"/>
  <c r="D8778" i="3"/>
  <c r="C8778" i="3"/>
  <c r="B8778" i="3"/>
  <c r="D8777" i="3"/>
  <c r="C8777" i="3"/>
  <c r="B8777" i="3"/>
  <c r="D8776" i="3"/>
  <c r="C8776" i="3"/>
  <c r="B8776" i="3"/>
  <c r="D8775" i="3"/>
  <c r="C8775" i="3"/>
  <c r="B8775" i="3"/>
  <c r="D8774" i="3"/>
  <c r="C8774" i="3"/>
  <c r="B8774" i="3"/>
  <c r="D8773" i="3"/>
  <c r="C8773" i="3"/>
  <c r="B8773" i="3"/>
  <c r="D8772" i="3"/>
  <c r="C8772" i="3"/>
  <c r="B8772" i="3"/>
  <c r="D8771" i="3"/>
  <c r="C8771" i="3"/>
  <c r="B8771" i="3"/>
  <c r="D8770" i="3"/>
  <c r="C8770" i="3"/>
  <c r="B8770" i="3"/>
  <c r="D8769" i="3"/>
  <c r="C8769" i="3"/>
  <c r="B8769" i="3"/>
  <c r="D8768" i="3"/>
  <c r="C8768" i="3"/>
  <c r="B8768" i="3"/>
  <c r="D8767" i="3"/>
  <c r="C8767" i="3"/>
  <c r="B8767" i="3"/>
  <c r="D8766" i="3"/>
  <c r="C8766" i="3"/>
  <c r="B8766" i="3"/>
  <c r="D8765" i="3"/>
  <c r="C8765" i="3"/>
  <c r="B8765" i="3"/>
  <c r="D8764" i="3"/>
  <c r="C8764" i="3"/>
  <c r="B8764" i="3"/>
  <c r="D8763" i="3"/>
  <c r="C8763" i="3"/>
  <c r="B8763" i="3"/>
  <c r="D8762" i="3"/>
  <c r="C8762" i="3"/>
  <c r="B8762" i="3"/>
  <c r="D8761" i="3"/>
  <c r="C8761" i="3"/>
  <c r="B8761" i="3"/>
  <c r="D8760" i="3"/>
  <c r="C8760" i="3"/>
  <c r="B8760" i="3"/>
  <c r="D8759" i="3"/>
  <c r="C8759" i="3"/>
  <c r="B8759" i="3"/>
  <c r="D8758" i="3"/>
  <c r="C8758" i="3"/>
  <c r="B8758" i="3"/>
  <c r="D8757" i="3"/>
  <c r="C8757" i="3"/>
  <c r="B8757" i="3"/>
  <c r="D8756" i="3"/>
  <c r="C8756" i="3"/>
  <c r="B8756" i="3"/>
  <c r="D8755" i="3"/>
  <c r="C8755" i="3"/>
  <c r="B8755" i="3"/>
  <c r="D8754" i="3"/>
  <c r="C8754" i="3"/>
  <c r="B8754" i="3"/>
  <c r="D8753" i="3"/>
  <c r="C8753" i="3"/>
  <c r="B8753" i="3"/>
  <c r="D8752" i="3"/>
  <c r="C8752" i="3"/>
  <c r="B8752" i="3"/>
  <c r="D8751" i="3"/>
  <c r="C8751" i="3"/>
  <c r="B8751" i="3"/>
  <c r="D8750" i="3"/>
  <c r="C8750" i="3"/>
  <c r="B8750" i="3"/>
  <c r="D8749" i="3"/>
  <c r="C8749" i="3"/>
  <c r="B8749" i="3"/>
  <c r="D8748" i="3"/>
  <c r="C8748" i="3"/>
  <c r="B8748" i="3"/>
  <c r="D8747" i="3"/>
  <c r="C8747" i="3"/>
  <c r="B8747" i="3"/>
  <c r="D8746" i="3"/>
  <c r="C8746" i="3"/>
  <c r="B8746" i="3"/>
  <c r="D8745" i="3"/>
  <c r="C8745" i="3"/>
  <c r="B8745" i="3"/>
  <c r="D8744" i="3"/>
  <c r="C8744" i="3"/>
  <c r="B8744" i="3"/>
  <c r="D8743" i="3"/>
  <c r="C8743" i="3"/>
  <c r="B8743" i="3"/>
  <c r="D8742" i="3"/>
  <c r="C8742" i="3"/>
  <c r="B8742" i="3"/>
  <c r="D8741" i="3"/>
  <c r="C8741" i="3"/>
  <c r="B8741" i="3"/>
  <c r="D8740" i="3"/>
  <c r="C8740" i="3"/>
  <c r="B8740" i="3"/>
  <c r="D8739" i="3"/>
  <c r="C8739" i="3"/>
  <c r="B8739" i="3"/>
  <c r="D8738" i="3"/>
  <c r="C8738" i="3"/>
  <c r="B8738" i="3"/>
  <c r="D8737" i="3"/>
  <c r="C8737" i="3"/>
  <c r="B8737" i="3"/>
  <c r="D8736" i="3"/>
  <c r="C8736" i="3"/>
  <c r="B8736" i="3"/>
  <c r="D8735" i="3"/>
  <c r="C8735" i="3"/>
  <c r="B8735" i="3"/>
  <c r="D8734" i="3"/>
  <c r="C8734" i="3"/>
  <c r="B8734" i="3"/>
  <c r="D8733" i="3"/>
  <c r="C8733" i="3"/>
  <c r="B8733" i="3"/>
  <c r="D8732" i="3"/>
  <c r="C8732" i="3"/>
  <c r="B8732" i="3"/>
  <c r="D8731" i="3"/>
  <c r="C8731" i="3"/>
  <c r="B8731" i="3"/>
  <c r="D8730" i="3"/>
  <c r="C8730" i="3"/>
  <c r="B8730" i="3"/>
  <c r="D8729" i="3"/>
  <c r="C8729" i="3"/>
  <c r="B8729" i="3"/>
  <c r="D8728" i="3"/>
  <c r="C8728" i="3"/>
  <c r="B8728" i="3"/>
  <c r="D8727" i="3"/>
  <c r="C8727" i="3"/>
  <c r="B8727" i="3"/>
  <c r="D8726" i="3"/>
  <c r="C8726" i="3"/>
  <c r="B8726" i="3"/>
  <c r="D8725" i="3"/>
  <c r="C8725" i="3"/>
  <c r="B8725" i="3"/>
  <c r="D8724" i="3"/>
  <c r="C8724" i="3"/>
  <c r="B8724" i="3"/>
  <c r="D8723" i="3"/>
  <c r="C8723" i="3"/>
  <c r="B8723" i="3"/>
  <c r="D8722" i="3"/>
  <c r="C8722" i="3"/>
  <c r="B8722" i="3"/>
  <c r="D8721" i="3"/>
  <c r="C8721" i="3"/>
  <c r="B8721" i="3"/>
  <c r="D8720" i="3"/>
  <c r="C8720" i="3"/>
  <c r="B8720" i="3"/>
  <c r="D8719" i="3"/>
  <c r="C8719" i="3"/>
  <c r="B8719" i="3"/>
  <c r="D8718" i="3"/>
  <c r="C8718" i="3"/>
  <c r="B8718" i="3"/>
  <c r="D8717" i="3"/>
  <c r="C8717" i="3"/>
  <c r="B8717" i="3"/>
  <c r="D8716" i="3"/>
  <c r="C8716" i="3"/>
  <c r="B8716" i="3"/>
  <c r="D8715" i="3"/>
  <c r="C8715" i="3"/>
  <c r="B8715" i="3"/>
  <c r="D8714" i="3"/>
  <c r="C8714" i="3"/>
  <c r="B8714" i="3"/>
  <c r="D8713" i="3"/>
  <c r="C8713" i="3"/>
  <c r="B8713" i="3"/>
  <c r="D8712" i="3"/>
  <c r="C8712" i="3"/>
  <c r="B8712" i="3"/>
  <c r="D8711" i="3"/>
  <c r="C8711" i="3"/>
  <c r="B8711" i="3"/>
  <c r="D8710" i="3"/>
  <c r="C8710" i="3"/>
  <c r="B8710" i="3"/>
  <c r="D8709" i="3"/>
  <c r="C8709" i="3"/>
  <c r="B8709" i="3"/>
  <c r="D8708" i="3"/>
  <c r="C8708" i="3"/>
  <c r="B8708" i="3"/>
  <c r="D8707" i="3"/>
  <c r="C8707" i="3"/>
  <c r="B8707" i="3"/>
  <c r="D8706" i="3"/>
  <c r="C8706" i="3"/>
  <c r="B8706" i="3"/>
  <c r="D8705" i="3"/>
  <c r="C8705" i="3"/>
  <c r="B8705" i="3"/>
  <c r="D8704" i="3"/>
  <c r="C8704" i="3"/>
  <c r="B8704" i="3"/>
  <c r="D8703" i="3"/>
  <c r="C8703" i="3"/>
  <c r="B8703" i="3"/>
  <c r="D8702" i="3"/>
  <c r="C8702" i="3"/>
  <c r="B8702" i="3"/>
  <c r="D8701" i="3"/>
  <c r="C8701" i="3"/>
  <c r="B8701" i="3"/>
  <c r="D8700" i="3"/>
  <c r="C8700" i="3"/>
  <c r="B8700" i="3"/>
  <c r="D8699" i="3"/>
  <c r="C8699" i="3"/>
  <c r="B8699" i="3"/>
  <c r="D8698" i="3"/>
  <c r="C8698" i="3"/>
  <c r="B8698" i="3"/>
  <c r="D8697" i="3"/>
  <c r="C8697" i="3"/>
  <c r="B8697" i="3"/>
  <c r="D8696" i="3"/>
  <c r="C8696" i="3"/>
  <c r="B8696" i="3"/>
  <c r="D8695" i="3"/>
  <c r="C8695" i="3"/>
  <c r="B8695" i="3"/>
  <c r="D8694" i="3"/>
  <c r="C8694" i="3"/>
  <c r="B8694" i="3"/>
  <c r="D8693" i="3"/>
  <c r="C8693" i="3"/>
  <c r="B8693" i="3"/>
  <c r="D8692" i="3"/>
  <c r="C8692" i="3"/>
  <c r="B8692" i="3"/>
  <c r="D8691" i="3"/>
  <c r="C8691" i="3"/>
  <c r="B8691" i="3"/>
  <c r="D8690" i="3"/>
  <c r="C8690" i="3"/>
  <c r="B8690" i="3"/>
  <c r="D8689" i="3"/>
  <c r="C8689" i="3"/>
  <c r="B8689" i="3"/>
  <c r="D8688" i="3"/>
  <c r="C8688" i="3"/>
  <c r="B8688" i="3"/>
  <c r="D8687" i="3"/>
  <c r="C8687" i="3"/>
  <c r="B8687" i="3"/>
  <c r="D8686" i="3"/>
  <c r="C8686" i="3"/>
  <c r="B8686" i="3"/>
  <c r="D8685" i="3"/>
  <c r="C8685" i="3"/>
  <c r="B8685" i="3"/>
  <c r="D8684" i="3"/>
  <c r="C8684" i="3"/>
  <c r="B8684" i="3"/>
  <c r="D8683" i="3"/>
  <c r="C8683" i="3"/>
  <c r="B8683" i="3"/>
  <c r="D8682" i="3"/>
  <c r="C8682" i="3"/>
  <c r="B8682" i="3"/>
  <c r="D8681" i="3"/>
  <c r="C8681" i="3"/>
  <c r="B8681" i="3"/>
  <c r="D8680" i="3"/>
  <c r="C8680" i="3"/>
  <c r="B8680" i="3"/>
  <c r="D8679" i="3"/>
  <c r="C8679" i="3"/>
  <c r="B8679" i="3"/>
  <c r="D8678" i="3"/>
  <c r="C8678" i="3"/>
  <c r="B8678" i="3"/>
  <c r="D8677" i="3"/>
  <c r="C8677" i="3"/>
  <c r="B8677" i="3"/>
  <c r="D8676" i="3"/>
  <c r="C8676" i="3"/>
  <c r="B8676" i="3"/>
  <c r="D8675" i="3"/>
  <c r="C8675" i="3"/>
  <c r="B8675" i="3"/>
  <c r="D8674" i="3"/>
  <c r="C8674" i="3"/>
  <c r="B8674" i="3"/>
  <c r="D8673" i="3"/>
  <c r="C8673" i="3"/>
  <c r="B8673" i="3"/>
  <c r="D8672" i="3"/>
  <c r="C8672" i="3"/>
  <c r="B8672" i="3"/>
  <c r="D8671" i="3"/>
  <c r="C8671" i="3"/>
  <c r="B8671" i="3"/>
  <c r="D8670" i="3"/>
  <c r="C8670" i="3"/>
  <c r="B8670" i="3"/>
  <c r="D8669" i="3"/>
  <c r="C8669" i="3"/>
  <c r="B8669" i="3"/>
  <c r="D8668" i="3"/>
  <c r="C8668" i="3"/>
  <c r="B8668" i="3"/>
  <c r="D8667" i="3"/>
  <c r="C8667" i="3"/>
  <c r="B8667" i="3"/>
  <c r="D8666" i="3"/>
  <c r="C8666" i="3"/>
  <c r="B8666" i="3"/>
  <c r="D8665" i="3"/>
  <c r="C8665" i="3"/>
  <c r="B8665" i="3"/>
  <c r="D8664" i="3"/>
  <c r="C8664" i="3"/>
  <c r="B8664" i="3"/>
  <c r="D8663" i="3"/>
  <c r="C8663" i="3"/>
  <c r="B8663" i="3"/>
  <c r="D8662" i="3"/>
  <c r="C8662" i="3"/>
  <c r="B8662" i="3"/>
  <c r="D8661" i="3"/>
  <c r="C8661" i="3"/>
  <c r="B8661" i="3"/>
  <c r="D8660" i="3"/>
  <c r="C8660" i="3"/>
  <c r="B8660" i="3"/>
  <c r="D8659" i="3"/>
  <c r="C8659" i="3"/>
  <c r="B8659" i="3"/>
  <c r="D8658" i="3"/>
  <c r="C8658" i="3"/>
  <c r="B8658" i="3"/>
  <c r="D8657" i="3"/>
  <c r="C8657" i="3"/>
  <c r="B8657" i="3"/>
  <c r="D8656" i="3"/>
  <c r="C8656" i="3"/>
  <c r="B8656" i="3"/>
  <c r="D8655" i="3"/>
  <c r="C8655" i="3"/>
  <c r="B8655" i="3"/>
  <c r="D8654" i="3"/>
  <c r="C8654" i="3"/>
  <c r="B8654" i="3"/>
  <c r="D8653" i="3"/>
  <c r="C8653" i="3"/>
  <c r="B8653" i="3"/>
  <c r="D8652" i="3"/>
  <c r="C8652" i="3"/>
  <c r="B8652" i="3"/>
  <c r="D8651" i="3"/>
  <c r="C8651" i="3"/>
  <c r="B8651" i="3"/>
  <c r="D8650" i="3"/>
  <c r="C8650" i="3"/>
  <c r="B8650" i="3"/>
  <c r="D8649" i="3"/>
  <c r="C8649" i="3"/>
  <c r="B8649" i="3"/>
  <c r="D8648" i="3"/>
  <c r="C8648" i="3"/>
  <c r="B8648" i="3"/>
  <c r="D8647" i="3"/>
  <c r="C8647" i="3"/>
  <c r="B8647" i="3"/>
  <c r="D8646" i="3"/>
  <c r="C8646" i="3"/>
  <c r="B8646" i="3"/>
  <c r="D8645" i="3"/>
  <c r="C8645" i="3"/>
  <c r="B8645" i="3"/>
  <c r="D8644" i="3"/>
  <c r="C8644" i="3"/>
  <c r="B8644" i="3"/>
  <c r="D8643" i="3"/>
  <c r="C8643" i="3"/>
  <c r="B8643" i="3"/>
  <c r="D8642" i="3"/>
  <c r="C8642" i="3"/>
  <c r="B8642" i="3"/>
  <c r="D8641" i="3"/>
  <c r="C8641" i="3"/>
  <c r="B8641" i="3"/>
  <c r="D8640" i="3"/>
  <c r="C8640" i="3"/>
  <c r="B8640" i="3"/>
  <c r="D8639" i="3"/>
  <c r="C8639" i="3"/>
  <c r="B8639" i="3"/>
  <c r="D8638" i="3"/>
  <c r="C8638" i="3"/>
  <c r="B8638" i="3"/>
  <c r="D8637" i="3"/>
  <c r="C8637" i="3"/>
  <c r="B8637" i="3"/>
  <c r="D8636" i="3"/>
  <c r="C8636" i="3"/>
  <c r="B8636" i="3"/>
  <c r="D8635" i="3"/>
  <c r="C8635" i="3"/>
  <c r="B8635" i="3"/>
  <c r="D8634" i="3"/>
  <c r="C8634" i="3"/>
  <c r="B8634" i="3"/>
  <c r="D8633" i="3"/>
  <c r="C8633" i="3"/>
  <c r="B8633" i="3"/>
  <c r="D8632" i="3"/>
  <c r="C8632" i="3"/>
  <c r="B8632" i="3"/>
  <c r="D8631" i="3"/>
  <c r="C8631" i="3"/>
  <c r="B8631" i="3"/>
  <c r="D8630" i="3"/>
  <c r="C8630" i="3"/>
  <c r="B8630" i="3"/>
  <c r="D8629" i="3"/>
  <c r="C8629" i="3"/>
  <c r="B8629" i="3"/>
  <c r="D8628" i="3"/>
  <c r="C8628" i="3"/>
  <c r="B8628" i="3"/>
  <c r="D8627" i="3"/>
  <c r="C8627" i="3"/>
  <c r="B8627" i="3"/>
  <c r="D8626" i="3"/>
  <c r="C8626" i="3"/>
  <c r="B8626" i="3"/>
  <c r="D8625" i="3"/>
  <c r="C8625" i="3"/>
  <c r="B8625" i="3"/>
  <c r="D8624" i="3"/>
  <c r="C8624" i="3"/>
  <c r="B8624" i="3"/>
  <c r="D8623" i="3"/>
  <c r="C8623" i="3"/>
  <c r="B8623" i="3"/>
  <c r="D8622" i="3"/>
  <c r="C8622" i="3"/>
  <c r="B8622" i="3"/>
  <c r="D8621" i="3"/>
  <c r="C8621" i="3"/>
  <c r="B8621" i="3"/>
  <c r="D8620" i="3"/>
  <c r="C8620" i="3"/>
  <c r="B8620" i="3"/>
  <c r="D8619" i="3"/>
  <c r="C8619" i="3"/>
  <c r="B8619" i="3"/>
  <c r="D8618" i="3"/>
  <c r="C8618" i="3"/>
  <c r="B8618" i="3"/>
  <c r="D8617" i="3"/>
  <c r="C8617" i="3"/>
  <c r="B8617" i="3"/>
  <c r="D8616" i="3"/>
  <c r="C8616" i="3"/>
  <c r="B8616" i="3"/>
  <c r="D8615" i="3"/>
  <c r="C8615" i="3"/>
  <c r="B8615" i="3"/>
  <c r="D8614" i="3"/>
  <c r="C8614" i="3"/>
  <c r="B8614" i="3"/>
  <c r="D8613" i="3"/>
  <c r="C8613" i="3"/>
  <c r="B8613" i="3"/>
  <c r="D8612" i="3"/>
  <c r="C8612" i="3"/>
  <c r="B8612" i="3"/>
  <c r="D8611" i="3"/>
  <c r="C8611" i="3"/>
  <c r="B8611" i="3"/>
  <c r="D8610" i="3"/>
  <c r="C8610" i="3"/>
  <c r="B8610" i="3"/>
  <c r="D8609" i="3"/>
  <c r="C8609" i="3"/>
  <c r="B8609" i="3"/>
  <c r="D8608" i="3"/>
  <c r="C8608" i="3"/>
  <c r="B8608" i="3"/>
  <c r="D8607" i="3"/>
  <c r="C8607" i="3"/>
  <c r="B8607" i="3"/>
  <c r="D8606" i="3"/>
  <c r="C8606" i="3"/>
  <c r="B8606" i="3"/>
  <c r="D8605" i="3"/>
  <c r="C8605" i="3"/>
  <c r="B8605" i="3"/>
  <c r="D8604" i="3"/>
  <c r="C8604" i="3"/>
  <c r="B8604" i="3"/>
  <c r="D8603" i="3"/>
  <c r="C8603" i="3"/>
  <c r="B8603" i="3"/>
  <c r="D8602" i="3"/>
  <c r="C8602" i="3"/>
  <c r="B8602" i="3"/>
  <c r="D8601" i="3"/>
  <c r="C8601" i="3"/>
  <c r="B8601" i="3"/>
  <c r="D8600" i="3"/>
  <c r="C8600" i="3"/>
  <c r="B8600" i="3"/>
  <c r="D8599" i="3"/>
  <c r="C8599" i="3"/>
  <c r="B8599" i="3"/>
  <c r="D8598" i="3"/>
  <c r="C8598" i="3"/>
  <c r="B8598" i="3"/>
  <c r="D8597" i="3"/>
  <c r="C8597" i="3"/>
  <c r="B8597" i="3"/>
  <c r="D8596" i="3"/>
  <c r="C8596" i="3"/>
  <c r="B8596" i="3"/>
  <c r="D8595" i="3"/>
  <c r="C8595" i="3"/>
  <c r="B8595" i="3"/>
  <c r="D8594" i="3"/>
  <c r="C8594" i="3"/>
  <c r="B8594" i="3"/>
  <c r="D8593" i="3"/>
  <c r="C8593" i="3"/>
  <c r="B8593" i="3"/>
  <c r="D8592" i="3"/>
  <c r="C8592" i="3"/>
  <c r="B8592" i="3"/>
  <c r="D8591" i="3"/>
  <c r="C8591" i="3"/>
  <c r="B8591" i="3"/>
  <c r="D8590" i="3"/>
  <c r="C8590" i="3"/>
  <c r="B8590" i="3"/>
  <c r="D8589" i="3"/>
  <c r="C8589" i="3"/>
  <c r="B8589" i="3"/>
  <c r="D8588" i="3"/>
  <c r="C8588" i="3"/>
  <c r="B8588" i="3"/>
  <c r="D8587" i="3"/>
  <c r="C8587" i="3"/>
  <c r="B8587" i="3"/>
  <c r="D8586" i="3"/>
  <c r="C8586" i="3"/>
  <c r="B8586" i="3"/>
  <c r="D8585" i="3"/>
  <c r="C8585" i="3"/>
  <c r="B8585" i="3"/>
  <c r="D8584" i="3"/>
  <c r="C8584" i="3"/>
  <c r="B8584" i="3"/>
  <c r="D8583" i="3"/>
  <c r="C8583" i="3"/>
  <c r="B8583" i="3"/>
  <c r="D8582" i="3"/>
  <c r="C8582" i="3"/>
  <c r="B8582" i="3"/>
  <c r="D8581" i="3"/>
  <c r="C8581" i="3"/>
  <c r="B8581" i="3"/>
  <c r="D8580" i="3"/>
  <c r="C8580" i="3"/>
  <c r="B8580" i="3"/>
  <c r="D8579" i="3"/>
  <c r="C8579" i="3"/>
  <c r="B8579" i="3"/>
  <c r="D8578" i="3"/>
  <c r="C8578" i="3"/>
  <c r="B8578" i="3"/>
  <c r="D8577" i="3"/>
  <c r="C8577" i="3"/>
  <c r="B8577" i="3"/>
  <c r="D8576" i="3"/>
  <c r="C8576" i="3"/>
  <c r="B8576" i="3"/>
  <c r="D8575" i="3"/>
  <c r="C8575" i="3"/>
  <c r="B8575" i="3"/>
  <c r="D8574" i="3"/>
  <c r="C8574" i="3"/>
  <c r="B8574" i="3"/>
  <c r="D8573" i="3"/>
  <c r="C8573" i="3"/>
  <c r="B8573" i="3"/>
  <c r="D8572" i="3"/>
  <c r="C8572" i="3"/>
  <c r="B8572" i="3"/>
  <c r="D8571" i="3"/>
  <c r="C8571" i="3"/>
  <c r="B8571" i="3"/>
  <c r="D8570" i="3"/>
  <c r="C8570" i="3"/>
  <c r="B8570" i="3"/>
  <c r="D8569" i="3"/>
  <c r="C8569" i="3"/>
  <c r="B8569" i="3"/>
  <c r="D8568" i="3"/>
  <c r="C8568" i="3"/>
  <c r="B8568" i="3"/>
  <c r="D8567" i="3"/>
  <c r="C8567" i="3"/>
  <c r="B8567" i="3"/>
  <c r="D8566" i="3"/>
  <c r="C8566" i="3"/>
  <c r="B8566" i="3"/>
  <c r="D8565" i="3"/>
  <c r="C8565" i="3"/>
  <c r="B8565" i="3"/>
  <c r="D8564" i="3"/>
  <c r="C8564" i="3"/>
  <c r="B8564" i="3"/>
  <c r="D8563" i="3"/>
  <c r="C8563" i="3"/>
  <c r="B8563" i="3"/>
  <c r="D8562" i="3"/>
  <c r="C8562" i="3"/>
  <c r="B8562" i="3"/>
  <c r="D8561" i="3"/>
  <c r="C8561" i="3"/>
  <c r="B8561" i="3"/>
  <c r="D8560" i="3"/>
  <c r="C8560" i="3"/>
  <c r="B8560" i="3"/>
  <c r="D8559" i="3"/>
  <c r="C8559" i="3"/>
  <c r="B8559" i="3"/>
  <c r="D8558" i="3"/>
  <c r="C8558" i="3"/>
  <c r="B8558" i="3"/>
  <c r="D8557" i="3"/>
  <c r="C8557" i="3"/>
  <c r="B8557" i="3"/>
  <c r="D8556" i="3"/>
  <c r="C8556" i="3"/>
  <c r="B8556" i="3"/>
  <c r="D8555" i="3"/>
  <c r="C8555" i="3"/>
  <c r="B8555" i="3"/>
  <c r="D8554" i="3"/>
  <c r="C8554" i="3"/>
  <c r="B8554" i="3"/>
  <c r="D8553" i="3"/>
  <c r="C8553" i="3"/>
  <c r="B8553" i="3"/>
  <c r="D8552" i="3"/>
  <c r="C8552" i="3"/>
  <c r="B8552" i="3"/>
  <c r="D8551" i="3"/>
  <c r="C8551" i="3"/>
  <c r="B8551" i="3"/>
  <c r="D8550" i="3"/>
  <c r="C8550" i="3"/>
  <c r="B8550" i="3"/>
  <c r="D8549" i="3"/>
  <c r="C8549" i="3"/>
  <c r="B8549" i="3"/>
  <c r="D8548" i="3"/>
  <c r="C8548" i="3"/>
  <c r="B8548" i="3"/>
  <c r="D8547" i="3"/>
  <c r="C8547" i="3"/>
  <c r="B8547" i="3"/>
  <c r="D8546" i="3"/>
  <c r="C8546" i="3"/>
  <c r="B8546" i="3"/>
  <c r="D8545" i="3"/>
  <c r="C8545" i="3"/>
  <c r="B8545" i="3"/>
  <c r="D8544" i="3"/>
  <c r="C8544" i="3"/>
  <c r="B8544" i="3"/>
  <c r="D8543" i="3"/>
  <c r="C8543" i="3"/>
  <c r="B8543" i="3"/>
  <c r="D8542" i="3"/>
  <c r="C8542" i="3"/>
  <c r="B8542" i="3"/>
  <c r="D8541" i="3"/>
  <c r="C8541" i="3"/>
  <c r="B8541" i="3"/>
  <c r="D8540" i="3"/>
  <c r="C8540" i="3"/>
  <c r="B8540" i="3"/>
  <c r="D8539" i="3"/>
  <c r="C8539" i="3"/>
  <c r="B8539" i="3"/>
  <c r="D8538" i="3"/>
  <c r="C8538" i="3"/>
  <c r="B8538" i="3"/>
  <c r="D8537" i="3"/>
  <c r="C8537" i="3"/>
  <c r="B8537" i="3"/>
  <c r="D8536" i="3"/>
  <c r="C8536" i="3"/>
  <c r="B8536" i="3"/>
  <c r="D8535" i="3"/>
  <c r="C8535" i="3"/>
  <c r="B8535" i="3"/>
  <c r="D8534" i="3"/>
  <c r="C8534" i="3"/>
  <c r="B8534" i="3"/>
  <c r="D8533" i="3"/>
  <c r="C8533" i="3"/>
  <c r="B8533" i="3"/>
  <c r="D8532" i="3"/>
  <c r="C8532" i="3"/>
  <c r="B8532" i="3"/>
  <c r="D8531" i="3"/>
  <c r="C8531" i="3"/>
  <c r="B8531" i="3"/>
  <c r="D8530" i="3"/>
  <c r="C8530" i="3"/>
  <c r="B8530" i="3"/>
  <c r="D8529" i="3"/>
  <c r="C8529" i="3"/>
  <c r="B8529" i="3"/>
  <c r="D8528" i="3"/>
  <c r="C8528" i="3"/>
  <c r="B8528" i="3"/>
  <c r="D8527" i="3"/>
  <c r="C8527" i="3"/>
  <c r="B8527" i="3"/>
  <c r="D8526" i="3"/>
  <c r="C8526" i="3"/>
  <c r="B8526" i="3"/>
  <c r="D8525" i="3"/>
  <c r="C8525" i="3"/>
  <c r="B8525" i="3"/>
  <c r="D8524" i="3"/>
  <c r="C8524" i="3"/>
  <c r="B8524" i="3"/>
  <c r="D8523" i="3"/>
  <c r="C8523" i="3"/>
  <c r="B8523" i="3"/>
  <c r="D8522" i="3"/>
  <c r="C8522" i="3"/>
  <c r="B8522" i="3"/>
  <c r="D8521" i="3"/>
  <c r="C8521" i="3"/>
  <c r="B8521" i="3"/>
  <c r="D8520" i="3"/>
  <c r="C8520" i="3"/>
  <c r="B8520" i="3"/>
  <c r="D8519" i="3"/>
  <c r="C8519" i="3"/>
  <c r="B8519" i="3"/>
  <c r="D8518" i="3"/>
  <c r="C8518" i="3"/>
  <c r="B8518" i="3"/>
  <c r="D8517" i="3"/>
  <c r="C8517" i="3"/>
  <c r="B8517" i="3"/>
  <c r="D8516" i="3"/>
  <c r="C8516" i="3"/>
  <c r="B8516" i="3"/>
  <c r="D8515" i="3"/>
  <c r="C8515" i="3"/>
  <c r="B8515" i="3"/>
  <c r="D8514" i="3"/>
  <c r="C8514" i="3"/>
  <c r="B8514" i="3"/>
  <c r="D8513" i="3"/>
  <c r="C8513" i="3"/>
  <c r="B8513" i="3"/>
  <c r="D8512" i="3"/>
  <c r="C8512" i="3"/>
  <c r="B8512" i="3"/>
  <c r="D8511" i="3"/>
  <c r="C8511" i="3"/>
  <c r="B8511" i="3"/>
  <c r="D8510" i="3"/>
  <c r="C8510" i="3"/>
  <c r="B8510" i="3"/>
  <c r="D8509" i="3"/>
  <c r="C8509" i="3"/>
  <c r="B8509" i="3"/>
  <c r="D8508" i="3"/>
  <c r="C8508" i="3"/>
  <c r="B8508" i="3"/>
  <c r="D8507" i="3"/>
  <c r="C8507" i="3"/>
  <c r="B8507" i="3"/>
  <c r="D8506" i="3"/>
  <c r="C8506" i="3"/>
  <c r="B8506" i="3"/>
  <c r="D8505" i="3"/>
  <c r="C8505" i="3"/>
  <c r="B8505" i="3"/>
  <c r="D8504" i="3"/>
  <c r="C8504" i="3"/>
  <c r="B8504" i="3"/>
  <c r="D8503" i="3"/>
  <c r="C8503" i="3"/>
  <c r="B8503" i="3"/>
  <c r="D8502" i="3"/>
  <c r="C8502" i="3"/>
  <c r="B8502" i="3"/>
  <c r="D8501" i="3"/>
  <c r="C8501" i="3"/>
  <c r="B8501" i="3"/>
  <c r="D8500" i="3"/>
  <c r="C8500" i="3"/>
  <c r="B8500" i="3"/>
  <c r="D8499" i="3"/>
  <c r="C8499" i="3"/>
  <c r="B8499" i="3"/>
  <c r="D8498" i="3"/>
  <c r="C8498" i="3"/>
  <c r="B8498" i="3"/>
  <c r="D8497" i="3"/>
  <c r="C8497" i="3"/>
  <c r="B8497" i="3"/>
  <c r="D8496" i="3"/>
  <c r="C8496" i="3"/>
  <c r="B8496" i="3"/>
  <c r="D8495" i="3"/>
  <c r="C8495" i="3"/>
  <c r="B8495" i="3"/>
  <c r="D8494" i="3"/>
  <c r="C8494" i="3"/>
  <c r="B8494" i="3"/>
  <c r="D8493" i="3"/>
  <c r="C8493" i="3"/>
  <c r="B8493" i="3"/>
  <c r="D8492" i="3"/>
  <c r="C8492" i="3"/>
  <c r="B8492" i="3"/>
  <c r="D8491" i="3"/>
  <c r="C8491" i="3"/>
  <c r="B8491" i="3"/>
  <c r="D8490" i="3"/>
  <c r="C8490" i="3"/>
  <c r="B8490" i="3"/>
  <c r="D8489" i="3"/>
  <c r="C8489" i="3"/>
  <c r="B8489" i="3"/>
  <c r="D8488" i="3"/>
  <c r="C8488" i="3"/>
  <c r="B8488" i="3"/>
  <c r="D8487" i="3"/>
  <c r="C8487" i="3"/>
  <c r="B8487" i="3"/>
  <c r="D8486" i="3"/>
  <c r="C8486" i="3"/>
  <c r="B8486" i="3"/>
  <c r="D8485" i="3"/>
  <c r="C8485" i="3"/>
  <c r="B8485" i="3"/>
  <c r="D8484" i="3"/>
  <c r="C8484" i="3"/>
  <c r="B8484" i="3"/>
  <c r="D8483" i="3"/>
  <c r="C8483" i="3"/>
  <c r="B8483" i="3"/>
  <c r="D8482" i="3"/>
  <c r="C8482" i="3"/>
  <c r="B8482" i="3"/>
  <c r="D8481" i="3"/>
  <c r="C8481" i="3"/>
  <c r="B8481" i="3"/>
  <c r="D8480" i="3"/>
  <c r="C8480" i="3"/>
  <c r="B8480" i="3"/>
  <c r="D8479" i="3"/>
  <c r="C8479" i="3"/>
  <c r="B8479" i="3"/>
  <c r="D8478" i="3"/>
  <c r="C8478" i="3"/>
  <c r="B8478" i="3"/>
  <c r="D8477" i="3"/>
  <c r="C8477" i="3"/>
  <c r="B8477" i="3"/>
  <c r="D8476" i="3"/>
  <c r="C8476" i="3"/>
  <c r="B8476" i="3"/>
  <c r="D8475" i="3"/>
  <c r="C8475" i="3"/>
  <c r="B8475" i="3"/>
  <c r="D8474" i="3"/>
  <c r="C8474" i="3"/>
  <c r="B8474" i="3"/>
  <c r="D8473" i="3"/>
  <c r="C8473" i="3"/>
  <c r="B8473" i="3"/>
  <c r="D8472" i="3"/>
  <c r="C8472" i="3"/>
  <c r="B8472" i="3"/>
  <c r="D8471" i="3"/>
  <c r="C8471" i="3"/>
  <c r="B8471" i="3"/>
  <c r="D8470" i="3"/>
  <c r="C8470" i="3"/>
  <c r="B8470" i="3"/>
  <c r="D8469" i="3"/>
  <c r="C8469" i="3"/>
  <c r="B8469" i="3"/>
  <c r="D8468" i="3"/>
  <c r="C8468" i="3"/>
  <c r="B8468" i="3"/>
  <c r="D8467" i="3"/>
  <c r="C8467" i="3"/>
  <c r="B8467" i="3"/>
  <c r="D8466" i="3"/>
  <c r="C8466" i="3"/>
  <c r="B8466" i="3"/>
  <c r="D8465" i="3"/>
  <c r="C8465" i="3"/>
  <c r="B8465" i="3"/>
  <c r="D8464" i="3"/>
  <c r="C8464" i="3"/>
  <c r="B8464" i="3"/>
  <c r="D8463" i="3"/>
  <c r="C8463" i="3"/>
  <c r="B8463" i="3"/>
  <c r="D8462" i="3"/>
  <c r="C8462" i="3"/>
  <c r="B8462" i="3"/>
  <c r="D8461" i="3"/>
  <c r="C8461" i="3"/>
  <c r="B8461" i="3"/>
  <c r="D8460" i="3"/>
  <c r="C8460" i="3"/>
  <c r="B8460" i="3"/>
  <c r="D8459" i="3"/>
  <c r="C8459" i="3"/>
  <c r="B8459" i="3"/>
  <c r="D8458" i="3"/>
  <c r="C8458" i="3"/>
  <c r="B8458" i="3"/>
  <c r="D8457" i="3"/>
  <c r="C8457" i="3"/>
  <c r="B8457" i="3"/>
  <c r="D8456" i="3"/>
  <c r="C8456" i="3"/>
  <c r="B8456" i="3"/>
  <c r="D8455" i="3"/>
  <c r="C8455" i="3"/>
  <c r="B8455" i="3"/>
  <c r="D8454" i="3"/>
  <c r="C8454" i="3"/>
  <c r="B8454" i="3"/>
  <c r="D8453" i="3"/>
  <c r="C8453" i="3"/>
  <c r="B8453" i="3"/>
  <c r="D8452" i="3"/>
  <c r="C8452" i="3"/>
  <c r="B8452" i="3"/>
  <c r="D8451" i="3"/>
  <c r="C8451" i="3"/>
  <c r="B8451" i="3"/>
  <c r="D8450" i="3"/>
  <c r="C8450" i="3"/>
  <c r="B8450" i="3"/>
  <c r="D8449" i="3"/>
  <c r="C8449" i="3"/>
  <c r="B8449" i="3"/>
  <c r="D8448" i="3"/>
  <c r="C8448" i="3"/>
  <c r="B8448" i="3"/>
  <c r="D8447" i="3"/>
  <c r="C8447" i="3"/>
  <c r="B8447" i="3"/>
  <c r="D8446" i="3"/>
  <c r="C8446" i="3"/>
  <c r="B8446" i="3"/>
  <c r="D8445" i="3"/>
  <c r="C8445" i="3"/>
  <c r="B8445" i="3"/>
  <c r="D8444" i="3"/>
  <c r="C8444" i="3"/>
  <c r="B8444" i="3"/>
  <c r="D8443" i="3"/>
  <c r="C8443" i="3"/>
  <c r="B8443" i="3"/>
  <c r="D8442" i="3"/>
  <c r="C8442" i="3"/>
  <c r="B8442" i="3"/>
  <c r="D8441" i="3"/>
  <c r="C8441" i="3"/>
  <c r="B8441" i="3"/>
  <c r="D8440" i="3"/>
  <c r="C8440" i="3"/>
  <c r="B8440" i="3"/>
  <c r="D8439" i="3"/>
  <c r="C8439" i="3"/>
  <c r="B8439" i="3"/>
  <c r="D8438" i="3"/>
  <c r="C8438" i="3"/>
  <c r="B8438" i="3"/>
  <c r="D8437" i="3"/>
  <c r="C8437" i="3"/>
  <c r="B8437" i="3"/>
  <c r="D8436" i="3"/>
  <c r="C8436" i="3"/>
  <c r="B8436" i="3"/>
  <c r="D8435" i="3"/>
  <c r="C8435" i="3"/>
  <c r="B8435" i="3"/>
  <c r="D8434" i="3"/>
  <c r="C8434" i="3"/>
  <c r="B8434" i="3"/>
  <c r="D8433" i="3"/>
  <c r="C8433" i="3"/>
  <c r="B8433" i="3"/>
  <c r="D8432" i="3"/>
  <c r="C8432" i="3"/>
  <c r="B8432" i="3"/>
  <c r="D8431" i="3"/>
  <c r="C8431" i="3"/>
  <c r="B8431" i="3"/>
  <c r="D8430" i="3"/>
  <c r="C8430" i="3"/>
  <c r="B8430" i="3"/>
  <c r="D8429" i="3"/>
  <c r="C8429" i="3"/>
  <c r="B8429" i="3"/>
  <c r="D8428" i="3"/>
  <c r="C8428" i="3"/>
  <c r="B8428" i="3"/>
  <c r="D8427" i="3"/>
  <c r="C8427" i="3"/>
  <c r="B8427" i="3"/>
  <c r="D8426" i="3"/>
  <c r="C8426" i="3"/>
  <c r="B8426" i="3"/>
  <c r="D8425" i="3"/>
  <c r="C8425" i="3"/>
  <c r="B8425" i="3"/>
  <c r="D8424" i="3"/>
  <c r="C8424" i="3"/>
  <c r="B8424" i="3"/>
  <c r="D8423" i="3"/>
  <c r="C8423" i="3"/>
  <c r="B8423" i="3"/>
  <c r="D8422" i="3"/>
  <c r="C8422" i="3"/>
  <c r="B8422" i="3"/>
  <c r="D8421" i="3"/>
  <c r="C8421" i="3"/>
  <c r="B8421" i="3"/>
  <c r="D8420" i="3"/>
  <c r="C8420" i="3"/>
  <c r="B8420" i="3"/>
  <c r="D8419" i="3"/>
  <c r="C8419" i="3"/>
  <c r="B8419" i="3"/>
  <c r="D8418" i="3"/>
  <c r="C8418" i="3"/>
  <c r="B8418" i="3"/>
  <c r="D8417" i="3"/>
  <c r="C8417" i="3"/>
  <c r="B8417" i="3"/>
  <c r="D8416" i="3"/>
  <c r="C8416" i="3"/>
  <c r="B8416" i="3"/>
  <c r="D8415" i="3"/>
  <c r="C8415" i="3"/>
  <c r="B8415" i="3"/>
  <c r="D8414" i="3"/>
  <c r="C8414" i="3"/>
  <c r="B8414" i="3"/>
  <c r="D8413" i="3"/>
  <c r="C8413" i="3"/>
  <c r="B8413" i="3"/>
  <c r="D8412" i="3"/>
  <c r="C8412" i="3"/>
  <c r="B8412" i="3"/>
  <c r="D8411" i="3"/>
  <c r="C8411" i="3"/>
  <c r="B8411" i="3"/>
  <c r="D8410" i="3"/>
  <c r="C8410" i="3"/>
  <c r="B8410" i="3"/>
  <c r="D8409" i="3"/>
  <c r="C8409" i="3"/>
  <c r="B8409" i="3"/>
  <c r="D8408" i="3"/>
  <c r="C8408" i="3"/>
  <c r="B8408" i="3"/>
  <c r="D8407" i="3"/>
  <c r="C8407" i="3"/>
  <c r="B8407" i="3"/>
  <c r="D8406" i="3"/>
  <c r="C8406" i="3"/>
  <c r="B8406" i="3"/>
  <c r="D8405" i="3"/>
  <c r="C8405" i="3"/>
  <c r="B8405" i="3"/>
  <c r="D8404" i="3"/>
  <c r="C8404" i="3"/>
  <c r="B8404" i="3"/>
  <c r="D8403" i="3"/>
  <c r="C8403" i="3"/>
  <c r="B8403" i="3"/>
  <c r="D8402" i="3"/>
  <c r="C8402" i="3"/>
  <c r="B8402" i="3"/>
  <c r="D8401" i="3"/>
  <c r="C8401" i="3"/>
  <c r="B8401" i="3"/>
  <c r="D8400" i="3"/>
  <c r="C8400" i="3"/>
  <c r="B8400" i="3"/>
  <c r="D8399" i="3"/>
  <c r="C8399" i="3"/>
  <c r="B8399" i="3"/>
  <c r="D8398" i="3"/>
  <c r="C8398" i="3"/>
  <c r="B8398" i="3"/>
  <c r="D8397" i="3"/>
  <c r="C8397" i="3"/>
  <c r="B8397" i="3"/>
  <c r="D8396" i="3"/>
  <c r="C8396" i="3"/>
  <c r="B8396" i="3"/>
  <c r="D8395" i="3"/>
  <c r="C8395" i="3"/>
  <c r="B8395" i="3"/>
  <c r="D8394" i="3"/>
  <c r="C8394" i="3"/>
  <c r="B8394" i="3"/>
  <c r="D8393" i="3"/>
  <c r="C8393" i="3"/>
  <c r="B8393" i="3"/>
  <c r="D8392" i="3"/>
  <c r="C8392" i="3"/>
  <c r="B8392" i="3"/>
  <c r="D8391" i="3"/>
  <c r="C8391" i="3"/>
  <c r="B8391" i="3"/>
  <c r="D8390" i="3"/>
  <c r="C8390" i="3"/>
  <c r="B8390" i="3"/>
  <c r="D8389" i="3"/>
  <c r="C8389" i="3"/>
  <c r="B8389" i="3"/>
  <c r="D8388" i="3"/>
  <c r="C8388" i="3"/>
  <c r="B8388" i="3"/>
  <c r="D8387" i="3"/>
  <c r="C8387" i="3"/>
  <c r="B8387" i="3"/>
  <c r="D8386" i="3"/>
  <c r="C8386" i="3"/>
  <c r="B8386" i="3"/>
  <c r="D8385" i="3"/>
  <c r="C8385" i="3"/>
  <c r="B8385" i="3"/>
  <c r="D8384" i="3"/>
  <c r="C8384" i="3"/>
  <c r="B8384" i="3"/>
  <c r="D8383" i="3"/>
  <c r="C8383" i="3"/>
  <c r="B8383" i="3"/>
  <c r="D8382" i="3"/>
  <c r="C8382" i="3"/>
  <c r="B8382" i="3"/>
  <c r="D8381" i="3"/>
  <c r="C8381" i="3"/>
  <c r="B8381" i="3"/>
  <c r="D8380" i="3"/>
  <c r="C8380" i="3"/>
  <c r="B8380" i="3"/>
  <c r="D8379" i="3"/>
  <c r="C8379" i="3"/>
  <c r="B8379" i="3"/>
  <c r="D8378" i="3"/>
  <c r="C8378" i="3"/>
  <c r="B8378" i="3"/>
  <c r="D8377" i="3"/>
  <c r="C8377" i="3"/>
  <c r="B8377" i="3"/>
  <c r="D8376" i="3"/>
  <c r="C8376" i="3"/>
  <c r="B8376" i="3"/>
  <c r="D8375" i="3"/>
  <c r="C8375" i="3"/>
  <c r="B8375" i="3"/>
  <c r="D8374" i="3"/>
  <c r="C8374" i="3"/>
  <c r="B8374" i="3"/>
  <c r="D8373" i="3"/>
  <c r="C8373" i="3"/>
  <c r="B8373" i="3"/>
  <c r="D8372" i="3"/>
  <c r="C8372" i="3"/>
  <c r="B8372" i="3"/>
  <c r="D8371" i="3"/>
  <c r="C8371" i="3"/>
  <c r="B8371" i="3"/>
  <c r="D8370" i="3"/>
  <c r="C8370" i="3"/>
  <c r="B8370" i="3"/>
  <c r="D8369" i="3"/>
  <c r="C8369" i="3"/>
  <c r="B8369" i="3"/>
  <c r="D8368" i="3"/>
  <c r="C8368" i="3"/>
  <c r="B8368" i="3"/>
  <c r="D8367" i="3"/>
  <c r="C8367" i="3"/>
  <c r="B8367" i="3"/>
  <c r="D8366" i="3"/>
  <c r="C8366" i="3"/>
  <c r="B8366" i="3"/>
  <c r="D8365" i="3"/>
  <c r="C8365" i="3"/>
  <c r="B8365" i="3"/>
  <c r="D8364" i="3"/>
  <c r="C8364" i="3"/>
  <c r="B8364" i="3"/>
  <c r="D8363" i="3"/>
  <c r="C8363" i="3"/>
  <c r="B8363" i="3"/>
  <c r="D8362" i="3"/>
  <c r="C8362" i="3"/>
  <c r="B8362" i="3"/>
  <c r="D8361" i="3"/>
  <c r="C8361" i="3"/>
  <c r="B8361" i="3"/>
  <c r="D8360" i="3"/>
  <c r="C8360" i="3"/>
  <c r="B8360" i="3"/>
  <c r="D8359" i="3"/>
  <c r="C8359" i="3"/>
  <c r="B8359" i="3"/>
  <c r="D8358" i="3"/>
  <c r="C8358" i="3"/>
  <c r="B8358" i="3"/>
  <c r="D8357" i="3"/>
  <c r="C8357" i="3"/>
  <c r="B8357" i="3"/>
  <c r="D8356" i="3"/>
  <c r="C8356" i="3"/>
  <c r="B8356" i="3"/>
  <c r="D8355" i="3"/>
  <c r="C8355" i="3"/>
  <c r="B8355" i="3"/>
  <c r="D8354" i="3"/>
  <c r="C8354" i="3"/>
  <c r="B8354" i="3"/>
  <c r="D8353" i="3"/>
  <c r="C8353" i="3"/>
  <c r="B8353" i="3"/>
  <c r="D8352" i="3"/>
  <c r="C8352" i="3"/>
  <c r="B8352" i="3"/>
  <c r="D8351" i="3"/>
  <c r="C8351" i="3"/>
  <c r="B8351" i="3"/>
  <c r="D8350" i="3"/>
  <c r="C8350" i="3"/>
  <c r="B8350" i="3"/>
  <c r="D8349" i="3"/>
  <c r="C8349" i="3"/>
  <c r="B8349" i="3"/>
  <c r="D8348" i="3"/>
  <c r="C8348" i="3"/>
  <c r="B8348" i="3"/>
  <c r="D8347" i="3"/>
  <c r="C8347" i="3"/>
  <c r="B8347" i="3"/>
  <c r="D8346" i="3"/>
  <c r="C8346" i="3"/>
  <c r="B8346" i="3"/>
  <c r="D8345" i="3"/>
  <c r="C8345" i="3"/>
  <c r="B8345" i="3"/>
  <c r="D8344" i="3"/>
  <c r="C8344" i="3"/>
  <c r="B8344" i="3"/>
  <c r="D8343" i="3"/>
  <c r="C8343" i="3"/>
  <c r="B8343" i="3"/>
  <c r="D8342" i="3"/>
  <c r="C8342" i="3"/>
  <c r="B8342" i="3"/>
  <c r="D8341" i="3"/>
  <c r="C8341" i="3"/>
  <c r="B8341" i="3"/>
  <c r="D8340" i="3"/>
  <c r="C8340" i="3"/>
  <c r="B8340" i="3"/>
  <c r="D8339" i="3"/>
  <c r="C8339" i="3"/>
  <c r="B8339" i="3"/>
  <c r="D8338" i="3"/>
  <c r="C8338" i="3"/>
  <c r="B8338" i="3"/>
  <c r="D8337" i="3"/>
  <c r="C8337" i="3"/>
  <c r="B8337" i="3"/>
  <c r="D8336" i="3"/>
  <c r="C8336" i="3"/>
  <c r="B8336" i="3"/>
  <c r="D8335" i="3"/>
  <c r="C8335" i="3"/>
  <c r="B8335" i="3"/>
  <c r="D8334" i="3"/>
  <c r="C8334" i="3"/>
  <c r="B8334" i="3"/>
  <c r="D8333" i="3"/>
  <c r="C8333" i="3"/>
  <c r="B8333" i="3"/>
  <c r="D8332" i="3"/>
  <c r="C8332" i="3"/>
  <c r="B8332" i="3"/>
  <c r="D8331" i="3"/>
  <c r="C8331" i="3"/>
  <c r="B8331" i="3"/>
  <c r="D8330" i="3"/>
  <c r="C8330" i="3"/>
  <c r="B8330" i="3"/>
  <c r="D8329" i="3"/>
  <c r="C8329" i="3"/>
  <c r="B8329" i="3"/>
  <c r="D8328" i="3"/>
  <c r="C8328" i="3"/>
  <c r="B8328" i="3"/>
  <c r="D8327" i="3"/>
  <c r="C8327" i="3"/>
  <c r="B8327" i="3"/>
  <c r="D8326" i="3"/>
  <c r="C8326" i="3"/>
  <c r="B8326" i="3"/>
  <c r="D8325" i="3"/>
  <c r="C8325" i="3"/>
  <c r="B8325" i="3"/>
  <c r="D8324" i="3"/>
  <c r="C8324" i="3"/>
  <c r="B8324" i="3"/>
  <c r="D8323" i="3"/>
  <c r="C8323" i="3"/>
  <c r="B8323" i="3"/>
  <c r="D8322" i="3"/>
  <c r="C8322" i="3"/>
  <c r="B8322" i="3"/>
  <c r="D8321" i="3"/>
  <c r="C8321" i="3"/>
  <c r="B8321" i="3"/>
  <c r="D8320" i="3"/>
  <c r="C8320" i="3"/>
  <c r="B8320" i="3"/>
  <c r="D8319" i="3"/>
  <c r="C8319" i="3"/>
  <c r="B8319" i="3"/>
  <c r="D8318" i="3"/>
  <c r="C8318" i="3"/>
  <c r="B8318" i="3"/>
  <c r="D8317" i="3"/>
  <c r="C8317" i="3"/>
  <c r="B8317" i="3"/>
  <c r="D8316" i="3"/>
  <c r="C8316" i="3"/>
  <c r="B8316" i="3"/>
  <c r="D8315" i="3"/>
  <c r="C8315" i="3"/>
  <c r="B8315" i="3"/>
  <c r="D8314" i="3"/>
  <c r="C8314" i="3"/>
  <c r="B8314" i="3"/>
  <c r="D8313" i="3"/>
  <c r="C8313" i="3"/>
  <c r="B8313" i="3"/>
  <c r="D8312" i="3"/>
  <c r="C8312" i="3"/>
  <c r="B8312" i="3"/>
  <c r="D8311" i="3"/>
  <c r="C8311" i="3"/>
  <c r="B8311" i="3"/>
  <c r="D8310" i="3"/>
  <c r="C8310" i="3"/>
  <c r="B8310" i="3"/>
  <c r="D8309" i="3"/>
  <c r="C8309" i="3"/>
  <c r="B8309" i="3"/>
  <c r="D8308" i="3"/>
  <c r="C8308" i="3"/>
  <c r="B8308" i="3"/>
  <c r="D8307" i="3"/>
  <c r="C8307" i="3"/>
  <c r="B8307" i="3"/>
  <c r="D8306" i="3"/>
  <c r="C8306" i="3"/>
  <c r="B8306" i="3"/>
  <c r="D8305" i="3"/>
  <c r="C8305" i="3"/>
  <c r="B8305" i="3"/>
  <c r="D8304" i="3"/>
  <c r="C8304" i="3"/>
  <c r="B8304" i="3"/>
  <c r="D8303" i="3"/>
  <c r="C8303" i="3"/>
  <c r="B8303" i="3"/>
  <c r="D8302" i="3"/>
  <c r="C8302" i="3"/>
  <c r="B8302" i="3"/>
  <c r="D8301" i="3"/>
  <c r="C8301" i="3"/>
  <c r="B8301" i="3"/>
  <c r="D8300" i="3"/>
  <c r="C8300" i="3"/>
  <c r="B8300" i="3"/>
  <c r="D8299" i="3"/>
  <c r="C8299" i="3"/>
  <c r="B8299" i="3"/>
  <c r="D8298" i="3"/>
  <c r="C8298" i="3"/>
  <c r="B8298" i="3"/>
  <c r="D8297" i="3"/>
  <c r="C8297" i="3"/>
  <c r="B8297" i="3"/>
  <c r="D8296" i="3"/>
  <c r="C8296" i="3"/>
  <c r="B8296" i="3"/>
  <c r="D8295" i="3"/>
  <c r="C8295" i="3"/>
  <c r="B8295" i="3"/>
  <c r="D8294" i="3"/>
  <c r="C8294" i="3"/>
  <c r="B8294" i="3"/>
  <c r="D8293" i="3"/>
  <c r="C8293" i="3"/>
  <c r="B8293" i="3"/>
  <c r="D8292" i="3"/>
  <c r="C8292" i="3"/>
  <c r="B8292" i="3"/>
  <c r="D8291" i="3"/>
  <c r="C8291" i="3"/>
  <c r="B8291" i="3"/>
  <c r="D8290" i="3"/>
  <c r="C8290" i="3"/>
  <c r="B8290" i="3"/>
  <c r="D8289" i="3"/>
  <c r="C8289" i="3"/>
  <c r="B8289" i="3"/>
  <c r="D8288" i="3"/>
  <c r="C8288" i="3"/>
  <c r="B8288" i="3"/>
  <c r="D8287" i="3"/>
  <c r="C8287" i="3"/>
  <c r="B8287" i="3"/>
  <c r="D8286" i="3"/>
  <c r="C8286" i="3"/>
  <c r="B8286" i="3"/>
  <c r="D8285" i="3"/>
  <c r="C8285" i="3"/>
  <c r="B8285" i="3"/>
  <c r="D8284" i="3"/>
  <c r="C8284" i="3"/>
  <c r="B8284" i="3"/>
  <c r="D8283" i="3"/>
  <c r="C8283" i="3"/>
  <c r="B8283" i="3"/>
  <c r="D8282" i="3"/>
  <c r="C8282" i="3"/>
  <c r="B8282" i="3"/>
  <c r="D8281" i="3"/>
  <c r="C8281" i="3"/>
  <c r="B8281" i="3"/>
  <c r="D8280" i="3"/>
  <c r="C8280" i="3"/>
  <c r="B8280" i="3"/>
  <c r="D8279" i="3"/>
  <c r="C8279" i="3"/>
  <c r="B8279" i="3"/>
  <c r="D8278" i="3"/>
  <c r="C8278" i="3"/>
  <c r="B8278" i="3"/>
  <c r="D8277" i="3"/>
  <c r="C8277" i="3"/>
  <c r="B8277" i="3"/>
  <c r="D8276" i="3"/>
  <c r="C8276" i="3"/>
  <c r="B8276" i="3"/>
  <c r="D8275" i="3"/>
  <c r="C8275" i="3"/>
  <c r="B8275" i="3"/>
  <c r="D8274" i="3"/>
  <c r="C8274" i="3"/>
  <c r="B8274" i="3"/>
  <c r="D8273" i="3"/>
  <c r="C8273" i="3"/>
  <c r="B8273" i="3"/>
  <c r="D8272" i="3"/>
  <c r="C8272" i="3"/>
  <c r="B8272" i="3"/>
  <c r="D8271" i="3"/>
  <c r="C8271" i="3"/>
  <c r="B8271" i="3"/>
  <c r="D8270" i="3"/>
  <c r="C8270" i="3"/>
  <c r="B8270" i="3"/>
  <c r="D8269" i="3"/>
  <c r="C8269" i="3"/>
  <c r="B8269" i="3"/>
  <c r="D8268" i="3"/>
  <c r="C8268" i="3"/>
  <c r="B8268" i="3"/>
  <c r="D8267" i="3"/>
  <c r="C8267" i="3"/>
  <c r="B8267" i="3"/>
  <c r="D8266" i="3"/>
  <c r="C8266" i="3"/>
  <c r="B8266" i="3"/>
  <c r="D8265" i="3"/>
  <c r="C8265" i="3"/>
  <c r="B8265" i="3"/>
  <c r="D8264" i="3"/>
  <c r="C8264" i="3"/>
  <c r="B8264" i="3"/>
  <c r="D8263" i="3"/>
  <c r="C8263" i="3"/>
  <c r="B8263" i="3"/>
  <c r="D8262" i="3"/>
  <c r="C8262" i="3"/>
  <c r="B8262" i="3"/>
  <c r="D8261" i="3"/>
  <c r="C8261" i="3"/>
  <c r="B8261" i="3"/>
  <c r="D8260" i="3"/>
  <c r="C8260" i="3"/>
  <c r="B8260" i="3"/>
  <c r="D8259" i="3"/>
  <c r="C8259" i="3"/>
  <c r="B8259" i="3"/>
  <c r="D8258" i="3"/>
  <c r="C8258" i="3"/>
  <c r="B8258" i="3"/>
  <c r="D8257" i="3"/>
  <c r="C8257" i="3"/>
  <c r="B8257" i="3"/>
  <c r="D8256" i="3"/>
  <c r="C8256" i="3"/>
  <c r="B8256" i="3"/>
  <c r="D8255" i="3"/>
  <c r="C8255" i="3"/>
  <c r="B8255" i="3"/>
  <c r="D8254" i="3"/>
  <c r="C8254" i="3"/>
  <c r="B8254" i="3"/>
  <c r="D8253" i="3"/>
  <c r="C8253" i="3"/>
  <c r="B8253" i="3"/>
  <c r="D8252" i="3"/>
  <c r="C8252" i="3"/>
  <c r="B8252" i="3"/>
  <c r="D8251" i="3"/>
  <c r="C8251" i="3"/>
  <c r="B8251" i="3"/>
  <c r="D8250" i="3"/>
  <c r="C8250" i="3"/>
  <c r="B8250" i="3"/>
  <c r="D8249" i="3"/>
  <c r="C8249" i="3"/>
  <c r="B8249" i="3"/>
  <c r="D8248" i="3"/>
  <c r="C8248" i="3"/>
  <c r="B8248" i="3"/>
  <c r="D8247" i="3"/>
  <c r="C8247" i="3"/>
  <c r="B8247" i="3"/>
  <c r="D8246" i="3"/>
  <c r="C8246" i="3"/>
  <c r="B8246" i="3"/>
  <c r="D8245" i="3"/>
  <c r="C8245" i="3"/>
  <c r="B8245" i="3"/>
  <c r="D8244" i="3"/>
  <c r="C8244" i="3"/>
  <c r="B8244" i="3"/>
  <c r="D8243" i="3"/>
  <c r="C8243" i="3"/>
  <c r="B8243" i="3"/>
  <c r="D8242" i="3"/>
  <c r="C8242" i="3"/>
  <c r="B8242" i="3"/>
  <c r="D8241" i="3"/>
  <c r="C8241" i="3"/>
  <c r="B8241" i="3"/>
  <c r="D8240" i="3"/>
  <c r="C8240" i="3"/>
  <c r="B8240" i="3"/>
  <c r="D8239" i="3"/>
  <c r="C8239" i="3"/>
  <c r="B8239" i="3"/>
  <c r="D8238" i="3"/>
  <c r="C8238" i="3"/>
  <c r="B8238" i="3"/>
  <c r="D8237" i="3"/>
  <c r="C8237" i="3"/>
  <c r="B8237" i="3"/>
  <c r="D8236" i="3"/>
  <c r="C8236" i="3"/>
  <c r="B8236" i="3"/>
  <c r="D8235" i="3"/>
  <c r="C8235" i="3"/>
  <c r="B8235" i="3"/>
  <c r="D8234" i="3"/>
  <c r="C8234" i="3"/>
  <c r="B8234" i="3"/>
  <c r="D8233" i="3"/>
  <c r="C8233" i="3"/>
  <c r="B8233" i="3"/>
  <c r="D8232" i="3"/>
  <c r="C8232" i="3"/>
  <c r="B8232" i="3"/>
  <c r="D8231" i="3"/>
  <c r="C8231" i="3"/>
  <c r="B8231" i="3"/>
  <c r="D8230" i="3"/>
  <c r="C8230" i="3"/>
  <c r="B8230" i="3"/>
  <c r="D8229" i="3"/>
  <c r="C8229" i="3"/>
  <c r="B8229" i="3"/>
  <c r="D8228" i="3"/>
  <c r="C8228" i="3"/>
  <c r="B8228" i="3"/>
  <c r="D8227" i="3"/>
  <c r="C8227" i="3"/>
  <c r="B8227" i="3"/>
  <c r="D8226" i="3"/>
  <c r="C8226" i="3"/>
  <c r="B8226" i="3"/>
  <c r="D8225" i="3"/>
  <c r="C8225" i="3"/>
  <c r="B8225" i="3"/>
  <c r="D8224" i="3"/>
  <c r="C8224" i="3"/>
  <c r="B8224" i="3"/>
  <c r="D8223" i="3"/>
  <c r="C8223" i="3"/>
  <c r="B8223" i="3"/>
  <c r="D8222" i="3"/>
  <c r="C8222" i="3"/>
  <c r="B8222" i="3"/>
  <c r="D8221" i="3"/>
  <c r="C8221" i="3"/>
  <c r="B8221" i="3"/>
  <c r="D8220" i="3"/>
  <c r="C8220" i="3"/>
  <c r="B8220" i="3"/>
  <c r="D8219" i="3"/>
  <c r="C8219" i="3"/>
  <c r="B8219" i="3"/>
  <c r="D8218" i="3"/>
  <c r="C8218" i="3"/>
  <c r="B8218" i="3"/>
  <c r="D8217" i="3"/>
  <c r="C8217" i="3"/>
  <c r="B8217" i="3"/>
  <c r="D8216" i="3"/>
  <c r="C8216" i="3"/>
  <c r="B8216" i="3"/>
  <c r="D8215" i="3"/>
  <c r="C8215" i="3"/>
  <c r="B8215" i="3"/>
  <c r="D8214" i="3"/>
  <c r="C8214" i="3"/>
  <c r="B8214" i="3"/>
  <c r="D8213" i="3"/>
  <c r="C8213" i="3"/>
  <c r="B8213" i="3"/>
  <c r="D8212" i="3"/>
  <c r="C8212" i="3"/>
  <c r="B8212" i="3"/>
  <c r="D8211" i="3"/>
  <c r="C8211" i="3"/>
  <c r="B8211" i="3"/>
  <c r="D8210" i="3"/>
  <c r="C8210" i="3"/>
  <c r="B8210" i="3"/>
  <c r="D8209" i="3"/>
  <c r="C8209" i="3"/>
  <c r="B8209" i="3"/>
  <c r="D8208" i="3"/>
  <c r="C8208" i="3"/>
  <c r="B8208" i="3"/>
  <c r="D8207" i="3"/>
  <c r="C8207" i="3"/>
  <c r="B8207" i="3"/>
  <c r="D8206" i="3"/>
  <c r="C8206" i="3"/>
  <c r="B8206" i="3"/>
  <c r="D8205" i="3"/>
  <c r="C8205" i="3"/>
  <c r="B8205" i="3"/>
  <c r="D8204" i="3"/>
  <c r="C8204" i="3"/>
  <c r="B8204" i="3"/>
  <c r="D8203" i="3"/>
  <c r="C8203" i="3"/>
  <c r="B8203" i="3"/>
  <c r="D8202" i="3"/>
  <c r="C8202" i="3"/>
  <c r="B8202" i="3"/>
  <c r="D8201" i="3"/>
  <c r="C8201" i="3"/>
  <c r="B8201" i="3"/>
  <c r="D8200" i="3"/>
  <c r="C8200" i="3"/>
  <c r="B8200" i="3"/>
  <c r="D8199" i="3"/>
  <c r="C8199" i="3"/>
  <c r="B8199" i="3"/>
  <c r="D8198" i="3"/>
  <c r="C8198" i="3"/>
  <c r="B8198" i="3"/>
  <c r="D8197" i="3"/>
  <c r="C8197" i="3"/>
  <c r="B8197" i="3"/>
  <c r="D8196" i="3"/>
  <c r="C8196" i="3"/>
  <c r="B8196" i="3"/>
  <c r="D8195" i="3"/>
  <c r="C8195" i="3"/>
  <c r="B8195" i="3"/>
  <c r="D8194" i="3"/>
  <c r="C8194" i="3"/>
  <c r="B8194" i="3"/>
  <c r="D8193" i="3"/>
  <c r="C8193" i="3"/>
  <c r="B8193" i="3"/>
  <c r="D8192" i="3"/>
  <c r="C8192" i="3"/>
  <c r="B8192" i="3"/>
  <c r="D8191" i="3"/>
  <c r="C8191" i="3"/>
  <c r="B8191" i="3"/>
  <c r="D8190" i="3"/>
  <c r="C8190" i="3"/>
  <c r="B8190" i="3"/>
  <c r="D8189" i="3"/>
  <c r="C8189" i="3"/>
  <c r="B8189" i="3"/>
  <c r="D8188" i="3"/>
  <c r="C8188" i="3"/>
  <c r="B8188" i="3"/>
  <c r="D8187" i="3"/>
  <c r="C8187" i="3"/>
  <c r="B8187" i="3"/>
  <c r="D8186" i="3"/>
  <c r="C8186" i="3"/>
  <c r="B8186" i="3"/>
  <c r="D8185" i="3"/>
  <c r="C8185" i="3"/>
  <c r="B8185" i="3"/>
  <c r="D8184" i="3"/>
  <c r="C8184" i="3"/>
  <c r="B8184" i="3"/>
  <c r="D8183" i="3"/>
  <c r="C8183" i="3"/>
  <c r="B8183" i="3"/>
  <c r="D8182" i="3"/>
  <c r="C8182" i="3"/>
  <c r="B8182" i="3"/>
  <c r="D8181" i="3"/>
  <c r="C8181" i="3"/>
  <c r="B8181" i="3"/>
  <c r="D8180" i="3"/>
  <c r="C8180" i="3"/>
  <c r="B8180" i="3"/>
  <c r="D8179" i="3"/>
  <c r="C8179" i="3"/>
  <c r="B8179" i="3"/>
  <c r="D8178" i="3"/>
  <c r="C8178" i="3"/>
  <c r="B8178" i="3"/>
  <c r="D8177" i="3"/>
  <c r="C8177" i="3"/>
  <c r="B8177" i="3"/>
  <c r="D8176" i="3"/>
  <c r="C8176" i="3"/>
  <c r="B8176" i="3"/>
  <c r="D8175" i="3"/>
  <c r="C8175" i="3"/>
  <c r="B8175" i="3"/>
  <c r="D8174" i="3"/>
  <c r="C8174" i="3"/>
  <c r="B8174" i="3"/>
  <c r="D8173" i="3"/>
  <c r="C8173" i="3"/>
  <c r="B8173" i="3"/>
  <c r="D8172" i="3"/>
  <c r="C8172" i="3"/>
  <c r="B8172" i="3"/>
  <c r="D8171" i="3"/>
  <c r="C8171" i="3"/>
  <c r="B8171" i="3"/>
  <c r="D8170" i="3"/>
  <c r="C8170" i="3"/>
  <c r="B8170" i="3"/>
  <c r="D8169" i="3"/>
  <c r="C8169" i="3"/>
  <c r="B8169" i="3"/>
  <c r="D8168" i="3"/>
  <c r="C8168" i="3"/>
  <c r="B8168" i="3"/>
  <c r="D8167" i="3"/>
  <c r="C8167" i="3"/>
  <c r="B8167" i="3"/>
  <c r="D8166" i="3"/>
  <c r="C8166" i="3"/>
  <c r="B8166" i="3"/>
  <c r="D8165" i="3"/>
  <c r="C8165" i="3"/>
  <c r="B8165" i="3"/>
  <c r="D8164" i="3"/>
  <c r="C8164" i="3"/>
  <c r="B8164" i="3"/>
  <c r="D8163" i="3"/>
  <c r="C8163" i="3"/>
  <c r="B8163" i="3"/>
  <c r="D8162" i="3"/>
  <c r="C8162" i="3"/>
  <c r="B8162" i="3"/>
  <c r="D8161" i="3"/>
  <c r="C8161" i="3"/>
  <c r="B8161" i="3"/>
  <c r="D8160" i="3"/>
  <c r="C8160" i="3"/>
  <c r="B8160" i="3"/>
  <c r="D8159" i="3"/>
  <c r="C8159" i="3"/>
  <c r="B8159" i="3"/>
  <c r="D8158" i="3"/>
  <c r="C8158" i="3"/>
  <c r="B8158" i="3"/>
  <c r="D8157" i="3"/>
  <c r="C8157" i="3"/>
  <c r="B8157" i="3"/>
  <c r="D8156" i="3"/>
  <c r="C8156" i="3"/>
  <c r="B8156" i="3"/>
  <c r="D8155" i="3"/>
  <c r="C8155" i="3"/>
  <c r="B8155" i="3"/>
  <c r="D8154" i="3"/>
  <c r="C8154" i="3"/>
  <c r="B8154" i="3"/>
  <c r="D8153" i="3"/>
  <c r="C8153" i="3"/>
  <c r="B8153" i="3"/>
  <c r="D8152" i="3"/>
  <c r="C8152" i="3"/>
  <c r="B8152" i="3"/>
  <c r="D8151" i="3"/>
  <c r="C8151" i="3"/>
  <c r="B8151" i="3"/>
  <c r="D8150" i="3"/>
  <c r="C8150" i="3"/>
  <c r="B8150" i="3"/>
  <c r="D8149" i="3"/>
  <c r="C8149" i="3"/>
  <c r="B8149" i="3"/>
  <c r="D8148" i="3"/>
  <c r="C8148" i="3"/>
  <c r="B8148" i="3"/>
  <c r="D8147" i="3"/>
  <c r="C8147" i="3"/>
  <c r="B8147" i="3"/>
  <c r="D8146" i="3"/>
  <c r="C8146" i="3"/>
  <c r="B8146" i="3"/>
  <c r="D8145" i="3"/>
  <c r="C8145" i="3"/>
  <c r="B8145" i="3"/>
  <c r="D8144" i="3"/>
  <c r="C8144" i="3"/>
  <c r="B8144" i="3"/>
  <c r="D8143" i="3"/>
  <c r="C8143" i="3"/>
  <c r="B8143" i="3"/>
  <c r="D8142" i="3"/>
  <c r="C8142" i="3"/>
  <c r="B8142" i="3"/>
  <c r="D8141" i="3"/>
  <c r="C8141" i="3"/>
  <c r="B8141" i="3"/>
  <c r="D8140" i="3"/>
  <c r="C8140" i="3"/>
  <c r="B8140" i="3"/>
  <c r="D8139" i="3"/>
  <c r="C8139" i="3"/>
  <c r="B8139" i="3"/>
  <c r="D8138" i="3"/>
  <c r="C8138" i="3"/>
  <c r="B8138" i="3"/>
  <c r="D8137" i="3"/>
  <c r="C8137" i="3"/>
  <c r="B8137" i="3"/>
  <c r="D8136" i="3"/>
  <c r="C8136" i="3"/>
  <c r="B8136" i="3"/>
  <c r="D8135" i="3"/>
  <c r="C8135" i="3"/>
  <c r="B8135" i="3"/>
  <c r="D8134" i="3"/>
  <c r="C8134" i="3"/>
  <c r="B8134" i="3"/>
  <c r="D8133" i="3"/>
  <c r="C8133" i="3"/>
  <c r="B8133" i="3"/>
  <c r="D8132" i="3"/>
  <c r="C8132" i="3"/>
  <c r="B8132" i="3"/>
  <c r="D8131" i="3"/>
  <c r="C8131" i="3"/>
  <c r="B8131" i="3"/>
  <c r="D8130" i="3"/>
  <c r="C8130" i="3"/>
  <c r="B8130" i="3"/>
  <c r="D8129" i="3"/>
  <c r="C8129" i="3"/>
  <c r="B8129" i="3"/>
  <c r="D8128" i="3"/>
  <c r="C8128" i="3"/>
  <c r="B8128" i="3"/>
  <c r="D8127" i="3"/>
  <c r="C8127" i="3"/>
  <c r="B8127" i="3"/>
  <c r="D8126" i="3"/>
  <c r="C8126" i="3"/>
  <c r="B8126" i="3"/>
  <c r="D8125" i="3"/>
  <c r="C8125" i="3"/>
  <c r="B8125" i="3"/>
  <c r="D8124" i="3"/>
  <c r="C8124" i="3"/>
  <c r="B8124" i="3"/>
  <c r="D8123" i="3"/>
  <c r="C8123" i="3"/>
  <c r="B8123" i="3"/>
  <c r="D8122" i="3"/>
  <c r="C8122" i="3"/>
  <c r="B8122" i="3"/>
  <c r="D8121" i="3"/>
  <c r="C8121" i="3"/>
  <c r="B8121" i="3"/>
  <c r="D8120" i="3"/>
  <c r="C8120" i="3"/>
  <c r="B8120" i="3"/>
  <c r="D8119" i="3"/>
  <c r="C8119" i="3"/>
  <c r="B8119" i="3"/>
  <c r="D8118" i="3"/>
  <c r="C8118" i="3"/>
  <c r="B8118" i="3"/>
  <c r="D8117" i="3"/>
  <c r="C8117" i="3"/>
  <c r="B8117" i="3"/>
  <c r="D8116" i="3"/>
  <c r="C8116" i="3"/>
  <c r="B8116" i="3"/>
  <c r="D8115" i="3"/>
  <c r="C8115" i="3"/>
  <c r="B8115" i="3"/>
  <c r="D8114" i="3"/>
  <c r="C8114" i="3"/>
  <c r="B8114" i="3"/>
  <c r="D8113" i="3"/>
  <c r="C8113" i="3"/>
  <c r="B8113" i="3"/>
  <c r="D8112" i="3"/>
  <c r="C8112" i="3"/>
  <c r="B8112" i="3"/>
  <c r="D8111" i="3"/>
  <c r="C8111" i="3"/>
  <c r="B8111" i="3"/>
  <c r="D8110" i="3"/>
  <c r="C8110" i="3"/>
  <c r="B8110" i="3"/>
  <c r="D8109" i="3"/>
  <c r="C8109" i="3"/>
  <c r="B8109" i="3"/>
  <c r="D8108" i="3"/>
  <c r="C8108" i="3"/>
  <c r="B8108" i="3"/>
  <c r="D8107" i="3"/>
  <c r="C8107" i="3"/>
  <c r="B8107" i="3"/>
  <c r="D8106" i="3"/>
  <c r="C8106" i="3"/>
  <c r="B8106" i="3"/>
  <c r="D8105" i="3"/>
  <c r="C8105" i="3"/>
  <c r="B8105" i="3"/>
  <c r="D8104" i="3"/>
  <c r="C8104" i="3"/>
  <c r="B8104" i="3"/>
  <c r="D8103" i="3"/>
  <c r="C8103" i="3"/>
  <c r="B8103" i="3"/>
  <c r="D8102" i="3"/>
  <c r="C8102" i="3"/>
  <c r="B8102" i="3"/>
  <c r="D8101" i="3"/>
  <c r="C8101" i="3"/>
  <c r="B8101" i="3"/>
  <c r="D8100" i="3"/>
  <c r="C8100" i="3"/>
  <c r="B8100" i="3"/>
  <c r="D8099" i="3"/>
  <c r="C8099" i="3"/>
  <c r="B8099" i="3"/>
  <c r="D8098" i="3"/>
  <c r="C8098" i="3"/>
  <c r="B8098" i="3"/>
  <c r="D8097" i="3"/>
  <c r="C8097" i="3"/>
  <c r="B8097" i="3"/>
  <c r="D8096" i="3"/>
  <c r="C8096" i="3"/>
  <c r="B8096" i="3"/>
  <c r="D8095" i="3"/>
  <c r="C8095" i="3"/>
  <c r="B8095" i="3"/>
  <c r="D8094" i="3"/>
  <c r="C8094" i="3"/>
  <c r="B8094" i="3"/>
  <c r="D8093" i="3"/>
  <c r="C8093" i="3"/>
  <c r="B8093" i="3"/>
  <c r="D8092" i="3"/>
  <c r="C8092" i="3"/>
  <c r="B8092" i="3"/>
  <c r="D8091" i="3"/>
  <c r="C8091" i="3"/>
  <c r="B8091" i="3"/>
  <c r="D8090" i="3"/>
  <c r="C8090" i="3"/>
  <c r="B8090" i="3"/>
  <c r="D8089" i="3"/>
  <c r="C8089" i="3"/>
  <c r="B8089" i="3"/>
  <c r="D8088" i="3"/>
  <c r="C8088" i="3"/>
  <c r="B8088" i="3"/>
  <c r="D8087" i="3"/>
  <c r="C8087" i="3"/>
  <c r="B8087" i="3"/>
  <c r="D8086" i="3"/>
  <c r="C8086" i="3"/>
  <c r="B8086" i="3"/>
  <c r="D8085" i="3"/>
  <c r="C8085" i="3"/>
  <c r="B8085" i="3"/>
  <c r="D8084" i="3"/>
  <c r="C8084" i="3"/>
  <c r="B8084" i="3"/>
  <c r="D8083" i="3"/>
  <c r="C8083" i="3"/>
  <c r="B8083" i="3"/>
  <c r="D8082" i="3"/>
  <c r="C8082" i="3"/>
  <c r="B8082" i="3"/>
  <c r="D8081" i="3"/>
  <c r="C8081" i="3"/>
  <c r="B8081" i="3"/>
  <c r="D8080" i="3"/>
  <c r="C8080" i="3"/>
  <c r="B8080" i="3"/>
  <c r="D8079" i="3"/>
  <c r="C8079" i="3"/>
  <c r="B8079" i="3"/>
  <c r="D8078" i="3"/>
  <c r="C8078" i="3"/>
  <c r="B8078" i="3"/>
  <c r="D8077" i="3"/>
  <c r="C8077" i="3"/>
  <c r="B8077" i="3"/>
  <c r="D8076" i="3"/>
  <c r="C8076" i="3"/>
  <c r="B8076" i="3"/>
  <c r="D8075" i="3"/>
  <c r="C8075" i="3"/>
  <c r="B8075" i="3"/>
  <c r="D8074" i="3"/>
  <c r="C8074" i="3"/>
  <c r="B8074" i="3"/>
  <c r="D8073" i="3"/>
  <c r="C8073" i="3"/>
  <c r="B8073" i="3"/>
  <c r="D8072" i="3"/>
  <c r="C8072" i="3"/>
  <c r="B8072" i="3"/>
  <c r="D8071" i="3"/>
  <c r="C8071" i="3"/>
  <c r="B8071" i="3"/>
  <c r="D8070" i="3"/>
  <c r="C8070" i="3"/>
  <c r="B8070" i="3"/>
  <c r="D8069" i="3"/>
  <c r="C8069" i="3"/>
  <c r="B8069" i="3"/>
  <c r="D8068" i="3"/>
  <c r="C8068" i="3"/>
  <c r="B8068" i="3"/>
  <c r="D8067" i="3"/>
  <c r="C8067" i="3"/>
  <c r="B8067" i="3"/>
  <c r="D8066" i="3"/>
  <c r="C8066" i="3"/>
  <c r="B8066" i="3"/>
  <c r="D8065" i="3"/>
  <c r="C8065" i="3"/>
  <c r="B8065" i="3"/>
  <c r="D8064" i="3"/>
  <c r="C8064" i="3"/>
  <c r="B8064" i="3"/>
  <c r="D8063" i="3"/>
  <c r="C8063" i="3"/>
  <c r="B8063" i="3"/>
  <c r="D8062" i="3"/>
  <c r="C8062" i="3"/>
  <c r="B8062" i="3"/>
  <c r="D8061" i="3"/>
  <c r="C8061" i="3"/>
  <c r="B8061" i="3"/>
  <c r="D8060" i="3"/>
  <c r="C8060" i="3"/>
  <c r="B8060" i="3"/>
  <c r="D8059" i="3"/>
  <c r="C8059" i="3"/>
  <c r="B8059" i="3"/>
  <c r="D8058" i="3"/>
  <c r="C8058" i="3"/>
  <c r="B8058" i="3"/>
  <c r="D8057" i="3"/>
  <c r="C8057" i="3"/>
  <c r="B8057" i="3"/>
  <c r="D8056" i="3"/>
  <c r="C8056" i="3"/>
  <c r="B8056" i="3"/>
  <c r="D8055" i="3"/>
  <c r="C8055" i="3"/>
  <c r="B8055" i="3"/>
  <c r="D8054" i="3"/>
  <c r="C8054" i="3"/>
  <c r="B8054" i="3"/>
  <c r="D8053" i="3"/>
  <c r="C8053" i="3"/>
  <c r="B8053" i="3"/>
  <c r="D8052" i="3"/>
  <c r="C8052" i="3"/>
  <c r="B8052" i="3"/>
  <c r="D8051" i="3"/>
  <c r="C8051" i="3"/>
  <c r="B8051" i="3"/>
  <c r="D8050" i="3"/>
  <c r="C8050" i="3"/>
  <c r="B8050" i="3"/>
  <c r="D8049" i="3"/>
  <c r="C8049" i="3"/>
  <c r="B8049" i="3"/>
  <c r="D8048" i="3"/>
  <c r="C8048" i="3"/>
  <c r="B8048" i="3"/>
  <c r="D8047" i="3"/>
  <c r="C8047" i="3"/>
  <c r="B8047" i="3"/>
  <c r="D8046" i="3"/>
  <c r="C8046" i="3"/>
  <c r="B8046" i="3"/>
  <c r="D8045" i="3"/>
  <c r="C8045" i="3"/>
  <c r="B8045" i="3"/>
  <c r="D8044" i="3"/>
  <c r="C8044" i="3"/>
  <c r="B8044" i="3"/>
  <c r="D8043" i="3"/>
  <c r="C8043" i="3"/>
  <c r="B8043" i="3"/>
  <c r="D8042" i="3"/>
  <c r="C8042" i="3"/>
  <c r="B8042" i="3"/>
  <c r="D8041" i="3"/>
  <c r="C8041" i="3"/>
  <c r="B8041" i="3"/>
  <c r="D8040" i="3"/>
  <c r="C8040" i="3"/>
  <c r="B8040" i="3"/>
  <c r="D8039" i="3"/>
  <c r="C8039" i="3"/>
  <c r="B8039" i="3"/>
  <c r="D8038" i="3"/>
  <c r="C8038" i="3"/>
  <c r="B8038" i="3"/>
  <c r="D8037" i="3"/>
  <c r="C8037" i="3"/>
  <c r="B8037" i="3"/>
  <c r="D8036" i="3"/>
  <c r="C8036" i="3"/>
  <c r="B8036" i="3"/>
  <c r="D8035" i="3"/>
  <c r="C8035" i="3"/>
  <c r="B8035" i="3"/>
  <c r="D8034" i="3"/>
  <c r="C8034" i="3"/>
  <c r="B8034" i="3"/>
  <c r="D8033" i="3"/>
  <c r="C8033" i="3"/>
  <c r="B8033" i="3"/>
  <c r="D8032" i="3"/>
  <c r="C8032" i="3"/>
  <c r="B8032" i="3"/>
  <c r="D8031" i="3"/>
  <c r="C8031" i="3"/>
  <c r="B8031" i="3"/>
  <c r="D8030" i="3"/>
  <c r="C8030" i="3"/>
  <c r="B8030" i="3"/>
  <c r="D8029" i="3"/>
  <c r="C8029" i="3"/>
  <c r="B8029" i="3"/>
  <c r="D8028" i="3"/>
  <c r="C8028" i="3"/>
  <c r="B8028" i="3"/>
  <c r="D8027" i="3"/>
  <c r="C8027" i="3"/>
  <c r="B8027" i="3"/>
  <c r="D8026" i="3"/>
  <c r="C8026" i="3"/>
  <c r="B8026" i="3"/>
  <c r="D8025" i="3"/>
  <c r="C8025" i="3"/>
  <c r="B8025" i="3"/>
  <c r="D8024" i="3"/>
  <c r="C8024" i="3"/>
  <c r="B8024" i="3"/>
  <c r="D8023" i="3"/>
  <c r="C8023" i="3"/>
  <c r="B8023" i="3"/>
  <c r="D8022" i="3"/>
  <c r="C8022" i="3"/>
  <c r="B8022" i="3"/>
  <c r="D8021" i="3"/>
  <c r="C8021" i="3"/>
  <c r="B8021" i="3"/>
  <c r="D8020" i="3"/>
  <c r="C8020" i="3"/>
  <c r="B8020" i="3"/>
  <c r="D8019" i="3"/>
  <c r="C8019" i="3"/>
  <c r="B8019" i="3"/>
  <c r="D8018" i="3"/>
  <c r="C8018" i="3"/>
  <c r="B8018" i="3"/>
  <c r="D8017" i="3"/>
  <c r="C8017" i="3"/>
  <c r="B8017" i="3"/>
  <c r="D8016" i="3"/>
  <c r="C8016" i="3"/>
  <c r="B8016" i="3"/>
  <c r="D8015" i="3"/>
  <c r="C8015" i="3"/>
  <c r="B8015" i="3"/>
  <c r="D8014" i="3"/>
  <c r="C8014" i="3"/>
  <c r="B8014" i="3"/>
  <c r="D8013" i="3"/>
  <c r="C8013" i="3"/>
  <c r="B8013" i="3"/>
  <c r="D8012" i="3"/>
  <c r="C8012" i="3"/>
  <c r="B8012" i="3"/>
  <c r="D8011" i="3"/>
  <c r="C8011" i="3"/>
  <c r="B8011" i="3"/>
  <c r="D8010" i="3"/>
  <c r="C8010" i="3"/>
  <c r="B8010" i="3"/>
  <c r="D8009" i="3"/>
  <c r="C8009" i="3"/>
  <c r="B8009" i="3"/>
  <c r="D8008" i="3"/>
  <c r="C8008" i="3"/>
  <c r="B8008" i="3"/>
  <c r="D8007" i="3"/>
  <c r="C8007" i="3"/>
  <c r="B8007" i="3"/>
  <c r="D8006" i="3"/>
  <c r="C8006" i="3"/>
  <c r="B8006" i="3"/>
  <c r="D8005" i="3"/>
  <c r="C8005" i="3"/>
  <c r="B8005" i="3"/>
  <c r="D8004" i="3"/>
  <c r="C8004" i="3"/>
  <c r="B8004" i="3"/>
  <c r="D8003" i="3"/>
  <c r="C8003" i="3"/>
  <c r="B8003" i="3"/>
  <c r="D8002" i="3"/>
  <c r="C8002" i="3"/>
  <c r="B8002" i="3"/>
  <c r="D8001" i="3"/>
  <c r="C8001" i="3"/>
  <c r="B8001" i="3"/>
  <c r="D8000" i="3"/>
  <c r="C8000" i="3"/>
  <c r="B8000" i="3"/>
  <c r="D7999" i="3"/>
  <c r="C7999" i="3"/>
  <c r="B7999" i="3"/>
  <c r="D7998" i="3"/>
  <c r="C7998" i="3"/>
  <c r="B7998" i="3"/>
  <c r="D7997" i="3"/>
  <c r="C7997" i="3"/>
  <c r="B7997" i="3"/>
  <c r="D7996" i="3"/>
  <c r="C7996" i="3"/>
  <c r="B7996" i="3"/>
  <c r="D7995" i="3"/>
  <c r="C7995" i="3"/>
  <c r="B7995" i="3"/>
  <c r="D7994" i="3"/>
  <c r="C7994" i="3"/>
  <c r="B7994" i="3"/>
  <c r="D7993" i="3"/>
  <c r="C7993" i="3"/>
  <c r="B7993" i="3"/>
  <c r="D7992" i="3"/>
  <c r="C7992" i="3"/>
  <c r="B7992" i="3"/>
  <c r="D7991" i="3"/>
  <c r="C7991" i="3"/>
  <c r="B7991" i="3"/>
  <c r="D7990" i="3"/>
  <c r="C7990" i="3"/>
  <c r="B7990" i="3"/>
  <c r="D7989" i="3"/>
  <c r="C7989" i="3"/>
  <c r="B7989" i="3"/>
  <c r="D7988" i="3"/>
  <c r="C7988" i="3"/>
  <c r="B7988" i="3"/>
  <c r="D7987" i="3"/>
  <c r="C7987" i="3"/>
  <c r="B7987" i="3"/>
  <c r="D7986" i="3"/>
  <c r="C7986" i="3"/>
  <c r="B7986" i="3"/>
  <c r="D7985" i="3"/>
  <c r="C7985" i="3"/>
  <c r="B7985" i="3"/>
  <c r="D7984" i="3"/>
  <c r="C7984" i="3"/>
  <c r="B7984" i="3"/>
  <c r="D7983" i="3"/>
  <c r="C7983" i="3"/>
  <c r="B7983" i="3"/>
  <c r="D7982" i="3"/>
  <c r="C7982" i="3"/>
  <c r="B7982" i="3"/>
  <c r="D7981" i="3"/>
  <c r="C7981" i="3"/>
  <c r="B7981" i="3"/>
  <c r="D7980" i="3"/>
  <c r="C7980" i="3"/>
  <c r="B7980" i="3"/>
  <c r="D7979" i="3"/>
  <c r="C7979" i="3"/>
  <c r="B7979" i="3"/>
  <c r="D7978" i="3"/>
  <c r="C7978" i="3"/>
  <c r="B7978" i="3"/>
  <c r="D7977" i="3"/>
  <c r="C7977" i="3"/>
  <c r="B7977" i="3"/>
  <c r="D7976" i="3"/>
  <c r="C7976" i="3"/>
  <c r="B7976" i="3"/>
  <c r="D7975" i="3"/>
  <c r="C7975" i="3"/>
  <c r="B7975" i="3"/>
  <c r="D7974" i="3"/>
  <c r="C7974" i="3"/>
  <c r="B7974" i="3"/>
  <c r="D7973" i="3"/>
  <c r="C7973" i="3"/>
  <c r="B7973" i="3"/>
  <c r="D7972" i="3"/>
  <c r="C7972" i="3"/>
  <c r="B7972" i="3"/>
  <c r="D7971" i="3"/>
  <c r="C7971" i="3"/>
  <c r="B7971" i="3"/>
  <c r="D7970" i="3"/>
  <c r="C7970" i="3"/>
  <c r="B7970" i="3"/>
  <c r="D7969" i="3"/>
  <c r="C7969" i="3"/>
  <c r="B7969" i="3"/>
  <c r="D7968" i="3"/>
  <c r="C7968" i="3"/>
  <c r="B7968" i="3"/>
  <c r="D7967" i="3"/>
  <c r="C7967" i="3"/>
  <c r="B7967" i="3"/>
  <c r="D7966" i="3"/>
  <c r="C7966" i="3"/>
  <c r="B7966" i="3"/>
  <c r="D7965" i="3"/>
  <c r="C7965" i="3"/>
  <c r="B7965" i="3"/>
  <c r="D7964" i="3"/>
  <c r="C7964" i="3"/>
  <c r="B7964" i="3"/>
  <c r="D7963" i="3"/>
  <c r="C7963" i="3"/>
  <c r="B7963" i="3"/>
  <c r="D7962" i="3"/>
  <c r="C7962" i="3"/>
  <c r="B7962" i="3"/>
  <c r="D7961" i="3"/>
  <c r="C7961" i="3"/>
  <c r="B7961" i="3"/>
  <c r="D7960" i="3"/>
  <c r="C7960" i="3"/>
  <c r="B7960" i="3"/>
  <c r="D7959" i="3"/>
  <c r="C7959" i="3"/>
  <c r="B7959" i="3"/>
  <c r="D7958" i="3"/>
  <c r="C7958" i="3"/>
  <c r="B7958" i="3"/>
  <c r="D7957" i="3"/>
  <c r="C7957" i="3"/>
  <c r="B7957" i="3"/>
  <c r="D7956" i="3"/>
  <c r="C7956" i="3"/>
  <c r="B7956" i="3"/>
  <c r="D7955" i="3"/>
  <c r="C7955" i="3"/>
  <c r="B7955" i="3"/>
  <c r="D7954" i="3"/>
  <c r="C7954" i="3"/>
  <c r="B7954" i="3"/>
  <c r="D7953" i="3"/>
  <c r="C7953" i="3"/>
  <c r="B7953" i="3"/>
  <c r="D7952" i="3"/>
  <c r="C7952" i="3"/>
  <c r="B7952" i="3"/>
  <c r="D7951" i="3"/>
  <c r="C7951" i="3"/>
  <c r="B7951" i="3"/>
  <c r="D7950" i="3"/>
  <c r="C7950" i="3"/>
  <c r="B7950" i="3"/>
  <c r="D7949" i="3"/>
  <c r="C7949" i="3"/>
  <c r="B7949" i="3"/>
  <c r="D7948" i="3"/>
  <c r="C7948" i="3"/>
  <c r="B7948" i="3"/>
  <c r="D7947" i="3"/>
  <c r="C7947" i="3"/>
  <c r="B7947" i="3"/>
  <c r="D7946" i="3"/>
  <c r="C7946" i="3"/>
  <c r="B7946" i="3"/>
  <c r="D7945" i="3"/>
  <c r="C7945" i="3"/>
  <c r="B7945" i="3"/>
  <c r="D7944" i="3"/>
  <c r="C7944" i="3"/>
  <c r="B7944" i="3"/>
  <c r="D7943" i="3"/>
  <c r="C7943" i="3"/>
  <c r="B7943" i="3"/>
  <c r="D7942" i="3"/>
  <c r="C7942" i="3"/>
  <c r="B7942" i="3"/>
  <c r="D7941" i="3"/>
  <c r="C7941" i="3"/>
  <c r="B7941" i="3"/>
  <c r="D7940" i="3"/>
  <c r="C7940" i="3"/>
  <c r="B7940" i="3"/>
  <c r="D7939" i="3"/>
  <c r="C7939" i="3"/>
  <c r="B7939" i="3"/>
  <c r="D7938" i="3"/>
  <c r="C7938" i="3"/>
  <c r="B7938" i="3"/>
  <c r="D7937" i="3"/>
  <c r="C7937" i="3"/>
  <c r="B7937" i="3"/>
  <c r="D7936" i="3"/>
  <c r="C7936" i="3"/>
  <c r="B7936" i="3"/>
  <c r="D7935" i="3"/>
  <c r="C7935" i="3"/>
  <c r="B7935" i="3"/>
  <c r="D7934" i="3"/>
  <c r="C7934" i="3"/>
  <c r="B7934" i="3"/>
  <c r="D7933" i="3"/>
  <c r="C7933" i="3"/>
  <c r="B7933" i="3"/>
  <c r="D7932" i="3"/>
  <c r="C7932" i="3"/>
  <c r="B7932" i="3"/>
  <c r="D7931" i="3"/>
  <c r="C7931" i="3"/>
  <c r="B7931" i="3"/>
  <c r="D7930" i="3"/>
  <c r="C7930" i="3"/>
  <c r="B7930" i="3"/>
  <c r="D7929" i="3"/>
  <c r="C7929" i="3"/>
  <c r="B7929" i="3"/>
  <c r="D7928" i="3"/>
  <c r="C7928" i="3"/>
  <c r="B7928" i="3"/>
  <c r="D7927" i="3"/>
  <c r="C7927" i="3"/>
  <c r="B7927" i="3"/>
  <c r="D7926" i="3"/>
  <c r="C7926" i="3"/>
  <c r="B7926" i="3"/>
  <c r="D7925" i="3"/>
  <c r="C7925" i="3"/>
  <c r="B7925" i="3"/>
  <c r="D7924" i="3"/>
  <c r="C7924" i="3"/>
  <c r="B7924" i="3"/>
  <c r="D7923" i="3"/>
  <c r="C7923" i="3"/>
  <c r="B7923" i="3"/>
  <c r="D7922" i="3"/>
  <c r="C7922" i="3"/>
  <c r="B7922" i="3"/>
  <c r="D7921" i="3"/>
  <c r="C7921" i="3"/>
  <c r="B7921" i="3"/>
  <c r="D7920" i="3"/>
  <c r="C7920" i="3"/>
  <c r="B7920" i="3"/>
  <c r="D7919" i="3"/>
  <c r="C7919" i="3"/>
  <c r="B7919" i="3"/>
  <c r="D7918" i="3"/>
  <c r="C7918" i="3"/>
  <c r="B7918" i="3"/>
  <c r="D7917" i="3"/>
  <c r="C7917" i="3"/>
  <c r="B7917" i="3"/>
  <c r="D7916" i="3"/>
  <c r="C7916" i="3"/>
  <c r="B7916" i="3"/>
  <c r="D7915" i="3"/>
  <c r="C7915" i="3"/>
  <c r="B7915" i="3"/>
  <c r="D7914" i="3"/>
  <c r="C7914" i="3"/>
  <c r="B7914" i="3"/>
  <c r="D7913" i="3"/>
  <c r="C7913" i="3"/>
  <c r="B7913" i="3"/>
  <c r="D7912" i="3"/>
  <c r="C7912" i="3"/>
  <c r="B7912" i="3"/>
  <c r="D7911" i="3"/>
  <c r="C7911" i="3"/>
  <c r="B7911" i="3"/>
  <c r="D7910" i="3"/>
  <c r="C7910" i="3"/>
  <c r="B7910" i="3"/>
  <c r="D7909" i="3"/>
  <c r="C7909" i="3"/>
  <c r="B7909" i="3"/>
  <c r="D7908" i="3"/>
  <c r="C7908" i="3"/>
  <c r="B7908" i="3"/>
  <c r="D7907" i="3"/>
  <c r="C7907" i="3"/>
  <c r="B7907" i="3"/>
  <c r="D7906" i="3"/>
  <c r="C7906" i="3"/>
  <c r="B7906" i="3"/>
  <c r="D7905" i="3"/>
  <c r="C7905" i="3"/>
  <c r="B7905" i="3"/>
  <c r="D7904" i="3"/>
  <c r="C7904" i="3"/>
  <c r="B7904" i="3"/>
  <c r="D7903" i="3"/>
  <c r="C7903" i="3"/>
  <c r="B7903" i="3"/>
  <c r="D7902" i="3"/>
  <c r="C7902" i="3"/>
  <c r="B7902" i="3"/>
  <c r="D7901" i="3"/>
  <c r="C7901" i="3"/>
  <c r="B7901" i="3"/>
  <c r="D7900" i="3"/>
  <c r="C7900" i="3"/>
  <c r="B7900" i="3"/>
  <c r="D7899" i="3"/>
  <c r="C7899" i="3"/>
  <c r="B7899" i="3"/>
  <c r="D7898" i="3"/>
  <c r="C7898" i="3"/>
  <c r="B7898" i="3"/>
  <c r="D7897" i="3"/>
  <c r="C7897" i="3"/>
  <c r="B7897" i="3"/>
  <c r="D7896" i="3"/>
  <c r="C7896" i="3"/>
  <c r="B7896" i="3"/>
  <c r="D7895" i="3"/>
  <c r="C7895" i="3"/>
  <c r="B7895" i="3"/>
  <c r="D7894" i="3"/>
  <c r="C7894" i="3"/>
  <c r="B7894" i="3"/>
  <c r="D7893" i="3"/>
  <c r="C7893" i="3"/>
  <c r="B7893" i="3"/>
  <c r="D7892" i="3"/>
  <c r="C7892" i="3"/>
  <c r="B7892" i="3"/>
  <c r="D7891" i="3"/>
  <c r="C7891" i="3"/>
  <c r="B7891" i="3"/>
  <c r="D7890" i="3"/>
  <c r="C7890" i="3"/>
  <c r="B7890" i="3"/>
  <c r="D7889" i="3"/>
  <c r="C7889" i="3"/>
  <c r="B7889" i="3"/>
  <c r="D7888" i="3"/>
  <c r="C7888" i="3"/>
  <c r="B7888" i="3"/>
  <c r="D7887" i="3"/>
  <c r="C7887" i="3"/>
  <c r="B7887" i="3"/>
  <c r="D7886" i="3"/>
  <c r="C7886" i="3"/>
  <c r="B7886" i="3"/>
  <c r="D7885" i="3"/>
  <c r="C7885" i="3"/>
  <c r="B7885" i="3"/>
  <c r="D7884" i="3"/>
  <c r="C7884" i="3"/>
  <c r="B7884" i="3"/>
  <c r="D7883" i="3"/>
  <c r="C7883" i="3"/>
  <c r="B7883" i="3"/>
  <c r="D7882" i="3"/>
  <c r="C7882" i="3"/>
  <c r="B7882" i="3"/>
  <c r="D7881" i="3"/>
  <c r="C7881" i="3"/>
  <c r="B7881" i="3"/>
  <c r="D7880" i="3"/>
  <c r="C7880" i="3"/>
  <c r="B7880" i="3"/>
  <c r="D7879" i="3"/>
  <c r="C7879" i="3"/>
  <c r="B7879" i="3"/>
  <c r="D7878" i="3"/>
  <c r="C7878" i="3"/>
  <c r="B7878" i="3"/>
  <c r="D7877" i="3"/>
  <c r="C7877" i="3"/>
  <c r="B7877" i="3"/>
  <c r="D7876" i="3"/>
  <c r="C7876" i="3"/>
  <c r="B7876" i="3"/>
  <c r="D7875" i="3"/>
  <c r="C7875" i="3"/>
  <c r="B7875" i="3"/>
  <c r="D7874" i="3"/>
  <c r="C7874" i="3"/>
  <c r="B7874" i="3"/>
  <c r="D7873" i="3"/>
  <c r="C7873" i="3"/>
  <c r="B7873" i="3"/>
  <c r="D7872" i="3"/>
  <c r="C7872" i="3"/>
  <c r="B7872" i="3"/>
  <c r="D7871" i="3"/>
  <c r="C7871" i="3"/>
  <c r="B7871" i="3"/>
  <c r="D7870" i="3"/>
  <c r="C7870" i="3"/>
  <c r="B7870" i="3"/>
  <c r="D7869" i="3"/>
  <c r="C7869" i="3"/>
  <c r="B7869" i="3"/>
  <c r="D7868" i="3"/>
  <c r="C7868" i="3"/>
  <c r="B7868" i="3"/>
  <c r="D7867" i="3"/>
  <c r="C7867" i="3"/>
  <c r="B7867" i="3"/>
  <c r="D7866" i="3"/>
  <c r="C7866" i="3"/>
  <c r="B7866" i="3"/>
  <c r="D7865" i="3"/>
  <c r="C7865" i="3"/>
  <c r="B7865" i="3"/>
  <c r="D7864" i="3"/>
  <c r="C7864" i="3"/>
  <c r="B7864" i="3"/>
  <c r="D7863" i="3"/>
  <c r="C7863" i="3"/>
  <c r="B7863" i="3"/>
  <c r="D7862" i="3"/>
  <c r="C7862" i="3"/>
  <c r="B7862" i="3"/>
  <c r="D7861" i="3"/>
  <c r="C7861" i="3"/>
  <c r="B7861" i="3"/>
  <c r="D7860" i="3"/>
  <c r="C7860" i="3"/>
  <c r="B7860" i="3"/>
  <c r="D7859" i="3"/>
  <c r="C7859" i="3"/>
  <c r="B7859" i="3"/>
  <c r="D7858" i="3"/>
  <c r="C7858" i="3"/>
  <c r="B7858" i="3"/>
  <c r="D7857" i="3"/>
  <c r="C7857" i="3"/>
  <c r="B7857" i="3"/>
  <c r="D7856" i="3"/>
  <c r="C7856" i="3"/>
  <c r="B7856" i="3"/>
  <c r="D7855" i="3"/>
  <c r="C7855" i="3"/>
  <c r="B7855" i="3"/>
  <c r="D7854" i="3"/>
  <c r="C7854" i="3"/>
  <c r="B7854" i="3"/>
  <c r="D7853" i="3"/>
  <c r="C7853" i="3"/>
  <c r="B7853" i="3"/>
  <c r="D7852" i="3"/>
  <c r="C7852" i="3"/>
  <c r="B7852" i="3"/>
  <c r="D7851" i="3"/>
  <c r="C7851" i="3"/>
  <c r="B7851" i="3"/>
  <c r="D7850" i="3"/>
  <c r="C7850" i="3"/>
  <c r="B7850" i="3"/>
  <c r="D7849" i="3"/>
  <c r="C7849" i="3"/>
  <c r="B7849" i="3"/>
  <c r="D7848" i="3"/>
  <c r="C7848" i="3"/>
  <c r="B7848" i="3"/>
  <c r="D7847" i="3"/>
  <c r="C7847" i="3"/>
  <c r="B7847" i="3"/>
  <c r="D7846" i="3"/>
  <c r="C7846" i="3"/>
  <c r="B7846" i="3"/>
  <c r="D7845" i="3"/>
  <c r="C7845" i="3"/>
  <c r="B7845" i="3"/>
  <c r="D7844" i="3"/>
  <c r="C7844" i="3"/>
  <c r="B7844" i="3"/>
  <c r="D7843" i="3"/>
  <c r="C7843" i="3"/>
  <c r="B7843" i="3"/>
  <c r="D7842" i="3"/>
  <c r="C7842" i="3"/>
  <c r="B7842" i="3"/>
  <c r="D7841" i="3"/>
  <c r="C7841" i="3"/>
  <c r="B7841" i="3"/>
  <c r="D7840" i="3"/>
  <c r="C7840" i="3"/>
  <c r="B7840" i="3"/>
  <c r="D7839" i="3"/>
  <c r="C7839" i="3"/>
  <c r="B7839" i="3"/>
  <c r="D7838" i="3"/>
  <c r="C7838" i="3"/>
  <c r="B7838" i="3"/>
  <c r="D7837" i="3"/>
  <c r="C7837" i="3"/>
  <c r="B7837" i="3"/>
  <c r="D7836" i="3"/>
  <c r="C7836" i="3"/>
  <c r="B7836" i="3"/>
  <c r="D7835" i="3"/>
  <c r="C7835" i="3"/>
  <c r="B7835" i="3"/>
  <c r="D7834" i="3"/>
  <c r="C7834" i="3"/>
  <c r="B7834" i="3"/>
  <c r="D7833" i="3"/>
  <c r="C7833" i="3"/>
  <c r="B7833" i="3"/>
  <c r="D7832" i="3"/>
  <c r="C7832" i="3"/>
  <c r="B7832" i="3"/>
  <c r="D7831" i="3"/>
  <c r="C7831" i="3"/>
  <c r="B7831" i="3"/>
  <c r="D7830" i="3"/>
  <c r="C7830" i="3"/>
  <c r="B7830" i="3"/>
  <c r="D7829" i="3"/>
  <c r="C7829" i="3"/>
  <c r="B7829" i="3"/>
  <c r="D7828" i="3"/>
  <c r="C7828" i="3"/>
  <c r="B7828" i="3"/>
  <c r="D7827" i="3"/>
  <c r="C7827" i="3"/>
  <c r="B7827" i="3"/>
  <c r="D7826" i="3"/>
  <c r="C7826" i="3"/>
  <c r="B7826" i="3"/>
  <c r="D7825" i="3"/>
  <c r="C7825" i="3"/>
  <c r="B7825" i="3"/>
  <c r="D7824" i="3"/>
  <c r="C7824" i="3"/>
  <c r="B7824" i="3"/>
  <c r="D7823" i="3"/>
  <c r="C7823" i="3"/>
  <c r="B7823" i="3"/>
  <c r="D7822" i="3"/>
  <c r="C7822" i="3"/>
  <c r="B7822" i="3"/>
  <c r="D7821" i="3"/>
  <c r="C7821" i="3"/>
  <c r="B7821" i="3"/>
  <c r="D7820" i="3"/>
  <c r="C7820" i="3"/>
  <c r="B7820" i="3"/>
  <c r="D7819" i="3"/>
  <c r="C7819" i="3"/>
  <c r="B7819" i="3"/>
  <c r="D7818" i="3"/>
  <c r="C7818" i="3"/>
  <c r="B7818" i="3"/>
  <c r="D7817" i="3"/>
  <c r="C7817" i="3"/>
  <c r="B7817" i="3"/>
  <c r="D7816" i="3"/>
  <c r="C7816" i="3"/>
  <c r="B7816" i="3"/>
  <c r="D7815" i="3"/>
  <c r="C7815" i="3"/>
  <c r="B7815" i="3"/>
  <c r="D7814" i="3"/>
  <c r="C7814" i="3"/>
  <c r="B7814" i="3"/>
  <c r="D7813" i="3"/>
  <c r="C7813" i="3"/>
  <c r="B7813" i="3"/>
  <c r="D7812" i="3"/>
  <c r="C7812" i="3"/>
  <c r="B7812" i="3"/>
  <c r="D7811" i="3"/>
  <c r="C7811" i="3"/>
  <c r="B7811" i="3"/>
  <c r="D7810" i="3"/>
  <c r="C7810" i="3"/>
  <c r="B7810" i="3"/>
  <c r="D7809" i="3"/>
  <c r="C7809" i="3"/>
  <c r="B7809" i="3"/>
  <c r="D7808" i="3"/>
  <c r="C7808" i="3"/>
  <c r="B7808" i="3"/>
  <c r="D7807" i="3"/>
  <c r="C7807" i="3"/>
  <c r="B7807" i="3"/>
  <c r="D7806" i="3"/>
  <c r="C7806" i="3"/>
  <c r="B7806" i="3"/>
  <c r="D7805" i="3"/>
  <c r="C7805" i="3"/>
  <c r="B7805" i="3"/>
  <c r="D7804" i="3"/>
  <c r="C7804" i="3"/>
  <c r="B7804" i="3"/>
  <c r="D7803" i="3"/>
  <c r="C7803" i="3"/>
  <c r="B7803" i="3"/>
  <c r="D7802" i="3"/>
  <c r="C7802" i="3"/>
  <c r="B7802" i="3"/>
  <c r="D7801" i="3"/>
  <c r="C7801" i="3"/>
  <c r="B7801" i="3"/>
  <c r="D7800" i="3"/>
  <c r="C7800" i="3"/>
  <c r="B7800" i="3"/>
  <c r="D7799" i="3"/>
  <c r="C7799" i="3"/>
  <c r="B7799" i="3"/>
  <c r="D7798" i="3"/>
  <c r="C7798" i="3"/>
  <c r="B7798" i="3"/>
  <c r="D7797" i="3"/>
  <c r="C7797" i="3"/>
  <c r="B7797" i="3"/>
  <c r="D7796" i="3"/>
  <c r="C7796" i="3"/>
  <c r="B7796" i="3"/>
  <c r="D7795" i="3"/>
  <c r="C7795" i="3"/>
  <c r="B7795" i="3"/>
  <c r="D7794" i="3"/>
  <c r="C7794" i="3"/>
  <c r="B7794" i="3"/>
  <c r="D7793" i="3"/>
  <c r="C7793" i="3"/>
  <c r="B7793" i="3"/>
  <c r="D7792" i="3"/>
  <c r="C7792" i="3"/>
  <c r="B7792" i="3"/>
  <c r="D7791" i="3"/>
  <c r="C7791" i="3"/>
  <c r="B7791" i="3"/>
  <c r="D7790" i="3"/>
  <c r="C7790" i="3"/>
  <c r="B7790" i="3"/>
  <c r="D7789" i="3"/>
  <c r="C7789" i="3"/>
  <c r="B7789" i="3"/>
  <c r="D7788" i="3"/>
  <c r="C7788" i="3"/>
  <c r="B7788" i="3"/>
  <c r="D7787" i="3"/>
  <c r="C7787" i="3"/>
  <c r="B7787" i="3"/>
  <c r="D7786" i="3"/>
  <c r="C7786" i="3"/>
  <c r="B7786" i="3"/>
  <c r="D7785" i="3"/>
  <c r="C7785" i="3"/>
  <c r="B7785" i="3"/>
  <c r="D7784" i="3"/>
  <c r="C7784" i="3"/>
  <c r="B7784" i="3"/>
  <c r="D7783" i="3"/>
  <c r="C7783" i="3"/>
  <c r="B7783" i="3"/>
  <c r="D7782" i="3"/>
  <c r="C7782" i="3"/>
  <c r="B7782" i="3"/>
  <c r="D7781" i="3"/>
  <c r="C7781" i="3"/>
  <c r="B7781" i="3"/>
  <c r="D7780" i="3"/>
  <c r="C7780" i="3"/>
  <c r="B7780" i="3"/>
  <c r="D7779" i="3"/>
  <c r="C7779" i="3"/>
  <c r="B7779" i="3"/>
  <c r="D7778" i="3"/>
  <c r="C7778" i="3"/>
  <c r="B7778" i="3"/>
  <c r="D7777" i="3"/>
  <c r="C7777" i="3"/>
  <c r="B7777" i="3"/>
  <c r="D7776" i="3"/>
  <c r="C7776" i="3"/>
  <c r="B7776" i="3"/>
  <c r="D7775" i="3"/>
  <c r="C7775" i="3"/>
  <c r="B7775" i="3"/>
  <c r="D7774" i="3"/>
  <c r="C7774" i="3"/>
  <c r="B7774" i="3"/>
  <c r="D7773" i="3"/>
  <c r="C7773" i="3"/>
  <c r="B7773" i="3"/>
  <c r="D7772" i="3"/>
  <c r="C7772" i="3"/>
  <c r="B7772" i="3"/>
  <c r="D7771" i="3"/>
  <c r="C7771" i="3"/>
  <c r="B7771" i="3"/>
  <c r="D7770" i="3"/>
  <c r="C7770" i="3"/>
  <c r="B7770" i="3"/>
  <c r="D7769" i="3"/>
  <c r="C7769" i="3"/>
  <c r="B7769" i="3"/>
  <c r="D7768" i="3"/>
  <c r="C7768" i="3"/>
  <c r="B7768" i="3"/>
  <c r="D7767" i="3"/>
  <c r="C7767" i="3"/>
  <c r="B7767" i="3"/>
  <c r="D7766" i="3"/>
  <c r="C7766" i="3"/>
  <c r="B7766" i="3"/>
  <c r="D7765" i="3"/>
  <c r="C7765" i="3"/>
  <c r="B7765" i="3"/>
  <c r="D7764" i="3"/>
  <c r="C7764" i="3"/>
  <c r="B7764" i="3"/>
  <c r="D7763" i="3"/>
  <c r="C7763" i="3"/>
  <c r="B7763" i="3"/>
  <c r="D7762" i="3"/>
  <c r="C7762" i="3"/>
  <c r="B7762" i="3"/>
  <c r="D7761" i="3"/>
  <c r="C7761" i="3"/>
  <c r="B7761" i="3"/>
  <c r="D7760" i="3"/>
  <c r="C7760" i="3"/>
  <c r="B7760" i="3"/>
  <c r="D7759" i="3"/>
  <c r="C7759" i="3"/>
  <c r="B7759" i="3"/>
  <c r="D7758" i="3"/>
  <c r="C7758" i="3"/>
  <c r="B7758" i="3"/>
  <c r="D7757" i="3"/>
  <c r="C7757" i="3"/>
  <c r="B7757" i="3"/>
  <c r="D7756" i="3"/>
  <c r="C7756" i="3"/>
  <c r="B7756" i="3"/>
  <c r="D7755" i="3"/>
  <c r="C7755" i="3"/>
  <c r="B7755" i="3"/>
  <c r="D7754" i="3"/>
  <c r="C7754" i="3"/>
  <c r="B7754" i="3"/>
  <c r="D7753" i="3"/>
  <c r="C7753" i="3"/>
  <c r="B7753" i="3"/>
  <c r="D7752" i="3"/>
  <c r="C7752" i="3"/>
  <c r="B7752" i="3"/>
  <c r="D7751" i="3"/>
  <c r="C7751" i="3"/>
  <c r="B7751" i="3"/>
  <c r="D7750" i="3"/>
  <c r="C7750" i="3"/>
  <c r="B7750" i="3"/>
  <c r="D7749" i="3"/>
  <c r="C7749" i="3"/>
  <c r="B7749" i="3"/>
  <c r="D7748" i="3"/>
  <c r="C7748" i="3"/>
  <c r="B7748" i="3"/>
  <c r="D7747" i="3"/>
  <c r="C7747" i="3"/>
  <c r="B7747" i="3"/>
  <c r="D7746" i="3"/>
  <c r="C7746" i="3"/>
  <c r="B7746" i="3"/>
  <c r="D7745" i="3"/>
  <c r="C7745" i="3"/>
  <c r="B7745" i="3"/>
  <c r="D7744" i="3"/>
  <c r="C7744" i="3"/>
  <c r="B7744" i="3"/>
  <c r="D7743" i="3"/>
  <c r="C7743" i="3"/>
  <c r="B7743" i="3"/>
  <c r="D7742" i="3"/>
  <c r="C7742" i="3"/>
  <c r="B7742" i="3"/>
  <c r="D7741" i="3"/>
  <c r="C7741" i="3"/>
  <c r="B7741" i="3"/>
  <c r="D7740" i="3"/>
  <c r="C7740" i="3"/>
  <c r="B7740" i="3"/>
  <c r="D7739" i="3"/>
  <c r="C7739" i="3"/>
  <c r="B7739" i="3"/>
  <c r="D7738" i="3"/>
  <c r="C7738" i="3"/>
  <c r="B7738" i="3"/>
  <c r="D7737" i="3"/>
  <c r="C7737" i="3"/>
  <c r="B7737" i="3"/>
  <c r="D7736" i="3"/>
  <c r="C7736" i="3"/>
  <c r="B7736" i="3"/>
  <c r="D7735" i="3"/>
  <c r="C7735" i="3"/>
  <c r="B7735" i="3"/>
  <c r="D7734" i="3"/>
  <c r="C7734" i="3"/>
  <c r="B7734" i="3"/>
  <c r="D7733" i="3"/>
  <c r="C7733" i="3"/>
  <c r="B7733" i="3"/>
  <c r="D7732" i="3"/>
  <c r="C7732" i="3"/>
  <c r="B7732" i="3"/>
  <c r="D7731" i="3"/>
  <c r="C7731" i="3"/>
  <c r="B7731" i="3"/>
  <c r="D7730" i="3"/>
  <c r="C7730" i="3"/>
  <c r="B7730" i="3"/>
  <c r="D7729" i="3"/>
  <c r="C7729" i="3"/>
  <c r="B7729" i="3"/>
  <c r="D7728" i="3"/>
  <c r="C7728" i="3"/>
  <c r="B7728" i="3"/>
  <c r="D7727" i="3"/>
  <c r="C7727" i="3"/>
  <c r="B7727" i="3"/>
  <c r="D7726" i="3"/>
  <c r="C7726" i="3"/>
  <c r="B7726" i="3"/>
  <c r="D7725" i="3"/>
  <c r="C7725" i="3"/>
  <c r="B7725" i="3"/>
  <c r="D7724" i="3"/>
  <c r="C7724" i="3"/>
  <c r="B7724" i="3"/>
  <c r="D7723" i="3"/>
  <c r="C7723" i="3"/>
  <c r="B7723" i="3"/>
  <c r="D7722" i="3"/>
  <c r="C7722" i="3"/>
  <c r="B7722" i="3"/>
  <c r="D7721" i="3"/>
  <c r="C7721" i="3"/>
  <c r="B7721" i="3"/>
  <c r="D7720" i="3"/>
  <c r="C7720" i="3"/>
  <c r="B7720" i="3"/>
  <c r="D7719" i="3"/>
  <c r="C7719" i="3"/>
  <c r="B7719" i="3"/>
  <c r="D7718" i="3"/>
  <c r="C7718" i="3"/>
  <c r="B7718" i="3"/>
  <c r="D7717" i="3"/>
  <c r="C7717" i="3"/>
  <c r="B7717" i="3"/>
  <c r="D7716" i="3"/>
  <c r="C7716" i="3"/>
  <c r="B7716" i="3"/>
  <c r="D7715" i="3"/>
  <c r="C7715" i="3"/>
  <c r="B7715" i="3"/>
  <c r="D7714" i="3"/>
  <c r="C7714" i="3"/>
  <c r="B7714" i="3"/>
  <c r="D7713" i="3"/>
  <c r="C7713" i="3"/>
  <c r="B7713" i="3"/>
  <c r="D7712" i="3"/>
  <c r="C7712" i="3"/>
  <c r="B7712" i="3"/>
  <c r="D7711" i="3"/>
  <c r="C7711" i="3"/>
  <c r="B7711" i="3"/>
  <c r="D7710" i="3"/>
  <c r="C7710" i="3"/>
  <c r="B7710" i="3"/>
  <c r="D7709" i="3"/>
  <c r="C7709" i="3"/>
  <c r="B7709" i="3"/>
  <c r="D7708" i="3"/>
  <c r="C7708" i="3"/>
  <c r="B7708" i="3"/>
  <c r="D7707" i="3"/>
  <c r="C7707" i="3"/>
  <c r="B7707" i="3"/>
  <c r="D7706" i="3"/>
  <c r="C7706" i="3"/>
  <c r="B7706" i="3"/>
  <c r="D7705" i="3"/>
  <c r="C7705" i="3"/>
  <c r="B7705" i="3"/>
  <c r="D7704" i="3"/>
  <c r="C7704" i="3"/>
  <c r="B7704" i="3"/>
  <c r="D7703" i="3"/>
  <c r="C7703" i="3"/>
  <c r="B7703" i="3"/>
  <c r="D7702" i="3"/>
  <c r="C7702" i="3"/>
  <c r="B7702" i="3"/>
  <c r="D7701" i="3"/>
  <c r="C7701" i="3"/>
  <c r="B7701" i="3"/>
  <c r="D7700" i="3"/>
  <c r="C7700" i="3"/>
  <c r="B7700" i="3"/>
  <c r="D7699" i="3"/>
  <c r="C7699" i="3"/>
  <c r="B7699" i="3"/>
  <c r="D7698" i="3"/>
  <c r="C7698" i="3"/>
  <c r="B7698" i="3"/>
  <c r="D7697" i="3"/>
  <c r="C7697" i="3"/>
  <c r="B7697" i="3"/>
  <c r="D7696" i="3"/>
  <c r="C7696" i="3"/>
  <c r="B7696" i="3"/>
  <c r="D7695" i="3"/>
  <c r="C7695" i="3"/>
  <c r="B7695" i="3"/>
  <c r="D7694" i="3"/>
  <c r="C7694" i="3"/>
  <c r="B7694" i="3"/>
  <c r="D7693" i="3"/>
  <c r="C7693" i="3"/>
  <c r="B7693" i="3"/>
  <c r="D7692" i="3"/>
  <c r="C7692" i="3"/>
  <c r="B7692" i="3"/>
  <c r="D7691" i="3"/>
  <c r="C7691" i="3"/>
  <c r="B7691" i="3"/>
  <c r="D7690" i="3"/>
  <c r="C7690" i="3"/>
  <c r="B7690" i="3"/>
  <c r="D7689" i="3"/>
  <c r="C7689" i="3"/>
  <c r="B7689" i="3"/>
  <c r="D7688" i="3"/>
  <c r="C7688" i="3"/>
  <c r="B7688" i="3"/>
  <c r="D7687" i="3"/>
  <c r="C7687" i="3"/>
  <c r="B7687" i="3"/>
  <c r="D7686" i="3"/>
  <c r="C7686" i="3"/>
  <c r="B7686" i="3"/>
  <c r="D7685" i="3"/>
  <c r="C7685" i="3"/>
  <c r="B7685" i="3"/>
  <c r="D7684" i="3"/>
  <c r="C7684" i="3"/>
  <c r="B7684" i="3"/>
  <c r="D7683" i="3"/>
  <c r="C7683" i="3"/>
  <c r="B7683" i="3"/>
  <c r="D7682" i="3"/>
  <c r="C7682" i="3"/>
  <c r="B7682" i="3"/>
  <c r="D7681" i="3"/>
  <c r="C7681" i="3"/>
  <c r="B7681" i="3"/>
  <c r="D7680" i="3"/>
  <c r="C7680" i="3"/>
  <c r="B7680" i="3"/>
  <c r="D7679" i="3"/>
  <c r="C7679" i="3"/>
  <c r="B7679" i="3"/>
  <c r="D7678" i="3"/>
  <c r="C7678" i="3"/>
  <c r="B7678" i="3"/>
  <c r="D7677" i="3"/>
  <c r="C7677" i="3"/>
  <c r="B7677" i="3"/>
  <c r="D7676" i="3"/>
  <c r="C7676" i="3"/>
  <c r="B7676" i="3"/>
  <c r="D7675" i="3"/>
  <c r="C7675" i="3"/>
  <c r="B7675" i="3"/>
  <c r="D7674" i="3"/>
  <c r="C7674" i="3"/>
  <c r="B7674" i="3"/>
  <c r="D7673" i="3"/>
  <c r="C7673" i="3"/>
  <c r="B7673" i="3"/>
  <c r="D7672" i="3"/>
  <c r="C7672" i="3"/>
  <c r="B7672" i="3"/>
  <c r="D7671" i="3"/>
  <c r="C7671" i="3"/>
  <c r="B7671" i="3"/>
  <c r="D7670" i="3"/>
  <c r="C7670" i="3"/>
  <c r="B7670" i="3"/>
  <c r="D7669" i="3"/>
  <c r="C7669" i="3"/>
  <c r="B7669" i="3"/>
  <c r="D7668" i="3"/>
  <c r="C7668" i="3"/>
  <c r="B7668" i="3"/>
  <c r="D7667" i="3"/>
  <c r="C7667" i="3"/>
  <c r="B7667" i="3"/>
  <c r="D7666" i="3"/>
  <c r="C7666" i="3"/>
  <c r="B7666" i="3"/>
  <c r="D7665" i="3"/>
  <c r="C7665" i="3"/>
  <c r="B7665" i="3"/>
  <c r="D7664" i="3"/>
  <c r="C7664" i="3"/>
  <c r="B7664" i="3"/>
  <c r="D7663" i="3"/>
  <c r="C7663" i="3"/>
  <c r="B7663" i="3"/>
  <c r="D7662" i="3"/>
  <c r="C7662" i="3"/>
  <c r="B7662" i="3"/>
  <c r="D7661" i="3"/>
  <c r="C7661" i="3"/>
  <c r="B7661" i="3"/>
  <c r="D7660" i="3"/>
  <c r="C7660" i="3"/>
  <c r="B7660" i="3"/>
  <c r="D7659" i="3"/>
  <c r="C7659" i="3"/>
  <c r="B7659" i="3"/>
  <c r="D7658" i="3"/>
  <c r="C7658" i="3"/>
  <c r="B7658" i="3"/>
  <c r="D7657" i="3"/>
  <c r="C7657" i="3"/>
  <c r="B7657" i="3"/>
  <c r="D7656" i="3"/>
  <c r="C7656" i="3"/>
  <c r="B7656" i="3"/>
  <c r="D7655" i="3"/>
  <c r="C7655" i="3"/>
  <c r="B7655" i="3"/>
  <c r="D7654" i="3"/>
  <c r="C7654" i="3"/>
  <c r="B7654" i="3"/>
  <c r="D7653" i="3"/>
  <c r="C7653" i="3"/>
  <c r="B7653" i="3"/>
  <c r="D7652" i="3"/>
  <c r="C7652" i="3"/>
  <c r="B7652" i="3"/>
  <c r="D7651" i="3"/>
  <c r="C7651" i="3"/>
  <c r="B7651" i="3"/>
  <c r="D7650" i="3"/>
  <c r="C7650" i="3"/>
  <c r="B7650" i="3"/>
  <c r="D7649" i="3"/>
  <c r="C7649" i="3"/>
  <c r="B7649" i="3"/>
  <c r="D7648" i="3"/>
  <c r="C7648" i="3"/>
  <c r="B7648" i="3"/>
  <c r="D7647" i="3"/>
  <c r="C7647" i="3"/>
  <c r="B7647" i="3"/>
  <c r="D7646" i="3"/>
  <c r="C7646" i="3"/>
  <c r="B7646" i="3"/>
  <c r="D7645" i="3"/>
  <c r="C7645" i="3"/>
  <c r="B7645" i="3"/>
  <c r="D7644" i="3"/>
  <c r="C7644" i="3"/>
  <c r="B7644" i="3"/>
  <c r="D7643" i="3"/>
  <c r="C7643" i="3"/>
  <c r="B7643" i="3"/>
  <c r="D7642" i="3"/>
  <c r="C7642" i="3"/>
  <c r="B7642" i="3"/>
  <c r="D7641" i="3"/>
  <c r="C7641" i="3"/>
  <c r="B7641" i="3"/>
  <c r="D7640" i="3"/>
  <c r="C7640" i="3"/>
  <c r="B7640" i="3"/>
  <c r="D7639" i="3"/>
  <c r="C7639" i="3"/>
  <c r="B7639" i="3"/>
  <c r="D7638" i="3"/>
  <c r="C7638" i="3"/>
  <c r="B7638" i="3"/>
  <c r="D7637" i="3"/>
  <c r="C7637" i="3"/>
  <c r="B7637" i="3"/>
  <c r="D7636" i="3"/>
  <c r="C7636" i="3"/>
  <c r="B7636" i="3"/>
  <c r="D7635" i="3"/>
  <c r="C7635" i="3"/>
  <c r="B7635" i="3"/>
  <c r="D7634" i="3"/>
  <c r="C7634" i="3"/>
  <c r="B7634" i="3"/>
  <c r="D7633" i="3"/>
  <c r="C7633" i="3"/>
  <c r="B7633" i="3"/>
  <c r="D7632" i="3"/>
  <c r="C7632" i="3"/>
  <c r="B7632" i="3"/>
  <c r="D7631" i="3"/>
  <c r="C7631" i="3"/>
  <c r="B7631" i="3"/>
  <c r="D7630" i="3"/>
  <c r="C7630" i="3"/>
  <c r="B7630" i="3"/>
  <c r="D7629" i="3"/>
  <c r="C7629" i="3"/>
  <c r="B7629" i="3"/>
  <c r="D7628" i="3"/>
  <c r="C7628" i="3"/>
  <c r="B7628" i="3"/>
  <c r="D7627" i="3"/>
  <c r="C7627" i="3"/>
  <c r="B7627" i="3"/>
  <c r="D7626" i="3"/>
  <c r="C7626" i="3"/>
  <c r="B7626" i="3"/>
  <c r="D7625" i="3"/>
  <c r="C7625" i="3"/>
  <c r="B7625" i="3"/>
  <c r="D7624" i="3"/>
  <c r="C7624" i="3"/>
  <c r="B7624" i="3"/>
  <c r="D7623" i="3"/>
  <c r="C7623" i="3"/>
  <c r="B7623" i="3"/>
  <c r="D7622" i="3"/>
  <c r="C7622" i="3"/>
  <c r="B7622" i="3"/>
  <c r="D7621" i="3"/>
  <c r="C7621" i="3"/>
  <c r="B7621" i="3"/>
  <c r="D7620" i="3"/>
  <c r="C7620" i="3"/>
  <c r="B7620" i="3"/>
  <c r="D7619" i="3"/>
  <c r="C7619" i="3"/>
  <c r="B7619" i="3"/>
  <c r="D7618" i="3"/>
  <c r="C7618" i="3"/>
  <c r="B7618" i="3"/>
  <c r="D7617" i="3"/>
  <c r="C7617" i="3"/>
  <c r="B7617" i="3"/>
  <c r="D7616" i="3"/>
  <c r="C7616" i="3"/>
  <c r="B7616" i="3"/>
  <c r="D7615" i="3"/>
  <c r="C7615" i="3"/>
  <c r="B7615" i="3"/>
  <c r="D7614" i="3"/>
  <c r="C7614" i="3"/>
  <c r="B7614" i="3"/>
  <c r="D7613" i="3"/>
  <c r="C7613" i="3"/>
  <c r="B7613" i="3"/>
  <c r="D7612" i="3"/>
  <c r="C7612" i="3"/>
  <c r="B7612" i="3"/>
  <c r="D7611" i="3"/>
  <c r="C7611" i="3"/>
  <c r="B7611" i="3"/>
  <c r="D7610" i="3"/>
  <c r="C7610" i="3"/>
  <c r="B7610" i="3"/>
  <c r="D7609" i="3"/>
  <c r="C7609" i="3"/>
  <c r="B7609" i="3"/>
  <c r="D7608" i="3"/>
  <c r="C7608" i="3"/>
  <c r="B7608" i="3"/>
  <c r="D7607" i="3"/>
  <c r="C7607" i="3"/>
  <c r="B7607" i="3"/>
  <c r="D7606" i="3"/>
  <c r="C7606" i="3"/>
  <c r="B7606" i="3"/>
  <c r="D7605" i="3"/>
  <c r="C7605" i="3"/>
  <c r="B7605" i="3"/>
  <c r="D7604" i="3"/>
  <c r="C7604" i="3"/>
  <c r="B7604" i="3"/>
  <c r="D7603" i="3"/>
  <c r="C7603" i="3"/>
  <c r="B7603" i="3"/>
  <c r="D7602" i="3"/>
  <c r="C7602" i="3"/>
  <c r="B7602" i="3"/>
  <c r="D7601" i="3"/>
  <c r="C7601" i="3"/>
  <c r="B7601" i="3"/>
  <c r="D7600" i="3"/>
  <c r="C7600" i="3"/>
  <c r="B7600" i="3"/>
  <c r="D7599" i="3"/>
  <c r="C7599" i="3"/>
  <c r="B7599" i="3"/>
  <c r="D7598" i="3"/>
  <c r="C7598" i="3"/>
  <c r="B7598" i="3"/>
  <c r="D7597" i="3"/>
  <c r="C7597" i="3"/>
  <c r="B7597" i="3"/>
  <c r="D7596" i="3"/>
  <c r="C7596" i="3"/>
  <c r="B7596" i="3"/>
  <c r="D7595" i="3"/>
  <c r="C7595" i="3"/>
  <c r="B7595" i="3"/>
  <c r="D7594" i="3"/>
  <c r="C7594" i="3"/>
  <c r="B7594" i="3"/>
  <c r="D7593" i="3"/>
  <c r="C7593" i="3"/>
  <c r="B7593" i="3"/>
  <c r="D7592" i="3"/>
  <c r="C7592" i="3"/>
  <c r="B7592" i="3"/>
  <c r="D7591" i="3"/>
  <c r="C7591" i="3"/>
  <c r="B7591" i="3"/>
  <c r="D7590" i="3"/>
  <c r="C7590" i="3"/>
  <c r="B7590" i="3"/>
  <c r="D7589" i="3"/>
  <c r="C7589" i="3"/>
  <c r="B7589" i="3"/>
  <c r="D7588" i="3"/>
  <c r="C7588" i="3"/>
  <c r="B7588" i="3"/>
  <c r="D7587" i="3"/>
  <c r="C7587" i="3"/>
  <c r="B7587" i="3"/>
  <c r="D7586" i="3"/>
  <c r="C7586" i="3"/>
  <c r="B7586" i="3"/>
  <c r="D7585" i="3"/>
  <c r="C7585" i="3"/>
  <c r="B7585" i="3"/>
  <c r="D7584" i="3"/>
  <c r="C7584" i="3"/>
  <c r="B7584" i="3"/>
  <c r="D7583" i="3"/>
  <c r="C7583" i="3"/>
  <c r="B7583" i="3"/>
  <c r="D7582" i="3"/>
  <c r="C7582" i="3"/>
  <c r="B7582" i="3"/>
  <c r="D7581" i="3"/>
  <c r="C7581" i="3"/>
  <c r="B7581" i="3"/>
  <c r="D7580" i="3"/>
  <c r="C7580" i="3"/>
  <c r="B7580" i="3"/>
  <c r="D7579" i="3"/>
  <c r="C7579" i="3"/>
  <c r="B7579" i="3"/>
  <c r="D7578" i="3"/>
  <c r="C7578" i="3"/>
  <c r="B7578" i="3"/>
  <c r="D7577" i="3"/>
  <c r="C7577" i="3"/>
  <c r="B7577" i="3"/>
  <c r="D7576" i="3"/>
  <c r="C7576" i="3"/>
  <c r="B7576" i="3"/>
  <c r="D7575" i="3"/>
  <c r="C7575" i="3"/>
  <c r="B7575" i="3"/>
  <c r="D7574" i="3"/>
  <c r="C7574" i="3"/>
  <c r="B7574" i="3"/>
  <c r="D7573" i="3"/>
  <c r="C7573" i="3"/>
  <c r="B7573" i="3"/>
  <c r="D7572" i="3"/>
  <c r="C7572" i="3"/>
  <c r="B7572" i="3"/>
  <c r="D7571" i="3"/>
  <c r="C7571" i="3"/>
  <c r="B7571" i="3"/>
  <c r="D7570" i="3"/>
  <c r="C7570" i="3"/>
  <c r="B7570" i="3"/>
  <c r="D7569" i="3"/>
  <c r="C7569" i="3"/>
  <c r="B7569" i="3"/>
  <c r="D7568" i="3"/>
  <c r="C7568" i="3"/>
  <c r="B7568" i="3"/>
  <c r="D7567" i="3"/>
  <c r="C7567" i="3"/>
  <c r="B7567" i="3"/>
  <c r="D7566" i="3"/>
  <c r="C7566" i="3"/>
  <c r="B7566" i="3"/>
  <c r="D7565" i="3"/>
  <c r="C7565" i="3"/>
  <c r="B7565" i="3"/>
  <c r="D7564" i="3"/>
  <c r="C7564" i="3"/>
  <c r="B7564" i="3"/>
  <c r="D7563" i="3"/>
  <c r="C7563" i="3"/>
  <c r="B7563" i="3"/>
  <c r="D7562" i="3"/>
  <c r="C7562" i="3"/>
  <c r="B7562" i="3"/>
  <c r="D7561" i="3"/>
  <c r="C7561" i="3"/>
  <c r="B7561" i="3"/>
  <c r="D7560" i="3"/>
  <c r="C7560" i="3"/>
  <c r="B7560" i="3"/>
  <c r="D7559" i="3"/>
  <c r="C7559" i="3"/>
  <c r="B7559" i="3"/>
  <c r="D7558" i="3"/>
  <c r="C7558" i="3"/>
  <c r="B7558" i="3"/>
  <c r="D7557" i="3"/>
  <c r="C7557" i="3"/>
  <c r="B7557" i="3"/>
  <c r="D7556" i="3"/>
  <c r="C7556" i="3"/>
  <c r="B7556" i="3"/>
  <c r="D7555" i="3"/>
  <c r="C7555" i="3"/>
  <c r="B7555" i="3"/>
  <c r="D7554" i="3"/>
  <c r="C7554" i="3"/>
  <c r="B7554" i="3"/>
  <c r="D7553" i="3"/>
  <c r="C7553" i="3"/>
  <c r="B7553" i="3"/>
  <c r="D7552" i="3"/>
  <c r="C7552" i="3"/>
  <c r="B7552" i="3"/>
  <c r="D7551" i="3"/>
  <c r="C7551" i="3"/>
  <c r="B7551" i="3"/>
  <c r="D7550" i="3"/>
  <c r="C7550" i="3"/>
  <c r="B7550" i="3"/>
  <c r="D7549" i="3"/>
  <c r="C7549" i="3"/>
  <c r="B7549" i="3"/>
  <c r="D7548" i="3"/>
  <c r="C7548" i="3"/>
  <c r="B7548" i="3"/>
  <c r="D7547" i="3"/>
  <c r="C7547" i="3"/>
  <c r="B7547" i="3"/>
  <c r="D7546" i="3"/>
  <c r="C7546" i="3"/>
  <c r="B7546" i="3"/>
  <c r="D7545" i="3"/>
  <c r="C7545" i="3"/>
  <c r="B7545" i="3"/>
  <c r="D7544" i="3"/>
  <c r="C7544" i="3"/>
  <c r="B7544" i="3"/>
  <c r="D7543" i="3"/>
  <c r="C7543" i="3"/>
  <c r="B7543" i="3"/>
  <c r="D7542" i="3"/>
  <c r="C7542" i="3"/>
  <c r="B7542" i="3"/>
  <c r="D7541" i="3"/>
  <c r="C7541" i="3"/>
  <c r="B7541" i="3"/>
  <c r="D7540" i="3"/>
  <c r="C7540" i="3"/>
  <c r="B7540" i="3"/>
  <c r="D7539" i="3"/>
  <c r="C7539" i="3"/>
  <c r="B7539" i="3"/>
  <c r="D7538" i="3"/>
  <c r="C7538" i="3"/>
  <c r="B7538" i="3"/>
  <c r="D7537" i="3"/>
  <c r="C7537" i="3"/>
  <c r="B7537" i="3"/>
  <c r="D7536" i="3"/>
  <c r="C7536" i="3"/>
  <c r="B7536" i="3"/>
  <c r="D7535" i="3"/>
  <c r="C7535" i="3"/>
  <c r="B7535" i="3"/>
  <c r="D7534" i="3"/>
  <c r="C7534" i="3"/>
  <c r="B7534" i="3"/>
  <c r="D7533" i="3"/>
  <c r="C7533" i="3"/>
  <c r="B7533" i="3"/>
  <c r="D7532" i="3"/>
  <c r="C7532" i="3"/>
  <c r="B7532" i="3"/>
  <c r="D7531" i="3"/>
  <c r="C7531" i="3"/>
  <c r="B7531" i="3"/>
  <c r="D7530" i="3"/>
  <c r="C7530" i="3"/>
  <c r="B7530" i="3"/>
  <c r="D7529" i="3"/>
  <c r="C7529" i="3"/>
  <c r="B7529" i="3"/>
  <c r="D7528" i="3"/>
  <c r="C7528" i="3"/>
  <c r="B7528" i="3"/>
  <c r="D7527" i="3"/>
  <c r="C7527" i="3"/>
  <c r="B7527" i="3"/>
  <c r="D7526" i="3"/>
  <c r="C7526" i="3"/>
  <c r="B7526" i="3"/>
  <c r="D7525" i="3"/>
  <c r="C7525" i="3"/>
  <c r="B7525" i="3"/>
  <c r="D7524" i="3"/>
  <c r="C7524" i="3"/>
  <c r="B7524" i="3"/>
  <c r="D7523" i="3"/>
  <c r="C7523" i="3"/>
  <c r="B7523" i="3"/>
  <c r="D7522" i="3"/>
  <c r="C7522" i="3"/>
  <c r="B7522" i="3"/>
  <c r="D7521" i="3"/>
  <c r="C7521" i="3"/>
  <c r="B7521" i="3"/>
  <c r="D7520" i="3"/>
  <c r="C7520" i="3"/>
  <c r="B7520" i="3"/>
  <c r="D7519" i="3"/>
  <c r="C7519" i="3"/>
  <c r="B7519" i="3"/>
  <c r="D7518" i="3"/>
  <c r="C7518" i="3"/>
  <c r="B7518" i="3"/>
  <c r="D7517" i="3"/>
  <c r="C7517" i="3"/>
  <c r="B7517" i="3"/>
  <c r="D7516" i="3"/>
  <c r="C7516" i="3"/>
  <c r="B7516" i="3"/>
  <c r="D7515" i="3"/>
  <c r="C7515" i="3"/>
  <c r="B7515" i="3"/>
  <c r="D7514" i="3"/>
  <c r="C7514" i="3"/>
  <c r="B7514" i="3"/>
  <c r="D7513" i="3"/>
  <c r="C7513" i="3"/>
  <c r="B7513" i="3"/>
  <c r="D7512" i="3"/>
  <c r="C7512" i="3"/>
  <c r="B7512" i="3"/>
  <c r="D7511" i="3"/>
  <c r="C7511" i="3"/>
  <c r="B7511" i="3"/>
  <c r="D7510" i="3"/>
  <c r="C7510" i="3"/>
  <c r="B7510" i="3"/>
  <c r="D7509" i="3"/>
  <c r="C7509" i="3"/>
  <c r="B7509" i="3"/>
  <c r="D7508" i="3"/>
  <c r="C7508" i="3"/>
  <c r="B7508" i="3"/>
  <c r="D7507" i="3"/>
  <c r="C7507" i="3"/>
  <c r="B7507" i="3"/>
  <c r="D7506" i="3"/>
  <c r="C7506" i="3"/>
  <c r="B7506" i="3"/>
  <c r="D7505" i="3"/>
  <c r="C7505" i="3"/>
  <c r="B7505" i="3"/>
  <c r="D7504" i="3"/>
  <c r="C7504" i="3"/>
  <c r="B7504" i="3"/>
  <c r="D7503" i="3"/>
  <c r="C7503" i="3"/>
  <c r="B7503" i="3"/>
  <c r="D7502" i="3"/>
  <c r="C7502" i="3"/>
  <c r="B7502" i="3"/>
  <c r="D7501" i="3"/>
  <c r="C7501" i="3"/>
  <c r="B7501" i="3"/>
  <c r="D7500" i="3"/>
  <c r="C7500" i="3"/>
  <c r="B7500" i="3"/>
  <c r="D7499" i="3"/>
  <c r="C7499" i="3"/>
  <c r="B7499" i="3"/>
  <c r="D7498" i="3"/>
  <c r="C7498" i="3"/>
  <c r="B7498" i="3"/>
  <c r="D7497" i="3"/>
  <c r="C7497" i="3"/>
  <c r="B7497" i="3"/>
  <c r="D7496" i="3"/>
  <c r="C7496" i="3"/>
  <c r="B7496" i="3"/>
  <c r="D7495" i="3"/>
  <c r="C7495" i="3"/>
  <c r="B7495" i="3"/>
  <c r="D7494" i="3"/>
  <c r="C7494" i="3"/>
  <c r="B7494" i="3"/>
  <c r="D7493" i="3"/>
  <c r="C7493" i="3"/>
  <c r="B7493" i="3"/>
  <c r="D7492" i="3"/>
  <c r="C7492" i="3"/>
  <c r="B7492" i="3"/>
  <c r="D7491" i="3"/>
  <c r="C7491" i="3"/>
  <c r="B7491" i="3"/>
  <c r="D7490" i="3"/>
  <c r="C7490" i="3"/>
  <c r="B7490" i="3"/>
  <c r="D7489" i="3"/>
  <c r="C7489" i="3"/>
  <c r="B7489" i="3"/>
  <c r="D7488" i="3"/>
  <c r="C7488" i="3"/>
  <c r="B7488" i="3"/>
  <c r="D7487" i="3"/>
  <c r="C7487" i="3"/>
  <c r="B7487" i="3"/>
  <c r="D7486" i="3"/>
  <c r="C7486" i="3"/>
  <c r="B7486" i="3"/>
  <c r="D7485" i="3"/>
  <c r="C7485" i="3"/>
  <c r="B7485" i="3"/>
  <c r="D7484" i="3"/>
  <c r="C7484" i="3"/>
  <c r="B7484" i="3"/>
  <c r="D7483" i="3"/>
  <c r="C7483" i="3"/>
  <c r="B7483" i="3"/>
  <c r="D7482" i="3"/>
  <c r="C7482" i="3"/>
  <c r="B7482" i="3"/>
  <c r="D7481" i="3"/>
  <c r="C7481" i="3"/>
  <c r="B7481" i="3"/>
  <c r="D7480" i="3"/>
  <c r="C7480" i="3"/>
  <c r="B7480" i="3"/>
  <c r="D7479" i="3"/>
  <c r="C7479" i="3"/>
  <c r="B7479" i="3"/>
  <c r="D7478" i="3"/>
  <c r="C7478" i="3"/>
  <c r="B7478" i="3"/>
  <c r="D7477" i="3"/>
  <c r="C7477" i="3"/>
  <c r="B7477" i="3"/>
  <c r="D7476" i="3"/>
  <c r="C7476" i="3"/>
  <c r="B7476" i="3"/>
  <c r="D7475" i="3"/>
  <c r="C7475" i="3"/>
  <c r="B7475" i="3"/>
  <c r="D7474" i="3"/>
  <c r="C7474" i="3"/>
  <c r="B7474" i="3"/>
  <c r="D7473" i="3"/>
  <c r="C7473" i="3"/>
  <c r="B7473" i="3"/>
  <c r="D7472" i="3"/>
  <c r="C7472" i="3"/>
  <c r="B7472" i="3"/>
  <c r="D7471" i="3"/>
  <c r="C7471" i="3"/>
  <c r="B7471" i="3"/>
  <c r="D7470" i="3"/>
  <c r="C7470" i="3"/>
  <c r="B7470" i="3"/>
  <c r="D7469" i="3"/>
  <c r="C7469" i="3"/>
  <c r="B7469" i="3"/>
  <c r="D7468" i="3"/>
  <c r="C7468" i="3"/>
  <c r="B7468" i="3"/>
  <c r="D7467" i="3"/>
  <c r="C7467" i="3"/>
  <c r="B7467" i="3"/>
  <c r="D7466" i="3"/>
  <c r="C7466" i="3"/>
  <c r="B7466" i="3"/>
  <c r="D7465" i="3"/>
  <c r="C7465" i="3"/>
  <c r="B7465" i="3"/>
  <c r="D7464" i="3"/>
  <c r="C7464" i="3"/>
  <c r="B7464" i="3"/>
  <c r="D7463" i="3"/>
  <c r="C7463" i="3"/>
  <c r="B7463" i="3"/>
  <c r="D7462" i="3"/>
  <c r="C7462" i="3"/>
  <c r="B7462" i="3"/>
  <c r="D7461" i="3"/>
  <c r="C7461" i="3"/>
  <c r="B7461" i="3"/>
  <c r="D7460" i="3"/>
  <c r="C7460" i="3"/>
  <c r="B7460" i="3"/>
  <c r="D7459" i="3"/>
  <c r="C7459" i="3"/>
  <c r="B7459" i="3"/>
  <c r="D7458" i="3"/>
  <c r="C7458" i="3"/>
  <c r="B7458" i="3"/>
  <c r="D7457" i="3"/>
  <c r="C7457" i="3"/>
  <c r="B7457" i="3"/>
  <c r="D7456" i="3"/>
  <c r="C7456" i="3"/>
  <c r="B7456" i="3"/>
  <c r="D7455" i="3"/>
  <c r="C7455" i="3"/>
  <c r="B7455" i="3"/>
  <c r="D7454" i="3"/>
  <c r="C7454" i="3"/>
  <c r="B7454" i="3"/>
  <c r="D7453" i="3"/>
  <c r="C7453" i="3"/>
  <c r="B7453" i="3"/>
  <c r="D7452" i="3"/>
  <c r="C7452" i="3"/>
  <c r="B7452" i="3"/>
  <c r="D7451" i="3"/>
  <c r="C7451" i="3"/>
  <c r="B7451" i="3"/>
  <c r="D7450" i="3"/>
  <c r="C7450" i="3"/>
  <c r="B7450" i="3"/>
  <c r="D7449" i="3"/>
  <c r="C7449" i="3"/>
  <c r="B7449" i="3"/>
  <c r="D7448" i="3"/>
  <c r="C7448" i="3"/>
  <c r="B7448" i="3"/>
  <c r="D7447" i="3"/>
  <c r="C7447" i="3"/>
  <c r="B7447" i="3"/>
  <c r="D7446" i="3"/>
  <c r="C7446" i="3"/>
  <c r="B7446" i="3"/>
  <c r="D7445" i="3"/>
  <c r="C7445" i="3"/>
  <c r="B7445" i="3"/>
  <c r="D7444" i="3"/>
  <c r="C7444" i="3"/>
  <c r="B7444" i="3"/>
  <c r="D7443" i="3"/>
  <c r="C7443" i="3"/>
  <c r="B7443" i="3"/>
  <c r="D7442" i="3"/>
  <c r="C7442" i="3"/>
  <c r="B7442" i="3"/>
  <c r="D7441" i="3"/>
  <c r="C7441" i="3"/>
  <c r="B7441" i="3"/>
  <c r="D7440" i="3"/>
  <c r="C7440" i="3"/>
  <c r="B7440" i="3"/>
  <c r="D7439" i="3"/>
  <c r="C7439" i="3"/>
  <c r="B7439" i="3"/>
  <c r="D7438" i="3"/>
  <c r="C7438" i="3"/>
  <c r="B7438" i="3"/>
  <c r="D7437" i="3"/>
  <c r="C7437" i="3"/>
  <c r="B7437" i="3"/>
  <c r="D7436" i="3"/>
  <c r="C7436" i="3"/>
  <c r="B7436" i="3"/>
  <c r="D7435" i="3"/>
  <c r="C7435" i="3"/>
  <c r="B7435" i="3"/>
  <c r="D7434" i="3"/>
  <c r="C7434" i="3"/>
  <c r="B7434" i="3"/>
  <c r="D7433" i="3"/>
  <c r="C7433" i="3"/>
  <c r="B7433" i="3"/>
  <c r="D7432" i="3"/>
  <c r="C7432" i="3"/>
  <c r="B7432" i="3"/>
  <c r="D7431" i="3"/>
  <c r="C7431" i="3"/>
  <c r="B7431" i="3"/>
  <c r="D7430" i="3"/>
  <c r="C7430" i="3"/>
  <c r="B7430" i="3"/>
  <c r="D7429" i="3"/>
  <c r="C7429" i="3"/>
  <c r="B7429" i="3"/>
  <c r="D7428" i="3"/>
  <c r="C7428" i="3"/>
  <c r="B7428" i="3"/>
  <c r="D7427" i="3"/>
  <c r="C7427" i="3"/>
  <c r="B7427" i="3"/>
  <c r="D7426" i="3"/>
  <c r="C7426" i="3"/>
  <c r="B7426" i="3"/>
  <c r="D7425" i="3"/>
  <c r="C7425" i="3"/>
  <c r="B7425" i="3"/>
  <c r="D7424" i="3"/>
  <c r="C7424" i="3"/>
  <c r="B7424" i="3"/>
  <c r="D7423" i="3"/>
  <c r="C7423" i="3"/>
  <c r="B7423" i="3"/>
  <c r="D7422" i="3"/>
  <c r="C7422" i="3"/>
  <c r="B7422" i="3"/>
  <c r="D7421" i="3"/>
  <c r="C7421" i="3"/>
  <c r="B7421" i="3"/>
  <c r="D7420" i="3"/>
  <c r="C7420" i="3"/>
  <c r="B7420" i="3"/>
  <c r="D7419" i="3"/>
  <c r="C7419" i="3"/>
  <c r="B7419" i="3"/>
  <c r="D7418" i="3"/>
  <c r="C7418" i="3"/>
  <c r="B7418" i="3"/>
  <c r="D7417" i="3"/>
  <c r="C7417" i="3"/>
  <c r="B7417" i="3"/>
  <c r="D7416" i="3"/>
  <c r="C7416" i="3"/>
  <c r="B7416" i="3"/>
  <c r="D7415" i="3"/>
  <c r="C7415" i="3"/>
  <c r="B7415" i="3"/>
  <c r="D7414" i="3"/>
  <c r="C7414" i="3"/>
  <c r="B7414" i="3"/>
  <c r="D7413" i="3"/>
  <c r="C7413" i="3"/>
  <c r="B7413" i="3"/>
  <c r="D7412" i="3"/>
  <c r="C7412" i="3"/>
  <c r="B7412" i="3"/>
  <c r="D7411" i="3"/>
  <c r="C7411" i="3"/>
  <c r="B7411" i="3"/>
  <c r="D7410" i="3"/>
  <c r="C7410" i="3"/>
  <c r="B7410" i="3"/>
  <c r="D7409" i="3"/>
  <c r="C7409" i="3"/>
  <c r="B7409" i="3"/>
  <c r="D7408" i="3"/>
  <c r="C7408" i="3"/>
  <c r="B7408" i="3"/>
  <c r="D7407" i="3"/>
  <c r="C7407" i="3"/>
  <c r="B7407" i="3"/>
  <c r="D7406" i="3"/>
  <c r="C7406" i="3"/>
  <c r="B7406" i="3"/>
  <c r="D7405" i="3"/>
  <c r="C7405" i="3"/>
  <c r="B7405" i="3"/>
  <c r="D7404" i="3"/>
  <c r="C7404" i="3"/>
  <c r="B7404" i="3"/>
  <c r="D7403" i="3"/>
  <c r="C7403" i="3"/>
  <c r="B7403" i="3"/>
  <c r="D7402" i="3"/>
  <c r="C7402" i="3"/>
  <c r="B7402" i="3"/>
  <c r="D7401" i="3"/>
  <c r="C7401" i="3"/>
  <c r="B7401" i="3"/>
  <c r="D7400" i="3"/>
  <c r="C7400" i="3"/>
  <c r="B7400" i="3"/>
  <c r="D7399" i="3"/>
  <c r="C7399" i="3"/>
  <c r="B7399" i="3"/>
  <c r="D7398" i="3"/>
  <c r="C7398" i="3"/>
  <c r="B7398" i="3"/>
  <c r="D7397" i="3"/>
  <c r="C7397" i="3"/>
  <c r="B7397" i="3"/>
  <c r="D7396" i="3"/>
  <c r="C7396" i="3"/>
  <c r="B7396" i="3"/>
  <c r="D7395" i="3"/>
  <c r="C7395" i="3"/>
  <c r="B7395" i="3"/>
  <c r="D7394" i="3"/>
  <c r="C7394" i="3"/>
  <c r="B7394" i="3"/>
  <c r="D7393" i="3"/>
  <c r="C7393" i="3"/>
  <c r="B7393" i="3"/>
  <c r="D7392" i="3"/>
  <c r="C7392" i="3"/>
  <c r="B7392" i="3"/>
  <c r="D7391" i="3"/>
  <c r="C7391" i="3"/>
  <c r="B7391" i="3"/>
  <c r="D7390" i="3"/>
  <c r="C7390" i="3"/>
  <c r="B7390" i="3"/>
  <c r="D7389" i="3"/>
  <c r="C7389" i="3"/>
  <c r="B7389" i="3"/>
  <c r="D7388" i="3"/>
  <c r="C7388" i="3"/>
  <c r="B7388" i="3"/>
  <c r="D7387" i="3"/>
  <c r="C7387" i="3"/>
  <c r="B7387" i="3"/>
  <c r="D7386" i="3"/>
  <c r="C7386" i="3"/>
  <c r="B7386" i="3"/>
  <c r="D7385" i="3"/>
  <c r="C7385" i="3"/>
  <c r="B7385" i="3"/>
  <c r="D7384" i="3"/>
  <c r="C7384" i="3"/>
  <c r="B7384" i="3"/>
  <c r="D7383" i="3"/>
  <c r="C7383" i="3"/>
  <c r="B7383" i="3"/>
  <c r="D7382" i="3"/>
  <c r="C7382" i="3"/>
  <c r="B7382" i="3"/>
  <c r="D7381" i="3"/>
  <c r="C7381" i="3"/>
  <c r="B7381" i="3"/>
  <c r="D7380" i="3"/>
  <c r="C7380" i="3"/>
  <c r="B7380" i="3"/>
  <c r="D7379" i="3"/>
  <c r="C7379" i="3"/>
  <c r="B7379" i="3"/>
  <c r="D7378" i="3"/>
  <c r="C7378" i="3"/>
  <c r="B7378" i="3"/>
  <c r="D7377" i="3"/>
  <c r="C7377" i="3"/>
  <c r="B7377" i="3"/>
  <c r="D7376" i="3"/>
  <c r="C7376" i="3"/>
  <c r="B7376" i="3"/>
  <c r="D7375" i="3"/>
  <c r="C7375" i="3"/>
  <c r="B7375" i="3"/>
  <c r="D7374" i="3"/>
  <c r="C7374" i="3"/>
  <c r="B7374" i="3"/>
  <c r="D7373" i="3"/>
  <c r="C7373" i="3"/>
  <c r="B7373" i="3"/>
  <c r="D7372" i="3"/>
  <c r="C7372" i="3"/>
  <c r="B7372" i="3"/>
  <c r="D7371" i="3"/>
  <c r="C7371" i="3"/>
  <c r="B7371" i="3"/>
  <c r="D7370" i="3"/>
  <c r="C7370" i="3"/>
  <c r="B7370" i="3"/>
  <c r="D7369" i="3"/>
  <c r="C7369" i="3"/>
  <c r="B7369" i="3"/>
  <c r="D7368" i="3"/>
  <c r="C7368" i="3"/>
  <c r="B7368" i="3"/>
  <c r="D7367" i="3"/>
  <c r="C7367" i="3"/>
  <c r="B7367" i="3"/>
  <c r="D7366" i="3"/>
  <c r="C7366" i="3"/>
  <c r="B7366" i="3"/>
  <c r="D7365" i="3"/>
  <c r="C7365" i="3"/>
  <c r="B7365" i="3"/>
  <c r="D7364" i="3"/>
  <c r="C7364" i="3"/>
  <c r="B7364" i="3"/>
  <c r="D7363" i="3"/>
  <c r="C7363" i="3"/>
  <c r="B7363" i="3"/>
  <c r="D7362" i="3"/>
  <c r="C7362" i="3"/>
  <c r="B7362" i="3"/>
  <c r="D7361" i="3"/>
  <c r="C7361" i="3"/>
  <c r="B7361" i="3"/>
  <c r="D7360" i="3"/>
  <c r="C7360" i="3"/>
  <c r="B7360" i="3"/>
  <c r="D7359" i="3"/>
  <c r="C7359" i="3"/>
  <c r="B7359" i="3"/>
  <c r="D7358" i="3"/>
  <c r="C7358" i="3"/>
  <c r="B7358" i="3"/>
  <c r="D7357" i="3"/>
  <c r="C7357" i="3"/>
  <c r="B7357" i="3"/>
  <c r="D7356" i="3"/>
  <c r="C7356" i="3"/>
  <c r="B7356" i="3"/>
  <c r="D7355" i="3"/>
  <c r="C7355" i="3"/>
  <c r="B7355" i="3"/>
  <c r="D7354" i="3"/>
  <c r="C7354" i="3"/>
  <c r="B7354" i="3"/>
  <c r="D7353" i="3"/>
  <c r="C7353" i="3"/>
  <c r="B7353" i="3"/>
  <c r="D7352" i="3"/>
  <c r="C7352" i="3"/>
  <c r="B7352" i="3"/>
  <c r="D7351" i="3"/>
  <c r="C7351" i="3"/>
  <c r="B7351" i="3"/>
  <c r="D7350" i="3"/>
  <c r="C7350" i="3"/>
  <c r="B7350" i="3"/>
  <c r="D7349" i="3"/>
  <c r="C7349" i="3"/>
  <c r="B7349" i="3"/>
  <c r="D7348" i="3"/>
  <c r="C7348" i="3"/>
  <c r="B7348" i="3"/>
  <c r="D7347" i="3"/>
  <c r="C7347" i="3"/>
  <c r="B7347" i="3"/>
  <c r="D7346" i="3"/>
  <c r="C7346" i="3"/>
  <c r="B7346" i="3"/>
  <c r="D7345" i="3"/>
  <c r="C7345" i="3"/>
  <c r="B7345" i="3"/>
  <c r="D7344" i="3"/>
  <c r="C7344" i="3"/>
  <c r="B7344" i="3"/>
  <c r="D7343" i="3"/>
  <c r="C7343" i="3"/>
  <c r="B7343" i="3"/>
  <c r="D7342" i="3"/>
  <c r="C7342" i="3"/>
  <c r="B7342" i="3"/>
  <c r="D7341" i="3"/>
  <c r="C7341" i="3"/>
  <c r="B7341" i="3"/>
  <c r="D7340" i="3"/>
  <c r="C7340" i="3"/>
  <c r="B7340" i="3"/>
  <c r="D7339" i="3"/>
  <c r="C7339" i="3"/>
  <c r="B7339" i="3"/>
  <c r="D7338" i="3"/>
  <c r="C7338" i="3"/>
  <c r="B7338" i="3"/>
  <c r="D7337" i="3"/>
  <c r="C7337" i="3"/>
  <c r="B7337" i="3"/>
  <c r="D7336" i="3"/>
  <c r="C7336" i="3"/>
  <c r="B7336" i="3"/>
  <c r="D7335" i="3"/>
  <c r="C7335" i="3"/>
  <c r="B7335" i="3"/>
  <c r="D7334" i="3"/>
  <c r="C7334" i="3"/>
  <c r="B7334" i="3"/>
  <c r="D7333" i="3"/>
  <c r="C7333" i="3"/>
  <c r="B7333" i="3"/>
  <c r="D7332" i="3"/>
  <c r="C7332" i="3"/>
  <c r="B7332" i="3"/>
  <c r="D7331" i="3"/>
  <c r="C7331" i="3"/>
  <c r="B7331" i="3"/>
  <c r="D7330" i="3"/>
  <c r="C7330" i="3"/>
  <c r="B7330" i="3"/>
  <c r="D7329" i="3"/>
  <c r="C7329" i="3"/>
  <c r="B7329" i="3"/>
  <c r="D7328" i="3"/>
  <c r="C7328" i="3"/>
  <c r="B7328" i="3"/>
  <c r="D7327" i="3"/>
  <c r="C7327" i="3"/>
  <c r="B7327" i="3"/>
  <c r="D7326" i="3"/>
  <c r="C7326" i="3"/>
  <c r="B7326" i="3"/>
  <c r="D7325" i="3"/>
  <c r="C7325" i="3"/>
  <c r="B7325" i="3"/>
  <c r="D7324" i="3"/>
  <c r="C7324" i="3"/>
  <c r="B7324" i="3"/>
  <c r="D7323" i="3"/>
  <c r="C7323" i="3"/>
  <c r="B7323" i="3"/>
  <c r="D7322" i="3"/>
  <c r="C7322" i="3"/>
  <c r="B7322" i="3"/>
  <c r="D7321" i="3"/>
  <c r="C7321" i="3"/>
  <c r="B7321" i="3"/>
  <c r="D7320" i="3"/>
  <c r="C7320" i="3"/>
  <c r="B7320" i="3"/>
  <c r="D7319" i="3"/>
  <c r="C7319" i="3"/>
  <c r="B7319" i="3"/>
  <c r="D7318" i="3"/>
  <c r="C7318" i="3"/>
  <c r="B7318" i="3"/>
  <c r="D7317" i="3"/>
  <c r="C7317" i="3"/>
  <c r="B7317" i="3"/>
  <c r="D7316" i="3"/>
  <c r="C7316" i="3"/>
  <c r="B7316" i="3"/>
  <c r="D7315" i="3"/>
  <c r="C7315" i="3"/>
  <c r="B7315" i="3"/>
  <c r="D7314" i="3"/>
  <c r="C7314" i="3"/>
  <c r="B7314" i="3"/>
  <c r="D7313" i="3"/>
  <c r="C7313" i="3"/>
  <c r="B7313" i="3"/>
  <c r="D7312" i="3"/>
  <c r="C7312" i="3"/>
  <c r="B7312" i="3"/>
  <c r="D7311" i="3"/>
  <c r="C7311" i="3"/>
  <c r="B7311" i="3"/>
  <c r="D7310" i="3"/>
  <c r="C7310" i="3"/>
  <c r="B7310" i="3"/>
  <c r="D7309" i="3"/>
  <c r="C7309" i="3"/>
  <c r="B7309" i="3"/>
  <c r="D7308" i="3"/>
  <c r="C7308" i="3"/>
  <c r="B7308" i="3"/>
  <c r="D7307" i="3"/>
  <c r="C7307" i="3"/>
  <c r="B7307" i="3"/>
  <c r="D7306" i="3"/>
  <c r="C7306" i="3"/>
  <c r="B7306" i="3"/>
  <c r="D7305" i="3"/>
  <c r="C7305" i="3"/>
  <c r="B7305" i="3"/>
  <c r="D7304" i="3"/>
  <c r="C7304" i="3"/>
  <c r="B7304" i="3"/>
  <c r="D7303" i="3"/>
  <c r="C7303" i="3"/>
  <c r="B7303" i="3"/>
  <c r="D7302" i="3"/>
  <c r="C7302" i="3"/>
  <c r="B7302" i="3"/>
  <c r="D7301" i="3"/>
  <c r="C7301" i="3"/>
  <c r="B7301" i="3"/>
  <c r="D7300" i="3"/>
  <c r="C7300" i="3"/>
  <c r="B7300" i="3"/>
  <c r="D7299" i="3"/>
  <c r="C7299" i="3"/>
  <c r="B7299" i="3"/>
  <c r="D7298" i="3"/>
  <c r="C7298" i="3"/>
  <c r="B7298" i="3"/>
  <c r="D7297" i="3"/>
  <c r="C7297" i="3"/>
  <c r="B7297" i="3"/>
  <c r="D7296" i="3"/>
  <c r="C7296" i="3"/>
  <c r="B7296" i="3"/>
  <c r="D7295" i="3"/>
  <c r="C7295" i="3"/>
  <c r="B7295" i="3"/>
  <c r="D7294" i="3"/>
  <c r="C7294" i="3"/>
  <c r="B7294" i="3"/>
  <c r="D7293" i="3"/>
  <c r="C7293" i="3"/>
  <c r="B7293" i="3"/>
  <c r="D7292" i="3"/>
  <c r="C7292" i="3"/>
  <c r="B7292" i="3"/>
  <c r="D7291" i="3"/>
  <c r="C7291" i="3"/>
  <c r="B7291" i="3"/>
  <c r="D7290" i="3"/>
  <c r="C7290" i="3"/>
  <c r="B7290" i="3"/>
  <c r="D7289" i="3"/>
  <c r="C7289" i="3"/>
  <c r="B7289" i="3"/>
  <c r="D7288" i="3"/>
  <c r="C7288" i="3"/>
  <c r="B7288" i="3"/>
  <c r="D7287" i="3"/>
  <c r="C7287" i="3"/>
  <c r="B7287" i="3"/>
  <c r="D7286" i="3"/>
  <c r="C7286" i="3"/>
  <c r="B7286" i="3"/>
  <c r="D7285" i="3"/>
  <c r="C7285" i="3"/>
  <c r="B7285" i="3"/>
  <c r="D7284" i="3"/>
  <c r="C7284" i="3"/>
  <c r="B7284" i="3"/>
  <c r="D7283" i="3"/>
  <c r="C7283" i="3"/>
  <c r="B7283" i="3"/>
  <c r="D7282" i="3"/>
  <c r="C7282" i="3"/>
  <c r="B7282" i="3"/>
  <c r="D7281" i="3"/>
  <c r="C7281" i="3"/>
  <c r="B7281" i="3"/>
  <c r="D7280" i="3"/>
  <c r="C7280" i="3"/>
  <c r="B7280" i="3"/>
  <c r="D7279" i="3"/>
  <c r="C7279" i="3"/>
  <c r="B7279" i="3"/>
  <c r="D7278" i="3"/>
  <c r="C7278" i="3"/>
  <c r="B7278" i="3"/>
  <c r="D7277" i="3"/>
  <c r="C7277" i="3"/>
  <c r="B7277" i="3"/>
  <c r="D7276" i="3"/>
  <c r="C7276" i="3"/>
  <c r="B7276" i="3"/>
  <c r="D7275" i="3"/>
  <c r="C7275" i="3"/>
  <c r="B7275" i="3"/>
  <c r="D7274" i="3"/>
  <c r="C7274" i="3"/>
  <c r="B7274" i="3"/>
  <c r="D7273" i="3"/>
  <c r="C7273" i="3"/>
  <c r="B7273" i="3"/>
  <c r="D7272" i="3"/>
  <c r="C7272" i="3"/>
  <c r="B7272" i="3"/>
  <c r="D7271" i="3"/>
  <c r="C7271" i="3"/>
  <c r="B7271" i="3"/>
  <c r="D7270" i="3"/>
  <c r="C7270" i="3"/>
  <c r="B7270" i="3"/>
  <c r="D7269" i="3"/>
  <c r="C7269" i="3"/>
  <c r="B7269" i="3"/>
  <c r="D7268" i="3"/>
  <c r="C7268" i="3"/>
  <c r="B7268" i="3"/>
  <c r="D7267" i="3"/>
  <c r="C7267" i="3"/>
  <c r="B7267" i="3"/>
  <c r="D7266" i="3"/>
  <c r="C7266" i="3"/>
  <c r="B7266" i="3"/>
  <c r="D7265" i="3"/>
  <c r="C7265" i="3"/>
  <c r="B7265" i="3"/>
  <c r="D7264" i="3"/>
  <c r="C7264" i="3"/>
  <c r="B7264" i="3"/>
  <c r="D7263" i="3"/>
  <c r="C7263" i="3"/>
  <c r="B7263" i="3"/>
  <c r="D7262" i="3"/>
  <c r="C7262" i="3"/>
  <c r="B7262" i="3"/>
  <c r="D7261" i="3"/>
  <c r="C7261" i="3"/>
  <c r="B7261" i="3"/>
  <c r="D7260" i="3"/>
  <c r="C7260" i="3"/>
  <c r="B7260" i="3"/>
  <c r="D7259" i="3"/>
  <c r="C7259" i="3"/>
  <c r="B7259" i="3"/>
  <c r="D7258" i="3"/>
  <c r="C7258" i="3"/>
  <c r="B7258" i="3"/>
  <c r="D7257" i="3"/>
  <c r="C7257" i="3"/>
  <c r="B7257" i="3"/>
  <c r="D7256" i="3"/>
  <c r="C7256" i="3"/>
  <c r="B7256" i="3"/>
  <c r="D7255" i="3"/>
  <c r="C7255" i="3"/>
  <c r="B7255" i="3"/>
  <c r="D7254" i="3"/>
  <c r="C7254" i="3"/>
  <c r="B7254" i="3"/>
  <c r="D7253" i="3"/>
  <c r="C7253" i="3"/>
  <c r="B7253" i="3"/>
  <c r="D7252" i="3"/>
  <c r="C7252" i="3"/>
  <c r="B7252" i="3"/>
  <c r="D7251" i="3"/>
  <c r="C7251" i="3"/>
  <c r="B7251" i="3"/>
  <c r="D7250" i="3"/>
  <c r="C7250" i="3"/>
  <c r="B7250" i="3"/>
  <c r="D7249" i="3"/>
  <c r="C7249" i="3"/>
  <c r="B7249" i="3"/>
  <c r="D7248" i="3"/>
  <c r="C7248" i="3"/>
  <c r="B7248" i="3"/>
  <c r="D7247" i="3"/>
  <c r="C7247" i="3"/>
  <c r="B7247" i="3"/>
  <c r="D7246" i="3"/>
  <c r="C7246" i="3"/>
  <c r="B7246" i="3"/>
  <c r="D7245" i="3"/>
  <c r="C7245" i="3"/>
  <c r="B7245" i="3"/>
  <c r="D7244" i="3"/>
  <c r="C7244" i="3"/>
  <c r="B7244" i="3"/>
  <c r="D7243" i="3"/>
  <c r="C7243" i="3"/>
  <c r="B7243" i="3"/>
  <c r="D7242" i="3"/>
  <c r="C7242" i="3"/>
  <c r="B7242" i="3"/>
  <c r="D7241" i="3"/>
  <c r="C7241" i="3"/>
  <c r="B7241" i="3"/>
  <c r="D7240" i="3"/>
  <c r="C7240" i="3"/>
  <c r="B7240" i="3"/>
  <c r="D7239" i="3"/>
  <c r="C7239" i="3"/>
  <c r="B7239" i="3"/>
  <c r="D7238" i="3"/>
  <c r="C7238" i="3"/>
  <c r="B7238" i="3"/>
  <c r="D7237" i="3"/>
  <c r="C7237" i="3"/>
  <c r="B7237" i="3"/>
  <c r="D7236" i="3"/>
  <c r="C7236" i="3"/>
  <c r="B7236" i="3"/>
  <c r="D7235" i="3"/>
  <c r="C7235" i="3"/>
  <c r="B7235" i="3"/>
  <c r="D7234" i="3"/>
  <c r="C7234" i="3"/>
  <c r="B7234" i="3"/>
  <c r="D7233" i="3"/>
  <c r="C7233" i="3"/>
  <c r="B7233" i="3"/>
  <c r="D7232" i="3"/>
  <c r="C7232" i="3"/>
  <c r="B7232" i="3"/>
  <c r="D7231" i="3"/>
  <c r="C7231" i="3"/>
  <c r="B7231" i="3"/>
  <c r="D7230" i="3"/>
  <c r="C7230" i="3"/>
  <c r="B7230" i="3"/>
  <c r="D7229" i="3"/>
  <c r="C7229" i="3"/>
  <c r="B7229" i="3"/>
  <c r="D7228" i="3"/>
  <c r="C7228" i="3"/>
  <c r="B7228" i="3"/>
  <c r="D7227" i="3"/>
  <c r="C7227" i="3"/>
  <c r="B7227" i="3"/>
  <c r="D7226" i="3"/>
  <c r="C7226" i="3"/>
  <c r="B7226" i="3"/>
  <c r="D7225" i="3"/>
  <c r="C7225" i="3"/>
  <c r="B7225" i="3"/>
  <c r="D7224" i="3"/>
  <c r="C7224" i="3"/>
  <c r="B7224" i="3"/>
  <c r="D7223" i="3"/>
  <c r="C7223" i="3"/>
  <c r="B7223" i="3"/>
  <c r="D7222" i="3"/>
  <c r="C7222" i="3"/>
  <c r="B7222" i="3"/>
  <c r="D7221" i="3"/>
  <c r="C7221" i="3"/>
  <c r="B7221" i="3"/>
  <c r="D7220" i="3"/>
  <c r="C7220" i="3"/>
  <c r="B7220" i="3"/>
  <c r="D7219" i="3"/>
  <c r="C7219" i="3"/>
  <c r="B7219" i="3"/>
  <c r="D7218" i="3"/>
  <c r="C7218" i="3"/>
  <c r="B7218" i="3"/>
  <c r="D7217" i="3"/>
  <c r="C7217" i="3"/>
  <c r="B7217" i="3"/>
  <c r="D7216" i="3"/>
  <c r="C7216" i="3"/>
  <c r="B7216" i="3"/>
  <c r="D7215" i="3"/>
  <c r="C7215" i="3"/>
  <c r="B7215" i="3"/>
  <c r="D7214" i="3"/>
  <c r="C7214" i="3"/>
  <c r="B7214" i="3"/>
  <c r="D7213" i="3"/>
  <c r="C7213" i="3"/>
  <c r="B7213" i="3"/>
  <c r="D7212" i="3"/>
  <c r="C7212" i="3"/>
  <c r="B7212" i="3"/>
  <c r="D7211" i="3"/>
  <c r="C7211" i="3"/>
  <c r="B7211" i="3"/>
  <c r="D7210" i="3"/>
  <c r="C7210" i="3"/>
  <c r="B7210" i="3"/>
  <c r="D7209" i="3"/>
  <c r="C7209" i="3"/>
  <c r="B7209" i="3"/>
  <c r="D7208" i="3"/>
  <c r="C7208" i="3"/>
  <c r="B7208" i="3"/>
  <c r="D7207" i="3"/>
  <c r="C7207" i="3"/>
  <c r="B7207" i="3"/>
  <c r="D7206" i="3"/>
  <c r="C7206" i="3"/>
  <c r="B7206" i="3"/>
  <c r="D7205" i="3"/>
  <c r="C7205" i="3"/>
  <c r="B7205" i="3"/>
  <c r="D7204" i="3"/>
  <c r="C7204" i="3"/>
  <c r="B7204" i="3"/>
  <c r="D7203" i="3"/>
  <c r="C7203" i="3"/>
  <c r="B7203" i="3"/>
  <c r="D7202" i="3"/>
  <c r="C7202" i="3"/>
  <c r="B7202" i="3"/>
  <c r="D7201" i="3"/>
  <c r="C7201" i="3"/>
  <c r="B7201" i="3"/>
  <c r="D7200" i="3"/>
  <c r="C7200" i="3"/>
  <c r="B7200" i="3"/>
  <c r="D7199" i="3"/>
  <c r="C7199" i="3"/>
  <c r="B7199" i="3"/>
  <c r="D7198" i="3"/>
  <c r="C7198" i="3"/>
  <c r="B7198" i="3"/>
  <c r="D7197" i="3"/>
  <c r="C7197" i="3"/>
  <c r="B7197" i="3"/>
  <c r="D7196" i="3"/>
  <c r="C7196" i="3"/>
  <c r="B7196" i="3"/>
  <c r="D7195" i="3"/>
  <c r="C7195" i="3"/>
  <c r="B7195" i="3"/>
  <c r="D7194" i="3"/>
  <c r="C7194" i="3"/>
  <c r="B7194" i="3"/>
  <c r="D7193" i="3"/>
  <c r="C7193" i="3"/>
  <c r="B7193" i="3"/>
  <c r="D7192" i="3"/>
  <c r="C7192" i="3"/>
  <c r="B7192" i="3"/>
  <c r="D7191" i="3"/>
  <c r="C7191" i="3"/>
  <c r="B7191" i="3"/>
  <c r="D7190" i="3"/>
  <c r="C7190" i="3"/>
  <c r="B7190" i="3"/>
  <c r="D7189" i="3"/>
  <c r="C7189" i="3"/>
  <c r="B7189" i="3"/>
  <c r="D7188" i="3"/>
  <c r="C7188" i="3"/>
  <c r="B7188" i="3"/>
  <c r="D7187" i="3"/>
  <c r="C7187" i="3"/>
  <c r="B7187" i="3"/>
  <c r="D7186" i="3"/>
  <c r="C7186" i="3"/>
  <c r="B7186" i="3"/>
  <c r="D7185" i="3"/>
  <c r="C7185" i="3"/>
  <c r="B7185" i="3"/>
  <c r="D7184" i="3"/>
  <c r="C7184" i="3"/>
  <c r="B7184" i="3"/>
  <c r="D7183" i="3"/>
  <c r="C7183" i="3"/>
  <c r="B7183" i="3"/>
  <c r="D7182" i="3"/>
  <c r="C7182" i="3"/>
  <c r="B7182" i="3"/>
  <c r="D7181" i="3"/>
  <c r="C7181" i="3"/>
  <c r="B7181" i="3"/>
  <c r="D7180" i="3"/>
  <c r="C7180" i="3"/>
  <c r="B7180" i="3"/>
  <c r="D7179" i="3"/>
  <c r="C7179" i="3"/>
  <c r="B7179" i="3"/>
  <c r="D7178" i="3"/>
  <c r="C7178" i="3"/>
  <c r="B7178" i="3"/>
  <c r="D7177" i="3"/>
  <c r="C7177" i="3"/>
  <c r="B7177" i="3"/>
  <c r="D7176" i="3"/>
  <c r="C7176" i="3"/>
  <c r="B7176" i="3"/>
  <c r="D7175" i="3"/>
  <c r="C7175" i="3"/>
  <c r="B7175" i="3"/>
  <c r="D7174" i="3"/>
  <c r="C7174" i="3"/>
  <c r="B7174" i="3"/>
  <c r="D7173" i="3"/>
  <c r="C7173" i="3"/>
  <c r="B7173" i="3"/>
  <c r="D7172" i="3"/>
  <c r="C7172" i="3"/>
  <c r="B7172" i="3"/>
  <c r="D7171" i="3"/>
  <c r="C7171" i="3"/>
  <c r="B7171" i="3"/>
  <c r="D7170" i="3"/>
  <c r="C7170" i="3"/>
  <c r="B7170" i="3"/>
  <c r="D7169" i="3"/>
  <c r="C7169" i="3"/>
  <c r="B7169" i="3"/>
  <c r="D7168" i="3"/>
  <c r="C7168" i="3"/>
  <c r="B7168" i="3"/>
  <c r="D7167" i="3"/>
  <c r="C7167" i="3"/>
  <c r="B7167" i="3"/>
  <c r="D7166" i="3"/>
  <c r="C7166" i="3"/>
  <c r="B7166" i="3"/>
  <c r="D7165" i="3"/>
  <c r="C7165" i="3"/>
  <c r="B7165" i="3"/>
  <c r="D7164" i="3"/>
  <c r="C7164" i="3"/>
  <c r="B7164" i="3"/>
  <c r="D7163" i="3"/>
  <c r="C7163" i="3"/>
  <c r="B7163" i="3"/>
  <c r="D7162" i="3"/>
  <c r="C7162" i="3"/>
  <c r="B7162" i="3"/>
  <c r="D7161" i="3"/>
  <c r="C7161" i="3"/>
  <c r="B7161" i="3"/>
  <c r="D7160" i="3"/>
  <c r="C7160" i="3"/>
  <c r="B7160" i="3"/>
  <c r="D7159" i="3"/>
  <c r="C7159" i="3"/>
  <c r="B7159" i="3"/>
  <c r="D7158" i="3"/>
  <c r="C7158" i="3"/>
  <c r="B7158" i="3"/>
  <c r="D7157" i="3"/>
  <c r="C7157" i="3"/>
  <c r="B7157" i="3"/>
  <c r="D7156" i="3"/>
  <c r="C7156" i="3"/>
  <c r="B7156" i="3"/>
  <c r="D7155" i="3"/>
  <c r="C7155" i="3"/>
  <c r="B7155" i="3"/>
  <c r="D7154" i="3"/>
  <c r="C7154" i="3"/>
  <c r="B7154" i="3"/>
  <c r="D7153" i="3"/>
  <c r="C7153" i="3"/>
  <c r="B7153" i="3"/>
  <c r="D7152" i="3"/>
  <c r="C7152" i="3"/>
  <c r="B7152" i="3"/>
  <c r="D7151" i="3"/>
  <c r="C7151" i="3"/>
  <c r="B7151" i="3"/>
  <c r="D7150" i="3"/>
  <c r="C7150" i="3"/>
  <c r="B7150" i="3"/>
  <c r="D7149" i="3"/>
  <c r="C7149" i="3"/>
  <c r="B7149" i="3"/>
  <c r="D7148" i="3"/>
  <c r="C7148" i="3"/>
  <c r="B7148" i="3"/>
  <c r="D7147" i="3"/>
  <c r="C7147" i="3"/>
  <c r="B7147" i="3"/>
  <c r="D7146" i="3"/>
  <c r="C7146" i="3"/>
  <c r="B7146" i="3"/>
  <c r="D7145" i="3"/>
  <c r="C7145" i="3"/>
  <c r="B7145" i="3"/>
  <c r="D7144" i="3"/>
  <c r="C7144" i="3"/>
  <c r="B7144" i="3"/>
  <c r="D7143" i="3"/>
  <c r="C7143" i="3"/>
  <c r="B7143" i="3"/>
  <c r="D7142" i="3"/>
  <c r="C7142" i="3"/>
  <c r="B7142" i="3"/>
  <c r="D7141" i="3"/>
  <c r="C7141" i="3"/>
  <c r="B7141" i="3"/>
  <c r="D7140" i="3"/>
  <c r="C7140" i="3"/>
  <c r="B7140" i="3"/>
  <c r="D7139" i="3"/>
  <c r="C7139" i="3"/>
  <c r="B7139" i="3"/>
  <c r="D7138" i="3"/>
  <c r="C7138" i="3"/>
  <c r="B7138" i="3"/>
  <c r="D7137" i="3"/>
  <c r="C7137" i="3"/>
  <c r="B7137" i="3"/>
  <c r="D7136" i="3"/>
  <c r="C7136" i="3"/>
  <c r="B7136" i="3"/>
  <c r="D7135" i="3"/>
  <c r="C7135" i="3"/>
  <c r="B7135" i="3"/>
  <c r="D7134" i="3"/>
  <c r="C7134" i="3"/>
  <c r="B7134" i="3"/>
  <c r="D7133" i="3"/>
  <c r="C7133" i="3"/>
  <c r="B7133" i="3"/>
  <c r="D7132" i="3"/>
  <c r="C7132" i="3"/>
  <c r="B7132" i="3"/>
  <c r="D7131" i="3"/>
  <c r="C7131" i="3"/>
  <c r="B7131" i="3"/>
  <c r="D7130" i="3"/>
  <c r="C7130" i="3"/>
  <c r="B7130" i="3"/>
  <c r="D7129" i="3"/>
  <c r="C7129" i="3"/>
  <c r="B7129" i="3"/>
  <c r="D7128" i="3"/>
  <c r="C7128" i="3"/>
  <c r="B7128" i="3"/>
  <c r="D7127" i="3"/>
  <c r="C7127" i="3"/>
  <c r="B7127" i="3"/>
  <c r="D7126" i="3"/>
  <c r="C7126" i="3"/>
  <c r="B7126" i="3"/>
  <c r="D7125" i="3"/>
  <c r="C7125" i="3"/>
  <c r="B7125" i="3"/>
  <c r="D7124" i="3"/>
  <c r="C7124" i="3"/>
  <c r="B7124" i="3"/>
  <c r="D7123" i="3"/>
  <c r="C7123" i="3"/>
  <c r="B7123" i="3"/>
  <c r="D7122" i="3"/>
  <c r="C7122" i="3"/>
  <c r="B7122" i="3"/>
  <c r="D7121" i="3"/>
  <c r="C7121" i="3"/>
  <c r="B7121" i="3"/>
  <c r="D7120" i="3"/>
  <c r="C7120" i="3"/>
  <c r="B7120" i="3"/>
  <c r="D7119" i="3"/>
  <c r="C7119" i="3"/>
  <c r="B7119" i="3"/>
  <c r="D7118" i="3"/>
  <c r="C7118" i="3"/>
  <c r="B7118" i="3"/>
  <c r="D7117" i="3"/>
  <c r="C7117" i="3"/>
  <c r="B7117" i="3"/>
  <c r="D7116" i="3"/>
  <c r="C7116" i="3"/>
  <c r="B7116" i="3"/>
  <c r="D7115" i="3"/>
  <c r="C7115" i="3"/>
  <c r="B7115" i="3"/>
  <c r="D7114" i="3"/>
  <c r="C7114" i="3"/>
  <c r="B7114" i="3"/>
  <c r="D7113" i="3"/>
  <c r="C7113" i="3"/>
  <c r="B7113" i="3"/>
  <c r="D7112" i="3"/>
  <c r="C7112" i="3"/>
  <c r="B7112" i="3"/>
  <c r="D7111" i="3"/>
  <c r="C7111" i="3"/>
  <c r="B7111" i="3"/>
  <c r="D7110" i="3"/>
  <c r="C7110" i="3"/>
  <c r="B7110" i="3"/>
  <c r="D7109" i="3"/>
  <c r="C7109" i="3"/>
  <c r="B7109" i="3"/>
  <c r="D7108" i="3"/>
  <c r="C7108" i="3"/>
  <c r="B7108" i="3"/>
  <c r="D7107" i="3"/>
  <c r="C7107" i="3"/>
  <c r="B7107" i="3"/>
  <c r="D7106" i="3"/>
  <c r="C7106" i="3"/>
  <c r="B7106" i="3"/>
  <c r="D7105" i="3"/>
  <c r="C7105" i="3"/>
  <c r="B7105" i="3"/>
  <c r="D7104" i="3"/>
  <c r="C7104" i="3"/>
  <c r="B7104" i="3"/>
  <c r="D7103" i="3"/>
  <c r="C7103" i="3"/>
  <c r="B7103" i="3"/>
  <c r="D7102" i="3"/>
  <c r="C7102" i="3"/>
  <c r="B7102" i="3"/>
  <c r="D7101" i="3"/>
  <c r="C7101" i="3"/>
  <c r="B7101" i="3"/>
  <c r="D7100" i="3"/>
  <c r="C7100" i="3"/>
  <c r="B7100" i="3"/>
  <c r="D7099" i="3"/>
  <c r="C7099" i="3"/>
  <c r="B7099" i="3"/>
  <c r="D7098" i="3"/>
  <c r="C7098" i="3"/>
  <c r="B7098" i="3"/>
  <c r="D7097" i="3"/>
  <c r="C7097" i="3"/>
  <c r="B7097" i="3"/>
  <c r="D7096" i="3"/>
  <c r="C7096" i="3"/>
  <c r="B7096" i="3"/>
  <c r="D7095" i="3"/>
  <c r="C7095" i="3"/>
  <c r="B7095" i="3"/>
  <c r="D7094" i="3"/>
  <c r="C7094" i="3"/>
  <c r="B7094" i="3"/>
  <c r="D7093" i="3"/>
  <c r="C7093" i="3"/>
  <c r="B7093" i="3"/>
  <c r="D7092" i="3"/>
  <c r="C7092" i="3"/>
  <c r="B7092" i="3"/>
  <c r="D7091" i="3"/>
  <c r="C7091" i="3"/>
  <c r="B7091" i="3"/>
  <c r="D7090" i="3"/>
  <c r="C7090" i="3"/>
  <c r="B7090" i="3"/>
  <c r="D7089" i="3"/>
  <c r="C7089" i="3"/>
  <c r="B7089" i="3"/>
  <c r="D7088" i="3"/>
  <c r="C7088" i="3"/>
  <c r="B7088" i="3"/>
  <c r="D7087" i="3"/>
  <c r="C7087" i="3"/>
  <c r="B7087" i="3"/>
  <c r="D7086" i="3"/>
  <c r="C7086" i="3"/>
  <c r="B7086" i="3"/>
  <c r="D7085" i="3"/>
  <c r="C7085" i="3"/>
  <c r="B7085" i="3"/>
  <c r="D7084" i="3"/>
  <c r="C7084" i="3"/>
  <c r="B7084" i="3"/>
  <c r="D7083" i="3"/>
  <c r="C7083" i="3"/>
  <c r="B7083" i="3"/>
  <c r="D7082" i="3"/>
  <c r="C7082" i="3"/>
  <c r="B7082" i="3"/>
  <c r="D7081" i="3"/>
  <c r="C7081" i="3"/>
  <c r="B7081" i="3"/>
  <c r="D7080" i="3"/>
  <c r="C7080" i="3"/>
  <c r="B7080" i="3"/>
  <c r="D7079" i="3"/>
  <c r="C7079" i="3"/>
  <c r="B7079" i="3"/>
  <c r="D7078" i="3"/>
  <c r="C7078" i="3"/>
  <c r="B7078" i="3"/>
  <c r="D7077" i="3"/>
  <c r="C7077" i="3"/>
  <c r="B7077" i="3"/>
  <c r="D7076" i="3"/>
  <c r="C7076" i="3"/>
  <c r="B7076" i="3"/>
  <c r="D7075" i="3"/>
  <c r="C7075" i="3"/>
  <c r="B7075" i="3"/>
  <c r="D7074" i="3"/>
  <c r="C7074" i="3"/>
  <c r="B7074" i="3"/>
  <c r="D7073" i="3"/>
  <c r="C7073" i="3"/>
  <c r="B7073" i="3"/>
  <c r="D7072" i="3"/>
  <c r="C7072" i="3"/>
  <c r="B7072" i="3"/>
  <c r="D7071" i="3"/>
  <c r="C7071" i="3"/>
  <c r="B7071" i="3"/>
  <c r="D7070" i="3"/>
  <c r="C7070" i="3"/>
  <c r="B7070" i="3"/>
  <c r="D7069" i="3"/>
  <c r="C7069" i="3"/>
  <c r="B7069" i="3"/>
  <c r="D7068" i="3"/>
  <c r="C7068" i="3"/>
  <c r="B7068" i="3"/>
  <c r="D7067" i="3"/>
  <c r="C7067" i="3"/>
  <c r="B7067" i="3"/>
  <c r="D7066" i="3"/>
  <c r="C7066" i="3"/>
  <c r="B7066" i="3"/>
  <c r="D7065" i="3"/>
  <c r="C7065" i="3"/>
  <c r="B7065" i="3"/>
  <c r="D7064" i="3"/>
  <c r="C7064" i="3"/>
  <c r="B7064" i="3"/>
  <c r="D7063" i="3"/>
  <c r="C7063" i="3"/>
  <c r="B7063" i="3"/>
  <c r="D7062" i="3"/>
  <c r="C7062" i="3"/>
  <c r="B7062" i="3"/>
  <c r="D7061" i="3"/>
  <c r="C7061" i="3"/>
  <c r="B7061" i="3"/>
  <c r="D7060" i="3"/>
  <c r="C7060" i="3"/>
  <c r="B7060" i="3"/>
  <c r="D7059" i="3"/>
  <c r="C7059" i="3"/>
  <c r="B7059" i="3"/>
  <c r="D7058" i="3"/>
  <c r="C7058" i="3"/>
  <c r="B7058" i="3"/>
  <c r="D7057" i="3"/>
  <c r="C7057" i="3"/>
  <c r="B7057" i="3"/>
  <c r="D7056" i="3"/>
  <c r="C7056" i="3"/>
  <c r="B7056" i="3"/>
  <c r="D7055" i="3"/>
  <c r="C7055" i="3"/>
  <c r="B7055" i="3"/>
  <c r="D7054" i="3"/>
  <c r="C7054" i="3"/>
  <c r="B7054" i="3"/>
  <c r="D7053" i="3"/>
  <c r="C7053" i="3"/>
  <c r="B7053" i="3"/>
  <c r="D7052" i="3"/>
  <c r="C7052" i="3"/>
  <c r="B7052" i="3"/>
  <c r="D7051" i="3"/>
  <c r="C7051" i="3"/>
  <c r="B7051" i="3"/>
  <c r="D7050" i="3"/>
  <c r="C7050" i="3"/>
  <c r="B7050" i="3"/>
  <c r="D7049" i="3"/>
  <c r="C7049" i="3"/>
  <c r="B7049" i="3"/>
  <c r="D7048" i="3"/>
  <c r="C7048" i="3"/>
  <c r="B7048" i="3"/>
  <c r="D7047" i="3"/>
  <c r="C7047" i="3"/>
  <c r="B7047" i="3"/>
  <c r="D7046" i="3"/>
  <c r="C7046" i="3"/>
  <c r="B7046" i="3"/>
  <c r="D7045" i="3"/>
  <c r="C7045" i="3"/>
  <c r="B7045" i="3"/>
  <c r="D7044" i="3"/>
  <c r="C7044" i="3"/>
  <c r="B7044" i="3"/>
  <c r="D7043" i="3"/>
  <c r="C7043" i="3"/>
  <c r="B7043" i="3"/>
  <c r="D7042" i="3"/>
  <c r="C7042" i="3"/>
  <c r="B7042" i="3"/>
  <c r="D7041" i="3"/>
  <c r="C7041" i="3"/>
  <c r="B7041" i="3"/>
  <c r="D7040" i="3"/>
  <c r="C7040" i="3"/>
  <c r="B7040" i="3"/>
  <c r="D7039" i="3"/>
  <c r="C7039" i="3"/>
  <c r="B7039" i="3"/>
  <c r="D7038" i="3"/>
  <c r="C7038" i="3"/>
  <c r="B7038" i="3"/>
  <c r="D7037" i="3"/>
  <c r="C7037" i="3"/>
  <c r="B7037" i="3"/>
  <c r="D7036" i="3"/>
  <c r="C7036" i="3"/>
  <c r="B7036" i="3"/>
  <c r="D7035" i="3"/>
  <c r="C7035" i="3"/>
  <c r="B7035" i="3"/>
  <c r="D7034" i="3"/>
  <c r="C7034" i="3"/>
  <c r="B7034" i="3"/>
  <c r="D7033" i="3"/>
  <c r="C7033" i="3"/>
  <c r="B7033" i="3"/>
  <c r="D7032" i="3"/>
  <c r="C7032" i="3"/>
  <c r="B7032" i="3"/>
  <c r="D7031" i="3"/>
  <c r="C7031" i="3"/>
  <c r="B7031" i="3"/>
  <c r="D7030" i="3"/>
  <c r="C7030" i="3"/>
  <c r="B7030" i="3"/>
  <c r="D7029" i="3"/>
  <c r="C7029" i="3"/>
  <c r="B7029" i="3"/>
  <c r="D7028" i="3"/>
  <c r="C7028" i="3"/>
  <c r="B7028" i="3"/>
  <c r="D7027" i="3"/>
  <c r="C7027" i="3"/>
  <c r="B7027" i="3"/>
  <c r="D7026" i="3"/>
  <c r="C7026" i="3"/>
  <c r="B7026" i="3"/>
  <c r="D7025" i="3"/>
  <c r="C7025" i="3"/>
  <c r="B7025" i="3"/>
  <c r="D7024" i="3"/>
  <c r="C7024" i="3"/>
  <c r="B7024" i="3"/>
  <c r="D7023" i="3"/>
  <c r="C7023" i="3"/>
  <c r="B7023" i="3"/>
  <c r="D7022" i="3"/>
  <c r="C7022" i="3"/>
  <c r="B7022" i="3"/>
  <c r="D7021" i="3"/>
  <c r="C7021" i="3"/>
  <c r="B7021" i="3"/>
  <c r="D7020" i="3"/>
  <c r="C7020" i="3"/>
  <c r="B7020" i="3"/>
  <c r="D7019" i="3"/>
  <c r="C7019" i="3"/>
  <c r="B7019" i="3"/>
  <c r="D7018" i="3"/>
  <c r="C7018" i="3"/>
  <c r="B7018" i="3"/>
  <c r="D7017" i="3"/>
  <c r="C7017" i="3"/>
  <c r="B7017" i="3"/>
  <c r="D7016" i="3"/>
  <c r="C7016" i="3"/>
  <c r="B7016" i="3"/>
  <c r="D7015" i="3"/>
  <c r="C7015" i="3"/>
  <c r="B7015" i="3"/>
  <c r="D7014" i="3"/>
  <c r="C7014" i="3"/>
  <c r="B7014" i="3"/>
  <c r="D7013" i="3"/>
  <c r="C7013" i="3"/>
  <c r="B7013" i="3"/>
  <c r="D7012" i="3"/>
  <c r="C7012" i="3"/>
  <c r="B7012" i="3"/>
  <c r="D7011" i="3"/>
  <c r="C7011" i="3"/>
  <c r="B7011" i="3"/>
  <c r="D7010" i="3"/>
  <c r="C7010" i="3"/>
  <c r="B7010" i="3"/>
  <c r="D7009" i="3"/>
  <c r="C7009" i="3"/>
  <c r="B7009" i="3"/>
  <c r="D7008" i="3"/>
  <c r="C7008" i="3"/>
  <c r="B7008" i="3"/>
  <c r="D7007" i="3"/>
  <c r="C7007" i="3"/>
  <c r="B7007" i="3"/>
  <c r="D7006" i="3"/>
  <c r="C7006" i="3"/>
  <c r="B7006" i="3"/>
  <c r="D7005" i="3"/>
  <c r="C7005" i="3"/>
  <c r="B7005" i="3"/>
  <c r="D7004" i="3"/>
  <c r="C7004" i="3"/>
  <c r="B7004" i="3"/>
  <c r="D7003" i="3"/>
  <c r="C7003" i="3"/>
  <c r="B7003" i="3"/>
  <c r="D7002" i="3"/>
  <c r="C7002" i="3"/>
  <c r="B7002" i="3"/>
  <c r="D7001" i="3"/>
  <c r="C7001" i="3"/>
  <c r="B7001" i="3"/>
  <c r="D7000" i="3"/>
  <c r="C7000" i="3"/>
  <c r="B7000" i="3"/>
  <c r="D6999" i="3"/>
  <c r="C6999" i="3"/>
  <c r="B6999" i="3"/>
  <c r="D6998" i="3"/>
  <c r="C6998" i="3"/>
  <c r="B6998" i="3"/>
  <c r="D6997" i="3"/>
  <c r="C6997" i="3"/>
  <c r="B6997" i="3"/>
  <c r="D6996" i="3"/>
  <c r="C6996" i="3"/>
  <c r="B6996" i="3"/>
  <c r="D6995" i="3"/>
  <c r="C6995" i="3"/>
  <c r="B6995" i="3"/>
  <c r="D6994" i="3"/>
  <c r="C6994" i="3"/>
  <c r="B6994" i="3"/>
  <c r="D6993" i="3"/>
  <c r="C6993" i="3"/>
  <c r="B6993" i="3"/>
  <c r="D6992" i="3"/>
  <c r="C6992" i="3"/>
  <c r="B6992" i="3"/>
  <c r="D6991" i="3"/>
  <c r="C6991" i="3"/>
  <c r="B6991" i="3"/>
  <c r="D6990" i="3"/>
  <c r="C6990" i="3"/>
  <c r="B6990" i="3"/>
  <c r="D6989" i="3"/>
  <c r="C6989" i="3"/>
  <c r="B6989" i="3"/>
  <c r="D6988" i="3"/>
  <c r="C6988" i="3"/>
  <c r="B6988" i="3"/>
  <c r="D6987" i="3"/>
  <c r="C6987" i="3"/>
  <c r="B6987" i="3"/>
  <c r="D6986" i="3"/>
  <c r="C6986" i="3"/>
  <c r="B6986" i="3"/>
  <c r="D6985" i="3"/>
  <c r="C6985" i="3"/>
  <c r="B6985" i="3"/>
  <c r="D6984" i="3"/>
  <c r="C6984" i="3"/>
  <c r="B6984" i="3"/>
  <c r="D6983" i="3"/>
  <c r="C6983" i="3"/>
  <c r="B6983" i="3"/>
  <c r="D6982" i="3"/>
  <c r="C6982" i="3"/>
  <c r="B6982" i="3"/>
  <c r="D6981" i="3"/>
  <c r="C6981" i="3"/>
  <c r="B6981" i="3"/>
  <c r="D6980" i="3"/>
  <c r="C6980" i="3"/>
  <c r="B6980" i="3"/>
  <c r="D6979" i="3"/>
  <c r="C6979" i="3"/>
  <c r="B6979" i="3"/>
  <c r="D6978" i="3"/>
  <c r="C6978" i="3"/>
  <c r="B6978" i="3"/>
  <c r="D6977" i="3"/>
  <c r="C6977" i="3"/>
  <c r="B6977" i="3"/>
  <c r="D6976" i="3"/>
  <c r="C6976" i="3"/>
  <c r="B6976" i="3"/>
  <c r="D6975" i="3"/>
  <c r="C6975" i="3"/>
  <c r="B6975" i="3"/>
  <c r="D6974" i="3"/>
  <c r="C6974" i="3"/>
  <c r="B6974" i="3"/>
  <c r="D6973" i="3"/>
  <c r="C6973" i="3"/>
  <c r="B6973" i="3"/>
  <c r="D6972" i="3"/>
  <c r="C6972" i="3"/>
  <c r="B6972" i="3"/>
  <c r="D6971" i="3"/>
  <c r="C6971" i="3"/>
  <c r="B6971" i="3"/>
  <c r="D6970" i="3"/>
  <c r="C6970" i="3"/>
  <c r="B6970" i="3"/>
  <c r="D6969" i="3"/>
  <c r="C6969" i="3"/>
  <c r="B6969" i="3"/>
  <c r="D6968" i="3"/>
  <c r="C6968" i="3"/>
  <c r="B6968" i="3"/>
  <c r="D6967" i="3"/>
  <c r="C6967" i="3"/>
  <c r="B6967" i="3"/>
  <c r="D6966" i="3"/>
  <c r="C6966" i="3"/>
  <c r="B6966" i="3"/>
  <c r="D6965" i="3"/>
  <c r="C6965" i="3"/>
  <c r="B6965" i="3"/>
  <c r="D6964" i="3"/>
  <c r="C6964" i="3"/>
  <c r="B6964" i="3"/>
  <c r="D6963" i="3"/>
  <c r="C6963" i="3"/>
  <c r="B6963" i="3"/>
  <c r="D6962" i="3"/>
  <c r="C6962" i="3"/>
  <c r="B6962" i="3"/>
  <c r="D6961" i="3"/>
  <c r="C6961" i="3"/>
  <c r="B6961" i="3"/>
  <c r="D6960" i="3"/>
  <c r="C6960" i="3"/>
  <c r="B6960" i="3"/>
  <c r="D6959" i="3"/>
  <c r="C6959" i="3"/>
  <c r="B6959" i="3"/>
  <c r="D6958" i="3"/>
  <c r="C6958" i="3"/>
  <c r="B6958" i="3"/>
  <c r="D6957" i="3"/>
  <c r="C6957" i="3"/>
  <c r="B6957" i="3"/>
  <c r="D6956" i="3"/>
  <c r="C6956" i="3"/>
  <c r="B6956" i="3"/>
  <c r="D6955" i="3"/>
  <c r="C6955" i="3"/>
  <c r="B6955" i="3"/>
  <c r="D6954" i="3"/>
  <c r="C6954" i="3"/>
  <c r="B6954" i="3"/>
  <c r="D6953" i="3"/>
  <c r="C6953" i="3"/>
  <c r="B6953" i="3"/>
  <c r="D6952" i="3"/>
  <c r="C6952" i="3"/>
  <c r="B6952" i="3"/>
  <c r="D6951" i="3"/>
  <c r="C6951" i="3"/>
  <c r="B6951" i="3"/>
  <c r="D6950" i="3"/>
  <c r="C6950" i="3"/>
  <c r="B6950" i="3"/>
  <c r="D6949" i="3"/>
  <c r="C6949" i="3"/>
  <c r="B6949" i="3"/>
  <c r="D6948" i="3"/>
  <c r="C6948" i="3"/>
  <c r="B6948" i="3"/>
  <c r="D6947" i="3"/>
  <c r="C6947" i="3"/>
  <c r="B6947" i="3"/>
  <c r="D6946" i="3"/>
  <c r="C6946" i="3"/>
  <c r="B6946" i="3"/>
  <c r="D6945" i="3"/>
  <c r="C6945" i="3"/>
  <c r="B6945" i="3"/>
  <c r="D6944" i="3"/>
  <c r="C6944" i="3"/>
  <c r="B6944" i="3"/>
  <c r="D6943" i="3"/>
  <c r="C6943" i="3"/>
  <c r="B6943" i="3"/>
  <c r="D6942" i="3"/>
  <c r="C6942" i="3"/>
  <c r="B6942" i="3"/>
  <c r="D6941" i="3"/>
  <c r="C6941" i="3"/>
  <c r="B6941" i="3"/>
  <c r="D6940" i="3"/>
  <c r="C6940" i="3"/>
  <c r="B6940" i="3"/>
  <c r="D6939" i="3"/>
  <c r="C6939" i="3"/>
  <c r="B6939" i="3"/>
  <c r="D6938" i="3"/>
  <c r="C6938" i="3"/>
  <c r="B6938" i="3"/>
  <c r="D6937" i="3"/>
  <c r="C6937" i="3"/>
  <c r="B6937" i="3"/>
  <c r="D6936" i="3"/>
  <c r="C6936" i="3"/>
  <c r="B6936" i="3"/>
  <c r="D6935" i="3"/>
  <c r="C6935" i="3"/>
  <c r="B6935" i="3"/>
  <c r="D6934" i="3"/>
  <c r="C6934" i="3"/>
  <c r="B6934" i="3"/>
  <c r="D6933" i="3"/>
  <c r="C6933" i="3"/>
  <c r="B6933" i="3"/>
  <c r="D6932" i="3"/>
  <c r="C6932" i="3"/>
  <c r="B6932" i="3"/>
  <c r="D6931" i="3"/>
  <c r="C6931" i="3"/>
  <c r="B6931" i="3"/>
  <c r="D6930" i="3"/>
  <c r="C6930" i="3"/>
  <c r="B6930" i="3"/>
  <c r="D6929" i="3"/>
  <c r="C6929" i="3"/>
  <c r="B6929" i="3"/>
  <c r="D6928" i="3"/>
  <c r="C6928" i="3"/>
  <c r="B6928" i="3"/>
  <c r="D6927" i="3"/>
  <c r="C6927" i="3"/>
  <c r="B6927" i="3"/>
  <c r="D6926" i="3"/>
  <c r="C6926" i="3"/>
  <c r="B6926" i="3"/>
  <c r="D6925" i="3"/>
  <c r="C6925" i="3"/>
  <c r="B6925" i="3"/>
  <c r="D6924" i="3"/>
  <c r="C6924" i="3"/>
  <c r="B6924" i="3"/>
  <c r="D6923" i="3"/>
  <c r="C6923" i="3"/>
  <c r="B6923" i="3"/>
  <c r="D6922" i="3"/>
  <c r="C6922" i="3"/>
  <c r="B6922" i="3"/>
  <c r="D6921" i="3"/>
  <c r="C6921" i="3"/>
  <c r="B6921" i="3"/>
  <c r="D6920" i="3"/>
  <c r="C6920" i="3"/>
  <c r="B6920" i="3"/>
  <c r="D6919" i="3"/>
  <c r="C6919" i="3"/>
  <c r="B6919" i="3"/>
  <c r="D6918" i="3"/>
  <c r="C6918" i="3"/>
  <c r="B6918" i="3"/>
  <c r="D6917" i="3"/>
  <c r="C6917" i="3"/>
  <c r="B6917" i="3"/>
  <c r="D6916" i="3"/>
  <c r="C6916" i="3"/>
  <c r="B6916" i="3"/>
  <c r="D6915" i="3"/>
  <c r="C6915" i="3"/>
  <c r="B6915" i="3"/>
  <c r="D6914" i="3"/>
  <c r="C6914" i="3"/>
  <c r="B6914" i="3"/>
  <c r="D6913" i="3"/>
  <c r="C6913" i="3"/>
  <c r="B6913" i="3"/>
  <c r="D6912" i="3"/>
  <c r="C6912" i="3"/>
  <c r="B6912" i="3"/>
  <c r="D6911" i="3"/>
  <c r="C6911" i="3"/>
  <c r="B6911" i="3"/>
  <c r="D6910" i="3"/>
  <c r="C6910" i="3"/>
  <c r="B6910" i="3"/>
  <c r="D6909" i="3"/>
  <c r="C6909" i="3"/>
  <c r="B6909" i="3"/>
  <c r="D6908" i="3"/>
  <c r="C6908" i="3"/>
  <c r="B6908" i="3"/>
  <c r="D6907" i="3"/>
  <c r="C6907" i="3"/>
  <c r="B6907" i="3"/>
  <c r="D6906" i="3"/>
  <c r="C6906" i="3"/>
  <c r="B6906" i="3"/>
  <c r="D6905" i="3"/>
  <c r="C6905" i="3"/>
  <c r="B6905" i="3"/>
  <c r="D6904" i="3"/>
  <c r="C6904" i="3"/>
  <c r="B6904" i="3"/>
  <c r="D6903" i="3"/>
  <c r="C6903" i="3"/>
  <c r="B6903" i="3"/>
  <c r="D6902" i="3"/>
  <c r="C6902" i="3"/>
  <c r="B6902" i="3"/>
  <c r="D6901" i="3"/>
  <c r="C6901" i="3"/>
  <c r="B6901" i="3"/>
  <c r="D6900" i="3"/>
  <c r="C6900" i="3"/>
  <c r="B6900" i="3"/>
  <c r="D6899" i="3"/>
  <c r="C6899" i="3"/>
  <c r="B6899" i="3"/>
  <c r="D6898" i="3"/>
  <c r="C6898" i="3"/>
  <c r="B6898" i="3"/>
  <c r="D6897" i="3"/>
  <c r="C6897" i="3"/>
  <c r="B6897" i="3"/>
  <c r="D6896" i="3"/>
  <c r="C6896" i="3"/>
  <c r="B6896" i="3"/>
  <c r="D6895" i="3"/>
  <c r="C6895" i="3"/>
  <c r="B6895" i="3"/>
  <c r="D6894" i="3"/>
  <c r="C6894" i="3"/>
  <c r="B6894" i="3"/>
  <c r="D6893" i="3"/>
  <c r="C6893" i="3"/>
  <c r="B6893" i="3"/>
  <c r="D6892" i="3"/>
  <c r="C6892" i="3"/>
  <c r="B6892" i="3"/>
  <c r="D6891" i="3"/>
  <c r="C6891" i="3"/>
  <c r="B6891" i="3"/>
  <c r="D6890" i="3"/>
  <c r="C6890" i="3"/>
  <c r="B6890" i="3"/>
  <c r="D6889" i="3"/>
  <c r="C6889" i="3"/>
  <c r="B6889" i="3"/>
  <c r="D6888" i="3"/>
  <c r="C6888" i="3"/>
  <c r="B6888" i="3"/>
  <c r="D6887" i="3"/>
  <c r="C6887" i="3"/>
  <c r="B6887" i="3"/>
  <c r="D6886" i="3"/>
  <c r="C6886" i="3"/>
  <c r="B6886" i="3"/>
  <c r="D6885" i="3"/>
  <c r="C6885" i="3"/>
  <c r="B6885" i="3"/>
  <c r="D6884" i="3"/>
  <c r="C6884" i="3"/>
  <c r="B6884" i="3"/>
  <c r="D6883" i="3"/>
  <c r="C6883" i="3"/>
  <c r="B6883" i="3"/>
  <c r="D6882" i="3"/>
  <c r="C6882" i="3"/>
  <c r="B6882" i="3"/>
  <c r="D6881" i="3"/>
  <c r="C6881" i="3"/>
  <c r="B6881" i="3"/>
  <c r="D6880" i="3"/>
  <c r="C6880" i="3"/>
  <c r="B6880" i="3"/>
  <c r="D6879" i="3"/>
  <c r="C6879" i="3"/>
  <c r="B6879" i="3"/>
  <c r="D6878" i="3"/>
  <c r="C6878" i="3"/>
  <c r="B6878" i="3"/>
  <c r="D6877" i="3"/>
  <c r="C6877" i="3"/>
  <c r="B6877" i="3"/>
  <c r="D6876" i="3"/>
  <c r="C6876" i="3"/>
  <c r="B6876" i="3"/>
  <c r="D6875" i="3"/>
  <c r="C6875" i="3"/>
  <c r="B6875" i="3"/>
  <c r="D6874" i="3"/>
  <c r="C6874" i="3"/>
  <c r="B6874" i="3"/>
  <c r="D6873" i="3"/>
  <c r="C6873" i="3"/>
  <c r="B6873" i="3"/>
  <c r="D6872" i="3"/>
  <c r="C6872" i="3"/>
  <c r="B6872" i="3"/>
  <c r="D6871" i="3"/>
  <c r="C6871" i="3"/>
  <c r="B6871" i="3"/>
  <c r="D6870" i="3"/>
  <c r="C6870" i="3"/>
  <c r="B6870" i="3"/>
  <c r="D6869" i="3"/>
  <c r="C6869" i="3"/>
  <c r="B6869" i="3"/>
  <c r="D6868" i="3"/>
  <c r="C6868" i="3"/>
  <c r="B6868" i="3"/>
  <c r="D6867" i="3"/>
  <c r="C6867" i="3"/>
  <c r="B6867" i="3"/>
  <c r="D6866" i="3"/>
  <c r="C6866" i="3"/>
  <c r="B6866" i="3"/>
  <c r="D6865" i="3"/>
  <c r="C6865" i="3"/>
  <c r="B6865" i="3"/>
  <c r="D6864" i="3"/>
  <c r="C6864" i="3"/>
  <c r="B6864" i="3"/>
  <c r="D6863" i="3"/>
  <c r="C6863" i="3"/>
  <c r="B6863" i="3"/>
  <c r="D6862" i="3"/>
  <c r="C6862" i="3"/>
  <c r="B6862" i="3"/>
  <c r="D6861" i="3"/>
  <c r="C6861" i="3"/>
  <c r="B6861" i="3"/>
  <c r="D6860" i="3"/>
  <c r="C6860" i="3"/>
  <c r="B6860" i="3"/>
  <c r="D6859" i="3"/>
  <c r="C6859" i="3"/>
  <c r="B6859" i="3"/>
  <c r="D6858" i="3"/>
  <c r="C6858" i="3"/>
  <c r="B6858" i="3"/>
  <c r="D6857" i="3"/>
  <c r="C6857" i="3"/>
  <c r="B6857" i="3"/>
  <c r="D6856" i="3"/>
  <c r="C6856" i="3"/>
  <c r="B6856" i="3"/>
  <c r="D6855" i="3"/>
  <c r="C6855" i="3"/>
  <c r="B6855" i="3"/>
  <c r="D6854" i="3"/>
  <c r="C6854" i="3"/>
  <c r="B6854" i="3"/>
  <c r="D6853" i="3"/>
  <c r="C6853" i="3"/>
  <c r="B6853" i="3"/>
  <c r="D6852" i="3"/>
  <c r="C6852" i="3"/>
  <c r="B6852" i="3"/>
  <c r="D6851" i="3"/>
  <c r="C6851" i="3"/>
  <c r="B6851" i="3"/>
  <c r="D6850" i="3"/>
  <c r="C6850" i="3"/>
  <c r="B6850" i="3"/>
  <c r="D6849" i="3"/>
  <c r="C6849" i="3"/>
  <c r="B6849" i="3"/>
  <c r="D6848" i="3"/>
  <c r="C6848" i="3"/>
  <c r="B6848" i="3"/>
  <c r="D6847" i="3"/>
  <c r="C6847" i="3"/>
  <c r="B6847" i="3"/>
  <c r="D6846" i="3"/>
  <c r="C6846" i="3"/>
  <c r="B6846" i="3"/>
  <c r="D6845" i="3"/>
  <c r="C6845" i="3"/>
  <c r="B6845" i="3"/>
  <c r="D6844" i="3"/>
  <c r="C6844" i="3"/>
  <c r="B6844" i="3"/>
  <c r="D6843" i="3"/>
  <c r="C6843" i="3"/>
  <c r="B6843" i="3"/>
  <c r="D6842" i="3"/>
  <c r="C6842" i="3"/>
  <c r="B6842" i="3"/>
  <c r="D6841" i="3"/>
  <c r="C6841" i="3"/>
  <c r="B6841" i="3"/>
  <c r="D6840" i="3"/>
  <c r="C6840" i="3"/>
  <c r="B6840" i="3"/>
  <c r="D6839" i="3"/>
  <c r="C6839" i="3"/>
  <c r="B6839" i="3"/>
  <c r="D6838" i="3"/>
  <c r="C6838" i="3"/>
  <c r="B6838" i="3"/>
  <c r="D6837" i="3"/>
  <c r="C6837" i="3"/>
  <c r="B6837" i="3"/>
  <c r="D6836" i="3"/>
  <c r="C6836" i="3"/>
  <c r="B6836" i="3"/>
  <c r="D6835" i="3"/>
  <c r="C6835" i="3"/>
  <c r="B6835" i="3"/>
  <c r="D6834" i="3"/>
  <c r="C6834" i="3"/>
  <c r="B6834" i="3"/>
  <c r="D6833" i="3"/>
  <c r="C6833" i="3"/>
  <c r="B6833" i="3"/>
  <c r="D6832" i="3"/>
  <c r="C6832" i="3"/>
  <c r="B6832" i="3"/>
  <c r="D6831" i="3"/>
  <c r="C6831" i="3"/>
  <c r="B6831" i="3"/>
  <c r="D6830" i="3"/>
  <c r="C6830" i="3"/>
  <c r="B6830" i="3"/>
  <c r="D6829" i="3"/>
  <c r="C6829" i="3"/>
  <c r="B6829" i="3"/>
  <c r="D6828" i="3"/>
  <c r="C6828" i="3"/>
  <c r="B6828" i="3"/>
  <c r="D6827" i="3"/>
  <c r="C6827" i="3"/>
  <c r="B6827" i="3"/>
  <c r="D6826" i="3"/>
  <c r="C6826" i="3"/>
  <c r="B6826" i="3"/>
  <c r="D6825" i="3"/>
  <c r="C6825" i="3"/>
  <c r="B6825" i="3"/>
  <c r="D6824" i="3"/>
  <c r="C6824" i="3"/>
  <c r="B6824" i="3"/>
  <c r="D6823" i="3"/>
  <c r="C6823" i="3"/>
  <c r="B6823" i="3"/>
  <c r="D6822" i="3"/>
  <c r="C6822" i="3"/>
  <c r="B6822" i="3"/>
  <c r="D6821" i="3"/>
  <c r="C6821" i="3"/>
  <c r="B6821" i="3"/>
  <c r="D6820" i="3"/>
  <c r="C6820" i="3"/>
  <c r="B6820" i="3"/>
  <c r="D6819" i="3"/>
  <c r="C6819" i="3"/>
  <c r="B6819" i="3"/>
  <c r="D6818" i="3"/>
  <c r="C6818" i="3"/>
  <c r="B6818" i="3"/>
  <c r="D6817" i="3"/>
  <c r="C6817" i="3"/>
  <c r="B6817" i="3"/>
  <c r="D6816" i="3"/>
  <c r="C6816" i="3"/>
  <c r="B6816" i="3"/>
  <c r="D6815" i="3"/>
  <c r="C6815" i="3"/>
  <c r="B6815" i="3"/>
  <c r="D6814" i="3"/>
  <c r="C6814" i="3"/>
  <c r="B6814" i="3"/>
  <c r="D6813" i="3"/>
  <c r="C6813" i="3"/>
  <c r="B6813" i="3"/>
  <c r="D6812" i="3"/>
  <c r="C6812" i="3"/>
  <c r="B6812" i="3"/>
  <c r="D6811" i="3"/>
  <c r="C6811" i="3"/>
  <c r="B6811" i="3"/>
  <c r="D6810" i="3"/>
  <c r="C6810" i="3"/>
  <c r="B6810" i="3"/>
  <c r="D6809" i="3"/>
  <c r="C6809" i="3"/>
  <c r="B6809" i="3"/>
  <c r="D6808" i="3"/>
  <c r="C6808" i="3"/>
  <c r="B6808" i="3"/>
  <c r="D6807" i="3"/>
  <c r="C6807" i="3"/>
  <c r="B6807" i="3"/>
  <c r="D6806" i="3"/>
  <c r="C6806" i="3"/>
  <c r="B6806" i="3"/>
  <c r="D6805" i="3"/>
  <c r="C6805" i="3"/>
  <c r="B6805" i="3"/>
  <c r="D6804" i="3"/>
  <c r="C6804" i="3"/>
  <c r="B6804" i="3"/>
  <c r="D6803" i="3"/>
  <c r="C6803" i="3"/>
  <c r="B6803" i="3"/>
  <c r="D6802" i="3"/>
  <c r="C6802" i="3"/>
  <c r="B6802" i="3"/>
  <c r="D6801" i="3"/>
  <c r="C6801" i="3"/>
  <c r="B6801" i="3"/>
  <c r="D6800" i="3"/>
  <c r="C6800" i="3"/>
  <c r="B6800" i="3"/>
  <c r="D6799" i="3"/>
  <c r="C6799" i="3"/>
  <c r="B6799" i="3"/>
  <c r="D6798" i="3"/>
  <c r="C6798" i="3"/>
  <c r="B6798" i="3"/>
  <c r="D6797" i="3"/>
  <c r="C6797" i="3"/>
  <c r="B6797" i="3"/>
  <c r="D6796" i="3"/>
  <c r="C6796" i="3"/>
  <c r="B6796" i="3"/>
  <c r="D6795" i="3"/>
  <c r="C6795" i="3"/>
  <c r="B6795" i="3"/>
  <c r="D6794" i="3"/>
  <c r="C6794" i="3"/>
  <c r="B6794" i="3"/>
  <c r="D6793" i="3"/>
  <c r="C6793" i="3"/>
  <c r="B6793" i="3"/>
  <c r="D6792" i="3"/>
  <c r="C6792" i="3"/>
  <c r="B6792" i="3"/>
  <c r="D6791" i="3"/>
  <c r="C6791" i="3"/>
  <c r="B6791" i="3"/>
  <c r="D6790" i="3"/>
  <c r="C6790" i="3"/>
  <c r="B6790" i="3"/>
  <c r="D6789" i="3"/>
  <c r="C6789" i="3"/>
  <c r="B6789" i="3"/>
  <c r="D6788" i="3"/>
  <c r="C6788" i="3"/>
  <c r="B6788" i="3"/>
  <c r="D6787" i="3"/>
  <c r="C6787" i="3"/>
  <c r="B6787" i="3"/>
  <c r="D6786" i="3"/>
  <c r="C6786" i="3"/>
  <c r="B6786" i="3"/>
  <c r="D6785" i="3"/>
  <c r="C6785" i="3"/>
  <c r="B6785" i="3"/>
  <c r="D6784" i="3"/>
  <c r="C6784" i="3"/>
  <c r="B6784" i="3"/>
  <c r="D6783" i="3"/>
  <c r="C6783" i="3"/>
  <c r="B6783" i="3"/>
  <c r="D6782" i="3"/>
  <c r="C6782" i="3"/>
  <c r="B6782" i="3"/>
  <c r="D6781" i="3"/>
  <c r="C6781" i="3"/>
  <c r="B6781" i="3"/>
  <c r="D6780" i="3"/>
  <c r="C6780" i="3"/>
  <c r="B6780" i="3"/>
  <c r="D6779" i="3"/>
  <c r="C6779" i="3"/>
  <c r="B6779" i="3"/>
  <c r="D6778" i="3"/>
  <c r="C6778" i="3"/>
  <c r="B6778" i="3"/>
  <c r="D6777" i="3"/>
  <c r="C6777" i="3"/>
  <c r="B6777" i="3"/>
  <c r="D6776" i="3"/>
  <c r="C6776" i="3"/>
  <c r="B6776" i="3"/>
  <c r="D6775" i="3"/>
  <c r="C6775" i="3"/>
  <c r="B6775" i="3"/>
  <c r="D6774" i="3"/>
  <c r="C6774" i="3"/>
  <c r="B6774" i="3"/>
  <c r="D6773" i="3"/>
  <c r="C6773" i="3"/>
  <c r="B6773" i="3"/>
  <c r="D6772" i="3"/>
  <c r="C6772" i="3"/>
  <c r="B6772" i="3"/>
  <c r="D6771" i="3"/>
  <c r="C6771" i="3"/>
  <c r="B6771" i="3"/>
  <c r="D6770" i="3"/>
  <c r="C6770" i="3"/>
  <c r="B6770" i="3"/>
  <c r="D6769" i="3"/>
  <c r="C6769" i="3"/>
  <c r="B6769" i="3"/>
  <c r="D6768" i="3"/>
  <c r="C6768" i="3"/>
  <c r="B6768" i="3"/>
  <c r="D6767" i="3"/>
  <c r="C6767" i="3"/>
  <c r="B6767" i="3"/>
  <c r="D6766" i="3"/>
  <c r="C6766" i="3"/>
  <c r="B6766" i="3"/>
  <c r="D6765" i="3"/>
  <c r="C6765" i="3"/>
  <c r="B6765" i="3"/>
  <c r="D6764" i="3"/>
  <c r="C6764" i="3"/>
  <c r="B6764" i="3"/>
  <c r="D6763" i="3"/>
  <c r="C6763" i="3"/>
  <c r="B6763" i="3"/>
  <c r="D6762" i="3"/>
  <c r="C6762" i="3"/>
  <c r="B6762" i="3"/>
  <c r="D6761" i="3"/>
  <c r="C6761" i="3"/>
  <c r="B6761" i="3"/>
  <c r="D6760" i="3"/>
  <c r="C6760" i="3"/>
  <c r="B6760" i="3"/>
  <c r="D6759" i="3"/>
  <c r="C6759" i="3"/>
  <c r="B6759" i="3"/>
  <c r="D6758" i="3"/>
  <c r="C6758" i="3"/>
  <c r="B6758" i="3"/>
  <c r="D6757" i="3"/>
  <c r="C6757" i="3"/>
  <c r="B6757" i="3"/>
  <c r="D6756" i="3"/>
  <c r="C6756" i="3"/>
  <c r="B6756" i="3"/>
  <c r="D6755" i="3"/>
  <c r="C6755" i="3"/>
  <c r="B6755" i="3"/>
  <c r="D6754" i="3"/>
  <c r="C6754" i="3"/>
  <c r="B6754" i="3"/>
  <c r="D6753" i="3"/>
  <c r="C6753" i="3"/>
  <c r="B6753" i="3"/>
  <c r="D6752" i="3"/>
  <c r="C6752" i="3"/>
  <c r="B6752" i="3"/>
  <c r="D6751" i="3"/>
  <c r="C6751" i="3"/>
  <c r="B6751" i="3"/>
  <c r="D6750" i="3"/>
  <c r="C6750" i="3"/>
  <c r="B6750" i="3"/>
  <c r="D6749" i="3"/>
  <c r="C6749" i="3"/>
  <c r="B6749" i="3"/>
  <c r="D6748" i="3"/>
  <c r="C6748" i="3"/>
  <c r="B6748" i="3"/>
  <c r="D6747" i="3"/>
  <c r="C6747" i="3"/>
  <c r="B6747" i="3"/>
  <c r="D6746" i="3"/>
  <c r="C6746" i="3"/>
  <c r="B6746" i="3"/>
  <c r="D6745" i="3"/>
  <c r="C6745" i="3"/>
  <c r="B6745" i="3"/>
  <c r="D6744" i="3"/>
  <c r="C6744" i="3"/>
  <c r="B6744" i="3"/>
  <c r="D6743" i="3"/>
  <c r="C6743" i="3"/>
  <c r="B6743" i="3"/>
  <c r="D6742" i="3"/>
  <c r="C6742" i="3"/>
  <c r="B6742" i="3"/>
  <c r="D6741" i="3"/>
  <c r="C6741" i="3"/>
  <c r="B6741" i="3"/>
  <c r="D6740" i="3"/>
  <c r="C6740" i="3"/>
  <c r="B6740" i="3"/>
  <c r="D6739" i="3"/>
  <c r="C6739" i="3"/>
  <c r="B6739" i="3"/>
  <c r="D6738" i="3"/>
  <c r="C6738" i="3"/>
  <c r="B6738" i="3"/>
  <c r="D6737" i="3"/>
  <c r="C6737" i="3"/>
  <c r="B6737" i="3"/>
  <c r="D6736" i="3"/>
  <c r="C6736" i="3"/>
  <c r="B6736" i="3"/>
  <c r="D6735" i="3"/>
  <c r="C6735" i="3"/>
  <c r="B6735" i="3"/>
  <c r="D6734" i="3"/>
  <c r="C6734" i="3"/>
  <c r="B6734" i="3"/>
  <c r="D6733" i="3"/>
  <c r="C6733" i="3"/>
  <c r="B6733" i="3"/>
  <c r="D6732" i="3"/>
  <c r="C6732" i="3"/>
  <c r="B6732" i="3"/>
  <c r="D6731" i="3"/>
  <c r="C6731" i="3"/>
  <c r="B6731" i="3"/>
  <c r="D6730" i="3"/>
  <c r="C6730" i="3"/>
  <c r="B6730" i="3"/>
  <c r="D6729" i="3"/>
  <c r="C6729" i="3"/>
  <c r="B6729" i="3"/>
  <c r="D6728" i="3"/>
  <c r="C6728" i="3"/>
  <c r="B6728" i="3"/>
  <c r="D6727" i="3"/>
  <c r="C6727" i="3"/>
  <c r="B6727" i="3"/>
  <c r="D6726" i="3"/>
  <c r="C6726" i="3"/>
  <c r="B6726" i="3"/>
  <c r="D6725" i="3"/>
  <c r="C6725" i="3"/>
  <c r="B6725" i="3"/>
  <c r="D6724" i="3"/>
  <c r="C6724" i="3"/>
  <c r="B6724" i="3"/>
  <c r="D6723" i="3"/>
  <c r="C6723" i="3"/>
  <c r="B6723" i="3"/>
  <c r="D6722" i="3"/>
  <c r="C6722" i="3"/>
  <c r="B6722" i="3"/>
  <c r="D6721" i="3"/>
  <c r="C6721" i="3"/>
  <c r="B6721" i="3"/>
  <c r="D6720" i="3"/>
  <c r="C6720" i="3"/>
  <c r="B6720" i="3"/>
  <c r="D6719" i="3"/>
  <c r="C6719" i="3"/>
  <c r="B6719" i="3"/>
  <c r="D6718" i="3"/>
  <c r="C6718" i="3"/>
  <c r="B6718" i="3"/>
  <c r="D6717" i="3"/>
  <c r="C6717" i="3"/>
  <c r="B6717" i="3"/>
  <c r="D6716" i="3"/>
  <c r="C6716" i="3"/>
  <c r="B6716" i="3"/>
  <c r="D6715" i="3"/>
  <c r="C6715" i="3"/>
  <c r="B6715" i="3"/>
  <c r="D6714" i="3"/>
  <c r="C6714" i="3"/>
  <c r="B6714" i="3"/>
  <c r="D6713" i="3"/>
  <c r="C6713" i="3"/>
  <c r="B6713" i="3"/>
  <c r="D6712" i="3"/>
  <c r="C6712" i="3"/>
  <c r="B6712" i="3"/>
  <c r="D6711" i="3"/>
  <c r="C6711" i="3"/>
  <c r="B6711" i="3"/>
  <c r="D6710" i="3"/>
  <c r="C6710" i="3"/>
  <c r="B6710" i="3"/>
  <c r="D6709" i="3"/>
  <c r="C6709" i="3"/>
  <c r="B6709" i="3"/>
  <c r="D6708" i="3"/>
  <c r="C6708" i="3"/>
  <c r="B6708" i="3"/>
  <c r="D6707" i="3"/>
  <c r="C6707" i="3"/>
  <c r="B6707" i="3"/>
  <c r="D6706" i="3"/>
  <c r="C6706" i="3"/>
  <c r="B6706" i="3"/>
  <c r="D6705" i="3"/>
  <c r="C6705" i="3"/>
  <c r="B6705" i="3"/>
  <c r="D6704" i="3"/>
  <c r="C6704" i="3"/>
  <c r="B6704" i="3"/>
  <c r="D6703" i="3"/>
  <c r="C6703" i="3"/>
  <c r="B6703" i="3"/>
  <c r="D6702" i="3"/>
  <c r="C6702" i="3"/>
  <c r="B6702" i="3"/>
  <c r="D6701" i="3"/>
  <c r="C6701" i="3"/>
  <c r="B6701" i="3"/>
  <c r="D6700" i="3"/>
  <c r="C6700" i="3"/>
  <c r="B6700" i="3"/>
  <c r="D6699" i="3"/>
  <c r="C6699" i="3"/>
  <c r="B6699" i="3"/>
  <c r="D6698" i="3"/>
  <c r="C6698" i="3"/>
  <c r="B6698" i="3"/>
  <c r="D6697" i="3"/>
  <c r="C6697" i="3"/>
  <c r="B6697" i="3"/>
  <c r="D6696" i="3"/>
  <c r="C6696" i="3"/>
  <c r="B6696" i="3"/>
  <c r="D6695" i="3"/>
  <c r="C6695" i="3"/>
  <c r="B6695" i="3"/>
  <c r="D6694" i="3"/>
  <c r="C6694" i="3"/>
  <c r="B6694" i="3"/>
  <c r="D6693" i="3"/>
  <c r="C6693" i="3"/>
  <c r="B6693" i="3"/>
  <c r="D6692" i="3"/>
  <c r="C6692" i="3"/>
  <c r="B6692" i="3"/>
  <c r="D6691" i="3"/>
  <c r="C6691" i="3"/>
  <c r="B6691" i="3"/>
  <c r="D6690" i="3"/>
  <c r="C6690" i="3"/>
  <c r="B6690" i="3"/>
  <c r="D6689" i="3"/>
  <c r="C6689" i="3"/>
  <c r="B6689" i="3"/>
  <c r="D6688" i="3"/>
  <c r="C6688" i="3"/>
  <c r="B6688" i="3"/>
  <c r="D6687" i="3"/>
  <c r="C6687" i="3"/>
  <c r="B6687" i="3"/>
  <c r="D6686" i="3"/>
  <c r="C6686" i="3"/>
  <c r="B6686" i="3"/>
  <c r="D6685" i="3"/>
  <c r="C6685" i="3"/>
  <c r="B6685" i="3"/>
  <c r="D6684" i="3"/>
  <c r="C6684" i="3"/>
  <c r="B6684" i="3"/>
  <c r="D6683" i="3"/>
  <c r="C6683" i="3"/>
  <c r="B6683" i="3"/>
  <c r="D6682" i="3"/>
  <c r="C6682" i="3"/>
  <c r="B6682" i="3"/>
  <c r="D6681" i="3"/>
  <c r="C6681" i="3"/>
  <c r="B6681" i="3"/>
  <c r="D6680" i="3"/>
  <c r="C6680" i="3"/>
  <c r="B6680" i="3"/>
  <c r="D6679" i="3"/>
  <c r="C6679" i="3"/>
  <c r="B6679" i="3"/>
  <c r="D6678" i="3"/>
  <c r="C6678" i="3"/>
  <c r="B6678" i="3"/>
  <c r="D6677" i="3"/>
  <c r="C6677" i="3"/>
  <c r="B6677" i="3"/>
  <c r="D6676" i="3"/>
  <c r="C6676" i="3"/>
  <c r="B6676" i="3"/>
  <c r="D6675" i="3"/>
  <c r="C6675" i="3"/>
  <c r="B6675" i="3"/>
  <c r="D6674" i="3"/>
  <c r="C6674" i="3"/>
  <c r="B6674" i="3"/>
  <c r="D6673" i="3"/>
  <c r="C6673" i="3"/>
  <c r="B6673" i="3"/>
  <c r="D6672" i="3"/>
  <c r="C6672" i="3"/>
  <c r="B6672" i="3"/>
  <c r="D6671" i="3"/>
  <c r="C6671" i="3"/>
  <c r="B6671" i="3"/>
  <c r="D6670" i="3"/>
  <c r="C6670" i="3"/>
  <c r="B6670" i="3"/>
  <c r="D6669" i="3"/>
  <c r="C6669" i="3"/>
  <c r="B6669" i="3"/>
  <c r="D6668" i="3"/>
  <c r="C6668" i="3"/>
  <c r="B6668" i="3"/>
  <c r="D6667" i="3"/>
  <c r="C6667" i="3"/>
  <c r="B6667" i="3"/>
  <c r="D6666" i="3"/>
  <c r="C6666" i="3"/>
  <c r="B6666" i="3"/>
  <c r="D6665" i="3"/>
  <c r="C6665" i="3"/>
  <c r="B6665" i="3"/>
  <c r="D6664" i="3"/>
  <c r="C6664" i="3"/>
  <c r="B6664" i="3"/>
  <c r="D6663" i="3"/>
  <c r="C6663" i="3"/>
  <c r="B6663" i="3"/>
  <c r="D6662" i="3"/>
  <c r="C6662" i="3"/>
  <c r="B6662" i="3"/>
  <c r="D6661" i="3"/>
  <c r="C6661" i="3"/>
  <c r="B6661" i="3"/>
  <c r="D6660" i="3"/>
  <c r="C6660" i="3"/>
  <c r="B6660" i="3"/>
  <c r="D6659" i="3"/>
  <c r="C6659" i="3"/>
  <c r="B6659" i="3"/>
  <c r="D6658" i="3"/>
  <c r="C6658" i="3"/>
  <c r="B6658" i="3"/>
  <c r="D6657" i="3"/>
  <c r="C6657" i="3"/>
  <c r="B6657" i="3"/>
  <c r="D6656" i="3"/>
  <c r="C6656" i="3"/>
  <c r="B6656" i="3"/>
  <c r="D6655" i="3"/>
  <c r="C6655" i="3"/>
  <c r="B6655" i="3"/>
  <c r="D6654" i="3"/>
  <c r="C6654" i="3"/>
  <c r="B6654" i="3"/>
  <c r="D6653" i="3"/>
  <c r="C6653" i="3"/>
  <c r="B6653" i="3"/>
  <c r="D6652" i="3"/>
  <c r="C6652" i="3"/>
  <c r="B6652" i="3"/>
  <c r="D6651" i="3"/>
  <c r="C6651" i="3"/>
  <c r="B6651" i="3"/>
  <c r="D6650" i="3"/>
  <c r="C6650" i="3"/>
  <c r="B6650" i="3"/>
  <c r="D6649" i="3"/>
  <c r="C6649" i="3"/>
  <c r="B6649" i="3"/>
  <c r="D6648" i="3"/>
  <c r="C6648" i="3"/>
  <c r="B6648" i="3"/>
  <c r="D6647" i="3"/>
  <c r="C6647" i="3"/>
  <c r="B6647" i="3"/>
  <c r="D6646" i="3"/>
  <c r="C6646" i="3"/>
  <c r="B6646" i="3"/>
  <c r="D6645" i="3"/>
  <c r="C6645" i="3"/>
  <c r="B6645" i="3"/>
  <c r="D6644" i="3"/>
  <c r="C6644" i="3"/>
  <c r="B6644" i="3"/>
  <c r="D6643" i="3"/>
  <c r="C6643" i="3"/>
  <c r="B6643" i="3"/>
  <c r="D6642" i="3"/>
  <c r="C6642" i="3"/>
  <c r="B6642" i="3"/>
  <c r="D6641" i="3"/>
  <c r="C6641" i="3"/>
  <c r="B6641" i="3"/>
  <c r="D6640" i="3"/>
  <c r="C6640" i="3"/>
  <c r="B6640" i="3"/>
  <c r="D6639" i="3"/>
  <c r="C6639" i="3"/>
  <c r="B6639" i="3"/>
  <c r="D6638" i="3"/>
  <c r="C6638" i="3"/>
  <c r="B6638" i="3"/>
  <c r="D6637" i="3"/>
  <c r="C6637" i="3"/>
  <c r="B6637" i="3"/>
  <c r="D6636" i="3"/>
  <c r="C6636" i="3"/>
  <c r="B6636" i="3"/>
  <c r="D6635" i="3"/>
  <c r="C6635" i="3"/>
  <c r="B6635" i="3"/>
  <c r="D6634" i="3"/>
  <c r="C6634" i="3"/>
  <c r="B6634" i="3"/>
  <c r="D6633" i="3"/>
  <c r="C6633" i="3"/>
  <c r="B6633" i="3"/>
  <c r="D6632" i="3"/>
  <c r="C6632" i="3"/>
  <c r="B6632" i="3"/>
  <c r="D6631" i="3"/>
  <c r="C6631" i="3"/>
  <c r="B6631" i="3"/>
  <c r="D6630" i="3"/>
  <c r="C6630" i="3"/>
  <c r="B6630" i="3"/>
  <c r="D6629" i="3"/>
  <c r="C6629" i="3"/>
  <c r="B6629" i="3"/>
  <c r="D6628" i="3"/>
  <c r="C6628" i="3"/>
  <c r="B6628" i="3"/>
  <c r="D6627" i="3"/>
  <c r="C6627" i="3"/>
  <c r="B6627" i="3"/>
  <c r="D6626" i="3"/>
  <c r="C6626" i="3"/>
  <c r="B6626" i="3"/>
  <c r="D6625" i="3"/>
  <c r="C6625" i="3"/>
  <c r="B6625" i="3"/>
  <c r="D6624" i="3"/>
  <c r="C6624" i="3"/>
  <c r="B6624" i="3"/>
  <c r="D6623" i="3"/>
  <c r="C6623" i="3"/>
  <c r="B6623" i="3"/>
  <c r="D6622" i="3"/>
  <c r="C6622" i="3"/>
  <c r="B6622" i="3"/>
  <c r="D6621" i="3"/>
  <c r="C6621" i="3"/>
  <c r="B6621" i="3"/>
  <c r="D6620" i="3"/>
  <c r="C6620" i="3"/>
  <c r="B6620" i="3"/>
  <c r="D6619" i="3"/>
  <c r="C6619" i="3"/>
  <c r="B6619" i="3"/>
  <c r="D6618" i="3"/>
  <c r="C6618" i="3"/>
  <c r="B6618" i="3"/>
  <c r="D6617" i="3"/>
  <c r="C6617" i="3"/>
  <c r="B6617" i="3"/>
  <c r="D6616" i="3"/>
  <c r="C6616" i="3"/>
  <c r="B6616" i="3"/>
  <c r="D6615" i="3"/>
  <c r="C6615" i="3"/>
  <c r="B6615" i="3"/>
  <c r="D6614" i="3"/>
  <c r="C6614" i="3"/>
  <c r="B6614" i="3"/>
  <c r="D6613" i="3"/>
  <c r="C6613" i="3"/>
  <c r="B6613" i="3"/>
  <c r="D6612" i="3"/>
  <c r="C6612" i="3"/>
  <c r="B6612" i="3"/>
  <c r="D6611" i="3"/>
  <c r="C6611" i="3"/>
  <c r="B6611" i="3"/>
  <c r="D6610" i="3"/>
  <c r="C6610" i="3"/>
  <c r="B6610" i="3"/>
  <c r="D6609" i="3"/>
  <c r="C6609" i="3"/>
  <c r="B6609" i="3"/>
  <c r="D6608" i="3"/>
  <c r="C6608" i="3"/>
  <c r="B6608" i="3"/>
  <c r="D6607" i="3"/>
  <c r="C6607" i="3"/>
  <c r="B6607" i="3"/>
  <c r="D6606" i="3"/>
  <c r="C6606" i="3"/>
  <c r="B6606" i="3"/>
  <c r="D6605" i="3"/>
  <c r="C6605" i="3"/>
  <c r="B6605" i="3"/>
  <c r="D6604" i="3"/>
  <c r="C6604" i="3"/>
  <c r="B6604" i="3"/>
  <c r="D6603" i="3"/>
  <c r="C6603" i="3"/>
  <c r="B6603" i="3"/>
  <c r="D6602" i="3"/>
  <c r="C6602" i="3"/>
  <c r="B6602" i="3"/>
  <c r="D6601" i="3"/>
  <c r="C6601" i="3"/>
  <c r="B6601" i="3"/>
  <c r="D6600" i="3"/>
  <c r="C6600" i="3"/>
  <c r="B6600" i="3"/>
  <c r="D6599" i="3"/>
  <c r="C6599" i="3"/>
  <c r="B6599" i="3"/>
  <c r="D6598" i="3"/>
  <c r="C6598" i="3"/>
  <c r="B6598" i="3"/>
  <c r="D6597" i="3"/>
  <c r="C6597" i="3"/>
  <c r="B6597" i="3"/>
  <c r="D6596" i="3"/>
  <c r="C6596" i="3"/>
  <c r="B6596" i="3"/>
  <c r="D6595" i="3"/>
  <c r="C6595" i="3"/>
  <c r="B6595" i="3"/>
  <c r="D6594" i="3"/>
  <c r="C6594" i="3"/>
  <c r="B6594" i="3"/>
  <c r="D6593" i="3"/>
  <c r="C6593" i="3"/>
  <c r="B6593" i="3"/>
  <c r="D6592" i="3"/>
  <c r="C6592" i="3"/>
  <c r="B6592" i="3"/>
  <c r="D6591" i="3"/>
  <c r="C6591" i="3"/>
  <c r="B6591" i="3"/>
  <c r="D6590" i="3"/>
  <c r="C6590" i="3"/>
  <c r="B6590" i="3"/>
  <c r="D6589" i="3"/>
  <c r="C6589" i="3"/>
  <c r="B6589" i="3"/>
  <c r="D6588" i="3"/>
  <c r="C6588" i="3"/>
  <c r="B6588" i="3"/>
  <c r="D6587" i="3"/>
  <c r="C6587" i="3"/>
  <c r="B6587" i="3"/>
  <c r="D6586" i="3"/>
  <c r="C6586" i="3"/>
  <c r="B6586" i="3"/>
  <c r="D6585" i="3"/>
  <c r="C6585" i="3"/>
  <c r="B6585" i="3"/>
  <c r="D6584" i="3"/>
  <c r="C6584" i="3"/>
  <c r="B6584" i="3"/>
  <c r="D6583" i="3"/>
  <c r="C6583" i="3"/>
  <c r="B6583" i="3"/>
  <c r="D6582" i="3"/>
  <c r="C6582" i="3"/>
  <c r="B6582" i="3"/>
  <c r="D6581" i="3"/>
  <c r="C6581" i="3"/>
  <c r="B6581" i="3"/>
  <c r="D6580" i="3"/>
  <c r="C6580" i="3"/>
  <c r="B6580" i="3"/>
  <c r="D6579" i="3"/>
  <c r="C6579" i="3"/>
  <c r="B6579" i="3"/>
  <c r="D6578" i="3"/>
  <c r="C6578" i="3"/>
  <c r="B6578" i="3"/>
  <c r="D6577" i="3"/>
  <c r="C6577" i="3"/>
  <c r="B6577" i="3"/>
  <c r="D6576" i="3"/>
  <c r="C6576" i="3"/>
  <c r="B6576" i="3"/>
  <c r="D6575" i="3"/>
  <c r="C6575" i="3"/>
  <c r="B6575" i="3"/>
  <c r="D6574" i="3"/>
  <c r="C6574" i="3"/>
  <c r="B6574" i="3"/>
  <c r="D6573" i="3"/>
  <c r="C6573" i="3"/>
  <c r="B6573" i="3"/>
  <c r="D6572" i="3"/>
  <c r="C6572" i="3"/>
  <c r="B6572" i="3"/>
  <c r="D6571" i="3"/>
  <c r="C6571" i="3"/>
  <c r="B6571" i="3"/>
  <c r="D6570" i="3"/>
  <c r="C6570" i="3"/>
  <c r="B6570" i="3"/>
  <c r="D6569" i="3"/>
  <c r="C6569" i="3"/>
  <c r="B6569" i="3"/>
  <c r="D6568" i="3"/>
  <c r="C6568" i="3"/>
  <c r="B6568" i="3"/>
  <c r="D6567" i="3"/>
  <c r="C6567" i="3"/>
  <c r="B6567" i="3"/>
  <c r="D6566" i="3"/>
  <c r="C6566" i="3"/>
  <c r="B6566" i="3"/>
  <c r="D6565" i="3"/>
  <c r="C6565" i="3"/>
  <c r="B6565" i="3"/>
  <c r="D6564" i="3"/>
  <c r="C6564" i="3"/>
  <c r="B6564" i="3"/>
  <c r="D6563" i="3"/>
  <c r="C6563" i="3"/>
  <c r="B6563" i="3"/>
  <c r="D6562" i="3"/>
  <c r="C6562" i="3"/>
  <c r="B6562" i="3"/>
  <c r="D6561" i="3"/>
  <c r="C6561" i="3"/>
  <c r="B6561" i="3"/>
  <c r="D6560" i="3"/>
  <c r="C6560" i="3"/>
  <c r="B6560" i="3"/>
  <c r="D6559" i="3"/>
  <c r="C6559" i="3"/>
  <c r="B6559" i="3"/>
  <c r="D6558" i="3"/>
  <c r="C6558" i="3"/>
  <c r="B6558" i="3"/>
  <c r="D6557" i="3"/>
  <c r="C6557" i="3"/>
  <c r="B6557" i="3"/>
  <c r="D6556" i="3"/>
  <c r="C6556" i="3"/>
  <c r="B6556" i="3"/>
  <c r="D6555" i="3"/>
  <c r="C6555" i="3"/>
  <c r="B6555" i="3"/>
  <c r="D6554" i="3"/>
  <c r="C6554" i="3"/>
  <c r="B6554" i="3"/>
  <c r="D6553" i="3"/>
  <c r="C6553" i="3"/>
  <c r="B6553" i="3"/>
  <c r="D6552" i="3"/>
  <c r="C6552" i="3"/>
  <c r="B6552" i="3"/>
  <c r="D6551" i="3"/>
  <c r="C6551" i="3"/>
  <c r="B6551" i="3"/>
  <c r="D6550" i="3"/>
  <c r="C6550" i="3"/>
  <c r="B6550" i="3"/>
  <c r="D6549" i="3"/>
  <c r="C6549" i="3"/>
  <c r="B6549" i="3"/>
  <c r="D6548" i="3"/>
  <c r="C6548" i="3"/>
  <c r="B6548" i="3"/>
  <c r="D6547" i="3"/>
  <c r="C6547" i="3"/>
  <c r="B6547" i="3"/>
  <c r="D6546" i="3"/>
  <c r="C6546" i="3"/>
  <c r="B6546" i="3"/>
  <c r="D6545" i="3"/>
  <c r="C6545" i="3"/>
  <c r="B6545" i="3"/>
  <c r="D6544" i="3"/>
  <c r="C6544" i="3"/>
  <c r="B6544" i="3"/>
  <c r="D6543" i="3"/>
  <c r="C6543" i="3"/>
  <c r="B6543" i="3"/>
  <c r="D6542" i="3"/>
  <c r="C6542" i="3"/>
  <c r="B6542" i="3"/>
  <c r="D6541" i="3"/>
  <c r="C6541" i="3"/>
  <c r="B6541" i="3"/>
  <c r="D6540" i="3"/>
  <c r="C6540" i="3"/>
  <c r="B6540" i="3"/>
  <c r="D6539" i="3"/>
  <c r="C6539" i="3"/>
  <c r="B6539" i="3"/>
  <c r="D6538" i="3"/>
  <c r="C6538" i="3"/>
  <c r="B6538" i="3"/>
  <c r="D6537" i="3"/>
  <c r="C6537" i="3"/>
  <c r="B6537" i="3"/>
  <c r="D6536" i="3"/>
  <c r="C6536" i="3"/>
  <c r="B6536" i="3"/>
  <c r="D6535" i="3"/>
  <c r="C6535" i="3"/>
  <c r="B6535" i="3"/>
  <c r="D6534" i="3"/>
  <c r="C6534" i="3"/>
  <c r="B6534" i="3"/>
  <c r="D6533" i="3"/>
  <c r="C6533" i="3"/>
  <c r="B6533" i="3"/>
  <c r="D6532" i="3"/>
  <c r="C6532" i="3"/>
  <c r="B6532" i="3"/>
  <c r="D6531" i="3"/>
  <c r="C6531" i="3"/>
  <c r="B6531" i="3"/>
  <c r="D6530" i="3"/>
  <c r="C6530" i="3"/>
  <c r="B6530" i="3"/>
  <c r="D6529" i="3"/>
  <c r="C6529" i="3"/>
  <c r="B6529" i="3"/>
  <c r="D6528" i="3"/>
  <c r="C6528" i="3"/>
  <c r="B6528" i="3"/>
  <c r="D6527" i="3"/>
  <c r="C6527" i="3"/>
  <c r="B6527" i="3"/>
  <c r="D6526" i="3"/>
  <c r="C6526" i="3"/>
  <c r="B6526" i="3"/>
  <c r="D6525" i="3"/>
  <c r="C6525" i="3"/>
  <c r="B6525" i="3"/>
  <c r="D6524" i="3"/>
  <c r="C6524" i="3"/>
  <c r="B6524" i="3"/>
  <c r="D6523" i="3"/>
  <c r="C6523" i="3"/>
  <c r="B6523" i="3"/>
  <c r="D6522" i="3"/>
  <c r="C6522" i="3"/>
  <c r="B6522" i="3"/>
  <c r="D6521" i="3"/>
  <c r="C6521" i="3"/>
  <c r="B6521" i="3"/>
  <c r="D6520" i="3"/>
  <c r="C6520" i="3"/>
  <c r="B6520" i="3"/>
  <c r="D6519" i="3"/>
  <c r="C6519" i="3"/>
  <c r="B6519" i="3"/>
  <c r="D6518" i="3"/>
  <c r="C6518" i="3"/>
  <c r="B6518" i="3"/>
  <c r="D6517" i="3"/>
  <c r="C6517" i="3"/>
  <c r="B6517" i="3"/>
  <c r="D6516" i="3"/>
  <c r="C6516" i="3"/>
  <c r="B6516" i="3"/>
  <c r="D6515" i="3"/>
  <c r="C6515" i="3"/>
  <c r="B6515" i="3"/>
  <c r="D6514" i="3"/>
  <c r="C6514" i="3"/>
  <c r="B6514" i="3"/>
  <c r="D6513" i="3"/>
  <c r="C6513" i="3"/>
  <c r="B6513" i="3"/>
  <c r="D6512" i="3"/>
  <c r="C6512" i="3"/>
  <c r="B6512" i="3"/>
  <c r="D6511" i="3"/>
  <c r="C6511" i="3"/>
  <c r="B6511" i="3"/>
  <c r="D6510" i="3"/>
  <c r="C6510" i="3"/>
  <c r="B6510" i="3"/>
  <c r="D6509" i="3"/>
  <c r="C6509" i="3"/>
  <c r="B6509" i="3"/>
  <c r="D6508" i="3"/>
  <c r="C6508" i="3"/>
  <c r="B6508" i="3"/>
  <c r="D6507" i="3"/>
  <c r="C6507" i="3"/>
  <c r="B6507" i="3"/>
  <c r="D6506" i="3"/>
  <c r="C6506" i="3"/>
  <c r="B6506" i="3"/>
  <c r="D6505" i="3"/>
  <c r="C6505" i="3"/>
  <c r="B6505" i="3"/>
  <c r="D6504" i="3"/>
  <c r="C6504" i="3"/>
  <c r="B6504" i="3"/>
  <c r="D6503" i="3"/>
  <c r="C6503" i="3"/>
  <c r="B6503" i="3"/>
  <c r="D6502" i="3"/>
  <c r="C6502" i="3"/>
  <c r="B6502" i="3"/>
  <c r="D6501" i="3"/>
  <c r="C6501" i="3"/>
  <c r="B6501" i="3"/>
  <c r="D6500" i="3"/>
  <c r="C6500" i="3"/>
  <c r="B6500" i="3"/>
  <c r="D6499" i="3"/>
  <c r="C6499" i="3"/>
  <c r="B6499" i="3"/>
  <c r="D6498" i="3"/>
  <c r="C6498" i="3"/>
  <c r="B6498" i="3"/>
  <c r="D6497" i="3"/>
  <c r="C6497" i="3"/>
  <c r="B6497" i="3"/>
  <c r="D6496" i="3"/>
  <c r="C6496" i="3"/>
  <c r="B6496" i="3"/>
  <c r="D6495" i="3"/>
  <c r="C6495" i="3"/>
  <c r="B6495" i="3"/>
  <c r="D6494" i="3"/>
  <c r="C6494" i="3"/>
  <c r="B6494" i="3"/>
  <c r="D6493" i="3"/>
  <c r="C6493" i="3"/>
  <c r="B6493" i="3"/>
  <c r="D6492" i="3"/>
  <c r="C6492" i="3"/>
  <c r="B6492" i="3"/>
  <c r="D6491" i="3"/>
  <c r="C6491" i="3"/>
  <c r="B6491" i="3"/>
  <c r="D6490" i="3"/>
  <c r="C6490" i="3"/>
  <c r="B6490" i="3"/>
  <c r="D6489" i="3"/>
  <c r="C6489" i="3"/>
  <c r="B6489" i="3"/>
  <c r="D6488" i="3"/>
  <c r="C6488" i="3"/>
  <c r="B6488" i="3"/>
  <c r="D6487" i="3"/>
  <c r="C6487" i="3"/>
  <c r="B6487" i="3"/>
  <c r="D6486" i="3"/>
  <c r="C6486" i="3"/>
  <c r="B6486" i="3"/>
  <c r="D6485" i="3"/>
  <c r="C6485" i="3"/>
  <c r="B6485" i="3"/>
  <c r="D6484" i="3"/>
  <c r="C6484" i="3"/>
  <c r="B6484" i="3"/>
  <c r="D6483" i="3"/>
  <c r="C6483" i="3"/>
  <c r="B6483" i="3"/>
  <c r="D6482" i="3"/>
  <c r="C6482" i="3"/>
  <c r="B6482" i="3"/>
  <c r="D6481" i="3"/>
  <c r="C6481" i="3"/>
  <c r="B6481" i="3"/>
  <c r="D6480" i="3"/>
  <c r="C6480" i="3"/>
  <c r="B6480" i="3"/>
  <c r="D6479" i="3"/>
  <c r="C6479" i="3"/>
  <c r="B6479" i="3"/>
  <c r="D6478" i="3"/>
  <c r="C6478" i="3"/>
  <c r="B6478" i="3"/>
  <c r="D6477" i="3"/>
  <c r="C6477" i="3"/>
  <c r="B6477" i="3"/>
  <c r="D6476" i="3"/>
  <c r="C6476" i="3"/>
  <c r="B6476" i="3"/>
  <c r="D6475" i="3"/>
  <c r="C6475" i="3"/>
  <c r="B6475" i="3"/>
  <c r="D6474" i="3"/>
  <c r="C6474" i="3"/>
  <c r="B6474" i="3"/>
  <c r="D6473" i="3"/>
  <c r="C6473" i="3"/>
  <c r="B6473" i="3"/>
  <c r="D6472" i="3"/>
  <c r="C6472" i="3"/>
  <c r="B6472" i="3"/>
  <c r="D6471" i="3"/>
  <c r="C6471" i="3"/>
  <c r="B6471" i="3"/>
  <c r="D6470" i="3"/>
  <c r="C6470" i="3"/>
  <c r="B6470" i="3"/>
  <c r="D6469" i="3"/>
  <c r="C6469" i="3"/>
  <c r="B6469" i="3"/>
  <c r="D6468" i="3"/>
  <c r="C6468" i="3"/>
  <c r="B6468" i="3"/>
  <c r="D6467" i="3"/>
  <c r="C6467" i="3"/>
  <c r="B6467" i="3"/>
  <c r="D6466" i="3"/>
  <c r="C6466" i="3"/>
  <c r="B6466" i="3"/>
  <c r="D6465" i="3"/>
  <c r="C6465" i="3"/>
  <c r="B6465" i="3"/>
  <c r="D6464" i="3"/>
  <c r="C6464" i="3"/>
  <c r="B6464" i="3"/>
  <c r="D6463" i="3"/>
  <c r="C6463" i="3"/>
  <c r="B6463" i="3"/>
  <c r="D6462" i="3"/>
  <c r="C6462" i="3"/>
  <c r="B6462" i="3"/>
  <c r="D6461" i="3"/>
  <c r="C6461" i="3"/>
  <c r="B6461" i="3"/>
  <c r="D6460" i="3"/>
  <c r="C6460" i="3"/>
  <c r="B6460" i="3"/>
  <c r="D6459" i="3"/>
  <c r="C6459" i="3"/>
  <c r="B6459" i="3"/>
  <c r="D6458" i="3"/>
  <c r="C6458" i="3"/>
  <c r="B6458" i="3"/>
  <c r="D6457" i="3"/>
  <c r="C6457" i="3"/>
  <c r="B6457" i="3"/>
  <c r="D6456" i="3"/>
  <c r="C6456" i="3"/>
  <c r="B6456" i="3"/>
  <c r="D6455" i="3"/>
  <c r="C6455" i="3"/>
  <c r="B6455" i="3"/>
  <c r="D6454" i="3"/>
  <c r="C6454" i="3"/>
  <c r="B6454" i="3"/>
  <c r="D6453" i="3"/>
  <c r="C6453" i="3"/>
  <c r="B6453" i="3"/>
  <c r="D6452" i="3"/>
  <c r="C6452" i="3"/>
  <c r="B6452" i="3"/>
  <c r="D6451" i="3"/>
  <c r="C6451" i="3"/>
  <c r="B6451" i="3"/>
  <c r="D6450" i="3"/>
  <c r="C6450" i="3"/>
  <c r="B6450" i="3"/>
  <c r="D6449" i="3"/>
  <c r="C6449" i="3"/>
  <c r="B6449" i="3"/>
  <c r="D6448" i="3"/>
  <c r="C6448" i="3"/>
  <c r="B6448" i="3"/>
  <c r="D6447" i="3"/>
  <c r="C6447" i="3"/>
  <c r="B6447" i="3"/>
  <c r="D6446" i="3"/>
  <c r="C6446" i="3"/>
  <c r="B6446" i="3"/>
  <c r="D6445" i="3"/>
  <c r="C6445" i="3"/>
  <c r="B6445" i="3"/>
  <c r="D6444" i="3"/>
  <c r="C6444" i="3"/>
  <c r="B6444" i="3"/>
  <c r="D6443" i="3"/>
  <c r="C6443" i="3"/>
  <c r="B6443" i="3"/>
  <c r="D6442" i="3"/>
  <c r="C6442" i="3"/>
  <c r="B6442" i="3"/>
  <c r="D6441" i="3"/>
  <c r="C6441" i="3"/>
  <c r="B6441" i="3"/>
  <c r="D6440" i="3"/>
  <c r="C6440" i="3"/>
  <c r="B6440" i="3"/>
  <c r="D6439" i="3"/>
  <c r="C6439" i="3"/>
  <c r="B6439" i="3"/>
  <c r="D6438" i="3"/>
  <c r="C6438" i="3"/>
  <c r="B6438" i="3"/>
  <c r="D6437" i="3"/>
  <c r="C6437" i="3"/>
  <c r="B6437" i="3"/>
  <c r="D6436" i="3"/>
  <c r="C6436" i="3"/>
  <c r="B6436" i="3"/>
  <c r="D6435" i="3"/>
  <c r="C6435" i="3"/>
  <c r="B6435" i="3"/>
  <c r="D6434" i="3"/>
  <c r="C6434" i="3"/>
  <c r="B6434" i="3"/>
  <c r="D6433" i="3"/>
  <c r="C6433" i="3"/>
  <c r="B6433" i="3"/>
  <c r="D6432" i="3"/>
  <c r="C6432" i="3"/>
  <c r="B6432" i="3"/>
  <c r="D6431" i="3"/>
  <c r="C6431" i="3"/>
  <c r="B6431" i="3"/>
  <c r="D6430" i="3"/>
  <c r="C6430" i="3"/>
  <c r="B6430" i="3"/>
  <c r="D6429" i="3"/>
  <c r="C6429" i="3"/>
  <c r="B6429" i="3"/>
  <c r="D6428" i="3"/>
  <c r="C6428" i="3"/>
  <c r="B6428" i="3"/>
  <c r="D6427" i="3"/>
  <c r="C6427" i="3"/>
  <c r="B6427" i="3"/>
  <c r="D6426" i="3"/>
  <c r="C6426" i="3"/>
  <c r="B6426" i="3"/>
  <c r="D6425" i="3"/>
  <c r="C6425" i="3"/>
  <c r="B6425" i="3"/>
  <c r="D6424" i="3"/>
  <c r="C6424" i="3"/>
  <c r="B6424" i="3"/>
  <c r="D6423" i="3"/>
  <c r="C6423" i="3"/>
  <c r="B6423" i="3"/>
  <c r="D6422" i="3"/>
  <c r="C6422" i="3"/>
  <c r="B6422" i="3"/>
  <c r="D6421" i="3"/>
  <c r="C6421" i="3"/>
  <c r="B6421" i="3"/>
  <c r="D6420" i="3"/>
  <c r="C6420" i="3"/>
  <c r="B6420" i="3"/>
  <c r="D6419" i="3"/>
  <c r="C6419" i="3"/>
  <c r="B6419" i="3"/>
  <c r="D6418" i="3"/>
  <c r="C6418" i="3"/>
  <c r="B6418" i="3"/>
  <c r="D6417" i="3"/>
  <c r="C6417" i="3"/>
  <c r="B6417" i="3"/>
  <c r="D6416" i="3"/>
  <c r="C6416" i="3"/>
  <c r="B6416" i="3"/>
  <c r="D6415" i="3"/>
  <c r="C6415" i="3"/>
  <c r="B6415" i="3"/>
  <c r="D6414" i="3"/>
  <c r="C6414" i="3"/>
  <c r="B6414" i="3"/>
  <c r="D6413" i="3"/>
  <c r="C6413" i="3"/>
  <c r="B6413" i="3"/>
  <c r="D6412" i="3"/>
  <c r="C6412" i="3"/>
  <c r="B6412" i="3"/>
  <c r="D6411" i="3"/>
  <c r="C6411" i="3"/>
  <c r="B6411" i="3"/>
  <c r="D6410" i="3"/>
  <c r="C6410" i="3"/>
  <c r="B6410" i="3"/>
  <c r="D6409" i="3"/>
  <c r="C6409" i="3"/>
  <c r="B6409" i="3"/>
  <c r="D6408" i="3"/>
  <c r="C6408" i="3"/>
  <c r="B6408" i="3"/>
  <c r="D6407" i="3"/>
  <c r="C6407" i="3"/>
  <c r="B6407" i="3"/>
  <c r="D6406" i="3"/>
  <c r="C6406" i="3"/>
  <c r="B6406" i="3"/>
  <c r="D6405" i="3"/>
  <c r="C6405" i="3"/>
  <c r="B6405" i="3"/>
  <c r="D6404" i="3"/>
  <c r="C6404" i="3"/>
  <c r="B6404" i="3"/>
  <c r="D6403" i="3"/>
  <c r="C6403" i="3"/>
  <c r="B6403" i="3"/>
  <c r="D6402" i="3"/>
  <c r="C6402" i="3"/>
  <c r="B6402" i="3"/>
  <c r="D6401" i="3"/>
  <c r="C6401" i="3"/>
  <c r="B6401" i="3"/>
  <c r="D6400" i="3"/>
  <c r="C6400" i="3"/>
  <c r="B6400" i="3"/>
  <c r="D6399" i="3"/>
  <c r="C6399" i="3"/>
  <c r="B6399" i="3"/>
  <c r="D6398" i="3"/>
  <c r="C6398" i="3"/>
  <c r="B6398" i="3"/>
  <c r="D6397" i="3"/>
  <c r="C6397" i="3"/>
  <c r="B6397" i="3"/>
  <c r="D6396" i="3"/>
  <c r="C6396" i="3"/>
  <c r="B6396" i="3"/>
  <c r="D6395" i="3"/>
  <c r="C6395" i="3"/>
  <c r="B6395" i="3"/>
  <c r="D6394" i="3"/>
  <c r="C6394" i="3"/>
  <c r="B6394" i="3"/>
  <c r="D6393" i="3"/>
  <c r="C6393" i="3"/>
  <c r="B6393" i="3"/>
  <c r="D6392" i="3"/>
  <c r="C6392" i="3"/>
  <c r="B6392" i="3"/>
  <c r="D6391" i="3"/>
  <c r="C6391" i="3"/>
  <c r="B6391" i="3"/>
  <c r="D6390" i="3"/>
  <c r="C6390" i="3"/>
  <c r="B6390" i="3"/>
  <c r="D6389" i="3"/>
  <c r="C6389" i="3"/>
  <c r="B6389" i="3"/>
  <c r="D6388" i="3"/>
  <c r="C6388" i="3"/>
  <c r="B6388" i="3"/>
  <c r="D6387" i="3"/>
  <c r="C6387" i="3"/>
  <c r="B6387" i="3"/>
  <c r="D6386" i="3"/>
  <c r="C6386" i="3"/>
  <c r="B6386" i="3"/>
  <c r="D6385" i="3"/>
  <c r="C6385" i="3"/>
  <c r="B6385" i="3"/>
  <c r="D6384" i="3"/>
  <c r="C6384" i="3"/>
  <c r="B6384" i="3"/>
  <c r="D6383" i="3"/>
  <c r="C6383" i="3"/>
  <c r="B6383" i="3"/>
  <c r="D6382" i="3"/>
  <c r="C6382" i="3"/>
  <c r="B6382" i="3"/>
  <c r="D6381" i="3"/>
  <c r="C6381" i="3"/>
  <c r="B6381" i="3"/>
  <c r="D6380" i="3"/>
  <c r="C6380" i="3"/>
  <c r="B6380" i="3"/>
  <c r="D6379" i="3"/>
  <c r="C6379" i="3"/>
  <c r="B6379" i="3"/>
  <c r="D6378" i="3"/>
  <c r="C6378" i="3"/>
  <c r="B6378" i="3"/>
  <c r="D6377" i="3"/>
  <c r="C6377" i="3"/>
  <c r="B6377" i="3"/>
  <c r="D6376" i="3"/>
  <c r="C6376" i="3"/>
  <c r="B6376" i="3"/>
  <c r="D6375" i="3"/>
  <c r="C6375" i="3"/>
  <c r="B6375" i="3"/>
  <c r="D6374" i="3"/>
  <c r="C6374" i="3"/>
  <c r="B6374" i="3"/>
  <c r="D6373" i="3"/>
  <c r="C6373" i="3"/>
  <c r="B6373" i="3"/>
  <c r="D6372" i="3"/>
  <c r="C6372" i="3"/>
  <c r="B6372" i="3"/>
  <c r="D6371" i="3"/>
  <c r="C6371" i="3"/>
  <c r="B6371" i="3"/>
  <c r="D6370" i="3"/>
  <c r="C6370" i="3"/>
  <c r="B6370" i="3"/>
  <c r="D6369" i="3"/>
  <c r="C6369" i="3"/>
  <c r="B6369" i="3"/>
  <c r="D6368" i="3"/>
  <c r="C6368" i="3"/>
  <c r="B6368" i="3"/>
  <c r="D6367" i="3"/>
  <c r="C6367" i="3"/>
  <c r="B6367" i="3"/>
  <c r="D6366" i="3"/>
  <c r="C6366" i="3"/>
  <c r="B6366" i="3"/>
  <c r="D6365" i="3"/>
  <c r="C6365" i="3"/>
  <c r="B6365" i="3"/>
  <c r="D6364" i="3"/>
  <c r="C6364" i="3"/>
  <c r="B6364" i="3"/>
  <c r="D6363" i="3"/>
  <c r="C6363" i="3"/>
  <c r="B6363" i="3"/>
  <c r="D6362" i="3"/>
  <c r="C6362" i="3"/>
  <c r="B6362" i="3"/>
  <c r="D6361" i="3"/>
  <c r="C6361" i="3"/>
  <c r="B6361" i="3"/>
  <c r="D6360" i="3"/>
  <c r="C6360" i="3"/>
  <c r="B6360" i="3"/>
  <c r="D6359" i="3"/>
  <c r="C6359" i="3"/>
  <c r="B6359" i="3"/>
  <c r="D6358" i="3"/>
  <c r="C6358" i="3"/>
  <c r="B6358" i="3"/>
  <c r="D6357" i="3"/>
  <c r="C6357" i="3"/>
  <c r="B6357" i="3"/>
  <c r="D6356" i="3"/>
  <c r="C6356" i="3"/>
  <c r="B6356" i="3"/>
  <c r="D6355" i="3"/>
  <c r="C6355" i="3"/>
  <c r="B6355" i="3"/>
  <c r="D6354" i="3"/>
  <c r="C6354" i="3"/>
  <c r="B6354" i="3"/>
  <c r="D6353" i="3"/>
  <c r="C6353" i="3"/>
  <c r="B6353" i="3"/>
  <c r="D6352" i="3"/>
  <c r="C6352" i="3"/>
  <c r="B6352" i="3"/>
  <c r="D6351" i="3"/>
  <c r="C6351" i="3"/>
  <c r="B6351" i="3"/>
  <c r="D6350" i="3"/>
  <c r="C6350" i="3"/>
  <c r="B6350" i="3"/>
  <c r="D6349" i="3"/>
  <c r="C6349" i="3"/>
  <c r="B6349" i="3"/>
  <c r="D6348" i="3"/>
  <c r="C6348" i="3"/>
  <c r="B6348" i="3"/>
  <c r="D6347" i="3"/>
  <c r="C6347" i="3"/>
  <c r="B6347" i="3"/>
  <c r="D6346" i="3"/>
  <c r="C6346" i="3"/>
  <c r="B6346" i="3"/>
  <c r="D6345" i="3"/>
  <c r="C6345" i="3"/>
  <c r="B6345" i="3"/>
  <c r="D6344" i="3"/>
  <c r="C6344" i="3"/>
  <c r="B6344" i="3"/>
  <c r="D6343" i="3"/>
  <c r="C6343" i="3"/>
  <c r="B6343" i="3"/>
  <c r="D6342" i="3"/>
  <c r="C6342" i="3"/>
  <c r="B6342" i="3"/>
  <c r="D6341" i="3"/>
  <c r="C6341" i="3"/>
  <c r="B6341" i="3"/>
  <c r="D6340" i="3"/>
  <c r="C6340" i="3"/>
  <c r="B6340" i="3"/>
  <c r="D6339" i="3"/>
  <c r="C6339" i="3"/>
  <c r="B6339" i="3"/>
  <c r="D6338" i="3"/>
  <c r="C6338" i="3"/>
  <c r="B6338" i="3"/>
  <c r="D6337" i="3"/>
  <c r="C6337" i="3"/>
  <c r="B6337" i="3"/>
  <c r="D6336" i="3"/>
  <c r="C6336" i="3"/>
  <c r="B6336" i="3"/>
  <c r="D6335" i="3"/>
  <c r="C6335" i="3"/>
  <c r="B6335" i="3"/>
  <c r="D6334" i="3"/>
  <c r="C6334" i="3"/>
  <c r="B6334" i="3"/>
  <c r="D6333" i="3"/>
  <c r="C6333" i="3"/>
  <c r="B6333" i="3"/>
  <c r="D6332" i="3"/>
  <c r="C6332" i="3"/>
  <c r="B6332" i="3"/>
  <c r="D6331" i="3"/>
  <c r="C6331" i="3"/>
  <c r="B6331" i="3"/>
  <c r="D6330" i="3"/>
  <c r="C6330" i="3"/>
  <c r="B6330" i="3"/>
  <c r="D6329" i="3"/>
  <c r="C6329" i="3"/>
  <c r="B6329" i="3"/>
  <c r="D6328" i="3"/>
  <c r="C6328" i="3"/>
  <c r="B6328" i="3"/>
  <c r="D6327" i="3"/>
  <c r="C6327" i="3"/>
  <c r="B6327" i="3"/>
  <c r="D6326" i="3"/>
  <c r="C6326" i="3"/>
  <c r="B6326" i="3"/>
  <c r="D6325" i="3"/>
  <c r="C6325" i="3"/>
  <c r="B6325" i="3"/>
  <c r="D6324" i="3"/>
  <c r="C6324" i="3"/>
  <c r="B6324" i="3"/>
  <c r="D6323" i="3"/>
  <c r="C6323" i="3"/>
  <c r="B6323" i="3"/>
  <c r="D6322" i="3"/>
  <c r="C6322" i="3"/>
  <c r="B6322" i="3"/>
  <c r="D6321" i="3"/>
  <c r="C6321" i="3"/>
  <c r="B6321" i="3"/>
  <c r="D6320" i="3"/>
  <c r="C6320" i="3"/>
  <c r="B6320" i="3"/>
  <c r="D6319" i="3"/>
  <c r="C6319" i="3"/>
  <c r="B6319" i="3"/>
  <c r="D6318" i="3"/>
  <c r="C6318" i="3"/>
  <c r="B6318" i="3"/>
  <c r="D6317" i="3"/>
  <c r="C6317" i="3"/>
  <c r="B6317" i="3"/>
  <c r="D6316" i="3"/>
  <c r="C6316" i="3"/>
  <c r="B6316" i="3"/>
  <c r="D6315" i="3"/>
  <c r="C6315" i="3"/>
  <c r="B6315" i="3"/>
  <c r="D6314" i="3"/>
  <c r="C6314" i="3"/>
  <c r="B6314" i="3"/>
  <c r="D6313" i="3"/>
  <c r="C6313" i="3"/>
  <c r="B6313" i="3"/>
  <c r="D6312" i="3"/>
  <c r="C6312" i="3"/>
  <c r="B6312" i="3"/>
  <c r="D6311" i="3"/>
  <c r="C6311" i="3"/>
  <c r="B6311" i="3"/>
  <c r="D6310" i="3"/>
  <c r="C6310" i="3"/>
  <c r="B6310" i="3"/>
  <c r="D6309" i="3"/>
  <c r="C6309" i="3"/>
  <c r="B6309" i="3"/>
  <c r="D6308" i="3"/>
  <c r="C6308" i="3"/>
  <c r="B6308" i="3"/>
  <c r="D6307" i="3"/>
  <c r="C6307" i="3"/>
  <c r="B6307" i="3"/>
  <c r="D6306" i="3"/>
  <c r="C6306" i="3"/>
  <c r="B6306" i="3"/>
  <c r="D6305" i="3"/>
  <c r="C6305" i="3"/>
  <c r="B6305" i="3"/>
  <c r="D6304" i="3"/>
  <c r="C6304" i="3"/>
  <c r="B6304" i="3"/>
  <c r="D6303" i="3"/>
  <c r="C6303" i="3"/>
  <c r="B6303" i="3"/>
  <c r="D6302" i="3"/>
  <c r="C6302" i="3"/>
  <c r="B6302" i="3"/>
  <c r="D6301" i="3"/>
  <c r="C6301" i="3"/>
  <c r="B6301" i="3"/>
  <c r="D6300" i="3"/>
  <c r="C6300" i="3"/>
  <c r="B6300" i="3"/>
  <c r="D6299" i="3"/>
  <c r="C6299" i="3"/>
  <c r="B6299" i="3"/>
  <c r="D6298" i="3"/>
  <c r="C6298" i="3"/>
  <c r="B6298" i="3"/>
  <c r="D6297" i="3"/>
  <c r="C6297" i="3"/>
  <c r="B6297" i="3"/>
  <c r="D6296" i="3"/>
  <c r="C6296" i="3"/>
  <c r="B6296" i="3"/>
  <c r="D6295" i="3"/>
  <c r="C6295" i="3"/>
  <c r="B6295" i="3"/>
  <c r="D6294" i="3"/>
  <c r="C6294" i="3"/>
  <c r="B6294" i="3"/>
  <c r="D6293" i="3"/>
  <c r="C6293" i="3"/>
  <c r="B6293" i="3"/>
  <c r="D6292" i="3"/>
  <c r="C6292" i="3"/>
  <c r="B6292" i="3"/>
  <c r="D6291" i="3"/>
  <c r="C6291" i="3"/>
  <c r="B6291" i="3"/>
  <c r="D6290" i="3"/>
  <c r="C6290" i="3"/>
  <c r="B6290" i="3"/>
  <c r="D6289" i="3"/>
  <c r="C6289" i="3"/>
  <c r="B6289" i="3"/>
  <c r="D6288" i="3"/>
  <c r="C6288" i="3"/>
  <c r="B6288" i="3"/>
  <c r="D6287" i="3"/>
  <c r="C6287" i="3"/>
  <c r="B6287" i="3"/>
  <c r="D6286" i="3"/>
  <c r="C6286" i="3"/>
  <c r="B6286" i="3"/>
  <c r="D6285" i="3"/>
  <c r="C6285" i="3"/>
  <c r="B6285" i="3"/>
  <c r="D6284" i="3"/>
  <c r="C6284" i="3"/>
  <c r="B6284" i="3"/>
  <c r="D6283" i="3"/>
  <c r="C6283" i="3"/>
  <c r="B6283" i="3"/>
  <c r="D6282" i="3"/>
  <c r="C6282" i="3"/>
  <c r="B6282" i="3"/>
  <c r="D6281" i="3"/>
  <c r="C6281" i="3"/>
  <c r="B6281" i="3"/>
  <c r="D6280" i="3"/>
  <c r="C6280" i="3"/>
  <c r="B6280" i="3"/>
  <c r="D6279" i="3"/>
  <c r="C6279" i="3"/>
  <c r="B6279" i="3"/>
  <c r="D6278" i="3"/>
  <c r="C6278" i="3"/>
  <c r="B6278" i="3"/>
  <c r="D6277" i="3"/>
  <c r="C6277" i="3"/>
  <c r="B6277" i="3"/>
  <c r="D6276" i="3"/>
  <c r="C6276" i="3"/>
  <c r="B6276" i="3"/>
  <c r="D6275" i="3"/>
  <c r="C6275" i="3"/>
  <c r="B6275" i="3"/>
  <c r="D6274" i="3"/>
  <c r="C6274" i="3"/>
  <c r="B6274" i="3"/>
  <c r="D6273" i="3"/>
  <c r="C6273" i="3"/>
  <c r="B6273" i="3"/>
  <c r="D6272" i="3"/>
  <c r="C6272" i="3"/>
  <c r="B6272" i="3"/>
  <c r="D6271" i="3"/>
  <c r="C6271" i="3"/>
  <c r="B6271" i="3"/>
  <c r="D6270" i="3"/>
  <c r="C6270" i="3"/>
  <c r="B6270" i="3"/>
  <c r="D6269" i="3"/>
  <c r="C6269" i="3"/>
  <c r="B6269" i="3"/>
  <c r="D6268" i="3"/>
  <c r="C6268" i="3"/>
  <c r="B6268" i="3"/>
  <c r="D6267" i="3"/>
  <c r="C6267" i="3"/>
  <c r="B6267" i="3"/>
  <c r="D6266" i="3"/>
  <c r="C6266" i="3"/>
  <c r="B6266" i="3"/>
  <c r="D6265" i="3"/>
  <c r="C6265" i="3"/>
  <c r="B6265" i="3"/>
  <c r="D6264" i="3"/>
  <c r="C6264" i="3"/>
  <c r="B6264" i="3"/>
  <c r="D6263" i="3"/>
  <c r="C6263" i="3"/>
  <c r="B6263" i="3"/>
  <c r="D6262" i="3"/>
  <c r="C6262" i="3"/>
  <c r="B6262" i="3"/>
  <c r="D6261" i="3"/>
  <c r="C6261" i="3"/>
  <c r="B6261" i="3"/>
  <c r="D6260" i="3"/>
  <c r="C6260" i="3"/>
  <c r="B6260" i="3"/>
  <c r="D6259" i="3"/>
  <c r="C6259" i="3"/>
  <c r="B6259" i="3"/>
  <c r="D6258" i="3"/>
  <c r="C6258" i="3"/>
  <c r="B6258" i="3"/>
  <c r="D6257" i="3"/>
  <c r="C6257" i="3"/>
  <c r="B6257" i="3"/>
  <c r="D6256" i="3"/>
  <c r="C6256" i="3"/>
  <c r="B6256" i="3"/>
  <c r="D6255" i="3"/>
  <c r="C6255" i="3"/>
  <c r="B6255" i="3"/>
  <c r="D6254" i="3"/>
  <c r="C6254" i="3"/>
  <c r="B6254" i="3"/>
  <c r="D6253" i="3"/>
  <c r="C6253" i="3"/>
  <c r="B6253" i="3"/>
  <c r="D6252" i="3"/>
  <c r="C6252" i="3"/>
  <c r="B6252" i="3"/>
  <c r="D6251" i="3"/>
  <c r="C6251" i="3"/>
  <c r="B6251" i="3"/>
  <c r="D6250" i="3"/>
  <c r="C6250" i="3"/>
  <c r="B6250" i="3"/>
  <c r="D6249" i="3"/>
  <c r="C6249" i="3"/>
  <c r="B6249" i="3"/>
  <c r="D6248" i="3"/>
  <c r="C6248" i="3"/>
  <c r="B6248" i="3"/>
  <c r="D6247" i="3"/>
  <c r="C6247" i="3"/>
  <c r="B6247" i="3"/>
  <c r="D6246" i="3"/>
  <c r="C6246" i="3"/>
  <c r="B6246" i="3"/>
  <c r="D6245" i="3"/>
  <c r="C6245" i="3"/>
  <c r="B6245" i="3"/>
  <c r="D6244" i="3"/>
  <c r="C6244" i="3"/>
  <c r="B6244" i="3"/>
  <c r="D6243" i="3"/>
  <c r="C6243" i="3"/>
  <c r="B6243" i="3"/>
  <c r="D6242" i="3"/>
  <c r="C6242" i="3"/>
  <c r="B6242" i="3"/>
  <c r="D6241" i="3"/>
  <c r="C6241" i="3"/>
  <c r="B6241" i="3"/>
  <c r="D6240" i="3"/>
  <c r="C6240" i="3"/>
  <c r="B6240" i="3"/>
  <c r="D6239" i="3"/>
  <c r="C6239" i="3"/>
  <c r="B6239" i="3"/>
  <c r="D6238" i="3"/>
  <c r="C6238" i="3"/>
  <c r="B6238" i="3"/>
  <c r="D6237" i="3"/>
  <c r="C6237" i="3"/>
  <c r="B6237" i="3"/>
  <c r="D6236" i="3"/>
  <c r="C6236" i="3"/>
  <c r="B6236" i="3"/>
  <c r="D6235" i="3"/>
  <c r="C6235" i="3"/>
  <c r="B6235" i="3"/>
  <c r="D6234" i="3"/>
  <c r="C6234" i="3"/>
  <c r="B6234" i="3"/>
  <c r="D6233" i="3"/>
  <c r="C6233" i="3"/>
  <c r="B6233" i="3"/>
  <c r="D6232" i="3"/>
  <c r="C6232" i="3"/>
  <c r="B6232" i="3"/>
  <c r="D6231" i="3"/>
  <c r="C6231" i="3"/>
  <c r="B6231" i="3"/>
  <c r="D6230" i="3"/>
  <c r="C6230" i="3"/>
  <c r="B6230" i="3"/>
  <c r="D6229" i="3"/>
  <c r="C6229" i="3"/>
  <c r="B6229" i="3"/>
  <c r="D6228" i="3"/>
  <c r="C6228" i="3"/>
  <c r="B6228" i="3"/>
  <c r="D6227" i="3"/>
  <c r="C6227" i="3"/>
  <c r="B6227" i="3"/>
  <c r="D6226" i="3"/>
  <c r="C6226" i="3"/>
  <c r="B6226" i="3"/>
  <c r="D6225" i="3"/>
  <c r="C6225" i="3"/>
  <c r="B6225" i="3"/>
  <c r="D6224" i="3"/>
  <c r="C6224" i="3"/>
  <c r="B6224" i="3"/>
  <c r="D6223" i="3"/>
  <c r="C6223" i="3"/>
  <c r="B6223" i="3"/>
  <c r="D6222" i="3"/>
  <c r="C6222" i="3"/>
  <c r="B6222" i="3"/>
  <c r="D6221" i="3"/>
  <c r="C6221" i="3"/>
  <c r="B6221" i="3"/>
  <c r="D6220" i="3"/>
  <c r="C6220" i="3"/>
  <c r="B6220" i="3"/>
  <c r="D6219" i="3"/>
  <c r="C6219" i="3"/>
  <c r="B6219" i="3"/>
  <c r="D6218" i="3"/>
  <c r="C6218" i="3"/>
  <c r="B6218" i="3"/>
  <c r="D6217" i="3"/>
  <c r="C6217" i="3"/>
  <c r="B6217" i="3"/>
  <c r="D6216" i="3"/>
  <c r="C6216" i="3"/>
  <c r="B6216" i="3"/>
  <c r="D6215" i="3"/>
  <c r="C6215" i="3"/>
  <c r="B6215" i="3"/>
  <c r="D6214" i="3"/>
  <c r="C6214" i="3"/>
  <c r="B6214" i="3"/>
  <c r="D6213" i="3"/>
  <c r="C6213" i="3"/>
  <c r="B6213" i="3"/>
  <c r="D6212" i="3"/>
  <c r="C6212" i="3"/>
  <c r="B6212" i="3"/>
  <c r="D6211" i="3"/>
  <c r="C6211" i="3"/>
  <c r="B6211" i="3"/>
  <c r="D6210" i="3"/>
  <c r="C6210" i="3"/>
  <c r="B6210" i="3"/>
  <c r="D6209" i="3"/>
  <c r="C6209" i="3"/>
  <c r="B6209" i="3"/>
  <c r="D6208" i="3"/>
  <c r="C6208" i="3"/>
  <c r="B6208" i="3"/>
  <c r="D6207" i="3"/>
  <c r="C6207" i="3"/>
  <c r="B6207" i="3"/>
  <c r="D6206" i="3"/>
  <c r="C6206" i="3"/>
  <c r="B6206" i="3"/>
  <c r="D6205" i="3"/>
  <c r="C6205" i="3"/>
  <c r="B6205" i="3"/>
  <c r="D6204" i="3"/>
  <c r="C6204" i="3"/>
  <c r="B6204" i="3"/>
  <c r="D6203" i="3"/>
  <c r="C6203" i="3"/>
  <c r="B6203" i="3"/>
  <c r="D6202" i="3"/>
  <c r="C6202" i="3"/>
  <c r="B6202" i="3"/>
  <c r="D6201" i="3"/>
  <c r="C6201" i="3"/>
  <c r="B6201" i="3"/>
  <c r="D6200" i="3"/>
  <c r="C6200" i="3"/>
  <c r="B6200" i="3"/>
  <c r="D6199" i="3"/>
  <c r="C6199" i="3"/>
  <c r="B6199" i="3"/>
  <c r="D6198" i="3"/>
  <c r="C6198" i="3"/>
  <c r="B6198" i="3"/>
  <c r="D6197" i="3"/>
  <c r="C6197" i="3"/>
  <c r="B6197" i="3"/>
  <c r="D6196" i="3"/>
  <c r="C6196" i="3"/>
  <c r="B6196" i="3"/>
  <c r="D6195" i="3"/>
  <c r="C6195" i="3"/>
  <c r="B6195" i="3"/>
  <c r="D6194" i="3"/>
  <c r="C6194" i="3"/>
  <c r="B6194" i="3"/>
  <c r="D6193" i="3"/>
  <c r="C6193" i="3"/>
  <c r="B6193" i="3"/>
  <c r="D6192" i="3"/>
  <c r="C6192" i="3"/>
  <c r="B6192" i="3"/>
  <c r="D6191" i="3"/>
  <c r="C6191" i="3"/>
  <c r="B6191" i="3"/>
  <c r="D6190" i="3"/>
  <c r="C6190" i="3"/>
  <c r="B6190" i="3"/>
  <c r="D6189" i="3"/>
  <c r="C6189" i="3"/>
  <c r="B6189" i="3"/>
  <c r="D6188" i="3"/>
  <c r="C6188" i="3"/>
  <c r="B6188" i="3"/>
  <c r="D6187" i="3"/>
  <c r="C6187" i="3"/>
  <c r="B6187" i="3"/>
  <c r="D6186" i="3"/>
  <c r="C6186" i="3"/>
  <c r="B6186" i="3"/>
  <c r="D6185" i="3"/>
  <c r="C6185" i="3"/>
  <c r="B6185" i="3"/>
  <c r="D6184" i="3"/>
  <c r="C6184" i="3"/>
  <c r="B6184" i="3"/>
  <c r="D6183" i="3"/>
  <c r="C6183" i="3"/>
  <c r="B6183" i="3"/>
  <c r="D6182" i="3"/>
  <c r="C6182" i="3"/>
  <c r="B6182" i="3"/>
  <c r="D6181" i="3"/>
  <c r="C6181" i="3"/>
  <c r="B6181" i="3"/>
  <c r="D6180" i="3"/>
  <c r="C6180" i="3"/>
  <c r="B6180" i="3"/>
  <c r="D6179" i="3"/>
  <c r="C6179" i="3"/>
  <c r="B6179" i="3"/>
  <c r="D6178" i="3"/>
  <c r="C6178" i="3"/>
  <c r="B6178" i="3"/>
  <c r="D6177" i="3"/>
  <c r="C6177" i="3"/>
  <c r="B6177" i="3"/>
  <c r="D6176" i="3"/>
  <c r="C6176" i="3"/>
  <c r="B6176" i="3"/>
  <c r="D6175" i="3"/>
  <c r="C6175" i="3"/>
  <c r="B6175" i="3"/>
  <c r="D6174" i="3"/>
  <c r="C6174" i="3"/>
  <c r="B6174" i="3"/>
  <c r="D6173" i="3"/>
  <c r="C6173" i="3"/>
  <c r="B6173" i="3"/>
  <c r="D6172" i="3"/>
  <c r="C6172" i="3"/>
  <c r="B6172" i="3"/>
  <c r="D6171" i="3"/>
  <c r="C6171" i="3"/>
  <c r="B6171" i="3"/>
  <c r="D6170" i="3"/>
  <c r="C6170" i="3"/>
  <c r="B6170" i="3"/>
  <c r="D6169" i="3"/>
  <c r="C6169" i="3"/>
  <c r="B6169" i="3"/>
  <c r="D6168" i="3"/>
  <c r="C6168" i="3"/>
  <c r="B6168" i="3"/>
  <c r="D6167" i="3"/>
  <c r="C6167" i="3"/>
  <c r="B6167" i="3"/>
  <c r="D6166" i="3"/>
  <c r="C6166" i="3"/>
  <c r="B6166" i="3"/>
  <c r="D6165" i="3"/>
  <c r="C6165" i="3"/>
  <c r="B6165" i="3"/>
  <c r="D6164" i="3"/>
  <c r="C6164" i="3"/>
  <c r="B6164" i="3"/>
  <c r="D6163" i="3"/>
  <c r="C6163" i="3"/>
  <c r="B6163" i="3"/>
  <c r="D6162" i="3"/>
  <c r="C6162" i="3"/>
  <c r="B6162" i="3"/>
  <c r="D6161" i="3"/>
  <c r="C6161" i="3"/>
  <c r="B6161" i="3"/>
  <c r="D6160" i="3"/>
  <c r="C6160" i="3"/>
  <c r="B6160" i="3"/>
  <c r="D6159" i="3"/>
  <c r="C6159" i="3"/>
  <c r="B6159" i="3"/>
  <c r="D6158" i="3"/>
  <c r="C6158" i="3"/>
  <c r="B6158" i="3"/>
  <c r="D6157" i="3"/>
  <c r="C6157" i="3"/>
  <c r="B6157" i="3"/>
  <c r="D6156" i="3"/>
  <c r="C6156" i="3"/>
  <c r="B6156" i="3"/>
  <c r="D6155" i="3"/>
  <c r="C6155" i="3"/>
  <c r="B6155" i="3"/>
  <c r="D6154" i="3"/>
  <c r="C6154" i="3"/>
  <c r="B6154" i="3"/>
  <c r="D6153" i="3"/>
  <c r="C6153" i="3"/>
  <c r="B6153" i="3"/>
  <c r="D6152" i="3"/>
  <c r="C6152" i="3"/>
  <c r="B6152" i="3"/>
  <c r="D6151" i="3"/>
  <c r="C6151" i="3"/>
  <c r="B6151" i="3"/>
  <c r="D6150" i="3"/>
  <c r="C6150" i="3"/>
  <c r="B6150" i="3"/>
  <c r="D6149" i="3"/>
  <c r="C6149" i="3"/>
  <c r="B6149" i="3"/>
  <c r="D6148" i="3"/>
  <c r="C6148" i="3"/>
  <c r="B6148" i="3"/>
  <c r="D6147" i="3"/>
  <c r="C6147" i="3"/>
  <c r="B6147" i="3"/>
  <c r="D6146" i="3"/>
  <c r="C6146" i="3"/>
  <c r="B6146" i="3"/>
  <c r="D6145" i="3"/>
  <c r="C6145" i="3"/>
  <c r="B6145" i="3"/>
  <c r="D6144" i="3"/>
  <c r="C6144" i="3"/>
  <c r="B6144" i="3"/>
  <c r="D6143" i="3"/>
  <c r="C6143" i="3"/>
  <c r="B6143" i="3"/>
  <c r="D6142" i="3"/>
  <c r="C6142" i="3"/>
  <c r="B6142" i="3"/>
  <c r="D6141" i="3"/>
  <c r="C6141" i="3"/>
  <c r="B6141" i="3"/>
  <c r="D6140" i="3"/>
  <c r="C6140" i="3"/>
  <c r="B6140" i="3"/>
  <c r="D6139" i="3"/>
  <c r="C6139" i="3"/>
  <c r="B6139" i="3"/>
  <c r="D6138" i="3"/>
  <c r="C6138" i="3"/>
  <c r="B6138" i="3"/>
  <c r="D6137" i="3"/>
  <c r="C6137" i="3"/>
  <c r="B6137" i="3"/>
  <c r="D6136" i="3"/>
  <c r="C6136" i="3"/>
  <c r="B6136" i="3"/>
  <c r="D6135" i="3"/>
  <c r="C6135" i="3"/>
  <c r="B6135" i="3"/>
  <c r="D6134" i="3"/>
  <c r="C6134" i="3"/>
  <c r="B6134" i="3"/>
  <c r="D6133" i="3"/>
  <c r="C6133" i="3"/>
  <c r="B6133" i="3"/>
  <c r="D6132" i="3"/>
  <c r="C6132" i="3"/>
  <c r="B6132" i="3"/>
  <c r="D6131" i="3"/>
  <c r="C6131" i="3"/>
  <c r="B6131" i="3"/>
  <c r="D6130" i="3"/>
  <c r="C6130" i="3"/>
  <c r="B6130" i="3"/>
  <c r="D6129" i="3"/>
  <c r="C6129" i="3"/>
  <c r="B6129" i="3"/>
  <c r="D6128" i="3"/>
  <c r="C6128" i="3"/>
  <c r="B6128" i="3"/>
  <c r="D6127" i="3"/>
  <c r="C6127" i="3"/>
  <c r="B6127" i="3"/>
  <c r="D6126" i="3"/>
  <c r="C6126" i="3"/>
  <c r="B6126" i="3"/>
  <c r="D6125" i="3"/>
  <c r="C6125" i="3"/>
  <c r="B6125" i="3"/>
  <c r="D6124" i="3"/>
  <c r="C6124" i="3"/>
  <c r="B6124" i="3"/>
  <c r="D6123" i="3"/>
  <c r="C6123" i="3"/>
  <c r="B6123" i="3"/>
  <c r="D6122" i="3"/>
  <c r="C6122" i="3"/>
  <c r="B6122" i="3"/>
  <c r="D6121" i="3"/>
  <c r="C6121" i="3"/>
  <c r="B6121" i="3"/>
  <c r="D6120" i="3"/>
  <c r="C6120" i="3"/>
  <c r="B6120" i="3"/>
  <c r="D6119" i="3"/>
  <c r="C6119" i="3"/>
  <c r="B6119" i="3"/>
  <c r="D6118" i="3"/>
  <c r="C6118" i="3"/>
  <c r="B6118" i="3"/>
  <c r="D6117" i="3"/>
  <c r="C6117" i="3"/>
  <c r="B6117" i="3"/>
  <c r="D6116" i="3"/>
  <c r="C6116" i="3"/>
  <c r="B6116" i="3"/>
  <c r="D6115" i="3"/>
  <c r="C6115" i="3"/>
  <c r="B6115" i="3"/>
  <c r="D6114" i="3"/>
  <c r="C6114" i="3"/>
  <c r="B6114" i="3"/>
  <c r="D6113" i="3"/>
  <c r="C6113" i="3"/>
  <c r="B6113" i="3"/>
  <c r="D6112" i="3"/>
  <c r="C6112" i="3"/>
  <c r="B6112" i="3"/>
  <c r="D6111" i="3"/>
  <c r="C6111" i="3"/>
  <c r="B6111" i="3"/>
  <c r="D6110" i="3"/>
  <c r="C6110" i="3"/>
  <c r="B6110" i="3"/>
  <c r="D6109" i="3"/>
  <c r="C6109" i="3"/>
  <c r="B6109" i="3"/>
  <c r="D6108" i="3"/>
  <c r="C6108" i="3"/>
  <c r="B6108" i="3"/>
  <c r="D6107" i="3"/>
  <c r="C6107" i="3"/>
  <c r="B6107" i="3"/>
  <c r="D6106" i="3"/>
  <c r="C6106" i="3"/>
  <c r="B6106" i="3"/>
  <c r="D6105" i="3"/>
  <c r="C6105" i="3"/>
  <c r="B6105" i="3"/>
  <c r="D6104" i="3"/>
  <c r="C6104" i="3"/>
  <c r="B6104" i="3"/>
  <c r="D6103" i="3"/>
  <c r="C6103" i="3"/>
  <c r="B6103" i="3"/>
  <c r="D6102" i="3"/>
  <c r="C6102" i="3"/>
  <c r="B6102" i="3"/>
  <c r="D6101" i="3"/>
  <c r="C6101" i="3"/>
  <c r="B6101" i="3"/>
  <c r="D6100" i="3"/>
  <c r="C6100" i="3"/>
  <c r="B6100" i="3"/>
  <c r="D6099" i="3"/>
  <c r="C6099" i="3"/>
  <c r="B6099" i="3"/>
  <c r="D6098" i="3"/>
  <c r="C6098" i="3"/>
  <c r="B6098" i="3"/>
  <c r="D6097" i="3"/>
  <c r="C6097" i="3"/>
  <c r="B6097" i="3"/>
  <c r="D6096" i="3"/>
  <c r="C6096" i="3"/>
  <c r="B6096" i="3"/>
  <c r="D6095" i="3"/>
  <c r="C6095" i="3"/>
  <c r="B6095" i="3"/>
  <c r="D6094" i="3"/>
  <c r="C6094" i="3"/>
  <c r="B6094" i="3"/>
  <c r="D6093" i="3"/>
  <c r="C6093" i="3"/>
  <c r="B6093" i="3"/>
  <c r="D6092" i="3"/>
  <c r="C6092" i="3"/>
  <c r="B6092" i="3"/>
  <c r="D6091" i="3"/>
  <c r="C6091" i="3"/>
  <c r="B6091" i="3"/>
  <c r="D6090" i="3"/>
  <c r="C6090" i="3"/>
  <c r="B6090" i="3"/>
  <c r="D6089" i="3"/>
  <c r="C6089" i="3"/>
  <c r="B6089" i="3"/>
  <c r="D6088" i="3"/>
  <c r="C6088" i="3"/>
  <c r="B6088" i="3"/>
  <c r="D6087" i="3"/>
  <c r="C6087" i="3"/>
  <c r="B6087" i="3"/>
  <c r="D6086" i="3"/>
  <c r="C6086" i="3"/>
  <c r="B6086" i="3"/>
  <c r="D6085" i="3"/>
  <c r="C6085" i="3"/>
  <c r="B6085" i="3"/>
  <c r="D6084" i="3"/>
  <c r="C6084" i="3"/>
  <c r="B6084" i="3"/>
  <c r="D6083" i="3"/>
  <c r="C6083" i="3"/>
  <c r="B6083" i="3"/>
  <c r="D6082" i="3"/>
  <c r="C6082" i="3"/>
  <c r="B6082" i="3"/>
  <c r="D6081" i="3"/>
  <c r="C6081" i="3"/>
  <c r="B6081" i="3"/>
  <c r="D6080" i="3"/>
  <c r="C6080" i="3"/>
  <c r="B6080" i="3"/>
  <c r="D6079" i="3"/>
  <c r="C6079" i="3"/>
  <c r="B6079" i="3"/>
  <c r="D6078" i="3"/>
  <c r="C6078" i="3"/>
  <c r="B6078" i="3"/>
  <c r="D6077" i="3"/>
  <c r="C6077" i="3"/>
  <c r="B6077" i="3"/>
  <c r="D6076" i="3"/>
  <c r="C6076" i="3"/>
  <c r="B6076" i="3"/>
  <c r="D6075" i="3"/>
  <c r="C6075" i="3"/>
  <c r="B6075" i="3"/>
  <c r="D6074" i="3"/>
  <c r="C6074" i="3"/>
  <c r="B6074" i="3"/>
  <c r="D6073" i="3"/>
  <c r="C6073" i="3"/>
  <c r="B6073" i="3"/>
  <c r="D6072" i="3"/>
  <c r="C6072" i="3"/>
  <c r="B6072" i="3"/>
  <c r="D6071" i="3"/>
  <c r="C6071" i="3"/>
  <c r="B6071" i="3"/>
  <c r="D6070" i="3"/>
  <c r="C6070" i="3"/>
  <c r="B6070" i="3"/>
  <c r="D6069" i="3"/>
  <c r="C6069" i="3"/>
  <c r="B6069" i="3"/>
  <c r="D6068" i="3"/>
  <c r="C6068" i="3"/>
  <c r="B6068" i="3"/>
  <c r="D6067" i="3"/>
  <c r="C6067" i="3"/>
  <c r="B6067" i="3"/>
  <c r="D6066" i="3"/>
  <c r="C6066" i="3"/>
  <c r="B6066" i="3"/>
  <c r="D6065" i="3"/>
  <c r="C6065" i="3"/>
  <c r="B6065" i="3"/>
  <c r="D6064" i="3"/>
  <c r="C6064" i="3"/>
  <c r="B6064" i="3"/>
  <c r="D6063" i="3"/>
  <c r="C6063" i="3"/>
  <c r="B6063" i="3"/>
  <c r="D6062" i="3"/>
  <c r="C6062" i="3"/>
  <c r="B6062" i="3"/>
  <c r="D6061" i="3"/>
  <c r="C6061" i="3"/>
  <c r="B6061" i="3"/>
  <c r="D6060" i="3"/>
  <c r="C6060" i="3"/>
  <c r="B6060" i="3"/>
  <c r="D6059" i="3"/>
  <c r="C6059" i="3"/>
  <c r="B6059" i="3"/>
  <c r="D6058" i="3"/>
  <c r="C6058" i="3"/>
  <c r="B6058" i="3"/>
  <c r="D6057" i="3"/>
  <c r="C6057" i="3"/>
  <c r="B6057" i="3"/>
  <c r="D6056" i="3"/>
  <c r="C6056" i="3"/>
  <c r="B6056" i="3"/>
  <c r="D6055" i="3"/>
  <c r="C6055" i="3"/>
  <c r="B6055" i="3"/>
  <c r="D6054" i="3"/>
  <c r="C6054" i="3"/>
  <c r="B6054" i="3"/>
  <c r="D6053" i="3"/>
  <c r="C6053" i="3"/>
  <c r="B6053" i="3"/>
  <c r="D6052" i="3"/>
  <c r="C6052" i="3"/>
  <c r="B6052" i="3"/>
  <c r="D6051" i="3"/>
  <c r="C6051" i="3"/>
  <c r="B6051" i="3"/>
  <c r="D6050" i="3"/>
  <c r="C6050" i="3"/>
  <c r="B6050" i="3"/>
  <c r="D6049" i="3"/>
  <c r="C6049" i="3"/>
  <c r="B6049" i="3"/>
  <c r="D6048" i="3"/>
  <c r="C6048" i="3"/>
  <c r="B6048" i="3"/>
  <c r="D6047" i="3"/>
  <c r="C6047" i="3"/>
  <c r="B6047" i="3"/>
  <c r="D6046" i="3"/>
  <c r="C6046" i="3"/>
  <c r="B6046" i="3"/>
  <c r="D6045" i="3"/>
  <c r="C6045" i="3"/>
  <c r="B6045" i="3"/>
  <c r="D6044" i="3"/>
  <c r="C6044" i="3"/>
  <c r="B6044" i="3"/>
  <c r="D6043" i="3"/>
  <c r="C6043" i="3"/>
  <c r="B6043" i="3"/>
  <c r="D6042" i="3"/>
  <c r="C6042" i="3"/>
  <c r="B6042" i="3"/>
  <c r="D6041" i="3"/>
  <c r="C6041" i="3"/>
  <c r="B6041" i="3"/>
  <c r="D6040" i="3"/>
  <c r="C6040" i="3"/>
  <c r="B6040" i="3"/>
  <c r="D6039" i="3"/>
  <c r="C6039" i="3"/>
  <c r="B6039" i="3"/>
  <c r="D6038" i="3"/>
  <c r="C6038" i="3"/>
  <c r="B6038" i="3"/>
  <c r="D6037" i="3"/>
  <c r="C6037" i="3"/>
  <c r="B6037" i="3"/>
  <c r="D6036" i="3"/>
  <c r="C6036" i="3"/>
  <c r="B6036" i="3"/>
  <c r="D6035" i="3"/>
  <c r="C6035" i="3"/>
  <c r="B6035" i="3"/>
  <c r="D6034" i="3"/>
  <c r="C6034" i="3"/>
  <c r="B6034" i="3"/>
  <c r="D6033" i="3"/>
  <c r="C6033" i="3"/>
  <c r="B6033" i="3"/>
  <c r="D6032" i="3"/>
  <c r="C6032" i="3"/>
  <c r="B6032" i="3"/>
  <c r="D6031" i="3"/>
  <c r="C6031" i="3"/>
  <c r="B6031" i="3"/>
  <c r="D6030" i="3"/>
  <c r="C6030" i="3"/>
  <c r="B6030" i="3"/>
  <c r="D6029" i="3"/>
  <c r="C6029" i="3"/>
  <c r="B6029" i="3"/>
  <c r="D6028" i="3"/>
  <c r="C6028" i="3"/>
  <c r="B6028" i="3"/>
  <c r="D6027" i="3"/>
  <c r="C6027" i="3"/>
  <c r="B6027" i="3"/>
  <c r="D6026" i="3"/>
  <c r="C6026" i="3"/>
  <c r="B6026" i="3"/>
  <c r="D6025" i="3"/>
  <c r="C6025" i="3"/>
  <c r="B6025" i="3"/>
  <c r="D6024" i="3"/>
  <c r="C6024" i="3"/>
  <c r="B6024" i="3"/>
  <c r="D6023" i="3"/>
  <c r="C6023" i="3"/>
  <c r="B6023" i="3"/>
  <c r="D6022" i="3"/>
  <c r="C6022" i="3"/>
  <c r="B6022" i="3"/>
  <c r="D6021" i="3"/>
  <c r="C6021" i="3"/>
  <c r="B6021" i="3"/>
  <c r="D6020" i="3"/>
  <c r="C6020" i="3"/>
  <c r="B6020" i="3"/>
  <c r="D6019" i="3"/>
  <c r="C6019" i="3"/>
  <c r="B6019" i="3"/>
  <c r="D6018" i="3"/>
  <c r="C6018" i="3"/>
  <c r="B6018" i="3"/>
  <c r="D6017" i="3"/>
  <c r="C6017" i="3"/>
  <c r="B6017" i="3"/>
  <c r="D6016" i="3"/>
  <c r="C6016" i="3"/>
  <c r="B6016" i="3"/>
  <c r="D6015" i="3"/>
  <c r="C6015" i="3"/>
  <c r="B6015" i="3"/>
  <c r="D6014" i="3"/>
  <c r="C6014" i="3"/>
  <c r="B6014" i="3"/>
  <c r="D6013" i="3"/>
  <c r="C6013" i="3"/>
  <c r="B6013" i="3"/>
  <c r="D6012" i="3"/>
  <c r="C6012" i="3"/>
  <c r="B6012" i="3"/>
  <c r="D6011" i="3"/>
  <c r="C6011" i="3"/>
  <c r="B6011" i="3"/>
  <c r="D6010" i="3"/>
  <c r="C6010" i="3"/>
  <c r="B6010" i="3"/>
  <c r="D6009" i="3"/>
  <c r="C6009" i="3"/>
  <c r="B6009" i="3"/>
  <c r="D6008" i="3"/>
  <c r="C6008" i="3"/>
  <c r="B6008" i="3"/>
  <c r="D6007" i="3"/>
  <c r="C6007" i="3"/>
  <c r="B6007" i="3"/>
  <c r="D6006" i="3"/>
  <c r="C6006" i="3"/>
  <c r="B6006" i="3"/>
  <c r="D6005" i="3"/>
  <c r="C6005" i="3"/>
  <c r="B6005" i="3"/>
  <c r="D6004" i="3"/>
  <c r="C6004" i="3"/>
  <c r="B6004" i="3"/>
  <c r="D6003" i="3"/>
  <c r="C6003" i="3"/>
  <c r="B6003" i="3"/>
  <c r="D6002" i="3"/>
  <c r="C6002" i="3"/>
  <c r="B6002" i="3"/>
  <c r="D6001" i="3"/>
  <c r="C6001" i="3"/>
  <c r="B6001" i="3"/>
  <c r="D6000" i="3"/>
  <c r="C6000" i="3"/>
  <c r="B6000" i="3"/>
  <c r="D5999" i="3"/>
  <c r="C5999" i="3"/>
  <c r="B5999" i="3"/>
  <c r="D5998" i="3"/>
  <c r="C5998" i="3"/>
  <c r="B5998" i="3"/>
  <c r="D5997" i="3"/>
  <c r="C5997" i="3"/>
  <c r="B5997" i="3"/>
  <c r="D5996" i="3"/>
  <c r="C5996" i="3"/>
  <c r="B5996" i="3"/>
  <c r="D5995" i="3"/>
  <c r="C5995" i="3"/>
  <c r="B5995" i="3"/>
  <c r="D5994" i="3"/>
  <c r="C5994" i="3"/>
  <c r="B5994" i="3"/>
  <c r="D5993" i="3"/>
  <c r="C5993" i="3"/>
  <c r="B5993" i="3"/>
  <c r="D5992" i="3"/>
  <c r="C5992" i="3"/>
  <c r="B5992" i="3"/>
  <c r="D5991" i="3"/>
  <c r="C5991" i="3"/>
  <c r="B5991" i="3"/>
  <c r="D5990" i="3"/>
  <c r="C5990" i="3"/>
  <c r="B5990" i="3"/>
  <c r="D5989" i="3"/>
  <c r="C5989" i="3"/>
  <c r="B5989" i="3"/>
  <c r="D5988" i="3"/>
  <c r="C5988" i="3"/>
  <c r="B5988" i="3"/>
  <c r="D5987" i="3"/>
  <c r="C5987" i="3"/>
  <c r="B5987" i="3"/>
  <c r="D5986" i="3"/>
  <c r="C5986" i="3"/>
  <c r="B5986" i="3"/>
  <c r="D5985" i="3"/>
  <c r="C5985" i="3"/>
  <c r="B5985" i="3"/>
  <c r="D5984" i="3"/>
  <c r="C5984" i="3"/>
  <c r="B5984" i="3"/>
  <c r="D5983" i="3"/>
  <c r="C5983" i="3"/>
  <c r="B5983" i="3"/>
  <c r="D5982" i="3"/>
  <c r="C5982" i="3"/>
  <c r="B5982" i="3"/>
  <c r="D5981" i="3"/>
  <c r="C5981" i="3"/>
  <c r="B5981" i="3"/>
  <c r="D5980" i="3"/>
  <c r="C5980" i="3"/>
  <c r="B5980" i="3"/>
  <c r="D5979" i="3"/>
  <c r="C5979" i="3"/>
  <c r="B5979" i="3"/>
  <c r="D5978" i="3"/>
  <c r="C5978" i="3"/>
  <c r="B5978" i="3"/>
  <c r="D5977" i="3"/>
  <c r="C5977" i="3"/>
  <c r="B5977" i="3"/>
  <c r="D5976" i="3"/>
  <c r="C5976" i="3"/>
  <c r="B5976" i="3"/>
  <c r="D5975" i="3"/>
  <c r="C5975" i="3"/>
  <c r="B5975" i="3"/>
  <c r="D5974" i="3"/>
  <c r="C5974" i="3"/>
  <c r="B5974" i="3"/>
  <c r="D5973" i="3"/>
  <c r="C5973" i="3"/>
  <c r="B5973" i="3"/>
  <c r="D5972" i="3"/>
  <c r="C5972" i="3"/>
  <c r="B5972" i="3"/>
  <c r="D5971" i="3"/>
  <c r="C5971" i="3"/>
  <c r="B5971" i="3"/>
  <c r="D5970" i="3"/>
  <c r="C5970" i="3"/>
  <c r="B5970" i="3"/>
  <c r="D5969" i="3"/>
  <c r="C5969" i="3"/>
  <c r="B5969" i="3"/>
  <c r="D5968" i="3"/>
  <c r="C5968" i="3"/>
  <c r="B5968" i="3"/>
  <c r="D5967" i="3"/>
  <c r="C5967" i="3"/>
  <c r="B5967" i="3"/>
  <c r="D5966" i="3"/>
  <c r="C5966" i="3"/>
  <c r="B5966" i="3"/>
  <c r="D5965" i="3"/>
  <c r="C5965" i="3"/>
  <c r="B5965" i="3"/>
  <c r="D5964" i="3"/>
  <c r="C5964" i="3"/>
  <c r="B5964" i="3"/>
  <c r="D5963" i="3"/>
  <c r="C5963" i="3"/>
  <c r="B5963" i="3"/>
  <c r="D5962" i="3"/>
  <c r="C5962" i="3"/>
  <c r="B5962" i="3"/>
  <c r="D5961" i="3"/>
  <c r="C5961" i="3"/>
  <c r="B5961" i="3"/>
  <c r="D5960" i="3"/>
  <c r="C5960" i="3"/>
  <c r="B5960" i="3"/>
  <c r="D5959" i="3"/>
  <c r="C5959" i="3"/>
  <c r="B5959" i="3"/>
  <c r="D5958" i="3"/>
  <c r="C5958" i="3"/>
  <c r="B5958" i="3"/>
  <c r="D5957" i="3"/>
  <c r="C5957" i="3"/>
  <c r="B5957" i="3"/>
  <c r="D5956" i="3"/>
  <c r="C5956" i="3"/>
  <c r="B5956" i="3"/>
  <c r="D5955" i="3"/>
  <c r="C5955" i="3"/>
  <c r="B5955" i="3"/>
  <c r="D5954" i="3"/>
  <c r="C5954" i="3"/>
  <c r="B5954" i="3"/>
  <c r="D5953" i="3"/>
  <c r="C5953" i="3"/>
  <c r="B5953" i="3"/>
  <c r="D5952" i="3"/>
  <c r="C5952" i="3"/>
  <c r="B5952" i="3"/>
  <c r="D5951" i="3"/>
  <c r="C5951" i="3"/>
  <c r="B5951" i="3"/>
  <c r="D5950" i="3"/>
  <c r="C5950" i="3"/>
  <c r="B5950" i="3"/>
  <c r="D5949" i="3"/>
  <c r="C5949" i="3"/>
  <c r="B5949" i="3"/>
  <c r="D5948" i="3"/>
  <c r="C5948" i="3"/>
  <c r="B5948" i="3"/>
  <c r="D5947" i="3"/>
  <c r="C5947" i="3"/>
  <c r="B5947" i="3"/>
  <c r="D5946" i="3"/>
  <c r="C5946" i="3"/>
  <c r="B5946" i="3"/>
  <c r="D5945" i="3"/>
  <c r="C5945" i="3"/>
  <c r="B5945" i="3"/>
  <c r="D5944" i="3"/>
  <c r="C5944" i="3"/>
  <c r="B5944" i="3"/>
  <c r="D5943" i="3"/>
  <c r="C5943" i="3"/>
  <c r="B5943" i="3"/>
  <c r="D5942" i="3"/>
  <c r="C5942" i="3"/>
  <c r="B5942" i="3"/>
  <c r="D5941" i="3"/>
  <c r="C5941" i="3"/>
  <c r="B5941" i="3"/>
  <c r="D5940" i="3"/>
  <c r="C5940" i="3"/>
  <c r="B5940" i="3"/>
  <c r="D5939" i="3"/>
  <c r="C5939" i="3"/>
  <c r="B5939" i="3"/>
  <c r="D5938" i="3"/>
  <c r="C5938" i="3"/>
  <c r="B5938" i="3"/>
  <c r="D5937" i="3"/>
  <c r="C5937" i="3"/>
  <c r="B5937" i="3"/>
  <c r="D5936" i="3"/>
  <c r="C5936" i="3"/>
  <c r="B5936" i="3"/>
  <c r="D5935" i="3"/>
  <c r="C5935" i="3"/>
  <c r="B5935" i="3"/>
  <c r="D5934" i="3"/>
  <c r="C5934" i="3"/>
  <c r="B5934" i="3"/>
  <c r="D5933" i="3"/>
  <c r="C5933" i="3"/>
  <c r="B5933" i="3"/>
  <c r="D5932" i="3"/>
  <c r="C5932" i="3"/>
  <c r="B5932" i="3"/>
  <c r="D5931" i="3"/>
  <c r="C5931" i="3"/>
  <c r="B5931" i="3"/>
  <c r="D5930" i="3"/>
  <c r="C5930" i="3"/>
  <c r="B5930" i="3"/>
  <c r="D5929" i="3"/>
  <c r="C5929" i="3"/>
  <c r="B5929" i="3"/>
  <c r="D5928" i="3"/>
  <c r="C5928" i="3"/>
  <c r="B5928" i="3"/>
  <c r="D5927" i="3"/>
  <c r="C5927" i="3"/>
  <c r="B5927" i="3"/>
  <c r="D5926" i="3"/>
  <c r="C5926" i="3"/>
  <c r="B5926" i="3"/>
  <c r="D5925" i="3"/>
  <c r="C5925" i="3"/>
  <c r="B5925" i="3"/>
  <c r="D5924" i="3"/>
  <c r="C5924" i="3"/>
  <c r="B5924" i="3"/>
  <c r="D5923" i="3"/>
  <c r="C5923" i="3"/>
  <c r="B5923" i="3"/>
  <c r="D5922" i="3"/>
  <c r="C5922" i="3"/>
  <c r="B5922" i="3"/>
  <c r="D5921" i="3"/>
  <c r="C5921" i="3"/>
  <c r="B5921" i="3"/>
  <c r="D5920" i="3"/>
  <c r="C5920" i="3"/>
  <c r="B5920" i="3"/>
  <c r="D5919" i="3"/>
  <c r="C5919" i="3"/>
  <c r="B5919" i="3"/>
  <c r="D5918" i="3"/>
  <c r="C5918" i="3"/>
  <c r="B5918" i="3"/>
  <c r="D5917" i="3"/>
  <c r="C5917" i="3"/>
  <c r="B5917" i="3"/>
  <c r="D5916" i="3"/>
  <c r="C5916" i="3"/>
  <c r="B5916" i="3"/>
  <c r="D5915" i="3"/>
  <c r="C5915" i="3"/>
  <c r="B5915" i="3"/>
  <c r="D5914" i="3"/>
  <c r="C5914" i="3"/>
  <c r="B5914" i="3"/>
  <c r="D5913" i="3"/>
  <c r="C5913" i="3"/>
  <c r="B5913" i="3"/>
  <c r="D5912" i="3"/>
  <c r="C5912" i="3"/>
  <c r="B5912" i="3"/>
  <c r="D5911" i="3"/>
  <c r="C5911" i="3"/>
  <c r="B5911" i="3"/>
  <c r="D5910" i="3"/>
  <c r="C5910" i="3"/>
  <c r="B5910" i="3"/>
  <c r="D5909" i="3"/>
  <c r="C5909" i="3"/>
  <c r="B5909" i="3"/>
  <c r="D5908" i="3"/>
  <c r="C5908" i="3"/>
  <c r="B5908" i="3"/>
  <c r="D5907" i="3"/>
  <c r="C5907" i="3"/>
  <c r="B5907" i="3"/>
  <c r="D5906" i="3"/>
  <c r="C5906" i="3"/>
  <c r="B5906" i="3"/>
  <c r="D5905" i="3"/>
  <c r="C5905" i="3"/>
  <c r="B5905" i="3"/>
  <c r="D5904" i="3"/>
  <c r="C5904" i="3"/>
  <c r="B5904" i="3"/>
  <c r="D5903" i="3"/>
  <c r="C5903" i="3"/>
  <c r="B5903" i="3"/>
  <c r="D5902" i="3"/>
  <c r="C5902" i="3"/>
  <c r="B5902" i="3"/>
  <c r="D5901" i="3"/>
  <c r="C5901" i="3"/>
  <c r="B5901" i="3"/>
  <c r="D5900" i="3"/>
  <c r="C5900" i="3"/>
  <c r="B5900" i="3"/>
  <c r="D5899" i="3"/>
  <c r="C5899" i="3"/>
  <c r="B5899" i="3"/>
  <c r="D5898" i="3"/>
  <c r="C5898" i="3"/>
  <c r="B5898" i="3"/>
  <c r="D5897" i="3"/>
  <c r="C5897" i="3"/>
  <c r="B5897" i="3"/>
  <c r="D5896" i="3"/>
  <c r="C5896" i="3"/>
  <c r="B5896" i="3"/>
  <c r="D5895" i="3"/>
  <c r="C5895" i="3"/>
  <c r="B5895" i="3"/>
  <c r="D5894" i="3"/>
  <c r="C5894" i="3"/>
  <c r="B5894" i="3"/>
  <c r="D5893" i="3"/>
  <c r="C5893" i="3"/>
  <c r="B5893" i="3"/>
  <c r="D5892" i="3"/>
  <c r="C5892" i="3"/>
  <c r="B5892" i="3"/>
  <c r="D5891" i="3"/>
  <c r="C5891" i="3"/>
  <c r="B5891" i="3"/>
  <c r="D5890" i="3"/>
  <c r="C5890" i="3"/>
  <c r="B5890" i="3"/>
  <c r="D5889" i="3"/>
  <c r="C5889" i="3"/>
  <c r="B5889" i="3"/>
  <c r="D5888" i="3"/>
  <c r="C5888" i="3"/>
  <c r="B5888" i="3"/>
  <c r="D5887" i="3"/>
  <c r="C5887" i="3"/>
  <c r="B5887" i="3"/>
  <c r="D5886" i="3"/>
  <c r="C5886" i="3"/>
  <c r="B5886" i="3"/>
  <c r="D5885" i="3"/>
  <c r="C5885" i="3"/>
  <c r="B5885" i="3"/>
  <c r="D5884" i="3"/>
  <c r="C5884" i="3"/>
  <c r="B5884" i="3"/>
  <c r="D5883" i="3"/>
  <c r="C5883" i="3"/>
  <c r="B5883" i="3"/>
  <c r="D5882" i="3"/>
  <c r="C5882" i="3"/>
  <c r="B5882" i="3"/>
  <c r="D5881" i="3"/>
  <c r="C5881" i="3"/>
  <c r="B5881" i="3"/>
  <c r="D5880" i="3"/>
  <c r="C5880" i="3"/>
  <c r="B5880" i="3"/>
  <c r="D5879" i="3"/>
  <c r="C5879" i="3"/>
  <c r="B5879" i="3"/>
  <c r="D5878" i="3"/>
  <c r="C5878" i="3"/>
  <c r="B5878" i="3"/>
  <c r="D5877" i="3"/>
  <c r="C5877" i="3"/>
  <c r="B5877" i="3"/>
  <c r="D5876" i="3"/>
  <c r="C5876" i="3"/>
  <c r="B5876" i="3"/>
  <c r="D5875" i="3"/>
  <c r="C5875" i="3"/>
  <c r="B5875" i="3"/>
  <c r="D5874" i="3"/>
  <c r="C5874" i="3"/>
  <c r="B5874" i="3"/>
  <c r="D5873" i="3"/>
  <c r="C5873" i="3"/>
  <c r="B5873" i="3"/>
  <c r="D5872" i="3"/>
  <c r="C5872" i="3"/>
  <c r="B5872" i="3"/>
  <c r="D5871" i="3"/>
  <c r="C5871" i="3"/>
  <c r="B5871" i="3"/>
  <c r="D5870" i="3"/>
  <c r="C5870" i="3"/>
  <c r="B5870" i="3"/>
  <c r="D5869" i="3"/>
  <c r="C5869" i="3"/>
  <c r="B5869" i="3"/>
  <c r="D5868" i="3"/>
  <c r="C5868" i="3"/>
  <c r="B5868" i="3"/>
  <c r="D5867" i="3"/>
  <c r="C5867" i="3"/>
  <c r="B5867" i="3"/>
  <c r="D5866" i="3"/>
  <c r="C5866" i="3"/>
  <c r="B5866" i="3"/>
  <c r="D5865" i="3"/>
  <c r="C5865" i="3"/>
  <c r="B5865" i="3"/>
  <c r="D5864" i="3"/>
  <c r="C5864" i="3"/>
  <c r="B5864" i="3"/>
  <c r="D5863" i="3"/>
  <c r="C5863" i="3"/>
  <c r="B5863" i="3"/>
  <c r="D5862" i="3"/>
  <c r="C5862" i="3"/>
  <c r="B5862" i="3"/>
  <c r="D5861" i="3"/>
  <c r="C5861" i="3"/>
  <c r="B5861" i="3"/>
  <c r="D5860" i="3"/>
  <c r="C5860" i="3"/>
  <c r="B5860" i="3"/>
  <c r="D5859" i="3"/>
  <c r="C5859" i="3"/>
  <c r="B5859" i="3"/>
  <c r="D5858" i="3"/>
  <c r="C5858" i="3"/>
  <c r="B5858" i="3"/>
  <c r="D5857" i="3"/>
  <c r="C5857" i="3"/>
  <c r="B5857" i="3"/>
  <c r="D5856" i="3"/>
  <c r="C5856" i="3"/>
  <c r="B5856" i="3"/>
  <c r="D5855" i="3"/>
  <c r="C5855" i="3"/>
  <c r="B5855" i="3"/>
  <c r="D5854" i="3"/>
  <c r="C5854" i="3"/>
  <c r="B5854" i="3"/>
  <c r="D5853" i="3"/>
  <c r="C5853" i="3"/>
  <c r="B5853" i="3"/>
  <c r="D5852" i="3"/>
  <c r="C5852" i="3"/>
  <c r="B5852" i="3"/>
  <c r="D5851" i="3"/>
  <c r="C5851" i="3"/>
  <c r="B5851" i="3"/>
  <c r="D5850" i="3"/>
  <c r="C5850" i="3"/>
  <c r="B5850" i="3"/>
  <c r="D5849" i="3"/>
  <c r="C5849" i="3"/>
  <c r="B5849" i="3"/>
  <c r="D5848" i="3"/>
  <c r="C5848" i="3"/>
  <c r="B5848" i="3"/>
  <c r="D5847" i="3"/>
  <c r="C5847" i="3"/>
  <c r="B5847" i="3"/>
  <c r="D5846" i="3"/>
  <c r="C5846" i="3"/>
  <c r="B5846" i="3"/>
  <c r="D5845" i="3"/>
  <c r="C5845" i="3"/>
  <c r="B5845" i="3"/>
  <c r="D5844" i="3"/>
  <c r="C5844" i="3"/>
  <c r="B5844" i="3"/>
  <c r="D5843" i="3"/>
  <c r="C5843" i="3"/>
  <c r="B5843" i="3"/>
  <c r="D5842" i="3"/>
  <c r="C5842" i="3"/>
  <c r="B5842" i="3"/>
  <c r="D5841" i="3"/>
  <c r="C5841" i="3"/>
  <c r="B5841" i="3"/>
  <c r="D5840" i="3"/>
  <c r="C5840" i="3"/>
  <c r="B5840" i="3"/>
  <c r="D5839" i="3"/>
  <c r="C5839" i="3"/>
  <c r="B5839" i="3"/>
  <c r="D5838" i="3"/>
  <c r="C5838" i="3"/>
  <c r="B5838" i="3"/>
  <c r="D5837" i="3"/>
  <c r="C5837" i="3"/>
  <c r="B5837" i="3"/>
  <c r="D5836" i="3"/>
  <c r="C5836" i="3"/>
  <c r="B5836" i="3"/>
  <c r="D5835" i="3"/>
  <c r="C5835" i="3"/>
  <c r="B5835" i="3"/>
  <c r="D5834" i="3"/>
  <c r="C5834" i="3"/>
  <c r="B5834" i="3"/>
  <c r="D5833" i="3"/>
  <c r="C5833" i="3"/>
  <c r="B5833" i="3"/>
  <c r="D5832" i="3"/>
  <c r="C5832" i="3"/>
  <c r="B5832" i="3"/>
  <c r="D5831" i="3"/>
  <c r="C5831" i="3"/>
  <c r="B5831" i="3"/>
  <c r="D5830" i="3"/>
  <c r="C5830" i="3"/>
  <c r="B5830" i="3"/>
  <c r="D5829" i="3"/>
  <c r="C5829" i="3"/>
  <c r="B5829" i="3"/>
  <c r="D5828" i="3"/>
  <c r="C5828" i="3"/>
  <c r="B5828" i="3"/>
  <c r="D5827" i="3"/>
  <c r="C5827" i="3"/>
  <c r="B5827" i="3"/>
  <c r="D5826" i="3"/>
  <c r="C5826" i="3"/>
  <c r="B5826" i="3"/>
  <c r="D5825" i="3"/>
  <c r="C5825" i="3"/>
  <c r="B5825" i="3"/>
  <c r="D5824" i="3"/>
  <c r="C5824" i="3"/>
  <c r="B5824" i="3"/>
  <c r="D5823" i="3"/>
  <c r="C5823" i="3"/>
  <c r="B5823" i="3"/>
  <c r="D5822" i="3"/>
  <c r="C5822" i="3"/>
  <c r="B5822" i="3"/>
  <c r="D5821" i="3"/>
  <c r="C5821" i="3"/>
  <c r="B5821" i="3"/>
  <c r="D5820" i="3"/>
  <c r="C5820" i="3"/>
  <c r="B5820" i="3"/>
  <c r="D5819" i="3"/>
  <c r="C5819" i="3"/>
  <c r="B5819" i="3"/>
  <c r="D5818" i="3"/>
  <c r="C5818" i="3"/>
  <c r="B5818" i="3"/>
  <c r="D5817" i="3"/>
  <c r="C5817" i="3"/>
  <c r="B5817" i="3"/>
  <c r="D5816" i="3"/>
  <c r="C5816" i="3"/>
  <c r="B5816" i="3"/>
  <c r="D5815" i="3"/>
  <c r="C5815" i="3"/>
  <c r="B5815" i="3"/>
  <c r="D5814" i="3"/>
  <c r="C5814" i="3"/>
  <c r="B5814" i="3"/>
  <c r="D5813" i="3"/>
  <c r="C5813" i="3"/>
  <c r="B5813" i="3"/>
  <c r="D5812" i="3"/>
  <c r="C5812" i="3"/>
  <c r="B5812" i="3"/>
  <c r="D5811" i="3"/>
  <c r="C5811" i="3"/>
  <c r="B5811" i="3"/>
  <c r="D5810" i="3"/>
  <c r="C5810" i="3"/>
  <c r="B5810" i="3"/>
  <c r="D5809" i="3"/>
  <c r="C5809" i="3"/>
  <c r="B5809" i="3"/>
  <c r="D5808" i="3"/>
  <c r="C5808" i="3"/>
  <c r="B5808" i="3"/>
  <c r="D5807" i="3"/>
  <c r="C5807" i="3"/>
  <c r="B5807" i="3"/>
  <c r="D5806" i="3"/>
  <c r="C5806" i="3"/>
  <c r="B5806" i="3"/>
  <c r="D5805" i="3"/>
  <c r="C5805" i="3"/>
  <c r="B5805" i="3"/>
  <c r="D5804" i="3"/>
  <c r="C5804" i="3"/>
  <c r="B5804" i="3"/>
  <c r="D5803" i="3"/>
  <c r="C5803" i="3"/>
  <c r="B5803" i="3"/>
  <c r="D5802" i="3"/>
  <c r="C5802" i="3"/>
  <c r="B5802" i="3"/>
  <c r="D5801" i="3"/>
  <c r="C5801" i="3"/>
  <c r="B5801" i="3"/>
  <c r="D5800" i="3"/>
  <c r="C5800" i="3"/>
  <c r="B5800" i="3"/>
  <c r="D5799" i="3"/>
  <c r="C5799" i="3"/>
  <c r="B5799" i="3"/>
  <c r="D5798" i="3"/>
  <c r="C5798" i="3"/>
  <c r="B5798" i="3"/>
  <c r="D5797" i="3"/>
  <c r="C5797" i="3"/>
  <c r="B5797" i="3"/>
  <c r="D5796" i="3"/>
  <c r="C5796" i="3"/>
  <c r="B5796" i="3"/>
  <c r="D5795" i="3"/>
  <c r="C5795" i="3"/>
  <c r="B5795" i="3"/>
  <c r="D5794" i="3"/>
  <c r="C5794" i="3"/>
  <c r="B5794" i="3"/>
  <c r="D5793" i="3"/>
  <c r="C5793" i="3"/>
  <c r="B5793" i="3"/>
  <c r="D5792" i="3"/>
  <c r="C5792" i="3"/>
  <c r="B5792" i="3"/>
  <c r="D5791" i="3"/>
  <c r="C5791" i="3"/>
  <c r="B5791" i="3"/>
  <c r="D5790" i="3"/>
  <c r="C5790" i="3"/>
  <c r="B5790" i="3"/>
  <c r="D5789" i="3"/>
  <c r="C5789" i="3"/>
  <c r="B5789" i="3"/>
  <c r="D5788" i="3"/>
  <c r="C5788" i="3"/>
  <c r="B5788" i="3"/>
  <c r="D5787" i="3"/>
  <c r="C5787" i="3"/>
  <c r="B5787" i="3"/>
  <c r="D5786" i="3"/>
  <c r="C5786" i="3"/>
  <c r="B5786" i="3"/>
  <c r="D5785" i="3"/>
  <c r="C5785" i="3"/>
  <c r="B5785" i="3"/>
  <c r="D5784" i="3"/>
  <c r="C5784" i="3"/>
  <c r="B5784" i="3"/>
  <c r="D5783" i="3"/>
  <c r="C5783" i="3"/>
  <c r="B5783" i="3"/>
  <c r="D5782" i="3"/>
  <c r="C5782" i="3"/>
  <c r="B5782" i="3"/>
  <c r="D5781" i="3"/>
  <c r="C5781" i="3"/>
  <c r="B5781" i="3"/>
  <c r="D5780" i="3"/>
  <c r="C5780" i="3"/>
  <c r="B5780" i="3"/>
  <c r="D5779" i="3"/>
  <c r="C5779" i="3"/>
  <c r="B5779" i="3"/>
  <c r="D5778" i="3"/>
  <c r="C5778" i="3"/>
  <c r="B5778" i="3"/>
  <c r="D5777" i="3"/>
  <c r="C5777" i="3"/>
  <c r="B5777" i="3"/>
  <c r="D5776" i="3"/>
  <c r="C5776" i="3"/>
  <c r="B5776" i="3"/>
  <c r="D5775" i="3"/>
  <c r="C5775" i="3"/>
  <c r="B5775" i="3"/>
  <c r="D5774" i="3"/>
  <c r="C5774" i="3"/>
  <c r="B5774" i="3"/>
  <c r="D5773" i="3"/>
  <c r="C5773" i="3"/>
  <c r="B5773" i="3"/>
  <c r="D5772" i="3"/>
  <c r="C5772" i="3"/>
  <c r="B5772" i="3"/>
  <c r="D5771" i="3"/>
  <c r="C5771" i="3"/>
  <c r="B5771" i="3"/>
  <c r="D5770" i="3"/>
  <c r="C5770" i="3"/>
  <c r="B5770" i="3"/>
  <c r="D5769" i="3"/>
  <c r="C5769" i="3"/>
  <c r="B5769" i="3"/>
  <c r="D5768" i="3"/>
  <c r="C5768" i="3"/>
  <c r="B5768" i="3"/>
  <c r="D5767" i="3"/>
  <c r="C5767" i="3"/>
  <c r="B5767" i="3"/>
  <c r="D5766" i="3"/>
  <c r="C5766" i="3"/>
  <c r="B5766" i="3"/>
  <c r="D5765" i="3"/>
  <c r="C5765" i="3"/>
  <c r="B5765" i="3"/>
  <c r="D5764" i="3"/>
  <c r="C5764" i="3"/>
  <c r="B5764" i="3"/>
  <c r="D5763" i="3"/>
  <c r="C5763" i="3"/>
  <c r="B5763" i="3"/>
  <c r="D5762" i="3"/>
  <c r="C5762" i="3"/>
  <c r="B5762" i="3"/>
  <c r="D5761" i="3"/>
  <c r="C5761" i="3"/>
  <c r="B5761" i="3"/>
  <c r="D5760" i="3"/>
  <c r="C5760" i="3"/>
  <c r="B5760" i="3"/>
  <c r="D5759" i="3"/>
  <c r="C5759" i="3"/>
  <c r="B5759" i="3"/>
  <c r="D5758" i="3"/>
  <c r="C5758" i="3"/>
  <c r="B5758" i="3"/>
  <c r="D5757" i="3"/>
  <c r="C5757" i="3"/>
  <c r="B5757" i="3"/>
  <c r="D5756" i="3"/>
  <c r="C5756" i="3"/>
  <c r="B5756" i="3"/>
  <c r="D5755" i="3"/>
  <c r="C5755" i="3"/>
  <c r="B5755" i="3"/>
  <c r="D5754" i="3"/>
  <c r="C5754" i="3"/>
  <c r="B5754" i="3"/>
  <c r="D5753" i="3"/>
  <c r="C5753" i="3"/>
  <c r="B5753" i="3"/>
  <c r="D5752" i="3"/>
  <c r="C5752" i="3"/>
  <c r="B5752" i="3"/>
  <c r="D5751" i="3"/>
  <c r="C5751" i="3"/>
  <c r="B5751" i="3"/>
  <c r="D5750" i="3"/>
  <c r="C5750" i="3"/>
  <c r="B5750" i="3"/>
  <c r="D5749" i="3"/>
  <c r="C5749" i="3"/>
  <c r="B5749" i="3"/>
  <c r="D5748" i="3"/>
  <c r="C5748" i="3"/>
  <c r="B5748" i="3"/>
  <c r="D5747" i="3"/>
  <c r="C5747" i="3"/>
  <c r="B5747" i="3"/>
  <c r="D5746" i="3"/>
  <c r="C5746" i="3"/>
  <c r="B5746" i="3"/>
  <c r="D5745" i="3"/>
  <c r="C5745" i="3"/>
  <c r="B5745" i="3"/>
  <c r="D5744" i="3"/>
  <c r="C5744" i="3"/>
  <c r="B5744" i="3"/>
  <c r="D5743" i="3"/>
  <c r="C5743" i="3"/>
  <c r="B5743" i="3"/>
  <c r="D5742" i="3"/>
  <c r="C5742" i="3"/>
  <c r="B5742" i="3"/>
  <c r="D5741" i="3"/>
  <c r="C5741" i="3"/>
  <c r="B5741" i="3"/>
  <c r="D5740" i="3"/>
  <c r="C5740" i="3"/>
  <c r="B5740" i="3"/>
  <c r="D5739" i="3"/>
  <c r="C5739" i="3"/>
  <c r="B5739" i="3"/>
  <c r="D5738" i="3"/>
  <c r="C5738" i="3"/>
  <c r="B5738" i="3"/>
  <c r="D5737" i="3"/>
  <c r="C5737" i="3"/>
  <c r="B5737" i="3"/>
  <c r="D5736" i="3"/>
  <c r="C5736" i="3"/>
  <c r="B5736" i="3"/>
  <c r="D5735" i="3"/>
  <c r="C5735" i="3"/>
  <c r="B5735" i="3"/>
  <c r="D5734" i="3"/>
  <c r="C5734" i="3"/>
  <c r="B5734" i="3"/>
  <c r="D5733" i="3"/>
  <c r="C5733" i="3"/>
  <c r="B5733" i="3"/>
  <c r="D5732" i="3"/>
  <c r="C5732" i="3"/>
  <c r="B5732" i="3"/>
  <c r="D5731" i="3"/>
  <c r="C5731" i="3"/>
  <c r="B5731" i="3"/>
  <c r="D5730" i="3"/>
  <c r="C5730" i="3"/>
  <c r="B5730" i="3"/>
  <c r="D5729" i="3"/>
  <c r="C5729" i="3"/>
  <c r="B5729" i="3"/>
  <c r="D5728" i="3"/>
  <c r="C5728" i="3"/>
  <c r="B5728" i="3"/>
  <c r="D5727" i="3"/>
  <c r="C5727" i="3"/>
  <c r="B5727" i="3"/>
  <c r="D5726" i="3"/>
  <c r="C5726" i="3"/>
  <c r="B5726" i="3"/>
  <c r="D5725" i="3"/>
  <c r="C5725" i="3"/>
  <c r="B5725" i="3"/>
  <c r="D5724" i="3"/>
  <c r="C5724" i="3"/>
  <c r="B5724" i="3"/>
  <c r="D5723" i="3"/>
  <c r="C5723" i="3"/>
  <c r="B5723" i="3"/>
  <c r="D5722" i="3"/>
  <c r="C5722" i="3"/>
  <c r="B5722" i="3"/>
  <c r="D5721" i="3"/>
  <c r="C5721" i="3"/>
  <c r="B5721" i="3"/>
  <c r="D5720" i="3"/>
  <c r="C5720" i="3"/>
  <c r="B5720" i="3"/>
  <c r="D5719" i="3"/>
  <c r="C5719" i="3"/>
  <c r="B5719" i="3"/>
  <c r="D5718" i="3"/>
  <c r="C5718" i="3"/>
  <c r="B5718" i="3"/>
  <c r="D5717" i="3"/>
  <c r="C5717" i="3"/>
  <c r="B5717" i="3"/>
  <c r="D5716" i="3"/>
  <c r="C5716" i="3"/>
  <c r="B5716" i="3"/>
  <c r="D5715" i="3"/>
  <c r="C5715" i="3"/>
  <c r="B5715" i="3"/>
  <c r="D5714" i="3"/>
  <c r="C5714" i="3"/>
  <c r="B5714" i="3"/>
  <c r="D5713" i="3"/>
  <c r="C5713" i="3"/>
  <c r="B5713" i="3"/>
  <c r="D5712" i="3"/>
  <c r="C5712" i="3"/>
  <c r="B5712" i="3"/>
  <c r="D5711" i="3"/>
  <c r="C5711" i="3"/>
  <c r="B5711" i="3"/>
  <c r="D5710" i="3"/>
  <c r="C5710" i="3"/>
  <c r="B5710" i="3"/>
  <c r="D5709" i="3"/>
  <c r="C5709" i="3"/>
  <c r="B5709" i="3"/>
  <c r="D5708" i="3"/>
  <c r="C5708" i="3"/>
  <c r="B5708" i="3"/>
  <c r="D5707" i="3"/>
  <c r="C5707" i="3"/>
  <c r="B5707" i="3"/>
  <c r="D5706" i="3"/>
  <c r="C5706" i="3"/>
  <c r="B5706" i="3"/>
  <c r="D5705" i="3"/>
  <c r="C5705" i="3"/>
  <c r="B5705" i="3"/>
  <c r="D5704" i="3"/>
  <c r="C5704" i="3"/>
  <c r="B5704" i="3"/>
  <c r="D5703" i="3"/>
  <c r="C5703" i="3"/>
  <c r="B5703" i="3"/>
  <c r="D5702" i="3"/>
  <c r="C5702" i="3"/>
  <c r="B5702" i="3"/>
  <c r="D5701" i="3"/>
  <c r="C5701" i="3"/>
  <c r="B5701" i="3"/>
  <c r="D5700" i="3"/>
  <c r="C5700" i="3"/>
  <c r="B5700" i="3"/>
  <c r="D5699" i="3"/>
  <c r="C5699" i="3"/>
  <c r="B5699" i="3"/>
  <c r="D5698" i="3"/>
  <c r="C5698" i="3"/>
  <c r="B5698" i="3"/>
  <c r="D5697" i="3"/>
  <c r="C5697" i="3"/>
  <c r="B5697" i="3"/>
  <c r="D5696" i="3"/>
  <c r="C5696" i="3"/>
  <c r="B5696" i="3"/>
  <c r="D5695" i="3"/>
  <c r="C5695" i="3"/>
  <c r="B5695" i="3"/>
  <c r="D5694" i="3"/>
  <c r="C5694" i="3"/>
  <c r="B5694" i="3"/>
  <c r="D5693" i="3"/>
  <c r="C5693" i="3"/>
  <c r="B5693" i="3"/>
  <c r="D5692" i="3"/>
  <c r="C5692" i="3"/>
  <c r="B5692" i="3"/>
  <c r="D5691" i="3"/>
  <c r="C5691" i="3"/>
  <c r="B5691" i="3"/>
  <c r="D5690" i="3"/>
  <c r="C5690" i="3"/>
  <c r="B5690" i="3"/>
  <c r="D5689" i="3"/>
  <c r="C5689" i="3"/>
  <c r="B5689" i="3"/>
  <c r="D5688" i="3"/>
  <c r="C5688" i="3"/>
  <c r="B5688" i="3"/>
  <c r="D5687" i="3"/>
  <c r="C5687" i="3"/>
  <c r="B5687" i="3"/>
  <c r="D5686" i="3"/>
  <c r="C5686" i="3"/>
  <c r="B5686" i="3"/>
  <c r="D5685" i="3"/>
  <c r="C5685" i="3"/>
  <c r="B5685" i="3"/>
  <c r="D5684" i="3"/>
  <c r="C5684" i="3"/>
  <c r="B5684" i="3"/>
  <c r="D5683" i="3"/>
  <c r="C5683" i="3"/>
  <c r="B5683" i="3"/>
  <c r="D5682" i="3"/>
  <c r="C5682" i="3"/>
  <c r="B5682" i="3"/>
  <c r="D5681" i="3"/>
  <c r="C5681" i="3"/>
  <c r="B5681" i="3"/>
  <c r="D5680" i="3"/>
  <c r="C5680" i="3"/>
  <c r="B5680" i="3"/>
  <c r="D5679" i="3"/>
  <c r="C5679" i="3"/>
  <c r="B5679" i="3"/>
  <c r="D5678" i="3"/>
  <c r="C5678" i="3"/>
  <c r="B5678" i="3"/>
  <c r="D5677" i="3"/>
  <c r="C5677" i="3"/>
  <c r="B5677" i="3"/>
  <c r="D5676" i="3"/>
  <c r="C5676" i="3"/>
  <c r="B5676" i="3"/>
  <c r="D5675" i="3"/>
  <c r="C5675" i="3"/>
  <c r="B5675" i="3"/>
  <c r="D5674" i="3"/>
  <c r="C5674" i="3"/>
  <c r="B5674" i="3"/>
  <c r="D5673" i="3"/>
  <c r="C5673" i="3"/>
  <c r="B5673" i="3"/>
  <c r="D5672" i="3"/>
  <c r="C5672" i="3"/>
  <c r="B5672" i="3"/>
  <c r="D5671" i="3"/>
  <c r="C5671" i="3"/>
  <c r="B5671" i="3"/>
  <c r="D5670" i="3"/>
  <c r="C5670" i="3"/>
  <c r="B5670" i="3"/>
  <c r="D5669" i="3"/>
  <c r="C5669" i="3"/>
  <c r="B5669" i="3"/>
  <c r="D5668" i="3"/>
  <c r="C5668" i="3"/>
  <c r="B5668" i="3"/>
  <c r="D5667" i="3"/>
  <c r="C5667" i="3"/>
  <c r="B5667" i="3"/>
  <c r="D5666" i="3"/>
  <c r="C5666" i="3"/>
  <c r="B5666" i="3"/>
  <c r="D5665" i="3"/>
  <c r="C5665" i="3"/>
  <c r="B5665" i="3"/>
  <c r="D5664" i="3"/>
  <c r="C5664" i="3"/>
  <c r="B5664" i="3"/>
  <c r="D5663" i="3"/>
  <c r="C5663" i="3"/>
  <c r="B5663" i="3"/>
  <c r="D5662" i="3"/>
  <c r="C5662" i="3"/>
  <c r="B5662" i="3"/>
  <c r="D5661" i="3"/>
  <c r="C5661" i="3"/>
  <c r="B5661" i="3"/>
  <c r="D5660" i="3"/>
  <c r="C5660" i="3"/>
  <c r="B5660" i="3"/>
  <c r="D5659" i="3"/>
  <c r="C5659" i="3"/>
  <c r="B5659" i="3"/>
  <c r="D5658" i="3"/>
  <c r="C5658" i="3"/>
  <c r="B5658" i="3"/>
  <c r="D5657" i="3"/>
  <c r="C5657" i="3"/>
  <c r="B5657" i="3"/>
  <c r="D5656" i="3"/>
  <c r="C5656" i="3"/>
  <c r="B5656" i="3"/>
  <c r="D5655" i="3"/>
  <c r="C5655" i="3"/>
  <c r="B5655" i="3"/>
  <c r="D5654" i="3"/>
  <c r="C5654" i="3"/>
  <c r="B5654" i="3"/>
  <c r="D5653" i="3"/>
  <c r="C5653" i="3"/>
  <c r="B5653" i="3"/>
  <c r="D5652" i="3"/>
  <c r="C5652" i="3"/>
  <c r="B5652" i="3"/>
  <c r="D5651" i="3"/>
  <c r="C5651" i="3"/>
  <c r="B5651" i="3"/>
  <c r="D5650" i="3"/>
  <c r="C5650" i="3"/>
  <c r="B5650" i="3"/>
  <c r="D5649" i="3"/>
  <c r="C5649" i="3"/>
  <c r="B5649" i="3"/>
  <c r="D5648" i="3"/>
  <c r="C5648" i="3"/>
  <c r="B5648" i="3"/>
  <c r="D5647" i="3"/>
  <c r="C5647" i="3"/>
  <c r="B5647" i="3"/>
  <c r="D5646" i="3"/>
  <c r="C5646" i="3"/>
  <c r="B5646" i="3"/>
  <c r="D5645" i="3"/>
  <c r="C5645" i="3"/>
  <c r="B5645" i="3"/>
  <c r="D5644" i="3"/>
  <c r="C5644" i="3"/>
  <c r="B5644" i="3"/>
  <c r="D5643" i="3"/>
  <c r="C5643" i="3"/>
  <c r="B5643" i="3"/>
  <c r="D5642" i="3"/>
  <c r="C5642" i="3"/>
  <c r="B5642" i="3"/>
  <c r="D5641" i="3"/>
  <c r="C5641" i="3"/>
  <c r="B5641" i="3"/>
  <c r="D5640" i="3"/>
  <c r="C5640" i="3"/>
  <c r="B5640" i="3"/>
  <c r="D5639" i="3"/>
  <c r="C5639" i="3"/>
  <c r="B5639" i="3"/>
  <c r="D5638" i="3"/>
  <c r="C5638" i="3"/>
  <c r="B5638" i="3"/>
  <c r="D5637" i="3"/>
  <c r="C5637" i="3"/>
  <c r="B5637" i="3"/>
  <c r="D5636" i="3"/>
  <c r="C5636" i="3"/>
  <c r="B5636" i="3"/>
  <c r="D5635" i="3"/>
  <c r="C5635" i="3"/>
  <c r="B5635" i="3"/>
  <c r="D5634" i="3"/>
  <c r="C5634" i="3"/>
  <c r="B5634" i="3"/>
  <c r="D5633" i="3"/>
  <c r="C5633" i="3"/>
  <c r="B5633" i="3"/>
  <c r="D5632" i="3"/>
  <c r="C5632" i="3"/>
  <c r="B5632" i="3"/>
  <c r="D5631" i="3"/>
  <c r="C5631" i="3"/>
  <c r="B5631" i="3"/>
  <c r="D5630" i="3"/>
  <c r="C5630" i="3"/>
  <c r="B5630" i="3"/>
  <c r="D5629" i="3"/>
  <c r="C5629" i="3"/>
  <c r="B5629" i="3"/>
  <c r="D5628" i="3"/>
  <c r="C5628" i="3"/>
  <c r="B5628" i="3"/>
  <c r="D5627" i="3"/>
  <c r="C5627" i="3"/>
  <c r="B5627" i="3"/>
  <c r="D5626" i="3"/>
  <c r="C5626" i="3"/>
  <c r="B5626" i="3"/>
  <c r="D5625" i="3"/>
  <c r="C5625" i="3"/>
  <c r="B5625" i="3"/>
  <c r="D5624" i="3"/>
  <c r="C5624" i="3"/>
  <c r="B5624" i="3"/>
  <c r="D5623" i="3"/>
  <c r="C5623" i="3"/>
  <c r="B5623" i="3"/>
  <c r="D5622" i="3"/>
  <c r="C5622" i="3"/>
  <c r="B5622" i="3"/>
  <c r="D5621" i="3"/>
  <c r="C5621" i="3"/>
  <c r="B5621" i="3"/>
  <c r="D5620" i="3"/>
  <c r="C5620" i="3"/>
  <c r="B5620" i="3"/>
  <c r="D5619" i="3"/>
  <c r="C5619" i="3"/>
  <c r="B5619" i="3"/>
  <c r="D5618" i="3"/>
  <c r="C5618" i="3"/>
  <c r="B5618" i="3"/>
  <c r="D5617" i="3"/>
  <c r="C5617" i="3"/>
  <c r="B5617" i="3"/>
  <c r="D5616" i="3"/>
  <c r="C5616" i="3"/>
  <c r="B5616" i="3"/>
  <c r="D5615" i="3"/>
  <c r="C5615" i="3"/>
  <c r="B5615" i="3"/>
  <c r="D5614" i="3"/>
  <c r="C5614" i="3"/>
  <c r="B5614" i="3"/>
  <c r="D5613" i="3"/>
  <c r="C5613" i="3"/>
  <c r="B5613" i="3"/>
  <c r="D5612" i="3"/>
  <c r="C5612" i="3"/>
  <c r="B5612" i="3"/>
  <c r="D5611" i="3"/>
  <c r="C5611" i="3"/>
  <c r="B5611" i="3"/>
  <c r="D5610" i="3"/>
  <c r="C5610" i="3"/>
  <c r="B5610" i="3"/>
  <c r="D5609" i="3"/>
  <c r="C5609" i="3"/>
  <c r="B5609" i="3"/>
  <c r="D5608" i="3"/>
  <c r="C5608" i="3"/>
  <c r="B5608" i="3"/>
  <c r="D5607" i="3"/>
  <c r="C5607" i="3"/>
  <c r="B5607" i="3"/>
  <c r="D5606" i="3"/>
  <c r="C5606" i="3"/>
  <c r="B5606" i="3"/>
  <c r="D5605" i="3"/>
  <c r="C5605" i="3"/>
  <c r="B5605" i="3"/>
  <c r="D5604" i="3"/>
  <c r="C5604" i="3"/>
  <c r="B5604" i="3"/>
  <c r="D5603" i="3"/>
  <c r="C5603" i="3"/>
  <c r="B5603" i="3"/>
  <c r="D5602" i="3"/>
  <c r="C5602" i="3"/>
  <c r="B5602" i="3"/>
  <c r="D5601" i="3"/>
  <c r="C5601" i="3"/>
  <c r="B5601" i="3"/>
  <c r="D5600" i="3"/>
  <c r="C5600" i="3"/>
  <c r="B5600" i="3"/>
  <c r="D5599" i="3"/>
  <c r="C5599" i="3"/>
  <c r="B5599" i="3"/>
  <c r="D5598" i="3"/>
  <c r="C5598" i="3"/>
  <c r="B5598" i="3"/>
  <c r="D5597" i="3"/>
  <c r="C5597" i="3"/>
  <c r="B5597" i="3"/>
  <c r="D5596" i="3"/>
  <c r="C5596" i="3"/>
  <c r="B5596" i="3"/>
  <c r="D5595" i="3"/>
  <c r="C5595" i="3"/>
  <c r="B5595" i="3"/>
  <c r="D5594" i="3"/>
  <c r="C5594" i="3"/>
  <c r="B5594" i="3"/>
  <c r="D5593" i="3"/>
  <c r="C5593" i="3"/>
  <c r="B5593" i="3"/>
  <c r="D5592" i="3"/>
  <c r="C5592" i="3"/>
  <c r="B5592" i="3"/>
  <c r="D5591" i="3"/>
  <c r="C5591" i="3"/>
  <c r="B5591" i="3"/>
  <c r="D5590" i="3"/>
  <c r="C5590" i="3"/>
  <c r="B5590" i="3"/>
  <c r="D5589" i="3"/>
  <c r="C5589" i="3"/>
  <c r="B5589" i="3"/>
  <c r="D5588" i="3"/>
  <c r="C5588" i="3"/>
  <c r="B5588" i="3"/>
  <c r="D5587" i="3"/>
  <c r="C5587" i="3"/>
  <c r="B5587" i="3"/>
  <c r="D5586" i="3"/>
  <c r="C5586" i="3"/>
  <c r="B5586" i="3"/>
  <c r="D5585" i="3"/>
  <c r="C5585" i="3"/>
  <c r="B5585" i="3"/>
  <c r="D5584" i="3"/>
  <c r="C5584" i="3"/>
  <c r="B5584" i="3"/>
  <c r="D5583" i="3"/>
  <c r="C5583" i="3"/>
  <c r="B5583" i="3"/>
  <c r="D5582" i="3"/>
  <c r="C5582" i="3"/>
  <c r="B5582" i="3"/>
  <c r="D5581" i="3"/>
  <c r="C5581" i="3"/>
  <c r="B5581" i="3"/>
  <c r="D5580" i="3"/>
  <c r="C5580" i="3"/>
  <c r="B5580" i="3"/>
  <c r="D5579" i="3"/>
  <c r="C5579" i="3"/>
  <c r="B5579" i="3"/>
  <c r="D5578" i="3"/>
  <c r="C5578" i="3"/>
  <c r="B5578" i="3"/>
  <c r="D5577" i="3"/>
  <c r="C5577" i="3"/>
  <c r="B5577" i="3"/>
  <c r="D5576" i="3"/>
  <c r="C5576" i="3"/>
  <c r="B5576" i="3"/>
  <c r="D5575" i="3"/>
  <c r="C5575" i="3"/>
  <c r="B5575" i="3"/>
  <c r="D5574" i="3"/>
  <c r="C5574" i="3"/>
  <c r="B5574" i="3"/>
  <c r="D5573" i="3"/>
  <c r="C5573" i="3"/>
  <c r="B5573" i="3"/>
  <c r="D5572" i="3"/>
  <c r="C5572" i="3"/>
  <c r="B5572" i="3"/>
  <c r="D5571" i="3"/>
  <c r="C5571" i="3"/>
  <c r="B5571" i="3"/>
  <c r="D5570" i="3"/>
  <c r="C5570" i="3"/>
  <c r="B5570" i="3"/>
  <c r="D5569" i="3"/>
  <c r="C5569" i="3"/>
  <c r="B5569" i="3"/>
  <c r="D5568" i="3"/>
  <c r="C5568" i="3"/>
  <c r="B5568" i="3"/>
  <c r="D5567" i="3"/>
  <c r="C5567" i="3"/>
  <c r="B5567" i="3"/>
  <c r="D5566" i="3"/>
  <c r="C5566" i="3"/>
  <c r="B5566" i="3"/>
  <c r="D5565" i="3"/>
  <c r="C5565" i="3"/>
  <c r="B5565" i="3"/>
  <c r="D5564" i="3"/>
  <c r="C5564" i="3"/>
  <c r="B5564" i="3"/>
  <c r="D5563" i="3"/>
  <c r="C5563" i="3"/>
  <c r="B5563" i="3"/>
  <c r="D5562" i="3"/>
  <c r="C5562" i="3"/>
  <c r="B5562" i="3"/>
  <c r="D5561" i="3"/>
  <c r="C5561" i="3"/>
  <c r="B5561" i="3"/>
  <c r="D5560" i="3"/>
  <c r="C5560" i="3"/>
  <c r="B5560" i="3"/>
  <c r="D5559" i="3"/>
  <c r="C5559" i="3"/>
  <c r="B5559" i="3"/>
  <c r="D5558" i="3"/>
  <c r="C5558" i="3"/>
  <c r="B5558" i="3"/>
  <c r="D5557" i="3"/>
  <c r="C5557" i="3"/>
  <c r="B5557" i="3"/>
  <c r="D5556" i="3"/>
  <c r="C5556" i="3"/>
  <c r="B5556" i="3"/>
  <c r="D5555" i="3"/>
  <c r="C5555" i="3"/>
  <c r="B5555" i="3"/>
  <c r="D5554" i="3"/>
  <c r="C5554" i="3"/>
  <c r="B5554" i="3"/>
  <c r="D5553" i="3"/>
  <c r="C5553" i="3"/>
  <c r="B5553" i="3"/>
  <c r="D5552" i="3"/>
  <c r="C5552" i="3"/>
  <c r="B5552" i="3"/>
  <c r="D5551" i="3"/>
  <c r="C5551" i="3"/>
  <c r="B5551" i="3"/>
  <c r="D5550" i="3"/>
  <c r="C5550" i="3"/>
  <c r="B5550" i="3"/>
  <c r="D5549" i="3"/>
  <c r="C5549" i="3"/>
  <c r="B5549" i="3"/>
  <c r="D5548" i="3"/>
  <c r="C5548" i="3"/>
  <c r="B5548" i="3"/>
  <c r="D5547" i="3"/>
  <c r="C5547" i="3"/>
  <c r="B5547" i="3"/>
  <c r="D5546" i="3"/>
  <c r="C5546" i="3"/>
  <c r="B5546" i="3"/>
  <c r="D5545" i="3"/>
  <c r="C5545" i="3"/>
  <c r="B5545" i="3"/>
  <c r="D5544" i="3"/>
  <c r="C5544" i="3"/>
  <c r="B5544" i="3"/>
  <c r="D5543" i="3"/>
  <c r="C5543" i="3"/>
  <c r="B5543" i="3"/>
  <c r="D5542" i="3"/>
  <c r="C5542" i="3"/>
  <c r="B5542" i="3"/>
  <c r="D5541" i="3"/>
  <c r="C5541" i="3"/>
  <c r="B5541" i="3"/>
  <c r="D5540" i="3"/>
  <c r="C5540" i="3"/>
  <c r="B5540" i="3"/>
  <c r="D5539" i="3"/>
  <c r="C5539" i="3"/>
  <c r="B5539" i="3"/>
  <c r="D5538" i="3"/>
  <c r="C5538" i="3"/>
  <c r="B5538" i="3"/>
  <c r="D5537" i="3"/>
  <c r="C5537" i="3"/>
  <c r="B5537" i="3"/>
  <c r="D5536" i="3"/>
  <c r="C5536" i="3"/>
  <c r="B5536" i="3"/>
  <c r="D5535" i="3"/>
  <c r="C5535" i="3"/>
  <c r="B5535" i="3"/>
  <c r="D5534" i="3"/>
  <c r="C5534" i="3"/>
  <c r="B5534" i="3"/>
  <c r="D5533" i="3"/>
  <c r="C5533" i="3"/>
  <c r="B5533" i="3"/>
  <c r="D5532" i="3"/>
  <c r="C5532" i="3"/>
  <c r="B5532" i="3"/>
  <c r="D5531" i="3"/>
  <c r="C5531" i="3"/>
  <c r="B5531" i="3"/>
  <c r="D5530" i="3"/>
  <c r="C5530" i="3"/>
  <c r="B5530" i="3"/>
  <c r="D5529" i="3"/>
  <c r="C5529" i="3"/>
  <c r="B5529" i="3"/>
  <c r="D5528" i="3"/>
  <c r="C5528" i="3"/>
  <c r="B5528" i="3"/>
  <c r="D5527" i="3"/>
  <c r="C5527" i="3"/>
  <c r="B5527" i="3"/>
  <c r="D5526" i="3"/>
  <c r="C5526" i="3"/>
  <c r="B5526" i="3"/>
  <c r="D5525" i="3"/>
  <c r="C5525" i="3"/>
  <c r="B5525" i="3"/>
  <c r="D5524" i="3"/>
  <c r="C5524" i="3"/>
  <c r="B5524" i="3"/>
  <c r="D5523" i="3"/>
  <c r="C5523" i="3"/>
  <c r="B5523" i="3"/>
  <c r="D5522" i="3"/>
  <c r="C5522" i="3"/>
  <c r="B5522" i="3"/>
  <c r="D5521" i="3"/>
  <c r="C5521" i="3"/>
  <c r="B5521" i="3"/>
  <c r="D5520" i="3"/>
  <c r="C5520" i="3"/>
  <c r="B5520" i="3"/>
  <c r="D5519" i="3"/>
  <c r="C5519" i="3"/>
  <c r="B5519" i="3"/>
  <c r="D5518" i="3"/>
  <c r="C5518" i="3"/>
  <c r="B5518" i="3"/>
  <c r="D5517" i="3"/>
  <c r="C5517" i="3"/>
  <c r="B5517" i="3"/>
  <c r="D5516" i="3"/>
  <c r="C5516" i="3"/>
  <c r="B5516" i="3"/>
  <c r="D5515" i="3"/>
  <c r="C5515" i="3"/>
  <c r="B5515" i="3"/>
  <c r="D5514" i="3"/>
  <c r="C5514" i="3"/>
  <c r="B5514" i="3"/>
  <c r="D5513" i="3"/>
  <c r="C5513" i="3"/>
  <c r="B5513" i="3"/>
  <c r="D5512" i="3"/>
  <c r="C5512" i="3"/>
  <c r="B5512" i="3"/>
  <c r="D5511" i="3"/>
  <c r="C5511" i="3"/>
  <c r="B5511" i="3"/>
  <c r="D5510" i="3"/>
  <c r="C5510" i="3"/>
  <c r="B5510" i="3"/>
  <c r="D5509" i="3"/>
  <c r="C5509" i="3"/>
  <c r="B5509" i="3"/>
  <c r="D5508" i="3"/>
  <c r="C5508" i="3"/>
  <c r="B5508" i="3"/>
  <c r="D5507" i="3"/>
  <c r="C5507" i="3"/>
  <c r="B5507" i="3"/>
  <c r="D5506" i="3"/>
  <c r="C5506" i="3"/>
  <c r="B5506" i="3"/>
  <c r="D5505" i="3"/>
  <c r="C5505" i="3"/>
  <c r="B5505" i="3"/>
  <c r="D5504" i="3"/>
  <c r="C5504" i="3"/>
  <c r="B5504" i="3"/>
  <c r="D5503" i="3"/>
  <c r="C5503" i="3"/>
  <c r="B5503" i="3"/>
  <c r="D5502" i="3"/>
  <c r="C5502" i="3"/>
  <c r="B5502" i="3"/>
  <c r="D5501" i="3"/>
  <c r="C5501" i="3"/>
  <c r="B5501" i="3"/>
  <c r="D5500" i="3"/>
  <c r="C5500" i="3"/>
  <c r="B5500" i="3"/>
  <c r="D5499" i="3"/>
  <c r="C5499" i="3"/>
  <c r="B5499" i="3"/>
  <c r="D5498" i="3"/>
  <c r="C5498" i="3"/>
  <c r="B5498" i="3"/>
  <c r="D5497" i="3"/>
  <c r="C5497" i="3"/>
  <c r="B5497" i="3"/>
  <c r="D5496" i="3"/>
  <c r="C5496" i="3"/>
  <c r="B5496" i="3"/>
  <c r="D5495" i="3"/>
  <c r="C5495" i="3"/>
  <c r="B5495" i="3"/>
  <c r="D5494" i="3"/>
  <c r="C5494" i="3"/>
  <c r="B5494" i="3"/>
  <c r="D5493" i="3"/>
  <c r="C5493" i="3"/>
  <c r="B5493" i="3"/>
  <c r="D5492" i="3"/>
  <c r="C5492" i="3"/>
  <c r="B5492" i="3"/>
  <c r="D5491" i="3"/>
  <c r="C5491" i="3"/>
  <c r="B5491" i="3"/>
  <c r="D5490" i="3"/>
  <c r="C5490" i="3"/>
  <c r="B5490" i="3"/>
  <c r="D5489" i="3"/>
  <c r="C5489" i="3"/>
  <c r="B5489" i="3"/>
  <c r="D5488" i="3"/>
  <c r="C5488" i="3"/>
  <c r="B5488" i="3"/>
  <c r="D5487" i="3"/>
  <c r="C5487" i="3"/>
  <c r="B5487" i="3"/>
  <c r="D5486" i="3"/>
  <c r="C5486" i="3"/>
  <c r="B5486" i="3"/>
  <c r="D5485" i="3"/>
  <c r="C5485" i="3"/>
  <c r="B5485" i="3"/>
  <c r="D5484" i="3"/>
  <c r="C5484" i="3"/>
  <c r="B5484" i="3"/>
  <c r="D5483" i="3"/>
  <c r="C5483" i="3"/>
  <c r="B5483" i="3"/>
  <c r="D5482" i="3"/>
  <c r="C5482" i="3"/>
  <c r="B5482" i="3"/>
  <c r="D5481" i="3"/>
  <c r="C5481" i="3"/>
  <c r="B5481" i="3"/>
  <c r="D5480" i="3"/>
  <c r="C5480" i="3"/>
  <c r="B5480" i="3"/>
  <c r="D5479" i="3"/>
  <c r="C5479" i="3"/>
  <c r="B5479" i="3"/>
  <c r="D5478" i="3"/>
  <c r="C5478" i="3"/>
  <c r="B5478" i="3"/>
  <c r="D5477" i="3"/>
  <c r="C5477" i="3"/>
  <c r="B5477" i="3"/>
  <c r="D5476" i="3"/>
  <c r="C5476" i="3"/>
  <c r="B5476" i="3"/>
  <c r="D5475" i="3"/>
  <c r="C5475" i="3"/>
  <c r="B5475" i="3"/>
  <c r="D5474" i="3"/>
  <c r="C5474" i="3"/>
  <c r="B5474" i="3"/>
  <c r="D5473" i="3"/>
  <c r="C5473" i="3"/>
  <c r="B5473" i="3"/>
  <c r="D5472" i="3"/>
  <c r="C5472" i="3"/>
  <c r="B5472" i="3"/>
  <c r="D5471" i="3"/>
  <c r="C5471" i="3"/>
  <c r="B5471" i="3"/>
  <c r="D5470" i="3"/>
  <c r="C5470" i="3"/>
  <c r="B5470" i="3"/>
  <c r="D5469" i="3"/>
  <c r="C5469" i="3"/>
  <c r="B5469" i="3"/>
  <c r="D5468" i="3"/>
  <c r="C5468" i="3"/>
  <c r="B5468" i="3"/>
  <c r="D5467" i="3"/>
  <c r="C5467" i="3"/>
  <c r="B5467" i="3"/>
  <c r="D5466" i="3"/>
  <c r="C5466" i="3"/>
  <c r="B5466" i="3"/>
  <c r="D5465" i="3"/>
  <c r="C5465" i="3"/>
  <c r="B5465" i="3"/>
  <c r="D5464" i="3"/>
  <c r="C5464" i="3"/>
  <c r="B5464" i="3"/>
  <c r="D5463" i="3"/>
  <c r="C5463" i="3"/>
  <c r="B5463" i="3"/>
  <c r="D5462" i="3"/>
  <c r="C5462" i="3"/>
  <c r="B5462" i="3"/>
  <c r="D5461" i="3"/>
  <c r="C5461" i="3"/>
  <c r="B5461" i="3"/>
  <c r="D5460" i="3"/>
  <c r="C5460" i="3"/>
  <c r="B5460" i="3"/>
  <c r="D5459" i="3"/>
  <c r="C5459" i="3"/>
  <c r="B5459" i="3"/>
  <c r="D5458" i="3"/>
  <c r="C5458" i="3"/>
  <c r="B5458" i="3"/>
  <c r="D5457" i="3"/>
  <c r="C5457" i="3"/>
  <c r="B5457" i="3"/>
  <c r="D5456" i="3"/>
  <c r="C5456" i="3"/>
  <c r="B5456" i="3"/>
  <c r="D5455" i="3"/>
  <c r="C5455" i="3"/>
  <c r="B5455" i="3"/>
  <c r="D5454" i="3"/>
  <c r="C5454" i="3"/>
  <c r="B5454" i="3"/>
  <c r="D5453" i="3"/>
  <c r="C5453" i="3"/>
  <c r="B5453" i="3"/>
  <c r="D5452" i="3"/>
  <c r="C5452" i="3"/>
  <c r="B5452" i="3"/>
  <c r="D5451" i="3"/>
  <c r="C5451" i="3"/>
  <c r="B5451" i="3"/>
  <c r="D5450" i="3"/>
  <c r="C5450" i="3"/>
  <c r="B5450" i="3"/>
  <c r="D5449" i="3"/>
  <c r="C5449" i="3"/>
  <c r="B5449" i="3"/>
  <c r="D5448" i="3"/>
  <c r="C5448" i="3"/>
  <c r="B5448" i="3"/>
  <c r="D5447" i="3"/>
  <c r="C5447" i="3"/>
  <c r="B5447" i="3"/>
  <c r="D5446" i="3"/>
  <c r="C5446" i="3"/>
  <c r="B5446" i="3"/>
  <c r="D5445" i="3"/>
  <c r="C5445" i="3"/>
  <c r="B5445" i="3"/>
  <c r="D5444" i="3"/>
  <c r="C5444" i="3"/>
  <c r="B5444" i="3"/>
  <c r="D5443" i="3"/>
  <c r="C5443" i="3"/>
  <c r="B5443" i="3"/>
  <c r="D5442" i="3"/>
  <c r="C5442" i="3"/>
  <c r="B5442" i="3"/>
  <c r="D5441" i="3"/>
  <c r="C5441" i="3"/>
  <c r="B5441" i="3"/>
  <c r="D5440" i="3"/>
  <c r="C5440" i="3"/>
  <c r="B5440" i="3"/>
  <c r="D5439" i="3"/>
  <c r="C5439" i="3"/>
  <c r="B5439" i="3"/>
  <c r="D5438" i="3"/>
  <c r="C5438" i="3"/>
  <c r="B5438" i="3"/>
  <c r="D5437" i="3"/>
  <c r="C5437" i="3"/>
  <c r="B5437" i="3"/>
  <c r="D5436" i="3"/>
  <c r="C5436" i="3"/>
  <c r="B5436" i="3"/>
  <c r="D5435" i="3"/>
  <c r="C5435" i="3"/>
  <c r="B5435" i="3"/>
  <c r="D5434" i="3"/>
  <c r="C5434" i="3"/>
  <c r="B5434" i="3"/>
  <c r="D5433" i="3"/>
  <c r="C5433" i="3"/>
  <c r="B5433" i="3"/>
  <c r="D5432" i="3"/>
  <c r="C5432" i="3"/>
  <c r="B5432" i="3"/>
  <c r="D5431" i="3"/>
  <c r="C5431" i="3"/>
  <c r="B5431" i="3"/>
  <c r="D5430" i="3"/>
  <c r="C5430" i="3"/>
  <c r="B5430" i="3"/>
  <c r="D5429" i="3"/>
  <c r="C5429" i="3"/>
  <c r="B5429" i="3"/>
  <c r="D5428" i="3"/>
  <c r="C5428" i="3"/>
  <c r="B5428" i="3"/>
  <c r="D5427" i="3"/>
  <c r="C5427" i="3"/>
  <c r="B5427" i="3"/>
  <c r="D5426" i="3"/>
  <c r="C5426" i="3"/>
  <c r="B5426" i="3"/>
  <c r="D5425" i="3"/>
  <c r="C5425" i="3"/>
  <c r="B5425" i="3"/>
  <c r="D5424" i="3"/>
  <c r="C5424" i="3"/>
  <c r="B5424" i="3"/>
  <c r="D5423" i="3"/>
  <c r="C5423" i="3"/>
  <c r="B5423" i="3"/>
  <c r="D5422" i="3"/>
  <c r="C5422" i="3"/>
  <c r="B5422" i="3"/>
  <c r="D5421" i="3"/>
  <c r="C5421" i="3"/>
  <c r="B5421" i="3"/>
  <c r="D5420" i="3"/>
  <c r="C5420" i="3"/>
  <c r="B5420" i="3"/>
  <c r="D5419" i="3"/>
  <c r="C5419" i="3"/>
  <c r="B5419" i="3"/>
  <c r="D5418" i="3"/>
  <c r="C5418" i="3"/>
  <c r="B5418" i="3"/>
  <c r="D5417" i="3"/>
  <c r="C5417" i="3"/>
  <c r="B5417" i="3"/>
  <c r="D5416" i="3"/>
  <c r="C5416" i="3"/>
  <c r="B5416" i="3"/>
  <c r="D5415" i="3"/>
  <c r="C5415" i="3"/>
  <c r="B5415" i="3"/>
  <c r="D5414" i="3"/>
  <c r="C5414" i="3"/>
  <c r="B5414" i="3"/>
  <c r="D5413" i="3"/>
  <c r="C5413" i="3"/>
  <c r="B5413" i="3"/>
  <c r="D5412" i="3"/>
  <c r="C5412" i="3"/>
  <c r="B5412" i="3"/>
  <c r="D5411" i="3"/>
  <c r="C5411" i="3"/>
  <c r="B5411" i="3"/>
  <c r="D5410" i="3"/>
  <c r="C5410" i="3"/>
  <c r="B5410" i="3"/>
  <c r="D5409" i="3"/>
  <c r="C5409" i="3"/>
  <c r="B5409" i="3"/>
  <c r="D5408" i="3"/>
  <c r="C5408" i="3"/>
  <c r="B5408" i="3"/>
  <c r="D5407" i="3"/>
  <c r="C5407" i="3"/>
  <c r="B5407" i="3"/>
  <c r="D5406" i="3"/>
  <c r="C5406" i="3"/>
  <c r="B5406" i="3"/>
  <c r="D5405" i="3"/>
  <c r="C5405" i="3"/>
  <c r="B5405" i="3"/>
  <c r="D5404" i="3"/>
  <c r="C5404" i="3"/>
  <c r="B5404" i="3"/>
  <c r="D5403" i="3"/>
  <c r="C5403" i="3"/>
  <c r="B5403" i="3"/>
  <c r="D5402" i="3"/>
  <c r="C5402" i="3"/>
  <c r="B5402" i="3"/>
  <c r="D5401" i="3"/>
  <c r="C5401" i="3"/>
  <c r="B5401" i="3"/>
  <c r="D5400" i="3"/>
  <c r="C5400" i="3"/>
  <c r="B5400" i="3"/>
  <c r="D5399" i="3"/>
  <c r="C5399" i="3"/>
  <c r="B5399" i="3"/>
  <c r="D5398" i="3"/>
  <c r="C5398" i="3"/>
  <c r="B5398" i="3"/>
  <c r="D5397" i="3"/>
  <c r="C5397" i="3"/>
  <c r="B5397" i="3"/>
  <c r="D5396" i="3"/>
  <c r="C5396" i="3"/>
  <c r="B5396" i="3"/>
  <c r="D5395" i="3"/>
  <c r="C5395" i="3"/>
  <c r="B5395" i="3"/>
  <c r="D5394" i="3"/>
  <c r="C5394" i="3"/>
  <c r="B5394" i="3"/>
  <c r="D5393" i="3"/>
  <c r="C5393" i="3"/>
  <c r="B5393" i="3"/>
  <c r="D5392" i="3"/>
  <c r="C5392" i="3"/>
  <c r="B5392" i="3"/>
  <c r="D5391" i="3"/>
  <c r="C5391" i="3"/>
  <c r="B5391" i="3"/>
  <c r="D5390" i="3"/>
  <c r="C5390" i="3"/>
  <c r="B5390" i="3"/>
  <c r="D5389" i="3"/>
  <c r="C5389" i="3"/>
  <c r="B5389" i="3"/>
  <c r="D5388" i="3"/>
  <c r="C5388" i="3"/>
  <c r="B5388" i="3"/>
  <c r="D5387" i="3"/>
  <c r="C5387" i="3"/>
  <c r="B5387" i="3"/>
  <c r="D5386" i="3"/>
  <c r="C5386" i="3"/>
  <c r="B5386" i="3"/>
  <c r="D5385" i="3"/>
  <c r="C5385" i="3"/>
  <c r="B5385" i="3"/>
  <c r="D5384" i="3"/>
  <c r="C5384" i="3"/>
  <c r="B5384" i="3"/>
  <c r="D5383" i="3"/>
  <c r="C5383" i="3"/>
  <c r="B5383" i="3"/>
  <c r="D5382" i="3"/>
  <c r="C5382" i="3"/>
  <c r="B5382" i="3"/>
  <c r="D5381" i="3"/>
  <c r="C5381" i="3"/>
  <c r="B5381" i="3"/>
  <c r="D5380" i="3"/>
  <c r="C5380" i="3"/>
  <c r="B5380" i="3"/>
  <c r="D5379" i="3"/>
  <c r="C5379" i="3"/>
  <c r="B5379" i="3"/>
  <c r="D5378" i="3"/>
  <c r="C5378" i="3"/>
  <c r="B5378" i="3"/>
  <c r="D5377" i="3"/>
  <c r="C5377" i="3"/>
  <c r="B5377" i="3"/>
  <c r="D5376" i="3"/>
  <c r="C5376" i="3"/>
  <c r="B5376" i="3"/>
  <c r="D5375" i="3"/>
  <c r="C5375" i="3"/>
  <c r="B5375" i="3"/>
  <c r="D5374" i="3"/>
  <c r="C5374" i="3"/>
  <c r="B5374" i="3"/>
  <c r="D5373" i="3"/>
  <c r="C5373" i="3"/>
  <c r="B5373" i="3"/>
  <c r="D5372" i="3"/>
  <c r="C5372" i="3"/>
  <c r="B5372" i="3"/>
  <c r="D5371" i="3"/>
  <c r="C5371" i="3"/>
  <c r="B5371" i="3"/>
  <c r="D5370" i="3"/>
  <c r="C5370" i="3"/>
  <c r="B5370" i="3"/>
  <c r="D5369" i="3"/>
  <c r="C5369" i="3"/>
  <c r="B5369" i="3"/>
  <c r="D5368" i="3"/>
  <c r="C5368" i="3"/>
  <c r="B5368" i="3"/>
  <c r="D5367" i="3"/>
  <c r="C5367" i="3"/>
  <c r="B5367" i="3"/>
  <c r="D5366" i="3"/>
  <c r="C5366" i="3"/>
  <c r="B5366" i="3"/>
  <c r="D5365" i="3"/>
  <c r="C5365" i="3"/>
  <c r="B5365" i="3"/>
  <c r="D5364" i="3"/>
  <c r="C5364" i="3"/>
  <c r="B5364" i="3"/>
  <c r="D5363" i="3"/>
  <c r="C5363" i="3"/>
  <c r="B5363" i="3"/>
  <c r="D5362" i="3"/>
  <c r="C5362" i="3"/>
  <c r="B5362" i="3"/>
  <c r="D5361" i="3"/>
  <c r="C5361" i="3"/>
  <c r="B5361" i="3"/>
  <c r="D5360" i="3"/>
  <c r="C5360" i="3"/>
  <c r="B5360" i="3"/>
  <c r="D5359" i="3"/>
  <c r="C5359" i="3"/>
  <c r="B5359" i="3"/>
  <c r="D5358" i="3"/>
  <c r="C5358" i="3"/>
  <c r="B5358" i="3"/>
  <c r="D5357" i="3"/>
  <c r="C5357" i="3"/>
  <c r="B5357" i="3"/>
  <c r="D5356" i="3"/>
  <c r="C5356" i="3"/>
  <c r="B5356" i="3"/>
  <c r="D5355" i="3"/>
  <c r="C5355" i="3"/>
  <c r="B5355" i="3"/>
  <c r="D5354" i="3"/>
  <c r="C5354" i="3"/>
  <c r="B5354" i="3"/>
  <c r="D5353" i="3"/>
  <c r="C5353" i="3"/>
  <c r="B5353" i="3"/>
  <c r="D5352" i="3"/>
  <c r="C5352" i="3"/>
  <c r="B5352" i="3"/>
  <c r="D5351" i="3"/>
  <c r="C5351" i="3"/>
  <c r="B5351" i="3"/>
  <c r="D5350" i="3"/>
  <c r="C5350" i="3"/>
  <c r="B5350" i="3"/>
  <c r="D5349" i="3"/>
  <c r="C5349" i="3"/>
  <c r="B5349" i="3"/>
  <c r="D5348" i="3"/>
  <c r="C5348" i="3"/>
  <c r="B5348" i="3"/>
  <c r="D5347" i="3"/>
  <c r="C5347" i="3"/>
  <c r="B5347" i="3"/>
  <c r="D5346" i="3"/>
  <c r="C5346" i="3"/>
  <c r="B5346" i="3"/>
  <c r="D5345" i="3"/>
  <c r="C5345" i="3"/>
  <c r="B5345" i="3"/>
  <c r="D5344" i="3"/>
  <c r="C5344" i="3"/>
  <c r="B5344" i="3"/>
  <c r="D5343" i="3"/>
  <c r="C5343" i="3"/>
  <c r="B5343" i="3"/>
  <c r="D5342" i="3"/>
  <c r="C5342" i="3"/>
  <c r="B5342" i="3"/>
  <c r="D5341" i="3"/>
  <c r="C5341" i="3"/>
  <c r="B5341" i="3"/>
  <c r="D5340" i="3"/>
  <c r="C5340" i="3"/>
  <c r="B5340" i="3"/>
  <c r="D5339" i="3"/>
  <c r="C5339" i="3"/>
  <c r="B5339" i="3"/>
  <c r="D5338" i="3"/>
  <c r="C5338" i="3"/>
  <c r="B5338" i="3"/>
  <c r="D5337" i="3"/>
  <c r="C5337" i="3"/>
  <c r="B5337" i="3"/>
  <c r="D5336" i="3"/>
  <c r="C5336" i="3"/>
  <c r="B5336" i="3"/>
  <c r="D5335" i="3"/>
  <c r="C5335" i="3"/>
  <c r="B5335" i="3"/>
  <c r="D5334" i="3"/>
  <c r="C5334" i="3"/>
  <c r="B5334" i="3"/>
  <c r="D5333" i="3"/>
  <c r="C5333" i="3"/>
  <c r="B5333" i="3"/>
  <c r="D5332" i="3"/>
  <c r="C5332" i="3"/>
  <c r="B5332" i="3"/>
  <c r="D5331" i="3"/>
  <c r="C5331" i="3"/>
  <c r="B5331" i="3"/>
  <c r="D5330" i="3"/>
  <c r="C5330" i="3"/>
  <c r="B5330" i="3"/>
  <c r="D5329" i="3"/>
  <c r="C5329" i="3"/>
  <c r="B5329" i="3"/>
  <c r="D5328" i="3"/>
  <c r="C5328" i="3"/>
  <c r="B5328" i="3"/>
  <c r="D5327" i="3"/>
  <c r="C5327" i="3"/>
  <c r="B5327" i="3"/>
  <c r="D5326" i="3"/>
  <c r="C5326" i="3"/>
  <c r="B5326" i="3"/>
  <c r="D5325" i="3"/>
  <c r="C5325" i="3"/>
  <c r="B5325" i="3"/>
  <c r="D5324" i="3"/>
  <c r="C5324" i="3"/>
  <c r="B5324" i="3"/>
  <c r="D5323" i="3"/>
  <c r="C5323" i="3"/>
  <c r="B5323" i="3"/>
  <c r="D5322" i="3"/>
  <c r="C5322" i="3"/>
  <c r="B5322" i="3"/>
  <c r="D5321" i="3"/>
  <c r="C5321" i="3"/>
  <c r="B5321" i="3"/>
  <c r="D5320" i="3"/>
  <c r="C5320" i="3"/>
  <c r="B5320" i="3"/>
  <c r="D5319" i="3"/>
  <c r="C5319" i="3"/>
  <c r="B5319" i="3"/>
  <c r="D5318" i="3"/>
  <c r="C5318" i="3"/>
  <c r="B5318" i="3"/>
  <c r="D5317" i="3"/>
  <c r="C5317" i="3"/>
  <c r="B5317" i="3"/>
  <c r="D5316" i="3"/>
  <c r="C5316" i="3"/>
  <c r="B5316" i="3"/>
  <c r="D5315" i="3"/>
  <c r="C5315" i="3"/>
  <c r="B5315" i="3"/>
  <c r="D5314" i="3"/>
  <c r="C5314" i="3"/>
  <c r="B5314" i="3"/>
  <c r="D5313" i="3"/>
  <c r="C5313" i="3"/>
  <c r="B5313" i="3"/>
  <c r="D5312" i="3"/>
  <c r="C5312" i="3"/>
  <c r="B5312" i="3"/>
  <c r="D5311" i="3"/>
  <c r="C5311" i="3"/>
  <c r="B5311" i="3"/>
  <c r="D5310" i="3"/>
  <c r="C5310" i="3"/>
  <c r="B5310" i="3"/>
  <c r="D5309" i="3"/>
  <c r="C5309" i="3"/>
  <c r="B5309" i="3"/>
  <c r="D5308" i="3"/>
  <c r="C5308" i="3"/>
  <c r="B5308" i="3"/>
  <c r="D5307" i="3"/>
  <c r="C5307" i="3"/>
  <c r="B5307" i="3"/>
  <c r="D5306" i="3"/>
  <c r="C5306" i="3"/>
  <c r="B5306" i="3"/>
  <c r="D5305" i="3"/>
  <c r="C5305" i="3"/>
  <c r="B5305" i="3"/>
  <c r="D5304" i="3"/>
  <c r="C5304" i="3"/>
  <c r="B5304" i="3"/>
  <c r="D5303" i="3"/>
  <c r="C5303" i="3"/>
  <c r="B5303" i="3"/>
  <c r="D5302" i="3"/>
  <c r="C5302" i="3"/>
  <c r="B5302" i="3"/>
  <c r="D5301" i="3"/>
  <c r="C5301" i="3"/>
  <c r="B5301" i="3"/>
  <c r="D5300" i="3"/>
  <c r="C5300" i="3"/>
  <c r="B5300" i="3"/>
  <c r="D5299" i="3"/>
  <c r="C5299" i="3"/>
  <c r="B5299" i="3"/>
  <c r="D5298" i="3"/>
  <c r="C5298" i="3"/>
  <c r="B5298" i="3"/>
  <c r="D5297" i="3"/>
  <c r="C5297" i="3"/>
  <c r="B5297" i="3"/>
  <c r="D5296" i="3"/>
  <c r="C5296" i="3"/>
  <c r="B5296" i="3"/>
  <c r="D5295" i="3"/>
  <c r="C5295" i="3"/>
  <c r="B5295" i="3"/>
  <c r="D5294" i="3"/>
  <c r="C5294" i="3"/>
  <c r="B5294" i="3"/>
  <c r="D5293" i="3"/>
  <c r="C5293" i="3"/>
  <c r="B5293" i="3"/>
  <c r="D5292" i="3"/>
  <c r="C5292" i="3"/>
  <c r="B5292" i="3"/>
  <c r="D5291" i="3"/>
  <c r="C5291" i="3"/>
  <c r="B5291" i="3"/>
  <c r="D5290" i="3"/>
  <c r="C5290" i="3"/>
  <c r="B5290" i="3"/>
  <c r="D5289" i="3"/>
  <c r="C5289" i="3"/>
  <c r="B5289" i="3"/>
  <c r="D5288" i="3"/>
  <c r="C5288" i="3"/>
  <c r="B5288" i="3"/>
  <c r="D5287" i="3"/>
  <c r="C5287" i="3"/>
  <c r="B5287" i="3"/>
  <c r="D5286" i="3"/>
  <c r="C5286" i="3"/>
  <c r="B5286" i="3"/>
  <c r="D5285" i="3"/>
  <c r="C5285" i="3"/>
  <c r="B5285" i="3"/>
  <c r="D5284" i="3"/>
  <c r="C5284" i="3"/>
  <c r="B5284" i="3"/>
  <c r="D5283" i="3"/>
  <c r="C5283" i="3"/>
  <c r="B5283" i="3"/>
  <c r="D5282" i="3"/>
  <c r="C5282" i="3"/>
  <c r="B5282" i="3"/>
  <c r="D5281" i="3"/>
  <c r="C5281" i="3"/>
  <c r="B5281" i="3"/>
  <c r="D5280" i="3"/>
  <c r="C5280" i="3"/>
  <c r="B5280" i="3"/>
  <c r="D5279" i="3"/>
  <c r="C5279" i="3"/>
  <c r="B5279" i="3"/>
  <c r="D5278" i="3"/>
  <c r="C5278" i="3"/>
  <c r="B5278" i="3"/>
  <c r="D5277" i="3"/>
  <c r="C5277" i="3"/>
  <c r="B5277" i="3"/>
  <c r="D5276" i="3"/>
  <c r="C5276" i="3"/>
  <c r="B5276" i="3"/>
  <c r="D5275" i="3"/>
  <c r="C5275" i="3"/>
  <c r="B5275" i="3"/>
  <c r="D5274" i="3"/>
  <c r="C5274" i="3"/>
  <c r="B5274" i="3"/>
  <c r="D5273" i="3"/>
  <c r="C5273" i="3"/>
  <c r="B5273" i="3"/>
  <c r="D5272" i="3"/>
  <c r="C5272" i="3"/>
  <c r="B5272" i="3"/>
  <c r="D5271" i="3"/>
  <c r="C5271" i="3"/>
  <c r="B5271" i="3"/>
  <c r="D5270" i="3"/>
  <c r="C5270" i="3"/>
  <c r="B5270" i="3"/>
  <c r="D5269" i="3"/>
  <c r="C5269" i="3"/>
  <c r="B5269" i="3"/>
  <c r="D5268" i="3"/>
  <c r="C5268" i="3"/>
  <c r="B5268" i="3"/>
  <c r="D5267" i="3"/>
  <c r="C5267" i="3"/>
  <c r="B5267" i="3"/>
  <c r="D5266" i="3"/>
  <c r="C5266" i="3"/>
  <c r="B5266" i="3"/>
  <c r="D5265" i="3"/>
  <c r="C5265" i="3"/>
  <c r="B5265" i="3"/>
  <c r="D5264" i="3"/>
  <c r="C5264" i="3"/>
  <c r="B5264" i="3"/>
  <c r="D5263" i="3"/>
  <c r="C5263" i="3"/>
  <c r="B5263" i="3"/>
  <c r="D5262" i="3"/>
  <c r="C5262" i="3"/>
  <c r="B5262" i="3"/>
  <c r="D5261" i="3"/>
  <c r="C5261" i="3"/>
  <c r="B5261" i="3"/>
  <c r="D5260" i="3"/>
  <c r="C5260" i="3"/>
  <c r="B5260" i="3"/>
  <c r="D5259" i="3"/>
  <c r="C5259" i="3"/>
  <c r="B5259" i="3"/>
  <c r="D5258" i="3"/>
  <c r="C5258" i="3"/>
  <c r="B5258" i="3"/>
  <c r="D5257" i="3"/>
  <c r="C5257" i="3"/>
  <c r="B5257" i="3"/>
  <c r="D5256" i="3"/>
  <c r="C5256" i="3"/>
  <c r="B5256" i="3"/>
  <c r="D5255" i="3"/>
  <c r="C5255" i="3"/>
  <c r="B5255" i="3"/>
  <c r="D5254" i="3"/>
  <c r="C5254" i="3"/>
  <c r="B5254" i="3"/>
  <c r="D5253" i="3"/>
  <c r="C5253" i="3"/>
  <c r="B5253" i="3"/>
  <c r="D5252" i="3"/>
  <c r="C5252" i="3"/>
  <c r="B5252" i="3"/>
  <c r="D5251" i="3"/>
  <c r="C5251" i="3"/>
  <c r="B5251" i="3"/>
  <c r="D5250" i="3"/>
  <c r="C5250" i="3"/>
  <c r="B5250" i="3"/>
  <c r="D5249" i="3"/>
  <c r="C5249" i="3"/>
  <c r="B5249" i="3"/>
  <c r="D5248" i="3"/>
  <c r="C5248" i="3"/>
  <c r="B5248" i="3"/>
  <c r="D5247" i="3"/>
  <c r="C5247" i="3"/>
  <c r="B5247" i="3"/>
  <c r="D5246" i="3"/>
  <c r="C5246" i="3"/>
  <c r="B5246" i="3"/>
  <c r="D5245" i="3"/>
  <c r="C5245" i="3"/>
  <c r="B5245" i="3"/>
  <c r="D5244" i="3"/>
  <c r="C5244" i="3"/>
  <c r="B5244" i="3"/>
  <c r="D5243" i="3"/>
  <c r="C5243" i="3"/>
  <c r="B5243" i="3"/>
  <c r="D5242" i="3"/>
  <c r="C5242" i="3"/>
  <c r="B5242" i="3"/>
  <c r="D5241" i="3"/>
  <c r="C5241" i="3"/>
  <c r="B5241" i="3"/>
  <c r="D5240" i="3"/>
  <c r="C5240" i="3"/>
  <c r="B5240" i="3"/>
  <c r="D5239" i="3"/>
  <c r="C5239" i="3"/>
  <c r="B5239" i="3"/>
  <c r="D5238" i="3"/>
  <c r="C5238" i="3"/>
  <c r="B5238" i="3"/>
  <c r="D5237" i="3"/>
  <c r="C5237" i="3"/>
  <c r="B5237" i="3"/>
  <c r="D5236" i="3"/>
  <c r="C5236" i="3"/>
  <c r="B5236" i="3"/>
  <c r="D5235" i="3"/>
  <c r="C5235" i="3"/>
  <c r="B5235" i="3"/>
  <c r="D5234" i="3"/>
  <c r="C5234" i="3"/>
  <c r="B5234" i="3"/>
  <c r="D5233" i="3"/>
  <c r="C5233" i="3"/>
  <c r="B5233" i="3"/>
  <c r="D5232" i="3"/>
  <c r="C5232" i="3"/>
  <c r="B5232" i="3"/>
  <c r="D5231" i="3"/>
  <c r="C5231" i="3"/>
  <c r="B5231" i="3"/>
  <c r="D5230" i="3"/>
  <c r="C5230" i="3"/>
  <c r="B5230" i="3"/>
  <c r="D5229" i="3"/>
  <c r="C5229" i="3"/>
  <c r="B5229" i="3"/>
  <c r="D5228" i="3"/>
  <c r="C5228" i="3"/>
  <c r="B5228" i="3"/>
  <c r="D5227" i="3"/>
  <c r="C5227" i="3"/>
  <c r="B5227" i="3"/>
  <c r="D5226" i="3"/>
  <c r="C5226" i="3"/>
  <c r="B5226" i="3"/>
  <c r="D5225" i="3"/>
  <c r="C5225" i="3"/>
  <c r="B5225" i="3"/>
  <c r="D5224" i="3"/>
  <c r="C5224" i="3"/>
  <c r="B5224" i="3"/>
  <c r="D5223" i="3"/>
  <c r="C5223" i="3"/>
  <c r="B5223" i="3"/>
  <c r="D5222" i="3"/>
  <c r="C5222" i="3"/>
  <c r="B5222" i="3"/>
  <c r="D5221" i="3"/>
  <c r="C5221" i="3"/>
  <c r="B5221" i="3"/>
  <c r="D5220" i="3"/>
  <c r="C5220" i="3"/>
  <c r="B5220" i="3"/>
  <c r="D5219" i="3"/>
  <c r="C5219" i="3"/>
  <c r="B5219" i="3"/>
  <c r="D5218" i="3"/>
  <c r="C5218" i="3"/>
  <c r="B5218" i="3"/>
  <c r="D5217" i="3"/>
  <c r="C5217" i="3"/>
  <c r="B5217" i="3"/>
  <c r="D5216" i="3"/>
  <c r="C5216" i="3"/>
  <c r="B5216" i="3"/>
  <c r="D5215" i="3"/>
  <c r="C5215" i="3"/>
  <c r="B5215" i="3"/>
  <c r="D5214" i="3"/>
  <c r="C5214" i="3"/>
  <c r="B5214" i="3"/>
  <c r="D5213" i="3"/>
  <c r="C5213" i="3"/>
  <c r="B5213" i="3"/>
  <c r="D5212" i="3"/>
  <c r="C5212" i="3"/>
  <c r="B5212" i="3"/>
  <c r="D5211" i="3"/>
  <c r="C5211" i="3"/>
  <c r="B5211" i="3"/>
  <c r="D5210" i="3"/>
  <c r="C5210" i="3"/>
  <c r="B5210" i="3"/>
  <c r="D5209" i="3"/>
  <c r="C5209" i="3"/>
  <c r="B5209" i="3"/>
  <c r="D5208" i="3"/>
  <c r="C5208" i="3"/>
  <c r="B5208" i="3"/>
  <c r="D5207" i="3"/>
  <c r="C5207" i="3"/>
  <c r="B5207" i="3"/>
  <c r="D5206" i="3"/>
  <c r="C5206" i="3"/>
  <c r="B5206" i="3"/>
  <c r="D5205" i="3"/>
  <c r="C5205" i="3"/>
  <c r="B5205" i="3"/>
  <c r="D5204" i="3"/>
  <c r="C5204" i="3"/>
  <c r="B5204" i="3"/>
  <c r="D5203" i="3"/>
  <c r="C5203" i="3"/>
  <c r="B5203" i="3"/>
  <c r="D5202" i="3"/>
  <c r="C5202" i="3"/>
  <c r="B5202" i="3"/>
  <c r="D5201" i="3"/>
  <c r="C5201" i="3"/>
  <c r="B5201" i="3"/>
  <c r="D5200" i="3"/>
  <c r="C5200" i="3"/>
  <c r="B5200" i="3"/>
  <c r="D5199" i="3"/>
  <c r="C5199" i="3"/>
  <c r="B5199" i="3"/>
  <c r="D5198" i="3"/>
  <c r="C5198" i="3"/>
  <c r="B5198" i="3"/>
  <c r="D5197" i="3"/>
  <c r="C5197" i="3"/>
  <c r="B5197" i="3"/>
  <c r="D5196" i="3"/>
  <c r="C5196" i="3"/>
  <c r="B5196" i="3"/>
  <c r="D5195" i="3"/>
  <c r="C5195" i="3"/>
  <c r="B5195" i="3"/>
  <c r="D5194" i="3"/>
  <c r="C5194" i="3"/>
  <c r="B5194" i="3"/>
  <c r="D5193" i="3"/>
  <c r="C5193" i="3"/>
  <c r="B5193" i="3"/>
  <c r="D5192" i="3"/>
  <c r="C5192" i="3"/>
  <c r="B5192" i="3"/>
  <c r="D5191" i="3"/>
  <c r="C5191" i="3"/>
  <c r="B5191" i="3"/>
  <c r="D5190" i="3"/>
  <c r="C5190" i="3"/>
  <c r="B5190" i="3"/>
  <c r="D5189" i="3"/>
  <c r="C5189" i="3"/>
  <c r="B5189" i="3"/>
  <c r="D5188" i="3"/>
  <c r="C5188" i="3"/>
  <c r="B5188" i="3"/>
  <c r="D5187" i="3"/>
  <c r="C5187" i="3"/>
  <c r="B5187" i="3"/>
  <c r="D5186" i="3"/>
  <c r="C5186" i="3"/>
  <c r="B5186" i="3"/>
  <c r="D5185" i="3"/>
  <c r="C5185" i="3"/>
  <c r="B5185" i="3"/>
  <c r="D5184" i="3"/>
  <c r="C5184" i="3"/>
  <c r="B5184" i="3"/>
  <c r="D5183" i="3"/>
  <c r="C5183" i="3"/>
  <c r="B5183" i="3"/>
  <c r="D5182" i="3"/>
  <c r="C5182" i="3"/>
  <c r="B5182" i="3"/>
  <c r="D5181" i="3"/>
  <c r="C5181" i="3"/>
  <c r="B5181" i="3"/>
  <c r="D5180" i="3"/>
  <c r="C5180" i="3"/>
  <c r="B5180" i="3"/>
  <c r="D5179" i="3"/>
  <c r="C5179" i="3"/>
  <c r="B5179" i="3"/>
  <c r="D5178" i="3"/>
  <c r="C5178" i="3"/>
  <c r="B5178" i="3"/>
  <c r="D5177" i="3"/>
  <c r="C5177" i="3"/>
  <c r="B5177" i="3"/>
  <c r="D5176" i="3"/>
  <c r="C5176" i="3"/>
  <c r="B5176" i="3"/>
  <c r="D5175" i="3"/>
  <c r="C5175" i="3"/>
  <c r="B5175" i="3"/>
  <c r="D5174" i="3"/>
  <c r="C5174" i="3"/>
  <c r="B5174" i="3"/>
  <c r="D5173" i="3"/>
  <c r="C5173" i="3"/>
  <c r="B5173" i="3"/>
  <c r="D5172" i="3"/>
  <c r="C5172" i="3"/>
  <c r="B5172" i="3"/>
  <c r="D5171" i="3"/>
  <c r="C5171" i="3"/>
  <c r="B5171" i="3"/>
  <c r="D5170" i="3"/>
  <c r="C5170" i="3"/>
  <c r="B5170" i="3"/>
  <c r="D5169" i="3"/>
  <c r="C5169" i="3"/>
  <c r="B5169" i="3"/>
  <c r="D5168" i="3"/>
  <c r="C5168" i="3"/>
  <c r="B5168" i="3"/>
  <c r="D5167" i="3"/>
  <c r="C5167" i="3"/>
  <c r="B5167" i="3"/>
  <c r="D5166" i="3"/>
  <c r="C5166" i="3"/>
  <c r="B5166" i="3"/>
  <c r="D5165" i="3"/>
  <c r="C5165" i="3"/>
  <c r="B5165" i="3"/>
  <c r="D5164" i="3"/>
  <c r="C5164" i="3"/>
  <c r="B5164" i="3"/>
  <c r="D5163" i="3"/>
  <c r="C5163" i="3"/>
  <c r="B5163" i="3"/>
  <c r="D5162" i="3"/>
  <c r="C5162" i="3"/>
  <c r="B5162" i="3"/>
  <c r="D5161" i="3"/>
  <c r="C5161" i="3"/>
  <c r="B5161" i="3"/>
  <c r="D5160" i="3"/>
  <c r="C5160" i="3"/>
  <c r="B5160" i="3"/>
  <c r="D5159" i="3"/>
  <c r="C5159" i="3"/>
  <c r="B5159" i="3"/>
  <c r="D5158" i="3"/>
  <c r="C5158" i="3"/>
  <c r="B5158" i="3"/>
  <c r="D5157" i="3"/>
  <c r="C5157" i="3"/>
  <c r="B5157" i="3"/>
  <c r="D5156" i="3"/>
  <c r="C5156" i="3"/>
  <c r="B5156" i="3"/>
  <c r="D5155" i="3"/>
  <c r="C5155" i="3"/>
  <c r="B5155" i="3"/>
  <c r="D5154" i="3"/>
  <c r="C5154" i="3"/>
  <c r="B5154" i="3"/>
  <c r="D5153" i="3"/>
  <c r="C5153" i="3"/>
  <c r="B5153" i="3"/>
  <c r="D5152" i="3"/>
  <c r="C5152" i="3"/>
  <c r="B5152" i="3"/>
  <c r="D5151" i="3"/>
  <c r="C5151" i="3"/>
  <c r="B5151" i="3"/>
  <c r="D5150" i="3"/>
  <c r="C5150" i="3"/>
  <c r="B5150" i="3"/>
  <c r="D5149" i="3"/>
  <c r="C5149" i="3"/>
  <c r="B5149" i="3"/>
  <c r="D5148" i="3"/>
  <c r="C5148" i="3"/>
  <c r="B5148" i="3"/>
  <c r="D5147" i="3"/>
  <c r="C5147" i="3"/>
  <c r="B5147" i="3"/>
  <c r="D5146" i="3"/>
  <c r="C5146" i="3"/>
  <c r="B5146" i="3"/>
  <c r="D5145" i="3"/>
  <c r="C5145" i="3"/>
  <c r="B5145" i="3"/>
  <c r="D5144" i="3"/>
  <c r="C5144" i="3"/>
  <c r="B5144" i="3"/>
  <c r="D5143" i="3"/>
  <c r="C5143" i="3"/>
  <c r="B5143" i="3"/>
  <c r="D5142" i="3"/>
  <c r="C5142" i="3"/>
  <c r="B5142" i="3"/>
  <c r="D5141" i="3"/>
  <c r="C5141" i="3"/>
  <c r="B5141" i="3"/>
  <c r="D5140" i="3"/>
  <c r="C5140" i="3"/>
  <c r="B5140" i="3"/>
  <c r="D5139" i="3"/>
  <c r="C5139" i="3"/>
  <c r="B5139" i="3"/>
  <c r="D5138" i="3"/>
  <c r="C5138" i="3"/>
  <c r="B5138" i="3"/>
  <c r="D5137" i="3"/>
  <c r="C5137" i="3"/>
  <c r="B5137" i="3"/>
  <c r="D5136" i="3"/>
  <c r="C5136" i="3"/>
  <c r="B5136" i="3"/>
  <c r="D5135" i="3"/>
  <c r="C5135" i="3"/>
  <c r="B5135" i="3"/>
  <c r="D5134" i="3"/>
  <c r="C5134" i="3"/>
  <c r="B5134" i="3"/>
  <c r="D5133" i="3"/>
  <c r="C5133" i="3"/>
  <c r="B5133" i="3"/>
  <c r="D5132" i="3"/>
  <c r="C5132" i="3"/>
  <c r="B5132" i="3"/>
  <c r="D5131" i="3"/>
  <c r="C5131" i="3"/>
  <c r="B5131" i="3"/>
  <c r="D5130" i="3"/>
  <c r="C5130" i="3"/>
  <c r="B5130" i="3"/>
  <c r="D5129" i="3"/>
  <c r="C5129" i="3"/>
  <c r="B5129" i="3"/>
  <c r="D5128" i="3"/>
  <c r="C5128" i="3"/>
  <c r="B5128" i="3"/>
  <c r="D5127" i="3"/>
  <c r="C5127" i="3"/>
  <c r="B5127" i="3"/>
  <c r="D5126" i="3"/>
  <c r="C5126" i="3"/>
  <c r="B5126" i="3"/>
  <c r="D5125" i="3"/>
  <c r="C5125" i="3"/>
  <c r="B5125" i="3"/>
  <c r="D5124" i="3"/>
  <c r="C5124" i="3"/>
  <c r="B5124" i="3"/>
  <c r="D5123" i="3"/>
  <c r="C5123" i="3"/>
  <c r="B5123" i="3"/>
  <c r="D5122" i="3"/>
  <c r="C5122" i="3"/>
  <c r="B5122" i="3"/>
  <c r="D5121" i="3"/>
  <c r="C5121" i="3"/>
  <c r="B5121" i="3"/>
  <c r="D5120" i="3"/>
  <c r="C5120" i="3"/>
  <c r="B5120" i="3"/>
  <c r="D5119" i="3"/>
  <c r="C5119" i="3"/>
  <c r="B5119" i="3"/>
  <c r="D5118" i="3"/>
  <c r="C5118" i="3"/>
  <c r="B5118" i="3"/>
  <c r="D5117" i="3"/>
  <c r="C5117" i="3"/>
  <c r="B5117" i="3"/>
  <c r="D5116" i="3"/>
  <c r="C5116" i="3"/>
  <c r="B5116" i="3"/>
  <c r="D5115" i="3"/>
  <c r="C5115" i="3"/>
  <c r="B5115" i="3"/>
  <c r="D5114" i="3"/>
  <c r="C5114" i="3"/>
  <c r="B5114" i="3"/>
  <c r="D5113" i="3"/>
  <c r="C5113" i="3"/>
  <c r="B5113" i="3"/>
  <c r="D5112" i="3"/>
  <c r="C5112" i="3"/>
  <c r="B5112" i="3"/>
  <c r="D5111" i="3"/>
  <c r="C5111" i="3"/>
  <c r="B5111" i="3"/>
  <c r="D5110" i="3"/>
  <c r="C5110" i="3"/>
  <c r="B5110" i="3"/>
  <c r="D5109" i="3"/>
  <c r="C5109" i="3"/>
  <c r="B5109" i="3"/>
  <c r="D5108" i="3"/>
  <c r="C5108" i="3"/>
  <c r="B5108" i="3"/>
  <c r="D5107" i="3"/>
  <c r="C5107" i="3"/>
  <c r="B5107" i="3"/>
  <c r="D5106" i="3"/>
  <c r="C5106" i="3"/>
  <c r="B5106" i="3"/>
  <c r="D5105" i="3"/>
  <c r="C5105" i="3"/>
  <c r="B5105" i="3"/>
  <c r="D5104" i="3"/>
  <c r="C5104" i="3"/>
  <c r="B5104" i="3"/>
  <c r="D5103" i="3"/>
  <c r="C5103" i="3"/>
  <c r="B5103" i="3"/>
  <c r="D5102" i="3"/>
  <c r="C5102" i="3"/>
  <c r="B5102" i="3"/>
  <c r="D5101" i="3"/>
  <c r="C5101" i="3"/>
  <c r="B5101" i="3"/>
  <c r="D5100" i="3"/>
  <c r="C5100" i="3"/>
  <c r="B5100" i="3"/>
  <c r="D5099" i="3"/>
  <c r="C5099" i="3"/>
  <c r="B5099" i="3"/>
  <c r="D5098" i="3"/>
  <c r="C5098" i="3"/>
  <c r="B5098" i="3"/>
  <c r="D5097" i="3"/>
  <c r="C5097" i="3"/>
  <c r="B5097" i="3"/>
  <c r="D5096" i="3"/>
  <c r="C5096" i="3"/>
  <c r="B5096" i="3"/>
  <c r="D5095" i="3"/>
  <c r="C5095" i="3"/>
  <c r="B5095" i="3"/>
  <c r="D5094" i="3"/>
  <c r="C5094" i="3"/>
  <c r="B5094" i="3"/>
  <c r="D5093" i="3"/>
  <c r="C5093" i="3"/>
  <c r="B5093" i="3"/>
  <c r="D5092" i="3"/>
  <c r="C5092" i="3"/>
  <c r="B5092" i="3"/>
  <c r="D5091" i="3"/>
  <c r="C5091" i="3"/>
  <c r="B5091" i="3"/>
  <c r="D5090" i="3"/>
  <c r="C5090" i="3"/>
  <c r="B5090" i="3"/>
  <c r="D5089" i="3"/>
  <c r="C5089" i="3"/>
  <c r="B5089" i="3"/>
  <c r="D5088" i="3"/>
  <c r="C5088" i="3"/>
  <c r="B5088" i="3"/>
  <c r="D5087" i="3"/>
  <c r="C5087" i="3"/>
  <c r="B5087" i="3"/>
  <c r="D5086" i="3"/>
  <c r="C5086" i="3"/>
  <c r="B5086" i="3"/>
  <c r="D5085" i="3"/>
  <c r="C5085" i="3"/>
  <c r="B5085" i="3"/>
  <c r="D5084" i="3"/>
  <c r="C5084" i="3"/>
  <c r="B5084" i="3"/>
  <c r="D5083" i="3"/>
  <c r="C5083" i="3"/>
  <c r="B5083" i="3"/>
  <c r="D5082" i="3"/>
  <c r="C5082" i="3"/>
  <c r="B5082" i="3"/>
  <c r="D5081" i="3"/>
  <c r="C5081" i="3"/>
  <c r="B5081" i="3"/>
  <c r="D5080" i="3"/>
  <c r="C5080" i="3"/>
  <c r="B5080" i="3"/>
  <c r="D5079" i="3"/>
  <c r="C5079" i="3"/>
  <c r="B5079" i="3"/>
  <c r="D5078" i="3"/>
  <c r="C5078" i="3"/>
  <c r="B5078" i="3"/>
  <c r="D5077" i="3"/>
  <c r="C5077" i="3"/>
  <c r="B5077" i="3"/>
  <c r="D5076" i="3"/>
  <c r="C5076" i="3"/>
  <c r="B5076" i="3"/>
  <c r="D5075" i="3"/>
  <c r="C5075" i="3"/>
  <c r="B5075" i="3"/>
  <c r="D5074" i="3"/>
  <c r="C5074" i="3"/>
  <c r="B5074" i="3"/>
  <c r="D5073" i="3"/>
  <c r="C5073" i="3"/>
  <c r="B5073" i="3"/>
  <c r="D5072" i="3"/>
  <c r="C5072" i="3"/>
  <c r="B5072" i="3"/>
  <c r="D5071" i="3"/>
  <c r="C5071" i="3"/>
  <c r="B5071" i="3"/>
  <c r="D5070" i="3"/>
  <c r="C5070" i="3"/>
  <c r="B5070" i="3"/>
  <c r="D5069" i="3"/>
  <c r="C5069" i="3"/>
  <c r="B5069" i="3"/>
  <c r="D5068" i="3"/>
  <c r="C5068" i="3"/>
  <c r="B5068" i="3"/>
  <c r="D5067" i="3"/>
  <c r="C5067" i="3"/>
  <c r="B5067" i="3"/>
  <c r="D5066" i="3"/>
  <c r="C5066" i="3"/>
  <c r="B5066" i="3"/>
  <c r="D5065" i="3"/>
  <c r="C5065" i="3"/>
  <c r="B5065" i="3"/>
  <c r="D5064" i="3"/>
  <c r="C5064" i="3"/>
  <c r="B5064" i="3"/>
  <c r="D5063" i="3"/>
  <c r="C5063" i="3"/>
  <c r="B5063" i="3"/>
  <c r="D5062" i="3"/>
  <c r="C5062" i="3"/>
  <c r="B5062" i="3"/>
  <c r="D5061" i="3"/>
  <c r="C5061" i="3"/>
  <c r="B5061" i="3"/>
  <c r="D5060" i="3"/>
  <c r="C5060" i="3"/>
  <c r="B5060" i="3"/>
  <c r="D5059" i="3"/>
  <c r="C5059" i="3"/>
  <c r="B5059" i="3"/>
  <c r="D5058" i="3"/>
  <c r="C5058" i="3"/>
  <c r="B5058" i="3"/>
  <c r="D5057" i="3"/>
  <c r="C5057" i="3"/>
  <c r="B5057" i="3"/>
  <c r="D5056" i="3"/>
  <c r="C5056" i="3"/>
  <c r="B5056" i="3"/>
  <c r="D5055" i="3"/>
  <c r="C5055" i="3"/>
  <c r="B5055" i="3"/>
  <c r="D5054" i="3"/>
  <c r="C5054" i="3"/>
  <c r="B5054" i="3"/>
  <c r="D5053" i="3"/>
  <c r="C5053" i="3"/>
  <c r="B5053" i="3"/>
  <c r="D5052" i="3"/>
  <c r="C5052" i="3"/>
  <c r="B5052" i="3"/>
  <c r="D5051" i="3"/>
  <c r="C5051" i="3"/>
  <c r="B5051" i="3"/>
  <c r="D5050" i="3"/>
  <c r="C5050" i="3"/>
  <c r="B5050" i="3"/>
  <c r="D5049" i="3"/>
  <c r="C5049" i="3"/>
  <c r="B5049" i="3"/>
  <c r="D5048" i="3"/>
  <c r="C5048" i="3"/>
  <c r="B5048" i="3"/>
  <c r="D5047" i="3"/>
  <c r="C5047" i="3"/>
  <c r="B5047" i="3"/>
  <c r="D5046" i="3"/>
  <c r="C5046" i="3"/>
  <c r="B5046" i="3"/>
  <c r="D5045" i="3"/>
  <c r="C5045" i="3"/>
  <c r="B5045" i="3"/>
  <c r="D5044" i="3"/>
  <c r="C5044" i="3"/>
  <c r="B5044" i="3"/>
  <c r="D5043" i="3"/>
  <c r="C5043" i="3"/>
  <c r="B5043" i="3"/>
  <c r="D5042" i="3"/>
  <c r="C5042" i="3"/>
  <c r="B5042" i="3"/>
  <c r="D5041" i="3"/>
  <c r="C5041" i="3"/>
  <c r="B5041" i="3"/>
  <c r="D5040" i="3"/>
  <c r="C5040" i="3"/>
  <c r="B5040" i="3"/>
  <c r="D5039" i="3"/>
  <c r="C5039" i="3"/>
  <c r="B5039" i="3"/>
  <c r="D5038" i="3"/>
  <c r="C5038" i="3"/>
  <c r="B5038" i="3"/>
  <c r="D5037" i="3"/>
  <c r="C5037" i="3"/>
  <c r="B5037" i="3"/>
  <c r="D5036" i="3"/>
  <c r="C5036" i="3"/>
  <c r="B5036" i="3"/>
  <c r="D5035" i="3"/>
  <c r="C5035" i="3"/>
  <c r="B5035" i="3"/>
  <c r="D5034" i="3"/>
  <c r="C5034" i="3"/>
  <c r="B5034" i="3"/>
  <c r="D5033" i="3"/>
  <c r="C5033" i="3"/>
  <c r="B5033" i="3"/>
  <c r="D5032" i="3"/>
  <c r="C5032" i="3"/>
  <c r="B5032" i="3"/>
  <c r="D5031" i="3"/>
  <c r="C5031" i="3"/>
  <c r="B5031" i="3"/>
  <c r="D5030" i="3"/>
  <c r="C5030" i="3"/>
  <c r="B5030" i="3"/>
  <c r="D5029" i="3"/>
  <c r="C5029" i="3"/>
  <c r="B5029" i="3"/>
  <c r="D5028" i="3"/>
  <c r="C5028" i="3"/>
  <c r="B5028" i="3"/>
  <c r="D5027" i="3"/>
  <c r="C5027" i="3"/>
  <c r="B5027" i="3"/>
  <c r="D5026" i="3"/>
  <c r="C5026" i="3"/>
  <c r="B5026" i="3"/>
  <c r="D5025" i="3"/>
  <c r="C5025" i="3"/>
  <c r="B5025" i="3"/>
  <c r="D5024" i="3"/>
  <c r="C5024" i="3"/>
  <c r="B5024" i="3"/>
  <c r="D5023" i="3"/>
  <c r="C5023" i="3"/>
  <c r="B5023" i="3"/>
  <c r="D5022" i="3"/>
  <c r="C5022" i="3"/>
  <c r="B5022" i="3"/>
  <c r="D5021" i="3"/>
  <c r="C5021" i="3"/>
  <c r="B5021" i="3"/>
  <c r="D5020" i="3"/>
  <c r="C5020" i="3"/>
  <c r="B5020" i="3"/>
  <c r="D5019" i="3"/>
  <c r="C5019" i="3"/>
  <c r="B5019" i="3"/>
  <c r="D5018" i="3"/>
  <c r="C5018" i="3"/>
  <c r="B5018" i="3"/>
  <c r="D5017" i="3"/>
  <c r="C5017" i="3"/>
  <c r="B5017" i="3"/>
  <c r="D5016" i="3"/>
  <c r="C5016" i="3"/>
  <c r="B5016" i="3"/>
  <c r="D5015" i="3"/>
  <c r="C5015" i="3"/>
  <c r="B5015" i="3"/>
  <c r="D5014" i="3"/>
  <c r="C5014" i="3"/>
  <c r="B5014" i="3"/>
  <c r="D5013" i="3"/>
  <c r="C5013" i="3"/>
  <c r="B5013" i="3"/>
  <c r="D5012" i="3"/>
  <c r="C5012" i="3"/>
  <c r="B5012" i="3"/>
  <c r="D5011" i="3"/>
  <c r="C5011" i="3"/>
  <c r="B5011" i="3"/>
  <c r="D5010" i="3"/>
  <c r="C5010" i="3"/>
  <c r="B5010" i="3"/>
  <c r="D5009" i="3"/>
  <c r="C5009" i="3"/>
  <c r="B5009" i="3"/>
  <c r="D5008" i="3"/>
  <c r="C5008" i="3"/>
  <c r="B5008" i="3"/>
  <c r="D5007" i="3"/>
  <c r="C5007" i="3"/>
  <c r="B5007" i="3"/>
  <c r="D5006" i="3"/>
  <c r="C5006" i="3"/>
  <c r="B5006" i="3"/>
  <c r="D5005" i="3"/>
  <c r="C5005" i="3"/>
  <c r="B5005" i="3"/>
  <c r="D5004" i="3"/>
  <c r="C5004" i="3"/>
  <c r="B5004" i="3"/>
  <c r="D5003" i="3"/>
  <c r="C5003" i="3"/>
  <c r="B5003" i="3"/>
  <c r="D5002" i="3"/>
  <c r="C5002" i="3"/>
  <c r="B5002" i="3"/>
  <c r="D5001" i="3"/>
  <c r="C5001" i="3"/>
  <c r="B5001" i="3"/>
  <c r="D5000" i="3"/>
  <c r="C5000" i="3"/>
  <c r="B5000" i="3"/>
  <c r="D4999" i="3"/>
  <c r="C4999" i="3"/>
  <c r="B4999" i="3"/>
  <c r="D4998" i="3"/>
  <c r="C4998" i="3"/>
  <c r="B4998" i="3"/>
  <c r="D4997" i="3"/>
  <c r="C4997" i="3"/>
  <c r="B4997" i="3"/>
  <c r="D4996" i="3"/>
  <c r="C4996" i="3"/>
  <c r="B4996" i="3"/>
  <c r="D4995" i="3"/>
  <c r="C4995" i="3"/>
  <c r="B4995" i="3"/>
  <c r="D4994" i="3"/>
  <c r="C4994" i="3"/>
  <c r="B4994" i="3"/>
  <c r="D4993" i="3"/>
  <c r="C4993" i="3"/>
  <c r="B4993" i="3"/>
  <c r="D4992" i="3"/>
  <c r="C4992" i="3"/>
  <c r="B4992" i="3"/>
  <c r="D4991" i="3"/>
  <c r="C4991" i="3"/>
  <c r="B4991" i="3"/>
  <c r="D4990" i="3"/>
  <c r="C4990" i="3"/>
  <c r="B4990" i="3"/>
  <c r="D4989" i="3"/>
  <c r="C4989" i="3"/>
  <c r="B4989" i="3"/>
  <c r="D4988" i="3"/>
  <c r="C4988" i="3"/>
  <c r="B4988" i="3"/>
  <c r="D4987" i="3"/>
  <c r="C4987" i="3"/>
  <c r="B4987" i="3"/>
  <c r="D4986" i="3"/>
  <c r="C4986" i="3"/>
  <c r="B4986" i="3"/>
  <c r="D4985" i="3"/>
  <c r="C4985" i="3"/>
  <c r="B4985" i="3"/>
  <c r="D4984" i="3"/>
  <c r="C4984" i="3"/>
  <c r="B4984" i="3"/>
  <c r="D4983" i="3"/>
  <c r="C4983" i="3"/>
  <c r="B4983" i="3"/>
  <c r="D4982" i="3"/>
  <c r="C4982" i="3"/>
  <c r="B4982" i="3"/>
  <c r="D4981" i="3"/>
  <c r="C4981" i="3"/>
  <c r="B4981" i="3"/>
  <c r="D4980" i="3"/>
  <c r="C4980" i="3"/>
  <c r="B4980" i="3"/>
  <c r="D4979" i="3"/>
  <c r="C4979" i="3"/>
  <c r="B4979" i="3"/>
  <c r="D4978" i="3"/>
  <c r="C4978" i="3"/>
  <c r="B4978" i="3"/>
  <c r="D4977" i="3"/>
  <c r="C4977" i="3"/>
  <c r="B4977" i="3"/>
  <c r="D4976" i="3"/>
  <c r="C4976" i="3"/>
  <c r="B4976" i="3"/>
  <c r="D4975" i="3"/>
  <c r="C4975" i="3"/>
  <c r="B4975" i="3"/>
  <c r="D4974" i="3"/>
  <c r="C4974" i="3"/>
  <c r="B4974" i="3"/>
  <c r="D4973" i="3"/>
  <c r="C4973" i="3"/>
  <c r="B4973" i="3"/>
  <c r="D4972" i="3"/>
  <c r="C4972" i="3"/>
  <c r="B4972" i="3"/>
  <c r="D4971" i="3"/>
  <c r="C4971" i="3"/>
  <c r="B4971" i="3"/>
  <c r="D4970" i="3"/>
  <c r="C4970" i="3"/>
  <c r="B4970" i="3"/>
  <c r="D4969" i="3"/>
  <c r="C4969" i="3"/>
  <c r="B4969" i="3"/>
  <c r="D4968" i="3"/>
  <c r="C4968" i="3"/>
  <c r="B4968" i="3"/>
  <c r="D4967" i="3"/>
  <c r="C4967" i="3"/>
  <c r="B4967" i="3"/>
  <c r="D4966" i="3"/>
  <c r="C4966" i="3"/>
  <c r="B4966" i="3"/>
  <c r="D4965" i="3"/>
  <c r="C4965" i="3"/>
  <c r="B4965" i="3"/>
  <c r="D4964" i="3"/>
  <c r="C4964" i="3"/>
  <c r="B4964" i="3"/>
  <c r="D4963" i="3"/>
  <c r="C4963" i="3"/>
  <c r="B4963" i="3"/>
  <c r="D4962" i="3"/>
  <c r="C4962" i="3"/>
  <c r="B4962" i="3"/>
  <c r="D4961" i="3"/>
  <c r="C4961" i="3"/>
  <c r="B4961" i="3"/>
  <c r="D4960" i="3"/>
  <c r="C4960" i="3"/>
  <c r="B4960" i="3"/>
  <c r="D4959" i="3"/>
  <c r="C4959" i="3"/>
  <c r="B4959" i="3"/>
  <c r="D4958" i="3"/>
  <c r="C4958" i="3"/>
  <c r="B4958" i="3"/>
  <c r="D4957" i="3"/>
  <c r="C4957" i="3"/>
  <c r="B4957" i="3"/>
  <c r="D4956" i="3"/>
  <c r="C4956" i="3"/>
  <c r="B4956" i="3"/>
  <c r="D4955" i="3"/>
  <c r="C4955" i="3"/>
  <c r="B4955" i="3"/>
  <c r="D4954" i="3"/>
  <c r="C4954" i="3"/>
  <c r="B4954" i="3"/>
  <c r="D4953" i="3"/>
  <c r="C4953" i="3"/>
  <c r="B4953" i="3"/>
  <c r="D4952" i="3"/>
  <c r="C4952" i="3"/>
  <c r="B4952" i="3"/>
  <c r="D4951" i="3"/>
  <c r="C4951" i="3"/>
  <c r="B4951" i="3"/>
  <c r="D4950" i="3"/>
  <c r="C4950" i="3"/>
  <c r="B4950" i="3"/>
  <c r="D4949" i="3"/>
  <c r="C4949" i="3"/>
  <c r="B4949" i="3"/>
  <c r="D4948" i="3"/>
  <c r="C4948" i="3"/>
  <c r="B4948" i="3"/>
  <c r="D4947" i="3"/>
  <c r="C4947" i="3"/>
  <c r="B4947" i="3"/>
  <c r="D4946" i="3"/>
  <c r="C4946" i="3"/>
  <c r="B4946" i="3"/>
  <c r="D4945" i="3"/>
  <c r="C4945" i="3"/>
  <c r="B4945" i="3"/>
  <c r="D4944" i="3"/>
  <c r="C4944" i="3"/>
  <c r="B4944" i="3"/>
  <c r="D4943" i="3"/>
  <c r="C4943" i="3"/>
  <c r="B4943" i="3"/>
  <c r="D4942" i="3"/>
  <c r="C4942" i="3"/>
  <c r="B4942" i="3"/>
  <c r="D4941" i="3"/>
  <c r="C4941" i="3"/>
  <c r="B4941" i="3"/>
  <c r="D4940" i="3"/>
  <c r="C4940" i="3"/>
  <c r="B4940" i="3"/>
  <c r="D4939" i="3"/>
  <c r="C4939" i="3"/>
  <c r="B4939" i="3"/>
  <c r="D4938" i="3"/>
  <c r="C4938" i="3"/>
  <c r="B4938" i="3"/>
  <c r="D4937" i="3"/>
  <c r="C4937" i="3"/>
  <c r="B4937" i="3"/>
  <c r="D4936" i="3"/>
  <c r="C4936" i="3"/>
  <c r="B4936" i="3"/>
  <c r="D4935" i="3"/>
  <c r="C4935" i="3"/>
  <c r="B4935" i="3"/>
  <c r="D4934" i="3"/>
  <c r="C4934" i="3"/>
  <c r="B4934" i="3"/>
  <c r="D4933" i="3"/>
  <c r="C4933" i="3"/>
  <c r="B4933" i="3"/>
  <c r="D4932" i="3"/>
  <c r="C4932" i="3"/>
  <c r="B4932" i="3"/>
  <c r="D4931" i="3"/>
  <c r="C4931" i="3"/>
  <c r="B4931" i="3"/>
  <c r="D4930" i="3"/>
  <c r="C4930" i="3"/>
  <c r="B4930" i="3"/>
  <c r="D4929" i="3"/>
  <c r="C4929" i="3"/>
  <c r="B4929" i="3"/>
  <c r="D4928" i="3"/>
  <c r="C4928" i="3"/>
  <c r="B4928" i="3"/>
  <c r="D4927" i="3"/>
  <c r="C4927" i="3"/>
  <c r="B4927" i="3"/>
  <c r="D4926" i="3"/>
  <c r="C4926" i="3"/>
  <c r="B4926" i="3"/>
  <c r="D4925" i="3"/>
  <c r="C4925" i="3"/>
  <c r="B4925" i="3"/>
  <c r="D4924" i="3"/>
  <c r="C4924" i="3"/>
  <c r="B4924" i="3"/>
  <c r="D4923" i="3"/>
  <c r="C4923" i="3"/>
  <c r="B4923" i="3"/>
  <c r="D4922" i="3"/>
  <c r="C4922" i="3"/>
  <c r="B4922" i="3"/>
  <c r="D4921" i="3"/>
  <c r="C4921" i="3"/>
  <c r="B4921" i="3"/>
  <c r="D4920" i="3"/>
  <c r="C4920" i="3"/>
  <c r="B4920" i="3"/>
  <c r="D4919" i="3"/>
  <c r="C4919" i="3"/>
  <c r="B4919" i="3"/>
  <c r="D4918" i="3"/>
  <c r="C4918" i="3"/>
  <c r="B4918" i="3"/>
  <c r="D4917" i="3"/>
  <c r="C4917" i="3"/>
  <c r="B4917" i="3"/>
  <c r="D4916" i="3"/>
  <c r="C4916" i="3"/>
  <c r="B4916" i="3"/>
  <c r="D4915" i="3"/>
  <c r="C4915" i="3"/>
  <c r="B4915" i="3"/>
  <c r="D4914" i="3"/>
  <c r="C4914" i="3"/>
  <c r="B4914" i="3"/>
  <c r="D4913" i="3"/>
  <c r="C4913" i="3"/>
  <c r="B4913" i="3"/>
  <c r="D4912" i="3"/>
  <c r="C4912" i="3"/>
  <c r="B4912" i="3"/>
  <c r="D4911" i="3"/>
  <c r="C4911" i="3"/>
  <c r="B4911" i="3"/>
  <c r="D4910" i="3"/>
  <c r="C4910" i="3"/>
  <c r="B4910" i="3"/>
  <c r="D4909" i="3"/>
  <c r="C4909" i="3"/>
  <c r="B4909" i="3"/>
  <c r="D4908" i="3"/>
  <c r="C4908" i="3"/>
  <c r="B4908" i="3"/>
  <c r="D4907" i="3"/>
  <c r="C4907" i="3"/>
  <c r="B4907" i="3"/>
  <c r="D4906" i="3"/>
  <c r="C4906" i="3"/>
  <c r="B4906" i="3"/>
  <c r="D4905" i="3"/>
  <c r="C4905" i="3"/>
  <c r="B4905" i="3"/>
  <c r="D4904" i="3"/>
  <c r="C4904" i="3"/>
  <c r="B4904" i="3"/>
  <c r="D4903" i="3"/>
  <c r="C4903" i="3"/>
  <c r="B4903" i="3"/>
  <c r="D4902" i="3"/>
  <c r="C4902" i="3"/>
  <c r="B4902" i="3"/>
  <c r="D4901" i="3"/>
  <c r="C4901" i="3"/>
  <c r="B4901" i="3"/>
  <c r="D4900" i="3"/>
  <c r="C4900" i="3"/>
  <c r="B4900" i="3"/>
  <c r="D4899" i="3"/>
  <c r="C4899" i="3"/>
  <c r="B4899" i="3"/>
  <c r="D4898" i="3"/>
  <c r="C4898" i="3"/>
  <c r="B4898" i="3"/>
  <c r="D4897" i="3"/>
  <c r="C4897" i="3"/>
  <c r="B4897" i="3"/>
  <c r="D4896" i="3"/>
  <c r="C4896" i="3"/>
  <c r="B4896" i="3"/>
  <c r="D4895" i="3"/>
  <c r="C4895" i="3"/>
  <c r="B4895" i="3"/>
  <c r="D4894" i="3"/>
  <c r="C4894" i="3"/>
  <c r="B4894" i="3"/>
  <c r="D4893" i="3"/>
  <c r="C4893" i="3"/>
  <c r="B4893" i="3"/>
  <c r="D4892" i="3"/>
  <c r="C4892" i="3"/>
  <c r="B4892" i="3"/>
  <c r="D4891" i="3"/>
  <c r="C4891" i="3"/>
  <c r="B4891" i="3"/>
  <c r="D4890" i="3"/>
  <c r="C4890" i="3"/>
  <c r="B4890" i="3"/>
  <c r="D4889" i="3"/>
  <c r="C4889" i="3"/>
  <c r="B4889" i="3"/>
  <c r="D4888" i="3"/>
  <c r="C4888" i="3"/>
  <c r="B4888" i="3"/>
  <c r="D4887" i="3"/>
  <c r="C4887" i="3"/>
  <c r="B4887" i="3"/>
  <c r="D4886" i="3"/>
  <c r="C4886" i="3"/>
  <c r="B4886" i="3"/>
  <c r="D4885" i="3"/>
  <c r="C4885" i="3"/>
  <c r="B4885" i="3"/>
  <c r="D4884" i="3"/>
  <c r="C4884" i="3"/>
  <c r="B4884" i="3"/>
  <c r="D4883" i="3"/>
  <c r="C4883" i="3"/>
  <c r="B4883" i="3"/>
  <c r="D4882" i="3"/>
  <c r="C4882" i="3"/>
  <c r="B4882" i="3"/>
  <c r="D4881" i="3"/>
  <c r="C4881" i="3"/>
  <c r="B4881" i="3"/>
  <c r="D4880" i="3"/>
  <c r="C4880" i="3"/>
  <c r="B4880" i="3"/>
  <c r="D4879" i="3"/>
  <c r="C4879" i="3"/>
  <c r="B4879" i="3"/>
  <c r="D4878" i="3"/>
  <c r="C4878" i="3"/>
  <c r="B4878" i="3"/>
  <c r="D4877" i="3"/>
  <c r="C4877" i="3"/>
  <c r="B4877" i="3"/>
  <c r="D4876" i="3"/>
  <c r="C4876" i="3"/>
  <c r="B4876" i="3"/>
  <c r="D4875" i="3"/>
  <c r="C4875" i="3"/>
  <c r="B4875" i="3"/>
  <c r="D4874" i="3"/>
  <c r="C4874" i="3"/>
  <c r="B4874" i="3"/>
  <c r="D4873" i="3"/>
  <c r="C4873" i="3"/>
  <c r="B4873" i="3"/>
  <c r="D4872" i="3"/>
  <c r="C4872" i="3"/>
  <c r="B4872" i="3"/>
  <c r="D4871" i="3"/>
  <c r="C4871" i="3"/>
  <c r="B4871" i="3"/>
  <c r="D4870" i="3"/>
  <c r="C4870" i="3"/>
  <c r="B4870" i="3"/>
  <c r="D4869" i="3"/>
  <c r="C4869" i="3"/>
  <c r="B4869" i="3"/>
  <c r="D4868" i="3"/>
  <c r="C4868" i="3"/>
  <c r="B4868" i="3"/>
  <c r="D4867" i="3"/>
  <c r="C4867" i="3"/>
  <c r="B4867" i="3"/>
  <c r="D4866" i="3"/>
  <c r="C4866" i="3"/>
  <c r="B4866" i="3"/>
  <c r="D4865" i="3"/>
  <c r="C4865" i="3"/>
  <c r="B4865" i="3"/>
  <c r="D4864" i="3"/>
  <c r="C4864" i="3"/>
  <c r="B4864" i="3"/>
  <c r="D4863" i="3"/>
  <c r="C4863" i="3"/>
  <c r="B4863" i="3"/>
  <c r="D4862" i="3"/>
  <c r="C4862" i="3"/>
  <c r="B4862" i="3"/>
  <c r="D4861" i="3"/>
  <c r="C4861" i="3"/>
  <c r="B4861" i="3"/>
  <c r="D4860" i="3"/>
  <c r="C4860" i="3"/>
  <c r="B4860" i="3"/>
  <c r="D4859" i="3"/>
  <c r="C4859" i="3"/>
  <c r="B4859" i="3"/>
  <c r="D4858" i="3"/>
  <c r="C4858" i="3"/>
  <c r="B4858" i="3"/>
  <c r="D4857" i="3"/>
  <c r="C4857" i="3"/>
  <c r="B4857" i="3"/>
  <c r="D4856" i="3"/>
  <c r="C4856" i="3"/>
  <c r="B4856" i="3"/>
  <c r="D4855" i="3"/>
  <c r="C4855" i="3"/>
  <c r="B4855" i="3"/>
  <c r="D4854" i="3"/>
  <c r="C4854" i="3"/>
  <c r="B4854" i="3"/>
  <c r="D4853" i="3"/>
  <c r="C4853" i="3"/>
  <c r="B4853" i="3"/>
  <c r="D4852" i="3"/>
  <c r="C4852" i="3"/>
  <c r="B4852" i="3"/>
  <c r="D4851" i="3"/>
  <c r="C4851" i="3"/>
  <c r="B4851" i="3"/>
  <c r="D4850" i="3"/>
  <c r="C4850" i="3"/>
  <c r="B4850" i="3"/>
  <c r="D4849" i="3"/>
  <c r="C4849" i="3"/>
  <c r="B4849" i="3"/>
  <c r="D4848" i="3"/>
  <c r="C4848" i="3"/>
  <c r="B4848" i="3"/>
  <c r="D4847" i="3"/>
  <c r="C4847" i="3"/>
  <c r="B4847" i="3"/>
  <c r="D4846" i="3"/>
  <c r="C4846" i="3"/>
  <c r="B4846" i="3"/>
  <c r="D4845" i="3"/>
  <c r="C4845" i="3"/>
  <c r="B4845" i="3"/>
  <c r="D4844" i="3"/>
  <c r="C4844" i="3"/>
  <c r="B4844" i="3"/>
  <c r="D4843" i="3"/>
  <c r="C4843" i="3"/>
  <c r="B4843" i="3"/>
  <c r="D4842" i="3"/>
  <c r="C4842" i="3"/>
  <c r="B4842" i="3"/>
  <c r="D4841" i="3"/>
  <c r="C4841" i="3"/>
  <c r="B4841" i="3"/>
  <c r="D4840" i="3"/>
  <c r="C4840" i="3"/>
  <c r="B4840" i="3"/>
  <c r="D4839" i="3"/>
  <c r="C4839" i="3"/>
  <c r="B4839" i="3"/>
  <c r="D4838" i="3"/>
  <c r="C4838" i="3"/>
  <c r="B4838" i="3"/>
  <c r="D4837" i="3"/>
  <c r="C4837" i="3"/>
  <c r="B4837" i="3"/>
  <c r="D4836" i="3"/>
  <c r="C4836" i="3"/>
  <c r="B4836" i="3"/>
  <c r="D4835" i="3"/>
  <c r="C4835" i="3"/>
  <c r="B4835" i="3"/>
  <c r="D4834" i="3"/>
  <c r="C4834" i="3"/>
  <c r="B4834" i="3"/>
  <c r="D4833" i="3"/>
  <c r="C4833" i="3"/>
  <c r="B4833" i="3"/>
  <c r="D4832" i="3"/>
  <c r="C4832" i="3"/>
  <c r="B4832" i="3"/>
  <c r="D4831" i="3"/>
  <c r="C4831" i="3"/>
  <c r="B4831" i="3"/>
  <c r="D4830" i="3"/>
  <c r="C4830" i="3"/>
  <c r="B4830" i="3"/>
  <c r="D4829" i="3"/>
  <c r="C4829" i="3"/>
  <c r="B4829" i="3"/>
  <c r="D4828" i="3"/>
  <c r="C4828" i="3"/>
  <c r="B4828" i="3"/>
  <c r="D4827" i="3"/>
  <c r="C4827" i="3"/>
  <c r="B4827" i="3"/>
  <c r="D4826" i="3"/>
  <c r="C4826" i="3"/>
  <c r="B4826" i="3"/>
  <c r="D4825" i="3"/>
  <c r="C4825" i="3"/>
  <c r="B4825" i="3"/>
  <c r="D4824" i="3"/>
  <c r="C4824" i="3"/>
  <c r="B4824" i="3"/>
  <c r="D4823" i="3"/>
  <c r="C4823" i="3"/>
  <c r="B4823" i="3"/>
  <c r="D4822" i="3"/>
  <c r="C4822" i="3"/>
  <c r="B4822" i="3"/>
  <c r="D4821" i="3"/>
  <c r="C4821" i="3"/>
  <c r="B4821" i="3"/>
  <c r="D4820" i="3"/>
  <c r="C4820" i="3"/>
  <c r="B4820" i="3"/>
  <c r="D4819" i="3"/>
  <c r="C4819" i="3"/>
  <c r="B4819" i="3"/>
  <c r="D4818" i="3"/>
  <c r="C4818" i="3"/>
  <c r="B4818" i="3"/>
  <c r="D4817" i="3"/>
  <c r="C4817" i="3"/>
  <c r="B4817" i="3"/>
  <c r="D4816" i="3"/>
  <c r="C4816" i="3"/>
  <c r="B4816" i="3"/>
  <c r="D4815" i="3"/>
  <c r="C4815" i="3"/>
  <c r="B4815" i="3"/>
  <c r="D4814" i="3"/>
  <c r="C4814" i="3"/>
  <c r="B4814" i="3"/>
  <c r="D4813" i="3"/>
  <c r="C4813" i="3"/>
  <c r="B4813" i="3"/>
  <c r="D4812" i="3"/>
  <c r="C4812" i="3"/>
  <c r="B4812" i="3"/>
  <c r="D4811" i="3"/>
  <c r="C4811" i="3"/>
  <c r="B4811" i="3"/>
  <c r="D4810" i="3"/>
  <c r="C4810" i="3"/>
  <c r="B4810" i="3"/>
  <c r="D4809" i="3"/>
  <c r="C4809" i="3"/>
  <c r="B4809" i="3"/>
  <c r="D4808" i="3"/>
  <c r="C4808" i="3"/>
  <c r="B4808" i="3"/>
  <c r="D4807" i="3"/>
  <c r="C4807" i="3"/>
  <c r="B4807" i="3"/>
  <c r="D4806" i="3"/>
  <c r="C4806" i="3"/>
  <c r="B4806" i="3"/>
  <c r="D4805" i="3"/>
  <c r="C4805" i="3"/>
  <c r="B4805" i="3"/>
  <c r="D4804" i="3"/>
  <c r="C4804" i="3"/>
  <c r="B4804" i="3"/>
  <c r="D4803" i="3"/>
  <c r="C4803" i="3"/>
  <c r="B4803" i="3"/>
  <c r="D4802" i="3"/>
  <c r="C4802" i="3"/>
  <c r="B4802" i="3"/>
  <c r="D4801" i="3"/>
  <c r="C4801" i="3"/>
  <c r="B4801" i="3"/>
  <c r="D4800" i="3"/>
  <c r="C4800" i="3"/>
  <c r="B4800" i="3"/>
  <c r="D4799" i="3"/>
  <c r="C4799" i="3"/>
  <c r="B4799" i="3"/>
  <c r="D4798" i="3"/>
  <c r="C4798" i="3"/>
  <c r="B4798" i="3"/>
  <c r="D4797" i="3"/>
  <c r="C4797" i="3"/>
  <c r="B4797" i="3"/>
  <c r="D4796" i="3"/>
  <c r="C4796" i="3"/>
  <c r="B4796" i="3"/>
  <c r="D4795" i="3"/>
  <c r="C4795" i="3"/>
  <c r="B4795" i="3"/>
  <c r="D4794" i="3"/>
  <c r="C4794" i="3"/>
  <c r="B4794" i="3"/>
  <c r="D4793" i="3"/>
  <c r="C4793" i="3"/>
  <c r="B4793" i="3"/>
  <c r="D4792" i="3"/>
  <c r="C4792" i="3"/>
  <c r="B4792" i="3"/>
  <c r="D4791" i="3"/>
  <c r="C4791" i="3"/>
  <c r="B4791" i="3"/>
  <c r="D4790" i="3"/>
  <c r="C4790" i="3"/>
  <c r="B4790" i="3"/>
  <c r="D4789" i="3"/>
  <c r="C4789" i="3"/>
  <c r="B4789" i="3"/>
  <c r="D4788" i="3"/>
  <c r="C4788" i="3"/>
  <c r="B4788" i="3"/>
  <c r="D4787" i="3"/>
  <c r="C4787" i="3"/>
  <c r="B4787" i="3"/>
  <c r="D4786" i="3"/>
  <c r="C4786" i="3"/>
  <c r="B4786" i="3"/>
  <c r="D4785" i="3"/>
  <c r="C4785" i="3"/>
  <c r="B4785" i="3"/>
  <c r="D4784" i="3"/>
  <c r="C4784" i="3"/>
  <c r="B4784" i="3"/>
  <c r="D4783" i="3"/>
  <c r="C4783" i="3"/>
  <c r="B4783" i="3"/>
  <c r="D4782" i="3"/>
  <c r="C4782" i="3"/>
  <c r="B4782" i="3"/>
  <c r="D4781" i="3"/>
  <c r="C4781" i="3"/>
  <c r="B4781" i="3"/>
  <c r="D4780" i="3"/>
  <c r="C4780" i="3"/>
  <c r="B4780" i="3"/>
  <c r="D4779" i="3"/>
  <c r="C4779" i="3"/>
  <c r="B4779" i="3"/>
  <c r="D4778" i="3"/>
  <c r="C4778" i="3"/>
  <c r="B4778" i="3"/>
  <c r="D4777" i="3"/>
  <c r="C4777" i="3"/>
  <c r="B4777" i="3"/>
  <c r="D4776" i="3"/>
  <c r="C4776" i="3"/>
  <c r="B4776" i="3"/>
  <c r="D4775" i="3"/>
  <c r="C4775" i="3"/>
  <c r="B4775" i="3"/>
  <c r="D4774" i="3"/>
  <c r="C4774" i="3"/>
  <c r="B4774" i="3"/>
  <c r="D4773" i="3"/>
  <c r="C4773" i="3"/>
  <c r="B4773" i="3"/>
  <c r="D4772" i="3"/>
  <c r="C4772" i="3"/>
  <c r="B4772" i="3"/>
  <c r="D4771" i="3"/>
  <c r="C4771" i="3"/>
  <c r="B4771" i="3"/>
  <c r="D4770" i="3"/>
  <c r="C4770" i="3"/>
  <c r="B4770" i="3"/>
  <c r="D4769" i="3"/>
  <c r="C4769" i="3"/>
  <c r="B4769" i="3"/>
  <c r="D4768" i="3"/>
  <c r="C4768" i="3"/>
  <c r="B4768" i="3"/>
  <c r="D4767" i="3"/>
  <c r="C4767" i="3"/>
  <c r="B4767" i="3"/>
  <c r="D4766" i="3"/>
  <c r="C4766" i="3"/>
  <c r="B4766" i="3"/>
  <c r="D4765" i="3"/>
  <c r="C4765" i="3"/>
  <c r="B4765" i="3"/>
  <c r="D4764" i="3"/>
  <c r="C4764" i="3"/>
  <c r="B4764" i="3"/>
  <c r="D4763" i="3"/>
  <c r="C4763" i="3"/>
  <c r="B4763" i="3"/>
  <c r="D4762" i="3"/>
  <c r="C4762" i="3"/>
  <c r="B4762" i="3"/>
  <c r="D4761" i="3"/>
  <c r="C4761" i="3"/>
  <c r="B4761" i="3"/>
  <c r="D4760" i="3"/>
  <c r="C4760" i="3"/>
  <c r="B4760" i="3"/>
  <c r="D4759" i="3"/>
  <c r="C4759" i="3"/>
  <c r="B4759" i="3"/>
  <c r="D4758" i="3"/>
  <c r="C4758" i="3"/>
  <c r="B4758" i="3"/>
  <c r="D4757" i="3"/>
  <c r="C4757" i="3"/>
  <c r="B4757" i="3"/>
  <c r="D4756" i="3"/>
  <c r="C4756" i="3"/>
  <c r="B4756" i="3"/>
  <c r="D4755" i="3"/>
  <c r="C4755" i="3"/>
  <c r="B4755" i="3"/>
  <c r="D4754" i="3"/>
  <c r="C4754" i="3"/>
  <c r="B4754" i="3"/>
  <c r="D4753" i="3"/>
  <c r="C4753" i="3"/>
  <c r="B4753" i="3"/>
  <c r="D4752" i="3"/>
  <c r="C4752" i="3"/>
  <c r="B4752" i="3"/>
  <c r="D4751" i="3"/>
  <c r="C4751" i="3"/>
  <c r="B4751" i="3"/>
  <c r="D4750" i="3"/>
  <c r="C4750" i="3"/>
  <c r="B4750" i="3"/>
  <c r="D4749" i="3"/>
  <c r="C4749" i="3"/>
  <c r="B4749" i="3"/>
  <c r="D4748" i="3"/>
  <c r="C4748" i="3"/>
  <c r="B4748" i="3"/>
  <c r="D4747" i="3"/>
  <c r="C4747" i="3"/>
  <c r="B4747" i="3"/>
  <c r="D4746" i="3"/>
  <c r="C4746" i="3"/>
  <c r="B4746" i="3"/>
  <c r="D4745" i="3"/>
  <c r="C4745" i="3"/>
  <c r="B4745" i="3"/>
  <c r="D4744" i="3"/>
  <c r="C4744" i="3"/>
  <c r="B4744" i="3"/>
  <c r="D4743" i="3"/>
  <c r="C4743" i="3"/>
  <c r="B4743" i="3"/>
  <c r="D4742" i="3"/>
  <c r="C4742" i="3"/>
  <c r="B4742" i="3"/>
  <c r="D4741" i="3"/>
  <c r="C4741" i="3"/>
  <c r="B4741" i="3"/>
  <c r="D4740" i="3"/>
  <c r="C4740" i="3"/>
  <c r="B4740" i="3"/>
  <c r="D4739" i="3"/>
  <c r="C4739" i="3"/>
  <c r="B4739" i="3"/>
  <c r="D4738" i="3"/>
  <c r="C4738" i="3"/>
  <c r="B4738" i="3"/>
  <c r="D4737" i="3"/>
  <c r="C4737" i="3"/>
  <c r="B4737" i="3"/>
  <c r="D4736" i="3"/>
  <c r="C4736" i="3"/>
  <c r="B4736" i="3"/>
  <c r="D4735" i="3"/>
  <c r="C4735" i="3"/>
  <c r="B4735" i="3"/>
  <c r="D4734" i="3"/>
  <c r="C4734" i="3"/>
  <c r="B4734" i="3"/>
  <c r="D4733" i="3"/>
  <c r="C4733" i="3"/>
  <c r="B4733" i="3"/>
  <c r="D4732" i="3"/>
  <c r="C4732" i="3"/>
  <c r="B4732" i="3"/>
  <c r="D4731" i="3"/>
  <c r="C4731" i="3"/>
  <c r="B4731" i="3"/>
  <c r="D4730" i="3"/>
  <c r="C4730" i="3"/>
  <c r="B4730" i="3"/>
  <c r="D4729" i="3"/>
  <c r="C4729" i="3"/>
  <c r="B4729" i="3"/>
  <c r="D4728" i="3"/>
  <c r="C4728" i="3"/>
  <c r="B4728" i="3"/>
  <c r="D4727" i="3"/>
  <c r="C4727" i="3"/>
  <c r="B4727" i="3"/>
  <c r="D4726" i="3"/>
  <c r="C4726" i="3"/>
  <c r="B4726" i="3"/>
  <c r="D4725" i="3"/>
  <c r="C4725" i="3"/>
  <c r="B4725" i="3"/>
  <c r="D4724" i="3"/>
  <c r="C4724" i="3"/>
  <c r="B4724" i="3"/>
  <c r="D4723" i="3"/>
  <c r="C4723" i="3"/>
  <c r="B4723" i="3"/>
  <c r="D4722" i="3"/>
  <c r="C4722" i="3"/>
  <c r="B4722" i="3"/>
  <c r="D4721" i="3"/>
  <c r="C4721" i="3"/>
  <c r="B4721" i="3"/>
  <c r="D4720" i="3"/>
  <c r="C4720" i="3"/>
  <c r="B4720" i="3"/>
  <c r="D4719" i="3"/>
  <c r="C4719" i="3"/>
  <c r="B4719" i="3"/>
  <c r="D4718" i="3"/>
  <c r="C4718" i="3"/>
  <c r="B4718" i="3"/>
  <c r="D4717" i="3"/>
  <c r="C4717" i="3"/>
  <c r="B4717" i="3"/>
  <c r="D4716" i="3"/>
  <c r="C4716" i="3"/>
  <c r="B4716" i="3"/>
  <c r="D4715" i="3"/>
  <c r="C4715" i="3"/>
  <c r="B4715" i="3"/>
  <c r="D4714" i="3"/>
  <c r="C4714" i="3"/>
  <c r="B4714" i="3"/>
  <c r="D4713" i="3"/>
  <c r="C4713" i="3"/>
  <c r="B4713" i="3"/>
  <c r="D4712" i="3"/>
  <c r="C4712" i="3"/>
  <c r="B4712" i="3"/>
  <c r="D4711" i="3"/>
  <c r="C4711" i="3"/>
  <c r="B4711" i="3"/>
  <c r="D4710" i="3"/>
  <c r="C4710" i="3"/>
  <c r="B4710" i="3"/>
  <c r="D4709" i="3"/>
  <c r="C4709" i="3"/>
  <c r="B4709" i="3"/>
  <c r="D4708" i="3"/>
  <c r="C4708" i="3"/>
  <c r="B4708" i="3"/>
  <c r="D4707" i="3"/>
  <c r="C4707" i="3"/>
  <c r="B4707" i="3"/>
  <c r="D4706" i="3"/>
  <c r="C4706" i="3"/>
  <c r="B4706" i="3"/>
  <c r="D4705" i="3"/>
  <c r="C4705" i="3"/>
  <c r="B4705" i="3"/>
  <c r="D4704" i="3"/>
  <c r="C4704" i="3"/>
  <c r="B4704" i="3"/>
  <c r="D4703" i="3"/>
  <c r="C4703" i="3"/>
  <c r="B4703" i="3"/>
  <c r="D4702" i="3"/>
  <c r="C4702" i="3"/>
  <c r="B4702" i="3"/>
  <c r="D4701" i="3"/>
  <c r="C4701" i="3"/>
  <c r="B4701" i="3"/>
  <c r="D4700" i="3"/>
  <c r="C4700" i="3"/>
  <c r="B4700" i="3"/>
  <c r="D4699" i="3"/>
  <c r="C4699" i="3"/>
  <c r="B4699" i="3"/>
  <c r="D4698" i="3"/>
  <c r="C4698" i="3"/>
  <c r="B4698" i="3"/>
  <c r="D4697" i="3"/>
  <c r="C4697" i="3"/>
  <c r="B4697" i="3"/>
  <c r="D4696" i="3"/>
  <c r="C4696" i="3"/>
  <c r="B4696" i="3"/>
  <c r="D4695" i="3"/>
  <c r="C4695" i="3"/>
  <c r="B4695" i="3"/>
  <c r="D4694" i="3"/>
  <c r="C4694" i="3"/>
  <c r="B4694" i="3"/>
  <c r="D4693" i="3"/>
  <c r="C4693" i="3"/>
  <c r="B4693" i="3"/>
  <c r="D4692" i="3"/>
  <c r="C4692" i="3"/>
  <c r="B4692" i="3"/>
  <c r="D4691" i="3"/>
  <c r="C4691" i="3"/>
  <c r="B4691" i="3"/>
  <c r="D4690" i="3"/>
  <c r="C4690" i="3"/>
  <c r="B4690" i="3"/>
  <c r="D4689" i="3"/>
  <c r="C4689" i="3"/>
  <c r="B4689" i="3"/>
  <c r="D4688" i="3"/>
  <c r="C4688" i="3"/>
  <c r="B4688" i="3"/>
  <c r="D4687" i="3"/>
  <c r="C4687" i="3"/>
  <c r="B4687" i="3"/>
  <c r="D4686" i="3"/>
  <c r="C4686" i="3"/>
  <c r="B4686" i="3"/>
  <c r="D4685" i="3"/>
  <c r="C4685" i="3"/>
  <c r="B4685" i="3"/>
  <c r="D4684" i="3"/>
  <c r="C4684" i="3"/>
  <c r="B4684" i="3"/>
  <c r="D4683" i="3"/>
  <c r="C4683" i="3"/>
  <c r="B4683" i="3"/>
  <c r="D4682" i="3"/>
  <c r="C4682" i="3"/>
  <c r="B4682" i="3"/>
  <c r="D4681" i="3"/>
  <c r="C4681" i="3"/>
  <c r="B4681" i="3"/>
  <c r="D4680" i="3"/>
  <c r="C4680" i="3"/>
  <c r="B4680" i="3"/>
  <c r="D4679" i="3"/>
  <c r="C4679" i="3"/>
  <c r="B4679" i="3"/>
  <c r="D4678" i="3"/>
  <c r="C4678" i="3"/>
  <c r="B4678" i="3"/>
  <c r="D4677" i="3"/>
  <c r="C4677" i="3"/>
  <c r="B4677" i="3"/>
  <c r="D4676" i="3"/>
  <c r="C4676" i="3"/>
  <c r="B4676" i="3"/>
  <c r="D4675" i="3"/>
  <c r="C4675" i="3"/>
  <c r="B4675" i="3"/>
  <c r="D4674" i="3"/>
  <c r="C4674" i="3"/>
  <c r="B4674" i="3"/>
  <c r="D4673" i="3"/>
  <c r="C4673" i="3"/>
  <c r="B4673" i="3"/>
  <c r="D4672" i="3"/>
  <c r="C4672" i="3"/>
  <c r="B4672" i="3"/>
  <c r="D4671" i="3"/>
  <c r="C4671" i="3"/>
  <c r="B4671" i="3"/>
  <c r="D4670" i="3"/>
  <c r="C4670" i="3"/>
  <c r="B4670" i="3"/>
  <c r="D4669" i="3"/>
  <c r="C4669" i="3"/>
  <c r="B4669" i="3"/>
  <c r="D4668" i="3"/>
  <c r="C4668" i="3"/>
  <c r="B4668" i="3"/>
  <c r="D4667" i="3"/>
  <c r="C4667" i="3"/>
  <c r="B4667" i="3"/>
  <c r="D4666" i="3"/>
  <c r="C4666" i="3"/>
  <c r="B4666" i="3"/>
  <c r="D4665" i="3"/>
  <c r="C4665" i="3"/>
  <c r="B4665" i="3"/>
  <c r="D4664" i="3"/>
  <c r="C4664" i="3"/>
  <c r="B4664" i="3"/>
  <c r="D4663" i="3"/>
  <c r="C4663" i="3"/>
  <c r="B4663" i="3"/>
  <c r="D4662" i="3"/>
  <c r="C4662" i="3"/>
  <c r="B4662" i="3"/>
  <c r="D4661" i="3"/>
  <c r="C4661" i="3"/>
  <c r="B4661" i="3"/>
  <c r="D4660" i="3"/>
  <c r="C4660" i="3"/>
  <c r="B4660" i="3"/>
  <c r="D4659" i="3"/>
  <c r="C4659" i="3"/>
  <c r="B4659" i="3"/>
  <c r="D4658" i="3"/>
  <c r="C4658" i="3"/>
  <c r="B4658" i="3"/>
  <c r="D4657" i="3"/>
  <c r="C4657" i="3"/>
  <c r="B4657" i="3"/>
  <c r="D4656" i="3"/>
  <c r="C4656" i="3"/>
  <c r="B4656" i="3"/>
  <c r="D4655" i="3"/>
  <c r="C4655" i="3"/>
  <c r="B4655" i="3"/>
  <c r="D4654" i="3"/>
  <c r="C4654" i="3"/>
  <c r="B4654" i="3"/>
  <c r="D4653" i="3"/>
  <c r="C4653" i="3"/>
  <c r="B4653" i="3"/>
  <c r="D4652" i="3"/>
  <c r="C4652" i="3"/>
  <c r="B4652" i="3"/>
  <c r="D4651" i="3"/>
  <c r="C4651" i="3"/>
  <c r="B4651" i="3"/>
  <c r="D4650" i="3"/>
  <c r="C4650" i="3"/>
  <c r="B4650" i="3"/>
  <c r="D4649" i="3"/>
  <c r="C4649" i="3"/>
  <c r="B4649" i="3"/>
  <c r="D4648" i="3"/>
  <c r="C4648" i="3"/>
  <c r="B4648" i="3"/>
  <c r="D4647" i="3"/>
  <c r="C4647" i="3"/>
  <c r="B4647" i="3"/>
  <c r="D4646" i="3"/>
  <c r="C4646" i="3"/>
  <c r="B4646" i="3"/>
  <c r="D4645" i="3"/>
  <c r="C4645" i="3"/>
  <c r="B4645" i="3"/>
  <c r="D4644" i="3"/>
  <c r="C4644" i="3"/>
  <c r="B4644" i="3"/>
  <c r="D4643" i="3"/>
  <c r="C4643" i="3"/>
  <c r="B4643" i="3"/>
  <c r="D4642" i="3"/>
  <c r="C4642" i="3"/>
  <c r="B4642" i="3"/>
  <c r="D4641" i="3"/>
  <c r="C4641" i="3"/>
  <c r="B4641" i="3"/>
  <c r="D4640" i="3"/>
  <c r="C4640" i="3"/>
  <c r="B4640" i="3"/>
  <c r="D4639" i="3"/>
  <c r="C4639" i="3"/>
  <c r="B4639" i="3"/>
  <c r="D4638" i="3"/>
  <c r="C4638" i="3"/>
  <c r="B4638" i="3"/>
  <c r="D4637" i="3"/>
  <c r="C4637" i="3"/>
  <c r="B4637" i="3"/>
  <c r="D4636" i="3"/>
  <c r="C4636" i="3"/>
  <c r="B4636" i="3"/>
  <c r="D4635" i="3"/>
  <c r="C4635" i="3"/>
  <c r="B4635" i="3"/>
  <c r="D4634" i="3"/>
  <c r="C4634" i="3"/>
  <c r="B4634" i="3"/>
  <c r="D4633" i="3"/>
  <c r="C4633" i="3"/>
  <c r="B4633" i="3"/>
  <c r="D4632" i="3"/>
  <c r="C4632" i="3"/>
  <c r="B4632" i="3"/>
  <c r="D4631" i="3"/>
  <c r="C4631" i="3"/>
  <c r="B4631" i="3"/>
  <c r="D4630" i="3"/>
  <c r="C4630" i="3"/>
  <c r="B4630" i="3"/>
  <c r="D4629" i="3"/>
  <c r="C4629" i="3"/>
  <c r="B4629" i="3"/>
  <c r="D4628" i="3"/>
  <c r="C4628" i="3"/>
  <c r="B4628" i="3"/>
  <c r="D4627" i="3"/>
  <c r="C4627" i="3"/>
  <c r="B4627" i="3"/>
  <c r="D4626" i="3"/>
  <c r="C4626" i="3"/>
  <c r="B4626" i="3"/>
  <c r="D4625" i="3"/>
  <c r="C4625" i="3"/>
  <c r="B4625" i="3"/>
  <c r="D4624" i="3"/>
  <c r="C4624" i="3"/>
  <c r="B4624" i="3"/>
  <c r="D4623" i="3"/>
  <c r="C4623" i="3"/>
  <c r="B4623" i="3"/>
  <c r="D4622" i="3"/>
  <c r="C4622" i="3"/>
  <c r="B4622" i="3"/>
  <c r="D4621" i="3"/>
  <c r="C4621" i="3"/>
  <c r="B4621" i="3"/>
  <c r="D4620" i="3"/>
  <c r="C4620" i="3"/>
  <c r="B4620" i="3"/>
  <c r="D4619" i="3"/>
  <c r="C4619" i="3"/>
  <c r="B4619" i="3"/>
  <c r="D4618" i="3"/>
  <c r="C4618" i="3"/>
  <c r="B4618" i="3"/>
  <c r="D4617" i="3"/>
  <c r="C4617" i="3"/>
  <c r="B4617" i="3"/>
  <c r="D4616" i="3"/>
  <c r="C4616" i="3"/>
  <c r="B4616" i="3"/>
  <c r="D4615" i="3"/>
  <c r="C4615" i="3"/>
  <c r="B4615" i="3"/>
  <c r="D4614" i="3"/>
  <c r="C4614" i="3"/>
  <c r="B4614" i="3"/>
  <c r="D4613" i="3"/>
  <c r="C4613" i="3"/>
  <c r="B4613" i="3"/>
  <c r="D4612" i="3"/>
  <c r="C4612" i="3"/>
  <c r="B4612" i="3"/>
  <c r="D4611" i="3"/>
  <c r="C4611" i="3"/>
  <c r="B4611" i="3"/>
  <c r="D4610" i="3"/>
  <c r="C4610" i="3"/>
  <c r="B4610" i="3"/>
  <c r="D4609" i="3"/>
  <c r="C4609" i="3"/>
  <c r="B4609" i="3"/>
  <c r="D4608" i="3"/>
  <c r="C4608" i="3"/>
  <c r="B4608" i="3"/>
  <c r="D4607" i="3"/>
  <c r="C4607" i="3"/>
  <c r="B4607" i="3"/>
  <c r="D4606" i="3"/>
  <c r="C4606" i="3"/>
  <c r="B4606" i="3"/>
  <c r="D4605" i="3"/>
  <c r="C4605" i="3"/>
  <c r="B4605" i="3"/>
  <c r="D4604" i="3"/>
  <c r="C4604" i="3"/>
  <c r="B4604" i="3"/>
  <c r="D4603" i="3"/>
  <c r="C4603" i="3"/>
  <c r="B4603" i="3"/>
  <c r="D4602" i="3"/>
  <c r="C4602" i="3"/>
  <c r="B4602" i="3"/>
  <c r="D4601" i="3"/>
  <c r="C4601" i="3"/>
  <c r="B4601" i="3"/>
  <c r="D4600" i="3"/>
  <c r="C4600" i="3"/>
  <c r="B4600" i="3"/>
  <c r="D4599" i="3"/>
  <c r="C4599" i="3"/>
  <c r="B4599" i="3"/>
  <c r="D4598" i="3"/>
  <c r="C4598" i="3"/>
  <c r="B4598" i="3"/>
  <c r="D4597" i="3"/>
  <c r="C4597" i="3"/>
  <c r="B4597" i="3"/>
  <c r="D4596" i="3"/>
  <c r="C4596" i="3"/>
  <c r="B4596" i="3"/>
  <c r="D4595" i="3"/>
  <c r="C4595" i="3"/>
  <c r="B4595" i="3"/>
  <c r="D4594" i="3"/>
  <c r="C4594" i="3"/>
  <c r="B4594" i="3"/>
  <c r="D4593" i="3"/>
  <c r="C4593" i="3"/>
  <c r="B4593" i="3"/>
  <c r="D4592" i="3"/>
  <c r="C4592" i="3"/>
  <c r="B4592" i="3"/>
  <c r="D4591" i="3"/>
  <c r="C4591" i="3"/>
  <c r="B4591" i="3"/>
  <c r="D4590" i="3"/>
  <c r="C4590" i="3"/>
  <c r="B4590" i="3"/>
  <c r="D4589" i="3"/>
  <c r="C4589" i="3"/>
  <c r="B4589" i="3"/>
  <c r="D4588" i="3"/>
  <c r="C4588" i="3"/>
  <c r="B4588" i="3"/>
  <c r="D4587" i="3"/>
  <c r="C4587" i="3"/>
  <c r="B4587" i="3"/>
  <c r="D4586" i="3"/>
  <c r="C4586" i="3"/>
  <c r="B4586" i="3"/>
  <c r="D4585" i="3"/>
  <c r="C4585" i="3"/>
  <c r="B4585" i="3"/>
  <c r="D4584" i="3"/>
  <c r="C4584" i="3"/>
  <c r="B4584" i="3"/>
  <c r="D4583" i="3"/>
  <c r="C4583" i="3"/>
  <c r="B4583" i="3"/>
  <c r="D4582" i="3"/>
  <c r="C4582" i="3"/>
  <c r="B4582" i="3"/>
  <c r="D4581" i="3"/>
  <c r="C4581" i="3"/>
  <c r="B4581" i="3"/>
  <c r="D4580" i="3"/>
  <c r="C4580" i="3"/>
  <c r="B4580" i="3"/>
  <c r="D4579" i="3"/>
  <c r="C4579" i="3"/>
  <c r="B4579" i="3"/>
  <c r="D4578" i="3"/>
  <c r="C4578" i="3"/>
  <c r="B4578" i="3"/>
  <c r="D4577" i="3"/>
  <c r="C4577" i="3"/>
  <c r="B4577" i="3"/>
  <c r="D4576" i="3"/>
  <c r="C4576" i="3"/>
  <c r="B4576" i="3"/>
  <c r="D4575" i="3"/>
  <c r="C4575" i="3"/>
  <c r="B4575" i="3"/>
  <c r="D4574" i="3"/>
  <c r="C4574" i="3"/>
  <c r="B4574" i="3"/>
  <c r="D4573" i="3"/>
  <c r="C4573" i="3"/>
  <c r="B4573" i="3"/>
  <c r="D4572" i="3"/>
  <c r="C4572" i="3"/>
  <c r="B4572" i="3"/>
  <c r="D4571" i="3"/>
  <c r="C4571" i="3"/>
  <c r="B4571" i="3"/>
  <c r="D4570" i="3"/>
  <c r="C4570" i="3"/>
  <c r="B4570" i="3"/>
  <c r="D4569" i="3"/>
  <c r="C4569" i="3"/>
  <c r="B4569" i="3"/>
  <c r="D4568" i="3"/>
  <c r="C4568" i="3"/>
  <c r="B4568" i="3"/>
  <c r="D4567" i="3"/>
  <c r="C4567" i="3"/>
  <c r="B4567" i="3"/>
  <c r="D4566" i="3"/>
  <c r="C4566" i="3"/>
  <c r="B4566" i="3"/>
  <c r="D4565" i="3"/>
  <c r="C4565" i="3"/>
  <c r="B4565" i="3"/>
  <c r="D4564" i="3"/>
  <c r="C4564" i="3"/>
  <c r="B4564" i="3"/>
  <c r="D4563" i="3"/>
  <c r="C4563" i="3"/>
  <c r="B4563" i="3"/>
  <c r="D4562" i="3"/>
  <c r="C4562" i="3"/>
  <c r="B4562" i="3"/>
  <c r="D4561" i="3"/>
  <c r="C4561" i="3"/>
  <c r="B4561" i="3"/>
  <c r="D4560" i="3"/>
  <c r="C4560" i="3"/>
  <c r="B4560" i="3"/>
  <c r="D4559" i="3"/>
  <c r="C4559" i="3"/>
  <c r="B4559" i="3"/>
  <c r="D4558" i="3"/>
  <c r="C4558" i="3"/>
  <c r="B4558" i="3"/>
  <c r="D4557" i="3"/>
  <c r="C4557" i="3"/>
  <c r="B4557" i="3"/>
  <c r="D4556" i="3"/>
  <c r="C4556" i="3"/>
  <c r="B4556" i="3"/>
  <c r="D4555" i="3"/>
  <c r="C4555" i="3"/>
  <c r="B4555" i="3"/>
  <c r="D4554" i="3"/>
  <c r="C4554" i="3"/>
  <c r="B4554" i="3"/>
  <c r="D4553" i="3"/>
  <c r="C4553" i="3"/>
  <c r="B4553" i="3"/>
  <c r="D4552" i="3"/>
  <c r="C4552" i="3"/>
  <c r="B4552" i="3"/>
  <c r="D4551" i="3"/>
  <c r="C4551" i="3"/>
  <c r="B4551" i="3"/>
  <c r="D4550" i="3"/>
  <c r="C4550" i="3"/>
  <c r="B4550" i="3"/>
  <c r="D4549" i="3"/>
  <c r="C4549" i="3"/>
  <c r="B4549" i="3"/>
  <c r="D4548" i="3"/>
  <c r="C4548" i="3"/>
  <c r="B4548" i="3"/>
  <c r="D4547" i="3"/>
  <c r="C4547" i="3"/>
  <c r="B4547" i="3"/>
  <c r="D4546" i="3"/>
  <c r="C4546" i="3"/>
  <c r="B4546" i="3"/>
  <c r="D4545" i="3"/>
  <c r="C4545" i="3"/>
  <c r="B4545" i="3"/>
  <c r="D4544" i="3"/>
  <c r="C4544" i="3"/>
  <c r="B4544" i="3"/>
  <c r="D4543" i="3"/>
  <c r="C4543" i="3"/>
  <c r="B4543" i="3"/>
  <c r="D4542" i="3"/>
  <c r="C4542" i="3"/>
  <c r="B4542" i="3"/>
  <c r="D4541" i="3"/>
  <c r="C4541" i="3"/>
  <c r="B4541" i="3"/>
  <c r="D4540" i="3"/>
  <c r="C4540" i="3"/>
  <c r="B4540" i="3"/>
  <c r="D4539" i="3"/>
  <c r="C4539" i="3"/>
  <c r="B4539" i="3"/>
  <c r="D4538" i="3"/>
  <c r="C4538" i="3"/>
  <c r="B4538" i="3"/>
  <c r="D4537" i="3"/>
  <c r="C4537" i="3"/>
  <c r="B4537" i="3"/>
  <c r="D4536" i="3"/>
  <c r="C4536" i="3"/>
  <c r="B4536" i="3"/>
  <c r="D4535" i="3"/>
  <c r="C4535" i="3"/>
  <c r="B4535" i="3"/>
  <c r="D4534" i="3"/>
  <c r="C4534" i="3"/>
  <c r="B4534" i="3"/>
  <c r="D4533" i="3"/>
  <c r="C4533" i="3"/>
  <c r="B4533" i="3"/>
  <c r="D4532" i="3"/>
  <c r="C4532" i="3"/>
  <c r="B4532" i="3"/>
  <c r="D4531" i="3"/>
  <c r="C4531" i="3"/>
  <c r="B4531" i="3"/>
  <c r="D4530" i="3"/>
  <c r="C4530" i="3"/>
  <c r="B4530" i="3"/>
  <c r="D4529" i="3"/>
  <c r="C4529" i="3"/>
  <c r="B4529" i="3"/>
  <c r="D4528" i="3"/>
  <c r="C4528" i="3"/>
  <c r="B4528" i="3"/>
  <c r="D4527" i="3"/>
  <c r="C4527" i="3"/>
  <c r="B4527" i="3"/>
  <c r="D4526" i="3"/>
  <c r="C4526" i="3"/>
  <c r="B4526" i="3"/>
  <c r="D4525" i="3"/>
  <c r="C4525" i="3"/>
  <c r="B4525" i="3"/>
  <c r="D4524" i="3"/>
  <c r="C4524" i="3"/>
  <c r="B4524" i="3"/>
  <c r="D4523" i="3"/>
  <c r="C4523" i="3"/>
  <c r="B4523" i="3"/>
  <c r="D4522" i="3"/>
  <c r="C4522" i="3"/>
  <c r="B4522" i="3"/>
  <c r="D4521" i="3"/>
  <c r="C4521" i="3"/>
  <c r="B4521" i="3"/>
  <c r="D4520" i="3"/>
  <c r="C4520" i="3"/>
  <c r="B4520" i="3"/>
  <c r="D4519" i="3"/>
  <c r="C4519" i="3"/>
  <c r="B4519" i="3"/>
  <c r="D4518" i="3"/>
  <c r="C4518" i="3"/>
  <c r="B4518" i="3"/>
  <c r="D4517" i="3"/>
  <c r="C4517" i="3"/>
  <c r="B4517" i="3"/>
  <c r="D4516" i="3"/>
  <c r="C4516" i="3"/>
  <c r="B4516" i="3"/>
  <c r="D4515" i="3"/>
  <c r="C4515" i="3"/>
  <c r="B4515" i="3"/>
  <c r="D4514" i="3"/>
  <c r="C4514" i="3"/>
  <c r="B4514" i="3"/>
  <c r="D4513" i="3"/>
  <c r="C4513" i="3"/>
  <c r="B4513" i="3"/>
  <c r="D4512" i="3"/>
  <c r="C4512" i="3"/>
  <c r="B4512" i="3"/>
  <c r="D4511" i="3"/>
  <c r="C4511" i="3"/>
  <c r="B4511" i="3"/>
  <c r="D4510" i="3"/>
  <c r="C4510" i="3"/>
  <c r="B4510" i="3"/>
  <c r="D4509" i="3"/>
  <c r="C4509" i="3"/>
  <c r="B4509" i="3"/>
  <c r="D4508" i="3"/>
  <c r="C4508" i="3"/>
  <c r="B4508" i="3"/>
  <c r="D4507" i="3"/>
  <c r="C4507" i="3"/>
  <c r="B4507" i="3"/>
  <c r="D4506" i="3"/>
  <c r="C4506" i="3"/>
  <c r="B4506" i="3"/>
  <c r="D4505" i="3"/>
  <c r="C4505" i="3"/>
  <c r="B4505" i="3"/>
  <c r="D4504" i="3"/>
  <c r="C4504" i="3"/>
  <c r="B4504" i="3"/>
  <c r="D4503" i="3"/>
  <c r="C4503" i="3"/>
  <c r="B4503" i="3"/>
  <c r="D4502" i="3"/>
  <c r="C4502" i="3"/>
  <c r="B4502" i="3"/>
  <c r="D4501" i="3"/>
  <c r="C4501" i="3"/>
  <c r="B4501" i="3"/>
  <c r="D4500" i="3"/>
  <c r="C4500" i="3"/>
  <c r="B4500" i="3"/>
  <c r="D4499" i="3"/>
  <c r="C4499" i="3"/>
  <c r="B4499" i="3"/>
  <c r="D4498" i="3"/>
  <c r="C4498" i="3"/>
  <c r="B4498" i="3"/>
  <c r="D4497" i="3"/>
  <c r="C4497" i="3"/>
  <c r="B4497" i="3"/>
  <c r="D4496" i="3"/>
  <c r="C4496" i="3"/>
  <c r="B4496" i="3"/>
  <c r="D4495" i="3"/>
  <c r="C4495" i="3"/>
  <c r="B4495" i="3"/>
  <c r="D4494" i="3"/>
  <c r="C4494" i="3"/>
  <c r="B4494" i="3"/>
  <c r="D4493" i="3"/>
  <c r="C4493" i="3"/>
  <c r="B4493" i="3"/>
  <c r="D4492" i="3"/>
  <c r="C4492" i="3"/>
  <c r="B4492" i="3"/>
  <c r="D4491" i="3"/>
  <c r="C4491" i="3"/>
  <c r="B4491" i="3"/>
  <c r="D4490" i="3"/>
  <c r="C4490" i="3"/>
  <c r="B4490" i="3"/>
  <c r="D4489" i="3"/>
  <c r="C4489" i="3"/>
  <c r="B4489" i="3"/>
  <c r="D4488" i="3"/>
  <c r="C4488" i="3"/>
  <c r="B4488" i="3"/>
  <c r="D4487" i="3"/>
  <c r="C4487" i="3"/>
  <c r="B4487" i="3"/>
  <c r="D4486" i="3"/>
  <c r="C4486" i="3"/>
  <c r="B4486" i="3"/>
  <c r="D4485" i="3"/>
  <c r="C4485" i="3"/>
  <c r="B4485" i="3"/>
  <c r="D4484" i="3"/>
  <c r="C4484" i="3"/>
  <c r="B4484" i="3"/>
  <c r="D4483" i="3"/>
  <c r="C4483" i="3"/>
  <c r="B4483" i="3"/>
  <c r="D4482" i="3"/>
  <c r="C4482" i="3"/>
  <c r="B4482" i="3"/>
  <c r="D4481" i="3"/>
  <c r="C4481" i="3"/>
  <c r="B4481" i="3"/>
  <c r="D4480" i="3"/>
  <c r="C4480" i="3"/>
  <c r="B4480" i="3"/>
  <c r="D4479" i="3"/>
  <c r="C4479" i="3"/>
  <c r="B4479" i="3"/>
  <c r="D4478" i="3"/>
  <c r="C4478" i="3"/>
  <c r="B4478" i="3"/>
  <c r="D4477" i="3"/>
  <c r="C4477" i="3"/>
  <c r="B4477" i="3"/>
  <c r="D4476" i="3"/>
  <c r="C4476" i="3"/>
  <c r="B4476" i="3"/>
  <c r="D4475" i="3"/>
  <c r="C4475" i="3"/>
  <c r="B4475" i="3"/>
  <c r="D4474" i="3"/>
  <c r="C4474" i="3"/>
  <c r="B4474" i="3"/>
  <c r="D4473" i="3"/>
  <c r="C4473" i="3"/>
  <c r="B4473" i="3"/>
  <c r="D4472" i="3"/>
  <c r="C4472" i="3"/>
  <c r="B4472" i="3"/>
  <c r="D4471" i="3"/>
  <c r="C4471" i="3"/>
  <c r="B4471" i="3"/>
  <c r="D4470" i="3"/>
  <c r="C4470" i="3"/>
  <c r="B4470" i="3"/>
  <c r="D4469" i="3"/>
  <c r="C4469" i="3"/>
  <c r="B4469" i="3"/>
  <c r="D4468" i="3"/>
  <c r="C4468" i="3"/>
  <c r="B4468" i="3"/>
  <c r="D4467" i="3"/>
  <c r="C4467" i="3"/>
  <c r="B4467" i="3"/>
  <c r="D4466" i="3"/>
  <c r="C4466" i="3"/>
  <c r="B4466" i="3"/>
  <c r="D4465" i="3"/>
  <c r="C4465" i="3"/>
  <c r="B4465" i="3"/>
  <c r="D4464" i="3"/>
  <c r="C4464" i="3"/>
  <c r="B4464" i="3"/>
  <c r="D4463" i="3"/>
  <c r="C4463" i="3"/>
  <c r="B4463" i="3"/>
  <c r="D4462" i="3"/>
  <c r="C4462" i="3"/>
  <c r="B4462" i="3"/>
  <c r="D4461" i="3"/>
  <c r="C4461" i="3"/>
  <c r="B4461" i="3"/>
  <c r="D4460" i="3"/>
  <c r="C4460" i="3"/>
  <c r="B4460" i="3"/>
  <c r="D4459" i="3"/>
  <c r="C4459" i="3"/>
  <c r="B4459" i="3"/>
  <c r="D4458" i="3"/>
  <c r="C4458" i="3"/>
  <c r="B4458" i="3"/>
  <c r="D4457" i="3"/>
  <c r="C4457" i="3"/>
  <c r="B4457" i="3"/>
  <c r="D4456" i="3"/>
  <c r="C4456" i="3"/>
  <c r="B4456" i="3"/>
  <c r="D4455" i="3"/>
  <c r="C4455" i="3"/>
  <c r="B4455" i="3"/>
  <c r="D4454" i="3"/>
  <c r="C4454" i="3"/>
  <c r="B4454" i="3"/>
  <c r="D4453" i="3"/>
  <c r="C4453" i="3"/>
  <c r="B4453" i="3"/>
  <c r="D4452" i="3"/>
  <c r="C4452" i="3"/>
  <c r="B4452" i="3"/>
  <c r="D4451" i="3"/>
  <c r="C4451" i="3"/>
  <c r="B4451" i="3"/>
  <c r="D4450" i="3"/>
  <c r="C4450" i="3"/>
  <c r="B4450" i="3"/>
  <c r="D4449" i="3"/>
  <c r="C4449" i="3"/>
  <c r="B4449" i="3"/>
  <c r="D4448" i="3"/>
  <c r="C4448" i="3"/>
  <c r="B4448" i="3"/>
  <c r="D4447" i="3"/>
  <c r="C4447" i="3"/>
  <c r="B4447" i="3"/>
  <c r="D4446" i="3"/>
  <c r="C4446" i="3"/>
  <c r="B4446" i="3"/>
  <c r="D4445" i="3"/>
  <c r="C4445" i="3"/>
  <c r="B4445" i="3"/>
  <c r="D4444" i="3"/>
  <c r="C4444" i="3"/>
  <c r="B4444" i="3"/>
  <c r="D4443" i="3"/>
  <c r="C4443" i="3"/>
  <c r="B4443" i="3"/>
  <c r="D4442" i="3"/>
  <c r="C4442" i="3"/>
  <c r="B4442" i="3"/>
  <c r="D4441" i="3"/>
  <c r="C4441" i="3"/>
  <c r="B4441" i="3"/>
  <c r="D4440" i="3"/>
  <c r="C4440" i="3"/>
  <c r="B4440" i="3"/>
  <c r="D4439" i="3"/>
  <c r="C4439" i="3"/>
  <c r="B4439" i="3"/>
  <c r="D4438" i="3"/>
  <c r="C4438" i="3"/>
  <c r="B4438" i="3"/>
  <c r="D4437" i="3"/>
  <c r="C4437" i="3"/>
  <c r="B4437" i="3"/>
  <c r="D4436" i="3"/>
  <c r="C4436" i="3"/>
  <c r="B4436" i="3"/>
  <c r="D4435" i="3"/>
  <c r="C4435" i="3"/>
  <c r="B4435" i="3"/>
  <c r="D4434" i="3"/>
  <c r="C4434" i="3"/>
  <c r="B4434" i="3"/>
  <c r="D4433" i="3"/>
  <c r="C4433" i="3"/>
  <c r="B4433" i="3"/>
  <c r="D4432" i="3"/>
  <c r="C4432" i="3"/>
  <c r="B4432" i="3"/>
  <c r="D4431" i="3"/>
  <c r="C4431" i="3"/>
  <c r="B4431" i="3"/>
  <c r="D4430" i="3"/>
  <c r="C4430" i="3"/>
  <c r="B4430" i="3"/>
  <c r="D4429" i="3"/>
  <c r="C4429" i="3"/>
  <c r="B4429" i="3"/>
  <c r="D4428" i="3"/>
  <c r="C4428" i="3"/>
  <c r="B4428" i="3"/>
  <c r="D4427" i="3"/>
  <c r="C4427" i="3"/>
  <c r="B4427" i="3"/>
  <c r="D4426" i="3"/>
  <c r="C4426" i="3"/>
  <c r="B4426" i="3"/>
  <c r="D4425" i="3"/>
  <c r="C4425" i="3"/>
  <c r="B4425" i="3"/>
  <c r="D4424" i="3"/>
  <c r="C4424" i="3"/>
  <c r="B4424" i="3"/>
  <c r="D4423" i="3"/>
  <c r="C4423" i="3"/>
  <c r="B4423" i="3"/>
  <c r="D4422" i="3"/>
  <c r="C4422" i="3"/>
  <c r="B4422" i="3"/>
  <c r="D4421" i="3"/>
  <c r="C4421" i="3"/>
  <c r="B4421" i="3"/>
  <c r="D4420" i="3"/>
  <c r="C4420" i="3"/>
  <c r="B4420" i="3"/>
  <c r="D4419" i="3"/>
  <c r="C4419" i="3"/>
  <c r="B4419" i="3"/>
  <c r="D4418" i="3"/>
  <c r="C4418" i="3"/>
  <c r="B4418" i="3"/>
  <c r="D4417" i="3"/>
  <c r="C4417" i="3"/>
  <c r="B4417" i="3"/>
  <c r="D4416" i="3"/>
  <c r="C4416" i="3"/>
  <c r="B4416" i="3"/>
  <c r="D4415" i="3"/>
  <c r="C4415" i="3"/>
  <c r="B4415" i="3"/>
  <c r="D4414" i="3"/>
  <c r="C4414" i="3"/>
  <c r="B4414" i="3"/>
  <c r="D4413" i="3"/>
  <c r="C4413" i="3"/>
  <c r="B4413" i="3"/>
  <c r="D4412" i="3"/>
  <c r="C4412" i="3"/>
  <c r="B4412" i="3"/>
  <c r="D4411" i="3"/>
  <c r="C4411" i="3"/>
  <c r="B4411" i="3"/>
  <c r="D4410" i="3"/>
  <c r="C4410" i="3"/>
  <c r="B4410" i="3"/>
  <c r="D4409" i="3"/>
  <c r="C4409" i="3"/>
  <c r="B4409" i="3"/>
  <c r="D4408" i="3"/>
  <c r="C4408" i="3"/>
  <c r="B4408" i="3"/>
  <c r="D4407" i="3"/>
  <c r="C4407" i="3"/>
  <c r="B4407" i="3"/>
  <c r="D4406" i="3"/>
  <c r="C4406" i="3"/>
  <c r="B4406" i="3"/>
  <c r="D4405" i="3"/>
  <c r="C4405" i="3"/>
  <c r="B4405" i="3"/>
  <c r="D4404" i="3"/>
  <c r="C4404" i="3"/>
  <c r="B4404" i="3"/>
  <c r="D4403" i="3"/>
  <c r="C4403" i="3"/>
  <c r="B4403" i="3"/>
  <c r="D4402" i="3"/>
  <c r="C4402" i="3"/>
  <c r="B4402" i="3"/>
  <c r="D4401" i="3"/>
  <c r="C4401" i="3"/>
  <c r="B4401" i="3"/>
  <c r="D4400" i="3"/>
  <c r="C4400" i="3"/>
  <c r="B4400" i="3"/>
  <c r="D4399" i="3"/>
  <c r="C4399" i="3"/>
  <c r="B4399" i="3"/>
  <c r="D4398" i="3"/>
  <c r="C4398" i="3"/>
  <c r="B4398" i="3"/>
  <c r="D4397" i="3"/>
  <c r="C4397" i="3"/>
  <c r="B4397" i="3"/>
  <c r="D4396" i="3"/>
  <c r="C4396" i="3"/>
  <c r="B4396" i="3"/>
  <c r="D4395" i="3"/>
  <c r="C4395" i="3"/>
  <c r="B4395" i="3"/>
  <c r="D4394" i="3"/>
  <c r="C4394" i="3"/>
  <c r="B4394" i="3"/>
  <c r="D4393" i="3"/>
  <c r="C4393" i="3"/>
  <c r="B4393" i="3"/>
  <c r="D4392" i="3"/>
  <c r="C4392" i="3"/>
  <c r="B4392" i="3"/>
  <c r="D4391" i="3"/>
  <c r="C4391" i="3"/>
  <c r="B4391" i="3"/>
  <c r="D4390" i="3"/>
  <c r="C4390" i="3"/>
  <c r="B4390" i="3"/>
  <c r="D4389" i="3"/>
  <c r="C4389" i="3"/>
  <c r="B4389" i="3"/>
  <c r="D4388" i="3"/>
  <c r="C4388" i="3"/>
  <c r="B4388" i="3"/>
  <c r="D4387" i="3"/>
  <c r="C4387" i="3"/>
  <c r="B4387" i="3"/>
  <c r="D4386" i="3"/>
  <c r="C4386" i="3"/>
  <c r="B4386" i="3"/>
  <c r="D4385" i="3"/>
  <c r="C4385" i="3"/>
  <c r="B4385" i="3"/>
  <c r="D4384" i="3"/>
  <c r="C4384" i="3"/>
  <c r="B4384" i="3"/>
  <c r="D4383" i="3"/>
  <c r="C4383" i="3"/>
  <c r="B4383" i="3"/>
  <c r="D4382" i="3"/>
  <c r="C4382" i="3"/>
  <c r="B4382" i="3"/>
  <c r="D4381" i="3"/>
  <c r="C4381" i="3"/>
  <c r="B4381" i="3"/>
  <c r="D4380" i="3"/>
  <c r="C4380" i="3"/>
  <c r="B4380" i="3"/>
  <c r="D4379" i="3"/>
  <c r="C4379" i="3"/>
  <c r="B4379" i="3"/>
  <c r="D4378" i="3"/>
  <c r="C4378" i="3"/>
  <c r="B4378" i="3"/>
  <c r="D4377" i="3"/>
  <c r="C4377" i="3"/>
  <c r="B4377" i="3"/>
  <c r="D4376" i="3"/>
  <c r="C4376" i="3"/>
  <c r="B4376" i="3"/>
  <c r="D4375" i="3"/>
  <c r="C4375" i="3"/>
  <c r="B4375" i="3"/>
  <c r="D4374" i="3"/>
  <c r="C4374" i="3"/>
  <c r="B4374" i="3"/>
  <c r="D4373" i="3"/>
  <c r="C4373" i="3"/>
  <c r="B4373" i="3"/>
  <c r="D4372" i="3"/>
  <c r="C4372" i="3"/>
  <c r="B4372" i="3"/>
  <c r="D4371" i="3"/>
  <c r="C4371" i="3"/>
  <c r="B4371" i="3"/>
  <c r="D4370" i="3"/>
  <c r="C4370" i="3"/>
  <c r="B4370" i="3"/>
  <c r="D4369" i="3"/>
  <c r="C4369" i="3"/>
  <c r="B4369" i="3"/>
  <c r="D4368" i="3"/>
  <c r="C4368" i="3"/>
  <c r="B4368" i="3"/>
  <c r="D4367" i="3"/>
  <c r="C4367" i="3"/>
  <c r="B4367" i="3"/>
  <c r="D4366" i="3"/>
  <c r="C4366" i="3"/>
  <c r="B4366" i="3"/>
  <c r="D4365" i="3"/>
  <c r="C4365" i="3"/>
  <c r="B4365" i="3"/>
  <c r="D4364" i="3"/>
  <c r="C4364" i="3"/>
  <c r="B4364" i="3"/>
  <c r="D4363" i="3"/>
  <c r="C4363" i="3"/>
  <c r="B4363" i="3"/>
  <c r="D4362" i="3"/>
  <c r="C4362" i="3"/>
  <c r="B4362" i="3"/>
  <c r="D4361" i="3"/>
  <c r="C4361" i="3"/>
  <c r="B4361" i="3"/>
  <c r="D4360" i="3"/>
  <c r="C4360" i="3"/>
  <c r="B4360" i="3"/>
  <c r="D4359" i="3"/>
  <c r="C4359" i="3"/>
  <c r="B4359" i="3"/>
  <c r="D4358" i="3"/>
  <c r="C4358" i="3"/>
  <c r="B4358" i="3"/>
  <c r="D4357" i="3"/>
  <c r="C4357" i="3"/>
  <c r="B4357" i="3"/>
  <c r="D4356" i="3"/>
  <c r="C4356" i="3"/>
  <c r="B4356" i="3"/>
  <c r="D4355" i="3"/>
  <c r="C4355" i="3"/>
  <c r="B4355" i="3"/>
  <c r="D4354" i="3"/>
  <c r="C4354" i="3"/>
  <c r="B4354" i="3"/>
  <c r="D4353" i="3"/>
  <c r="C4353" i="3"/>
  <c r="B4353" i="3"/>
  <c r="D4352" i="3"/>
  <c r="C4352" i="3"/>
  <c r="B4352" i="3"/>
  <c r="D4351" i="3"/>
  <c r="C4351" i="3"/>
  <c r="B4351" i="3"/>
  <c r="D4350" i="3"/>
  <c r="C4350" i="3"/>
  <c r="B4350" i="3"/>
  <c r="D4349" i="3"/>
  <c r="C4349" i="3"/>
  <c r="B4349" i="3"/>
  <c r="D4348" i="3"/>
  <c r="C4348" i="3"/>
  <c r="B4348" i="3"/>
  <c r="D4347" i="3"/>
  <c r="C4347" i="3"/>
  <c r="B4347" i="3"/>
  <c r="D4346" i="3"/>
  <c r="C4346" i="3"/>
  <c r="B4346" i="3"/>
  <c r="D4345" i="3"/>
  <c r="C4345" i="3"/>
  <c r="B4345" i="3"/>
  <c r="D4344" i="3"/>
  <c r="C4344" i="3"/>
  <c r="B4344" i="3"/>
  <c r="D4343" i="3"/>
  <c r="C4343" i="3"/>
  <c r="B4343" i="3"/>
  <c r="D4342" i="3"/>
  <c r="C4342" i="3"/>
  <c r="B4342" i="3"/>
  <c r="D4341" i="3"/>
  <c r="C4341" i="3"/>
  <c r="B4341" i="3"/>
  <c r="D4340" i="3"/>
  <c r="C4340" i="3"/>
  <c r="B4340" i="3"/>
  <c r="D4339" i="3"/>
  <c r="C4339" i="3"/>
  <c r="B4339" i="3"/>
  <c r="D4338" i="3"/>
  <c r="C4338" i="3"/>
  <c r="B4338" i="3"/>
  <c r="D4337" i="3"/>
  <c r="C4337" i="3"/>
  <c r="B4337" i="3"/>
  <c r="D4336" i="3"/>
  <c r="C4336" i="3"/>
  <c r="B4336" i="3"/>
  <c r="D4335" i="3"/>
  <c r="C4335" i="3"/>
  <c r="B4335" i="3"/>
  <c r="D4334" i="3"/>
  <c r="C4334" i="3"/>
  <c r="B4334" i="3"/>
  <c r="D4333" i="3"/>
  <c r="C4333" i="3"/>
  <c r="B4333" i="3"/>
  <c r="D4332" i="3"/>
  <c r="C4332" i="3"/>
  <c r="B4332" i="3"/>
  <c r="D4331" i="3"/>
  <c r="C4331" i="3"/>
  <c r="B4331" i="3"/>
  <c r="D4330" i="3"/>
  <c r="C4330" i="3"/>
  <c r="B4330" i="3"/>
  <c r="D4329" i="3"/>
  <c r="C4329" i="3"/>
  <c r="B4329" i="3"/>
  <c r="D4328" i="3"/>
  <c r="C4328" i="3"/>
  <c r="B4328" i="3"/>
  <c r="D4327" i="3"/>
  <c r="C4327" i="3"/>
  <c r="B4327" i="3"/>
  <c r="D4326" i="3"/>
  <c r="C4326" i="3"/>
  <c r="B4326" i="3"/>
  <c r="D4325" i="3"/>
  <c r="C4325" i="3"/>
  <c r="B4325" i="3"/>
  <c r="D4324" i="3"/>
  <c r="C4324" i="3"/>
  <c r="B4324" i="3"/>
  <c r="D4323" i="3"/>
  <c r="C4323" i="3"/>
  <c r="B4323" i="3"/>
  <c r="D4322" i="3"/>
  <c r="C4322" i="3"/>
  <c r="B4322" i="3"/>
  <c r="D4321" i="3"/>
  <c r="C4321" i="3"/>
  <c r="B4321" i="3"/>
  <c r="D4320" i="3"/>
  <c r="C4320" i="3"/>
  <c r="B4320" i="3"/>
  <c r="D4319" i="3"/>
  <c r="C4319" i="3"/>
  <c r="B4319" i="3"/>
  <c r="D4318" i="3"/>
  <c r="C4318" i="3"/>
  <c r="B4318" i="3"/>
  <c r="D4317" i="3"/>
  <c r="C4317" i="3"/>
  <c r="B4317" i="3"/>
  <c r="D4316" i="3"/>
  <c r="C4316" i="3"/>
  <c r="B4316" i="3"/>
  <c r="D4315" i="3"/>
  <c r="C4315" i="3"/>
  <c r="B4315" i="3"/>
  <c r="D4314" i="3"/>
  <c r="C4314" i="3"/>
  <c r="B4314" i="3"/>
  <c r="D4313" i="3"/>
  <c r="C4313" i="3"/>
  <c r="B4313" i="3"/>
  <c r="D4312" i="3"/>
  <c r="C4312" i="3"/>
  <c r="B4312" i="3"/>
  <c r="D4311" i="3"/>
  <c r="C4311" i="3"/>
  <c r="B4311" i="3"/>
  <c r="D4310" i="3"/>
  <c r="C4310" i="3"/>
  <c r="B4310" i="3"/>
  <c r="D4309" i="3"/>
  <c r="C4309" i="3"/>
  <c r="B4309" i="3"/>
  <c r="D4308" i="3"/>
  <c r="C4308" i="3"/>
  <c r="B4308" i="3"/>
  <c r="D4307" i="3"/>
  <c r="C4307" i="3"/>
  <c r="B4307" i="3"/>
  <c r="D4306" i="3"/>
  <c r="C4306" i="3"/>
  <c r="B4306" i="3"/>
  <c r="D4305" i="3"/>
  <c r="C4305" i="3"/>
  <c r="B4305" i="3"/>
  <c r="D4304" i="3"/>
  <c r="C4304" i="3"/>
  <c r="B4304" i="3"/>
  <c r="D4303" i="3"/>
  <c r="C4303" i="3"/>
  <c r="B4303" i="3"/>
  <c r="D4302" i="3"/>
  <c r="C4302" i="3"/>
  <c r="B4302" i="3"/>
  <c r="D4301" i="3"/>
  <c r="C4301" i="3"/>
  <c r="B4301" i="3"/>
  <c r="D4300" i="3"/>
  <c r="C4300" i="3"/>
  <c r="B4300" i="3"/>
  <c r="D4299" i="3"/>
  <c r="C4299" i="3"/>
  <c r="B4299" i="3"/>
  <c r="D4298" i="3"/>
  <c r="C4298" i="3"/>
  <c r="B4298" i="3"/>
  <c r="D4297" i="3"/>
  <c r="C4297" i="3"/>
  <c r="B4297" i="3"/>
  <c r="D4296" i="3"/>
  <c r="C4296" i="3"/>
  <c r="B4296" i="3"/>
  <c r="D4295" i="3"/>
  <c r="C4295" i="3"/>
  <c r="B4295" i="3"/>
  <c r="D4294" i="3"/>
  <c r="C4294" i="3"/>
  <c r="B4294" i="3"/>
  <c r="D4293" i="3"/>
  <c r="C4293" i="3"/>
  <c r="B4293" i="3"/>
  <c r="D4292" i="3"/>
  <c r="C4292" i="3"/>
  <c r="B4292" i="3"/>
  <c r="D4291" i="3"/>
  <c r="C4291" i="3"/>
  <c r="B4291" i="3"/>
  <c r="D4290" i="3"/>
  <c r="C4290" i="3"/>
  <c r="B4290" i="3"/>
  <c r="D4289" i="3"/>
  <c r="C4289" i="3"/>
  <c r="B4289" i="3"/>
  <c r="D4288" i="3"/>
  <c r="C4288" i="3"/>
  <c r="B4288" i="3"/>
  <c r="D4287" i="3"/>
  <c r="C4287" i="3"/>
  <c r="B4287" i="3"/>
  <c r="D4286" i="3"/>
  <c r="C4286" i="3"/>
  <c r="B4286" i="3"/>
  <c r="D4285" i="3"/>
  <c r="C4285" i="3"/>
  <c r="B4285" i="3"/>
  <c r="D4284" i="3"/>
  <c r="C4284" i="3"/>
  <c r="B4284" i="3"/>
  <c r="D4283" i="3"/>
  <c r="C4283" i="3"/>
  <c r="B4283" i="3"/>
  <c r="D4282" i="3"/>
  <c r="C4282" i="3"/>
  <c r="B4282" i="3"/>
  <c r="D4281" i="3"/>
  <c r="C4281" i="3"/>
  <c r="B4281" i="3"/>
  <c r="D4280" i="3"/>
  <c r="C4280" i="3"/>
  <c r="B4280" i="3"/>
  <c r="D4279" i="3"/>
  <c r="C4279" i="3"/>
  <c r="B4279" i="3"/>
  <c r="D4278" i="3"/>
  <c r="C4278" i="3"/>
  <c r="B4278" i="3"/>
  <c r="D4277" i="3"/>
  <c r="C4277" i="3"/>
  <c r="B4277" i="3"/>
  <c r="D4276" i="3"/>
  <c r="C4276" i="3"/>
  <c r="B4276" i="3"/>
  <c r="D4275" i="3"/>
  <c r="C4275" i="3"/>
  <c r="B4275" i="3"/>
  <c r="D4274" i="3"/>
  <c r="C4274" i="3"/>
  <c r="B4274" i="3"/>
  <c r="D4273" i="3"/>
  <c r="C4273" i="3"/>
  <c r="B4273" i="3"/>
  <c r="D4272" i="3"/>
  <c r="C4272" i="3"/>
  <c r="B4272" i="3"/>
  <c r="D4271" i="3"/>
  <c r="C4271" i="3"/>
  <c r="B4271" i="3"/>
  <c r="D4270" i="3"/>
  <c r="C4270" i="3"/>
  <c r="B4270" i="3"/>
  <c r="D4269" i="3"/>
  <c r="C4269" i="3"/>
  <c r="B4269" i="3"/>
  <c r="D4268" i="3"/>
  <c r="C4268" i="3"/>
  <c r="B4268" i="3"/>
  <c r="D4267" i="3"/>
  <c r="C4267" i="3"/>
  <c r="B4267" i="3"/>
  <c r="D4266" i="3"/>
  <c r="C4266" i="3"/>
  <c r="B4266" i="3"/>
  <c r="D4265" i="3"/>
  <c r="C4265" i="3"/>
  <c r="B4265" i="3"/>
  <c r="D4264" i="3"/>
  <c r="C4264" i="3"/>
  <c r="B4264" i="3"/>
  <c r="D4263" i="3"/>
  <c r="C4263" i="3"/>
  <c r="B4263" i="3"/>
  <c r="D4262" i="3"/>
  <c r="C4262" i="3"/>
  <c r="B4262" i="3"/>
  <c r="D4261" i="3"/>
  <c r="C4261" i="3"/>
  <c r="B4261" i="3"/>
  <c r="D4260" i="3"/>
  <c r="C4260" i="3"/>
  <c r="B4260" i="3"/>
  <c r="D4259" i="3"/>
  <c r="C4259" i="3"/>
  <c r="B4259" i="3"/>
  <c r="D4258" i="3"/>
  <c r="C4258" i="3"/>
  <c r="B4258" i="3"/>
  <c r="D4257" i="3"/>
  <c r="C4257" i="3"/>
  <c r="B4257" i="3"/>
  <c r="D4256" i="3"/>
  <c r="C4256" i="3"/>
  <c r="B4256" i="3"/>
  <c r="D4255" i="3"/>
  <c r="C4255" i="3"/>
  <c r="B4255" i="3"/>
  <c r="D4254" i="3"/>
  <c r="C4254" i="3"/>
  <c r="B4254" i="3"/>
  <c r="D4253" i="3"/>
  <c r="C4253" i="3"/>
  <c r="B4253" i="3"/>
  <c r="D4252" i="3"/>
  <c r="C4252" i="3"/>
  <c r="B4252" i="3"/>
  <c r="D4251" i="3"/>
  <c r="C4251" i="3"/>
  <c r="B4251" i="3"/>
  <c r="D4250" i="3"/>
  <c r="C4250" i="3"/>
  <c r="B4250" i="3"/>
  <c r="D4249" i="3"/>
  <c r="C4249" i="3"/>
  <c r="B4249" i="3"/>
  <c r="D4248" i="3"/>
  <c r="C4248" i="3"/>
  <c r="B4248" i="3"/>
  <c r="D4247" i="3"/>
  <c r="C4247" i="3"/>
  <c r="B4247" i="3"/>
  <c r="D4246" i="3"/>
  <c r="C4246" i="3"/>
  <c r="B4246" i="3"/>
  <c r="D4245" i="3"/>
  <c r="C4245" i="3"/>
  <c r="B4245" i="3"/>
  <c r="D4244" i="3"/>
  <c r="C4244" i="3"/>
  <c r="B4244" i="3"/>
  <c r="D4243" i="3"/>
  <c r="C4243" i="3"/>
  <c r="B4243" i="3"/>
  <c r="D4242" i="3"/>
  <c r="C4242" i="3"/>
  <c r="B4242" i="3"/>
  <c r="D4241" i="3"/>
  <c r="C4241" i="3"/>
  <c r="B4241" i="3"/>
  <c r="D4240" i="3"/>
  <c r="C4240" i="3"/>
  <c r="B4240" i="3"/>
  <c r="D4239" i="3"/>
  <c r="C4239" i="3"/>
  <c r="B4239" i="3"/>
  <c r="D4238" i="3"/>
  <c r="C4238" i="3"/>
  <c r="B4238" i="3"/>
  <c r="D4237" i="3"/>
  <c r="C4237" i="3"/>
  <c r="B4237" i="3"/>
  <c r="D4236" i="3"/>
  <c r="C4236" i="3"/>
  <c r="B4236" i="3"/>
  <c r="D4235" i="3"/>
  <c r="C4235" i="3"/>
  <c r="B4235" i="3"/>
  <c r="D4234" i="3"/>
  <c r="C4234" i="3"/>
  <c r="B4234" i="3"/>
  <c r="D4233" i="3"/>
  <c r="C4233" i="3"/>
  <c r="B4233" i="3"/>
  <c r="D4232" i="3"/>
  <c r="C4232" i="3"/>
  <c r="B4232" i="3"/>
  <c r="D4231" i="3"/>
  <c r="C4231" i="3"/>
  <c r="B4231" i="3"/>
  <c r="D4230" i="3"/>
  <c r="C4230" i="3"/>
  <c r="B4230" i="3"/>
  <c r="D4229" i="3"/>
  <c r="C4229" i="3"/>
  <c r="B4229" i="3"/>
  <c r="D4228" i="3"/>
  <c r="C4228" i="3"/>
  <c r="B4228" i="3"/>
  <c r="D4227" i="3"/>
  <c r="C4227" i="3"/>
  <c r="B4227" i="3"/>
  <c r="D4226" i="3"/>
  <c r="C4226" i="3"/>
  <c r="B4226" i="3"/>
  <c r="D4225" i="3"/>
  <c r="C4225" i="3"/>
  <c r="B4225" i="3"/>
  <c r="D4224" i="3"/>
  <c r="C4224" i="3"/>
  <c r="B4224" i="3"/>
  <c r="D4223" i="3"/>
  <c r="C4223" i="3"/>
  <c r="B4223" i="3"/>
  <c r="D4222" i="3"/>
  <c r="C4222" i="3"/>
  <c r="B4222" i="3"/>
  <c r="D4221" i="3"/>
  <c r="C4221" i="3"/>
  <c r="B4221" i="3"/>
  <c r="D4220" i="3"/>
  <c r="C4220" i="3"/>
  <c r="B4220" i="3"/>
  <c r="D4219" i="3"/>
  <c r="C4219" i="3"/>
  <c r="B4219" i="3"/>
  <c r="D4218" i="3"/>
  <c r="C4218" i="3"/>
  <c r="B4218" i="3"/>
  <c r="D4217" i="3"/>
  <c r="C4217" i="3"/>
  <c r="B4217" i="3"/>
  <c r="D4216" i="3"/>
  <c r="C4216" i="3"/>
  <c r="B4216" i="3"/>
  <c r="D4215" i="3"/>
  <c r="C4215" i="3"/>
  <c r="B4215" i="3"/>
  <c r="D4214" i="3"/>
  <c r="C4214" i="3"/>
  <c r="B4214" i="3"/>
  <c r="D4213" i="3"/>
  <c r="C4213" i="3"/>
  <c r="B4213" i="3"/>
  <c r="D4212" i="3"/>
  <c r="C4212" i="3"/>
  <c r="B4212" i="3"/>
  <c r="D4211" i="3"/>
  <c r="C4211" i="3"/>
  <c r="B4211" i="3"/>
  <c r="D4210" i="3"/>
  <c r="C4210" i="3"/>
  <c r="B4210" i="3"/>
  <c r="D4209" i="3"/>
  <c r="C4209" i="3"/>
  <c r="B4209" i="3"/>
  <c r="D4208" i="3"/>
  <c r="C4208" i="3"/>
  <c r="B4208" i="3"/>
  <c r="D4207" i="3"/>
  <c r="C4207" i="3"/>
  <c r="B4207" i="3"/>
  <c r="D4206" i="3"/>
  <c r="C4206" i="3"/>
  <c r="B4206" i="3"/>
  <c r="D4205" i="3"/>
  <c r="C4205" i="3"/>
  <c r="B4205" i="3"/>
  <c r="D4204" i="3"/>
  <c r="C4204" i="3"/>
  <c r="B4204" i="3"/>
  <c r="D4203" i="3"/>
  <c r="C4203" i="3"/>
  <c r="B4203" i="3"/>
  <c r="D4202" i="3"/>
  <c r="C4202" i="3"/>
  <c r="B4202" i="3"/>
  <c r="D4201" i="3"/>
  <c r="C4201" i="3"/>
  <c r="B4201" i="3"/>
  <c r="D4200" i="3"/>
  <c r="C4200" i="3"/>
  <c r="B4200" i="3"/>
  <c r="D4199" i="3"/>
  <c r="C4199" i="3"/>
  <c r="B4199" i="3"/>
  <c r="D4198" i="3"/>
  <c r="C4198" i="3"/>
  <c r="B4198" i="3"/>
  <c r="D4197" i="3"/>
  <c r="C4197" i="3"/>
  <c r="B4197" i="3"/>
  <c r="D4196" i="3"/>
  <c r="C4196" i="3"/>
  <c r="B4196" i="3"/>
  <c r="D4195" i="3"/>
  <c r="C4195" i="3"/>
  <c r="B4195" i="3"/>
  <c r="D4194" i="3"/>
  <c r="C4194" i="3"/>
  <c r="B4194" i="3"/>
  <c r="D4193" i="3"/>
  <c r="C4193" i="3"/>
  <c r="B4193" i="3"/>
  <c r="D4192" i="3"/>
  <c r="C4192" i="3"/>
  <c r="B4192" i="3"/>
  <c r="D4191" i="3"/>
  <c r="C4191" i="3"/>
  <c r="B4191" i="3"/>
  <c r="D4190" i="3"/>
  <c r="C4190" i="3"/>
  <c r="B4190" i="3"/>
  <c r="D4189" i="3"/>
  <c r="C4189" i="3"/>
  <c r="B4189" i="3"/>
  <c r="D4188" i="3"/>
  <c r="C4188" i="3"/>
  <c r="B4188" i="3"/>
  <c r="D4187" i="3"/>
  <c r="C4187" i="3"/>
  <c r="B4187" i="3"/>
  <c r="D4186" i="3"/>
  <c r="C4186" i="3"/>
  <c r="B4186" i="3"/>
  <c r="D4185" i="3"/>
  <c r="C4185" i="3"/>
  <c r="B4185" i="3"/>
  <c r="D4184" i="3"/>
  <c r="C4184" i="3"/>
  <c r="B4184" i="3"/>
  <c r="D4183" i="3"/>
  <c r="C4183" i="3"/>
  <c r="B4183" i="3"/>
  <c r="D4182" i="3"/>
  <c r="C4182" i="3"/>
  <c r="B4182" i="3"/>
  <c r="D4181" i="3"/>
  <c r="C4181" i="3"/>
  <c r="B4181" i="3"/>
  <c r="D4180" i="3"/>
  <c r="C4180" i="3"/>
  <c r="B4180" i="3"/>
  <c r="D4179" i="3"/>
  <c r="C4179" i="3"/>
  <c r="B4179" i="3"/>
  <c r="D4178" i="3"/>
  <c r="C4178" i="3"/>
  <c r="B4178" i="3"/>
  <c r="D4177" i="3"/>
  <c r="C4177" i="3"/>
  <c r="B4177" i="3"/>
  <c r="D4176" i="3"/>
  <c r="C4176" i="3"/>
  <c r="B4176" i="3"/>
  <c r="D4175" i="3"/>
  <c r="C4175" i="3"/>
  <c r="B4175" i="3"/>
  <c r="D4174" i="3"/>
  <c r="C4174" i="3"/>
  <c r="B4174" i="3"/>
  <c r="D4173" i="3"/>
  <c r="C4173" i="3"/>
  <c r="B4173" i="3"/>
  <c r="D4172" i="3"/>
  <c r="C4172" i="3"/>
  <c r="B4172" i="3"/>
  <c r="D4171" i="3"/>
  <c r="C4171" i="3"/>
  <c r="B4171" i="3"/>
  <c r="D4170" i="3"/>
  <c r="C4170" i="3"/>
  <c r="B4170" i="3"/>
  <c r="D4169" i="3"/>
  <c r="C4169" i="3"/>
  <c r="B4169" i="3"/>
  <c r="D4168" i="3"/>
  <c r="C4168" i="3"/>
  <c r="B4168" i="3"/>
  <c r="D4167" i="3"/>
  <c r="C4167" i="3"/>
  <c r="B4167" i="3"/>
  <c r="D4166" i="3"/>
  <c r="C4166" i="3"/>
  <c r="B4166" i="3"/>
  <c r="D4165" i="3"/>
  <c r="C4165" i="3"/>
  <c r="B4165" i="3"/>
  <c r="D4164" i="3"/>
  <c r="C4164" i="3"/>
  <c r="B4164" i="3"/>
  <c r="D4163" i="3"/>
  <c r="C4163" i="3"/>
  <c r="B4163" i="3"/>
  <c r="D4162" i="3"/>
  <c r="C4162" i="3"/>
  <c r="B4162" i="3"/>
  <c r="D4161" i="3"/>
  <c r="C4161" i="3"/>
  <c r="B4161" i="3"/>
  <c r="D4160" i="3"/>
  <c r="C4160" i="3"/>
  <c r="B4160" i="3"/>
  <c r="D4159" i="3"/>
  <c r="C4159" i="3"/>
  <c r="B4159" i="3"/>
  <c r="D4158" i="3"/>
  <c r="C4158" i="3"/>
  <c r="B4158" i="3"/>
  <c r="D4157" i="3"/>
  <c r="C4157" i="3"/>
  <c r="B4157" i="3"/>
  <c r="D4156" i="3"/>
  <c r="C4156" i="3"/>
  <c r="B4156" i="3"/>
  <c r="D4155" i="3"/>
  <c r="C4155" i="3"/>
  <c r="B4155" i="3"/>
  <c r="D4154" i="3"/>
  <c r="C4154" i="3"/>
  <c r="B4154" i="3"/>
  <c r="D4153" i="3"/>
  <c r="C4153" i="3"/>
  <c r="B4153" i="3"/>
  <c r="D4152" i="3"/>
  <c r="C4152" i="3"/>
  <c r="B4152" i="3"/>
  <c r="D4151" i="3"/>
  <c r="C4151" i="3"/>
  <c r="B4151" i="3"/>
  <c r="D4150" i="3"/>
  <c r="C4150" i="3"/>
  <c r="B4150" i="3"/>
  <c r="D4149" i="3"/>
  <c r="C4149" i="3"/>
  <c r="B4149" i="3"/>
  <c r="D4148" i="3"/>
  <c r="C4148" i="3"/>
  <c r="B4148" i="3"/>
  <c r="D4147" i="3"/>
  <c r="C4147" i="3"/>
  <c r="B4147" i="3"/>
  <c r="D4146" i="3"/>
  <c r="C4146" i="3"/>
  <c r="B4146" i="3"/>
  <c r="D4145" i="3"/>
  <c r="C4145" i="3"/>
  <c r="B4145" i="3"/>
  <c r="D4144" i="3"/>
  <c r="C4144" i="3"/>
  <c r="B4144" i="3"/>
  <c r="D4143" i="3"/>
  <c r="C4143" i="3"/>
  <c r="B4143" i="3"/>
  <c r="D4142" i="3"/>
  <c r="C4142" i="3"/>
  <c r="B4142" i="3"/>
  <c r="D4141" i="3"/>
  <c r="C4141" i="3"/>
  <c r="B4141" i="3"/>
  <c r="D4140" i="3"/>
  <c r="C4140" i="3"/>
  <c r="B4140" i="3"/>
  <c r="D4139" i="3"/>
  <c r="C4139" i="3"/>
  <c r="B4139" i="3"/>
  <c r="D4138" i="3"/>
  <c r="C4138" i="3"/>
  <c r="B4138" i="3"/>
  <c r="D4137" i="3"/>
  <c r="C4137" i="3"/>
  <c r="B4137" i="3"/>
  <c r="D4136" i="3"/>
  <c r="C4136" i="3"/>
  <c r="B4136" i="3"/>
  <c r="D4135" i="3"/>
  <c r="C4135" i="3"/>
  <c r="B4135" i="3"/>
  <c r="D4134" i="3"/>
  <c r="C4134" i="3"/>
  <c r="B4134" i="3"/>
  <c r="D4133" i="3"/>
  <c r="C4133" i="3"/>
  <c r="B4133" i="3"/>
  <c r="D4132" i="3"/>
  <c r="C4132" i="3"/>
  <c r="B4132" i="3"/>
  <c r="D4131" i="3"/>
  <c r="C4131" i="3"/>
  <c r="B4131" i="3"/>
  <c r="D4130" i="3"/>
  <c r="C4130" i="3"/>
  <c r="B4130" i="3"/>
  <c r="D4129" i="3"/>
  <c r="C4129" i="3"/>
  <c r="B4129" i="3"/>
  <c r="D4128" i="3"/>
  <c r="C4128" i="3"/>
  <c r="B4128" i="3"/>
  <c r="D4127" i="3"/>
  <c r="C4127" i="3"/>
  <c r="B4127" i="3"/>
  <c r="D4126" i="3"/>
  <c r="C4126" i="3"/>
  <c r="B4126" i="3"/>
  <c r="D4125" i="3"/>
  <c r="C4125" i="3"/>
  <c r="B4125" i="3"/>
  <c r="D4124" i="3"/>
  <c r="C4124" i="3"/>
  <c r="B4124" i="3"/>
  <c r="D4123" i="3"/>
  <c r="C4123" i="3"/>
  <c r="B4123" i="3"/>
  <c r="D4122" i="3"/>
  <c r="C4122" i="3"/>
  <c r="B4122" i="3"/>
  <c r="D4121" i="3"/>
  <c r="C4121" i="3"/>
  <c r="B4121" i="3"/>
  <c r="D4120" i="3"/>
  <c r="C4120" i="3"/>
  <c r="B4120" i="3"/>
  <c r="D4119" i="3"/>
  <c r="C4119" i="3"/>
  <c r="B4119" i="3"/>
  <c r="D4118" i="3"/>
  <c r="C4118" i="3"/>
  <c r="B4118" i="3"/>
  <c r="D4117" i="3"/>
  <c r="C4117" i="3"/>
  <c r="B4117" i="3"/>
  <c r="D4116" i="3"/>
  <c r="C4116" i="3"/>
  <c r="B4116" i="3"/>
  <c r="D4115" i="3"/>
  <c r="C4115" i="3"/>
  <c r="B4115" i="3"/>
  <c r="D4114" i="3"/>
  <c r="C4114" i="3"/>
  <c r="B4114" i="3"/>
  <c r="D4113" i="3"/>
  <c r="C4113" i="3"/>
  <c r="B4113" i="3"/>
  <c r="D4112" i="3"/>
  <c r="C4112" i="3"/>
  <c r="B4112" i="3"/>
  <c r="D4111" i="3"/>
  <c r="C4111" i="3"/>
  <c r="B4111" i="3"/>
  <c r="D4110" i="3"/>
  <c r="C4110" i="3"/>
  <c r="B4110" i="3"/>
  <c r="D4109" i="3"/>
  <c r="C4109" i="3"/>
  <c r="B4109" i="3"/>
  <c r="D4108" i="3"/>
  <c r="C4108" i="3"/>
  <c r="B4108" i="3"/>
  <c r="D4107" i="3"/>
  <c r="C4107" i="3"/>
  <c r="B4107" i="3"/>
  <c r="D4106" i="3"/>
  <c r="C4106" i="3"/>
  <c r="B4106" i="3"/>
  <c r="D4105" i="3"/>
  <c r="C4105" i="3"/>
  <c r="B4105" i="3"/>
  <c r="D4104" i="3"/>
  <c r="C4104" i="3"/>
  <c r="B4104" i="3"/>
  <c r="D4103" i="3"/>
  <c r="C4103" i="3"/>
  <c r="B4103" i="3"/>
  <c r="D4102" i="3"/>
  <c r="C4102" i="3"/>
  <c r="B4102" i="3"/>
  <c r="D4101" i="3"/>
  <c r="C4101" i="3"/>
  <c r="B4101" i="3"/>
  <c r="D4100" i="3"/>
  <c r="C4100" i="3"/>
  <c r="B4100" i="3"/>
  <c r="D4099" i="3"/>
  <c r="C4099" i="3"/>
  <c r="B4099" i="3"/>
  <c r="D4098" i="3"/>
  <c r="C4098" i="3"/>
  <c r="B4098" i="3"/>
  <c r="D4097" i="3"/>
  <c r="C4097" i="3"/>
  <c r="B4097" i="3"/>
  <c r="D4096" i="3"/>
  <c r="C4096" i="3"/>
  <c r="B4096" i="3"/>
  <c r="D4095" i="3"/>
  <c r="C4095" i="3"/>
  <c r="B4095" i="3"/>
  <c r="D4094" i="3"/>
  <c r="C4094" i="3"/>
  <c r="B4094" i="3"/>
  <c r="D4093" i="3"/>
  <c r="C4093" i="3"/>
  <c r="B4093" i="3"/>
  <c r="D4092" i="3"/>
  <c r="C4092" i="3"/>
  <c r="B4092" i="3"/>
  <c r="D4091" i="3"/>
  <c r="C4091" i="3"/>
  <c r="B4091" i="3"/>
  <c r="D4090" i="3"/>
  <c r="C4090" i="3"/>
  <c r="B4090" i="3"/>
  <c r="D4089" i="3"/>
  <c r="C4089" i="3"/>
  <c r="B4089" i="3"/>
  <c r="D4088" i="3"/>
  <c r="C4088" i="3"/>
  <c r="B4088" i="3"/>
  <c r="D4087" i="3"/>
  <c r="C4087" i="3"/>
  <c r="B4087" i="3"/>
  <c r="D4086" i="3"/>
  <c r="C4086" i="3"/>
  <c r="B4086" i="3"/>
  <c r="D4085" i="3"/>
  <c r="C4085" i="3"/>
  <c r="B4085" i="3"/>
  <c r="D4084" i="3"/>
  <c r="C4084" i="3"/>
  <c r="B4084" i="3"/>
  <c r="D4083" i="3"/>
  <c r="C4083" i="3"/>
  <c r="B4083" i="3"/>
  <c r="D4082" i="3"/>
  <c r="C4082" i="3"/>
  <c r="B4082" i="3"/>
  <c r="D4081" i="3"/>
  <c r="C4081" i="3"/>
  <c r="B4081" i="3"/>
  <c r="D4080" i="3"/>
  <c r="C4080" i="3"/>
  <c r="B4080" i="3"/>
  <c r="D4079" i="3"/>
  <c r="C4079" i="3"/>
  <c r="B4079" i="3"/>
  <c r="D4078" i="3"/>
  <c r="C4078" i="3"/>
  <c r="B4078" i="3"/>
  <c r="D4077" i="3"/>
  <c r="C4077" i="3"/>
  <c r="B4077" i="3"/>
  <c r="D4076" i="3"/>
  <c r="C4076" i="3"/>
  <c r="B4076" i="3"/>
  <c r="D4075" i="3"/>
  <c r="C4075" i="3"/>
  <c r="B4075" i="3"/>
  <c r="D4074" i="3"/>
  <c r="C4074" i="3"/>
  <c r="B4074" i="3"/>
  <c r="D4073" i="3"/>
  <c r="C4073" i="3"/>
  <c r="B4073" i="3"/>
  <c r="D4072" i="3"/>
  <c r="C4072" i="3"/>
  <c r="B4072" i="3"/>
  <c r="D4071" i="3"/>
  <c r="C4071" i="3"/>
  <c r="B4071" i="3"/>
  <c r="D4070" i="3"/>
  <c r="C4070" i="3"/>
  <c r="B4070" i="3"/>
  <c r="D4069" i="3"/>
  <c r="C4069" i="3"/>
  <c r="B4069" i="3"/>
  <c r="D4068" i="3"/>
  <c r="C4068" i="3"/>
  <c r="B4068" i="3"/>
  <c r="D4067" i="3"/>
  <c r="C4067" i="3"/>
  <c r="B4067" i="3"/>
  <c r="D4066" i="3"/>
  <c r="C4066" i="3"/>
  <c r="B4066" i="3"/>
  <c r="D4065" i="3"/>
  <c r="C4065" i="3"/>
  <c r="B4065" i="3"/>
  <c r="D4064" i="3"/>
  <c r="C4064" i="3"/>
  <c r="B4064" i="3"/>
  <c r="D4063" i="3"/>
  <c r="C4063" i="3"/>
  <c r="B4063" i="3"/>
  <c r="D4062" i="3"/>
  <c r="C4062" i="3"/>
  <c r="B4062" i="3"/>
  <c r="D4061" i="3"/>
  <c r="C4061" i="3"/>
  <c r="B4061" i="3"/>
  <c r="D4060" i="3"/>
  <c r="C4060" i="3"/>
  <c r="B4060" i="3"/>
  <c r="D4059" i="3"/>
  <c r="C4059" i="3"/>
  <c r="B4059" i="3"/>
  <c r="D4058" i="3"/>
  <c r="C4058" i="3"/>
  <c r="B4058" i="3"/>
  <c r="D4057" i="3"/>
  <c r="C4057" i="3"/>
  <c r="B4057" i="3"/>
  <c r="D4056" i="3"/>
  <c r="C4056" i="3"/>
  <c r="B4056" i="3"/>
  <c r="D4055" i="3"/>
  <c r="C4055" i="3"/>
  <c r="B4055" i="3"/>
  <c r="D4054" i="3"/>
  <c r="C4054" i="3"/>
  <c r="B4054" i="3"/>
  <c r="D4053" i="3"/>
  <c r="C4053" i="3"/>
  <c r="B4053" i="3"/>
  <c r="D4052" i="3"/>
  <c r="C4052" i="3"/>
  <c r="B4052" i="3"/>
  <c r="D4051" i="3"/>
  <c r="C4051" i="3"/>
  <c r="B4051" i="3"/>
  <c r="D4050" i="3"/>
  <c r="C4050" i="3"/>
  <c r="B4050" i="3"/>
  <c r="D4049" i="3"/>
  <c r="C4049" i="3"/>
  <c r="B4049" i="3"/>
  <c r="D4048" i="3"/>
  <c r="C4048" i="3"/>
  <c r="B4048" i="3"/>
  <c r="D4047" i="3"/>
  <c r="C4047" i="3"/>
  <c r="B4047" i="3"/>
  <c r="D4046" i="3"/>
  <c r="C4046" i="3"/>
  <c r="B4046" i="3"/>
  <c r="D4045" i="3"/>
  <c r="C4045" i="3"/>
  <c r="B4045" i="3"/>
  <c r="D4044" i="3"/>
  <c r="C4044" i="3"/>
  <c r="B4044" i="3"/>
  <c r="D4043" i="3"/>
  <c r="C4043" i="3"/>
  <c r="B4043" i="3"/>
  <c r="D4042" i="3"/>
  <c r="C4042" i="3"/>
  <c r="B4042" i="3"/>
  <c r="D4041" i="3"/>
  <c r="C4041" i="3"/>
  <c r="B4041" i="3"/>
  <c r="D4040" i="3"/>
  <c r="C4040" i="3"/>
  <c r="B4040" i="3"/>
  <c r="D4039" i="3"/>
  <c r="C4039" i="3"/>
  <c r="B4039" i="3"/>
  <c r="D4038" i="3"/>
  <c r="C4038" i="3"/>
  <c r="B4038" i="3"/>
  <c r="D4037" i="3"/>
  <c r="C4037" i="3"/>
  <c r="B4037" i="3"/>
  <c r="D4036" i="3"/>
  <c r="C4036" i="3"/>
  <c r="B4036" i="3"/>
  <c r="D4035" i="3"/>
  <c r="C4035" i="3"/>
  <c r="B4035" i="3"/>
  <c r="D4034" i="3"/>
  <c r="C4034" i="3"/>
  <c r="B4034" i="3"/>
  <c r="D4033" i="3"/>
  <c r="C4033" i="3"/>
  <c r="B4033" i="3"/>
  <c r="D4032" i="3"/>
  <c r="C4032" i="3"/>
  <c r="B4032" i="3"/>
  <c r="D4031" i="3"/>
  <c r="C4031" i="3"/>
  <c r="B4031" i="3"/>
  <c r="D4030" i="3"/>
  <c r="C4030" i="3"/>
  <c r="B4030" i="3"/>
  <c r="D4029" i="3"/>
  <c r="C4029" i="3"/>
  <c r="B4029" i="3"/>
  <c r="D4028" i="3"/>
  <c r="C4028" i="3"/>
  <c r="B4028" i="3"/>
  <c r="D4027" i="3"/>
  <c r="C4027" i="3"/>
  <c r="B4027" i="3"/>
  <c r="D4026" i="3"/>
  <c r="C4026" i="3"/>
  <c r="B4026" i="3"/>
  <c r="D4025" i="3"/>
  <c r="C4025" i="3"/>
  <c r="B4025" i="3"/>
  <c r="D4024" i="3"/>
  <c r="C4024" i="3"/>
  <c r="B4024" i="3"/>
  <c r="D4023" i="3"/>
  <c r="C4023" i="3"/>
  <c r="B4023" i="3"/>
  <c r="D4022" i="3"/>
  <c r="C4022" i="3"/>
  <c r="B4022" i="3"/>
  <c r="D4021" i="3"/>
  <c r="C4021" i="3"/>
  <c r="B4021" i="3"/>
  <c r="D4020" i="3"/>
  <c r="C4020" i="3"/>
  <c r="B4020" i="3"/>
  <c r="D4019" i="3"/>
  <c r="C4019" i="3"/>
  <c r="B4019" i="3"/>
  <c r="D4018" i="3"/>
  <c r="C4018" i="3"/>
  <c r="B4018" i="3"/>
  <c r="D4017" i="3"/>
  <c r="C4017" i="3"/>
  <c r="B4017" i="3"/>
  <c r="D4016" i="3"/>
  <c r="C4016" i="3"/>
  <c r="B4016" i="3"/>
  <c r="D4015" i="3"/>
  <c r="C4015" i="3"/>
  <c r="B4015" i="3"/>
  <c r="D4014" i="3"/>
  <c r="C4014" i="3"/>
  <c r="B4014" i="3"/>
  <c r="D4013" i="3"/>
  <c r="C4013" i="3"/>
  <c r="B4013" i="3"/>
  <c r="D4012" i="3"/>
  <c r="C4012" i="3"/>
  <c r="B4012" i="3"/>
  <c r="D4011" i="3"/>
  <c r="C4011" i="3"/>
  <c r="B4011" i="3"/>
  <c r="D4010" i="3"/>
  <c r="C4010" i="3"/>
  <c r="B4010" i="3"/>
  <c r="D4009" i="3"/>
  <c r="C4009" i="3"/>
  <c r="B4009" i="3"/>
  <c r="D4008" i="3"/>
  <c r="C4008" i="3"/>
  <c r="B4008" i="3"/>
  <c r="D4007" i="3"/>
  <c r="C4007" i="3"/>
  <c r="B4007" i="3"/>
  <c r="D4006" i="3"/>
  <c r="C4006" i="3"/>
  <c r="B4006" i="3"/>
  <c r="D4005" i="3"/>
  <c r="C4005" i="3"/>
  <c r="B4005" i="3"/>
  <c r="D4004" i="3"/>
  <c r="C4004" i="3"/>
  <c r="B4004" i="3"/>
  <c r="D4003" i="3"/>
  <c r="C4003" i="3"/>
  <c r="B4003" i="3"/>
  <c r="D4002" i="3"/>
  <c r="C4002" i="3"/>
  <c r="B4002" i="3"/>
  <c r="D4001" i="3"/>
  <c r="C4001" i="3"/>
  <c r="B4001" i="3"/>
  <c r="D4000" i="3"/>
  <c r="C4000" i="3"/>
  <c r="B4000" i="3"/>
  <c r="D3999" i="3"/>
  <c r="C3999" i="3"/>
  <c r="B3999" i="3"/>
  <c r="D3998" i="3"/>
  <c r="C3998" i="3"/>
  <c r="B3998" i="3"/>
  <c r="D3997" i="3"/>
  <c r="C3997" i="3"/>
  <c r="B3997" i="3"/>
  <c r="D3996" i="3"/>
  <c r="C3996" i="3"/>
  <c r="B3996" i="3"/>
  <c r="D3995" i="3"/>
  <c r="C3995" i="3"/>
  <c r="B3995" i="3"/>
  <c r="D3994" i="3"/>
  <c r="C3994" i="3"/>
  <c r="B3994" i="3"/>
  <c r="D3993" i="3"/>
  <c r="C3993" i="3"/>
  <c r="B3993" i="3"/>
  <c r="D3992" i="3"/>
  <c r="C3992" i="3"/>
  <c r="B3992" i="3"/>
  <c r="D3991" i="3"/>
  <c r="C3991" i="3"/>
  <c r="B3991" i="3"/>
  <c r="D3990" i="3"/>
  <c r="C3990" i="3"/>
  <c r="B3990" i="3"/>
  <c r="D3989" i="3"/>
  <c r="C3989" i="3"/>
  <c r="B3989" i="3"/>
  <c r="D3988" i="3"/>
  <c r="C3988" i="3"/>
  <c r="B3988" i="3"/>
  <c r="D3987" i="3"/>
  <c r="C3987" i="3"/>
  <c r="B3987" i="3"/>
  <c r="D3986" i="3"/>
  <c r="C3986" i="3"/>
  <c r="B3986" i="3"/>
  <c r="D3985" i="3"/>
  <c r="C3985" i="3"/>
  <c r="B3985" i="3"/>
  <c r="D3984" i="3"/>
  <c r="C3984" i="3"/>
  <c r="B3984" i="3"/>
  <c r="D3983" i="3"/>
  <c r="C3983" i="3"/>
  <c r="B3983" i="3"/>
  <c r="D3982" i="3"/>
  <c r="C3982" i="3"/>
  <c r="B3982" i="3"/>
  <c r="D3981" i="3"/>
  <c r="C3981" i="3"/>
  <c r="B3981" i="3"/>
  <c r="D3980" i="3"/>
  <c r="C3980" i="3"/>
  <c r="B3980" i="3"/>
  <c r="D3979" i="3"/>
  <c r="C3979" i="3"/>
  <c r="B3979" i="3"/>
  <c r="D3978" i="3"/>
  <c r="C3978" i="3"/>
  <c r="B3978" i="3"/>
  <c r="D3977" i="3"/>
  <c r="C3977" i="3"/>
  <c r="B3977" i="3"/>
  <c r="D3976" i="3"/>
  <c r="C3976" i="3"/>
  <c r="B3976" i="3"/>
  <c r="D3975" i="3"/>
  <c r="C3975" i="3"/>
  <c r="B3975" i="3"/>
  <c r="D3974" i="3"/>
  <c r="C3974" i="3"/>
  <c r="B3974" i="3"/>
  <c r="D3973" i="3"/>
  <c r="C3973" i="3"/>
  <c r="B3973" i="3"/>
  <c r="D3972" i="3"/>
  <c r="C3972" i="3"/>
  <c r="B3972" i="3"/>
  <c r="D3971" i="3"/>
  <c r="C3971" i="3"/>
  <c r="B3971" i="3"/>
  <c r="D3970" i="3"/>
  <c r="C3970" i="3"/>
  <c r="B3970" i="3"/>
  <c r="D3969" i="3"/>
  <c r="C3969" i="3"/>
  <c r="B3969" i="3"/>
  <c r="D3968" i="3"/>
  <c r="C3968" i="3"/>
  <c r="B3968" i="3"/>
  <c r="D3967" i="3"/>
  <c r="C3967" i="3"/>
  <c r="B3967" i="3"/>
  <c r="D3966" i="3"/>
  <c r="C3966" i="3"/>
  <c r="B3966" i="3"/>
  <c r="D3965" i="3"/>
  <c r="C3965" i="3"/>
  <c r="B3965" i="3"/>
  <c r="D3964" i="3"/>
  <c r="C3964" i="3"/>
  <c r="B3964" i="3"/>
  <c r="D3963" i="3"/>
  <c r="C3963" i="3"/>
  <c r="B3963" i="3"/>
  <c r="D3962" i="3"/>
  <c r="C3962" i="3"/>
  <c r="B3962" i="3"/>
  <c r="D3961" i="3"/>
  <c r="C3961" i="3"/>
  <c r="B3961" i="3"/>
  <c r="D3960" i="3"/>
  <c r="C3960" i="3"/>
  <c r="B3960" i="3"/>
  <c r="D3959" i="3"/>
  <c r="C3959" i="3"/>
  <c r="B3959" i="3"/>
  <c r="D3958" i="3"/>
  <c r="C3958" i="3"/>
  <c r="B3958" i="3"/>
  <c r="D3957" i="3"/>
  <c r="C3957" i="3"/>
  <c r="B3957" i="3"/>
  <c r="D3956" i="3"/>
  <c r="C3956" i="3"/>
  <c r="B3956" i="3"/>
  <c r="D3955" i="3"/>
  <c r="C3955" i="3"/>
  <c r="B3955" i="3"/>
  <c r="D3954" i="3"/>
  <c r="C3954" i="3"/>
  <c r="B3954" i="3"/>
  <c r="D3953" i="3"/>
  <c r="C3953" i="3"/>
  <c r="B3953" i="3"/>
  <c r="D3952" i="3"/>
  <c r="C3952" i="3"/>
  <c r="B3952" i="3"/>
  <c r="D3951" i="3"/>
  <c r="C3951" i="3"/>
  <c r="B3951" i="3"/>
  <c r="D3950" i="3"/>
  <c r="C3950" i="3"/>
  <c r="B3950" i="3"/>
  <c r="D3949" i="3"/>
  <c r="C3949" i="3"/>
  <c r="B3949" i="3"/>
  <c r="D3948" i="3"/>
  <c r="C3948" i="3"/>
  <c r="B3948" i="3"/>
  <c r="D3947" i="3"/>
  <c r="C3947" i="3"/>
  <c r="B3947" i="3"/>
  <c r="D3946" i="3"/>
  <c r="C3946" i="3"/>
  <c r="B3946" i="3"/>
  <c r="D3945" i="3"/>
  <c r="C3945" i="3"/>
  <c r="B3945" i="3"/>
  <c r="D3944" i="3"/>
  <c r="C3944" i="3"/>
  <c r="B3944" i="3"/>
  <c r="D3943" i="3"/>
  <c r="C3943" i="3"/>
  <c r="B3943" i="3"/>
  <c r="D3942" i="3"/>
  <c r="C3942" i="3"/>
  <c r="B3942" i="3"/>
  <c r="D3941" i="3"/>
  <c r="C3941" i="3"/>
  <c r="B3941" i="3"/>
  <c r="D3940" i="3"/>
  <c r="C3940" i="3"/>
  <c r="B3940" i="3"/>
  <c r="D3939" i="3"/>
  <c r="C3939" i="3"/>
  <c r="B3939" i="3"/>
  <c r="D3938" i="3"/>
  <c r="C3938" i="3"/>
  <c r="B3938" i="3"/>
  <c r="D3937" i="3"/>
  <c r="C3937" i="3"/>
  <c r="B3937" i="3"/>
  <c r="D3936" i="3"/>
  <c r="C3936" i="3"/>
  <c r="B3936" i="3"/>
  <c r="D3935" i="3"/>
  <c r="C3935" i="3"/>
  <c r="B3935" i="3"/>
  <c r="D3934" i="3"/>
  <c r="C3934" i="3"/>
  <c r="B3934" i="3"/>
  <c r="D3933" i="3"/>
  <c r="C3933" i="3"/>
  <c r="B3933" i="3"/>
  <c r="D3932" i="3"/>
  <c r="C3932" i="3"/>
  <c r="B3932" i="3"/>
  <c r="D3931" i="3"/>
  <c r="C3931" i="3"/>
  <c r="B3931" i="3"/>
  <c r="D3930" i="3"/>
  <c r="C3930" i="3"/>
  <c r="B3930" i="3"/>
  <c r="D3929" i="3"/>
  <c r="C3929" i="3"/>
  <c r="B3929" i="3"/>
  <c r="D3928" i="3"/>
  <c r="C3928" i="3"/>
  <c r="B3928" i="3"/>
  <c r="D3927" i="3"/>
  <c r="C3927" i="3"/>
  <c r="B3927" i="3"/>
  <c r="D3926" i="3"/>
  <c r="C3926" i="3"/>
  <c r="B3926" i="3"/>
  <c r="D3925" i="3"/>
  <c r="C3925" i="3"/>
  <c r="B3925" i="3"/>
  <c r="D3924" i="3"/>
  <c r="C3924" i="3"/>
  <c r="B3924" i="3"/>
  <c r="D3923" i="3"/>
  <c r="C3923" i="3"/>
  <c r="B3923" i="3"/>
  <c r="D3922" i="3"/>
  <c r="C3922" i="3"/>
  <c r="B3922" i="3"/>
  <c r="D3921" i="3"/>
  <c r="C3921" i="3"/>
  <c r="B3921" i="3"/>
  <c r="D3920" i="3"/>
  <c r="C3920" i="3"/>
  <c r="B3920" i="3"/>
  <c r="D3919" i="3"/>
  <c r="C3919" i="3"/>
  <c r="B3919" i="3"/>
  <c r="D3918" i="3"/>
  <c r="C3918" i="3"/>
  <c r="B3918" i="3"/>
  <c r="D3917" i="3"/>
  <c r="C3917" i="3"/>
  <c r="B3917" i="3"/>
  <c r="D3916" i="3"/>
  <c r="C3916" i="3"/>
  <c r="B3916" i="3"/>
  <c r="D3915" i="3"/>
  <c r="C3915" i="3"/>
  <c r="B3915" i="3"/>
  <c r="D3914" i="3"/>
  <c r="C3914" i="3"/>
  <c r="B3914" i="3"/>
  <c r="D3913" i="3"/>
  <c r="C3913" i="3"/>
  <c r="B3913" i="3"/>
  <c r="D3912" i="3"/>
  <c r="C3912" i="3"/>
  <c r="B3912" i="3"/>
  <c r="D3911" i="3"/>
  <c r="C3911" i="3"/>
  <c r="B3911" i="3"/>
  <c r="D3910" i="3"/>
  <c r="C3910" i="3"/>
  <c r="B3910" i="3"/>
  <c r="D3909" i="3"/>
  <c r="C3909" i="3"/>
  <c r="B3909" i="3"/>
  <c r="D3908" i="3"/>
  <c r="C3908" i="3"/>
  <c r="B3908" i="3"/>
  <c r="D3907" i="3"/>
  <c r="C3907" i="3"/>
  <c r="B3907" i="3"/>
  <c r="D3906" i="3"/>
  <c r="C3906" i="3"/>
  <c r="B3906" i="3"/>
  <c r="D3905" i="3"/>
  <c r="C3905" i="3"/>
  <c r="B3905" i="3"/>
  <c r="D3904" i="3"/>
  <c r="C3904" i="3"/>
  <c r="B3904" i="3"/>
  <c r="D3903" i="3"/>
  <c r="C3903" i="3"/>
  <c r="B3903" i="3"/>
  <c r="D3902" i="3"/>
  <c r="C3902" i="3"/>
  <c r="B3902" i="3"/>
  <c r="D3901" i="3"/>
  <c r="C3901" i="3"/>
  <c r="B3901" i="3"/>
  <c r="D3900" i="3"/>
  <c r="C3900" i="3"/>
  <c r="B3900" i="3"/>
  <c r="D3899" i="3"/>
  <c r="C3899" i="3"/>
  <c r="B3899" i="3"/>
  <c r="D3898" i="3"/>
  <c r="C3898" i="3"/>
  <c r="B3898" i="3"/>
  <c r="D3897" i="3"/>
  <c r="C3897" i="3"/>
  <c r="B3897" i="3"/>
  <c r="D3896" i="3"/>
  <c r="C3896" i="3"/>
  <c r="B3896" i="3"/>
  <c r="D3895" i="3"/>
  <c r="C3895" i="3"/>
  <c r="B3895" i="3"/>
  <c r="D3894" i="3"/>
  <c r="C3894" i="3"/>
  <c r="B3894" i="3"/>
  <c r="D3893" i="3"/>
  <c r="C3893" i="3"/>
  <c r="B3893" i="3"/>
  <c r="D3892" i="3"/>
  <c r="C3892" i="3"/>
  <c r="B3892" i="3"/>
  <c r="D3891" i="3"/>
  <c r="C3891" i="3"/>
  <c r="B3891" i="3"/>
  <c r="D3890" i="3"/>
  <c r="C3890" i="3"/>
  <c r="B3890" i="3"/>
  <c r="D3889" i="3"/>
  <c r="C3889" i="3"/>
  <c r="B3889" i="3"/>
  <c r="D3888" i="3"/>
  <c r="C3888" i="3"/>
  <c r="B3888" i="3"/>
  <c r="D3887" i="3"/>
  <c r="C3887" i="3"/>
  <c r="B3887" i="3"/>
  <c r="D3886" i="3"/>
  <c r="C3886" i="3"/>
  <c r="B3886" i="3"/>
  <c r="D3885" i="3"/>
  <c r="C3885" i="3"/>
  <c r="B3885" i="3"/>
  <c r="D3884" i="3"/>
  <c r="C3884" i="3"/>
  <c r="B3884" i="3"/>
  <c r="D3883" i="3"/>
  <c r="C3883" i="3"/>
  <c r="B3883" i="3"/>
  <c r="D3882" i="3"/>
  <c r="C3882" i="3"/>
  <c r="B3882" i="3"/>
  <c r="D3881" i="3"/>
  <c r="C3881" i="3"/>
  <c r="B3881" i="3"/>
  <c r="D3880" i="3"/>
  <c r="C3880" i="3"/>
  <c r="B3880" i="3"/>
  <c r="D3879" i="3"/>
  <c r="C3879" i="3"/>
  <c r="B3879" i="3"/>
  <c r="D3878" i="3"/>
  <c r="C3878" i="3"/>
  <c r="B3878" i="3"/>
  <c r="D3877" i="3"/>
  <c r="C3877" i="3"/>
  <c r="B3877" i="3"/>
  <c r="D3876" i="3"/>
  <c r="C3876" i="3"/>
  <c r="B3876" i="3"/>
  <c r="D3875" i="3"/>
  <c r="C3875" i="3"/>
  <c r="B3875" i="3"/>
  <c r="D3874" i="3"/>
  <c r="C3874" i="3"/>
  <c r="B3874" i="3"/>
  <c r="D3873" i="3"/>
  <c r="C3873" i="3"/>
  <c r="B3873" i="3"/>
  <c r="D3872" i="3"/>
  <c r="C3872" i="3"/>
  <c r="B3872" i="3"/>
  <c r="D3871" i="3"/>
  <c r="C3871" i="3"/>
  <c r="B3871" i="3"/>
  <c r="D3870" i="3"/>
  <c r="C3870" i="3"/>
  <c r="B3870" i="3"/>
  <c r="D3869" i="3"/>
  <c r="C3869" i="3"/>
  <c r="B3869" i="3"/>
  <c r="D3868" i="3"/>
  <c r="C3868" i="3"/>
  <c r="B3868" i="3"/>
  <c r="D3867" i="3"/>
  <c r="C3867" i="3"/>
  <c r="B3867" i="3"/>
  <c r="D3866" i="3"/>
  <c r="C3866" i="3"/>
  <c r="B3866" i="3"/>
  <c r="D3865" i="3"/>
  <c r="C3865" i="3"/>
  <c r="B3865" i="3"/>
  <c r="D3864" i="3"/>
  <c r="C3864" i="3"/>
  <c r="B3864" i="3"/>
  <c r="D3863" i="3"/>
  <c r="C3863" i="3"/>
  <c r="B3863" i="3"/>
  <c r="D3862" i="3"/>
  <c r="C3862" i="3"/>
  <c r="B3862" i="3"/>
  <c r="D3861" i="3"/>
  <c r="C3861" i="3"/>
  <c r="B3861" i="3"/>
  <c r="D3860" i="3"/>
  <c r="C3860" i="3"/>
  <c r="B3860" i="3"/>
  <c r="D3859" i="3"/>
  <c r="C3859" i="3"/>
  <c r="B3859" i="3"/>
  <c r="D3858" i="3"/>
  <c r="C3858" i="3"/>
  <c r="B3858" i="3"/>
  <c r="D3857" i="3"/>
  <c r="C3857" i="3"/>
  <c r="B3857" i="3"/>
  <c r="D3856" i="3"/>
  <c r="C3856" i="3"/>
  <c r="B3856" i="3"/>
  <c r="D3855" i="3"/>
  <c r="C3855" i="3"/>
  <c r="B3855" i="3"/>
  <c r="D3854" i="3"/>
  <c r="C3854" i="3"/>
  <c r="B3854" i="3"/>
  <c r="D3853" i="3"/>
  <c r="C3853" i="3"/>
  <c r="B3853" i="3"/>
  <c r="D3852" i="3"/>
  <c r="C3852" i="3"/>
  <c r="B3852" i="3"/>
  <c r="D3851" i="3"/>
  <c r="C3851" i="3"/>
  <c r="B3851" i="3"/>
  <c r="D3850" i="3"/>
  <c r="C3850" i="3"/>
  <c r="B3850" i="3"/>
  <c r="D3849" i="3"/>
  <c r="C3849" i="3"/>
  <c r="B3849" i="3"/>
  <c r="D3848" i="3"/>
  <c r="C3848" i="3"/>
  <c r="B3848" i="3"/>
  <c r="D3847" i="3"/>
  <c r="C3847" i="3"/>
  <c r="B3847" i="3"/>
  <c r="D3846" i="3"/>
  <c r="C3846" i="3"/>
  <c r="B3846" i="3"/>
  <c r="D3845" i="3"/>
  <c r="C3845" i="3"/>
  <c r="B3845" i="3"/>
  <c r="D3844" i="3"/>
  <c r="C3844" i="3"/>
  <c r="B3844" i="3"/>
  <c r="D3843" i="3"/>
  <c r="C3843" i="3"/>
  <c r="B3843" i="3"/>
  <c r="D3842" i="3"/>
  <c r="C3842" i="3"/>
  <c r="B3842" i="3"/>
  <c r="D3841" i="3"/>
  <c r="C3841" i="3"/>
  <c r="B3841" i="3"/>
  <c r="D3840" i="3"/>
  <c r="C3840" i="3"/>
  <c r="B3840" i="3"/>
  <c r="D3839" i="3"/>
  <c r="C3839" i="3"/>
  <c r="B3839" i="3"/>
  <c r="D3838" i="3"/>
  <c r="C3838" i="3"/>
  <c r="B3838" i="3"/>
  <c r="D3837" i="3"/>
  <c r="C3837" i="3"/>
  <c r="B3837" i="3"/>
  <c r="D3836" i="3"/>
  <c r="C3836" i="3"/>
  <c r="B3836" i="3"/>
  <c r="D3835" i="3"/>
  <c r="C3835" i="3"/>
  <c r="B3835" i="3"/>
  <c r="D3834" i="3"/>
  <c r="C3834" i="3"/>
  <c r="B3834" i="3"/>
  <c r="D3833" i="3"/>
  <c r="C3833" i="3"/>
  <c r="B3833" i="3"/>
  <c r="D3832" i="3"/>
  <c r="C3832" i="3"/>
  <c r="B3832" i="3"/>
  <c r="D3831" i="3"/>
  <c r="C3831" i="3"/>
  <c r="B3831" i="3"/>
  <c r="D3830" i="3"/>
  <c r="C3830" i="3"/>
  <c r="B3830" i="3"/>
  <c r="D3829" i="3"/>
  <c r="C3829" i="3"/>
  <c r="B3829" i="3"/>
  <c r="D3828" i="3"/>
  <c r="C3828" i="3"/>
  <c r="B3828" i="3"/>
  <c r="D3827" i="3"/>
  <c r="C3827" i="3"/>
  <c r="B3827" i="3"/>
  <c r="D3826" i="3"/>
  <c r="C3826" i="3"/>
  <c r="B3826" i="3"/>
  <c r="D3825" i="3"/>
  <c r="C3825" i="3"/>
  <c r="B3825" i="3"/>
  <c r="D3824" i="3"/>
  <c r="C3824" i="3"/>
  <c r="B3824" i="3"/>
  <c r="D3823" i="3"/>
  <c r="C3823" i="3"/>
  <c r="B3823" i="3"/>
  <c r="D3822" i="3"/>
  <c r="C3822" i="3"/>
  <c r="B3822" i="3"/>
  <c r="D3821" i="3"/>
  <c r="C3821" i="3"/>
  <c r="B3821" i="3"/>
  <c r="D3820" i="3"/>
  <c r="C3820" i="3"/>
  <c r="B3820" i="3"/>
  <c r="D3819" i="3"/>
  <c r="C3819" i="3"/>
  <c r="B3819" i="3"/>
  <c r="D3818" i="3"/>
  <c r="C3818" i="3"/>
  <c r="B3818" i="3"/>
  <c r="D3817" i="3"/>
  <c r="C3817" i="3"/>
  <c r="B3817" i="3"/>
  <c r="D3816" i="3"/>
  <c r="C3816" i="3"/>
  <c r="B3816" i="3"/>
  <c r="D3815" i="3"/>
  <c r="C3815" i="3"/>
  <c r="B3815" i="3"/>
  <c r="D3814" i="3"/>
  <c r="C3814" i="3"/>
  <c r="B3814" i="3"/>
  <c r="D3813" i="3"/>
  <c r="C3813" i="3"/>
  <c r="B3813" i="3"/>
  <c r="D3812" i="3"/>
  <c r="C3812" i="3"/>
  <c r="B3812" i="3"/>
  <c r="D3811" i="3"/>
  <c r="C3811" i="3"/>
  <c r="B3811" i="3"/>
  <c r="D3810" i="3"/>
  <c r="C3810" i="3"/>
  <c r="B3810" i="3"/>
  <c r="D3809" i="3"/>
  <c r="C3809" i="3"/>
  <c r="B3809" i="3"/>
  <c r="D3808" i="3"/>
  <c r="C3808" i="3"/>
  <c r="B3808" i="3"/>
  <c r="D3807" i="3"/>
  <c r="C3807" i="3"/>
  <c r="B3807" i="3"/>
  <c r="D3806" i="3"/>
  <c r="C3806" i="3"/>
  <c r="B3806" i="3"/>
  <c r="D3805" i="3"/>
  <c r="C3805" i="3"/>
  <c r="B3805" i="3"/>
  <c r="D3804" i="3"/>
  <c r="C3804" i="3"/>
  <c r="B3804" i="3"/>
  <c r="D3803" i="3"/>
  <c r="C3803" i="3"/>
  <c r="B3803" i="3"/>
  <c r="D3802" i="3"/>
  <c r="C3802" i="3"/>
  <c r="B3802" i="3"/>
  <c r="D3801" i="3"/>
  <c r="C3801" i="3"/>
  <c r="B3801" i="3"/>
  <c r="D3800" i="3"/>
  <c r="C3800" i="3"/>
  <c r="B3800" i="3"/>
  <c r="D3799" i="3"/>
  <c r="C3799" i="3"/>
  <c r="B3799" i="3"/>
  <c r="D3798" i="3"/>
  <c r="C3798" i="3"/>
  <c r="B3798" i="3"/>
  <c r="D3797" i="3"/>
  <c r="C3797" i="3"/>
  <c r="B3797" i="3"/>
  <c r="D3796" i="3"/>
  <c r="C3796" i="3"/>
  <c r="B3796" i="3"/>
  <c r="D3795" i="3"/>
  <c r="C3795" i="3"/>
  <c r="B3795" i="3"/>
  <c r="D3794" i="3"/>
  <c r="C3794" i="3"/>
  <c r="B3794" i="3"/>
  <c r="D3793" i="3"/>
  <c r="C3793" i="3"/>
  <c r="B3793" i="3"/>
  <c r="D3792" i="3"/>
  <c r="C3792" i="3"/>
  <c r="B3792" i="3"/>
  <c r="D3791" i="3"/>
  <c r="C3791" i="3"/>
  <c r="B3791" i="3"/>
  <c r="D3790" i="3"/>
  <c r="C3790" i="3"/>
  <c r="B3790" i="3"/>
  <c r="D3789" i="3"/>
  <c r="C3789" i="3"/>
  <c r="B3789" i="3"/>
  <c r="D3788" i="3"/>
  <c r="C3788" i="3"/>
  <c r="B3788" i="3"/>
  <c r="D3787" i="3"/>
  <c r="C3787" i="3"/>
  <c r="B3787" i="3"/>
  <c r="D3786" i="3"/>
  <c r="C3786" i="3"/>
  <c r="B3786" i="3"/>
  <c r="D3785" i="3"/>
  <c r="C3785" i="3"/>
  <c r="B3785" i="3"/>
  <c r="D3784" i="3"/>
  <c r="C3784" i="3"/>
  <c r="B3784" i="3"/>
  <c r="D3783" i="3"/>
  <c r="C3783" i="3"/>
  <c r="B3783" i="3"/>
  <c r="D3782" i="3"/>
  <c r="C3782" i="3"/>
  <c r="B3782" i="3"/>
  <c r="D3781" i="3"/>
  <c r="C3781" i="3"/>
  <c r="B3781" i="3"/>
  <c r="D3780" i="3"/>
  <c r="C3780" i="3"/>
  <c r="B3780" i="3"/>
  <c r="D3779" i="3"/>
  <c r="C3779" i="3"/>
  <c r="B3779" i="3"/>
  <c r="D3778" i="3"/>
  <c r="C3778" i="3"/>
  <c r="B3778" i="3"/>
  <c r="D3777" i="3"/>
  <c r="C3777" i="3"/>
  <c r="B3777" i="3"/>
  <c r="D3776" i="3"/>
  <c r="C3776" i="3"/>
  <c r="B3776" i="3"/>
  <c r="D3775" i="3"/>
  <c r="C3775" i="3"/>
  <c r="B3775" i="3"/>
  <c r="D3774" i="3"/>
  <c r="C3774" i="3"/>
  <c r="B3774" i="3"/>
  <c r="D3773" i="3"/>
  <c r="C3773" i="3"/>
  <c r="B3773" i="3"/>
  <c r="D3772" i="3"/>
  <c r="C3772" i="3"/>
  <c r="B3772" i="3"/>
  <c r="D3771" i="3"/>
  <c r="C3771" i="3"/>
  <c r="B3771" i="3"/>
  <c r="D3770" i="3"/>
  <c r="C3770" i="3"/>
  <c r="B3770" i="3"/>
  <c r="D3769" i="3"/>
  <c r="C3769" i="3"/>
  <c r="B3769" i="3"/>
  <c r="D3768" i="3"/>
  <c r="C3768" i="3"/>
  <c r="B3768" i="3"/>
  <c r="D3767" i="3"/>
  <c r="C3767" i="3"/>
  <c r="B3767" i="3"/>
  <c r="D3766" i="3"/>
  <c r="C3766" i="3"/>
  <c r="B3766" i="3"/>
  <c r="D3765" i="3"/>
  <c r="C3765" i="3"/>
  <c r="B3765" i="3"/>
  <c r="D3764" i="3"/>
  <c r="C3764" i="3"/>
  <c r="B3764" i="3"/>
  <c r="D3763" i="3"/>
  <c r="C3763" i="3"/>
  <c r="B3763" i="3"/>
  <c r="D3762" i="3"/>
  <c r="C3762" i="3"/>
  <c r="B3762" i="3"/>
  <c r="D3761" i="3"/>
  <c r="C3761" i="3"/>
  <c r="B3761" i="3"/>
  <c r="D3760" i="3"/>
  <c r="C3760" i="3"/>
  <c r="B3760" i="3"/>
  <c r="D3759" i="3"/>
  <c r="C3759" i="3"/>
  <c r="B3759" i="3"/>
  <c r="D3758" i="3"/>
  <c r="C3758" i="3"/>
  <c r="B3758" i="3"/>
  <c r="D3757" i="3"/>
  <c r="C3757" i="3"/>
  <c r="B3757" i="3"/>
  <c r="D3756" i="3"/>
  <c r="C3756" i="3"/>
  <c r="B3756" i="3"/>
  <c r="D3755" i="3"/>
  <c r="C3755" i="3"/>
  <c r="B3755" i="3"/>
  <c r="D3754" i="3"/>
  <c r="C3754" i="3"/>
  <c r="B3754" i="3"/>
  <c r="D3753" i="3"/>
  <c r="C3753" i="3"/>
  <c r="B3753" i="3"/>
  <c r="D3752" i="3"/>
  <c r="C3752" i="3"/>
  <c r="B3752" i="3"/>
  <c r="D3751" i="3"/>
  <c r="C3751" i="3"/>
  <c r="B3751" i="3"/>
  <c r="D3750" i="3"/>
  <c r="C3750" i="3"/>
  <c r="B3750" i="3"/>
  <c r="D3749" i="3"/>
  <c r="C3749" i="3"/>
  <c r="B3749" i="3"/>
  <c r="D3748" i="3"/>
  <c r="C3748" i="3"/>
  <c r="B3748" i="3"/>
  <c r="D3747" i="3"/>
  <c r="C3747" i="3"/>
  <c r="B3747" i="3"/>
  <c r="D3746" i="3"/>
  <c r="C3746" i="3"/>
  <c r="B3746" i="3"/>
  <c r="D3745" i="3"/>
  <c r="C3745" i="3"/>
  <c r="B3745" i="3"/>
  <c r="D3744" i="3"/>
  <c r="C3744" i="3"/>
  <c r="B3744" i="3"/>
  <c r="D3743" i="3"/>
  <c r="C3743" i="3"/>
  <c r="B3743" i="3"/>
  <c r="D3742" i="3"/>
  <c r="C3742" i="3"/>
  <c r="B3742" i="3"/>
  <c r="D3741" i="3"/>
  <c r="C3741" i="3"/>
  <c r="B3741" i="3"/>
  <c r="D3740" i="3"/>
  <c r="C3740" i="3"/>
  <c r="B3740" i="3"/>
  <c r="D3739" i="3"/>
  <c r="C3739" i="3"/>
  <c r="B3739" i="3"/>
  <c r="D3738" i="3"/>
  <c r="C3738" i="3"/>
  <c r="B3738" i="3"/>
  <c r="D3737" i="3"/>
  <c r="C3737" i="3"/>
  <c r="B3737" i="3"/>
  <c r="D3736" i="3"/>
  <c r="C3736" i="3"/>
  <c r="B3736" i="3"/>
  <c r="D3735" i="3"/>
  <c r="C3735" i="3"/>
  <c r="B3735" i="3"/>
  <c r="D3734" i="3"/>
  <c r="C3734" i="3"/>
  <c r="B3734" i="3"/>
  <c r="D3733" i="3"/>
  <c r="C3733" i="3"/>
  <c r="B3733" i="3"/>
  <c r="D3732" i="3"/>
  <c r="C3732" i="3"/>
  <c r="B3732" i="3"/>
  <c r="D3731" i="3"/>
  <c r="C3731" i="3"/>
  <c r="B3731" i="3"/>
  <c r="D3730" i="3"/>
  <c r="C3730" i="3"/>
  <c r="B3730" i="3"/>
  <c r="D3729" i="3"/>
  <c r="C3729" i="3"/>
  <c r="B3729" i="3"/>
  <c r="D3728" i="3"/>
  <c r="C3728" i="3"/>
  <c r="B3728" i="3"/>
  <c r="D3727" i="3"/>
  <c r="C3727" i="3"/>
  <c r="B3727" i="3"/>
  <c r="D3726" i="3"/>
  <c r="C3726" i="3"/>
  <c r="B3726" i="3"/>
  <c r="D3725" i="3"/>
  <c r="C3725" i="3"/>
  <c r="B3725" i="3"/>
  <c r="D3724" i="3"/>
  <c r="C3724" i="3"/>
  <c r="B3724" i="3"/>
  <c r="D3723" i="3"/>
  <c r="C3723" i="3"/>
  <c r="B3723" i="3"/>
  <c r="D3722" i="3"/>
  <c r="C3722" i="3"/>
  <c r="B3722" i="3"/>
  <c r="D3721" i="3"/>
  <c r="C3721" i="3"/>
  <c r="B3721" i="3"/>
  <c r="D3720" i="3"/>
  <c r="C3720" i="3"/>
  <c r="B3720" i="3"/>
  <c r="D3719" i="3"/>
  <c r="C3719" i="3"/>
  <c r="B3719" i="3"/>
  <c r="D3718" i="3"/>
  <c r="C3718" i="3"/>
  <c r="B3718" i="3"/>
  <c r="D3717" i="3"/>
  <c r="C3717" i="3"/>
  <c r="B3717" i="3"/>
  <c r="D3716" i="3"/>
  <c r="C3716" i="3"/>
  <c r="B3716" i="3"/>
  <c r="D3715" i="3"/>
  <c r="C3715" i="3"/>
  <c r="B3715" i="3"/>
  <c r="D3714" i="3"/>
  <c r="C3714" i="3"/>
  <c r="B3714" i="3"/>
  <c r="D3713" i="3"/>
  <c r="C3713" i="3"/>
  <c r="B3713" i="3"/>
  <c r="D3712" i="3"/>
  <c r="C3712" i="3"/>
  <c r="B3712" i="3"/>
  <c r="D3711" i="3"/>
  <c r="C3711" i="3"/>
  <c r="B3711" i="3"/>
  <c r="D3710" i="3"/>
  <c r="C3710" i="3"/>
  <c r="B3710" i="3"/>
  <c r="D3709" i="3"/>
  <c r="C3709" i="3"/>
  <c r="B3709" i="3"/>
  <c r="D3708" i="3"/>
  <c r="C3708" i="3"/>
  <c r="B3708" i="3"/>
  <c r="D3707" i="3"/>
  <c r="C3707" i="3"/>
  <c r="B3707" i="3"/>
  <c r="D3706" i="3"/>
  <c r="C3706" i="3"/>
  <c r="B3706" i="3"/>
  <c r="D3705" i="3"/>
  <c r="C3705" i="3"/>
  <c r="B3705" i="3"/>
  <c r="D3704" i="3"/>
  <c r="C3704" i="3"/>
  <c r="B3704" i="3"/>
  <c r="D3703" i="3"/>
  <c r="C3703" i="3"/>
  <c r="B3703" i="3"/>
  <c r="D3702" i="3"/>
  <c r="C3702" i="3"/>
  <c r="B3702" i="3"/>
  <c r="D3701" i="3"/>
  <c r="C3701" i="3"/>
  <c r="B3701" i="3"/>
  <c r="D3700" i="3"/>
  <c r="C3700" i="3"/>
  <c r="B3700" i="3"/>
  <c r="D3699" i="3"/>
  <c r="C3699" i="3"/>
  <c r="B3699" i="3"/>
  <c r="D3698" i="3"/>
  <c r="C3698" i="3"/>
  <c r="B3698" i="3"/>
  <c r="D3697" i="3"/>
  <c r="C3697" i="3"/>
  <c r="B3697" i="3"/>
  <c r="D3696" i="3"/>
  <c r="C3696" i="3"/>
  <c r="B3696" i="3"/>
  <c r="D3695" i="3"/>
  <c r="C3695" i="3"/>
  <c r="B3695" i="3"/>
  <c r="D3694" i="3"/>
  <c r="C3694" i="3"/>
  <c r="B3694" i="3"/>
  <c r="D3693" i="3"/>
  <c r="C3693" i="3"/>
  <c r="B3693" i="3"/>
  <c r="D3692" i="3"/>
  <c r="C3692" i="3"/>
  <c r="B3692" i="3"/>
  <c r="D3691" i="3"/>
  <c r="C3691" i="3"/>
  <c r="B3691" i="3"/>
  <c r="D3690" i="3"/>
  <c r="C3690" i="3"/>
  <c r="B3690" i="3"/>
  <c r="D3689" i="3"/>
  <c r="C3689" i="3"/>
  <c r="B3689" i="3"/>
  <c r="D3688" i="3"/>
  <c r="C3688" i="3"/>
  <c r="B3688" i="3"/>
  <c r="D3687" i="3"/>
  <c r="C3687" i="3"/>
  <c r="B3687" i="3"/>
  <c r="D3686" i="3"/>
  <c r="C3686" i="3"/>
  <c r="B3686" i="3"/>
  <c r="D3685" i="3"/>
  <c r="C3685" i="3"/>
  <c r="B3685" i="3"/>
  <c r="D3684" i="3"/>
  <c r="C3684" i="3"/>
  <c r="B3684" i="3"/>
  <c r="D3683" i="3"/>
  <c r="C3683" i="3"/>
  <c r="B3683" i="3"/>
  <c r="D3682" i="3"/>
  <c r="C3682" i="3"/>
  <c r="B3682" i="3"/>
  <c r="D3681" i="3"/>
  <c r="C3681" i="3"/>
  <c r="B3681" i="3"/>
  <c r="D3680" i="3"/>
  <c r="C3680" i="3"/>
  <c r="B3680" i="3"/>
  <c r="D3679" i="3"/>
  <c r="C3679" i="3"/>
  <c r="B3679" i="3"/>
  <c r="D3678" i="3"/>
  <c r="C3678" i="3"/>
  <c r="B3678" i="3"/>
  <c r="D3677" i="3"/>
  <c r="C3677" i="3"/>
  <c r="B3677" i="3"/>
  <c r="D3676" i="3"/>
  <c r="C3676" i="3"/>
  <c r="B3676" i="3"/>
  <c r="D3675" i="3"/>
  <c r="C3675" i="3"/>
  <c r="B3675" i="3"/>
  <c r="D3674" i="3"/>
  <c r="C3674" i="3"/>
  <c r="B3674" i="3"/>
  <c r="D3673" i="3"/>
  <c r="C3673" i="3"/>
  <c r="B3673" i="3"/>
  <c r="D3672" i="3"/>
  <c r="C3672" i="3"/>
  <c r="B3672" i="3"/>
  <c r="D3671" i="3"/>
  <c r="C3671" i="3"/>
  <c r="B3671" i="3"/>
  <c r="D3670" i="3"/>
  <c r="C3670" i="3"/>
  <c r="B3670" i="3"/>
  <c r="D3669" i="3"/>
  <c r="C3669" i="3"/>
  <c r="B3669" i="3"/>
  <c r="D3668" i="3"/>
  <c r="C3668" i="3"/>
  <c r="B3668" i="3"/>
  <c r="D3667" i="3"/>
  <c r="C3667" i="3"/>
  <c r="B3667" i="3"/>
  <c r="D3666" i="3"/>
  <c r="C3666" i="3"/>
  <c r="B3666" i="3"/>
  <c r="D3665" i="3"/>
  <c r="C3665" i="3"/>
  <c r="B3665" i="3"/>
  <c r="D3664" i="3"/>
  <c r="C3664" i="3"/>
  <c r="B3664" i="3"/>
  <c r="D3663" i="3"/>
  <c r="C3663" i="3"/>
  <c r="B3663" i="3"/>
  <c r="D3662" i="3"/>
  <c r="C3662" i="3"/>
  <c r="B3662" i="3"/>
  <c r="D3661" i="3"/>
  <c r="C3661" i="3"/>
  <c r="B3661" i="3"/>
  <c r="D3660" i="3"/>
  <c r="C3660" i="3"/>
  <c r="B3660" i="3"/>
  <c r="D3659" i="3"/>
  <c r="C3659" i="3"/>
  <c r="B3659" i="3"/>
  <c r="D3658" i="3"/>
  <c r="C3658" i="3"/>
  <c r="B3658" i="3"/>
  <c r="D3657" i="3"/>
  <c r="C3657" i="3"/>
  <c r="B3657" i="3"/>
  <c r="D3656" i="3"/>
  <c r="C3656" i="3"/>
  <c r="B3656" i="3"/>
  <c r="D3655" i="3"/>
  <c r="C3655" i="3"/>
  <c r="B3655" i="3"/>
  <c r="D3654" i="3"/>
  <c r="C3654" i="3"/>
  <c r="B3654" i="3"/>
  <c r="D3653" i="3"/>
  <c r="C3653" i="3"/>
  <c r="B3653" i="3"/>
  <c r="D3652" i="3"/>
  <c r="C3652" i="3"/>
  <c r="B3652" i="3"/>
  <c r="D3651" i="3"/>
  <c r="C3651" i="3"/>
  <c r="B3651" i="3"/>
  <c r="D3650" i="3"/>
  <c r="C3650" i="3"/>
  <c r="B3650" i="3"/>
  <c r="D3649" i="3"/>
  <c r="C3649" i="3"/>
  <c r="B3649" i="3"/>
  <c r="D3648" i="3"/>
  <c r="C3648" i="3"/>
  <c r="B3648" i="3"/>
  <c r="D3647" i="3"/>
  <c r="C3647" i="3"/>
  <c r="B3647" i="3"/>
  <c r="D3646" i="3"/>
  <c r="C3646" i="3"/>
  <c r="B3646" i="3"/>
  <c r="D3645" i="3"/>
  <c r="C3645" i="3"/>
  <c r="B3645" i="3"/>
  <c r="D3644" i="3"/>
  <c r="C3644" i="3"/>
  <c r="B3644" i="3"/>
  <c r="D3643" i="3"/>
  <c r="C3643" i="3"/>
  <c r="B3643" i="3"/>
  <c r="D3642" i="3"/>
  <c r="C3642" i="3"/>
  <c r="B3642" i="3"/>
  <c r="D3641" i="3"/>
  <c r="C3641" i="3"/>
  <c r="B3641" i="3"/>
  <c r="D3640" i="3"/>
  <c r="C3640" i="3"/>
  <c r="B3640" i="3"/>
  <c r="D3639" i="3"/>
  <c r="C3639" i="3"/>
  <c r="B3639" i="3"/>
  <c r="D3638" i="3"/>
  <c r="C3638" i="3"/>
  <c r="B3638" i="3"/>
  <c r="D3637" i="3"/>
  <c r="C3637" i="3"/>
  <c r="B3637" i="3"/>
  <c r="D3636" i="3"/>
  <c r="C3636" i="3"/>
  <c r="B3636" i="3"/>
  <c r="D3635" i="3"/>
  <c r="C3635" i="3"/>
  <c r="B3635" i="3"/>
  <c r="D3634" i="3"/>
  <c r="C3634" i="3"/>
  <c r="B3634" i="3"/>
  <c r="D3633" i="3"/>
  <c r="C3633" i="3"/>
  <c r="B3633" i="3"/>
  <c r="D3632" i="3"/>
  <c r="C3632" i="3"/>
  <c r="B3632" i="3"/>
  <c r="D3631" i="3"/>
  <c r="C3631" i="3"/>
  <c r="B3631" i="3"/>
  <c r="D3630" i="3"/>
  <c r="C3630" i="3"/>
  <c r="B3630" i="3"/>
  <c r="D3629" i="3"/>
  <c r="C3629" i="3"/>
  <c r="B3629" i="3"/>
  <c r="D3628" i="3"/>
  <c r="C3628" i="3"/>
  <c r="B3628" i="3"/>
  <c r="D3627" i="3"/>
  <c r="C3627" i="3"/>
  <c r="B3627" i="3"/>
  <c r="D3626" i="3"/>
  <c r="C3626" i="3"/>
  <c r="B3626" i="3"/>
  <c r="D3625" i="3"/>
  <c r="C3625" i="3"/>
  <c r="B3625" i="3"/>
  <c r="D3624" i="3"/>
  <c r="C3624" i="3"/>
  <c r="B3624" i="3"/>
  <c r="D3623" i="3"/>
  <c r="C3623" i="3"/>
  <c r="B3623" i="3"/>
  <c r="D3622" i="3"/>
  <c r="C3622" i="3"/>
  <c r="B3622" i="3"/>
  <c r="D3621" i="3"/>
  <c r="C3621" i="3"/>
  <c r="B3621" i="3"/>
  <c r="D3620" i="3"/>
  <c r="C3620" i="3"/>
  <c r="B3620" i="3"/>
  <c r="D3619" i="3"/>
  <c r="C3619" i="3"/>
  <c r="B3619" i="3"/>
  <c r="D3618" i="3"/>
  <c r="C3618" i="3"/>
  <c r="B3618" i="3"/>
  <c r="D3617" i="3"/>
  <c r="C3617" i="3"/>
  <c r="B3617" i="3"/>
  <c r="D3616" i="3"/>
  <c r="C3616" i="3"/>
  <c r="B3616" i="3"/>
  <c r="D3615" i="3"/>
  <c r="C3615" i="3"/>
  <c r="B3615" i="3"/>
  <c r="D3614" i="3"/>
  <c r="C3614" i="3"/>
  <c r="B3614" i="3"/>
  <c r="D3613" i="3"/>
  <c r="C3613" i="3"/>
  <c r="B3613" i="3"/>
  <c r="D3612" i="3"/>
  <c r="C3612" i="3"/>
  <c r="B3612" i="3"/>
  <c r="D3611" i="3"/>
  <c r="C3611" i="3"/>
  <c r="B3611" i="3"/>
  <c r="D3610" i="3"/>
  <c r="C3610" i="3"/>
  <c r="B3610" i="3"/>
  <c r="D3609" i="3"/>
  <c r="C3609" i="3"/>
  <c r="B3609" i="3"/>
  <c r="D3608" i="3"/>
  <c r="C3608" i="3"/>
  <c r="B3608" i="3"/>
  <c r="D3607" i="3"/>
  <c r="C3607" i="3"/>
  <c r="B3607" i="3"/>
  <c r="D3606" i="3"/>
  <c r="C3606" i="3"/>
  <c r="B3606" i="3"/>
  <c r="D3605" i="3"/>
  <c r="C3605" i="3"/>
  <c r="B3605" i="3"/>
  <c r="D3604" i="3"/>
  <c r="C3604" i="3"/>
  <c r="B3604" i="3"/>
  <c r="D3603" i="3"/>
  <c r="C3603" i="3"/>
  <c r="B3603" i="3"/>
  <c r="D3602" i="3"/>
  <c r="C3602" i="3"/>
  <c r="B3602" i="3"/>
  <c r="D3601" i="3"/>
  <c r="C3601" i="3"/>
  <c r="B3601" i="3"/>
  <c r="D3600" i="3"/>
  <c r="C3600" i="3"/>
  <c r="B3600" i="3"/>
  <c r="D3599" i="3"/>
  <c r="C3599" i="3"/>
  <c r="B3599" i="3"/>
  <c r="D3598" i="3"/>
  <c r="C3598" i="3"/>
  <c r="B3598" i="3"/>
  <c r="D3597" i="3"/>
  <c r="C3597" i="3"/>
  <c r="B3597" i="3"/>
  <c r="D3596" i="3"/>
  <c r="C3596" i="3"/>
  <c r="B3596" i="3"/>
  <c r="D3595" i="3"/>
  <c r="C3595" i="3"/>
  <c r="B3595" i="3"/>
  <c r="D3594" i="3"/>
  <c r="C3594" i="3"/>
  <c r="B3594" i="3"/>
  <c r="D3593" i="3"/>
  <c r="C3593" i="3"/>
  <c r="B3593" i="3"/>
  <c r="D3592" i="3"/>
  <c r="C3592" i="3"/>
  <c r="B3592" i="3"/>
  <c r="D3591" i="3"/>
  <c r="C3591" i="3"/>
  <c r="B3591" i="3"/>
  <c r="D3590" i="3"/>
  <c r="C3590" i="3"/>
  <c r="B3590" i="3"/>
  <c r="D3589" i="3"/>
  <c r="C3589" i="3"/>
  <c r="B3589" i="3"/>
  <c r="D3588" i="3"/>
  <c r="C3588" i="3"/>
  <c r="B3588" i="3"/>
  <c r="D3587" i="3"/>
  <c r="C3587" i="3"/>
  <c r="B3587" i="3"/>
  <c r="D3586" i="3"/>
  <c r="C3586" i="3"/>
  <c r="B3586" i="3"/>
  <c r="D3585" i="3"/>
  <c r="C3585" i="3"/>
  <c r="B3585" i="3"/>
  <c r="D3584" i="3"/>
  <c r="C3584" i="3"/>
  <c r="B3584" i="3"/>
  <c r="D3583" i="3"/>
  <c r="C3583" i="3"/>
  <c r="B3583" i="3"/>
  <c r="D3582" i="3"/>
  <c r="C3582" i="3"/>
  <c r="B3582" i="3"/>
  <c r="D3581" i="3"/>
  <c r="C3581" i="3"/>
  <c r="B3581" i="3"/>
  <c r="D3580" i="3"/>
  <c r="C3580" i="3"/>
  <c r="B3580" i="3"/>
  <c r="D3579" i="3"/>
  <c r="C3579" i="3"/>
  <c r="B3579" i="3"/>
  <c r="D3578" i="3"/>
  <c r="C3578" i="3"/>
  <c r="B3578" i="3"/>
  <c r="D3577" i="3"/>
  <c r="C3577" i="3"/>
  <c r="B3577" i="3"/>
  <c r="D3576" i="3"/>
  <c r="C3576" i="3"/>
  <c r="B3576" i="3"/>
  <c r="D3575" i="3"/>
  <c r="C3575" i="3"/>
  <c r="B3575" i="3"/>
  <c r="D3574" i="3"/>
  <c r="C3574" i="3"/>
  <c r="B3574" i="3"/>
  <c r="D3573" i="3"/>
  <c r="C3573" i="3"/>
  <c r="B3573" i="3"/>
  <c r="D3572" i="3"/>
  <c r="C3572" i="3"/>
  <c r="B3572" i="3"/>
  <c r="D3571" i="3"/>
  <c r="C3571" i="3"/>
  <c r="B3571" i="3"/>
  <c r="D3570" i="3"/>
  <c r="C3570" i="3"/>
  <c r="B3570" i="3"/>
  <c r="D3569" i="3"/>
  <c r="C3569" i="3"/>
  <c r="B3569" i="3"/>
  <c r="D3568" i="3"/>
  <c r="C3568" i="3"/>
  <c r="B3568" i="3"/>
  <c r="D3567" i="3"/>
  <c r="C3567" i="3"/>
  <c r="B3567" i="3"/>
  <c r="D3566" i="3"/>
  <c r="C3566" i="3"/>
  <c r="B3566" i="3"/>
  <c r="D3565" i="3"/>
  <c r="C3565" i="3"/>
  <c r="B3565" i="3"/>
  <c r="D3564" i="3"/>
  <c r="C3564" i="3"/>
  <c r="B3564" i="3"/>
  <c r="D3563" i="3"/>
  <c r="C3563" i="3"/>
  <c r="B3563" i="3"/>
  <c r="D3562" i="3"/>
  <c r="C3562" i="3"/>
  <c r="B3562" i="3"/>
  <c r="D3561" i="3"/>
  <c r="C3561" i="3"/>
  <c r="B3561" i="3"/>
  <c r="D3560" i="3"/>
  <c r="C3560" i="3"/>
  <c r="B3560" i="3"/>
  <c r="D3559" i="3"/>
  <c r="C3559" i="3"/>
  <c r="B3559" i="3"/>
  <c r="D3558" i="3"/>
  <c r="C3558" i="3"/>
  <c r="B3558" i="3"/>
  <c r="D3557" i="3"/>
  <c r="C3557" i="3"/>
  <c r="B3557" i="3"/>
  <c r="D3556" i="3"/>
  <c r="C3556" i="3"/>
  <c r="B3556" i="3"/>
  <c r="D3555" i="3"/>
  <c r="C3555" i="3"/>
  <c r="B3555" i="3"/>
  <c r="D3554" i="3"/>
  <c r="C3554" i="3"/>
  <c r="B3554" i="3"/>
  <c r="D3553" i="3"/>
  <c r="C3553" i="3"/>
  <c r="B3553" i="3"/>
  <c r="D3552" i="3"/>
  <c r="C3552" i="3"/>
  <c r="B3552" i="3"/>
  <c r="D3551" i="3"/>
  <c r="C3551" i="3"/>
  <c r="B3551" i="3"/>
  <c r="D3550" i="3"/>
  <c r="C3550" i="3"/>
  <c r="B3550" i="3"/>
  <c r="D3549" i="3"/>
  <c r="C3549" i="3"/>
  <c r="B3549" i="3"/>
  <c r="D3548" i="3"/>
  <c r="C3548" i="3"/>
  <c r="B3548" i="3"/>
  <c r="D3547" i="3"/>
  <c r="C3547" i="3"/>
  <c r="B3547" i="3"/>
  <c r="D3546" i="3"/>
  <c r="C3546" i="3"/>
  <c r="B3546" i="3"/>
  <c r="D3545" i="3"/>
  <c r="C3545" i="3"/>
  <c r="B3545" i="3"/>
  <c r="D3544" i="3"/>
  <c r="C3544" i="3"/>
  <c r="B3544" i="3"/>
  <c r="D3543" i="3"/>
  <c r="C3543" i="3"/>
  <c r="B3543" i="3"/>
  <c r="D3542" i="3"/>
  <c r="C3542" i="3"/>
  <c r="B3542" i="3"/>
  <c r="D3541" i="3"/>
  <c r="C3541" i="3"/>
  <c r="B3541" i="3"/>
  <c r="D3540" i="3"/>
  <c r="C3540" i="3"/>
  <c r="B3540" i="3"/>
  <c r="D3539" i="3"/>
  <c r="C3539" i="3"/>
  <c r="B3539" i="3"/>
  <c r="D3538" i="3"/>
  <c r="C3538" i="3"/>
  <c r="B3538" i="3"/>
  <c r="D3537" i="3"/>
  <c r="C3537" i="3"/>
  <c r="B3537" i="3"/>
  <c r="D3536" i="3"/>
  <c r="C3536" i="3"/>
  <c r="B3536" i="3"/>
  <c r="D3535" i="3"/>
  <c r="C3535" i="3"/>
  <c r="B3535" i="3"/>
  <c r="D3534" i="3"/>
  <c r="C3534" i="3"/>
  <c r="B3534" i="3"/>
  <c r="D3533" i="3"/>
  <c r="C3533" i="3"/>
  <c r="B3533" i="3"/>
  <c r="D3532" i="3"/>
  <c r="C3532" i="3"/>
  <c r="B3532" i="3"/>
  <c r="D3531" i="3"/>
  <c r="C3531" i="3"/>
  <c r="B3531" i="3"/>
  <c r="D3530" i="3"/>
  <c r="C3530" i="3"/>
  <c r="B3530" i="3"/>
  <c r="D3529" i="3"/>
  <c r="C3529" i="3"/>
  <c r="B3529" i="3"/>
  <c r="D3528" i="3"/>
  <c r="C3528" i="3"/>
  <c r="B3528" i="3"/>
  <c r="D3527" i="3"/>
  <c r="C3527" i="3"/>
  <c r="B3527" i="3"/>
  <c r="D3526" i="3"/>
  <c r="C3526" i="3"/>
  <c r="B3526" i="3"/>
  <c r="D3525" i="3"/>
  <c r="C3525" i="3"/>
  <c r="B3525" i="3"/>
  <c r="D3524" i="3"/>
  <c r="C3524" i="3"/>
  <c r="B3524" i="3"/>
  <c r="D3523" i="3"/>
  <c r="C3523" i="3"/>
  <c r="B3523" i="3"/>
  <c r="D3522" i="3"/>
  <c r="C3522" i="3"/>
  <c r="B3522" i="3"/>
  <c r="D3521" i="3"/>
  <c r="C3521" i="3"/>
  <c r="B3521" i="3"/>
  <c r="D3520" i="3"/>
  <c r="C3520" i="3"/>
  <c r="B3520" i="3"/>
  <c r="D3519" i="3"/>
  <c r="C3519" i="3"/>
  <c r="B3519" i="3"/>
  <c r="D3518" i="3"/>
  <c r="C3518" i="3"/>
  <c r="B3518" i="3"/>
  <c r="D3517" i="3"/>
  <c r="C3517" i="3"/>
  <c r="B3517" i="3"/>
  <c r="D3516" i="3"/>
  <c r="C3516" i="3"/>
  <c r="B3516" i="3"/>
  <c r="D3515" i="3"/>
  <c r="C3515" i="3"/>
  <c r="B3515" i="3"/>
  <c r="D3514" i="3"/>
  <c r="C3514" i="3"/>
  <c r="B3514" i="3"/>
  <c r="D3513" i="3"/>
  <c r="C3513" i="3"/>
  <c r="B3513" i="3"/>
  <c r="D3512" i="3"/>
  <c r="C3512" i="3"/>
  <c r="B3512" i="3"/>
  <c r="D3511" i="3"/>
  <c r="C3511" i="3"/>
  <c r="B3511" i="3"/>
  <c r="D3510" i="3"/>
  <c r="C3510" i="3"/>
  <c r="B3510" i="3"/>
  <c r="D3509" i="3"/>
  <c r="C3509" i="3"/>
  <c r="B3509" i="3"/>
  <c r="D3508" i="3"/>
  <c r="C3508" i="3"/>
  <c r="B3508" i="3"/>
  <c r="D3507" i="3"/>
  <c r="C3507" i="3"/>
  <c r="B3507" i="3"/>
  <c r="D3506" i="3"/>
  <c r="C3506" i="3"/>
  <c r="B3506" i="3"/>
  <c r="D3505" i="3"/>
  <c r="C3505" i="3"/>
  <c r="B3505" i="3"/>
  <c r="D3504" i="3"/>
  <c r="C3504" i="3"/>
  <c r="B3504" i="3"/>
  <c r="D3503" i="3"/>
  <c r="C3503" i="3"/>
  <c r="B3503" i="3"/>
  <c r="D3502" i="3"/>
  <c r="C3502" i="3"/>
  <c r="B3502" i="3"/>
  <c r="D3501" i="3"/>
  <c r="C3501" i="3"/>
  <c r="B3501" i="3"/>
  <c r="D3500" i="3"/>
  <c r="C3500" i="3"/>
  <c r="B3500" i="3"/>
  <c r="D3499" i="3"/>
  <c r="C3499" i="3"/>
  <c r="B3499" i="3"/>
  <c r="D3498" i="3"/>
  <c r="C3498" i="3"/>
  <c r="B3498" i="3"/>
  <c r="D3497" i="3"/>
  <c r="C3497" i="3"/>
  <c r="B3497" i="3"/>
  <c r="D3496" i="3"/>
  <c r="C3496" i="3"/>
  <c r="B3496" i="3"/>
  <c r="D3495" i="3"/>
  <c r="C3495" i="3"/>
  <c r="B3495" i="3"/>
  <c r="D3494" i="3"/>
  <c r="C3494" i="3"/>
  <c r="B3494" i="3"/>
  <c r="D3493" i="3"/>
  <c r="C3493" i="3"/>
  <c r="B3493" i="3"/>
  <c r="D3492" i="3"/>
  <c r="C3492" i="3"/>
  <c r="B3492" i="3"/>
  <c r="D3491" i="3"/>
  <c r="C3491" i="3"/>
  <c r="B3491" i="3"/>
  <c r="D3490" i="3"/>
  <c r="C3490" i="3"/>
  <c r="B3490" i="3"/>
  <c r="D3489" i="3"/>
  <c r="C3489" i="3"/>
  <c r="B3489" i="3"/>
  <c r="D3488" i="3"/>
  <c r="C3488" i="3"/>
  <c r="B3488" i="3"/>
  <c r="D3487" i="3"/>
  <c r="C3487" i="3"/>
  <c r="B3487" i="3"/>
  <c r="D3486" i="3"/>
  <c r="C3486" i="3"/>
  <c r="B3486" i="3"/>
  <c r="D3485" i="3"/>
  <c r="C3485" i="3"/>
  <c r="B3485" i="3"/>
  <c r="D3484" i="3"/>
  <c r="C3484" i="3"/>
  <c r="B3484" i="3"/>
  <c r="D3483" i="3"/>
  <c r="C3483" i="3"/>
  <c r="B3483" i="3"/>
  <c r="D3482" i="3"/>
  <c r="C3482" i="3"/>
  <c r="B3482" i="3"/>
  <c r="D3481" i="3"/>
  <c r="C3481" i="3"/>
  <c r="B3481" i="3"/>
  <c r="D3480" i="3"/>
  <c r="C3480" i="3"/>
  <c r="B3480" i="3"/>
  <c r="D3479" i="3"/>
  <c r="C3479" i="3"/>
  <c r="B3479" i="3"/>
  <c r="D3478" i="3"/>
  <c r="C3478" i="3"/>
  <c r="B3478" i="3"/>
  <c r="D3477" i="3"/>
  <c r="C3477" i="3"/>
  <c r="B3477" i="3"/>
  <c r="D3476" i="3"/>
  <c r="C3476" i="3"/>
  <c r="B3476" i="3"/>
  <c r="D3475" i="3"/>
  <c r="C3475" i="3"/>
  <c r="B3475" i="3"/>
  <c r="D3474" i="3"/>
  <c r="C3474" i="3"/>
  <c r="B3474" i="3"/>
  <c r="D3473" i="3"/>
  <c r="C3473" i="3"/>
  <c r="B3473" i="3"/>
  <c r="D3472" i="3"/>
  <c r="C3472" i="3"/>
  <c r="B3472" i="3"/>
  <c r="D3471" i="3"/>
  <c r="C3471" i="3"/>
  <c r="B3471" i="3"/>
  <c r="D3470" i="3"/>
  <c r="C3470" i="3"/>
  <c r="B3470" i="3"/>
  <c r="D3469" i="3"/>
  <c r="C3469" i="3"/>
  <c r="B3469" i="3"/>
  <c r="D3468" i="3"/>
  <c r="C3468" i="3"/>
  <c r="B3468" i="3"/>
  <c r="D3467" i="3"/>
  <c r="C3467" i="3"/>
  <c r="B3467" i="3"/>
  <c r="D3466" i="3"/>
  <c r="C3466" i="3"/>
  <c r="B3466" i="3"/>
  <c r="D3465" i="3"/>
  <c r="C3465" i="3"/>
  <c r="B3465" i="3"/>
  <c r="D3464" i="3"/>
  <c r="C3464" i="3"/>
  <c r="B3464" i="3"/>
  <c r="D3463" i="3"/>
  <c r="C3463" i="3"/>
  <c r="B3463" i="3"/>
  <c r="D3462" i="3"/>
  <c r="C3462" i="3"/>
  <c r="B3462" i="3"/>
  <c r="D3461" i="3"/>
  <c r="C3461" i="3"/>
  <c r="B3461" i="3"/>
  <c r="D3460" i="3"/>
  <c r="C3460" i="3"/>
  <c r="B3460" i="3"/>
  <c r="D3459" i="3"/>
  <c r="C3459" i="3"/>
  <c r="B3459" i="3"/>
  <c r="D3458" i="3"/>
  <c r="C3458" i="3"/>
  <c r="B3458" i="3"/>
  <c r="D3457" i="3"/>
  <c r="C3457" i="3"/>
  <c r="B3457" i="3"/>
  <c r="D3456" i="3"/>
  <c r="C3456" i="3"/>
  <c r="B3456" i="3"/>
  <c r="D3455" i="3"/>
  <c r="C3455" i="3"/>
  <c r="B3455" i="3"/>
  <c r="D3454" i="3"/>
  <c r="C3454" i="3"/>
  <c r="B3454" i="3"/>
  <c r="D3453" i="3"/>
  <c r="C3453" i="3"/>
  <c r="B3453" i="3"/>
  <c r="D3452" i="3"/>
  <c r="C3452" i="3"/>
  <c r="B3452" i="3"/>
  <c r="D3451" i="3"/>
  <c r="C3451" i="3"/>
  <c r="B3451" i="3"/>
  <c r="D3450" i="3"/>
  <c r="C3450" i="3"/>
  <c r="B3450" i="3"/>
  <c r="D3449" i="3"/>
  <c r="C3449" i="3"/>
  <c r="B3449" i="3"/>
  <c r="D3448" i="3"/>
  <c r="C3448" i="3"/>
  <c r="B3448" i="3"/>
  <c r="D3447" i="3"/>
  <c r="C3447" i="3"/>
  <c r="B3447" i="3"/>
  <c r="D3446" i="3"/>
  <c r="C3446" i="3"/>
  <c r="B3446" i="3"/>
  <c r="D3445" i="3"/>
  <c r="C3445" i="3"/>
  <c r="B3445" i="3"/>
  <c r="D3444" i="3"/>
  <c r="C3444" i="3"/>
  <c r="B3444" i="3"/>
  <c r="D3443" i="3"/>
  <c r="C3443" i="3"/>
  <c r="B3443" i="3"/>
  <c r="D3442" i="3"/>
  <c r="C3442" i="3"/>
  <c r="B3442" i="3"/>
  <c r="D3441" i="3"/>
  <c r="C3441" i="3"/>
  <c r="B3441" i="3"/>
  <c r="D3440" i="3"/>
  <c r="C3440" i="3"/>
  <c r="B3440" i="3"/>
  <c r="D3439" i="3"/>
  <c r="C3439" i="3"/>
  <c r="B3439" i="3"/>
  <c r="D3438" i="3"/>
  <c r="C3438" i="3"/>
  <c r="B3438" i="3"/>
  <c r="D3437" i="3"/>
  <c r="C3437" i="3"/>
  <c r="B3437" i="3"/>
  <c r="D3436" i="3"/>
  <c r="C3436" i="3"/>
  <c r="B3436" i="3"/>
  <c r="D3435" i="3"/>
  <c r="C3435" i="3"/>
  <c r="B3435" i="3"/>
  <c r="D3434" i="3"/>
  <c r="C3434" i="3"/>
  <c r="B3434" i="3"/>
  <c r="D3433" i="3"/>
  <c r="C3433" i="3"/>
  <c r="B3433" i="3"/>
  <c r="D3432" i="3"/>
  <c r="C3432" i="3"/>
  <c r="B3432" i="3"/>
  <c r="D3431" i="3"/>
  <c r="C3431" i="3"/>
  <c r="B3431" i="3"/>
  <c r="D3430" i="3"/>
  <c r="C3430" i="3"/>
  <c r="B3430" i="3"/>
  <c r="D3429" i="3"/>
  <c r="C3429" i="3"/>
  <c r="B3429" i="3"/>
  <c r="D3428" i="3"/>
  <c r="C3428" i="3"/>
  <c r="B3428" i="3"/>
  <c r="D3427" i="3"/>
  <c r="C3427" i="3"/>
  <c r="B3427" i="3"/>
  <c r="D3426" i="3"/>
  <c r="C3426" i="3"/>
  <c r="B3426" i="3"/>
  <c r="D3425" i="3"/>
  <c r="C3425" i="3"/>
  <c r="B3425" i="3"/>
  <c r="D3424" i="3"/>
  <c r="C3424" i="3"/>
  <c r="B3424" i="3"/>
  <c r="D3423" i="3"/>
  <c r="C3423" i="3"/>
  <c r="B3423" i="3"/>
  <c r="D3422" i="3"/>
  <c r="C3422" i="3"/>
  <c r="B3422" i="3"/>
  <c r="D3421" i="3"/>
  <c r="C3421" i="3"/>
  <c r="B3421" i="3"/>
  <c r="D3420" i="3"/>
  <c r="C3420" i="3"/>
  <c r="B3420" i="3"/>
  <c r="D3419" i="3"/>
  <c r="C3419" i="3"/>
  <c r="B3419" i="3"/>
  <c r="D3418" i="3"/>
  <c r="C3418" i="3"/>
  <c r="B3418" i="3"/>
  <c r="D3417" i="3"/>
  <c r="C3417" i="3"/>
  <c r="B3417" i="3"/>
  <c r="D3416" i="3"/>
  <c r="C3416" i="3"/>
  <c r="B3416" i="3"/>
  <c r="D3415" i="3"/>
  <c r="C3415" i="3"/>
  <c r="B3415" i="3"/>
  <c r="D3414" i="3"/>
  <c r="C3414" i="3"/>
  <c r="B3414" i="3"/>
  <c r="D3413" i="3"/>
  <c r="C3413" i="3"/>
  <c r="B3413" i="3"/>
  <c r="D3412" i="3"/>
  <c r="C3412" i="3"/>
  <c r="B3412" i="3"/>
  <c r="D3411" i="3"/>
  <c r="C3411" i="3"/>
  <c r="B3411" i="3"/>
  <c r="D3410" i="3"/>
  <c r="C3410" i="3"/>
  <c r="B3410" i="3"/>
  <c r="D3409" i="3"/>
  <c r="C3409" i="3"/>
  <c r="B3409" i="3"/>
  <c r="D3408" i="3"/>
  <c r="C3408" i="3"/>
  <c r="B3408" i="3"/>
  <c r="D3407" i="3"/>
  <c r="C3407" i="3"/>
  <c r="B3407" i="3"/>
  <c r="D3406" i="3"/>
  <c r="C3406" i="3"/>
  <c r="B3406" i="3"/>
  <c r="D3405" i="3"/>
  <c r="C3405" i="3"/>
  <c r="B3405" i="3"/>
  <c r="D3404" i="3"/>
  <c r="C3404" i="3"/>
  <c r="B3404" i="3"/>
  <c r="D3403" i="3"/>
  <c r="C3403" i="3"/>
  <c r="B3403" i="3"/>
  <c r="D3402" i="3"/>
  <c r="C3402" i="3"/>
  <c r="B3402" i="3"/>
  <c r="D3401" i="3"/>
  <c r="C3401" i="3"/>
  <c r="B3401" i="3"/>
  <c r="D3400" i="3"/>
  <c r="C3400" i="3"/>
  <c r="B3400" i="3"/>
  <c r="D3399" i="3"/>
  <c r="C3399" i="3"/>
  <c r="B3399" i="3"/>
  <c r="D3398" i="3"/>
  <c r="C3398" i="3"/>
  <c r="B3398" i="3"/>
  <c r="D3397" i="3"/>
  <c r="C3397" i="3"/>
  <c r="B3397" i="3"/>
  <c r="D3396" i="3"/>
  <c r="C3396" i="3"/>
  <c r="B3396" i="3"/>
  <c r="D3395" i="3"/>
  <c r="C3395" i="3"/>
  <c r="B3395" i="3"/>
  <c r="D3394" i="3"/>
  <c r="C3394" i="3"/>
  <c r="B3394" i="3"/>
  <c r="D3393" i="3"/>
  <c r="C3393" i="3"/>
  <c r="B3393" i="3"/>
  <c r="D3392" i="3"/>
  <c r="C3392" i="3"/>
  <c r="B3392" i="3"/>
  <c r="D3391" i="3"/>
  <c r="C3391" i="3"/>
  <c r="B3391" i="3"/>
  <c r="D3390" i="3"/>
  <c r="C3390" i="3"/>
  <c r="B3390" i="3"/>
  <c r="D3389" i="3"/>
  <c r="C3389" i="3"/>
  <c r="B3389" i="3"/>
  <c r="D3388" i="3"/>
  <c r="C3388" i="3"/>
  <c r="B3388" i="3"/>
  <c r="D3387" i="3"/>
  <c r="C3387" i="3"/>
  <c r="B3387" i="3"/>
  <c r="D3386" i="3"/>
  <c r="C3386" i="3"/>
  <c r="B3386" i="3"/>
  <c r="D3385" i="3"/>
  <c r="C3385" i="3"/>
  <c r="B3385" i="3"/>
  <c r="D3384" i="3"/>
  <c r="C3384" i="3"/>
  <c r="B3384" i="3"/>
  <c r="D3383" i="3"/>
  <c r="C3383" i="3"/>
  <c r="B3383" i="3"/>
  <c r="D3382" i="3"/>
  <c r="C3382" i="3"/>
  <c r="B3382" i="3"/>
  <c r="D3381" i="3"/>
  <c r="C3381" i="3"/>
  <c r="B3381" i="3"/>
  <c r="D3380" i="3"/>
  <c r="C3380" i="3"/>
  <c r="B3380" i="3"/>
  <c r="D3379" i="3"/>
  <c r="C3379" i="3"/>
  <c r="B3379" i="3"/>
  <c r="D3378" i="3"/>
  <c r="C3378" i="3"/>
  <c r="B3378" i="3"/>
  <c r="D3377" i="3"/>
  <c r="C3377" i="3"/>
  <c r="B3377" i="3"/>
  <c r="D3376" i="3"/>
  <c r="C3376" i="3"/>
  <c r="B3376" i="3"/>
  <c r="D3375" i="3"/>
  <c r="C3375" i="3"/>
  <c r="B3375" i="3"/>
  <c r="D3374" i="3"/>
  <c r="C3374" i="3"/>
  <c r="B3374" i="3"/>
  <c r="D3373" i="3"/>
  <c r="C3373" i="3"/>
  <c r="B3373" i="3"/>
  <c r="D3372" i="3"/>
  <c r="C3372" i="3"/>
  <c r="B3372" i="3"/>
  <c r="D3371" i="3"/>
  <c r="C3371" i="3"/>
  <c r="B3371" i="3"/>
  <c r="D3370" i="3"/>
  <c r="C3370" i="3"/>
  <c r="B3370" i="3"/>
  <c r="D3369" i="3"/>
  <c r="C3369" i="3"/>
  <c r="B3369" i="3"/>
  <c r="D3368" i="3"/>
  <c r="C3368" i="3"/>
  <c r="B3368" i="3"/>
  <c r="D3367" i="3"/>
  <c r="C3367" i="3"/>
  <c r="B3367" i="3"/>
  <c r="D3366" i="3"/>
  <c r="C3366" i="3"/>
  <c r="B3366" i="3"/>
  <c r="D3365" i="3"/>
  <c r="C3365" i="3"/>
  <c r="B3365" i="3"/>
  <c r="D3364" i="3"/>
  <c r="C3364" i="3"/>
  <c r="B3364" i="3"/>
  <c r="D3363" i="3"/>
  <c r="C3363" i="3"/>
  <c r="B3363" i="3"/>
  <c r="D3362" i="3"/>
  <c r="C3362" i="3"/>
  <c r="B3362" i="3"/>
  <c r="D3361" i="3"/>
  <c r="C3361" i="3"/>
  <c r="B3361" i="3"/>
  <c r="D3360" i="3"/>
  <c r="C3360" i="3"/>
  <c r="B3360" i="3"/>
  <c r="D3359" i="3"/>
  <c r="C3359" i="3"/>
  <c r="B3359" i="3"/>
  <c r="D3358" i="3"/>
  <c r="C3358" i="3"/>
  <c r="B3358" i="3"/>
  <c r="D3357" i="3"/>
  <c r="C3357" i="3"/>
  <c r="B3357" i="3"/>
  <c r="D3356" i="3"/>
  <c r="C3356" i="3"/>
  <c r="B3356" i="3"/>
  <c r="D3355" i="3"/>
  <c r="C3355" i="3"/>
  <c r="B3355" i="3"/>
  <c r="D3354" i="3"/>
  <c r="C3354" i="3"/>
  <c r="B3354" i="3"/>
  <c r="D3353" i="3"/>
  <c r="C3353" i="3"/>
  <c r="B3353" i="3"/>
  <c r="D3352" i="3"/>
  <c r="C3352" i="3"/>
  <c r="B3352" i="3"/>
  <c r="D3351" i="3"/>
  <c r="C3351" i="3"/>
  <c r="B3351" i="3"/>
  <c r="D3350" i="3"/>
  <c r="C3350" i="3"/>
  <c r="B3350" i="3"/>
  <c r="D3349" i="3"/>
  <c r="C3349" i="3"/>
  <c r="B3349" i="3"/>
  <c r="D3348" i="3"/>
  <c r="C3348" i="3"/>
  <c r="B3348" i="3"/>
  <c r="D3347" i="3"/>
  <c r="C3347" i="3"/>
  <c r="B3347" i="3"/>
  <c r="D3346" i="3"/>
  <c r="C3346" i="3"/>
  <c r="B3346" i="3"/>
  <c r="D3345" i="3"/>
  <c r="C3345" i="3"/>
  <c r="B3345" i="3"/>
  <c r="D3344" i="3"/>
  <c r="C3344" i="3"/>
  <c r="B3344" i="3"/>
  <c r="D3343" i="3"/>
  <c r="C3343" i="3"/>
  <c r="B3343" i="3"/>
  <c r="D3342" i="3"/>
  <c r="C3342" i="3"/>
  <c r="B3342" i="3"/>
  <c r="D3341" i="3"/>
  <c r="C3341" i="3"/>
  <c r="B3341" i="3"/>
  <c r="D3340" i="3"/>
  <c r="C3340" i="3"/>
  <c r="B3340" i="3"/>
  <c r="D3339" i="3"/>
  <c r="C3339" i="3"/>
  <c r="B3339" i="3"/>
  <c r="D3338" i="3"/>
  <c r="C3338" i="3"/>
  <c r="B3338" i="3"/>
  <c r="D3337" i="3"/>
  <c r="C3337" i="3"/>
  <c r="B3337" i="3"/>
  <c r="D3336" i="3"/>
  <c r="C3336" i="3"/>
  <c r="B3336" i="3"/>
  <c r="D3335" i="3"/>
  <c r="C3335" i="3"/>
  <c r="B3335" i="3"/>
  <c r="D3334" i="3"/>
  <c r="C3334" i="3"/>
  <c r="B3334" i="3"/>
  <c r="D3333" i="3"/>
  <c r="C3333" i="3"/>
  <c r="B3333" i="3"/>
  <c r="D3332" i="3"/>
  <c r="C3332" i="3"/>
  <c r="B3332" i="3"/>
  <c r="D3331" i="3"/>
  <c r="C3331" i="3"/>
  <c r="B3331" i="3"/>
  <c r="D3330" i="3"/>
  <c r="C3330" i="3"/>
  <c r="B3330" i="3"/>
  <c r="D3329" i="3"/>
  <c r="C3329" i="3"/>
  <c r="B3329" i="3"/>
  <c r="D3328" i="3"/>
  <c r="C3328" i="3"/>
  <c r="B3328" i="3"/>
  <c r="D3327" i="3"/>
  <c r="C3327" i="3"/>
  <c r="B3327" i="3"/>
  <c r="D3326" i="3"/>
  <c r="C3326" i="3"/>
  <c r="B3326" i="3"/>
  <c r="D3325" i="3"/>
  <c r="C3325" i="3"/>
  <c r="B3325" i="3"/>
  <c r="D3324" i="3"/>
  <c r="C3324" i="3"/>
  <c r="B3324" i="3"/>
  <c r="D3323" i="3"/>
  <c r="C3323" i="3"/>
  <c r="B3323" i="3"/>
  <c r="D3322" i="3"/>
  <c r="C3322" i="3"/>
  <c r="B3322" i="3"/>
  <c r="D3321" i="3"/>
  <c r="C3321" i="3"/>
  <c r="B3321" i="3"/>
  <c r="D3320" i="3"/>
  <c r="C3320" i="3"/>
  <c r="B3320" i="3"/>
  <c r="D3319" i="3"/>
  <c r="C3319" i="3"/>
  <c r="B3319" i="3"/>
  <c r="D3318" i="3"/>
  <c r="C3318" i="3"/>
  <c r="B3318" i="3"/>
  <c r="D3317" i="3"/>
  <c r="C3317" i="3"/>
  <c r="B3317" i="3"/>
  <c r="D3316" i="3"/>
  <c r="C3316" i="3"/>
  <c r="B3316" i="3"/>
  <c r="D3315" i="3"/>
  <c r="C3315" i="3"/>
  <c r="B3315" i="3"/>
  <c r="D3314" i="3"/>
  <c r="C3314" i="3"/>
  <c r="B3314" i="3"/>
  <c r="D3313" i="3"/>
  <c r="C3313" i="3"/>
  <c r="B3313" i="3"/>
  <c r="D3312" i="3"/>
  <c r="C3312" i="3"/>
  <c r="B3312" i="3"/>
  <c r="D3311" i="3"/>
  <c r="C3311" i="3"/>
  <c r="B3311" i="3"/>
  <c r="D3310" i="3"/>
  <c r="C3310" i="3"/>
  <c r="B3310" i="3"/>
  <c r="D3309" i="3"/>
  <c r="C3309" i="3"/>
  <c r="B3309" i="3"/>
  <c r="D3308" i="3"/>
  <c r="C3308" i="3"/>
  <c r="B3308" i="3"/>
  <c r="D3307" i="3"/>
  <c r="C3307" i="3"/>
  <c r="B3307" i="3"/>
  <c r="D3306" i="3"/>
  <c r="C3306" i="3"/>
  <c r="B3306" i="3"/>
  <c r="D3305" i="3"/>
  <c r="C3305" i="3"/>
  <c r="B3305" i="3"/>
  <c r="D3304" i="3"/>
  <c r="C3304" i="3"/>
  <c r="B3304" i="3"/>
  <c r="D3303" i="3"/>
  <c r="C3303" i="3"/>
  <c r="B3303" i="3"/>
  <c r="D3302" i="3"/>
  <c r="C3302" i="3"/>
  <c r="B3302" i="3"/>
  <c r="D3301" i="3"/>
  <c r="C3301" i="3"/>
  <c r="B3301" i="3"/>
  <c r="D3300" i="3"/>
  <c r="C3300" i="3"/>
  <c r="B3300" i="3"/>
  <c r="D3299" i="3"/>
  <c r="C3299" i="3"/>
  <c r="B3299" i="3"/>
  <c r="D3298" i="3"/>
  <c r="C3298" i="3"/>
  <c r="B3298" i="3"/>
  <c r="D3297" i="3"/>
  <c r="C3297" i="3"/>
  <c r="B3297" i="3"/>
  <c r="D3296" i="3"/>
  <c r="C3296" i="3"/>
  <c r="B3296" i="3"/>
  <c r="D3295" i="3"/>
  <c r="C3295" i="3"/>
  <c r="B3295" i="3"/>
  <c r="D3294" i="3"/>
  <c r="C3294" i="3"/>
  <c r="B3294" i="3"/>
  <c r="D3293" i="3"/>
  <c r="C3293" i="3"/>
  <c r="B3293" i="3"/>
  <c r="D3292" i="3"/>
  <c r="C3292" i="3"/>
  <c r="B3292" i="3"/>
  <c r="D3291" i="3"/>
  <c r="C3291" i="3"/>
  <c r="B3291" i="3"/>
  <c r="D3290" i="3"/>
  <c r="C3290" i="3"/>
  <c r="B3290" i="3"/>
  <c r="D3289" i="3"/>
  <c r="C3289" i="3"/>
  <c r="B3289" i="3"/>
  <c r="D3288" i="3"/>
  <c r="C3288" i="3"/>
  <c r="B3288" i="3"/>
  <c r="D3287" i="3"/>
  <c r="C3287" i="3"/>
  <c r="B3287" i="3"/>
  <c r="D3286" i="3"/>
  <c r="C3286" i="3"/>
  <c r="B3286" i="3"/>
  <c r="D3285" i="3"/>
  <c r="C3285" i="3"/>
  <c r="B3285" i="3"/>
  <c r="D3284" i="3"/>
  <c r="C3284" i="3"/>
  <c r="B3284" i="3"/>
  <c r="D3283" i="3"/>
  <c r="C3283" i="3"/>
  <c r="B3283" i="3"/>
  <c r="D3282" i="3"/>
  <c r="C3282" i="3"/>
  <c r="B3282" i="3"/>
  <c r="D3281" i="3"/>
  <c r="C3281" i="3"/>
  <c r="B3281" i="3"/>
  <c r="D3280" i="3"/>
  <c r="C3280" i="3"/>
  <c r="B3280" i="3"/>
  <c r="D3279" i="3"/>
  <c r="C3279" i="3"/>
  <c r="B3279" i="3"/>
  <c r="D3278" i="3"/>
  <c r="C3278" i="3"/>
  <c r="B3278" i="3"/>
  <c r="D3277" i="3"/>
  <c r="C3277" i="3"/>
  <c r="B3277" i="3"/>
  <c r="D3276" i="3"/>
  <c r="C3276" i="3"/>
  <c r="B3276" i="3"/>
  <c r="D3275" i="3"/>
  <c r="C3275" i="3"/>
  <c r="B3275" i="3"/>
  <c r="D3274" i="3"/>
  <c r="C3274" i="3"/>
  <c r="B3274" i="3"/>
  <c r="D3273" i="3"/>
  <c r="C3273" i="3"/>
  <c r="B3273" i="3"/>
  <c r="D3272" i="3"/>
  <c r="C3272" i="3"/>
  <c r="B3272" i="3"/>
  <c r="D3271" i="3"/>
  <c r="C3271" i="3"/>
  <c r="B3271" i="3"/>
  <c r="D3270" i="3"/>
  <c r="C3270" i="3"/>
  <c r="B3270" i="3"/>
  <c r="D3269" i="3"/>
  <c r="C3269" i="3"/>
  <c r="B3269" i="3"/>
  <c r="D3268" i="3"/>
  <c r="C3268" i="3"/>
  <c r="B3268" i="3"/>
  <c r="D3267" i="3"/>
  <c r="C3267" i="3"/>
  <c r="B3267" i="3"/>
  <c r="D3266" i="3"/>
  <c r="C3266" i="3"/>
  <c r="B3266" i="3"/>
  <c r="D3265" i="3"/>
  <c r="C3265" i="3"/>
  <c r="B3265" i="3"/>
  <c r="D3264" i="3"/>
  <c r="C3264" i="3"/>
  <c r="B3264" i="3"/>
  <c r="D3263" i="3"/>
  <c r="C3263" i="3"/>
  <c r="B3263" i="3"/>
  <c r="D3262" i="3"/>
  <c r="C3262" i="3"/>
  <c r="B3262" i="3"/>
  <c r="D3261" i="3"/>
  <c r="C3261" i="3"/>
  <c r="B3261" i="3"/>
  <c r="D3260" i="3"/>
  <c r="C3260" i="3"/>
  <c r="B3260" i="3"/>
  <c r="D3259" i="3"/>
  <c r="C3259" i="3"/>
  <c r="B3259" i="3"/>
  <c r="D3258" i="3"/>
  <c r="C3258" i="3"/>
  <c r="B3258" i="3"/>
  <c r="D3257" i="3"/>
  <c r="C3257" i="3"/>
  <c r="B3257" i="3"/>
  <c r="D3256" i="3"/>
  <c r="C3256" i="3"/>
  <c r="B3256" i="3"/>
  <c r="D3255" i="3"/>
  <c r="C3255" i="3"/>
  <c r="B3255" i="3"/>
  <c r="D3254" i="3"/>
  <c r="C3254" i="3"/>
  <c r="B3254" i="3"/>
  <c r="D3253" i="3"/>
  <c r="C3253" i="3"/>
  <c r="B3253" i="3"/>
  <c r="D3252" i="3"/>
  <c r="C3252" i="3"/>
  <c r="B3252" i="3"/>
  <c r="D3251" i="3"/>
  <c r="C3251" i="3"/>
  <c r="B3251" i="3"/>
  <c r="D3250" i="3"/>
  <c r="C3250" i="3"/>
  <c r="B3250" i="3"/>
  <c r="D3249" i="3"/>
  <c r="C3249" i="3"/>
  <c r="B3249" i="3"/>
  <c r="D3248" i="3"/>
  <c r="C3248" i="3"/>
  <c r="B3248" i="3"/>
  <c r="D3247" i="3"/>
  <c r="C3247" i="3"/>
  <c r="B3247" i="3"/>
  <c r="D3246" i="3"/>
  <c r="C3246" i="3"/>
  <c r="B3246" i="3"/>
  <c r="D3245" i="3"/>
  <c r="C3245" i="3"/>
  <c r="B3245" i="3"/>
  <c r="D3244" i="3"/>
  <c r="C3244" i="3"/>
  <c r="B3244" i="3"/>
  <c r="D3243" i="3"/>
  <c r="C3243" i="3"/>
  <c r="B3243" i="3"/>
  <c r="D3242" i="3"/>
  <c r="C3242" i="3"/>
  <c r="B3242" i="3"/>
  <c r="D3241" i="3"/>
  <c r="C3241" i="3"/>
  <c r="B3241" i="3"/>
  <c r="D3240" i="3"/>
  <c r="C3240" i="3"/>
  <c r="B3240" i="3"/>
  <c r="D3239" i="3"/>
  <c r="C3239" i="3"/>
  <c r="B3239" i="3"/>
  <c r="D3238" i="3"/>
  <c r="C3238" i="3"/>
  <c r="B3238" i="3"/>
  <c r="D3237" i="3"/>
  <c r="C3237" i="3"/>
  <c r="B3237" i="3"/>
  <c r="D3236" i="3"/>
  <c r="C3236" i="3"/>
  <c r="B3236" i="3"/>
  <c r="D3235" i="3"/>
  <c r="C3235" i="3"/>
  <c r="B3235" i="3"/>
  <c r="D3234" i="3"/>
  <c r="C3234" i="3"/>
  <c r="B3234" i="3"/>
  <c r="D3233" i="3"/>
  <c r="C3233" i="3"/>
  <c r="B3233" i="3"/>
  <c r="D3232" i="3"/>
  <c r="C3232" i="3"/>
  <c r="B3232" i="3"/>
  <c r="D3231" i="3"/>
  <c r="C3231" i="3"/>
  <c r="B3231" i="3"/>
  <c r="D3230" i="3"/>
  <c r="C3230" i="3"/>
  <c r="B3230" i="3"/>
  <c r="D3229" i="3"/>
  <c r="C3229" i="3"/>
  <c r="B3229" i="3"/>
  <c r="D3228" i="3"/>
  <c r="C3228" i="3"/>
  <c r="B3228" i="3"/>
  <c r="D3227" i="3"/>
  <c r="C3227" i="3"/>
  <c r="B3227" i="3"/>
  <c r="D3226" i="3"/>
  <c r="C3226" i="3"/>
  <c r="B3226" i="3"/>
  <c r="D3225" i="3"/>
  <c r="C3225" i="3"/>
  <c r="B3225" i="3"/>
  <c r="D3224" i="3"/>
  <c r="C3224" i="3"/>
  <c r="B3224" i="3"/>
  <c r="D3223" i="3"/>
  <c r="C3223" i="3"/>
  <c r="B3223" i="3"/>
  <c r="D3222" i="3"/>
  <c r="C3222" i="3"/>
  <c r="B3222" i="3"/>
  <c r="D3221" i="3"/>
  <c r="C3221" i="3"/>
  <c r="B3221" i="3"/>
  <c r="D3220" i="3"/>
  <c r="C3220" i="3"/>
  <c r="B3220" i="3"/>
  <c r="D3219" i="3"/>
  <c r="C3219" i="3"/>
  <c r="B3219" i="3"/>
  <c r="D3218" i="3"/>
  <c r="C3218" i="3"/>
  <c r="B3218" i="3"/>
  <c r="D3217" i="3"/>
  <c r="C3217" i="3"/>
  <c r="B3217" i="3"/>
  <c r="D3216" i="3"/>
  <c r="C3216" i="3"/>
  <c r="B3216" i="3"/>
  <c r="D3215" i="3"/>
  <c r="C3215" i="3"/>
  <c r="B3215" i="3"/>
  <c r="D3214" i="3"/>
  <c r="C3214" i="3"/>
  <c r="B3214" i="3"/>
  <c r="D3213" i="3"/>
  <c r="C3213" i="3"/>
  <c r="B3213" i="3"/>
  <c r="D3212" i="3"/>
  <c r="C3212" i="3"/>
  <c r="B3212" i="3"/>
  <c r="D3211" i="3"/>
  <c r="C3211" i="3"/>
  <c r="B3211" i="3"/>
  <c r="D3210" i="3"/>
  <c r="C3210" i="3"/>
  <c r="B3210" i="3"/>
  <c r="D3209" i="3"/>
  <c r="C3209" i="3"/>
  <c r="B3209" i="3"/>
  <c r="D3208" i="3"/>
  <c r="C3208" i="3"/>
  <c r="B3208" i="3"/>
  <c r="D3207" i="3"/>
  <c r="C3207" i="3"/>
  <c r="B3207" i="3"/>
  <c r="D3206" i="3"/>
  <c r="C3206" i="3"/>
  <c r="B3206" i="3"/>
  <c r="D3205" i="3"/>
  <c r="C3205" i="3"/>
  <c r="B3205" i="3"/>
  <c r="D3204" i="3"/>
  <c r="C3204" i="3"/>
  <c r="B3204" i="3"/>
  <c r="D3203" i="3"/>
  <c r="C3203" i="3"/>
  <c r="B3203" i="3"/>
  <c r="D3202" i="3"/>
  <c r="C3202" i="3"/>
  <c r="B3202" i="3"/>
  <c r="D3201" i="3"/>
  <c r="C3201" i="3"/>
  <c r="B3201" i="3"/>
  <c r="D3200" i="3"/>
  <c r="C3200" i="3"/>
  <c r="B3200" i="3"/>
  <c r="D3199" i="3"/>
  <c r="C3199" i="3"/>
  <c r="B3199" i="3"/>
  <c r="D3198" i="3"/>
  <c r="C3198" i="3"/>
  <c r="B3198" i="3"/>
  <c r="D3197" i="3"/>
  <c r="C3197" i="3"/>
  <c r="B3197" i="3"/>
  <c r="D3196" i="3"/>
  <c r="C3196" i="3"/>
  <c r="B3196" i="3"/>
  <c r="D3195" i="3"/>
  <c r="C3195" i="3"/>
  <c r="B3195" i="3"/>
  <c r="D3194" i="3"/>
  <c r="C3194" i="3"/>
  <c r="B3194" i="3"/>
  <c r="D3193" i="3"/>
  <c r="C3193" i="3"/>
  <c r="B3193" i="3"/>
  <c r="D3192" i="3"/>
  <c r="C3192" i="3"/>
  <c r="B3192" i="3"/>
  <c r="D3191" i="3"/>
  <c r="C3191" i="3"/>
  <c r="B3191" i="3"/>
  <c r="D3190" i="3"/>
  <c r="C3190" i="3"/>
  <c r="B3190" i="3"/>
  <c r="D3189" i="3"/>
  <c r="C3189" i="3"/>
  <c r="B3189" i="3"/>
  <c r="D3188" i="3"/>
  <c r="C3188" i="3"/>
  <c r="B3188" i="3"/>
  <c r="D3187" i="3"/>
  <c r="C3187" i="3"/>
  <c r="B3187" i="3"/>
  <c r="D3186" i="3"/>
  <c r="C3186" i="3"/>
  <c r="B3186" i="3"/>
  <c r="D3185" i="3"/>
  <c r="C3185" i="3"/>
  <c r="B3185" i="3"/>
  <c r="D3184" i="3"/>
  <c r="C3184" i="3"/>
  <c r="B3184" i="3"/>
  <c r="D3183" i="3"/>
  <c r="C3183" i="3"/>
  <c r="B3183" i="3"/>
  <c r="D3182" i="3"/>
  <c r="C3182" i="3"/>
  <c r="B3182" i="3"/>
  <c r="D3181" i="3"/>
  <c r="C3181" i="3"/>
  <c r="B3181" i="3"/>
  <c r="D3180" i="3"/>
  <c r="C3180" i="3"/>
  <c r="B3180" i="3"/>
  <c r="D3179" i="3"/>
  <c r="C3179" i="3"/>
  <c r="B3179" i="3"/>
  <c r="D3178" i="3"/>
  <c r="C3178" i="3"/>
  <c r="B3178" i="3"/>
  <c r="D3177" i="3"/>
  <c r="C3177" i="3"/>
  <c r="B3177" i="3"/>
  <c r="D3176" i="3"/>
  <c r="C3176" i="3"/>
  <c r="B3176" i="3"/>
  <c r="D3175" i="3"/>
  <c r="C3175" i="3"/>
  <c r="B3175" i="3"/>
  <c r="D3174" i="3"/>
  <c r="C3174" i="3"/>
  <c r="B3174" i="3"/>
  <c r="D3173" i="3"/>
  <c r="C3173" i="3"/>
  <c r="B3173" i="3"/>
  <c r="D3172" i="3"/>
  <c r="C3172" i="3"/>
  <c r="B3172" i="3"/>
  <c r="D3171" i="3"/>
  <c r="C3171" i="3"/>
  <c r="B3171" i="3"/>
  <c r="D3170" i="3"/>
  <c r="C3170" i="3"/>
  <c r="B3170" i="3"/>
  <c r="D3169" i="3"/>
  <c r="C3169" i="3"/>
  <c r="B3169" i="3"/>
  <c r="D3168" i="3"/>
  <c r="C3168" i="3"/>
  <c r="B3168" i="3"/>
  <c r="D3167" i="3"/>
  <c r="C3167" i="3"/>
  <c r="B3167" i="3"/>
  <c r="D3166" i="3"/>
  <c r="C3166" i="3"/>
  <c r="B3166" i="3"/>
  <c r="D3165" i="3"/>
  <c r="C3165" i="3"/>
  <c r="B3165" i="3"/>
  <c r="D3164" i="3"/>
  <c r="C3164" i="3"/>
  <c r="B3164" i="3"/>
  <c r="D3163" i="3"/>
  <c r="C3163" i="3"/>
  <c r="B3163" i="3"/>
  <c r="D3162" i="3"/>
  <c r="C3162" i="3"/>
  <c r="B3162" i="3"/>
  <c r="D3161" i="3"/>
  <c r="C3161" i="3"/>
  <c r="B3161" i="3"/>
  <c r="D3160" i="3"/>
  <c r="C3160" i="3"/>
  <c r="B3160" i="3"/>
  <c r="D3159" i="3"/>
  <c r="C3159" i="3"/>
  <c r="B3159" i="3"/>
  <c r="D3158" i="3"/>
  <c r="C3158" i="3"/>
  <c r="B3158" i="3"/>
  <c r="D3157" i="3"/>
  <c r="C3157" i="3"/>
  <c r="B3157" i="3"/>
  <c r="D3156" i="3"/>
  <c r="C3156" i="3"/>
  <c r="B3156" i="3"/>
  <c r="D3155" i="3"/>
  <c r="C3155" i="3"/>
  <c r="B3155" i="3"/>
  <c r="D3154" i="3"/>
  <c r="C3154" i="3"/>
  <c r="B3154" i="3"/>
  <c r="D3153" i="3"/>
  <c r="C3153" i="3"/>
  <c r="B3153" i="3"/>
  <c r="D3152" i="3"/>
  <c r="C3152" i="3"/>
  <c r="B3152" i="3"/>
  <c r="D3151" i="3"/>
  <c r="C3151" i="3"/>
  <c r="B3151" i="3"/>
  <c r="D3150" i="3"/>
  <c r="C3150" i="3"/>
  <c r="B3150" i="3"/>
  <c r="D3149" i="3"/>
  <c r="C3149" i="3"/>
  <c r="B3149" i="3"/>
  <c r="D3148" i="3"/>
  <c r="C3148" i="3"/>
  <c r="B3148" i="3"/>
  <c r="D3147" i="3"/>
  <c r="C3147" i="3"/>
  <c r="B3147" i="3"/>
  <c r="D3146" i="3"/>
  <c r="C3146" i="3"/>
  <c r="B3146" i="3"/>
  <c r="D3145" i="3"/>
  <c r="C3145" i="3"/>
  <c r="B3145" i="3"/>
  <c r="D3144" i="3"/>
  <c r="C3144" i="3"/>
  <c r="B3144" i="3"/>
  <c r="D3143" i="3"/>
  <c r="C3143" i="3"/>
  <c r="B3143" i="3"/>
  <c r="D3142" i="3"/>
  <c r="C3142" i="3"/>
  <c r="B3142" i="3"/>
  <c r="D3141" i="3"/>
  <c r="C3141" i="3"/>
  <c r="B3141" i="3"/>
  <c r="D3140" i="3"/>
  <c r="C3140" i="3"/>
  <c r="B3140" i="3"/>
  <c r="D3139" i="3"/>
  <c r="C3139" i="3"/>
  <c r="B3139" i="3"/>
  <c r="D3138" i="3"/>
  <c r="C3138" i="3"/>
  <c r="B3138" i="3"/>
  <c r="D3137" i="3"/>
  <c r="C3137" i="3"/>
  <c r="B3137" i="3"/>
  <c r="D3136" i="3"/>
  <c r="C3136" i="3"/>
  <c r="B3136" i="3"/>
  <c r="D3135" i="3"/>
  <c r="C3135" i="3"/>
  <c r="B3135" i="3"/>
  <c r="D3134" i="3"/>
  <c r="C3134" i="3"/>
  <c r="B3134" i="3"/>
  <c r="D3133" i="3"/>
  <c r="C3133" i="3"/>
  <c r="B3133" i="3"/>
  <c r="D3132" i="3"/>
  <c r="C3132" i="3"/>
  <c r="B3132" i="3"/>
  <c r="D3131" i="3"/>
  <c r="C3131" i="3"/>
  <c r="B3131" i="3"/>
  <c r="D3130" i="3"/>
  <c r="C3130" i="3"/>
  <c r="B3130" i="3"/>
  <c r="D3129" i="3"/>
  <c r="C3129" i="3"/>
  <c r="B3129" i="3"/>
  <c r="D3128" i="3"/>
  <c r="C3128" i="3"/>
  <c r="B3128" i="3"/>
  <c r="D3127" i="3"/>
  <c r="C3127" i="3"/>
  <c r="B3127" i="3"/>
  <c r="D3126" i="3"/>
  <c r="C3126" i="3"/>
  <c r="B3126" i="3"/>
  <c r="D3125" i="3"/>
  <c r="C3125" i="3"/>
  <c r="B3125" i="3"/>
  <c r="D3124" i="3"/>
  <c r="C3124" i="3"/>
  <c r="B3124" i="3"/>
  <c r="D3123" i="3"/>
  <c r="C3123" i="3"/>
  <c r="B3123" i="3"/>
  <c r="D3122" i="3"/>
  <c r="C3122" i="3"/>
  <c r="B3122" i="3"/>
  <c r="D3121" i="3"/>
  <c r="C3121" i="3"/>
  <c r="B3121" i="3"/>
  <c r="D3120" i="3"/>
  <c r="C3120" i="3"/>
  <c r="B3120" i="3"/>
  <c r="D3119" i="3"/>
  <c r="C3119" i="3"/>
  <c r="B3119" i="3"/>
  <c r="D3118" i="3"/>
  <c r="C3118" i="3"/>
  <c r="B3118" i="3"/>
  <c r="D3117" i="3"/>
  <c r="C3117" i="3"/>
  <c r="B3117" i="3"/>
  <c r="D3116" i="3"/>
  <c r="C3116" i="3"/>
  <c r="B3116" i="3"/>
  <c r="D3115" i="3"/>
  <c r="C3115" i="3"/>
  <c r="B3115" i="3"/>
  <c r="D3114" i="3"/>
  <c r="C3114" i="3"/>
  <c r="B3114" i="3"/>
  <c r="D3113" i="3"/>
  <c r="C3113" i="3"/>
  <c r="B3113" i="3"/>
  <c r="D3112" i="3"/>
  <c r="C3112" i="3"/>
  <c r="B3112" i="3"/>
  <c r="D3111" i="3"/>
  <c r="C3111" i="3"/>
  <c r="B3111" i="3"/>
  <c r="D3110" i="3"/>
  <c r="C3110" i="3"/>
  <c r="B3110" i="3"/>
  <c r="D3109" i="3"/>
  <c r="C3109" i="3"/>
  <c r="B3109" i="3"/>
  <c r="D3108" i="3"/>
  <c r="C3108" i="3"/>
  <c r="B3108" i="3"/>
  <c r="D3107" i="3"/>
  <c r="C3107" i="3"/>
  <c r="B3107" i="3"/>
  <c r="D3106" i="3"/>
  <c r="C3106" i="3"/>
  <c r="B3106" i="3"/>
  <c r="D3105" i="3"/>
  <c r="C3105" i="3"/>
  <c r="B3105" i="3"/>
  <c r="D3104" i="3"/>
  <c r="C3104" i="3"/>
  <c r="B3104" i="3"/>
  <c r="D3103" i="3"/>
  <c r="C3103" i="3"/>
  <c r="B3103" i="3"/>
  <c r="D3102" i="3"/>
  <c r="C3102" i="3"/>
  <c r="B3102" i="3"/>
  <c r="D3101" i="3"/>
  <c r="C3101" i="3"/>
  <c r="B3101" i="3"/>
  <c r="D3100" i="3"/>
  <c r="C3100" i="3"/>
  <c r="B3100" i="3"/>
  <c r="D3099" i="3"/>
  <c r="C3099" i="3"/>
  <c r="B3099" i="3"/>
  <c r="D3098" i="3"/>
  <c r="C3098" i="3"/>
  <c r="B3098" i="3"/>
  <c r="D3097" i="3"/>
  <c r="C3097" i="3"/>
  <c r="B3097" i="3"/>
  <c r="D3096" i="3"/>
  <c r="C3096" i="3"/>
  <c r="B3096" i="3"/>
  <c r="D3095" i="3"/>
  <c r="C3095" i="3"/>
  <c r="B3095" i="3"/>
  <c r="D3094" i="3"/>
  <c r="C3094" i="3"/>
  <c r="B3094" i="3"/>
  <c r="D3093" i="3"/>
  <c r="C3093" i="3"/>
  <c r="B3093" i="3"/>
  <c r="D3092" i="3"/>
  <c r="C3092" i="3"/>
  <c r="B3092" i="3"/>
  <c r="D3091" i="3"/>
  <c r="C3091" i="3"/>
  <c r="B3091" i="3"/>
  <c r="D3090" i="3"/>
  <c r="C3090" i="3"/>
  <c r="B3090" i="3"/>
  <c r="D3089" i="3"/>
  <c r="C3089" i="3"/>
  <c r="B3089" i="3"/>
  <c r="D3088" i="3"/>
  <c r="C3088" i="3"/>
  <c r="B3088" i="3"/>
  <c r="D3087" i="3"/>
  <c r="C3087" i="3"/>
  <c r="B3087" i="3"/>
  <c r="D3086" i="3"/>
  <c r="C3086" i="3"/>
  <c r="B3086" i="3"/>
  <c r="D3085" i="3"/>
  <c r="C3085" i="3"/>
  <c r="B3085" i="3"/>
  <c r="D3084" i="3"/>
  <c r="C3084" i="3"/>
  <c r="B3084" i="3"/>
  <c r="D3083" i="3"/>
  <c r="C3083" i="3"/>
  <c r="B3083" i="3"/>
  <c r="D3082" i="3"/>
  <c r="C3082" i="3"/>
  <c r="B3082" i="3"/>
  <c r="D3081" i="3"/>
  <c r="C3081" i="3"/>
  <c r="B3081" i="3"/>
  <c r="D3080" i="3"/>
  <c r="C3080" i="3"/>
  <c r="B3080" i="3"/>
  <c r="D3079" i="3"/>
  <c r="C3079" i="3"/>
  <c r="B3079" i="3"/>
  <c r="D3078" i="3"/>
  <c r="C3078" i="3"/>
  <c r="B3078" i="3"/>
  <c r="D3077" i="3"/>
  <c r="C3077" i="3"/>
  <c r="B3077" i="3"/>
  <c r="D3076" i="3"/>
  <c r="C3076" i="3"/>
  <c r="B3076" i="3"/>
  <c r="D3075" i="3"/>
  <c r="C3075" i="3"/>
  <c r="B3075" i="3"/>
  <c r="D3074" i="3"/>
  <c r="C3074" i="3"/>
  <c r="B3074" i="3"/>
  <c r="D3073" i="3"/>
  <c r="C3073" i="3"/>
  <c r="B3073" i="3"/>
  <c r="D3072" i="3"/>
  <c r="C3072" i="3"/>
  <c r="B3072" i="3"/>
  <c r="D3071" i="3"/>
  <c r="C3071" i="3"/>
  <c r="B3071" i="3"/>
  <c r="D3070" i="3"/>
  <c r="C3070" i="3"/>
  <c r="B3070" i="3"/>
  <c r="D3069" i="3"/>
  <c r="C3069" i="3"/>
  <c r="B3069" i="3"/>
  <c r="D3068" i="3"/>
  <c r="C3068" i="3"/>
  <c r="B3068" i="3"/>
  <c r="D3067" i="3"/>
  <c r="C3067" i="3"/>
  <c r="B3067" i="3"/>
  <c r="D3066" i="3"/>
  <c r="C3066" i="3"/>
  <c r="B3066" i="3"/>
  <c r="D3065" i="3"/>
  <c r="C3065" i="3"/>
  <c r="B3065" i="3"/>
  <c r="D3064" i="3"/>
  <c r="C3064" i="3"/>
  <c r="B3064" i="3"/>
  <c r="D3063" i="3"/>
  <c r="C3063" i="3"/>
  <c r="B3063" i="3"/>
  <c r="D3062" i="3"/>
  <c r="C3062" i="3"/>
  <c r="B3062" i="3"/>
  <c r="D3061" i="3"/>
  <c r="C3061" i="3"/>
  <c r="B3061" i="3"/>
  <c r="D3060" i="3"/>
  <c r="C3060" i="3"/>
  <c r="B3060" i="3"/>
  <c r="D3059" i="3"/>
  <c r="C3059" i="3"/>
  <c r="B3059" i="3"/>
  <c r="D3058" i="3"/>
  <c r="C3058" i="3"/>
  <c r="B3058" i="3"/>
  <c r="D3057" i="3"/>
  <c r="C3057" i="3"/>
  <c r="B3057" i="3"/>
  <c r="D3056" i="3"/>
  <c r="C3056" i="3"/>
  <c r="B3056" i="3"/>
  <c r="D3055" i="3"/>
  <c r="C3055" i="3"/>
  <c r="B3055" i="3"/>
  <c r="D3054" i="3"/>
  <c r="C3054" i="3"/>
  <c r="B3054" i="3"/>
  <c r="D3053" i="3"/>
  <c r="C3053" i="3"/>
  <c r="B3053" i="3"/>
  <c r="D3052" i="3"/>
  <c r="C3052" i="3"/>
  <c r="B3052" i="3"/>
  <c r="D3051" i="3"/>
  <c r="C3051" i="3"/>
  <c r="B3051" i="3"/>
  <c r="D3050" i="3"/>
  <c r="C3050" i="3"/>
  <c r="B3050" i="3"/>
  <c r="D3049" i="3"/>
  <c r="C3049" i="3"/>
  <c r="B3049" i="3"/>
  <c r="D3048" i="3"/>
  <c r="C3048" i="3"/>
  <c r="B3048" i="3"/>
  <c r="D3047" i="3"/>
  <c r="C3047" i="3"/>
  <c r="B3047" i="3"/>
  <c r="D3046" i="3"/>
  <c r="C3046" i="3"/>
  <c r="B3046" i="3"/>
  <c r="D3045" i="3"/>
  <c r="C3045" i="3"/>
  <c r="B3045" i="3"/>
  <c r="D3044" i="3"/>
  <c r="C3044" i="3"/>
  <c r="B3044" i="3"/>
  <c r="D3043" i="3"/>
  <c r="C3043" i="3"/>
  <c r="B3043" i="3"/>
  <c r="D3042" i="3"/>
  <c r="C3042" i="3"/>
  <c r="B3042" i="3"/>
  <c r="D3041" i="3"/>
  <c r="C3041" i="3"/>
  <c r="B3041" i="3"/>
  <c r="D3040" i="3"/>
  <c r="C3040" i="3"/>
  <c r="B3040" i="3"/>
  <c r="D3039" i="3"/>
  <c r="C3039" i="3"/>
  <c r="B3039" i="3"/>
  <c r="D3038" i="3"/>
  <c r="C3038" i="3"/>
  <c r="B3038" i="3"/>
  <c r="D3037" i="3"/>
  <c r="C3037" i="3"/>
  <c r="B3037" i="3"/>
  <c r="D3036" i="3"/>
  <c r="C3036" i="3"/>
  <c r="B3036" i="3"/>
  <c r="D3035" i="3"/>
  <c r="C3035" i="3"/>
  <c r="B3035" i="3"/>
  <c r="D3034" i="3"/>
  <c r="C3034" i="3"/>
  <c r="B3034" i="3"/>
  <c r="D3033" i="3"/>
  <c r="C3033" i="3"/>
  <c r="B3033" i="3"/>
  <c r="D3032" i="3"/>
  <c r="C3032" i="3"/>
  <c r="B3032" i="3"/>
  <c r="D3031" i="3"/>
  <c r="C3031" i="3"/>
  <c r="B3031" i="3"/>
  <c r="D3030" i="3"/>
  <c r="C3030" i="3"/>
  <c r="B3030" i="3"/>
  <c r="D3029" i="3"/>
  <c r="C3029" i="3"/>
  <c r="B3029" i="3"/>
  <c r="D3028" i="3"/>
  <c r="C3028" i="3"/>
  <c r="B3028" i="3"/>
  <c r="D3027" i="3"/>
  <c r="C3027" i="3"/>
  <c r="B3027" i="3"/>
  <c r="D3026" i="3"/>
  <c r="C3026" i="3"/>
  <c r="B3026" i="3"/>
  <c r="D3025" i="3"/>
  <c r="C3025" i="3"/>
  <c r="B3025" i="3"/>
  <c r="D3024" i="3"/>
  <c r="C3024" i="3"/>
  <c r="B3024" i="3"/>
  <c r="D3023" i="3"/>
  <c r="C3023" i="3"/>
  <c r="B3023" i="3"/>
  <c r="D3022" i="3"/>
  <c r="C3022" i="3"/>
  <c r="B3022" i="3"/>
  <c r="D3021" i="3"/>
  <c r="C3021" i="3"/>
  <c r="B3021" i="3"/>
  <c r="D3020" i="3"/>
  <c r="C3020" i="3"/>
  <c r="B3020" i="3"/>
  <c r="D3019" i="3"/>
  <c r="C3019" i="3"/>
  <c r="B3019" i="3"/>
  <c r="D3018" i="3"/>
  <c r="C3018" i="3"/>
  <c r="B3018" i="3"/>
  <c r="D3017" i="3"/>
  <c r="C3017" i="3"/>
  <c r="B3017" i="3"/>
  <c r="D3016" i="3"/>
  <c r="C3016" i="3"/>
  <c r="B3016" i="3"/>
  <c r="D3015" i="3"/>
  <c r="C3015" i="3"/>
  <c r="B3015" i="3"/>
  <c r="D3014" i="3"/>
  <c r="C3014" i="3"/>
  <c r="B3014" i="3"/>
  <c r="D3013" i="3"/>
  <c r="C3013" i="3"/>
  <c r="B3013" i="3"/>
  <c r="D3012" i="3"/>
  <c r="C3012" i="3"/>
  <c r="B3012" i="3"/>
  <c r="D3011" i="3"/>
  <c r="C3011" i="3"/>
  <c r="B3011" i="3"/>
  <c r="D3010" i="3"/>
  <c r="C3010" i="3"/>
  <c r="B3010" i="3"/>
  <c r="D3009" i="3"/>
  <c r="C3009" i="3"/>
  <c r="B3009" i="3"/>
  <c r="D3008" i="3"/>
  <c r="C3008" i="3"/>
  <c r="B3008" i="3"/>
  <c r="D3007" i="3"/>
  <c r="C3007" i="3"/>
  <c r="B3007" i="3"/>
  <c r="D3006" i="3"/>
  <c r="C3006" i="3"/>
  <c r="B3006" i="3"/>
  <c r="D3005" i="3"/>
  <c r="C3005" i="3"/>
  <c r="B3005" i="3"/>
  <c r="D3004" i="3"/>
  <c r="C3004" i="3"/>
  <c r="B3004" i="3"/>
  <c r="D3003" i="3"/>
  <c r="C3003" i="3"/>
  <c r="B3003" i="3"/>
  <c r="D3002" i="3"/>
  <c r="C3002" i="3"/>
  <c r="B3002" i="3"/>
  <c r="D3001" i="3"/>
  <c r="C3001" i="3"/>
  <c r="B3001" i="3"/>
  <c r="D3000" i="3"/>
  <c r="C3000" i="3"/>
  <c r="B3000" i="3"/>
  <c r="D2999" i="3"/>
  <c r="C2999" i="3"/>
  <c r="B2999" i="3"/>
  <c r="D2998" i="3"/>
  <c r="C2998" i="3"/>
  <c r="B2998" i="3"/>
  <c r="D2997" i="3"/>
  <c r="C2997" i="3"/>
  <c r="B2997" i="3"/>
  <c r="D2996" i="3"/>
  <c r="C2996" i="3"/>
  <c r="B2996" i="3"/>
  <c r="D2995" i="3"/>
  <c r="C2995" i="3"/>
  <c r="B2995" i="3"/>
  <c r="D2994" i="3"/>
  <c r="C2994" i="3"/>
  <c r="B2994" i="3"/>
  <c r="D2993" i="3"/>
  <c r="C2993" i="3"/>
  <c r="B2993" i="3"/>
  <c r="D2992" i="3"/>
  <c r="C2992" i="3"/>
  <c r="B2992" i="3"/>
  <c r="D2991" i="3"/>
  <c r="C2991" i="3"/>
  <c r="B2991" i="3"/>
  <c r="D2990" i="3"/>
  <c r="C2990" i="3"/>
  <c r="B2990" i="3"/>
  <c r="D2989" i="3"/>
  <c r="C2989" i="3"/>
  <c r="B2989" i="3"/>
  <c r="D2988" i="3"/>
  <c r="C2988" i="3"/>
  <c r="B2988" i="3"/>
  <c r="D2987" i="3"/>
  <c r="C2987" i="3"/>
  <c r="B2987" i="3"/>
  <c r="D2986" i="3"/>
  <c r="C2986" i="3"/>
  <c r="B2986" i="3"/>
  <c r="D2985" i="3"/>
  <c r="C2985" i="3"/>
  <c r="B2985" i="3"/>
  <c r="D2984" i="3"/>
  <c r="C2984" i="3"/>
  <c r="B2984" i="3"/>
  <c r="D2983" i="3"/>
  <c r="C2983" i="3"/>
  <c r="B2983" i="3"/>
  <c r="D2982" i="3"/>
  <c r="C2982" i="3"/>
  <c r="B2982" i="3"/>
  <c r="D2981" i="3"/>
  <c r="C2981" i="3"/>
  <c r="B2981" i="3"/>
  <c r="D2980" i="3"/>
  <c r="C2980" i="3"/>
  <c r="B2980" i="3"/>
  <c r="D2979" i="3"/>
  <c r="C2979" i="3"/>
  <c r="B2979" i="3"/>
  <c r="D2978" i="3"/>
  <c r="C2978" i="3"/>
  <c r="B2978" i="3"/>
  <c r="D2977" i="3"/>
  <c r="C2977" i="3"/>
  <c r="B2977" i="3"/>
  <c r="D2976" i="3"/>
  <c r="C2976" i="3"/>
  <c r="B2976" i="3"/>
  <c r="D2975" i="3"/>
  <c r="C2975" i="3"/>
  <c r="B2975" i="3"/>
  <c r="D2974" i="3"/>
  <c r="C2974" i="3"/>
  <c r="B2974" i="3"/>
  <c r="D2973" i="3"/>
  <c r="C2973" i="3"/>
  <c r="B2973" i="3"/>
  <c r="D2972" i="3"/>
  <c r="C2972" i="3"/>
  <c r="B2972" i="3"/>
  <c r="D2971" i="3"/>
  <c r="C2971" i="3"/>
  <c r="B2971" i="3"/>
  <c r="D2970" i="3"/>
  <c r="C2970" i="3"/>
  <c r="B2970" i="3"/>
  <c r="D2969" i="3"/>
  <c r="C2969" i="3"/>
  <c r="B2969" i="3"/>
  <c r="D2968" i="3"/>
  <c r="C2968" i="3"/>
  <c r="B2968" i="3"/>
  <c r="D2967" i="3"/>
  <c r="C2967" i="3"/>
  <c r="B2967" i="3"/>
  <c r="D2966" i="3"/>
  <c r="C2966" i="3"/>
  <c r="B2966" i="3"/>
  <c r="D2965" i="3"/>
  <c r="C2965" i="3"/>
  <c r="B2965" i="3"/>
  <c r="D2964" i="3"/>
  <c r="C2964" i="3"/>
  <c r="B2964" i="3"/>
  <c r="D2963" i="3"/>
  <c r="C2963" i="3"/>
  <c r="B2963" i="3"/>
  <c r="D2962" i="3"/>
  <c r="C2962" i="3"/>
  <c r="B2962" i="3"/>
  <c r="D2961" i="3"/>
  <c r="C2961" i="3"/>
  <c r="B2961" i="3"/>
  <c r="D2960" i="3"/>
  <c r="C2960" i="3"/>
  <c r="B2960" i="3"/>
  <c r="D2959" i="3"/>
  <c r="C2959" i="3"/>
  <c r="B2959" i="3"/>
  <c r="D2958" i="3"/>
  <c r="C2958" i="3"/>
  <c r="B2958" i="3"/>
  <c r="D2957" i="3"/>
  <c r="C2957" i="3"/>
  <c r="B2957" i="3"/>
  <c r="D2956" i="3"/>
  <c r="C2956" i="3"/>
  <c r="B2956" i="3"/>
  <c r="D2955" i="3"/>
  <c r="C2955" i="3"/>
  <c r="B2955" i="3"/>
  <c r="D2954" i="3"/>
  <c r="C2954" i="3"/>
  <c r="B2954" i="3"/>
  <c r="D2953" i="3"/>
  <c r="C2953" i="3"/>
  <c r="B2953" i="3"/>
  <c r="D2952" i="3"/>
  <c r="C2952" i="3"/>
  <c r="B2952" i="3"/>
  <c r="D2951" i="3"/>
  <c r="C2951" i="3"/>
  <c r="B2951" i="3"/>
  <c r="D2950" i="3"/>
  <c r="C2950" i="3"/>
  <c r="B2950" i="3"/>
  <c r="D2949" i="3"/>
  <c r="C2949" i="3"/>
  <c r="B2949" i="3"/>
  <c r="D2948" i="3"/>
  <c r="C2948" i="3"/>
  <c r="B2948" i="3"/>
  <c r="D2947" i="3"/>
  <c r="C2947" i="3"/>
  <c r="B2947" i="3"/>
  <c r="D2946" i="3"/>
  <c r="C2946" i="3"/>
  <c r="B2946" i="3"/>
  <c r="D2945" i="3"/>
  <c r="C2945" i="3"/>
  <c r="B2945" i="3"/>
  <c r="D2944" i="3"/>
  <c r="C2944" i="3"/>
  <c r="B2944" i="3"/>
  <c r="D2943" i="3"/>
  <c r="C2943" i="3"/>
  <c r="B2943" i="3"/>
  <c r="D2942" i="3"/>
  <c r="C2942" i="3"/>
  <c r="B2942" i="3"/>
  <c r="D2941" i="3"/>
  <c r="C2941" i="3"/>
  <c r="B2941" i="3"/>
  <c r="D2940" i="3"/>
  <c r="C2940" i="3"/>
  <c r="B2940" i="3"/>
  <c r="D2939" i="3"/>
  <c r="C2939" i="3"/>
  <c r="B2939" i="3"/>
  <c r="D2938" i="3"/>
  <c r="C2938" i="3"/>
  <c r="B2938" i="3"/>
  <c r="D2937" i="3"/>
  <c r="C2937" i="3"/>
  <c r="B2937" i="3"/>
  <c r="D2936" i="3"/>
  <c r="C2936" i="3"/>
  <c r="B2936" i="3"/>
  <c r="D2935" i="3"/>
  <c r="C2935" i="3"/>
  <c r="B2935" i="3"/>
  <c r="D2934" i="3"/>
  <c r="C2934" i="3"/>
  <c r="B2934" i="3"/>
  <c r="D2933" i="3"/>
  <c r="C2933" i="3"/>
  <c r="B2933" i="3"/>
  <c r="D2932" i="3"/>
  <c r="C2932" i="3"/>
  <c r="B2932" i="3"/>
  <c r="D2931" i="3"/>
  <c r="C2931" i="3"/>
  <c r="B2931" i="3"/>
  <c r="D2930" i="3"/>
  <c r="C2930" i="3"/>
  <c r="B2930" i="3"/>
  <c r="D2929" i="3"/>
  <c r="C2929" i="3"/>
  <c r="B2929" i="3"/>
  <c r="D2928" i="3"/>
  <c r="C2928" i="3"/>
  <c r="B2928" i="3"/>
  <c r="D2927" i="3"/>
  <c r="C2927" i="3"/>
  <c r="B2927" i="3"/>
  <c r="D2926" i="3"/>
  <c r="C2926" i="3"/>
  <c r="B2926" i="3"/>
  <c r="D2925" i="3"/>
  <c r="C2925" i="3"/>
  <c r="B2925" i="3"/>
  <c r="D2924" i="3"/>
  <c r="C2924" i="3"/>
  <c r="B2924" i="3"/>
  <c r="D2923" i="3"/>
  <c r="C2923" i="3"/>
  <c r="B2923" i="3"/>
  <c r="D2922" i="3"/>
  <c r="C2922" i="3"/>
  <c r="B2922" i="3"/>
  <c r="D2921" i="3"/>
  <c r="C2921" i="3"/>
  <c r="B2921" i="3"/>
  <c r="D2920" i="3"/>
  <c r="C2920" i="3"/>
  <c r="B2920" i="3"/>
  <c r="D2919" i="3"/>
  <c r="C2919" i="3"/>
  <c r="B2919" i="3"/>
  <c r="D2918" i="3"/>
  <c r="C2918" i="3"/>
  <c r="B2918" i="3"/>
  <c r="D2917" i="3"/>
  <c r="C2917" i="3"/>
  <c r="B2917" i="3"/>
  <c r="D2916" i="3"/>
  <c r="C2916" i="3"/>
  <c r="B2916" i="3"/>
  <c r="D2915" i="3"/>
  <c r="C2915" i="3"/>
  <c r="B2915" i="3"/>
  <c r="D2914" i="3"/>
  <c r="C2914" i="3"/>
  <c r="B2914" i="3"/>
  <c r="D2913" i="3"/>
  <c r="C2913" i="3"/>
  <c r="B2913" i="3"/>
  <c r="D2912" i="3"/>
  <c r="C2912" i="3"/>
  <c r="B2912" i="3"/>
  <c r="D2911" i="3"/>
  <c r="C2911" i="3"/>
  <c r="B2911" i="3"/>
  <c r="D2910" i="3"/>
  <c r="C2910" i="3"/>
  <c r="B2910" i="3"/>
  <c r="D2909" i="3"/>
  <c r="C2909" i="3"/>
  <c r="B2909" i="3"/>
  <c r="D2908" i="3"/>
  <c r="C2908" i="3"/>
  <c r="B2908" i="3"/>
  <c r="D2907" i="3"/>
  <c r="C2907" i="3"/>
  <c r="B2907" i="3"/>
  <c r="D2906" i="3"/>
  <c r="C2906" i="3"/>
  <c r="B2906" i="3"/>
  <c r="D2905" i="3"/>
  <c r="C2905" i="3"/>
  <c r="B2905" i="3"/>
  <c r="D2904" i="3"/>
  <c r="C2904" i="3"/>
  <c r="B2904" i="3"/>
  <c r="D2903" i="3"/>
  <c r="C2903" i="3"/>
  <c r="B2903" i="3"/>
  <c r="D2902" i="3"/>
  <c r="C2902" i="3"/>
  <c r="B2902" i="3"/>
  <c r="D2901" i="3"/>
  <c r="C2901" i="3"/>
  <c r="B2901" i="3"/>
  <c r="D2900" i="3"/>
  <c r="C2900" i="3"/>
  <c r="B2900" i="3"/>
  <c r="D2899" i="3"/>
  <c r="C2899" i="3"/>
  <c r="B2899" i="3"/>
  <c r="D2898" i="3"/>
  <c r="C2898" i="3"/>
  <c r="B2898" i="3"/>
  <c r="D2897" i="3"/>
  <c r="C2897" i="3"/>
  <c r="B2897" i="3"/>
  <c r="D2896" i="3"/>
  <c r="C2896" i="3"/>
  <c r="B2896" i="3"/>
  <c r="D2895" i="3"/>
  <c r="C2895" i="3"/>
  <c r="B2895" i="3"/>
  <c r="D2894" i="3"/>
  <c r="C2894" i="3"/>
  <c r="B2894" i="3"/>
  <c r="D2893" i="3"/>
  <c r="C2893" i="3"/>
  <c r="B2893" i="3"/>
  <c r="D2892" i="3"/>
  <c r="C2892" i="3"/>
  <c r="B2892" i="3"/>
  <c r="D2891" i="3"/>
  <c r="C2891" i="3"/>
  <c r="B2891" i="3"/>
  <c r="D2890" i="3"/>
  <c r="C2890" i="3"/>
  <c r="B2890" i="3"/>
  <c r="D2889" i="3"/>
  <c r="C2889" i="3"/>
  <c r="B2889" i="3"/>
  <c r="D2888" i="3"/>
  <c r="C2888" i="3"/>
  <c r="B2888" i="3"/>
  <c r="D2887" i="3"/>
  <c r="C2887" i="3"/>
  <c r="B2887" i="3"/>
  <c r="D2886" i="3"/>
  <c r="C2886" i="3"/>
  <c r="B2886" i="3"/>
  <c r="D2885" i="3"/>
  <c r="C2885" i="3"/>
  <c r="B2885" i="3"/>
  <c r="D2884" i="3"/>
  <c r="C2884" i="3"/>
  <c r="B2884" i="3"/>
  <c r="D2883" i="3"/>
  <c r="C2883" i="3"/>
  <c r="B2883" i="3"/>
  <c r="D2882" i="3"/>
  <c r="C2882" i="3"/>
  <c r="B2882" i="3"/>
  <c r="D2881" i="3"/>
  <c r="C2881" i="3"/>
  <c r="B2881" i="3"/>
  <c r="D2880" i="3"/>
  <c r="C2880" i="3"/>
  <c r="B2880" i="3"/>
  <c r="D2879" i="3"/>
  <c r="C2879" i="3"/>
  <c r="B2879" i="3"/>
  <c r="D2878" i="3"/>
  <c r="C2878" i="3"/>
  <c r="B2878" i="3"/>
  <c r="D2877" i="3"/>
  <c r="C2877" i="3"/>
  <c r="B2877" i="3"/>
  <c r="D2876" i="3"/>
  <c r="C2876" i="3"/>
  <c r="B2876" i="3"/>
  <c r="D2875" i="3"/>
  <c r="C2875" i="3"/>
  <c r="B2875" i="3"/>
  <c r="D2874" i="3"/>
  <c r="C2874" i="3"/>
  <c r="B2874" i="3"/>
  <c r="D2873" i="3"/>
  <c r="C2873" i="3"/>
  <c r="B2873" i="3"/>
  <c r="D2872" i="3"/>
  <c r="C2872" i="3"/>
  <c r="B2872" i="3"/>
  <c r="D2871" i="3"/>
  <c r="C2871" i="3"/>
  <c r="B2871" i="3"/>
  <c r="D2870" i="3"/>
  <c r="C2870" i="3"/>
  <c r="B2870" i="3"/>
  <c r="D2869" i="3"/>
  <c r="C2869" i="3"/>
  <c r="B2869" i="3"/>
  <c r="D2868" i="3"/>
  <c r="C2868" i="3"/>
  <c r="B2868" i="3"/>
  <c r="D2867" i="3"/>
  <c r="C2867" i="3"/>
  <c r="B2867" i="3"/>
  <c r="D2866" i="3"/>
  <c r="C2866" i="3"/>
  <c r="B2866" i="3"/>
  <c r="D2865" i="3"/>
  <c r="C2865" i="3"/>
  <c r="B2865" i="3"/>
  <c r="D2864" i="3"/>
  <c r="C2864" i="3"/>
  <c r="B2864" i="3"/>
  <c r="D2863" i="3"/>
  <c r="C2863" i="3"/>
  <c r="B2863" i="3"/>
  <c r="D2862" i="3"/>
  <c r="C2862" i="3"/>
  <c r="B2862" i="3"/>
  <c r="D2861" i="3"/>
  <c r="C2861" i="3"/>
  <c r="B2861" i="3"/>
  <c r="D2860" i="3"/>
  <c r="C2860" i="3"/>
  <c r="B2860" i="3"/>
  <c r="D2859" i="3"/>
  <c r="C2859" i="3"/>
  <c r="B2859" i="3"/>
  <c r="D2858" i="3"/>
  <c r="C2858" i="3"/>
  <c r="B2858" i="3"/>
  <c r="D2857" i="3"/>
  <c r="C2857" i="3"/>
  <c r="B2857" i="3"/>
  <c r="D2856" i="3"/>
  <c r="C2856" i="3"/>
  <c r="B2856" i="3"/>
  <c r="D2855" i="3"/>
  <c r="C2855" i="3"/>
  <c r="B2855" i="3"/>
  <c r="D2854" i="3"/>
  <c r="C2854" i="3"/>
  <c r="B2854" i="3"/>
  <c r="D2853" i="3"/>
  <c r="C2853" i="3"/>
  <c r="B2853" i="3"/>
  <c r="D2852" i="3"/>
  <c r="C2852" i="3"/>
  <c r="B2852" i="3"/>
  <c r="D2851" i="3"/>
  <c r="C2851" i="3"/>
  <c r="B2851" i="3"/>
  <c r="D2850" i="3"/>
  <c r="C2850" i="3"/>
  <c r="B2850" i="3"/>
  <c r="D2849" i="3"/>
  <c r="C2849" i="3"/>
  <c r="B2849" i="3"/>
  <c r="D2848" i="3"/>
  <c r="C2848" i="3"/>
  <c r="B2848" i="3"/>
  <c r="D2847" i="3"/>
  <c r="C2847" i="3"/>
  <c r="B2847" i="3"/>
  <c r="D2846" i="3"/>
  <c r="C2846" i="3"/>
  <c r="B2846" i="3"/>
  <c r="D2845" i="3"/>
  <c r="C2845" i="3"/>
  <c r="B2845" i="3"/>
  <c r="D2844" i="3"/>
  <c r="C2844" i="3"/>
  <c r="B2844" i="3"/>
  <c r="D2843" i="3"/>
  <c r="C2843" i="3"/>
  <c r="B2843" i="3"/>
  <c r="D2842" i="3"/>
  <c r="C2842" i="3"/>
  <c r="B2842" i="3"/>
  <c r="D2841" i="3"/>
  <c r="C2841" i="3"/>
  <c r="B2841" i="3"/>
  <c r="D2840" i="3"/>
  <c r="C2840" i="3"/>
  <c r="B2840" i="3"/>
  <c r="D2839" i="3"/>
  <c r="C2839" i="3"/>
  <c r="B2839" i="3"/>
  <c r="D2838" i="3"/>
  <c r="C2838" i="3"/>
  <c r="B2838" i="3"/>
  <c r="D2837" i="3"/>
  <c r="C2837" i="3"/>
  <c r="B2837" i="3"/>
  <c r="D2836" i="3"/>
  <c r="C2836" i="3"/>
  <c r="B2836" i="3"/>
  <c r="D2835" i="3"/>
  <c r="C2835" i="3"/>
  <c r="B2835" i="3"/>
  <c r="D2834" i="3"/>
  <c r="C2834" i="3"/>
  <c r="B2834" i="3"/>
  <c r="D2833" i="3"/>
  <c r="C2833" i="3"/>
  <c r="B2833" i="3"/>
  <c r="D2832" i="3"/>
  <c r="C2832" i="3"/>
  <c r="B2832" i="3"/>
  <c r="D2831" i="3"/>
  <c r="C2831" i="3"/>
  <c r="B2831" i="3"/>
  <c r="D2830" i="3"/>
  <c r="C2830" i="3"/>
  <c r="B2830" i="3"/>
  <c r="D2829" i="3"/>
  <c r="C2829" i="3"/>
  <c r="B2829" i="3"/>
  <c r="D2828" i="3"/>
  <c r="C2828" i="3"/>
  <c r="B2828" i="3"/>
  <c r="D2827" i="3"/>
  <c r="C2827" i="3"/>
  <c r="B2827" i="3"/>
  <c r="D2826" i="3"/>
  <c r="C2826" i="3"/>
  <c r="B2826" i="3"/>
  <c r="D2825" i="3"/>
  <c r="C2825" i="3"/>
  <c r="B2825" i="3"/>
  <c r="D2824" i="3"/>
  <c r="C2824" i="3"/>
  <c r="B2824" i="3"/>
  <c r="D2823" i="3"/>
  <c r="C2823" i="3"/>
  <c r="B2823" i="3"/>
  <c r="D2822" i="3"/>
  <c r="C2822" i="3"/>
  <c r="B2822" i="3"/>
  <c r="D2821" i="3"/>
  <c r="C2821" i="3"/>
  <c r="B2821" i="3"/>
  <c r="D2820" i="3"/>
  <c r="C2820" i="3"/>
  <c r="B2820" i="3"/>
  <c r="D2819" i="3"/>
  <c r="C2819" i="3"/>
  <c r="B2819" i="3"/>
  <c r="D2818" i="3"/>
  <c r="C2818" i="3"/>
  <c r="B2818" i="3"/>
  <c r="D2817" i="3"/>
  <c r="C2817" i="3"/>
  <c r="B2817" i="3"/>
  <c r="D2816" i="3"/>
  <c r="C2816" i="3"/>
  <c r="B2816" i="3"/>
  <c r="D2815" i="3"/>
  <c r="C2815" i="3"/>
  <c r="B2815" i="3"/>
  <c r="D2814" i="3"/>
  <c r="C2814" i="3"/>
  <c r="B2814" i="3"/>
  <c r="D2813" i="3"/>
  <c r="C2813" i="3"/>
  <c r="B2813" i="3"/>
  <c r="D2812" i="3"/>
  <c r="C2812" i="3"/>
  <c r="B2812" i="3"/>
  <c r="D2811" i="3"/>
  <c r="C2811" i="3"/>
  <c r="B2811" i="3"/>
  <c r="D2810" i="3"/>
  <c r="C2810" i="3"/>
  <c r="B2810" i="3"/>
  <c r="D2809" i="3"/>
  <c r="C2809" i="3"/>
  <c r="B2809" i="3"/>
  <c r="D2808" i="3"/>
  <c r="C2808" i="3"/>
  <c r="B2808" i="3"/>
  <c r="D2807" i="3"/>
  <c r="C2807" i="3"/>
  <c r="B2807" i="3"/>
  <c r="D2806" i="3"/>
  <c r="C2806" i="3"/>
  <c r="B2806" i="3"/>
  <c r="D2805" i="3"/>
  <c r="C2805" i="3"/>
  <c r="B2805" i="3"/>
  <c r="D2804" i="3"/>
  <c r="C2804" i="3"/>
  <c r="B2804" i="3"/>
  <c r="D2803" i="3"/>
  <c r="C2803" i="3"/>
  <c r="B2803" i="3"/>
  <c r="D2802" i="3"/>
  <c r="C2802" i="3"/>
  <c r="B2802" i="3"/>
  <c r="D2801" i="3"/>
  <c r="C2801" i="3"/>
  <c r="B2801" i="3"/>
  <c r="D2800" i="3"/>
  <c r="C2800" i="3"/>
  <c r="B2800" i="3"/>
  <c r="D2799" i="3"/>
  <c r="C2799" i="3"/>
  <c r="B2799" i="3"/>
  <c r="D2798" i="3"/>
  <c r="C2798" i="3"/>
  <c r="B2798" i="3"/>
  <c r="D2797" i="3"/>
  <c r="C2797" i="3"/>
  <c r="B2797" i="3"/>
  <c r="D2796" i="3"/>
  <c r="C2796" i="3"/>
  <c r="B2796" i="3"/>
  <c r="D2795" i="3"/>
  <c r="C2795" i="3"/>
  <c r="B2795" i="3"/>
  <c r="D2794" i="3"/>
  <c r="C2794" i="3"/>
  <c r="B2794" i="3"/>
  <c r="D2793" i="3"/>
  <c r="C2793" i="3"/>
  <c r="B2793" i="3"/>
  <c r="D2792" i="3"/>
  <c r="C2792" i="3"/>
  <c r="B2792" i="3"/>
  <c r="D2791" i="3"/>
  <c r="C2791" i="3"/>
  <c r="B2791" i="3"/>
  <c r="D2790" i="3"/>
  <c r="C2790" i="3"/>
  <c r="B2790" i="3"/>
  <c r="D2789" i="3"/>
  <c r="C2789" i="3"/>
  <c r="B2789" i="3"/>
  <c r="D2788" i="3"/>
  <c r="C2788" i="3"/>
  <c r="B2788" i="3"/>
  <c r="D2787" i="3"/>
  <c r="C2787" i="3"/>
  <c r="B2787" i="3"/>
  <c r="D2786" i="3"/>
  <c r="C2786" i="3"/>
  <c r="B2786" i="3"/>
  <c r="D2785" i="3"/>
  <c r="C2785" i="3"/>
  <c r="B2785" i="3"/>
  <c r="D2784" i="3"/>
  <c r="C2784" i="3"/>
  <c r="B2784" i="3"/>
  <c r="D2783" i="3"/>
  <c r="C2783" i="3"/>
  <c r="B2783" i="3"/>
  <c r="D2782" i="3"/>
  <c r="C2782" i="3"/>
  <c r="B2782" i="3"/>
  <c r="D2781" i="3"/>
  <c r="C2781" i="3"/>
  <c r="B2781" i="3"/>
  <c r="D2780" i="3"/>
  <c r="C2780" i="3"/>
  <c r="B2780" i="3"/>
  <c r="D2779" i="3"/>
  <c r="C2779" i="3"/>
  <c r="B2779" i="3"/>
  <c r="D2778" i="3"/>
  <c r="C2778" i="3"/>
  <c r="B2778" i="3"/>
  <c r="D2777" i="3"/>
  <c r="C2777" i="3"/>
  <c r="B2777" i="3"/>
  <c r="D2776" i="3"/>
  <c r="C2776" i="3"/>
  <c r="B2776" i="3"/>
  <c r="D2775" i="3"/>
  <c r="C2775" i="3"/>
  <c r="B2775" i="3"/>
  <c r="D2774" i="3"/>
  <c r="C2774" i="3"/>
  <c r="B2774" i="3"/>
  <c r="D2773" i="3"/>
  <c r="C2773" i="3"/>
  <c r="B2773" i="3"/>
  <c r="D2772" i="3"/>
  <c r="C2772" i="3"/>
  <c r="B2772" i="3"/>
  <c r="D2771" i="3"/>
  <c r="C2771" i="3"/>
  <c r="B2771" i="3"/>
  <c r="D2770" i="3"/>
  <c r="C2770" i="3"/>
  <c r="B2770" i="3"/>
  <c r="D2769" i="3"/>
  <c r="C2769" i="3"/>
  <c r="B2769" i="3"/>
  <c r="D2768" i="3"/>
  <c r="C2768" i="3"/>
  <c r="B2768" i="3"/>
  <c r="D2767" i="3"/>
  <c r="C2767" i="3"/>
  <c r="B2767" i="3"/>
  <c r="D2766" i="3"/>
  <c r="C2766" i="3"/>
  <c r="B2766" i="3"/>
  <c r="D2765" i="3"/>
  <c r="C2765" i="3"/>
  <c r="B2765" i="3"/>
  <c r="D2764" i="3"/>
  <c r="C2764" i="3"/>
  <c r="B2764" i="3"/>
  <c r="D2763" i="3"/>
  <c r="C2763" i="3"/>
  <c r="B2763" i="3"/>
  <c r="D2762" i="3"/>
  <c r="C2762" i="3"/>
  <c r="B2762" i="3"/>
  <c r="D2761" i="3"/>
  <c r="C2761" i="3"/>
  <c r="B2761" i="3"/>
  <c r="D2760" i="3"/>
  <c r="C2760" i="3"/>
  <c r="B2760" i="3"/>
  <c r="D2759" i="3"/>
  <c r="C2759" i="3"/>
  <c r="B2759" i="3"/>
  <c r="D2758" i="3"/>
  <c r="C2758" i="3"/>
  <c r="B2758" i="3"/>
  <c r="D2757" i="3"/>
  <c r="C2757" i="3"/>
  <c r="B2757" i="3"/>
  <c r="D2756" i="3"/>
  <c r="C2756" i="3"/>
  <c r="B2756" i="3"/>
  <c r="D2755" i="3"/>
  <c r="C2755" i="3"/>
  <c r="B2755" i="3"/>
  <c r="D2754" i="3"/>
  <c r="C2754" i="3"/>
  <c r="B2754" i="3"/>
  <c r="D2753" i="3"/>
  <c r="C2753" i="3"/>
  <c r="B2753" i="3"/>
  <c r="D2752" i="3"/>
  <c r="C2752" i="3"/>
  <c r="B2752" i="3"/>
  <c r="D2751" i="3"/>
  <c r="C2751" i="3"/>
  <c r="B2751" i="3"/>
  <c r="D2750" i="3"/>
  <c r="C2750" i="3"/>
  <c r="B2750" i="3"/>
  <c r="D2749" i="3"/>
  <c r="C2749" i="3"/>
  <c r="B2749" i="3"/>
  <c r="D2748" i="3"/>
  <c r="C2748" i="3"/>
  <c r="B2748" i="3"/>
  <c r="D2747" i="3"/>
  <c r="C2747" i="3"/>
  <c r="B2747" i="3"/>
  <c r="D2746" i="3"/>
  <c r="C2746" i="3"/>
  <c r="B2746" i="3"/>
  <c r="D2745" i="3"/>
  <c r="C2745" i="3"/>
  <c r="B2745" i="3"/>
  <c r="D2744" i="3"/>
  <c r="C2744" i="3"/>
  <c r="B2744" i="3"/>
  <c r="D2743" i="3"/>
  <c r="C2743" i="3"/>
  <c r="B2743" i="3"/>
  <c r="D2742" i="3"/>
  <c r="C2742" i="3"/>
  <c r="B2742" i="3"/>
  <c r="D2741" i="3"/>
  <c r="C2741" i="3"/>
  <c r="B2741" i="3"/>
  <c r="D2740" i="3"/>
  <c r="C2740" i="3"/>
  <c r="B2740" i="3"/>
  <c r="D2739" i="3"/>
  <c r="C2739" i="3"/>
  <c r="B2739" i="3"/>
  <c r="D2738" i="3"/>
  <c r="C2738" i="3"/>
  <c r="B2738" i="3"/>
  <c r="D2737" i="3"/>
  <c r="C2737" i="3"/>
  <c r="B2737" i="3"/>
  <c r="D2736" i="3"/>
  <c r="C2736" i="3"/>
  <c r="B2736" i="3"/>
  <c r="D2735" i="3"/>
  <c r="C2735" i="3"/>
  <c r="B2735" i="3"/>
  <c r="D2734" i="3"/>
  <c r="C2734" i="3"/>
  <c r="B2734" i="3"/>
  <c r="D2733" i="3"/>
  <c r="C2733" i="3"/>
  <c r="B2733" i="3"/>
  <c r="D2732" i="3"/>
  <c r="C2732" i="3"/>
  <c r="B2732" i="3"/>
  <c r="D2731" i="3"/>
  <c r="C2731" i="3"/>
  <c r="B2731" i="3"/>
  <c r="D2730" i="3"/>
  <c r="C2730" i="3"/>
  <c r="B2730" i="3"/>
  <c r="D2729" i="3"/>
  <c r="C2729" i="3"/>
  <c r="B2729" i="3"/>
  <c r="D2728" i="3"/>
  <c r="C2728" i="3"/>
  <c r="B2728" i="3"/>
  <c r="D2727" i="3"/>
  <c r="C2727" i="3"/>
  <c r="B2727" i="3"/>
  <c r="D2726" i="3"/>
  <c r="C2726" i="3"/>
  <c r="B2726" i="3"/>
  <c r="D2725" i="3"/>
  <c r="C2725" i="3"/>
  <c r="B2725" i="3"/>
  <c r="D2724" i="3"/>
  <c r="C2724" i="3"/>
  <c r="B2724" i="3"/>
  <c r="D2723" i="3"/>
  <c r="C2723" i="3"/>
  <c r="B2723" i="3"/>
  <c r="D2722" i="3"/>
  <c r="C2722" i="3"/>
  <c r="B2722" i="3"/>
  <c r="D2721" i="3"/>
  <c r="C2721" i="3"/>
  <c r="B2721" i="3"/>
  <c r="D2720" i="3"/>
  <c r="C2720" i="3"/>
  <c r="B2720" i="3"/>
  <c r="D2719" i="3"/>
  <c r="C2719" i="3"/>
  <c r="B2719" i="3"/>
  <c r="D2718" i="3"/>
  <c r="C2718" i="3"/>
  <c r="B2718" i="3"/>
  <c r="D2717" i="3"/>
  <c r="C2717" i="3"/>
  <c r="B2717" i="3"/>
  <c r="D2716" i="3"/>
  <c r="C2716" i="3"/>
  <c r="B2716" i="3"/>
  <c r="D2715" i="3"/>
  <c r="C2715" i="3"/>
  <c r="B2715" i="3"/>
  <c r="D2714" i="3"/>
  <c r="C2714" i="3"/>
  <c r="B2714" i="3"/>
  <c r="D2713" i="3"/>
  <c r="C2713" i="3"/>
  <c r="B2713" i="3"/>
  <c r="D2712" i="3"/>
  <c r="C2712" i="3"/>
  <c r="B2712" i="3"/>
  <c r="D2711" i="3"/>
  <c r="C2711" i="3"/>
  <c r="B2711" i="3"/>
  <c r="D2710" i="3"/>
  <c r="C2710" i="3"/>
  <c r="B2710" i="3"/>
  <c r="D2709" i="3"/>
  <c r="C2709" i="3"/>
  <c r="B2709" i="3"/>
  <c r="D2708" i="3"/>
  <c r="C2708" i="3"/>
  <c r="B2708" i="3"/>
  <c r="D2707" i="3"/>
  <c r="C2707" i="3"/>
  <c r="B2707" i="3"/>
  <c r="D2706" i="3"/>
  <c r="C2706" i="3"/>
  <c r="B2706" i="3"/>
  <c r="D2705" i="3"/>
  <c r="C2705" i="3"/>
  <c r="B2705" i="3"/>
  <c r="D2704" i="3"/>
  <c r="C2704" i="3"/>
  <c r="B2704" i="3"/>
  <c r="D2703" i="3"/>
  <c r="C2703" i="3"/>
  <c r="B2703" i="3"/>
  <c r="D2702" i="3"/>
  <c r="C2702" i="3"/>
  <c r="B2702" i="3"/>
  <c r="D2701" i="3"/>
  <c r="C2701" i="3"/>
  <c r="B2701" i="3"/>
  <c r="D2700" i="3"/>
  <c r="C2700" i="3"/>
  <c r="B2700" i="3"/>
  <c r="D2699" i="3"/>
  <c r="C2699" i="3"/>
  <c r="B2699" i="3"/>
  <c r="D2698" i="3"/>
  <c r="C2698" i="3"/>
  <c r="B2698" i="3"/>
  <c r="D2697" i="3"/>
  <c r="C2697" i="3"/>
  <c r="B2697" i="3"/>
  <c r="D2696" i="3"/>
  <c r="C2696" i="3"/>
  <c r="B2696" i="3"/>
  <c r="D2695" i="3"/>
  <c r="C2695" i="3"/>
  <c r="B2695" i="3"/>
  <c r="D2694" i="3"/>
  <c r="C2694" i="3"/>
  <c r="B2694" i="3"/>
  <c r="D2693" i="3"/>
  <c r="C2693" i="3"/>
  <c r="B2693" i="3"/>
  <c r="D2692" i="3"/>
  <c r="C2692" i="3"/>
  <c r="B2692" i="3"/>
  <c r="D2691" i="3"/>
  <c r="C2691" i="3"/>
  <c r="B2691" i="3"/>
  <c r="D2690" i="3"/>
  <c r="C2690" i="3"/>
  <c r="B2690" i="3"/>
  <c r="D2689" i="3"/>
  <c r="C2689" i="3"/>
  <c r="B2689" i="3"/>
  <c r="D2688" i="3"/>
  <c r="C2688" i="3"/>
  <c r="B2688" i="3"/>
  <c r="D2687" i="3"/>
  <c r="C2687" i="3"/>
  <c r="B2687" i="3"/>
  <c r="D2686" i="3"/>
  <c r="C2686" i="3"/>
  <c r="B2686" i="3"/>
  <c r="D2685" i="3"/>
  <c r="C2685" i="3"/>
  <c r="B2685" i="3"/>
  <c r="D2684" i="3"/>
  <c r="C2684" i="3"/>
  <c r="B2684" i="3"/>
  <c r="D2683" i="3"/>
  <c r="C2683" i="3"/>
  <c r="B2683" i="3"/>
  <c r="D2682" i="3"/>
  <c r="C2682" i="3"/>
  <c r="B2682" i="3"/>
  <c r="D2681" i="3"/>
  <c r="C2681" i="3"/>
  <c r="B2681" i="3"/>
  <c r="D2680" i="3"/>
  <c r="C2680" i="3"/>
  <c r="B2680" i="3"/>
  <c r="D2679" i="3"/>
  <c r="C2679" i="3"/>
  <c r="B2679" i="3"/>
  <c r="D2678" i="3"/>
  <c r="C2678" i="3"/>
  <c r="B2678" i="3"/>
  <c r="D2677" i="3"/>
  <c r="C2677" i="3"/>
  <c r="B2677" i="3"/>
  <c r="D2676" i="3"/>
  <c r="C2676" i="3"/>
  <c r="B2676" i="3"/>
  <c r="D2675" i="3"/>
  <c r="C2675" i="3"/>
  <c r="B2675" i="3"/>
  <c r="D2674" i="3"/>
  <c r="C2674" i="3"/>
  <c r="B2674" i="3"/>
  <c r="D2673" i="3"/>
  <c r="C2673" i="3"/>
  <c r="B2673" i="3"/>
  <c r="D2672" i="3"/>
  <c r="C2672" i="3"/>
  <c r="B2672" i="3"/>
  <c r="D2671" i="3"/>
  <c r="C2671" i="3"/>
  <c r="B2671" i="3"/>
  <c r="D2670" i="3"/>
  <c r="C2670" i="3"/>
  <c r="B2670" i="3"/>
  <c r="D2669" i="3"/>
  <c r="C2669" i="3"/>
  <c r="B2669" i="3"/>
  <c r="D2668" i="3"/>
  <c r="C2668" i="3"/>
  <c r="B2668" i="3"/>
  <c r="D2667" i="3"/>
  <c r="C2667" i="3"/>
  <c r="B2667" i="3"/>
  <c r="D2666" i="3"/>
  <c r="C2666" i="3"/>
  <c r="B2666" i="3"/>
  <c r="D2665" i="3"/>
  <c r="C2665" i="3"/>
  <c r="B2665" i="3"/>
  <c r="D2664" i="3"/>
  <c r="C2664" i="3"/>
  <c r="B2664" i="3"/>
  <c r="D2663" i="3"/>
  <c r="C2663" i="3"/>
  <c r="B2663" i="3"/>
  <c r="D2662" i="3"/>
  <c r="C2662" i="3"/>
  <c r="B2662" i="3"/>
  <c r="D2661" i="3"/>
  <c r="C2661" i="3"/>
  <c r="B2661" i="3"/>
  <c r="D2660" i="3"/>
  <c r="C2660" i="3"/>
  <c r="B2660" i="3"/>
  <c r="D2659" i="3"/>
  <c r="C2659" i="3"/>
  <c r="B2659" i="3"/>
  <c r="D2658" i="3"/>
  <c r="C2658" i="3"/>
  <c r="B2658" i="3"/>
  <c r="D2657" i="3"/>
  <c r="C2657" i="3"/>
  <c r="B2657" i="3"/>
  <c r="D2656" i="3"/>
  <c r="C2656" i="3"/>
  <c r="B2656" i="3"/>
  <c r="D2655" i="3"/>
  <c r="C2655" i="3"/>
  <c r="B2655" i="3"/>
  <c r="D2654" i="3"/>
  <c r="C2654" i="3"/>
  <c r="B2654" i="3"/>
  <c r="D2653" i="3"/>
  <c r="C2653" i="3"/>
  <c r="B2653" i="3"/>
  <c r="D2652" i="3"/>
  <c r="C2652" i="3"/>
  <c r="B2652" i="3"/>
  <c r="D2651" i="3"/>
  <c r="C2651" i="3"/>
  <c r="B2651" i="3"/>
  <c r="D2650" i="3"/>
  <c r="C2650" i="3"/>
  <c r="B2650" i="3"/>
  <c r="D2649" i="3"/>
  <c r="C2649" i="3"/>
  <c r="B2649" i="3"/>
  <c r="D2648" i="3"/>
  <c r="C2648" i="3"/>
  <c r="B2648" i="3"/>
  <c r="D2647" i="3"/>
  <c r="C2647" i="3"/>
  <c r="B2647" i="3"/>
  <c r="D2646" i="3"/>
  <c r="C2646" i="3"/>
  <c r="B2646" i="3"/>
  <c r="D2645" i="3"/>
  <c r="C2645" i="3"/>
  <c r="B2645" i="3"/>
  <c r="D2644" i="3"/>
  <c r="C2644" i="3"/>
  <c r="B2644" i="3"/>
  <c r="D2643" i="3"/>
  <c r="C2643" i="3"/>
  <c r="B2643" i="3"/>
  <c r="D2642" i="3"/>
  <c r="C2642" i="3"/>
  <c r="B2642" i="3"/>
  <c r="D2641" i="3"/>
  <c r="C2641" i="3"/>
  <c r="B2641" i="3"/>
  <c r="D2640" i="3"/>
  <c r="C2640" i="3"/>
  <c r="B2640" i="3"/>
  <c r="D2639" i="3"/>
  <c r="C2639" i="3"/>
  <c r="B2639" i="3"/>
  <c r="D2638" i="3"/>
  <c r="C2638" i="3"/>
  <c r="B2638" i="3"/>
  <c r="D2637" i="3"/>
  <c r="C2637" i="3"/>
  <c r="B2637" i="3"/>
  <c r="D2636" i="3"/>
  <c r="C2636" i="3"/>
  <c r="B2636" i="3"/>
  <c r="D2635" i="3"/>
  <c r="C2635" i="3"/>
  <c r="B2635" i="3"/>
  <c r="D2634" i="3"/>
  <c r="C2634" i="3"/>
  <c r="B2634" i="3"/>
  <c r="D2633" i="3"/>
  <c r="C2633" i="3"/>
  <c r="B2633" i="3"/>
  <c r="D2632" i="3"/>
  <c r="C2632" i="3"/>
  <c r="B2632" i="3"/>
  <c r="D2631" i="3"/>
  <c r="C2631" i="3"/>
  <c r="B2631" i="3"/>
  <c r="D2630" i="3"/>
  <c r="C2630" i="3"/>
  <c r="B2630" i="3"/>
  <c r="D2629" i="3"/>
  <c r="C2629" i="3"/>
  <c r="B2629" i="3"/>
  <c r="D2628" i="3"/>
  <c r="C2628" i="3"/>
  <c r="B2628" i="3"/>
  <c r="D2627" i="3"/>
  <c r="C2627" i="3"/>
  <c r="B2627" i="3"/>
  <c r="D2626" i="3"/>
  <c r="C2626" i="3"/>
  <c r="B2626" i="3"/>
  <c r="D2625" i="3"/>
  <c r="C2625" i="3"/>
  <c r="B2625" i="3"/>
  <c r="D2624" i="3"/>
  <c r="C2624" i="3"/>
  <c r="B2624" i="3"/>
  <c r="D2623" i="3"/>
  <c r="C2623" i="3"/>
  <c r="B2623" i="3"/>
  <c r="D2622" i="3"/>
  <c r="C2622" i="3"/>
  <c r="B2622" i="3"/>
  <c r="D2621" i="3"/>
  <c r="C2621" i="3"/>
  <c r="B2621" i="3"/>
  <c r="D2620" i="3"/>
  <c r="C2620" i="3"/>
  <c r="B2620" i="3"/>
  <c r="D2619" i="3"/>
  <c r="C2619" i="3"/>
  <c r="B2619" i="3"/>
  <c r="D2618" i="3"/>
  <c r="C2618" i="3"/>
  <c r="B2618" i="3"/>
  <c r="D2617" i="3"/>
  <c r="C2617" i="3"/>
  <c r="B2617" i="3"/>
  <c r="D2616" i="3"/>
  <c r="C2616" i="3"/>
  <c r="B2616" i="3"/>
  <c r="D2615" i="3"/>
  <c r="C2615" i="3"/>
  <c r="B2615" i="3"/>
  <c r="D2614" i="3"/>
  <c r="C2614" i="3"/>
  <c r="B2614" i="3"/>
  <c r="D2613" i="3"/>
  <c r="C2613" i="3"/>
  <c r="B2613" i="3"/>
  <c r="D2612" i="3"/>
  <c r="C2612" i="3"/>
  <c r="B2612" i="3"/>
  <c r="D2611" i="3"/>
  <c r="C2611" i="3"/>
  <c r="B2611" i="3"/>
  <c r="D2610" i="3"/>
  <c r="C2610" i="3"/>
  <c r="B2610" i="3"/>
  <c r="D2609" i="3"/>
  <c r="C2609" i="3"/>
  <c r="B2609" i="3"/>
  <c r="D2608" i="3"/>
  <c r="C2608" i="3"/>
  <c r="B2608" i="3"/>
  <c r="D2607" i="3"/>
  <c r="C2607" i="3"/>
  <c r="B2607" i="3"/>
  <c r="D2606" i="3"/>
  <c r="C2606" i="3"/>
  <c r="B2606" i="3"/>
  <c r="D2605" i="3"/>
  <c r="C2605" i="3"/>
  <c r="B2605" i="3"/>
  <c r="D2604" i="3"/>
  <c r="C2604" i="3"/>
  <c r="B2604" i="3"/>
  <c r="D2603" i="3"/>
  <c r="C2603" i="3"/>
  <c r="B2603" i="3"/>
  <c r="D2602" i="3"/>
  <c r="C2602" i="3"/>
  <c r="B2602" i="3"/>
  <c r="D2601" i="3"/>
  <c r="C2601" i="3"/>
  <c r="B2601" i="3"/>
  <c r="D2600" i="3"/>
  <c r="C2600" i="3"/>
  <c r="B2600" i="3"/>
  <c r="D2599" i="3"/>
  <c r="C2599" i="3"/>
  <c r="B2599" i="3"/>
  <c r="D2598" i="3"/>
  <c r="C2598" i="3"/>
  <c r="B2598" i="3"/>
  <c r="D2597" i="3"/>
  <c r="C2597" i="3"/>
  <c r="B2597" i="3"/>
  <c r="D2596" i="3"/>
  <c r="C2596" i="3"/>
  <c r="B2596" i="3"/>
  <c r="D2595" i="3"/>
  <c r="C2595" i="3"/>
  <c r="B2595" i="3"/>
  <c r="D2594" i="3"/>
  <c r="C2594" i="3"/>
  <c r="B2594" i="3"/>
  <c r="D2593" i="3"/>
  <c r="C2593" i="3"/>
  <c r="B2593" i="3"/>
  <c r="D2592" i="3"/>
  <c r="C2592" i="3"/>
  <c r="B2592" i="3"/>
  <c r="D2591" i="3"/>
  <c r="C2591" i="3"/>
  <c r="B2591" i="3"/>
  <c r="D2590" i="3"/>
  <c r="C2590" i="3"/>
  <c r="B2590" i="3"/>
  <c r="D2589" i="3"/>
  <c r="C2589" i="3"/>
  <c r="B2589" i="3"/>
  <c r="D2588" i="3"/>
  <c r="C2588" i="3"/>
  <c r="B2588" i="3"/>
  <c r="D2587" i="3"/>
  <c r="C2587" i="3"/>
  <c r="B2587" i="3"/>
  <c r="D2586" i="3"/>
  <c r="C2586" i="3"/>
  <c r="B2586" i="3"/>
  <c r="D2585" i="3"/>
  <c r="C2585" i="3"/>
  <c r="B2585" i="3"/>
  <c r="D2584" i="3"/>
  <c r="C2584" i="3"/>
  <c r="B2584" i="3"/>
  <c r="D2583" i="3"/>
  <c r="C2583" i="3"/>
  <c r="B2583" i="3"/>
  <c r="D2582" i="3"/>
  <c r="C2582" i="3"/>
  <c r="B2582" i="3"/>
  <c r="D2581" i="3"/>
  <c r="C2581" i="3"/>
  <c r="B2581" i="3"/>
  <c r="D2580" i="3"/>
  <c r="C2580" i="3"/>
  <c r="B2580" i="3"/>
  <c r="D2579" i="3"/>
  <c r="C2579" i="3"/>
  <c r="B2579" i="3"/>
  <c r="D2578" i="3"/>
  <c r="C2578" i="3"/>
  <c r="B2578" i="3"/>
  <c r="D2577" i="3"/>
  <c r="C2577" i="3"/>
  <c r="B2577" i="3"/>
  <c r="D2576" i="3"/>
  <c r="C2576" i="3"/>
  <c r="B2576" i="3"/>
  <c r="D2575" i="3"/>
  <c r="C2575" i="3"/>
  <c r="B2575" i="3"/>
  <c r="D2574" i="3"/>
  <c r="C2574" i="3"/>
  <c r="B2574" i="3"/>
  <c r="D2573" i="3"/>
  <c r="C2573" i="3"/>
  <c r="B2573" i="3"/>
  <c r="D2572" i="3"/>
  <c r="C2572" i="3"/>
  <c r="B2572" i="3"/>
  <c r="D2571" i="3"/>
  <c r="C2571" i="3"/>
  <c r="B2571" i="3"/>
  <c r="D2570" i="3"/>
  <c r="C2570" i="3"/>
  <c r="B2570" i="3"/>
  <c r="D2569" i="3"/>
  <c r="C2569" i="3"/>
  <c r="B2569" i="3"/>
  <c r="D2568" i="3"/>
  <c r="C2568" i="3"/>
  <c r="B2568" i="3"/>
  <c r="D2567" i="3"/>
  <c r="C2567" i="3"/>
  <c r="B2567" i="3"/>
  <c r="D2566" i="3"/>
  <c r="C2566" i="3"/>
  <c r="B2566" i="3"/>
  <c r="D2565" i="3"/>
  <c r="C2565" i="3"/>
  <c r="B2565" i="3"/>
  <c r="D2564" i="3"/>
  <c r="C2564" i="3"/>
  <c r="B2564" i="3"/>
  <c r="D2563" i="3"/>
  <c r="C2563" i="3"/>
  <c r="B2563" i="3"/>
  <c r="D2562" i="3"/>
  <c r="C2562" i="3"/>
  <c r="B2562" i="3"/>
  <c r="D2561" i="3"/>
  <c r="C2561" i="3"/>
  <c r="B2561" i="3"/>
  <c r="D2560" i="3"/>
  <c r="C2560" i="3"/>
  <c r="B2560" i="3"/>
  <c r="D2559" i="3"/>
  <c r="C2559" i="3"/>
  <c r="B2559" i="3"/>
  <c r="D2558" i="3"/>
  <c r="C2558" i="3"/>
  <c r="B2558" i="3"/>
  <c r="D2557" i="3"/>
  <c r="C2557" i="3"/>
  <c r="B2557" i="3"/>
  <c r="D2556" i="3"/>
  <c r="C2556" i="3"/>
  <c r="B2556" i="3"/>
  <c r="D2555" i="3"/>
  <c r="C2555" i="3"/>
  <c r="B2555" i="3"/>
  <c r="D2554" i="3"/>
  <c r="C2554" i="3"/>
  <c r="B2554" i="3"/>
  <c r="D2553" i="3"/>
  <c r="C2553" i="3"/>
  <c r="B2553" i="3"/>
  <c r="D2552" i="3"/>
  <c r="C2552" i="3"/>
  <c r="B2552" i="3"/>
  <c r="D2551" i="3"/>
  <c r="C2551" i="3"/>
  <c r="B2551" i="3"/>
  <c r="D2550" i="3"/>
  <c r="C2550" i="3"/>
  <c r="B2550" i="3"/>
  <c r="D2549" i="3"/>
  <c r="C2549" i="3"/>
  <c r="B2549" i="3"/>
  <c r="D2548" i="3"/>
  <c r="C2548" i="3"/>
  <c r="B2548" i="3"/>
  <c r="D2547" i="3"/>
  <c r="C2547" i="3"/>
  <c r="B2547" i="3"/>
  <c r="D2546" i="3"/>
  <c r="C2546" i="3"/>
  <c r="B2546" i="3"/>
  <c r="D2545" i="3"/>
  <c r="C2545" i="3"/>
  <c r="B2545" i="3"/>
  <c r="D2544" i="3"/>
  <c r="C2544" i="3"/>
  <c r="B2544" i="3"/>
  <c r="D2543" i="3"/>
  <c r="C2543" i="3"/>
  <c r="B2543" i="3"/>
  <c r="D2542" i="3"/>
  <c r="C2542" i="3"/>
  <c r="B2542" i="3"/>
  <c r="D2541" i="3"/>
  <c r="C2541" i="3"/>
  <c r="B2541" i="3"/>
  <c r="D2540" i="3"/>
  <c r="C2540" i="3"/>
  <c r="B2540" i="3"/>
  <c r="D2539" i="3"/>
  <c r="C2539" i="3"/>
  <c r="B2539" i="3"/>
  <c r="D2538" i="3"/>
  <c r="C2538" i="3"/>
  <c r="B2538" i="3"/>
  <c r="D2537" i="3"/>
  <c r="C2537" i="3"/>
  <c r="B2537" i="3"/>
  <c r="D2536" i="3"/>
  <c r="C2536" i="3"/>
  <c r="B2536" i="3"/>
  <c r="D2535" i="3"/>
  <c r="C2535" i="3"/>
  <c r="B2535" i="3"/>
  <c r="D2534" i="3"/>
  <c r="C2534" i="3"/>
  <c r="B2534" i="3"/>
  <c r="D2533" i="3"/>
  <c r="C2533" i="3"/>
  <c r="B2533" i="3"/>
  <c r="D2532" i="3"/>
  <c r="C2532" i="3"/>
  <c r="B2532" i="3"/>
  <c r="D2531" i="3"/>
  <c r="C2531" i="3"/>
  <c r="B2531" i="3"/>
  <c r="D2530" i="3"/>
  <c r="C2530" i="3"/>
  <c r="B2530" i="3"/>
  <c r="D2529" i="3"/>
  <c r="C2529" i="3"/>
  <c r="B2529" i="3"/>
  <c r="D2528" i="3"/>
  <c r="C2528" i="3"/>
  <c r="B2528" i="3"/>
  <c r="D2527" i="3"/>
  <c r="C2527" i="3"/>
  <c r="B2527" i="3"/>
  <c r="D2526" i="3"/>
  <c r="C2526" i="3"/>
  <c r="B2526" i="3"/>
  <c r="D2525" i="3"/>
  <c r="C2525" i="3"/>
  <c r="B2525" i="3"/>
  <c r="D2524" i="3"/>
  <c r="C2524" i="3"/>
  <c r="B2524" i="3"/>
  <c r="D2523" i="3"/>
  <c r="C2523" i="3"/>
  <c r="B2523" i="3"/>
  <c r="D2522" i="3"/>
  <c r="C2522" i="3"/>
  <c r="B2522" i="3"/>
  <c r="D2521" i="3"/>
  <c r="C2521" i="3"/>
  <c r="B2521" i="3"/>
  <c r="D2520" i="3"/>
  <c r="C2520" i="3"/>
  <c r="B2520" i="3"/>
  <c r="D2519" i="3"/>
  <c r="C2519" i="3"/>
  <c r="B2519" i="3"/>
  <c r="D2518" i="3"/>
  <c r="C2518" i="3"/>
  <c r="B2518" i="3"/>
  <c r="D2517" i="3"/>
  <c r="C2517" i="3"/>
  <c r="B2517" i="3"/>
  <c r="D2516" i="3"/>
  <c r="C2516" i="3"/>
  <c r="B2516" i="3"/>
  <c r="D2515" i="3"/>
  <c r="C2515" i="3"/>
  <c r="B2515" i="3"/>
  <c r="D2514" i="3"/>
  <c r="C2514" i="3"/>
  <c r="B2514" i="3"/>
  <c r="D2513" i="3"/>
  <c r="C2513" i="3"/>
  <c r="B2513" i="3"/>
  <c r="D2512" i="3"/>
  <c r="C2512" i="3"/>
  <c r="B2512" i="3"/>
  <c r="D2511" i="3"/>
  <c r="C2511" i="3"/>
  <c r="B2511" i="3"/>
  <c r="D2510" i="3"/>
  <c r="C2510" i="3"/>
  <c r="B2510" i="3"/>
  <c r="D2509" i="3"/>
  <c r="C2509" i="3"/>
  <c r="B2509" i="3"/>
  <c r="D2508" i="3"/>
  <c r="C2508" i="3"/>
  <c r="B2508" i="3"/>
  <c r="D2507" i="3"/>
  <c r="C2507" i="3"/>
  <c r="B2507" i="3"/>
  <c r="D2506" i="3"/>
  <c r="C2506" i="3"/>
  <c r="B2506" i="3"/>
  <c r="D2505" i="3"/>
  <c r="C2505" i="3"/>
  <c r="B2505" i="3"/>
  <c r="D2504" i="3"/>
  <c r="C2504" i="3"/>
  <c r="B2504" i="3"/>
  <c r="D2503" i="3"/>
  <c r="C2503" i="3"/>
  <c r="B2503" i="3"/>
  <c r="D2502" i="3"/>
  <c r="C2502" i="3"/>
  <c r="B2502" i="3"/>
  <c r="D2501" i="3"/>
  <c r="C2501" i="3"/>
  <c r="B2501" i="3"/>
  <c r="D2500" i="3"/>
  <c r="C2500" i="3"/>
  <c r="B2500" i="3"/>
  <c r="D2499" i="3"/>
  <c r="C2499" i="3"/>
  <c r="B2499" i="3"/>
  <c r="D2498" i="3"/>
  <c r="C2498" i="3"/>
  <c r="B2498" i="3"/>
  <c r="D2497" i="3"/>
  <c r="C2497" i="3"/>
  <c r="B2497" i="3"/>
  <c r="D2496" i="3"/>
  <c r="C2496" i="3"/>
  <c r="B2496" i="3"/>
  <c r="D2495" i="3"/>
  <c r="C2495" i="3"/>
  <c r="B2495" i="3"/>
  <c r="D2494" i="3"/>
  <c r="C2494" i="3"/>
  <c r="B2494" i="3"/>
  <c r="D2493" i="3"/>
  <c r="C2493" i="3"/>
  <c r="B2493" i="3"/>
  <c r="D2492" i="3"/>
  <c r="C2492" i="3"/>
  <c r="B2492" i="3"/>
  <c r="D2491" i="3"/>
  <c r="C2491" i="3"/>
  <c r="B2491" i="3"/>
  <c r="D2490" i="3"/>
  <c r="C2490" i="3"/>
  <c r="B2490" i="3"/>
  <c r="D2489" i="3"/>
  <c r="C2489" i="3"/>
  <c r="B2489" i="3"/>
  <c r="D2488" i="3"/>
  <c r="C2488" i="3"/>
  <c r="B2488" i="3"/>
  <c r="D2487" i="3"/>
  <c r="C2487" i="3"/>
  <c r="B2487" i="3"/>
  <c r="D2486" i="3"/>
  <c r="C2486" i="3"/>
  <c r="B2486" i="3"/>
  <c r="D2485" i="3"/>
  <c r="C2485" i="3"/>
  <c r="B2485" i="3"/>
  <c r="D2484" i="3"/>
  <c r="C2484" i="3"/>
  <c r="B2484" i="3"/>
  <c r="D2483" i="3"/>
  <c r="C2483" i="3"/>
  <c r="B2483" i="3"/>
  <c r="D2482" i="3"/>
  <c r="C2482" i="3"/>
  <c r="B2482" i="3"/>
  <c r="D2481" i="3"/>
  <c r="C2481" i="3"/>
  <c r="B2481" i="3"/>
  <c r="D2480" i="3"/>
  <c r="C2480" i="3"/>
  <c r="B2480" i="3"/>
  <c r="D2479" i="3"/>
  <c r="C2479" i="3"/>
  <c r="B2479" i="3"/>
  <c r="D2478" i="3"/>
  <c r="C2478" i="3"/>
  <c r="B2478" i="3"/>
  <c r="D2477" i="3"/>
  <c r="C2477" i="3"/>
  <c r="B2477" i="3"/>
  <c r="D2476" i="3"/>
  <c r="C2476" i="3"/>
  <c r="B2476" i="3"/>
  <c r="D2475" i="3"/>
  <c r="C2475" i="3"/>
  <c r="B2475" i="3"/>
  <c r="D2474" i="3"/>
  <c r="C2474" i="3"/>
  <c r="B2474" i="3"/>
  <c r="D2473" i="3"/>
  <c r="C2473" i="3"/>
  <c r="B2473" i="3"/>
  <c r="D2472" i="3"/>
  <c r="C2472" i="3"/>
  <c r="B2472" i="3"/>
  <c r="D2471" i="3"/>
  <c r="C2471" i="3"/>
  <c r="B2471" i="3"/>
  <c r="D2470" i="3"/>
  <c r="C2470" i="3"/>
  <c r="B2470" i="3"/>
  <c r="D2469" i="3"/>
  <c r="C2469" i="3"/>
  <c r="B2469" i="3"/>
  <c r="D2468" i="3"/>
  <c r="C2468" i="3"/>
  <c r="B2468" i="3"/>
  <c r="D2467" i="3"/>
  <c r="C2467" i="3"/>
  <c r="B2467" i="3"/>
  <c r="D2466" i="3"/>
  <c r="C2466" i="3"/>
  <c r="B2466" i="3"/>
  <c r="D2465" i="3"/>
  <c r="C2465" i="3"/>
  <c r="B2465" i="3"/>
  <c r="D2464" i="3"/>
  <c r="C2464" i="3"/>
  <c r="B2464" i="3"/>
  <c r="D2463" i="3"/>
  <c r="C2463" i="3"/>
  <c r="B2463" i="3"/>
  <c r="D2462" i="3"/>
  <c r="C2462" i="3"/>
  <c r="B2462" i="3"/>
  <c r="D2461" i="3"/>
  <c r="C2461" i="3"/>
  <c r="B2461" i="3"/>
  <c r="D2460" i="3"/>
  <c r="C2460" i="3"/>
  <c r="B2460" i="3"/>
  <c r="D2459" i="3"/>
  <c r="C2459" i="3"/>
  <c r="B2459" i="3"/>
  <c r="D2458" i="3"/>
  <c r="C2458" i="3"/>
  <c r="B2458" i="3"/>
  <c r="D2457" i="3"/>
  <c r="C2457" i="3"/>
  <c r="B2457" i="3"/>
  <c r="D2456" i="3"/>
  <c r="C2456" i="3"/>
  <c r="B2456" i="3"/>
  <c r="D2455" i="3"/>
  <c r="C2455" i="3"/>
  <c r="B2455" i="3"/>
  <c r="D2454" i="3"/>
  <c r="C2454" i="3"/>
  <c r="B2454" i="3"/>
  <c r="D2453" i="3"/>
  <c r="C2453" i="3"/>
  <c r="B2453" i="3"/>
  <c r="D2452" i="3"/>
  <c r="C2452" i="3"/>
  <c r="B2452" i="3"/>
  <c r="D2451" i="3"/>
  <c r="C2451" i="3"/>
  <c r="B2451" i="3"/>
  <c r="D2450" i="3"/>
  <c r="C2450" i="3"/>
  <c r="B2450" i="3"/>
  <c r="D2449" i="3"/>
  <c r="C2449" i="3"/>
  <c r="B2449" i="3"/>
  <c r="D2448" i="3"/>
  <c r="C2448" i="3"/>
  <c r="B2448" i="3"/>
  <c r="D2447" i="3"/>
  <c r="C2447" i="3"/>
  <c r="B2447" i="3"/>
  <c r="D2446" i="3"/>
  <c r="C2446" i="3"/>
  <c r="B2446" i="3"/>
  <c r="D2445" i="3"/>
  <c r="C2445" i="3"/>
  <c r="B2445" i="3"/>
  <c r="D2444" i="3"/>
  <c r="C2444" i="3"/>
  <c r="B2444" i="3"/>
  <c r="D2443" i="3"/>
  <c r="C2443" i="3"/>
  <c r="B2443" i="3"/>
  <c r="D2442" i="3"/>
  <c r="C2442" i="3"/>
  <c r="B2442" i="3"/>
  <c r="D2441" i="3"/>
  <c r="C2441" i="3"/>
  <c r="B2441" i="3"/>
  <c r="D2440" i="3"/>
  <c r="C2440" i="3"/>
  <c r="B2440" i="3"/>
  <c r="D2439" i="3"/>
  <c r="C2439" i="3"/>
  <c r="B2439" i="3"/>
  <c r="D2438" i="3"/>
  <c r="C2438" i="3"/>
  <c r="B2438" i="3"/>
  <c r="D2437" i="3"/>
  <c r="C2437" i="3"/>
  <c r="B2437" i="3"/>
  <c r="D2436" i="3"/>
  <c r="C2436" i="3"/>
  <c r="B2436" i="3"/>
  <c r="D2435" i="3"/>
  <c r="C2435" i="3"/>
  <c r="B2435" i="3"/>
  <c r="D2434" i="3"/>
  <c r="C2434" i="3"/>
  <c r="B2434" i="3"/>
  <c r="D2433" i="3"/>
  <c r="C2433" i="3"/>
  <c r="B2433" i="3"/>
  <c r="D2432" i="3"/>
  <c r="C2432" i="3"/>
  <c r="B2432" i="3"/>
  <c r="D2431" i="3"/>
  <c r="C2431" i="3"/>
  <c r="B2431" i="3"/>
  <c r="D2430" i="3"/>
  <c r="C2430" i="3"/>
  <c r="B2430" i="3"/>
  <c r="D2429" i="3"/>
  <c r="C2429" i="3"/>
  <c r="B2429" i="3"/>
  <c r="D2428" i="3"/>
  <c r="C2428" i="3"/>
  <c r="B2428" i="3"/>
  <c r="D2427" i="3"/>
  <c r="C2427" i="3"/>
  <c r="B2427" i="3"/>
  <c r="D2426" i="3"/>
  <c r="C2426" i="3"/>
  <c r="B2426" i="3"/>
  <c r="D2425" i="3"/>
  <c r="C2425" i="3"/>
  <c r="B2425" i="3"/>
  <c r="D2424" i="3"/>
  <c r="C2424" i="3"/>
  <c r="B2424" i="3"/>
  <c r="D2423" i="3"/>
  <c r="C2423" i="3"/>
  <c r="B2423" i="3"/>
  <c r="D2422" i="3"/>
  <c r="C2422" i="3"/>
  <c r="B2422" i="3"/>
  <c r="D2421" i="3"/>
  <c r="C2421" i="3"/>
  <c r="B2421" i="3"/>
  <c r="D2420" i="3"/>
  <c r="C2420" i="3"/>
  <c r="B2420" i="3"/>
  <c r="D2419" i="3"/>
  <c r="C2419" i="3"/>
  <c r="B2419" i="3"/>
  <c r="D2418" i="3"/>
  <c r="C2418" i="3"/>
  <c r="B2418" i="3"/>
  <c r="D2417" i="3"/>
  <c r="C2417" i="3"/>
  <c r="B2417" i="3"/>
  <c r="D2416" i="3"/>
  <c r="C2416" i="3"/>
  <c r="B2416" i="3"/>
  <c r="D2415" i="3"/>
  <c r="C2415" i="3"/>
  <c r="B2415" i="3"/>
  <c r="D2414" i="3"/>
  <c r="C2414" i="3"/>
  <c r="B2414" i="3"/>
  <c r="D2413" i="3"/>
  <c r="C2413" i="3"/>
  <c r="B2413" i="3"/>
  <c r="D2412" i="3"/>
  <c r="C2412" i="3"/>
  <c r="B2412" i="3"/>
  <c r="D2411" i="3"/>
  <c r="C2411" i="3"/>
  <c r="B2411" i="3"/>
  <c r="D2410" i="3"/>
  <c r="C2410" i="3"/>
  <c r="B2410" i="3"/>
  <c r="D2409" i="3"/>
  <c r="C2409" i="3"/>
  <c r="B2409" i="3"/>
  <c r="D2408" i="3"/>
  <c r="C2408" i="3"/>
  <c r="B2408" i="3"/>
  <c r="D2407" i="3"/>
  <c r="C2407" i="3"/>
  <c r="B2407" i="3"/>
  <c r="D2406" i="3"/>
  <c r="C2406" i="3"/>
  <c r="B2406" i="3"/>
  <c r="D2405" i="3"/>
  <c r="C2405" i="3"/>
  <c r="B2405" i="3"/>
  <c r="D2404" i="3"/>
  <c r="C2404" i="3"/>
  <c r="B2404" i="3"/>
  <c r="D2403" i="3"/>
  <c r="C2403" i="3"/>
  <c r="B2403" i="3"/>
  <c r="D2402" i="3"/>
  <c r="C2402" i="3"/>
  <c r="B2402" i="3"/>
  <c r="D2401" i="3"/>
  <c r="C2401" i="3"/>
  <c r="B2401" i="3"/>
  <c r="D2400" i="3"/>
  <c r="C2400" i="3"/>
  <c r="B2400" i="3"/>
  <c r="D2399" i="3"/>
  <c r="C2399" i="3"/>
  <c r="B2399" i="3"/>
  <c r="D2398" i="3"/>
  <c r="C2398" i="3"/>
  <c r="B2398" i="3"/>
  <c r="D2397" i="3"/>
  <c r="C2397" i="3"/>
  <c r="B2397" i="3"/>
  <c r="D2396" i="3"/>
  <c r="C2396" i="3"/>
  <c r="B2396" i="3"/>
  <c r="D2395" i="3"/>
  <c r="C2395" i="3"/>
  <c r="B2395" i="3"/>
  <c r="D2394" i="3"/>
  <c r="C2394" i="3"/>
  <c r="B2394" i="3"/>
  <c r="D2393" i="3"/>
  <c r="C2393" i="3"/>
  <c r="B2393" i="3"/>
  <c r="D2392" i="3"/>
  <c r="C2392" i="3"/>
  <c r="B2392" i="3"/>
  <c r="D2391" i="3"/>
  <c r="C2391" i="3"/>
  <c r="B2391" i="3"/>
  <c r="D2390" i="3"/>
  <c r="C2390" i="3"/>
  <c r="B2390" i="3"/>
  <c r="D2389" i="3"/>
  <c r="C2389" i="3"/>
  <c r="B2389" i="3"/>
  <c r="D2388" i="3"/>
  <c r="C2388" i="3"/>
  <c r="B2388" i="3"/>
  <c r="D2387" i="3"/>
  <c r="C2387" i="3"/>
  <c r="B2387" i="3"/>
  <c r="D2386" i="3"/>
  <c r="C2386" i="3"/>
  <c r="B2386" i="3"/>
  <c r="D2385" i="3"/>
  <c r="C2385" i="3"/>
  <c r="B2385" i="3"/>
  <c r="D2384" i="3"/>
  <c r="C2384" i="3"/>
  <c r="B2384" i="3"/>
  <c r="D2383" i="3"/>
  <c r="C2383" i="3"/>
  <c r="B2383" i="3"/>
  <c r="D2382" i="3"/>
  <c r="C2382" i="3"/>
  <c r="B2382" i="3"/>
  <c r="D2381" i="3"/>
  <c r="C2381" i="3"/>
  <c r="B2381" i="3"/>
  <c r="D2380" i="3"/>
  <c r="C2380" i="3"/>
  <c r="B2380" i="3"/>
  <c r="D2379" i="3"/>
  <c r="C2379" i="3"/>
  <c r="B2379" i="3"/>
  <c r="D2378" i="3"/>
  <c r="C2378" i="3"/>
  <c r="B2378" i="3"/>
  <c r="D2377" i="3"/>
  <c r="C2377" i="3"/>
  <c r="B2377" i="3"/>
  <c r="D2376" i="3"/>
  <c r="C2376" i="3"/>
  <c r="B2376" i="3"/>
  <c r="D2375" i="3"/>
  <c r="C2375" i="3"/>
  <c r="B2375" i="3"/>
  <c r="D2374" i="3"/>
  <c r="C2374" i="3"/>
  <c r="B2374" i="3"/>
  <c r="D2373" i="3"/>
  <c r="C2373" i="3"/>
  <c r="B2373" i="3"/>
  <c r="D2372" i="3"/>
  <c r="C2372" i="3"/>
  <c r="B2372" i="3"/>
  <c r="D2371" i="3"/>
  <c r="C2371" i="3"/>
  <c r="B2371" i="3"/>
  <c r="D2370" i="3"/>
  <c r="C2370" i="3"/>
  <c r="B2370" i="3"/>
  <c r="D2369" i="3"/>
  <c r="C2369" i="3"/>
  <c r="B2369" i="3"/>
  <c r="D2368" i="3"/>
  <c r="C2368" i="3"/>
  <c r="B2368" i="3"/>
  <c r="D2367" i="3"/>
  <c r="C2367" i="3"/>
  <c r="B2367" i="3"/>
  <c r="D2366" i="3"/>
  <c r="C2366" i="3"/>
  <c r="B2366" i="3"/>
  <c r="D2365" i="3"/>
  <c r="C2365" i="3"/>
  <c r="B2365" i="3"/>
  <c r="D2364" i="3"/>
  <c r="C2364" i="3"/>
  <c r="B2364" i="3"/>
  <c r="D2363" i="3"/>
  <c r="C2363" i="3"/>
  <c r="B2363" i="3"/>
  <c r="D2362" i="3"/>
  <c r="C2362" i="3"/>
  <c r="B2362" i="3"/>
  <c r="D2361" i="3"/>
  <c r="C2361" i="3"/>
  <c r="B2361" i="3"/>
  <c r="D2360" i="3"/>
  <c r="C2360" i="3"/>
  <c r="B2360" i="3"/>
  <c r="D2359" i="3"/>
  <c r="C2359" i="3"/>
  <c r="B2359" i="3"/>
  <c r="D2358" i="3"/>
  <c r="C2358" i="3"/>
  <c r="B2358" i="3"/>
  <c r="D2357" i="3"/>
  <c r="C2357" i="3"/>
  <c r="B2357" i="3"/>
  <c r="D2356" i="3"/>
  <c r="C2356" i="3"/>
  <c r="B2356" i="3"/>
  <c r="D2355" i="3"/>
  <c r="C2355" i="3"/>
  <c r="B2355" i="3"/>
  <c r="D2354" i="3"/>
  <c r="C2354" i="3"/>
  <c r="B2354" i="3"/>
  <c r="D2353" i="3"/>
  <c r="C2353" i="3"/>
  <c r="B2353" i="3"/>
  <c r="D2352" i="3"/>
  <c r="C2352" i="3"/>
  <c r="B2352" i="3"/>
  <c r="D2351" i="3"/>
  <c r="C2351" i="3"/>
  <c r="B2351" i="3"/>
  <c r="D2350" i="3"/>
  <c r="C2350" i="3"/>
  <c r="B2350" i="3"/>
  <c r="D2349" i="3"/>
  <c r="C2349" i="3"/>
  <c r="B2349" i="3"/>
  <c r="D2348" i="3"/>
  <c r="C2348" i="3"/>
  <c r="B2348" i="3"/>
  <c r="D2347" i="3"/>
  <c r="C2347" i="3"/>
  <c r="B2347" i="3"/>
  <c r="D2346" i="3"/>
  <c r="C2346" i="3"/>
  <c r="B2346" i="3"/>
  <c r="D2345" i="3"/>
  <c r="C2345" i="3"/>
  <c r="B2345" i="3"/>
  <c r="D2344" i="3"/>
  <c r="C2344" i="3"/>
  <c r="B2344" i="3"/>
  <c r="D2343" i="3"/>
  <c r="C2343" i="3"/>
  <c r="B2343" i="3"/>
  <c r="D2342" i="3"/>
  <c r="C2342" i="3"/>
  <c r="B2342" i="3"/>
  <c r="D2341" i="3"/>
  <c r="C2341" i="3"/>
  <c r="B2341" i="3"/>
  <c r="D2340" i="3"/>
  <c r="C2340" i="3"/>
  <c r="B2340" i="3"/>
  <c r="D2339" i="3"/>
  <c r="C2339" i="3"/>
  <c r="B2339" i="3"/>
  <c r="D2338" i="3"/>
  <c r="C2338" i="3"/>
  <c r="B2338" i="3"/>
  <c r="D2337" i="3"/>
  <c r="C2337" i="3"/>
  <c r="B2337" i="3"/>
  <c r="D2336" i="3"/>
  <c r="C2336" i="3"/>
  <c r="B2336" i="3"/>
  <c r="D2335" i="3"/>
  <c r="C2335" i="3"/>
  <c r="B2335" i="3"/>
  <c r="D2334" i="3"/>
  <c r="C2334" i="3"/>
  <c r="B2334" i="3"/>
  <c r="D2333" i="3"/>
  <c r="C2333" i="3"/>
  <c r="B2333" i="3"/>
  <c r="D2332" i="3"/>
  <c r="C2332" i="3"/>
  <c r="B2332" i="3"/>
  <c r="D2331" i="3"/>
  <c r="C2331" i="3"/>
  <c r="B2331" i="3"/>
  <c r="D2330" i="3"/>
  <c r="C2330" i="3"/>
  <c r="B2330" i="3"/>
  <c r="D2329" i="3"/>
  <c r="C2329" i="3"/>
  <c r="B2329" i="3"/>
  <c r="D2328" i="3"/>
  <c r="C2328" i="3"/>
  <c r="B2328" i="3"/>
  <c r="D2327" i="3"/>
  <c r="C2327" i="3"/>
  <c r="B2327" i="3"/>
  <c r="D2326" i="3"/>
  <c r="C2326" i="3"/>
  <c r="B2326" i="3"/>
  <c r="D2325" i="3"/>
  <c r="C2325" i="3"/>
  <c r="B2325" i="3"/>
  <c r="D2324" i="3"/>
  <c r="C2324" i="3"/>
  <c r="B2324" i="3"/>
  <c r="D2323" i="3"/>
  <c r="C2323" i="3"/>
  <c r="B2323" i="3"/>
  <c r="D2322" i="3"/>
  <c r="C2322" i="3"/>
  <c r="B2322" i="3"/>
  <c r="D2321" i="3"/>
  <c r="C2321" i="3"/>
  <c r="B2321" i="3"/>
  <c r="D2320" i="3"/>
  <c r="C2320" i="3"/>
  <c r="B2320" i="3"/>
  <c r="D2319" i="3"/>
  <c r="C2319" i="3"/>
  <c r="B2319" i="3"/>
  <c r="D2318" i="3"/>
  <c r="C2318" i="3"/>
  <c r="B2318" i="3"/>
  <c r="D2317" i="3"/>
  <c r="C2317" i="3"/>
  <c r="B2317" i="3"/>
  <c r="D2316" i="3"/>
  <c r="C2316" i="3"/>
  <c r="B2316" i="3"/>
  <c r="D2315" i="3"/>
  <c r="C2315" i="3"/>
  <c r="B2315" i="3"/>
  <c r="D2314" i="3"/>
  <c r="C2314" i="3"/>
  <c r="B2314" i="3"/>
  <c r="D2313" i="3"/>
  <c r="C2313" i="3"/>
  <c r="B2313" i="3"/>
  <c r="D2312" i="3"/>
  <c r="C2312" i="3"/>
  <c r="B2312" i="3"/>
  <c r="D2311" i="3"/>
  <c r="C2311" i="3"/>
  <c r="B2311" i="3"/>
  <c r="D2310" i="3"/>
  <c r="C2310" i="3"/>
  <c r="B2310" i="3"/>
  <c r="D2309" i="3"/>
  <c r="C2309" i="3"/>
  <c r="B2309" i="3"/>
  <c r="D2308" i="3"/>
  <c r="C2308" i="3"/>
  <c r="B2308" i="3"/>
  <c r="D2307" i="3"/>
  <c r="C2307" i="3"/>
  <c r="B2307" i="3"/>
  <c r="D2306" i="3"/>
  <c r="C2306" i="3"/>
  <c r="B2306" i="3"/>
  <c r="D2305" i="3"/>
  <c r="C2305" i="3"/>
  <c r="B2305" i="3"/>
  <c r="D2304" i="3"/>
  <c r="C2304" i="3"/>
  <c r="B2304" i="3"/>
  <c r="D2303" i="3"/>
  <c r="C2303" i="3"/>
  <c r="B2303" i="3"/>
  <c r="D2302" i="3"/>
  <c r="C2302" i="3"/>
  <c r="B2302" i="3"/>
  <c r="D2301" i="3"/>
  <c r="C2301" i="3"/>
  <c r="B2301" i="3"/>
  <c r="D2300" i="3"/>
  <c r="C2300" i="3"/>
  <c r="B2300" i="3"/>
  <c r="D2299" i="3"/>
  <c r="C2299" i="3"/>
  <c r="B2299" i="3"/>
  <c r="D2298" i="3"/>
  <c r="C2298" i="3"/>
  <c r="B2298" i="3"/>
  <c r="D2297" i="3"/>
  <c r="C2297" i="3"/>
  <c r="B2297" i="3"/>
  <c r="D2296" i="3"/>
  <c r="C2296" i="3"/>
  <c r="B2296" i="3"/>
  <c r="D2295" i="3"/>
  <c r="C2295" i="3"/>
  <c r="B2295" i="3"/>
  <c r="D2294" i="3"/>
  <c r="C2294" i="3"/>
  <c r="B2294" i="3"/>
  <c r="D2293" i="3"/>
  <c r="C2293" i="3"/>
  <c r="B2293" i="3"/>
  <c r="D2292" i="3"/>
  <c r="C2292" i="3"/>
  <c r="B2292" i="3"/>
  <c r="D2291" i="3"/>
  <c r="C2291" i="3"/>
  <c r="B2291" i="3"/>
  <c r="D2290" i="3"/>
  <c r="C2290" i="3"/>
  <c r="B2290" i="3"/>
  <c r="D2289" i="3"/>
  <c r="C2289" i="3"/>
  <c r="B2289" i="3"/>
  <c r="D2288" i="3"/>
  <c r="C2288" i="3"/>
  <c r="B2288" i="3"/>
  <c r="D2287" i="3"/>
  <c r="C2287" i="3"/>
  <c r="B2287" i="3"/>
  <c r="D2286" i="3"/>
  <c r="C2286" i="3"/>
  <c r="B2286" i="3"/>
  <c r="D2285" i="3"/>
  <c r="C2285" i="3"/>
  <c r="B2285" i="3"/>
  <c r="D2284" i="3"/>
  <c r="C2284" i="3"/>
  <c r="B2284" i="3"/>
  <c r="D2283" i="3"/>
  <c r="C2283" i="3"/>
  <c r="B2283" i="3"/>
  <c r="D2282" i="3"/>
  <c r="C2282" i="3"/>
  <c r="B2282" i="3"/>
  <c r="D2281" i="3"/>
  <c r="C2281" i="3"/>
  <c r="B2281" i="3"/>
  <c r="D2280" i="3"/>
  <c r="C2280" i="3"/>
  <c r="B2280" i="3"/>
  <c r="D2279" i="3"/>
  <c r="C2279" i="3"/>
  <c r="B2279" i="3"/>
  <c r="D2278" i="3"/>
  <c r="C2278" i="3"/>
  <c r="B2278" i="3"/>
  <c r="D2277" i="3"/>
  <c r="C2277" i="3"/>
  <c r="B2277" i="3"/>
  <c r="D2276" i="3"/>
  <c r="C2276" i="3"/>
  <c r="B2276" i="3"/>
  <c r="D2275" i="3"/>
  <c r="C2275" i="3"/>
  <c r="B2275" i="3"/>
  <c r="D2274" i="3"/>
  <c r="C2274" i="3"/>
  <c r="B2274" i="3"/>
  <c r="D2273" i="3"/>
  <c r="C2273" i="3"/>
  <c r="B2273" i="3"/>
  <c r="D2272" i="3"/>
  <c r="C2272" i="3"/>
  <c r="B2272" i="3"/>
  <c r="D2271" i="3"/>
  <c r="C2271" i="3"/>
  <c r="B2271" i="3"/>
  <c r="D2270" i="3"/>
  <c r="C2270" i="3"/>
  <c r="B2270" i="3"/>
  <c r="D2269" i="3"/>
  <c r="C2269" i="3"/>
  <c r="B2269" i="3"/>
  <c r="D2268" i="3"/>
  <c r="C2268" i="3"/>
  <c r="B2268" i="3"/>
  <c r="D2267" i="3"/>
  <c r="C2267" i="3"/>
  <c r="B2267" i="3"/>
  <c r="D2266" i="3"/>
  <c r="C2266" i="3"/>
  <c r="B2266" i="3"/>
  <c r="D2265" i="3"/>
  <c r="C2265" i="3"/>
  <c r="B2265" i="3"/>
  <c r="D2264" i="3"/>
  <c r="C2264" i="3"/>
  <c r="B2264" i="3"/>
  <c r="D2263" i="3"/>
  <c r="C2263" i="3"/>
  <c r="B2263" i="3"/>
  <c r="D2262" i="3"/>
  <c r="C2262" i="3"/>
  <c r="B2262" i="3"/>
  <c r="D2261" i="3"/>
  <c r="C2261" i="3"/>
  <c r="B2261" i="3"/>
  <c r="D2260" i="3"/>
  <c r="C2260" i="3"/>
  <c r="B2260" i="3"/>
  <c r="D2259" i="3"/>
  <c r="C2259" i="3"/>
  <c r="B2259" i="3"/>
  <c r="D2258" i="3"/>
  <c r="C2258" i="3"/>
  <c r="B2258" i="3"/>
  <c r="D2257" i="3"/>
  <c r="C2257" i="3"/>
  <c r="B2257" i="3"/>
  <c r="D2256" i="3"/>
  <c r="C2256" i="3"/>
  <c r="B2256" i="3"/>
  <c r="D2255" i="3"/>
  <c r="C2255" i="3"/>
  <c r="B2255" i="3"/>
  <c r="D2254" i="3"/>
  <c r="C2254" i="3"/>
  <c r="B2254" i="3"/>
  <c r="D2253" i="3"/>
  <c r="C2253" i="3"/>
  <c r="B2253" i="3"/>
  <c r="D2252" i="3"/>
  <c r="C2252" i="3"/>
  <c r="B2252" i="3"/>
  <c r="D2251" i="3"/>
  <c r="C2251" i="3"/>
  <c r="B2251" i="3"/>
  <c r="D2250" i="3"/>
  <c r="C2250" i="3"/>
  <c r="B2250" i="3"/>
  <c r="D2249" i="3"/>
  <c r="C2249" i="3"/>
  <c r="B2249" i="3"/>
  <c r="D2248" i="3"/>
  <c r="C2248" i="3"/>
  <c r="B2248" i="3"/>
  <c r="D2247" i="3"/>
  <c r="C2247" i="3"/>
  <c r="B2247" i="3"/>
  <c r="D2246" i="3"/>
  <c r="C2246" i="3"/>
  <c r="B2246" i="3"/>
  <c r="D2245" i="3"/>
  <c r="C2245" i="3"/>
  <c r="B2245" i="3"/>
  <c r="D2244" i="3"/>
  <c r="C2244" i="3"/>
  <c r="B2244" i="3"/>
  <c r="D2243" i="3"/>
  <c r="C2243" i="3"/>
  <c r="B2243" i="3"/>
  <c r="D2242" i="3"/>
  <c r="C2242" i="3"/>
  <c r="B2242" i="3"/>
  <c r="D2241" i="3"/>
  <c r="C2241" i="3"/>
  <c r="B2241" i="3"/>
  <c r="D2240" i="3"/>
  <c r="C2240" i="3"/>
  <c r="B2240" i="3"/>
  <c r="D2239" i="3"/>
  <c r="C2239" i="3"/>
  <c r="B2239" i="3"/>
  <c r="D2238" i="3"/>
  <c r="C2238" i="3"/>
  <c r="B2238" i="3"/>
  <c r="D2237" i="3"/>
  <c r="C2237" i="3"/>
  <c r="B2237" i="3"/>
  <c r="D2236" i="3"/>
  <c r="C2236" i="3"/>
  <c r="B2236" i="3"/>
  <c r="D2235" i="3"/>
  <c r="C2235" i="3"/>
  <c r="B2235" i="3"/>
  <c r="D2234" i="3"/>
  <c r="C2234" i="3"/>
  <c r="B2234" i="3"/>
  <c r="D2233" i="3"/>
  <c r="C2233" i="3"/>
  <c r="B2233" i="3"/>
  <c r="D2232" i="3"/>
  <c r="C2232" i="3"/>
  <c r="B2232" i="3"/>
  <c r="D2231" i="3"/>
  <c r="C2231" i="3"/>
  <c r="B2231" i="3"/>
  <c r="D2230" i="3"/>
  <c r="C2230" i="3"/>
  <c r="B2230" i="3"/>
  <c r="D2229" i="3"/>
  <c r="C2229" i="3"/>
  <c r="B2229" i="3"/>
  <c r="D2228" i="3"/>
  <c r="C2228" i="3"/>
  <c r="B2228" i="3"/>
  <c r="D2227" i="3"/>
  <c r="C2227" i="3"/>
  <c r="B2227" i="3"/>
  <c r="D2226" i="3"/>
  <c r="C2226" i="3"/>
  <c r="B2226" i="3"/>
  <c r="D2225" i="3"/>
  <c r="C2225" i="3"/>
  <c r="B2225" i="3"/>
  <c r="D2224" i="3"/>
  <c r="C2224" i="3"/>
  <c r="B2224" i="3"/>
  <c r="D2223" i="3"/>
  <c r="C2223" i="3"/>
  <c r="B2223" i="3"/>
  <c r="D2222" i="3"/>
  <c r="C2222" i="3"/>
  <c r="B2222" i="3"/>
  <c r="D2221" i="3"/>
  <c r="C2221" i="3"/>
  <c r="B2221" i="3"/>
  <c r="D2220" i="3"/>
  <c r="C2220" i="3"/>
  <c r="B2220" i="3"/>
  <c r="D2219" i="3"/>
  <c r="C2219" i="3"/>
  <c r="B2219" i="3"/>
  <c r="D2218" i="3"/>
  <c r="C2218" i="3"/>
  <c r="B2218" i="3"/>
  <c r="D2217" i="3"/>
  <c r="C2217" i="3"/>
  <c r="B2217" i="3"/>
  <c r="D2216" i="3"/>
  <c r="C2216" i="3"/>
  <c r="B2216" i="3"/>
  <c r="D2215" i="3"/>
  <c r="C2215" i="3"/>
  <c r="B2215" i="3"/>
  <c r="D2214" i="3"/>
  <c r="C2214" i="3"/>
  <c r="B2214" i="3"/>
  <c r="D2213" i="3"/>
  <c r="C2213" i="3"/>
  <c r="B2213" i="3"/>
  <c r="D2212" i="3"/>
  <c r="C2212" i="3"/>
  <c r="B2212" i="3"/>
  <c r="D2211" i="3"/>
  <c r="C2211" i="3"/>
  <c r="B2211" i="3"/>
  <c r="D2210" i="3"/>
  <c r="C2210" i="3"/>
  <c r="B2210" i="3"/>
  <c r="D2209" i="3"/>
  <c r="C2209" i="3"/>
  <c r="B2209" i="3"/>
  <c r="D2208" i="3"/>
  <c r="C2208" i="3"/>
  <c r="B2208" i="3"/>
  <c r="D2207" i="3"/>
  <c r="C2207" i="3"/>
  <c r="B2207" i="3"/>
  <c r="D2206" i="3"/>
  <c r="C2206" i="3"/>
  <c r="B2206" i="3"/>
  <c r="D2205" i="3"/>
  <c r="C2205" i="3"/>
  <c r="B2205" i="3"/>
  <c r="D2204" i="3"/>
  <c r="C2204" i="3"/>
  <c r="B2204" i="3"/>
  <c r="D2203" i="3"/>
  <c r="C2203" i="3"/>
  <c r="B2203" i="3"/>
  <c r="D2202" i="3"/>
  <c r="C2202" i="3"/>
  <c r="B2202" i="3"/>
  <c r="D2201" i="3"/>
  <c r="C2201" i="3"/>
  <c r="B2201" i="3"/>
  <c r="D2200" i="3"/>
  <c r="C2200" i="3"/>
  <c r="B2200" i="3"/>
  <c r="D2199" i="3"/>
  <c r="C2199" i="3"/>
  <c r="B2199" i="3"/>
  <c r="D2198" i="3"/>
  <c r="C2198" i="3"/>
  <c r="B2198" i="3"/>
  <c r="D2197" i="3"/>
  <c r="C2197" i="3"/>
  <c r="B2197" i="3"/>
  <c r="D2196" i="3"/>
  <c r="C2196" i="3"/>
  <c r="B2196" i="3"/>
  <c r="D2195" i="3"/>
  <c r="C2195" i="3"/>
  <c r="B2195" i="3"/>
  <c r="D2194" i="3"/>
  <c r="C2194" i="3"/>
  <c r="B2194" i="3"/>
  <c r="D2193" i="3"/>
  <c r="C2193" i="3"/>
  <c r="B2193" i="3"/>
  <c r="D2192" i="3"/>
  <c r="C2192" i="3"/>
  <c r="B2192" i="3"/>
  <c r="D2191" i="3"/>
  <c r="C2191" i="3"/>
  <c r="B2191" i="3"/>
  <c r="D2190" i="3"/>
  <c r="C2190" i="3"/>
  <c r="B2190" i="3"/>
  <c r="D2189" i="3"/>
  <c r="C2189" i="3"/>
  <c r="B2189" i="3"/>
  <c r="D2188" i="3"/>
  <c r="C2188" i="3"/>
  <c r="B2188" i="3"/>
  <c r="D2187" i="3"/>
  <c r="C2187" i="3"/>
  <c r="B2187" i="3"/>
  <c r="D2186" i="3"/>
  <c r="C2186" i="3"/>
  <c r="B2186" i="3"/>
  <c r="D2185" i="3"/>
  <c r="C2185" i="3"/>
  <c r="B2185" i="3"/>
  <c r="D2184" i="3"/>
  <c r="C2184" i="3"/>
  <c r="B2184" i="3"/>
  <c r="D2183" i="3"/>
  <c r="C2183" i="3"/>
  <c r="B2183" i="3"/>
  <c r="D2182" i="3"/>
  <c r="C2182" i="3"/>
  <c r="B2182" i="3"/>
  <c r="D2181" i="3"/>
  <c r="C2181" i="3"/>
  <c r="B2181" i="3"/>
  <c r="D2180" i="3"/>
  <c r="C2180" i="3"/>
  <c r="B2180" i="3"/>
  <c r="D2179" i="3"/>
  <c r="C2179" i="3"/>
  <c r="B2179" i="3"/>
  <c r="D2178" i="3"/>
  <c r="C2178" i="3"/>
  <c r="B2178" i="3"/>
  <c r="D2177" i="3"/>
  <c r="C2177" i="3"/>
  <c r="B2177" i="3"/>
  <c r="D2176" i="3"/>
  <c r="C2176" i="3"/>
  <c r="B2176" i="3"/>
  <c r="D2175" i="3"/>
  <c r="C2175" i="3"/>
  <c r="B2175" i="3"/>
  <c r="D2174" i="3"/>
  <c r="C2174" i="3"/>
  <c r="B2174" i="3"/>
  <c r="D2173" i="3"/>
  <c r="C2173" i="3"/>
  <c r="B2173" i="3"/>
  <c r="D2172" i="3"/>
  <c r="C2172" i="3"/>
  <c r="B2172" i="3"/>
  <c r="D2171" i="3"/>
  <c r="C2171" i="3"/>
  <c r="B2171" i="3"/>
  <c r="D2170" i="3"/>
  <c r="C2170" i="3"/>
  <c r="B2170" i="3"/>
  <c r="D2169" i="3"/>
  <c r="C2169" i="3"/>
  <c r="B2169" i="3"/>
  <c r="D2168" i="3"/>
  <c r="C2168" i="3"/>
  <c r="B2168" i="3"/>
  <c r="D2167" i="3"/>
  <c r="C2167" i="3"/>
  <c r="B2167" i="3"/>
  <c r="D2166" i="3"/>
  <c r="C2166" i="3"/>
  <c r="B2166" i="3"/>
  <c r="D2165" i="3"/>
  <c r="C2165" i="3"/>
  <c r="B2165" i="3"/>
  <c r="D2164" i="3"/>
  <c r="C2164" i="3"/>
  <c r="B2164" i="3"/>
  <c r="D2163" i="3"/>
  <c r="C2163" i="3"/>
  <c r="B2163" i="3"/>
  <c r="D2162" i="3"/>
  <c r="C2162" i="3"/>
  <c r="B2162" i="3"/>
  <c r="D2161" i="3"/>
  <c r="C2161" i="3"/>
  <c r="B2161" i="3"/>
  <c r="D2160" i="3"/>
  <c r="C2160" i="3"/>
  <c r="B2160" i="3"/>
  <c r="D2159" i="3"/>
  <c r="C2159" i="3"/>
  <c r="B2159" i="3"/>
  <c r="D2158" i="3"/>
  <c r="C2158" i="3"/>
  <c r="B2158" i="3"/>
  <c r="D2157" i="3"/>
  <c r="C2157" i="3"/>
  <c r="B2157" i="3"/>
  <c r="D2156" i="3"/>
  <c r="C2156" i="3"/>
  <c r="B2156" i="3"/>
  <c r="D2155" i="3"/>
  <c r="C2155" i="3"/>
  <c r="B2155" i="3"/>
  <c r="D2154" i="3"/>
  <c r="C2154" i="3"/>
  <c r="B2154" i="3"/>
  <c r="D2153" i="3"/>
  <c r="C2153" i="3"/>
  <c r="B2153" i="3"/>
  <c r="D2152" i="3"/>
  <c r="C2152" i="3"/>
  <c r="B2152" i="3"/>
  <c r="D2151" i="3"/>
  <c r="C2151" i="3"/>
  <c r="B2151" i="3"/>
  <c r="D2150" i="3"/>
  <c r="C2150" i="3"/>
  <c r="B2150" i="3"/>
  <c r="D2149" i="3"/>
  <c r="C2149" i="3"/>
  <c r="B2149" i="3"/>
  <c r="D2148" i="3"/>
  <c r="C2148" i="3"/>
  <c r="B2148" i="3"/>
  <c r="D2147" i="3"/>
  <c r="C2147" i="3"/>
  <c r="B2147" i="3"/>
  <c r="D2146" i="3"/>
  <c r="C2146" i="3"/>
  <c r="B2146" i="3"/>
  <c r="D2145" i="3"/>
  <c r="C2145" i="3"/>
  <c r="B2145" i="3"/>
  <c r="D2144" i="3"/>
  <c r="C2144" i="3"/>
  <c r="B2144" i="3"/>
  <c r="D2143" i="3"/>
  <c r="C2143" i="3"/>
  <c r="B2143" i="3"/>
  <c r="D2142" i="3"/>
  <c r="C2142" i="3"/>
  <c r="B2142" i="3"/>
  <c r="D2141" i="3"/>
  <c r="C2141" i="3"/>
  <c r="B2141" i="3"/>
  <c r="D2140" i="3"/>
  <c r="C2140" i="3"/>
  <c r="B2140" i="3"/>
  <c r="D2139" i="3"/>
  <c r="C2139" i="3"/>
  <c r="B2139" i="3"/>
  <c r="D2138" i="3"/>
  <c r="C2138" i="3"/>
  <c r="B2138" i="3"/>
  <c r="D2137" i="3"/>
  <c r="C2137" i="3"/>
  <c r="B2137" i="3"/>
  <c r="D2136" i="3"/>
  <c r="C2136" i="3"/>
  <c r="B2136" i="3"/>
  <c r="D2135" i="3"/>
  <c r="C2135" i="3"/>
  <c r="B2135" i="3"/>
  <c r="D2134" i="3"/>
  <c r="C2134" i="3"/>
  <c r="B2134" i="3"/>
  <c r="D2133" i="3"/>
  <c r="C2133" i="3"/>
  <c r="B2133" i="3"/>
  <c r="D2132" i="3"/>
  <c r="C2132" i="3"/>
  <c r="B2132" i="3"/>
  <c r="D2131" i="3"/>
  <c r="C2131" i="3"/>
  <c r="B2131" i="3"/>
  <c r="D2130" i="3"/>
  <c r="C2130" i="3"/>
  <c r="B2130" i="3"/>
  <c r="D2129" i="3"/>
  <c r="C2129" i="3"/>
  <c r="B2129" i="3"/>
  <c r="D2128" i="3"/>
  <c r="C2128" i="3"/>
  <c r="B2128" i="3"/>
  <c r="D2127" i="3"/>
  <c r="C2127" i="3"/>
  <c r="B2127" i="3"/>
  <c r="D2126" i="3"/>
  <c r="C2126" i="3"/>
  <c r="B2126" i="3"/>
  <c r="D2125" i="3"/>
  <c r="C2125" i="3"/>
  <c r="B2125" i="3"/>
  <c r="D2124" i="3"/>
  <c r="C2124" i="3"/>
  <c r="B2124" i="3"/>
  <c r="D2123" i="3"/>
  <c r="C2123" i="3"/>
  <c r="B2123" i="3"/>
  <c r="D2122" i="3"/>
  <c r="C2122" i="3"/>
  <c r="B2122" i="3"/>
  <c r="D2121" i="3"/>
  <c r="C2121" i="3"/>
  <c r="B2121" i="3"/>
  <c r="D2120" i="3"/>
  <c r="C2120" i="3"/>
  <c r="B2120" i="3"/>
  <c r="D2119" i="3"/>
  <c r="C2119" i="3"/>
  <c r="B2119" i="3"/>
  <c r="D2118" i="3"/>
  <c r="C2118" i="3"/>
  <c r="B2118" i="3"/>
  <c r="D2117" i="3"/>
  <c r="C2117" i="3"/>
  <c r="B2117" i="3"/>
  <c r="D2116" i="3"/>
  <c r="C2116" i="3"/>
  <c r="B2116" i="3"/>
  <c r="D2115" i="3"/>
  <c r="C2115" i="3"/>
  <c r="B2115" i="3"/>
  <c r="D2114" i="3"/>
  <c r="C2114" i="3"/>
  <c r="B2114" i="3"/>
  <c r="D2113" i="3"/>
  <c r="C2113" i="3"/>
  <c r="B2113" i="3"/>
  <c r="D2112" i="3"/>
  <c r="C2112" i="3"/>
  <c r="B2112" i="3"/>
  <c r="D2111" i="3"/>
  <c r="C2111" i="3"/>
  <c r="B2111" i="3"/>
  <c r="D2110" i="3"/>
  <c r="C2110" i="3"/>
  <c r="B2110" i="3"/>
  <c r="D2109" i="3"/>
  <c r="C2109" i="3"/>
  <c r="B2109" i="3"/>
  <c r="D2108" i="3"/>
  <c r="C2108" i="3"/>
  <c r="B2108" i="3"/>
  <c r="D2107" i="3"/>
  <c r="C2107" i="3"/>
  <c r="B2107" i="3"/>
  <c r="D2106" i="3"/>
  <c r="C2106" i="3"/>
  <c r="B2106" i="3"/>
  <c r="D2105" i="3"/>
  <c r="C2105" i="3"/>
  <c r="B2105" i="3"/>
  <c r="D2104" i="3"/>
  <c r="C2104" i="3"/>
  <c r="B2104" i="3"/>
  <c r="D2103" i="3"/>
  <c r="C2103" i="3"/>
  <c r="B2103" i="3"/>
  <c r="D2102" i="3"/>
  <c r="C2102" i="3"/>
  <c r="B2102" i="3"/>
  <c r="D2101" i="3"/>
  <c r="C2101" i="3"/>
  <c r="B2101" i="3"/>
  <c r="D2100" i="3"/>
  <c r="C2100" i="3"/>
  <c r="B2100" i="3"/>
  <c r="D2099" i="3"/>
  <c r="C2099" i="3"/>
  <c r="B2099" i="3"/>
  <c r="D2098" i="3"/>
  <c r="C2098" i="3"/>
  <c r="B2098" i="3"/>
  <c r="D2097" i="3"/>
  <c r="C2097" i="3"/>
  <c r="B2097" i="3"/>
  <c r="D2096" i="3"/>
  <c r="C2096" i="3"/>
  <c r="B2096" i="3"/>
  <c r="D2095" i="3"/>
  <c r="C2095" i="3"/>
  <c r="B2095" i="3"/>
  <c r="D2094" i="3"/>
  <c r="C2094" i="3"/>
  <c r="B2094" i="3"/>
  <c r="D2093" i="3"/>
  <c r="C2093" i="3"/>
  <c r="B2093" i="3"/>
  <c r="D2092" i="3"/>
  <c r="C2092" i="3"/>
  <c r="B2092" i="3"/>
  <c r="D2091" i="3"/>
  <c r="C2091" i="3"/>
  <c r="B2091" i="3"/>
  <c r="D2090" i="3"/>
  <c r="C2090" i="3"/>
  <c r="B2090" i="3"/>
  <c r="D2089" i="3"/>
  <c r="C2089" i="3"/>
  <c r="B2089" i="3"/>
  <c r="D2088" i="3"/>
  <c r="C2088" i="3"/>
  <c r="B2088" i="3"/>
  <c r="D2087" i="3"/>
  <c r="C2087" i="3"/>
  <c r="B2087" i="3"/>
  <c r="D2086" i="3"/>
  <c r="C2086" i="3"/>
  <c r="B2086" i="3"/>
  <c r="D2085" i="3"/>
  <c r="C2085" i="3"/>
  <c r="B2085" i="3"/>
  <c r="D2084" i="3"/>
  <c r="C2084" i="3"/>
  <c r="B2084" i="3"/>
  <c r="D2083" i="3"/>
  <c r="C2083" i="3"/>
  <c r="B2083" i="3"/>
  <c r="D2082" i="3"/>
  <c r="C2082" i="3"/>
  <c r="B2082" i="3"/>
  <c r="D2081" i="3"/>
  <c r="C2081" i="3"/>
  <c r="B2081" i="3"/>
  <c r="D2080" i="3"/>
  <c r="C2080" i="3"/>
  <c r="B2080" i="3"/>
  <c r="D2079" i="3"/>
  <c r="C2079" i="3"/>
  <c r="B2079" i="3"/>
  <c r="D2078" i="3"/>
  <c r="C2078" i="3"/>
  <c r="B2078" i="3"/>
  <c r="D2077" i="3"/>
  <c r="C2077" i="3"/>
  <c r="B2077" i="3"/>
  <c r="D2076" i="3"/>
  <c r="C2076" i="3"/>
  <c r="B2076" i="3"/>
  <c r="D2075" i="3"/>
  <c r="C2075" i="3"/>
  <c r="B2075" i="3"/>
  <c r="D2074" i="3"/>
  <c r="C2074" i="3"/>
  <c r="B2074" i="3"/>
  <c r="D2073" i="3"/>
  <c r="C2073" i="3"/>
  <c r="B2073" i="3"/>
  <c r="D2072" i="3"/>
  <c r="C2072" i="3"/>
  <c r="B2072" i="3"/>
  <c r="D2071" i="3"/>
  <c r="C2071" i="3"/>
  <c r="B2071" i="3"/>
  <c r="D2070" i="3"/>
  <c r="C2070" i="3"/>
  <c r="B2070" i="3"/>
  <c r="D2069" i="3"/>
  <c r="C2069" i="3"/>
  <c r="B2069" i="3"/>
  <c r="D2068" i="3"/>
  <c r="C2068" i="3"/>
  <c r="B2068" i="3"/>
  <c r="D2067" i="3"/>
  <c r="C2067" i="3"/>
  <c r="B2067" i="3"/>
  <c r="D2066" i="3"/>
  <c r="C2066" i="3"/>
  <c r="B2066" i="3"/>
  <c r="D2065" i="3"/>
  <c r="C2065" i="3"/>
  <c r="B2065" i="3"/>
  <c r="D2064" i="3"/>
  <c r="C2064" i="3"/>
  <c r="B2064" i="3"/>
  <c r="D2063" i="3"/>
  <c r="C2063" i="3"/>
  <c r="B2063" i="3"/>
  <c r="D2062" i="3"/>
  <c r="C2062" i="3"/>
  <c r="B2062" i="3"/>
  <c r="D2061" i="3"/>
  <c r="C2061" i="3"/>
  <c r="B2061" i="3"/>
  <c r="D2060" i="3"/>
  <c r="C2060" i="3"/>
  <c r="B2060" i="3"/>
  <c r="D2059" i="3"/>
  <c r="C2059" i="3"/>
  <c r="B2059" i="3"/>
  <c r="D2058" i="3"/>
  <c r="C2058" i="3"/>
  <c r="B2058" i="3"/>
  <c r="D2057" i="3"/>
  <c r="C2057" i="3"/>
  <c r="B2057" i="3"/>
  <c r="D2056" i="3"/>
  <c r="C2056" i="3"/>
  <c r="B2056" i="3"/>
  <c r="D2055" i="3"/>
  <c r="C2055" i="3"/>
  <c r="B2055" i="3"/>
  <c r="D2054" i="3"/>
  <c r="C2054" i="3"/>
  <c r="B2054" i="3"/>
  <c r="D2053" i="3"/>
  <c r="C2053" i="3"/>
  <c r="B2053" i="3"/>
  <c r="D2052" i="3"/>
  <c r="C2052" i="3"/>
  <c r="B2052" i="3"/>
  <c r="D2051" i="3"/>
  <c r="C2051" i="3"/>
  <c r="B2051" i="3"/>
  <c r="D2050" i="3"/>
  <c r="C2050" i="3"/>
  <c r="B2050" i="3"/>
  <c r="D2049" i="3"/>
  <c r="C2049" i="3"/>
  <c r="B2049" i="3"/>
  <c r="D2048" i="3"/>
  <c r="C2048" i="3"/>
  <c r="B2048" i="3"/>
  <c r="D2047" i="3"/>
  <c r="C2047" i="3"/>
  <c r="B2047" i="3"/>
  <c r="D2046" i="3"/>
  <c r="C2046" i="3"/>
  <c r="B2046" i="3"/>
  <c r="D2045" i="3"/>
  <c r="C2045" i="3"/>
  <c r="B2045" i="3"/>
  <c r="D2044" i="3"/>
  <c r="C2044" i="3"/>
  <c r="B2044" i="3"/>
  <c r="D2043" i="3"/>
  <c r="C2043" i="3"/>
  <c r="B2043" i="3"/>
  <c r="D2042" i="3"/>
  <c r="C2042" i="3"/>
  <c r="B2042" i="3"/>
  <c r="D2041" i="3"/>
  <c r="C2041" i="3"/>
  <c r="B2041" i="3"/>
  <c r="D2040" i="3"/>
  <c r="C2040" i="3"/>
  <c r="B2040" i="3"/>
  <c r="D2039" i="3"/>
  <c r="C2039" i="3"/>
  <c r="B2039" i="3"/>
  <c r="D2038" i="3"/>
  <c r="C2038" i="3"/>
  <c r="B2038" i="3"/>
  <c r="D2037" i="3"/>
  <c r="C2037" i="3"/>
  <c r="B2037" i="3"/>
  <c r="D2036" i="3"/>
  <c r="C2036" i="3"/>
  <c r="B2036" i="3"/>
  <c r="D2035" i="3"/>
  <c r="C2035" i="3"/>
  <c r="B2035" i="3"/>
  <c r="D2034" i="3"/>
  <c r="C2034" i="3"/>
  <c r="B2034" i="3"/>
  <c r="D2033" i="3"/>
  <c r="C2033" i="3"/>
  <c r="B2033" i="3"/>
  <c r="D2032" i="3"/>
  <c r="C2032" i="3"/>
  <c r="B2032" i="3"/>
  <c r="D2031" i="3"/>
  <c r="C2031" i="3"/>
  <c r="B2031" i="3"/>
  <c r="D2030" i="3"/>
  <c r="C2030" i="3"/>
  <c r="B2030" i="3"/>
  <c r="D2029" i="3"/>
  <c r="C2029" i="3"/>
  <c r="B2029" i="3"/>
  <c r="D2028" i="3"/>
  <c r="C2028" i="3"/>
  <c r="B2028" i="3"/>
  <c r="D2027" i="3"/>
  <c r="C2027" i="3"/>
  <c r="B2027" i="3"/>
  <c r="D2026" i="3"/>
  <c r="C2026" i="3"/>
  <c r="B2026" i="3"/>
  <c r="D2025" i="3"/>
  <c r="C2025" i="3"/>
  <c r="B2025" i="3"/>
  <c r="D2024" i="3"/>
  <c r="C2024" i="3"/>
  <c r="B2024" i="3"/>
  <c r="D2023" i="3"/>
  <c r="C2023" i="3"/>
  <c r="B2023" i="3"/>
  <c r="D2022" i="3"/>
  <c r="C2022" i="3"/>
  <c r="B2022" i="3"/>
  <c r="D2021" i="3"/>
  <c r="C2021" i="3"/>
  <c r="B2021" i="3"/>
  <c r="D2020" i="3"/>
  <c r="C2020" i="3"/>
  <c r="B2020" i="3"/>
  <c r="D2019" i="3"/>
  <c r="C2019" i="3"/>
  <c r="B2019" i="3"/>
  <c r="D2018" i="3"/>
  <c r="C2018" i="3"/>
  <c r="B2018" i="3"/>
  <c r="D2017" i="3"/>
  <c r="C2017" i="3"/>
  <c r="B2017" i="3"/>
  <c r="D2016" i="3"/>
  <c r="C2016" i="3"/>
  <c r="B2016" i="3"/>
  <c r="D2015" i="3"/>
  <c r="C2015" i="3"/>
  <c r="B2015" i="3"/>
  <c r="D2014" i="3"/>
  <c r="C2014" i="3"/>
  <c r="B2014" i="3"/>
  <c r="D2013" i="3"/>
  <c r="C2013" i="3"/>
  <c r="B2013" i="3"/>
  <c r="D2012" i="3"/>
  <c r="C2012" i="3"/>
  <c r="B2012" i="3"/>
  <c r="D2011" i="3"/>
  <c r="C2011" i="3"/>
  <c r="B2011" i="3"/>
  <c r="D2010" i="3"/>
  <c r="C2010" i="3"/>
  <c r="B2010" i="3"/>
  <c r="D2009" i="3"/>
  <c r="C2009" i="3"/>
  <c r="B2009" i="3"/>
  <c r="D2008" i="3"/>
  <c r="C2008" i="3"/>
  <c r="B2008" i="3"/>
  <c r="D2007" i="3"/>
  <c r="C2007" i="3"/>
  <c r="B2007" i="3"/>
  <c r="D2006" i="3"/>
  <c r="C2006" i="3"/>
  <c r="B2006" i="3"/>
  <c r="D2005" i="3"/>
  <c r="C2005" i="3"/>
  <c r="B2005" i="3"/>
  <c r="D2004" i="3"/>
  <c r="C2004" i="3"/>
  <c r="B2004" i="3"/>
  <c r="D2003" i="3"/>
  <c r="C2003" i="3"/>
  <c r="B2003" i="3"/>
  <c r="D2002" i="3"/>
  <c r="C2002" i="3"/>
  <c r="B2002" i="3"/>
  <c r="D2001" i="3"/>
  <c r="C2001" i="3"/>
  <c r="B2001" i="3"/>
  <c r="D2000" i="3"/>
  <c r="C2000" i="3"/>
  <c r="B2000" i="3"/>
  <c r="D1999" i="3"/>
  <c r="C1999" i="3"/>
  <c r="B1999" i="3"/>
  <c r="D1998" i="3"/>
  <c r="C1998" i="3"/>
  <c r="B1998" i="3"/>
  <c r="D1997" i="3"/>
  <c r="C1997" i="3"/>
  <c r="B1997" i="3"/>
  <c r="D1996" i="3"/>
  <c r="C1996" i="3"/>
  <c r="B1996" i="3"/>
  <c r="D1995" i="3"/>
  <c r="C1995" i="3"/>
  <c r="B1995" i="3"/>
  <c r="D1994" i="3"/>
  <c r="C1994" i="3"/>
  <c r="B1994" i="3"/>
  <c r="D1993" i="3"/>
  <c r="C1993" i="3"/>
  <c r="B1993" i="3"/>
  <c r="D1992" i="3"/>
  <c r="C1992" i="3"/>
  <c r="B1992" i="3"/>
  <c r="D1991" i="3"/>
  <c r="C1991" i="3"/>
  <c r="B1991" i="3"/>
  <c r="D1990" i="3"/>
  <c r="C1990" i="3"/>
  <c r="B1990" i="3"/>
  <c r="D1989" i="3"/>
  <c r="C1989" i="3"/>
  <c r="B1989" i="3"/>
  <c r="D1988" i="3"/>
  <c r="C1988" i="3"/>
  <c r="B1988" i="3"/>
  <c r="D1987" i="3"/>
  <c r="C1987" i="3"/>
  <c r="B1987" i="3"/>
  <c r="D1986" i="3"/>
  <c r="C1986" i="3"/>
  <c r="B1986" i="3"/>
  <c r="D1985" i="3"/>
  <c r="C1985" i="3"/>
  <c r="B1985" i="3"/>
  <c r="D1984" i="3"/>
  <c r="C1984" i="3"/>
  <c r="B1984" i="3"/>
  <c r="D1983" i="3"/>
  <c r="C1983" i="3"/>
  <c r="B1983" i="3"/>
  <c r="D1982" i="3"/>
  <c r="C1982" i="3"/>
  <c r="B1982" i="3"/>
  <c r="D1981" i="3"/>
  <c r="C1981" i="3"/>
  <c r="B1981" i="3"/>
  <c r="D1980" i="3"/>
  <c r="C1980" i="3"/>
  <c r="B1980" i="3"/>
  <c r="D1979" i="3"/>
  <c r="C1979" i="3"/>
  <c r="B1979" i="3"/>
  <c r="D1978" i="3"/>
  <c r="C1978" i="3"/>
  <c r="B1978" i="3"/>
  <c r="D1977" i="3"/>
  <c r="C1977" i="3"/>
  <c r="B1977" i="3"/>
  <c r="D1976" i="3"/>
  <c r="C1976" i="3"/>
  <c r="B1976" i="3"/>
  <c r="D1975" i="3"/>
  <c r="C1975" i="3"/>
  <c r="B1975" i="3"/>
  <c r="D1974" i="3"/>
  <c r="C1974" i="3"/>
  <c r="B1974" i="3"/>
  <c r="D1973" i="3"/>
  <c r="C1973" i="3"/>
  <c r="B1973" i="3"/>
  <c r="D1972" i="3"/>
  <c r="C1972" i="3"/>
  <c r="B1972" i="3"/>
  <c r="D1971" i="3"/>
  <c r="C1971" i="3"/>
  <c r="B1971" i="3"/>
  <c r="D1970" i="3"/>
  <c r="C1970" i="3"/>
  <c r="B1970" i="3"/>
  <c r="D1969" i="3"/>
  <c r="C1969" i="3"/>
  <c r="B1969" i="3"/>
  <c r="D1968" i="3"/>
  <c r="C1968" i="3"/>
  <c r="B1968" i="3"/>
  <c r="D1967" i="3"/>
  <c r="C1967" i="3"/>
  <c r="B1967" i="3"/>
  <c r="D1966" i="3"/>
  <c r="C1966" i="3"/>
  <c r="B1966" i="3"/>
  <c r="D1965" i="3"/>
  <c r="C1965" i="3"/>
  <c r="B1965" i="3"/>
  <c r="D1964" i="3"/>
  <c r="C1964" i="3"/>
  <c r="B1964" i="3"/>
  <c r="D1963" i="3"/>
  <c r="C1963" i="3"/>
  <c r="B1963" i="3"/>
  <c r="D1962" i="3"/>
  <c r="C1962" i="3"/>
  <c r="B1962" i="3"/>
  <c r="D1961" i="3"/>
  <c r="C1961" i="3"/>
  <c r="B1961" i="3"/>
  <c r="D1960" i="3"/>
  <c r="C1960" i="3"/>
  <c r="B1960" i="3"/>
  <c r="D1959" i="3"/>
  <c r="C1959" i="3"/>
  <c r="B1959" i="3"/>
  <c r="D1958" i="3"/>
  <c r="C1958" i="3"/>
  <c r="B1958" i="3"/>
  <c r="D1957" i="3"/>
  <c r="C1957" i="3"/>
  <c r="B1957" i="3"/>
  <c r="D1956" i="3"/>
  <c r="C1956" i="3"/>
  <c r="B1956" i="3"/>
  <c r="D1955" i="3"/>
  <c r="C1955" i="3"/>
  <c r="B1955" i="3"/>
  <c r="D1954" i="3"/>
  <c r="C1954" i="3"/>
  <c r="B1954" i="3"/>
  <c r="D1953" i="3"/>
  <c r="C1953" i="3"/>
  <c r="B1953" i="3"/>
  <c r="D1952" i="3"/>
  <c r="C1952" i="3"/>
  <c r="B1952" i="3"/>
  <c r="D1951" i="3"/>
  <c r="C1951" i="3"/>
  <c r="B1951" i="3"/>
  <c r="D1950" i="3"/>
  <c r="C1950" i="3"/>
  <c r="B1950" i="3"/>
  <c r="D1949" i="3"/>
  <c r="C1949" i="3"/>
  <c r="B1949" i="3"/>
  <c r="D1948" i="3"/>
  <c r="C1948" i="3"/>
  <c r="B1948" i="3"/>
  <c r="D1947" i="3"/>
  <c r="C1947" i="3"/>
  <c r="B1947" i="3"/>
  <c r="D1946" i="3"/>
  <c r="C1946" i="3"/>
  <c r="B1946" i="3"/>
  <c r="D1945" i="3"/>
  <c r="C1945" i="3"/>
  <c r="B1945" i="3"/>
  <c r="D1944" i="3"/>
  <c r="C1944" i="3"/>
  <c r="B1944" i="3"/>
  <c r="D1943" i="3"/>
  <c r="C1943" i="3"/>
  <c r="B1943" i="3"/>
  <c r="D1942" i="3"/>
  <c r="C1942" i="3"/>
  <c r="B1942" i="3"/>
  <c r="D1941" i="3"/>
  <c r="C1941" i="3"/>
  <c r="B1941" i="3"/>
  <c r="D1940" i="3"/>
  <c r="C1940" i="3"/>
  <c r="B1940" i="3"/>
  <c r="D1939" i="3"/>
  <c r="C1939" i="3"/>
  <c r="B1939" i="3"/>
  <c r="D1938" i="3"/>
  <c r="C1938" i="3"/>
  <c r="B1938" i="3"/>
  <c r="D1937" i="3"/>
  <c r="C1937" i="3"/>
  <c r="B1937" i="3"/>
  <c r="D1936" i="3"/>
  <c r="C1936" i="3"/>
  <c r="B1936" i="3"/>
  <c r="D1935" i="3"/>
  <c r="C1935" i="3"/>
  <c r="B1935" i="3"/>
  <c r="D1934" i="3"/>
  <c r="C1934" i="3"/>
  <c r="B1934" i="3"/>
  <c r="D1933" i="3"/>
  <c r="C1933" i="3"/>
  <c r="B1933" i="3"/>
  <c r="D1932" i="3"/>
  <c r="C1932" i="3"/>
  <c r="B1932" i="3"/>
  <c r="D1931" i="3"/>
  <c r="C1931" i="3"/>
  <c r="B1931" i="3"/>
  <c r="D1930" i="3"/>
  <c r="C1930" i="3"/>
  <c r="B1930" i="3"/>
  <c r="D1929" i="3"/>
  <c r="C1929" i="3"/>
  <c r="B1929" i="3"/>
  <c r="D1928" i="3"/>
  <c r="C1928" i="3"/>
  <c r="B1928" i="3"/>
  <c r="D1927" i="3"/>
  <c r="C1927" i="3"/>
  <c r="B1927" i="3"/>
  <c r="D1926" i="3"/>
  <c r="C1926" i="3"/>
  <c r="B1926" i="3"/>
  <c r="D1925" i="3"/>
  <c r="C1925" i="3"/>
  <c r="B1925" i="3"/>
  <c r="D1924" i="3"/>
  <c r="C1924" i="3"/>
  <c r="B1924" i="3"/>
  <c r="D1923" i="3"/>
  <c r="C1923" i="3"/>
  <c r="B1923" i="3"/>
  <c r="D1922" i="3"/>
  <c r="C1922" i="3"/>
  <c r="B1922" i="3"/>
  <c r="D1921" i="3"/>
  <c r="C1921" i="3"/>
  <c r="B1921" i="3"/>
  <c r="D1920" i="3"/>
  <c r="C1920" i="3"/>
  <c r="B1920" i="3"/>
  <c r="D1919" i="3"/>
  <c r="C1919" i="3"/>
  <c r="B1919" i="3"/>
  <c r="D1918" i="3"/>
  <c r="C1918" i="3"/>
  <c r="B1918" i="3"/>
  <c r="D1917" i="3"/>
  <c r="C1917" i="3"/>
  <c r="B1917" i="3"/>
  <c r="D1916" i="3"/>
  <c r="C1916" i="3"/>
  <c r="B1916" i="3"/>
  <c r="D1915" i="3"/>
  <c r="C1915" i="3"/>
  <c r="B1915" i="3"/>
  <c r="D1914" i="3"/>
  <c r="C1914" i="3"/>
  <c r="B1914" i="3"/>
  <c r="D1913" i="3"/>
  <c r="C1913" i="3"/>
  <c r="B1913" i="3"/>
  <c r="D1912" i="3"/>
  <c r="C1912" i="3"/>
  <c r="B1912" i="3"/>
  <c r="D1911" i="3"/>
  <c r="C1911" i="3"/>
  <c r="B1911" i="3"/>
  <c r="D1910" i="3"/>
  <c r="C1910" i="3"/>
  <c r="B1910" i="3"/>
  <c r="D1909" i="3"/>
  <c r="C1909" i="3"/>
  <c r="B1909" i="3"/>
  <c r="D1908" i="3"/>
  <c r="C1908" i="3"/>
  <c r="B1908" i="3"/>
  <c r="D1907" i="3"/>
  <c r="C1907" i="3"/>
  <c r="B1907" i="3"/>
  <c r="D1906" i="3"/>
  <c r="C1906" i="3"/>
  <c r="B1906" i="3"/>
  <c r="D1905" i="3"/>
  <c r="C1905" i="3"/>
  <c r="B1905" i="3"/>
  <c r="D1904" i="3"/>
  <c r="C1904" i="3"/>
  <c r="B1904" i="3"/>
  <c r="D1903" i="3"/>
  <c r="C1903" i="3"/>
  <c r="B1903" i="3"/>
  <c r="D1902" i="3"/>
  <c r="C1902" i="3"/>
  <c r="B1902" i="3"/>
  <c r="D1901" i="3"/>
  <c r="C1901" i="3"/>
  <c r="B1901" i="3"/>
  <c r="D1900" i="3"/>
  <c r="C1900" i="3"/>
  <c r="B1900" i="3"/>
  <c r="D1899" i="3"/>
  <c r="C1899" i="3"/>
  <c r="B1899" i="3"/>
  <c r="D1898" i="3"/>
  <c r="C1898" i="3"/>
  <c r="B1898" i="3"/>
  <c r="D1897" i="3"/>
  <c r="C1897" i="3"/>
  <c r="B1897" i="3"/>
  <c r="D1896" i="3"/>
  <c r="C1896" i="3"/>
  <c r="B1896" i="3"/>
  <c r="D1895" i="3"/>
  <c r="C1895" i="3"/>
  <c r="B1895" i="3"/>
  <c r="D1894" i="3"/>
  <c r="C1894" i="3"/>
  <c r="B1894" i="3"/>
  <c r="D1893" i="3"/>
  <c r="C1893" i="3"/>
  <c r="B1893" i="3"/>
  <c r="D1892" i="3"/>
  <c r="C1892" i="3"/>
  <c r="B1892" i="3"/>
  <c r="D1891" i="3"/>
  <c r="C1891" i="3"/>
  <c r="B1891" i="3"/>
  <c r="D1890" i="3"/>
  <c r="C1890" i="3"/>
  <c r="B1890" i="3"/>
  <c r="D1889" i="3"/>
  <c r="C1889" i="3"/>
  <c r="B1889" i="3"/>
  <c r="D1888" i="3"/>
  <c r="C1888" i="3"/>
  <c r="B1888" i="3"/>
  <c r="D1887" i="3"/>
  <c r="C1887" i="3"/>
  <c r="B1887" i="3"/>
  <c r="D1886" i="3"/>
  <c r="C1886" i="3"/>
  <c r="B1886" i="3"/>
  <c r="D1885" i="3"/>
  <c r="C1885" i="3"/>
  <c r="B1885" i="3"/>
  <c r="D1884" i="3"/>
  <c r="C1884" i="3"/>
  <c r="B1884" i="3"/>
  <c r="D1883" i="3"/>
  <c r="C1883" i="3"/>
  <c r="B1883" i="3"/>
  <c r="D1882" i="3"/>
  <c r="C1882" i="3"/>
  <c r="B1882" i="3"/>
  <c r="D1881" i="3"/>
  <c r="C1881" i="3"/>
  <c r="B1881" i="3"/>
  <c r="D1880" i="3"/>
  <c r="C1880" i="3"/>
  <c r="B1880" i="3"/>
  <c r="D1879" i="3"/>
  <c r="C1879" i="3"/>
  <c r="B1879" i="3"/>
  <c r="D1878" i="3"/>
  <c r="C1878" i="3"/>
  <c r="B1878" i="3"/>
  <c r="D1877" i="3"/>
  <c r="C1877" i="3"/>
  <c r="B1877" i="3"/>
  <c r="D1876" i="3"/>
  <c r="C1876" i="3"/>
  <c r="B1876" i="3"/>
  <c r="D1875" i="3"/>
  <c r="C1875" i="3"/>
  <c r="B1875" i="3"/>
  <c r="D1874" i="3"/>
  <c r="C1874" i="3"/>
  <c r="B1874" i="3"/>
  <c r="D1873" i="3"/>
  <c r="C1873" i="3"/>
  <c r="B1873" i="3"/>
  <c r="D1872" i="3"/>
  <c r="C1872" i="3"/>
  <c r="B1872" i="3"/>
  <c r="D1871" i="3"/>
  <c r="C1871" i="3"/>
  <c r="B1871" i="3"/>
  <c r="D1870" i="3"/>
  <c r="C1870" i="3"/>
  <c r="B1870" i="3"/>
  <c r="D1869" i="3"/>
  <c r="C1869" i="3"/>
  <c r="B1869" i="3"/>
  <c r="D1868" i="3"/>
  <c r="C1868" i="3"/>
  <c r="B1868" i="3"/>
  <c r="D1867" i="3"/>
  <c r="C1867" i="3"/>
  <c r="B1867" i="3"/>
  <c r="D1866" i="3"/>
  <c r="C1866" i="3"/>
  <c r="B1866" i="3"/>
  <c r="D1865" i="3"/>
  <c r="C1865" i="3"/>
  <c r="B1865" i="3"/>
  <c r="D1864" i="3"/>
  <c r="C1864" i="3"/>
  <c r="B1864" i="3"/>
  <c r="D1863" i="3"/>
  <c r="C1863" i="3"/>
  <c r="B1863" i="3"/>
  <c r="D1862" i="3"/>
  <c r="C1862" i="3"/>
  <c r="B1862" i="3"/>
  <c r="D1861" i="3"/>
  <c r="C1861" i="3"/>
  <c r="B1861" i="3"/>
  <c r="D1860" i="3"/>
  <c r="C1860" i="3"/>
  <c r="B1860" i="3"/>
  <c r="D1859" i="3"/>
  <c r="C1859" i="3"/>
  <c r="B1859" i="3"/>
  <c r="D1858" i="3"/>
  <c r="C1858" i="3"/>
  <c r="B1858" i="3"/>
  <c r="D1857" i="3"/>
  <c r="C1857" i="3"/>
  <c r="B1857" i="3"/>
  <c r="D1856" i="3"/>
  <c r="C1856" i="3"/>
  <c r="B1856" i="3"/>
  <c r="D1855" i="3"/>
  <c r="C1855" i="3"/>
  <c r="B1855" i="3"/>
  <c r="D1854" i="3"/>
  <c r="C1854" i="3"/>
  <c r="B1854" i="3"/>
  <c r="D1853" i="3"/>
  <c r="C1853" i="3"/>
  <c r="B1853" i="3"/>
  <c r="D1852" i="3"/>
  <c r="C1852" i="3"/>
  <c r="B1852" i="3"/>
  <c r="D1851" i="3"/>
  <c r="C1851" i="3"/>
  <c r="B1851" i="3"/>
  <c r="D1850" i="3"/>
  <c r="C1850" i="3"/>
  <c r="B1850" i="3"/>
  <c r="D1849" i="3"/>
  <c r="C1849" i="3"/>
  <c r="B1849" i="3"/>
  <c r="D1848" i="3"/>
  <c r="C1848" i="3"/>
  <c r="B1848" i="3"/>
  <c r="D1847" i="3"/>
  <c r="C1847" i="3"/>
  <c r="B1847" i="3"/>
  <c r="D1846" i="3"/>
  <c r="C1846" i="3"/>
  <c r="B1846" i="3"/>
  <c r="D1845" i="3"/>
  <c r="C1845" i="3"/>
  <c r="B1845" i="3"/>
  <c r="D1844" i="3"/>
  <c r="C1844" i="3"/>
  <c r="B1844" i="3"/>
  <c r="D1843" i="3"/>
  <c r="C1843" i="3"/>
  <c r="B1843" i="3"/>
  <c r="D1842" i="3"/>
  <c r="C1842" i="3"/>
  <c r="B1842" i="3"/>
  <c r="D1841" i="3"/>
  <c r="C1841" i="3"/>
  <c r="B1841" i="3"/>
  <c r="D1840" i="3"/>
  <c r="C1840" i="3"/>
  <c r="B1840" i="3"/>
  <c r="D1839" i="3"/>
  <c r="C1839" i="3"/>
  <c r="B1839" i="3"/>
  <c r="D1838" i="3"/>
  <c r="C1838" i="3"/>
  <c r="B1838" i="3"/>
  <c r="D1837" i="3"/>
  <c r="C1837" i="3"/>
  <c r="B1837" i="3"/>
  <c r="D1836" i="3"/>
  <c r="C1836" i="3"/>
  <c r="B1836" i="3"/>
  <c r="D1835" i="3"/>
  <c r="C1835" i="3"/>
  <c r="B1835" i="3"/>
  <c r="D1834" i="3"/>
  <c r="C1834" i="3"/>
  <c r="B1834" i="3"/>
  <c r="D1833" i="3"/>
  <c r="C1833" i="3"/>
  <c r="B1833" i="3"/>
  <c r="D1832" i="3"/>
  <c r="C1832" i="3"/>
  <c r="B1832" i="3"/>
  <c r="D1831" i="3"/>
  <c r="C1831" i="3"/>
  <c r="B1831" i="3"/>
  <c r="D1830" i="3"/>
  <c r="C1830" i="3"/>
  <c r="B1830" i="3"/>
  <c r="D1829" i="3"/>
  <c r="C1829" i="3"/>
  <c r="B1829" i="3"/>
  <c r="D1828" i="3"/>
  <c r="C1828" i="3"/>
  <c r="B1828" i="3"/>
  <c r="D1827" i="3"/>
  <c r="C1827" i="3"/>
  <c r="B1827" i="3"/>
  <c r="D1826" i="3"/>
  <c r="C1826" i="3"/>
  <c r="B1826" i="3"/>
  <c r="D1825" i="3"/>
  <c r="C1825" i="3"/>
  <c r="B1825" i="3"/>
  <c r="D1824" i="3"/>
  <c r="C1824" i="3"/>
  <c r="B1824" i="3"/>
  <c r="D1823" i="3"/>
  <c r="C1823" i="3"/>
  <c r="B1823" i="3"/>
  <c r="D1822" i="3"/>
  <c r="C1822" i="3"/>
  <c r="B1822" i="3"/>
  <c r="D1821" i="3"/>
  <c r="C1821" i="3"/>
  <c r="B1821" i="3"/>
  <c r="D1820" i="3"/>
  <c r="C1820" i="3"/>
  <c r="B1820" i="3"/>
  <c r="D1819" i="3"/>
  <c r="C1819" i="3"/>
  <c r="B1819" i="3"/>
  <c r="D1818" i="3"/>
  <c r="C1818" i="3"/>
  <c r="B1818" i="3"/>
  <c r="D1817" i="3"/>
  <c r="C1817" i="3"/>
  <c r="B1817" i="3"/>
  <c r="D1816" i="3"/>
  <c r="C1816" i="3"/>
  <c r="B1816" i="3"/>
  <c r="D1815" i="3"/>
  <c r="C1815" i="3"/>
  <c r="B1815" i="3"/>
  <c r="D1814" i="3"/>
  <c r="C1814" i="3"/>
  <c r="B1814" i="3"/>
  <c r="D1813" i="3"/>
  <c r="C1813" i="3"/>
  <c r="B1813" i="3"/>
  <c r="D1812" i="3"/>
  <c r="C1812" i="3"/>
  <c r="B1812" i="3"/>
  <c r="D1811" i="3"/>
  <c r="C1811" i="3"/>
  <c r="B1811" i="3"/>
  <c r="D1810" i="3"/>
  <c r="C1810" i="3"/>
  <c r="B1810" i="3"/>
  <c r="D1809" i="3"/>
  <c r="C1809" i="3"/>
  <c r="B1809" i="3"/>
  <c r="D1808" i="3"/>
  <c r="C1808" i="3"/>
  <c r="B1808" i="3"/>
  <c r="D1807" i="3"/>
  <c r="C1807" i="3"/>
  <c r="B1807" i="3"/>
  <c r="D1806" i="3"/>
  <c r="C1806" i="3"/>
  <c r="B1806" i="3"/>
  <c r="D1805" i="3"/>
  <c r="C1805" i="3"/>
  <c r="B1805" i="3"/>
  <c r="D1804" i="3"/>
  <c r="C1804" i="3"/>
  <c r="B1804" i="3"/>
  <c r="D1803" i="3"/>
  <c r="C1803" i="3"/>
  <c r="B1803" i="3"/>
  <c r="D1802" i="3"/>
  <c r="C1802" i="3"/>
  <c r="B1802" i="3"/>
  <c r="D1801" i="3"/>
  <c r="C1801" i="3"/>
  <c r="B1801" i="3"/>
  <c r="D1800" i="3"/>
  <c r="C1800" i="3"/>
  <c r="B1800" i="3"/>
  <c r="D1799" i="3"/>
  <c r="C1799" i="3"/>
  <c r="B1799" i="3"/>
  <c r="D1798" i="3"/>
  <c r="C1798" i="3"/>
  <c r="B1798" i="3"/>
  <c r="D1797" i="3"/>
  <c r="C1797" i="3"/>
  <c r="B1797" i="3"/>
  <c r="D1796" i="3"/>
  <c r="C1796" i="3"/>
  <c r="B1796" i="3"/>
  <c r="D1795" i="3"/>
  <c r="C1795" i="3"/>
  <c r="B1795" i="3"/>
  <c r="D1794" i="3"/>
  <c r="C1794" i="3"/>
  <c r="B1794" i="3"/>
  <c r="D1793" i="3"/>
  <c r="C1793" i="3"/>
  <c r="B1793" i="3"/>
  <c r="D1792" i="3"/>
  <c r="C1792" i="3"/>
  <c r="B1792" i="3"/>
  <c r="D1791" i="3"/>
  <c r="C1791" i="3"/>
  <c r="B1791" i="3"/>
  <c r="D1790" i="3"/>
  <c r="C1790" i="3"/>
  <c r="B1790" i="3"/>
  <c r="D1789" i="3"/>
  <c r="C1789" i="3"/>
  <c r="B1789" i="3"/>
  <c r="D1788" i="3"/>
  <c r="C1788" i="3"/>
  <c r="B1788" i="3"/>
  <c r="D1787" i="3"/>
  <c r="C1787" i="3"/>
  <c r="B1787" i="3"/>
  <c r="D1786" i="3"/>
  <c r="C1786" i="3"/>
  <c r="B1786" i="3"/>
  <c r="D1785" i="3"/>
  <c r="C1785" i="3"/>
  <c r="B1785" i="3"/>
  <c r="D1784" i="3"/>
  <c r="C1784" i="3"/>
  <c r="B1784" i="3"/>
  <c r="D1783" i="3"/>
  <c r="C1783" i="3"/>
  <c r="B1783" i="3"/>
  <c r="D1782" i="3"/>
  <c r="C1782" i="3"/>
  <c r="B1782" i="3"/>
  <c r="D1781" i="3"/>
  <c r="C1781" i="3"/>
  <c r="B1781" i="3"/>
  <c r="D1780" i="3"/>
  <c r="C1780" i="3"/>
  <c r="B1780" i="3"/>
  <c r="D1779" i="3"/>
  <c r="C1779" i="3"/>
  <c r="B1779" i="3"/>
  <c r="D1778" i="3"/>
  <c r="C1778" i="3"/>
  <c r="B1778" i="3"/>
  <c r="D1777" i="3"/>
  <c r="C1777" i="3"/>
  <c r="B1777" i="3"/>
  <c r="D1776" i="3"/>
  <c r="C1776" i="3"/>
  <c r="B1776" i="3"/>
  <c r="D1775" i="3"/>
  <c r="C1775" i="3"/>
  <c r="B1775" i="3"/>
  <c r="D1774" i="3"/>
  <c r="C1774" i="3"/>
  <c r="B1774" i="3"/>
  <c r="D1773" i="3"/>
  <c r="C1773" i="3"/>
  <c r="B1773" i="3"/>
  <c r="D1772" i="3"/>
  <c r="C1772" i="3"/>
  <c r="B1772" i="3"/>
  <c r="D1771" i="3"/>
  <c r="C1771" i="3"/>
  <c r="B1771" i="3"/>
  <c r="D1770" i="3"/>
  <c r="C1770" i="3"/>
  <c r="B1770" i="3"/>
  <c r="D1769" i="3"/>
  <c r="C1769" i="3"/>
  <c r="B1769" i="3"/>
  <c r="D1768" i="3"/>
  <c r="C1768" i="3"/>
  <c r="B1768" i="3"/>
  <c r="D1767" i="3"/>
  <c r="C1767" i="3"/>
  <c r="B1767" i="3"/>
  <c r="D1766" i="3"/>
  <c r="C1766" i="3"/>
  <c r="B1766" i="3"/>
  <c r="D1765" i="3"/>
  <c r="C1765" i="3"/>
  <c r="B1765" i="3"/>
  <c r="D1764" i="3"/>
  <c r="C1764" i="3"/>
  <c r="B1764" i="3"/>
  <c r="D1763" i="3"/>
  <c r="C1763" i="3"/>
  <c r="B1763" i="3"/>
  <c r="D1762" i="3"/>
  <c r="C1762" i="3"/>
  <c r="B1762" i="3"/>
  <c r="D1761" i="3"/>
  <c r="C1761" i="3"/>
  <c r="B1761" i="3"/>
  <c r="D1760" i="3"/>
  <c r="C1760" i="3"/>
  <c r="B1760" i="3"/>
  <c r="D1759" i="3"/>
  <c r="C1759" i="3"/>
  <c r="B1759" i="3"/>
  <c r="D1758" i="3"/>
  <c r="C1758" i="3"/>
  <c r="B1758" i="3"/>
  <c r="D1757" i="3"/>
  <c r="C1757" i="3"/>
  <c r="B1757" i="3"/>
  <c r="D1756" i="3"/>
  <c r="C1756" i="3"/>
  <c r="B1756" i="3"/>
  <c r="D1755" i="3"/>
  <c r="C1755" i="3"/>
  <c r="B1755" i="3"/>
  <c r="D1754" i="3"/>
  <c r="C1754" i="3"/>
  <c r="B1754" i="3"/>
  <c r="D1753" i="3"/>
  <c r="C1753" i="3"/>
  <c r="B1753" i="3"/>
  <c r="D1752" i="3"/>
  <c r="C1752" i="3"/>
  <c r="B1752" i="3"/>
  <c r="D1751" i="3"/>
  <c r="C1751" i="3"/>
  <c r="B1751" i="3"/>
  <c r="D1750" i="3"/>
  <c r="C1750" i="3"/>
  <c r="B1750" i="3"/>
  <c r="D1749" i="3"/>
  <c r="C1749" i="3"/>
  <c r="B1749" i="3"/>
  <c r="D1748" i="3"/>
  <c r="C1748" i="3"/>
  <c r="B1748" i="3"/>
  <c r="D1747" i="3"/>
  <c r="C1747" i="3"/>
  <c r="B1747" i="3"/>
  <c r="D1746" i="3"/>
  <c r="C1746" i="3"/>
  <c r="B1746" i="3"/>
  <c r="D1745" i="3"/>
  <c r="C1745" i="3"/>
  <c r="B1745" i="3"/>
  <c r="D1744" i="3"/>
  <c r="C1744" i="3"/>
  <c r="B1744" i="3"/>
  <c r="D1743" i="3"/>
  <c r="C1743" i="3"/>
  <c r="B1743" i="3"/>
  <c r="D1742" i="3"/>
  <c r="C1742" i="3"/>
  <c r="B1742" i="3"/>
  <c r="D1741" i="3"/>
  <c r="C1741" i="3"/>
  <c r="B1741" i="3"/>
  <c r="D1740" i="3"/>
  <c r="C1740" i="3"/>
  <c r="B1740" i="3"/>
  <c r="D1739" i="3"/>
  <c r="C1739" i="3"/>
  <c r="B1739" i="3"/>
  <c r="D1738" i="3"/>
  <c r="C1738" i="3"/>
  <c r="B1738" i="3"/>
  <c r="D1737" i="3"/>
  <c r="C1737" i="3"/>
  <c r="B1737" i="3"/>
  <c r="D1736" i="3"/>
  <c r="C1736" i="3"/>
  <c r="B1736" i="3"/>
  <c r="D1735" i="3"/>
  <c r="C1735" i="3"/>
  <c r="B1735" i="3"/>
  <c r="D1734" i="3"/>
  <c r="C1734" i="3"/>
  <c r="B1734" i="3"/>
  <c r="D1733" i="3"/>
  <c r="C1733" i="3"/>
  <c r="B1733" i="3"/>
  <c r="D1732" i="3"/>
  <c r="C1732" i="3"/>
  <c r="B1732" i="3"/>
  <c r="D1731" i="3"/>
  <c r="C1731" i="3"/>
  <c r="B1731" i="3"/>
  <c r="D1730" i="3"/>
  <c r="C1730" i="3"/>
  <c r="B1730" i="3"/>
  <c r="D1729" i="3"/>
  <c r="C1729" i="3"/>
  <c r="B1729" i="3"/>
  <c r="D1728" i="3"/>
  <c r="C1728" i="3"/>
  <c r="B1728" i="3"/>
  <c r="D1727" i="3"/>
  <c r="C1727" i="3"/>
  <c r="B1727" i="3"/>
  <c r="D1726" i="3"/>
  <c r="C1726" i="3"/>
  <c r="B1726" i="3"/>
  <c r="D1725" i="3"/>
  <c r="C1725" i="3"/>
  <c r="B1725" i="3"/>
  <c r="D1724" i="3"/>
  <c r="C1724" i="3"/>
  <c r="B1724" i="3"/>
  <c r="D1723" i="3"/>
  <c r="C1723" i="3"/>
  <c r="B1723" i="3"/>
  <c r="D1722" i="3"/>
  <c r="C1722" i="3"/>
  <c r="B1722" i="3"/>
  <c r="D1721" i="3"/>
  <c r="C1721" i="3"/>
  <c r="B1721" i="3"/>
  <c r="D1720" i="3"/>
  <c r="C1720" i="3"/>
  <c r="B1720" i="3"/>
  <c r="D1719" i="3"/>
  <c r="C1719" i="3"/>
  <c r="B1719" i="3"/>
  <c r="D1718" i="3"/>
  <c r="C1718" i="3"/>
  <c r="B1718" i="3"/>
  <c r="D1717" i="3"/>
  <c r="C1717" i="3"/>
  <c r="B1717" i="3"/>
  <c r="D1716" i="3"/>
  <c r="C1716" i="3"/>
  <c r="B1716" i="3"/>
  <c r="D1715" i="3"/>
  <c r="C1715" i="3"/>
  <c r="B1715" i="3"/>
  <c r="D1714" i="3"/>
  <c r="C1714" i="3"/>
  <c r="B1714" i="3"/>
  <c r="D1713" i="3"/>
  <c r="C1713" i="3"/>
  <c r="B1713" i="3"/>
  <c r="D1712" i="3"/>
  <c r="C1712" i="3"/>
  <c r="B1712" i="3"/>
  <c r="D1711" i="3"/>
  <c r="C1711" i="3"/>
  <c r="B1711" i="3"/>
  <c r="D1710" i="3"/>
  <c r="C1710" i="3"/>
  <c r="B1710" i="3"/>
  <c r="D1709" i="3"/>
  <c r="C1709" i="3"/>
  <c r="B1709" i="3"/>
  <c r="D1708" i="3"/>
  <c r="C1708" i="3"/>
  <c r="B1708" i="3"/>
  <c r="D1707" i="3"/>
  <c r="C1707" i="3"/>
  <c r="B1707" i="3"/>
  <c r="D1706" i="3"/>
  <c r="C1706" i="3"/>
  <c r="B1706" i="3"/>
  <c r="D1705" i="3"/>
  <c r="C1705" i="3"/>
  <c r="B1705" i="3"/>
  <c r="D1704" i="3"/>
  <c r="C1704" i="3"/>
  <c r="B1704" i="3"/>
  <c r="D1703" i="3"/>
  <c r="C1703" i="3"/>
  <c r="B1703" i="3"/>
  <c r="D1702" i="3"/>
  <c r="C1702" i="3"/>
  <c r="B1702" i="3"/>
  <c r="D1701" i="3"/>
  <c r="C1701" i="3"/>
  <c r="B1701" i="3"/>
  <c r="D1700" i="3"/>
  <c r="C1700" i="3"/>
  <c r="B1700" i="3"/>
  <c r="D1699" i="3"/>
  <c r="C1699" i="3"/>
  <c r="B1699" i="3"/>
  <c r="D1698" i="3"/>
  <c r="C1698" i="3"/>
  <c r="B1698" i="3"/>
  <c r="D1697" i="3"/>
  <c r="C1697" i="3"/>
  <c r="B1697" i="3"/>
  <c r="D1696" i="3"/>
  <c r="C1696" i="3"/>
  <c r="B1696" i="3"/>
  <c r="D1695" i="3"/>
  <c r="C1695" i="3"/>
  <c r="B1695" i="3"/>
  <c r="D1694" i="3"/>
  <c r="C1694" i="3"/>
  <c r="B1694" i="3"/>
  <c r="D1693" i="3"/>
  <c r="C1693" i="3"/>
  <c r="B1693" i="3"/>
  <c r="D1692" i="3"/>
  <c r="C1692" i="3"/>
  <c r="B1692" i="3"/>
  <c r="D1691" i="3"/>
  <c r="C1691" i="3"/>
  <c r="B1691" i="3"/>
  <c r="D1690" i="3"/>
  <c r="C1690" i="3"/>
  <c r="B1690" i="3"/>
  <c r="D1689" i="3"/>
  <c r="C1689" i="3"/>
  <c r="B1689" i="3"/>
  <c r="D1688" i="3"/>
  <c r="C1688" i="3"/>
  <c r="B1688" i="3"/>
  <c r="D1687" i="3"/>
  <c r="C1687" i="3"/>
  <c r="B1687" i="3"/>
  <c r="D1686" i="3"/>
  <c r="C1686" i="3"/>
  <c r="B1686" i="3"/>
  <c r="D1685" i="3"/>
  <c r="C1685" i="3"/>
  <c r="B1685" i="3"/>
  <c r="D1684" i="3"/>
  <c r="C1684" i="3"/>
  <c r="B1684" i="3"/>
  <c r="D1683" i="3"/>
  <c r="C1683" i="3"/>
  <c r="B1683" i="3"/>
  <c r="D1682" i="3"/>
  <c r="C1682" i="3"/>
  <c r="B1682" i="3"/>
  <c r="D1681" i="3"/>
  <c r="C1681" i="3"/>
  <c r="B1681" i="3"/>
  <c r="D1680" i="3"/>
  <c r="C1680" i="3"/>
  <c r="B1680" i="3"/>
  <c r="D1679" i="3"/>
  <c r="C1679" i="3"/>
  <c r="B1679" i="3"/>
  <c r="D1678" i="3"/>
  <c r="C1678" i="3"/>
  <c r="B1678" i="3"/>
  <c r="D1677" i="3"/>
  <c r="C1677" i="3"/>
  <c r="B1677" i="3"/>
  <c r="D1676" i="3"/>
  <c r="C1676" i="3"/>
  <c r="B1676" i="3"/>
  <c r="D1675" i="3"/>
  <c r="C1675" i="3"/>
  <c r="B1675" i="3"/>
  <c r="D1674" i="3"/>
  <c r="C1674" i="3"/>
  <c r="B1674" i="3"/>
  <c r="D1673" i="3"/>
  <c r="C1673" i="3"/>
  <c r="B1673" i="3"/>
  <c r="D1672" i="3"/>
  <c r="C1672" i="3"/>
  <c r="B1672" i="3"/>
  <c r="D1671" i="3"/>
  <c r="C1671" i="3"/>
  <c r="B1671" i="3"/>
  <c r="D1670" i="3"/>
  <c r="C1670" i="3"/>
  <c r="B1670" i="3"/>
  <c r="D1669" i="3"/>
  <c r="C1669" i="3"/>
  <c r="B1669" i="3"/>
  <c r="D1668" i="3"/>
  <c r="C1668" i="3"/>
  <c r="B1668" i="3"/>
  <c r="D1667" i="3"/>
  <c r="C1667" i="3"/>
  <c r="B1667" i="3"/>
  <c r="D1666" i="3"/>
  <c r="C1666" i="3"/>
  <c r="B1666" i="3"/>
  <c r="D1665" i="3"/>
  <c r="C1665" i="3"/>
  <c r="B1665" i="3"/>
  <c r="D1664" i="3"/>
  <c r="C1664" i="3"/>
  <c r="B1664" i="3"/>
  <c r="D1663" i="3"/>
  <c r="C1663" i="3"/>
  <c r="B1663" i="3"/>
  <c r="D1662" i="3"/>
  <c r="C1662" i="3"/>
  <c r="B1662" i="3"/>
  <c r="D1661" i="3"/>
  <c r="C1661" i="3"/>
  <c r="B1661" i="3"/>
  <c r="D1660" i="3"/>
  <c r="C1660" i="3"/>
  <c r="B1660" i="3"/>
  <c r="D1659" i="3"/>
  <c r="C1659" i="3"/>
  <c r="B1659" i="3"/>
  <c r="D1658" i="3"/>
  <c r="C1658" i="3"/>
  <c r="B1658" i="3"/>
  <c r="D1657" i="3"/>
  <c r="C1657" i="3"/>
  <c r="B1657" i="3"/>
  <c r="D1656" i="3"/>
  <c r="C1656" i="3"/>
  <c r="B1656" i="3"/>
  <c r="D1655" i="3"/>
  <c r="C1655" i="3"/>
  <c r="B1655" i="3"/>
  <c r="D1654" i="3"/>
  <c r="C1654" i="3"/>
  <c r="B1654" i="3"/>
  <c r="D1653" i="3"/>
  <c r="C1653" i="3"/>
  <c r="B1653" i="3"/>
  <c r="D1652" i="3"/>
  <c r="C1652" i="3"/>
  <c r="B1652" i="3"/>
  <c r="D1651" i="3"/>
  <c r="C1651" i="3"/>
  <c r="B1651" i="3"/>
  <c r="D1650" i="3"/>
  <c r="C1650" i="3"/>
  <c r="B1650" i="3"/>
  <c r="D1649" i="3"/>
  <c r="C1649" i="3"/>
  <c r="B1649" i="3"/>
  <c r="D1648" i="3"/>
  <c r="C1648" i="3"/>
  <c r="B1648" i="3"/>
  <c r="D1647" i="3"/>
  <c r="C1647" i="3"/>
  <c r="B1647" i="3"/>
  <c r="D1646" i="3"/>
  <c r="C1646" i="3"/>
  <c r="B1646" i="3"/>
  <c r="D1645" i="3"/>
  <c r="C1645" i="3"/>
  <c r="B1645" i="3"/>
  <c r="D1644" i="3"/>
  <c r="C1644" i="3"/>
  <c r="B1644" i="3"/>
  <c r="D1643" i="3"/>
  <c r="C1643" i="3"/>
  <c r="B1643" i="3"/>
  <c r="D1642" i="3"/>
  <c r="C1642" i="3"/>
  <c r="B1642" i="3"/>
  <c r="D1641" i="3"/>
  <c r="C1641" i="3"/>
  <c r="B1641" i="3"/>
  <c r="D1640" i="3"/>
  <c r="C1640" i="3"/>
  <c r="B1640" i="3"/>
  <c r="D1639" i="3"/>
  <c r="C1639" i="3"/>
  <c r="B1639" i="3"/>
  <c r="D1638" i="3"/>
  <c r="C1638" i="3"/>
  <c r="B1638" i="3"/>
  <c r="D1637" i="3"/>
  <c r="C1637" i="3"/>
  <c r="B1637" i="3"/>
  <c r="D1636" i="3"/>
  <c r="C1636" i="3"/>
  <c r="B1636" i="3"/>
  <c r="D1635" i="3"/>
  <c r="C1635" i="3"/>
  <c r="B1635" i="3"/>
  <c r="D1634" i="3"/>
  <c r="C1634" i="3"/>
  <c r="B1634" i="3"/>
  <c r="D1633" i="3"/>
  <c r="C1633" i="3"/>
  <c r="B1633" i="3"/>
  <c r="D1632" i="3"/>
  <c r="C1632" i="3"/>
  <c r="B1632" i="3"/>
  <c r="D1631" i="3"/>
  <c r="C1631" i="3"/>
  <c r="B1631" i="3"/>
  <c r="D1630" i="3"/>
  <c r="C1630" i="3"/>
  <c r="B1630" i="3"/>
  <c r="D1629" i="3"/>
  <c r="C1629" i="3"/>
  <c r="B1629" i="3"/>
  <c r="D1628" i="3"/>
  <c r="C1628" i="3"/>
  <c r="B1628" i="3"/>
  <c r="D1627" i="3"/>
  <c r="C1627" i="3"/>
  <c r="B1627" i="3"/>
  <c r="D1626" i="3"/>
  <c r="C1626" i="3"/>
  <c r="B1626" i="3"/>
  <c r="D1625" i="3"/>
  <c r="C1625" i="3"/>
  <c r="B1625" i="3"/>
  <c r="D1624" i="3"/>
  <c r="C1624" i="3"/>
  <c r="B1624" i="3"/>
  <c r="D1623" i="3"/>
  <c r="C1623" i="3"/>
  <c r="B1623" i="3"/>
  <c r="D1622" i="3"/>
  <c r="C1622" i="3"/>
  <c r="B1622" i="3"/>
  <c r="D1621" i="3"/>
  <c r="C1621" i="3"/>
  <c r="B1621" i="3"/>
  <c r="D1620" i="3"/>
  <c r="C1620" i="3"/>
  <c r="B1620" i="3"/>
  <c r="D1619" i="3"/>
  <c r="C1619" i="3"/>
  <c r="B1619" i="3"/>
  <c r="D1618" i="3"/>
  <c r="C1618" i="3"/>
  <c r="B1618" i="3"/>
  <c r="D1617" i="3"/>
  <c r="C1617" i="3"/>
  <c r="B1617" i="3"/>
  <c r="D1616" i="3"/>
  <c r="C1616" i="3"/>
  <c r="B1616" i="3"/>
  <c r="D1615" i="3"/>
  <c r="C1615" i="3"/>
  <c r="B1615" i="3"/>
  <c r="D1614" i="3"/>
  <c r="C1614" i="3"/>
  <c r="B1614" i="3"/>
  <c r="D1613" i="3"/>
  <c r="C1613" i="3"/>
  <c r="B1613" i="3"/>
  <c r="D1612" i="3"/>
  <c r="C1612" i="3"/>
  <c r="B1612" i="3"/>
  <c r="D1611" i="3"/>
  <c r="C1611" i="3"/>
  <c r="B1611" i="3"/>
  <c r="D1610" i="3"/>
  <c r="C1610" i="3"/>
  <c r="B1610" i="3"/>
  <c r="D1609" i="3"/>
  <c r="C1609" i="3"/>
  <c r="B1609" i="3"/>
  <c r="D1608" i="3"/>
  <c r="C1608" i="3"/>
  <c r="B1608" i="3"/>
  <c r="D1607" i="3"/>
  <c r="C1607" i="3"/>
  <c r="B1607" i="3"/>
  <c r="D1606" i="3"/>
  <c r="C1606" i="3"/>
  <c r="B1606" i="3"/>
  <c r="D1605" i="3"/>
  <c r="C1605" i="3"/>
  <c r="B1605" i="3"/>
  <c r="D1604" i="3"/>
  <c r="C1604" i="3"/>
  <c r="B1604" i="3"/>
  <c r="D1603" i="3"/>
  <c r="C1603" i="3"/>
  <c r="B1603" i="3"/>
  <c r="D1602" i="3"/>
  <c r="C1602" i="3"/>
  <c r="B1602" i="3"/>
  <c r="D1601" i="3"/>
  <c r="C1601" i="3"/>
  <c r="B1601" i="3"/>
  <c r="D1600" i="3"/>
  <c r="C1600" i="3"/>
  <c r="B1600" i="3"/>
  <c r="D1599" i="3"/>
  <c r="C1599" i="3"/>
  <c r="B1599" i="3"/>
  <c r="D1598" i="3"/>
  <c r="C1598" i="3"/>
  <c r="B1598" i="3"/>
  <c r="D1597" i="3"/>
  <c r="C1597" i="3"/>
  <c r="B1597" i="3"/>
  <c r="D1596" i="3"/>
  <c r="C1596" i="3"/>
  <c r="B1596" i="3"/>
  <c r="D1595" i="3"/>
  <c r="C1595" i="3"/>
  <c r="B1595" i="3"/>
  <c r="D1594" i="3"/>
  <c r="C1594" i="3"/>
  <c r="B1594" i="3"/>
  <c r="D1593" i="3"/>
  <c r="C1593" i="3"/>
  <c r="B1593" i="3"/>
  <c r="D1592" i="3"/>
  <c r="C1592" i="3"/>
  <c r="B1592" i="3"/>
  <c r="D1591" i="3"/>
  <c r="C1591" i="3"/>
  <c r="B1591" i="3"/>
  <c r="D1590" i="3"/>
  <c r="C1590" i="3"/>
  <c r="B1590" i="3"/>
  <c r="D1589" i="3"/>
  <c r="C1589" i="3"/>
  <c r="B1589" i="3"/>
  <c r="D1588" i="3"/>
  <c r="C1588" i="3"/>
  <c r="B1588" i="3"/>
  <c r="D1587" i="3"/>
  <c r="C1587" i="3"/>
  <c r="B1587" i="3"/>
  <c r="D1586" i="3"/>
  <c r="C1586" i="3"/>
  <c r="B1586" i="3"/>
  <c r="D1585" i="3"/>
  <c r="C1585" i="3"/>
  <c r="B1585" i="3"/>
  <c r="D1584" i="3"/>
  <c r="C1584" i="3"/>
  <c r="B1584" i="3"/>
  <c r="D1583" i="3"/>
  <c r="C1583" i="3"/>
  <c r="B1583" i="3"/>
  <c r="D1582" i="3"/>
  <c r="C1582" i="3"/>
  <c r="B1582" i="3"/>
  <c r="D1581" i="3"/>
  <c r="C1581" i="3"/>
  <c r="B1581" i="3"/>
  <c r="D1580" i="3"/>
  <c r="C1580" i="3"/>
  <c r="B1580" i="3"/>
  <c r="D1579" i="3"/>
  <c r="C1579" i="3"/>
  <c r="B1579" i="3"/>
  <c r="D1578" i="3"/>
  <c r="C1578" i="3"/>
  <c r="B1578" i="3"/>
  <c r="D1577" i="3"/>
  <c r="C1577" i="3"/>
  <c r="B1577" i="3"/>
  <c r="D1576" i="3"/>
  <c r="C1576" i="3"/>
  <c r="B1576" i="3"/>
  <c r="D1575" i="3"/>
  <c r="C1575" i="3"/>
  <c r="B1575" i="3"/>
  <c r="D1574" i="3"/>
  <c r="C1574" i="3"/>
  <c r="B1574" i="3"/>
  <c r="D1573" i="3"/>
  <c r="C1573" i="3"/>
  <c r="B1573" i="3"/>
  <c r="D1572" i="3"/>
  <c r="C1572" i="3"/>
  <c r="B1572" i="3"/>
  <c r="D1571" i="3"/>
  <c r="C1571" i="3"/>
  <c r="B1571" i="3"/>
  <c r="D1570" i="3"/>
  <c r="C1570" i="3"/>
  <c r="B1570" i="3"/>
  <c r="D1569" i="3"/>
  <c r="C1569" i="3"/>
  <c r="B1569" i="3"/>
  <c r="D1568" i="3"/>
  <c r="C1568" i="3"/>
  <c r="B1568" i="3"/>
  <c r="D1567" i="3"/>
  <c r="C1567" i="3"/>
  <c r="B1567" i="3"/>
  <c r="D1566" i="3"/>
  <c r="C1566" i="3"/>
  <c r="B1566" i="3"/>
  <c r="D1565" i="3"/>
  <c r="C1565" i="3"/>
  <c r="B1565" i="3"/>
  <c r="D1564" i="3"/>
  <c r="C1564" i="3"/>
  <c r="B1564" i="3"/>
  <c r="D1563" i="3"/>
  <c r="C1563" i="3"/>
  <c r="B1563" i="3"/>
  <c r="D1562" i="3"/>
  <c r="C1562" i="3"/>
  <c r="B1562" i="3"/>
  <c r="D1561" i="3"/>
  <c r="C1561" i="3"/>
  <c r="B1561" i="3"/>
  <c r="D1560" i="3"/>
  <c r="C1560" i="3"/>
  <c r="B1560" i="3"/>
  <c r="D1559" i="3"/>
  <c r="C1559" i="3"/>
  <c r="B1559" i="3"/>
  <c r="D1558" i="3"/>
  <c r="C1558" i="3"/>
  <c r="B1558" i="3"/>
  <c r="D1557" i="3"/>
  <c r="C1557" i="3"/>
  <c r="B1557" i="3"/>
  <c r="D1556" i="3"/>
  <c r="C1556" i="3"/>
  <c r="B1556" i="3"/>
  <c r="D1555" i="3"/>
  <c r="C1555" i="3"/>
  <c r="B1555" i="3"/>
  <c r="D1554" i="3"/>
  <c r="C1554" i="3"/>
  <c r="B1554" i="3"/>
  <c r="D1553" i="3"/>
  <c r="C1553" i="3"/>
  <c r="B1553" i="3"/>
  <c r="D1552" i="3"/>
  <c r="C1552" i="3"/>
  <c r="B1552" i="3"/>
  <c r="D1551" i="3"/>
  <c r="C1551" i="3"/>
  <c r="B1551" i="3"/>
  <c r="D1550" i="3"/>
  <c r="C1550" i="3"/>
  <c r="B1550" i="3"/>
  <c r="D1549" i="3"/>
  <c r="C1549" i="3"/>
  <c r="B1549" i="3"/>
  <c r="D1548" i="3"/>
  <c r="C1548" i="3"/>
  <c r="B1548" i="3"/>
  <c r="D1547" i="3"/>
  <c r="C1547" i="3"/>
  <c r="B1547" i="3"/>
  <c r="D1546" i="3"/>
  <c r="C1546" i="3"/>
  <c r="B1546" i="3"/>
  <c r="D1545" i="3"/>
  <c r="C1545" i="3"/>
  <c r="B1545" i="3"/>
  <c r="D1544" i="3"/>
  <c r="C1544" i="3"/>
  <c r="B1544" i="3"/>
  <c r="D1543" i="3"/>
  <c r="C1543" i="3"/>
  <c r="B1543" i="3"/>
  <c r="D1542" i="3"/>
  <c r="C1542" i="3"/>
  <c r="B1542" i="3"/>
  <c r="D1541" i="3"/>
  <c r="C1541" i="3"/>
  <c r="B1541" i="3"/>
  <c r="D1540" i="3"/>
  <c r="C1540" i="3"/>
  <c r="B1540" i="3"/>
  <c r="D1539" i="3"/>
  <c r="C1539" i="3"/>
  <c r="B1539" i="3"/>
  <c r="D1538" i="3"/>
  <c r="C1538" i="3"/>
  <c r="B1538" i="3"/>
  <c r="D1537" i="3"/>
  <c r="C1537" i="3"/>
  <c r="B1537" i="3"/>
  <c r="D1536" i="3"/>
  <c r="C1536" i="3"/>
  <c r="B1536" i="3"/>
  <c r="D1535" i="3"/>
  <c r="C1535" i="3"/>
  <c r="B1535" i="3"/>
  <c r="D1534" i="3"/>
  <c r="C1534" i="3"/>
  <c r="B1534" i="3"/>
  <c r="D1533" i="3"/>
  <c r="C1533" i="3"/>
  <c r="B1533" i="3"/>
  <c r="D1532" i="3"/>
  <c r="C1532" i="3"/>
  <c r="B1532" i="3"/>
  <c r="D1531" i="3"/>
  <c r="C1531" i="3"/>
  <c r="B1531" i="3"/>
  <c r="D1530" i="3"/>
  <c r="C1530" i="3"/>
  <c r="B1530" i="3"/>
  <c r="D1529" i="3"/>
  <c r="C1529" i="3"/>
  <c r="B1529" i="3"/>
  <c r="D1528" i="3"/>
  <c r="C1528" i="3"/>
  <c r="B1528" i="3"/>
  <c r="D1527" i="3"/>
  <c r="C1527" i="3"/>
  <c r="B1527" i="3"/>
  <c r="D1526" i="3"/>
  <c r="C1526" i="3"/>
  <c r="B1526" i="3"/>
  <c r="D1525" i="3"/>
  <c r="C1525" i="3"/>
  <c r="B1525" i="3"/>
  <c r="D1524" i="3"/>
  <c r="C1524" i="3"/>
  <c r="B1524" i="3"/>
  <c r="D1523" i="3"/>
  <c r="C1523" i="3"/>
  <c r="B1523" i="3"/>
  <c r="D1522" i="3"/>
  <c r="C1522" i="3"/>
  <c r="B1522" i="3"/>
  <c r="D1521" i="3"/>
  <c r="C1521" i="3"/>
  <c r="B1521" i="3"/>
  <c r="D1520" i="3"/>
  <c r="C1520" i="3"/>
  <c r="B1520" i="3"/>
  <c r="D1519" i="3"/>
  <c r="C1519" i="3"/>
  <c r="B1519" i="3"/>
  <c r="D1518" i="3"/>
  <c r="C1518" i="3"/>
  <c r="B1518" i="3"/>
  <c r="D1517" i="3"/>
  <c r="C1517" i="3"/>
  <c r="B1517" i="3"/>
  <c r="D1516" i="3"/>
  <c r="C1516" i="3"/>
  <c r="B1516" i="3"/>
  <c r="D1515" i="3"/>
  <c r="C1515" i="3"/>
  <c r="B1515" i="3"/>
  <c r="D1514" i="3"/>
  <c r="C1514" i="3"/>
  <c r="B1514" i="3"/>
  <c r="D1513" i="3"/>
  <c r="C1513" i="3"/>
  <c r="B1513" i="3"/>
  <c r="D1512" i="3"/>
  <c r="C1512" i="3"/>
  <c r="B1512" i="3"/>
  <c r="D1511" i="3"/>
  <c r="C1511" i="3"/>
  <c r="B1511" i="3"/>
  <c r="D1510" i="3"/>
  <c r="C1510" i="3"/>
  <c r="B1510" i="3"/>
  <c r="D1509" i="3"/>
  <c r="C1509" i="3"/>
  <c r="B1509" i="3"/>
  <c r="D1508" i="3"/>
  <c r="C1508" i="3"/>
  <c r="B1508" i="3"/>
  <c r="D1507" i="3"/>
  <c r="C1507" i="3"/>
  <c r="B1507" i="3"/>
  <c r="D1506" i="3"/>
  <c r="C1506" i="3"/>
  <c r="B1506" i="3"/>
  <c r="D1505" i="3"/>
  <c r="C1505" i="3"/>
  <c r="B1505" i="3"/>
  <c r="D1504" i="3"/>
  <c r="C1504" i="3"/>
  <c r="B1504" i="3"/>
  <c r="D1503" i="3"/>
  <c r="C1503" i="3"/>
  <c r="B1503" i="3"/>
  <c r="D1502" i="3"/>
  <c r="C1502" i="3"/>
  <c r="B1502" i="3"/>
  <c r="D1501" i="3"/>
  <c r="C1501" i="3"/>
  <c r="B1501" i="3"/>
  <c r="D1500" i="3"/>
  <c r="C1500" i="3"/>
  <c r="B1500" i="3"/>
  <c r="D1499" i="3"/>
  <c r="C1499" i="3"/>
  <c r="B1499" i="3"/>
  <c r="D1498" i="3"/>
  <c r="C1498" i="3"/>
  <c r="B1498" i="3"/>
  <c r="D1497" i="3"/>
  <c r="C1497" i="3"/>
  <c r="B1497" i="3"/>
  <c r="D1496" i="3"/>
  <c r="C1496" i="3"/>
  <c r="B1496" i="3"/>
  <c r="D1495" i="3"/>
  <c r="C1495" i="3"/>
  <c r="B1495" i="3"/>
  <c r="D1494" i="3"/>
  <c r="C1494" i="3"/>
  <c r="B1494" i="3"/>
  <c r="D1493" i="3"/>
  <c r="C1493" i="3"/>
  <c r="B1493" i="3"/>
  <c r="D1492" i="3"/>
  <c r="C1492" i="3"/>
  <c r="B1492" i="3"/>
  <c r="D1491" i="3"/>
  <c r="C1491" i="3"/>
  <c r="B1491" i="3"/>
  <c r="D1490" i="3"/>
  <c r="C1490" i="3"/>
  <c r="B1490" i="3"/>
  <c r="D1489" i="3"/>
  <c r="C1489" i="3"/>
  <c r="B1489" i="3"/>
  <c r="D1488" i="3"/>
  <c r="C1488" i="3"/>
  <c r="B1488" i="3"/>
  <c r="D1487" i="3"/>
  <c r="C1487" i="3"/>
  <c r="B1487" i="3"/>
  <c r="D1486" i="3"/>
  <c r="C1486" i="3"/>
  <c r="B1486" i="3"/>
  <c r="D1485" i="3"/>
  <c r="C1485" i="3"/>
  <c r="B1485" i="3"/>
  <c r="D1484" i="3"/>
  <c r="C1484" i="3"/>
  <c r="B1484" i="3"/>
  <c r="D1483" i="3"/>
  <c r="C1483" i="3"/>
  <c r="B1483" i="3"/>
  <c r="D1482" i="3"/>
  <c r="C1482" i="3"/>
  <c r="B1482" i="3"/>
  <c r="D1481" i="3"/>
  <c r="C1481" i="3"/>
  <c r="B1481" i="3"/>
  <c r="D1480" i="3"/>
  <c r="C1480" i="3"/>
  <c r="B1480" i="3"/>
  <c r="D1479" i="3"/>
  <c r="C1479" i="3"/>
  <c r="B1479" i="3"/>
  <c r="D1478" i="3"/>
  <c r="C1478" i="3"/>
  <c r="B1478" i="3"/>
  <c r="D1477" i="3"/>
  <c r="C1477" i="3"/>
  <c r="B1477" i="3"/>
  <c r="D1476" i="3"/>
  <c r="C1476" i="3"/>
  <c r="B1476" i="3"/>
  <c r="D1475" i="3"/>
  <c r="C1475" i="3"/>
  <c r="B1475" i="3"/>
  <c r="D1474" i="3"/>
  <c r="C1474" i="3"/>
  <c r="B1474" i="3"/>
  <c r="D1473" i="3"/>
  <c r="C1473" i="3"/>
  <c r="B1473" i="3"/>
  <c r="D1472" i="3"/>
  <c r="C1472" i="3"/>
  <c r="B1472" i="3"/>
  <c r="D1471" i="3"/>
  <c r="C1471" i="3"/>
  <c r="B1471" i="3"/>
  <c r="D1470" i="3"/>
  <c r="C1470" i="3"/>
  <c r="B1470" i="3"/>
  <c r="D1469" i="3"/>
  <c r="C1469" i="3"/>
  <c r="B1469" i="3"/>
  <c r="D1468" i="3"/>
  <c r="C1468" i="3"/>
  <c r="B1468" i="3"/>
  <c r="D1467" i="3"/>
  <c r="C1467" i="3"/>
  <c r="B1467" i="3"/>
  <c r="D1466" i="3"/>
  <c r="C1466" i="3"/>
  <c r="B1466" i="3"/>
  <c r="D1465" i="3"/>
  <c r="C1465" i="3"/>
  <c r="B1465" i="3"/>
  <c r="D1464" i="3"/>
  <c r="C1464" i="3"/>
  <c r="B1464" i="3"/>
  <c r="D1463" i="3"/>
  <c r="C1463" i="3"/>
  <c r="B1463" i="3"/>
  <c r="D1462" i="3"/>
  <c r="C1462" i="3"/>
  <c r="B1462" i="3"/>
  <c r="D1461" i="3"/>
  <c r="C1461" i="3"/>
  <c r="B1461" i="3"/>
  <c r="D1460" i="3"/>
  <c r="C1460" i="3"/>
  <c r="B1460" i="3"/>
  <c r="D1459" i="3"/>
  <c r="C1459" i="3"/>
  <c r="B1459" i="3"/>
  <c r="D1458" i="3"/>
  <c r="C1458" i="3"/>
  <c r="B1458" i="3"/>
  <c r="D1457" i="3"/>
  <c r="C1457" i="3"/>
  <c r="B1457" i="3"/>
  <c r="D1456" i="3"/>
  <c r="C1456" i="3"/>
  <c r="B1456" i="3"/>
  <c r="D1455" i="3"/>
  <c r="C1455" i="3"/>
  <c r="B1455" i="3"/>
  <c r="D1454" i="3"/>
  <c r="C1454" i="3"/>
  <c r="B1454" i="3"/>
  <c r="D1453" i="3"/>
  <c r="C1453" i="3"/>
  <c r="B1453" i="3"/>
  <c r="D1452" i="3"/>
  <c r="C1452" i="3"/>
  <c r="B1452" i="3"/>
  <c r="D1451" i="3"/>
  <c r="C1451" i="3"/>
  <c r="B1451" i="3"/>
  <c r="D1450" i="3"/>
  <c r="C1450" i="3"/>
  <c r="B1450" i="3"/>
  <c r="D1449" i="3"/>
  <c r="C1449" i="3"/>
  <c r="B1449" i="3"/>
  <c r="D1448" i="3"/>
  <c r="C1448" i="3"/>
  <c r="B1448" i="3"/>
  <c r="D1447" i="3"/>
  <c r="C1447" i="3"/>
  <c r="B1447" i="3"/>
  <c r="D1446" i="3"/>
  <c r="C1446" i="3"/>
  <c r="B1446" i="3"/>
  <c r="D1445" i="3"/>
  <c r="C1445" i="3"/>
  <c r="B1445" i="3"/>
  <c r="D1444" i="3"/>
  <c r="C1444" i="3"/>
  <c r="B1444" i="3"/>
  <c r="D1443" i="3"/>
  <c r="C1443" i="3"/>
  <c r="B1443" i="3"/>
  <c r="D1442" i="3"/>
  <c r="C1442" i="3"/>
  <c r="B1442" i="3"/>
  <c r="D1441" i="3"/>
  <c r="C1441" i="3"/>
  <c r="B1441" i="3"/>
  <c r="D1440" i="3"/>
  <c r="C1440" i="3"/>
  <c r="B1440" i="3"/>
  <c r="D1439" i="3"/>
  <c r="C1439" i="3"/>
  <c r="B1439" i="3"/>
  <c r="D1438" i="3"/>
  <c r="C1438" i="3"/>
  <c r="B1438" i="3"/>
  <c r="D1437" i="3"/>
  <c r="C1437" i="3"/>
  <c r="B1437" i="3"/>
  <c r="D1436" i="3"/>
  <c r="C1436" i="3"/>
  <c r="B1436" i="3"/>
  <c r="D1435" i="3"/>
  <c r="C1435" i="3"/>
  <c r="B1435" i="3"/>
  <c r="D1434" i="3"/>
  <c r="C1434" i="3"/>
  <c r="B1434" i="3"/>
  <c r="D1433" i="3"/>
  <c r="C1433" i="3"/>
  <c r="B1433" i="3"/>
  <c r="D1432" i="3"/>
  <c r="C1432" i="3"/>
  <c r="B1432" i="3"/>
  <c r="D1431" i="3"/>
  <c r="C1431" i="3"/>
  <c r="B1431" i="3"/>
  <c r="D1430" i="3"/>
  <c r="C1430" i="3"/>
  <c r="B1430" i="3"/>
  <c r="D1429" i="3"/>
  <c r="C1429" i="3"/>
  <c r="B1429" i="3"/>
  <c r="D1428" i="3"/>
  <c r="C1428" i="3"/>
  <c r="B1428" i="3"/>
  <c r="D1427" i="3"/>
  <c r="C1427" i="3"/>
  <c r="B1427" i="3"/>
  <c r="D1426" i="3"/>
  <c r="C1426" i="3"/>
  <c r="B1426" i="3"/>
  <c r="D1425" i="3"/>
  <c r="C1425" i="3"/>
  <c r="B1425" i="3"/>
  <c r="D1424" i="3"/>
  <c r="C1424" i="3"/>
  <c r="B1424" i="3"/>
  <c r="D1423" i="3"/>
  <c r="C1423" i="3"/>
  <c r="B1423" i="3"/>
  <c r="D1422" i="3"/>
  <c r="C1422" i="3"/>
  <c r="B1422" i="3"/>
  <c r="D1421" i="3"/>
  <c r="C1421" i="3"/>
  <c r="B1421" i="3"/>
  <c r="D1420" i="3"/>
  <c r="C1420" i="3"/>
  <c r="B1420" i="3"/>
  <c r="D1419" i="3"/>
  <c r="C1419" i="3"/>
  <c r="B1419" i="3"/>
  <c r="D1418" i="3"/>
  <c r="C1418" i="3"/>
  <c r="B1418" i="3"/>
  <c r="D1417" i="3"/>
  <c r="C1417" i="3"/>
  <c r="B1417" i="3"/>
  <c r="D1416" i="3"/>
  <c r="C1416" i="3"/>
  <c r="B1416" i="3"/>
  <c r="D1415" i="3"/>
  <c r="C1415" i="3"/>
  <c r="B1415" i="3"/>
  <c r="D1414" i="3"/>
  <c r="C1414" i="3"/>
  <c r="B1414" i="3"/>
  <c r="D1413" i="3"/>
  <c r="C1413" i="3"/>
  <c r="B1413" i="3"/>
  <c r="D1412" i="3"/>
  <c r="C1412" i="3"/>
  <c r="B1412" i="3"/>
  <c r="D1411" i="3"/>
  <c r="C1411" i="3"/>
  <c r="B1411" i="3"/>
  <c r="D1410" i="3"/>
  <c r="C1410" i="3"/>
  <c r="B1410" i="3"/>
  <c r="D1409" i="3"/>
  <c r="C1409" i="3"/>
  <c r="B1409" i="3"/>
  <c r="D1408" i="3"/>
  <c r="C1408" i="3"/>
  <c r="B1408" i="3"/>
  <c r="D1407" i="3"/>
  <c r="C1407" i="3"/>
  <c r="B1407" i="3"/>
  <c r="D1406" i="3"/>
  <c r="C1406" i="3"/>
  <c r="B1406" i="3"/>
  <c r="D1405" i="3"/>
  <c r="C1405" i="3"/>
  <c r="B1405" i="3"/>
  <c r="D1404" i="3"/>
  <c r="C1404" i="3"/>
  <c r="B1404" i="3"/>
  <c r="D1403" i="3"/>
  <c r="C1403" i="3"/>
  <c r="B1403" i="3"/>
  <c r="D1402" i="3"/>
  <c r="C1402" i="3"/>
  <c r="B1402" i="3"/>
  <c r="D1401" i="3"/>
  <c r="C1401" i="3"/>
  <c r="B1401" i="3"/>
  <c r="D1400" i="3"/>
  <c r="C1400" i="3"/>
  <c r="B1400" i="3"/>
  <c r="D1399" i="3"/>
  <c r="C1399" i="3"/>
  <c r="B1399" i="3"/>
  <c r="D1398" i="3"/>
  <c r="C1398" i="3"/>
  <c r="B1398" i="3"/>
  <c r="D1397" i="3"/>
  <c r="C1397" i="3"/>
  <c r="B1397" i="3"/>
  <c r="D1396" i="3"/>
  <c r="C1396" i="3"/>
  <c r="B1396" i="3"/>
  <c r="D1395" i="3"/>
  <c r="C1395" i="3"/>
  <c r="B1395" i="3"/>
  <c r="D1394" i="3"/>
  <c r="C1394" i="3"/>
  <c r="B1394" i="3"/>
  <c r="D1393" i="3"/>
  <c r="C1393" i="3"/>
  <c r="B1393" i="3"/>
  <c r="D1392" i="3"/>
  <c r="C1392" i="3"/>
  <c r="B1392" i="3"/>
  <c r="D1391" i="3"/>
  <c r="C1391" i="3"/>
  <c r="B1391" i="3"/>
  <c r="D1390" i="3"/>
  <c r="C1390" i="3"/>
  <c r="B1390" i="3"/>
  <c r="D1389" i="3"/>
  <c r="C1389" i="3"/>
  <c r="B1389" i="3"/>
  <c r="D1388" i="3"/>
  <c r="C1388" i="3"/>
  <c r="B1388" i="3"/>
  <c r="D1387" i="3"/>
  <c r="C1387" i="3"/>
  <c r="B1387" i="3"/>
  <c r="D1386" i="3"/>
  <c r="C1386" i="3"/>
  <c r="B1386" i="3"/>
  <c r="D1385" i="3"/>
  <c r="C1385" i="3"/>
  <c r="B1385" i="3"/>
  <c r="D1384" i="3"/>
  <c r="C1384" i="3"/>
  <c r="B1384" i="3"/>
  <c r="D1383" i="3"/>
  <c r="C1383" i="3"/>
  <c r="B1383" i="3"/>
  <c r="D1382" i="3"/>
  <c r="C1382" i="3"/>
  <c r="B1382" i="3"/>
  <c r="D1381" i="3"/>
  <c r="C1381" i="3"/>
  <c r="B1381" i="3"/>
  <c r="D1380" i="3"/>
  <c r="C1380" i="3"/>
  <c r="B1380" i="3"/>
  <c r="D1379" i="3"/>
  <c r="C1379" i="3"/>
  <c r="B1379" i="3"/>
  <c r="D1378" i="3"/>
  <c r="C1378" i="3"/>
  <c r="B1378" i="3"/>
  <c r="D1377" i="3"/>
  <c r="C1377" i="3"/>
  <c r="B1377" i="3"/>
  <c r="D1376" i="3"/>
  <c r="C1376" i="3"/>
  <c r="B1376" i="3"/>
  <c r="D1375" i="3"/>
  <c r="C1375" i="3"/>
  <c r="B1375" i="3"/>
  <c r="D1374" i="3"/>
  <c r="C1374" i="3"/>
  <c r="B1374" i="3"/>
  <c r="D1373" i="3"/>
  <c r="C1373" i="3"/>
  <c r="B1373" i="3"/>
  <c r="D1372" i="3"/>
  <c r="C1372" i="3"/>
  <c r="B1372" i="3"/>
  <c r="D1371" i="3"/>
  <c r="C1371" i="3"/>
  <c r="B1371" i="3"/>
  <c r="D1370" i="3"/>
  <c r="C1370" i="3"/>
  <c r="B1370" i="3"/>
  <c r="D1369" i="3"/>
  <c r="C1369" i="3"/>
  <c r="B1369" i="3"/>
  <c r="D1368" i="3"/>
  <c r="C1368" i="3"/>
  <c r="B1368" i="3"/>
  <c r="D1367" i="3"/>
  <c r="C1367" i="3"/>
  <c r="B1367" i="3"/>
  <c r="D1366" i="3"/>
  <c r="C1366" i="3"/>
  <c r="B1366" i="3"/>
  <c r="D1365" i="3"/>
  <c r="C1365" i="3"/>
  <c r="B1365" i="3"/>
  <c r="D1364" i="3"/>
  <c r="C1364" i="3"/>
  <c r="B1364" i="3"/>
  <c r="D1363" i="3"/>
  <c r="C1363" i="3"/>
  <c r="B1363" i="3"/>
  <c r="D1362" i="3"/>
  <c r="C1362" i="3"/>
  <c r="B1362" i="3"/>
  <c r="D1361" i="3"/>
  <c r="C1361" i="3"/>
  <c r="B1361" i="3"/>
  <c r="D1360" i="3"/>
  <c r="C1360" i="3"/>
  <c r="B1360" i="3"/>
  <c r="D1359" i="3"/>
  <c r="C1359" i="3"/>
  <c r="B1359" i="3"/>
  <c r="D1358" i="3"/>
  <c r="C1358" i="3"/>
  <c r="B1358" i="3"/>
  <c r="D1357" i="3"/>
  <c r="C1357" i="3"/>
  <c r="B1357" i="3"/>
  <c r="D1356" i="3"/>
  <c r="C1356" i="3"/>
  <c r="B1356" i="3"/>
  <c r="D1355" i="3"/>
  <c r="C1355" i="3"/>
  <c r="B1355" i="3"/>
  <c r="D1354" i="3"/>
  <c r="C1354" i="3"/>
  <c r="B1354" i="3"/>
  <c r="D1353" i="3"/>
  <c r="C1353" i="3"/>
  <c r="B1353" i="3"/>
  <c r="D1352" i="3"/>
  <c r="C1352" i="3"/>
  <c r="B1352" i="3"/>
  <c r="D1351" i="3"/>
  <c r="C1351" i="3"/>
  <c r="B1351" i="3"/>
  <c r="D1350" i="3"/>
  <c r="C1350" i="3"/>
  <c r="B1350" i="3"/>
  <c r="D1349" i="3"/>
  <c r="C1349" i="3"/>
  <c r="B1349" i="3"/>
  <c r="D1348" i="3"/>
  <c r="C1348" i="3"/>
  <c r="B1348" i="3"/>
  <c r="D1347" i="3"/>
  <c r="C1347" i="3"/>
  <c r="B1347" i="3"/>
  <c r="D1346" i="3"/>
  <c r="C1346" i="3"/>
  <c r="B1346" i="3"/>
  <c r="D1345" i="3"/>
  <c r="C1345" i="3"/>
  <c r="B1345" i="3"/>
  <c r="D1344" i="3"/>
  <c r="C1344" i="3"/>
  <c r="B1344" i="3"/>
  <c r="D1343" i="3"/>
  <c r="C1343" i="3"/>
  <c r="B1343" i="3"/>
  <c r="D1342" i="3"/>
  <c r="C1342" i="3"/>
  <c r="B1342" i="3"/>
  <c r="D1341" i="3"/>
  <c r="C1341" i="3"/>
  <c r="B1341" i="3"/>
  <c r="D1340" i="3"/>
  <c r="C1340" i="3"/>
  <c r="B1340" i="3"/>
  <c r="D1339" i="3"/>
  <c r="C1339" i="3"/>
  <c r="B1339" i="3"/>
  <c r="D1338" i="3"/>
  <c r="C1338" i="3"/>
  <c r="B1338" i="3"/>
  <c r="D1337" i="3"/>
  <c r="C1337" i="3"/>
  <c r="B1337" i="3"/>
  <c r="D1336" i="3"/>
  <c r="C1336" i="3"/>
  <c r="B1336" i="3"/>
  <c r="D1335" i="3"/>
  <c r="C1335" i="3"/>
  <c r="B1335" i="3"/>
  <c r="D1334" i="3"/>
  <c r="C1334" i="3"/>
  <c r="B1334" i="3"/>
  <c r="D1333" i="3"/>
  <c r="C1333" i="3"/>
  <c r="B1333" i="3"/>
  <c r="D1332" i="3"/>
  <c r="C1332" i="3"/>
  <c r="B1332" i="3"/>
  <c r="D1331" i="3"/>
  <c r="C1331" i="3"/>
  <c r="B1331" i="3"/>
  <c r="D1330" i="3"/>
  <c r="C1330" i="3"/>
  <c r="B1330" i="3"/>
  <c r="D1329" i="3"/>
  <c r="C1329" i="3"/>
  <c r="B1329" i="3"/>
  <c r="D1328" i="3"/>
  <c r="C1328" i="3"/>
  <c r="B1328" i="3"/>
  <c r="D1327" i="3"/>
  <c r="C1327" i="3"/>
  <c r="B1327" i="3"/>
  <c r="D1326" i="3"/>
  <c r="C1326" i="3"/>
  <c r="B1326" i="3"/>
  <c r="D1325" i="3"/>
  <c r="C1325" i="3"/>
  <c r="B1325" i="3"/>
  <c r="D1324" i="3"/>
  <c r="C1324" i="3"/>
  <c r="B1324" i="3"/>
  <c r="D1323" i="3"/>
  <c r="C1323" i="3"/>
  <c r="B1323" i="3"/>
  <c r="D1322" i="3"/>
  <c r="C1322" i="3"/>
  <c r="B1322" i="3"/>
  <c r="D1321" i="3"/>
  <c r="C1321" i="3"/>
  <c r="B1321" i="3"/>
  <c r="D1320" i="3"/>
  <c r="C1320" i="3"/>
  <c r="B1320" i="3"/>
  <c r="D1319" i="3"/>
  <c r="C1319" i="3"/>
  <c r="B1319" i="3"/>
  <c r="D1318" i="3"/>
  <c r="C1318" i="3"/>
  <c r="B1318" i="3"/>
  <c r="D1317" i="3"/>
  <c r="C1317" i="3"/>
  <c r="B1317" i="3"/>
  <c r="D1316" i="3"/>
  <c r="C1316" i="3"/>
  <c r="B1316" i="3"/>
  <c r="D1315" i="3"/>
  <c r="C1315" i="3"/>
  <c r="B1315" i="3"/>
  <c r="D1314" i="3"/>
  <c r="C1314" i="3"/>
  <c r="B1314" i="3"/>
  <c r="D1313" i="3"/>
  <c r="C1313" i="3"/>
  <c r="B1313" i="3"/>
  <c r="D1312" i="3"/>
  <c r="C1312" i="3"/>
  <c r="B1312" i="3"/>
  <c r="D1311" i="3"/>
  <c r="C1311" i="3"/>
  <c r="B1311" i="3"/>
  <c r="D1310" i="3"/>
  <c r="C1310" i="3"/>
  <c r="B1310" i="3"/>
  <c r="D1309" i="3"/>
  <c r="C1309" i="3"/>
  <c r="B1309" i="3"/>
  <c r="D1308" i="3"/>
  <c r="C1308" i="3"/>
  <c r="B1308" i="3"/>
  <c r="D1307" i="3"/>
  <c r="C1307" i="3"/>
  <c r="B1307" i="3"/>
  <c r="D1306" i="3"/>
  <c r="C1306" i="3"/>
  <c r="B1306" i="3"/>
  <c r="D1305" i="3"/>
  <c r="C1305" i="3"/>
  <c r="B1305" i="3"/>
  <c r="D1304" i="3"/>
  <c r="C1304" i="3"/>
  <c r="B1304" i="3"/>
  <c r="D1303" i="3"/>
  <c r="C1303" i="3"/>
  <c r="B1303" i="3"/>
  <c r="D1302" i="3"/>
  <c r="C1302" i="3"/>
  <c r="B1302" i="3"/>
  <c r="D1301" i="3"/>
  <c r="C1301" i="3"/>
  <c r="B1301" i="3"/>
  <c r="D1300" i="3"/>
  <c r="C1300" i="3"/>
  <c r="B1300" i="3"/>
  <c r="D1299" i="3"/>
  <c r="C1299" i="3"/>
  <c r="B1299" i="3"/>
  <c r="D1298" i="3"/>
  <c r="C1298" i="3"/>
  <c r="B1298" i="3"/>
  <c r="D1297" i="3"/>
  <c r="C1297" i="3"/>
  <c r="B1297" i="3"/>
  <c r="D1296" i="3"/>
  <c r="C1296" i="3"/>
  <c r="B1296" i="3"/>
  <c r="D1295" i="3"/>
  <c r="C1295" i="3"/>
  <c r="B1295" i="3"/>
  <c r="D1294" i="3"/>
  <c r="C1294" i="3"/>
  <c r="B1294" i="3"/>
  <c r="D1293" i="3"/>
  <c r="C1293" i="3"/>
  <c r="B1293" i="3"/>
  <c r="D1292" i="3"/>
  <c r="C1292" i="3"/>
  <c r="B1292" i="3"/>
  <c r="D1291" i="3"/>
  <c r="C1291" i="3"/>
  <c r="B1291" i="3"/>
  <c r="D1290" i="3"/>
  <c r="C1290" i="3"/>
  <c r="B1290" i="3"/>
  <c r="D1289" i="3"/>
  <c r="C1289" i="3"/>
  <c r="B1289" i="3"/>
  <c r="D1288" i="3"/>
  <c r="C1288" i="3"/>
  <c r="B1288" i="3"/>
  <c r="D1287" i="3"/>
  <c r="C1287" i="3"/>
  <c r="B1287" i="3"/>
  <c r="D1286" i="3"/>
  <c r="C1286" i="3"/>
  <c r="B1286" i="3"/>
  <c r="D1285" i="3"/>
  <c r="C1285" i="3"/>
  <c r="B1285" i="3"/>
  <c r="D1284" i="3"/>
  <c r="C1284" i="3"/>
  <c r="B1284" i="3"/>
  <c r="D1283" i="3"/>
  <c r="C1283" i="3"/>
  <c r="B1283" i="3"/>
  <c r="D1282" i="3"/>
  <c r="C1282" i="3"/>
  <c r="B1282" i="3"/>
  <c r="D1281" i="3"/>
  <c r="C1281" i="3"/>
  <c r="B1281" i="3"/>
  <c r="D1280" i="3"/>
  <c r="C1280" i="3"/>
  <c r="B1280" i="3"/>
  <c r="D1279" i="3"/>
  <c r="C1279" i="3"/>
  <c r="B1279" i="3"/>
  <c r="D1278" i="3"/>
  <c r="C1278" i="3"/>
  <c r="B1278" i="3"/>
  <c r="D1277" i="3"/>
  <c r="C1277" i="3"/>
  <c r="B1277" i="3"/>
  <c r="D1276" i="3"/>
  <c r="C1276" i="3"/>
  <c r="B1276" i="3"/>
  <c r="D1275" i="3"/>
  <c r="C1275" i="3"/>
  <c r="B1275" i="3"/>
  <c r="D1274" i="3"/>
  <c r="C1274" i="3"/>
  <c r="B1274" i="3"/>
  <c r="D1273" i="3"/>
  <c r="C1273" i="3"/>
  <c r="B1273" i="3"/>
  <c r="D1272" i="3"/>
  <c r="C1272" i="3"/>
  <c r="B1272" i="3"/>
  <c r="D1271" i="3"/>
  <c r="C1271" i="3"/>
  <c r="B1271" i="3"/>
  <c r="D1270" i="3"/>
  <c r="C1270" i="3"/>
  <c r="B1270" i="3"/>
  <c r="D1269" i="3"/>
  <c r="C1269" i="3"/>
  <c r="B1269" i="3"/>
  <c r="D1268" i="3"/>
  <c r="C1268" i="3"/>
  <c r="B1268" i="3"/>
  <c r="D1267" i="3"/>
  <c r="C1267" i="3"/>
  <c r="B1267" i="3"/>
  <c r="D1266" i="3"/>
  <c r="C1266" i="3"/>
  <c r="B1266" i="3"/>
  <c r="D1265" i="3"/>
  <c r="C1265" i="3"/>
  <c r="B1265" i="3"/>
  <c r="D1264" i="3"/>
  <c r="C1264" i="3"/>
  <c r="B1264" i="3"/>
  <c r="D1263" i="3"/>
  <c r="C1263" i="3"/>
  <c r="B1263" i="3"/>
  <c r="D1262" i="3"/>
  <c r="C1262" i="3"/>
  <c r="B1262" i="3"/>
  <c r="D1261" i="3"/>
  <c r="C1261" i="3"/>
  <c r="B1261" i="3"/>
  <c r="D1260" i="3"/>
  <c r="C1260" i="3"/>
  <c r="B1260" i="3"/>
  <c r="D1259" i="3"/>
  <c r="C1259" i="3"/>
  <c r="B1259" i="3"/>
  <c r="D1258" i="3"/>
  <c r="C1258" i="3"/>
  <c r="B1258" i="3"/>
  <c r="D1257" i="3"/>
  <c r="C1257" i="3"/>
  <c r="B1257" i="3"/>
  <c r="D1256" i="3"/>
  <c r="C1256" i="3"/>
  <c r="B1256" i="3"/>
  <c r="D1255" i="3"/>
  <c r="C1255" i="3"/>
  <c r="B1255" i="3"/>
  <c r="D1254" i="3"/>
  <c r="C1254" i="3"/>
  <c r="B1254" i="3"/>
  <c r="D1253" i="3"/>
  <c r="C1253" i="3"/>
  <c r="B1253" i="3"/>
  <c r="D1252" i="3"/>
  <c r="C1252" i="3"/>
  <c r="B1252" i="3"/>
  <c r="D1251" i="3"/>
  <c r="C1251" i="3"/>
  <c r="B1251" i="3"/>
  <c r="D1250" i="3"/>
  <c r="C1250" i="3"/>
  <c r="B1250" i="3"/>
  <c r="D1249" i="3"/>
  <c r="C1249" i="3"/>
  <c r="B1249" i="3"/>
  <c r="D1248" i="3"/>
  <c r="C1248" i="3"/>
  <c r="B1248" i="3"/>
  <c r="D1247" i="3"/>
  <c r="C1247" i="3"/>
  <c r="B1247" i="3"/>
  <c r="D1246" i="3"/>
  <c r="C1246" i="3"/>
  <c r="B1246" i="3"/>
  <c r="D1245" i="3"/>
  <c r="C1245" i="3"/>
  <c r="B1245" i="3"/>
  <c r="D1244" i="3"/>
  <c r="C1244" i="3"/>
  <c r="B1244" i="3"/>
  <c r="D1243" i="3"/>
  <c r="C1243" i="3"/>
  <c r="B1243" i="3"/>
  <c r="D1242" i="3"/>
  <c r="C1242" i="3"/>
  <c r="B1242" i="3"/>
  <c r="D1241" i="3"/>
  <c r="C1241" i="3"/>
  <c r="B1241" i="3"/>
  <c r="D1240" i="3"/>
  <c r="C1240" i="3"/>
  <c r="B1240" i="3"/>
  <c r="D1239" i="3"/>
  <c r="C1239" i="3"/>
  <c r="B1239" i="3"/>
  <c r="D1238" i="3"/>
  <c r="C1238" i="3"/>
  <c r="B1238" i="3"/>
  <c r="D1237" i="3"/>
  <c r="C1237" i="3"/>
  <c r="B1237" i="3"/>
  <c r="D1236" i="3"/>
  <c r="C1236" i="3"/>
  <c r="B1236" i="3"/>
  <c r="D1235" i="3"/>
  <c r="C1235" i="3"/>
  <c r="B1235" i="3"/>
  <c r="D1234" i="3"/>
  <c r="C1234" i="3"/>
  <c r="B1234" i="3"/>
  <c r="D1233" i="3"/>
  <c r="C1233" i="3"/>
  <c r="B1233" i="3"/>
  <c r="D1232" i="3"/>
  <c r="C1232" i="3"/>
  <c r="B1232" i="3"/>
  <c r="D1231" i="3"/>
  <c r="C1231" i="3"/>
  <c r="B1231" i="3"/>
  <c r="D1230" i="3"/>
  <c r="C1230" i="3"/>
  <c r="B1230" i="3"/>
  <c r="D1229" i="3"/>
  <c r="C1229" i="3"/>
  <c r="B1229" i="3"/>
  <c r="D1228" i="3"/>
  <c r="C1228" i="3"/>
  <c r="B1228" i="3"/>
  <c r="D1227" i="3"/>
  <c r="C1227" i="3"/>
  <c r="B1227" i="3"/>
  <c r="D1226" i="3"/>
  <c r="C1226" i="3"/>
  <c r="B1226" i="3"/>
  <c r="D1225" i="3"/>
  <c r="C1225" i="3"/>
  <c r="B1225" i="3"/>
  <c r="D1224" i="3"/>
  <c r="C1224" i="3"/>
  <c r="B1224" i="3"/>
  <c r="D1223" i="3"/>
  <c r="C1223" i="3"/>
  <c r="B1223" i="3"/>
  <c r="D1222" i="3"/>
  <c r="C1222" i="3"/>
  <c r="B1222" i="3"/>
  <c r="D1221" i="3"/>
  <c r="C1221" i="3"/>
  <c r="B1221" i="3"/>
  <c r="D1220" i="3"/>
  <c r="C1220" i="3"/>
  <c r="B1220" i="3"/>
  <c r="D1219" i="3"/>
  <c r="C1219" i="3"/>
  <c r="B1219" i="3"/>
  <c r="D1218" i="3"/>
  <c r="C1218" i="3"/>
  <c r="B1218" i="3"/>
  <c r="D1217" i="3"/>
  <c r="C1217" i="3"/>
  <c r="B1217" i="3"/>
  <c r="D1216" i="3"/>
  <c r="C1216" i="3"/>
  <c r="B1216" i="3"/>
  <c r="D1215" i="3"/>
  <c r="C1215" i="3"/>
  <c r="B1215" i="3"/>
  <c r="D1214" i="3"/>
  <c r="C1214" i="3"/>
  <c r="B1214" i="3"/>
  <c r="D1213" i="3"/>
  <c r="C1213" i="3"/>
  <c r="B1213" i="3"/>
  <c r="D1212" i="3"/>
  <c r="C1212" i="3"/>
  <c r="B1212" i="3"/>
  <c r="D1211" i="3"/>
  <c r="C1211" i="3"/>
  <c r="B1211" i="3"/>
  <c r="D1210" i="3"/>
  <c r="C1210" i="3"/>
  <c r="B1210" i="3"/>
  <c r="D1209" i="3"/>
  <c r="C1209" i="3"/>
  <c r="B1209" i="3"/>
  <c r="D1208" i="3"/>
  <c r="C1208" i="3"/>
  <c r="B1208" i="3"/>
  <c r="D1207" i="3"/>
  <c r="C1207" i="3"/>
  <c r="B1207" i="3"/>
  <c r="D1206" i="3"/>
  <c r="C1206" i="3"/>
  <c r="B1206" i="3"/>
  <c r="D1205" i="3"/>
  <c r="C1205" i="3"/>
  <c r="B1205" i="3"/>
  <c r="D1204" i="3"/>
  <c r="C1204" i="3"/>
  <c r="B1204" i="3"/>
  <c r="D1203" i="3"/>
  <c r="C1203" i="3"/>
  <c r="B1203" i="3"/>
  <c r="D1202" i="3"/>
  <c r="C1202" i="3"/>
  <c r="B1202" i="3"/>
  <c r="D1201" i="3"/>
  <c r="C1201" i="3"/>
  <c r="B1201" i="3"/>
  <c r="D1200" i="3"/>
  <c r="C1200" i="3"/>
  <c r="B1200" i="3"/>
  <c r="D1199" i="3"/>
  <c r="C1199" i="3"/>
  <c r="B1199" i="3"/>
  <c r="D1198" i="3"/>
  <c r="C1198" i="3"/>
  <c r="B1198" i="3"/>
  <c r="D1197" i="3"/>
  <c r="C1197" i="3"/>
  <c r="B1197" i="3"/>
  <c r="D1196" i="3"/>
  <c r="C1196" i="3"/>
  <c r="B1196" i="3"/>
  <c r="D1195" i="3"/>
  <c r="C1195" i="3"/>
  <c r="B1195" i="3"/>
  <c r="D1194" i="3"/>
  <c r="C1194" i="3"/>
  <c r="B1194" i="3"/>
  <c r="D1193" i="3"/>
  <c r="C1193" i="3"/>
  <c r="B1193" i="3"/>
  <c r="D1192" i="3"/>
  <c r="C1192" i="3"/>
  <c r="B1192" i="3"/>
  <c r="D1191" i="3"/>
  <c r="C1191" i="3"/>
  <c r="B1191" i="3"/>
  <c r="D1190" i="3"/>
  <c r="C1190" i="3"/>
  <c r="B1190" i="3"/>
  <c r="D1189" i="3"/>
  <c r="C1189" i="3"/>
  <c r="B1189" i="3"/>
  <c r="D1188" i="3"/>
  <c r="C1188" i="3"/>
  <c r="B1188" i="3"/>
  <c r="D1187" i="3"/>
  <c r="C1187" i="3"/>
  <c r="B1187" i="3"/>
  <c r="D1186" i="3"/>
  <c r="C1186" i="3"/>
  <c r="B1186" i="3"/>
  <c r="D1185" i="3"/>
  <c r="C1185" i="3"/>
  <c r="B1185" i="3"/>
  <c r="D1184" i="3"/>
  <c r="C1184" i="3"/>
  <c r="B1184" i="3"/>
  <c r="D1183" i="3"/>
  <c r="C1183" i="3"/>
  <c r="B1183" i="3"/>
  <c r="D1182" i="3"/>
  <c r="C1182" i="3"/>
  <c r="B1182" i="3"/>
  <c r="D1181" i="3"/>
  <c r="C1181" i="3"/>
  <c r="B1181" i="3"/>
  <c r="D1180" i="3"/>
  <c r="C1180" i="3"/>
  <c r="B1180" i="3"/>
  <c r="D1179" i="3"/>
  <c r="C1179" i="3"/>
  <c r="B1179" i="3"/>
  <c r="D1178" i="3"/>
  <c r="C1178" i="3"/>
  <c r="B1178" i="3"/>
  <c r="D1177" i="3"/>
  <c r="C1177" i="3"/>
  <c r="B1177" i="3"/>
  <c r="D1176" i="3"/>
  <c r="C1176" i="3"/>
  <c r="B1176" i="3"/>
  <c r="D1175" i="3"/>
  <c r="C1175" i="3"/>
  <c r="B1175" i="3"/>
  <c r="D1174" i="3"/>
  <c r="C1174" i="3"/>
  <c r="B1174" i="3"/>
  <c r="D1173" i="3"/>
  <c r="C1173" i="3"/>
  <c r="B1173" i="3"/>
  <c r="D1172" i="3"/>
  <c r="C1172" i="3"/>
  <c r="B1172" i="3"/>
  <c r="D1171" i="3"/>
  <c r="C1171" i="3"/>
  <c r="B1171" i="3"/>
  <c r="D1170" i="3"/>
  <c r="C1170" i="3"/>
  <c r="B1170" i="3"/>
  <c r="D1169" i="3"/>
  <c r="C1169" i="3"/>
  <c r="B1169" i="3"/>
  <c r="D1168" i="3"/>
  <c r="C1168" i="3"/>
  <c r="B1168" i="3"/>
  <c r="D1167" i="3"/>
  <c r="C1167" i="3"/>
  <c r="B1167" i="3"/>
  <c r="D1166" i="3"/>
  <c r="C1166" i="3"/>
  <c r="B1166" i="3"/>
  <c r="D1165" i="3"/>
  <c r="C1165" i="3"/>
  <c r="B1165" i="3"/>
  <c r="D1164" i="3"/>
  <c r="C1164" i="3"/>
  <c r="B1164" i="3"/>
  <c r="D1163" i="3"/>
  <c r="C1163" i="3"/>
  <c r="B1163" i="3"/>
  <c r="D1162" i="3"/>
  <c r="C1162" i="3"/>
  <c r="B1162" i="3"/>
  <c r="D1161" i="3"/>
  <c r="C1161" i="3"/>
  <c r="B1161" i="3"/>
  <c r="D1160" i="3"/>
  <c r="C1160" i="3"/>
  <c r="B1160" i="3"/>
  <c r="D1159" i="3"/>
  <c r="C1159" i="3"/>
  <c r="B1159" i="3"/>
  <c r="D1158" i="3"/>
  <c r="C1158" i="3"/>
  <c r="B1158" i="3"/>
  <c r="D1157" i="3"/>
  <c r="C1157" i="3"/>
  <c r="B1157" i="3"/>
  <c r="D1156" i="3"/>
  <c r="C1156" i="3"/>
  <c r="B1156" i="3"/>
  <c r="D1155" i="3"/>
  <c r="C1155" i="3"/>
  <c r="B1155" i="3"/>
  <c r="D1154" i="3"/>
  <c r="C1154" i="3"/>
  <c r="B1154" i="3"/>
  <c r="D1153" i="3"/>
  <c r="C1153" i="3"/>
  <c r="B1153" i="3"/>
  <c r="D1152" i="3"/>
  <c r="C1152" i="3"/>
  <c r="B1152" i="3"/>
  <c r="D1151" i="3"/>
  <c r="C1151" i="3"/>
  <c r="B1151" i="3"/>
  <c r="D1150" i="3"/>
  <c r="C1150" i="3"/>
  <c r="B1150" i="3"/>
  <c r="D1149" i="3"/>
  <c r="C1149" i="3"/>
  <c r="B1149" i="3"/>
  <c r="D1148" i="3"/>
  <c r="C1148" i="3"/>
  <c r="B1148" i="3"/>
  <c r="D1147" i="3"/>
  <c r="C1147" i="3"/>
  <c r="B1147" i="3"/>
  <c r="D1146" i="3"/>
  <c r="C1146" i="3"/>
  <c r="B1146" i="3"/>
  <c r="D1145" i="3"/>
  <c r="C1145" i="3"/>
  <c r="B1145" i="3"/>
  <c r="D1144" i="3"/>
  <c r="C1144" i="3"/>
  <c r="B1144" i="3"/>
  <c r="D1143" i="3"/>
  <c r="C1143" i="3"/>
  <c r="B1143" i="3"/>
  <c r="D1142" i="3"/>
  <c r="C1142" i="3"/>
  <c r="B1142" i="3"/>
  <c r="D1141" i="3"/>
  <c r="C1141" i="3"/>
  <c r="B1141" i="3"/>
  <c r="D1140" i="3"/>
  <c r="C1140" i="3"/>
  <c r="B1140" i="3"/>
  <c r="D1139" i="3"/>
  <c r="C1139" i="3"/>
  <c r="B1139" i="3"/>
  <c r="D1138" i="3"/>
  <c r="C1138" i="3"/>
  <c r="B1138" i="3"/>
  <c r="D1137" i="3"/>
  <c r="C1137" i="3"/>
  <c r="B1137" i="3"/>
  <c r="D1136" i="3"/>
  <c r="C1136" i="3"/>
  <c r="B1136" i="3"/>
  <c r="D1135" i="3"/>
  <c r="C1135" i="3"/>
  <c r="B1135" i="3"/>
  <c r="D1134" i="3"/>
  <c r="C1134" i="3"/>
  <c r="B1134" i="3"/>
  <c r="D1133" i="3"/>
  <c r="C1133" i="3"/>
  <c r="B1133" i="3"/>
  <c r="D1132" i="3"/>
  <c r="C1132" i="3"/>
  <c r="B1132" i="3"/>
  <c r="D1131" i="3"/>
  <c r="C1131" i="3"/>
  <c r="B1131" i="3"/>
  <c r="D1130" i="3"/>
  <c r="C1130" i="3"/>
  <c r="B1130" i="3"/>
  <c r="D1129" i="3"/>
  <c r="C1129" i="3"/>
  <c r="B1129" i="3"/>
  <c r="D1128" i="3"/>
  <c r="C1128" i="3"/>
  <c r="B1128" i="3"/>
  <c r="D1127" i="3"/>
  <c r="C1127" i="3"/>
  <c r="B1127" i="3"/>
  <c r="D1126" i="3"/>
  <c r="C1126" i="3"/>
  <c r="B1126" i="3"/>
  <c r="D1125" i="3"/>
  <c r="C1125" i="3"/>
  <c r="B1125" i="3"/>
  <c r="D1124" i="3"/>
  <c r="C1124" i="3"/>
  <c r="B1124" i="3"/>
  <c r="D1123" i="3"/>
  <c r="C1123" i="3"/>
  <c r="B1123" i="3"/>
  <c r="D1122" i="3"/>
  <c r="C1122" i="3"/>
  <c r="B1122" i="3"/>
  <c r="D1121" i="3"/>
  <c r="C1121" i="3"/>
  <c r="B1121" i="3"/>
  <c r="D1120" i="3"/>
  <c r="C1120" i="3"/>
  <c r="B1120" i="3"/>
  <c r="D1119" i="3"/>
  <c r="C1119" i="3"/>
  <c r="B1119" i="3"/>
  <c r="D1118" i="3"/>
  <c r="C1118" i="3"/>
  <c r="B1118" i="3"/>
  <c r="D1117" i="3"/>
  <c r="C1117" i="3"/>
  <c r="B1117" i="3"/>
  <c r="D1116" i="3"/>
  <c r="C1116" i="3"/>
  <c r="B1116" i="3"/>
  <c r="D1115" i="3"/>
  <c r="C1115" i="3"/>
  <c r="B1115" i="3"/>
  <c r="D1114" i="3"/>
  <c r="C1114" i="3"/>
  <c r="B1114" i="3"/>
  <c r="D1113" i="3"/>
  <c r="C1113" i="3"/>
  <c r="B1113" i="3"/>
  <c r="D1112" i="3"/>
  <c r="C1112" i="3"/>
  <c r="B1112" i="3"/>
  <c r="D1111" i="3"/>
  <c r="C1111" i="3"/>
  <c r="B1111" i="3"/>
  <c r="D1110" i="3"/>
  <c r="C1110" i="3"/>
  <c r="B1110" i="3"/>
  <c r="D1109" i="3"/>
  <c r="C1109" i="3"/>
  <c r="B1109" i="3"/>
  <c r="D1108" i="3"/>
  <c r="C1108" i="3"/>
  <c r="B1108" i="3"/>
  <c r="D1107" i="3"/>
  <c r="C1107" i="3"/>
  <c r="B1107" i="3"/>
  <c r="D1106" i="3"/>
  <c r="C1106" i="3"/>
  <c r="B1106" i="3"/>
  <c r="D1105" i="3"/>
  <c r="C1105" i="3"/>
  <c r="B1105" i="3"/>
  <c r="D1104" i="3"/>
  <c r="C1104" i="3"/>
  <c r="B1104" i="3"/>
  <c r="D1103" i="3"/>
  <c r="C1103" i="3"/>
  <c r="B1103" i="3"/>
  <c r="D1102" i="3"/>
  <c r="C1102" i="3"/>
  <c r="B1102" i="3"/>
  <c r="D1101" i="3"/>
  <c r="C1101" i="3"/>
  <c r="B1101" i="3"/>
  <c r="D1100" i="3"/>
  <c r="C1100" i="3"/>
  <c r="B1100" i="3"/>
  <c r="D1099" i="3"/>
  <c r="C1099" i="3"/>
  <c r="B1099" i="3"/>
  <c r="D1098" i="3"/>
  <c r="C1098" i="3"/>
  <c r="B1098" i="3"/>
  <c r="D1097" i="3"/>
  <c r="C1097" i="3"/>
  <c r="B1097" i="3"/>
  <c r="D1096" i="3"/>
  <c r="C1096" i="3"/>
  <c r="B1096" i="3"/>
  <c r="D1095" i="3"/>
  <c r="C1095" i="3"/>
  <c r="B1095" i="3"/>
  <c r="D1094" i="3"/>
  <c r="C1094" i="3"/>
  <c r="B1094" i="3"/>
  <c r="D1093" i="3"/>
  <c r="C1093" i="3"/>
  <c r="B1093" i="3"/>
  <c r="D1092" i="3"/>
  <c r="C1092" i="3"/>
  <c r="B1092" i="3"/>
  <c r="D1091" i="3"/>
  <c r="C1091" i="3"/>
  <c r="B1091" i="3"/>
  <c r="D1090" i="3"/>
  <c r="C1090" i="3"/>
  <c r="B1090" i="3"/>
  <c r="D1089" i="3"/>
  <c r="C1089" i="3"/>
  <c r="B1089" i="3"/>
  <c r="D1088" i="3"/>
  <c r="C1088" i="3"/>
  <c r="B1088" i="3"/>
  <c r="D1087" i="3"/>
  <c r="C1087" i="3"/>
  <c r="B1087" i="3"/>
  <c r="D1086" i="3"/>
  <c r="C1086" i="3"/>
  <c r="B1086" i="3"/>
  <c r="D1085" i="3"/>
  <c r="C1085" i="3"/>
  <c r="B1085" i="3"/>
  <c r="D1084" i="3"/>
  <c r="C1084" i="3"/>
  <c r="B1084" i="3"/>
  <c r="D1083" i="3"/>
  <c r="C1083" i="3"/>
  <c r="B1083" i="3"/>
  <c r="D1082" i="3"/>
  <c r="C1082" i="3"/>
  <c r="B1082" i="3"/>
  <c r="D1081" i="3"/>
  <c r="C1081" i="3"/>
  <c r="B1081" i="3"/>
  <c r="D1080" i="3"/>
  <c r="C1080" i="3"/>
  <c r="B1080" i="3"/>
  <c r="D1079" i="3"/>
  <c r="C1079" i="3"/>
  <c r="B1079" i="3"/>
  <c r="D1078" i="3"/>
  <c r="C1078" i="3"/>
  <c r="B1078" i="3"/>
  <c r="D1077" i="3"/>
  <c r="C1077" i="3"/>
  <c r="B1077" i="3"/>
  <c r="D1076" i="3"/>
  <c r="C1076" i="3"/>
  <c r="B1076" i="3"/>
  <c r="D1075" i="3"/>
  <c r="C1075" i="3"/>
  <c r="B1075" i="3"/>
  <c r="D1074" i="3"/>
  <c r="C1074" i="3"/>
  <c r="B1074" i="3"/>
  <c r="D1073" i="3"/>
  <c r="C1073" i="3"/>
  <c r="B1073" i="3"/>
  <c r="D1072" i="3"/>
  <c r="C1072" i="3"/>
  <c r="B1072" i="3"/>
  <c r="D1071" i="3"/>
  <c r="C1071" i="3"/>
  <c r="B1071" i="3"/>
  <c r="D1070" i="3"/>
  <c r="C1070" i="3"/>
  <c r="B1070" i="3"/>
  <c r="D1069" i="3"/>
  <c r="C1069" i="3"/>
  <c r="B1069" i="3"/>
  <c r="D1068" i="3"/>
  <c r="C1068" i="3"/>
  <c r="B1068" i="3"/>
  <c r="D1067" i="3"/>
  <c r="C1067" i="3"/>
  <c r="B1067" i="3"/>
  <c r="D1066" i="3"/>
  <c r="C1066" i="3"/>
  <c r="B1066" i="3"/>
  <c r="D1065" i="3"/>
  <c r="C1065" i="3"/>
  <c r="B1065" i="3"/>
  <c r="D1064" i="3"/>
  <c r="C1064" i="3"/>
  <c r="B1064" i="3"/>
  <c r="D1063" i="3"/>
  <c r="C1063" i="3"/>
  <c r="B1063" i="3"/>
  <c r="D1062" i="3"/>
  <c r="C1062" i="3"/>
  <c r="B1062" i="3"/>
  <c r="D1061" i="3"/>
  <c r="C1061" i="3"/>
  <c r="B1061" i="3"/>
  <c r="D1060" i="3"/>
  <c r="C1060" i="3"/>
  <c r="B1060" i="3"/>
  <c r="D1059" i="3"/>
  <c r="C1059" i="3"/>
  <c r="B1059" i="3"/>
  <c r="D1058" i="3"/>
  <c r="C1058" i="3"/>
  <c r="B1058" i="3"/>
  <c r="D1057" i="3"/>
  <c r="C1057" i="3"/>
  <c r="B1057" i="3"/>
  <c r="D1056" i="3"/>
  <c r="C1056" i="3"/>
  <c r="B1056" i="3"/>
  <c r="D1055" i="3"/>
  <c r="C1055" i="3"/>
  <c r="B1055" i="3"/>
  <c r="D1054" i="3"/>
  <c r="C1054" i="3"/>
  <c r="B1054" i="3"/>
  <c r="D1053" i="3"/>
  <c r="C1053" i="3"/>
  <c r="B1053" i="3"/>
  <c r="D1052" i="3"/>
  <c r="C1052" i="3"/>
  <c r="B1052" i="3"/>
  <c r="D1051" i="3"/>
  <c r="C1051" i="3"/>
  <c r="B1051" i="3"/>
  <c r="D1050" i="3"/>
  <c r="C1050" i="3"/>
  <c r="B1050" i="3"/>
  <c r="D1049" i="3"/>
  <c r="C1049" i="3"/>
  <c r="B1049" i="3"/>
  <c r="D1048" i="3"/>
  <c r="C1048" i="3"/>
  <c r="B1048" i="3"/>
  <c r="D1047" i="3"/>
  <c r="C1047" i="3"/>
  <c r="B1047" i="3"/>
  <c r="D1046" i="3"/>
  <c r="C1046" i="3"/>
  <c r="B1046" i="3"/>
  <c r="D1045" i="3"/>
  <c r="C1045" i="3"/>
  <c r="B1045" i="3"/>
  <c r="D1044" i="3"/>
  <c r="C1044" i="3"/>
  <c r="B1044" i="3"/>
  <c r="D1043" i="3"/>
  <c r="C1043" i="3"/>
  <c r="B1043" i="3"/>
  <c r="D1042" i="3"/>
  <c r="C1042" i="3"/>
  <c r="B1042" i="3"/>
  <c r="D1041" i="3"/>
  <c r="C1041" i="3"/>
  <c r="B1041" i="3"/>
  <c r="D1040" i="3"/>
  <c r="C1040" i="3"/>
  <c r="B1040" i="3"/>
  <c r="D1039" i="3"/>
  <c r="C1039" i="3"/>
  <c r="B1039" i="3"/>
  <c r="D1038" i="3"/>
  <c r="C1038" i="3"/>
  <c r="B1038" i="3"/>
  <c r="D1037" i="3"/>
  <c r="C1037" i="3"/>
  <c r="B1037" i="3"/>
  <c r="D1036" i="3"/>
  <c r="C1036" i="3"/>
  <c r="B1036" i="3"/>
  <c r="D1035" i="3"/>
  <c r="C1035" i="3"/>
  <c r="B1035" i="3"/>
  <c r="D1034" i="3"/>
  <c r="C1034" i="3"/>
  <c r="B1034" i="3"/>
  <c r="D1033" i="3"/>
  <c r="C1033" i="3"/>
  <c r="B1033" i="3"/>
  <c r="D1032" i="3"/>
  <c r="C1032" i="3"/>
  <c r="B1032" i="3"/>
  <c r="D1031" i="3"/>
  <c r="C1031" i="3"/>
  <c r="B1031" i="3"/>
  <c r="D1030" i="3"/>
  <c r="C1030" i="3"/>
  <c r="B1030" i="3"/>
  <c r="D1029" i="3"/>
  <c r="C1029" i="3"/>
  <c r="B1029" i="3"/>
  <c r="D1028" i="3"/>
  <c r="C1028" i="3"/>
  <c r="B1028" i="3"/>
  <c r="D1027" i="3"/>
  <c r="C1027" i="3"/>
  <c r="B1027" i="3"/>
  <c r="D1026" i="3"/>
  <c r="C1026" i="3"/>
  <c r="B1026" i="3"/>
  <c r="D1025" i="3"/>
  <c r="C1025" i="3"/>
  <c r="B1025" i="3"/>
  <c r="D1024" i="3"/>
  <c r="C1024" i="3"/>
  <c r="B1024" i="3"/>
  <c r="D1023" i="3"/>
  <c r="C1023" i="3"/>
  <c r="B1023" i="3"/>
  <c r="D1022" i="3"/>
  <c r="C1022" i="3"/>
  <c r="B1022" i="3"/>
  <c r="D1021" i="3"/>
  <c r="C1021" i="3"/>
  <c r="B1021" i="3"/>
  <c r="D1020" i="3"/>
  <c r="C1020" i="3"/>
  <c r="B1020" i="3"/>
  <c r="D1019" i="3"/>
  <c r="C1019" i="3"/>
  <c r="B1019" i="3"/>
  <c r="D1018" i="3"/>
  <c r="C1018" i="3"/>
  <c r="B1018" i="3"/>
  <c r="D1017" i="3"/>
  <c r="C1017" i="3"/>
  <c r="B1017" i="3"/>
  <c r="D1016" i="3"/>
  <c r="C1016" i="3"/>
  <c r="B1016" i="3"/>
  <c r="D1015" i="3"/>
  <c r="C1015" i="3"/>
  <c r="B1015" i="3"/>
  <c r="D1014" i="3"/>
  <c r="C1014" i="3"/>
  <c r="B1014" i="3"/>
  <c r="D1013" i="3"/>
  <c r="C1013" i="3"/>
  <c r="B1013" i="3"/>
  <c r="D1012" i="3"/>
  <c r="C1012" i="3"/>
  <c r="B1012" i="3"/>
  <c r="D1011" i="3"/>
  <c r="C1011" i="3"/>
  <c r="B1011" i="3"/>
  <c r="D1010" i="3"/>
  <c r="C1010" i="3"/>
  <c r="B1010" i="3"/>
  <c r="D1009" i="3"/>
  <c r="C1009" i="3"/>
  <c r="B1009" i="3"/>
  <c r="D1008" i="3"/>
  <c r="C1008" i="3"/>
  <c r="B1008" i="3"/>
  <c r="D1007" i="3"/>
  <c r="C1007" i="3"/>
  <c r="B1007" i="3"/>
  <c r="D1006" i="3"/>
  <c r="C1006" i="3"/>
  <c r="B1006" i="3"/>
  <c r="D1005" i="3"/>
  <c r="C1005" i="3"/>
  <c r="B1005" i="3"/>
  <c r="D1004" i="3"/>
  <c r="C1004" i="3"/>
  <c r="B1004" i="3"/>
  <c r="D1003" i="3"/>
  <c r="C1003" i="3"/>
  <c r="B1003" i="3"/>
  <c r="D1002" i="3"/>
  <c r="C1002" i="3"/>
  <c r="B1002" i="3"/>
  <c r="D1001" i="3"/>
  <c r="C1001" i="3"/>
  <c r="B1001" i="3"/>
  <c r="D1000" i="3"/>
  <c r="C1000" i="3"/>
  <c r="B1000" i="3"/>
  <c r="D999" i="3"/>
  <c r="C999" i="3"/>
  <c r="B999" i="3"/>
  <c r="D998" i="3"/>
  <c r="C998" i="3"/>
  <c r="B998" i="3"/>
  <c r="D997" i="3"/>
  <c r="C997" i="3"/>
  <c r="B997" i="3"/>
  <c r="D996" i="3"/>
  <c r="C996" i="3"/>
  <c r="B996" i="3"/>
  <c r="D995" i="3"/>
  <c r="C995" i="3"/>
  <c r="B995" i="3"/>
  <c r="D994" i="3"/>
  <c r="C994" i="3"/>
  <c r="B994" i="3"/>
  <c r="D993" i="3"/>
  <c r="C993" i="3"/>
  <c r="B993" i="3"/>
  <c r="D992" i="3"/>
  <c r="C992" i="3"/>
  <c r="B992" i="3"/>
  <c r="D991" i="3"/>
  <c r="C991" i="3"/>
  <c r="B991" i="3"/>
  <c r="D990" i="3"/>
  <c r="C990" i="3"/>
  <c r="B990" i="3"/>
  <c r="D989" i="3"/>
  <c r="C989" i="3"/>
  <c r="B989" i="3"/>
  <c r="D988" i="3"/>
  <c r="C988" i="3"/>
  <c r="B988" i="3"/>
  <c r="D987" i="3"/>
  <c r="C987" i="3"/>
  <c r="B987" i="3"/>
  <c r="D986" i="3"/>
  <c r="C986" i="3"/>
  <c r="B986" i="3"/>
  <c r="D985" i="3"/>
  <c r="C985" i="3"/>
  <c r="B985" i="3"/>
  <c r="D984" i="3"/>
  <c r="C984" i="3"/>
  <c r="B984" i="3"/>
  <c r="D983" i="3"/>
  <c r="C983" i="3"/>
  <c r="B983" i="3"/>
  <c r="D982" i="3"/>
  <c r="C982" i="3"/>
  <c r="B982" i="3"/>
  <c r="D981" i="3"/>
  <c r="C981" i="3"/>
  <c r="B981" i="3"/>
  <c r="D980" i="3"/>
  <c r="C980" i="3"/>
  <c r="B980" i="3"/>
  <c r="D979" i="3"/>
  <c r="C979" i="3"/>
  <c r="B979" i="3"/>
  <c r="D978" i="3"/>
  <c r="C978" i="3"/>
  <c r="B978" i="3"/>
  <c r="D977" i="3"/>
  <c r="C977" i="3"/>
  <c r="B977" i="3"/>
  <c r="D976" i="3"/>
  <c r="C976" i="3"/>
  <c r="B976" i="3"/>
  <c r="D975" i="3"/>
  <c r="C975" i="3"/>
  <c r="B975" i="3"/>
  <c r="D974" i="3"/>
  <c r="C974" i="3"/>
  <c r="B974" i="3"/>
  <c r="D973" i="3"/>
  <c r="C973" i="3"/>
  <c r="B973" i="3"/>
  <c r="D972" i="3"/>
  <c r="C972" i="3"/>
  <c r="B972" i="3"/>
  <c r="D971" i="3"/>
  <c r="C971" i="3"/>
  <c r="B971" i="3"/>
  <c r="D970" i="3"/>
  <c r="C970" i="3"/>
  <c r="B970" i="3"/>
  <c r="D969" i="3"/>
  <c r="C969" i="3"/>
  <c r="B969" i="3"/>
  <c r="D968" i="3"/>
  <c r="C968" i="3"/>
  <c r="B968" i="3"/>
  <c r="D967" i="3"/>
  <c r="C967" i="3"/>
  <c r="B967" i="3"/>
  <c r="D966" i="3"/>
  <c r="C966" i="3"/>
  <c r="B966" i="3"/>
  <c r="D965" i="3"/>
  <c r="C965" i="3"/>
  <c r="B965" i="3"/>
  <c r="D964" i="3"/>
  <c r="C964" i="3"/>
  <c r="B964" i="3"/>
  <c r="D963" i="3"/>
  <c r="C963" i="3"/>
  <c r="B963" i="3"/>
  <c r="D962" i="3"/>
  <c r="C962" i="3"/>
  <c r="B962" i="3"/>
  <c r="D961" i="3"/>
  <c r="C961" i="3"/>
  <c r="B961" i="3"/>
  <c r="D960" i="3"/>
  <c r="C960" i="3"/>
  <c r="B960" i="3"/>
  <c r="D959" i="3"/>
  <c r="C959" i="3"/>
  <c r="B959" i="3"/>
  <c r="D958" i="3"/>
  <c r="C958" i="3"/>
  <c r="B958" i="3"/>
  <c r="D957" i="3"/>
  <c r="C957" i="3"/>
  <c r="B957" i="3"/>
  <c r="D956" i="3"/>
  <c r="C956" i="3"/>
  <c r="B956" i="3"/>
  <c r="D955" i="3"/>
  <c r="C955" i="3"/>
  <c r="B955" i="3"/>
  <c r="D954" i="3"/>
  <c r="C954" i="3"/>
  <c r="B954" i="3"/>
  <c r="D953" i="3"/>
  <c r="C953" i="3"/>
  <c r="B953" i="3"/>
  <c r="D952" i="3"/>
  <c r="C952" i="3"/>
  <c r="B952" i="3"/>
  <c r="D951" i="3"/>
  <c r="C951" i="3"/>
  <c r="B951" i="3"/>
  <c r="D950" i="3"/>
  <c r="C950" i="3"/>
  <c r="B950" i="3"/>
  <c r="D949" i="3"/>
  <c r="C949" i="3"/>
  <c r="B949" i="3"/>
  <c r="D948" i="3"/>
  <c r="C948" i="3"/>
  <c r="B948" i="3"/>
  <c r="D947" i="3"/>
  <c r="C947" i="3"/>
  <c r="B947" i="3"/>
  <c r="D946" i="3"/>
  <c r="C946" i="3"/>
  <c r="B946" i="3"/>
  <c r="D945" i="3"/>
  <c r="C945" i="3"/>
  <c r="B945" i="3"/>
  <c r="D944" i="3"/>
  <c r="C944" i="3"/>
  <c r="B944" i="3"/>
  <c r="D943" i="3"/>
  <c r="C943" i="3"/>
  <c r="B943" i="3"/>
  <c r="D942" i="3"/>
  <c r="C942" i="3"/>
  <c r="B942" i="3"/>
  <c r="D941" i="3"/>
  <c r="C941" i="3"/>
  <c r="B941" i="3"/>
  <c r="D940" i="3"/>
  <c r="C940" i="3"/>
  <c r="B940" i="3"/>
  <c r="D939" i="3"/>
  <c r="C939" i="3"/>
  <c r="B939" i="3"/>
  <c r="D938" i="3"/>
  <c r="C938" i="3"/>
  <c r="B938" i="3"/>
  <c r="D937" i="3"/>
  <c r="C937" i="3"/>
  <c r="B937" i="3"/>
  <c r="D936" i="3"/>
  <c r="C936" i="3"/>
  <c r="B936" i="3"/>
  <c r="D935" i="3"/>
  <c r="C935" i="3"/>
  <c r="B935" i="3"/>
  <c r="D934" i="3"/>
  <c r="C934" i="3"/>
  <c r="B934" i="3"/>
  <c r="D933" i="3"/>
  <c r="C933" i="3"/>
  <c r="B933" i="3"/>
  <c r="D932" i="3"/>
  <c r="C932" i="3"/>
  <c r="B932" i="3"/>
  <c r="D931" i="3"/>
  <c r="C931" i="3"/>
  <c r="B931" i="3"/>
  <c r="D930" i="3"/>
  <c r="C930" i="3"/>
  <c r="B930" i="3"/>
  <c r="D929" i="3"/>
  <c r="C929" i="3"/>
  <c r="B929" i="3"/>
  <c r="D928" i="3"/>
  <c r="C928" i="3"/>
  <c r="B928" i="3"/>
  <c r="D927" i="3"/>
  <c r="C927" i="3"/>
  <c r="B927" i="3"/>
  <c r="D926" i="3"/>
  <c r="C926" i="3"/>
  <c r="B926" i="3"/>
  <c r="D925" i="3"/>
  <c r="C925" i="3"/>
  <c r="B925" i="3"/>
  <c r="D924" i="3"/>
  <c r="C924" i="3"/>
  <c r="B924" i="3"/>
  <c r="D923" i="3"/>
  <c r="C923" i="3"/>
  <c r="B923" i="3"/>
  <c r="D922" i="3"/>
  <c r="C922" i="3"/>
  <c r="B922" i="3"/>
  <c r="D921" i="3"/>
  <c r="C921" i="3"/>
  <c r="B921" i="3"/>
  <c r="D920" i="3"/>
  <c r="C920" i="3"/>
  <c r="B920" i="3"/>
  <c r="D919" i="3"/>
  <c r="C919" i="3"/>
  <c r="B919" i="3"/>
  <c r="D918" i="3"/>
  <c r="C918" i="3"/>
  <c r="B918" i="3"/>
  <c r="D917" i="3"/>
  <c r="C917" i="3"/>
  <c r="B917" i="3"/>
  <c r="D916" i="3"/>
  <c r="C916" i="3"/>
  <c r="B916" i="3"/>
  <c r="D915" i="3"/>
  <c r="C915" i="3"/>
  <c r="B915" i="3"/>
  <c r="D914" i="3"/>
  <c r="C914" i="3"/>
  <c r="B914" i="3"/>
  <c r="D913" i="3"/>
  <c r="C913" i="3"/>
  <c r="B913" i="3"/>
  <c r="D912" i="3"/>
  <c r="C912" i="3"/>
  <c r="B912" i="3"/>
  <c r="D911" i="3"/>
  <c r="C911" i="3"/>
  <c r="B911" i="3"/>
  <c r="D910" i="3"/>
  <c r="C910" i="3"/>
  <c r="B910" i="3"/>
  <c r="D909" i="3"/>
  <c r="C909" i="3"/>
  <c r="B909" i="3"/>
  <c r="D908" i="3"/>
  <c r="C908" i="3"/>
  <c r="B908" i="3"/>
  <c r="D907" i="3"/>
  <c r="C907" i="3"/>
  <c r="B907" i="3"/>
  <c r="D906" i="3"/>
  <c r="C906" i="3"/>
  <c r="B906" i="3"/>
  <c r="D905" i="3"/>
  <c r="C905" i="3"/>
  <c r="B905" i="3"/>
  <c r="D904" i="3"/>
  <c r="C904" i="3"/>
  <c r="B904" i="3"/>
  <c r="D903" i="3"/>
  <c r="C903" i="3"/>
  <c r="B903" i="3"/>
  <c r="D902" i="3"/>
  <c r="C902" i="3"/>
  <c r="B902" i="3"/>
  <c r="D901" i="3"/>
  <c r="C901" i="3"/>
  <c r="B901" i="3"/>
  <c r="D900" i="3"/>
  <c r="C900" i="3"/>
  <c r="B900" i="3"/>
  <c r="D899" i="3"/>
  <c r="C899" i="3"/>
  <c r="B899" i="3"/>
  <c r="D898" i="3"/>
  <c r="C898" i="3"/>
  <c r="B898" i="3"/>
  <c r="D897" i="3"/>
  <c r="C897" i="3"/>
  <c r="B897" i="3"/>
  <c r="D896" i="3"/>
  <c r="C896" i="3"/>
  <c r="B896" i="3"/>
  <c r="D895" i="3"/>
  <c r="C895" i="3"/>
  <c r="B895" i="3"/>
  <c r="D894" i="3"/>
  <c r="C894" i="3"/>
  <c r="B894" i="3"/>
  <c r="D893" i="3"/>
  <c r="C893" i="3"/>
  <c r="B893" i="3"/>
  <c r="D892" i="3"/>
  <c r="C892" i="3"/>
  <c r="B892" i="3"/>
  <c r="D891" i="3"/>
  <c r="C891" i="3"/>
  <c r="B891" i="3"/>
  <c r="D890" i="3"/>
  <c r="C890" i="3"/>
  <c r="B890" i="3"/>
  <c r="D889" i="3"/>
  <c r="C889" i="3"/>
  <c r="B889" i="3"/>
  <c r="D888" i="3"/>
  <c r="C888" i="3"/>
  <c r="B888" i="3"/>
  <c r="D887" i="3"/>
  <c r="C887" i="3"/>
  <c r="B887" i="3"/>
  <c r="D886" i="3"/>
  <c r="C886" i="3"/>
  <c r="B886" i="3"/>
  <c r="D885" i="3"/>
  <c r="C885" i="3"/>
  <c r="B885" i="3"/>
  <c r="D884" i="3"/>
  <c r="C884" i="3"/>
  <c r="B884" i="3"/>
  <c r="D883" i="3"/>
  <c r="C883" i="3"/>
  <c r="B883" i="3"/>
  <c r="D882" i="3"/>
  <c r="C882" i="3"/>
  <c r="B882" i="3"/>
  <c r="D881" i="3"/>
  <c r="C881" i="3"/>
  <c r="B881" i="3"/>
  <c r="D880" i="3"/>
  <c r="C880" i="3"/>
  <c r="B880" i="3"/>
  <c r="D879" i="3"/>
  <c r="C879" i="3"/>
  <c r="B879" i="3"/>
  <c r="D878" i="3"/>
  <c r="C878" i="3"/>
  <c r="B878" i="3"/>
  <c r="D877" i="3"/>
  <c r="C877" i="3"/>
  <c r="B877" i="3"/>
  <c r="D876" i="3"/>
  <c r="C876" i="3"/>
  <c r="B876" i="3"/>
  <c r="D875" i="3"/>
  <c r="C875" i="3"/>
  <c r="B875" i="3"/>
  <c r="D874" i="3"/>
  <c r="C874" i="3"/>
  <c r="B874" i="3"/>
  <c r="D873" i="3"/>
  <c r="C873" i="3"/>
  <c r="B873" i="3"/>
  <c r="D872" i="3"/>
  <c r="C872" i="3"/>
  <c r="B872" i="3"/>
  <c r="D871" i="3"/>
  <c r="C871" i="3"/>
  <c r="B871" i="3"/>
  <c r="D870" i="3"/>
  <c r="C870" i="3"/>
  <c r="B870" i="3"/>
  <c r="D869" i="3"/>
  <c r="C869" i="3"/>
  <c r="B869" i="3"/>
  <c r="D868" i="3"/>
  <c r="C868" i="3"/>
  <c r="B868" i="3"/>
  <c r="D867" i="3"/>
  <c r="C867" i="3"/>
  <c r="B867" i="3"/>
  <c r="D866" i="3"/>
  <c r="C866" i="3"/>
  <c r="B866" i="3"/>
  <c r="D865" i="3"/>
  <c r="C865" i="3"/>
  <c r="B865" i="3"/>
  <c r="D864" i="3"/>
  <c r="C864" i="3"/>
  <c r="B864" i="3"/>
  <c r="D863" i="3"/>
  <c r="C863" i="3"/>
  <c r="B863" i="3"/>
  <c r="D862" i="3"/>
  <c r="C862" i="3"/>
  <c r="B862" i="3"/>
  <c r="D861" i="3"/>
  <c r="C861" i="3"/>
  <c r="B861" i="3"/>
  <c r="D860" i="3"/>
  <c r="C860" i="3"/>
  <c r="B860" i="3"/>
  <c r="D859" i="3"/>
  <c r="C859" i="3"/>
  <c r="B859" i="3"/>
  <c r="D858" i="3"/>
  <c r="C858" i="3"/>
  <c r="B858" i="3"/>
  <c r="D857" i="3"/>
  <c r="C857" i="3"/>
  <c r="B857" i="3"/>
  <c r="D856" i="3"/>
  <c r="C856" i="3"/>
  <c r="B856" i="3"/>
  <c r="D855" i="3"/>
  <c r="C855" i="3"/>
  <c r="B855" i="3"/>
  <c r="D854" i="3"/>
  <c r="C854" i="3"/>
  <c r="B854" i="3"/>
  <c r="D853" i="3"/>
  <c r="C853" i="3"/>
  <c r="B853" i="3"/>
  <c r="D852" i="3"/>
  <c r="C852" i="3"/>
  <c r="B852" i="3"/>
  <c r="D851" i="3"/>
  <c r="C851" i="3"/>
  <c r="B851" i="3"/>
  <c r="D850" i="3"/>
  <c r="C850" i="3"/>
  <c r="B850" i="3"/>
  <c r="D849" i="3"/>
  <c r="C849" i="3"/>
  <c r="B849" i="3"/>
  <c r="D848" i="3"/>
  <c r="C848" i="3"/>
  <c r="B848" i="3"/>
  <c r="D847" i="3"/>
  <c r="C847" i="3"/>
  <c r="B847" i="3"/>
  <c r="D846" i="3"/>
  <c r="C846" i="3"/>
  <c r="B846" i="3"/>
  <c r="D845" i="3"/>
  <c r="C845" i="3"/>
  <c r="B845" i="3"/>
  <c r="D844" i="3"/>
  <c r="C844" i="3"/>
  <c r="B844" i="3"/>
  <c r="D843" i="3"/>
  <c r="C843" i="3"/>
  <c r="B843" i="3"/>
  <c r="D842" i="3"/>
  <c r="C842" i="3"/>
  <c r="B842" i="3"/>
  <c r="D841" i="3"/>
  <c r="C841" i="3"/>
  <c r="B841" i="3"/>
  <c r="D840" i="3"/>
  <c r="C840" i="3"/>
  <c r="B840" i="3"/>
  <c r="D839" i="3"/>
  <c r="C839" i="3"/>
  <c r="B839" i="3"/>
  <c r="D838" i="3"/>
  <c r="C838" i="3"/>
  <c r="B838" i="3"/>
  <c r="D837" i="3"/>
  <c r="C837" i="3"/>
  <c r="B837" i="3"/>
  <c r="D836" i="3"/>
  <c r="C836" i="3"/>
  <c r="B836" i="3"/>
  <c r="D835" i="3"/>
  <c r="C835" i="3"/>
  <c r="B835" i="3"/>
  <c r="D834" i="3"/>
  <c r="C834" i="3"/>
  <c r="B834" i="3"/>
  <c r="D833" i="3"/>
  <c r="C833" i="3"/>
  <c r="B833" i="3"/>
  <c r="D832" i="3"/>
  <c r="C832" i="3"/>
  <c r="B832" i="3"/>
  <c r="D831" i="3"/>
  <c r="C831" i="3"/>
  <c r="B831" i="3"/>
  <c r="D830" i="3"/>
  <c r="C830" i="3"/>
  <c r="B830" i="3"/>
  <c r="D829" i="3"/>
  <c r="C829" i="3"/>
  <c r="B829" i="3"/>
  <c r="D828" i="3"/>
  <c r="C828" i="3"/>
  <c r="B828" i="3"/>
  <c r="D827" i="3"/>
  <c r="C827" i="3"/>
  <c r="B827" i="3"/>
  <c r="D826" i="3"/>
  <c r="C826" i="3"/>
  <c r="B826" i="3"/>
  <c r="D825" i="3"/>
  <c r="C825" i="3"/>
  <c r="B825" i="3"/>
  <c r="D824" i="3"/>
  <c r="C824" i="3"/>
  <c r="B824" i="3"/>
  <c r="D823" i="3"/>
  <c r="C823" i="3"/>
  <c r="B823" i="3"/>
  <c r="D822" i="3"/>
  <c r="C822" i="3"/>
  <c r="B822" i="3"/>
  <c r="D821" i="3"/>
  <c r="C821" i="3"/>
  <c r="B821" i="3"/>
  <c r="D820" i="3"/>
  <c r="C820" i="3"/>
  <c r="B820" i="3"/>
  <c r="D819" i="3"/>
  <c r="C819" i="3"/>
  <c r="B819" i="3"/>
  <c r="D818" i="3"/>
  <c r="C818" i="3"/>
  <c r="B818" i="3"/>
  <c r="D817" i="3"/>
  <c r="C817" i="3"/>
  <c r="B817" i="3"/>
  <c r="D816" i="3"/>
  <c r="C816" i="3"/>
  <c r="B816" i="3"/>
  <c r="D815" i="3"/>
  <c r="C815" i="3"/>
  <c r="B815" i="3"/>
  <c r="D814" i="3"/>
  <c r="C814" i="3"/>
  <c r="B814" i="3"/>
  <c r="D813" i="3"/>
  <c r="C813" i="3"/>
  <c r="B813" i="3"/>
  <c r="D812" i="3"/>
  <c r="C812" i="3"/>
  <c r="B812" i="3"/>
  <c r="D811" i="3"/>
  <c r="C811" i="3"/>
  <c r="B811" i="3"/>
  <c r="D810" i="3"/>
  <c r="C810" i="3"/>
  <c r="B810" i="3"/>
  <c r="D809" i="3"/>
  <c r="C809" i="3"/>
  <c r="B809" i="3"/>
  <c r="D808" i="3"/>
  <c r="C808" i="3"/>
  <c r="B808" i="3"/>
  <c r="D807" i="3"/>
  <c r="C807" i="3"/>
  <c r="B807" i="3"/>
  <c r="D806" i="3"/>
  <c r="C806" i="3"/>
  <c r="B806" i="3"/>
  <c r="D805" i="3"/>
  <c r="C805" i="3"/>
  <c r="B805" i="3"/>
  <c r="D804" i="3"/>
  <c r="C804" i="3"/>
  <c r="B804" i="3"/>
  <c r="D803" i="3"/>
  <c r="C803" i="3"/>
  <c r="B803" i="3"/>
  <c r="D802" i="3"/>
  <c r="C802" i="3"/>
  <c r="B802" i="3"/>
  <c r="D801" i="3"/>
  <c r="C801" i="3"/>
  <c r="B801" i="3"/>
  <c r="D800" i="3"/>
  <c r="C800" i="3"/>
  <c r="B800" i="3"/>
  <c r="D799" i="3"/>
  <c r="C799" i="3"/>
  <c r="B799" i="3"/>
  <c r="D798" i="3"/>
  <c r="C798" i="3"/>
  <c r="B798" i="3"/>
  <c r="D797" i="3"/>
  <c r="C797" i="3"/>
  <c r="B797" i="3"/>
  <c r="D796" i="3"/>
  <c r="C796" i="3"/>
  <c r="B796" i="3"/>
  <c r="D795" i="3"/>
  <c r="C795" i="3"/>
  <c r="B795" i="3"/>
  <c r="D794" i="3"/>
  <c r="C794" i="3"/>
  <c r="B794" i="3"/>
  <c r="D793" i="3"/>
  <c r="C793" i="3"/>
  <c r="B793" i="3"/>
  <c r="D792" i="3"/>
  <c r="C792" i="3"/>
  <c r="B792" i="3"/>
  <c r="D791" i="3"/>
  <c r="C791" i="3"/>
  <c r="B791" i="3"/>
  <c r="D790" i="3"/>
  <c r="C790" i="3"/>
  <c r="B790" i="3"/>
  <c r="D789" i="3"/>
  <c r="C789" i="3"/>
  <c r="B789" i="3"/>
  <c r="D788" i="3"/>
  <c r="C788" i="3"/>
  <c r="B788" i="3"/>
  <c r="D787" i="3"/>
  <c r="C787" i="3"/>
  <c r="B787" i="3"/>
  <c r="D786" i="3"/>
  <c r="C786" i="3"/>
  <c r="B786" i="3"/>
  <c r="D785" i="3"/>
  <c r="C785" i="3"/>
  <c r="B785" i="3"/>
  <c r="D784" i="3"/>
  <c r="C784" i="3"/>
  <c r="B784" i="3"/>
  <c r="D783" i="3"/>
  <c r="C783" i="3"/>
  <c r="B783" i="3"/>
  <c r="D782" i="3"/>
  <c r="C782" i="3"/>
  <c r="B782" i="3"/>
  <c r="D781" i="3"/>
  <c r="C781" i="3"/>
  <c r="B781" i="3"/>
  <c r="D780" i="3"/>
  <c r="C780" i="3"/>
  <c r="B780" i="3"/>
  <c r="D779" i="3"/>
  <c r="C779" i="3"/>
  <c r="B779" i="3"/>
  <c r="D778" i="3"/>
  <c r="C778" i="3"/>
  <c r="B778" i="3"/>
  <c r="D777" i="3"/>
  <c r="C777" i="3"/>
  <c r="B777" i="3"/>
  <c r="D776" i="3"/>
  <c r="C776" i="3"/>
  <c r="B776" i="3"/>
  <c r="D775" i="3"/>
  <c r="C775" i="3"/>
  <c r="B775" i="3"/>
  <c r="D774" i="3"/>
  <c r="C774" i="3"/>
  <c r="B774" i="3"/>
  <c r="D773" i="3"/>
  <c r="C773" i="3"/>
  <c r="B773" i="3"/>
  <c r="D772" i="3"/>
  <c r="C772" i="3"/>
  <c r="B772" i="3"/>
  <c r="D771" i="3"/>
  <c r="C771" i="3"/>
  <c r="B771" i="3"/>
  <c r="D770" i="3"/>
  <c r="C770" i="3"/>
  <c r="B770" i="3"/>
  <c r="D769" i="3"/>
  <c r="C769" i="3"/>
  <c r="B769" i="3"/>
  <c r="D768" i="3"/>
  <c r="C768" i="3"/>
  <c r="B768" i="3"/>
  <c r="D767" i="3"/>
  <c r="C767" i="3"/>
  <c r="B767" i="3"/>
  <c r="D766" i="3"/>
  <c r="C766" i="3"/>
  <c r="B766" i="3"/>
  <c r="D765" i="3"/>
  <c r="C765" i="3"/>
  <c r="B765" i="3"/>
  <c r="D764" i="3"/>
  <c r="C764" i="3"/>
  <c r="B764" i="3"/>
  <c r="D763" i="3"/>
  <c r="C763" i="3"/>
  <c r="B763" i="3"/>
  <c r="D762" i="3"/>
  <c r="C762" i="3"/>
  <c r="B762" i="3"/>
  <c r="D761" i="3"/>
  <c r="C761" i="3"/>
  <c r="B761" i="3"/>
  <c r="D760" i="3"/>
  <c r="C760" i="3"/>
  <c r="B760" i="3"/>
  <c r="D759" i="3"/>
  <c r="C759" i="3"/>
  <c r="B759" i="3"/>
  <c r="D758" i="3"/>
  <c r="C758" i="3"/>
  <c r="B758" i="3"/>
  <c r="D757" i="3"/>
  <c r="C757" i="3"/>
  <c r="B757" i="3"/>
  <c r="D756" i="3"/>
  <c r="C756" i="3"/>
  <c r="B756" i="3"/>
  <c r="D755" i="3"/>
  <c r="C755" i="3"/>
  <c r="B755" i="3"/>
  <c r="D754" i="3"/>
  <c r="C754" i="3"/>
  <c r="B754" i="3"/>
  <c r="D753" i="3"/>
  <c r="C753" i="3"/>
  <c r="B753" i="3"/>
  <c r="D752" i="3"/>
  <c r="C752" i="3"/>
  <c r="B752" i="3"/>
  <c r="D751" i="3"/>
  <c r="C751" i="3"/>
  <c r="B751" i="3"/>
  <c r="D750" i="3"/>
  <c r="C750" i="3"/>
  <c r="B750" i="3"/>
  <c r="D749" i="3"/>
  <c r="C749" i="3"/>
  <c r="B749" i="3"/>
  <c r="D748" i="3"/>
  <c r="C748" i="3"/>
  <c r="B748" i="3"/>
  <c r="D747" i="3"/>
  <c r="C747" i="3"/>
  <c r="B747" i="3"/>
  <c r="D746" i="3"/>
  <c r="C746" i="3"/>
  <c r="B746" i="3"/>
  <c r="D745" i="3"/>
  <c r="C745" i="3"/>
  <c r="B745" i="3"/>
  <c r="D744" i="3"/>
  <c r="C744" i="3"/>
  <c r="B744" i="3"/>
  <c r="D743" i="3"/>
  <c r="C743" i="3"/>
  <c r="B743" i="3"/>
  <c r="D742" i="3"/>
  <c r="C742" i="3"/>
  <c r="B742" i="3"/>
  <c r="D741" i="3"/>
  <c r="C741" i="3"/>
  <c r="B741" i="3"/>
  <c r="D740" i="3"/>
  <c r="C740" i="3"/>
  <c r="B740" i="3"/>
  <c r="D739" i="3"/>
  <c r="C739" i="3"/>
  <c r="B739" i="3"/>
  <c r="D738" i="3"/>
  <c r="C738" i="3"/>
  <c r="B738" i="3"/>
  <c r="D737" i="3"/>
  <c r="C737" i="3"/>
  <c r="B737" i="3"/>
  <c r="D736" i="3"/>
  <c r="C736" i="3"/>
  <c r="B736" i="3"/>
  <c r="D735" i="3"/>
  <c r="C735" i="3"/>
  <c r="B735" i="3"/>
  <c r="D734" i="3"/>
  <c r="C734" i="3"/>
  <c r="B734" i="3"/>
  <c r="D733" i="3"/>
  <c r="C733" i="3"/>
  <c r="B733" i="3"/>
  <c r="D732" i="3"/>
  <c r="C732" i="3"/>
  <c r="B732" i="3"/>
  <c r="D731" i="3"/>
  <c r="C731" i="3"/>
  <c r="B731" i="3"/>
  <c r="D730" i="3"/>
  <c r="C730" i="3"/>
  <c r="B730" i="3"/>
  <c r="D729" i="3"/>
  <c r="C729" i="3"/>
  <c r="B729" i="3"/>
  <c r="D728" i="3"/>
  <c r="C728" i="3"/>
  <c r="B728" i="3"/>
  <c r="D727" i="3"/>
  <c r="C727" i="3"/>
  <c r="B727" i="3"/>
  <c r="D726" i="3"/>
  <c r="C726" i="3"/>
  <c r="B726" i="3"/>
  <c r="D725" i="3"/>
  <c r="C725" i="3"/>
  <c r="B725" i="3"/>
  <c r="D724" i="3"/>
  <c r="C724" i="3"/>
  <c r="B724" i="3"/>
  <c r="D723" i="3"/>
  <c r="C723" i="3"/>
  <c r="B723" i="3"/>
  <c r="D722" i="3"/>
  <c r="C722" i="3"/>
  <c r="B722" i="3"/>
  <c r="D721" i="3"/>
  <c r="C721" i="3"/>
  <c r="B721" i="3"/>
  <c r="D720" i="3"/>
  <c r="C720" i="3"/>
  <c r="B720" i="3"/>
  <c r="D719" i="3"/>
  <c r="C719" i="3"/>
  <c r="B719" i="3"/>
  <c r="D718" i="3"/>
  <c r="C718" i="3"/>
  <c r="B718" i="3"/>
  <c r="D717" i="3"/>
  <c r="C717" i="3"/>
  <c r="B717" i="3"/>
  <c r="D716" i="3"/>
  <c r="C716" i="3"/>
  <c r="B716" i="3"/>
  <c r="D715" i="3"/>
  <c r="C715" i="3"/>
  <c r="B715" i="3"/>
  <c r="D714" i="3"/>
  <c r="C714" i="3"/>
  <c r="B714" i="3"/>
  <c r="D713" i="3"/>
  <c r="C713" i="3"/>
  <c r="B713" i="3"/>
  <c r="D712" i="3"/>
  <c r="C712" i="3"/>
  <c r="B712" i="3"/>
  <c r="D711" i="3"/>
  <c r="C711" i="3"/>
  <c r="B711" i="3"/>
  <c r="D710" i="3"/>
  <c r="C710" i="3"/>
  <c r="B710" i="3"/>
  <c r="D709" i="3"/>
  <c r="C709" i="3"/>
  <c r="B709" i="3"/>
  <c r="D708" i="3"/>
  <c r="C708" i="3"/>
  <c r="B708" i="3"/>
  <c r="D707" i="3"/>
  <c r="C707" i="3"/>
  <c r="B707" i="3"/>
  <c r="D706" i="3"/>
  <c r="C706" i="3"/>
  <c r="B706" i="3"/>
  <c r="D705" i="3"/>
  <c r="C705" i="3"/>
  <c r="B705" i="3"/>
  <c r="D704" i="3"/>
  <c r="C704" i="3"/>
  <c r="B704" i="3"/>
  <c r="D703" i="3"/>
  <c r="C703" i="3"/>
  <c r="B703" i="3"/>
  <c r="D702" i="3"/>
  <c r="C702" i="3"/>
  <c r="B702" i="3"/>
  <c r="D701" i="3"/>
  <c r="C701" i="3"/>
  <c r="B701" i="3"/>
  <c r="D700" i="3"/>
  <c r="C700" i="3"/>
  <c r="B700" i="3"/>
  <c r="D699" i="3"/>
  <c r="C699" i="3"/>
  <c r="B699" i="3"/>
  <c r="D698" i="3"/>
  <c r="C698" i="3"/>
  <c r="B698" i="3"/>
  <c r="D697" i="3"/>
  <c r="C697" i="3"/>
  <c r="B697" i="3"/>
  <c r="D696" i="3"/>
  <c r="C696" i="3"/>
  <c r="B696" i="3"/>
  <c r="D695" i="3"/>
  <c r="C695" i="3"/>
  <c r="B695" i="3"/>
  <c r="D694" i="3"/>
  <c r="C694" i="3"/>
  <c r="B694" i="3"/>
  <c r="D693" i="3"/>
  <c r="C693" i="3"/>
  <c r="B693" i="3"/>
  <c r="D692" i="3"/>
  <c r="C692" i="3"/>
  <c r="B692" i="3"/>
  <c r="D691" i="3"/>
  <c r="C691" i="3"/>
  <c r="B691" i="3"/>
  <c r="D690" i="3"/>
  <c r="C690" i="3"/>
  <c r="B690" i="3"/>
  <c r="D689" i="3"/>
  <c r="C689" i="3"/>
  <c r="B689" i="3"/>
  <c r="D688" i="3"/>
  <c r="C688" i="3"/>
  <c r="B688" i="3"/>
  <c r="D687" i="3"/>
  <c r="C687" i="3"/>
  <c r="B687" i="3"/>
  <c r="D686" i="3"/>
  <c r="C686" i="3"/>
  <c r="B686" i="3"/>
  <c r="D685" i="3"/>
  <c r="C685" i="3"/>
  <c r="B685" i="3"/>
  <c r="D684" i="3"/>
  <c r="C684" i="3"/>
  <c r="B684" i="3"/>
  <c r="D683" i="3"/>
  <c r="C683" i="3"/>
  <c r="B683" i="3"/>
  <c r="D682" i="3"/>
  <c r="C682" i="3"/>
  <c r="B682" i="3"/>
  <c r="I681" i="3"/>
  <c r="J681" i="3" s="1"/>
  <c r="H681" i="3"/>
  <c r="D681" i="3"/>
  <c r="C681" i="3"/>
  <c r="B681" i="3"/>
  <c r="I680" i="3"/>
  <c r="J680" i="3" s="1"/>
  <c r="H680" i="3"/>
  <c r="D680" i="3"/>
  <c r="C680" i="3"/>
  <c r="B680" i="3"/>
  <c r="I679" i="3"/>
  <c r="J679" i="3" s="1"/>
  <c r="H679" i="3"/>
  <c r="D679" i="3"/>
  <c r="C679" i="3"/>
  <c r="B679" i="3"/>
  <c r="I678" i="3"/>
  <c r="J678" i="3" s="1"/>
  <c r="H678" i="3"/>
  <c r="D678" i="3"/>
  <c r="C678" i="3"/>
  <c r="B678" i="3"/>
  <c r="I677" i="3"/>
  <c r="J677" i="3" s="1"/>
  <c r="H677" i="3"/>
  <c r="D677" i="3"/>
  <c r="C677" i="3"/>
  <c r="B677" i="3"/>
  <c r="I676" i="3"/>
  <c r="J676" i="3" s="1"/>
  <c r="H676" i="3"/>
  <c r="D676" i="3"/>
  <c r="C676" i="3"/>
  <c r="B676" i="3"/>
  <c r="I675" i="3"/>
  <c r="J675" i="3" s="1"/>
  <c r="H675" i="3"/>
  <c r="D675" i="3"/>
  <c r="C675" i="3"/>
  <c r="B675" i="3"/>
  <c r="I674" i="3"/>
  <c r="J674" i="3" s="1"/>
  <c r="H674" i="3"/>
  <c r="D674" i="3"/>
  <c r="C674" i="3"/>
  <c r="B674" i="3"/>
  <c r="I673" i="3"/>
  <c r="J673" i="3" s="1"/>
  <c r="H673" i="3"/>
  <c r="D673" i="3"/>
  <c r="C673" i="3"/>
  <c r="B673" i="3"/>
  <c r="I672" i="3"/>
  <c r="J672" i="3" s="1"/>
  <c r="H672" i="3"/>
  <c r="D672" i="3"/>
  <c r="C672" i="3"/>
  <c r="B672" i="3"/>
  <c r="I671" i="3"/>
  <c r="J671" i="3" s="1"/>
  <c r="H671" i="3"/>
  <c r="D671" i="3"/>
  <c r="C671" i="3"/>
  <c r="B671" i="3"/>
  <c r="I670" i="3"/>
  <c r="J670" i="3" s="1"/>
  <c r="H670" i="3"/>
  <c r="D670" i="3"/>
  <c r="C670" i="3"/>
  <c r="B670" i="3"/>
  <c r="I669" i="3"/>
  <c r="J669" i="3" s="1"/>
  <c r="H669" i="3"/>
  <c r="D669" i="3"/>
  <c r="C669" i="3"/>
  <c r="B669" i="3"/>
  <c r="I668" i="3"/>
  <c r="J668" i="3" s="1"/>
  <c r="H668" i="3"/>
  <c r="D668" i="3"/>
  <c r="C668" i="3"/>
  <c r="B668" i="3"/>
  <c r="I667" i="3"/>
  <c r="J667" i="3" s="1"/>
  <c r="H667" i="3"/>
  <c r="D667" i="3"/>
  <c r="C667" i="3"/>
  <c r="B667" i="3"/>
  <c r="I666" i="3"/>
  <c r="J666" i="3" s="1"/>
  <c r="H666" i="3"/>
  <c r="D666" i="3"/>
  <c r="C666" i="3"/>
  <c r="B666" i="3"/>
  <c r="I665" i="3"/>
  <c r="J665" i="3" s="1"/>
  <c r="H665" i="3"/>
  <c r="D665" i="3"/>
  <c r="C665" i="3"/>
  <c r="B665" i="3"/>
  <c r="I664" i="3"/>
  <c r="J664" i="3" s="1"/>
  <c r="H664" i="3"/>
  <c r="D664" i="3"/>
  <c r="C664" i="3"/>
  <c r="B664" i="3"/>
  <c r="I663" i="3"/>
  <c r="J663" i="3" s="1"/>
  <c r="H663" i="3"/>
  <c r="D663" i="3"/>
  <c r="C663" i="3"/>
  <c r="B663" i="3"/>
  <c r="I662" i="3"/>
  <c r="J662" i="3" s="1"/>
  <c r="H662" i="3"/>
  <c r="D662" i="3"/>
  <c r="C662" i="3"/>
  <c r="B662" i="3"/>
  <c r="I661" i="3"/>
  <c r="J661" i="3" s="1"/>
  <c r="H661" i="3"/>
  <c r="D661" i="3"/>
  <c r="C661" i="3"/>
  <c r="B661" i="3"/>
  <c r="I660" i="3"/>
  <c r="J660" i="3" s="1"/>
  <c r="H660" i="3"/>
  <c r="D660" i="3"/>
  <c r="C660" i="3"/>
  <c r="B660" i="3"/>
  <c r="I659" i="3"/>
  <c r="J659" i="3" s="1"/>
  <c r="H659" i="3"/>
  <c r="D659" i="3"/>
  <c r="C659" i="3"/>
  <c r="B659" i="3"/>
  <c r="I658" i="3"/>
  <c r="J658" i="3" s="1"/>
  <c r="H658" i="3"/>
  <c r="D658" i="3"/>
  <c r="C658" i="3"/>
  <c r="B658" i="3"/>
  <c r="I657" i="3"/>
  <c r="J657" i="3" s="1"/>
  <c r="H657" i="3"/>
  <c r="D657" i="3"/>
  <c r="C657" i="3"/>
  <c r="B657" i="3"/>
  <c r="I656" i="3"/>
  <c r="J656" i="3" s="1"/>
  <c r="H656" i="3"/>
  <c r="D656" i="3"/>
  <c r="C656" i="3"/>
  <c r="B656" i="3"/>
  <c r="I655" i="3"/>
  <c r="J655" i="3" s="1"/>
  <c r="H655" i="3"/>
  <c r="D655" i="3"/>
  <c r="C655" i="3"/>
  <c r="B655" i="3"/>
  <c r="I654" i="3"/>
  <c r="J654" i="3" s="1"/>
  <c r="H654" i="3"/>
  <c r="D654" i="3"/>
  <c r="C654" i="3"/>
  <c r="B654" i="3"/>
  <c r="I653" i="3"/>
  <c r="J653" i="3" s="1"/>
  <c r="H653" i="3"/>
  <c r="D653" i="3"/>
  <c r="C653" i="3"/>
  <c r="B653" i="3"/>
  <c r="I652" i="3"/>
  <c r="J652" i="3" s="1"/>
  <c r="H652" i="3"/>
  <c r="D652" i="3"/>
  <c r="C652" i="3"/>
  <c r="B652" i="3"/>
  <c r="I651" i="3"/>
  <c r="J651" i="3" s="1"/>
  <c r="H651" i="3"/>
  <c r="D651" i="3"/>
  <c r="C651" i="3"/>
  <c r="B651" i="3"/>
  <c r="I650" i="3"/>
  <c r="J650" i="3" s="1"/>
  <c r="H650" i="3"/>
  <c r="D650" i="3"/>
  <c r="C650" i="3"/>
  <c r="B650" i="3"/>
  <c r="I649" i="3"/>
  <c r="J649" i="3" s="1"/>
  <c r="H649" i="3"/>
  <c r="D649" i="3"/>
  <c r="C649" i="3"/>
  <c r="B649" i="3"/>
  <c r="I648" i="3"/>
  <c r="J648" i="3" s="1"/>
  <c r="H648" i="3"/>
  <c r="D648" i="3"/>
  <c r="C648" i="3"/>
  <c r="B648" i="3"/>
  <c r="I647" i="3"/>
  <c r="J647" i="3" s="1"/>
  <c r="H647" i="3"/>
  <c r="D647" i="3"/>
  <c r="C647" i="3"/>
  <c r="B647" i="3"/>
  <c r="I646" i="3"/>
  <c r="J646" i="3" s="1"/>
  <c r="H646" i="3"/>
  <c r="D646" i="3"/>
  <c r="C646" i="3"/>
  <c r="B646" i="3"/>
  <c r="I645" i="3"/>
  <c r="J645" i="3" s="1"/>
  <c r="H645" i="3"/>
  <c r="D645" i="3"/>
  <c r="C645" i="3"/>
  <c r="B645" i="3"/>
  <c r="I644" i="3"/>
  <c r="J644" i="3" s="1"/>
  <c r="H644" i="3"/>
  <c r="D644" i="3"/>
  <c r="C644" i="3"/>
  <c r="B644" i="3"/>
  <c r="I643" i="3"/>
  <c r="J643" i="3" s="1"/>
  <c r="H643" i="3"/>
  <c r="D643" i="3"/>
  <c r="C643" i="3"/>
  <c r="B643" i="3"/>
  <c r="I642" i="3"/>
  <c r="J642" i="3" s="1"/>
  <c r="H642" i="3"/>
  <c r="D642" i="3"/>
  <c r="C642" i="3"/>
  <c r="B642" i="3"/>
  <c r="I641" i="3"/>
  <c r="J641" i="3" s="1"/>
  <c r="H641" i="3"/>
  <c r="D641" i="3"/>
  <c r="C641" i="3"/>
  <c r="B641" i="3"/>
  <c r="I640" i="3"/>
  <c r="J640" i="3" s="1"/>
  <c r="H640" i="3"/>
  <c r="D640" i="3"/>
  <c r="C640" i="3"/>
  <c r="B640" i="3"/>
  <c r="I639" i="3"/>
  <c r="J639" i="3" s="1"/>
  <c r="H639" i="3"/>
  <c r="D639" i="3"/>
  <c r="C639" i="3"/>
  <c r="B639" i="3"/>
  <c r="I638" i="3"/>
  <c r="J638" i="3" s="1"/>
  <c r="H638" i="3"/>
  <c r="D638" i="3"/>
  <c r="C638" i="3"/>
  <c r="B638" i="3"/>
  <c r="I637" i="3"/>
  <c r="J637" i="3" s="1"/>
  <c r="H637" i="3"/>
  <c r="D637" i="3"/>
  <c r="C637" i="3"/>
  <c r="B637" i="3"/>
  <c r="I636" i="3"/>
  <c r="J636" i="3" s="1"/>
  <c r="H636" i="3"/>
  <c r="D636" i="3"/>
  <c r="C636" i="3"/>
  <c r="B636" i="3"/>
  <c r="I635" i="3"/>
  <c r="J635" i="3" s="1"/>
  <c r="H635" i="3"/>
  <c r="D635" i="3"/>
  <c r="C635" i="3"/>
  <c r="B635" i="3"/>
  <c r="I634" i="3"/>
  <c r="J634" i="3" s="1"/>
  <c r="H634" i="3"/>
  <c r="D634" i="3"/>
  <c r="C634" i="3"/>
  <c r="B634" i="3"/>
  <c r="I633" i="3"/>
  <c r="J633" i="3" s="1"/>
  <c r="H633" i="3"/>
  <c r="D633" i="3"/>
  <c r="C633" i="3"/>
  <c r="B633" i="3"/>
  <c r="I632" i="3"/>
  <c r="J632" i="3" s="1"/>
  <c r="H632" i="3"/>
  <c r="D632" i="3"/>
  <c r="C632" i="3"/>
  <c r="B632" i="3"/>
  <c r="I631" i="3"/>
  <c r="J631" i="3" s="1"/>
  <c r="H631" i="3"/>
  <c r="D631" i="3"/>
  <c r="C631" i="3"/>
  <c r="B631" i="3"/>
  <c r="I630" i="3"/>
  <c r="J630" i="3" s="1"/>
  <c r="H630" i="3"/>
  <c r="D630" i="3"/>
  <c r="C630" i="3"/>
  <c r="B630" i="3"/>
  <c r="I629" i="3"/>
  <c r="J629" i="3" s="1"/>
  <c r="H629" i="3"/>
  <c r="D629" i="3"/>
  <c r="C629" i="3"/>
  <c r="B629" i="3"/>
  <c r="I628" i="3"/>
  <c r="J628" i="3" s="1"/>
  <c r="H628" i="3"/>
  <c r="D628" i="3"/>
  <c r="C628" i="3"/>
  <c r="B628" i="3"/>
  <c r="I627" i="3"/>
  <c r="J627" i="3" s="1"/>
  <c r="H627" i="3"/>
  <c r="D627" i="3"/>
  <c r="C627" i="3"/>
  <c r="B627" i="3"/>
  <c r="I626" i="3"/>
  <c r="J626" i="3" s="1"/>
  <c r="H626" i="3"/>
  <c r="D626" i="3"/>
  <c r="C626" i="3"/>
  <c r="B626" i="3"/>
  <c r="I625" i="3"/>
  <c r="J625" i="3" s="1"/>
  <c r="H625" i="3"/>
  <c r="D625" i="3"/>
  <c r="C625" i="3"/>
  <c r="B625" i="3"/>
  <c r="I624" i="3"/>
  <c r="J624" i="3" s="1"/>
  <c r="H624" i="3"/>
  <c r="D624" i="3"/>
  <c r="C624" i="3"/>
  <c r="B624" i="3"/>
  <c r="I623" i="3"/>
  <c r="J623" i="3" s="1"/>
  <c r="H623" i="3"/>
  <c r="D623" i="3"/>
  <c r="C623" i="3"/>
  <c r="B623" i="3"/>
  <c r="I622" i="3"/>
  <c r="J622" i="3" s="1"/>
  <c r="H622" i="3"/>
  <c r="D622" i="3"/>
  <c r="C622" i="3"/>
  <c r="B622" i="3"/>
  <c r="I621" i="3"/>
  <c r="J621" i="3" s="1"/>
  <c r="H621" i="3"/>
  <c r="D621" i="3"/>
  <c r="C621" i="3"/>
  <c r="B621" i="3"/>
  <c r="I620" i="3"/>
  <c r="J620" i="3" s="1"/>
  <c r="H620" i="3"/>
  <c r="D620" i="3"/>
  <c r="C620" i="3"/>
  <c r="B620" i="3"/>
  <c r="I619" i="3"/>
  <c r="J619" i="3" s="1"/>
  <c r="H619" i="3"/>
  <c r="D619" i="3"/>
  <c r="C619" i="3"/>
  <c r="B619" i="3"/>
  <c r="I618" i="3"/>
  <c r="J618" i="3" s="1"/>
  <c r="H618" i="3"/>
  <c r="D618" i="3"/>
  <c r="C618" i="3"/>
  <c r="B618" i="3"/>
  <c r="I617" i="3"/>
  <c r="J617" i="3" s="1"/>
  <c r="H617" i="3"/>
  <c r="D617" i="3"/>
  <c r="C617" i="3"/>
  <c r="B617" i="3"/>
  <c r="I616" i="3"/>
  <c r="J616" i="3" s="1"/>
  <c r="H616" i="3"/>
  <c r="D616" i="3"/>
  <c r="C616" i="3"/>
  <c r="B616" i="3"/>
  <c r="I615" i="3"/>
  <c r="J615" i="3" s="1"/>
  <c r="H615" i="3"/>
  <c r="D615" i="3"/>
  <c r="C615" i="3"/>
  <c r="B615" i="3"/>
  <c r="I614" i="3"/>
  <c r="J614" i="3" s="1"/>
  <c r="H614" i="3"/>
  <c r="D614" i="3"/>
  <c r="C614" i="3"/>
  <c r="B614" i="3"/>
  <c r="I613" i="3"/>
  <c r="J613" i="3" s="1"/>
  <c r="H613" i="3"/>
  <c r="D613" i="3"/>
  <c r="C613" i="3"/>
  <c r="B613" i="3"/>
  <c r="I612" i="3"/>
  <c r="J612" i="3" s="1"/>
  <c r="H612" i="3"/>
  <c r="D612" i="3"/>
  <c r="C612" i="3"/>
  <c r="B612" i="3"/>
  <c r="I611" i="3"/>
  <c r="J611" i="3" s="1"/>
  <c r="H611" i="3"/>
  <c r="D611" i="3"/>
  <c r="C611" i="3"/>
  <c r="B611" i="3"/>
  <c r="I610" i="3"/>
  <c r="J610" i="3" s="1"/>
  <c r="H610" i="3"/>
  <c r="D610" i="3"/>
  <c r="C610" i="3"/>
  <c r="B610" i="3"/>
  <c r="I609" i="3"/>
  <c r="J609" i="3" s="1"/>
  <c r="H609" i="3"/>
  <c r="D609" i="3"/>
  <c r="C609" i="3"/>
  <c r="B609" i="3"/>
  <c r="I608" i="3"/>
  <c r="J608" i="3" s="1"/>
  <c r="H608" i="3"/>
  <c r="D608" i="3"/>
  <c r="C608" i="3"/>
  <c r="B608" i="3"/>
  <c r="I607" i="3"/>
  <c r="J607" i="3" s="1"/>
  <c r="H607" i="3"/>
  <c r="D607" i="3"/>
  <c r="C607" i="3"/>
  <c r="B607" i="3"/>
  <c r="I606" i="3"/>
  <c r="J606" i="3" s="1"/>
  <c r="H606" i="3"/>
  <c r="D606" i="3"/>
  <c r="C606" i="3"/>
  <c r="B606" i="3"/>
  <c r="I605" i="3"/>
  <c r="J605" i="3" s="1"/>
  <c r="H605" i="3"/>
  <c r="D605" i="3"/>
  <c r="C605" i="3"/>
  <c r="B605" i="3"/>
  <c r="I604" i="3"/>
  <c r="J604" i="3" s="1"/>
  <c r="H604" i="3"/>
  <c r="D604" i="3"/>
  <c r="C604" i="3"/>
  <c r="B604" i="3"/>
  <c r="I603" i="3"/>
  <c r="J603" i="3" s="1"/>
  <c r="H603" i="3"/>
  <c r="D603" i="3"/>
  <c r="C603" i="3"/>
  <c r="B603" i="3"/>
  <c r="I602" i="3"/>
  <c r="J602" i="3" s="1"/>
  <c r="H602" i="3"/>
  <c r="D602" i="3"/>
  <c r="C602" i="3"/>
  <c r="B602" i="3"/>
  <c r="I601" i="3"/>
  <c r="J601" i="3" s="1"/>
  <c r="H601" i="3"/>
  <c r="D601" i="3"/>
  <c r="C601" i="3"/>
  <c r="B601" i="3"/>
  <c r="I600" i="3"/>
  <c r="J600" i="3" s="1"/>
  <c r="H600" i="3"/>
  <c r="D600" i="3"/>
  <c r="C600" i="3"/>
  <c r="B600" i="3"/>
  <c r="I599" i="3"/>
  <c r="J599" i="3" s="1"/>
  <c r="H599" i="3"/>
  <c r="D599" i="3"/>
  <c r="C599" i="3"/>
  <c r="B599" i="3"/>
  <c r="I598" i="3"/>
  <c r="J598" i="3" s="1"/>
  <c r="H598" i="3"/>
  <c r="D598" i="3"/>
  <c r="C598" i="3"/>
  <c r="B598" i="3"/>
  <c r="I597" i="3"/>
  <c r="J597" i="3" s="1"/>
  <c r="H597" i="3"/>
  <c r="D597" i="3"/>
  <c r="C597" i="3"/>
  <c r="B597" i="3"/>
  <c r="I596" i="3"/>
  <c r="J596" i="3" s="1"/>
  <c r="H596" i="3"/>
  <c r="D596" i="3"/>
  <c r="C596" i="3"/>
  <c r="B596" i="3"/>
  <c r="I595" i="3"/>
  <c r="J595" i="3" s="1"/>
  <c r="H595" i="3"/>
  <c r="D595" i="3"/>
  <c r="C595" i="3"/>
  <c r="B595" i="3"/>
  <c r="I594" i="3"/>
  <c r="J594" i="3" s="1"/>
  <c r="H594" i="3"/>
  <c r="D594" i="3"/>
  <c r="C594" i="3"/>
  <c r="B594" i="3"/>
  <c r="I593" i="3"/>
  <c r="J593" i="3" s="1"/>
  <c r="H593" i="3"/>
  <c r="D593" i="3"/>
  <c r="C593" i="3"/>
  <c r="B593" i="3"/>
  <c r="I592" i="3"/>
  <c r="J592" i="3" s="1"/>
  <c r="H592" i="3"/>
  <c r="D592" i="3"/>
  <c r="C592" i="3"/>
  <c r="B592" i="3"/>
  <c r="I591" i="3"/>
  <c r="J591" i="3" s="1"/>
  <c r="H591" i="3"/>
  <c r="D591" i="3"/>
  <c r="C591" i="3"/>
  <c r="B591" i="3"/>
  <c r="I590" i="3"/>
  <c r="J590" i="3" s="1"/>
  <c r="H590" i="3"/>
  <c r="D590" i="3"/>
  <c r="C590" i="3"/>
  <c r="B590" i="3"/>
  <c r="I589" i="3"/>
  <c r="J589" i="3" s="1"/>
  <c r="H589" i="3"/>
  <c r="D589" i="3"/>
  <c r="C589" i="3"/>
  <c r="B589" i="3"/>
  <c r="I588" i="3"/>
  <c r="J588" i="3" s="1"/>
  <c r="H588" i="3"/>
  <c r="D588" i="3"/>
  <c r="C588" i="3"/>
  <c r="B588" i="3"/>
  <c r="I587" i="3"/>
  <c r="J587" i="3" s="1"/>
  <c r="H587" i="3"/>
  <c r="D587" i="3"/>
  <c r="C587" i="3"/>
  <c r="B587" i="3"/>
  <c r="I586" i="3"/>
  <c r="J586" i="3" s="1"/>
  <c r="H586" i="3"/>
  <c r="D586" i="3"/>
  <c r="C586" i="3"/>
  <c r="B586" i="3"/>
  <c r="I585" i="3"/>
  <c r="J585" i="3" s="1"/>
  <c r="H585" i="3"/>
  <c r="D585" i="3"/>
  <c r="C585" i="3"/>
  <c r="B585" i="3"/>
  <c r="I584" i="3"/>
  <c r="J584" i="3" s="1"/>
  <c r="H584" i="3"/>
  <c r="D584" i="3"/>
  <c r="C584" i="3"/>
  <c r="B584" i="3"/>
  <c r="I583" i="3"/>
  <c r="J583" i="3" s="1"/>
  <c r="H583" i="3"/>
  <c r="D583" i="3"/>
  <c r="C583" i="3"/>
  <c r="B583" i="3"/>
  <c r="I582" i="3"/>
  <c r="J582" i="3" s="1"/>
  <c r="H582" i="3"/>
  <c r="D582" i="3"/>
  <c r="C582" i="3"/>
  <c r="B582" i="3"/>
  <c r="I581" i="3"/>
  <c r="J581" i="3" s="1"/>
  <c r="H581" i="3"/>
  <c r="D581" i="3"/>
  <c r="C581" i="3"/>
  <c r="B581" i="3"/>
  <c r="I580" i="3"/>
  <c r="J580" i="3" s="1"/>
  <c r="H580" i="3"/>
  <c r="D580" i="3"/>
  <c r="C580" i="3"/>
  <c r="B580" i="3"/>
  <c r="I579" i="3"/>
  <c r="J579" i="3" s="1"/>
  <c r="H579" i="3"/>
  <c r="D579" i="3"/>
  <c r="C579" i="3"/>
  <c r="B579" i="3"/>
  <c r="I578" i="3"/>
  <c r="J578" i="3" s="1"/>
  <c r="H578" i="3"/>
  <c r="D578" i="3"/>
  <c r="C578" i="3"/>
  <c r="B578" i="3"/>
  <c r="I577" i="3"/>
  <c r="J577" i="3" s="1"/>
  <c r="H577" i="3"/>
  <c r="D577" i="3"/>
  <c r="C577" i="3"/>
  <c r="B577" i="3"/>
  <c r="I576" i="3"/>
  <c r="J576" i="3" s="1"/>
  <c r="H576" i="3"/>
  <c r="D576" i="3"/>
  <c r="C576" i="3"/>
  <c r="B576" i="3"/>
  <c r="I575" i="3"/>
  <c r="J575" i="3" s="1"/>
  <c r="H575" i="3"/>
  <c r="D575" i="3"/>
  <c r="C575" i="3"/>
  <c r="B575" i="3"/>
  <c r="I574" i="3"/>
  <c r="J574" i="3" s="1"/>
  <c r="H574" i="3"/>
  <c r="D574" i="3"/>
  <c r="C574" i="3"/>
  <c r="B574" i="3"/>
  <c r="I573" i="3"/>
  <c r="J573" i="3" s="1"/>
  <c r="H573" i="3"/>
  <c r="D573" i="3"/>
  <c r="C573" i="3"/>
  <c r="B573" i="3"/>
  <c r="I572" i="3"/>
  <c r="J572" i="3" s="1"/>
  <c r="H572" i="3"/>
  <c r="D572" i="3"/>
  <c r="C572" i="3"/>
  <c r="B572" i="3"/>
  <c r="I571" i="3"/>
  <c r="J571" i="3" s="1"/>
  <c r="H571" i="3"/>
  <c r="D571" i="3"/>
  <c r="C571" i="3"/>
  <c r="B571" i="3"/>
  <c r="I570" i="3"/>
  <c r="J570" i="3" s="1"/>
  <c r="H570" i="3"/>
  <c r="D570" i="3"/>
  <c r="C570" i="3"/>
  <c r="B570" i="3"/>
  <c r="I569" i="3"/>
  <c r="J569" i="3" s="1"/>
  <c r="H569" i="3"/>
  <c r="D569" i="3"/>
  <c r="C569" i="3"/>
  <c r="B569" i="3"/>
  <c r="I568" i="3"/>
  <c r="J568" i="3" s="1"/>
  <c r="H568" i="3"/>
  <c r="D568" i="3"/>
  <c r="C568" i="3"/>
  <c r="B568" i="3"/>
  <c r="I567" i="3"/>
  <c r="J567" i="3" s="1"/>
  <c r="H567" i="3"/>
  <c r="D567" i="3"/>
  <c r="C567" i="3"/>
  <c r="B567" i="3"/>
  <c r="I566" i="3"/>
  <c r="J566" i="3" s="1"/>
  <c r="H566" i="3"/>
  <c r="D566" i="3"/>
  <c r="C566" i="3"/>
  <c r="B566" i="3"/>
  <c r="I565" i="3"/>
  <c r="J565" i="3" s="1"/>
  <c r="H565" i="3"/>
  <c r="D565" i="3"/>
  <c r="C565" i="3"/>
  <c r="B565" i="3"/>
  <c r="I564" i="3"/>
  <c r="J564" i="3" s="1"/>
  <c r="H564" i="3"/>
  <c r="D564" i="3"/>
  <c r="C564" i="3"/>
  <c r="B564" i="3"/>
  <c r="I563" i="3"/>
  <c r="J563" i="3" s="1"/>
  <c r="H563" i="3"/>
  <c r="D563" i="3"/>
  <c r="C563" i="3"/>
  <c r="B563" i="3"/>
  <c r="I562" i="3"/>
  <c r="J562" i="3" s="1"/>
  <c r="H562" i="3"/>
  <c r="D562" i="3"/>
  <c r="C562" i="3"/>
  <c r="B562" i="3"/>
  <c r="I561" i="3"/>
  <c r="J561" i="3" s="1"/>
  <c r="H561" i="3"/>
  <c r="D561" i="3"/>
  <c r="C561" i="3"/>
  <c r="B561" i="3"/>
  <c r="I560" i="3"/>
  <c r="J560" i="3" s="1"/>
  <c r="H560" i="3"/>
  <c r="D560" i="3"/>
  <c r="C560" i="3"/>
  <c r="B560" i="3"/>
  <c r="I559" i="3"/>
  <c r="J559" i="3" s="1"/>
  <c r="H559" i="3"/>
  <c r="D559" i="3"/>
  <c r="C559" i="3"/>
  <c r="B559" i="3"/>
  <c r="I558" i="3"/>
  <c r="J558" i="3" s="1"/>
  <c r="H558" i="3"/>
  <c r="D558" i="3"/>
  <c r="C558" i="3"/>
  <c r="B558" i="3"/>
  <c r="I557" i="3"/>
  <c r="J557" i="3" s="1"/>
  <c r="H557" i="3"/>
  <c r="D557" i="3"/>
  <c r="C557" i="3"/>
  <c r="B557" i="3"/>
  <c r="I556" i="3"/>
  <c r="J556" i="3" s="1"/>
  <c r="H556" i="3"/>
  <c r="D556" i="3"/>
  <c r="C556" i="3"/>
  <c r="B556" i="3"/>
  <c r="I555" i="3"/>
  <c r="J555" i="3" s="1"/>
  <c r="H555" i="3"/>
  <c r="D555" i="3"/>
  <c r="C555" i="3"/>
  <c r="B555" i="3"/>
  <c r="I554" i="3"/>
  <c r="J554" i="3" s="1"/>
  <c r="H554" i="3"/>
  <c r="D554" i="3"/>
  <c r="C554" i="3"/>
  <c r="B554" i="3"/>
  <c r="I553" i="3"/>
  <c r="J553" i="3" s="1"/>
  <c r="H553" i="3"/>
  <c r="D553" i="3"/>
  <c r="C553" i="3"/>
  <c r="B553" i="3"/>
  <c r="I552" i="3"/>
  <c r="J552" i="3" s="1"/>
  <c r="H552" i="3"/>
  <c r="D552" i="3"/>
  <c r="C552" i="3"/>
  <c r="B552" i="3"/>
  <c r="I551" i="3"/>
  <c r="J551" i="3" s="1"/>
  <c r="H551" i="3"/>
  <c r="D551" i="3"/>
  <c r="C551" i="3"/>
  <c r="B551" i="3"/>
  <c r="I550" i="3"/>
  <c r="J550" i="3" s="1"/>
  <c r="H550" i="3"/>
  <c r="D550" i="3"/>
  <c r="C550" i="3"/>
  <c r="B550" i="3"/>
  <c r="I549" i="3"/>
  <c r="J549" i="3" s="1"/>
  <c r="H549" i="3"/>
  <c r="D549" i="3"/>
  <c r="C549" i="3"/>
  <c r="B549" i="3"/>
  <c r="I548" i="3"/>
  <c r="J548" i="3" s="1"/>
  <c r="H548" i="3"/>
  <c r="D548" i="3"/>
  <c r="C548" i="3"/>
  <c r="B548" i="3"/>
  <c r="I547" i="3"/>
  <c r="J547" i="3" s="1"/>
  <c r="H547" i="3"/>
  <c r="D547" i="3"/>
  <c r="C547" i="3"/>
  <c r="B547" i="3"/>
  <c r="I546" i="3"/>
  <c r="J546" i="3" s="1"/>
  <c r="H546" i="3"/>
  <c r="D546" i="3"/>
  <c r="C546" i="3"/>
  <c r="B546" i="3"/>
  <c r="I545" i="3"/>
  <c r="J545" i="3" s="1"/>
  <c r="H545" i="3"/>
  <c r="D545" i="3"/>
  <c r="C545" i="3"/>
  <c r="B545" i="3"/>
  <c r="I544" i="3"/>
  <c r="J544" i="3" s="1"/>
  <c r="H544" i="3"/>
  <c r="D544" i="3"/>
  <c r="C544" i="3"/>
  <c r="B544" i="3"/>
  <c r="I543" i="3"/>
  <c r="J543" i="3" s="1"/>
  <c r="H543" i="3"/>
  <c r="D543" i="3"/>
  <c r="C543" i="3"/>
  <c r="B543" i="3"/>
  <c r="I542" i="3"/>
  <c r="J542" i="3" s="1"/>
  <c r="H542" i="3"/>
  <c r="D542" i="3"/>
  <c r="C542" i="3"/>
  <c r="B542" i="3"/>
  <c r="I541" i="3"/>
  <c r="J541" i="3" s="1"/>
  <c r="H541" i="3"/>
  <c r="D541" i="3"/>
  <c r="C541" i="3"/>
  <c r="B541" i="3"/>
  <c r="I540" i="3"/>
  <c r="J540" i="3" s="1"/>
  <c r="H540" i="3"/>
  <c r="D540" i="3"/>
  <c r="C540" i="3"/>
  <c r="B540" i="3"/>
  <c r="I539" i="3"/>
  <c r="J539" i="3" s="1"/>
  <c r="H539" i="3"/>
  <c r="D539" i="3"/>
  <c r="C539" i="3"/>
  <c r="B539" i="3"/>
  <c r="I538" i="3"/>
  <c r="J538" i="3" s="1"/>
  <c r="H538" i="3"/>
  <c r="D538" i="3"/>
  <c r="C538" i="3"/>
  <c r="B538" i="3"/>
  <c r="I537" i="3"/>
  <c r="J537" i="3" s="1"/>
  <c r="H537" i="3"/>
  <c r="D537" i="3"/>
  <c r="C537" i="3"/>
  <c r="B537" i="3"/>
  <c r="I536" i="3"/>
  <c r="J536" i="3" s="1"/>
  <c r="H536" i="3"/>
  <c r="D536" i="3"/>
  <c r="C536" i="3"/>
  <c r="B536" i="3"/>
  <c r="I535" i="3"/>
  <c r="J535" i="3" s="1"/>
  <c r="H535" i="3"/>
  <c r="D535" i="3"/>
  <c r="C535" i="3"/>
  <c r="B535" i="3"/>
  <c r="I534" i="3"/>
  <c r="J534" i="3" s="1"/>
  <c r="H534" i="3"/>
  <c r="D534" i="3"/>
  <c r="C534" i="3"/>
  <c r="B534" i="3"/>
  <c r="I533" i="3"/>
  <c r="J533" i="3" s="1"/>
  <c r="H533" i="3"/>
  <c r="D533" i="3"/>
  <c r="C533" i="3"/>
  <c r="B533" i="3"/>
  <c r="I532" i="3"/>
  <c r="J532" i="3" s="1"/>
  <c r="H532" i="3"/>
  <c r="D532" i="3"/>
  <c r="C532" i="3"/>
  <c r="B532" i="3"/>
  <c r="I531" i="3"/>
  <c r="J531" i="3" s="1"/>
  <c r="H531" i="3"/>
  <c r="D531" i="3"/>
  <c r="C531" i="3"/>
  <c r="B531" i="3"/>
  <c r="I530" i="3"/>
  <c r="J530" i="3" s="1"/>
  <c r="H530" i="3"/>
  <c r="D530" i="3"/>
  <c r="C530" i="3"/>
  <c r="B530" i="3"/>
  <c r="I529" i="3"/>
  <c r="J529" i="3" s="1"/>
  <c r="H529" i="3"/>
  <c r="D529" i="3"/>
  <c r="C529" i="3"/>
  <c r="B529" i="3"/>
  <c r="I528" i="3"/>
  <c r="J528" i="3" s="1"/>
  <c r="H528" i="3"/>
  <c r="D528" i="3"/>
  <c r="C528" i="3"/>
  <c r="B528" i="3"/>
  <c r="I527" i="3"/>
  <c r="J527" i="3" s="1"/>
  <c r="H527" i="3"/>
  <c r="D527" i="3"/>
  <c r="C527" i="3"/>
  <c r="B527" i="3"/>
  <c r="I526" i="3"/>
  <c r="J526" i="3" s="1"/>
  <c r="H526" i="3"/>
  <c r="D526" i="3"/>
  <c r="C526" i="3"/>
  <c r="B526" i="3"/>
  <c r="I525" i="3"/>
  <c r="J525" i="3" s="1"/>
  <c r="H525" i="3"/>
  <c r="D525" i="3"/>
  <c r="C525" i="3"/>
  <c r="B525" i="3"/>
  <c r="I524" i="3"/>
  <c r="J524" i="3" s="1"/>
  <c r="H524" i="3"/>
  <c r="D524" i="3"/>
  <c r="C524" i="3"/>
  <c r="B524" i="3"/>
  <c r="I523" i="3"/>
  <c r="J523" i="3" s="1"/>
  <c r="H523" i="3"/>
  <c r="D523" i="3"/>
  <c r="C523" i="3"/>
  <c r="B523" i="3"/>
  <c r="I522" i="3"/>
  <c r="J522" i="3" s="1"/>
  <c r="H522" i="3"/>
  <c r="D522" i="3"/>
  <c r="C522" i="3"/>
  <c r="B522" i="3"/>
  <c r="I521" i="3"/>
  <c r="J521" i="3" s="1"/>
  <c r="H521" i="3"/>
  <c r="D521" i="3"/>
  <c r="C521" i="3"/>
  <c r="B521" i="3"/>
  <c r="I520" i="3"/>
  <c r="J520" i="3" s="1"/>
  <c r="H520" i="3"/>
  <c r="D520" i="3"/>
  <c r="C520" i="3"/>
  <c r="B520" i="3"/>
  <c r="I519" i="3"/>
  <c r="J519" i="3" s="1"/>
  <c r="H519" i="3"/>
  <c r="D519" i="3"/>
  <c r="C519" i="3"/>
  <c r="B519" i="3"/>
  <c r="I518" i="3"/>
  <c r="J518" i="3" s="1"/>
  <c r="H518" i="3"/>
  <c r="D518" i="3"/>
  <c r="C518" i="3"/>
  <c r="B518" i="3"/>
  <c r="I517" i="3"/>
  <c r="J517" i="3" s="1"/>
  <c r="H517" i="3"/>
  <c r="D517" i="3"/>
  <c r="C517" i="3"/>
  <c r="B517" i="3"/>
  <c r="I516" i="3"/>
  <c r="J516" i="3" s="1"/>
  <c r="H516" i="3"/>
  <c r="D516" i="3"/>
  <c r="C516" i="3"/>
  <c r="B516" i="3"/>
  <c r="I515" i="3"/>
  <c r="J515" i="3" s="1"/>
  <c r="H515" i="3"/>
  <c r="D515" i="3"/>
  <c r="C515" i="3"/>
  <c r="B515" i="3"/>
  <c r="I514" i="3"/>
  <c r="J514" i="3" s="1"/>
  <c r="H514" i="3"/>
  <c r="D514" i="3"/>
  <c r="C514" i="3"/>
  <c r="B514" i="3"/>
  <c r="I513" i="3"/>
  <c r="J513" i="3" s="1"/>
  <c r="H513" i="3"/>
  <c r="D513" i="3"/>
  <c r="C513" i="3"/>
  <c r="B513" i="3"/>
  <c r="I512" i="3"/>
  <c r="J512" i="3" s="1"/>
  <c r="H512" i="3"/>
  <c r="D512" i="3"/>
  <c r="C512" i="3"/>
  <c r="B512" i="3"/>
  <c r="I511" i="3"/>
  <c r="J511" i="3" s="1"/>
  <c r="H511" i="3"/>
  <c r="D511" i="3"/>
  <c r="C511" i="3"/>
  <c r="B511" i="3"/>
  <c r="I510" i="3"/>
  <c r="J510" i="3" s="1"/>
  <c r="H510" i="3"/>
  <c r="D510" i="3"/>
  <c r="C510" i="3"/>
  <c r="B510" i="3"/>
  <c r="I509" i="3"/>
  <c r="J509" i="3" s="1"/>
  <c r="H509" i="3"/>
  <c r="D509" i="3"/>
  <c r="C509" i="3"/>
  <c r="B509" i="3"/>
  <c r="I508" i="3"/>
  <c r="J508" i="3" s="1"/>
  <c r="H508" i="3"/>
  <c r="D508" i="3"/>
  <c r="C508" i="3"/>
  <c r="B508" i="3"/>
  <c r="I507" i="3"/>
  <c r="J507" i="3" s="1"/>
  <c r="H507" i="3"/>
  <c r="D507" i="3"/>
  <c r="C507" i="3"/>
  <c r="B507" i="3"/>
  <c r="I506" i="3"/>
  <c r="J506" i="3" s="1"/>
  <c r="H506" i="3"/>
  <c r="D506" i="3"/>
  <c r="C506" i="3"/>
  <c r="B506" i="3"/>
  <c r="I505" i="3"/>
  <c r="J505" i="3" s="1"/>
  <c r="H505" i="3"/>
  <c r="D505" i="3"/>
  <c r="C505" i="3"/>
  <c r="B505" i="3"/>
  <c r="I504" i="3"/>
  <c r="J504" i="3" s="1"/>
  <c r="H504" i="3"/>
  <c r="D504" i="3"/>
  <c r="C504" i="3"/>
  <c r="B504" i="3"/>
  <c r="I503" i="3"/>
  <c r="J503" i="3" s="1"/>
  <c r="H503" i="3"/>
  <c r="D503" i="3"/>
  <c r="C503" i="3"/>
  <c r="B503" i="3"/>
  <c r="I502" i="3"/>
  <c r="J502" i="3" s="1"/>
  <c r="H502" i="3"/>
  <c r="D502" i="3"/>
  <c r="C502" i="3"/>
  <c r="B502" i="3"/>
  <c r="I501" i="3"/>
  <c r="J501" i="3" s="1"/>
  <c r="H501" i="3"/>
  <c r="D501" i="3"/>
  <c r="C501" i="3"/>
  <c r="B501" i="3"/>
  <c r="I500" i="3"/>
  <c r="J500" i="3" s="1"/>
  <c r="H500" i="3"/>
  <c r="D500" i="3"/>
  <c r="C500" i="3"/>
  <c r="B500" i="3"/>
  <c r="I499" i="3"/>
  <c r="J499" i="3" s="1"/>
  <c r="H499" i="3"/>
  <c r="D499" i="3"/>
  <c r="C499" i="3"/>
  <c r="B499" i="3"/>
  <c r="I498" i="3"/>
  <c r="J498" i="3" s="1"/>
  <c r="H498" i="3"/>
  <c r="D498" i="3"/>
  <c r="C498" i="3"/>
  <c r="B498" i="3"/>
  <c r="I497" i="3"/>
  <c r="J497" i="3" s="1"/>
  <c r="H497" i="3"/>
  <c r="D497" i="3"/>
  <c r="C497" i="3"/>
  <c r="B497" i="3"/>
  <c r="I496" i="3"/>
  <c r="J496" i="3" s="1"/>
  <c r="H496" i="3"/>
  <c r="D496" i="3"/>
  <c r="C496" i="3"/>
  <c r="B496" i="3"/>
  <c r="I495" i="3"/>
  <c r="J495" i="3" s="1"/>
  <c r="H495" i="3"/>
  <c r="D495" i="3"/>
  <c r="C495" i="3"/>
  <c r="B495" i="3"/>
  <c r="I494" i="3"/>
  <c r="J494" i="3" s="1"/>
  <c r="H494" i="3"/>
  <c r="D494" i="3"/>
  <c r="C494" i="3"/>
  <c r="B494" i="3"/>
  <c r="I493" i="3"/>
  <c r="J493" i="3" s="1"/>
  <c r="H493" i="3"/>
  <c r="D493" i="3"/>
  <c r="C493" i="3"/>
  <c r="B493" i="3"/>
  <c r="I492" i="3"/>
  <c r="J492" i="3" s="1"/>
  <c r="H492" i="3"/>
  <c r="D492" i="3"/>
  <c r="C492" i="3"/>
  <c r="B492" i="3"/>
  <c r="I491" i="3"/>
  <c r="J491" i="3" s="1"/>
  <c r="H491" i="3"/>
  <c r="D491" i="3"/>
  <c r="C491" i="3"/>
  <c r="B491" i="3"/>
  <c r="I490" i="3"/>
  <c r="J490" i="3" s="1"/>
  <c r="H490" i="3"/>
  <c r="D490" i="3"/>
  <c r="C490" i="3"/>
  <c r="B490" i="3"/>
  <c r="I489" i="3"/>
  <c r="J489" i="3" s="1"/>
  <c r="H489" i="3"/>
  <c r="D489" i="3"/>
  <c r="C489" i="3"/>
  <c r="B489" i="3"/>
  <c r="I488" i="3"/>
  <c r="J488" i="3" s="1"/>
  <c r="H488" i="3"/>
  <c r="D488" i="3"/>
  <c r="C488" i="3"/>
  <c r="B488" i="3"/>
  <c r="I487" i="3"/>
  <c r="J487" i="3" s="1"/>
  <c r="H487" i="3"/>
  <c r="D487" i="3"/>
  <c r="C487" i="3"/>
  <c r="B487" i="3"/>
  <c r="I486" i="3"/>
  <c r="J486" i="3" s="1"/>
  <c r="H486" i="3"/>
  <c r="D486" i="3"/>
  <c r="C486" i="3"/>
  <c r="B486" i="3"/>
  <c r="I485" i="3"/>
  <c r="J485" i="3" s="1"/>
  <c r="H485" i="3"/>
  <c r="D485" i="3"/>
  <c r="C485" i="3"/>
  <c r="B485" i="3"/>
  <c r="I484" i="3"/>
  <c r="J484" i="3" s="1"/>
  <c r="H484" i="3"/>
  <c r="D484" i="3"/>
  <c r="C484" i="3"/>
  <c r="B484" i="3"/>
  <c r="I483" i="3"/>
  <c r="J483" i="3" s="1"/>
  <c r="H483" i="3"/>
  <c r="D483" i="3"/>
  <c r="C483" i="3"/>
  <c r="B483" i="3"/>
  <c r="I482" i="3"/>
  <c r="J482" i="3" s="1"/>
  <c r="H482" i="3"/>
  <c r="D482" i="3"/>
  <c r="C482" i="3"/>
  <c r="B482" i="3"/>
  <c r="I481" i="3"/>
  <c r="J481" i="3" s="1"/>
  <c r="H481" i="3"/>
  <c r="D481" i="3"/>
  <c r="C481" i="3"/>
  <c r="B481" i="3"/>
  <c r="I480" i="3"/>
  <c r="J480" i="3" s="1"/>
  <c r="H480" i="3"/>
  <c r="D480" i="3"/>
  <c r="C480" i="3"/>
  <c r="B480" i="3"/>
  <c r="I479" i="3"/>
  <c r="J479" i="3" s="1"/>
  <c r="H479" i="3"/>
  <c r="D479" i="3"/>
  <c r="C479" i="3"/>
  <c r="B479" i="3"/>
  <c r="I478" i="3"/>
  <c r="J478" i="3" s="1"/>
  <c r="H478" i="3"/>
  <c r="D478" i="3"/>
  <c r="C478" i="3"/>
  <c r="B478" i="3"/>
  <c r="I477" i="3"/>
  <c r="J477" i="3" s="1"/>
  <c r="H477" i="3"/>
  <c r="D477" i="3"/>
  <c r="C477" i="3"/>
  <c r="B477" i="3"/>
  <c r="I476" i="3"/>
  <c r="J476" i="3" s="1"/>
  <c r="H476" i="3"/>
  <c r="D476" i="3"/>
  <c r="C476" i="3"/>
  <c r="B476" i="3"/>
  <c r="I475" i="3"/>
  <c r="J475" i="3" s="1"/>
  <c r="H475" i="3"/>
  <c r="D475" i="3"/>
  <c r="C475" i="3"/>
  <c r="B475" i="3"/>
  <c r="I474" i="3"/>
  <c r="J474" i="3" s="1"/>
  <c r="H474" i="3"/>
  <c r="D474" i="3"/>
  <c r="C474" i="3"/>
  <c r="B474" i="3"/>
  <c r="I473" i="3"/>
  <c r="J473" i="3" s="1"/>
  <c r="H473" i="3"/>
  <c r="D473" i="3"/>
  <c r="C473" i="3"/>
  <c r="B473" i="3"/>
  <c r="I472" i="3"/>
  <c r="J472" i="3" s="1"/>
  <c r="H472" i="3"/>
  <c r="D472" i="3"/>
  <c r="C472" i="3"/>
  <c r="B472" i="3"/>
  <c r="I471" i="3"/>
  <c r="J471" i="3" s="1"/>
  <c r="H471" i="3"/>
  <c r="D471" i="3"/>
  <c r="C471" i="3"/>
  <c r="B471" i="3"/>
  <c r="I470" i="3"/>
  <c r="J470" i="3" s="1"/>
  <c r="H470" i="3"/>
  <c r="D470" i="3"/>
  <c r="C470" i="3"/>
  <c r="B470" i="3"/>
  <c r="I469" i="3"/>
  <c r="J469" i="3" s="1"/>
  <c r="H469" i="3"/>
  <c r="D469" i="3"/>
  <c r="C469" i="3"/>
  <c r="B469" i="3"/>
  <c r="I468" i="3"/>
  <c r="J468" i="3" s="1"/>
  <c r="H468" i="3"/>
  <c r="D468" i="3"/>
  <c r="C468" i="3"/>
  <c r="B468" i="3"/>
  <c r="I467" i="3"/>
  <c r="J467" i="3" s="1"/>
  <c r="H467" i="3"/>
  <c r="D467" i="3"/>
  <c r="C467" i="3"/>
  <c r="B467" i="3"/>
  <c r="I466" i="3"/>
  <c r="J466" i="3" s="1"/>
  <c r="H466" i="3"/>
  <c r="D466" i="3"/>
  <c r="C466" i="3"/>
  <c r="B466" i="3"/>
  <c r="I465" i="3"/>
  <c r="J465" i="3" s="1"/>
  <c r="H465" i="3"/>
  <c r="D465" i="3"/>
  <c r="C465" i="3"/>
  <c r="B465" i="3"/>
  <c r="I464" i="3"/>
  <c r="J464" i="3" s="1"/>
  <c r="H464" i="3"/>
  <c r="D464" i="3"/>
  <c r="C464" i="3"/>
  <c r="B464" i="3"/>
  <c r="I463" i="3"/>
  <c r="J463" i="3" s="1"/>
  <c r="H463" i="3"/>
  <c r="D463" i="3"/>
  <c r="C463" i="3"/>
  <c r="B463" i="3"/>
  <c r="I462" i="3"/>
  <c r="J462" i="3" s="1"/>
  <c r="H462" i="3"/>
  <c r="D462" i="3"/>
  <c r="C462" i="3"/>
  <c r="B462" i="3"/>
  <c r="I461" i="3"/>
  <c r="J461" i="3" s="1"/>
  <c r="H461" i="3"/>
  <c r="D461" i="3"/>
  <c r="C461" i="3"/>
  <c r="B461" i="3"/>
  <c r="I460" i="3"/>
  <c r="J460" i="3" s="1"/>
  <c r="H460" i="3"/>
  <c r="D460" i="3"/>
  <c r="C460" i="3"/>
  <c r="B460" i="3"/>
  <c r="I459" i="3"/>
  <c r="J459" i="3" s="1"/>
  <c r="H459" i="3"/>
  <c r="D459" i="3"/>
  <c r="C459" i="3"/>
  <c r="B459" i="3"/>
  <c r="I458" i="3"/>
  <c r="J458" i="3" s="1"/>
  <c r="H458" i="3"/>
  <c r="D458" i="3"/>
  <c r="C458" i="3"/>
  <c r="B458" i="3"/>
  <c r="I457" i="3"/>
  <c r="J457" i="3" s="1"/>
  <c r="H457" i="3"/>
  <c r="D457" i="3"/>
  <c r="C457" i="3"/>
  <c r="B457" i="3"/>
  <c r="I456" i="3"/>
  <c r="J456" i="3" s="1"/>
  <c r="H456" i="3"/>
  <c r="D456" i="3"/>
  <c r="C456" i="3"/>
  <c r="B456" i="3"/>
  <c r="I455" i="3"/>
  <c r="J455" i="3" s="1"/>
  <c r="H455" i="3"/>
  <c r="D455" i="3"/>
  <c r="C455" i="3"/>
  <c r="B455" i="3"/>
  <c r="I454" i="3"/>
  <c r="J454" i="3" s="1"/>
  <c r="H454" i="3"/>
  <c r="D454" i="3"/>
  <c r="C454" i="3"/>
  <c r="B454" i="3"/>
  <c r="I453" i="3"/>
  <c r="J453" i="3" s="1"/>
  <c r="H453" i="3"/>
  <c r="D453" i="3"/>
  <c r="C453" i="3"/>
  <c r="B453" i="3"/>
  <c r="I452" i="3"/>
  <c r="J452" i="3" s="1"/>
  <c r="H452" i="3"/>
  <c r="D452" i="3"/>
  <c r="C452" i="3"/>
  <c r="B452" i="3"/>
  <c r="I451" i="3"/>
  <c r="J451" i="3" s="1"/>
  <c r="H451" i="3"/>
  <c r="D451" i="3"/>
  <c r="C451" i="3"/>
  <c r="B451" i="3"/>
  <c r="I450" i="3"/>
  <c r="J450" i="3" s="1"/>
  <c r="H450" i="3"/>
  <c r="D450" i="3"/>
  <c r="C450" i="3"/>
  <c r="B450" i="3"/>
  <c r="I449" i="3"/>
  <c r="J449" i="3" s="1"/>
  <c r="H449" i="3"/>
  <c r="D449" i="3"/>
  <c r="C449" i="3"/>
  <c r="B449" i="3"/>
  <c r="I448" i="3"/>
  <c r="J448" i="3" s="1"/>
  <c r="H448" i="3"/>
  <c r="D448" i="3"/>
  <c r="C448" i="3"/>
  <c r="B448" i="3"/>
  <c r="I447" i="3"/>
  <c r="J447" i="3" s="1"/>
  <c r="H447" i="3"/>
  <c r="D447" i="3"/>
  <c r="C447" i="3"/>
  <c r="B447" i="3"/>
  <c r="I446" i="3"/>
  <c r="J446" i="3" s="1"/>
  <c r="H446" i="3"/>
  <c r="D446" i="3"/>
  <c r="C446" i="3"/>
  <c r="B446" i="3"/>
  <c r="I445" i="3"/>
  <c r="J445" i="3" s="1"/>
  <c r="H445" i="3"/>
  <c r="D445" i="3"/>
  <c r="C445" i="3"/>
  <c r="B445" i="3"/>
  <c r="I444" i="3"/>
  <c r="J444" i="3" s="1"/>
  <c r="H444" i="3"/>
  <c r="D444" i="3"/>
  <c r="C444" i="3"/>
  <c r="B444" i="3"/>
  <c r="I443" i="3"/>
  <c r="J443" i="3" s="1"/>
  <c r="H443" i="3"/>
  <c r="D443" i="3"/>
  <c r="C443" i="3"/>
  <c r="B443" i="3"/>
  <c r="I442" i="3"/>
  <c r="J442" i="3" s="1"/>
  <c r="H442" i="3"/>
  <c r="D442" i="3"/>
  <c r="C442" i="3"/>
  <c r="B442" i="3"/>
  <c r="I441" i="3"/>
  <c r="J441" i="3" s="1"/>
  <c r="H441" i="3"/>
  <c r="D441" i="3"/>
  <c r="C441" i="3"/>
  <c r="B441" i="3"/>
  <c r="I440" i="3"/>
  <c r="J440" i="3" s="1"/>
  <c r="H440" i="3"/>
  <c r="D440" i="3"/>
  <c r="C440" i="3"/>
  <c r="B440" i="3"/>
  <c r="I439" i="3"/>
  <c r="J439" i="3" s="1"/>
  <c r="H439" i="3"/>
  <c r="D439" i="3"/>
  <c r="C439" i="3"/>
  <c r="B439" i="3"/>
  <c r="I438" i="3"/>
  <c r="J438" i="3" s="1"/>
  <c r="H438" i="3"/>
  <c r="D438" i="3"/>
  <c r="C438" i="3"/>
  <c r="B438" i="3"/>
  <c r="I437" i="3"/>
  <c r="J437" i="3" s="1"/>
  <c r="H437" i="3"/>
  <c r="D437" i="3"/>
  <c r="C437" i="3"/>
  <c r="B437" i="3"/>
  <c r="I436" i="3"/>
  <c r="J436" i="3" s="1"/>
  <c r="H436" i="3"/>
  <c r="D436" i="3"/>
  <c r="C436" i="3"/>
  <c r="B436" i="3"/>
  <c r="I435" i="3"/>
  <c r="J435" i="3" s="1"/>
  <c r="H435" i="3"/>
  <c r="D435" i="3"/>
  <c r="C435" i="3"/>
  <c r="B435" i="3"/>
  <c r="I434" i="3"/>
  <c r="J434" i="3" s="1"/>
  <c r="H434" i="3"/>
  <c r="D434" i="3"/>
  <c r="C434" i="3"/>
  <c r="B434" i="3"/>
  <c r="I433" i="3"/>
  <c r="J433" i="3" s="1"/>
  <c r="H433" i="3"/>
  <c r="D433" i="3"/>
  <c r="C433" i="3"/>
  <c r="B433" i="3"/>
  <c r="I432" i="3"/>
  <c r="J432" i="3" s="1"/>
  <c r="H432" i="3"/>
  <c r="D432" i="3"/>
  <c r="C432" i="3"/>
  <c r="B432" i="3"/>
  <c r="I431" i="3"/>
  <c r="J431" i="3" s="1"/>
  <c r="H431" i="3"/>
  <c r="D431" i="3"/>
  <c r="C431" i="3"/>
  <c r="B431" i="3"/>
  <c r="I430" i="3"/>
  <c r="J430" i="3" s="1"/>
  <c r="H430" i="3"/>
  <c r="D430" i="3"/>
  <c r="C430" i="3"/>
  <c r="B430" i="3"/>
  <c r="I429" i="3"/>
  <c r="J429" i="3" s="1"/>
  <c r="H429" i="3"/>
  <c r="D429" i="3"/>
  <c r="C429" i="3"/>
  <c r="B429" i="3"/>
  <c r="I428" i="3"/>
  <c r="J428" i="3" s="1"/>
  <c r="H428" i="3"/>
  <c r="D428" i="3"/>
  <c r="C428" i="3"/>
  <c r="B428" i="3"/>
  <c r="I427" i="3"/>
  <c r="J427" i="3" s="1"/>
  <c r="H427" i="3"/>
  <c r="D427" i="3"/>
  <c r="C427" i="3"/>
  <c r="B427" i="3"/>
  <c r="I426" i="3"/>
  <c r="J426" i="3" s="1"/>
  <c r="H426" i="3"/>
  <c r="D426" i="3"/>
  <c r="C426" i="3"/>
  <c r="B426" i="3"/>
  <c r="I425" i="3"/>
  <c r="J425" i="3" s="1"/>
  <c r="H425" i="3"/>
  <c r="D425" i="3"/>
  <c r="C425" i="3"/>
  <c r="B425" i="3"/>
  <c r="I424" i="3"/>
  <c r="J424" i="3" s="1"/>
  <c r="H424" i="3"/>
  <c r="D424" i="3"/>
  <c r="C424" i="3"/>
  <c r="B424" i="3"/>
  <c r="I423" i="3"/>
  <c r="J423" i="3" s="1"/>
  <c r="H423" i="3"/>
  <c r="D423" i="3"/>
  <c r="C423" i="3"/>
  <c r="B423" i="3"/>
  <c r="I422" i="3"/>
  <c r="J422" i="3" s="1"/>
  <c r="H422" i="3"/>
  <c r="D422" i="3"/>
  <c r="C422" i="3"/>
  <c r="B422" i="3"/>
  <c r="I421" i="3"/>
  <c r="J421" i="3" s="1"/>
  <c r="H421" i="3"/>
  <c r="D421" i="3"/>
  <c r="C421" i="3"/>
  <c r="B421" i="3"/>
  <c r="I420" i="3"/>
  <c r="J420" i="3" s="1"/>
  <c r="H420" i="3"/>
  <c r="D420" i="3"/>
  <c r="C420" i="3"/>
  <c r="B420" i="3"/>
  <c r="I419" i="3"/>
  <c r="J419" i="3" s="1"/>
  <c r="H419" i="3"/>
  <c r="D419" i="3"/>
  <c r="C419" i="3"/>
  <c r="B419" i="3"/>
  <c r="I418" i="3"/>
  <c r="J418" i="3" s="1"/>
  <c r="H418" i="3"/>
  <c r="D418" i="3"/>
  <c r="C418" i="3"/>
  <c r="B418" i="3"/>
  <c r="I417" i="3"/>
  <c r="J417" i="3" s="1"/>
  <c r="H417" i="3"/>
  <c r="D417" i="3"/>
  <c r="C417" i="3"/>
  <c r="B417" i="3"/>
  <c r="I416" i="3"/>
  <c r="J416" i="3" s="1"/>
  <c r="H416" i="3"/>
  <c r="D416" i="3"/>
  <c r="C416" i="3"/>
  <c r="B416" i="3"/>
  <c r="I415" i="3"/>
  <c r="J415" i="3" s="1"/>
  <c r="H415" i="3"/>
  <c r="D415" i="3"/>
  <c r="C415" i="3"/>
  <c r="B415" i="3"/>
  <c r="I414" i="3"/>
  <c r="J414" i="3" s="1"/>
  <c r="H414" i="3"/>
  <c r="D414" i="3"/>
  <c r="C414" i="3"/>
  <c r="B414" i="3"/>
  <c r="I413" i="3"/>
  <c r="J413" i="3" s="1"/>
  <c r="H413" i="3"/>
  <c r="D413" i="3"/>
  <c r="C413" i="3"/>
  <c r="B413" i="3"/>
  <c r="I412" i="3"/>
  <c r="J412" i="3" s="1"/>
  <c r="H412" i="3"/>
  <c r="D412" i="3"/>
  <c r="C412" i="3"/>
  <c r="B412" i="3"/>
  <c r="I411" i="3"/>
  <c r="J411" i="3" s="1"/>
  <c r="H411" i="3"/>
  <c r="D411" i="3"/>
  <c r="C411" i="3"/>
  <c r="B411" i="3"/>
  <c r="I410" i="3"/>
  <c r="J410" i="3" s="1"/>
  <c r="H410" i="3"/>
  <c r="D410" i="3"/>
  <c r="C410" i="3"/>
  <c r="B410" i="3"/>
  <c r="I409" i="3"/>
  <c r="J409" i="3" s="1"/>
  <c r="H409" i="3"/>
  <c r="D409" i="3"/>
  <c r="C409" i="3"/>
  <c r="B409" i="3"/>
  <c r="I408" i="3"/>
  <c r="J408" i="3" s="1"/>
  <c r="H408" i="3"/>
  <c r="D408" i="3"/>
  <c r="C408" i="3"/>
  <c r="B408" i="3"/>
  <c r="I407" i="3"/>
  <c r="J407" i="3" s="1"/>
  <c r="H407" i="3"/>
  <c r="D407" i="3"/>
  <c r="C407" i="3"/>
  <c r="B407" i="3"/>
  <c r="I406" i="3"/>
  <c r="J406" i="3" s="1"/>
  <c r="H406" i="3"/>
  <c r="D406" i="3"/>
  <c r="C406" i="3"/>
  <c r="B406" i="3"/>
  <c r="I405" i="3"/>
  <c r="J405" i="3" s="1"/>
  <c r="H405" i="3"/>
  <c r="D405" i="3"/>
  <c r="C405" i="3"/>
  <c r="B405" i="3"/>
  <c r="I404" i="3"/>
  <c r="J404" i="3" s="1"/>
  <c r="H404" i="3"/>
  <c r="D404" i="3"/>
  <c r="C404" i="3"/>
  <c r="B404" i="3"/>
  <c r="I403" i="3"/>
  <c r="J403" i="3" s="1"/>
  <c r="H403" i="3"/>
  <c r="D403" i="3"/>
  <c r="C403" i="3"/>
  <c r="B403" i="3"/>
  <c r="I402" i="3"/>
  <c r="J402" i="3" s="1"/>
  <c r="H402" i="3"/>
  <c r="D402" i="3"/>
  <c r="C402" i="3"/>
  <c r="B402" i="3"/>
  <c r="I401" i="3"/>
  <c r="J401" i="3" s="1"/>
  <c r="H401" i="3"/>
  <c r="D401" i="3"/>
  <c r="C401" i="3"/>
  <c r="B401" i="3"/>
  <c r="I400" i="3"/>
  <c r="J400" i="3" s="1"/>
  <c r="H400" i="3"/>
  <c r="D400" i="3"/>
  <c r="C400" i="3"/>
  <c r="B400" i="3"/>
  <c r="I399" i="3"/>
  <c r="J399" i="3" s="1"/>
  <c r="H399" i="3"/>
  <c r="D399" i="3"/>
  <c r="C399" i="3"/>
  <c r="B399" i="3"/>
  <c r="I398" i="3"/>
  <c r="J398" i="3" s="1"/>
  <c r="H398" i="3"/>
  <c r="D398" i="3"/>
  <c r="C398" i="3"/>
  <c r="B398" i="3"/>
  <c r="I397" i="3"/>
  <c r="J397" i="3" s="1"/>
  <c r="H397" i="3"/>
  <c r="D397" i="3"/>
  <c r="C397" i="3"/>
  <c r="B397" i="3"/>
  <c r="I396" i="3"/>
  <c r="J396" i="3" s="1"/>
  <c r="H396" i="3"/>
  <c r="D396" i="3"/>
  <c r="C396" i="3"/>
  <c r="B396" i="3"/>
  <c r="I395" i="3"/>
  <c r="J395" i="3" s="1"/>
  <c r="H395" i="3"/>
  <c r="D395" i="3"/>
  <c r="C395" i="3"/>
  <c r="B395" i="3"/>
  <c r="I394" i="3"/>
  <c r="J394" i="3" s="1"/>
  <c r="H394" i="3"/>
  <c r="D394" i="3"/>
  <c r="C394" i="3"/>
  <c r="B394" i="3"/>
  <c r="I393" i="3"/>
  <c r="J393" i="3" s="1"/>
  <c r="H393" i="3"/>
  <c r="D393" i="3"/>
  <c r="C393" i="3"/>
  <c r="B393" i="3"/>
  <c r="I392" i="3"/>
  <c r="J392" i="3" s="1"/>
  <c r="H392" i="3"/>
  <c r="D392" i="3"/>
  <c r="C392" i="3"/>
  <c r="B392" i="3"/>
  <c r="I391" i="3"/>
  <c r="J391" i="3" s="1"/>
  <c r="H391" i="3"/>
  <c r="D391" i="3"/>
  <c r="C391" i="3"/>
  <c r="B391" i="3"/>
  <c r="I390" i="3"/>
  <c r="J390" i="3" s="1"/>
  <c r="H390" i="3"/>
  <c r="D390" i="3"/>
  <c r="C390" i="3"/>
  <c r="B390" i="3"/>
  <c r="I389" i="3"/>
  <c r="J389" i="3" s="1"/>
  <c r="H389" i="3"/>
  <c r="D389" i="3"/>
  <c r="C389" i="3"/>
  <c r="B389" i="3"/>
  <c r="I388" i="3"/>
  <c r="J388" i="3" s="1"/>
  <c r="H388" i="3"/>
  <c r="D388" i="3"/>
  <c r="C388" i="3"/>
  <c r="B388" i="3"/>
  <c r="I387" i="3"/>
  <c r="J387" i="3" s="1"/>
  <c r="H387" i="3"/>
  <c r="D387" i="3"/>
  <c r="C387" i="3"/>
  <c r="B387" i="3"/>
  <c r="I386" i="3"/>
  <c r="J386" i="3" s="1"/>
  <c r="H386" i="3"/>
  <c r="D386" i="3"/>
  <c r="C386" i="3"/>
  <c r="B386" i="3"/>
  <c r="I385" i="3"/>
  <c r="J385" i="3" s="1"/>
  <c r="H385" i="3"/>
  <c r="D385" i="3"/>
  <c r="C385" i="3"/>
  <c r="B385" i="3"/>
  <c r="I384" i="3"/>
  <c r="J384" i="3" s="1"/>
  <c r="H384" i="3"/>
  <c r="D384" i="3"/>
  <c r="C384" i="3"/>
  <c r="B384" i="3"/>
  <c r="I383" i="3"/>
  <c r="J383" i="3" s="1"/>
  <c r="H383" i="3"/>
  <c r="D383" i="3"/>
  <c r="C383" i="3"/>
  <c r="B383" i="3"/>
  <c r="I382" i="3"/>
  <c r="J382" i="3" s="1"/>
  <c r="H382" i="3"/>
  <c r="D382" i="3"/>
  <c r="C382" i="3"/>
  <c r="B382" i="3"/>
  <c r="I381" i="3"/>
  <c r="J381" i="3" s="1"/>
  <c r="H381" i="3"/>
  <c r="D381" i="3"/>
  <c r="C381" i="3"/>
  <c r="B381" i="3"/>
  <c r="I380" i="3"/>
  <c r="J380" i="3" s="1"/>
  <c r="H380" i="3"/>
  <c r="D380" i="3"/>
  <c r="C380" i="3"/>
  <c r="B380" i="3"/>
  <c r="I379" i="3"/>
  <c r="J379" i="3" s="1"/>
  <c r="H379" i="3"/>
  <c r="D379" i="3"/>
  <c r="C379" i="3"/>
  <c r="B379" i="3"/>
  <c r="I378" i="3"/>
  <c r="J378" i="3" s="1"/>
  <c r="H378" i="3"/>
  <c r="D378" i="3"/>
  <c r="C378" i="3"/>
  <c r="B378" i="3"/>
  <c r="I377" i="3"/>
  <c r="J377" i="3" s="1"/>
  <c r="H377" i="3"/>
  <c r="D377" i="3"/>
  <c r="C377" i="3"/>
  <c r="B377" i="3"/>
  <c r="I376" i="3"/>
  <c r="J376" i="3" s="1"/>
  <c r="H376" i="3"/>
  <c r="D376" i="3"/>
  <c r="C376" i="3"/>
  <c r="B376" i="3"/>
  <c r="I375" i="3"/>
  <c r="J375" i="3" s="1"/>
  <c r="H375" i="3"/>
  <c r="D375" i="3"/>
  <c r="C375" i="3"/>
  <c r="B375" i="3"/>
  <c r="I374" i="3"/>
  <c r="J374" i="3" s="1"/>
  <c r="H374" i="3"/>
  <c r="D374" i="3"/>
  <c r="C374" i="3"/>
  <c r="B374" i="3"/>
  <c r="I373" i="3"/>
  <c r="J373" i="3" s="1"/>
  <c r="H373" i="3"/>
  <c r="D373" i="3"/>
  <c r="C373" i="3"/>
  <c r="B373" i="3"/>
  <c r="I372" i="3"/>
  <c r="J372" i="3" s="1"/>
  <c r="H372" i="3"/>
  <c r="D372" i="3"/>
  <c r="C372" i="3"/>
  <c r="B372" i="3"/>
  <c r="I371" i="3"/>
  <c r="J371" i="3" s="1"/>
  <c r="H371" i="3"/>
  <c r="D371" i="3"/>
  <c r="C371" i="3"/>
  <c r="B371" i="3"/>
  <c r="I370" i="3"/>
  <c r="J370" i="3" s="1"/>
  <c r="H370" i="3"/>
  <c r="D370" i="3"/>
  <c r="C370" i="3"/>
  <c r="B370" i="3"/>
  <c r="I369" i="3"/>
  <c r="J369" i="3" s="1"/>
  <c r="H369" i="3"/>
  <c r="D369" i="3"/>
  <c r="C369" i="3"/>
  <c r="B369" i="3"/>
  <c r="I368" i="3"/>
  <c r="J368" i="3" s="1"/>
  <c r="H368" i="3"/>
  <c r="D368" i="3"/>
  <c r="C368" i="3"/>
  <c r="B368" i="3"/>
  <c r="I367" i="3"/>
  <c r="J367" i="3" s="1"/>
  <c r="H367" i="3"/>
  <c r="D367" i="3"/>
  <c r="C367" i="3"/>
  <c r="B367" i="3"/>
  <c r="I366" i="3"/>
  <c r="J366" i="3" s="1"/>
  <c r="H366" i="3"/>
  <c r="D366" i="3"/>
  <c r="C366" i="3"/>
  <c r="B366" i="3"/>
  <c r="I365" i="3"/>
  <c r="J365" i="3" s="1"/>
  <c r="H365" i="3"/>
  <c r="D365" i="3"/>
  <c r="C365" i="3"/>
  <c r="B365" i="3"/>
  <c r="I364" i="3"/>
  <c r="J364" i="3" s="1"/>
  <c r="H364" i="3"/>
  <c r="D364" i="3"/>
  <c r="C364" i="3"/>
  <c r="B364" i="3"/>
  <c r="I363" i="3"/>
  <c r="J363" i="3" s="1"/>
  <c r="H363" i="3"/>
  <c r="D363" i="3"/>
  <c r="C363" i="3"/>
  <c r="B363" i="3"/>
  <c r="I362" i="3"/>
  <c r="J362" i="3" s="1"/>
  <c r="H362" i="3"/>
  <c r="D362" i="3"/>
  <c r="C362" i="3"/>
  <c r="B362" i="3"/>
  <c r="I361" i="3"/>
  <c r="J361" i="3" s="1"/>
  <c r="H361" i="3"/>
  <c r="D361" i="3"/>
  <c r="C361" i="3"/>
  <c r="B361" i="3"/>
  <c r="I360" i="3"/>
  <c r="J360" i="3" s="1"/>
  <c r="H360" i="3"/>
  <c r="D360" i="3"/>
  <c r="C360" i="3"/>
  <c r="B360" i="3"/>
  <c r="I359" i="3"/>
  <c r="J359" i="3" s="1"/>
  <c r="H359" i="3"/>
  <c r="D359" i="3"/>
  <c r="C359" i="3"/>
  <c r="B359" i="3"/>
  <c r="I358" i="3"/>
  <c r="J358" i="3" s="1"/>
  <c r="H358" i="3"/>
  <c r="D358" i="3"/>
  <c r="C358" i="3"/>
  <c r="B358" i="3"/>
  <c r="I357" i="3"/>
  <c r="J357" i="3" s="1"/>
  <c r="H357" i="3"/>
  <c r="D357" i="3"/>
  <c r="C357" i="3"/>
  <c r="B357" i="3"/>
  <c r="I356" i="3"/>
  <c r="J356" i="3" s="1"/>
  <c r="H356" i="3"/>
  <c r="D356" i="3"/>
  <c r="C356" i="3"/>
  <c r="B356" i="3"/>
  <c r="I355" i="3"/>
  <c r="J355" i="3" s="1"/>
  <c r="H355" i="3"/>
  <c r="D355" i="3"/>
  <c r="C355" i="3"/>
  <c r="B355" i="3"/>
  <c r="I354" i="3"/>
  <c r="J354" i="3" s="1"/>
  <c r="H354" i="3"/>
  <c r="D354" i="3"/>
  <c r="C354" i="3"/>
  <c r="B354" i="3"/>
  <c r="I353" i="3"/>
  <c r="J353" i="3" s="1"/>
  <c r="H353" i="3"/>
  <c r="D353" i="3"/>
  <c r="C353" i="3"/>
  <c r="B353" i="3"/>
  <c r="I352" i="3"/>
  <c r="J352" i="3" s="1"/>
  <c r="H352" i="3"/>
  <c r="D352" i="3"/>
  <c r="C352" i="3"/>
  <c r="B352" i="3"/>
  <c r="I351" i="3"/>
  <c r="J351" i="3" s="1"/>
  <c r="H351" i="3"/>
  <c r="D351" i="3"/>
  <c r="C351" i="3"/>
  <c r="B351" i="3"/>
  <c r="I350" i="3"/>
  <c r="J350" i="3" s="1"/>
  <c r="H350" i="3"/>
  <c r="D350" i="3"/>
  <c r="C350" i="3"/>
  <c r="B350" i="3"/>
  <c r="I349" i="3"/>
  <c r="J349" i="3" s="1"/>
  <c r="H349" i="3"/>
  <c r="D349" i="3"/>
  <c r="C349" i="3"/>
  <c r="B349" i="3"/>
  <c r="I348" i="3"/>
  <c r="J348" i="3" s="1"/>
  <c r="H348" i="3"/>
  <c r="D348" i="3"/>
  <c r="C348" i="3"/>
  <c r="B348" i="3"/>
  <c r="I347" i="3"/>
  <c r="J347" i="3" s="1"/>
  <c r="H347" i="3"/>
  <c r="D347" i="3"/>
  <c r="C347" i="3"/>
  <c r="B347" i="3"/>
  <c r="I346" i="3"/>
  <c r="J346" i="3" s="1"/>
  <c r="H346" i="3"/>
  <c r="D346" i="3"/>
  <c r="C346" i="3"/>
  <c r="B346" i="3"/>
  <c r="I345" i="3"/>
  <c r="J345" i="3" s="1"/>
  <c r="H345" i="3"/>
  <c r="D345" i="3"/>
  <c r="C345" i="3"/>
  <c r="B345" i="3"/>
  <c r="I344" i="3"/>
  <c r="J344" i="3" s="1"/>
  <c r="H344" i="3"/>
  <c r="D344" i="3"/>
  <c r="C344" i="3"/>
  <c r="B344" i="3"/>
  <c r="I343" i="3"/>
  <c r="J343" i="3" s="1"/>
  <c r="H343" i="3"/>
  <c r="D343" i="3"/>
  <c r="C343" i="3"/>
  <c r="B343" i="3"/>
  <c r="I342" i="3"/>
  <c r="J342" i="3" s="1"/>
  <c r="H342" i="3"/>
  <c r="D342" i="3"/>
  <c r="C342" i="3"/>
  <c r="B342" i="3"/>
  <c r="I341" i="3"/>
  <c r="J341" i="3" s="1"/>
  <c r="H341" i="3"/>
  <c r="D341" i="3"/>
  <c r="C341" i="3"/>
  <c r="B341" i="3"/>
  <c r="I340" i="3"/>
  <c r="J340" i="3" s="1"/>
  <c r="H340" i="3"/>
  <c r="D340" i="3"/>
  <c r="C340" i="3"/>
  <c r="B340" i="3"/>
  <c r="I339" i="3"/>
  <c r="J339" i="3" s="1"/>
  <c r="H339" i="3"/>
  <c r="D339" i="3"/>
  <c r="C339" i="3"/>
  <c r="B339" i="3"/>
  <c r="I338" i="3"/>
  <c r="J338" i="3" s="1"/>
  <c r="H338" i="3"/>
  <c r="D338" i="3"/>
  <c r="C338" i="3"/>
  <c r="B338" i="3"/>
  <c r="I337" i="3"/>
  <c r="J337" i="3" s="1"/>
  <c r="H337" i="3"/>
  <c r="D337" i="3"/>
  <c r="C337" i="3"/>
  <c r="B337" i="3"/>
  <c r="I336" i="3"/>
  <c r="J336" i="3" s="1"/>
  <c r="H336" i="3"/>
  <c r="D336" i="3"/>
  <c r="C336" i="3"/>
  <c r="B336" i="3"/>
  <c r="I335" i="3"/>
  <c r="J335" i="3" s="1"/>
  <c r="H335" i="3"/>
  <c r="D335" i="3"/>
  <c r="C335" i="3"/>
  <c r="B335" i="3"/>
  <c r="I334" i="3"/>
  <c r="J334" i="3" s="1"/>
  <c r="H334" i="3"/>
  <c r="D334" i="3"/>
  <c r="C334" i="3"/>
  <c r="B334" i="3"/>
  <c r="I333" i="3"/>
  <c r="J333" i="3" s="1"/>
  <c r="H333" i="3"/>
  <c r="D333" i="3"/>
  <c r="C333" i="3"/>
  <c r="B333" i="3"/>
  <c r="I332" i="3"/>
  <c r="J332" i="3" s="1"/>
  <c r="H332" i="3"/>
  <c r="D332" i="3"/>
  <c r="C332" i="3"/>
  <c r="B332" i="3"/>
  <c r="I331" i="3"/>
  <c r="J331" i="3" s="1"/>
  <c r="H331" i="3"/>
  <c r="D331" i="3"/>
  <c r="C331" i="3"/>
  <c r="B331" i="3"/>
  <c r="I330" i="3"/>
  <c r="J330" i="3" s="1"/>
  <c r="H330" i="3"/>
  <c r="D330" i="3"/>
  <c r="C330" i="3"/>
  <c r="B330" i="3"/>
  <c r="I329" i="3"/>
  <c r="J329" i="3" s="1"/>
  <c r="H329" i="3"/>
  <c r="D329" i="3"/>
  <c r="C329" i="3"/>
  <c r="B329" i="3"/>
  <c r="I328" i="3"/>
  <c r="J328" i="3" s="1"/>
  <c r="H328" i="3"/>
  <c r="D328" i="3"/>
  <c r="C328" i="3"/>
  <c r="B328" i="3"/>
  <c r="I327" i="3"/>
  <c r="J327" i="3" s="1"/>
  <c r="H327" i="3"/>
  <c r="D327" i="3"/>
  <c r="C327" i="3"/>
  <c r="B327" i="3"/>
  <c r="I326" i="3"/>
  <c r="J326" i="3" s="1"/>
  <c r="H326" i="3"/>
  <c r="D326" i="3"/>
  <c r="C326" i="3"/>
  <c r="B326" i="3"/>
  <c r="I325" i="3"/>
  <c r="J325" i="3" s="1"/>
  <c r="H325" i="3"/>
  <c r="D325" i="3"/>
  <c r="C325" i="3"/>
  <c r="B325" i="3"/>
  <c r="I324" i="3"/>
  <c r="J324" i="3" s="1"/>
  <c r="H324" i="3"/>
  <c r="D324" i="3"/>
  <c r="C324" i="3"/>
  <c r="B324" i="3"/>
  <c r="I323" i="3"/>
  <c r="J323" i="3" s="1"/>
  <c r="H323" i="3"/>
  <c r="D323" i="3"/>
  <c r="C323" i="3"/>
  <c r="B323" i="3"/>
  <c r="I322" i="3"/>
  <c r="J322" i="3" s="1"/>
  <c r="H322" i="3"/>
  <c r="D322" i="3"/>
  <c r="C322" i="3"/>
  <c r="B322" i="3"/>
  <c r="I321" i="3"/>
  <c r="J321" i="3" s="1"/>
  <c r="H321" i="3"/>
  <c r="D321" i="3"/>
  <c r="C321" i="3"/>
  <c r="B321" i="3"/>
  <c r="I320" i="3"/>
  <c r="J320" i="3" s="1"/>
  <c r="H320" i="3"/>
  <c r="D320" i="3"/>
  <c r="C320" i="3"/>
  <c r="B320" i="3"/>
  <c r="I319" i="3"/>
  <c r="J319" i="3" s="1"/>
  <c r="H319" i="3"/>
  <c r="D319" i="3"/>
  <c r="C319" i="3"/>
  <c r="B319" i="3"/>
  <c r="I318" i="3"/>
  <c r="J318" i="3" s="1"/>
  <c r="H318" i="3"/>
  <c r="D318" i="3"/>
  <c r="C318" i="3"/>
  <c r="B318" i="3"/>
  <c r="I317" i="3"/>
  <c r="J317" i="3" s="1"/>
  <c r="H317" i="3"/>
  <c r="D317" i="3"/>
  <c r="C317" i="3"/>
  <c r="B317" i="3"/>
  <c r="I316" i="3"/>
  <c r="J316" i="3" s="1"/>
  <c r="H316" i="3"/>
  <c r="D316" i="3"/>
  <c r="C316" i="3"/>
  <c r="B316" i="3"/>
  <c r="I315" i="3"/>
  <c r="J315" i="3" s="1"/>
  <c r="H315" i="3"/>
  <c r="D315" i="3"/>
  <c r="C315" i="3"/>
  <c r="B315" i="3"/>
  <c r="I314" i="3"/>
  <c r="J314" i="3" s="1"/>
  <c r="H314" i="3"/>
  <c r="D314" i="3"/>
  <c r="C314" i="3"/>
  <c r="B314" i="3"/>
  <c r="I313" i="3"/>
  <c r="J313" i="3" s="1"/>
  <c r="H313" i="3"/>
  <c r="D313" i="3"/>
  <c r="C313" i="3"/>
  <c r="B313" i="3"/>
  <c r="I312" i="3"/>
  <c r="J312" i="3" s="1"/>
  <c r="H312" i="3"/>
  <c r="D312" i="3"/>
  <c r="C312" i="3"/>
  <c r="B312" i="3"/>
  <c r="I311" i="3"/>
  <c r="J311" i="3" s="1"/>
  <c r="H311" i="3"/>
  <c r="D311" i="3"/>
  <c r="C311" i="3"/>
  <c r="B311" i="3"/>
  <c r="I310" i="3"/>
  <c r="J310" i="3" s="1"/>
  <c r="H310" i="3"/>
  <c r="D310" i="3"/>
  <c r="C310" i="3"/>
  <c r="B310" i="3"/>
  <c r="I309" i="3"/>
  <c r="J309" i="3" s="1"/>
  <c r="H309" i="3"/>
  <c r="D309" i="3"/>
  <c r="C309" i="3"/>
  <c r="B309" i="3"/>
  <c r="I308" i="3"/>
  <c r="J308" i="3" s="1"/>
  <c r="H308" i="3"/>
  <c r="D308" i="3"/>
  <c r="C308" i="3"/>
  <c r="B308" i="3"/>
  <c r="I307" i="3"/>
  <c r="J307" i="3" s="1"/>
  <c r="H307" i="3"/>
  <c r="D307" i="3"/>
  <c r="C307" i="3"/>
  <c r="B307" i="3"/>
  <c r="I306" i="3"/>
  <c r="J306" i="3" s="1"/>
  <c r="H306" i="3"/>
  <c r="D306" i="3"/>
  <c r="C306" i="3"/>
  <c r="B306" i="3"/>
  <c r="I305" i="3"/>
  <c r="J305" i="3" s="1"/>
  <c r="H305" i="3"/>
  <c r="D305" i="3"/>
  <c r="C305" i="3"/>
  <c r="B305" i="3"/>
  <c r="I304" i="3"/>
  <c r="J304" i="3" s="1"/>
  <c r="H304" i="3"/>
  <c r="D304" i="3"/>
  <c r="C304" i="3"/>
  <c r="B304" i="3"/>
  <c r="I303" i="3"/>
  <c r="J303" i="3" s="1"/>
  <c r="H303" i="3"/>
  <c r="D303" i="3"/>
  <c r="C303" i="3"/>
  <c r="B303" i="3"/>
  <c r="I302" i="3"/>
  <c r="J302" i="3" s="1"/>
  <c r="H302" i="3"/>
  <c r="D302" i="3"/>
  <c r="C302" i="3"/>
  <c r="B302" i="3"/>
  <c r="I301" i="3"/>
  <c r="J301" i="3" s="1"/>
  <c r="H301" i="3"/>
  <c r="D301" i="3"/>
  <c r="C301" i="3"/>
  <c r="B301" i="3"/>
  <c r="I300" i="3"/>
  <c r="J300" i="3" s="1"/>
  <c r="H300" i="3"/>
  <c r="D300" i="3"/>
  <c r="C300" i="3"/>
  <c r="B300" i="3"/>
  <c r="I299" i="3"/>
  <c r="J299" i="3" s="1"/>
  <c r="H299" i="3"/>
  <c r="D299" i="3"/>
  <c r="C299" i="3"/>
  <c r="B299" i="3"/>
  <c r="I298" i="3"/>
  <c r="J298" i="3" s="1"/>
  <c r="H298" i="3"/>
  <c r="D298" i="3"/>
  <c r="C298" i="3"/>
  <c r="B298" i="3"/>
  <c r="I297" i="3"/>
  <c r="J297" i="3" s="1"/>
  <c r="H297" i="3"/>
  <c r="D297" i="3"/>
  <c r="C297" i="3"/>
  <c r="B297" i="3"/>
  <c r="I296" i="3"/>
  <c r="J296" i="3" s="1"/>
  <c r="H296" i="3"/>
  <c r="D296" i="3"/>
  <c r="C296" i="3"/>
  <c r="B296" i="3"/>
  <c r="I295" i="3"/>
  <c r="J295" i="3" s="1"/>
  <c r="H295" i="3"/>
  <c r="D295" i="3"/>
  <c r="C295" i="3"/>
  <c r="B295" i="3"/>
  <c r="I294" i="3"/>
  <c r="J294" i="3" s="1"/>
  <c r="H294" i="3"/>
  <c r="D294" i="3"/>
  <c r="C294" i="3"/>
  <c r="B294" i="3"/>
  <c r="I293" i="3"/>
  <c r="J293" i="3" s="1"/>
  <c r="H293" i="3"/>
  <c r="D293" i="3"/>
  <c r="C293" i="3"/>
  <c r="B293" i="3"/>
  <c r="I292" i="3"/>
  <c r="J292" i="3" s="1"/>
  <c r="H292" i="3"/>
  <c r="D292" i="3"/>
  <c r="C292" i="3"/>
  <c r="B292" i="3"/>
  <c r="I291" i="3"/>
  <c r="J291" i="3" s="1"/>
  <c r="H291" i="3"/>
  <c r="D291" i="3"/>
  <c r="C291" i="3"/>
  <c r="B291" i="3"/>
  <c r="I290" i="3"/>
  <c r="J290" i="3" s="1"/>
  <c r="H290" i="3"/>
  <c r="D290" i="3"/>
  <c r="C290" i="3"/>
  <c r="B290" i="3"/>
  <c r="I289" i="3"/>
  <c r="J289" i="3" s="1"/>
  <c r="H289" i="3"/>
  <c r="D289" i="3"/>
  <c r="C289" i="3"/>
  <c r="B289" i="3"/>
  <c r="I288" i="3"/>
  <c r="J288" i="3" s="1"/>
  <c r="H288" i="3"/>
  <c r="D288" i="3"/>
  <c r="C288" i="3"/>
  <c r="B288" i="3"/>
  <c r="I287" i="3"/>
  <c r="J287" i="3" s="1"/>
  <c r="H287" i="3"/>
  <c r="D287" i="3"/>
  <c r="C287" i="3"/>
  <c r="B287" i="3"/>
  <c r="I286" i="3"/>
  <c r="J286" i="3" s="1"/>
  <c r="H286" i="3"/>
  <c r="D286" i="3"/>
  <c r="C286" i="3"/>
  <c r="B286" i="3"/>
  <c r="I285" i="3"/>
  <c r="J285" i="3" s="1"/>
  <c r="H285" i="3"/>
  <c r="D285" i="3"/>
  <c r="C285" i="3"/>
  <c r="B285" i="3"/>
  <c r="I284" i="3"/>
  <c r="J284" i="3" s="1"/>
  <c r="H284" i="3"/>
  <c r="D284" i="3"/>
  <c r="C284" i="3"/>
  <c r="B284" i="3"/>
  <c r="I283" i="3"/>
  <c r="J283" i="3" s="1"/>
  <c r="H283" i="3"/>
  <c r="D283" i="3"/>
  <c r="C283" i="3"/>
  <c r="B283" i="3"/>
  <c r="I282" i="3"/>
  <c r="J282" i="3" s="1"/>
  <c r="H282" i="3"/>
  <c r="D282" i="3"/>
  <c r="C282" i="3"/>
  <c r="B282" i="3"/>
  <c r="I281" i="3"/>
  <c r="J281" i="3" s="1"/>
  <c r="H281" i="3"/>
  <c r="D281" i="3"/>
  <c r="C281" i="3"/>
  <c r="B281" i="3"/>
  <c r="I280" i="3"/>
  <c r="J280" i="3" s="1"/>
  <c r="H280" i="3"/>
  <c r="D280" i="3"/>
  <c r="C280" i="3"/>
  <c r="B280" i="3"/>
  <c r="I279" i="3"/>
  <c r="J279" i="3" s="1"/>
  <c r="H279" i="3"/>
  <c r="D279" i="3"/>
  <c r="C279" i="3"/>
  <c r="B279" i="3"/>
  <c r="I278" i="3"/>
  <c r="J278" i="3" s="1"/>
  <c r="H278" i="3"/>
  <c r="D278" i="3"/>
  <c r="C278" i="3"/>
  <c r="B278" i="3"/>
  <c r="I277" i="3"/>
  <c r="J277" i="3" s="1"/>
  <c r="H277" i="3"/>
  <c r="D277" i="3"/>
  <c r="C277" i="3"/>
  <c r="B277" i="3"/>
  <c r="I276" i="3"/>
  <c r="J276" i="3" s="1"/>
  <c r="H276" i="3"/>
  <c r="D276" i="3"/>
  <c r="C276" i="3"/>
  <c r="B276" i="3"/>
  <c r="I275" i="3"/>
  <c r="J275" i="3" s="1"/>
  <c r="H275" i="3"/>
  <c r="D275" i="3"/>
  <c r="C275" i="3"/>
  <c r="B275" i="3"/>
  <c r="I274" i="3"/>
  <c r="J274" i="3" s="1"/>
  <c r="H274" i="3"/>
  <c r="D274" i="3"/>
  <c r="C274" i="3"/>
  <c r="B274" i="3"/>
  <c r="I273" i="3"/>
  <c r="J273" i="3" s="1"/>
  <c r="H273" i="3"/>
  <c r="D273" i="3"/>
  <c r="C273" i="3"/>
  <c r="B273" i="3"/>
  <c r="I272" i="3"/>
  <c r="J272" i="3" s="1"/>
  <c r="H272" i="3"/>
  <c r="D272" i="3"/>
  <c r="C272" i="3"/>
  <c r="B272" i="3"/>
  <c r="I271" i="3"/>
  <c r="J271" i="3" s="1"/>
  <c r="H271" i="3"/>
  <c r="D271" i="3"/>
  <c r="C271" i="3"/>
  <c r="B271" i="3"/>
  <c r="I270" i="3"/>
  <c r="J270" i="3" s="1"/>
  <c r="H270" i="3"/>
  <c r="D270" i="3"/>
  <c r="C270" i="3"/>
  <c r="B270" i="3"/>
  <c r="I269" i="3"/>
  <c r="J269" i="3" s="1"/>
  <c r="H269" i="3"/>
  <c r="D269" i="3"/>
  <c r="C269" i="3"/>
  <c r="B269" i="3"/>
  <c r="I268" i="3"/>
  <c r="J268" i="3" s="1"/>
  <c r="H268" i="3"/>
  <c r="D268" i="3"/>
  <c r="C268" i="3"/>
  <c r="B268" i="3"/>
  <c r="I267" i="3"/>
  <c r="J267" i="3" s="1"/>
  <c r="H267" i="3"/>
  <c r="D267" i="3"/>
  <c r="C267" i="3"/>
  <c r="B267" i="3"/>
  <c r="I266" i="3"/>
  <c r="J266" i="3" s="1"/>
  <c r="H266" i="3"/>
  <c r="D266" i="3"/>
  <c r="C266" i="3"/>
  <c r="B266" i="3"/>
  <c r="I265" i="3"/>
  <c r="J265" i="3" s="1"/>
  <c r="H265" i="3"/>
  <c r="D265" i="3"/>
  <c r="C265" i="3"/>
  <c r="B265" i="3"/>
  <c r="I264" i="3"/>
  <c r="J264" i="3" s="1"/>
  <c r="H264" i="3"/>
  <c r="D264" i="3"/>
  <c r="C264" i="3"/>
  <c r="B264" i="3"/>
  <c r="I263" i="3"/>
  <c r="J263" i="3" s="1"/>
  <c r="H263" i="3"/>
  <c r="D263" i="3"/>
  <c r="C263" i="3"/>
  <c r="B263" i="3"/>
  <c r="I262" i="3"/>
  <c r="J262" i="3" s="1"/>
  <c r="H262" i="3"/>
  <c r="D262" i="3"/>
  <c r="C262" i="3"/>
  <c r="B262" i="3"/>
  <c r="I261" i="3"/>
  <c r="J261" i="3" s="1"/>
  <c r="H261" i="3"/>
  <c r="D261" i="3"/>
  <c r="C261" i="3"/>
  <c r="B261" i="3"/>
  <c r="I260" i="3"/>
  <c r="J260" i="3" s="1"/>
  <c r="H260" i="3"/>
  <c r="D260" i="3"/>
  <c r="C260" i="3"/>
  <c r="B260" i="3"/>
  <c r="I259" i="3"/>
  <c r="J259" i="3" s="1"/>
  <c r="H259" i="3"/>
  <c r="D259" i="3"/>
  <c r="C259" i="3"/>
  <c r="B259" i="3"/>
  <c r="I258" i="3"/>
  <c r="J258" i="3" s="1"/>
  <c r="H258" i="3"/>
  <c r="D258" i="3"/>
  <c r="C258" i="3"/>
  <c r="B258" i="3"/>
  <c r="I257" i="3"/>
  <c r="J257" i="3" s="1"/>
  <c r="H257" i="3"/>
  <c r="D257" i="3"/>
  <c r="C257" i="3"/>
  <c r="B257" i="3"/>
  <c r="I256" i="3"/>
  <c r="J256" i="3" s="1"/>
  <c r="H256" i="3"/>
  <c r="D256" i="3"/>
  <c r="C256" i="3"/>
  <c r="B256" i="3"/>
  <c r="I255" i="3"/>
  <c r="J255" i="3" s="1"/>
  <c r="H255" i="3"/>
  <c r="D255" i="3"/>
  <c r="C255" i="3"/>
  <c r="B255" i="3"/>
  <c r="I254" i="3"/>
  <c r="J254" i="3" s="1"/>
  <c r="H254" i="3"/>
  <c r="D254" i="3"/>
  <c r="C254" i="3"/>
  <c r="B254" i="3"/>
  <c r="I253" i="3"/>
  <c r="J253" i="3" s="1"/>
  <c r="H253" i="3"/>
  <c r="D253" i="3"/>
  <c r="C253" i="3"/>
  <c r="B253" i="3"/>
  <c r="I252" i="3"/>
  <c r="J252" i="3" s="1"/>
  <c r="H252" i="3"/>
  <c r="D252" i="3"/>
  <c r="C252" i="3"/>
  <c r="B252" i="3"/>
  <c r="I251" i="3"/>
  <c r="J251" i="3" s="1"/>
  <c r="H251" i="3"/>
  <c r="D251" i="3"/>
  <c r="C251" i="3"/>
  <c r="B251" i="3"/>
  <c r="I250" i="3"/>
  <c r="J250" i="3" s="1"/>
  <c r="H250" i="3"/>
  <c r="D250" i="3"/>
  <c r="C250" i="3"/>
  <c r="B250" i="3"/>
  <c r="I249" i="3"/>
  <c r="J249" i="3" s="1"/>
  <c r="H249" i="3"/>
  <c r="D249" i="3"/>
  <c r="C249" i="3"/>
  <c r="B249" i="3"/>
  <c r="I248" i="3"/>
  <c r="J248" i="3" s="1"/>
  <c r="H248" i="3"/>
  <c r="D248" i="3"/>
  <c r="C248" i="3"/>
  <c r="B248" i="3"/>
  <c r="I247" i="3"/>
  <c r="J247" i="3" s="1"/>
  <c r="H247" i="3"/>
  <c r="D247" i="3"/>
  <c r="C247" i="3"/>
  <c r="B247" i="3"/>
  <c r="I246" i="3"/>
  <c r="J246" i="3" s="1"/>
  <c r="H246" i="3"/>
  <c r="D246" i="3"/>
  <c r="C246" i="3"/>
  <c r="B246" i="3"/>
  <c r="I245" i="3"/>
  <c r="J245" i="3" s="1"/>
  <c r="H245" i="3"/>
  <c r="D245" i="3"/>
  <c r="C245" i="3"/>
  <c r="B245" i="3"/>
  <c r="I244" i="3"/>
  <c r="J244" i="3" s="1"/>
  <c r="H244" i="3"/>
  <c r="D244" i="3"/>
  <c r="C244" i="3"/>
  <c r="B244" i="3"/>
  <c r="I243" i="3"/>
  <c r="J243" i="3" s="1"/>
  <c r="H243" i="3"/>
  <c r="D243" i="3"/>
  <c r="C243" i="3"/>
  <c r="B243" i="3"/>
  <c r="I242" i="3"/>
  <c r="J242" i="3" s="1"/>
  <c r="H242" i="3"/>
  <c r="D242" i="3"/>
  <c r="C242" i="3"/>
  <c r="B242" i="3"/>
  <c r="I241" i="3"/>
  <c r="J241" i="3" s="1"/>
  <c r="H241" i="3"/>
  <c r="D241" i="3"/>
  <c r="C241" i="3"/>
  <c r="B241" i="3"/>
  <c r="I240" i="3"/>
  <c r="J240" i="3" s="1"/>
  <c r="H240" i="3"/>
  <c r="D240" i="3"/>
  <c r="C240" i="3"/>
  <c r="B240" i="3"/>
  <c r="I239" i="3"/>
  <c r="J239" i="3" s="1"/>
  <c r="H239" i="3"/>
  <c r="D239" i="3"/>
  <c r="C239" i="3"/>
  <c r="B239" i="3"/>
  <c r="I238" i="3"/>
  <c r="J238" i="3" s="1"/>
  <c r="H238" i="3"/>
  <c r="D238" i="3"/>
  <c r="C238" i="3"/>
  <c r="B238" i="3"/>
  <c r="I237" i="3"/>
  <c r="J237" i="3" s="1"/>
  <c r="H237" i="3"/>
  <c r="D237" i="3"/>
  <c r="C237" i="3"/>
  <c r="B237" i="3"/>
  <c r="I236" i="3"/>
  <c r="J236" i="3" s="1"/>
  <c r="H236" i="3"/>
  <c r="D236" i="3"/>
  <c r="C236" i="3"/>
  <c r="B236" i="3"/>
  <c r="I235" i="3"/>
  <c r="J235" i="3" s="1"/>
  <c r="H235" i="3"/>
  <c r="D235" i="3"/>
  <c r="C235" i="3"/>
  <c r="B235" i="3"/>
  <c r="I234" i="3"/>
  <c r="J234" i="3" s="1"/>
  <c r="H234" i="3"/>
  <c r="D234" i="3"/>
  <c r="C234" i="3"/>
  <c r="B234" i="3"/>
  <c r="I233" i="3"/>
  <c r="J233" i="3" s="1"/>
  <c r="H233" i="3"/>
  <c r="D233" i="3"/>
  <c r="C233" i="3"/>
  <c r="B233" i="3"/>
  <c r="I232" i="3"/>
  <c r="J232" i="3" s="1"/>
  <c r="H232" i="3"/>
  <c r="D232" i="3"/>
  <c r="C232" i="3"/>
  <c r="B232" i="3"/>
  <c r="I231" i="3"/>
  <c r="J231" i="3" s="1"/>
  <c r="H231" i="3"/>
  <c r="D231" i="3"/>
  <c r="C231" i="3"/>
  <c r="B231" i="3"/>
  <c r="I230" i="3"/>
  <c r="J230" i="3" s="1"/>
  <c r="H230" i="3"/>
  <c r="D230" i="3"/>
  <c r="C230" i="3"/>
  <c r="B230" i="3"/>
  <c r="I229" i="3"/>
  <c r="J229" i="3" s="1"/>
  <c r="H229" i="3"/>
  <c r="D229" i="3"/>
  <c r="C229" i="3"/>
  <c r="B229" i="3"/>
  <c r="I228" i="3"/>
  <c r="J228" i="3" s="1"/>
  <c r="H228" i="3"/>
  <c r="D228" i="3"/>
  <c r="C228" i="3"/>
  <c r="B228" i="3"/>
  <c r="I227" i="3"/>
  <c r="J227" i="3" s="1"/>
  <c r="H227" i="3"/>
  <c r="D227" i="3"/>
  <c r="C227" i="3"/>
  <c r="B227" i="3"/>
  <c r="I226" i="3"/>
  <c r="J226" i="3" s="1"/>
  <c r="H226" i="3"/>
  <c r="D226" i="3"/>
  <c r="C226" i="3"/>
  <c r="B226" i="3"/>
  <c r="I225" i="3"/>
  <c r="J225" i="3" s="1"/>
  <c r="H225" i="3"/>
  <c r="D225" i="3"/>
  <c r="C225" i="3"/>
  <c r="B225" i="3"/>
  <c r="I224" i="3"/>
  <c r="J224" i="3" s="1"/>
  <c r="H224" i="3"/>
  <c r="D224" i="3"/>
  <c r="C224" i="3"/>
  <c r="B224" i="3"/>
  <c r="I223" i="3"/>
  <c r="J223" i="3" s="1"/>
  <c r="H223" i="3"/>
  <c r="D223" i="3"/>
  <c r="C223" i="3"/>
  <c r="B223" i="3"/>
  <c r="I222" i="3"/>
  <c r="J222" i="3" s="1"/>
  <c r="H222" i="3"/>
  <c r="D222" i="3"/>
  <c r="C222" i="3"/>
  <c r="B222" i="3"/>
  <c r="I221" i="3"/>
  <c r="J221" i="3" s="1"/>
  <c r="H221" i="3"/>
  <c r="D221" i="3"/>
  <c r="C221" i="3"/>
  <c r="B221" i="3"/>
  <c r="I220" i="3"/>
  <c r="J220" i="3" s="1"/>
  <c r="H220" i="3"/>
  <c r="D220" i="3"/>
  <c r="C220" i="3"/>
  <c r="B220" i="3"/>
  <c r="I219" i="3"/>
  <c r="J219" i="3" s="1"/>
  <c r="H219" i="3"/>
  <c r="D219" i="3"/>
  <c r="C219" i="3"/>
  <c r="B219" i="3"/>
  <c r="I218" i="3"/>
  <c r="J218" i="3" s="1"/>
  <c r="H218" i="3"/>
  <c r="D218" i="3"/>
  <c r="C218" i="3"/>
  <c r="B218" i="3"/>
  <c r="I217" i="3"/>
  <c r="J217" i="3" s="1"/>
  <c r="H217" i="3"/>
  <c r="D217" i="3"/>
  <c r="C217" i="3"/>
  <c r="B217" i="3"/>
  <c r="I216" i="3"/>
  <c r="J216" i="3" s="1"/>
  <c r="H216" i="3"/>
  <c r="D216" i="3"/>
  <c r="C216" i="3"/>
  <c r="B216" i="3"/>
  <c r="I215" i="3"/>
  <c r="J215" i="3" s="1"/>
  <c r="H215" i="3"/>
  <c r="D215" i="3"/>
  <c r="C215" i="3"/>
  <c r="B215" i="3"/>
  <c r="I214" i="3"/>
  <c r="J214" i="3" s="1"/>
  <c r="H214" i="3"/>
  <c r="D214" i="3"/>
  <c r="C214" i="3"/>
  <c r="B214" i="3"/>
  <c r="I213" i="3"/>
  <c r="J213" i="3" s="1"/>
  <c r="H213" i="3"/>
  <c r="D213" i="3"/>
  <c r="C213" i="3"/>
  <c r="B213" i="3"/>
  <c r="I212" i="3"/>
  <c r="J212" i="3" s="1"/>
  <c r="H212" i="3"/>
  <c r="D212" i="3"/>
  <c r="C212" i="3"/>
  <c r="B212" i="3"/>
  <c r="I211" i="3"/>
  <c r="J211" i="3" s="1"/>
  <c r="H211" i="3"/>
  <c r="D211" i="3"/>
  <c r="C211" i="3"/>
  <c r="B211" i="3"/>
  <c r="I210" i="3"/>
  <c r="J210" i="3" s="1"/>
  <c r="H210" i="3"/>
  <c r="D210" i="3"/>
  <c r="C210" i="3"/>
  <c r="B210" i="3"/>
  <c r="I209" i="3"/>
  <c r="J209" i="3" s="1"/>
  <c r="H209" i="3"/>
  <c r="D209" i="3"/>
  <c r="C209" i="3"/>
  <c r="B209" i="3"/>
  <c r="I208" i="3"/>
  <c r="J208" i="3" s="1"/>
  <c r="H208" i="3"/>
  <c r="D208" i="3"/>
  <c r="C208" i="3"/>
  <c r="B208" i="3"/>
  <c r="I207" i="3"/>
  <c r="J207" i="3" s="1"/>
  <c r="H207" i="3"/>
  <c r="D207" i="3"/>
  <c r="C207" i="3"/>
  <c r="B207" i="3"/>
  <c r="I206" i="3"/>
  <c r="J206" i="3" s="1"/>
  <c r="H206" i="3"/>
  <c r="D206" i="3"/>
  <c r="C206" i="3"/>
  <c r="B206" i="3"/>
  <c r="I205" i="3"/>
  <c r="J205" i="3" s="1"/>
  <c r="H205" i="3"/>
  <c r="D205" i="3"/>
  <c r="C205" i="3"/>
  <c r="B205" i="3"/>
  <c r="I204" i="3"/>
  <c r="J204" i="3" s="1"/>
  <c r="H204" i="3"/>
  <c r="D204" i="3"/>
  <c r="C204" i="3"/>
  <c r="B204" i="3"/>
  <c r="I203" i="3"/>
  <c r="J203" i="3" s="1"/>
  <c r="H203" i="3"/>
  <c r="D203" i="3"/>
  <c r="C203" i="3"/>
  <c r="B203" i="3"/>
  <c r="I202" i="3"/>
  <c r="J202" i="3" s="1"/>
  <c r="H202" i="3"/>
  <c r="D202" i="3"/>
  <c r="C202" i="3"/>
  <c r="B202" i="3"/>
  <c r="I201" i="3"/>
  <c r="J201" i="3" s="1"/>
  <c r="H201" i="3"/>
  <c r="D201" i="3"/>
  <c r="C201" i="3"/>
  <c r="B201" i="3"/>
  <c r="I200" i="3"/>
  <c r="J200" i="3" s="1"/>
  <c r="H200" i="3"/>
  <c r="D200" i="3"/>
  <c r="C200" i="3"/>
  <c r="B200" i="3"/>
  <c r="I199" i="3"/>
  <c r="J199" i="3" s="1"/>
  <c r="H199" i="3"/>
  <c r="D199" i="3"/>
  <c r="C199" i="3"/>
  <c r="B199" i="3"/>
  <c r="I198" i="3"/>
  <c r="J198" i="3" s="1"/>
  <c r="H198" i="3"/>
  <c r="D198" i="3"/>
  <c r="C198" i="3"/>
  <c r="B198" i="3"/>
  <c r="I197" i="3"/>
  <c r="J197" i="3" s="1"/>
  <c r="H197" i="3"/>
  <c r="D197" i="3"/>
  <c r="C197" i="3"/>
  <c r="B197" i="3"/>
  <c r="I196" i="3"/>
  <c r="J196" i="3" s="1"/>
  <c r="H196" i="3"/>
  <c r="D196" i="3"/>
  <c r="C196" i="3"/>
  <c r="B196" i="3"/>
  <c r="I195" i="3"/>
  <c r="J195" i="3" s="1"/>
  <c r="H195" i="3"/>
  <c r="D195" i="3"/>
  <c r="C195" i="3"/>
  <c r="B195" i="3"/>
  <c r="I194" i="3"/>
  <c r="J194" i="3" s="1"/>
  <c r="H194" i="3"/>
  <c r="D194" i="3"/>
  <c r="C194" i="3"/>
  <c r="B194" i="3"/>
  <c r="I193" i="3"/>
  <c r="J193" i="3" s="1"/>
  <c r="H193" i="3"/>
  <c r="D193" i="3"/>
  <c r="C193" i="3"/>
  <c r="B193" i="3"/>
  <c r="I192" i="3"/>
  <c r="J192" i="3" s="1"/>
  <c r="H192" i="3"/>
  <c r="D192" i="3"/>
  <c r="C192" i="3"/>
  <c r="B192" i="3"/>
  <c r="I191" i="3"/>
  <c r="J191" i="3" s="1"/>
  <c r="H191" i="3"/>
  <c r="D191" i="3"/>
  <c r="C191" i="3"/>
  <c r="B191" i="3"/>
  <c r="I190" i="3"/>
  <c r="J190" i="3" s="1"/>
  <c r="H190" i="3"/>
  <c r="D190" i="3"/>
  <c r="C190" i="3"/>
  <c r="B190" i="3"/>
  <c r="I189" i="3"/>
  <c r="J189" i="3" s="1"/>
  <c r="H189" i="3"/>
  <c r="D189" i="3"/>
  <c r="C189" i="3"/>
  <c r="B189" i="3"/>
  <c r="I188" i="3"/>
  <c r="J188" i="3" s="1"/>
  <c r="H188" i="3"/>
  <c r="D188" i="3"/>
  <c r="C188" i="3"/>
  <c r="B188" i="3"/>
  <c r="I187" i="3"/>
  <c r="J187" i="3" s="1"/>
  <c r="H187" i="3"/>
  <c r="D187" i="3"/>
  <c r="C187" i="3"/>
  <c r="B187" i="3"/>
  <c r="I186" i="3"/>
  <c r="J186" i="3" s="1"/>
  <c r="H186" i="3"/>
  <c r="D186" i="3"/>
  <c r="C186" i="3"/>
  <c r="B186" i="3"/>
  <c r="I185" i="3"/>
  <c r="J185" i="3" s="1"/>
  <c r="H185" i="3"/>
  <c r="D185" i="3"/>
  <c r="C185" i="3"/>
  <c r="B185" i="3"/>
  <c r="I184" i="3"/>
  <c r="J184" i="3" s="1"/>
  <c r="H184" i="3"/>
  <c r="D184" i="3"/>
  <c r="C184" i="3"/>
  <c r="B184" i="3"/>
  <c r="I183" i="3"/>
  <c r="J183" i="3" s="1"/>
  <c r="H183" i="3"/>
  <c r="D183" i="3"/>
  <c r="C183" i="3"/>
  <c r="B183" i="3"/>
  <c r="I182" i="3"/>
  <c r="J182" i="3" s="1"/>
  <c r="H182" i="3"/>
  <c r="D182" i="3"/>
  <c r="C182" i="3"/>
  <c r="B182" i="3"/>
  <c r="I181" i="3"/>
  <c r="J181" i="3" s="1"/>
  <c r="H181" i="3"/>
  <c r="D181" i="3"/>
  <c r="C181" i="3"/>
  <c r="B181" i="3"/>
  <c r="I180" i="3"/>
  <c r="J180" i="3" s="1"/>
  <c r="H180" i="3"/>
  <c r="D180" i="3"/>
  <c r="C180" i="3"/>
  <c r="B180" i="3"/>
  <c r="I179" i="3"/>
  <c r="J179" i="3" s="1"/>
  <c r="H179" i="3"/>
  <c r="D179" i="3"/>
  <c r="C179" i="3"/>
  <c r="B179" i="3"/>
  <c r="I178" i="3"/>
  <c r="J178" i="3" s="1"/>
  <c r="H178" i="3"/>
  <c r="D178" i="3"/>
  <c r="C178" i="3"/>
  <c r="B178" i="3"/>
  <c r="I177" i="3"/>
  <c r="J177" i="3" s="1"/>
  <c r="H177" i="3"/>
  <c r="D177" i="3"/>
  <c r="C177" i="3"/>
  <c r="B177" i="3"/>
  <c r="I176" i="3"/>
  <c r="J176" i="3" s="1"/>
  <c r="H176" i="3"/>
  <c r="D176" i="3"/>
  <c r="C176" i="3"/>
  <c r="B176" i="3"/>
  <c r="I175" i="3"/>
  <c r="J175" i="3" s="1"/>
  <c r="H175" i="3"/>
  <c r="D175" i="3"/>
  <c r="C175" i="3"/>
  <c r="B175" i="3"/>
  <c r="I174" i="3"/>
  <c r="J174" i="3" s="1"/>
  <c r="H174" i="3"/>
  <c r="D174" i="3"/>
  <c r="C174" i="3"/>
  <c r="B174" i="3"/>
  <c r="I173" i="3"/>
  <c r="J173" i="3" s="1"/>
  <c r="H173" i="3"/>
  <c r="D173" i="3"/>
  <c r="C173" i="3"/>
  <c r="B173" i="3"/>
  <c r="I172" i="3"/>
  <c r="J172" i="3" s="1"/>
  <c r="H172" i="3"/>
  <c r="D172" i="3"/>
  <c r="C172" i="3"/>
  <c r="B172" i="3"/>
  <c r="I171" i="3"/>
  <c r="J171" i="3" s="1"/>
  <c r="H171" i="3"/>
  <c r="D171" i="3"/>
  <c r="C171" i="3"/>
  <c r="B171" i="3"/>
  <c r="I170" i="3"/>
  <c r="J170" i="3" s="1"/>
  <c r="H170" i="3"/>
  <c r="D170" i="3"/>
  <c r="C170" i="3"/>
  <c r="B170" i="3"/>
  <c r="I169" i="3"/>
  <c r="J169" i="3" s="1"/>
  <c r="H169" i="3"/>
  <c r="D169" i="3"/>
  <c r="C169" i="3"/>
  <c r="B169" i="3"/>
  <c r="I168" i="3"/>
  <c r="J168" i="3" s="1"/>
  <c r="H168" i="3"/>
  <c r="D168" i="3"/>
  <c r="C168" i="3"/>
  <c r="B168" i="3"/>
  <c r="I167" i="3"/>
  <c r="J167" i="3" s="1"/>
  <c r="H167" i="3"/>
  <c r="D167" i="3"/>
  <c r="C167" i="3"/>
  <c r="B167" i="3"/>
  <c r="I166" i="3"/>
  <c r="J166" i="3" s="1"/>
  <c r="H166" i="3"/>
  <c r="D166" i="3"/>
  <c r="C166" i="3"/>
  <c r="B166" i="3"/>
  <c r="I165" i="3"/>
  <c r="J165" i="3" s="1"/>
  <c r="H165" i="3"/>
  <c r="D165" i="3"/>
  <c r="C165" i="3"/>
  <c r="B165" i="3"/>
  <c r="I164" i="3"/>
  <c r="J164" i="3" s="1"/>
  <c r="H164" i="3"/>
  <c r="D164" i="3"/>
  <c r="C164" i="3"/>
  <c r="B164" i="3"/>
  <c r="I163" i="3"/>
  <c r="J163" i="3" s="1"/>
  <c r="H163" i="3"/>
  <c r="D163" i="3"/>
  <c r="C163" i="3"/>
  <c r="B163" i="3"/>
  <c r="I162" i="3"/>
  <c r="J162" i="3" s="1"/>
  <c r="H162" i="3"/>
  <c r="D162" i="3"/>
  <c r="C162" i="3"/>
  <c r="B162" i="3"/>
  <c r="I161" i="3"/>
  <c r="J161" i="3" s="1"/>
  <c r="H161" i="3"/>
  <c r="D161" i="3"/>
  <c r="C161" i="3"/>
  <c r="B161" i="3"/>
  <c r="I160" i="3"/>
  <c r="J160" i="3" s="1"/>
  <c r="H160" i="3"/>
  <c r="D160" i="3"/>
  <c r="C160" i="3"/>
  <c r="B160" i="3"/>
  <c r="I159" i="3"/>
  <c r="J159" i="3" s="1"/>
  <c r="H159" i="3"/>
  <c r="D159" i="3"/>
  <c r="C159" i="3"/>
  <c r="B159" i="3"/>
  <c r="I158" i="3"/>
  <c r="J158" i="3" s="1"/>
  <c r="H158" i="3"/>
  <c r="D158" i="3"/>
  <c r="C158" i="3"/>
  <c r="B158" i="3"/>
  <c r="I157" i="3"/>
  <c r="J157" i="3" s="1"/>
  <c r="H157" i="3"/>
  <c r="D157" i="3"/>
  <c r="C157" i="3"/>
  <c r="B157" i="3"/>
  <c r="I156" i="3"/>
  <c r="J156" i="3" s="1"/>
  <c r="H156" i="3"/>
  <c r="D156" i="3"/>
  <c r="C156" i="3"/>
  <c r="B156" i="3"/>
  <c r="I155" i="3"/>
  <c r="J155" i="3" s="1"/>
  <c r="H155" i="3"/>
  <c r="D155" i="3"/>
  <c r="C155" i="3"/>
  <c r="B155" i="3"/>
  <c r="I154" i="3"/>
  <c r="J154" i="3" s="1"/>
  <c r="H154" i="3"/>
  <c r="D154" i="3"/>
  <c r="C154" i="3"/>
  <c r="B154" i="3"/>
  <c r="I153" i="3"/>
  <c r="J153" i="3" s="1"/>
  <c r="H153" i="3"/>
  <c r="D153" i="3"/>
  <c r="C153" i="3"/>
  <c r="B153" i="3"/>
  <c r="I152" i="3"/>
  <c r="J152" i="3" s="1"/>
  <c r="H152" i="3"/>
  <c r="D152" i="3"/>
  <c r="C152" i="3"/>
  <c r="B152" i="3"/>
  <c r="I151" i="3"/>
  <c r="J151" i="3" s="1"/>
  <c r="H151" i="3"/>
  <c r="D151" i="3"/>
  <c r="C151" i="3"/>
  <c r="B151" i="3"/>
  <c r="I150" i="3"/>
  <c r="J150" i="3" s="1"/>
  <c r="H150" i="3"/>
  <c r="D150" i="3"/>
  <c r="C150" i="3"/>
  <c r="B150" i="3"/>
  <c r="I149" i="3"/>
  <c r="J149" i="3" s="1"/>
  <c r="H149" i="3"/>
  <c r="D149" i="3"/>
  <c r="C149" i="3"/>
  <c r="B149" i="3"/>
  <c r="I148" i="3"/>
  <c r="J148" i="3" s="1"/>
  <c r="H148" i="3"/>
  <c r="D148" i="3"/>
  <c r="C148" i="3"/>
  <c r="B148" i="3"/>
  <c r="I147" i="3"/>
  <c r="J147" i="3" s="1"/>
  <c r="H147" i="3"/>
  <c r="D147" i="3"/>
  <c r="C147" i="3"/>
  <c r="B147" i="3"/>
  <c r="I146" i="3"/>
  <c r="J146" i="3" s="1"/>
  <c r="H146" i="3"/>
  <c r="D146" i="3"/>
  <c r="C146" i="3"/>
  <c r="B146" i="3"/>
  <c r="I145" i="3"/>
  <c r="J145" i="3" s="1"/>
  <c r="H145" i="3"/>
  <c r="D145" i="3"/>
  <c r="C145" i="3"/>
  <c r="B145" i="3"/>
  <c r="I144" i="3"/>
  <c r="J144" i="3" s="1"/>
  <c r="H144" i="3"/>
  <c r="D144" i="3"/>
  <c r="C144" i="3"/>
  <c r="B144" i="3"/>
  <c r="I143" i="3"/>
  <c r="J143" i="3" s="1"/>
  <c r="H143" i="3"/>
  <c r="D143" i="3"/>
  <c r="C143" i="3"/>
  <c r="B143" i="3"/>
  <c r="I142" i="3"/>
  <c r="J142" i="3" s="1"/>
  <c r="H142" i="3"/>
  <c r="D142" i="3"/>
  <c r="C142" i="3"/>
  <c r="B142" i="3"/>
  <c r="I141" i="3"/>
  <c r="J141" i="3" s="1"/>
  <c r="H141" i="3"/>
  <c r="D141" i="3"/>
  <c r="C141" i="3"/>
  <c r="B141" i="3"/>
  <c r="I140" i="3"/>
  <c r="J140" i="3" s="1"/>
  <c r="H140" i="3"/>
  <c r="D140" i="3"/>
  <c r="C140" i="3"/>
  <c r="B140" i="3"/>
  <c r="I139" i="3"/>
  <c r="J139" i="3" s="1"/>
  <c r="H139" i="3"/>
  <c r="D139" i="3"/>
  <c r="C139" i="3"/>
  <c r="B139" i="3"/>
  <c r="I138" i="3"/>
  <c r="J138" i="3" s="1"/>
  <c r="H138" i="3"/>
  <c r="D138" i="3"/>
  <c r="C138" i="3"/>
  <c r="B138" i="3"/>
  <c r="I137" i="3"/>
  <c r="J137" i="3" s="1"/>
  <c r="H137" i="3"/>
  <c r="D137" i="3"/>
  <c r="C137" i="3"/>
  <c r="B137" i="3"/>
  <c r="I136" i="3"/>
  <c r="J136" i="3" s="1"/>
  <c r="H136" i="3"/>
  <c r="D136" i="3"/>
  <c r="C136" i="3"/>
  <c r="B136" i="3"/>
  <c r="I135" i="3"/>
  <c r="J135" i="3" s="1"/>
  <c r="H135" i="3"/>
  <c r="D135" i="3"/>
  <c r="C135" i="3"/>
  <c r="B135" i="3"/>
  <c r="I134" i="3"/>
  <c r="J134" i="3" s="1"/>
  <c r="H134" i="3"/>
  <c r="D134" i="3"/>
  <c r="C134" i="3"/>
  <c r="B134" i="3"/>
  <c r="I133" i="3"/>
  <c r="J133" i="3" s="1"/>
  <c r="H133" i="3"/>
  <c r="D133" i="3"/>
  <c r="C133" i="3"/>
  <c r="B133" i="3"/>
  <c r="I132" i="3"/>
  <c r="J132" i="3" s="1"/>
  <c r="H132" i="3"/>
  <c r="D132" i="3"/>
  <c r="C132" i="3"/>
  <c r="B132" i="3"/>
  <c r="I131" i="3"/>
  <c r="J131" i="3" s="1"/>
  <c r="H131" i="3"/>
  <c r="D131" i="3"/>
  <c r="C131" i="3"/>
  <c r="B131" i="3"/>
  <c r="I130" i="3"/>
  <c r="J130" i="3" s="1"/>
  <c r="H130" i="3"/>
  <c r="D130" i="3"/>
  <c r="C130" i="3"/>
  <c r="B130" i="3"/>
  <c r="I129" i="3"/>
  <c r="J129" i="3" s="1"/>
  <c r="H129" i="3"/>
  <c r="D129" i="3"/>
  <c r="C129" i="3"/>
  <c r="B129" i="3"/>
  <c r="I128" i="3"/>
  <c r="J128" i="3" s="1"/>
  <c r="H128" i="3"/>
  <c r="D128" i="3"/>
  <c r="C128" i="3"/>
  <c r="B128" i="3"/>
  <c r="I127" i="3"/>
  <c r="J127" i="3" s="1"/>
  <c r="H127" i="3"/>
  <c r="D127" i="3"/>
  <c r="C127" i="3"/>
  <c r="B127" i="3"/>
  <c r="I126" i="3"/>
  <c r="J126" i="3" s="1"/>
  <c r="H126" i="3"/>
  <c r="D126" i="3"/>
  <c r="C126" i="3"/>
  <c r="B126" i="3"/>
  <c r="I125" i="3"/>
  <c r="J125" i="3" s="1"/>
  <c r="H125" i="3"/>
  <c r="D125" i="3"/>
  <c r="C125" i="3"/>
  <c r="B125" i="3"/>
  <c r="I124" i="3"/>
  <c r="J124" i="3" s="1"/>
  <c r="H124" i="3"/>
  <c r="D124" i="3"/>
  <c r="C124" i="3"/>
  <c r="B124" i="3"/>
  <c r="I123" i="3"/>
  <c r="J123" i="3" s="1"/>
  <c r="H123" i="3"/>
  <c r="D123" i="3"/>
  <c r="C123" i="3"/>
  <c r="B123" i="3"/>
  <c r="I122" i="3"/>
  <c r="J122" i="3" s="1"/>
  <c r="H122" i="3"/>
  <c r="D122" i="3"/>
  <c r="C122" i="3"/>
  <c r="B122" i="3"/>
  <c r="I121" i="3"/>
  <c r="J121" i="3" s="1"/>
  <c r="H121" i="3"/>
  <c r="D121" i="3"/>
  <c r="C121" i="3"/>
  <c r="B121" i="3"/>
  <c r="I120" i="3"/>
  <c r="J120" i="3" s="1"/>
  <c r="H120" i="3"/>
  <c r="D120" i="3"/>
  <c r="C120" i="3"/>
  <c r="B120" i="3"/>
  <c r="I119" i="3"/>
  <c r="J119" i="3" s="1"/>
  <c r="H119" i="3"/>
  <c r="D119" i="3"/>
  <c r="C119" i="3"/>
  <c r="B119" i="3"/>
  <c r="I118" i="3"/>
  <c r="J118" i="3" s="1"/>
  <c r="H118" i="3"/>
  <c r="D118" i="3"/>
  <c r="C118" i="3"/>
  <c r="B118" i="3"/>
  <c r="I117" i="3"/>
  <c r="J117" i="3" s="1"/>
  <c r="H117" i="3"/>
  <c r="D117" i="3"/>
  <c r="C117" i="3"/>
  <c r="B117" i="3"/>
  <c r="I116" i="3"/>
  <c r="J116" i="3" s="1"/>
  <c r="H116" i="3"/>
  <c r="D116" i="3"/>
  <c r="C116" i="3"/>
  <c r="B116" i="3"/>
  <c r="I115" i="3"/>
  <c r="J115" i="3" s="1"/>
  <c r="H115" i="3"/>
  <c r="D115" i="3"/>
  <c r="C115" i="3"/>
  <c r="B115" i="3"/>
  <c r="I114" i="3"/>
  <c r="J114" i="3" s="1"/>
  <c r="H114" i="3"/>
  <c r="D114" i="3"/>
  <c r="C114" i="3"/>
  <c r="B114" i="3"/>
  <c r="I113" i="3"/>
  <c r="J113" i="3" s="1"/>
  <c r="H113" i="3"/>
  <c r="D113" i="3"/>
  <c r="C113" i="3"/>
  <c r="B113" i="3"/>
  <c r="I112" i="3"/>
  <c r="J112" i="3" s="1"/>
  <c r="H112" i="3"/>
  <c r="D112" i="3"/>
  <c r="C112" i="3"/>
  <c r="B112" i="3"/>
  <c r="I111" i="3"/>
  <c r="J111" i="3" s="1"/>
  <c r="H111" i="3"/>
  <c r="D111" i="3"/>
  <c r="C111" i="3"/>
  <c r="B111" i="3"/>
  <c r="I110" i="3"/>
  <c r="J110" i="3" s="1"/>
  <c r="H110" i="3"/>
  <c r="D110" i="3"/>
  <c r="C110" i="3"/>
  <c r="B110" i="3"/>
  <c r="I109" i="3"/>
  <c r="J109" i="3" s="1"/>
  <c r="H109" i="3"/>
  <c r="D109" i="3"/>
  <c r="C109" i="3"/>
  <c r="B109" i="3"/>
  <c r="I108" i="3"/>
  <c r="J108" i="3" s="1"/>
  <c r="H108" i="3"/>
  <c r="D108" i="3"/>
  <c r="C108" i="3"/>
  <c r="B108" i="3"/>
  <c r="I107" i="3"/>
  <c r="J107" i="3" s="1"/>
  <c r="H107" i="3"/>
  <c r="D107" i="3"/>
  <c r="C107" i="3"/>
  <c r="B107" i="3"/>
  <c r="I106" i="3"/>
  <c r="J106" i="3" s="1"/>
  <c r="H106" i="3"/>
  <c r="D106" i="3"/>
  <c r="C106" i="3"/>
  <c r="B106" i="3"/>
  <c r="I105" i="3"/>
  <c r="J105" i="3" s="1"/>
  <c r="H105" i="3"/>
  <c r="D105" i="3"/>
  <c r="C105" i="3"/>
  <c r="B105" i="3"/>
  <c r="I104" i="3"/>
  <c r="J104" i="3" s="1"/>
  <c r="H104" i="3"/>
  <c r="D104" i="3"/>
  <c r="C104" i="3"/>
  <c r="B104" i="3"/>
  <c r="I103" i="3"/>
  <c r="J103" i="3" s="1"/>
  <c r="H103" i="3"/>
  <c r="D103" i="3"/>
  <c r="C103" i="3"/>
  <c r="B103" i="3"/>
  <c r="I102" i="3"/>
  <c r="J102" i="3" s="1"/>
  <c r="H102" i="3"/>
  <c r="D102" i="3"/>
  <c r="C102" i="3"/>
  <c r="B102" i="3"/>
  <c r="I101" i="3"/>
  <c r="J101" i="3" s="1"/>
  <c r="H101" i="3"/>
  <c r="D101" i="3"/>
  <c r="C101" i="3"/>
  <c r="B101" i="3"/>
  <c r="I100" i="3"/>
  <c r="J100" i="3" s="1"/>
  <c r="H100" i="3"/>
  <c r="D100" i="3"/>
  <c r="C100" i="3"/>
  <c r="B100" i="3"/>
  <c r="I99" i="3"/>
  <c r="J99" i="3" s="1"/>
  <c r="H99" i="3"/>
  <c r="D99" i="3"/>
  <c r="C99" i="3"/>
  <c r="B99" i="3"/>
  <c r="I98" i="3"/>
  <c r="J98" i="3" s="1"/>
  <c r="H98" i="3"/>
  <c r="D98" i="3"/>
  <c r="C98" i="3"/>
  <c r="B98" i="3"/>
  <c r="I97" i="3"/>
  <c r="J97" i="3" s="1"/>
  <c r="H97" i="3"/>
  <c r="D97" i="3"/>
  <c r="C97" i="3"/>
  <c r="B97" i="3"/>
  <c r="I96" i="3"/>
  <c r="J96" i="3" s="1"/>
  <c r="H96" i="3"/>
  <c r="D96" i="3"/>
  <c r="C96" i="3"/>
  <c r="B96" i="3"/>
  <c r="I95" i="3"/>
  <c r="J95" i="3" s="1"/>
  <c r="H95" i="3"/>
  <c r="D95" i="3"/>
  <c r="C95" i="3"/>
  <c r="B95" i="3"/>
  <c r="I94" i="3"/>
  <c r="J94" i="3" s="1"/>
  <c r="H94" i="3"/>
  <c r="D94" i="3"/>
  <c r="C94" i="3"/>
  <c r="B94" i="3"/>
  <c r="I93" i="3"/>
  <c r="J93" i="3" s="1"/>
  <c r="H93" i="3"/>
  <c r="D93" i="3"/>
  <c r="C93" i="3"/>
  <c r="B93" i="3"/>
  <c r="I92" i="3"/>
  <c r="J92" i="3" s="1"/>
  <c r="H92" i="3"/>
  <c r="D92" i="3"/>
  <c r="C92" i="3"/>
  <c r="B92" i="3"/>
  <c r="I91" i="3"/>
  <c r="J91" i="3" s="1"/>
  <c r="H91" i="3"/>
  <c r="D91" i="3"/>
  <c r="C91" i="3"/>
  <c r="B91" i="3"/>
  <c r="I90" i="3"/>
  <c r="J90" i="3" s="1"/>
  <c r="H90" i="3"/>
  <c r="D90" i="3"/>
  <c r="C90" i="3"/>
  <c r="B90" i="3"/>
  <c r="I89" i="3"/>
  <c r="J89" i="3" s="1"/>
  <c r="H89" i="3"/>
  <c r="D89" i="3"/>
  <c r="C89" i="3"/>
  <c r="B89" i="3"/>
  <c r="I88" i="3"/>
  <c r="J88" i="3" s="1"/>
  <c r="H88" i="3"/>
  <c r="D88" i="3"/>
  <c r="C88" i="3"/>
  <c r="B88" i="3"/>
  <c r="I87" i="3"/>
  <c r="J87" i="3" s="1"/>
  <c r="H87" i="3"/>
  <c r="D87" i="3"/>
  <c r="C87" i="3"/>
  <c r="B87" i="3"/>
  <c r="I86" i="3"/>
  <c r="J86" i="3" s="1"/>
  <c r="H86" i="3"/>
  <c r="D86" i="3"/>
  <c r="C86" i="3"/>
  <c r="B86" i="3"/>
  <c r="I85" i="3"/>
  <c r="J85" i="3" s="1"/>
  <c r="H85" i="3"/>
  <c r="D85" i="3"/>
  <c r="C85" i="3"/>
  <c r="B85" i="3"/>
  <c r="I84" i="3"/>
  <c r="J84" i="3" s="1"/>
  <c r="H84" i="3"/>
  <c r="D84" i="3"/>
  <c r="C84" i="3"/>
  <c r="B84" i="3"/>
  <c r="I83" i="3"/>
  <c r="J83" i="3" s="1"/>
  <c r="H83" i="3"/>
  <c r="D83" i="3"/>
  <c r="C83" i="3"/>
  <c r="B83" i="3"/>
  <c r="I82" i="3"/>
  <c r="J82" i="3" s="1"/>
  <c r="H82" i="3"/>
  <c r="D82" i="3"/>
  <c r="C82" i="3"/>
  <c r="B82" i="3"/>
  <c r="I81" i="3"/>
  <c r="J81" i="3" s="1"/>
  <c r="H81" i="3"/>
  <c r="D81" i="3"/>
  <c r="C81" i="3"/>
  <c r="B81" i="3"/>
  <c r="I80" i="3"/>
  <c r="J80" i="3" s="1"/>
  <c r="H80" i="3"/>
  <c r="D80" i="3"/>
  <c r="C80" i="3"/>
  <c r="B80" i="3"/>
  <c r="I79" i="3"/>
  <c r="J79" i="3" s="1"/>
  <c r="H79" i="3"/>
  <c r="D79" i="3"/>
  <c r="C79" i="3"/>
  <c r="B79" i="3"/>
  <c r="I78" i="3"/>
  <c r="J78" i="3" s="1"/>
  <c r="H78" i="3"/>
  <c r="D78" i="3"/>
  <c r="C78" i="3"/>
  <c r="B78" i="3"/>
  <c r="I77" i="3"/>
  <c r="J77" i="3" s="1"/>
  <c r="H77" i="3"/>
  <c r="D77" i="3"/>
  <c r="C77" i="3"/>
  <c r="B77" i="3"/>
  <c r="I76" i="3"/>
  <c r="J76" i="3" s="1"/>
  <c r="H76" i="3"/>
  <c r="D76" i="3"/>
  <c r="C76" i="3"/>
  <c r="B76" i="3"/>
  <c r="I75" i="3"/>
  <c r="J75" i="3" s="1"/>
  <c r="H75" i="3"/>
  <c r="D75" i="3"/>
  <c r="C75" i="3"/>
  <c r="B75" i="3"/>
  <c r="I74" i="3"/>
  <c r="J74" i="3" s="1"/>
  <c r="H74" i="3"/>
  <c r="D74" i="3"/>
  <c r="C74" i="3"/>
  <c r="B74" i="3"/>
  <c r="I73" i="3"/>
  <c r="J73" i="3" s="1"/>
  <c r="H73" i="3"/>
  <c r="D73" i="3"/>
  <c r="C73" i="3"/>
  <c r="B73" i="3"/>
  <c r="I72" i="3"/>
  <c r="J72" i="3" s="1"/>
  <c r="H72" i="3"/>
  <c r="D72" i="3"/>
  <c r="C72" i="3"/>
  <c r="B72" i="3"/>
  <c r="I71" i="3"/>
  <c r="J71" i="3" s="1"/>
  <c r="H71" i="3"/>
  <c r="D71" i="3"/>
  <c r="C71" i="3"/>
  <c r="B71" i="3"/>
  <c r="I70" i="3"/>
  <c r="J70" i="3" s="1"/>
  <c r="H70" i="3"/>
  <c r="D70" i="3"/>
  <c r="C70" i="3"/>
  <c r="B70" i="3"/>
  <c r="I69" i="3"/>
  <c r="J69" i="3" s="1"/>
  <c r="H69" i="3"/>
  <c r="D69" i="3"/>
  <c r="C69" i="3"/>
  <c r="B69" i="3"/>
  <c r="I68" i="3"/>
  <c r="J68" i="3" s="1"/>
  <c r="H68" i="3"/>
  <c r="D68" i="3"/>
  <c r="C68" i="3"/>
  <c r="B68" i="3"/>
  <c r="I67" i="3"/>
  <c r="J67" i="3" s="1"/>
  <c r="H67" i="3"/>
  <c r="D67" i="3"/>
  <c r="C67" i="3"/>
  <c r="B67" i="3"/>
  <c r="I66" i="3"/>
  <c r="J66" i="3" s="1"/>
  <c r="H66" i="3"/>
  <c r="D66" i="3"/>
  <c r="C66" i="3"/>
  <c r="B66" i="3"/>
  <c r="I65" i="3"/>
  <c r="J65" i="3" s="1"/>
  <c r="H65" i="3"/>
  <c r="D65" i="3"/>
  <c r="C65" i="3"/>
  <c r="B65" i="3"/>
  <c r="I64" i="3"/>
  <c r="J64" i="3" s="1"/>
  <c r="H64" i="3"/>
  <c r="D64" i="3"/>
  <c r="C64" i="3"/>
  <c r="B64" i="3"/>
  <c r="I63" i="3"/>
  <c r="J63" i="3" s="1"/>
  <c r="H63" i="3"/>
  <c r="D63" i="3"/>
  <c r="C63" i="3"/>
  <c r="B63" i="3"/>
  <c r="I62" i="3"/>
  <c r="J62" i="3" s="1"/>
  <c r="H62" i="3"/>
  <c r="D62" i="3"/>
  <c r="C62" i="3"/>
  <c r="B62" i="3"/>
  <c r="I61" i="3"/>
  <c r="J61" i="3" s="1"/>
  <c r="H61" i="3"/>
  <c r="D61" i="3"/>
  <c r="C61" i="3"/>
  <c r="B61" i="3"/>
  <c r="I60" i="3"/>
  <c r="J60" i="3" s="1"/>
  <c r="H60" i="3"/>
  <c r="D60" i="3"/>
  <c r="C60" i="3"/>
  <c r="B60" i="3"/>
  <c r="I59" i="3"/>
  <c r="J59" i="3" s="1"/>
  <c r="H59" i="3"/>
  <c r="D59" i="3"/>
  <c r="C59" i="3"/>
  <c r="B59" i="3"/>
  <c r="I58" i="3"/>
  <c r="J58" i="3" s="1"/>
  <c r="H58" i="3"/>
  <c r="D58" i="3"/>
  <c r="C58" i="3"/>
  <c r="B58" i="3"/>
  <c r="I57" i="3"/>
  <c r="J57" i="3" s="1"/>
  <c r="H57" i="3"/>
  <c r="D57" i="3"/>
  <c r="C57" i="3"/>
  <c r="B57" i="3"/>
  <c r="I56" i="3"/>
  <c r="J56" i="3" s="1"/>
  <c r="H56" i="3"/>
  <c r="D56" i="3"/>
  <c r="C56" i="3"/>
  <c r="B56" i="3"/>
  <c r="I55" i="3"/>
  <c r="J55" i="3" s="1"/>
  <c r="H55" i="3"/>
  <c r="D55" i="3"/>
  <c r="C55" i="3"/>
  <c r="B55" i="3"/>
  <c r="I54" i="3"/>
  <c r="J54" i="3" s="1"/>
  <c r="H54" i="3"/>
  <c r="D54" i="3"/>
  <c r="C54" i="3"/>
  <c r="B54" i="3"/>
  <c r="I53" i="3"/>
  <c r="J53" i="3" s="1"/>
  <c r="H53" i="3"/>
  <c r="D53" i="3"/>
  <c r="C53" i="3"/>
  <c r="B53" i="3"/>
  <c r="I52" i="3"/>
  <c r="J52" i="3" s="1"/>
  <c r="H52" i="3"/>
  <c r="D52" i="3"/>
  <c r="C52" i="3"/>
  <c r="B52" i="3"/>
  <c r="I51" i="3"/>
  <c r="J51" i="3" s="1"/>
  <c r="H51" i="3"/>
  <c r="D51" i="3"/>
  <c r="C51" i="3"/>
  <c r="B51" i="3"/>
  <c r="I50" i="3"/>
  <c r="J50" i="3" s="1"/>
  <c r="H50" i="3"/>
  <c r="D50" i="3"/>
  <c r="C50" i="3"/>
  <c r="B50" i="3"/>
  <c r="I49" i="3"/>
  <c r="J49" i="3" s="1"/>
  <c r="H49" i="3"/>
  <c r="D49" i="3"/>
  <c r="C49" i="3"/>
  <c r="B49" i="3"/>
  <c r="I48" i="3"/>
  <c r="J48" i="3" s="1"/>
  <c r="H48" i="3"/>
  <c r="D48" i="3"/>
  <c r="C48" i="3"/>
  <c r="B48" i="3"/>
  <c r="I47" i="3"/>
  <c r="J47" i="3" s="1"/>
  <c r="H47" i="3"/>
  <c r="D47" i="3"/>
  <c r="C47" i="3"/>
  <c r="B47" i="3"/>
  <c r="I46" i="3"/>
  <c r="J46" i="3" s="1"/>
  <c r="H46" i="3"/>
  <c r="D46" i="3"/>
  <c r="C46" i="3"/>
  <c r="B46" i="3"/>
  <c r="I45" i="3"/>
  <c r="J45" i="3" s="1"/>
  <c r="H45" i="3"/>
  <c r="D45" i="3"/>
  <c r="C45" i="3"/>
  <c r="B45" i="3"/>
  <c r="I44" i="3"/>
  <c r="J44" i="3" s="1"/>
  <c r="H44" i="3"/>
  <c r="D44" i="3"/>
  <c r="C44" i="3"/>
  <c r="B44" i="3"/>
  <c r="I43" i="3"/>
  <c r="J43" i="3" s="1"/>
  <c r="H43" i="3"/>
  <c r="D43" i="3"/>
  <c r="C43" i="3"/>
  <c r="B43" i="3"/>
  <c r="I42" i="3"/>
  <c r="J42" i="3" s="1"/>
  <c r="H42" i="3"/>
  <c r="D42" i="3"/>
  <c r="C42" i="3"/>
  <c r="B42" i="3"/>
  <c r="I41" i="3"/>
  <c r="J41" i="3" s="1"/>
  <c r="H41" i="3"/>
  <c r="D41" i="3"/>
  <c r="C41" i="3"/>
  <c r="B41" i="3"/>
  <c r="I40" i="3"/>
  <c r="J40" i="3" s="1"/>
  <c r="H40" i="3"/>
  <c r="D40" i="3"/>
  <c r="C40" i="3"/>
  <c r="B40" i="3"/>
  <c r="I39" i="3"/>
  <c r="J39" i="3" s="1"/>
  <c r="H39" i="3"/>
  <c r="D39" i="3"/>
  <c r="C39" i="3"/>
  <c r="B39" i="3"/>
  <c r="I38" i="3"/>
  <c r="J38" i="3" s="1"/>
  <c r="H38" i="3"/>
  <c r="D38" i="3"/>
  <c r="C38" i="3"/>
  <c r="B38" i="3"/>
  <c r="I37" i="3"/>
  <c r="J37" i="3" s="1"/>
  <c r="H37" i="3"/>
  <c r="D37" i="3"/>
  <c r="C37" i="3"/>
  <c r="B37" i="3"/>
  <c r="I36" i="3"/>
  <c r="J36" i="3" s="1"/>
  <c r="H36" i="3"/>
  <c r="D36" i="3"/>
  <c r="C36" i="3"/>
  <c r="B36" i="3"/>
  <c r="I35" i="3"/>
  <c r="J35" i="3" s="1"/>
  <c r="H35" i="3"/>
  <c r="D35" i="3"/>
  <c r="C35" i="3"/>
  <c r="B35" i="3"/>
  <c r="I34" i="3"/>
  <c r="J34" i="3" s="1"/>
  <c r="H34" i="3"/>
  <c r="D34" i="3"/>
  <c r="C34" i="3"/>
  <c r="B34" i="3"/>
  <c r="I33" i="3"/>
  <c r="J33" i="3" s="1"/>
  <c r="H33" i="3"/>
  <c r="D33" i="3"/>
  <c r="C33" i="3"/>
  <c r="B33" i="3"/>
  <c r="I32" i="3"/>
  <c r="J32" i="3" s="1"/>
  <c r="H32" i="3"/>
  <c r="D32" i="3"/>
  <c r="C32" i="3"/>
  <c r="B32" i="3"/>
  <c r="I31" i="3"/>
  <c r="J31" i="3" s="1"/>
  <c r="H31" i="3"/>
  <c r="D31" i="3"/>
  <c r="C31" i="3"/>
  <c r="B31" i="3"/>
  <c r="I30" i="3"/>
  <c r="J30" i="3" s="1"/>
  <c r="H30" i="3"/>
  <c r="D30" i="3"/>
  <c r="C30" i="3"/>
  <c r="B30" i="3"/>
  <c r="I29" i="3"/>
  <c r="J29" i="3" s="1"/>
  <c r="H29" i="3"/>
  <c r="D29" i="3"/>
  <c r="C29" i="3"/>
  <c r="B29" i="3"/>
  <c r="I28" i="3"/>
  <c r="J28" i="3" s="1"/>
  <c r="H28" i="3"/>
  <c r="D28" i="3"/>
  <c r="C28" i="3"/>
  <c r="B28" i="3"/>
  <c r="I27" i="3"/>
  <c r="J27" i="3" s="1"/>
  <c r="H27" i="3"/>
  <c r="D27" i="3"/>
  <c r="C27" i="3"/>
  <c r="B27" i="3"/>
  <c r="I26" i="3"/>
  <c r="J26" i="3" s="1"/>
  <c r="H26" i="3"/>
  <c r="D26" i="3"/>
  <c r="C26" i="3"/>
  <c r="B26" i="3"/>
  <c r="I25" i="3"/>
  <c r="J25" i="3" s="1"/>
  <c r="H25" i="3"/>
  <c r="D25" i="3"/>
  <c r="C25" i="3"/>
  <c r="B25" i="3"/>
  <c r="I24" i="3"/>
  <c r="J24" i="3" s="1"/>
  <c r="H24" i="3"/>
  <c r="D24" i="3"/>
  <c r="C24" i="3"/>
  <c r="B24" i="3"/>
  <c r="I23" i="3"/>
  <c r="J23" i="3" s="1"/>
  <c r="H23" i="3"/>
  <c r="D23" i="3"/>
  <c r="C23" i="3"/>
  <c r="B23" i="3"/>
  <c r="I22" i="3"/>
  <c r="J22" i="3" s="1"/>
  <c r="H22" i="3"/>
  <c r="D22" i="3"/>
  <c r="C22" i="3"/>
  <c r="B22" i="3"/>
  <c r="I21" i="3"/>
  <c r="J21" i="3" s="1"/>
  <c r="H21" i="3"/>
  <c r="D21" i="3"/>
  <c r="C21" i="3"/>
  <c r="B21" i="3"/>
  <c r="I20" i="3"/>
  <c r="J20" i="3" s="1"/>
  <c r="H20" i="3"/>
  <c r="D20" i="3"/>
  <c r="C20" i="3"/>
  <c r="B20" i="3"/>
  <c r="I19" i="3"/>
  <c r="J19" i="3" s="1"/>
  <c r="H19" i="3"/>
  <c r="D19" i="3"/>
  <c r="C19" i="3"/>
  <c r="B19" i="3"/>
  <c r="I18" i="3"/>
  <c r="J18" i="3" s="1"/>
  <c r="H18" i="3"/>
  <c r="D18" i="3"/>
  <c r="C18" i="3"/>
  <c r="B18" i="3"/>
  <c r="I17" i="3"/>
  <c r="J17" i="3" s="1"/>
  <c r="H17" i="3"/>
  <c r="D17" i="3"/>
  <c r="C17" i="3"/>
  <c r="B17" i="3"/>
  <c r="I16" i="3"/>
  <c r="J16" i="3" s="1"/>
  <c r="H16" i="3"/>
  <c r="D16" i="3"/>
  <c r="C16" i="3"/>
  <c r="B16" i="3"/>
  <c r="I15" i="3"/>
  <c r="J15" i="3" s="1"/>
  <c r="H15" i="3"/>
  <c r="D15" i="3"/>
  <c r="C15" i="3"/>
  <c r="B15" i="3"/>
  <c r="I14" i="3"/>
  <c r="J14" i="3" s="1"/>
  <c r="H14" i="3"/>
  <c r="D14" i="3"/>
  <c r="C14" i="3"/>
  <c r="B14" i="3"/>
  <c r="I13" i="3"/>
  <c r="J13" i="3" s="1"/>
  <c r="H13" i="3"/>
  <c r="D13" i="3"/>
  <c r="C13" i="3"/>
  <c r="B13" i="3"/>
  <c r="I12" i="3"/>
  <c r="J12" i="3" s="1"/>
  <c r="H12" i="3"/>
  <c r="D12" i="3"/>
  <c r="C12" i="3"/>
  <c r="B12" i="3"/>
  <c r="I11" i="3"/>
  <c r="J11" i="3" s="1"/>
  <c r="H11" i="3"/>
  <c r="D11" i="3"/>
  <c r="C11" i="3"/>
  <c r="B11" i="3"/>
  <c r="I10" i="3"/>
  <c r="J10" i="3" s="1"/>
  <c r="H10" i="3"/>
  <c r="D10" i="3"/>
  <c r="C10" i="3"/>
  <c r="B10" i="3"/>
  <c r="I9" i="3"/>
  <c r="J9" i="3" s="1"/>
  <c r="H9" i="3"/>
  <c r="D9" i="3"/>
  <c r="C9" i="3"/>
  <c r="B9" i="3"/>
  <c r="I8" i="3"/>
  <c r="J8" i="3" s="1"/>
  <c r="D8" i="3"/>
  <c r="C8" i="3"/>
  <c r="B8" i="3"/>
  <c r="I7" i="3"/>
  <c r="J7" i="3" s="1"/>
  <c r="D7" i="3"/>
  <c r="C7" i="3"/>
  <c r="B7" i="3"/>
  <c r="E27" i="13"/>
  <c r="D27" i="13"/>
  <c r="C27" i="13"/>
  <c r="B27" i="13"/>
  <c r="E26" i="13"/>
  <c r="D26" i="13"/>
  <c r="C26" i="13"/>
  <c r="B26" i="13"/>
  <c r="E25" i="13"/>
  <c r="D25" i="13"/>
  <c r="C25" i="13"/>
  <c r="B25" i="13"/>
  <c r="E24" i="13"/>
  <c r="D24" i="13"/>
  <c r="C24" i="13"/>
  <c r="B24" i="13"/>
  <c r="E23" i="13"/>
  <c r="D23" i="13"/>
  <c r="C23" i="13"/>
  <c r="B23" i="13"/>
  <c r="E22" i="13"/>
  <c r="D22" i="13"/>
  <c r="C22" i="13"/>
  <c r="B22" i="13"/>
  <c r="E21" i="13"/>
  <c r="D21" i="13"/>
  <c r="C21" i="13"/>
  <c r="B21" i="13"/>
  <c r="E20" i="13"/>
  <c r="D20" i="13"/>
  <c r="C20" i="13"/>
  <c r="B20" i="13"/>
  <c r="E19" i="13"/>
  <c r="D19" i="13"/>
  <c r="C19" i="13"/>
  <c r="B19" i="13"/>
  <c r="E18" i="13"/>
  <c r="D18" i="13"/>
  <c r="C18" i="13"/>
  <c r="B18" i="13"/>
  <c r="E17" i="13"/>
  <c r="D17" i="13"/>
  <c r="C17" i="13"/>
  <c r="B17" i="13"/>
  <c r="E16" i="13"/>
  <c r="D16" i="13"/>
  <c r="C16" i="13"/>
  <c r="B16" i="13"/>
  <c r="E15" i="13"/>
  <c r="D15" i="13"/>
  <c r="C15" i="13"/>
  <c r="B15" i="13"/>
  <c r="E14" i="13"/>
  <c r="D14" i="13"/>
  <c r="C14" i="13"/>
  <c r="B14" i="13"/>
  <c r="E13" i="13"/>
  <c r="D13" i="13"/>
  <c r="C13" i="13"/>
  <c r="B13" i="13"/>
  <c r="E12" i="13"/>
  <c r="D12" i="13"/>
  <c r="C12" i="13"/>
  <c r="B12" i="13"/>
  <c r="E11" i="13"/>
  <c r="D11" i="13"/>
  <c r="C11" i="13"/>
  <c r="B11" i="13"/>
  <c r="E10" i="13"/>
  <c r="D10" i="13"/>
  <c r="C10" i="13"/>
  <c r="B10" i="13"/>
  <c r="E9" i="13"/>
  <c r="D9" i="13"/>
  <c r="C9" i="13"/>
  <c r="B9" i="13"/>
  <c r="E8" i="13"/>
  <c r="D8" i="13"/>
  <c r="C8" i="13"/>
  <c r="B8" i="13"/>
  <c r="E7" i="13"/>
  <c r="D7" i="13"/>
  <c r="C7" i="13"/>
  <c r="B7" i="13"/>
  <c r="B6" i="13"/>
  <c r="E5" i="13"/>
  <c r="B5" i="13"/>
  <c r="E4" i="13"/>
  <c r="D4" i="13"/>
  <c r="C4" i="13"/>
  <c r="B4" i="13"/>
  <c r="H22" i="1"/>
  <c r="J22" i="1" s="1"/>
  <c r="H21" i="1"/>
  <c r="H20" i="1"/>
  <c r="J20" i="1" s="1"/>
  <c r="H19" i="1"/>
  <c r="I19" i="1" s="1"/>
  <c r="K19" i="1" s="1"/>
  <c r="H18" i="1"/>
  <c r="J18" i="1" s="1"/>
  <c r="H17" i="1"/>
  <c r="H16" i="1"/>
  <c r="J16" i="1" s="1"/>
  <c r="H15" i="1"/>
  <c r="H14" i="1"/>
  <c r="J14" i="1" s="1"/>
  <c r="H13" i="1"/>
  <c r="I13" i="1" s="1"/>
  <c r="K13" i="1" s="1"/>
  <c r="H12" i="1"/>
  <c r="J12" i="1" s="1"/>
  <c r="H11" i="1"/>
  <c r="H10" i="1"/>
  <c r="J10" i="1" s="1"/>
  <c r="H9" i="1"/>
  <c r="H8" i="1"/>
  <c r="J8" i="1" s="1"/>
  <c r="H7" i="1"/>
  <c r="H6" i="1"/>
  <c r="I6" i="1" s="1"/>
  <c r="K6" i="1" s="1"/>
  <c r="H5" i="1"/>
  <c r="H4" i="1"/>
  <c r="R133" i="2"/>
  <c r="M133" i="2"/>
  <c r="K133" i="2"/>
  <c r="D133" i="2"/>
  <c r="C133" i="2"/>
  <c r="Q132" i="2"/>
  <c r="R132" i="2" s="1"/>
  <c r="P132" i="2"/>
  <c r="M132" i="2"/>
  <c r="K132" i="2"/>
  <c r="D132" i="2"/>
  <c r="C132" i="2"/>
  <c r="Q131" i="2"/>
  <c r="R131" i="2" s="1"/>
  <c r="P131" i="2"/>
  <c r="M131" i="2"/>
  <c r="K131" i="2"/>
  <c r="D131" i="2"/>
  <c r="C131" i="2"/>
  <c r="Q130" i="2"/>
  <c r="R130" i="2" s="1"/>
  <c r="P130" i="2"/>
  <c r="M130" i="2"/>
  <c r="K130" i="2"/>
  <c r="D130" i="2"/>
  <c r="C130" i="2"/>
  <c r="Q129" i="2"/>
  <c r="R129" i="2" s="1"/>
  <c r="P129" i="2"/>
  <c r="O129" i="2"/>
  <c r="M129" i="2"/>
  <c r="K129" i="2"/>
  <c r="D129" i="2"/>
  <c r="C129" i="2"/>
  <c r="Q128" i="2"/>
  <c r="R128" i="2" s="1"/>
  <c r="P128" i="2"/>
  <c r="O128" i="2"/>
  <c r="M128" i="2"/>
  <c r="K128" i="2"/>
  <c r="D128" i="2"/>
  <c r="C128" i="2"/>
  <c r="Q127" i="2"/>
  <c r="R127" i="2" s="1"/>
  <c r="P127" i="2"/>
  <c r="O127" i="2"/>
  <c r="M127" i="2"/>
  <c r="K127" i="2"/>
  <c r="D127" i="2"/>
  <c r="C127" i="2"/>
  <c r="Q126" i="2"/>
  <c r="R126" i="2" s="1"/>
  <c r="P126" i="2"/>
  <c r="O126" i="2"/>
  <c r="M126" i="2"/>
  <c r="K126" i="2"/>
  <c r="D126" i="2"/>
  <c r="C126" i="2"/>
  <c r="P125" i="2"/>
  <c r="O125" i="2"/>
  <c r="J125" i="2"/>
  <c r="D125" i="2"/>
  <c r="C125" i="2"/>
  <c r="P124" i="2"/>
  <c r="O124" i="2"/>
  <c r="J124" i="2"/>
  <c r="M124" i="2" s="1"/>
  <c r="D124" i="2"/>
  <c r="C124" i="2"/>
  <c r="P123" i="2"/>
  <c r="O123" i="2"/>
  <c r="J123" i="2"/>
  <c r="Q123" i="2" s="1"/>
  <c r="R123" i="2" s="1"/>
  <c r="D123" i="2"/>
  <c r="C123" i="2"/>
  <c r="P122" i="2"/>
  <c r="O122" i="2"/>
  <c r="J122" i="2"/>
  <c r="K122" i="2" s="1"/>
  <c r="D122" i="2"/>
  <c r="C122" i="2"/>
  <c r="P121" i="2"/>
  <c r="O121" i="2"/>
  <c r="J121" i="2"/>
  <c r="M121" i="2" s="1"/>
  <c r="D121" i="2"/>
  <c r="C121" i="2"/>
  <c r="P120" i="2"/>
  <c r="O120" i="2"/>
  <c r="J120" i="2"/>
  <c r="M120" i="2" s="1"/>
  <c r="D120" i="2"/>
  <c r="C120" i="2"/>
  <c r="P119" i="2"/>
  <c r="O119" i="2"/>
  <c r="J119" i="2"/>
  <c r="M119" i="2" s="1"/>
  <c r="D119" i="2"/>
  <c r="C119" i="2"/>
  <c r="P118" i="2"/>
  <c r="O118" i="2"/>
  <c r="J118" i="2"/>
  <c r="M118" i="2" s="1"/>
  <c r="D118" i="2"/>
  <c r="C118" i="2"/>
  <c r="P117" i="2"/>
  <c r="O117" i="2"/>
  <c r="J117" i="2"/>
  <c r="D117" i="2"/>
  <c r="C117" i="2"/>
  <c r="P116" i="2"/>
  <c r="O116" i="2"/>
  <c r="J116" i="2"/>
  <c r="M116" i="2" s="1"/>
  <c r="D116" i="2"/>
  <c r="C116" i="2"/>
  <c r="P115" i="2"/>
  <c r="O115" i="2"/>
  <c r="J115" i="2"/>
  <c r="Q115" i="2" s="1"/>
  <c r="R115" i="2" s="1"/>
  <c r="D115" i="2"/>
  <c r="C115" i="2"/>
  <c r="P114" i="2"/>
  <c r="O114" i="2"/>
  <c r="J114" i="2"/>
  <c r="M114" i="2" s="1"/>
  <c r="D114" i="2"/>
  <c r="C114" i="2"/>
  <c r="P113" i="2"/>
  <c r="O113" i="2"/>
  <c r="J113" i="2"/>
  <c r="M113" i="2" s="1"/>
  <c r="D113" i="2"/>
  <c r="C113" i="2"/>
  <c r="P112" i="2"/>
  <c r="O112" i="2"/>
  <c r="J112" i="2"/>
  <c r="M112" i="2" s="1"/>
  <c r="D112" i="2"/>
  <c r="C112" i="2"/>
  <c r="P111" i="2"/>
  <c r="O111" i="2"/>
  <c r="J111" i="2"/>
  <c r="Q111" i="2" s="1"/>
  <c r="R111" i="2" s="1"/>
  <c r="D111" i="2"/>
  <c r="C111" i="2"/>
  <c r="P110" i="2"/>
  <c r="O110" i="2"/>
  <c r="J110" i="2"/>
  <c r="M110" i="2" s="1"/>
  <c r="D110" i="2"/>
  <c r="C110" i="2"/>
  <c r="P109" i="2"/>
  <c r="O109" i="2"/>
  <c r="J109" i="2"/>
  <c r="D109" i="2"/>
  <c r="C109" i="2"/>
  <c r="P108" i="2"/>
  <c r="O108" i="2"/>
  <c r="J108" i="2"/>
  <c r="M108" i="2" s="1"/>
  <c r="D108" i="2"/>
  <c r="C108" i="2"/>
  <c r="P107" i="2"/>
  <c r="O107" i="2"/>
  <c r="J107" i="2"/>
  <c r="Q107" i="2" s="1"/>
  <c r="R107" i="2" s="1"/>
  <c r="D107" i="2"/>
  <c r="C107" i="2"/>
  <c r="P106" i="2"/>
  <c r="O106" i="2"/>
  <c r="J106" i="2"/>
  <c r="K106" i="2" s="1"/>
  <c r="D106" i="2"/>
  <c r="C106" i="2"/>
  <c r="P105" i="2"/>
  <c r="O105" i="2"/>
  <c r="J105" i="2"/>
  <c r="M105" i="2" s="1"/>
  <c r="D105" i="2"/>
  <c r="C105" i="2"/>
  <c r="P104" i="2"/>
  <c r="O104" i="2"/>
  <c r="J104" i="2"/>
  <c r="M104" i="2" s="1"/>
  <c r="D104" i="2"/>
  <c r="C104" i="2"/>
  <c r="P103" i="2"/>
  <c r="O103" i="2"/>
  <c r="J103" i="2"/>
  <c r="K103" i="2" s="1"/>
  <c r="D103" i="2"/>
  <c r="C103" i="2"/>
  <c r="P102" i="2"/>
  <c r="O102" i="2"/>
  <c r="J102" i="2"/>
  <c r="M102" i="2" s="1"/>
  <c r="D102" i="2"/>
  <c r="C102" i="2"/>
  <c r="P101" i="2"/>
  <c r="O101" i="2"/>
  <c r="J101" i="2"/>
  <c r="D101" i="2"/>
  <c r="C101" i="2"/>
  <c r="P100" i="2"/>
  <c r="O100" i="2"/>
  <c r="J100" i="2"/>
  <c r="M100" i="2" s="1"/>
  <c r="D100" i="2"/>
  <c r="C100" i="2"/>
  <c r="P99" i="2"/>
  <c r="O99" i="2"/>
  <c r="J99" i="2"/>
  <c r="Q99" i="2" s="1"/>
  <c r="R99" i="2" s="1"/>
  <c r="D99" i="2"/>
  <c r="C99" i="2"/>
  <c r="P98" i="2"/>
  <c r="O98" i="2"/>
  <c r="J98" i="2"/>
  <c r="K98" i="2" s="1"/>
  <c r="D98" i="2"/>
  <c r="C98" i="2"/>
  <c r="P97" i="2"/>
  <c r="O97" i="2"/>
  <c r="J97" i="2"/>
  <c r="D97" i="2"/>
  <c r="C97" i="2"/>
  <c r="P96" i="2"/>
  <c r="O96" i="2"/>
  <c r="J96" i="2"/>
  <c r="M96" i="2" s="1"/>
  <c r="D96" i="2"/>
  <c r="C96" i="2"/>
  <c r="P95" i="2"/>
  <c r="O95" i="2"/>
  <c r="J95" i="2"/>
  <c r="K95" i="2" s="1"/>
  <c r="D95" i="2"/>
  <c r="C95" i="2"/>
  <c r="P94" i="2"/>
  <c r="O94" i="2"/>
  <c r="J94" i="2"/>
  <c r="M94" i="2" s="1"/>
  <c r="D94" i="2"/>
  <c r="C94" i="2"/>
  <c r="P93" i="2"/>
  <c r="O93" i="2"/>
  <c r="J93" i="2"/>
  <c r="D93" i="2"/>
  <c r="C93" i="2"/>
  <c r="P92" i="2"/>
  <c r="O92" i="2"/>
  <c r="J92" i="2"/>
  <c r="M92" i="2" s="1"/>
  <c r="D92" i="2"/>
  <c r="C92" i="2"/>
  <c r="P91" i="2"/>
  <c r="O91" i="2"/>
  <c r="J91" i="2"/>
  <c r="Q91" i="2" s="1"/>
  <c r="R91" i="2" s="1"/>
  <c r="D91" i="2"/>
  <c r="C91" i="2"/>
  <c r="P90" i="2"/>
  <c r="O90" i="2"/>
  <c r="J90" i="2"/>
  <c r="M90" i="2" s="1"/>
  <c r="D90" i="2"/>
  <c r="C90" i="2"/>
  <c r="P89" i="2"/>
  <c r="O89" i="2"/>
  <c r="J89" i="2"/>
  <c r="M89" i="2" s="1"/>
  <c r="D89" i="2"/>
  <c r="C89" i="2"/>
  <c r="P88" i="2"/>
  <c r="O88" i="2"/>
  <c r="J88" i="2"/>
  <c r="M88" i="2" s="1"/>
  <c r="D88" i="2"/>
  <c r="C88" i="2"/>
  <c r="P87" i="2"/>
  <c r="O87" i="2"/>
  <c r="J87" i="2"/>
  <c r="K87" i="2" s="1"/>
  <c r="D87" i="2"/>
  <c r="C87" i="2"/>
  <c r="P86" i="2"/>
  <c r="O86" i="2"/>
  <c r="J86" i="2"/>
  <c r="M86" i="2" s="1"/>
  <c r="D86" i="2"/>
  <c r="C86" i="2"/>
  <c r="P85" i="2"/>
  <c r="O85" i="2"/>
  <c r="J85" i="2"/>
  <c r="D85" i="2"/>
  <c r="C85" i="2"/>
  <c r="P84" i="2"/>
  <c r="O84" i="2"/>
  <c r="J84" i="2"/>
  <c r="M84" i="2" s="1"/>
  <c r="D84" i="2"/>
  <c r="C84" i="2"/>
  <c r="P83" i="2"/>
  <c r="O83" i="2"/>
  <c r="J83" i="2"/>
  <c r="Q83" i="2" s="1"/>
  <c r="R83" i="2" s="1"/>
  <c r="D83" i="2"/>
  <c r="C83" i="2"/>
  <c r="P82" i="2"/>
  <c r="O82" i="2"/>
  <c r="J82" i="2"/>
  <c r="Q82" i="2" s="1"/>
  <c r="R82" i="2" s="1"/>
  <c r="D82" i="2"/>
  <c r="C82" i="2"/>
  <c r="P81" i="2"/>
  <c r="O81" i="2"/>
  <c r="J81" i="2"/>
  <c r="M81" i="2" s="1"/>
  <c r="D81" i="2"/>
  <c r="C81" i="2"/>
  <c r="P80" i="2"/>
  <c r="O80" i="2"/>
  <c r="J80" i="2"/>
  <c r="M80" i="2" s="1"/>
  <c r="D80" i="2"/>
  <c r="C80" i="2"/>
  <c r="P79" i="2"/>
  <c r="O79" i="2"/>
  <c r="J79" i="2"/>
  <c r="K79" i="2" s="1"/>
  <c r="D79" i="2"/>
  <c r="C79" i="2"/>
  <c r="P78" i="2"/>
  <c r="O78" i="2"/>
  <c r="J78" i="2"/>
  <c r="M78" i="2" s="1"/>
  <c r="D78" i="2"/>
  <c r="C78" i="2"/>
  <c r="P77" i="2"/>
  <c r="O77" i="2"/>
  <c r="J77" i="2"/>
  <c r="D77" i="2"/>
  <c r="C77" i="2"/>
  <c r="P76" i="2"/>
  <c r="O76" i="2"/>
  <c r="J76" i="2"/>
  <c r="M76" i="2" s="1"/>
  <c r="D76" i="2"/>
  <c r="C76" i="2"/>
  <c r="P75" i="2"/>
  <c r="O75" i="2"/>
  <c r="J75" i="2"/>
  <c r="Q75" i="2" s="1"/>
  <c r="R75" i="2" s="1"/>
  <c r="D75" i="2"/>
  <c r="C75" i="2"/>
  <c r="P74" i="2"/>
  <c r="O74" i="2"/>
  <c r="J74" i="2"/>
  <c r="M74" i="2" s="1"/>
  <c r="D74" i="2"/>
  <c r="C74" i="2"/>
  <c r="P73" i="2"/>
  <c r="O73" i="2"/>
  <c r="J73" i="2"/>
  <c r="M73" i="2" s="1"/>
  <c r="D73" i="2"/>
  <c r="C73" i="2"/>
  <c r="P72" i="2"/>
  <c r="O72" i="2"/>
  <c r="J72" i="2"/>
  <c r="M72" i="2" s="1"/>
  <c r="D72" i="2"/>
  <c r="C72" i="2"/>
  <c r="P71" i="2"/>
  <c r="O71" i="2"/>
  <c r="J71" i="2"/>
  <c r="K71" i="2" s="1"/>
  <c r="D71" i="2"/>
  <c r="C71" i="2"/>
  <c r="P70" i="2"/>
  <c r="O70" i="2"/>
  <c r="J70" i="2"/>
  <c r="M70" i="2" s="1"/>
  <c r="D70" i="2"/>
  <c r="C70" i="2"/>
  <c r="P69" i="2"/>
  <c r="O69" i="2"/>
  <c r="J69" i="2"/>
  <c r="D69" i="2"/>
  <c r="C69" i="2"/>
  <c r="P68" i="2"/>
  <c r="O68" i="2"/>
  <c r="J68" i="2"/>
  <c r="M68" i="2" s="1"/>
  <c r="D68" i="2"/>
  <c r="C68" i="2"/>
  <c r="P67" i="2"/>
  <c r="O67" i="2"/>
  <c r="J67" i="2"/>
  <c r="Q67" i="2" s="1"/>
  <c r="R67" i="2" s="1"/>
  <c r="D67" i="2"/>
  <c r="C67" i="2"/>
  <c r="P66" i="2"/>
  <c r="O66" i="2"/>
  <c r="J66" i="2"/>
  <c r="Q66" i="2" s="1"/>
  <c r="R66" i="2" s="1"/>
  <c r="D66" i="2"/>
  <c r="C66" i="2"/>
  <c r="P65" i="2"/>
  <c r="O65" i="2"/>
  <c r="J65" i="2"/>
  <c r="D65" i="2"/>
  <c r="C65" i="2"/>
  <c r="P64" i="2"/>
  <c r="O64" i="2"/>
  <c r="J64" i="2"/>
  <c r="M64" i="2" s="1"/>
  <c r="D64" i="2"/>
  <c r="C64" i="2"/>
  <c r="P63" i="2"/>
  <c r="O63" i="2"/>
  <c r="J63" i="2"/>
  <c r="K63" i="2" s="1"/>
  <c r="D63" i="2"/>
  <c r="C63" i="2"/>
  <c r="P62" i="2"/>
  <c r="O62" i="2"/>
  <c r="J62" i="2"/>
  <c r="M62" i="2" s="1"/>
  <c r="D62" i="2"/>
  <c r="C62" i="2"/>
  <c r="P61" i="2"/>
  <c r="O61" i="2"/>
  <c r="J61" i="2"/>
  <c r="D61" i="2"/>
  <c r="C61" i="2"/>
  <c r="P60" i="2"/>
  <c r="O60" i="2"/>
  <c r="J60" i="2"/>
  <c r="M60" i="2" s="1"/>
  <c r="D60" i="2"/>
  <c r="C60" i="2"/>
  <c r="P59" i="2"/>
  <c r="O59" i="2"/>
  <c r="J59" i="2"/>
  <c r="Q59" i="2" s="1"/>
  <c r="R59" i="2" s="1"/>
  <c r="D59" i="2"/>
  <c r="C59" i="2"/>
  <c r="P58" i="2"/>
  <c r="O58" i="2"/>
  <c r="J58" i="2"/>
  <c r="M58" i="2" s="1"/>
  <c r="D58" i="2"/>
  <c r="C58" i="2"/>
  <c r="P57" i="2"/>
  <c r="O57" i="2"/>
  <c r="J57" i="2"/>
  <c r="M57" i="2" s="1"/>
  <c r="D57" i="2"/>
  <c r="C57" i="2"/>
  <c r="P56" i="2"/>
  <c r="O56" i="2"/>
  <c r="J56" i="2"/>
  <c r="M56" i="2" s="1"/>
  <c r="D56" i="2"/>
  <c r="C56" i="2"/>
  <c r="P55" i="2"/>
  <c r="O55" i="2"/>
  <c r="J55" i="2"/>
  <c r="K55" i="2" s="1"/>
  <c r="D55" i="2"/>
  <c r="C55" i="2"/>
  <c r="P54" i="2"/>
  <c r="O54" i="2"/>
  <c r="J54" i="2"/>
  <c r="D54" i="2"/>
  <c r="C54" i="2"/>
  <c r="P53" i="2"/>
  <c r="O53" i="2"/>
  <c r="J53" i="2"/>
  <c r="D53" i="2"/>
  <c r="C53" i="2"/>
  <c r="P52" i="2"/>
  <c r="O52" i="2"/>
  <c r="J52" i="2"/>
  <c r="M52" i="2" s="1"/>
  <c r="D52" i="2"/>
  <c r="C52" i="2"/>
  <c r="P51" i="2"/>
  <c r="O51" i="2"/>
  <c r="J51" i="2"/>
  <c r="Q51" i="2" s="1"/>
  <c r="R51" i="2" s="1"/>
  <c r="D51" i="2"/>
  <c r="C51" i="2"/>
  <c r="P50" i="2"/>
  <c r="O50" i="2"/>
  <c r="J50" i="2"/>
  <c r="M50" i="2" s="1"/>
  <c r="D50" i="2"/>
  <c r="C50" i="2"/>
  <c r="P49" i="2"/>
  <c r="O49" i="2"/>
  <c r="J49" i="2"/>
  <c r="K49" i="2" s="1"/>
  <c r="D49" i="2"/>
  <c r="C49" i="2"/>
  <c r="P48" i="2"/>
  <c r="O48" i="2"/>
  <c r="J48" i="2"/>
  <c r="M48" i="2" s="1"/>
  <c r="D48" i="2"/>
  <c r="C48" i="2"/>
  <c r="P47" i="2"/>
  <c r="O47" i="2"/>
  <c r="J47" i="2"/>
  <c r="K47" i="2" s="1"/>
  <c r="D47" i="2"/>
  <c r="C47" i="2"/>
  <c r="P46" i="2"/>
  <c r="O46" i="2"/>
  <c r="J46" i="2"/>
  <c r="M46" i="2" s="1"/>
  <c r="D46" i="2"/>
  <c r="C46" i="2"/>
  <c r="P45" i="2"/>
  <c r="O45" i="2"/>
  <c r="J45" i="2"/>
  <c r="Q45" i="2" s="1"/>
  <c r="R45" i="2" s="1"/>
  <c r="D45" i="2"/>
  <c r="C45" i="2"/>
  <c r="P44" i="2"/>
  <c r="O44" i="2"/>
  <c r="J44" i="2"/>
  <c r="M44" i="2" s="1"/>
  <c r="D44" i="2"/>
  <c r="C44" i="2"/>
  <c r="P43" i="2"/>
  <c r="O43" i="2"/>
  <c r="J43" i="2"/>
  <c r="Q43" i="2" s="1"/>
  <c r="R43" i="2" s="1"/>
  <c r="D43" i="2"/>
  <c r="C43" i="2"/>
  <c r="P42" i="2"/>
  <c r="O42" i="2"/>
  <c r="J42" i="2"/>
  <c r="K42" i="2" s="1"/>
  <c r="D42" i="2"/>
  <c r="C42" i="2"/>
  <c r="P41" i="2"/>
  <c r="O41" i="2"/>
  <c r="J41" i="2"/>
  <c r="K41" i="2" s="1"/>
  <c r="D41" i="2"/>
  <c r="C41" i="2"/>
  <c r="P40" i="2"/>
  <c r="O40" i="2"/>
  <c r="J40" i="2"/>
  <c r="M40" i="2" s="1"/>
  <c r="D40" i="2"/>
  <c r="C40" i="2"/>
  <c r="P39" i="2"/>
  <c r="O39" i="2"/>
  <c r="J39" i="2"/>
  <c r="K39" i="2" s="1"/>
  <c r="D39" i="2"/>
  <c r="C39" i="2"/>
  <c r="P38" i="2"/>
  <c r="O38" i="2"/>
  <c r="J38" i="2"/>
  <c r="M38" i="2" s="1"/>
  <c r="D38" i="2"/>
  <c r="C38" i="2"/>
  <c r="P37" i="2"/>
  <c r="O37" i="2"/>
  <c r="J37" i="2"/>
  <c r="Q37" i="2" s="1"/>
  <c r="R37" i="2" s="1"/>
  <c r="D37" i="2"/>
  <c r="C37" i="2"/>
  <c r="P36" i="2"/>
  <c r="O36" i="2"/>
  <c r="J36" i="2"/>
  <c r="M36" i="2" s="1"/>
  <c r="D36" i="2"/>
  <c r="C36" i="2"/>
  <c r="P35" i="2"/>
  <c r="O35" i="2"/>
  <c r="J35" i="2"/>
  <c r="Q35" i="2" s="1"/>
  <c r="R35" i="2" s="1"/>
  <c r="D35" i="2"/>
  <c r="C35" i="2"/>
  <c r="P34" i="2"/>
  <c r="O34" i="2"/>
  <c r="J34" i="2"/>
  <c r="M34" i="2" s="1"/>
  <c r="D34" i="2"/>
  <c r="C34" i="2"/>
  <c r="P33" i="2"/>
  <c r="O33" i="2"/>
  <c r="J33" i="2"/>
  <c r="K33" i="2" s="1"/>
  <c r="D33" i="2"/>
  <c r="C33" i="2"/>
  <c r="P32" i="2"/>
  <c r="O32" i="2"/>
  <c r="J32" i="2"/>
  <c r="M32" i="2" s="1"/>
  <c r="D32" i="2"/>
  <c r="C32" i="2"/>
  <c r="P31" i="2"/>
  <c r="O31" i="2"/>
  <c r="J31" i="2"/>
  <c r="K31" i="2" s="1"/>
  <c r="D31" i="2"/>
  <c r="C31" i="2"/>
  <c r="P30" i="2"/>
  <c r="O30" i="2"/>
  <c r="J30" i="2"/>
  <c r="M30" i="2" s="1"/>
  <c r="D30" i="2"/>
  <c r="C30" i="2"/>
  <c r="P29" i="2"/>
  <c r="O29" i="2"/>
  <c r="J29" i="2"/>
  <c r="Q29" i="2" s="1"/>
  <c r="R29" i="2" s="1"/>
  <c r="D29" i="2"/>
  <c r="C29" i="2"/>
  <c r="P28" i="2"/>
  <c r="O28" i="2"/>
  <c r="J28" i="2"/>
  <c r="M28" i="2" s="1"/>
  <c r="D28" i="2"/>
  <c r="C28" i="2"/>
  <c r="P27" i="2"/>
  <c r="O27" i="2"/>
  <c r="J27" i="2"/>
  <c r="Q27" i="2" s="1"/>
  <c r="R27" i="2" s="1"/>
  <c r="D27" i="2"/>
  <c r="C27" i="2"/>
  <c r="P26" i="2"/>
  <c r="O26" i="2"/>
  <c r="J26" i="2"/>
  <c r="Q26" i="2" s="1"/>
  <c r="R26" i="2" s="1"/>
  <c r="D26" i="2"/>
  <c r="C26" i="2"/>
  <c r="P25" i="2"/>
  <c r="O25" i="2"/>
  <c r="J25" i="2"/>
  <c r="K25" i="2" s="1"/>
  <c r="D25" i="2"/>
  <c r="C25" i="2"/>
  <c r="P24" i="2"/>
  <c r="O24" i="2"/>
  <c r="J24" i="2"/>
  <c r="M24" i="2" s="1"/>
  <c r="D24" i="2"/>
  <c r="C24" i="2"/>
  <c r="P23" i="2"/>
  <c r="O23" i="2"/>
  <c r="J23" i="2"/>
  <c r="K23" i="2" s="1"/>
  <c r="D23" i="2"/>
  <c r="C23" i="2"/>
  <c r="P22" i="2"/>
  <c r="O22" i="2"/>
  <c r="J22" i="2"/>
  <c r="M22" i="2" s="1"/>
  <c r="D22" i="2"/>
  <c r="C22" i="2"/>
  <c r="P21" i="2"/>
  <c r="O21" i="2"/>
  <c r="J21" i="2"/>
  <c r="Q21" i="2" s="1"/>
  <c r="R21" i="2" s="1"/>
  <c r="D21" i="2"/>
  <c r="C21" i="2"/>
  <c r="P20" i="2"/>
  <c r="O20" i="2"/>
  <c r="J20" i="2"/>
  <c r="M20" i="2" s="1"/>
  <c r="D20" i="2"/>
  <c r="C20" i="2"/>
  <c r="P19" i="2"/>
  <c r="O19" i="2"/>
  <c r="J19" i="2"/>
  <c r="M19" i="2" s="1"/>
  <c r="D19" i="2"/>
  <c r="C19" i="2"/>
  <c r="P18" i="2"/>
  <c r="O18" i="2"/>
  <c r="J18" i="2"/>
  <c r="M18" i="2" s="1"/>
  <c r="D18" i="2"/>
  <c r="C18" i="2"/>
  <c r="P17" i="2"/>
  <c r="O17" i="2"/>
  <c r="J17" i="2"/>
  <c r="K17" i="2" s="1"/>
  <c r="D17" i="2"/>
  <c r="C17" i="2"/>
  <c r="P16" i="2"/>
  <c r="O16" i="2"/>
  <c r="J16" i="2"/>
  <c r="M16" i="2" s="1"/>
  <c r="D16" i="2"/>
  <c r="C16" i="2"/>
  <c r="P15" i="2"/>
  <c r="O15" i="2"/>
  <c r="I15" i="2"/>
  <c r="J15" i="2" s="1"/>
  <c r="D15" i="2"/>
  <c r="C15" i="2"/>
  <c r="P14" i="2"/>
  <c r="O14" i="2"/>
  <c r="J14" i="2"/>
  <c r="Q14" i="2" s="1"/>
  <c r="R14" i="2" s="1"/>
  <c r="D14" i="2"/>
  <c r="C14" i="2"/>
  <c r="P13" i="2"/>
  <c r="O13" i="2"/>
  <c r="J13" i="2"/>
  <c r="Q13" i="2" s="1"/>
  <c r="R13" i="2" s="1"/>
  <c r="D13" i="2"/>
  <c r="C13" i="2"/>
  <c r="P12" i="2"/>
  <c r="O12" i="2"/>
  <c r="J12" i="2"/>
  <c r="M12" i="2" s="1"/>
  <c r="D12" i="2"/>
  <c r="C12" i="2"/>
  <c r="P11" i="2"/>
  <c r="O11" i="2"/>
  <c r="J11" i="2"/>
  <c r="D11" i="2"/>
  <c r="C11" i="2"/>
  <c r="P10" i="2"/>
  <c r="O10" i="2"/>
  <c r="I10" i="2"/>
  <c r="J10" i="2" s="1"/>
  <c r="D10" i="2"/>
  <c r="C10" i="2"/>
  <c r="P9" i="2"/>
  <c r="O9" i="2"/>
  <c r="J9" i="2"/>
  <c r="D9" i="2"/>
  <c r="C9" i="2"/>
  <c r="Q7" i="2"/>
  <c r="R7" i="2" s="1"/>
  <c r="P7" i="2"/>
  <c r="O7" i="2"/>
  <c r="M7" i="2"/>
  <c r="D7" i="2"/>
  <c r="C7" i="2"/>
  <c r="H4" i="2"/>
  <c r="G4" i="2"/>
  <c r="F4" i="2"/>
  <c r="E4" i="2"/>
  <c r="H3" i="2"/>
  <c r="G3" i="2"/>
  <c r="E6" i="13" l="1"/>
  <c r="Q102" i="2"/>
  <c r="R102" i="2" s="1"/>
  <c r="O22" i="5"/>
  <c r="O29" i="6" s="1"/>
  <c r="J17" i="1"/>
  <c r="M8" i="2"/>
  <c r="K8" i="2"/>
  <c r="Q8" i="2" s="1"/>
  <c r="R8" i="2" s="1"/>
  <c r="M99" i="2"/>
  <c r="K102" i="2"/>
  <c r="K78" i="2"/>
  <c r="Q87" i="2"/>
  <c r="R87" i="2" s="1"/>
  <c r="K92" i="2"/>
  <c r="F17" i="13"/>
  <c r="G17" i="13" s="1"/>
  <c r="I18" i="1"/>
  <c r="K18" i="1" s="1"/>
  <c r="Q63" i="2"/>
  <c r="R63" i="2" s="1"/>
  <c r="M98" i="2"/>
  <c r="F19" i="13"/>
  <c r="G19" i="13" s="1"/>
  <c r="F27" i="13"/>
  <c r="G27" i="13" s="1"/>
  <c r="K104" i="2"/>
  <c r="M14" i="2"/>
  <c r="M63" i="2"/>
  <c r="F11" i="5"/>
  <c r="F16" i="6" s="1"/>
  <c r="Q36" i="2"/>
  <c r="R36" i="2" s="1"/>
  <c r="Q60" i="2"/>
  <c r="R60" i="2" s="1"/>
  <c r="M106" i="2"/>
  <c r="Q20" i="2"/>
  <c r="R20" i="2" s="1"/>
  <c r="Q34" i="2"/>
  <c r="R34" i="2" s="1"/>
  <c r="Q48" i="2"/>
  <c r="R48" i="2" s="1"/>
  <c r="K74" i="2"/>
  <c r="M95" i="2"/>
  <c r="K94" i="2"/>
  <c r="Q106" i="2"/>
  <c r="R106" i="2" s="1"/>
  <c r="K114" i="2"/>
  <c r="K120" i="2"/>
  <c r="I10" i="1"/>
  <c r="K10" i="1" s="1"/>
  <c r="F13" i="13"/>
  <c r="G13" i="13" s="1"/>
  <c r="M21" i="5"/>
  <c r="M28" i="6" s="1"/>
  <c r="Q74" i="2"/>
  <c r="R74" i="2" s="1"/>
  <c r="Q95" i="2"/>
  <c r="R95" i="2" s="1"/>
  <c r="S11" i="7"/>
  <c r="Q50" i="2"/>
  <c r="R50" i="2" s="1"/>
  <c r="Q70" i="2"/>
  <c r="R70" i="2" s="1"/>
  <c r="Q114" i="2"/>
  <c r="R114" i="2" s="1"/>
  <c r="Q120" i="2"/>
  <c r="R120" i="2" s="1"/>
  <c r="Q49" i="2"/>
  <c r="R49" i="2" s="1"/>
  <c r="M122" i="2"/>
  <c r="I9" i="1"/>
  <c r="K9" i="1" s="1"/>
  <c r="V11" i="7"/>
  <c r="M3" i="2"/>
  <c r="M42" i="2"/>
  <c r="K80" i="2"/>
  <c r="J6" i="1"/>
  <c r="Q55" i="2"/>
  <c r="R55" i="2" s="1"/>
  <c r="Q56" i="2"/>
  <c r="R56" i="2" s="1"/>
  <c r="K68" i="2"/>
  <c r="Q23" i="2"/>
  <c r="R23" i="2" s="1"/>
  <c r="K34" i="2"/>
  <c r="Q39" i="2"/>
  <c r="R39" i="2" s="1"/>
  <c r="Q86" i="2"/>
  <c r="R86" i="2" s="1"/>
  <c r="Q90" i="2"/>
  <c r="R90" i="2" s="1"/>
  <c r="Q98" i="2"/>
  <c r="R98" i="2" s="1"/>
  <c r="I14" i="1"/>
  <c r="K14" i="1" s="1"/>
  <c r="F26" i="13"/>
  <c r="G26" i="13" s="1"/>
  <c r="E13" i="5"/>
  <c r="E18" i="6" s="1"/>
  <c r="Q19" i="2"/>
  <c r="R19" i="2" s="1"/>
  <c r="Q119" i="2"/>
  <c r="R119" i="2" s="1"/>
  <c r="E16" i="5"/>
  <c r="E23" i="6" s="1"/>
  <c r="Q38" i="2"/>
  <c r="R38" i="2" s="1"/>
  <c r="K60" i="2"/>
  <c r="K70" i="2"/>
  <c r="Q79" i="2"/>
  <c r="R79" i="2" s="1"/>
  <c r="M115" i="2"/>
  <c r="I22" i="1"/>
  <c r="K22" i="1" s="1"/>
  <c r="F23" i="13"/>
  <c r="G23" i="13" s="1"/>
  <c r="M23" i="5"/>
  <c r="M30" i="6" s="1"/>
  <c r="K24" i="2"/>
  <c r="Q33" i="2"/>
  <c r="R33" i="2" s="1"/>
  <c r="M55" i="2"/>
  <c r="K56" i="2"/>
  <c r="Q64" i="2"/>
  <c r="R64" i="2" s="1"/>
  <c r="Q78" i="2"/>
  <c r="R78" i="2" s="1"/>
  <c r="Q88" i="2"/>
  <c r="R88" i="2" s="1"/>
  <c r="Q92" i="2"/>
  <c r="R92" i="2" s="1"/>
  <c r="K99" i="2"/>
  <c r="Q104" i="2"/>
  <c r="R104" i="2" s="1"/>
  <c r="F11" i="13"/>
  <c r="G11" i="13" s="1"/>
  <c r="F25" i="13"/>
  <c r="G25" i="13" s="1"/>
  <c r="M8" i="7"/>
  <c r="M7" i="7"/>
  <c r="H6" i="4"/>
  <c r="K10" i="4" s="1"/>
  <c r="C7" i="1"/>
  <c r="J4" i="2"/>
  <c r="J5" i="2" s="1"/>
  <c r="Q18" i="2"/>
  <c r="R18" i="2" s="1"/>
  <c r="K26" i="2"/>
  <c r="Q28" i="2"/>
  <c r="R28" i="2" s="1"/>
  <c r="Q47" i="2"/>
  <c r="R47" i="2" s="1"/>
  <c r="Q58" i="2"/>
  <c r="R58" i="2" s="1"/>
  <c r="K66" i="2"/>
  <c r="K67" i="2"/>
  <c r="K72" i="2"/>
  <c r="K82" i="2"/>
  <c r="K83" i="2"/>
  <c r="K84" i="2"/>
  <c r="K111" i="2"/>
  <c r="K112" i="2"/>
  <c r="I12" i="1"/>
  <c r="K12" i="1" s="1"/>
  <c r="I17" i="1"/>
  <c r="K17" i="1" s="1"/>
  <c r="I11" i="5"/>
  <c r="I16" i="6" s="1"/>
  <c r="I16" i="5"/>
  <c r="I23" i="6" s="1"/>
  <c r="I25" i="5"/>
  <c r="I32" i="6" s="1"/>
  <c r="Q22" i="2"/>
  <c r="R22" i="2" s="1"/>
  <c r="M26" i="2"/>
  <c r="Q32" i="2"/>
  <c r="R32" i="2" s="1"/>
  <c r="K40" i="2"/>
  <c r="K50" i="2"/>
  <c r="Q52" i="2"/>
  <c r="R52" i="2" s="1"/>
  <c r="Q62" i="2"/>
  <c r="R62" i="2" s="1"/>
  <c r="M66" i="2"/>
  <c r="M67" i="2"/>
  <c r="M71" i="2"/>
  <c r="M82" i="2"/>
  <c r="M83" i="2"/>
  <c r="K90" i="2"/>
  <c r="K91" i="2"/>
  <c r="K96" i="2"/>
  <c r="Q103" i="2"/>
  <c r="R103" i="2" s="1"/>
  <c r="M111" i="2"/>
  <c r="Q116" i="2"/>
  <c r="R116" i="2" s="1"/>
  <c r="K119" i="2"/>
  <c r="F7" i="13"/>
  <c r="G7" i="13" s="1"/>
  <c r="N11" i="5"/>
  <c r="N16" i="6" s="1"/>
  <c r="I17" i="5"/>
  <c r="I24" i="6" s="1"/>
  <c r="I27" i="5"/>
  <c r="I34" i="6" s="1"/>
  <c r="C20" i="1"/>
  <c r="Q31" i="2"/>
  <c r="R31" i="2" s="1"/>
  <c r="Q41" i="2"/>
  <c r="R41" i="2" s="1"/>
  <c r="Q42" i="2"/>
  <c r="R42" i="2" s="1"/>
  <c r="Q46" i="2"/>
  <c r="R46" i="2" s="1"/>
  <c r="Q122" i="2"/>
  <c r="R122" i="2" s="1"/>
  <c r="I18" i="5"/>
  <c r="I25" i="6" s="1"/>
  <c r="T11" i="7"/>
  <c r="Q72" i="2"/>
  <c r="R72" i="2" s="1"/>
  <c r="Q84" i="2"/>
  <c r="R84" i="2" s="1"/>
  <c r="Q112" i="2"/>
  <c r="R112" i="2" s="1"/>
  <c r="F12" i="13"/>
  <c r="G12" i="13" s="1"/>
  <c r="F15" i="13"/>
  <c r="G15" i="13" s="1"/>
  <c r="H13" i="5"/>
  <c r="H18" i="6" s="1"/>
  <c r="I19" i="5"/>
  <c r="I26" i="6" s="1"/>
  <c r="K18" i="2"/>
  <c r="Q25" i="2"/>
  <c r="R25" i="2" s="1"/>
  <c r="Q30" i="2"/>
  <c r="R30" i="2" s="1"/>
  <c r="Q40" i="2"/>
  <c r="R40" i="2" s="1"/>
  <c r="K48" i="2"/>
  <c r="K58" i="2"/>
  <c r="K59" i="2"/>
  <c r="K64" i="2"/>
  <c r="Q71" i="2"/>
  <c r="R71" i="2" s="1"/>
  <c r="M79" i="2"/>
  <c r="K86" i="2"/>
  <c r="M87" i="2"/>
  <c r="K88" i="2"/>
  <c r="Q96" i="2"/>
  <c r="R96" i="2" s="1"/>
  <c r="K100" i="2"/>
  <c r="Q110" i="2"/>
  <c r="R110" i="2" s="1"/>
  <c r="Q118" i="2"/>
  <c r="R118" i="2" s="1"/>
  <c r="B29" i="13"/>
  <c r="I13" i="5"/>
  <c r="I18" i="6" s="1"/>
  <c r="R4" i="7"/>
  <c r="C21" i="1"/>
  <c r="F9" i="13"/>
  <c r="G9" i="13" s="1"/>
  <c r="F20" i="13"/>
  <c r="G20" i="13" s="1"/>
  <c r="Q24" i="2"/>
  <c r="R24" i="2" s="1"/>
  <c r="K32" i="2"/>
  <c r="Q44" i="2"/>
  <c r="R44" i="2" s="1"/>
  <c r="K62" i="2"/>
  <c r="Q80" i="2"/>
  <c r="R80" i="2" s="1"/>
  <c r="Q94" i="2"/>
  <c r="R94" i="2" s="1"/>
  <c r="M103" i="2"/>
  <c r="K115" i="2"/>
  <c r="K116" i="2"/>
  <c r="M123" i="2"/>
  <c r="I16" i="1"/>
  <c r="K16" i="1" s="1"/>
  <c r="D17" i="1" s="1"/>
  <c r="J19" i="1"/>
  <c r="C5" i="1"/>
  <c r="C12" i="1" s="1"/>
  <c r="F15" i="5"/>
  <c r="F9" i="6" s="1"/>
  <c r="C19" i="1"/>
  <c r="K10" i="2"/>
  <c r="D5" i="13"/>
  <c r="M10" i="2"/>
  <c r="K15" i="2"/>
  <c r="D354" i="4" s="1"/>
  <c r="D6" i="13"/>
  <c r="M15" i="2"/>
  <c r="M5" i="2"/>
  <c r="K11" i="2"/>
  <c r="D359" i="4" s="1"/>
  <c r="K12" i="2"/>
  <c r="D349" i="4" s="1"/>
  <c r="M13" i="2"/>
  <c r="K16" i="2"/>
  <c r="D368" i="4" s="1"/>
  <c r="M17" i="2"/>
  <c r="M54" i="2"/>
  <c r="K54" i="2"/>
  <c r="K65" i="2"/>
  <c r="Q65" i="2"/>
  <c r="R65" i="2" s="1"/>
  <c r="K97" i="2"/>
  <c r="Q97" i="2"/>
  <c r="R97" i="2" s="1"/>
  <c r="I8" i="1"/>
  <c r="K8" i="1" s="1"/>
  <c r="J15" i="1"/>
  <c r="I15" i="1"/>
  <c r="K15" i="1" s="1"/>
  <c r="F8" i="13"/>
  <c r="G8" i="13" s="1"/>
  <c r="F16" i="13"/>
  <c r="G16" i="13" s="1"/>
  <c r="Q9" i="2"/>
  <c r="R9" i="2" s="1"/>
  <c r="M11" i="2"/>
  <c r="K19" i="2"/>
  <c r="Q53" i="2"/>
  <c r="R53" i="2" s="1"/>
  <c r="M53" i="2"/>
  <c r="M65" i="2"/>
  <c r="K75" i="2"/>
  <c r="K76" i="2"/>
  <c r="Q85" i="2"/>
  <c r="R85" i="2" s="1"/>
  <c r="M85" i="2"/>
  <c r="K85" i="2"/>
  <c r="M97" i="2"/>
  <c r="K107" i="2"/>
  <c r="K108" i="2"/>
  <c r="Q124" i="2"/>
  <c r="R124" i="2" s="1"/>
  <c r="J13" i="1"/>
  <c r="E29" i="13"/>
  <c r="K20" i="2"/>
  <c r="K21" i="2"/>
  <c r="K22" i="2"/>
  <c r="M23" i="2"/>
  <c r="M25" i="2"/>
  <c r="K27" i="2"/>
  <c r="K28" i="2"/>
  <c r="K29" i="2"/>
  <c r="K30" i="2"/>
  <c r="M31" i="2"/>
  <c r="M33" i="2"/>
  <c r="K35" i="2"/>
  <c r="K36" i="2"/>
  <c r="K37" i="2"/>
  <c r="K38" i="2"/>
  <c r="M39" i="2"/>
  <c r="M41" i="2"/>
  <c r="K43" i="2"/>
  <c r="K44" i="2"/>
  <c r="K45" i="2"/>
  <c r="K46" i="2"/>
  <c r="M47" i="2"/>
  <c r="M49" i="2"/>
  <c r="K51" i="2"/>
  <c r="K52" i="2"/>
  <c r="K53" i="2"/>
  <c r="Q68" i="2"/>
  <c r="R68" i="2" s="1"/>
  <c r="K73" i="2"/>
  <c r="Q73" i="2"/>
  <c r="R73" i="2" s="1"/>
  <c r="M75" i="2"/>
  <c r="Q100" i="2"/>
  <c r="R100" i="2" s="1"/>
  <c r="K105" i="2"/>
  <c r="Q105" i="2"/>
  <c r="R105" i="2" s="1"/>
  <c r="M107" i="2"/>
  <c r="Q117" i="2"/>
  <c r="R117" i="2" s="1"/>
  <c r="M117" i="2"/>
  <c r="K117" i="2"/>
  <c r="C6" i="13"/>
  <c r="F14" i="13"/>
  <c r="G14" i="13" s="1"/>
  <c r="F22" i="13"/>
  <c r="G22" i="13" s="1"/>
  <c r="I9" i="5"/>
  <c r="N9" i="5"/>
  <c r="F9" i="5"/>
  <c r="M9" i="5"/>
  <c r="E9" i="5"/>
  <c r="Q17" i="2"/>
  <c r="R17" i="2" s="1"/>
  <c r="M21" i="2"/>
  <c r="M27" i="2"/>
  <c r="M29" i="2"/>
  <c r="M35" i="2"/>
  <c r="M37" i="2"/>
  <c r="M43" i="2"/>
  <c r="M45" i="2"/>
  <c r="M51" i="2"/>
  <c r="Q54" i="2"/>
  <c r="R54" i="2" s="1"/>
  <c r="Q61" i="2"/>
  <c r="R61" i="2" s="1"/>
  <c r="M61" i="2"/>
  <c r="K61" i="2"/>
  <c r="Q93" i="2"/>
  <c r="R93" i="2" s="1"/>
  <c r="M93" i="2"/>
  <c r="K93" i="2"/>
  <c r="I4" i="1"/>
  <c r="J11" i="1"/>
  <c r="I11" i="1"/>
  <c r="K11" i="1" s="1"/>
  <c r="F10" i="13"/>
  <c r="G10" i="13" s="1"/>
  <c r="F18" i="13"/>
  <c r="G18" i="13" s="1"/>
  <c r="J3" i="2"/>
  <c r="Q76" i="2"/>
  <c r="R76" i="2" s="1"/>
  <c r="K81" i="2"/>
  <c r="Q81" i="2"/>
  <c r="R81" i="2" s="1"/>
  <c r="Q108" i="2"/>
  <c r="R108" i="2" s="1"/>
  <c r="K113" i="2"/>
  <c r="Q113" i="2"/>
  <c r="R113" i="2" s="1"/>
  <c r="Q125" i="2"/>
  <c r="R125" i="2" s="1"/>
  <c r="M125" i="2"/>
  <c r="K125" i="2"/>
  <c r="K3" i="2"/>
  <c r="H4" i="4"/>
  <c r="M14" i="5"/>
  <c r="M19" i="6" s="1"/>
  <c r="H14" i="5"/>
  <c r="H19" i="6" s="1"/>
  <c r="Q69" i="2"/>
  <c r="R69" i="2" s="1"/>
  <c r="M69" i="2"/>
  <c r="K69" i="2"/>
  <c r="Q101" i="2"/>
  <c r="R101" i="2" s="1"/>
  <c r="M101" i="2"/>
  <c r="K101" i="2"/>
  <c r="I5" i="1"/>
  <c r="K5" i="1" s="1"/>
  <c r="I7" i="1"/>
  <c r="K7" i="1" s="1"/>
  <c r="J9" i="1"/>
  <c r="C5" i="13"/>
  <c r="F21" i="13"/>
  <c r="G21" i="13" s="1"/>
  <c r="F24" i="13"/>
  <c r="G24" i="13" s="1"/>
  <c r="M9" i="2"/>
  <c r="K57" i="2"/>
  <c r="Q57" i="2"/>
  <c r="R57" i="2" s="1"/>
  <c r="M59" i="2"/>
  <c r="K89" i="2"/>
  <c r="Q89" i="2"/>
  <c r="R89" i="2" s="1"/>
  <c r="M91" i="2"/>
  <c r="K123" i="2"/>
  <c r="K124" i="2"/>
  <c r="J5" i="1"/>
  <c r="Q77" i="2"/>
  <c r="R77" i="2" s="1"/>
  <c r="M77" i="2"/>
  <c r="K77" i="2"/>
  <c r="Q109" i="2"/>
  <c r="R109" i="2" s="1"/>
  <c r="M109" i="2"/>
  <c r="K109" i="2"/>
  <c r="K121" i="2"/>
  <c r="Q121" i="2"/>
  <c r="R121" i="2" s="1"/>
  <c r="J21" i="1"/>
  <c r="I21" i="1"/>
  <c r="K21" i="1" s="1"/>
  <c r="F4" i="13"/>
  <c r="K110" i="2"/>
  <c r="K118" i="2"/>
  <c r="I20" i="1"/>
  <c r="K20" i="1" s="1"/>
  <c r="M12" i="5"/>
  <c r="M17" i="6" s="1"/>
  <c r="E12" i="5"/>
  <c r="E17" i="6" s="1"/>
  <c r="I12" i="5"/>
  <c r="I17" i="6" s="1"/>
  <c r="H42" i="7"/>
  <c r="D42" i="7" s="1"/>
  <c r="E42" i="7" s="1"/>
  <c r="H37" i="7"/>
  <c r="D37" i="7" s="1"/>
  <c r="E37" i="7" s="1"/>
  <c r="H29" i="7"/>
  <c r="D29" i="7" s="1"/>
  <c r="E29" i="7" s="1"/>
  <c r="H21" i="7"/>
  <c r="D21" i="7" s="1"/>
  <c r="E21" i="7" s="1"/>
  <c r="H40" i="7"/>
  <c r="D40" i="7" s="1"/>
  <c r="E40" i="7" s="1"/>
  <c r="H32" i="7"/>
  <c r="D32" i="7" s="1"/>
  <c r="E32" i="7" s="1"/>
  <c r="H24" i="7"/>
  <c r="D24" i="7" s="1"/>
  <c r="E24" i="7" s="1"/>
  <c r="H35" i="7"/>
  <c r="D35" i="7" s="1"/>
  <c r="E35" i="7" s="1"/>
  <c r="H27" i="7"/>
  <c r="H19" i="7"/>
  <c r="D19" i="7" s="1"/>
  <c r="E19" i="7" s="1"/>
  <c r="H38" i="7"/>
  <c r="D38" i="7" s="1"/>
  <c r="E38" i="7" s="1"/>
  <c r="H41" i="7"/>
  <c r="D41" i="7" s="1"/>
  <c r="E41" i="7" s="1"/>
  <c r="H33" i="7"/>
  <c r="D33" i="7" s="1"/>
  <c r="E33" i="7" s="1"/>
  <c r="H25" i="7"/>
  <c r="D25" i="7" s="1"/>
  <c r="E25" i="7" s="1"/>
  <c r="H36" i="7"/>
  <c r="D36" i="7" s="1"/>
  <c r="E36" i="7" s="1"/>
  <c r="H28" i="7"/>
  <c r="D28" i="7" s="1"/>
  <c r="E28" i="7" s="1"/>
  <c r="H20" i="7"/>
  <c r="D20" i="7" s="1"/>
  <c r="E20" i="7" s="1"/>
  <c r="H39" i="7"/>
  <c r="D39" i="7" s="1"/>
  <c r="E39" i="7" s="1"/>
  <c r="H31" i="7"/>
  <c r="D31" i="7" s="1"/>
  <c r="E31" i="7" s="1"/>
  <c r="H23" i="7"/>
  <c r="D23" i="7" s="1"/>
  <c r="E23" i="7" s="1"/>
  <c r="H34" i="7"/>
  <c r="D34" i="7" s="1"/>
  <c r="E34" i="7" s="1"/>
  <c r="H30" i="7"/>
  <c r="D30" i="7" s="1"/>
  <c r="E30" i="7" s="1"/>
  <c r="H26" i="7"/>
  <c r="D26" i="7" s="1"/>
  <c r="E26" i="7" s="1"/>
  <c r="H22" i="7"/>
  <c r="D22" i="7" s="1"/>
  <c r="E22" i="7" s="1"/>
  <c r="K6" i="5"/>
  <c r="I6" i="5"/>
  <c r="H6" i="5"/>
  <c r="M6" i="5"/>
  <c r="E6" i="5"/>
  <c r="L6" i="5"/>
  <c r="D6" i="5"/>
  <c r="D33" i="6"/>
  <c r="D3" i="4"/>
  <c r="E4" i="4"/>
  <c r="K27" i="5"/>
  <c r="K34" i="6" s="1"/>
  <c r="K19" i="5"/>
  <c r="K26" i="6" s="1"/>
  <c r="K20" i="5"/>
  <c r="K27" i="6" s="1"/>
  <c r="K21" i="5"/>
  <c r="K35" i="5"/>
  <c r="K36" i="5" s="1"/>
  <c r="K24" i="5"/>
  <c r="K31" i="6" s="1"/>
  <c r="J9" i="5"/>
  <c r="K10" i="5"/>
  <c r="K15" i="6" s="1"/>
  <c r="D13" i="5"/>
  <c r="O18" i="5"/>
  <c r="O25" i="6" s="1"/>
  <c r="O19" i="5"/>
  <c r="O26" i="6" s="1"/>
  <c r="H22" i="5"/>
  <c r="H29" i="6" s="1"/>
  <c r="K23" i="5"/>
  <c r="K30" i="6" s="1"/>
  <c r="N24" i="5"/>
  <c r="N31" i="6" s="1"/>
  <c r="G27" i="5"/>
  <c r="G34" i="6" s="1"/>
  <c r="N35" i="5"/>
  <c r="N36" i="5" s="1"/>
  <c r="N4" i="6"/>
  <c r="N7" i="6" s="1"/>
  <c r="F4" i="6"/>
  <c r="F7" i="6" s="1"/>
  <c r="K4" i="6"/>
  <c r="K7" i="6" s="1"/>
  <c r="H4" i="6"/>
  <c r="H7" i="6" s="1"/>
  <c r="M4" i="6"/>
  <c r="M7" i="6" s="1"/>
  <c r="D4" i="6"/>
  <c r="D7" i="6" s="1"/>
  <c r="L4" i="6"/>
  <c r="L7" i="6" s="1"/>
  <c r="D22" i="5"/>
  <c r="D23" i="5"/>
  <c r="D15" i="5"/>
  <c r="D24" i="5"/>
  <c r="D16" i="5"/>
  <c r="D27" i="5"/>
  <c r="L22" i="5"/>
  <c r="L29" i="6" s="1"/>
  <c r="L23" i="5"/>
  <c r="L30" i="6" s="1"/>
  <c r="L15" i="5"/>
  <c r="L9" i="6" s="1"/>
  <c r="L35" i="5"/>
  <c r="L36" i="5" s="1"/>
  <c r="L24" i="5"/>
  <c r="L31" i="6" s="1"/>
  <c r="L16" i="5"/>
  <c r="L23" i="6" s="1"/>
  <c r="L27" i="5"/>
  <c r="L34" i="6" s="1"/>
  <c r="K9" i="5"/>
  <c r="D10" i="5"/>
  <c r="L10" i="5"/>
  <c r="L15" i="6" s="1"/>
  <c r="G11" i="5"/>
  <c r="G16" i="6" s="1"/>
  <c r="O11" i="5"/>
  <c r="O16" i="6" s="1"/>
  <c r="J12" i="5"/>
  <c r="J17" i="6" s="1"/>
  <c r="J14" i="5"/>
  <c r="J19" i="6" s="1"/>
  <c r="G15" i="5"/>
  <c r="G9" i="6" s="1"/>
  <c r="D17" i="5"/>
  <c r="D18" i="5"/>
  <c r="D19" i="5"/>
  <c r="D20" i="5"/>
  <c r="G21" i="5"/>
  <c r="J22" i="5"/>
  <c r="J29" i="6" s="1"/>
  <c r="F26" i="5"/>
  <c r="F33" i="6" s="1"/>
  <c r="E25" i="5"/>
  <c r="E32" i="6" s="1"/>
  <c r="E17" i="5"/>
  <c r="E26" i="5"/>
  <c r="E33" i="6" s="1"/>
  <c r="E18" i="5"/>
  <c r="E25" i="6" s="1"/>
  <c r="E27" i="5"/>
  <c r="E34" i="6" s="1"/>
  <c r="E19" i="5"/>
  <c r="E26" i="6" s="1"/>
  <c r="E22" i="5"/>
  <c r="E29" i="6" s="1"/>
  <c r="M25" i="5"/>
  <c r="M32" i="6" s="1"/>
  <c r="M17" i="5"/>
  <c r="M26" i="5"/>
  <c r="M33" i="6" s="1"/>
  <c r="M18" i="5"/>
  <c r="M25" i="6" s="1"/>
  <c r="M27" i="5"/>
  <c r="M34" i="6" s="1"/>
  <c r="M19" i="5"/>
  <c r="M26" i="6" s="1"/>
  <c r="M22" i="5"/>
  <c r="M29" i="6" s="1"/>
  <c r="F6" i="5"/>
  <c r="N6" i="5"/>
  <c r="D9" i="5"/>
  <c r="L9" i="5"/>
  <c r="E10" i="5"/>
  <c r="E15" i="6" s="1"/>
  <c r="M10" i="5"/>
  <c r="M15" i="6" s="1"/>
  <c r="H11" i="5"/>
  <c r="H16" i="6" s="1"/>
  <c r="K12" i="5"/>
  <c r="K17" i="6" s="1"/>
  <c r="F13" i="5"/>
  <c r="F18" i="6" s="1"/>
  <c r="N13" i="5"/>
  <c r="N18" i="6" s="1"/>
  <c r="K14" i="5"/>
  <c r="K19" i="6" s="1"/>
  <c r="H15" i="5"/>
  <c r="H9" i="6" s="1"/>
  <c r="F16" i="5"/>
  <c r="F23" i="6" s="1"/>
  <c r="F17" i="5"/>
  <c r="F18" i="5"/>
  <c r="F25" i="6" s="1"/>
  <c r="E20" i="5"/>
  <c r="E27" i="6" s="1"/>
  <c r="H21" i="5"/>
  <c r="K22" i="5"/>
  <c r="K29" i="6" s="1"/>
  <c r="D25" i="5"/>
  <c r="G26" i="5"/>
  <c r="G33" i="6" s="1"/>
  <c r="J27" i="5"/>
  <c r="J34" i="6" s="1"/>
  <c r="F20" i="5"/>
  <c r="F27" i="6" s="1"/>
  <c r="F35" i="5"/>
  <c r="F36" i="5" s="1"/>
  <c r="F21" i="5"/>
  <c r="F22" i="5"/>
  <c r="F29" i="6" s="1"/>
  <c r="F14" i="5"/>
  <c r="F19" i="6" s="1"/>
  <c r="F25" i="5"/>
  <c r="F32" i="6" s="1"/>
  <c r="N20" i="5"/>
  <c r="N27" i="6" s="1"/>
  <c r="N21" i="5"/>
  <c r="N22" i="5"/>
  <c r="N29" i="6" s="1"/>
  <c r="N14" i="5"/>
  <c r="N19" i="6" s="1"/>
  <c r="N25" i="5"/>
  <c r="N32" i="6" s="1"/>
  <c r="G6" i="5"/>
  <c r="O6" i="5"/>
  <c r="F10" i="5"/>
  <c r="F15" i="6" s="1"/>
  <c r="N10" i="5"/>
  <c r="N15" i="6" s="1"/>
  <c r="D12" i="5"/>
  <c r="L12" i="5"/>
  <c r="L17" i="6" s="1"/>
  <c r="G13" i="5"/>
  <c r="G18" i="6" s="1"/>
  <c r="O13" i="5"/>
  <c r="O18" i="6" s="1"/>
  <c r="L14" i="5"/>
  <c r="L19" i="6" s="1"/>
  <c r="J15" i="5"/>
  <c r="J9" i="6" s="1"/>
  <c r="H16" i="5"/>
  <c r="H23" i="6" s="1"/>
  <c r="H17" i="5"/>
  <c r="G18" i="5"/>
  <c r="G25" i="6" s="1"/>
  <c r="L21" i="5"/>
  <c r="E24" i="5"/>
  <c r="E31" i="6" s="1"/>
  <c r="K26" i="5"/>
  <c r="K33" i="6" s="1"/>
  <c r="N27" i="5"/>
  <c r="N34" i="6" s="1"/>
  <c r="D35" i="5"/>
  <c r="D36" i="5" s="1"/>
  <c r="E4" i="6"/>
  <c r="E7" i="6" s="1"/>
  <c r="G23" i="5"/>
  <c r="G30" i="6" s="1"/>
  <c r="G24" i="5"/>
  <c r="G31" i="6" s="1"/>
  <c r="G16" i="5"/>
  <c r="G23" i="6" s="1"/>
  <c r="G25" i="5"/>
  <c r="G32" i="6" s="1"/>
  <c r="G17" i="5"/>
  <c r="G20" i="5"/>
  <c r="G27" i="6" s="1"/>
  <c r="O23" i="5"/>
  <c r="O30" i="6" s="1"/>
  <c r="O35" i="5"/>
  <c r="O36" i="5" s="1"/>
  <c r="O24" i="5"/>
  <c r="O31" i="6" s="1"/>
  <c r="O16" i="5"/>
  <c r="O23" i="6" s="1"/>
  <c r="O25" i="5"/>
  <c r="O32" i="6" s="1"/>
  <c r="O17" i="5"/>
  <c r="O20" i="5"/>
  <c r="O27" i="6" s="1"/>
  <c r="G10" i="5"/>
  <c r="G15" i="6" s="1"/>
  <c r="O10" i="5"/>
  <c r="O15" i="6" s="1"/>
  <c r="J11" i="5"/>
  <c r="J16" i="6" s="1"/>
  <c r="K15" i="5"/>
  <c r="K9" i="6" s="1"/>
  <c r="J20" i="5"/>
  <c r="J27" i="6" s="1"/>
  <c r="F24" i="5"/>
  <c r="F31" i="6" s="1"/>
  <c r="L26" i="5"/>
  <c r="L33" i="6" s="1"/>
  <c r="O27" i="5"/>
  <c r="O34" i="6" s="1"/>
  <c r="E35" i="5"/>
  <c r="E36" i="5" s="1"/>
  <c r="G4" i="6"/>
  <c r="G7" i="6" s="1"/>
  <c r="H35" i="5"/>
  <c r="H36" i="5" s="1"/>
  <c r="H26" i="5"/>
  <c r="H33" i="6" s="1"/>
  <c r="H18" i="5"/>
  <c r="H25" i="6" s="1"/>
  <c r="H27" i="5"/>
  <c r="H34" i="6" s="1"/>
  <c r="H19" i="5"/>
  <c r="H26" i="6" s="1"/>
  <c r="H20" i="5"/>
  <c r="H27" i="6" s="1"/>
  <c r="H23" i="5"/>
  <c r="H30" i="6" s="1"/>
  <c r="G9" i="5"/>
  <c r="O9" i="5"/>
  <c r="H10" i="5"/>
  <c r="H15" i="6" s="1"/>
  <c r="K11" i="5"/>
  <c r="K16" i="6" s="1"/>
  <c r="F12" i="5"/>
  <c r="F17" i="6" s="1"/>
  <c r="N12" i="5"/>
  <c r="N17" i="6" s="1"/>
  <c r="D14" i="5"/>
  <c r="O14" i="5"/>
  <c r="O19" i="6" s="1"/>
  <c r="M15" i="5"/>
  <c r="M9" i="6" s="1"/>
  <c r="K16" i="5"/>
  <c r="K23" i="6" s="1"/>
  <c r="K17" i="5"/>
  <c r="K18" i="5"/>
  <c r="K25" i="6" s="1"/>
  <c r="J19" i="5"/>
  <c r="J26" i="6" s="1"/>
  <c r="L20" i="5"/>
  <c r="L27" i="6" s="1"/>
  <c r="O21" i="5"/>
  <c r="E23" i="5"/>
  <c r="E30" i="6" s="1"/>
  <c r="H24" i="5"/>
  <c r="H31" i="6" s="1"/>
  <c r="K25" i="5"/>
  <c r="K32" i="6" s="1"/>
  <c r="N26" i="5"/>
  <c r="N33" i="6" s="1"/>
  <c r="G35" i="5"/>
  <c r="G36" i="5" s="1"/>
  <c r="I4" i="6"/>
  <c r="I7" i="6" s="1"/>
  <c r="I21" i="5"/>
  <c r="I22" i="5"/>
  <c r="I29" i="6" s="1"/>
  <c r="I14" i="5"/>
  <c r="I19" i="6" s="1"/>
  <c r="I23" i="5"/>
  <c r="I30" i="6" s="1"/>
  <c r="I15" i="5"/>
  <c r="I9" i="6" s="1"/>
  <c r="I26" i="5"/>
  <c r="I33" i="6" s="1"/>
  <c r="J6" i="5"/>
  <c r="H9" i="5"/>
  <c r="I10" i="5"/>
  <c r="I15" i="6" s="1"/>
  <c r="D11" i="5"/>
  <c r="L11" i="5"/>
  <c r="L16" i="6" s="1"/>
  <c r="G12" i="5"/>
  <c r="G17" i="6" s="1"/>
  <c r="O12" i="5"/>
  <c r="O17" i="6" s="1"/>
  <c r="E14" i="5"/>
  <c r="E19" i="6" s="1"/>
  <c r="N15" i="5"/>
  <c r="N9" i="6" s="1"/>
  <c r="M16" i="5"/>
  <c r="M23" i="6" s="1"/>
  <c r="L17" i="5"/>
  <c r="L18" i="5"/>
  <c r="L25" i="6" s="1"/>
  <c r="L19" i="5"/>
  <c r="L26" i="6" s="1"/>
  <c r="M20" i="5"/>
  <c r="M27" i="6" s="1"/>
  <c r="F23" i="5"/>
  <c r="F30" i="6" s="1"/>
  <c r="I24" i="5"/>
  <c r="I31" i="6" s="1"/>
  <c r="L25" i="5"/>
  <c r="L32" i="6" s="1"/>
  <c r="O26" i="5"/>
  <c r="O33" i="6" s="1"/>
  <c r="I35" i="5"/>
  <c r="I36" i="5" s="1"/>
  <c r="J4" i="6"/>
  <c r="J7" i="6" s="1"/>
  <c r="E28" i="6"/>
  <c r="J35" i="5"/>
  <c r="J36" i="5" s="1"/>
  <c r="J24" i="5"/>
  <c r="J31" i="6" s="1"/>
  <c r="J16" i="5"/>
  <c r="J23" i="6" s="1"/>
  <c r="J25" i="5"/>
  <c r="J32" i="6" s="1"/>
  <c r="J17" i="5"/>
  <c r="J26" i="5"/>
  <c r="J33" i="6" s="1"/>
  <c r="J18" i="5"/>
  <c r="J25" i="6" s="1"/>
  <c r="J21" i="5"/>
  <c r="J10" i="5"/>
  <c r="J15" i="6" s="1"/>
  <c r="E11" i="5"/>
  <c r="E16" i="6" s="1"/>
  <c r="M11" i="5"/>
  <c r="M16" i="6" s="1"/>
  <c r="H12" i="5"/>
  <c r="H17" i="6" s="1"/>
  <c r="K13" i="5"/>
  <c r="K18" i="6" s="1"/>
  <c r="G14" i="5"/>
  <c r="G19" i="6" s="1"/>
  <c r="E15" i="5"/>
  <c r="E9" i="6" s="1"/>
  <c r="O15" i="5"/>
  <c r="O9" i="6" s="1"/>
  <c r="N16" i="5"/>
  <c r="N23" i="6" s="1"/>
  <c r="N17" i="5"/>
  <c r="N18" i="5"/>
  <c r="N25" i="6" s="1"/>
  <c r="N19" i="5"/>
  <c r="N26" i="6" s="1"/>
  <c r="D21" i="5"/>
  <c r="G22" i="5"/>
  <c r="G29" i="6" s="1"/>
  <c r="J23" i="5"/>
  <c r="J30" i="6" s="1"/>
  <c r="M24" i="5"/>
  <c r="M31" i="6" s="1"/>
  <c r="F27" i="5"/>
  <c r="F34" i="6" s="1"/>
  <c r="M35" i="5"/>
  <c r="M36" i="5" s="1"/>
  <c r="O4" i="6"/>
  <c r="O7" i="6" s="1"/>
  <c r="U11" i="7"/>
  <c r="D369" i="4" l="1"/>
  <c r="J7" i="1"/>
  <c r="M4" i="2"/>
  <c r="F5" i="13"/>
  <c r="G5" i="13" s="1"/>
  <c r="Q12" i="2"/>
  <c r="R12" i="2" s="1"/>
  <c r="C29" i="13"/>
  <c r="K4" i="2"/>
  <c r="E13" i="4" s="1"/>
  <c r="D13" i="4" s="1"/>
  <c r="Q16" i="2"/>
  <c r="R16" i="2" s="1"/>
  <c r="E4" i="1"/>
  <c r="D10" i="1" s="1"/>
  <c r="C16" i="1"/>
  <c r="I37" i="5"/>
  <c r="C14" i="1"/>
  <c r="C17" i="1"/>
  <c r="C6" i="1"/>
  <c r="C26" i="5"/>
  <c r="N10" i="6"/>
  <c r="N8" i="6" s="1"/>
  <c r="N12" i="6" s="1"/>
  <c r="N6" i="6"/>
  <c r="K37" i="5"/>
  <c r="K24" i="6"/>
  <c r="O24" i="6"/>
  <c r="O37" i="5"/>
  <c r="L7" i="5"/>
  <c r="L30" i="5" s="1"/>
  <c r="L31" i="5" s="1"/>
  <c r="L14" i="6"/>
  <c r="L13" i="6" s="1"/>
  <c r="L33" i="5"/>
  <c r="C19" i="5"/>
  <c r="D26" i="6"/>
  <c r="C26" i="6" s="1"/>
  <c r="C11" i="6"/>
  <c r="H6" i="6"/>
  <c r="H10" i="6"/>
  <c r="H8" i="6" s="1"/>
  <c r="H12" i="6" s="1"/>
  <c r="C7" i="6"/>
  <c r="J4" i="1"/>
  <c r="K4" i="1"/>
  <c r="I2" i="1"/>
  <c r="J28" i="6"/>
  <c r="G24" i="6"/>
  <c r="G37" i="5"/>
  <c r="G12" i="4" a="1"/>
  <c r="G12" i="4" s="1"/>
  <c r="D324" i="4"/>
  <c r="K5" i="2"/>
  <c r="P3" i="2"/>
  <c r="O14" i="6"/>
  <c r="O13" i="6" s="1"/>
  <c r="O33" i="5"/>
  <c r="O7" i="5"/>
  <c r="O30" i="5" s="1"/>
  <c r="O31" i="5" s="1"/>
  <c r="D32" i="6"/>
  <c r="C32" i="6" s="1"/>
  <c r="C25" i="5"/>
  <c r="D14" i="6"/>
  <c r="D33" i="5"/>
  <c r="D7" i="5"/>
  <c r="D30" i="5" s="1"/>
  <c r="D31" i="5" s="1"/>
  <c r="C9" i="5"/>
  <c r="E24" i="6"/>
  <c r="E22" i="6" s="1"/>
  <c r="E37" i="5"/>
  <c r="D25" i="6"/>
  <c r="C25" i="6" s="1"/>
  <c r="C18" i="5"/>
  <c r="D15" i="6"/>
  <c r="C15" i="6" s="1"/>
  <c r="C10" i="5"/>
  <c r="L10" i="6"/>
  <c r="L8" i="6" s="1"/>
  <c r="L12" i="6" s="1"/>
  <c r="L6" i="6"/>
  <c r="K28" i="6"/>
  <c r="E10" i="6"/>
  <c r="E8" i="6" s="1"/>
  <c r="E12" i="6" s="1"/>
  <c r="E6" i="6"/>
  <c r="D27" i="6"/>
  <c r="C27" i="6" s="1"/>
  <c r="C20" i="5"/>
  <c r="D29" i="6"/>
  <c r="C29" i="6" s="1"/>
  <c r="C22" i="5"/>
  <c r="D28" i="6"/>
  <c r="C21" i="5"/>
  <c r="J24" i="6"/>
  <c r="J37" i="5"/>
  <c r="G33" i="5"/>
  <c r="G14" i="6"/>
  <c r="G13" i="6" s="1"/>
  <c r="G7" i="5"/>
  <c r="G30" i="5" s="1"/>
  <c r="G31" i="5" s="1"/>
  <c r="F28" i="6"/>
  <c r="M24" i="6"/>
  <c r="M22" i="6" s="1"/>
  <c r="M37" i="5"/>
  <c r="D24" i="6"/>
  <c r="D37" i="5"/>
  <c r="C17" i="5"/>
  <c r="K14" i="6"/>
  <c r="K13" i="6" s="1"/>
  <c r="K7" i="5"/>
  <c r="K30" i="5" s="1"/>
  <c r="K31" i="5" s="1"/>
  <c r="K33" i="5"/>
  <c r="C27" i="5"/>
  <c r="D34" i="6"/>
  <c r="C34" i="6" s="1"/>
  <c r="D27" i="7"/>
  <c r="E27" i="7" s="1"/>
  <c r="C3" i="7" s="1"/>
  <c r="E3" i="7"/>
  <c r="E14" i="6"/>
  <c r="E13" i="6" s="1"/>
  <c r="E7" i="5"/>
  <c r="E30" i="5" s="1"/>
  <c r="E31" i="5" s="1"/>
  <c r="E33" i="5"/>
  <c r="C22" i="1"/>
  <c r="C23" i="1"/>
  <c r="D23" i="1" s="1"/>
  <c r="G6" i="6"/>
  <c r="G10" i="6"/>
  <c r="G8" i="6" s="1"/>
  <c r="G12" i="6" s="1"/>
  <c r="H28" i="6"/>
  <c r="D23" i="6"/>
  <c r="C16" i="5"/>
  <c r="D10" i="6"/>
  <c r="D6" i="6"/>
  <c r="K10" i="6"/>
  <c r="K8" i="6" s="1"/>
  <c r="K12" i="6" s="1"/>
  <c r="K6" i="6"/>
  <c r="M14" i="6"/>
  <c r="M13" i="6" s="1"/>
  <c r="M33" i="5"/>
  <c r="M7" i="5"/>
  <c r="M30" i="5" s="1"/>
  <c r="M31" i="5" s="1"/>
  <c r="O6" i="6"/>
  <c r="O10" i="6"/>
  <c r="O8" i="6" s="1"/>
  <c r="O12" i="6" s="1"/>
  <c r="J10" i="6"/>
  <c r="J8" i="6" s="1"/>
  <c r="J12" i="6" s="1"/>
  <c r="J6" i="6"/>
  <c r="D16" i="6"/>
  <c r="C16" i="6" s="1"/>
  <c r="C11" i="5"/>
  <c r="O28" i="6"/>
  <c r="D19" i="6"/>
  <c r="C19" i="6" s="1"/>
  <c r="C14" i="5"/>
  <c r="L28" i="6"/>
  <c r="D31" i="6"/>
  <c r="C31" i="6" s="1"/>
  <c r="C24" i="5"/>
  <c r="M10" i="6"/>
  <c r="M8" i="6" s="1"/>
  <c r="M12" i="6" s="1"/>
  <c r="M6" i="6"/>
  <c r="D18" i="6"/>
  <c r="C18" i="6" s="1"/>
  <c r="C13" i="5"/>
  <c r="C6" i="5"/>
  <c r="F14" i="6"/>
  <c r="F13" i="6" s="1"/>
  <c r="F7" i="5"/>
  <c r="F30" i="5" s="1"/>
  <c r="F31" i="5" s="1"/>
  <c r="F33" i="5"/>
  <c r="F6" i="13"/>
  <c r="G6" i="13" s="1"/>
  <c r="N37" i="5"/>
  <c r="N24" i="6"/>
  <c r="L24" i="6"/>
  <c r="L37" i="5"/>
  <c r="I28" i="6"/>
  <c r="I22" i="6" s="1"/>
  <c r="C12" i="5"/>
  <c r="D17" i="6"/>
  <c r="C17" i="6" s="1"/>
  <c r="N28" i="6"/>
  <c r="D9" i="6"/>
  <c r="C9" i="6" s="1"/>
  <c r="C15" i="5"/>
  <c r="C33" i="6"/>
  <c r="D4" i="4"/>
  <c r="C4" i="4"/>
  <c r="E5" i="4"/>
  <c r="I4" i="4"/>
  <c r="H7" i="4" s="1"/>
  <c r="H10" i="4" s="1"/>
  <c r="N14" i="6"/>
  <c r="N13" i="6" s="1"/>
  <c r="N7" i="5"/>
  <c r="N30" i="5" s="1"/>
  <c r="N31" i="5" s="1"/>
  <c r="N33" i="5"/>
  <c r="G4" i="13"/>
  <c r="Q15" i="2"/>
  <c r="R15" i="2" s="1"/>
  <c r="Q10" i="2"/>
  <c r="R10" i="2" s="1"/>
  <c r="H33" i="5"/>
  <c r="H14" i="6"/>
  <c r="H13" i="6" s="1"/>
  <c r="H7" i="5"/>
  <c r="L3" i="2" s="1"/>
  <c r="I10" i="6"/>
  <c r="I8" i="6" s="1"/>
  <c r="I12" i="6" s="1"/>
  <c r="I6" i="6"/>
  <c r="H37" i="5"/>
  <c r="H24" i="6"/>
  <c r="F37" i="5"/>
  <c r="F24" i="6"/>
  <c r="G28" i="6"/>
  <c r="D30" i="6"/>
  <c r="C30" i="6" s="1"/>
  <c r="C23" i="5"/>
  <c r="F6" i="6"/>
  <c r="F10" i="6"/>
  <c r="F8" i="6" s="1"/>
  <c r="F12" i="6" s="1"/>
  <c r="J14" i="6"/>
  <c r="J13" i="6" s="1"/>
  <c r="J33" i="5"/>
  <c r="J7" i="5"/>
  <c r="J30" i="5" s="1"/>
  <c r="D14" i="1"/>
  <c r="I33" i="5"/>
  <c r="I14" i="6"/>
  <c r="I13" i="6" s="1"/>
  <c r="I7" i="5"/>
  <c r="D16" i="1"/>
  <c r="D29" i="13"/>
  <c r="Q11" i="2"/>
  <c r="R11" i="2" s="1"/>
  <c r="J2" i="1" l="1"/>
  <c r="G22" i="6"/>
  <c r="D9" i="1"/>
  <c r="L4" i="2"/>
  <c r="O20" i="6"/>
  <c r="O21" i="6" s="1"/>
  <c r="G20" i="6"/>
  <c r="G21" i="6" s="1"/>
  <c r="O22" i="6"/>
  <c r="F22" i="6"/>
  <c r="L22" i="6"/>
  <c r="H22" i="6"/>
  <c r="L20" i="6"/>
  <c r="L21" i="6" s="1"/>
  <c r="N20" i="6"/>
  <c r="N21" i="6" s="1"/>
  <c r="J22" i="6"/>
  <c r="K20" i="6"/>
  <c r="K21" i="6" s="1"/>
  <c r="M20" i="6"/>
  <c r="M36" i="6" s="1"/>
  <c r="E20" i="6"/>
  <c r="E36" i="6" s="1"/>
  <c r="N22" i="6"/>
  <c r="C33" i="5"/>
  <c r="F20" i="6"/>
  <c r="I20" i="6"/>
  <c r="I36" i="6" s="1"/>
  <c r="I37" i="6" s="1"/>
  <c r="H20" i="6"/>
  <c r="J20" i="6"/>
  <c r="C28" i="6"/>
  <c r="F29" i="13"/>
  <c r="K22" i="6"/>
  <c r="D22" i="6"/>
  <c r="C23" i="6"/>
  <c r="M4" i="5"/>
  <c r="M34" i="5" s="1"/>
  <c r="M37" i="6"/>
  <c r="G37" i="6"/>
  <c r="G4" i="5"/>
  <c r="G38" i="5" s="1"/>
  <c r="H37" i="6"/>
  <c r="H4" i="5"/>
  <c r="H38" i="5" s="1"/>
  <c r="K37" i="6"/>
  <c r="K4" i="5"/>
  <c r="K38" i="5" s="1"/>
  <c r="C7" i="5"/>
  <c r="C30" i="5" s="1"/>
  <c r="K2" i="1"/>
  <c r="L4" i="1" s="1"/>
  <c r="D12" i="1"/>
  <c r="C10" i="6"/>
  <c r="C37" i="5"/>
  <c r="I30" i="5"/>
  <c r="N37" i="6"/>
  <c r="N4" i="5"/>
  <c r="N34" i="5" s="1"/>
  <c r="O37" i="6"/>
  <c r="O4" i="5"/>
  <c r="C24" i="6"/>
  <c r="D13" i="6"/>
  <c r="C13" i="6" s="1"/>
  <c r="C14" i="6"/>
  <c r="H30" i="5"/>
  <c r="F37" i="6"/>
  <c r="F4" i="5"/>
  <c r="F34" i="5" s="1"/>
  <c r="D20" i="1"/>
  <c r="D21" i="1"/>
  <c r="D8" i="6"/>
  <c r="D37" i="6"/>
  <c r="D4" i="5"/>
  <c r="D34" i="5" s="1"/>
  <c r="C6" i="6"/>
  <c r="E4" i="5"/>
  <c r="E34" i="5" s="1"/>
  <c r="E37" i="6"/>
  <c r="I4" i="5"/>
  <c r="D5" i="4"/>
  <c r="E6" i="4"/>
  <c r="C5" i="4"/>
  <c r="J37" i="6"/>
  <c r="J4" i="5"/>
  <c r="E7" i="7"/>
  <c r="I11" i="7"/>
  <c r="E6" i="7"/>
  <c r="E8" i="7"/>
  <c r="E5" i="7"/>
  <c r="G29" i="13"/>
  <c r="D19" i="1"/>
  <c r="L37" i="6"/>
  <c r="L4" i="5"/>
  <c r="G36" i="6" l="1"/>
  <c r="O36" i="6"/>
  <c r="K34" i="5"/>
  <c r="K36" i="6"/>
  <c r="F36" i="6"/>
  <c r="N36" i="6"/>
  <c r="G34" i="5"/>
  <c r="J36" i="6"/>
  <c r="H36" i="6"/>
  <c r="F21" i="6"/>
  <c r="L36" i="6"/>
  <c r="E21" i="6"/>
  <c r="M21" i="6"/>
  <c r="E38" i="5"/>
  <c r="C22" i="6"/>
  <c r="J21" i="6"/>
  <c r="M38" i="5"/>
  <c r="H21" i="6"/>
  <c r="D38" i="5"/>
  <c r="H34" i="5"/>
  <c r="I21" i="6"/>
  <c r="I40" i="5"/>
  <c r="I5" i="5"/>
  <c r="I39" i="5"/>
  <c r="I38" i="5"/>
  <c r="I41" i="5"/>
  <c r="J40" i="5"/>
  <c r="J5" i="5"/>
  <c r="J41" i="5"/>
  <c r="J39" i="5"/>
  <c r="O40" i="5"/>
  <c r="O5" i="5"/>
  <c r="O39" i="5"/>
  <c r="O41" i="5"/>
  <c r="I31" i="5"/>
  <c r="C8" i="1"/>
  <c r="C9" i="1" s="1"/>
  <c r="C10" i="1" s="1"/>
  <c r="L18" i="1"/>
  <c r="L19" i="1"/>
  <c r="L6" i="1"/>
  <c r="L12" i="1"/>
  <c r="L22" i="1"/>
  <c r="L17" i="1"/>
  <c r="L16" i="1"/>
  <c r="L13" i="1"/>
  <c r="L14" i="1"/>
  <c r="L10" i="1"/>
  <c r="L7" i="1"/>
  <c r="L5" i="1"/>
  <c r="L20" i="1"/>
  <c r="L11" i="1"/>
  <c r="L8" i="1"/>
  <c r="L15" i="1"/>
  <c r="L21" i="1"/>
  <c r="M40" i="5"/>
  <c r="M5" i="5"/>
  <c r="M41" i="5"/>
  <c r="M39" i="5"/>
  <c r="L40" i="5"/>
  <c r="L5" i="5"/>
  <c r="L41" i="5"/>
  <c r="L39" i="5"/>
  <c r="J34" i="5"/>
  <c r="D5" i="5"/>
  <c r="D40" i="5"/>
  <c r="C4" i="5"/>
  <c r="D39" i="5"/>
  <c r="D41" i="5"/>
  <c r="O34" i="5"/>
  <c r="F5" i="5"/>
  <c r="F40" i="5"/>
  <c r="F39" i="5"/>
  <c r="F41" i="5"/>
  <c r="H5" i="5"/>
  <c r="H40" i="5"/>
  <c r="H41" i="5"/>
  <c r="H39" i="5"/>
  <c r="I34" i="5"/>
  <c r="L38" i="5"/>
  <c r="C8" i="6"/>
  <c r="D12" i="6"/>
  <c r="N40" i="5"/>
  <c r="N5" i="5"/>
  <c r="N39" i="5"/>
  <c r="N41" i="5"/>
  <c r="I10" i="7"/>
  <c r="K3" i="7"/>
  <c r="L34" i="5"/>
  <c r="H31" i="5"/>
  <c r="N38" i="5"/>
  <c r="J31" i="5"/>
  <c r="D22" i="1"/>
  <c r="E7" i="4"/>
  <c r="D6" i="4"/>
  <c r="C6" i="4"/>
  <c r="J38" i="5"/>
  <c r="O38" i="5"/>
  <c r="K40" i="5"/>
  <c r="K5" i="5"/>
  <c r="K39" i="5"/>
  <c r="K41" i="5"/>
  <c r="G40" i="5"/>
  <c r="G5" i="5"/>
  <c r="G39" i="5"/>
  <c r="G41" i="5"/>
  <c r="F38" i="5"/>
  <c r="F11" i="7"/>
  <c r="E40" i="5"/>
  <c r="E5" i="5"/>
  <c r="E41" i="5"/>
  <c r="E39" i="5"/>
  <c r="L2" i="1" l="1"/>
  <c r="F14" i="7"/>
  <c r="N2" i="7"/>
  <c r="F13" i="7"/>
  <c r="F12" i="7"/>
  <c r="G11" i="7"/>
  <c r="D20" i="6"/>
  <c r="C12" i="6"/>
  <c r="C36" i="5"/>
  <c r="C40" i="5"/>
  <c r="C34" i="5"/>
  <c r="C39" i="5"/>
  <c r="C41" i="5"/>
  <c r="C5" i="5"/>
  <c r="C7" i="4"/>
  <c r="E8" i="4"/>
  <c r="D7" i="4"/>
  <c r="C38" i="5"/>
  <c r="C31" i="5"/>
  <c r="D8" i="4" l="1"/>
  <c r="C8" i="4"/>
  <c r="E9" i="4"/>
  <c r="D36" i="6"/>
  <c r="C36" i="6" s="1"/>
  <c r="C37" i="6" s="1"/>
  <c r="D21" i="6"/>
  <c r="C20" i="6"/>
  <c r="C21" i="6" s="1"/>
  <c r="N3" i="7"/>
  <c r="G12" i="7"/>
  <c r="G13" i="7"/>
  <c r="G14" i="7"/>
  <c r="N5" i="7" l="1"/>
  <c r="N6" i="7"/>
  <c r="N7" i="7"/>
  <c r="N8" i="7"/>
  <c r="D9" i="4"/>
  <c r="C9" i="4"/>
  <c r="E10" i="4"/>
  <c r="C10" i="4" l="1"/>
  <c r="D10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tc={70052657-A2D7-47A8-9616-13BCC23B8EB6}</author>
  </authors>
  <commentList>
    <comment ref="E59" authorId="0" shapeId="0" xr:uid="{70052657-A2D7-47A8-9616-13BCC23B8EB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1 BOLETO PARA 13/08 = 858,55(nf 27457) Pago
1 BOLETO PARA 13/08 = 1.003,08 (nf 27460) Pago
1 BOLETO PARA 12/08 = 820,62 (nf 419)  Pago
1 BOLETO PARA 12/08 = 702,45 (nf 416) Pago
1 BOLETO PARA 19/08 = 820,61 (nf 419)
1 BOLETO PARA 19/08 = 702,45 (nf 416)
1 BOLETO PARA 20/08 = 858,55 (nf 27457)
1 BOLETO PARA 20/08 = 1.003,08 (nf 27460)
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<sst xmlns="http://schemas.openxmlformats.org/spreadsheetml/2006/main" count="339" uniqueCount="240">
  <si>
    <t>'''''''''''''''''''''''''''''''''''''''''''''''''''''''''''''''''''''''''''''''''''''''''</t>
  </si>
  <si>
    <t>Mês competência</t>
  </si>
  <si>
    <t>Ano competência</t>
  </si>
  <si>
    <t>1. TOTAL</t>
  </si>
  <si>
    <t>TOTAL</t>
  </si>
  <si>
    <t>Julho</t>
  </si>
  <si>
    <t>CATEGORIA</t>
  </si>
  <si>
    <t>VALOR PAGO</t>
  </si>
  <si>
    <t>VALOR A PAGAR</t>
  </si>
  <si>
    <t>%</t>
  </si>
  <si>
    <t>VALOR</t>
  </si>
  <si>
    <t>Margem Cont:</t>
  </si>
  <si>
    <t>CMV</t>
  </si>
  <si>
    <t>(+) Fatur. Bruto</t>
  </si>
  <si>
    <t>MC1=Receita-DV -&gt; MC=MC1/Receita</t>
  </si>
  <si>
    <t>Este % MC pagara os CFs =LL</t>
  </si>
  <si>
    <t>(+) Fatur. Liquido</t>
  </si>
  <si>
    <t>Após pgto dos CUSTOS FIXOS</t>
  </si>
  <si>
    <t xml:space="preserve">  (-) Despesas</t>
  </si>
  <si>
    <t>Lucro Liquido</t>
  </si>
  <si>
    <t>Margem liquida</t>
  </si>
  <si>
    <t>P.Equilibrio</t>
  </si>
  <si>
    <t>CMV (até 35%)</t>
  </si>
  <si>
    <t>DESP. ADMIN</t>
  </si>
  <si>
    <t>PROLABORE</t>
  </si>
  <si>
    <t xml:space="preserve"> Desp. Adm (até 33%)</t>
  </si>
  <si>
    <t>EFICIÊNCIA EQUIPE</t>
  </si>
  <si>
    <t>Peso Aluguel (até 10%)</t>
  </si>
  <si>
    <t>PIX</t>
  </si>
  <si>
    <t>FIXO</t>
  </si>
  <si>
    <t>VARIÁVEL</t>
  </si>
  <si>
    <t>DINHEIRO</t>
  </si>
  <si>
    <t>FIXO/VARIÁVEL</t>
  </si>
  <si>
    <t>BOLETO</t>
  </si>
  <si>
    <t xml:space="preserve"> </t>
  </si>
  <si>
    <t xml:space="preserve">                                                       </t>
  </si>
  <si>
    <t>Conferência</t>
  </si>
  <si>
    <t>CONTAS A PAGAR</t>
  </si>
  <si>
    <t>MÊS PASSADO</t>
  </si>
  <si>
    <t>MÊS ATUAL</t>
  </si>
  <si>
    <t>Data</t>
  </si>
  <si>
    <t xml:space="preserve">Mês </t>
  </si>
  <si>
    <t>Ano</t>
  </si>
  <si>
    <t>Item</t>
  </si>
  <si>
    <t>Grupo</t>
  </si>
  <si>
    <t>C. CUSTO</t>
  </si>
  <si>
    <t>Valor Unitario</t>
  </si>
  <si>
    <t>Valor a Pagar</t>
  </si>
  <si>
    <t>Forma de pgto</t>
  </si>
  <si>
    <t>Total</t>
  </si>
  <si>
    <t>Data a pagar</t>
  </si>
  <si>
    <t>Mês Pgto</t>
  </si>
  <si>
    <t>Ano Pgto</t>
  </si>
  <si>
    <t>Status Pgto</t>
  </si>
  <si>
    <t>CONTABILIDADE</t>
  </si>
  <si>
    <t>RECEITA FEDERAL</t>
  </si>
  <si>
    <t>Dia / semana</t>
  </si>
  <si>
    <t>ANO</t>
  </si>
  <si>
    <t>MES</t>
  </si>
  <si>
    <t>Total Bruto</t>
  </si>
  <si>
    <t>Total Liquido</t>
  </si>
  <si>
    <t>PREVISÃO FLUXO DE PAGAMENTO</t>
  </si>
  <si>
    <t>SALDO ATUAL</t>
  </si>
  <si>
    <t>De:</t>
  </si>
  <si>
    <t>Até:</t>
  </si>
  <si>
    <t>HOJE</t>
  </si>
  <si>
    <t>SALDO FINAL</t>
  </si>
  <si>
    <t>AMANHA</t>
  </si>
  <si>
    <t>VALOR A PAGAR:</t>
  </si>
  <si>
    <t>DAQUI 2 DIAS</t>
  </si>
  <si>
    <t>DAQUI 3 DIAS</t>
  </si>
  <si>
    <t>Receitas do Mês</t>
  </si>
  <si>
    <t>DAQUI 4 DIAS</t>
  </si>
  <si>
    <t>Saldo Atual:</t>
  </si>
  <si>
    <t>DAQUI 5 DIAS</t>
  </si>
  <si>
    <t>Crédito RECEITA Cartão:</t>
  </si>
  <si>
    <t>Depósitos $ mês ante</t>
  </si>
  <si>
    <t>Saldo Futuro</t>
  </si>
  <si>
    <t>DADOS PARA FILTRO:</t>
  </si>
  <si>
    <t>Fluxo de Pagamento Diarios</t>
  </si>
  <si>
    <t>Valor</t>
  </si>
  <si>
    <t>DETALHAMENTO DE RESULTADO</t>
  </si>
  <si>
    <t>*Alterar ano no dashboard --&gt;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</si>
  <si>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</si>
  <si>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</si>
  <si>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</si>
  <si>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</si>
  <si>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</si>
  <si>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</si>
  <si>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</si>
  <si>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</si>
  <si>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</si>
  <si>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</si>
  <si>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</si>
  <si>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</si>
  <si>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FAT. BRUTO</t>
  </si>
  <si>
    <t>FAT. LIQUIDO</t>
  </si>
  <si>
    <t>DESPESAS</t>
  </si>
  <si>
    <t/>
  </si>
  <si>
    <t>RESULTADO</t>
  </si>
  <si>
    <t>MARGEM</t>
  </si>
  <si>
    <t xml:space="preserve">Número de transações </t>
  </si>
  <si>
    <t>Despesas Adm</t>
  </si>
  <si>
    <t>Peso Despesas Adm.</t>
  </si>
  <si>
    <t>Peso Aluguel</t>
  </si>
  <si>
    <t>DRE</t>
  </si>
  <si>
    <t>RECEITAS OPERACIONAIS</t>
  </si>
  <si>
    <t>Receita de Vendas de Mercadorias</t>
  </si>
  <si>
    <t>DEDUÇÃO DA RECEITA BRUTA</t>
  </si>
  <si>
    <t>Taxa cartao + ifood</t>
  </si>
  <si>
    <t>Outras deduções</t>
  </si>
  <si>
    <t>RECEITA LIQUIDA</t>
  </si>
  <si>
    <t>LUCRO BRUTO</t>
  </si>
  <si>
    <t>MARGEM BRUTO</t>
  </si>
  <si>
    <t>LUCRO LIQUIDO</t>
  </si>
  <si>
    <t>Margem</t>
  </si>
  <si>
    <t>PAGO</t>
  </si>
  <si>
    <t>A PAGAR</t>
  </si>
  <si>
    <t>DÉBITO</t>
  </si>
  <si>
    <t>CRÉDITO</t>
  </si>
  <si>
    <t>Agosto</t>
  </si>
  <si>
    <t>Setembro</t>
  </si>
  <si>
    <t>Outubro</t>
  </si>
  <si>
    <t>Novembro</t>
  </si>
  <si>
    <t>Dezembro</t>
  </si>
  <si>
    <t>Janeiro</t>
  </si>
  <si>
    <t>Fevereiro</t>
  </si>
  <si>
    <r>
      <rPr>
        <b/>
        <sz val="12"/>
        <color rgb="FF000000"/>
        <rFont val="Calibri"/>
        <family val="2"/>
      </rPr>
      <t xml:space="preserve">Fat. Salão </t>
    </r>
    <r>
      <rPr>
        <i/>
        <sz val="11"/>
        <color rgb="FF000000"/>
        <rFont val="Calibri"/>
        <family val="2"/>
      </rPr>
      <t>(mais que 60%)</t>
    </r>
  </si>
  <si>
    <r>
      <rPr>
        <b/>
        <sz val="12"/>
        <color rgb="FF000000"/>
        <rFont val="Calibri"/>
        <family val="2"/>
      </rPr>
      <t xml:space="preserve">Fat. Delivery </t>
    </r>
    <r>
      <rPr>
        <i/>
        <sz val="11"/>
        <color rgb="FF000000"/>
        <rFont val="Calibri"/>
        <family val="2"/>
      </rPr>
      <t>(menos que 40%)</t>
    </r>
  </si>
  <si>
    <t>Faturamento Total</t>
  </si>
  <si>
    <t>DESPERDÍCIO</t>
  </si>
  <si>
    <t>META TOTAL</t>
  </si>
  <si>
    <t>LIMITE DESP.</t>
  </si>
  <si>
    <t>PESO NA META</t>
  </si>
  <si>
    <t>META PARCIAL</t>
  </si>
  <si>
    <t>BENEFICIOS</t>
  </si>
  <si>
    <t>METAS</t>
  </si>
  <si>
    <t>METAS (R$)</t>
  </si>
  <si>
    <t>FALTA</t>
  </si>
  <si>
    <t>CERVEJA</t>
  </si>
  <si>
    <t>CARGO</t>
  </si>
  <si>
    <t>NOME</t>
  </si>
  <si>
    <t>PESO</t>
  </si>
  <si>
    <t>META DO MÊS</t>
  </si>
  <si>
    <t>1,5% do Faturamento</t>
  </si>
  <si>
    <t>META</t>
  </si>
  <si>
    <t>DESTILADO</t>
  </si>
  <si>
    <t>GERENTE</t>
  </si>
  <si>
    <t>JOÃO</t>
  </si>
  <si>
    <t>ATUAL</t>
  </si>
  <si>
    <t>META 1,5%</t>
  </si>
  <si>
    <t>SUPER 1,6%</t>
  </si>
  <si>
    <t>HIPER 1,75%</t>
  </si>
  <si>
    <t>ULTRA 2%</t>
  </si>
  <si>
    <t>PROJEÇÃO</t>
  </si>
  <si>
    <t>1,6% do Faturamento</t>
  </si>
  <si>
    <t>SUPER</t>
  </si>
  <si>
    <t>COMIDA</t>
  </si>
  <si>
    <t>SUBGERENTE</t>
  </si>
  <si>
    <t>MARIA</t>
  </si>
  <si>
    <t>SEMANA 1</t>
  </si>
  <si>
    <t>DIAS TRABALHADOS</t>
  </si>
  <si>
    <t>1,75% do Fat. + Confra.</t>
  </si>
  <si>
    <t>HIPER</t>
  </si>
  <si>
    <t>EQUIPE</t>
  </si>
  <si>
    <t>LUISA</t>
  </si>
  <si>
    <t>SEMANA 2</t>
  </si>
  <si>
    <t>FAT. ATUAL</t>
  </si>
  <si>
    <t>2,00% do Fat. + Confra.</t>
  </si>
  <si>
    <t>ULTRA</t>
  </si>
  <si>
    <t>JOSE</t>
  </si>
  <si>
    <t>SEMANA 3</t>
  </si>
  <si>
    <t>MEDIA FAT. DIA</t>
  </si>
  <si>
    <t>SEMANA 4</t>
  </si>
  <si>
    <t xml:space="preserve">DIAS NO MES </t>
  </si>
  <si>
    <t>META DE DESPERDICIO</t>
  </si>
  <si>
    <t>SEMANA 5</t>
  </si>
  <si>
    <t>DISTRIBUICAO</t>
  </si>
  <si>
    <t>N˚ FUNC.</t>
  </si>
  <si>
    <t>% DISTRIBUIDO</t>
  </si>
  <si>
    <t>% / FUNC.</t>
  </si>
  <si>
    <t>FATURAMENTO ATUAL</t>
  </si>
  <si>
    <t>SUB GERENTE</t>
  </si>
  <si>
    <t>Mês</t>
  </si>
  <si>
    <t>Fat. Salão</t>
  </si>
  <si>
    <t>Fat. Delivery</t>
  </si>
  <si>
    <t>Fat. Total</t>
  </si>
  <si>
    <t>Março</t>
  </si>
  <si>
    <t>Abril</t>
  </si>
  <si>
    <t>Maio</t>
  </si>
  <si>
    <t>Junho</t>
  </si>
  <si>
    <t>Inicial</t>
  </si>
  <si>
    <t>Final</t>
  </si>
  <si>
    <t>DAQUI 6 DIAS</t>
  </si>
  <si>
    <t>DAQUI 7 DIAS</t>
  </si>
  <si>
    <t>CUSTOS TOTAIS (CMV)</t>
  </si>
  <si>
    <t>DESPESAS TOTAIS</t>
  </si>
  <si>
    <t>FIXO + FIXO VARIÁVEL:</t>
  </si>
  <si>
    <t>DATA INICIAL</t>
  </si>
  <si>
    <t>DATA FINAL</t>
  </si>
  <si>
    <t xml:space="preserve">            PESQUISA SALDO A PAGAR</t>
  </si>
  <si>
    <t>TAXAS</t>
  </si>
  <si>
    <t>AUDITORIA</t>
  </si>
  <si>
    <t>data</t>
  </si>
  <si>
    <r>
      <t>Simples Nacional</t>
    </r>
    <r>
      <rPr>
        <b/>
        <i/>
        <sz val="11"/>
        <color rgb="FF000000"/>
        <rFont val="Arial"/>
        <family val="2"/>
      </rPr>
      <t xml:space="preserve"> (IMPOSTOS)</t>
    </r>
  </si>
  <si>
    <r>
      <t xml:space="preserve">Ticket médio </t>
    </r>
    <r>
      <rPr>
        <i/>
        <sz val="14"/>
        <color rgb="FF000000"/>
        <rFont val="Calibri"/>
        <family val="2"/>
      </rPr>
      <t>(por transação)</t>
    </r>
  </si>
  <si>
    <r>
      <t xml:space="preserve">Peso Equipe </t>
    </r>
    <r>
      <rPr>
        <i/>
        <sz val="14"/>
        <color rgb="FF000000"/>
        <rFont val="Calibri"/>
        <family val="2"/>
      </rPr>
      <t>(Desp. Equipe/ Faturamento)</t>
    </r>
  </si>
  <si>
    <r>
      <t xml:space="preserve">Eficiencia equipe </t>
    </r>
    <r>
      <rPr>
        <i/>
        <sz val="14"/>
        <color rgb="FF000000"/>
        <rFont val="Calibri"/>
        <family val="2"/>
      </rPr>
      <t>(faturamento por real investido)</t>
    </r>
  </si>
  <si>
    <r>
      <t xml:space="preserve">CMV R$ </t>
    </r>
    <r>
      <rPr>
        <i/>
        <sz val="16"/>
        <color rgb="FF000000"/>
        <rFont val="Calibri"/>
        <family val="2"/>
      </rPr>
      <t>(Custo de Mercadoria Vendida)</t>
    </r>
  </si>
  <si>
    <r>
      <t xml:space="preserve">CMV % </t>
    </r>
    <r>
      <rPr>
        <i/>
        <sz val="16"/>
        <color rgb="FF000000"/>
        <rFont val="Calibri"/>
        <family val="2"/>
      </rPr>
      <t>(Custo de Mercadoria Vendida)</t>
    </r>
  </si>
  <si>
    <t>QUAL</t>
  </si>
  <si>
    <t>INSS</t>
  </si>
  <si>
    <t>LUCRO</t>
  </si>
  <si>
    <t xml:space="preserve">  (-) Taxa</t>
  </si>
  <si>
    <t>Receita</t>
  </si>
  <si>
    <t>OUTROS</t>
  </si>
  <si>
    <t>IMPOSTOS / TAXAS</t>
  </si>
  <si>
    <t>NVS</t>
  </si>
  <si>
    <t>ENTIDADE</t>
  </si>
  <si>
    <t>Imposto</t>
  </si>
  <si>
    <t>NOTA FISCAL</t>
  </si>
  <si>
    <t>ABERTURA DA EMPRESA</t>
  </si>
  <si>
    <t xml:space="preserve">INSS </t>
  </si>
  <si>
    <t>ESCRITURAL</t>
  </si>
  <si>
    <t>DESCRIÇÃO</t>
  </si>
  <si>
    <t>ABERTURA DE CONTA</t>
  </si>
  <si>
    <t>ADM</t>
  </si>
  <si>
    <t>QUINTILHA</t>
  </si>
  <si>
    <t>ABASTECIMENTO</t>
  </si>
  <si>
    <t>POSTO 44</t>
  </si>
  <si>
    <t>ALMOÇO CLIENTE</t>
  </si>
  <si>
    <t>DAS</t>
  </si>
  <si>
    <t>Competência</t>
  </si>
  <si>
    <t>Faturamento</t>
  </si>
  <si>
    <t>Pró-labore</t>
  </si>
  <si>
    <t>Demais gastos</t>
  </si>
  <si>
    <t>Saldo</t>
  </si>
  <si>
    <t>Data base</t>
  </si>
  <si>
    <t>FATURAMENTO</t>
  </si>
  <si>
    <t>DEMONSTRATIVO DE LUCROS ACUMULADOS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</si>
</sst>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8" formatCode="&quot;R$&quot;#,##0.00;[Red]\-&quot;R$&quot;#,##0.00"/>
    <numFmt numFmtId="44" formatCode="_-&quot;R$&quot;* #,##0.00_-;\-&quot;R$&quot;* #,##0.00_-;_-&quot;R$&quot;* &quot;-&quot;??_-;_-@_-"/>
    <numFmt numFmtId="164" formatCode="[$R$ -416]#,##0.00"/>
    <numFmt numFmtId="165" formatCode="_(&quot;R$&quot;* #,##0.00_);_(&quot;R$&quot;* \(#,##0.00\);_(&quot;R$&quot;* &quot;-&quot;??_);_(@_)"/>
    <numFmt numFmtId="166" formatCode="[$R$]#,##0.00"/>
    <numFmt numFmtId="167" formatCode="_([$R$ -416]* #,##0.00_);_([$R$ -416]* \(#,##0.00\);_([$R$ -416]* &quot;-&quot;??_);_(@_)"/>
    <numFmt numFmtId="168" formatCode="[$R$]#,##0.000"/>
    <numFmt numFmtId="169" formatCode="_-&quot;R$&quot;\ * #,##0.00_-;\-&quot;R$&quot;\ * #,##0.00_-;_-&quot;R$&quot;\ * &quot;-&quot;??_-;_-@"/>
    <numFmt numFmtId="170" formatCode="&quot;R$&quot;\ #,##0.00"/>
    <numFmt numFmtId="171" formatCode="dd&quot;/&quot;mm&quot;/&quot;yyyy"/>
    <numFmt numFmtId="172" formatCode="#,##0.00;\(#,##0.00\)"/>
    <numFmt numFmtId="173" formatCode="[$R$-416]\ #,##0.00"/>
    <numFmt numFmtId="174" formatCode="dd/mm/yy;@"/>
  </numFmts>
  <fonts count="145">
    <font>
      <sz val="12"/>
      <color rgb="FF000000"/>
      <name val="Calibri"/>
      <scheme val="minor"/>
    </font>
    <font>
      <sz val="12"/>
      <color theme="1"/>
      <name val="Calibri"/>
      <family val="2"/>
    </font>
    <font>
      <b/>
      <sz val="14"/>
      <color rgb="FFFFC000"/>
      <name val="Calibri"/>
      <family val="2"/>
    </font>
    <font>
      <b/>
      <sz val="14"/>
      <color theme="7"/>
      <name val="Calibri"/>
      <family val="2"/>
    </font>
    <font>
      <b/>
      <sz val="12"/>
      <color rgb="FF000000"/>
      <name val="Calibri"/>
      <family val="2"/>
    </font>
    <font>
      <sz val="12"/>
      <color rgb="FFFF9900"/>
      <name val="Calibri"/>
      <family val="2"/>
    </font>
    <font>
      <b/>
      <sz val="14"/>
      <color theme="1"/>
      <name val="Calibri"/>
      <family val="2"/>
    </font>
    <font>
      <b/>
      <sz val="13"/>
      <color theme="1"/>
      <name val="Calibri"/>
      <family val="2"/>
    </font>
    <font>
      <b/>
      <sz val="12"/>
      <color rgb="FFFFFFFF"/>
      <name val="Calibri"/>
      <family val="2"/>
    </font>
    <font>
      <b/>
      <sz val="17"/>
      <color rgb="FF000000"/>
      <name val="Calibri"/>
      <family val="2"/>
    </font>
    <font>
      <b/>
      <sz val="12"/>
      <color rgb="FF783F04"/>
      <name val="Calibri"/>
      <family val="2"/>
    </font>
    <font>
      <sz val="11"/>
      <color rgb="FF000000"/>
      <name val="Calibri"/>
      <family val="2"/>
    </font>
    <font>
      <b/>
      <sz val="13"/>
      <color rgb="FFFFFFFF"/>
      <name val="Calibri"/>
      <family val="2"/>
    </font>
    <font>
      <sz val="12"/>
      <name val="Calibri"/>
      <family val="2"/>
    </font>
    <font>
      <b/>
      <sz val="13"/>
      <color rgb="FFF4CCCC"/>
      <name val="Calibri"/>
      <family val="2"/>
    </font>
    <font>
      <b/>
      <sz val="12"/>
      <color rgb="FFCC0000"/>
      <name val="Calibri"/>
      <family val="2"/>
    </font>
    <font>
      <b/>
      <sz val="13"/>
      <color rgb="FFF9CB9C"/>
      <name val="Calibri"/>
      <family val="2"/>
    </font>
    <font>
      <sz val="11"/>
      <color theme="1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434343"/>
      <name val="Calibri"/>
      <family val="2"/>
    </font>
    <font>
      <sz val="12"/>
      <color rgb="FFB45F06"/>
      <name val="Calibri"/>
      <family val="2"/>
    </font>
    <font>
      <sz val="12"/>
      <color rgb="FFFF0000"/>
      <name val="Calibri"/>
      <family val="2"/>
    </font>
    <font>
      <b/>
      <sz val="12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12"/>
      <color rgb="FFB45F06"/>
      <name val="Calibri"/>
      <family val="2"/>
    </font>
    <font>
      <b/>
      <sz val="12"/>
      <color rgb="FFFF0000"/>
      <name val="Calibri"/>
      <family val="2"/>
    </font>
    <font>
      <b/>
      <sz val="13"/>
      <color rgb="FF000000"/>
      <name val="Calibri"/>
      <family val="2"/>
    </font>
    <font>
      <sz val="11"/>
      <color theme="1"/>
      <name val="Roboto"/>
    </font>
    <font>
      <b/>
      <sz val="11"/>
      <color theme="1"/>
      <name val="Roboto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4"/>
      <color rgb="FFFFFFFF"/>
      <name val="Calibri"/>
      <family val="2"/>
    </font>
    <font>
      <b/>
      <sz val="14"/>
      <color rgb="FFFF0000"/>
      <name val="Calibri"/>
      <family val="2"/>
    </font>
    <font>
      <b/>
      <sz val="14"/>
      <color rgb="FF000000"/>
      <name val="Calibri"/>
      <family val="2"/>
    </font>
    <font>
      <i/>
      <sz val="12"/>
      <color rgb="FF783F04"/>
      <name val="Calibri"/>
      <family val="2"/>
    </font>
    <font>
      <b/>
      <sz val="13"/>
      <color rgb="FF434343"/>
      <name val="Calibri"/>
      <family val="2"/>
    </font>
    <font>
      <sz val="12"/>
      <color rgb="FFFFFFFF"/>
      <name val="Calibri"/>
      <family val="2"/>
    </font>
    <font>
      <sz val="12"/>
      <color rgb="FF434343"/>
      <name val="Calibri"/>
      <family val="2"/>
    </font>
    <font>
      <sz val="11"/>
      <color rgb="FFFFFFFF"/>
      <name val="Calibri"/>
      <family val="2"/>
    </font>
    <font>
      <sz val="12"/>
      <color rgb="FF073763"/>
      <name val="Calibri"/>
      <family val="2"/>
    </font>
    <font>
      <b/>
      <sz val="12"/>
      <color rgb="FF073763"/>
      <name val="Calibri"/>
      <family val="2"/>
    </font>
    <font>
      <sz val="12"/>
      <color rgb="FF783F04"/>
      <name val="Calibri"/>
      <family val="2"/>
    </font>
    <font>
      <sz val="12"/>
      <color rgb="FF351C75"/>
      <name val="Calibri"/>
      <family val="2"/>
    </font>
    <font>
      <i/>
      <sz val="10"/>
      <color theme="1"/>
      <name val="Calibri"/>
      <family val="2"/>
    </font>
    <font>
      <sz val="12"/>
      <color rgb="FF000000"/>
      <name val="Arial"/>
      <family val="2"/>
    </font>
    <font>
      <b/>
      <sz val="11"/>
      <color rgb="FF000000"/>
      <name val="Arial"/>
      <family val="2"/>
    </font>
    <font>
      <i/>
      <sz val="11"/>
      <color rgb="FF000000"/>
      <name val="Arial"/>
      <family val="2"/>
    </font>
    <font>
      <i/>
      <sz val="11"/>
      <color rgb="FF000000"/>
      <name val="Calibri"/>
      <family val="2"/>
    </font>
    <font>
      <b/>
      <sz val="10"/>
      <color theme="1"/>
      <name val="Arial"/>
      <family val="2"/>
    </font>
    <font>
      <b/>
      <sz val="10"/>
      <color rgb="FF434343"/>
      <name val="Arial"/>
      <family val="2"/>
    </font>
    <font>
      <b/>
      <sz val="10"/>
      <color rgb="FFCC0000"/>
      <name val="Arial"/>
      <family val="2"/>
    </font>
    <font>
      <b/>
      <sz val="10"/>
      <color rgb="FF666666"/>
      <name val="Arial"/>
      <family val="2"/>
    </font>
    <font>
      <b/>
      <sz val="11"/>
      <color rgb="FFCC0000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Lexend"/>
    </font>
    <font>
      <b/>
      <sz val="11"/>
      <color rgb="FF00B050"/>
      <name val="Arial"/>
      <family val="2"/>
    </font>
    <font>
      <sz val="10"/>
      <color theme="1"/>
      <name val="Arial"/>
      <family val="2"/>
    </font>
    <font>
      <b/>
      <sz val="10"/>
      <color rgb="FF999999"/>
      <name val="Arial"/>
      <family val="2"/>
    </font>
    <font>
      <b/>
      <sz val="10"/>
      <color rgb="FFFF0000"/>
      <name val="Arial"/>
      <family val="2"/>
    </font>
    <font>
      <b/>
      <sz val="12"/>
      <color rgb="FFFFFFFF"/>
      <name val="Arial"/>
      <family val="2"/>
    </font>
    <font>
      <b/>
      <sz val="11"/>
      <color rgb="FFFFFFFF"/>
      <name val="Arial"/>
      <family val="2"/>
    </font>
    <font>
      <b/>
      <sz val="12"/>
      <color theme="1"/>
      <name val="Arial"/>
      <family val="2"/>
    </font>
    <font>
      <b/>
      <sz val="13"/>
      <color rgb="FF274E13"/>
      <name val="Calibri"/>
      <family val="2"/>
    </font>
    <font>
      <b/>
      <sz val="9"/>
      <color theme="1"/>
      <name val="Arial"/>
      <family val="2"/>
    </font>
    <font>
      <b/>
      <sz val="13"/>
      <color rgb="FFFFFFFF"/>
      <name val="Lexend"/>
    </font>
    <font>
      <b/>
      <sz val="14"/>
      <color rgb="FFFFFFFF"/>
      <name val="Lexend"/>
    </font>
    <font>
      <b/>
      <sz val="12"/>
      <color rgb="FF000000"/>
      <name val="Lexend"/>
    </font>
    <font>
      <b/>
      <sz val="12"/>
      <color rgb="FFCC0000"/>
      <name val="Arial"/>
      <family val="2"/>
    </font>
    <font>
      <i/>
      <sz val="12"/>
      <color rgb="FF000000"/>
      <name val="Calibri"/>
      <family val="2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sz val="14"/>
      <color rgb="FFFF0000"/>
      <name val="Calibri"/>
      <family val="2"/>
    </font>
    <font>
      <b/>
      <sz val="10"/>
      <color rgb="FF000000"/>
      <name val="Calibri"/>
      <family val="2"/>
    </font>
    <font>
      <b/>
      <sz val="13"/>
      <name val="Calibri"/>
      <family val="2"/>
    </font>
    <font>
      <b/>
      <sz val="12"/>
      <name val="Calibri"/>
      <family val="2"/>
    </font>
    <font>
      <b/>
      <sz val="16"/>
      <name val="Calibri"/>
      <family val="2"/>
    </font>
    <font>
      <b/>
      <sz val="16"/>
      <name val="Times New Roman"/>
      <family val="1"/>
    </font>
    <font>
      <b/>
      <sz val="14"/>
      <name val="Calibri"/>
      <family val="2"/>
    </font>
    <font>
      <b/>
      <sz val="16"/>
      <color theme="0"/>
      <name val="Calibri"/>
      <family val="2"/>
    </font>
    <font>
      <b/>
      <sz val="16"/>
      <color theme="0"/>
      <name val="Times New Roman"/>
      <family val="1"/>
    </font>
    <font>
      <b/>
      <sz val="11"/>
      <color rgb="FF783F04"/>
      <name val="Calibri"/>
      <family val="2"/>
    </font>
    <font>
      <b/>
      <sz val="12"/>
      <color rgb="FF000000"/>
      <name val="Calibri"/>
      <family val="2"/>
      <scheme val="minor"/>
    </font>
    <font>
      <b/>
      <sz val="16"/>
      <color rgb="FF000000"/>
      <name val="Calibri"/>
      <family val="2"/>
    </font>
    <font>
      <b/>
      <sz val="14"/>
      <color rgb="FF000000"/>
      <name val="Calibri"/>
      <family val="2"/>
      <scheme val="minor"/>
    </font>
    <font>
      <b/>
      <sz val="16"/>
      <color theme="1"/>
      <name val="Calibri"/>
      <family val="2"/>
    </font>
    <font>
      <b/>
      <sz val="12"/>
      <color rgb="FFEE0000"/>
      <name val="Calibri"/>
      <family val="2"/>
    </font>
    <font>
      <b/>
      <u/>
      <sz val="14"/>
      <color rgb="FFFF0000"/>
      <name val="Calibri"/>
      <family val="2"/>
    </font>
    <font>
      <b/>
      <sz val="13"/>
      <color theme="0" tint="-4.9989318521683403E-2"/>
      <name val="Calibri"/>
      <family val="2"/>
    </font>
    <font>
      <b/>
      <i/>
      <sz val="12"/>
      <color theme="1"/>
      <name val="Calibri"/>
      <family val="2"/>
    </font>
    <font>
      <b/>
      <sz val="16"/>
      <color rgb="FFFF0000"/>
      <name val="Calibri"/>
      <family val="2"/>
    </font>
    <font>
      <sz val="13"/>
      <color rgb="FF000000"/>
      <name val="Calibri"/>
      <family val="2"/>
    </font>
    <font>
      <b/>
      <u/>
      <sz val="12"/>
      <color rgb="FFFF0000"/>
      <name val="Calibri"/>
      <family val="2"/>
    </font>
    <font>
      <b/>
      <sz val="11"/>
      <color rgb="FFFFC000"/>
      <name val="Calibri"/>
      <family val="2"/>
    </font>
    <font>
      <b/>
      <sz val="11"/>
      <color theme="1" tint="4.9989318521683403E-2"/>
      <name val="Calibri"/>
      <family val="2"/>
    </font>
    <font>
      <sz val="11"/>
      <color theme="1" tint="4.9989318521683403E-2"/>
      <name val="Calibri"/>
      <family val="2"/>
    </font>
    <font>
      <sz val="12"/>
      <color rgb="FFFFC000"/>
      <name val="Calibri"/>
      <family val="2"/>
    </font>
    <font>
      <b/>
      <sz val="12"/>
      <color rgb="FFFFC000"/>
      <name val="Calibri"/>
      <family val="2"/>
    </font>
    <font>
      <sz val="14"/>
      <name val="Calibri"/>
      <family val="2"/>
    </font>
    <font>
      <b/>
      <u val="double"/>
      <sz val="13"/>
      <color rgb="FFFF0000"/>
      <name val="Calibri"/>
      <family val="2"/>
    </font>
    <font>
      <b/>
      <sz val="11"/>
      <color rgb="FFFF0000"/>
      <name val="Calibri"/>
      <family val="2"/>
    </font>
    <font>
      <sz val="10"/>
      <color rgb="FF000000"/>
      <name val="Calibri"/>
      <family val="2"/>
      <scheme val="minor"/>
    </font>
    <font>
      <sz val="10"/>
      <name val="Arial"/>
      <family val="2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2"/>
      <color theme="0"/>
      <name val="Calibri"/>
      <family val="2"/>
      <scheme val="minor"/>
    </font>
    <font>
      <i/>
      <sz val="14"/>
      <color rgb="FF000000"/>
      <name val="Calibri"/>
      <family val="2"/>
    </font>
    <font>
      <b/>
      <sz val="14"/>
      <color rgb="FFFF0000"/>
      <name val="Arial"/>
      <family val="2"/>
    </font>
    <font>
      <b/>
      <sz val="14"/>
      <color theme="0"/>
      <name val="Calibri"/>
      <family val="2"/>
    </font>
    <font>
      <b/>
      <sz val="14"/>
      <color rgb="FF38761D"/>
      <name val="Calibri"/>
      <family val="2"/>
    </font>
    <font>
      <i/>
      <sz val="11"/>
      <color rgb="FFFF0000"/>
      <name val="Arial"/>
      <family val="2"/>
    </font>
    <font>
      <i/>
      <sz val="11"/>
      <color rgb="FFFF0000"/>
      <name val="Calibri"/>
      <family val="2"/>
    </font>
    <font>
      <b/>
      <sz val="12"/>
      <color rgb="FF00FFFF"/>
      <name val="Calibri"/>
      <family val="2"/>
      <scheme val="minor"/>
    </font>
    <font>
      <sz val="12"/>
      <color rgb="FF00FFFF"/>
      <name val="Calibri"/>
      <family val="2"/>
      <scheme val="minor"/>
    </font>
    <font>
      <b/>
      <sz val="12"/>
      <color rgb="FFFFFF00"/>
      <name val="Calibri"/>
      <family val="2"/>
      <scheme val="minor"/>
    </font>
    <font>
      <b/>
      <sz val="14"/>
      <color rgb="FFFFFF00"/>
      <name val="Calibri"/>
      <family val="2"/>
      <scheme val="minor"/>
    </font>
    <font>
      <b/>
      <sz val="12"/>
      <color theme="0"/>
      <name val="Calibri"/>
      <family val="2"/>
    </font>
    <font>
      <b/>
      <i/>
      <sz val="11"/>
      <color rgb="FF000000"/>
      <name val="Arial"/>
      <family val="2"/>
    </font>
    <font>
      <sz val="14"/>
      <color rgb="FF000000"/>
      <name val="Calibri"/>
      <family val="2"/>
      <scheme val="minor"/>
    </font>
    <font>
      <i/>
      <sz val="14"/>
      <color rgb="FF666666"/>
      <name val="Calibri"/>
      <family val="2"/>
    </font>
    <font>
      <b/>
      <sz val="14"/>
      <color rgb="FFFF9900"/>
      <name val="Calibri"/>
      <family val="2"/>
    </font>
    <font>
      <b/>
      <sz val="14"/>
      <color rgb="FF990000"/>
      <name val="Calibri"/>
      <family val="2"/>
    </font>
    <font>
      <b/>
      <sz val="14"/>
      <color rgb="FF274E13"/>
      <name val="Calibri"/>
      <family val="2"/>
    </font>
    <font>
      <sz val="14"/>
      <color rgb="FF000000"/>
      <name val="Calibri"/>
      <family val="2"/>
    </font>
    <font>
      <b/>
      <sz val="14"/>
      <color rgb="FF783F04"/>
      <name val="Calibri"/>
      <family val="2"/>
    </font>
    <font>
      <sz val="14"/>
      <color theme="1"/>
      <name val="Calibri"/>
      <family val="2"/>
    </font>
    <font>
      <b/>
      <sz val="18"/>
      <color rgb="FFFF0000"/>
      <name val="Calibri"/>
      <family val="2"/>
    </font>
    <font>
      <b/>
      <sz val="18"/>
      <color theme="1"/>
      <name val="Calibri"/>
      <family val="2"/>
    </font>
    <font>
      <b/>
      <i/>
      <sz val="11"/>
      <color rgb="FFFF0000"/>
      <name val="Arial"/>
      <family val="2"/>
    </font>
    <font>
      <b/>
      <i/>
      <sz val="11"/>
      <color rgb="FFFF0000"/>
      <name val="Calibri"/>
      <family val="2"/>
    </font>
    <font>
      <b/>
      <sz val="18"/>
      <color rgb="FF000000"/>
      <name val="Arial"/>
      <family val="2"/>
    </font>
    <font>
      <b/>
      <sz val="18"/>
      <color rgb="FFFF0000"/>
      <name val="Arial"/>
      <family val="2"/>
    </font>
    <font>
      <b/>
      <sz val="18"/>
      <name val="Arial"/>
      <family val="2"/>
    </font>
    <font>
      <b/>
      <sz val="18"/>
      <name val="Calibri"/>
      <family val="2"/>
    </font>
    <font>
      <b/>
      <i/>
      <sz val="11"/>
      <color rgb="FF000000"/>
      <name val="Calibri"/>
      <family val="2"/>
    </font>
    <font>
      <b/>
      <sz val="16"/>
      <color rgb="FF000000"/>
      <name val="Arial"/>
      <family val="2"/>
    </font>
    <font>
      <b/>
      <sz val="14"/>
      <color rgb="FF000000"/>
      <name val="Arial"/>
      <family val="2"/>
    </font>
    <font>
      <b/>
      <sz val="20"/>
      <color rgb="FFFF0000"/>
      <name val="Calibri"/>
      <family val="2"/>
    </font>
    <font>
      <i/>
      <sz val="16"/>
      <color rgb="FF000000"/>
      <name val="Calibri"/>
      <family val="2"/>
    </font>
    <font>
      <b/>
      <sz val="22"/>
      <color theme="3"/>
      <name val="Calibri"/>
      <family val="2"/>
    </font>
    <font>
      <b/>
      <sz val="11"/>
      <color theme="0"/>
      <name val="Calibri"/>
      <family val="2"/>
    </font>
    <font>
      <b/>
      <sz val="16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</fonts>
  <fills count="63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000000"/>
        <bgColor rgb="FF000000"/>
      </patternFill>
    </fill>
    <fill>
      <patternFill patternType="solid">
        <fgColor rgb="FFFFE599"/>
        <bgColor rgb="FFFFE599"/>
      </patternFill>
    </fill>
    <fill>
      <patternFill patternType="solid">
        <fgColor rgb="FFFFFF00"/>
        <bgColor rgb="FFFFFF00"/>
      </patternFill>
    </fill>
    <fill>
      <patternFill patternType="solid">
        <fgColor rgb="FFF1C232"/>
        <bgColor rgb="FFF1C232"/>
      </patternFill>
    </fill>
    <fill>
      <patternFill patternType="solid">
        <fgColor rgb="FFFFFFFF"/>
        <bgColor rgb="FFFFFFFF"/>
      </patternFill>
    </fill>
    <fill>
      <patternFill patternType="solid">
        <fgColor rgb="FFFFD966"/>
        <bgColor rgb="FFFFD966"/>
      </patternFill>
    </fill>
    <fill>
      <patternFill patternType="solid">
        <fgColor rgb="FFCCCCCC"/>
        <bgColor rgb="FFCCCCCC"/>
      </patternFill>
    </fill>
    <fill>
      <patternFill patternType="solid">
        <fgColor rgb="FFFFF2CC"/>
        <bgColor rgb="FFFFF2CC"/>
      </patternFill>
    </fill>
    <fill>
      <patternFill patternType="solid">
        <fgColor rgb="FFFF9900"/>
        <bgColor rgb="FFFF9900"/>
      </patternFill>
    </fill>
    <fill>
      <patternFill patternType="solid">
        <fgColor rgb="FFEFEFEF"/>
        <bgColor rgb="FFEFEFEF"/>
      </patternFill>
    </fill>
    <fill>
      <patternFill patternType="solid">
        <fgColor rgb="FFF2F2F2"/>
        <bgColor rgb="FFF2F2F2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FEF2CB"/>
        <bgColor rgb="FFFEF2CB"/>
      </patternFill>
    </fill>
    <fill>
      <patternFill patternType="solid">
        <fgColor rgb="FF990000"/>
        <bgColor rgb="FF990000"/>
      </patternFill>
    </fill>
    <fill>
      <patternFill patternType="solid">
        <fgColor rgb="FFFCE5CD"/>
        <bgColor rgb="FFFCE5CD"/>
      </patternFill>
    </fill>
    <fill>
      <patternFill patternType="solid">
        <fgColor rgb="FFCC0000"/>
        <bgColor rgb="FFCC0000"/>
      </patternFill>
    </fill>
    <fill>
      <patternFill patternType="solid">
        <fgColor rgb="FFE06666"/>
        <bgColor rgb="FFE06666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D9D9D9"/>
        <bgColor rgb="FFD9D9D9"/>
      </patternFill>
    </fill>
    <fill>
      <patternFill patternType="solid">
        <fgColor rgb="FF93C47D"/>
        <bgColor rgb="FF93C47D"/>
      </patternFill>
    </fill>
    <fill>
      <patternFill patternType="solid">
        <fgColor rgb="FFFFE699"/>
        <bgColor rgb="FFFFE699"/>
      </patternFill>
    </fill>
    <fill>
      <patternFill patternType="solid">
        <fgColor rgb="FFB7B7B7"/>
        <bgColor rgb="FFB7B7B7"/>
      </patternFill>
    </fill>
    <fill>
      <patternFill patternType="solid">
        <fgColor rgb="FFF6B26B"/>
        <bgColor rgb="FFF6B26B"/>
      </patternFill>
    </fill>
    <fill>
      <patternFill patternType="solid">
        <fgColor rgb="FF38761D"/>
        <bgColor rgb="FF38761D"/>
      </patternFill>
    </fill>
    <fill>
      <patternFill patternType="solid">
        <fgColor theme="0" tint="-0.14999847407452621"/>
        <bgColor rgb="FFFCE5CD"/>
      </patternFill>
    </fill>
    <fill>
      <patternFill patternType="solid">
        <fgColor theme="0" tint="-0.14999847407452621"/>
        <bgColor rgb="FFF3F3F3"/>
      </patternFill>
    </fill>
    <fill>
      <patternFill patternType="solid">
        <fgColor theme="7" tint="0.39997558519241921"/>
        <bgColor rgb="FFEFEFEF"/>
      </patternFill>
    </fill>
    <fill>
      <patternFill patternType="solid">
        <fgColor theme="7" tint="0.39997558519241921"/>
        <bgColor rgb="FFFFF2CC"/>
      </patternFill>
    </fill>
    <fill>
      <gradientFill>
        <stop position="0">
          <color rgb="FFFF00FF"/>
        </stop>
        <stop position="1">
          <color rgb="FF7030A0"/>
        </stop>
      </gradientFill>
    </fill>
    <fill>
      <gradientFill degree="90">
        <stop position="0">
          <color rgb="FFFF00FF"/>
        </stop>
        <stop position="1">
          <color rgb="FFFF33CC"/>
        </stop>
      </gradientFill>
    </fill>
    <fill>
      <gradientFill>
        <stop position="0">
          <color rgb="FFB230A3"/>
        </stop>
        <stop position="0.5">
          <color theme="3" tint="0.34900967436750391"/>
        </stop>
        <stop position="1">
          <color rgb="FFB230A3"/>
        </stop>
      </gradient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EFEFEF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0"/>
        <bgColor rgb="FFEFEFEF"/>
      </patternFill>
    </fill>
    <fill>
      <patternFill patternType="solid">
        <fgColor theme="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rgb="FFEFEFEF"/>
      </patternFill>
    </fill>
    <fill>
      <patternFill patternType="solid">
        <fgColor rgb="FFFFFF00"/>
        <bgColor rgb="FFF3F3F3"/>
      </patternFill>
    </fill>
    <fill>
      <patternFill patternType="solid">
        <fgColor theme="5" tint="0.79998168889431442"/>
        <bgColor rgb="FFFCE5CD"/>
      </patternFill>
    </fill>
    <fill>
      <patternFill patternType="solid">
        <fgColor theme="3" tint="0.249977111117893"/>
        <bgColor rgb="FF000000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0000"/>
        <bgColor rgb="FFEFEFEF"/>
      </patternFill>
    </fill>
    <fill>
      <patternFill patternType="solid">
        <fgColor rgb="FFFFFF00"/>
        <bgColor rgb="FFFFFFFF"/>
      </patternFill>
    </fill>
    <fill>
      <patternFill patternType="solid">
        <fgColor theme="0" tint="-0.249977111117893"/>
        <bgColor rgb="FFF3F3F3"/>
      </patternFill>
    </fill>
    <fill>
      <patternFill patternType="solid">
        <fgColor rgb="FF00FFFF"/>
        <bgColor rgb="FFF3F3F3"/>
      </patternFill>
    </fill>
    <fill>
      <patternFill patternType="solid">
        <fgColor rgb="FF66FF33"/>
        <bgColor rgb="FFFFF2CC"/>
      </patternFill>
    </fill>
    <fill>
      <patternFill patternType="solid">
        <fgColor rgb="FF66FF33"/>
        <bgColor rgb="FFF3F3F3"/>
      </patternFill>
    </fill>
    <fill>
      <patternFill patternType="solid">
        <fgColor theme="0" tint="-4.9989318521683403E-2"/>
        <bgColor rgb="FFD9D9D9"/>
      </patternFill>
    </fill>
    <fill>
      <patternFill patternType="solid">
        <fgColor rgb="FF66FF33"/>
        <bgColor rgb="FFB6D7A8"/>
      </patternFill>
    </fill>
    <fill>
      <patternFill patternType="solid">
        <fgColor rgb="FFFF0000"/>
        <bgColor rgb="FFB6D7A8"/>
      </patternFill>
    </fill>
    <fill>
      <patternFill patternType="solid">
        <fgColor rgb="FF0F172A"/>
        <bgColor indexed="64"/>
      </patternFill>
    </fill>
    <fill>
      <patternFill patternType="solid">
        <fgColor rgb="FF0F766E"/>
        <bgColor indexed="64"/>
      </patternFill>
    </fill>
    <fill>
      <patternFill patternType="solid">
        <fgColor rgb="FFD9EAD3"/>
        <bgColor indexed="64"/>
      </patternFill>
    </fill>
  </fills>
  <borders count="125">
    <border>
      <left/>
      <right/>
      <top/>
      <bottom/>
      <diagonal/>
    </border>
    <border>
      <left style="thick">
        <color rgb="FF00B050"/>
      </left>
      <right/>
      <top style="thick">
        <color rgb="FF00B050"/>
      </top>
      <bottom/>
      <diagonal/>
    </border>
    <border>
      <left/>
      <right style="thick">
        <color rgb="FF00B050"/>
      </right>
      <top style="thick">
        <color rgb="FF00B050"/>
      </top>
      <bottom/>
      <diagonal/>
    </border>
    <border>
      <left style="thin">
        <color rgb="FF434343"/>
      </left>
      <right/>
      <top style="thin">
        <color rgb="FF434343"/>
      </top>
      <bottom/>
      <diagonal/>
    </border>
    <border>
      <left style="thin">
        <color rgb="FF434343"/>
      </left>
      <right style="thin">
        <color rgb="FF434343"/>
      </right>
      <top style="thin">
        <color rgb="FF434343"/>
      </top>
      <bottom/>
      <diagonal/>
    </border>
    <border>
      <left/>
      <right/>
      <top style="thin">
        <color rgb="FF434343"/>
      </top>
      <bottom/>
      <diagonal/>
    </border>
    <border>
      <left/>
      <right style="thin">
        <color rgb="FF434343"/>
      </right>
      <top style="thin">
        <color rgb="FF434343"/>
      </top>
      <bottom/>
      <diagonal/>
    </border>
    <border>
      <left/>
      <right/>
      <top style="thin">
        <color rgb="FF000000"/>
      </top>
      <bottom/>
      <diagonal/>
    </border>
    <border>
      <left style="thick">
        <color rgb="FF00B050"/>
      </left>
      <right/>
      <top/>
      <bottom style="thick">
        <color rgb="FF00B050"/>
      </bottom>
      <diagonal/>
    </border>
    <border>
      <left/>
      <right style="thick">
        <color rgb="FF00B050"/>
      </right>
      <top/>
      <bottom style="thick">
        <color rgb="FF00B050"/>
      </bottom>
      <diagonal/>
    </border>
    <border>
      <left style="thin">
        <color rgb="FF434343"/>
      </left>
      <right/>
      <top/>
      <bottom style="thin">
        <color rgb="FF434343"/>
      </bottom>
      <diagonal/>
    </border>
    <border>
      <left style="thin">
        <color rgb="FF434343"/>
      </left>
      <right style="thin">
        <color rgb="FF434343"/>
      </right>
      <top/>
      <bottom style="thin">
        <color rgb="FF434343"/>
      </bottom>
      <diagonal/>
    </border>
    <border>
      <left/>
      <right/>
      <top/>
      <bottom style="thin">
        <color rgb="FF434343"/>
      </bottom>
      <diagonal/>
    </border>
    <border>
      <left/>
      <right style="thin">
        <color rgb="FF434343"/>
      </right>
      <top/>
      <bottom style="thin">
        <color rgb="FF434343"/>
      </bottom>
      <diagonal/>
    </border>
    <border>
      <left style="thin">
        <color rgb="FF434343"/>
      </left>
      <right/>
      <top/>
      <bottom/>
      <diagonal/>
    </border>
    <border>
      <left style="thin">
        <color rgb="FF434343"/>
      </left>
      <right style="thin">
        <color rgb="FF434343"/>
      </right>
      <top/>
      <bottom/>
      <diagonal/>
    </border>
    <border>
      <left/>
      <right style="thin">
        <color rgb="FF434343"/>
      </right>
      <top/>
      <bottom/>
      <diagonal/>
    </border>
    <border>
      <left style="thin">
        <color rgb="FF434343"/>
      </left>
      <right/>
      <top style="thin">
        <color rgb="FF434343"/>
      </top>
      <bottom style="thin">
        <color rgb="FF000000"/>
      </bottom>
      <diagonal/>
    </border>
    <border>
      <left style="thin">
        <color rgb="FF434343"/>
      </left>
      <right/>
      <top style="thin">
        <color rgb="FF000000"/>
      </top>
      <bottom style="thin">
        <color rgb="FF000000"/>
      </bottom>
      <diagonal/>
    </border>
    <border>
      <left style="thin">
        <color rgb="FF434343"/>
      </left>
      <right/>
      <top style="thin">
        <color rgb="FF000000"/>
      </top>
      <bottom style="thin">
        <color rgb="FF43434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434343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434343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434343"/>
      </right>
      <top/>
      <bottom style="thin">
        <color rgb="FF000000"/>
      </bottom>
      <diagonal/>
    </border>
    <border>
      <left style="thin">
        <color rgb="FF434343"/>
      </left>
      <right/>
      <top style="thick">
        <color rgb="FF000000"/>
      </top>
      <bottom style="thin">
        <color rgb="FF434343"/>
      </bottom>
      <diagonal/>
    </border>
    <border>
      <left/>
      <right/>
      <top style="thick">
        <color rgb="FF000000"/>
      </top>
      <bottom style="thin">
        <color rgb="FF434343"/>
      </bottom>
      <diagonal/>
    </border>
    <border>
      <left/>
      <right style="thin">
        <color rgb="FF434343"/>
      </right>
      <top style="thick">
        <color rgb="FF000000"/>
      </top>
      <bottom style="thin">
        <color rgb="FF434343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medium">
        <color rgb="FFF6B26B"/>
      </left>
      <right/>
      <top style="medium">
        <color rgb="FFF6B26B"/>
      </top>
      <bottom style="medium">
        <color rgb="FFF6B26B"/>
      </bottom>
      <diagonal/>
    </border>
    <border>
      <left/>
      <right style="medium">
        <color rgb="FFF6B26B"/>
      </right>
      <top style="medium">
        <color rgb="FFF6B26B"/>
      </top>
      <bottom style="medium">
        <color rgb="FFF6B26B"/>
      </bottom>
      <diagonal/>
    </border>
    <border>
      <left style="medium">
        <color rgb="FFF6B26B"/>
      </left>
      <right style="medium">
        <color rgb="FFF6B26B"/>
      </right>
      <top style="medium">
        <color rgb="FFF6B26B"/>
      </top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medium">
        <color rgb="FFF6B26B"/>
      </left>
      <right/>
      <top style="medium">
        <color rgb="FFF6B26B"/>
      </top>
      <bottom/>
      <diagonal/>
    </border>
    <border>
      <left/>
      <right style="medium">
        <color rgb="FFF6B26B"/>
      </right>
      <top/>
      <bottom style="medium">
        <color rgb="FFF6B26B"/>
      </bottom>
      <diagonal/>
    </border>
    <border>
      <left style="medium">
        <color rgb="FFF6B26B"/>
      </left>
      <right/>
      <top/>
      <bottom style="medium">
        <color rgb="FFF6B26B"/>
      </bottom>
      <diagonal/>
    </border>
    <border>
      <left style="medium">
        <color rgb="FFF6B26B"/>
      </left>
      <right style="medium">
        <color rgb="FFF6B26B"/>
      </right>
      <top/>
      <bottom style="medium">
        <color rgb="FFF6B26B"/>
      </bottom>
      <diagonal/>
    </border>
    <border>
      <left style="medium">
        <color rgb="FFF6B26B"/>
      </left>
      <right style="medium">
        <color rgb="FFF6B26B"/>
      </right>
      <top style="medium">
        <color rgb="FFF6B26B"/>
      </top>
      <bottom style="medium">
        <color rgb="FFF6B26B"/>
      </bottom>
      <diagonal/>
    </border>
    <border>
      <left/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double">
        <color rgb="FF000000"/>
      </bottom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thick">
        <color rgb="FF000000"/>
      </left>
      <right/>
      <top/>
      <bottom style="double">
        <color rgb="FF000000"/>
      </bottom>
      <diagonal/>
    </border>
    <border>
      <left/>
      <right style="thick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FFFFFF"/>
      </left>
      <right/>
      <top style="medium">
        <color rgb="FFFFFFFF"/>
      </top>
      <bottom style="medium">
        <color rgb="FF000000"/>
      </bottom>
      <diagonal/>
    </border>
    <border>
      <left/>
      <right style="medium">
        <color rgb="FFFFFFFF"/>
      </right>
      <top style="medium">
        <color rgb="FFFFFFFF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FFFFFF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/>
      <top/>
      <bottom/>
      <diagonal/>
    </border>
    <border>
      <left style="medium">
        <color rgb="FFFFFFFF"/>
      </left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FFFFFF"/>
      </left>
      <right/>
      <top style="medium">
        <color rgb="FF000000"/>
      </top>
      <bottom style="medium">
        <color rgb="FFFFFFFF"/>
      </bottom>
      <diagonal/>
    </border>
    <border>
      <left/>
      <right style="medium">
        <color rgb="FFFFFFFF"/>
      </right>
      <top style="medium">
        <color rgb="FF000000"/>
      </top>
      <bottom style="medium">
        <color rgb="FFFFFFFF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EE0000"/>
      </left>
      <right style="thick">
        <color rgb="FFEE0000"/>
      </right>
      <top style="thick">
        <color rgb="FFEE0000"/>
      </top>
      <bottom style="thick">
        <color rgb="FFEE0000"/>
      </bottom>
      <diagonal/>
    </border>
    <border>
      <left/>
      <right style="thick">
        <color rgb="FFFF0000"/>
      </right>
      <top/>
      <bottom style="thick">
        <color rgb="FFFF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ck">
        <color rgb="FFEE0000"/>
      </left>
      <right style="medium">
        <color rgb="FF000000"/>
      </right>
      <top style="thin">
        <color rgb="FFFF0000"/>
      </top>
      <bottom style="double">
        <color rgb="FFFF0000"/>
      </bottom>
      <diagonal/>
    </border>
    <border>
      <left/>
      <right/>
      <top style="thin">
        <color rgb="FFFF0000"/>
      </top>
      <bottom style="double">
        <color rgb="FFFF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434343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434343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n">
        <color indexed="64"/>
      </bottom>
      <diagonal/>
    </border>
    <border>
      <left style="thick">
        <color rgb="FFFF0000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thick">
        <color rgb="FFFF0000"/>
      </right>
      <top/>
      <bottom style="thick">
        <color rgb="FFFF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 style="thin">
        <color rgb="FFD9E2F3"/>
      </top>
      <bottom/>
      <diagonal/>
    </border>
  </borders>
  <cellStyleXfs count="1">
    <xf numFmtId="0" fontId="0" fillId="0" borderId="0"/>
  </cellStyleXfs>
  <cellXfs count="580">
    <xf numFmtId="0" fontId="0" fillId="0" borderId="0" xfId="0"/>
    <xf numFmtId="0" fontId="1" fillId="2" borderId="0" xfId="0" quotePrefix="1" applyFont="1" applyFill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9" fontId="4" fillId="4" borderId="6" xfId="0" applyNumberFormat="1" applyFont="1" applyFill="1" applyBorder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5" borderId="8" xfId="0" applyFont="1" applyFill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165" fontId="8" fillId="3" borderId="11" xfId="0" applyNumberFormat="1" applyFont="1" applyFill="1" applyBorder="1" applyAlignment="1">
      <alignment horizontal="center" vertical="center"/>
    </xf>
    <xf numFmtId="165" fontId="8" fillId="3" borderId="12" xfId="0" applyNumberFormat="1" applyFont="1" applyFill="1" applyBorder="1" applyAlignment="1">
      <alignment horizontal="center" vertical="center"/>
    </xf>
    <xf numFmtId="166" fontId="8" fillId="3" borderId="11" xfId="0" applyNumberFormat="1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4" fontId="1" fillId="2" borderId="0" xfId="0" applyNumberFormat="1" applyFont="1" applyFill="1" applyAlignment="1">
      <alignment vertical="center"/>
    </xf>
    <xf numFmtId="0" fontId="10" fillId="7" borderId="14" xfId="0" applyFont="1" applyFill="1" applyBorder="1" applyAlignment="1">
      <alignment horizontal="left" vertical="center"/>
    </xf>
    <xf numFmtId="167" fontId="10" fillId="7" borderId="15" xfId="0" applyNumberFormat="1" applyFont="1" applyFill="1" applyBorder="1" applyAlignment="1">
      <alignment horizontal="center" vertical="center"/>
    </xf>
    <xf numFmtId="10" fontId="10" fillId="7" borderId="16" xfId="0" applyNumberFormat="1" applyFont="1" applyFill="1" applyBorder="1" applyAlignment="1">
      <alignment horizontal="center" vertical="center"/>
    </xf>
    <xf numFmtId="0" fontId="12" fillId="3" borderId="17" xfId="0" applyFont="1" applyFill="1" applyBorder="1" applyAlignment="1">
      <alignment horizontal="left" vertical="center"/>
    </xf>
    <xf numFmtId="0" fontId="14" fillId="3" borderId="18" xfId="0" applyFont="1" applyFill="1" applyBorder="1" applyAlignment="1">
      <alignment horizontal="left" vertical="center"/>
    </xf>
    <xf numFmtId="0" fontId="12" fillId="3" borderId="18" xfId="0" applyFont="1" applyFill="1" applyBorder="1" applyAlignment="1">
      <alignment horizontal="left" vertical="center"/>
    </xf>
    <xf numFmtId="0" fontId="16" fillId="3" borderId="18" xfId="0" applyFont="1" applyFill="1" applyBorder="1" applyAlignment="1">
      <alignment horizontal="left" vertical="center"/>
    </xf>
    <xf numFmtId="0" fontId="16" fillId="3" borderId="19" xfId="0" applyFont="1" applyFill="1" applyBorder="1" applyAlignment="1">
      <alignment horizontal="left" vertical="center"/>
    </xf>
    <xf numFmtId="10" fontId="1" fillId="2" borderId="0" xfId="0" applyNumberFormat="1" applyFont="1" applyFill="1" applyAlignment="1">
      <alignment vertical="center"/>
    </xf>
    <xf numFmtId="0" fontId="19" fillId="8" borderId="21" xfId="0" applyFont="1" applyFill="1" applyBorder="1" applyAlignment="1">
      <alignment horizontal="center" vertical="center"/>
    </xf>
    <xf numFmtId="0" fontId="19" fillId="9" borderId="21" xfId="0" applyFont="1" applyFill="1" applyBorder="1" applyAlignment="1">
      <alignment horizontal="center" vertical="center"/>
    </xf>
    <xf numFmtId="0" fontId="19" fillId="10" borderId="22" xfId="0" applyFont="1" applyFill="1" applyBorder="1" applyAlignment="1">
      <alignment horizontal="center" vertical="center"/>
    </xf>
    <xf numFmtId="10" fontId="19" fillId="10" borderId="7" xfId="0" applyNumberFormat="1" applyFont="1" applyFill="1" applyBorder="1" applyAlignment="1">
      <alignment horizontal="center" vertical="center"/>
    </xf>
    <xf numFmtId="2" fontId="19" fillId="10" borderId="23" xfId="0" applyNumberFormat="1" applyFont="1" applyFill="1" applyBorder="1" applyAlignment="1">
      <alignment horizontal="center" vertical="center"/>
    </xf>
    <xf numFmtId="0" fontId="19" fillId="10" borderId="24" xfId="0" applyFont="1" applyFill="1" applyBorder="1" applyAlignment="1">
      <alignment horizontal="center" vertical="center"/>
    </xf>
    <xf numFmtId="10" fontId="20" fillId="10" borderId="6" xfId="0" applyNumberFormat="1" applyFont="1" applyFill="1" applyBorder="1" applyAlignment="1">
      <alignment horizontal="center" vertical="center"/>
    </xf>
    <xf numFmtId="10" fontId="20" fillId="10" borderId="16" xfId="0" applyNumberFormat="1" applyFont="1" applyFill="1" applyBorder="1" applyAlignment="1">
      <alignment horizontal="center" vertical="center"/>
    </xf>
    <xf numFmtId="0" fontId="18" fillId="2" borderId="0" xfId="0" applyFont="1" applyFill="1" applyAlignment="1">
      <alignment vertical="center"/>
    </xf>
    <xf numFmtId="0" fontId="18" fillId="0" borderId="0" xfId="0" applyFont="1"/>
    <xf numFmtId="169" fontId="4" fillId="0" borderId="0" xfId="0" applyNumberFormat="1" applyFont="1" applyAlignment="1">
      <alignment horizontal="center"/>
    </xf>
    <xf numFmtId="0" fontId="22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165" fontId="4" fillId="0" borderId="0" xfId="0" applyNumberFormat="1" applyFont="1" applyAlignment="1">
      <alignment horizontal="center"/>
    </xf>
    <xf numFmtId="14" fontId="18" fillId="0" borderId="0" xfId="0" applyNumberFormat="1" applyFont="1" applyAlignment="1">
      <alignment horizontal="center"/>
    </xf>
    <xf numFmtId="0" fontId="25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12" borderId="39" xfId="0" applyFont="1" applyFill="1" applyBorder="1" applyAlignment="1">
      <alignment horizontal="center"/>
    </xf>
    <xf numFmtId="166" fontId="4" fillId="12" borderId="39" xfId="0" applyNumberFormat="1" applyFont="1" applyFill="1" applyBorder="1" applyAlignment="1">
      <alignment horizontal="center"/>
    </xf>
    <xf numFmtId="0" fontId="18" fillId="12" borderId="0" xfId="0" applyFont="1" applyFill="1"/>
    <xf numFmtId="0" fontId="1" fillId="0" borderId="0" xfId="0" applyFont="1" applyAlignment="1">
      <alignment horizontal="center"/>
    </xf>
    <xf numFmtId="172" fontId="17" fillId="2" borderId="0" xfId="0" applyNumberFormat="1" applyFont="1" applyFill="1"/>
    <xf numFmtId="171" fontId="30" fillId="15" borderId="0" xfId="0" applyNumberFormat="1" applyFont="1" applyFill="1" applyAlignment="1">
      <alignment horizontal="center"/>
    </xf>
    <xf numFmtId="172" fontId="30" fillId="15" borderId="0" xfId="0" applyNumberFormat="1" applyFont="1" applyFill="1" applyAlignment="1">
      <alignment horizontal="center"/>
    </xf>
    <xf numFmtId="166" fontId="30" fillId="15" borderId="0" xfId="0" applyNumberFormat="1" applyFont="1" applyFill="1" applyAlignment="1">
      <alignment horizontal="center"/>
    </xf>
    <xf numFmtId="14" fontId="29" fillId="0" borderId="0" xfId="0" applyNumberFormat="1" applyFont="1" applyAlignment="1">
      <alignment horizontal="center"/>
    </xf>
    <xf numFmtId="172" fontId="29" fillId="0" borderId="0" xfId="0" applyNumberFormat="1" applyFont="1"/>
    <xf numFmtId="0" fontId="1" fillId="12" borderId="0" xfId="0" applyFont="1" applyFill="1"/>
    <xf numFmtId="0" fontId="1" fillId="12" borderId="0" xfId="0" applyFont="1" applyFill="1" applyAlignment="1">
      <alignment horizontal="center"/>
    </xf>
    <xf numFmtId="164" fontId="1" fillId="12" borderId="0" xfId="0" applyNumberFormat="1" applyFont="1" applyFill="1" applyAlignment="1">
      <alignment horizontal="center"/>
    </xf>
    <xf numFmtId="0" fontId="33" fillId="17" borderId="44" xfId="0" applyFont="1" applyFill="1" applyBorder="1" applyAlignment="1">
      <alignment horizontal="center" vertical="center"/>
    </xf>
    <xf numFmtId="0" fontId="36" fillId="10" borderId="43" xfId="0" applyFont="1" applyFill="1" applyBorder="1" applyAlignment="1">
      <alignment horizontal="center"/>
    </xf>
    <xf numFmtId="0" fontId="36" fillId="10" borderId="45" xfId="0" applyFont="1" applyFill="1" applyBorder="1" applyAlignment="1">
      <alignment horizontal="center"/>
    </xf>
    <xf numFmtId="165" fontId="37" fillId="7" borderId="40" xfId="0" applyNumberFormat="1" applyFont="1" applyFill="1" applyBorder="1" applyAlignment="1">
      <alignment horizontal="center"/>
    </xf>
    <xf numFmtId="0" fontId="38" fillId="19" borderId="37" xfId="0" applyFont="1" applyFill="1" applyBorder="1" applyAlignment="1">
      <alignment horizontal="center" vertical="center"/>
    </xf>
    <xf numFmtId="14" fontId="39" fillId="0" borderId="40" xfId="0" applyNumberFormat="1" applyFont="1" applyBorder="1" applyAlignment="1">
      <alignment horizontal="center"/>
    </xf>
    <xf numFmtId="0" fontId="40" fillId="20" borderId="37" xfId="0" applyFont="1" applyFill="1" applyBorder="1" applyAlignment="1">
      <alignment horizontal="center" vertical="center"/>
    </xf>
    <xf numFmtId="165" fontId="28" fillId="10" borderId="49" xfId="0" applyNumberFormat="1" applyFont="1" applyFill="1" applyBorder="1" applyAlignment="1">
      <alignment horizontal="center"/>
    </xf>
    <xf numFmtId="0" fontId="17" fillId="21" borderId="37" xfId="0" applyFont="1" applyFill="1" applyBorder="1" applyAlignment="1">
      <alignment horizontal="center" vertical="center"/>
    </xf>
    <xf numFmtId="0" fontId="17" fillId="22" borderId="34" xfId="0" applyFont="1" applyFill="1" applyBorder="1" applyAlignment="1">
      <alignment horizontal="center" vertical="center"/>
    </xf>
    <xf numFmtId="171" fontId="30" fillId="4" borderId="0" xfId="0" applyNumberFormat="1" applyFont="1" applyFill="1" applyAlignment="1">
      <alignment horizontal="center"/>
    </xf>
    <xf numFmtId="172" fontId="30" fillId="4" borderId="0" xfId="0" applyNumberFormat="1" applyFont="1" applyFill="1" applyAlignment="1">
      <alignment horizontal="center"/>
    </xf>
    <xf numFmtId="164" fontId="30" fillId="4" borderId="0" xfId="0" applyNumberFormat="1" applyFont="1" applyFill="1" applyAlignment="1">
      <alignment horizontal="center"/>
    </xf>
    <xf numFmtId="14" fontId="1" fillId="12" borderId="0" xfId="0" applyNumberFormat="1" applyFont="1" applyFill="1"/>
    <xf numFmtId="172" fontId="29" fillId="12" borderId="0" xfId="0" applyNumberFormat="1" applyFont="1" applyFill="1" applyAlignment="1">
      <alignment horizontal="center"/>
    </xf>
    <xf numFmtId="164" fontId="41" fillId="12" borderId="0" xfId="0" applyNumberFormat="1" applyFont="1" applyFill="1" applyAlignment="1">
      <alignment horizontal="center"/>
    </xf>
    <xf numFmtId="164" fontId="22" fillId="12" borderId="0" xfId="0" applyNumberFormat="1" applyFont="1" applyFill="1" applyAlignment="1">
      <alignment horizontal="center"/>
    </xf>
    <xf numFmtId="0" fontId="18" fillId="0" borderId="0" xfId="0" applyFont="1" applyAlignment="1">
      <alignment horizontal="left"/>
    </xf>
    <xf numFmtId="0" fontId="4" fillId="2" borderId="50" xfId="0" applyFont="1" applyFill="1" applyBorder="1" applyAlignment="1">
      <alignment horizontal="center"/>
    </xf>
    <xf numFmtId="0" fontId="4" fillId="0" borderId="0" xfId="0" applyFont="1"/>
    <xf numFmtId="0" fontId="43" fillId="0" borderId="0" xfId="0" applyFont="1"/>
    <xf numFmtId="0" fontId="10" fillId="2" borderId="0" xfId="0" applyFont="1" applyFill="1" applyAlignment="1">
      <alignment horizontal="left"/>
    </xf>
    <xf numFmtId="172" fontId="43" fillId="0" borderId="0" xfId="0" applyNumberFormat="1" applyFont="1"/>
    <xf numFmtId="0" fontId="44" fillId="0" borderId="0" xfId="0" applyFont="1"/>
    <xf numFmtId="0" fontId="1" fillId="0" borderId="0" xfId="0" applyFont="1"/>
    <xf numFmtId="172" fontId="1" fillId="0" borderId="0" xfId="0" applyNumberFormat="1" applyFont="1"/>
    <xf numFmtId="0" fontId="45" fillId="0" borderId="0" xfId="0" applyFont="1"/>
    <xf numFmtId="0" fontId="46" fillId="0" borderId="0" xfId="0" applyFont="1"/>
    <xf numFmtId="167" fontId="18" fillId="0" borderId="0" xfId="0" applyNumberFormat="1" applyFont="1"/>
    <xf numFmtId="167" fontId="18" fillId="0" borderId="0" xfId="0" applyNumberFormat="1" applyFont="1" applyAlignment="1">
      <alignment horizontal="center"/>
    </xf>
    <xf numFmtId="10" fontId="18" fillId="0" borderId="0" xfId="0" applyNumberFormat="1" applyFont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23" xfId="0" applyFont="1" applyFill="1" applyBorder="1" applyAlignment="1">
      <alignment horizontal="center"/>
    </xf>
    <xf numFmtId="0" fontId="4" fillId="2" borderId="51" xfId="0" applyFont="1" applyFill="1" applyBorder="1" applyAlignment="1">
      <alignment horizontal="center"/>
    </xf>
    <xf numFmtId="0" fontId="47" fillId="10" borderId="52" xfId="0" applyFont="1" applyFill="1" applyBorder="1"/>
    <xf numFmtId="172" fontId="47" fillId="10" borderId="53" xfId="0" applyNumberFormat="1" applyFont="1" applyFill="1" applyBorder="1" applyAlignment="1">
      <alignment horizontal="center"/>
    </xf>
    <xf numFmtId="172" fontId="47" fillId="10" borderId="54" xfId="0" applyNumberFormat="1" applyFont="1" applyFill="1" applyBorder="1" applyAlignment="1">
      <alignment horizontal="center"/>
    </xf>
    <xf numFmtId="172" fontId="47" fillId="10" borderId="55" xfId="0" applyNumberFormat="1" applyFont="1" applyFill="1" applyBorder="1" applyAlignment="1">
      <alignment horizontal="center"/>
    </xf>
    <xf numFmtId="172" fontId="49" fillId="2" borderId="0" xfId="0" applyNumberFormat="1" applyFont="1" applyFill="1" applyAlignment="1">
      <alignment horizontal="center"/>
    </xf>
    <xf numFmtId="0" fontId="47" fillId="10" borderId="59" xfId="0" applyFont="1" applyFill="1" applyBorder="1"/>
    <xf numFmtId="172" fontId="47" fillId="10" borderId="60" xfId="0" applyNumberFormat="1" applyFont="1" applyFill="1" applyBorder="1" applyAlignment="1">
      <alignment horizontal="center"/>
    </xf>
    <xf numFmtId="172" fontId="47" fillId="10" borderId="61" xfId="0" applyNumberFormat="1" applyFont="1" applyFill="1" applyBorder="1" applyAlignment="1">
      <alignment horizontal="center"/>
    </xf>
    <xf numFmtId="0" fontId="7" fillId="0" borderId="40" xfId="0" applyFont="1" applyBorder="1" applyAlignment="1">
      <alignment horizontal="center" vertical="center"/>
    </xf>
    <xf numFmtId="0" fontId="4" fillId="4" borderId="66" xfId="0" applyFont="1" applyFill="1" applyBorder="1" applyAlignment="1">
      <alignment horizontal="center" vertical="center"/>
    </xf>
    <xf numFmtId="170" fontId="4" fillId="4" borderId="66" xfId="0" applyNumberFormat="1" applyFont="1" applyFill="1" applyBorder="1" applyAlignment="1">
      <alignment horizontal="center" vertical="center"/>
    </xf>
    <xf numFmtId="0" fontId="28" fillId="5" borderId="67" xfId="0" applyFont="1" applyFill="1" applyBorder="1" applyAlignment="1">
      <alignment horizontal="center" vertical="center"/>
    </xf>
    <xf numFmtId="0" fontId="1" fillId="12" borderId="0" xfId="0" applyFont="1" applyFill="1" applyAlignment="1">
      <alignment vertical="center"/>
    </xf>
    <xf numFmtId="0" fontId="23" fillId="24" borderId="68" xfId="0" applyFont="1" applyFill="1" applyBorder="1" applyAlignment="1">
      <alignment horizontal="center" vertical="center"/>
    </xf>
    <xf numFmtId="9" fontId="47" fillId="0" borderId="40" xfId="0" applyNumberFormat="1" applyFont="1" applyBorder="1" applyAlignment="1">
      <alignment horizontal="center" vertical="center"/>
    </xf>
    <xf numFmtId="170" fontId="6" fillId="4" borderId="30" xfId="0" applyNumberFormat="1" applyFont="1" applyFill="1" applyBorder="1" applyAlignment="1">
      <alignment horizontal="center" vertical="center"/>
    </xf>
    <xf numFmtId="170" fontId="50" fillId="4" borderId="31" xfId="0" applyNumberFormat="1" applyFont="1" applyFill="1" applyBorder="1" applyAlignment="1">
      <alignment horizontal="center" vertical="center"/>
    </xf>
    <xf numFmtId="10" fontId="51" fillId="4" borderId="31" xfId="0" applyNumberFormat="1" applyFont="1" applyFill="1" applyBorder="1" applyAlignment="1">
      <alignment horizontal="center" vertical="center"/>
    </xf>
    <xf numFmtId="164" fontId="50" fillId="4" borderId="32" xfId="0" applyNumberFormat="1" applyFont="1" applyFill="1" applyBorder="1" applyAlignment="1">
      <alignment horizontal="center" vertical="center"/>
    </xf>
    <xf numFmtId="164" fontId="28" fillId="5" borderId="71" xfId="0" applyNumberFormat="1" applyFont="1" applyFill="1" applyBorder="1" applyAlignment="1">
      <alignment horizontal="center" vertical="center"/>
    </xf>
    <xf numFmtId="0" fontId="51" fillId="15" borderId="72" xfId="0" applyFont="1" applyFill="1" applyBorder="1" applyAlignment="1">
      <alignment horizontal="center" vertical="center"/>
    </xf>
    <xf numFmtId="0" fontId="52" fillId="15" borderId="0" xfId="0" applyFont="1" applyFill="1" applyAlignment="1">
      <alignment horizontal="center" vertical="center"/>
    </xf>
    <xf numFmtId="10" fontId="6" fillId="4" borderId="37" xfId="0" applyNumberFormat="1" applyFont="1" applyFill="1" applyBorder="1" applyAlignment="1">
      <alignment horizontal="center"/>
    </xf>
    <xf numFmtId="170" fontId="50" fillId="4" borderId="0" xfId="0" applyNumberFormat="1" applyFont="1" applyFill="1" applyAlignment="1">
      <alignment horizontal="center" vertical="center"/>
    </xf>
    <xf numFmtId="10" fontId="51" fillId="4" borderId="0" xfId="0" applyNumberFormat="1" applyFont="1" applyFill="1" applyAlignment="1">
      <alignment horizontal="center" vertical="center"/>
    </xf>
    <xf numFmtId="164" fontId="50" fillId="4" borderId="38" xfId="0" applyNumberFormat="1" applyFont="1" applyFill="1" applyBorder="1" applyAlignment="1">
      <alignment horizontal="center" vertical="center"/>
    </xf>
    <xf numFmtId="0" fontId="50" fillId="8" borderId="73" xfId="0" applyFont="1" applyFill="1" applyBorder="1" applyAlignment="1">
      <alignment horizontal="center" vertical="center"/>
    </xf>
    <xf numFmtId="0" fontId="50" fillId="8" borderId="74" xfId="0" applyFont="1" applyFill="1" applyBorder="1" applyAlignment="1">
      <alignment horizontal="center" vertical="center"/>
    </xf>
    <xf numFmtId="0" fontId="50" fillId="8" borderId="75" xfId="0" applyFont="1" applyFill="1" applyBorder="1" applyAlignment="1">
      <alignment horizontal="center" vertical="center"/>
    </xf>
    <xf numFmtId="0" fontId="53" fillId="14" borderId="72" xfId="0" applyFont="1" applyFill="1" applyBorder="1" applyAlignment="1">
      <alignment horizontal="center" vertical="center"/>
    </xf>
    <xf numFmtId="9" fontId="54" fillId="14" borderId="0" xfId="0" applyNumberFormat="1" applyFont="1" applyFill="1" applyAlignment="1">
      <alignment horizontal="center" vertical="center"/>
    </xf>
    <xf numFmtId="0" fontId="55" fillId="10" borderId="76" xfId="0" applyFont="1" applyFill="1" applyBorder="1" applyAlignment="1">
      <alignment horizontal="center" vertical="center"/>
    </xf>
    <xf numFmtId="0" fontId="55" fillId="10" borderId="50" xfId="0" applyFont="1" applyFill="1" applyBorder="1" applyAlignment="1">
      <alignment horizontal="center" vertical="center"/>
    </xf>
    <xf numFmtId="0" fontId="55" fillId="10" borderId="77" xfId="0" applyFont="1" applyFill="1" applyBorder="1" applyAlignment="1">
      <alignment horizontal="center" vertical="center"/>
    </xf>
    <xf numFmtId="0" fontId="56" fillId="5" borderId="78" xfId="0" applyFont="1" applyFill="1" applyBorder="1" applyAlignment="1">
      <alignment horizontal="center" vertical="center"/>
    </xf>
    <xf numFmtId="170" fontId="56" fillId="5" borderId="79" xfId="0" applyNumberFormat="1" applyFont="1" applyFill="1" applyBorder="1" applyAlignment="1">
      <alignment horizontal="center" vertical="center"/>
    </xf>
    <xf numFmtId="164" fontId="56" fillId="16" borderId="80" xfId="0" applyNumberFormat="1" applyFont="1" applyFill="1" applyBorder="1" applyAlignment="1">
      <alignment horizontal="center" vertical="center"/>
    </xf>
    <xf numFmtId="164" fontId="56" fillId="4" borderId="80" xfId="0" applyNumberFormat="1" applyFont="1" applyFill="1" applyBorder="1" applyAlignment="1">
      <alignment horizontal="center" vertical="center"/>
    </xf>
    <xf numFmtId="164" fontId="56" fillId="8" borderId="80" xfId="0" applyNumberFormat="1" applyFont="1" applyFill="1" applyBorder="1" applyAlignment="1">
      <alignment horizontal="center" vertical="center"/>
    </xf>
    <xf numFmtId="164" fontId="56" fillId="5" borderId="81" xfId="0" applyNumberFormat="1" applyFont="1" applyFill="1" applyBorder="1" applyAlignment="1">
      <alignment horizontal="center" vertical="center"/>
    </xf>
    <xf numFmtId="0" fontId="24" fillId="2" borderId="72" xfId="0" applyFont="1" applyFill="1" applyBorder="1" applyAlignment="1">
      <alignment horizontal="center" vertical="center"/>
    </xf>
    <xf numFmtId="170" fontId="55" fillId="2" borderId="0" xfId="0" applyNumberFormat="1" applyFont="1" applyFill="1" applyAlignment="1">
      <alignment horizontal="center" vertical="center"/>
    </xf>
    <xf numFmtId="0" fontId="58" fillId="0" borderId="37" xfId="0" applyFont="1" applyBorder="1" applyAlignment="1">
      <alignment horizontal="center" vertical="center"/>
    </xf>
    <xf numFmtId="170" fontId="58" fillId="0" borderId="0" xfId="0" applyNumberFormat="1" applyFont="1" applyAlignment="1">
      <alignment horizontal="center" vertical="center"/>
    </xf>
    <xf numFmtId="10" fontId="59" fillId="0" borderId="0" xfId="0" applyNumberFormat="1" applyFont="1" applyAlignment="1">
      <alignment horizontal="center" vertical="center"/>
    </xf>
    <xf numFmtId="164" fontId="60" fillId="0" borderId="38" xfId="0" applyNumberFormat="1" applyFont="1" applyBorder="1" applyAlignment="1">
      <alignment horizontal="center" vertical="center"/>
    </xf>
    <xf numFmtId="0" fontId="56" fillId="25" borderId="82" xfId="0" applyFont="1" applyFill="1" applyBorder="1" applyAlignment="1">
      <alignment horizontal="center" vertical="center"/>
    </xf>
    <xf numFmtId="0" fontId="24" fillId="23" borderId="72" xfId="0" applyFont="1" applyFill="1" applyBorder="1" applyAlignment="1">
      <alignment horizontal="center" vertical="center"/>
    </xf>
    <xf numFmtId="170" fontId="55" fillId="23" borderId="0" xfId="0" applyNumberFormat="1" applyFont="1" applyFill="1" applyAlignment="1">
      <alignment horizontal="center" vertical="center"/>
    </xf>
    <xf numFmtId="0" fontId="53" fillId="14" borderId="33" xfId="0" applyFont="1" applyFill="1" applyBorder="1" applyAlignment="1">
      <alignment horizontal="center" vertical="center"/>
    </xf>
    <xf numFmtId="9" fontId="54" fillId="14" borderId="70" xfId="0" applyNumberFormat="1" applyFont="1" applyFill="1" applyBorder="1" applyAlignment="1">
      <alignment horizontal="center" vertical="center"/>
    </xf>
    <xf numFmtId="0" fontId="55" fillId="0" borderId="86" xfId="0" applyFont="1" applyBorder="1" applyAlignment="1">
      <alignment horizontal="center" vertical="center"/>
    </xf>
    <xf numFmtId="0" fontId="61" fillId="3" borderId="87" xfId="0" applyFont="1" applyFill="1" applyBorder="1" applyAlignment="1">
      <alignment horizontal="center" vertical="center"/>
    </xf>
    <xf numFmtId="0" fontId="24" fillId="9" borderId="72" xfId="0" applyFont="1" applyFill="1" applyBorder="1" applyAlignment="1">
      <alignment horizontal="center" vertical="center"/>
    </xf>
    <xf numFmtId="170" fontId="55" fillId="9" borderId="0" xfId="0" applyNumberFormat="1" applyFont="1" applyFill="1" applyAlignment="1">
      <alignment horizontal="center" vertical="center"/>
    </xf>
    <xf numFmtId="164" fontId="62" fillId="3" borderId="88" xfId="0" applyNumberFormat="1" applyFont="1" applyFill="1" applyBorder="1" applyAlignment="1">
      <alignment horizontal="center" vertical="center"/>
    </xf>
    <xf numFmtId="0" fontId="24" fillId="26" borderId="33" xfId="0" applyFont="1" applyFill="1" applyBorder="1" applyAlignment="1">
      <alignment horizontal="center" vertical="center"/>
    </xf>
    <xf numFmtId="170" fontId="55" fillId="26" borderId="70" xfId="0" applyNumberFormat="1" applyFont="1" applyFill="1" applyBorder="1" applyAlignment="1">
      <alignment horizontal="center" vertical="center"/>
    </xf>
    <xf numFmtId="0" fontId="55" fillId="0" borderId="89" xfId="0" applyFont="1" applyBorder="1" applyAlignment="1">
      <alignment horizontal="center" vertical="center"/>
    </xf>
    <xf numFmtId="9" fontId="55" fillId="4" borderId="20" xfId="0" applyNumberFormat="1" applyFont="1" applyFill="1" applyBorder="1" applyAlignment="1">
      <alignment horizontal="center" vertical="center"/>
    </xf>
    <xf numFmtId="10" fontId="6" fillId="5" borderId="90" xfId="0" applyNumberFormat="1" applyFont="1" applyFill="1" applyBorder="1" applyAlignment="1">
      <alignment horizontal="center" vertical="center"/>
    </xf>
    <xf numFmtId="164" fontId="64" fillId="5" borderId="91" xfId="0" applyNumberFormat="1" applyFont="1" applyFill="1" applyBorder="1" applyAlignment="1">
      <alignment horizontal="center" vertical="center"/>
    </xf>
    <xf numFmtId="0" fontId="64" fillId="5" borderId="92" xfId="0" applyFont="1" applyFill="1" applyBorder="1" applyAlignment="1">
      <alignment horizontal="center" vertical="center"/>
    </xf>
    <xf numFmtId="164" fontId="65" fillId="4" borderId="0" xfId="0" applyNumberFormat="1" applyFont="1" applyFill="1" applyAlignment="1">
      <alignment horizontal="center" vertical="center"/>
    </xf>
    <xf numFmtId="164" fontId="50" fillId="4" borderId="0" xfId="0" applyNumberFormat="1" applyFont="1" applyFill="1" applyAlignment="1">
      <alignment horizontal="center" vertical="center"/>
    </xf>
    <xf numFmtId="164" fontId="55" fillId="10" borderId="82" xfId="0" applyNumberFormat="1" applyFont="1" applyFill="1" applyBorder="1" applyAlignment="1">
      <alignment horizontal="center" vertical="center"/>
    </xf>
    <xf numFmtId="10" fontId="6" fillId="5" borderId="93" xfId="0" applyNumberFormat="1" applyFont="1" applyFill="1" applyBorder="1" applyAlignment="1">
      <alignment horizontal="center" vertical="center"/>
    </xf>
    <xf numFmtId="164" fontId="67" fillId="28" borderId="20" xfId="0" applyNumberFormat="1" applyFont="1" applyFill="1" applyBorder="1" applyAlignment="1">
      <alignment horizontal="center" vertical="center"/>
    </xf>
    <xf numFmtId="0" fontId="32" fillId="0" borderId="94" xfId="0" applyFont="1" applyBorder="1" applyAlignment="1">
      <alignment horizontal="center" vertical="center"/>
    </xf>
    <xf numFmtId="9" fontId="32" fillId="7" borderId="95" xfId="0" applyNumberFormat="1" applyFont="1" applyFill="1" applyBorder="1" applyAlignment="1">
      <alignment horizontal="center" vertical="center"/>
    </xf>
    <xf numFmtId="10" fontId="63" fillId="12" borderId="23" xfId="0" applyNumberFormat="1" applyFont="1" applyFill="1" applyBorder="1" applyAlignment="1">
      <alignment horizontal="center" vertical="center"/>
    </xf>
    <xf numFmtId="164" fontId="69" fillId="12" borderId="23" xfId="0" applyNumberFormat="1" applyFont="1" applyFill="1" applyBorder="1" applyAlignment="1">
      <alignment horizontal="center" vertical="center"/>
    </xf>
    <xf numFmtId="0" fontId="31" fillId="0" borderId="95" xfId="0" applyFont="1" applyBorder="1" applyAlignment="1">
      <alignment horizontal="center" vertical="center"/>
    </xf>
    <xf numFmtId="10" fontId="63" fillId="12" borderId="82" xfId="0" applyNumberFormat="1" applyFont="1" applyFill="1" applyBorder="1" applyAlignment="1">
      <alignment horizontal="center" vertical="center"/>
    </xf>
    <xf numFmtId="0" fontId="63" fillId="0" borderId="37" xfId="0" applyFont="1" applyBorder="1" applyAlignment="1">
      <alignment horizontal="center" vertical="center"/>
    </xf>
    <xf numFmtId="0" fontId="1" fillId="0" borderId="35" xfId="0" applyFont="1" applyBorder="1" applyAlignment="1">
      <alignment vertical="center"/>
    </xf>
    <xf numFmtId="0" fontId="1" fillId="0" borderId="36" xfId="0" applyFont="1" applyBorder="1" applyAlignment="1">
      <alignment vertical="center"/>
    </xf>
    <xf numFmtId="0" fontId="11" fillId="12" borderId="0" xfId="0" applyFont="1" applyFill="1" applyAlignment="1">
      <alignment horizontal="center"/>
    </xf>
    <xf numFmtId="170" fontId="11" fillId="12" borderId="0" xfId="0" applyNumberFormat="1" applyFont="1" applyFill="1" applyAlignment="1">
      <alignment horizontal="center"/>
    </xf>
    <xf numFmtId="9" fontId="11" fillId="12" borderId="0" xfId="0" applyNumberFormat="1" applyFont="1" applyFill="1" applyAlignment="1">
      <alignment horizontal="center"/>
    </xf>
    <xf numFmtId="10" fontId="4" fillId="4" borderId="0" xfId="0" applyNumberFormat="1" applyFont="1" applyFill="1" applyAlignment="1">
      <alignment horizontal="center"/>
    </xf>
    <xf numFmtId="0" fontId="4" fillId="4" borderId="0" xfId="0" applyFont="1" applyFill="1" applyAlignment="1">
      <alignment horizontal="center"/>
    </xf>
    <xf numFmtId="170" fontId="4" fillId="4" borderId="0" xfId="0" applyNumberFormat="1" applyFont="1" applyFill="1" applyAlignment="1">
      <alignment horizontal="center"/>
    </xf>
    <xf numFmtId="9" fontId="4" fillId="4" borderId="0" xfId="0" applyNumberFormat="1" applyFont="1" applyFill="1" applyAlignment="1">
      <alignment horizontal="center"/>
    </xf>
    <xf numFmtId="0" fontId="4" fillId="4" borderId="72" xfId="0" applyFont="1" applyFill="1" applyBorder="1" applyAlignment="1">
      <alignment horizontal="center"/>
    </xf>
    <xf numFmtId="0" fontId="11" fillId="10" borderId="0" xfId="0" applyFont="1" applyFill="1" applyAlignment="1">
      <alignment horizontal="center" vertical="center"/>
    </xf>
    <xf numFmtId="164" fontId="11" fillId="10" borderId="0" xfId="0" applyNumberFormat="1" applyFont="1" applyFill="1" applyAlignment="1">
      <alignment horizontal="center" vertical="center"/>
    </xf>
    <xf numFmtId="10" fontId="11" fillId="10" borderId="0" xfId="0" applyNumberFormat="1" applyFont="1" applyFill="1" applyAlignment="1">
      <alignment horizontal="center" vertical="center"/>
    </xf>
    <xf numFmtId="164" fontId="4" fillId="4" borderId="72" xfId="0" applyNumberFormat="1" applyFont="1" applyFill="1" applyBorder="1" applyAlignment="1">
      <alignment horizontal="center" vertical="center"/>
    </xf>
    <xf numFmtId="164" fontId="18" fillId="0" borderId="20" xfId="0" applyNumberFormat="1" applyFont="1" applyBorder="1" applyAlignment="1">
      <alignment horizontal="center" vertical="center"/>
    </xf>
    <xf numFmtId="164" fontId="18" fillId="0" borderId="20" xfId="0" applyNumberFormat="1" applyFont="1" applyBorder="1" applyAlignment="1">
      <alignment horizontal="center"/>
    </xf>
    <xf numFmtId="0" fontId="50" fillId="12" borderId="0" xfId="0" applyFont="1" applyFill="1" applyAlignment="1">
      <alignment horizontal="center" wrapText="1"/>
    </xf>
    <xf numFmtId="164" fontId="50" fillId="12" borderId="0" xfId="0" applyNumberFormat="1" applyFont="1" applyFill="1" applyAlignment="1">
      <alignment horizontal="center"/>
    </xf>
    <xf numFmtId="170" fontId="63" fillId="12" borderId="0" xfId="0" applyNumberFormat="1" applyFont="1" applyFill="1" applyAlignment="1">
      <alignment horizontal="center"/>
    </xf>
    <xf numFmtId="164" fontId="63" fillId="12" borderId="0" xfId="0" applyNumberFormat="1" applyFont="1" applyFill="1" applyAlignment="1">
      <alignment horizontal="center"/>
    </xf>
    <xf numFmtId="164" fontId="70" fillId="0" borderId="20" xfId="0" applyNumberFormat="1" applyFont="1" applyBorder="1" applyAlignment="1">
      <alignment horizontal="center"/>
    </xf>
    <xf numFmtId="164" fontId="18" fillId="0" borderId="20" xfId="0" applyNumberFormat="1" applyFont="1" applyBorder="1"/>
    <xf numFmtId="164" fontId="11" fillId="0" borderId="20" xfId="0" applyNumberFormat="1" applyFont="1" applyBorder="1" applyAlignment="1">
      <alignment horizontal="center"/>
    </xf>
    <xf numFmtId="49" fontId="1" fillId="0" borderId="0" xfId="0" applyNumberFormat="1" applyFont="1" applyAlignment="1">
      <alignment horizontal="center"/>
    </xf>
    <xf numFmtId="4" fontId="21" fillId="0" borderId="0" xfId="0" applyNumberFormat="1" applyFont="1" applyAlignment="1">
      <alignment horizontal="center"/>
    </xf>
    <xf numFmtId="4" fontId="26" fillId="12" borderId="39" xfId="0" applyNumberFormat="1" applyFont="1" applyFill="1" applyBorder="1" applyAlignment="1">
      <alignment horizontal="center"/>
    </xf>
    <xf numFmtId="4" fontId="0" fillId="0" borderId="0" xfId="0" applyNumberFormat="1"/>
    <xf numFmtId="0" fontId="44" fillId="0" borderId="0" xfId="0" quotePrefix="1" applyFont="1"/>
    <xf numFmtId="0" fontId="71" fillId="0" borderId="0" xfId="0" applyFont="1"/>
    <xf numFmtId="164" fontId="34" fillId="18" borderId="31" xfId="0" applyNumberFormat="1" applyFont="1" applyFill="1" applyBorder="1" applyAlignment="1">
      <alignment horizontal="center"/>
    </xf>
    <xf numFmtId="0" fontId="35" fillId="18" borderId="31" xfId="0" applyFont="1" applyFill="1" applyBorder="1" applyAlignment="1">
      <alignment horizontal="center" vertical="center"/>
    </xf>
    <xf numFmtId="14" fontId="35" fillId="18" borderId="32" xfId="0" applyNumberFormat="1" applyFont="1" applyFill="1" applyBorder="1" applyAlignment="1">
      <alignment horizontal="center" vertical="center"/>
    </xf>
    <xf numFmtId="164" fontId="73" fillId="29" borderId="96" xfId="0" applyNumberFormat="1" applyFont="1" applyFill="1" applyBorder="1" applyAlignment="1">
      <alignment horizontal="center"/>
    </xf>
    <xf numFmtId="4" fontId="31" fillId="0" borderId="0" xfId="0" applyNumberFormat="1" applyFont="1" applyAlignment="1">
      <alignment horizontal="center"/>
    </xf>
    <xf numFmtId="4" fontId="30" fillId="6" borderId="0" xfId="0" applyNumberFormat="1" applyFont="1" applyFill="1" applyAlignment="1">
      <alignment horizontal="center"/>
    </xf>
    <xf numFmtId="165" fontId="75" fillId="32" borderId="48" xfId="0" applyNumberFormat="1" applyFont="1" applyFill="1" applyBorder="1" applyAlignment="1">
      <alignment horizontal="center"/>
    </xf>
    <xf numFmtId="0" fontId="76" fillId="31" borderId="0" xfId="0" applyFont="1" applyFill="1"/>
    <xf numFmtId="0" fontId="77" fillId="33" borderId="0" xfId="0" applyFont="1" applyFill="1"/>
    <xf numFmtId="0" fontId="76" fillId="34" borderId="0" xfId="0" applyFont="1" applyFill="1"/>
    <xf numFmtId="165" fontId="79" fillId="34" borderId="64" xfId="0" applyNumberFormat="1" applyFont="1" applyFill="1" applyBorder="1" applyAlignment="1">
      <alignment horizontal="center"/>
    </xf>
    <xf numFmtId="0" fontId="80" fillId="35" borderId="0" xfId="0" applyFont="1" applyFill="1"/>
    <xf numFmtId="0" fontId="0" fillId="36" borderId="0" xfId="0" applyFill="1"/>
    <xf numFmtId="167" fontId="76" fillId="7" borderId="15" xfId="0" applyNumberFormat="1" applyFont="1" applyFill="1" applyBorder="1" applyAlignment="1">
      <alignment horizontal="center" vertical="center"/>
    </xf>
    <xf numFmtId="10" fontId="76" fillId="7" borderId="16" xfId="0" applyNumberFormat="1" applyFont="1" applyFill="1" applyBorder="1" applyAlignment="1">
      <alignment horizontal="center" vertical="center"/>
    </xf>
    <xf numFmtId="167" fontId="82" fillId="0" borderId="0" xfId="0" applyNumberFormat="1" applyFont="1" applyAlignment="1">
      <alignment vertical="center"/>
    </xf>
    <xf numFmtId="0" fontId="35" fillId="4" borderId="3" xfId="0" applyFont="1" applyFill="1" applyBorder="1" applyAlignment="1">
      <alignment horizontal="center" vertical="center"/>
    </xf>
    <xf numFmtId="165" fontId="35" fillId="4" borderId="4" xfId="0" applyNumberFormat="1" applyFont="1" applyFill="1" applyBorder="1" applyAlignment="1">
      <alignment horizontal="center" vertical="center"/>
    </xf>
    <xf numFmtId="165" fontId="35" fillId="4" borderId="5" xfId="0" applyNumberFormat="1" applyFont="1" applyFill="1" applyBorder="1" applyAlignment="1">
      <alignment horizontal="center" vertical="center"/>
    </xf>
    <xf numFmtId="166" fontId="35" fillId="4" borderId="4" xfId="0" applyNumberFormat="1" applyFont="1" applyFill="1" applyBorder="1" applyAlignment="1">
      <alignment horizontal="center" vertical="center"/>
    </xf>
    <xf numFmtId="165" fontId="78" fillId="33" borderId="0" xfId="0" applyNumberFormat="1" applyFont="1" applyFill="1"/>
    <xf numFmtId="4" fontId="83" fillId="0" borderId="0" xfId="0" applyNumberFormat="1" applyFont="1"/>
    <xf numFmtId="0" fontId="83" fillId="0" borderId="0" xfId="0" applyFont="1"/>
    <xf numFmtId="0" fontId="85" fillId="0" borderId="0" xfId="0" applyFont="1"/>
    <xf numFmtId="0" fontId="83" fillId="0" borderId="0" xfId="0" applyFont="1" applyAlignment="1">
      <alignment horizontal="center"/>
    </xf>
    <xf numFmtId="165" fontId="81" fillId="35" borderId="0" xfId="0" applyNumberFormat="1" applyFont="1" applyFill="1"/>
    <xf numFmtId="14" fontId="0" fillId="0" borderId="0" xfId="0" applyNumberFormat="1"/>
    <xf numFmtId="0" fontId="87" fillId="40" borderId="98" xfId="0" applyFont="1" applyFill="1" applyBorder="1"/>
    <xf numFmtId="4" fontId="88" fillId="40" borderId="40" xfId="0" applyNumberFormat="1" applyFont="1" applyFill="1" applyBorder="1"/>
    <xf numFmtId="14" fontId="90" fillId="12" borderId="0" xfId="0" applyNumberFormat="1" applyFont="1" applyFill="1"/>
    <xf numFmtId="0" fontId="90" fillId="12" borderId="0" xfId="0" applyFont="1" applyFill="1"/>
    <xf numFmtId="4" fontId="90" fillId="12" borderId="0" xfId="0" applyNumberFormat="1" applyFont="1" applyFill="1"/>
    <xf numFmtId="14" fontId="23" fillId="12" borderId="0" xfId="0" applyNumberFormat="1" applyFont="1" applyFill="1"/>
    <xf numFmtId="0" fontId="23" fillId="12" borderId="0" xfId="0" applyFont="1" applyFill="1"/>
    <xf numFmtId="0" fontId="23" fillId="12" borderId="0" xfId="0" applyFont="1" applyFill="1" applyAlignment="1">
      <alignment horizontal="center"/>
    </xf>
    <xf numFmtId="164" fontId="23" fillId="12" borderId="0" xfId="0" applyNumberFormat="1" applyFont="1" applyFill="1" applyAlignment="1">
      <alignment horizontal="center"/>
    </xf>
    <xf numFmtId="0" fontId="27" fillId="12" borderId="0" xfId="0" applyFont="1" applyFill="1" applyAlignment="1">
      <alignment horizontal="center"/>
    </xf>
    <xf numFmtId="0" fontId="42" fillId="12" borderId="0" xfId="0" applyFont="1" applyFill="1" applyAlignment="1">
      <alignment horizontal="center"/>
    </xf>
    <xf numFmtId="14" fontId="91" fillId="0" borderId="40" xfId="0" applyNumberFormat="1" applyFont="1" applyBorder="1" applyAlignment="1">
      <alignment horizontal="center"/>
    </xf>
    <xf numFmtId="10" fontId="19" fillId="8" borderId="57" xfId="0" applyNumberFormat="1" applyFont="1" applyFill="1" applyBorder="1" applyAlignment="1">
      <alignment horizontal="center" vertical="center"/>
    </xf>
    <xf numFmtId="164" fontId="19" fillId="8" borderId="58" xfId="0" applyNumberFormat="1" applyFont="1" applyFill="1" applyBorder="1" applyAlignment="1">
      <alignment horizontal="center" vertical="center"/>
    </xf>
    <xf numFmtId="10" fontId="19" fillId="9" borderId="57" xfId="0" applyNumberFormat="1" applyFont="1" applyFill="1" applyBorder="1" applyAlignment="1">
      <alignment horizontal="center" vertical="center"/>
    </xf>
    <xf numFmtId="164" fontId="19" fillId="9" borderId="58" xfId="0" applyNumberFormat="1" applyFont="1" applyFill="1" applyBorder="1" applyAlignment="1">
      <alignment horizontal="center" vertical="center"/>
    </xf>
    <xf numFmtId="164" fontId="19" fillId="10" borderId="61" xfId="0" applyNumberFormat="1" applyFont="1" applyFill="1" applyBorder="1" applyAlignment="1">
      <alignment horizontal="center" vertical="center"/>
    </xf>
    <xf numFmtId="0" fontId="18" fillId="12" borderId="39" xfId="0" applyFont="1" applyFill="1" applyBorder="1"/>
    <xf numFmtId="0" fontId="4" fillId="12" borderId="39" xfId="0" quotePrefix="1" applyFont="1" applyFill="1" applyBorder="1" applyAlignment="1">
      <alignment horizontal="center"/>
    </xf>
    <xf numFmtId="0" fontId="74" fillId="12" borderId="39" xfId="0" applyFont="1" applyFill="1" applyBorder="1" applyAlignment="1">
      <alignment horizontal="center" vertical="center"/>
    </xf>
    <xf numFmtId="168" fontId="4" fillId="12" borderId="39" xfId="0" applyNumberFormat="1" applyFont="1" applyFill="1" applyBorder="1" applyAlignment="1">
      <alignment horizontal="center"/>
    </xf>
    <xf numFmtId="164" fontId="1" fillId="0" borderId="0" xfId="0" applyNumberFormat="1" applyFont="1" applyAlignment="1">
      <alignment horizontal="center"/>
    </xf>
    <xf numFmtId="172" fontId="30" fillId="15" borderId="63" xfId="0" applyNumberFormat="1" applyFont="1" applyFill="1" applyBorder="1" applyAlignment="1">
      <alignment horizontal="center"/>
    </xf>
    <xf numFmtId="166" fontId="30" fillId="15" borderId="65" xfId="0" applyNumberFormat="1" applyFont="1" applyFill="1" applyBorder="1" applyAlignment="1">
      <alignment horizontal="center"/>
    </xf>
    <xf numFmtId="0" fontId="17" fillId="0" borderId="63" xfId="0" applyFont="1" applyBorder="1" applyAlignment="1">
      <alignment horizontal="center"/>
    </xf>
    <xf numFmtId="4" fontId="29" fillId="0" borderId="65" xfId="0" applyNumberFormat="1" applyFont="1" applyBorder="1" applyAlignment="1">
      <alignment horizontal="center"/>
    </xf>
    <xf numFmtId="4" fontId="30" fillId="16" borderId="65" xfId="0" applyNumberFormat="1" applyFont="1" applyFill="1" applyBorder="1" applyAlignment="1">
      <alignment horizontal="center"/>
    </xf>
    <xf numFmtId="0" fontId="10" fillId="4" borderId="43" xfId="0" applyFont="1" applyFill="1" applyBorder="1" applyAlignment="1">
      <alignment horizontal="center"/>
    </xf>
    <xf numFmtId="0" fontId="18" fillId="30" borderId="96" xfId="0" applyFont="1" applyFill="1" applyBorder="1" applyAlignment="1">
      <alignment horizontal="center" vertical="center"/>
    </xf>
    <xf numFmtId="14" fontId="18" fillId="30" borderId="96" xfId="0" applyNumberFormat="1" applyFont="1" applyFill="1" applyBorder="1" applyAlignment="1">
      <alignment horizontal="center" vertical="center"/>
    </xf>
    <xf numFmtId="0" fontId="10" fillId="4" borderId="46" xfId="0" applyFont="1" applyFill="1" applyBorder="1" applyAlignment="1">
      <alignment horizontal="center"/>
    </xf>
    <xf numFmtId="0" fontId="10" fillId="4" borderId="47" xfId="0" applyFont="1" applyFill="1" applyBorder="1" applyAlignment="1">
      <alignment horizontal="center"/>
    </xf>
    <xf numFmtId="172" fontId="22" fillId="0" borderId="0" xfId="0" applyNumberFormat="1" applyFont="1"/>
    <xf numFmtId="0" fontId="41" fillId="0" borderId="0" xfId="0" applyFont="1"/>
    <xf numFmtId="0" fontId="4" fillId="2" borderId="56" xfId="0" applyFont="1" applyFill="1" applyBorder="1" applyAlignment="1">
      <alignment horizontal="center"/>
    </xf>
    <xf numFmtId="0" fontId="48" fillId="2" borderId="59" xfId="0" applyFont="1" applyFill="1" applyBorder="1"/>
    <xf numFmtId="172" fontId="49" fillId="2" borderId="60" xfId="0" applyNumberFormat="1" applyFont="1" applyFill="1" applyBorder="1" applyAlignment="1">
      <alignment horizontal="center"/>
    </xf>
    <xf numFmtId="172" fontId="49" fillId="2" borderId="39" xfId="0" applyNumberFormat="1" applyFont="1" applyFill="1" applyBorder="1" applyAlignment="1">
      <alignment horizontal="center"/>
    </xf>
    <xf numFmtId="0" fontId="48" fillId="2" borderId="62" xfId="0" applyFont="1" applyFill="1" applyBorder="1"/>
    <xf numFmtId="172" fontId="49" fillId="2" borderId="63" xfId="0" applyNumberFormat="1" applyFont="1" applyFill="1" applyBorder="1" applyAlignment="1">
      <alignment horizontal="center"/>
    </xf>
    <xf numFmtId="172" fontId="49" fillId="2" borderId="65" xfId="0" applyNumberFormat="1" applyFont="1" applyFill="1" applyBorder="1" applyAlignment="1">
      <alignment horizontal="center"/>
    </xf>
    <xf numFmtId="172" fontId="47" fillId="10" borderId="39" xfId="0" applyNumberFormat="1" applyFont="1" applyFill="1" applyBorder="1" applyAlignment="1">
      <alignment horizontal="center"/>
    </xf>
    <xf numFmtId="164" fontId="1" fillId="12" borderId="0" xfId="0" applyNumberFormat="1" applyFont="1" applyFill="1" applyAlignment="1">
      <alignment vertical="center"/>
    </xf>
    <xf numFmtId="164" fontId="1" fillId="12" borderId="0" xfId="0" applyNumberFormat="1" applyFont="1" applyFill="1" applyAlignment="1">
      <alignment horizontal="center" vertical="center"/>
    </xf>
    <xf numFmtId="170" fontId="1" fillId="12" borderId="0" xfId="0" applyNumberFormat="1" applyFont="1" applyFill="1" applyAlignment="1">
      <alignment vertical="center"/>
    </xf>
    <xf numFmtId="9" fontId="1" fillId="12" borderId="0" xfId="0" applyNumberFormat="1" applyFont="1" applyFill="1" applyAlignment="1">
      <alignment vertical="center"/>
    </xf>
    <xf numFmtId="0" fontId="23" fillId="24" borderId="69" xfId="0" applyFont="1" applyFill="1" applyBorder="1" applyAlignment="1">
      <alignment horizontal="center" vertical="center"/>
    </xf>
    <xf numFmtId="10" fontId="23" fillId="10" borderId="70" xfId="0" applyNumberFormat="1" applyFont="1" applyFill="1" applyBorder="1" applyAlignment="1">
      <alignment horizontal="center" vertical="center"/>
    </xf>
    <xf numFmtId="0" fontId="52" fillId="15" borderId="63" xfId="0" applyFont="1" applyFill="1" applyBorder="1" applyAlignment="1">
      <alignment horizontal="center" vertical="center"/>
    </xf>
    <xf numFmtId="9" fontId="54" fillId="14" borderId="63" xfId="0" applyNumberFormat="1" applyFont="1" applyFill="1" applyBorder="1" applyAlignment="1">
      <alignment horizontal="center" vertical="center"/>
    </xf>
    <xf numFmtId="164" fontId="57" fillId="2" borderId="63" xfId="0" applyNumberFormat="1" applyFont="1" applyFill="1" applyBorder="1" applyAlignment="1">
      <alignment horizontal="center" vertical="center"/>
    </xf>
    <xf numFmtId="170" fontId="56" fillId="25" borderId="59" xfId="0" applyNumberFormat="1" applyFont="1" applyFill="1" applyBorder="1" applyAlignment="1">
      <alignment horizontal="center" vertical="center"/>
    </xf>
    <xf numFmtId="0" fontId="56" fillId="16" borderId="61" xfId="0" applyFont="1" applyFill="1" applyBorder="1" applyAlignment="1">
      <alignment horizontal="center" vertical="center"/>
    </xf>
    <xf numFmtId="0" fontId="56" fillId="4" borderId="61" xfId="0" applyFont="1" applyFill="1" applyBorder="1" applyAlignment="1">
      <alignment horizontal="center" vertical="center"/>
    </xf>
    <xf numFmtId="0" fontId="56" fillId="8" borderId="61" xfId="0" applyFont="1" applyFill="1" applyBorder="1" applyAlignment="1">
      <alignment horizontal="center" vertical="center"/>
    </xf>
    <xf numFmtId="0" fontId="56" fillId="5" borderId="61" xfId="0" applyFont="1" applyFill="1" applyBorder="1" applyAlignment="1">
      <alignment horizontal="center" vertical="center"/>
    </xf>
    <xf numFmtId="164" fontId="57" fillId="23" borderId="63" xfId="0" applyNumberFormat="1" applyFont="1" applyFill="1" applyBorder="1" applyAlignment="1">
      <alignment horizontal="center" vertical="center"/>
    </xf>
    <xf numFmtId="9" fontId="54" fillId="14" borderId="53" xfId="0" applyNumberFormat="1" applyFont="1" applyFill="1" applyBorder="1" applyAlignment="1">
      <alignment horizontal="center" vertical="center"/>
    </xf>
    <xf numFmtId="164" fontId="1" fillId="3" borderId="0" xfId="0" applyNumberFormat="1" applyFont="1" applyFill="1" applyAlignment="1">
      <alignment vertical="center"/>
    </xf>
    <xf numFmtId="0" fontId="56" fillId="2" borderId="62" xfId="0" applyFont="1" applyFill="1" applyBorder="1" applyAlignment="1">
      <alignment horizontal="center" vertical="center"/>
    </xf>
    <xf numFmtId="164" fontId="1" fillId="2" borderId="85" xfId="0" applyNumberFormat="1" applyFont="1" applyFill="1" applyBorder="1" applyAlignment="1">
      <alignment vertical="center"/>
    </xf>
    <xf numFmtId="164" fontId="1" fillId="13" borderId="65" xfId="0" applyNumberFormat="1" applyFont="1" applyFill="1" applyBorder="1" applyAlignment="1">
      <alignment vertical="center"/>
    </xf>
    <xf numFmtId="164" fontId="57" fillId="9" borderId="63" xfId="0" applyNumberFormat="1" applyFont="1" applyFill="1" applyBorder="1" applyAlignment="1">
      <alignment horizontal="center" vertical="center"/>
    </xf>
    <xf numFmtId="164" fontId="57" fillId="26" borderId="53" xfId="0" applyNumberFormat="1" applyFont="1" applyFill="1" applyBorder="1" applyAlignment="1">
      <alignment horizontal="center" vertical="center"/>
    </xf>
    <xf numFmtId="9" fontId="55" fillId="27" borderId="58" xfId="0" applyNumberFormat="1" applyFont="1" applyFill="1" applyBorder="1" applyAlignment="1">
      <alignment horizontal="center" vertical="center"/>
    </xf>
    <xf numFmtId="164" fontId="63" fillId="8" borderId="62" xfId="0" applyNumberFormat="1" applyFont="1" applyFill="1" applyBorder="1" applyAlignment="1">
      <alignment horizontal="center" vertical="center"/>
    </xf>
    <xf numFmtId="0" fontId="65" fillId="4" borderId="62" xfId="0" applyFont="1" applyFill="1" applyBorder="1" applyAlignment="1">
      <alignment horizontal="center" vertical="center"/>
    </xf>
    <xf numFmtId="164" fontId="55" fillId="18" borderId="61" xfId="0" applyNumberFormat="1" applyFont="1" applyFill="1" applyBorder="1" applyAlignment="1">
      <alignment horizontal="center" vertical="center"/>
    </xf>
    <xf numFmtId="0" fontId="66" fillId="28" borderId="56" xfId="0" applyFont="1" applyFill="1" applyBorder="1" applyAlignment="1">
      <alignment horizontal="center" vertical="center"/>
    </xf>
    <xf numFmtId="164" fontId="68" fillId="10" borderId="58" xfId="0" applyNumberFormat="1" applyFont="1" applyFill="1" applyBorder="1" applyAlignment="1">
      <alignment horizontal="center" vertical="center"/>
    </xf>
    <xf numFmtId="164" fontId="63" fillId="4" borderId="62" xfId="0" applyNumberFormat="1" applyFont="1" applyFill="1" applyBorder="1" applyAlignment="1">
      <alignment horizontal="center" vertical="center"/>
    </xf>
    <xf numFmtId="10" fontId="63" fillId="12" borderId="65" xfId="0" applyNumberFormat="1" applyFont="1" applyFill="1" applyBorder="1" applyAlignment="1">
      <alignment horizontal="center" vertical="center"/>
    </xf>
    <xf numFmtId="164" fontId="69" fillId="12" borderId="65" xfId="0" applyNumberFormat="1" applyFont="1" applyFill="1" applyBorder="1" applyAlignment="1">
      <alignment horizontal="center" vertical="center"/>
    </xf>
    <xf numFmtId="164" fontId="63" fillId="4" borderId="59" xfId="0" applyNumberFormat="1" applyFont="1" applyFill="1" applyBorder="1" applyAlignment="1">
      <alignment horizontal="center" vertical="center"/>
    </xf>
    <xf numFmtId="9" fontId="63" fillId="12" borderId="39" xfId="0" applyNumberFormat="1" applyFont="1" applyFill="1" applyBorder="1" applyAlignment="1">
      <alignment horizontal="center" vertical="center"/>
    </xf>
    <xf numFmtId="164" fontId="69" fillId="12" borderId="61" xfId="0" applyNumberFormat="1" applyFont="1" applyFill="1" applyBorder="1" applyAlignment="1">
      <alignment horizontal="center" vertical="center"/>
    </xf>
    <xf numFmtId="0" fontId="1" fillId="0" borderId="34" xfId="0" applyFont="1" applyBorder="1" applyAlignment="1">
      <alignment vertical="center"/>
    </xf>
    <xf numFmtId="9" fontId="1" fillId="12" borderId="0" xfId="0" applyNumberFormat="1" applyFont="1" applyFill="1"/>
    <xf numFmtId="164" fontId="1" fillId="12" borderId="0" xfId="0" applyNumberFormat="1" applyFont="1" applyFill="1"/>
    <xf numFmtId="0" fontId="4" fillId="4" borderId="63" xfId="0" applyFont="1" applyFill="1" applyBorder="1" applyAlignment="1">
      <alignment horizontal="center"/>
    </xf>
    <xf numFmtId="0" fontId="11" fillId="10" borderId="63" xfId="0" applyFont="1" applyFill="1" applyBorder="1" applyAlignment="1">
      <alignment horizontal="center" vertical="center"/>
    </xf>
    <xf numFmtId="164" fontId="1" fillId="0" borderId="20" xfId="0" applyNumberFormat="1" applyFont="1" applyBorder="1"/>
    <xf numFmtId="0" fontId="1" fillId="10" borderId="0" xfId="0" applyFont="1" applyFill="1" applyAlignment="1">
      <alignment horizontal="center"/>
    </xf>
    <xf numFmtId="0" fontId="1" fillId="10" borderId="63" xfId="0" applyFont="1" applyFill="1" applyBorder="1"/>
    <xf numFmtId="0" fontId="1" fillId="10" borderId="0" xfId="0" applyFont="1" applyFill="1"/>
    <xf numFmtId="170" fontId="1" fillId="10" borderId="0" xfId="0" applyNumberFormat="1" applyFont="1" applyFill="1"/>
    <xf numFmtId="9" fontId="1" fillId="10" borderId="0" xfId="0" applyNumberFormat="1" applyFont="1" applyFill="1"/>
    <xf numFmtId="0" fontId="23" fillId="10" borderId="72" xfId="0" applyFont="1" applyFill="1" applyBorder="1"/>
    <xf numFmtId="14" fontId="42" fillId="12" borderId="0" xfId="0" applyNumberFormat="1" applyFont="1" applyFill="1" applyAlignment="1">
      <alignment horizontal="center"/>
    </xf>
    <xf numFmtId="14" fontId="83" fillId="0" borderId="0" xfId="0" applyNumberFormat="1" applyFont="1"/>
    <xf numFmtId="0" fontId="27" fillId="12" borderId="0" xfId="0" applyFont="1" applyFill="1"/>
    <xf numFmtId="1" fontId="23" fillId="12" borderId="0" xfId="0" applyNumberFormat="1" applyFont="1" applyFill="1"/>
    <xf numFmtId="14" fontId="92" fillId="0" borderId="0" xfId="0" applyNumberFormat="1" applyFont="1" applyAlignment="1">
      <alignment horizontal="center" vertical="center"/>
    </xf>
    <xf numFmtId="14" fontId="18" fillId="12" borderId="39" xfId="0" applyNumberFormat="1" applyFont="1" applyFill="1" applyBorder="1" applyAlignment="1">
      <alignment horizontal="center"/>
    </xf>
    <xf numFmtId="0" fontId="11" fillId="0" borderId="0" xfId="0" applyFont="1" applyAlignment="1">
      <alignment horizontal="center" vertical="center"/>
    </xf>
    <xf numFmtId="4" fontId="31" fillId="0" borderId="64" xfId="0" applyNumberFormat="1" applyFont="1" applyBorder="1" applyAlignment="1">
      <alignment horizontal="center"/>
    </xf>
    <xf numFmtId="167" fontId="82" fillId="7" borderId="15" xfId="0" applyNumberFormat="1" applyFont="1" applyFill="1" applyBorder="1" applyAlignment="1">
      <alignment vertical="center"/>
    </xf>
    <xf numFmtId="167" fontId="19" fillId="0" borderId="0" xfId="0" applyNumberFormat="1" applyFont="1" applyAlignment="1">
      <alignment vertical="center"/>
    </xf>
    <xf numFmtId="4" fontId="96" fillId="42" borderId="66" xfId="0" applyNumberFormat="1" applyFont="1" applyFill="1" applyBorder="1" applyAlignment="1">
      <alignment horizontal="center" vertical="center"/>
    </xf>
    <xf numFmtId="164" fontId="95" fillId="42" borderId="66" xfId="0" applyNumberFormat="1" applyFont="1" applyFill="1" applyBorder="1" applyAlignment="1">
      <alignment horizontal="center"/>
    </xf>
    <xf numFmtId="166" fontId="95" fillId="42" borderId="99" xfId="0" applyNumberFormat="1" applyFont="1" applyFill="1" applyBorder="1" applyAlignment="1">
      <alignment horizontal="center" vertical="center"/>
    </xf>
    <xf numFmtId="0" fontId="0" fillId="0" borderId="64" xfId="0" applyBorder="1"/>
    <xf numFmtId="4" fontId="21" fillId="0" borderId="64" xfId="0" applyNumberFormat="1" applyFont="1" applyBorder="1" applyAlignment="1">
      <alignment horizontal="center"/>
    </xf>
    <xf numFmtId="0" fontId="22" fillId="0" borderId="64" xfId="0" applyFont="1" applyBorder="1" applyAlignment="1">
      <alignment horizontal="center"/>
    </xf>
    <xf numFmtId="0" fontId="23" fillId="0" borderId="64" xfId="0" applyFont="1" applyBorder="1" applyAlignment="1">
      <alignment horizontal="center"/>
    </xf>
    <xf numFmtId="166" fontId="96" fillId="42" borderId="66" xfId="0" applyNumberFormat="1" applyFont="1" applyFill="1" applyBorder="1" applyAlignment="1">
      <alignment horizontal="center" vertical="center"/>
    </xf>
    <xf numFmtId="4" fontId="26" fillId="12" borderId="100" xfId="0" applyNumberFormat="1" applyFont="1" applyFill="1" applyBorder="1" applyAlignment="1">
      <alignment horizontal="center" vertical="center"/>
    </xf>
    <xf numFmtId="0" fontId="4" fillId="12" borderId="100" xfId="0" applyFont="1" applyFill="1" applyBorder="1" applyAlignment="1">
      <alignment horizontal="center" vertical="center"/>
    </xf>
    <xf numFmtId="168" fontId="4" fillId="0" borderId="64" xfId="0" applyNumberFormat="1" applyFont="1" applyBorder="1" applyAlignment="1">
      <alignment horizontal="center" vertical="center"/>
    </xf>
    <xf numFmtId="166" fontId="35" fillId="38" borderId="101" xfId="0" applyNumberFormat="1" applyFont="1" applyFill="1" applyBorder="1" applyAlignment="1">
      <alignment horizontal="center" vertical="center"/>
    </xf>
    <xf numFmtId="166" fontId="93" fillId="37" borderId="102" xfId="0" applyNumberFormat="1" applyFont="1" applyFill="1" applyBorder="1" applyAlignment="1">
      <alignment horizontal="center" vertical="center"/>
    </xf>
    <xf numFmtId="4" fontId="97" fillId="41" borderId="66" xfId="0" applyNumberFormat="1" applyFont="1" applyFill="1" applyBorder="1" applyAlignment="1">
      <alignment horizontal="center" vertical="center"/>
    </xf>
    <xf numFmtId="166" fontId="98" fillId="41" borderId="66" xfId="0" applyNumberFormat="1" applyFont="1" applyFill="1" applyBorder="1" applyAlignment="1">
      <alignment horizontal="center" vertical="center"/>
    </xf>
    <xf numFmtId="0" fontId="98" fillId="41" borderId="66" xfId="0" applyFont="1" applyFill="1" applyBorder="1" applyAlignment="1">
      <alignment horizontal="center"/>
    </xf>
    <xf numFmtId="166" fontId="98" fillId="43" borderId="99" xfId="0" applyNumberFormat="1" applyFont="1" applyFill="1" applyBorder="1" applyAlignment="1">
      <alignment horizontal="center" vertical="center"/>
    </xf>
    <xf numFmtId="164" fontId="6" fillId="10" borderId="53" xfId="0" applyNumberFormat="1" applyFont="1" applyFill="1" applyBorder="1" applyAlignment="1">
      <alignment horizontal="center"/>
    </xf>
    <xf numFmtId="0" fontId="6" fillId="10" borderId="33" xfId="0" applyFont="1" applyFill="1" applyBorder="1" applyAlignment="1">
      <alignment horizontal="center"/>
    </xf>
    <xf numFmtId="165" fontId="28" fillId="44" borderId="48" xfId="0" applyNumberFormat="1" applyFont="1" applyFill="1" applyBorder="1" applyAlignment="1">
      <alignment horizontal="center"/>
    </xf>
    <xf numFmtId="4" fontId="1" fillId="12" borderId="0" xfId="0" applyNumberFormat="1" applyFont="1" applyFill="1"/>
    <xf numFmtId="4" fontId="23" fillId="12" borderId="0" xfId="0" applyNumberFormat="1" applyFont="1" applyFill="1"/>
    <xf numFmtId="4" fontId="42" fillId="12" borderId="0" xfId="0" applyNumberFormat="1" applyFont="1" applyFill="1" applyAlignment="1">
      <alignment horizontal="center"/>
    </xf>
    <xf numFmtId="10" fontId="19" fillId="45" borderId="39" xfId="0" applyNumberFormat="1" applyFont="1" applyFill="1" applyBorder="1" applyAlignment="1">
      <alignment horizontal="center" vertical="center"/>
    </xf>
    <xf numFmtId="0" fontId="5" fillId="2" borderId="64" xfId="0" applyFont="1" applyFill="1" applyBorder="1" applyAlignment="1">
      <alignment vertical="center"/>
    </xf>
    <xf numFmtId="0" fontId="1" fillId="2" borderId="64" xfId="0" applyFont="1" applyFill="1" applyBorder="1" applyAlignment="1">
      <alignment vertical="center"/>
    </xf>
    <xf numFmtId="167" fontId="15" fillId="4" borderId="57" xfId="0" applyNumberFormat="1" applyFont="1" applyFill="1" applyBorder="1" applyAlignment="1">
      <alignment horizontal="center" vertical="center"/>
    </xf>
    <xf numFmtId="164" fontId="1" fillId="2" borderId="64" xfId="0" applyNumberFormat="1" applyFont="1" applyFill="1" applyBorder="1" applyAlignment="1">
      <alignment vertical="center"/>
    </xf>
    <xf numFmtId="164" fontId="100" fillId="2" borderId="69" xfId="0" applyNumberFormat="1" applyFont="1" applyFill="1" applyBorder="1" applyAlignment="1">
      <alignment vertical="center"/>
    </xf>
    <xf numFmtId="0" fontId="1" fillId="2" borderId="64" xfId="0" applyFont="1" applyFill="1" applyBorder="1" applyAlignment="1">
      <alignment horizontal="center" vertical="center"/>
    </xf>
    <xf numFmtId="164" fontId="1" fillId="2" borderId="68" xfId="0" applyNumberFormat="1" applyFont="1" applyFill="1" applyBorder="1" applyAlignment="1">
      <alignment vertical="center"/>
    </xf>
    <xf numFmtId="0" fontId="1" fillId="2" borderId="66" xfId="0" applyFont="1" applyFill="1" applyBorder="1" applyAlignment="1">
      <alignment vertical="center"/>
    </xf>
    <xf numFmtId="0" fontId="1" fillId="2" borderId="99" xfId="0" applyFont="1" applyFill="1" applyBorder="1" applyAlignment="1">
      <alignment vertical="center"/>
    </xf>
    <xf numFmtId="167" fontId="4" fillId="4" borderId="57" xfId="0" applyNumberFormat="1" applyFont="1" applyFill="1" applyBorder="1" applyAlignment="1">
      <alignment horizontal="center" vertical="center"/>
    </xf>
    <xf numFmtId="0" fontId="0" fillId="0" borderId="63" xfId="0" applyBorder="1"/>
    <xf numFmtId="0" fontId="0" fillId="0" borderId="72" xfId="0" applyBorder="1"/>
    <xf numFmtId="0" fontId="0" fillId="0" borderId="72" xfId="0" applyBorder="1" applyAlignment="1">
      <alignment vertical="center"/>
    </xf>
    <xf numFmtId="167" fontId="4" fillId="4" borderId="104" xfId="0" applyNumberFormat="1" applyFont="1" applyFill="1" applyBorder="1" applyAlignment="1">
      <alignment horizontal="center" vertical="center"/>
    </xf>
    <xf numFmtId="10" fontId="4" fillId="4" borderId="105" xfId="0" applyNumberFormat="1" applyFont="1" applyFill="1" applyBorder="1" applyAlignment="1">
      <alignment horizontal="center" vertical="center"/>
    </xf>
    <xf numFmtId="0" fontId="102" fillId="0" borderId="72" xfId="0" applyFont="1" applyBorder="1"/>
    <xf numFmtId="10" fontId="34" fillId="2" borderId="69" xfId="0" applyNumberFormat="1" applyFont="1" applyFill="1" applyBorder="1" applyAlignment="1">
      <alignment horizontal="center" vertical="center"/>
    </xf>
    <xf numFmtId="10" fontId="91" fillId="2" borderId="103" xfId="0" applyNumberFormat="1" applyFont="1" applyFill="1" applyBorder="1" applyAlignment="1">
      <alignment horizontal="center" vertical="center"/>
    </xf>
    <xf numFmtId="164" fontId="34" fillId="2" borderId="33" xfId="0" applyNumberFormat="1" applyFont="1" applyFill="1" applyBorder="1" applyAlignment="1">
      <alignment vertical="center"/>
    </xf>
    <xf numFmtId="0" fontId="103" fillId="0" borderId="64" xfId="0" applyFont="1" applyBorder="1" applyAlignment="1">
      <alignment horizontal="center"/>
    </xf>
    <xf numFmtId="4" fontId="103" fillId="0" borderId="64" xfId="0" applyNumberFormat="1" applyFont="1" applyBorder="1" applyAlignment="1">
      <alignment horizontal="center"/>
    </xf>
    <xf numFmtId="173" fontId="18" fillId="0" borderId="0" xfId="0" applyNumberFormat="1" applyFont="1" applyAlignment="1">
      <alignment horizontal="center"/>
    </xf>
    <xf numFmtId="0" fontId="1" fillId="2" borderId="0" xfId="0" applyFont="1" applyFill="1" applyAlignment="1">
      <alignment vertical="center"/>
    </xf>
    <xf numFmtId="0" fontId="4" fillId="0" borderId="0" xfId="0" applyFont="1" applyAlignment="1">
      <alignment horizontal="center"/>
    </xf>
    <xf numFmtId="0" fontId="1" fillId="3" borderId="0" xfId="0" applyFont="1" applyFill="1" applyAlignment="1">
      <alignment vertical="center"/>
    </xf>
    <xf numFmtId="0" fontId="1" fillId="36" borderId="0" xfId="0" applyFont="1" applyFill="1"/>
    <xf numFmtId="14" fontId="90" fillId="36" borderId="0" xfId="0" applyNumberFormat="1" applyFont="1" applyFill="1"/>
    <xf numFmtId="0" fontId="83" fillId="36" borderId="0" xfId="0" applyFont="1" applyFill="1"/>
    <xf numFmtId="0" fontId="83" fillId="36" borderId="0" xfId="0" applyFont="1" applyFill="1" applyAlignment="1">
      <alignment horizontal="right"/>
    </xf>
    <xf numFmtId="0" fontId="23" fillId="36" borderId="0" xfId="0" applyFont="1" applyFill="1"/>
    <xf numFmtId="4" fontId="23" fillId="36" borderId="0" xfId="0" applyNumberFormat="1" applyFont="1" applyFill="1"/>
    <xf numFmtId="14" fontId="83" fillId="36" borderId="0" xfId="0" applyNumberFormat="1" applyFont="1" applyFill="1"/>
    <xf numFmtId="8" fontId="23" fillId="36" borderId="0" xfId="0" applyNumberFormat="1" applyFont="1" applyFill="1"/>
    <xf numFmtId="0" fontId="104" fillId="36" borderId="0" xfId="0" applyFont="1" applyFill="1"/>
    <xf numFmtId="0" fontId="90" fillId="36" borderId="0" xfId="0" applyFont="1" applyFill="1"/>
    <xf numFmtId="0" fontId="23" fillId="36" borderId="0" xfId="0" applyFont="1" applyFill="1" applyAlignment="1">
      <alignment horizontal="left"/>
    </xf>
    <xf numFmtId="0" fontId="23" fillId="36" borderId="0" xfId="0" applyFont="1" applyFill="1" applyAlignment="1">
      <alignment horizontal="right"/>
    </xf>
    <xf numFmtId="4" fontId="83" fillId="36" borderId="0" xfId="0" applyNumberFormat="1" applyFont="1" applyFill="1"/>
    <xf numFmtId="174" fontId="83" fillId="36" borderId="0" xfId="0" applyNumberFormat="1" applyFont="1" applyFill="1"/>
    <xf numFmtId="0" fontId="105" fillId="36" borderId="0" xfId="0" applyFont="1" applyFill="1" applyAlignment="1">
      <alignment horizontal="center"/>
    </xf>
    <xf numFmtId="0" fontId="1" fillId="46" borderId="0" xfId="0" applyFont="1" applyFill="1"/>
    <xf numFmtId="4" fontId="86" fillId="36" borderId="97" xfId="0" applyNumberFormat="1" applyFont="1" applyFill="1" applyBorder="1"/>
    <xf numFmtId="4" fontId="23" fillId="36" borderId="64" xfId="0" applyNumberFormat="1" applyFont="1" applyFill="1" applyBorder="1"/>
    <xf numFmtId="171" fontId="30" fillId="0" borderId="0" xfId="0" applyNumberFormat="1" applyFont="1" applyAlignment="1">
      <alignment horizontal="center"/>
    </xf>
    <xf numFmtId="165" fontId="1" fillId="0" borderId="0" xfId="0" applyNumberFormat="1" applyFont="1"/>
    <xf numFmtId="0" fontId="0" fillId="0" borderId="0" xfId="0" applyAlignment="1">
      <alignment horizontal="center"/>
    </xf>
    <xf numFmtId="44" fontId="106" fillId="0" borderId="0" xfId="0" applyNumberFormat="1" applyFont="1"/>
    <xf numFmtId="4" fontId="1" fillId="36" borderId="0" xfId="0" applyNumberFormat="1" applyFont="1" applyFill="1"/>
    <xf numFmtId="4" fontId="0" fillId="36" borderId="0" xfId="0" applyNumberFormat="1" applyFill="1"/>
    <xf numFmtId="4" fontId="89" fillId="39" borderId="64" xfId="0" applyNumberFormat="1" applyFont="1" applyFill="1" applyBorder="1" applyAlignment="1">
      <alignment horizontal="left"/>
    </xf>
    <xf numFmtId="4" fontId="90" fillId="36" borderId="0" xfId="0" applyNumberFormat="1" applyFont="1" applyFill="1"/>
    <xf numFmtId="4" fontId="0" fillId="0" borderId="108" xfId="0" applyNumberFormat="1" applyBorder="1"/>
    <xf numFmtId="4" fontId="0" fillId="0" borderId="109" xfId="0" applyNumberFormat="1" applyBorder="1"/>
    <xf numFmtId="4" fontId="103" fillId="0" borderId="109" xfId="0" applyNumberFormat="1" applyFont="1" applyBorder="1"/>
    <xf numFmtId="0" fontId="1" fillId="38" borderId="0" xfId="0" applyFont="1" applyFill="1"/>
    <xf numFmtId="4" fontId="0" fillId="0" borderId="110" xfId="0" applyNumberFormat="1" applyBorder="1"/>
    <xf numFmtId="0" fontId="47" fillId="10" borderId="111" xfId="0" applyFont="1" applyFill="1" applyBorder="1"/>
    <xf numFmtId="172" fontId="47" fillId="10" borderId="112" xfId="0" applyNumberFormat="1" applyFont="1" applyFill="1" applyBorder="1" applyAlignment="1">
      <alignment horizontal="center"/>
    </xf>
    <xf numFmtId="172" fontId="47" fillId="10" borderId="7" xfId="0" applyNumberFormat="1" applyFont="1" applyFill="1" applyBorder="1" applyAlignment="1">
      <alignment horizontal="center"/>
    </xf>
    <xf numFmtId="172" fontId="47" fillId="10" borderId="23" xfId="0" applyNumberFormat="1" applyFont="1" applyFill="1" applyBorder="1" applyAlignment="1">
      <alignment horizontal="center"/>
    </xf>
    <xf numFmtId="166" fontId="27" fillId="38" borderId="39" xfId="0" applyNumberFormat="1" applyFont="1" applyFill="1" applyBorder="1" applyAlignment="1">
      <alignment horizontal="center"/>
    </xf>
    <xf numFmtId="4" fontId="83" fillId="37" borderId="0" xfId="0" applyNumberFormat="1" applyFont="1" applyFill="1" applyAlignment="1">
      <alignment horizontal="center"/>
    </xf>
    <xf numFmtId="4" fontId="83" fillId="0" borderId="0" xfId="0" applyNumberFormat="1" applyFont="1" applyAlignment="1">
      <alignment horizontal="center"/>
    </xf>
    <xf numFmtId="4" fontId="0" fillId="0" borderId="0" xfId="0" applyNumberFormat="1" applyAlignment="1">
      <alignment horizontal="center"/>
    </xf>
    <xf numFmtId="0" fontId="71" fillId="0" borderId="0" xfId="0" applyFont="1" applyAlignment="1">
      <alignment horizontal="center"/>
    </xf>
    <xf numFmtId="14" fontId="71" fillId="0" borderId="0" xfId="0" applyNumberFormat="1" applyFont="1"/>
    <xf numFmtId="0" fontId="13" fillId="0" borderId="64" xfId="0" applyFont="1" applyBorder="1"/>
    <xf numFmtId="0" fontId="4" fillId="7" borderId="64" xfId="0" applyFont="1" applyFill="1" applyBorder="1" applyAlignment="1">
      <alignment horizontal="left" vertical="center"/>
    </xf>
    <xf numFmtId="167" fontId="19" fillId="7" borderId="64" xfId="0" applyNumberFormat="1" applyFont="1" applyFill="1" applyBorder="1" applyAlignment="1">
      <alignment vertical="center"/>
    </xf>
    <xf numFmtId="167" fontId="76" fillId="7" borderId="64" xfId="0" applyNumberFormat="1" applyFont="1" applyFill="1" applyBorder="1" applyAlignment="1">
      <alignment horizontal="center" vertical="center"/>
    </xf>
    <xf numFmtId="10" fontId="76" fillId="7" borderId="64" xfId="0" applyNumberFormat="1" applyFont="1" applyFill="1" applyBorder="1" applyAlignment="1">
      <alignment horizontal="center" vertical="center"/>
    </xf>
    <xf numFmtId="165" fontId="109" fillId="49" borderId="64" xfId="0" applyNumberFormat="1" applyFont="1" applyFill="1" applyBorder="1" applyAlignment="1">
      <alignment vertical="center"/>
    </xf>
    <xf numFmtId="164" fontId="109" fillId="49" borderId="64" xfId="0" applyNumberFormat="1" applyFont="1" applyFill="1" applyBorder="1" applyAlignment="1">
      <alignment horizontal="center" vertical="center"/>
    </xf>
    <xf numFmtId="9" fontId="109" fillId="49" borderId="64" xfId="0" applyNumberFormat="1" applyFont="1" applyFill="1" applyBorder="1" applyAlignment="1">
      <alignment horizontal="center" vertical="center"/>
    </xf>
    <xf numFmtId="165" fontId="3" fillId="3" borderId="25" xfId="0" applyNumberFormat="1" applyFont="1" applyFill="1" applyBorder="1" applyAlignment="1">
      <alignment vertical="center"/>
    </xf>
    <xf numFmtId="164" fontId="3" fillId="3" borderId="26" xfId="0" applyNumberFormat="1" applyFont="1" applyFill="1" applyBorder="1" applyAlignment="1">
      <alignment horizontal="center" vertical="center"/>
    </xf>
    <xf numFmtId="9" fontId="3" fillId="3" borderId="27" xfId="0" applyNumberFormat="1" applyFont="1" applyFill="1" applyBorder="1" applyAlignment="1">
      <alignment horizontal="center" vertical="center"/>
    </xf>
    <xf numFmtId="0" fontId="108" fillId="2" borderId="62" xfId="0" applyFont="1" applyFill="1" applyBorder="1"/>
    <xf numFmtId="172" fontId="34" fillId="2" borderId="63" xfId="0" applyNumberFormat="1" applyFont="1" applyFill="1" applyBorder="1" applyAlignment="1">
      <alignment horizontal="center"/>
    </xf>
    <xf numFmtId="172" fontId="34" fillId="2" borderId="0" xfId="0" applyNumberFormat="1" applyFont="1" applyFill="1" applyAlignment="1">
      <alignment horizontal="center"/>
    </xf>
    <xf numFmtId="172" fontId="34" fillId="2" borderId="65" xfId="0" applyNumberFormat="1" applyFont="1" applyFill="1" applyBorder="1" applyAlignment="1">
      <alignment horizontal="center"/>
    </xf>
    <xf numFmtId="0" fontId="111" fillId="30" borderId="62" xfId="0" applyFont="1" applyFill="1" applyBorder="1"/>
    <xf numFmtId="172" fontId="112" fillId="30" borderId="63" xfId="0" applyNumberFormat="1" applyFont="1" applyFill="1" applyBorder="1" applyAlignment="1">
      <alignment horizontal="center"/>
    </xf>
    <xf numFmtId="172" fontId="112" fillId="30" borderId="0" xfId="0" applyNumberFormat="1" applyFont="1" applyFill="1" applyAlignment="1">
      <alignment horizontal="center"/>
    </xf>
    <xf numFmtId="172" fontId="112" fillId="30" borderId="65" xfId="0" applyNumberFormat="1" applyFont="1" applyFill="1" applyBorder="1" applyAlignment="1">
      <alignment horizontal="center"/>
    </xf>
    <xf numFmtId="14" fontId="18" fillId="0" borderId="0" xfId="0" applyNumberFormat="1" applyFont="1"/>
    <xf numFmtId="14" fontId="28" fillId="0" borderId="64" xfId="0" applyNumberFormat="1" applyFont="1" applyBorder="1" applyAlignment="1">
      <alignment vertical="center"/>
    </xf>
    <xf numFmtId="14" fontId="4" fillId="12" borderId="39" xfId="0" applyNumberFormat="1" applyFont="1" applyFill="1" applyBorder="1"/>
    <xf numFmtId="14" fontId="4" fillId="0" borderId="0" xfId="0" applyNumberFormat="1" applyFont="1" applyAlignment="1">
      <alignment vertical="center"/>
    </xf>
    <xf numFmtId="0" fontId="113" fillId="50" borderId="0" xfId="0" applyFont="1" applyFill="1"/>
    <xf numFmtId="0" fontId="114" fillId="50" borderId="0" xfId="0" applyFont="1" applyFill="1"/>
    <xf numFmtId="0" fontId="114" fillId="50" borderId="64" xfId="0" applyFont="1" applyFill="1" applyBorder="1"/>
    <xf numFmtId="14" fontId="115" fillId="50" borderId="0" xfId="0" applyNumberFormat="1" applyFont="1" applyFill="1"/>
    <xf numFmtId="4" fontId="116" fillId="50" borderId="0" xfId="0" applyNumberFormat="1" applyFont="1" applyFill="1"/>
    <xf numFmtId="4" fontId="1" fillId="0" borderId="0" xfId="0" applyNumberFormat="1" applyFont="1" applyAlignment="1">
      <alignment horizontal="center"/>
    </xf>
    <xf numFmtId="4" fontId="1" fillId="0" borderId="64" xfId="0" applyNumberFormat="1" applyFont="1" applyBorder="1" applyAlignment="1">
      <alignment horizontal="center"/>
    </xf>
    <xf numFmtId="4" fontId="95" fillId="42" borderId="68" xfId="0" applyNumberFormat="1" applyFont="1" applyFill="1" applyBorder="1" applyAlignment="1">
      <alignment horizontal="center"/>
    </xf>
    <xf numFmtId="4" fontId="94" fillId="41" borderId="68" xfId="0" applyNumberFormat="1" applyFont="1" applyFill="1" applyBorder="1" applyAlignment="1">
      <alignment horizontal="center"/>
    </xf>
    <xf numFmtId="4" fontId="4" fillId="12" borderId="69" xfId="0" applyNumberFormat="1" applyFont="1" applyFill="1" applyBorder="1" applyAlignment="1">
      <alignment horizontal="center" vertical="center"/>
    </xf>
    <xf numFmtId="4" fontId="4" fillId="12" borderId="39" xfId="0" applyNumberFormat="1" applyFont="1" applyFill="1" applyBorder="1" applyAlignment="1">
      <alignment horizontal="center"/>
    </xf>
    <xf numFmtId="0" fontId="117" fillId="51" borderId="39" xfId="0" applyFont="1" applyFill="1" applyBorder="1" applyAlignment="1">
      <alignment horizontal="center"/>
    </xf>
    <xf numFmtId="167" fontId="82" fillId="52" borderId="15" xfId="0" applyNumberFormat="1" applyFont="1" applyFill="1" applyBorder="1" applyAlignment="1">
      <alignment vertical="center"/>
    </xf>
    <xf numFmtId="4" fontId="18" fillId="0" borderId="0" xfId="0" applyNumberFormat="1" applyFont="1" applyAlignment="1">
      <alignment horizontal="center"/>
    </xf>
    <xf numFmtId="0" fontId="35" fillId="23" borderId="0" xfId="0" applyFont="1" applyFill="1" applyAlignment="1">
      <alignment horizontal="center"/>
    </xf>
    <xf numFmtId="0" fontId="120" fillId="5" borderId="50" xfId="0" applyFont="1" applyFill="1" applyBorder="1" applyAlignment="1">
      <alignment horizontal="right" vertical="center"/>
    </xf>
    <xf numFmtId="0" fontId="35" fillId="2" borderId="50" xfId="0" applyFont="1" applyFill="1" applyBorder="1" applyAlignment="1">
      <alignment horizontal="center"/>
    </xf>
    <xf numFmtId="0" fontId="121" fillId="2" borderId="0" xfId="0" applyFont="1" applyFill="1" applyAlignment="1">
      <alignment horizontal="left" vertical="center"/>
    </xf>
    <xf numFmtId="172" fontId="121" fillId="2" borderId="0" xfId="0" applyNumberFormat="1" applyFont="1" applyFill="1" applyAlignment="1">
      <alignment horizontal="center"/>
    </xf>
    <xf numFmtId="0" fontId="122" fillId="2" borderId="0" xfId="0" applyFont="1" applyFill="1" applyAlignment="1">
      <alignment horizontal="left" vertical="center"/>
    </xf>
    <xf numFmtId="172" fontId="122" fillId="2" borderId="0" xfId="0" applyNumberFormat="1" applyFont="1" applyFill="1" applyAlignment="1">
      <alignment horizontal="center"/>
    </xf>
    <xf numFmtId="0" fontId="123" fillId="2" borderId="0" xfId="0" applyFont="1" applyFill="1" applyAlignment="1">
      <alignment horizontal="left" vertical="center"/>
    </xf>
    <xf numFmtId="172" fontId="123" fillId="2" borderId="0" xfId="0" applyNumberFormat="1" applyFont="1" applyFill="1" applyAlignment="1">
      <alignment horizontal="center"/>
    </xf>
    <xf numFmtId="0" fontId="35" fillId="2" borderId="0" xfId="0" applyFont="1" applyFill="1" applyAlignment="1">
      <alignment horizontal="left"/>
    </xf>
    <xf numFmtId="172" fontId="35" fillId="2" borderId="0" xfId="0" applyNumberFormat="1" applyFont="1" applyFill="1" applyAlignment="1">
      <alignment horizontal="center"/>
    </xf>
    <xf numFmtId="172" fontId="124" fillId="2" borderId="0" xfId="0" applyNumberFormat="1" applyFont="1" applyFill="1" applyAlignment="1">
      <alignment horizontal="center"/>
    </xf>
    <xf numFmtId="0" fontId="125" fillId="2" borderId="0" xfId="0" applyFont="1" applyFill="1" applyAlignment="1">
      <alignment horizontal="left"/>
    </xf>
    <xf numFmtId="172" fontId="125" fillId="2" borderId="0" xfId="0" applyNumberFormat="1" applyFont="1" applyFill="1" applyAlignment="1">
      <alignment horizontal="center"/>
    </xf>
    <xf numFmtId="172" fontId="79" fillId="2" borderId="0" xfId="0" applyNumberFormat="1" applyFont="1" applyFill="1" applyAlignment="1">
      <alignment horizontal="center"/>
    </xf>
    <xf numFmtId="172" fontId="6" fillId="2" borderId="0" xfId="0" applyNumberFormat="1" applyFont="1" applyFill="1" applyAlignment="1">
      <alignment horizontal="center"/>
    </xf>
    <xf numFmtId="0" fontId="35" fillId="2" borderId="50" xfId="0" applyFont="1" applyFill="1" applyBorder="1" applyAlignment="1">
      <alignment horizontal="left"/>
    </xf>
    <xf numFmtId="172" fontId="35" fillId="2" borderId="50" xfId="0" applyNumberFormat="1" applyFont="1" applyFill="1" applyBorder="1" applyAlignment="1">
      <alignment horizontal="center"/>
    </xf>
    <xf numFmtId="172" fontId="124" fillId="2" borderId="50" xfId="0" applyNumberFormat="1" applyFont="1" applyFill="1" applyBorder="1" applyAlignment="1">
      <alignment horizontal="center"/>
    </xf>
    <xf numFmtId="172" fontId="124" fillId="2" borderId="64" xfId="0" applyNumberFormat="1" applyFont="1" applyFill="1" applyBorder="1" applyAlignment="1">
      <alignment horizontal="center"/>
    </xf>
    <xf numFmtId="0" fontId="110" fillId="2" borderId="50" xfId="0" applyFont="1" applyFill="1" applyBorder="1" applyAlignment="1">
      <alignment horizontal="left"/>
    </xf>
    <xf numFmtId="10" fontId="110" fillId="2" borderId="50" xfId="0" applyNumberFormat="1" applyFont="1" applyFill="1" applyBorder="1" applyAlignment="1">
      <alignment horizontal="center"/>
    </xf>
    <xf numFmtId="0" fontId="124" fillId="18" borderId="0" xfId="0" applyFont="1" applyFill="1" applyAlignment="1">
      <alignment horizontal="left"/>
    </xf>
    <xf numFmtId="0" fontId="35" fillId="18" borderId="0" xfId="0" applyFont="1" applyFill="1" applyAlignment="1">
      <alignment horizontal="center"/>
    </xf>
    <xf numFmtId="0" fontId="124" fillId="18" borderId="0" xfId="0" applyFont="1" applyFill="1" applyAlignment="1">
      <alignment horizontal="center"/>
    </xf>
    <xf numFmtId="3" fontId="35" fillId="2" borderId="0" xfId="0" applyNumberFormat="1" applyFont="1" applyFill="1" applyAlignment="1">
      <alignment horizontal="center"/>
    </xf>
    <xf numFmtId="164" fontId="35" fillId="2" borderId="50" xfId="0" applyNumberFormat="1" applyFont="1" applyFill="1" applyBorder="1" applyAlignment="1">
      <alignment horizontal="center"/>
    </xf>
    <xf numFmtId="0" fontId="35" fillId="23" borderId="0" xfId="0" applyFont="1" applyFill="1" applyAlignment="1">
      <alignment horizontal="left"/>
    </xf>
    <xf numFmtId="172" fontId="35" fillId="23" borderId="0" xfId="0" applyNumberFormat="1" applyFont="1" applyFill="1" applyAlignment="1">
      <alignment horizontal="center"/>
    </xf>
    <xf numFmtId="164" fontId="35" fillId="23" borderId="0" xfId="0" applyNumberFormat="1" applyFont="1" applyFill="1" applyAlignment="1">
      <alignment horizontal="center"/>
    </xf>
    <xf numFmtId="10" fontId="35" fillId="2" borderId="0" xfId="0" applyNumberFormat="1" applyFont="1" applyFill="1" applyAlignment="1">
      <alignment horizontal="center"/>
    </xf>
    <xf numFmtId="164" fontId="35" fillId="2" borderId="0" xfId="0" applyNumberFormat="1" applyFont="1" applyFill="1" applyAlignment="1">
      <alignment horizontal="center"/>
    </xf>
    <xf numFmtId="0" fontId="6" fillId="2" borderId="50" xfId="0" applyFont="1" applyFill="1" applyBorder="1" applyAlignment="1">
      <alignment horizontal="left"/>
    </xf>
    <xf numFmtId="10" fontId="6" fillId="2" borderId="50" xfId="0" applyNumberFormat="1" applyFont="1" applyFill="1" applyBorder="1" applyAlignment="1">
      <alignment horizontal="center"/>
    </xf>
    <xf numFmtId="0" fontId="126" fillId="2" borderId="0" xfId="0" applyFont="1" applyFill="1"/>
    <xf numFmtId="0" fontId="128" fillId="54" borderId="0" xfId="0" applyFont="1" applyFill="1" applyAlignment="1">
      <alignment horizontal="left"/>
    </xf>
    <xf numFmtId="172" fontId="128" fillId="54" borderId="0" xfId="0" applyNumberFormat="1" applyFont="1" applyFill="1" applyAlignment="1">
      <alignment horizontal="center"/>
    </xf>
    <xf numFmtId="0" fontId="34" fillId="30" borderId="0" xfId="0" applyFont="1" applyFill="1" applyAlignment="1">
      <alignment horizontal="left"/>
    </xf>
    <xf numFmtId="0" fontId="34" fillId="53" borderId="0" xfId="0" applyFont="1" applyFill="1" applyAlignment="1">
      <alignment horizontal="left"/>
    </xf>
    <xf numFmtId="172" fontId="34" fillId="30" borderId="0" xfId="0" applyNumberFormat="1" applyFont="1" applyFill="1" applyAlignment="1">
      <alignment horizontal="center"/>
    </xf>
    <xf numFmtId="172" fontId="34" fillId="53" borderId="0" xfId="0" applyNumberFormat="1" applyFont="1" applyFill="1" applyAlignment="1">
      <alignment horizontal="center"/>
    </xf>
    <xf numFmtId="172" fontId="49" fillId="30" borderId="0" xfId="0" applyNumberFormat="1" applyFont="1" applyFill="1" applyAlignment="1">
      <alignment horizontal="center"/>
    </xf>
    <xf numFmtId="0" fontId="129" fillId="30" borderId="62" xfId="0" applyFont="1" applyFill="1" applyBorder="1"/>
    <xf numFmtId="172" fontId="130" fillId="30" borderId="63" xfId="0" applyNumberFormat="1" applyFont="1" applyFill="1" applyBorder="1" applyAlignment="1">
      <alignment horizontal="center"/>
    </xf>
    <xf numFmtId="0" fontId="131" fillId="10" borderId="62" xfId="0" applyFont="1" applyFill="1" applyBorder="1"/>
    <xf numFmtId="172" fontId="131" fillId="10" borderId="63" xfId="0" applyNumberFormat="1" applyFont="1" applyFill="1" applyBorder="1" applyAlignment="1">
      <alignment horizontal="center"/>
    </xf>
    <xf numFmtId="172" fontId="131" fillId="10" borderId="64" xfId="0" applyNumberFormat="1" applyFont="1" applyFill="1" applyBorder="1" applyAlignment="1">
      <alignment horizontal="center"/>
    </xf>
    <xf numFmtId="172" fontId="131" fillId="10" borderId="65" xfId="0" applyNumberFormat="1" applyFont="1" applyFill="1" applyBorder="1" applyAlignment="1">
      <alignment horizontal="center"/>
    </xf>
    <xf numFmtId="0" fontId="132" fillId="47" borderId="62" xfId="0" applyFont="1" applyFill="1" applyBorder="1"/>
    <xf numFmtId="172" fontId="127" fillId="47" borderId="63" xfId="0" applyNumberFormat="1" applyFont="1" applyFill="1" applyBorder="1" applyAlignment="1">
      <alignment horizontal="center"/>
    </xf>
    <xf numFmtId="172" fontId="127" fillId="47" borderId="0" xfId="0" applyNumberFormat="1" applyFont="1" applyFill="1" applyAlignment="1">
      <alignment horizontal="center"/>
    </xf>
    <xf numFmtId="172" fontId="127" fillId="47" borderId="65" xfId="0" applyNumberFormat="1" applyFont="1" applyFill="1" applyBorder="1" applyAlignment="1">
      <alignment horizontal="center"/>
    </xf>
    <xf numFmtId="0" fontId="133" fillId="55" borderId="113" xfId="0" applyFont="1" applyFill="1" applyBorder="1"/>
    <xf numFmtId="172" fontId="134" fillId="56" borderId="114" xfId="0" applyNumberFormat="1" applyFont="1" applyFill="1" applyBorder="1" applyAlignment="1">
      <alignment horizontal="center"/>
    </xf>
    <xf numFmtId="172" fontId="134" fillId="56" borderId="115" xfId="0" applyNumberFormat="1" applyFont="1" applyFill="1" applyBorder="1" applyAlignment="1">
      <alignment horizontal="center"/>
    </xf>
    <xf numFmtId="172" fontId="135" fillId="2" borderId="63" xfId="0" applyNumberFormat="1" applyFont="1" applyFill="1" applyBorder="1" applyAlignment="1">
      <alignment horizontal="center"/>
    </xf>
    <xf numFmtId="172" fontId="135" fillId="2" borderId="0" xfId="0" applyNumberFormat="1" applyFont="1" applyFill="1" applyAlignment="1">
      <alignment horizontal="center"/>
    </xf>
    <xf numFmtId="172" fontId="135" fillId="2" borderId="65" xfId="0" applyNumberFormat="1" applyFont="1" applyFill="1" applyBorder="1" applyAlignment="1">
      <alignment horizontal="center"/>
    </xf>
    <xf numFmtId="0" fontId="118" fillId="2" borderId="62" xfId="0" applyFont="1" applyFill="1" applyBorder="1"/>
    <xf numFmtId="0" fontId="136" fillId="10" borderId="59" xfId="0" applyFont="1" applyFill="1" applyBorder="1"/>
    <xf numFmtId="10" fontId="136" fillId="10" borderId="60" xfId="0" applyNumberFormat="1" applyFont="1" applyFill="1" applyBorder="1" applyAlignment="1">
      <alignment horizontal="center"/>
    </xf>
    <xf numFmtId="10" fontId="136" fillId="10" borderId="39" xfId="0" applyNumberFormat="1" applyFont="1" applyFill="1" applyBorder="1" applyAlignment="1">
      <alignment horizontal="center"/>
    </xf>
    <xf numFmtId="10" fontId="136" fillId="10" borderId="61" xfId="0" applyNumberFormat="1" applyFont="1" applyFill="1" applyBorder="1" applyAlignment="1">
      <alignment horizontal="center"/>
    </xf>
    <xf numFmtId="0" fontId="137" fillId="2" borderId="59" xfId="0" applyFont="1" applyFill="1" applyBorder="1"/>
    <xf numFmtId="10" fontId="35" fillId="2" borderId="60" xfId="0" applyNumberFormat="1" applyFont="1" applyFill="1" applyBorder="1" applyAlignment="1">
      <alignment horizontal="center"/>
    </xf>
    <xf numFmtId="10" fontId="35" fillId="2" borderId="39" xfId="0" applyNumberFormat="1" applyFont="1" applyFill="1" applyBorder="1" applyAlignment="1">
      <alignment horizontal="center"/>
    </xf>
    <xf numFmtId="10" fontId="35" fillId="2" borderId="61" xfId="0" applyNumberFormat="1" applyFont="1" applyFill="1" applyBorder="1" applyAlignment="1">
      <alignment horizontal="center"/>
    </xf>
    <xf numFmtId="0" fontId="138" fillId="5" borderId="50" xfId="0" applyFont="1" applyFill="1" applyBorder="1" applyAlignment="1">
      <alignment horizontal="center" vertical="center"/>
    </xf>
    <xf numFmtId="0" fontId="84" fillId="0" borderId="0" xfId="0" applyFont="1"/>
    <xf numFmtId="0" fontId="84" fillId="18" borderId="0" xfId="0" applyFont="1" applyFill="1" applyAlignment="1">
      <alignment horizontal="left"/>
    </xf>
    <xf numFmtId="172" fontId="84" fillId="18" borderId="0" xfId="0" applyNumberFormat="1" applyFont="1" applyFill="1" applyAlignment="1">
      <alignment horizontal="center"/>
    </xf>
    <xf numFmtId="0" fontId="84" fillId="48" borderId="50" xfId="0" applyFont="1" applyFill="1" applyBorder="1" applyAlignment="1">
      <alignment horizontal="left"/>
    </xf>
    <xf numFmtId="0" fontId="35" fillId="57" borderId="39" xfId="0" applyFont="1" applyFill="1" applyBorder="1" applyAlignment="1">
      <alignment horizontal="left"/>
    </xf>
    <xf numFmtId="10" fontId="35" fillId="57" borderId="39" xfId="0" applyNumberFormat="1" applyFont="1" applyFill="1" applyBorder="1" applyAlignment="1">
      <alignment horizontal="center"/>
    </xf>
    <xf numFmtId="10" fontId="86" fillId="48" borderId="50" xfId="0" applyNumberFormat="1" applyFont="1" applyFill="1" applyBorder="1" applyAlignment="1">
      <alignment horizontal="center"/>
    </xf>
    <xf numFmtId="0" fontId="140" fillId="54" borderId="50" xfId="0" applyFont="1" applyFill="1" applyBorder="1" applyAlignment="1">
      <alignment horizontal="left" vertical="center"/>
    </xf>
    <xf numFmtId="172" fontId="140" fillId="54" borderId="50" xfId="0" applyNumberFormat="1" applyFont="1" applyFill="1" applyBorder="1" applyAlignment="1">
      <alignment horizontal="center"/>
    </xf>
    <xf numFmtId="0" fontId="141" fillId="0" borderId="64" xfId="0" applyFont="1" applyBorder="1" applyAlignment="1">
      <alignment horizontal="center" vertical="center"/>
    </xf>
    <xf numFmtId="166" fontId="30" fillId="58" borderId="0" xfId="0" applyNumberFormat="1" applyFont="1" applyFill="1" applyAlignment="1">
      <alignment horizontal="center"/>
    </xf>
    <xf numFmtId="166" fontId="30" fillId="59" borderId="65" xfId="0" applyNumberFormat="1" applyFont="1" applyFill="1" applyBorder="1" applyAlignment="1">
      <alignment horizontal="center"/>
    </xf>
    <xf numFmtId="171" fontId="17" fillId="0" borderId="0" xfId="0" applyNumberFormat="1" applyFont="1"/>
    <xf numFmtId="172" fontId="17" fillId="0" borderId="0" xfId="0" applyNumberFormat="1" applyFont="1"/>
    <xf numFmtId="171" fontId="17" fillId="0" borderId="63" xfId="0" applyNumberFormat="1" applyFont="1" applyBorder="1"/>
    <xf numFmtId="166" fontId="17" fillId="0" borderId="0" xfId="0" applyNumberFormat="1" applyFont="1"/>
    <xf numFmtId="10" fontId="24" fillId="0" borderId="0" xfId="0" applyNumberFormat="1" applyFont="1" applyAlignment="1">
      <alignment horizontal="center"/>
    </xf>
    <xf numFmtId="166" fontId="30" fillId="0" borderId="70" xfId="0" applyNumberFormat="1" applyFont="1" applyBorder="1" applyAlignment="1">
      <alignment horizontal="center"/>
    </xf>
    <xf numFmtId="171" fontId="17" fillId="0" borderId="64" xfId="0" applyNumberFormat="1" applyFont="1" applyBorder="1"/>
    <xf numFmtId="172" fontId="30" fillId="15" borderId="64" xfId="0" applyNumberFormat="1" applyFont="1" applyFill="1" applyBorder="1" applyAlignment="1">
      <alignment horizontal="center"/>
    </xf>
    <xf numFmtId="0" fontId="17" fillId="0" borderId="64" xfId="0" applyFont="1" applyBorder="1" applyAlignment="1">
      <alignment horizontal="center"/>
    </xf>
    <xf numFmtId="170" fontId="0" fillId="0" borderId="116" xfId="0" applyNumberFormat="1" applyBorder="1" applyAlignment="1">
      <alignment horizontal="right" vertical="center"/>
    </xf>
    <xf numFmtId="170" fontId="144" fillId="62" borderId="116" xfId="0" applyNumberFormat="1" applyFont="1" applyFill="1" applyBorder="1" applyAlignment="1">
      <alignment horizontal="right" vertical="center"/>
    </xf>
    <xf numFmtId="174" fontId="0" fillId="0" borderId="118" xfId="0" applyNumberFormat="1" applyBorder="1" applyAlignment="1">
      <alignment horizontal="center" vertical="center"/>
    </xf>
    <xf numFmtId="0" fontId="143" fillId="61" borderId="121" xfId="0" applyFont="1" applyFill="1" applyBorder="1" applyAlignment="1">
      <alignment horizontal="center" vertical="center" wrapText="1"/>
    </xf>
    <xf numFmtId="170" fontId="0" fillId="0" borderId="123" xfId="0" applyNumberFormat="1" applyBorder="1" applyAlignment="1">
      <alignment horizontal="right" vertical="center"/>
    </xf>
    <xf numFmtId="174" fontId="0" fillId="0" borderId="124" xfId="0" applyNumberFormat="1" applyBorder="1" applyAlignment="1">
      <alignment horizontal="center" vertical="center"/>
    </xf>
    <xf numFmtId="0" fontId="33" fillId="61" borderId="119" xfId="0" applyFont="1" applyFill="1" applyBorder="1" applyAlignment="1">
      <alignment horizontal="center" vertical="center" wrapText="1"/>
    </xf>
    <xf numFmtId="0" fontId="33" fillId="61" borderId="120" xfId="0" applyFont="1" applyFill="1" applyBorder="1" applyAlignment="1">
      <alignment horizontal="center" vertical="center" wrapText="1"/>
    </xf>
    <xf numFmtId="170" fontId="83" fillId="0" borderId="116" xfId="0" applyNumberFormat="1" applyFont="1" applyBorder="1" applyAlignment="1">
      <alignment horizontal="right" vertical="center"/>
    </xf>
    <xf numFmtId="170" fontId="83" fillId="0" borderId="123" xfId="0" applyNumberFormat="1" applyFont="1" applyBorder="1" applyAlignment="1">
      <alignment horizontal="right" vertical="center"/>
    </xf>
    <xf numFmtId="174" fontId="83" fillId="0" borderId="117" xfId="0" applyNumberFormat="1" applyFont="1" applyBorder="1" applyAlignment="1">
      <alignment horizontal="center" vertical="center"/>
    </xf>
    <xf numFmtId="174" fontId="83" fillId="0" borderId="122" xfId="0" applyNumberFormat="1" applyFont="1" applyBorder="1" applyAlignment="1">
      <alignment horizontal="center" vertical="center"/>
    </xf>
    <xf numFmtId="170" fontId="85" fillId="0" borderId="116" xfId="0" applyNumberFormat="1" applyFont="1" applyBorder="1" applyAlignment="1">
      <alignment horizontal="right" vertical="center"/>
    </xf>
    <xf numFmtId="170" fontId="35" fillId="62" borderId="116" xfId="0" applyNumberFormat="1" applyFont="1" applyFill="1" applyBorder="1" applyAlignment="1">
      <alignment horizontal="right" vertical="center"/>
    </xf>
    <xf numFmtId="174" fontId="85" fillId="0" borderId="117" xfId="0" applyNumberFormat="1" applyFont="1" applyBorder="1" applyAlignment="1">
      <alignment horizontal="center" vertical="center"/>
    </xf>
    <xf numFmtId="0" fontId="6" fillId="11" borderId="28" xfId="0" applyFont="1" applyFill="1" applyBorder="1" applyAlignment="1">
      <alignment horizontal="center" vertical="center"/>
    </xf>
    <xf numFmtId="0" fontId="99" fillId="0" borderId="29" xfId="0" applyFont="1" applyBorder="1" applyAlignment="1">
      <alignment vertical="center"/>
    </xf>
    <xf numFmtId="0" fontId="9" fillId="6" borderId="6" xfId="0" applyFont="1" applyFill="1" applyBorder="1" applyAlignment="1">
      <alignment horizontal="center" vertical="center" textRotation="90"/>
    </xf>
    <xf numFmtId="0" fontId="13" fillId="0" borderId="16" xfId="0" applyFont="1" applyBorder="1"/>
    <xf numFmtId="0" fontId="13" fillId="0" borderId="13" xfId="0" applyFont="1" applyBorder="1"/>
    <xf numFmtId="0" fontId="1" fillId="2" borderId="0" xfId="0" applyFont="1" applyFill="1" applyAlignment="1">
      <alignment vertical="center"/>
    </xf>
    <xf numFmtId="0" fontId="0" fillId="0" borderId="0" xfId="0"/>
    <xf numFmtId="0" fontId="9" fillId="9" borderId="4" xfId="0" applyFont="1" applyFill="1" applyBorder="1" applyAlignment="1">
      <alignment vertical="center" textRotation="90"/>
    </xf>
    <xf numFmtId="0" fontId="13" fillId="0" borderId="15" xfId="0" applyFont="1" applyBorder="1"/>
    <xf numFmtId="0" fontId="13" fillId="0" borderId="11" xfId="0" applyFont="1" applyBorder="1"/>
    <xf numFmtId="0" fontId="101" fillId="2" borderId="70" xfId="0" applyFont="1" applyFill="1" applyBorder="1" applyAlignment="1">
      <alignment horizontal="center" vertical="center" wrapText="1"/>
    </xf>
    <xf numFmtId="0" fontId="101" fillId="2" borderId="53" xfId="0" applyFont="1" applyFill="1" applyBorder="1" applyAlignment="1">
      <alignment horizontal="center" vertical="center" wrapText="1"/>
    </xf>
    <xf numFmtId="164" fontId="27" fillId="2" borderId="33" xfId="0" applyNumberFormat="1" applyFont="1" applyFill="1" applyBorder="1" applyAlignment="1">
      <alignment horizontal="center" vertical="center"/>
    </xf>
    <xf numFmtId="164" fontId="27" fillId="2" borderId="70" xfId="0" applyNumberFormat="1" applyFont="1" applyFill="1" applyBorder="1" applyAlignment="1">
      <alignment horizontal="center" vertical="center"/>
    </xf>
    <xf numFmtId="164" fontId="27" fillId="2" borderId="53" xfId="0" applyNumberFormat="1" applyFont="1" applyFill="1" applyBorder="1" applyAlignment="1">
      <alignment horizontal="center" vertical="center"/>
    </xf>
    <xf numFmtId="171" fontId="30" fillId="8" borderId="0" xfId="0" applyNumberFormat="1" applyFont="1" applyFill="1" applyAlignment="1">
      <alignment horizontal="center"/>
    </xf>
    <xf numFmtId="0" fontId="10" fillId="4" borderId="41" xfId="0" applyFont="1" applyFill="1" applyBorder="1" applyAlignment="1">
      <alignment horizontal="center"/>
    </xf>
    <xf numFmtId="0" fontId="10" fillId="4" borderId="42" xfId="0" applyFont="1" applyFill="1" applyBorder="1" applyAlignment="1">
      <alignment horizontal="center"/>
    </xf>
    <xf numFmtId="0" fontId="6" fillId="11" borderId="44" xfId="0" applyFont="1" applyFill="1" applyBorder="1" applyAlignment="1">
      <alignment horizontal="center"/>
    </xf>
    <xf numFmtId="0" fontId="6" fillId="11" borderId="106" xfId="0" applyFont="1" applyFill="1" applyBorder="1" applyAlignment="1">
      <alignment horizontal="center"/>
    </xf>
    <xf numFmtId="0" fontId="6" fillId="11" borderId="107" xfId="0" applyFont="1" applyFill="1" applyBorder="1" applyAlignment="1">
      <alignment horizontal="center"/>
    </xf>
    <xf numFmtId="0" fontId="35" fillId="5" borderId="0" xfId="0" applyFont="1" applyFill="1" applyAlignment="1">
      <alignment horizontal="center"/>
    </xf>
    <xf numFmtId="0" fontId="119" fillId="0" borderId="0" xfId="0" applyFont="1"/>
    <xf numFmtId="0" fontId="4" fillId="0" borderId="0" xfId="0" applyFont="1" applyAlignment="1">
      <alignment horizontal="center"/>
    </xf>
    <xf numFmtId="0" fontId="142" fillId="60" borderId="116" xfId="0" applyFont="1" applyFill="1" applyBorder="1" applyAlignment="1">
      <alignment horizontal="center" vertical="center"/>
    </xf>
    <xf numFmtId="0" fontId="1" fillId="3" borderId="0" xfId="0" applyFont="1" applyFill="1" applyAlignment="1">
      <alignment vertical="center"/>
    </xf>
    <xf numFmtId="0" fontId="6" fillId="11" borderId="83" xfId="0" applyFont="1" applyFill="1" applyBorder="1" applyAlignment="1">
      <alignment horizontal="center" vertical="center"/>
    </xf>
    <xf numFmtId="0" fontId="13" fillId="0" borderId="84" xfId="0" applyFont="1" applyBorder="1"/>
    <xf numFmtId="164" fontId="63" fillId="4" borderId="56" xfId="0" applyNumberFormat="1" applyFont="1" applyFill="1" applyBorder="1" applyAlignment="1">
      <alignment horizontal="center" vertical="center"/>
    </xf>
    <xf numFmtId="0" fontId="13" fillId="0" borderId="57" xfId="0" applyFont="1" applyBorder="1"/>
  </cellXfs>
  <cellStyles count="1">
    <cellStyle name="Normal" xfId="0" builtinId="0"/>
  </cellStyles>
  <dxfs count="53">
    <dxf>
      <font>
        <color rgb="FF00B050"/>
      </font>
      <fill>
        <patternFill patternType="none"/>
      </fill>
    </dxf>
    <dxf>
      <font>
        <color rgb="FFFF0000"/>
      </font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ill>
        <patternFill patternType="solid">
          <fgColor rgb="FFB7E1CD"/>
          <bgColor rgb="FFB7E1CD"/>
        </patternFill>
      </fill>
    </dxf>
    <dxf>
      <font>
        <b/>
        <i/>
        <color rgb="FFFF0000"/>
      </font>
    </dxf>
    <dxf>
      <font>
        <b/>
        <i val="0"/>
        <color rgb="FFFF0000"/>
      </font>
    </dxf>
    <dxf>
      <font>
        <color rgb="FF274E13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B050"/>
      </font>
      <fill>
        <patternFill patternType="none"/>
      </fill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FF6699"/>
        </patternFill>
      </fill>
    </dxf>
    <dxf>
      <fill>
        <patternFill>
          <bgColor rgb="FFFF6699"/>
        </patternFill>
      </fill>
    </dxf>
    <dxf>
      <font>
        <color rgb="FF274E13"/>
      </font>
      <fill>
        <patternFill patternType="solid">
          <fgColor rgb="FFB7E1CD"/>
          <bgColor rgb="FFB7E1CD"/>
        </patternFill>
      </fill>
    </dxf>
    <dxf>
      <font>
        <color rgb="FF990000"/>
      </font>
      <fill>
        <patternFill patternType="solid">
          <fgColor rgb="FFF4CCCC"/>
          <bgColor rgb="FFF4CCCC"/>
        </patternFill>
      </fill>
    </dxf>
    <dxf>
      <fill>
        <patternFill>
          <bgColor rgb="FFFF6699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FF99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</font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FF3300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B7E1CD"/>
          <bgColor rgb="FFB7E1CD"/>
        </patternFill>
      </fill>
    </dxf>
    <dxf>
      <font>
        <b/>
        <i/>
        <color rgb="FFFF0000"/>
      </font>
    </dxf>
    <dxf>
      <font>
        <color rgb="FF00B050"/>
      </font>
      <fill>
        <patternFill patternType="none"/>
      </fill>
    </dxf>
    <dxf>
      <font>
        <color rgb="FF9C0006"/>
      </font>
      <fill>
        <patternFill patternType="none"/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  <fill>
        <patternFill patternType="none"/>
      </fill>
    </dxf>
    <dxf>
      <font>
        <color rgb="FF00B050"/>
      </font>
      <fill>
        <patternFill patternType="none"/>
      </fill>
    </dxf>
    <dxf>
      <font>
        <color rgb="FF00B05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B050"/>
      </font>
      <fill>
        <patternFill patternType="none"/>
      </fill>
    </dxf>
    <dxf>
      <font>
        <color rgb="FFFF0000"/>
      </font>
      <fill>
        <patternFill patternType="none"/>
      </fill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numFmt numFmtId="174" formatCode="dd/mm/yy;@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D9E2F3"/>
        </top>
        <bottom style="thin">
          <color rgb="FFD9E2F3"/>
        </bottom>
      </border>
    </dxf>
    <dxf>
      <font>
        <b/>
        <family val="2"/>
      </font>
      <numFmt numFmtId="170" formatCode="&quot;R$&quot;\ #,##0.00"/>
      <alignment horizontal="right" vertical="center" textRotation="0" wrapText="0" indent="0" justifyLastLine="0" shrinkToFit="0" readingOrder="0"/>
      <border diagonalUp="0" diagonalDown="0" outline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</border>
    </dxf>
    <dxf>
      <numFmt numFmtId="170" formatCode="&quot;R$&quot;\ #,##0.00"/>
      <alignment horizontal="right" vertical="center" textRotation="0" wrapText="0" indent="0" justifyLastLine="0" shrinkToFit="0" readingOrder="0"/>
      <border diagonalUp="0" diagonalDown="0" outline="0">
        <left style="thin">
          <color rgb="FFD9E2F3"/>
        </left>
        <right/>
        <top style="thin">
          <color rgb="FFD9E2F3"/>
        </top>
        <bottom style="thin">
          <color rgb="FFD9E2F3"/>
        </bottom>
      </border>
    </dxf>
    <dxf>
      <numFmt numFmtId="170" formatCode="&quot;R$&quot;\ #,##0.00"/>
      <alignment horizontal="right" vertical="center" textRotation="0" wrapText="0" indent="0" justifyLastLine="0" shrinkToFit="0" readingOrder="0"/>
      <border diagonalUp="0" diagonalDown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/>
        <horizontal/>
      </border>
    </dxf>
    <dxf>
      <numFmt numFmtId="170" formatCode="&quot;R$&quot;\ #,##0.00"/>
      <alignment horizontal="right" vertical="center" textRotation="0" wrapText="0" indent="0" justifyLastLine="0" shrinkToFit="0" readingOrder="0"/>
      <border diagonalUp="0" diagonalDown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/>
        <horizontal/>
      </border>
    </dxf>
    <dxf>
      <numFmt numFmtId="170" formatCode="&quot;R$&quot;\ #,##0.00"/>
      <alignment horizontal="right" vertical="center" textRotation="0" wrapText="0" indent="0" justifyLastLine="0" shrinkToFit="0" readingOrder="0"/>
      <border diagonalUp="0" diagonalDown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/>
        <horizontal/>
      </border>
    </dxf>
    <dxf>
      <numFmt numFmtId="170" formatCode="&quot;R$&quot;\ #,##0.00"/>
      <alignment horizontal="right" vertical="center" textRotation="0" wrapText="0" indent="0" justifyLastLine="0" shrinkToFit="0" readingOrder="0"/>
      <border diagonalUp="0" diagonalDown="0" outline="0">
        <left/>
        <right style="thin">
          <color rgb="FFD9E2F3"/>
        </right>
        <top style="thin">
          <color rgb="FFD9E2F3"/>
        </top>
        <bottom style="thin">
          <color rgb="FFD9E2F3"/>
        </bottom>
      </border>
    </dxf>
    <dxf>
      <font>
        <b/>
        <family val="2"/>
      </font>
      <numFmt numFmtId="174" formatCode="dd/mm/yy;@"/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D9E2F3"/>
        </right>
        <top style="thin">
          <color rgb="FFD9E2F3"/>
        </top>
        <bottom style="thin">
          <color rgb="FFD9E2F3"/>
        </bottom>
      </border>
    </dxf>
    <dxf>
      <border outline="0">
        <top style="thin">
          <color rgb="FFD9E2F3"/>
        </top>
      </border>
    </dxf>
    <dxf>
      <border outline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</border>
    </dxf>
    <dxf>
      <alignment horizontal="right" vertical="center" textRotation="0" wrapText="0" indent="0" justifyLastLine="0" shrinkToFit="0" readingOrder="0"/>
    </dxf>
    <dxf>
      <border outline="0">
        <bottom style="thin">
          <color rgb="FFD9E2F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rgb="FF0F766E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9E2F3"/>
        </left>
        <right style="thin">
          <color rgb="FFD9E2F3"/>
        </right>
        <top/>
        <bottom/>
      </border>
    </dxf>
  </dxfs>
  <tableStyles count="0" defaultTableStyle="TableStyleMedium2" defaultPivotStyle="PivotStyleLight16"/>
  <colors>
    <mruColors>
      <color rgb="FF66FF33"/>
      <color rgb="FFFF00FF"/>
      <color rgb="FF0066FF"/>
      <color rgb="FFFFFF66"/>
      <color rgb="FFFFFF99"/>
      <color rgb="FF00FFFF"/>
      <color rgb="FF00FF00"/>
      <color rgb="FFFFFFCC"/>
      <color rgb="FF93FE68"/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Roboto"/>
              </a:defRPr>
            </a:pPr>
            <a:r>
              <a:rPr lang="pt-BR" b="1" i="0">
                <a:solidFill>
                  <a:srgbClr val="000000"/>
                </a:solidFill>
                <a:latin typeface="Roboto"/>
              </a:rPr>
              <a:t>Lucro Liquido e Margem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400" b="1" i="0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'📈Det. Resultados'!$D$3:$O$3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'📈Det. Resultados'!$D$30:$O$30</c:f>
              <c:numCache>
                <c:formatCode>#,##0.00;\(#,##0.00\)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-1840.3600000000001</c:v>
                </c:pt>
                <c:pt idx="5">
                  <c:v>6272.41</c:v>
                </c:pt>
                <c:pt idx="6">
                  <c:v>-4690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0F9-490F-9FF0-8A169EA0F00C}"/>
            </c:ext>
          </c:extLst>
        </c:ser>
        <c:ser>
          <c:idx val="1"/>
          <c:order val="1"/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'📈Det. Resultados'!$D$3:$O$3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'📈Det. Resultados'!$D$31:$O$31</c:f>
              <c:numCache>
                <c:formatCode>0.00%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0.59737238095238099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60F9-490F-9FF0-8A169EA0F0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33036852"/>
        <c:axId val="1777734108"/>
      </c:barChart>
      <c:catAx>
        <c:axId val="13330368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400" b="1" i="0">
                <a:solidFill>
                  <a:srgbClr val="000000"/>
                </a:solidFill>
                <a:latin typeface="Roboto"/>
              </a:defRPr>
            </a:pPr>
            <a:endParaRPr lang="pt-BR"/>
          </a:p>
        </c:txPr>
        <c:crossAx val="1777734108"/>
        <c:crosses val="autoZero"/>
        <c:auto val="1"/>
        <c:lblAlgn val="ctr"/>
        <c:lblOffset val="100"/>
        <c:noMultiLvlLbl val="1"/>
      </c:catAx>
      <c:valAx>
        <c:axId val="17777341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[$R$ -416]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400" b="1" i="0">
                <a:solidFill>
                  <a:srgbClr val="000000"/>
                </a:solidFill>
                <a:latin typeface="Roboto"/>
              </a:defRPr>
            </a:pPr>
            <a:endParaRPr lang="pt-BR"/>
          </a:p>
        </c:txPr>
        <c:crossAx val="1333036852"/>
        <c:crosses val="autoZero"/>
        <c:crossBetween val="between"/>
      </c:valAx>
    </c:plotArea>
    <c:plotVisOnly val="1"/>
    <c:dispBlanksAs val="zero"/>
    <c:showDLblsOverMax val="1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Roboto"/>
              </a:defRPr>
            </a:pPr>
            <a:r>
              <a:rPr lang="pt-BR" b="1" i="0">
                <a:solidFill>
                  <a:srgbClr val="000000"/>
                </a:solidFill>
                <a:latin typeface="Roboto"/>
              </a:rPr>
              <a:t>FAT. BRUTO x CMV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400" b="1" i="0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'📈Det. Resultados'!$D$3:$O$3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'📈Det. Resultados'!$D$4:$O$4</c:f>
              <c:numCache>
                <c:formatCode>#,##0.00;\(#,##0.00\)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10500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7E5-4C4E-8793-BDE0A64EA82A}"/>
            </c:ext>
          </c:extLst>
        </c:ser>
        <c:ser>
          <c:idx val="1"/>
          <c:order val="1"/>
          <c:spPr>
            <a:solidFill>
              <a:srgbClr val="000000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400" b="1" i="0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'📈Det. Resultados'!$D$3:$O$3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'📈Det. Resultados'!$D$33:$O$33</c:f>
              <c:numCache>
                <c:formatCode>#,##0.00;\(#,##0.00\)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1840.3600000000001</c:v>
                </c:pt>
                <c:pt idx="5">
                  <c:v>3950</c:v>
                </c:pt>
                <c:pt idx="6">
                  <c:v>4090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B7E5-4C4E-8793-BDE0A64EA8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65774541"/>
        <c:axId val="936127548"/>
      </c:barChart>
      <c:catAx>
        <c:axId val="19657745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400" b="1" i="0">
                <a:solidFill>
                  <a:srgbClr val="000000"/>
                </a:solidFill>
                <a:latin typeface="Roboto"/>
              </a:defRPr>
            </a:pPr>
            <a:endParaRPr lang="pt-BR"/>
          </a:p>
        </c:txPr>
        <c:crossAx val="936127548"/>
        <c:crosses val="autoZero"/>
        <c:auto val="1"/>
        <c:lblAlgn val="ctr"/>
        <c:lblOffset val="100"/>
        <c:noMultiLvlLbl val="1"/>
      </c:catAx>
      <c:valAx>
        <c:axId val="9361275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[$R$ -416]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400" b="1" i="0">
                <a:solidFill>
                  <a:srgbClr val="000000"/>
                </a:solidFill>
                <a:latin typeface="Roboto"/>
              </a:defRPr>
            </a:pPr>
            <a:endParaRPr lang="pt-BR"/>
          </a:p>
        </c:txPr>
        <c:crossAx val="1965774541"/>
        <c:crosses val="autoZero"/>
        <c:crossBetween val="between"/>
      </c:valAx>
    </c:plotArea>
    <c:plotVisOnly val="1"/>
    <c:dispBlanksAs val="zero"/>
    <c:showDLblsOverMax val="1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explica&#231;&#227;o MC'!A1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2.svg"/><Relationship Id="rId4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7.emf"/><Relationship Id="rId1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43</xdr:row>
      <xdr:rowOff>114300</xdr:rowOff>
    </xdr:from>
    <xdr:ext cx="8048625" cy="3524250"/>
    <xdr:graphicFrame macro="">
      <xdr:nvGraphicFramePr>
        <xdr:cNvPr id="3" name="Chart 2" title="Gráfic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</xdr:col>
      <xdr:colOff>57150</xdr:colOff>
      <xdr:row>63</xdr:row>
      <xdr:rowOff>9525</xdr:rowOff>
    </xdr:from>
    <xdr:ext cx="15230475" cy="3533775"/>
    <xdr:graphicFrame macro="">
      <xdr:nvGraphicFramePr>
        <xdr:cNvPr id="4" name="Chart 3" title="Gráfico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twoCellAnchor>
    <xdr:from>
      <xdr:col>3</xdr:col>
      <xdr:colOff>914400</xdr:colOff>
      <xdr:row>7</xdr:row>
      <xdr:rowOff>28575</xdr:rowOff>
    </xdr:from>
    <xdr:to>
      <xdr:col>4</xdr:col>
      <xdr:colOff>38100</xdr:colOff>
      <xdr:row>8</xdr:row>
      <xdr:rowOff>47625</xdr:rowOff>
    </xdr:to>
    <xdr:sp macro="" textlink="">
      <xdr:nvSpPr>
        <xdr:cNvPr id="7" name="Seta para Baixo 6">
          <a:extLst>
            <a:ext uri="{FF2B5EF4-FFF2-40B4-BE49-F238E27FC236}">
              <a16:creationId xmlns:a16="http://schemas.microsoft.com/office/drawing/2014/main" id="{00000000-0008-0000-0000-000007000000}"/>
            </a:ext>
            <a:ext uri="{147F2762-F138-4A5C-976F-8EAC2B608ADB}">
              <a16:predDERef xmlns:a16="http://schemas.microsoft.com/office/drawing/2014/main" pred="{00000000-0008-0000-0000-000006000000}"/>
            </a:ext>
          </a:extLst>
        </xdr:cNvPr>
        <xdr:cNvSpPr/>
      </xdr:nvSpPr>
      <xdr:spPr>
        <a:xfrm>
          <a:off x="4171950" y="1609725"/>
          <a:ext cx="219075" cy="238125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 editAs="oneCell">
    <xdr:from>
      <xdr:col>5</xdr:col>
      <xdr:colOff>113631</xdr:colOff>
      <xdr:row>0</xdr:row>
      <xdr:rowOff>46789</xdr:rowOff>
    </xdr:from>
    <xdr:to>
      <xdr:col>7</xdr:col>
      <xdr:colOff>73527</xdr:colOff>
      <xdr:row>2</xdr:row>
      <xdr:rowOff>170915</xdr:rowOff>
    </xdr:to>
    <xdr:pic>
      <xdr:nvPicPr>
        <xdr:cNvPr id="10" name="Gráfico 9" descr="Cérebro na cabeça com preenchimento sólido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5206999" y="46789"/>
          <a:ext cx="648369" cy="4879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59266</xdr:colOff>
      <xdr:row>0</xdr:row>
      <xdr:rowOff>33867</xdr:rowOff>
    </xdr:from>
    <xdr:to>
      <xdr:col>1</xdr:col>
      <xdr:colOff>1149368</xdr:colOff>
      <xdr:row>5</xdr:row>
      <xdr:rowOff>33867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266" y="33867"/>
          <a:ext cx="1242502" cy="9398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266700</xdr:colOff>
      <xdr:row>5</xdr:row>
      <xdr:rowOff>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51560" cy="9677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5</xdr:row>
      <xdr:rowOff>0</xdr:rowOff>
    </xdr:from>
    <xdr:to>
      <xdr:col>8</xdr:col>
      <xdr:colOff>1543685</xdr:colOff>
      <xdr:row>9</xdr:row>
      <xdr:rowOff>53340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78700" y="1339850"/>
          <a:ext cx="1479550" cy="1035050"/>
        </a:xfrm>
        <a:prstGeom prst="rect">
          <a:avLst/>
        </a:prstGeom>
      </xdr:spPr>
    </xdr:pic>
    <xdr:clientData/>
  </xdr:twoCellAnchor>
  <xdr:twoCellAnchor>
    <xdr:from>
      <xdr:col>3</xdr:col>
      <xdr:colOff>1036051</xdr:colOff>
      <xdr:row>11</xdr:row>
      <xdr:rowOff>158749</xdr:rowOff>
    </xdr:from>
    <xdr:to>
      <xdr:col>5</xdr:col>
      <xdr:colOff>61160</xdr:colOff>
      <xdr:row>13</xdr:row>
      <xdr:rowOff>125328</xdr:rowOff>
    </xdr:to>
    <xdr:sp macro="" textlink="$E$13">
      <xdr:nvSpPr>
        <xdr:cNvPr id="10" name="Retângulo: Cantos Arredondados 3">
          <a:extLst>
            <a:ext uri="{FF2B5EF4-FFF2-40B4-BE49-F238E27FC236}">
              <a16:creationId xmlns:a16="http://schemas.microsoft.com/office/drawing/2014/main" id="{00000000-0008-0000-0300-00000A000000}"/>
            </a:ext>
            <a:ext uri="{147F2762-F138-4A5C-976F-8EAC2B608ADB}">
              <a16:predDERef xmlns:a16="http://schemas.microsoft.com/office/drawing/2014/main" pred="{BDCB1D20-5726-8B22-FA48-050398875402}"/>
            </a:ext>
          </a:extLst>
        </xdr:cNvPr>
        <xdr:cNvSpPr/>
      </xdr:nvSpPr>
      <xdr:spPr>
        <a:xfrm>
          <a:off x="3091446" y="2949407"/>
          <a:ext cx="1331161" cy="434474"/>
        </a:xfrm>
        <a:prstGeom prst="roundRect">
          <a:avLst/>
        </a:prstGeom>
        <a:solidFill>
          <a:srgbClr val="EE0000"/>
        </a:solidFill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115BFAA0-9871-4A6D-8CD3-75B05A5F8471}" type="TxLink">
            <a:rPr lang="en-US" sz="20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3.620,00</a:t>
          </a:fld>
          <a:endParaRPr lang="pt-BR" sz="2000"/>
        </a:p>
      </xdr:txBody>
    </xdr:sp>
    <xdr:clientData/>
  </xdr:twoCellAnchor>
  <xdr:twoCellAnchor>
    <xdr:from>
      <xdr:col>10</xdr:col>
      <xdr:colOff>211221</xdr:colOff>
      <xdr:row>9</xdr:row>
      <xdr:rowOff>135021</xdr:rowOff>
    </xdr:from>
    <xdr:to>
      <xdr:col>10</xdr:col>
      <xdr:colOff>1589171</xdr:colOff>
      <xdr:row>11</xdr:row>
      <xdr:rowOff>52471</xdr:rowOff>
    </xdr:to>
    <xdr:sp macro="" textlink="$K$10">
      <xdr:nvSpPr>
        <xdr:cNvPr id="5" name="Retângulo: Cantos Superiores Recortados 4">
          <a:extLst>
            <a:ext uri="{FF2B5EF4-FFF2-40B4-BE49-F238E27FC236}">
              <a16:creationId xmlns:a16="http://schemas.microsoft.com/office/drawing/2014/main" id="{00000000-0008-0000-0300-000005000000}"/>
            </a:ext>
            <a:ext uri="{147F2762-F138-4A5C-976F-8EAC2B608ADB}">
              <a16:predDERef xmlns:a16="http://schemas.microsoft.com/office/drawing/2014/main" pred="{00000000-0008-0000-0300-00000A000000}"/>
            </a:ext>
          </a:extLst>
        </xdr:cNvPr>
        <xdr:cNvSpPr/>
      </xdr:nvSpPr>
      <xdr:spPr>
        <a:xfrm>
          <a:off x="10438063" y="2407653"/>
          <a:ext cx="1377950" cy="435476"/>
        </a:xfrm>
        <a:prstGeom prst="snip2SameRect">
          <a:avLst/>
        </a:prstGeom>
        <a:gradFill flip="none" rotWithShape="1">
          <a:gsLst>
            <a:gs pos="61000">
              <a:srgbClr val="FF0066"/>
            </a:gs>
            <a:gs pos="0">
              <a:srgbClr val="FF00FF"/>
            </a:gs>
          </a:gsLst>
          <a:lin ang="2700000" scaled="1"/>
          <a:tileRect/>
        </a:gradFill>
        <a:scene3d>
          <a:camera prst="orthographicFront"/>
          <a:lightRig rig="threePt" dir="t"/>
        </a:scene3d>
        <a:sp3d prstMaterial="plastic">
          <a:bevelT/>
          <a:bevelB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24AC07AF-BF8B-42EE-B812-0406F23C890A}" type="TxLink">
            <a:rPr lang="en-US" sz="16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10.500,00</a:t>
          </a:fld>
          <a:endParaRPr lang="pt-BR" sz="1600"/>
        </a:p>
      </xdr:txBody>
    </xdr:sp>
    <xdr:clientData/>
  </xdr:twoCellAnchor>
  <xdr:twoCellAnchor>
    <xdr:from>
      <xdr:col>9</xdr:col>
      <xdr:colOff>61162</xdr:colOff>
      <xdr:row>9</xdr:row>
      <xdr:rowOff>232943</xdr:rowOff>
    </xdr:from>
    <xdr:to>
      <xdr:col>10</xdr:col>
      <xdr:colOff>133685</xdr:colOff>
      <xdr:row>11</xdr:row>
      <xdr:rowOff>8354</xdr:rowOff>
    </xdr:to>
    <xdr:sp macro="" textlink="">
      <xdr:nvSpPr>
        <xdr:cNvPr id="6" name="Seta: para a Direita 5">
          <a:extLst>
            <a:ext uri="{FF2B5EF4-FFF2-40B4-BE49-F238E27FC236}">
              <a16:creationId xmlns:a16="http://schemas.microsoft.com/office/drawing/2014/main" id="{00000000-0008-0000-0300-000006000000}"/>
            </a:ext>
            <a:ext uri="{147F2762-F138-4A5C-976F-8EAC2B608ADB}">
              <a16:predDERef xmlns:a16="http://schemas.microsoft.com/office/drawing/2014/main" pred="{00000000-0008-0000-0300-000005000000}"/>
            </a:ext>
          </a:extLst>
        </xdr:cNvPr>
        <xdr:cNvSpPr/>
      </xdr:nvSpPr>
      <xdr:spPr>
        <a:xfrm>
          <a:off x="9669715" y="2505575"/>
          <a:ext cx="690812" cy="293437"/>
        </a:xfrm>
        <a:prstGeom prst="rightArrow">
          <a:avLst/>
        </a:prstGeom>
        <a:gradFill flip="none" rotWithShape="1">
          <a:gsLst>
            <a:gs pos="61000">
              <a:srgbClr val="FF0066"/>
            </a:gs>
            <a:gs pos="0">
              <a:srgbClr val="FF00FF"/>
            </a:gs>
          </a:gsLst>
          <a:lin ang="2700000" scaled="1"/>
          <a:tileRect/>
        </a:gradFill>
        <a:scene3d>
          <a:camera prst="orthographicFront"/>
          <a:lightRig rig="threePt" dir="t"/>
        </a:scene3d>
        <a:sp3d prstMaterial="plastic">
          <a:bevelT/>
          <a:bevelB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endParaRPr lang="pt-BR" sz="1300" b="1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10</xdr:col>
      <xdr:colOff>376990</xdr:colOff>
      <xdr:row>8</xdr:row>
      <xdr:rowOff>75866</xdr:rowOff>
    </xdr:from>
    <xdr:to>
      <xdr:col>10</xdr:col>
      <xdr:colOff>1595856</xdr:colOff>
      <xdr:row>9</xdr:row>
      <xdr:rowOff>183816</xdr:rowOff>
    </xdr:to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00000000-0008-0000-0300-000007000000}"/>
            </a:ext>
            <a:ext uri="{147F2762-F138-4A5C-976F-8EAC2B608ADB}">
              <a16:predDERef xmlns:a16="http://schemas.microsoft.com/office/drawing/2014/main" pred="{00000000-0008-0000-0300-000006000000}"/>
            </a:ext>
          </a:extLst>
        </xdr:cNvPr>
        <xdr:cNvSpPr txBox="1"/>
      </xdr:nvSpPr>
      <xdr:spPr>
        <a:xfrm>
          <a:off x="10829424" y="2114550"/>
          <a:ext cx="1218866" cy="3418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 anchorCtr="0"/>
        <a:lstStyle/>
        <a:p>
          <a:r>
            <a:rPr lang="pt-BR" sz="1200" b="1" baseline="0"/>
            <a:t>Saldo do Filtro</a:t>
          </a:r>
        </a:p>
        <a:p>
          <a:endParaRPr lang="pt-BR" sz="1100"/>
        </a:p>
      </xdr:txBody>
    </xdr:sp>
    <xdr:clientData/>
  </xdr:twoCellAnchor>
  <xdr:twoCellAnchor>
    <xdr:from>
      <xdr:col>3</xdr:col>
      <xdr:colOff>1027697</xdr:colOff>
      <xdr:row>10</xdr:row>
      <xdr:rowOff>16712</xdr:rowOff>
    </xdr:from>
    <xdr:to>
      <xdr:col>5</xdr:col>
      <xdr:colOff>66843</xdr:colOff>
      <xdr:row>11</xdr:row>
      <xdr:rowOff>133685</xdr:rowOff>
    </xdr:to>
    <xdr:sp macro="" textlink="$H$4">
      <xdr:nvSpPr>
        <xdr:cNvPr id="2" name="Retângulo: Cantos Arredondados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3083092" y="2540001"/>
          <a:ext cx="1345198" cy="384342"/>
        </a:xfrm>
        <a:prstGeom prst="roundRect">
          <a:avLst/>
        </a:prstGeom>
        <a:solidFill>
          <a:srgbClr val="00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068022E4-F797-4860-9D0C-C4D845EB814D}" type="TxLink">
            <a:rPr lang="en-US" sz="16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 R$4.430,03 </a:t>
          </a:fld>
          <a:endParaRPr lang="pt-BR" sz="1600"/>
        </a:p>
      </xdr:txBody>
    </xdr:sp>
    <xdr:clientData/>
  </xdr:twoCellAnchor>
  <xdr:twoCellAnchor>
    <xdr:from>
      <xdr:col>2</xdr:col>
      <xdr:colOff>300791</xdr:colOff>
      <xdr:row>10</xdr:row>
      <xdr:rowOff>41777</xdr:rowOff>
    </xdr:from>
    <xdr:to>
      <xdr:col>3</xdr:col>
      <xdr:colOff>994277</xdr:colOff>
      <xdr:row>13</xdr:row>
      <xdr:rowOff>16710</xdr:rowOff>
    </xdr:to>
    <xdr:sp macro="" textlink="$D$13">
      <xdr:nvSpPr>
        <xdr:cNvPr id="4" name="Retângulo: Cantos Arredondados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1336844" y="2565066"/>
          <a:ext cx="1712828" cy="710197"/>
        </a:xfrm>
        <a:prstGeom prst="roundRect">
          <a:avLst/>
        </a:prstGeom>
        <a:solidFill>
          <a:srgbClr val="93FE68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r"/>
          <a:fld id="{48066D6D-5849-458D-8792-F7E55655E8C4}" type="TxLink">
            <a:rPr lang="en-US" sz="20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r"/>
            <a:t> R$810,03 </a:t>
          </a:fld>
          <a:endParaRPr lang="pt-BR" sz="2000" b="1"/>
        </a:p>
      </xdr:txBody>
    </xdr:sp>
    <xdr:clientData/>
  </xdr:twoCellAnchor>
  <xdr:twoCellAnchor>
    <xdr:from>
      <xdr:col>2</xdr:col>
      <xdr:colOff>409408</xdr:colOff>
      <xdr:row>10</xdr:row>
      <xdr:rowOff>125328</xdr:rowOff>
    </xdr:from>
    <xdr:to>
      <xdr:col>3</xdr:col>
      <xdr:colOff>860592</xdr:colOff>
      <xdr:row>11</xdr:row>
      <xdr:rowOff>100262</xdr:rowOff>
    </xdr:to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 txBox="1"/>
      </xdr:nvSpPr>
      <xdr:spPr>
        <a:xfrm>
          <a:off x="1445461" y="2648617"/>
          <a:ext cx="1470526" cy="2423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pt-BR" sz="1100" b="1" u="sng"/>
            <a:t>Valor pago no</a:t>
          </a:r>
          <a:r>
            <a:rPr lang="pt-BR" sz="1100" b="1" u="sng" baseline="0"/>
            <a:t> mês</a:t>
          </a:r>
          <a:endParaRPr lang="pt-BR" sz="1100" b="1" u="sng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8</xdr:col>
          <xdr:colOff>114300</xdr:colOff>
          <xdr:row>14</xdr:row>
          <xdr:rowOff>114300</xdr:rowOff>
        </xdr:to>
        <xdr:sp macro="" textlink="">
          <xdr:nvSpPr>
            <xdr:cNvPr id="11266" name="Object 2" hidden="1">
              <a:extLst>
                <a:ext uri="{63B3BB69-23CF-44E3-9099-C40C66FF867C}">
                  <a14:compatExt spid="_x0000_s11266"/>
                </a:ext>
                <a:ext uri="{FF2B5EF4-FFF2-40B4-BE49-F238E27FC236}">
                  <a16:creationId xmlns:a16="http://schemas.microsoft.com/office/drawing/2014/main" id="{00000000-0008-0000-0600-00000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8</xdr:col>
          <xdr:colOff>190500</xdr:colOff>
          <xdr:row>41</xdr:row>
          <xdr:rowOff>175260</xdr:rowOff>
        </xdr:to>
        <xdr:sp macro="" textlink="">
          <xdr:nvSpPr>
            <xdr:cNvPr id="11267" name="Object 3" hidden="1">
              <a:extLst>
                <a:ext uri="{63B3BB69-23CF-44E3-9099-C40C66FF867C}">
                  <a14:compatExt spid="_x0000_s11267"/>
                </a:ext>
                <a:ext uri="{FF2B5EF4-FFF2-40B4-BE49-F238E27FC236}">
                  <a16:creationId xmlns:a16="http://schemas.microsoft.com/office/drawing/2014/main" id="{00000000-0008-0000-0600-00000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142875</xdr:colOff>
      <xdr:row>3</xdr:row>
      <xdr:rowOff>209550</xdr:rowOff>
    </xdr:from>
    <xdr:ext cx="1323975" cy="13239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Renato Neves" id="{E41F7153-F327-4C72-B3A6-6C1B447C27E2}" userId="7da7535e53137f72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C1D8C12-92C2-46FE-9ECA-77DA0C14A593}" name="Tabela2" displayName="Tabela2" ref="A3:H27" totalsRowShown="0" headerRowDxfId="52" dataDxfId="50" headerRowBorderDxfId="51" tableBorderDxfId="49" totalsRowBorderDxfId="48">
  <autoFilter ref="A3:H27" xr:uid="{EC1D8C12-92C2-46FE-9ECA-77DA0C14A593}"/>
  <tableColumns count="8">
    <tableColumn id="1" xr3:uid="{49E6F9FE-A713-4C99-8B64-74D3124E300F}" name="Competência" dataDxfId="47">
      <calculatedColumnFormula>CHOOSE(MONTH($H4),"JAN","FEV","MAR","ABR","MAIO","JUN","JUL","AGO","SET","OUT","NOV","DEZ")&amp;"/"&amp;TEXT($H4,"AA")</calculatedColumnFormula>
    </tableColumn>
    <tableColumn id="2" xr3:uid="{AA842246-0B63-4943-A09B-D4FF83B4D890}" name="Faturamento" dataDxfId="46">
      <calculatedColumnFormula>IF(SUMIFS('💸  Receitas'!$G:$G,'💸  Receitas'!$A:$A,"&gt;="&amp;$H4,'💸  Receitas'!$A:$A,"&lt;"&amp;EDATE($H4,1),'💸  Receitas'!$E:$E,"FATURAMENTO")=0,SUMIFS('💸  Receitas'!$G:$G,'💸  Receitas'!$A:$A,"&gt;="&amp;$H4,'💸  Receitas'!$A:$A,"&lt;"&amp;EDATE($H4,1),'💸  Receitas'!$E:$E,"&lt;&gt;"),SUMIFS('💸  Receitas'!$G:$G,'💸  Receitas'!$A:$A,"&gt;="&amp;$H4,'💸  Receitas'!$A:$A,"&lt;"&amp;EDATE($H4,1),'💸  Receitas'!$E:$E,"FATURAMENTO"))</calculatedColumnFormula>
    </tableColumn>
    <tableColumn id="3" xr3:uid="{E1EC1505-5F68-439B-B35E-1103E3A845B1}" name="INSS" dataDxfId="45">
      <calculatedColumnFormula>SUMIFS('📋 Despesas'!$J:$J,'📋 Despesas'!$B:$B,"&gt;="&amp;$H4,'📋 Despesas'!$B:$B,"&lt;"&amp;EDATE($H4,1),'📋 Despesas'!$E:$E,"*INSS*")</calculatedColumnFormula>
    </tableColumn>
    <tableColumn id="4" xr3:uid="{D0B1CFFC-B88F-4DB5-A456-41246D945239}" name="Pró-labore" dataDxfId="44">
      <calculatedColumnFormula>SUMIFS('📋 Despesas'!$J:$J,'📋 Despesas'!$B:$B,"&gt;="&amp;$H4,'📋 Despesas'!$B:$B,"&lt;"&amp;EDATE($H4,1),'📋 Despesas'!$E:$E,"*PROLABORE*")+SUMIFS('📋 Despesas'!$J:$J,'📋 Despesas'!$B:$B,"&gt;="&amp;$H4,'📋 Despesas'!$B:$B,"&lt;"&amp;EDATE($H4,1),'📋 Despesas'!$E:$E,"*PRÓ-LABORE*")</calculatedColumnFormula>
    </tableColumn>
    <tableColumn id="5" xr3:uid="{77727A5A-FA1D-4D71-96B7-6DAED548D0B1}" name="DAS" dataDxfId="43">
      <calculatedColumnFormula>SUMIFS('📋 Despesas'!$J:$J,'📋 Despesas'!$B:$B,"&gt;="&amp;$H4,'📋 Despesas'!$B:$B,"&lt;"&amp;EDATE($H4,1),'📋 Despesas'!$E:$E,"*DAS*")</calculatedColumnFormula>
    </tableColumn>
    <tableColumn id="6" xr3:uid="{B2330911-A231-447F-AE80-EEF885E9F629}" name="Demais gastos" dataDxfId="42">
      <calculatedColumnFormula>SUMIFS('📋 Despesas'!$J:$J,'📋 Despesas'!$B:$B,"&gt;="&amp;$H4,'📋 Despesas'!$B:$B,"&lt;"&amp;EDATE($H4,1))-C4-D4-E4</calculatedColumnFormula>
    </tableColumn>
    <tableColumn id="7" xr3:uid="{623B1D79-AA67-4233-8FEA-95CED91E7329}" name="Saldo" dataDxfId="41">
      <calculatedColumnFormula>B4-C4-D4-E4-F4</calculatedColumnFormula>
    </tableColumn>
    <tableColumn id="8" xr3:uid="{D6A0AD79-E866-4923-A13D-C2CC8A2C9DE6}" name="Data base" dataDxfId="40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B9B7D2-0F7C-4CD2-9F22-4122B7DAD9DC}" name="Tabela1" displayName="Tabela1" ref="G2:G33" totalsRowShown="0" headerRowDxfId="39">
  <autoFilter ref="G2:G33" xr:uid="{9FB9B7D2-0F7C-4CD2-9F22-4122B7DAD9DC}"/>
  <tableColumns count="1">
    <tableColumn id="1" xr3:uid="{5683796C-C110-4EC9-9665-6268F3588A24}" name="data" dataDxfId="3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59" dT="2025-07-17T22:29:45.20" personId="{E41F7153-F327-4C72-B3A6-6C1B447C27E2}" id="{70052657-A2D7-47A8-9616-13BCC23B8EB6}">
    <text xml:space="preserve">1 BOLETO PARA 13/08 = 858,55(nf 27457) Pago
1 BOLETO PARA 13/08 = 1.003,08 (nf 27460) Pago
1 BOLETO PARA 12/08 = 820,62 (nf 419)  Pago
1 BOLETO PARA 12/08 = 702,45 (nf 416) Pago
1 BOLETO PARA 19/08 = 820,61 (nf 419)
1 BOLETO PARA 19/08 = 702,45 (nf 416)
1 BOLETO PARA 20/08 = 858,55 (nf 27457)
1 BOLETO PARA 20/08 = 1.003,08 (nf 27460)
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CD754EA-38EF-4603-A975-3E2B8374BEC3}">
  <we:reference id="wa200005502" version="1.0.0.12" store="pt-BR" storeType="OMEX"/>
  <we:alternateReferences>
    <we:reference id="WA200005502" version="1.0.0.12" store="" storeType="OMEX"/>
  </we:alternateReferences>
  <we:properties>
    <we:property name="docId" value="&quot;XL9QHNDSY6bMseY7lgjky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7" Type="http://schemas.openxmlformats.org/officeDocument/2006/relationships/image" Target="../media/image7.emf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Relationship Id="rId6" Type="http://schemas.openxmlformats.org/officeDocument/2006/relationships/package" Target="../embeddings/Microsoft_Word_Document.docx"/><Relationship Id="rId5" Type="http://schemas.openxmlformats.org/officeDocument/2006/relationships/image" Target="../media/image6.emf"/><Relationship Id="rId4" Type="http://schemas.openxmlformats.org/officeDocument/2006/relationships/oleObject" Target="../embeddings/Microsoft_Word_97_-_2003_Document.doc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78DEA-BB27-4456-B092-AC0005D90082}">
  <sheetPr codeName="Planilha1">
    <outlinePr summaryBelow="0" summaryRight="0"/>
  </sheetPr>
  <dimension ref="A1:O1001"/>
  <sheetViews>
    <sheetView showGridLines="0" zoomScale="80" zoomScaleNormal="80" workbookViewId="0">
      <selection activeCell="L4" sqref="L4"/>
    </sheetView>
  </sheetViews>
  <sheetFormatPr defaultColWidth="11.19921875" defaultRowHeight="15" customHeight="1"/>
  <cols>
    <col min="1" max="1" width="1.296875" customWidth="1"/>
    <col min="2" max="2" width="23.5" customWidth="1"/>
    <col min="3" max="3" width="21.3984375" customWidth="1"/>
    <col min="4" max="4" width="17.09765625" customWidth="1"/>
    <col min="5" max="5" width="9.796875" customWidth="1"/>
    <col min="6" max="6" width="4.59765625" customWidth="1"/>
    <col min="7" max="7" width="4.296875" customWidth="1"/>
    <col min="8" max="8" width="21.59765625" customWidth="1"/>
    <col min="9" max="9" width="19.19921875" customWidth="1"/>
    <col min="10" max="10" width="25.296875" customWidth="1"/>
    <col min="11" max="11" width="18.296875" customWidth="1"/>
    <col min="12" max="12" width="16.19921875" customWidth="1"/>
    <col min="13" max="13" width="2.296875" customWidth="1"/>
    <col min="14" max="14" width="3.09765625" customWidth="1"/>
  </cols>
  <sheetData>
    <row r="1" spans="1:15" ht="6.75" customHeight="1">
      <c r="A1" s="1" t="s">
        <v>0</v>
      </c>
      <c r="B1" s="365"/>
      <c r="C1" s="365"/>
      <c r="D1" s="365"/>
      <c r="E1" s="365"/>
      <c r="F1" s="365"/>
      <c r="G1" s="365"/>
      <c r="H1" s="365"/>
      <c r="I1" s="365"/>
      <c r="J1" s="365"/>
      <c r="K1" s="365"/>
      <c r="L1" s="365"/>
      <c r="M1" s="365"/>
      <c r="N1" s="365"/>
      <c r="O1" s="365"/>
    </row>
    <row r="2" spans="1:15" ht="22.5" customHeight="1">
      <c r="A2" s="365"/>
      <c r="B2" s="2" t="s">
        <v>1</v>
      </c>
      <c r="C2" s="3" t="s">
        <v>2</v>
      </c>
      <c r="D2" s="365"/>
      <c r="E2" s="365"/>
      <c r="F2" s="365"/>
      <c r="G2" s="365"/>
      <c r="H2" s="210" t="s">
        <v>3</v>
      </c>
      <c r="I2" s="211">
        <f t="shared" ref="I2:L2" si="0">SUM(I4:I22)</f>
        <v>4227.59</v>
      </c>
      <c r="J2" s="212">
        <f t="shared" si="0"/>
        <v>3620</v>
      </c>
      <c r="K2" s="213">
        <f t="shared" si="0"/>
        <v>4227.59</v>
      </c>
      <c r="L2" s="4">
        <f t="shared" si="0"/>
        <v>0.93433847653154634</v>
      </c>
      <c r="M2" s="5"/>
      <c r="N2" s="365"/>
      <c r="O2" s="365"/>
    </row>
    <row r="3" spans="1:15" ht="18.75" customHeight="1">
      <c r="A3" s="365"/>
      <c r="B3" s="6" t="s">
        <v>190</v>
      </c>
      <c r="C3" s="7">
        <v>2026</v>
      </c>
      <c r="D3" s="322"/>
      <c r="E3" s="322"/>
      <c r="F3" s="322"/>
      <c r="G3" s="365"/>
      <c r="H3" s="8" t="s">
        <v>6</v>
      </c>
      <c r="I3" s="9" t="s">
        <v>7</v>
      </c>
      <c r="J3" s="10" t="s">
        <v>8</v>
      </c>
      <c r="K3" s="11" t="s">
        <v>4</v>
      </c>
      <c r="L3" s="12" t="s">
        <v>9</v>
      </c>
      <c r="M3" s="5"/>
      <c r="N3" s="365"/>
      <c r="O3" s="365"/>
    </row>
    <row r="4" spans="1:15" ht="21">
      <c r="A4" s="365"/>
      <c r="B4" s="13"/>
      <c r="C4" s="348"/>
      <c r="D4" s="347" t="s">
        <v>11</v>
      </c>
      <c r="E4" s="359">
        <f>(C7-C20)/C7</f>
        <v>0.88308666666666669</v>
      </c>
      <c r="F4" s="360"/>
      <c r="G4" s="552" t="s">
        <v>12</v>
      </c>
      <c r="H4" s="15" t="str">
        <f>'📈Det. Resultados'!B9</f>
        <v>PROLABORE</v>
      </c>
      <c r="I4" s="317">
        <f>SUMIFS('📋 Despesas'!$J$7:$J$17825,'📋 Despesas'!$F$7:$F$17825,H4,'📋 Despesas'!$C$7:$C$17825,$B$3,'📋 Despesas'!$D$7:$D$17825,$C$3)</f>
        <v>2670</v>
      </c>
      <c r="J4" s="209">
        <f>SUMIFS('📋 Despesas'!$K$7:$K$17825,'📋 Despesas'!$F$7:$F$17825,H4,'📋 Despesas'!$C$7:$C$17825,$B$3,'📋 Despesas'!$D$7:$D$17825,$C$3)</f>
        <v>2670</v>
      </c>
      <c r="K4" s="16">
        <f>I4</f>
        <v>2670</v>
      </c>
      <c r="L4" s="17">
        <f>IFERROR((K4/$K$2),0)</f>
        <v>0.63156550185803262</v>
      </c>
      <c r="M4" s="5"/>
      <c r="N4" s="365"/>
      <c r="O4" s="365"/>
    </row>
    <row r="5" spans="1:15" ht="17.399999999999999">
      <c r="A5" s="365"/>
      <c r="B5" s="18" t="s">
        <v>13</v>
      </c>
      <c r="C5" s="356">
        <f>SUMIFS('💸  Receitas'!$I$5:$I$1127,'💸  Receitas'!$C$5:$C$1127,$C$3,'💸  Receitas'!$D$5:$D$1127,$B$3)</f>
        <v>10500</v>
      </c>
      <c r="D5" s="358" t="s">
        <v>14</v>
      </c>
      <c r="E5" s="322"/>
      <c r="F5" s="353"/>
      <c r="G5" s="553"/>
      <c r="H5" s="15" t="str">
        <f>'📈Det. Resultados'!B10</f>
        <v>INSS</v>
      </c>
      <c r="I5" s="317">
        <f>SUMIFS('📋 Despesas'!$J$7:$J$17825,'📋 Despesas'!$F$7:$F$17825,H5,'📋 Despesas'!$C$7:$C$17825,$B$3,'📋 Despesas'!$D$7:$D$17825,$C$3)</f>
        <v>330</v>
      </c>
      <c r="J5" s="209">
        <f>SUMIFS('📋 Despesas'!$K$7:$K$17825,'📋 Despesas'!$F$7:$F$17825,H5,'📋 Despesas'!$C$7:$C$17825,$B$3,'📋 Despesas'!$D$7:$D$17825,$C$3)</f>
        <v>0</v>
      </c>
      <c r="K5" s="16">
        <f t="shared" ref="K5:K21" si="1">I5</f>
        <v>330</v>
      </c>
      <c r="L5" s="17">
        <f t="shared" ref="L5:L22" si="2">IFERROR((K5/$K$2),0)</f>
        <v>7.805865753301526E-2</v>
      </c>
      <c r="M5" s="5"/>
      <c r="N5" s="365"/>
      <c r="O5" s="365"/>
    </row>
    <row r="6" spans="1:15" ht="21" customHeight="1">
      <c r="A6" s="365"/>
      <c r="B6" s="19" t="s">
        <v>213</v>
      </c>
      <c r="C6" s="345">
        <f>C7-C5</f>
        <v>0</v>
      </c>
      <c r="D6" s="354" t="s">
        <v>15</v>
      </c>
      <c r="E6" s="322"/>
      <c r="F6" s="353"/>
      <c r="G6" s="553"/>
      <c r="H6" s="15" t="str">
        <f>'📈Det. Resultados'!B11</f>
        <v>LUCRO</v>
      </c>
      <c r="I6" s="317">
        <f>SUMIFS('📋 Despesas'!$J$7:$J$17825,'📋 Despesas'!$F$7:$F$17825,H6,'📋 Despesas'!$C$7:$C$17825,$B$3,'📋 Despesas'!$D$7:$D$17825,$C$3)</f>
        <v>0</v>
      </c>
      <c r="J6" s="209">
        <f>SUMIFS('📋 Despesas'!$K$7:$K$17825,'📋 Despesas'!$F$7:$F$17825,H6,'📋 Despesas'!$C$7:$C$17825,$B$3,'📋 Despesas'!$D$7:$D$17825,$C$3)</f>
        <v>0</v>
      </c>
      <c r="K6" s="16">
        <f t="shared" si="1"/>
        <v>0</v>
      </c>
      <c r="L6" s="17">
        <f>IFERROR((K6/$K$2),0)</f>
        <v>0</v>
      </c>
      <c r="M6" s="5"/>
      <c r="N6" s="365"/>
      <c r="O6" s="365"/>
    </row>
    <row r="7" spans="1:15" ht="17.399999999999999">
      <c r="A7" s="365"/>
      <c r="B7" s="20" t="s">
        <v>16</v>
      </c>
      <c r="C7" s="352">
        <f>SUMIFS('💸  Receitas'!$J$7:$J$681,'💸  Receitas'!$C$7:$C$681,$C$3,'💸  Receitas'!$D$7:$D$681,$B$3)</f>
        <v>10500</v>
      </c>
      <c r="D7" s="355" t="s">
        <v>17</v>
      </c>
      <c r="E7" s="322"/>
      <c r="F7" s="353"/>
      <c r="G7" s="553"/>
      <c r="H7" s="15" t="str">
        <f>'📈Det. Resultados'!B12</f>
        <v>CONTABILIDADE</v>
      </c>
      <c r="I7" s="317">
        <f>SUMIFS('📋 Despesas'!$J$7:$J$17825,'📋 Despesas'!$F$7:$F$17825,H7,'📋 Despesas'!$C$7:$C$17825,$B$3,'📋 Despesas'!$D$7:$D$17825,$C$3)</f>
        <v>950</v>
      </c>
      <c r="J7" s="209">
        <f>SUMIFS('📋 Despesas'!$K$7:$K$17825,'📋 Despesas'!$F$7:$F$17825,H7,'📋 Despesas'!$C$7:$C$17825,$B$3,'📋 Despesas'!$D$7:$D$17825,$C$3)</f>
        <v>950</v>
      </c>
      <c r="K7" s="16">
        <f t="shared" si="1"/>
        <v>950</v>
      </c>
      <c r="L7" s="17">
        <f t="shared" si="2"/>
        <v>0.22471431714049847</v>
      </c>
      <c r="M7" s="5"/>
      <c r="N7" s="365"/>
      <c r="O7" s="365"/>
    </row>
    <row r="8" spans="1:15" ht="17.399999999999999">
      <c r="A8" s="365"/>
      <c r="B8" s="19" t="s">
        <v>18</v>
      </c>
      <c r="C8" s="345">
        <f>-K2</f>
        <v>-4227.59</v>
      </c>
      <c r="D8" s="349"/>
      <c r="E8" s="350"/>
      <c r="F8" s="351"/>
      <c r="G8" s="553"/>
      <c r="H8" s="15" t="str">
        <f>'📈Det. Resultados'!B13</f>
        <v>OUTROS</v>
      </c>
      <c r="I8" s="444">
        <f>SUMIFS('📋 Despesas'!$J$7:$J$17825,'📋 Despesas'!$F$7:$F$17825,H8,'📋 Despesas'!$C$7:$C$17825,$B$3,'📋 Despesas'!$D$7:$D$17825,$C$3)</f>
        <v>0</v>
      </c>
      <c r="J8" s="209">
        <f>SUMIFS('📋 Despesas'!$K$7:$K$17825,'📋 Despesas'!$F$7:$F$17825,H8,'📋 Despesas'!$C$7:$C$17825,$B$3,'📋 Despesas'!$D$7:$D$17825,$C$3)</f>
        <v>0</v>
      </c>
      <c r="K8" s="16">
        <f t="shared" si="1"/>
        <v>0</v>
      </c>
      <c r="L8" s="17">
        <f t="shared" si="2"/>
        <v>0</v>
      </c>
      <c r="M8" s="5"/>
      <c r="N8" s="365"/>
      <c r="O8" s="365"/>
    </row>
    <row r="9" spans="1:15" ht="17.399999999999999">
      <c r="A9" s="365"/>
      <c r="B9" s="21" t="s">
        <v>19</v>
      </c>
      <c r="C9" s="352">
        <f>C7+C8</f>
        <v>6272.41</v>
      </c>
      <c r="D9" s="562">
        <f>(C7*E4)-(C19+C21)</f>
        <v>6272.41</v>
      </c>
      <c r="E9" s="563"/>
      <c r="F9" s="564"/>
      <c r="G9" s="554"/>
      <c r="H9" s="15" t="str">
        <f>'📈Det. Resultados'!B14</f>
        <v>ADM</v>
      </c>
      <c r="I9" s="444">
        <f>SUMIFS('📋 Despesas'!$J$7:$J$17825,'📋 Despesas'!$F$7:$F$17825,H9,'📋 Despesas'!$C$7:$C$17825,$B$3,'📋 Despesas'!$D$7:$D$17825,$C$3)</f>
        <v>277.59000000000003</v>
      </c>
      <c r="J9" s="209">
        <f>SUMIFS('📋 Despesas'!$K$7:$K$17825,'📋 Despesas'!$F$7:$F$17825,H9,'📋 Despesas'!$C$7:$C$17825,$B$3,'📋 Despesas'!$D$7:$D$17825,$C$3)</f>
        <v>0</v>
      </c>
      <c r="K9" s="16">
        <f t="shared" si="1"/>
        <v>277.59000000000003</v>
      </c>
      <c r="L9" s="17"/>
      <c r="M9" s="5"/>
      <c r="N9" s="365"/>
      <c r="O9" s="365"/>
    </row>
    <row r="10" spans="1:15" ht="18">
      <c r="A10" s="365"/>
      <c r="B10" s="22" t="s">
        <v>20</v>
      </c>
      <c r="C10" s="357">
        <f>IFERROR((C9/C5),0)</f>
        <v>0.59737238095238099</v>
      </c>
      <c r="D10" s="361">
        <f>(C19+C21)/E4</f>
        <v>3397.1750602054913</v>
      </c>
      <c r="E10" s="560" t="s">
        <v>21</v>
      </c>
      <c r="F10" s="561"/>
      <c r="G10" s="344"/>
      <c r="H10" s="15">
        <f>'📈Det. Resultados'!B15</f>
        <v>0</v>
      </c>
      <c r="I10" s="317">
        <f>SUMIFS('📋 Despesas'!$J$7:$J$17825,'📋 Despesas'!$F$7:$F$17825,H10,'📋 Despesas'!$C$7:$C$17825,$B$3,'📋 Despesas'!$D$7:$D$17825,$C$3)</f>
        <v>0</v>
      </c>
      <c r="J10" s="209">
        <f>SUMIFS('📋 Despesas'!$K$7:$K$17825,'📋 Despesas'!$F$7:$F$17825,H10,'📋 Despesas'!$C$7:$C$17825,$B$3,'📋 Despesas'!$D$7:$D$17825,$C$3)</f>
        <v>0</v>
      </c>
      <c r="K10" s="16">
        <f t="shared" si="1"/>
        <v>0</v>
      </c>
      <c r="L10" s="208">
        <f t="shared" si="2"/>
        <v>0</v>
      </c>
      <c r="M10" s="5"/>
      <c r="N10" s="365"/>
      <c r="O10" s="365"/>
    </row>
    <row r="11" spans="1:15" ht="15.6">
      <c r="A11" s="365"/>
      <c r="B11" s="14"/>
      <c r="C11" s="14"/>
      <c r="D11" s="346"/>
      <c r="E11" s="344"/>
      <c r="F11" s="344"/>
      <c r="G11" s="365"/>
      <c r="H11" s="15">
        <f>'📈Det. Resultados'!B16</f>
        <v>0</v>
      </c>
      <c r="I11" s="317">
        <f>SUMIFS('📋 Despesas'!$J$7:$J$17825,'📋 Despesas'!$F$7:$F$17825,H11,'📋 Despesas'!$C$7:$C$17825,$B$3,'📋 Despesas'!$D$7:$D$17825,$C$3)</f>
        <v>0</v>
      </c>
      <c r="J11" s="209">
        <f>SUMIFS('📋 Despesas'!$K$7:$K$17825,'📋 Despesas'!$F$7:$F$17825,H11,'📋 Despesas'!$C$7:$C$17825,$B$3,'📋 Despesas'!$D$7:$D$17825,$C$3)</f>
        <v>0</v>
      </c>
      <c r="K11" s="16">
        <f t="shared" si="1"/>
        <v>0</v>
      </c>
      <c r="L11" s="208">
        <f t="shared" si="2"/>
        <v>0</v>
      </c>
      <c r="M11" s="5"/>
      <c r="N11" s="365"/>
      <c r="O11" s="23"/>
    </row>
    <row r="12" spans="1:15" ht="15.6">
      <c r="A12" s="365"/>
      <c r="B12" s="24" t="s">
        <v>22</v>
      </c>
      <c r="C12" s="233">
        <f>IFERROR((#REF!/C5),0)</f>
        <v>0</v>
      </c>
      <c r="D12" s="234">
        <f>SUM(K4:K9)</f>
        <v>4227.59</v>
      </c>
      <c r="E12" s="365"/>
      <c r="F12" s="555"/>
      <c r="G12" s="557" t="s">
        <v>23</v>
      </c>
      <c r="H12" s="15">
        <f>'📈Det. Resultados'!B17</f>
        <v>0</v>
      </c>
      <c r="I12" s="317">
        <f>SUMIFS('📋 Despesas'!$J$7:$J$17825,'📋 Despesas'!$F$7:$F$17825,H12,'📋 Despesas'!$C$7:$C$17825,$B$3,'📋 Despesas'!$D$7:$D$17825,$C$3)</f>
        <v>0</v>
      </c>
      <c r="J12" s="209">
        <f>SUMIFS('📋 Despesas'!$K$7:$K$17825,'📋 Despesas'!$F$7:$F$17825,H12,'📋 Despesas'!$C$7:$C$17825,$B$3,'📋 Despesas'!$D$7:$D$17825,$C$3)</f>
        <v>0</v>
      </c>
      <c r="K12" s="16">
        <f t="shared" si="1"/>
        <v>0</v>
      </c>
      <c r="L12" s="208">
        <f t="shared" si="2"/>
        <v>0</v>
      </c>
      <c r="M12" s="5"/>
      <c r="N12" s="365"/>
      <c r="O12" s="365"/>
    </row>
    <row r="13" spans="1:15" ht="15.6">
      <c r="A13" s="365"/>
      <c r="B13" s="14"/>
      <c r="C13" s="14"/>
      <c r="D13" s="14"/>
      <c r="E13" s="365"/>
      <c r="F13" s="556"/>
      <c r="G13" s="558"/>
      <c r="H13" s="15">
        <f>'📈Det. Resultados'!B18</f>
        <v>0</v>
      </c>
      <c r="I13" s="317">
        <f>SUMIFS('📋 Despesas'!$J$7:$J$17825,'📋 Despesas'!$F$7:$F$17825,H13,'📋 Despesas'!$C$7:$C$17825,$B$3,'📋 Despesas'!$D$7:$D$17825,$C$3)</f>
        <v>0</v>
      </c>
      <c r="J13" s="209">
        <f>SUMIFS('📋 Despesas'!$K$7:$K$17825,'📋 Despesas'!$F$7:$F$17825,H13,'📋 Despesas'!$C$7:$C$17825,$B$3,'📋 Despesas'!$D$7:$D$17825,$C$3)</f>
        <v>0</v>
      </c>
      <c r="K13" s="16">
        <f t="shared" si="1"/>
        <v>0</v>
      </c>
      <c r="L13" s="208">
        <f t="shared" si="2"/>
        <v>0</v>
      </c>
      <c r="M13" s="5"/>
      <c r="N13" s="365"/>
      <c r="O13" s="365"/>
    </row>
    <row r="14" spans="1:15" ht="15.6">
      <c r="A14" s="365"/>
      <c r="B14" s="25" t="s">
        <v>25</v>
      </c>
      <c r="C14" s="235">
        <f>IFERROR(SUM(K11:K21)/C7,0)</f>
        <v>0</v>
      </c>
      <c r="D14" s="236">
        <f>SUM(K11:K21)</f>
        <v>0</v>
      </c>
      <c r="E14" s="365"/>
      <c r="F14" s="556"/>
      <c r="G14" s="558"/>
      <c r="H14" s="15">
        <f>'📈Det. Resultados'!B19</f>
        <v>0</v>
      </c>
      <c r="I14" s="317">
        <f>SUMIFS('📋 Despesas'!$J$7:$J$17825,'📋 Despesas'!$F$7:$F$17825,H14,'📋 Despesas'!$C$7:$C$17825,$B$3,'📋 Despesas'!$D$7:$D$17825,$C$3)</f>
        <v>0</v>
      </c>
      <c r="J14" s="209">
        <f>SUMIFS('📋 Despesas'!$K$7:$K$17825,'📋 Despesas'!$F$7:$F$17825,H14,'📋 Despesas'!$C$7:$C$17825,$B$3,'📋 Despesas'!$D$7:$D$17825,$C$3)</f>
        <v>0</v>
      </c>
      <c r="K14" s="16">
        <f t="shared" si="1"/>
        <v>0</v>
      </c>
      <c r="L14" s="208">
        <f t="shared" si="2"/>
        <v>0</v>
      </c>
      <c r="M14" s="5"/>
      <c r="N14" s="365"/>
      <c r="O14" s="365"/>
    </row>
    <row r="15" spans="1:15" ht="15.6">
      <c r="A15" s="365"/>
      <c r="B15" s="14"/>
      <c r="C15" s="14"/>
      <c r="D15" s="14"/>
      <c r="E15" s="365"/>
      <c r="F15" s="556"/>
      <c r="G15" s="558"/>
      <c r="H15" s="15">
        <f>'📈Det. Resultados'!B20</f>
        <v>0</v>
      </c>
      <c r="I15" s="317">
        <f>SUMIFS('📋 Despesas'!$J$7:$J$17825,'📋 Despesas'!$F$7:$F$17825,H15,'📋 Despesas'!$C$7:$C$17825,$B$3,'📋 Despesas'!$D$7:$D$17825,$C$3)</f>
        <v>0</v>
      </c>
      <c r="J15" s="209">
        <f>SUMIFS('📋 Despesas'!$K$7:$K$17825,'📋 Despesas'!$F$7:$F$17825,H15,'📋 Despesas'!$C$7:$C$17825,$B$3,'📋 Despesas'!$D$7:$D$17825,$C$3)</f>
        <v>0</v>
      </c>
      <c r="K15" s="16">
        <f t="shared" si="1"/>
        <v>0</v>
      </c>
      <c r="L15" s="208">
        <f t="shared" si="2"/>
        <v>0</v>
      </c>
      <c r="M15" s="5"/>
      <c r="N15" s="365"/>
      <c r="O15" s="365"/>
    </row>
    <row r="16" spans="1:15" ht="15.6">
      <c r="A16" s="365"/>
      <c r="B16" s="26" t="s">
        <v>26</v>
      </c>
      <c r="C16" s="27">
        <f>IFERROR((K12/C5),0)</f>
        <v>0</v>
      </c>
      <c r="D16" s="28">
        <f>IFERROR((C5/(K12+K11)),)</f>
        <v>0</v>
      </c>
      <c r="E16" s="365"/>
      <c r="F16" s="556"/>
      <c r="G16" s="558"/>
      <c r="H16" s="15">
        <f>'📈Det. Resultados'!B21</f>
        <v>0</v>
      </c>
      <c r="I16" s="317">
        <f>SUMIFS('📋 Despesas'!$J$7:$J$17825,'📋 Despesas'!$F$7:$F$17825,H16,'📋 Despesas'!$C$7:$C$17825,$B$3,'📋 Despesas'!$D$7:$D$17825,$C$3)</f>
        <v>0</v>
      </c>
      <c r="J16" s="209">
        <f>SUMIFS('📋 Despesas'!$K$7:$K$17825,'📋 Despesas'!$F$7:$F$17825,H16,'📋 Despesas'!$C$7:$C$17825,$B$3,'📋 Despesas'!$D$7:$D$17825,$C$3)</f>
        <v>0</v>
      </c>
      <c r="K16" s="16">
        <f t="shared" si="1"/>
        <v>0</v>
      </c>
      <c r="L16" s="208">
        <f t="shared" si="2"/>
        <v>0</v>
      </c>
      <c r="M16" s="343"/>
      <c r="N16" s="344"/>
      <c r="O16" s="365"/>
    </row>
    <row r="17" spans="1:15" ht="15.6">
      <c r="A17" s="365"/>
      <c r="B17" s="29" t="s">
        <v>27</v>
      </c>
      <c r="C17" s="342">
        <f>IFERROR((D17/C5),0)</f>
        <v>0</v>
      </c>
      <c r="D17" s="237">
        <f>K16</f>
        <v>0</v>
      </c>
      <c r="E17" s="365"/>
      <c r="F17" s="556"/>
      <c r="G17" s="558"/>
      <c r="H17" s="15" t="str">
        <f>'📈Det. Resultados'!B22</f>
        <v>DAS</v>
      </c>
      <c r="I17" s="317">
        <f>SUMIFS('📋 Despesas'!$J$7:$J$17825,'📋 Despesas'!$F$7:$F$17825,H17,'📋 Despesas'!$C$7:$C$17825,$B$3,'📋 Despesas'!$D$7:$D$17825,$C$3)</f>
        <v>0</v>
      </c>
      <c r="J17" s="209">
        <f>SUMIFS('📋 Despesas'!$K$7:$K$17825,'📋 Despesas'!$F$7:$F$17825,H17,'📋 Despesas'!$C$7:$C$17825,$B$3,'📋 Despesas'!$D$7:$D$17825,$C$3)</f>
        <v>0</v>
      </c>
      <c r="K17" s="16">
        <f t="shared" si="1"/>
        <v>0</v>
      </c>
      <c r="L17" s="208">
        <f t="shared" si="2"/>
        <v>0</v>
      </c>
      <c r="M17" s="343"/>
      <c r="N17" s="344"/>
      <c r="O17" s="365"/>
    </row>
    <row r="18" spans="1:15" ht="15.6">
      <c r="A18" s="365"/>
      <c r="B18" s="14"/>
      <c r="C18" s="14"/>
      <c r="D18" s="14"/>
      <c r="E18" s="365"/>
      <c r="F18" s="556"/>
      <c r="G18" s="558"/>
      <c r="H18" s="15" t="str">
        <f>'📈Det. Resultados'!B23</f>
        <v>TAXAS</v>
      </c>
      <c r="I18" s="317">
        <f>SUMIFS('📋 Despesas'!$J$7:$J$17825,'📋 Despesas'!$F$7:$F$17825,H18,'📋 Despesas'!$C$7:$C$17825,$B$3,'📋 Despesas'!$D$7:$D$17825,$C$3)</f>
        <v>0</v>
      </c>
      <c r="J18" s="209">
        <f>SUMIFS('📋 Despesas'!$K$7:$K$17825,'📋 Despesas'!$F$7:$F$17825,H18,'📋 Despesas'!$C$7:$C$17825,$B$3,'📋 Despesas'!$D$7:$D$17825,$C$3)</f>
        <v>0</v>
      </c>
      <c r="K18" s="16">
        <f t="shared" si="1"/>
        <v>0</v>
      </c>
      <c r="L18" s="208">
        <f t="shared" si="2"/>
        <v>0</v>
      </c>
      <c r="M18" s="343"/>
      <c r="N18" s="344"/>
      <c r="O18" s="365"/>
    </row>
    <row r="19" spans="1:15" ht="15.6">
      <c r="A19" s="365"/>
      <c r="B19" s="193" t="s">
        <v>29</v>
      </c>
      <c r="C19" s="215">
        <f>SUMIFS('📋 Despesas'!$J$7:$J$18166,'📋 Despesas'!$H$7:$H$18166,B19,'📋 Despesas'!$C$7:$C$18166,$B$3,'📋 Despesas'!$D$7:$D$18166,$C$3)</f>
        <v>2670</v>
      </c>
      <c r="D19" s="30">
        <f t="shared" ref="D19:D21" si="3">C19/$C$22</f>
        <v>0.63156550185803262</v>
      </c>
      <c r="E19" s="365"/>
      <c r="F19" s="556"/>
      <c r="G19" s="558"/>
      <c r="H19" s="15">
        <f>'📈Det. Resultados'!B24</f>
        <v>0</v>
      </c>
      <c r="I19" s="317">
        <f>SUMIFS('📋 Despesas'!$J$7:$J$17825,'📋 Despesas'!$F$7:$F$17825,H19,'📋 Despesas'!$C$7:$C$17825,$B$3,'📋 Despesas'!$D$7:$D$17825,$C$3)</f>
        <v>0</v>
      </c>
      <c r="J19" s="209">
        <f>SUMIFS('📋 Despesas'!$K$7:$K$17825,'📋 Despesas'!$F$7:$F$17825,H19,'📋 Despesas'!$C$7:$C$17825,$B$3,'📋 Despesas'!$D$7:$D$17825,$C$3)</f>
        <v>0</v>
      </c>
      <c r="K19" s="16">
        <f t="shared" si="1"/>
        <v>0</v>
      </c>
      <c r="L19" s="208">
        <f t="shared" si="2"/>
        <v>0</v>
      </c>
      <c r="M19" s="343"/>
      <c r="N19" s="344"/>
      <c r="O19" s="365"/>
    </row>
    <row r="20" spans="1:15" ht="15.6">
      <c r="A20" s="365"/>
      <c r="B20" s="193" t="s">
        <v>30</v>
      </c>
      <c r="C20" s="215">
        <f>SUMIFS('📋 Despesas'!$J$7:$J$18166,'📋 Despesas'!$H$7:$H$18166,B20,'📋 Despesas'!$C$7:$C$18166,$B$3,'📋 Despesas'!$D$7:$D$18166,$C$3)</f>
        <v>1227.5899999999999</v>
      </c>
      <c r="D20" s="31">
        <f t="shared" si="3"/>
        <v>0.29037584060895211</v>
      </c>
      <c r="E20" s="365"/>
      <c r="F20" s="556"/>
      <c r="G20" s="558"/>
      <c r="H20" s="15">
        <f>'📈Det. Resultados'!B25</f>
        <v>0</v>
      </c>
      <c r="I20" s="317">
        <f>SUMIFS('📋 Despesas'!$J$7:$J$17825,'📋 Despesas'!$F$7:$F$17825,H20,'📋 Despesas'!$C$7:$C$17825,$B$3,'📋 Despesas'!$D$7:$D$17825,$C$3)</f>
        <v>0</v>
      </c>
      <c r="J20" s="209">
        <f>SUMIFS('📋 Despesas'!$K$7:$K$17825,'📋 Despesas'!$F$7:$F$17825,H20,'📋 Despesas'!$C$7:$C$17825,$B$3,'📋 Despesas'!$D$7:$D$17825,$C$3)</f>
        <v>0</v>
      </c>
      <c r="K20" s="16">
        <f t="shared" si="1"/>
        <v>0</v>
      </c>
      <c r="L20" s="208">
        <f t="shared" si="2"/>
        <v>0</v>
      </c>
      <c r="M20" s="343"/>
      <c r="N20" s="344"/>
      <c r="O20" s="365"/>
    </row>
    <row r="21" spans="1:15" ht="15.75" customHeight="1">
      <c r="A21" s="365"/>
      <c r="B21" s="193" t="s">
        <v>32</v>
      </c>
      <c r="C21" s="215">
        <f>SUMIFS('📋 Despesas'!$J$7:$J$18166,'📋 Despesas'!$H$7:$H$18166,B21,'📋 Despesas'!$C$7:$C$18166,$B$3,'📋 Despesas'!$D$7:$D$18166,$C$3)</f>
        <v>330</v>
      </c>
      <c r="D21" s="31">
        <f t="shared" si="3"/>
        <v>7.805865753301526E-2</v>
      </c>
      <c r="E21" s="365"/>
      <c r="F21" s="556"/>
      <c r="G21" s="558"/>
      <c r="H21" s="15">
        <f>'📈Det. Resultados'!B26</f>
        <v>0</v>
      </c>
      <c r="I21" s="317">
        <f>SUMIFS('📋 Despesas'!$J$7:$J$17825,'📋 Despesas'!$F$7:$F$17825,H21,'📋 Despesas'!$C$7:$C$17825,$B$3,'📋 Despesas'!$D$7:$D$17825,$C$3)</f>
        <v>0</v>
      </c>
      <c r="J21" s="209">
        <f>SUMIFS('📋 Despesas'!$K$7:$K$17825,'📋 Despesas'!$F$7:$F$17825,H21,'📋 Despesas'!$C$7:$C$17825,$B$3,'📋 Despesas'!$D$7:$D$17825,$C$3)</f>
        <v>0</v>
      </c>
      <c r="K21" s="16">
        <f t="shared" si="1"/>
        <v>0</v>
      </c>
      <c r="L21" s="208">
        <f t="shared" si="2"/>
        <v>0</v>
      </c>
      <c r="M21" s="343"/>
      <c r="N21" s="344"/>
      <c r="O21" s="365"/>
    </row>
    <row r="22" spans="1:15" ht="15.75" customHeight="1">
      <c r="A22" s="365"/>
      <c r="B22" s="417" t="s">
        <v>4</v>
      </c>
      <c r="C22" s="418">
        <f>SUM(C19:C21)</f>
        <v>4227.59</v>
      </c>
      <c r="D22" s="419">
        <f t="shared" ref="D22" si="4">SUM(D19:D21)</f>
        <v>0.99999999999999989</v>
      </c>
      <c r="E22" s="32"/>
      <c r="F22" s="556"/>
      <c r="G22" s="559"/>
      <c r="H22" s="15">
        <f>'📈Det. Resultados'!B27</f>
        <v>0</v>
      </c>
      <c r="I22" s="317">
        <f>SUMIFS('📋 Despesas'!$J$7:$J$17825,'📋 Despesas'!$F$7:$F$17825,H22,'📋 Despesas'!$C$7:$C$17825,$B$3,'📋 Despesas'!$D$7:$D$17825,$C$3)</f>
        <v>0</v>
      </c>
      <c r="J22" s="209">
        <f>SUMIFS('📋 Despesas'!$K$7:$K$17825,'📋 Despesas'!$F$7:$F$17825,H22,'📋 Despesas'!$C$7:$C$17825,$B$3,'📋 Despesas'!$D$7:$D$17825,$C$3)</f>
        <v>0</v>
      </c>
      <c r="K22" s="207">
        <f t="shared" ref="K22" si="5">I22</f>
        <v>0</v>
      </c>
      <c r="L22" s="208">
        <f t="shared" si="2"/>
        <v>0</v>
      </c>
      <c r="M22" s="343"/>
      <c r="N22" s="344"/>
      <c r="O22" s="365" t="s">
        <v>34</v>
      </c>
    </row>
    <row r="23" spans="1:15" ht="15.75" customHeight="1">
      <c r="A23" s="365"/>
      <c r="B23" s="414" t="s">
        <v>197</v>
      </c>
      <c r="C23" s="415">
        <f>C19+C21</f>
        <v>3000</v>
      </c>
      <c r="D23" s="416">
        <f>C23/C7</f>
        <v>0.2857142857142857</v>
      </c>
      <c r="E23" s="32"/>
      <c r="G23" s="409"/>
      <c r="H23" s="410"/>
      <c r="I23" s="411"/>
      <c r="J23" s="318"/>
      <c r="K23" s="412"/>
      <c r="L23" s="413"/>
      <c r="M23" s="343"/>
      <c r="N23" s="344"/>
      <c r="O23" s="365"/>
    </row>
    <row r="24" spans="1:15" ht="15.75" customHeight="1">
      <c r="A24" s="365"/>
      <c r="B24" s="365"/>
      <c r="C24" s="365"/>
      <c r="D24" s="365"/>
      <c r="E24" s="365"/>
      <c r="F24" s="365"/>
      <c r="G24" s="365"/>
      <c r="H24" s="365"/>
      <c r="I24" s="365"/>
      <c r="J24" s="365"/>
      <c r="K24" s="365"/>
      <c r="L24" s="365"/>
      <c r="M24" s="365"/>
      <c r="N24" s="365"/>
      <c r="O24" s="365"/>
    </row>
    <row r="25" spans="1:15" ht="15.75" customHeight="1">
      <c r="A25" s="365"/>
      <c r="B25" s="365"/>
      <c r="C25" s="365"/>
      <c r="D25" s="365"/>
      <c r="E25" s="365"/>
      <c r="F25" s="365"/>
      <c r="G25" s="365"/>
      <c r="H25" s="365"/>
      <c r="I25" s="365"/>
      <c r="J25" s="365"/>
      <c r="K25" s="365"/>
      <c r="L25" s="365"/>
      <c r="M25" s="365"/>
      <c r="N25" s="365"/>
      <c r="O25" s="365"/>
    </row>
    <row r="26" spans="1:15" ht="15.75" customHeight="1">
      <c r="A26" s="365"/>
      <c r="B26" s="365"/>
      <c r="C26" s="365"/>
      <c r="D26" s="365"/>
      <c r="E26" s="365"/>
      <c r="F26" s="365">
        <v>1</v>
      </c>
      <c r="G26" s="365"/>
      <c r="H26" s="365"/>
      <c r="I26" s="365"/>
      <c r="J26" s="365"/>
      <c r="K26" s="365"/>
      <c r="L26" s="365"/>
      <c r="M26" s="365"/>
      <c r="N26" s="365"/>
      <c r="O26" s="365"/>
    </row>
    <row r="27" spans="1:15" ht="15.75" customHeight="1">
      <c r="A27" s="365"/>
      <c r="B27" s="365"/>
      <c r="C27" s="365"/>
      <c r="D27" s="365"/>
      <c r="E27" s="365"/>
      <c r="F27" s="365"/>
      <c r="G27" s="365"/>
      <c r="H27" s="365"/>
      <c r="I27" s="365"/>
      <c r="J27" s="365"/>
      <c r="K27" s="365"/>
      <c r="L27" s="365"/>
      <c r="M27" s="365"/>
      <c r="N27" s="365"/>
      <c r="O27" s="365"/>
    </row>
    <row r="28" spans="1:15" ht="15.75" customHeight="1">
      <c r="A28" s="365"/>
      <c r="B28" s="365"/>
      <c r="C28" s="365"/>
      <c r="D28" s="365"/>
      <c r="E28" s="365"/>
      <c r="F28" s="365"/>
      <c r="G28" s="365"/>
      <c r="H28" s="365"/>
      <c r="I28" s="365"/>
      <c r="J28" s="365"/>
      <c r="K28" s="365"/>
      <c r="L28" s="365"/>
      <c r="M28" s="365"/>
      <c r="N28" s="365"/>
      <c r="O28" s="365"/>
    </row>
    <row r="29" spans="1:15" ht="15.75" customHeight="1">
      <c r="A29" s="365"/>
      <c r="B29" s="365"/>
      <c r="C29" s="365"/>
      <c r="D29" s="365"/>
      <c r="E29" s="365"/>
      <c r="F29" s="365"/>
      <c r="G29" s="365"/>
      <c r="H29" s="365"/>
      <c r="I29" s="365"/>
      <c r="J29" s="365"/>
      <c r="K29" s="365"/>
      <c r="L29" s="365"/>
      <c r="M29" s="365"/>
      <c r="N29" s="365"/>
      <c r="O29" s="365"/>
    </row>
    <row r="30" spans="1:15" ht="15.75" customHeight="1">
      <c r="A30" s="365"/>
      <c r="B30" s="365"/>
      <c r="C30" s="365"/>
      <c r="D30" s="365"/>
      <c r="E30" s="365"/>
      <c r="F30" s="365"/>
      <c r="G30" s="365"/>
      <c r="H30" s="365"/>
      <c r="I30" s="365"/>
      <c r="J30" s="365"/>
      <c r="K30" s="365"/>
      <c r="L30" s="365"/>
      <c r="M30" s="365"/>
      <c r="N30" s="365"/>
      <c r="O30" s="365"/>
    </row>
    <row r="31" spans="1:15" ht="15.75" customHeight="1">
      <c r="A31" s="365"/>
      <c r="B31" s="365"/>
      <c r="C31" s="365"/>
      <c r="D31" s="365"/>
      <c r="E31" s="365"/>
      <c r="F31" s="365"/>
      <c r="G31" s="365"/>
      <c r="H31" s="365"/>
      <c r="I31" s="365"/>
      <c r="J31" s="365"/>
      <c r="K31" s="365"/>
      <c r="L31" s="365"/>
      <c r="M31" s="365"/>
      <c r="N31" s="365"/>
      <c r="O31" s="365"/>
    </row>
    <row r="32" spans="1:15" ht="15.75" customHeight="1">
      <c r="A32" s="365"/>
      <c r="B32" s="365"/>
      <c r="C32" s="365"/>
      <c r="D32" s="365"/>
      <c r="E32" s="365"/>
      <c r="F32" s="365"/>
      <c r="G32" s="365"/>
      <c r="H32" s="365"/>
      <c r="I32" s="365"/>
      <c r="J32" s="365"/>
      <c r="K32" s="365"/>
      <c r="L32" s="365"/>
      <c r="M32" s="365"/>
      <c r="N32" s="365"/>
      <c r="O32" s="365"/>
    </row>
    <row r="33" spans="1:15" ht="15.75" customHeight="1">
      <c r="A33" s="365"/>
      <c r="B33" s="365"/>
      <c r="C33" s="365"/>
      <c r="D33" s="365"/>
      <c r="E33" s="365"/>
      <c r="F33" s="365"/>
      <c r="G33" s="365"/>
      <c r="H33" s="365"/>
      <c r="I33" s="365"/>
      <c r="J33" s="365"/>
      <c r="K33" s="365"/>
      <c r="L33" s="365"/>
      <c r="M33" s="365"/>
      <c r="N33" s="365"/>
      <c r="O33" s="365"/>
    </row>
    <row r="34" spans="1:15" ht="15.75" customHeight="1">
      <c r="A34" s="365"/>
      <c r="B34" s="365"/>
      <c r="C34" s="365"/>
      <c r="D34" s="365"/>
      <c r="E34" s="365"/>
      <c r="F34" s="365"/>
      <c r="G34" s="365"/>
      <c r="H34" s="365"/>
      <c r="I34" s="365"/>
      <c r="J34" s="365"/>
      <c r="K34" s="365"/>
      <c r="L34" s="365"/>
      <c r="M34" s="365"/>
      <c r="N34" s="365"/>
      <c r="O34" s="365"/>
    </row>
    <row r="35" spans="1:15" ht="15.75" customHeight="1">
      <c r="A35" s="365"/>
      <c r="B35" s="365"/>
      <c r="C35" s="365"/>
      <c r="D35" s="365"/>
      <c r="E35" s="365"/>
      <c r="F35" s="365"/>
      <c r="G35" s="365"/>
      <c r="H35" s="365"/>
      <c r="I35" s="365"/>
      <c r="J35" s="365"/>
      <c r="K35" s="365"/>
      <c r="L35" s="365"/>
      <c r="M35" s="365"/>
      <c r="N35" s="365"/>
      <c r="O35" s="365"/>
    </row>
    <row r="36" spans="1:15" ht="15.75" customHeight="1">
      <c r="A36" s="365"/>
      <c r="B36" s="365"/>
      <c r="C36" s="365"/>
      <c r="D36" s="365"/>
      <c r="E36" s="365"/>
      <c r="F36" s="365"/>
      <c r="G36" s="365"/>
      <c r="H36" s="365"/>
      <c r="I36" s="365"/>
      <c r="J36" s="365"/>
      <c r="K36" s="365"/>
      <c r="L36" s="365"/>
      <c r="M36" s="365"/>
      <c r="N36" s="365"/>
      <c r="O36" s="365"/>
    </row>
    <row r="37" spans="1:15" ht="15.75" customHeight="1">
      <c r="A37" s="365"/>
      <c r="B37" s="365"/>
      <c r="C37" s="365"/>
      <c r="D37" s="365"/>
      <c r="E37" s="365"/>
      <c r="F37" s="365"/>
      <c r="G37" s="365"/>
      <c r="H37" s="365"/>
      <c r="I37" s="365"/>
      <c r="J37" s="365"/>
      <c r="K37" s="365"/>
      <c r="L37" s="365"/>
      <c r="M37" s="365"/>
      <c r="N37" s="365"/>
      <c r="O37" s="365"/>
    </row>
    <row r="38" spans="1:15" ht="15.75" customHeight="1">
      <c r="A38" s="365"/>
      <c r="B38" s="365"/>
      <c r="C38" s="365"/>
      <c r="D38" s="365"/>
      <c r="E38" s="365"/>
      <c r="F38" s="365"/>
      <c r="G38" s="365"/>
      <c r="H38" s="365"/>
      <c r="I38" s="365"/>
      <c r="J38" s="365"/>
      <c r="K38" s="365"/>
      <c r="L38" s="365"/>
      <c r="M38" s="365"/>
      <c r="N38" s="365"/>
      <c r="O38" s="365"/>
    </row>
    <row r="39" spans="1:15" ht="15.75" customHeight="1">
      <c r="A39" s="365"/>
      <c r="B39" s="365"/>
      <c r="C39" s="365"/>
      <c r="D39" s="365"/>
      <c r="E39" s="365"/>
      <c r="F39" s="365"/>
      <c r="G39" s="365"/>
      <c r="H39" s="365"/>
      <c r="I39" s="365"/>
      <c r="J39" s="365"/>
      <c r="K39" s="365"/>
      <c r="L39" s="365"/>
      <c r="M39" s="365"/>
      <c r="N39" s="365"/>
      <c r="O39" s="365"/>
    </row>
    <row r="40" spans="1:15" ht="15.75" customHeight="1">
      <c r="A40" s="365"/>
      <c r="B40" s="365"/>
      <c r="C40" s="365"/>
      <c r="D40" s="365"/>
      <c r="E40" s="365"/>
      <c r="F40" s="365"/>
      <c r="G40" s="365"/>
      <c r="H40" s="365"/>
      <c r="I40" s="365"/>
      <c r="J40" s="365"/>
      <c r="K40" s="365"/>
      <c r="L40" s="365"/>
      <c r="M40" s="365"/>
      <c r="N40" s="365"/>
      <c r="O40" s="365"/>
    </row>
    <row r="41" spans="1:15" ht="15.75" customHeight="1">
      <c r="A41" s="365"/>
      <c r="B41" s="365"/>
      <c r="C41" s="365"/>
      <c r="D41" s="365"/>
      <c r="E41" s="365"/>
      <c r="F41" s="365"/>
      <c r="G41" s="365"/>
      <c r="H41" s="365"/>
      <c r="I41" s="365"/>
      <c r="J41" s="365"/>
      <c r="K41" s="365"/>
      <c r="L41" s="365"/>
      <c r="M41" s="365"/>
      <c r="N41" s="365"/>
      <c r="O41" s="365"/>
    </row>
    <row r="42" spans="1:15" ht="15.75" customHeight="1">
      <c r="A42" s="365"/>
      <c r="B42" s="365"/>
      <c r="C42" s="365"/>
      <c r="D42" s="365"/>
      <c r="E42" s="365"/>
      <c r="F42" s="365"/>
      <c r="G42" s="365"/>
      <c r="H42" s="365"/>
      <c r="I42" s="365"/>
      <c r="J42" s="365"/>
      <c r="K42" s="365"/>
      <c r="L42" s="365"/>
      <c r="M42" s="365"/>
      <c r="N42" s="365"/>
      <c r="O42" s="365"/>
    </row>
    <row r="43" spans="1:15" ht="15.75" customHeight="1">
      <c r="A43" s="365"/>
      <c r="B43" s="365"/>
      <c r="C43" s="365"/>
      <c r="D43" s="365"/>
      <c r="E43" s="365"/>
      <c r="F43" s="365"/>
      <c r="G43" s="365"/>
      <c r="H43" s="365"/>
      <c r="I43" s="365"/>
      <c r="J43" s="365"/>
      <c r="K43" s="365"/>
      <c r="L43" s="365"/>
      <c r="M43" s="365"/>
      <c r="N43" s="365"/>
      <c r="O43" s="365"/>
    </row>
    <row r="44" spans="1:15" ht="15.75" customHeight="1">
      <c r="A44" s="365"/>
      <c r="B44" s="365"/>
      <c r="C44" s="365"/>
      <c r="D44" s="365"/>
      <c r="E44" s="365"/>
      <c r="F44" s="365"/>
      <c r="G44" s="365"/>
      <c r="H44" s="365"/>
      <c r="I44" s="365"/>
      <c r="J44" s="365"/>
      <c r="K44" s="365"/>
      <c r="L44" s="365"/>
      <c r="M44" s="365"/>
      <c r="N44" s="365"/>
      <c r="O44" s="365"/>
    </row>
    <row r="45" spans="1:15" ht="15.75" customHeight="1">
      <c r="A45" s="365"/>
      <c r="B45" s="365"/>
      <c r="C45" s="365"/>
      <c r="D45" s="365"/>
      <c r="E45" s="365"/>
      <c r="F45" s="365"/>
      <c r="G45" s="365"/>
      <c r="H45" s="365"/>
      <c r="I45" s="365"/>
      <c r="J45" s="365"/>
      <c r="K45" s="365"/>
      <c r="L45" s="365"/>
      <c r="M45" s="365"/>
      <c r="N45" s="365"/>
      <c r="O45" s="365"/>
    </row>
    <row r="46" spans="1:15" ht="15.75" customHeight="1">
      <c r="A46" s="365"/>
      <c r="B46" s="365"/>
      <c r="C46" s="365"/>
      <c r="D46" s="365"/>
      <c r="E46" s="365"/>
      <c r="F46" s="365"/>
      <c r="G46" s="365"/>
      <c r="H46" s="365"/>
      <c r="I46" s="365"/>
      <c r="J46" s="365"/>
      <c r="K46" s="365"/>
      <c r="L46" s="365"/>
      <c r="M46" s="365"/>
      <c r="N46" s="365"/>
      <c r="O46" s="365"/>
    </row>
    <row r="47" spans="1:15" ht="15.75" customHeight="1">
      <c r="A47" s="365"/>
      <c r="B47" s="365"/>
      <c r="C47" s="365"/>
      <c r="D47" s="365"/>
      <c r="E47" s="365"/>
      <c r="F47" s="365"/>
      <c r="G47" s="365"/>
      <c r="H47" s="365"/>
      <c r="I47" s="365"/>
      <c r="J47" s="365"/>
      <c r="K47" s="365"/>
      <c r="L47" s="365"/>
      <c r="M47" s="365"/>
      <c r="N47" s="365"/>
      <c r="O47" s="365"/>
    </row>
    <row r="48" spans="1:15" ht="15.75" customHeight="1">
      <c r="A48" s="365"/>
      <c r="B48" s="365"/>
      <c r="C48" s="365"/>
      <c r="D48" s="365"/>
      <c r="E48" s="365"/>
      <c r="F48" s="365"/>
      <c r="G48" s="365"/>
      <c r="H48" s="365"/>
      <c r="I48" s="365"/>
      <c r="J48" s="365"/>
      <c r="K48" s="365"/>
      <c r="L48" s="365"/>
      <c r="M48" s="365"/>
      <c r="N48" s="365"/>
      <c r="O48" s="365"/>
    </row>
    <row r="49" spans="1:15" ht="15.75" customHeight="1">
      <c r="A49" s="365"/>
      <c r="B49" s="365"/>
      <c r="C49" s="365"/>
      <c r="D49" s="365"/>
      <c r="E49" s="365"/>
      <c r="F49" s="365"/>
      <c r="G49" s="365"/>
      <c r="H49" s="365"/>
      <c r="I49" s="365"/>
      <c r="J49" s="365"/>
      <c r="K49" s="365"/>
      <c r="L49" s="365"/>
      <c r="M49" s="365"/>
      <c r="N49" s="365"/>
      <c r="O49" s="365"/>
    </row>
    <row r="50" spans="1:15" ht="15.75" customHeight="1">
      <c r="A50" s="365"/>
      <c r="B50" s="365"/>
      <c r="C50" s="365"/>
      <c r="D50" s="365"/>
      <c r="E50" s="365"/>
      <c r="F50" s="365"/>
      <c r="G50" s="365"/>
      <c r="H50" s="365"/>
      <c r="I50" s="365"/>
      <c r="J50" s="365"/>
      <c r="K50" s="365"/>
      <c r="L50" s="365"/>
      <c r="M50" s="365"/>
      <c r="N50" s="365"/>
      <c r="O50" s="365"/>
    </row>
    <row r="51" spans="1:15" ht="15.75" customHeight="1">
      <c r="A51" s="365"/>
      <c r="B51" s="365"/>
      <c r="C51" s="365"/>
      <c r="D51" s="365"/>
      <c r="E51" s="365"/>
      <c r="F51" s="365"/>
      <c r="G51" s="365"/>
      <c r="H51" s="365"/>
      <c r="I51" s="365"/>
      <c r="J51" s="365"/>
      <c r="K51" s="365"/>
      <c r="L51" s="365"/>
      <c r="M51" s="365"/>
      <c r="N51" s="365"/>
      <c r="O51" s="365"/>
    </row>
    <row r="52" spans="1:15" ht="15.75" customHeight="1">
      <c r="A52" s="365"/>
      <c r="B52" s="365"/>
      <c r="C52" s="365"/>
      <c r="D52" s="365"/>
      <c r="E52" s="365"/>
      <c r="F52" s="365"/>
      <c r="G52" s="365"/>
      <c r="H52" s="365"/>
      <c r="I52" s="365"/>
      <c r="J52" s="365"/>
      <c r="K52" s="365"/>
      <c r="L52" s="365"/>
      <c r="M52" s="365"/>
      <c r="N52" s="365"/>
      <c r="O52" s="365"/>
    </row>
    <row r="53" spans="1:15" ht="15.75" customHeight="1">
      <c r="A53" s="365"/>
      <c r="B53" s="365"/>
      <c r="C53" s="365"/>
      <c r="D53" s="365"/>
      <c r="E53" s="365"/>
      <c r="F53" s="365"/>
      <c r="G53" s="365"/>
      <c r="H53" s="365"/>
      <c r="I53" s="365"/>
      <c r="J53" s="365"/>
      <c r="K53" s="365"/>
      <c r="L53" s="365"/>
      <c r="M53" s="365"/>
      <c r="N53" s="365"/>
      <c r="O53" s="365"/>
    </row>
    <row r="54" spans="1:15" ht="15.75" customHeight="1">
      <c r="A54" s="365"/>
      <c r="B54" s="365"/>
      <c r="C54" s="365"/>
      <c r="D54" s="365"/>
      <c r="E54" s="365"/>
      <c r="F54" s="365"/>
      <c r="G54" s="365"/>
      <c r="H54" s="365"/>
      <c r="I54" s="365"/>
      <c r="J54" s="365"/>
      <c r="K54" s="365"/>
      <c r="L54" s="365"/>
      <c r="M54" s="365"/>
      <c r="N54" s="365"/>
      <c r="O54" s="365"/>
    </row>
    <row r="55" spans="1:15" ht="15.75" customHeight="1">
      <c r="A55" s="365"/>
      <c r="B55" s="365"/>
      <c r="C55" s="365"/>
      <c r="D55" s="365"/>
      <c r="E55" s="365"/>
      <c r="F55" s="365"/>
      <c r="G55" s="365"/>
      <c r="H55" s="365"/>
      <c r="I55" s="365"/>
      <c r="J55" s="365"/>
      <c r="K55" s="365"/>
      <c r="L55" s="365"/>
      <c r="M55" s="365"/>
      <c r="N55" s="365"/>
      <c r="O55" s="365"/>
    </row>
    <row r="56" spans="1:15" ht="15.75" customHeight="1">
      <c r="A56" s="365"/>
      <c r="B56" s="365"/>
      <c r="C56" s="365"/>
      <c r="D56" s="365"/>
      <c r="E56" s="365"/>
      <c r="F56" s="365"/>
      <c r="G56" s="365"/>
      <c r="H56" s="365"/>
      <c r="I56" s="365"/>
      <c r="J56" s="365"/>
      <c r="K56" s="365"/>
      <c r="L56" s="365"/>
      <c r="M56" s="365"/>
      <c r="N56" s="365"/>
      <c r="O56" s="365"/>
    </row>
    <row r="57" spans="1:15" ht="15.75" customHeight="1">
      <c r="A57" s="365"/>
      <c r="B57" s="365"/>
      <c r="C57" s="365"/>
      <c r="D57" s="365"/>
      <c r="E57" s="365"/>
      <c r="F57" s="365"/>
      <c r="G57" s="365"/>
      <c r="H57" s="365"/>
      <c r="I57" s="365"/>
      <c r="J57" s="365"/>
      <c r="K57" s="365"/>
      <c r="L57" s="365"/>
      <c r="M57" s="365"/>
      <c r="N57" s="365"/>
      <c r="O57" s="365"/>
    </row>
    <row r="58" spans="1:15" ht="15.75" customHeight="1">
      <c r="A58" s="365"/>
      <c r="B58" s="365"/>
      <c r="C58" s="365"/>
      <c r="D58" s="365"/>
      <c r="E58" s="365"/>
      <c r="F58" s="365"/>
      <c r="G58" s="365"/>
      <c r="H58" s="365"/>
      <c r="I58" s="365"/>
      <c r="J58" s="365"/>
      <c r="K58" s="365"/>
      <c r="L58" s="365"/>
      <c r="M58" s="365"/>
      <c r="N58" s="365"/>
      <c r="O58" s="365"/>
    </row>
    <row r="59" spans="1:15" ht="15.75" customHeight="1">
      <c r="A59" s="365"/>
      <c r="B59" s="365"/>
      <c r="C59" s="365"/>
      <c r="D59" s="365"/>
      <c r="E59" s="365"/>
      <c r="F59" s="365"/>
      <c r="G59" s="365"/>
      <c r="H59" s="365"/>
      <c r="I59" s="365"/>
      <c r="J59" s="365"/>
      <c r="K59" s="365"/>
      <c r="L59" s="365"/>
      <c r="M59" s="365"/>
      <c r="N59" s="365"/>
      <c r="O59" s="365"/>
    </row>
    <row r="60" spans="1:15" ht="15.75" customHeight="1">
      <c r="A60" s="365"/>
      <c r="B60" s="365"/>
      <c r="C60" s="365"/>
      <c r="D60" s="365"/>
      <c r="E60" s="365"/>
      <c r="F60" s="365"/>
      <c r="G60" s="365"/>
      <c r="H60" s="365"/>
      <c r="I60" s="365"/>
      <c r="J60" s="365"/>
      <c r="K60" s="365"/>
      <c r="L60" s="365"/>
      <c r="M60" s="365"/>
      <c r="N60" s="365"/>
      <c r="O60" s="365"/>
    </row>
    <row r="61" spans="1:15" ht="15.75" customHeight="1">
      <c r="A61" s="365"/>
      <c r="B61" s="365"/>
      <c r="C61" s="365"/>
      <c r="D61" s="365"/>
      <c r="E61" s="365"/>
      <c r="F61" s="365"/>
      <c r="G61" s="365"/>
      <c r="H61" s="365"/>
      <c r="I61" s="365"/>
      <c r="J61" s="365"/>
      <c r="K61" s="365"/>
      <c r="L61" s="365"/>
      <c r="M61" s="365"/>
      <c r="N61" s="365"/>
      <c r="O61" s="365"/>
    </row>
    <row r="62" spans="1:15" ht="15.75" customHeight="1">
      <c r="A62" s="365"/>
      <c r="B62" s="365"/>
      <c r="C62" s="365"/>
      <c r="D62" s="365"/>
      <c r="E62" s="365"/>
      <c r="F62" s="365"/>
      <c r="G62" s="365"/>
      <c r="H62" s="365"/>
      <c r="I62" s="365"/>
      <c r="J62" s="365"/>
      <c r="K62" s="365"/>
      <c r="L62" s="365"/>
      <c r="M62" s="365"/>
      <c r="N62" s="365"/>
      <c r="O62" s="365"/>
    </row>
    <row r="63" spans="1:15" ht="15.75" customHeight="1">
      <c r="A63" s="365"/>
      <c r="B63" s="365"/>
      <c r="C63" s="365"/>
      <c r="D63" s="365"/>
      <c r="E63" s="365"/>
      <c r="F63" s="365"/>
      <c r="G63" s="365"/>
      <c r="H63" s="365"/>
      <c r="I63" s="365"/>
      <c r="J63" s="365"/>
      <c r="K63" s="365"/>
      <c r="L63" s="365"/>
      <c r="M63" s="365"/>
      <c r="N63" s="365"/>
      <c r="O63" s="365"/>
    </row>
    <row r="64" spans="1:15" ht="15.75" customHeight="1">
      <c r="A64" s="365"/>
      <c r="B64" s="365"/>
      <c r="C64" s="365"/>
      <c r="D64" s="365"/>
      <c r="E64" s="365"/>
      <c r="F64" s="365"/>
      <c r="G64" s="365"/>
      <c r="H64" s="365"/>
      <c r="I64" s="365"/>
      <c r="J64" s="365"/>
      <c r="K64" s="365"/>
      <c r="L64" s="365"/>
      <c r="M64" s="365"/>
      <c r="N64" s="365"/>
      <c r="O64" s="365"/>
    </row>
    <row r="65" spans="1:15" ht="15.75" customHeight="1">
      <c r="A65" s="365"/>
      <c r="B65" s="365"/>
      <c r="C65" s="365"/>
      <c r="D65" s="365"/>
      <c r="E65" s="365"/>
      <c r="F65" s="365"/>
      <c r="G65" s="365"/>
      <c r="H65" s="365"/>
      <c r="I65" s="365"/>
      <c r="J65" s="365"/>
      <c r="K65" s="365"/>
      <c r="L65" s="365"/>
      <c r="M65" s="365"/>
      <c r="N65" s="365"/>
      <c r="O65" s="365"/>
    </row>
    <row r="66" spans="1:15" ht="15.75" customHeight="1">
      <c r="A66" s="365"/>
      <c r="B66" s="365"/>
      <c r="C66" s="365"/>
      <c r="D66" s="365"/>
      <c r="E66" s="365"/>
      <c r="F66" s="365"/>
      <c r="G66" s="365"/>
      <c r="H66" s="365"/>
      <c r="I66" s="365"/>
      <c r="J66" s="365"/>
      <c r="K66" s="365"/>
      <c r="L66" s="365"/>
      <c r="M66" s="365"/>
      <c r="N66" s="365"/>
      <c r="O66" s="365"/>
    </row>
    <row r="67" spans="1:15" ht="15.75" customHeight="1">
      <c r="A67" s="365"/>
      <c r="B67" s="365"/>
      <c r="C67" s="365"/>
      <c r="D67" s="365"/>
      <c r="E67" s="365"/>
      <c r="F67" s="365"/>
      <c r="G67" s="365"/>
      <c r="H67" s="365"/>
      <c r="I67" s="365"/>
      <c r="J67" s="365"/>
      <c r="K67" s="365"/>
      <c r="L67" s="365"/>
      <c r="M67" s="365"/>
      <c r="N67" s="365"/>
      <c r="O67" s="365"/>
    </row>
    <row r="68" spans="1:15" ht="15.75" customHeight="1">
      <c r="A68" s="365"/>
      <c r="B68" s="365"/>
      <c r="C68" s="365"/>
      <c r="D68" s="365"/>
      <c r="E68" s="365"/>
      <c r="F68" s="365"/>
      <c r="G68" s="365"/>
      <c r="H68" s="365"/>
      <c r="I68" s="365"/>
      <c r="J68" s="365"/>
      <c r="K68" s="365"/>
      <c r="L68" s="365"/>
      <c r="M68" s="365"/>
      <c r="N68" s="365"/>
      <c r="O68" s="365"/>
    </row>
    <row r="69" spans="1:15" ht="15.75" customHeight="1">
      <c r="A69" s="365"/>
      <c r="B69" s="365"/>
      <c r="C69" s="365"/>
      <c r="D69" s="365"/>
      <c r="E69" s="365"/>
      <c r="F69" s="365"/>
      <c r="G69" s="365"/>
      <c r="H69" s="365"/>
      <c r="I69" s="365"/>
      <c r="J69" s="365"/>
      <c r="K69" s="365"/>
      <c r="L69" s="365"/>
      <c r="M69" s="365"/>
      <c r="N69" s="365"/>
      <c r="O69" s="365"/>
    </row>
    <row r="70" spans="1:15" ht="15.75" customHeight="1">
      <c r="A70" s="365"/>
      <c r="B70" s="365"/>
      <c r="C70" s="365"/>
      <c r="D70" s="365"/>
      <c r="E70" s="365"/>
      <c r="F70" s="365"/>
      <c r="G70" s="365"/>
      <c r="H70" s="365"/>
      <c r="I70" s="365"/>
      <c r="J70" s="365"/>
      <c r="K70" s="365"/>
      <c r="L70" s="365"/>
      <c r="M70" s="365"/>
      <c r="N70" s="365"/>
      <c r="O70" s="365"/>
    </row>
    <row r="71" spans="1:15" ht="15.75" customHeight="1">
      <c r="A71" s="365"/>
      <c r="B71" s="365"/>
      <c r="C71" s="365"/>
      <c r="D71" s="365"/>
      <c r="E71" s="365"/>
      <c r="F71" s="365"/>
      <c r="G71" s="365"/>
      <c r="H71" s="365"/>
      <c r="I71" s="365"/>
      <c r="J71" s="365"/>
      <c r="K71" s="365"/>
      <c r="L71" s="365"/>
      <c r="M71" s="365"/>
      <c r="N71" s="365"/>
      <c r="O71" s="365"/>
    </row>
    <row r="72" spans="1:15" ht="15.75" customHeight="1">
      <c r="A72" s="365"/>
      <c r="B72" s="365"/>
      <c r="C72" s="365"/>
      <c r="D72" s="365"/>
      <c r="E72" s="365"/>
      <c r="F72" s="365"/>
      <c r="G72" s="365"/>
      <c r="H72" s="365"/>
      <c r="I72" s="365"/>
      <c r="J72" s="365"/>
      <c r="K72" s="365"/>
      <c r="L72" s="365"/>
      <c r="M72" s="365"/>
      <c r="N72" s="365"/>
      <c r="O72" s="365"/>
    </row>
    <row r="73" spans="1:15" ht="15.75" customHeight="1">
      <c r="A73" s="365"/>
      <c r="B73" s="365"/>
      <c r="C73" s="365"/>
      <c r="D73" s="365"/>
      <c r="E73" s="365"/>
      <c r="F73" s="365"/>
      <c r="G73" s="365"/>
      <c r="H73" s="365"/>
      <c r="I73" s="365"/>
      <c r="J73" s="365"/>
      <c r="K73" s="365"/>
      <c r="L73" s="365"/>
      <c r="M73" s="365"/>
      <c r="N73" s="365"/>
      <c r="O73" s="365"/>
    </row>
    <row r="74" spans="1:15" ht="15.75" customHeight="1">
      <c r="A74" s="365"/>
      <c r="B74" s="365"/>
      <c r="C74" s="365"/>
      <c r="D74" s="365"/>
      <c r="E74" s="365"/>
      <c r="F74" s="365"/>
      <c r="G74" s="365"/>
      <c r="H74" s="365"/>
      <c r="I74" s="365"/>
      <c r="J74" s="365"/>
      <c r="K74" s="365"/>
      <c r="L74" s="365"/>
      <c r="M74" s="365"/>
      <c r="N74" s="365"/>
      <c r="O74" s="365"/>
    </row>
    <row r="75" spans="1:15" ht="15.75" customHeight="1">
      <c r="A75" s="365"/>
      <c r="B75" s="365"/>
      <c r="C75" s="365"/>
      <c r="D75" s="365"/>
      <c r="E75" s="365"/>
      <c r="F75" s="365"/>
      <c r="G75" s="365"/>
      <c r="H75" s="365"/>
      <c r="I75" s="365"/>
      <c r="J75" s="365"/>
      <c r="K75" s="365"/>
      <c r="L75" s="365"/>
      <c r="M75" s="365"/>
      <c r="N75" s="365"/>
      <c r="O75" s="365"/>
    </row>
    <row r="76" spans="1:15" ht="15.75" customHeight="1">
      <c r="A76" s="365"/>
      <c r="B76" s="365"/>
      <c r="C76" s="365"/>
      <c r="D76" s="365"/>
      <c r="E76" s="365"/>
      <c r="F76" s="365"/>
      <c r="G76" s="365"/>
      <c r="H76" s="365"/>
      <c r="I76" s="365"/>
      <c r="J76" s="365"/>
      <c r="K76" s="365"/>
      <c r="L76" s="365"/>
      <c r="M76" s="365"/>
      <c r="N76" s="365"/>
      <c r="O76" s="365"/>
    </row>
    <row r="77" spans="1:15" ht="15.75" customHeight="1">
      <c r="A77" s="365"/>
      <c r="B77" s="365"/>
      <c r="C77" s="365"/>
      <c r="D77" s="365"/>
      <c r="E77" s="365"/>
      <c r="F77" s="365"/>
      <c r="G77" s="365"/>
      <c r="H77" s="365"/>
      <c r="I77" s="365"/>
      <c r="J77" s="365"/>
      <c r="K77" s="365"/>
      <c r="L77" s="365"/>
      <c r="M77" s="365"/>
      <c r="N77" s="365"/>
      <c r="O77" s="365"/>
    </row>
    <row r="78" spans="1:15" ht="15.75" customHeight="1">
      <c r="A78" s="365"/>
      <c r="B78" s="365"/>
      <c r="C78" s="365"/>
      <c r="D78" s="365"/>
      <c r="E78" s="365"/>
      <c r="F78" s="365"/>
      <c r="G78" s="365"/>
      <c r="H78" s="365"/>
      <c r="I78" s="365"/>
      <c r="J78" s="365"/>
      <c r="K78" s="365"/>
      <c r="L78" s="365"/>
      <c r="M78" s="365"/>
      <c r="N78" s="365"/>
      <c r="O78" s="365"/>
    </row>
    <row r="79" spans="1:15" ht="15.75" customHeight="1">
      <c r="A79" s="365"/>
      <c r="B79" s="365"/>
      <c r="C79" s="365"/>
      <c r="D79" s="365"/>
      <c r="E79" s="365"/>
      <c r="F79" s="365"/>
      <c r="G79" s="365"/>
      <c r="H79" s="365"/>
      <c r="I79" s="365"/>
      <c r="J79" s="365"/>
      <c r="K79" s="365"/>
      <c r="L79" s="365"/>
      <c r="M79" s="365"/>
      <c r="N79" s="365"/>
      <c r="O79" s="365"/>
    </row>
    <row r="80" spans="1:15" ht="15.75" customHeight="1">
      <c r="A80" s="365"/>
      <c r="B80" s="365"/>
      <c r="C80" s="365"/>
      <c r="D80" s="365"/>
      <c r="E80" s="365"/>
      <c r="F80" s="365"/>
      <c r="G80" s="365"/>
      <c r="H80" s="365"/>
      <c r="I80" s="365"/>
      <c r="J80" s="365"/>
      <c r="K80" s="365"/>
      <c r="L80" s="365"/>
      <c r="M80" s="365"/>
      <c r="N80" s="365"/>
      <c r="O80" s="365"/>
    </row>
    <row r="81" spans="1:15" ht="15.75" customHeight="1">
      <c r="A81" s="365"/>
      <c r="B81" s="365"/>
      <c r="C81" s="365"/>
      <c r="D81" s="365"/>
      <c r="E81" s="365"/>
      <c r="F81" s="365"/>
      <c r="G81" s="365"/>
      <c r="H81" s="365"/>
      <c r="I81" s="365"/>
      <c r="J81" s="365"/>
      <c r="K81" s="365"/>
      <c r="L81" s="365"/>
      <c r="M81" s="365"/>
      <c r="N81" s="365"/>
      <c r="O81" s="365"/>
    </row>
    <row r="82" spans="1:15" ht="15.75" customHeight="1">
      <c r="A82" s="365"/>
      <c r="B82" s="365"/>
      <c r="C82" s="365"/>
      <c r="D82" s="365"/>
      <c r="E82" s="365"/>
      <c r="F82" s="365"/>
      <c r="G82" s="365"/>
      <c r="H82" s="365"/>
      <c r="I82" s="365"/>
      <c r="J82" s="365"/>
      <c r="K82" s="365"/>
      <c r="L82" s="365"/>
      <c r="M82" s="365"/>
      <c r="N82" s="365"/>
      <c r="O82" s="365"/>
    </row>
    <row r="83" spans="1:15" ht="15.75" customHeight="1">
      <c r="A83" s="365"/>
      <c r="B83" s="365"/>
      <c r="C83" s="365"/>
      <c r="D83" s="365"/>
      <c r="E83" s="365"/>
      <c r="F83" s="365"/>
      <c r="G83" s="365"/>
      <c r="H83" s="365"/>
      <c r="I83" s="365"/>
      <c r="J83" s="365"/>
      <c r="K83" s="365"/>
      <c r="L83" s="365"/>
      <c r="M83" s="365"/>
      <c r="N83" s="365"/>
      <c r="O83" s="365"/>
    </row>
    <row r="84" spans="1:15" ht="15.75" customHeight="1">
      <c r="A84" s="365"/>
      <c r="B84" s="365"/>
      <c r="C84" s="365"/>
      <c r="D84" s="365"/>
      <c r="E84" s="365"/>
      <c r="F84" s="365"/>
      <c r="G84" s="365"/>
      <c r="H84" s="365"/>
      <c r="I84" s="365"/>
      <c r="J84" s="365"/>
      <c r="K84" s="365"/>
      <c r="L84" s="365"/>
      <c r="M84" s="365"/>
      <c r="N84" s="365"/>
      <c r="O84" s="365"/>
    </row>
    <row r="85" spans="1:15" ht="15.75" customHeight="1">
      <c r="A85" s="365"/>
      <c r="B85" s="365"/>
      <c r="C85" s="365"/>
      <c r="D85" s="365"/>
      <c r="E85" s="365"/>
      <c r="F85" s="365"/>
      <c r="G85" s="365"/>
      <c r="H85" s="365"/>
      <c r="I85" s="365"/>
      <c r="J85" s="365"/>
      <c r="K85" s="365"/>
      <c r="L85" s="365"/>
      <c r="M85" s="365"/>
      <c r="N85" s="365"/>
      <c r="O85" s="365"/>
    </row>
    <row r="86" spans="1:15" ht="15.75" customHeight="1">
      <c r="A86" s="365"/>
      <c r="B86" s="365"/>
      <c r="C86" s="365"/>
      <c r="D86" s="365"/>
      <c r="E86" s="365"/>
      <c r="F86" s="365"/>
      <c r="G86" s="365"/>
      <c r="H86" s="365"/>
      <c r="I86" s="365"/>
      <c r="J86" s="365"/>
      <c r="K86" s="365"/>
      <c r="L86" s="365"/>
      <c r="M86" s="365"/>
      <c r="N86" s="365"/>
      <c r="O86" s="365"/>
    </row>
    <row r="87" spans="1:15" ht="15.75" customHeight="1">
      <c r="A87" s="365"/>
      <c r="B87" s="365"/>
      <c r="C87" s="365"/>
      <c r="D87" s="365"/>
      <c r="E87" s="365"/>
      <c r="F87" s="365"/>
      <c r="G87" s="365"/>
      <c r="H87" s="365"/>
      <c r="I87" s="365"/>
      <c r="J87" s="365"/>
      <c r="K87" s="365"/>
      <c r="L87" s="365"/>
      <c r="M87" s="365"/>
      <c r="N87" s="365"/>
      <c r="O87" s="365"/>
    </row>
    <row r="88" spans="1:15" ht="15.75" customHeight="1">
      <c r="A88" s="365"/>
      <c r="B88" s="365"/>
      <c r="C88" s="365"/>
      <c r="D88" s="365"/>
      <c r="E88" s="365"/>
      <c r="F88" s="365"/>
      <c r="G88" s="365"/>
      <c r="H88" s="365"/>
      <c r="I88" s="365"/>
      <c r="J88" s="365"/>
      <c r="K88" s="365"/>
      <c r="L88" s="365"/>
      <c r="M88" s="365"/>
      <c r="N88" s="365"/>
      <c r="O88" s="365"/>
    </row>
    <row r="89" spans="1:15" ht="15.75" customHeight="1">
      <c r="A89" s="365"/>
      <c r="B89" s="365"/>
      <c r="C89" s="365"/>
      <c r="D89" s="365"/>
      <c r="E89" s="365"/>
      <c r="F89" s="365"/>
      <c r="G89" s="365"/>
      <c r="H89" s="365"/>
      <c r="I89" s="365"/>
      <c r="J89" s="365"/>
      <c r="K89" s="365"/>
      <c r="L89" s="365"/>
      <c r="M89" s="365"/>
      <c r="N89" s="365"/>
      <c r="O89" s="365"/>
    </row>
    <row r="90" spans="1:15" ht="15.75" customHeight="1">
      <c r="A90" s="365"/>
      <c r="B90" s="365"/>
      <c r="C90" s="365"/>
      <c r="D90" s="365"/>
      <c r="E90" s="365"/>
      <c r="F90" s="365"/>
      <c r="G90" s="365"/>
      <c r="H90" s="365"/>
      <c r="I90" s="365"/>
      <c r="J90" s="365"/>
      <c r="K90" s="365"/>
      <c r="L90" s="365"/>
      <c r="M90" s="365"/>
      <c r="N90" s="365"/>
      <c r="O90" s="365"/>
    </row>
    <row r="91" spans="1:15" ht="15.75" customHeight="1">
      <c r="A91" s="365"/>
      <c r="B91" s="365"/>
      <c r="C91" s="365"/>
      <c r="D91" s="365"/>
      <c r="E91" s="365"/>
      <c r="F91" s="365"/>
      <c r="G91" s="365"/>
      <c r="H91" s="365"/>
      <c r="I91" s="365"/>
      <c r="J91" s="365"/>
      <c r="K91" s="365"/>
      <c r="L91" s="365"/>
      <c r="M91" s="365"/>
      <c r="N91" s="365"/>
      <c r="O91" s="365"/>
    </row>
    <row r="92" spans="1:15" ht="15.75" customHeight="1">
      <c r="A92" s="365"/>
      <c r="B92" s="365"/>
      <c r="C92" s="365"/>
      <c r="D92" s="365"/>
      <c r="E92" s="365"/>
      <c r="F92" s="365"/>
      <c r="G92" s="365"/>
      <c r="H92" s="365"/>
      <c r="I92" s="365"/>
      <c r="J92" s="365"/>
      <c r="K92" s="365"/>
      <c r="L92" s="365"/>
      <c r="M92" s="365"/>
      <c r="N92" s="365"/>
      <c r="O92" s="365"/>
    </row>
    <row r="93" spans="1:15" ht="15.75" customHeight="1">
      <c r="A93" s="365"/>
      <c r="B93" s="365"/>
      <c r="C93" s="365"/>
      <c r="D93" s="365"/>
      <c r="E93" s="365"/>
      <c r="F93" s="365"/>
      <c r="G93" s="365"/>
      <c r="H93" s="365"/>
      <c r="I93" s="365"/>
      <c r="J93" s="365"/>
      <c r="K93" s="365"/>
      <c r="L93" s="365"/>
      <c r="M93" s="365"/>
      <c r="N93" s="365"/>
      <c r="O93" s="365"/>
    </row>
    <row r="94" spans="1:15" ht="15.75" customHeight="1">
      <c r="A94" s="365"/>
      <c r="B94" s="365"/>
      <c r="C94" s="365"/>
      <c r="D94" s="365"/>
      <c r="E94" s="365"/>
      <c r="F94" s="365"/>
      <c r="G94" s="365"/>
      <c r="H94" s="365"/>
      <c r="I94" s="365"/>
      <c r="J94" s="365"/>
      <c r="K94" s="365"/>
      <c r="L94" s="365"/>
      <c r="M94" s="365"/>
      <c r="N94" s="365"/>
      <c r="O94" s="365"/>
    </row>
    <row r="95" spans="1:15" ht="15.75" customHeight="1">
      <c r="A95" s="365"/>
      <c r="B95" s="365"/>
      <c r="C95" s="365"/>
      <c r="D95" s="365"/>
      <c r="E95" s="365"/>
      <c r="F95" s="365"/>
      <c r="G95" s="365"/>
      <c r="H95" s="365"/>
      <c r="I95" s="365"/>
      <c r="J95" s="365"/>
      <c r="K95" s="365"/>
      <c r="L95" s="365"/>
      <c r="M95" s="365"/>
      <c r="N95" s="365"/>
      <c r="O95" s="365"/>
    </row>
    <row r="96" spans="1:15" ht="15.75" customHeight="1">
      <c r="A96" s="365"/>
      <c r="B96" s="365"/>
      <c r="C96" s="365"/>
      <c r="D96" s="365"/>
      <c r="E96" s="365"/>
      <c r="F96" s="365"/>
      <c r="G96" s="365"/>
      <c r="H96" s="365"/>
      <c r="I96" s="365"/>
      <c r="J96" s="365"/>
      <c r="K96" s="365"/>
      <c r="L96" s="365"/>
      <c r="M96" s="365"/>
      <c r="N96" s="365"/>
      <c r="O96" s="365"/>
    </row>
    <row r="97" spans="1:15" ht="15.75" customHeight="1">
      <c r="A97" s="365"/>
      <c r="B97" s="365"/>
      <c r="C97" s="365"/>
      <c r="D97" s="365"/>
      <c r="E97" s="365"/>
      <c r="F97" s="365"/>
      <c r="G97" s="365"/>
      <c r="H97" s="365"/>
      <c r="I97" s="365"/>
      <c r="J97" s="365"/>
      <c r="K97" s="365"/>
      <c r="L97" s="365"/>
      <c r="M97" s="365"/>
      <c r="N97" s="365"/>
      <c r="O97" s="365"/>
    </row>
    <row r="98" spans="1:15" ht="15.75" customHeight="1">
      <c r="A98" s="365"/>
      <c r="B98" s="365"/>
      <c r="C98" s="365"/>
      <c r="D98" s="365"/>
      <c r="E98" s="365"/>
      <c r="F98" s="365"/>
      <c r="G98" s="365"/>
      <c r="H98" s="365"/>
      <c r="I98" s="365"/>
      <c r="J98" s="365"/>
      <c r="K98" s="365"/>
      <c r="L98" s="365"/>
      <c r="M98" s="365"/>
      <c r="N98" s="365"/>
      <c r="O98" s="365"/>
    </row>
    <row r="99" spans="1:15" ht="15.75" customHeight="1">
      <c r="A99" s="365"/>
      <c r="B99" s="365"/>
      <c r="C99" s="365"/>
      <c r="D99" s="365"/>
      <c r="E99" s="365"/>
      <c r="F99" s="365"/>
      <c r="G99" s="365"/>
      <c r="H99" s="365"/>
      <c r="I99" s="365"/>
      <c r="J99" s="365"/>
      <c r="K99" s="365"/>
      <c r="L99" s="365"/>
      <c r="M99" s="365"/>
      <c r="N99" s="365"/>
      <c r="O99" s="365"/>
    </row>
    <row r="100" spans="1:15" ht="15.75" customHeight="1">
      <c r="A100" s="365"/>
      <c r="B100" s="365"/>
      <c r="C100" s="365"/>
      <c r="D100" s="365"/>
      <c r="E100" s="365"/>
      <c r="F100" s="365"/>
      <c r="G100" s="365"/>
      <c r="H100" s="365"/>
      <c r="I100" s="365"/>
      <c r="J100" s="365"/>
      <c r="K100" s="365"/>
      <c r="L100" s="365"/>
      <c r="M100" s="365"/>
      <c r="N100" s="365"/>
      <c r="O100" s="365"/>
    </row>
    <row r="101" spans="1:15" ht="15.75" customHeight="1">
      <c r="A101" s="365"/>
      <c r="B101" s="365"/>
      <c r="C101" s="365"/>
      <c r="D101" s="365"/>
      <c r="E101" s="365"/>
      <c r="F101" s="365"/>
      <c r="G101" s="365"/>
      <c r="H101" s="365"/>
      <c r="I101" s="365"/>
      <c r="J101" s="365"/>
      <c r="K101" s="365"/>
      <c r="L101" s="365"/>
      <c r="M101" s="365"/>
      <c r="N101" s="365"/>
      <c r="O101" s="365"/>
    </row>
    <row r="102" spans="1:15" ht="15.75" customHeight="1">
      <c r="A102" s="365"/>
      <c r="B102" s="365"/>
      <c r="C102" s="365"/>
      <c r="D102" s="365"/>
      <c r="E102" s="365"/>
      <c r="F102" s="365"/>
      <c r="G102" s="365"/>
      <c r="H102" s="365"/>
      <c r="I102" s="365"/>
      <c r="J102" s="365"/>
      <c r="K102" s="365"/>
      <c r="L102" s="365"/>
      <c r="M102" s="365"/>
      <c r="N102" s="365"/>
      <c r="O102" s="365"/>
    </row>
    <row r="103" spans="1:15" ht="15.75" customHeight="1">
      <c r="A103" s="365"/>
      <c r="B103" s="365"/>
      <c r="C103" s="365"/>
      <c r="D103" s="365"/>
      <c r="E103" s="365"/>
      <c r="F103" s="365"/>
      <c r="G103" s="365"/>
      <c r="H103" s="365"/>
      <c r="I103" s="365"/>
      <c r="J103" s="365"/>
      <c r="K103" s="365"/>
      <c r="L103" s="365"/>
      <c r="M103" s="365"/>
      <c r="N103" s="365"/>
      <c r="O103" s="365"/>
    </row>
    <row r="104" spans="1:15" ht="15.75" customHeight="1">
      <c r="A104" s="365"/>
      <c r="B104" s="365"/>
      <c r="C104" s="365"/>
      <c r="D104" s="365"/>
      <c r="E104" s="365"/>
      <c r="F104" s="365"/>
      <c r="G104" s="365"/>
      <c r="H104" s="365"/>
      <c r="I104" s="365"/>
      <c r="J104" s="365"/>
      <c r="K104" s="365"/>
      <c r="L104" s="365"/>
      <c r="M104" s="365"/>
      <c r="N104" s="365"/>
      <c r="O104" s="365"/>
    </row>
    <row r="105" spans="1:15" ht="15.75" customHeight="1">
      <c r="A105" s="365"/>
      <c r="B105" s="365"/>
      <c r="C105" s="365"/>
      <c r="D105" s="365"/>
      <c r="E105" s="365"/>
      <c r="F105" s="365"/>
      <c r="G105" s="365"/>
      <c r="H105" s="365"/>
      <c r="I105" s="365"/>
      <c r="J105" s="365"/>
      <c r="K105" s="365"/>
      <c r="L105" s="365"/>
      <c r="M105" s="365"/>
      <c r="N105" s="365"/>
      <c r="O105" s="365"/>
    </row>
    <row r="106" spans="1:15" ht="15.75" customHeight="1">
      <c r="A106" s="365"/>
      <c r="B106" s="365"/>
      <c r="C106" s="365"/>
      <c r="D106" s="365"/>
      <c r="E106" s="365"/>
      <c r="F106" s="365"/>
      <c r="G106" s="365"/>
      <c r="H106" s="365"/>
      <c r="I106" s="365"/>
      <c r="J106" s="365"/>
      <c r="K106" s="365"/>
      <c r="L106" s="365"/>
      <c r="M106" s="365"/>
      <c r="N106" s="365"/>
      <c r="O106" s="365"/>
    </row>
    <row r="107" spans="1:15" ht="15.75" customHeight="1">
      <c r="A107" s="365"/>
      <c r="B107" s="365"/>
      <c r="C107" s="365"/>
      <c r="D107" s="365"/>
      <c r="E107" s="365"/>
      <c r="F107" s="365"/>
      <c r="G107" s="365"/>
      <c r="H107" s="365"/>
      <c r="I107" s="365"/>
      <c r="J107" s="365"/>
      <c r="K107" s="365"/>
      <c r="L107" s="365"/>
      <c r="M107" s="365"/>
      <c r="N107" s="365"/>
      <c r="O107" s="365"/>
    </row>
    <row r="108" spans="1:15" ht="15.75" customHeight="1">
      <c r="A108" s="365"/>
      <c r="B108" s="365"/>
      <c r="C108" s="365"/>
      <c r="D108" s="365"/>
      <c r="E108" s="365"/>
      <c r="F108" s="365"/>
      <c r="G108" s="365"/>
      <c r="H108" s="365"/>
      <c r="I108" s="365"/>
      <c r="J108" s="365"/>
      <c r="K108" s="365"/>
      <c r="L108" s="365"/>
      <c r="M108" s="365"/>
      <c r="N108" s="365"/>
      <c r="O108" s="365"/>
    </row>
    <row r="109" spans="1:15" ht="15.75" customHeight="1">
      <c r="A109" s="365"/>
      <c r="B109" s="365"/>
      <c r="C109" s="365"/>
      <c r="D109" s="365"/>
      <c r="E109" s="365"/>
      <c r="F109" s="365"/>
      <c r="G109" s="365"/>
      <c r="H109" s="365"/>
      <c r="I109" s="365"/>
      <c r="J109" s="365"/>
      <c r="K109" s="365"/>
      <c r="L109" s="365"/>
      <c r="M109" s="365"/>
      <c r="N109" s="365"/>
      <c r="O109" s="365"/>
    </row>
    <row r="110" spans="1:15" ht="15.75" customHeight="1">
      <c r="A110" s="365"/>
      <c r="B110" s="365"/>
      <c r="C110" s="365"/>
      <c r="D110" s="365"/>
      <c r="E110" s="365"/>
      <c r="F110" s="365"/>
      <c r="G110" s="365"/>
      <c r="H110" s="365"/>
      <c r="I110" s="365"/>
      <c r="J110" s="365"/>
      <c r="K110" s="365"/>
      <c r="L110" s="365"/>
      <c r="M110" s="365"/>
      <c r="N110" s="365"/>
      <c r="O110" s="365"/>
    </row>
    <row r="111" spans="1:15" ht="15.75" customHeight="1">
      <c r="A111" s="365"/>
      <c r="B111" s="365"/>
      <c r="C111" s="365"/>
      <c r="D111" s="365"/>
      <c r="E111" s="365"/>
      <c r="F111" s="365"/>
      <c r="G111" s="365"/>
      <c r="H111" s="365"/>
      <c r="I111" s="365"/>
      <c r="J111" s="365"/>
      <c r="K111" s="365"/>
      <c r="L111" s="365"/>
      <c r="M111" s="365"/>
      <c r="N111" s="365"/>
      <c r="O111" s="365"/>
    </row>
    <row r="112" spans="1:15" ht="15.75" customHeight="1">
      <c r="A112" s="365"/>
      <c r="B112" s="365"/>
      <c r="C112" s="365"/>
      <c r="D112" s="365"/>
      <c r="E112" s="365"/>
      <c r="F112" s="365"/>
      <c r="G112" s="365"/>
      <c r="H112" s="365"/>
      <c r="I112" s="365"/>
      <c r="J112" s="365"/>
      <c r="K112" s="365"/>
      <c r="L112" s="365"/>
      <c r="M112" s="365"/>
      <c r="N112" s="365"/>
      <c r="O112" s="365"/>
    </row>
    <row r="113" spans="1:15" ht="15.75" customHeight="1">
      <c r="A113" s="365"/>
      <c r="B113" s="365"/>
      <c r="C113" s="365"/>
      <c r="D113" s="365"/>
      <c r="E113" s="365"/>
      <c r="F113" s="365"/>
      <c r="G113" s="365"/>
      <c r="H113" s="365"/>
      <c r="I113" s="365"/>
      <c r="J113" s="365"/>
      <c r="K113" s="365"/>
      <c r="L113" s="365"/>
      <c r="M113" s="365"/>
      <c r="N113" s="365"/>
      <c r="O113" s="365"/>
    </row>
    <row r="114" spans="1:15" ht="15.75" customHeight="1">
      <c r="A114" s="365"/>
      <c r="B114" s="365"/>
      <c r="C114" s="365"/>
      <c r="D114" s="365"/>
      <c r="E114" s="365"/>
      <c r="F114" s="365"/>
      <c r="G114" s="365"/>
      <c r="H114" s="365"/>
      <c r="I114" s="365"/>
      <c r="J114" s="365"/>
      <c r="K114" s="365"/>
      <c r="L114" s="365"/>
      <c r="M114" s="365"/>
      <c r="N114" s="365"/>
      <c r="O114" s="365"/>
    </row>
    <row r="115" spans="1:15" ht="15.75" customHeight="1">
      <c r="A115" s="365"/>
      <c r="B115" s="365"/>
      <c r="C115" s="365"/>
      <c r="D115" s="365"/>
      <c r="E115" s="365"/>
      <c r="F115" s="365"/>
      <c r="G115" s="365"/>
      <c r="H115" s="365"/>
      <c r="I115" s="365"/>
      <c r="J115" s="365"/>
      <c r="K115" s="365"/>
      <c r="L115" s="365"/>
      <c r="M115" s="365"/>
      <c r="N115" s="365"/>
      <c r="O115" s="365"/>
    </row>
    <row r="116" spans="1:15" ht="15.75" customHeight="1">
      <c r="A116" s="365"/>
      <c r="B116" s="365"/>
      <c r="C116" s="365"/>
      <c r="D116" s="365"/>
      <c r="E116" s="365"/>
      <c r="F116" s="365"/>
      <c r="G116" s="365"/>
      <c r="H116" s="365"/>
      <c r="I116" s="365"/>
      <c r="J116" s="365"/>
      <c r="K116" s="365"/>
      <c r="L116" s="365"/>
      <c r="M116" s="365"/>
      <c r="N116" s="365"/>
      <c r="O116" s="365"/>
    </row>
    <row r="117" spans="1:15" ht="15.75" customHeight="1">
      <c r="A117" s="365"/>
      <c r="B117" s="365"/>
      <c r="C117" s="365"/>
      <c r="D117" s="365"/>
      <c r="E117" s="365"/>
      <c r="F117" s="365"/>
      <c r="G117" s="365"/>
      <c r="H117" s="365"/>
      <c r="I117" s="365"/>
      <c r="J117" s="365"/>
      <c r="K117" s="365"/>
      <c r="L117" s="365"/>
      <c r="M117" s="365"/>
      <c r="N117" s="365"/>
      <c r="O117" s="365"/>
    </row>
    <row r="118" spans="1:15" ht="15.75" customHeight="1">
      <c r="A118" s="365"/>
      <c r="B118" s="365"/>
      <c r="C118" s="365"/>
      <c r="D118" s="365"/>
      <c r="E118" s="365"/>
      <c r="F118" s="365"/>
      <c r="G118" s="365"/>
      <c r="H118" s="365"/>
      <c r="I118" s="365"/>
      <c r="J118" s="365"/>
      <c r="K118" s="365"/>
      <c r="L118" s="365"/>
      <c r="M118" s="365"/>
      <c r="N118" s="365"/>
      <c r="O118" s="365"/>
    </row>
    <row r="119" spans="1:15" ht="15.75" customHeight="1">
      <c r="A119" s="365"/>
      <c r="B119" s="365"/>
      <c r="C119" s="365"/>
      <c r="D119" s="365"/>
      <c r="E119" s="365"/>
      <c r="F119" s="365"/>
      <c r="G119" s="365"/>
      <c r="H119" s="365"/>
      <c r="I119" s="365"/>
      <c r="J119" s="365"/>
      <c r="K119" s="365"/>
      <c r="L119" s="365"/>
      <c r="M119" s="365"/>
      <c r="N119" s="365"/>
      <c r="O119" s="365"/>
    </row>
    <row r="120" spans="1:15" ht="15.75" customHeight="1">
      <c r="A120" s="365"/>
      <c r="B120" s="365"/>
      <c r="C120" s="365"/>
      <c r="D120" s="365"/>
      <c r="E120" s="365"/>
      <c r="F120" s="365"/>
      <c r="G120" s="365"/>
      <c r="H120" s="365"/>
      <c r="I120" s="365"/>
      <c r="J120" s="365"/>
      <c r="K120" s="365"/>
      <c r="L120" s="365"/>
      <c r="M120" s="365"/>
      <c r="N120" s="365"/>
      <c r="O120" s="365"/>
    </row>
    <row r="121" spans="1:15" ht="15.75" customHeight="1">
      <c r="A121" s="365"/>
      <c r="B121" s="365"/>
      <c r="C121" s="365"/>
      <c r="D121" s="365"/>
      <c r="E121" s="365"/>
      <c r="F121" s="365"/>
      <c r="G121" s="365"/>
      <c r="H121" s="365"/>
      <c r="I121" s="365"/>
      <c r="J121" s="365"/>
      <c r="K121" s="365"/>
      <c r="L121" s="365"/>
      <c r="M121" s="365"/>
      <c r="N121" s="365"/>
      <c r="O121" s="365"/>
    </row>
    <row r="122" spans="1:15" ht="15.75" customHeight="1">
      <c r="A122" s="365"/>
      <c r="B122" s="365"/>
      <c r="C122" s="365"/>
      <c r="D122" s="365"/>
      <c r="E122" s="365"/>
      <c r="F122" s="365"/>
      <c r="G122" s="365"/>
      <c r="H122" s="365"/>
      <c r="I122" s="365"/>
      <c r="J122" s="365"/>
      <c r="K122" s="365"/>
      <c r="L122" s="365"/>
      <c r="M122" s="365"/>
      <c r="N122" s="365"/>
      <c r="O122" s="365"/>
    </row>
    <row r="123" spans="1:15" ht="15.75" customHeight="1">
      <c r="A123" s="365"/>
      <c r="B123" s="365"/>
      <c r="C123" s="365"/>
      <c r="D123" s="365"/>
      <c r="E123" s="365"/>
      <c r="F123" s="365"/>
      <c r="G123" s="365"/>
      <c r="H123" s="365"/>
      <c r="I123" s="365"/>
      <c r="J123" s="365"/>
      <c r="K123" s="365"/>
      <c r="L123" s="365"/>
      <c r="M123" s="365"/>
      <c r="N123" s="365"/>
      <c r="O123" s="365"/>
    </row>
    <row r="124" spans="1:15" ht="15.75" customHeight="1">
      <c r="A124" s="365"/>
      <c r="B124" s="365"/>
      <c r="C124" s="365"/>
      <c r="D124" s="365"/>
      <c r="E124" s="365"/>
      <c r="F124" s="365"/>
      <c r="G124" s="365"/>
      <c r="H124" s="365"/>
      <c r="I124" s="365"/>
      <c r="J124" s="365"/>
      <c r="K124" s="365"/>
      <c r="L124" s="365"/>
      <c r="M124" s="365"/>
      <c r="N124" s="365"/>
      <c r="O124" s="365"/>
    </row>
    <row r="125" spans="1:15" ht="15.75" customHeight="1">
      <c r="A125" s="365"/>
      <c r="B125" s="365"/>
      <c r="C125" s="365"/>
      <c r="D125" s="365"/>
      <c r="E125" s="365"/>
      <c r="F125" s="365"/>
      <c r="G125" s="365"/>
      <c r="H125" s="365"/>
      <c r="I125" s="365"/>
      <c r="J125" s="365"/>
      <c r="K125" s="365"/>
      <c r="L125" s="365"/>
      <c r="M125" s="365"/>
      <c r="N125" s="365"/>
      <c r="O125" s="365"/>
    </row>
    <row r="126" spans="1:15" ht="15.75" customHeight="1">
      <c r="A126" s="365"/>
      <c r="B126" s="365"/>
      <c r="C126" s="365"/>
      <c r="D126" s="365"/>
      <c r="E126" s="365"/>
      <c r="F126" s="365"/>
      <c r="G126" s="365"/>
      <c r="H126" s="365"/>
      <c r="I126" s="365"/>
      <c r="J126" s="365"/>
      <c r="K126" s="365"/>
      <c r="L126" s="365"/>
      <c r="M126" s="365"/>
      <c r="N126" s="365"/>
      <c r="O126" s="365"/>
    </row>
    <row r="127" spans="1:15" ht="15.75" customHeight="1">
      <c r="A127" s="365"/>
      <c r="B127" s="365"/>
      <c r="C127" s="365"/>
      <c r="D127" s="365"/>
      <c r="E127" s="365"/>
      <c r="F127" s="365"/>
      <c r="G127" s="365"/>
      <c r="H127" s="365"/>
      <c r="I127" s="365"/>
      <c r="J127" s="365"/>
      <c r="K127" s="365"/>
      <c r="L127" s="365"/>
      <c r="M127" s="365"/>
      <c r="N127" s="365"/>
      <c r="O127" s="365"/>
    </row>
    <row r="128" spans="1:15" ht="15.75" customHeight="1">
      <c r="A128" s="365"/>
      <c r="B128" s="365"/>
      <c r="C128" s="365"/>
      <c r="D128" s="365"/>
      <c r="E128" s="365"/>
      <c r="F128" s="365"/>
      <c r="G128" s="365"/>
      <c r="H128" s="365"/>
      <c r="I128" s="365"/>
      <c r="J128" s="365"/>
      <c r="K128" s="365"/>
      <c r="L128" s="365"/>
      <c r="M128" s="365"/>
      <c r="N128" s="365"/>
      <c r="O128" s="365"/>
    </row>
    <row r="129" spans="1:15" ht="15.75" customHeight="1">
      <c r="A129" s="365"/>
      <c r="B129" s="365"/>
      <c r="C129" s="365"/>
      <c r="D129" s="365"/>
      <c r="E129" s="365"/>
      <c r="F129" s="365"/>
      <c r="G129" s="365"/>
      <c r="H129" s="365"/>
      <c r="I129" s="365"/>
      <c r="J129" s="365"/>
      <c r="K129" s="365"/>
      <c r="L129" s="365"/>
      <c r="M129" s="365"/>
      <c r="N129" s="365"/>
      <c r="O129" s="365"/>
    </row>
    <row r="130" spans="1:15" ht="15.75" customHeight="1">
      <c r="A130" s="365"/>
      <c r="B130" s="365"/>
      <c r="C130" s="365"/>
      <c r="D130" s="365"/>
      <c r="E130" s="365"/>
      <c r="F130" s="365"/>
      <c r="G130" s="365"/>
      <c r="H130" s="365"/>
      <c r="I130" s="365"/>
      <c r="J130" s="365"/>
      <c r="K130" s="365"/>
      <c r="L130" s="365"/>
      <c r="M130" s="365"/>
      <c r="N130" s="365"/>
      <c r="O130" s="365"/>
    </row>
    <row r="131" spans="1:15" ht="15.75" customHeight="1">
      <c r="A131" s="365"/>
      <c r="B131" s="365"/>
      <c r="C131" s="365"/>
      <c r="D131" s="365"/>
      <c r="E131" s="365"/>
      <c r="F131" s="365"/>
      <c r="G131" s="365"/>
      <c r="H131" s="365"/>
      <c r="I131" s="365"/>
      <c r="J131" s="365"/>
      <c r="K131" s="365"/>
      <c r="L131" s="365"/>
      <c r="M131" s="365"/>
      <c r="N131" s="365"/>
      <c r="O131" s="365"/>
    </row>
    <row r="132" spans="1:15" ht="15.75" customHeight="1">
      <c r="A132" s="365"/>
      <c r="B132" s="365"/>
      <c r="C132" s="365"/>
      <c r="D132" s="365"/>
      <c r="E132" s="365"/>
      <c r="F132" s="365"/>
      <c r="G132" s="365"/>
      <c r="H132" s="365"/>
      <c r="I132" s="365"/>
      <c r="J132" s="365"/>
      <c r="K132" s="365"/>
      <c r="L132" s="365"/>
      <c r="M132" s="365"/>
      <c r="N132" s="365"/>
      <c r="O132" s="365"/>
    </row>
    <row r="133" spans="1:15" ht="15.75" customHeight="1">
      <c r="A133" s="365"/>
      <c r="B133" s="365"/>
      <c r="C133" s="365"/>
      <c r="D133" s="365"/>
      <c r="E133" s="365"/>
      <c r="F133" s="365"/>
      <c r="G133" s="365"/>
      <c r="H133" s="365"/>
      <c r="I133" s="365"/>
      <c r="J133" s="365"/>
      <c r="K133" s="365"/>
      <c r="L133" s="365"/>
      <c r="M133" s="365"/>
      <c r="N133" s="365"/>
      <c r="O133" s="365"/>
    </row>
    <row r="134" spans="1:15" ht="15.75" customHeight="1">
      <c r="A134" s="365"/>
      <c r="B134" s="365"/>
      <c r="C134" s="365"/>
      <c r="D134" s="365"/>
      <c r="E134" s="365"/>
      <c r="F134" s="365"/>
      <c r="G134" s="365"/>
      <c r="H134" s="365"/>
      <c r="I134" s="365"/>
      <c r="J134" s="365"/>
      <c r="K134" s="365"/>
      <c r="L134" s="365"/>
      <c r="M134" s="365"/>
      <c r="N134" s="365"/>
      <c r="O134" s="365"/>
    </row>
    <row r="135" spans="1:15" ht="15.75" customHeight="1">
      <c r="A135" s="365"/>
      <c r="B135" s="365"/>
      <c r="C135" s="365"/>
      <c r="D135" s="365"/>
      <c r="E135" s="365"/>
      <c r="F135" s="365"/>
      <c r="G135" s="365"/>
      <c r="H135" s="365"/>
      <c r="I135" s="365"/>
      <c r="J135" s="365"/>
      <c r="K135" s="365"/>
      <c r="L135" s="365"/>
      <c r="M135" s="365"/>
      <c r="N135" s="365"/>
      <c r="O135" s="365"/>
    </row>
    <row r="136" spans="1:15" ht="15.75" customHeight="1">
      <c r="A136" s="365"/>
      <c r="B136" s="365"/>
      <c r="C136" s="365"/>
      <c r="D136" s="365"/>
      <c r="E136" s="365"/>
      <c r="F136" s="365"/>
      <c r="G136" s="365"/>
      <c r="H136" s="365"/>
      <c r="I136" s="365"/>
      <c r="J136" s="365"/>
      <c r="K136" s="365"/>
      <c r="L136" s="365"/>
      <c r="M136" s="365"/>
      <c r="N136" s="365"/>
      <c r="O136" s="365"/>
    </row>
    <row r="137" spans="1:15" ht="15.75" customHeight="1">
      <c r="A137" s="365"/>
      <c r="B137" s="365"/>
      <c r="C137" s="365"/>
      <c r="D137" s="365"/>
      <c r="E137" s="365"/>
      <c r="F137" s="365"/>
      <c r="G137" s="365"/>
      <c r="H137" s="365"/>
      <c r="I137" s="365"/>
      <c r="J137" s="365"/>
      <c r="K137" s="365"/>
      <c r="L137" s="365"/>
      <c r="M137" s="365"/>
      <c r="N137" s="365"/>
      <c r="O137" s="365"/>
    </row>
    <row r="138" spans="1:15" ht="15.75" customHeight="1">
      <c r="A138" s="365"/>
      <c r="B138" s="365"/>
      <c r="C138" s="365"/>
      <c r="D138" s="365"/>
      <c r="E138" s="365"/>
      <c r="F138" s="365"/>
      <c r="G138" s="365"/>
      <c r="H138" s="365"/>
      <c r="I138" s="365"/>
      <c r="J138" s="365"/>
      <c r="K138" s="365"/>
      <c r="L138" s="365"/>
      <c r="M138" s="365"/>
      <c r="N138" s="365"/>
      <c r="O138" s="365"/>
    </row>
    <row r="139" spans="1:15" ht="15.75" customHeight="1">
      <c r="A139" s="365"/>
      <c r="B139" s="365"/>
      <c r="C139" s="365"/>
      <c r="D139" s="365"/>
      <c r="E139" s="365"/>
      <c r="F139" s="365"/>
      <c r="G139" s="365"/>
      <c r="H139" s="365"/>
      <c r="I139" s="365"/>
      <c r="J139" s="365"/>
      <c r="K139" s="365"/>
      <c r="L139" s="365"/>
      <c r="M139" s="365"/>
      <c r="N139" s="365"/>
      <c r="O139" s="365"/>
    </row>
    <row r="140" spans="1:15" ht="15.75" customHeight="1">
      <c r="A140" s="365"/>
      <c r="B140" s="365"/>
      <c r="C140" s="365"/>
      <c r="D140" s="365"/>
      <c r="E140" s="365"/>
      <c r="F140" s="365"/>
      <c r="G140" s="365"/>
      <c r="H140" s="365"/>
      <c r="I140" s="365"/>
      <c r="J140" s="365"/>
      <c r="K140" s="365"/>
      <c r="L140" s="365"/>
      <c r="M140" s="365"/>
      <c r="N140" s="365"/>
      <c r="O140" s="365"/>
    </row>
    <row r="141" spans="1:15" ht="15.75" customHeight="1">
      <c r="A141" s="365"/>
      <c r="B141" s="365"/>
      <c r="C141" s="365"/>
      <c r="D141" s="365"/>
      <c r="E141" s="365"/>
      <c r="F141" s="365"/>
      <c r="G141" s="365"/>
      <c r="H141" s="365"/>
      <c r="I141" s="365"/>
      <c r="J141" s="365"/>
      <c r="K141" s="365"/>
      <c r="L141" s="365"/>
      <c r="M141" s="365"/>
      <c r="N141" s="365"/>
      <c r="O141" s="365"/>
    </row>
    <row r="142" spans="1:15" ht="15.75" customHeight="1">
      <c r="A142" s="365"/>
      <c r="B142" s="365"/>
      <c r="C142" s="365"/>
      <c r="D142" s="365"/>
      <c r="E142" s="365"/>
      <c r="F142" s="365"/>
      <c r="G142" s="365"/>
      <c r="H142" s="365"/>
      <c r="I142" s="365"/>
      <c r="J142" s="365"/>
      <c r="K142" s="365"/>
      <c r="L142" s="365"/>
      <c r="M142" s="365"/>
      <c r="N142" s="365"/>
      <c r="O142" s="365"/>
    </row>
    <row r="143" spans="1:15" ht="15.75" customHeight="1">
      <c r="A143" s="365"/>
      <c r="B143" s="365"/>
      <c r="C143" s="365"/>
      <c r="D143" s="365"/>
      <c r="E143" s="365"/>
      <c r="F143" s="365"/>
      <c r="G143" s="365"/>
      <c r="H143" s="365"/>
      <c r="I143" s="365"/>
      <c r="J143" s="365"/>
      <c r="K143" s="365"/>
      <c r="L143" s="365"/>
      <c r="M143" s="365"/>
      <c r="N143" s="365"/>
      <c r="O143" s="365"/>
    </row>
    <row r="144" spans="1:15" ht="15.75" customHeight="1">
      <c r="A144" s="365"/>
      <c r="B144" s="365"/>
      <c r="C144" s="365"/>
      <c r="D144" s="365"/>
      <c r="E144" s="365"/>
      <c r="F144" s="365"/>
      <c r="G144" s="365"/>
      <c r="H144" s="365"/>
      <c r="I144" s="365"/>
      <c r="J144" s="365"/>
      <c r="K144" s="365"/>
      <c r="L144" s="365"/>
      <c r="M144" s="365"/>
      <c r="N144" s="365"/>
      <c r="O144" s="365"/>
    </row>
    <row r="145" spans="1:15" ht="15.75" customHeight="1">
      <c r="A145" s="365"/>
      <c r="B145" s="365"/>
      <c r="C145" s="365"/>
      <c r="D145" s="365"/>
      <c r="E145" s="365"/>
      <c r="F145" s="365"/>
      <c r="G145" s="365"/>
      <c r="H145" s="365"/>
      <c r="I145" s="365"/>
      <c r="J145" s="365"/>
      <c r="K145" s="365"/>
      <c r="L145" s="365"/>
      <c r="M145" s="365"/>
      <c r="N145" s="365"/>
      <c r="O145" s="365"/>
    </row>
    <row r="146" spans="1:15" ht="15.75" customHeight="1">
      <c r="A146" s="365"/>
      <c r="B146" s="365"/>
      <c r="C146" s="365"/>
      <c r="D146" s="365"/>
      <c r="E146" s="365"/>
      <c r="F146" s="365"/>
      <c r="G146" s="365"/>
      <c r="H146" s="365"/>
      <c r="I146" s="365"/>
      <c r="J146" s="365"/>
      <c r="K146" s="365"/>
      <c r="L146" s="365"/>
      <c r="M146" s="365"/>
      <c r="N146" s="365"/>
      <c r="O146" s="365"/>
    </row>
    <row r="147" spans="1:15" ht="15.75" customHeight="1">
      <c r="A147" s="365"/>
      <c r="B147" s="365"/>
      <c r="C147" s="365"/>
      <c r="D147" s="365"/>
      <c r="E147" s="365"/>
      <c r="F147" s="365"/>
      <c r="G147" s="365"/>
      <c r="H147" s="365"/>
      <c r="I147" s="365"/>
      <c r="J147" s="365"/>
      <c r="K147" s="365"/>
      <c r="L147" s="365"/>
      <c r="M147" s="365"/>
      <c r="N147" s="365"/>
      <c r="O147" s="365"/>
    </row>
    <row r="148" spans="1:15" ht="15.75" customHeight="1">
      <c r="A148" s="365"/>
      <c r="B148" s="365"/>
      <c r="C148" s="365"/>
      <c r="D148" s="365"/>
      <c r="E148" s="365"/>
      <c r="F148" s="365"/>
      <c r="G148" s="365"/>
      <c r="H148" s="365"/>
      <c r="I148" s="365"/>
      <c r="J148" s="365"/>
      <c r="K148" s="365"/>
      <c r="L148" s="365"/>
      <c r="M148" s="365"/>
      <c r="N148" s="365"/>
      <c r="O148" s="365"/>
    </row>
    <row r="149" spans="1:15" ht="15.75" customHeight="1">
      <c r="A149" s="365"/>
      <c r="B149" s="365"/>
      <c r="C149" s="365"/>
      <c r="D149" s="365"/>
      <c r="E149" s="365"/>
      <c r="F149" s="365"/>
      <c r="G149" s="365"/>
      <c r="H149" s="365"/>
      <c r="I149" s="365"/>
      <c r="J149" s="365"/>
      <c r="K149" s="365"/>
      <c r="L149" s="365"/>
      <c r="M149" s="365"/>
      <c r="N149" s="365"/>
      <c r="O149" s="365"/>
    </row>
    <row r="150" spans="1:15" ht="15.75" customHeight="1">
      <c r="A150" s="365"/>
      <c r="B150" s="365"/>
      <c r="C150" s="365"/>
      <c r="D150" s="365"/>
      <c r="E150" s="365"/>
      <c r="F150" s="365"/>
      <c r="G150" s="365"/>
      <c r="H150" s="365"/>
      <c r="I150" s="365"/>
      <c r="J150" s="365"/>
      <c r="K150" s="365"/>
      <c r="L150" s="365"/>
      <c r="M150" s="365"/>
      <c r="N150" s="365"/>
      <c r="O150" s="365"/>
    </row>
    <row r="151" spans="1:15" ht="15.75" customHeight="1">
      <c r="A151" s="365"/>
      <c r="B151" s="365"/>
      <c r="C151" s="365"/>
      <c r="D151" s="365"/>
      <c r="E151" s="365"/>
      <c r="F151" s="365"/>
      <c r="G151" s="365"/>
      <c r="H151" s="365"/>
      <c r="I151" s="365"/>
      <c r="J151" s="365"/>
      <c r="K151" s="365"/>
      <c r="L151" s="365"/>
      <c r="M151" s="365"/>
      <c r="N151" s="365"/>
      <c r="O151" s="365"/>
    </row>
    <row r="152" spans="1:15" ht="15.75" customHeight="1">
      <c r="A152" s="365"/>
      <c r="B152" s="365"/>
      <c r="C152" s="365"/>
      <c r="D152" s="365"/>
      <c r="E152" s="365"/>
      <c r="F152" s="365"/>
      <c r="G152" s="365"/>
      <c r="H152" s="365"/>
      <c r="I152" s="365"/>
      <c r="J152" s="365"/>
      <c r="K152" s="365"/>
      <c r="L152" s="365"/>
      <c r="M152" s="365"/>
      <c r="N152" s="365"/>
      <c r="O152" s="365"/>
    </row>
    <row r="153" spans="1:15" ht="15.75" customHeight="1">
      <c r="A153" s="365"/>
      <c r="B153" s="365"/>
      <c r="C153" s="365"/>
      <c r="D153" s="365"/>
      <c r="E153" s="365"/>
      <c r="F153" s="365"/>
      <c r="G153" s="365"/>
      <c r="H153" s="365"/>
      <c r="I153" s="365"/>
      <c r="J153" s="365"/>
      <c r="K153" s="365"/>
      <c r="L153" s="365"/>
      <c r="M153" s="365"/>
      <c r="N153" s="365"/>
      <c r="O153" s="365"/>
    </row>
    <row r="154" spans="1:15" ht="15.75" customHeight="1">
      <c r="A154" s="365"/>
      <c r="B154" s="365"/>
      <c r="C154" s="365"/>
      <c r="D154" s="365"/>
      <c r="E154" s="365"/>
      <c r="F154" s="365"/>
      <c r="G154" s="365"/>
      <c r="H154" s="365"/>
      <c r="I154" s="365"/>
      <c r="J154" s="365"/>
      <c r="K154" s="365"/>
      <c r="L154" s="365"/>
      <c r="M154" s="365"/>
      <c r="N154" s="365"/>
      <c r="O154" s="365"/>
    </row>
    <row r="155" spans="1:15" ht="15.75" customHeight="1">
      <c r="A155" s="365"/>
      <c r="B155" s="365"/>
      <c r="C155" s="365"/>
      <c r="D155" s="365"/>
      <c r="E155" s="365"/>
      <c r="F155" s="365"/>
      <c r="G155" s="365"/>
      <c r="H155" s="365"/>
      <c r="I155" s="365"/>
      <c r="J155" s="365"/>
      <c r="K155" s="365"/>
      <c r="L155" s="365"/>
      <c r="M155" s="365"/>
      <c r="N155" s="365"/>
      <c r="O155" s="365"/>
    </row>
    <row r="156" spans="1:15" ht="15.75" customHeight="1">
      <c r="A156" s="365"/>
      <c r="B156" s="365"/>
      <c r="C156" s="365"/>
      <c r="D156" s="365"/>
      <c r="E156" s="365"/>
      <c r="F156" s="365"/>
      <c r="G156" s="365"/>
      <c r="H156" s="365"/>
      <c r="I156" s="365"/>
      <c r="J156" s="365"/>
      <c r="K156" s="365"/>
      <c r="L156" s="365"/>
      <c r="M156" s="365"/>
      <c r="N156" s="365"/>
      <c r="O156" s="365"/>
    </row>
    <row r="157" spans="1:15" ht="15.75" customHeight="1">
      <c r="A157" s="365"/>
      <c r="B157" s="365"/>
      <c r="C157" s="365"/>
      <c r="D157" s="365"/>
      <c r="E157" s="365"/>
      <c r="F157" s="365"/>
      <c r="G157" s="365"/>
      <c r="H157" s="365"/>
      <c r="I157" s="365"/>
      <c r="J157" s="365"/>
      <c r="K157" s="365"/>
      <c r="L157" s="365"/>
      <c r="M157" s="365"/>
      <c r="N157" s="365"/>
      <c r="O157" s="365"/>
    </row>
    <row r="158" spans="1:15" ht="15.75" customHeight="1">
      <c r="A158" s="365"/>
      <c r="B158" s="365"/>
      <c r="C158" s="365"/>
      <c r="D158" s="365"/>
      <c r="E158" s="365"/>
      <c r="F158" s="365"/>
      <c r="G158" s="365"/>
      <c r="H158" s="365"/>
      <c r="I158" s="365"/>
      <c r="J158" s="365"/>
      <c r="K158" s="365"/>
      <c r="L158" s="365"/>
      <c r="M158" s="365"/>
      <c r="N158" s="365"/>
      <c r="O158" s="365"/>
    </row>
    <row r="159" spans="1:15" ht="15.75" customHeight="1">
      <c r="A159" s="365"/>
      <c r="B159" s="365"/>
      <c r="C159" s="365"/>
      <c r="D159" s="365"/>
      <c r="E159" s="365"/>
      <c r="F159" s="365"/>
      <c r="G159" s="365"/>
      <c r="H159" s="365"/>
      <c r="I159" s="365"/>
      <c r="J159" s="365"/>
      <c r="K159" s="365"/>
      <c r="L159" s="365"/>
      <c r="M159" s="365"/>
      <c r="N159" s="365"/>
      <c r="O159" s="365"/>
    </row>
    <row r="160" spans="1:15" ht="15.75" customHeight="1">
      <c r="A160" s="365"/>
      <c r="B160" s="365"/>
      <c r="C160" s="365"/>
      <c r="D160" s="365"/>
      <c r="E160" s="365"/>
      <c r="F160" s="365"/>
      <c r="G160" s="365"/>
      <c r="H160" s="365"/>
      <c r="I160" s="365"/>
      <c r="J160" s="365"/>
      <c r="K160" s="365"/>
      <c r="L160" s="365"/>
      <c r="M160" s="365"/>
      <c r="N160" s="365"/>
      <c r="O160" s="365"/>
    </row>
    <row r="161" spans="1:15" ht="15.75" customHeight="1">
      <c r="A161" s="365"/>
      <c r="B161" s="365"/>
      <c r="C161" s="365"/>
      <c r="D161" s="365"/>
      <c r="E161" s="365"/>
      <c r="F161" s="365"/>
      <c r="G161" s="365"/>
      <c r="H161" s="365"/>
      <c r="I161" s="365"/>
      <c r="J161" s="365"/>
      <c r="K161" s="365"/>
      <c r="L161" s="365"/>
      <c r="M161" s="365"/>
      <c r="N161" s="365"/>
      <c r="O161" s="365"/>
    </row>
    <row r="162" spans="1:15" ht="15.75" customHeight="1">
      <c r="A162" s="365"/>
      <c r="B162" s="365"/>
      <c r="C162" s="365"/>
      <c r="D162" s="365"/>
      <c r="E162" s="365"/>
      <c r="F162" s="365"/>
      <c r="G162" s="365"/>
      <c r="H162" s="365"/>
      <c r="I162" s="365"/>
      <c r="J162" s="365"/>
      <c r="K162" s="365"/>
      <c r="L162" s="365"/>
      <c r="M162" s="365"/>
      <c r="N162" s="365"/>
      <c r="O162" s="365"/>
    </row>
    <row r="163" spans="1:15" ht="15.75" customHeight="1">
      <c r="A163" s="365"/>
      <c r="B163" s="365"/>
      <c r="C163" s="365"/>
      <c r="D163" s="365"/>
      <c r="E163" s="365"/>
      <c r="F163" s="365"/>
      <c r="G163" s="365"/>
      <c r="H163" s="365"/>
      <c r="I163" s="365"/>
      <c r="J163" s="365"/>
      <c r="K163" s="365"/>
      <c r="L163" s="365"/>
      <c r="M163" s="365"/>
      <c r="N163" s="365"/>
      <c r="O163" s="365"/>
    </row>
    <row r="164" spans="1:15" ht="15.75" customHeight="1">
      <c r="A164" s="365"/>
      <c r="B164" s="365"/>
      <c r="C164" s="365"/>
      <c r="D164" s="365"/>
      <c r="E164" s="365"/>
      <c r="F164" s="365"/>
      <c r="G164" s="365"/>
      <c r="H164" s="365"/>
      <c r="I164" s="365"/>
      <c r="J164" s="365"/>
      <c r="K164" s="365"/>
      <c r="L164" s="365"/>
      <c r="M164" s="365"/>
      <c r="N164" s="365"/>
      <c r="O164" s="365"/>
    </row>
    <row r="165" spans="1:15" ht="15.75" customHeight="1">
      <c r="A165" s="365"/>
      <c r="B165" s="365"/>
      <c r="C165" s="365"/>
      <c r="D165" s="365"/>
      <c r="E165" s="365"/>
      <c r="F165" s="365"/>
      <c r="G165" s="365"/>
      <c r="H165" s="365"/>
      <c r="I165" s="365"/>
      <c r="J165" s="365"/>
      <c r="K165" s="365"/>
      <c r="L165" s="365"/>
      <c r="M165" s="365"/>
      <c r="N165" s="365"/>
      <c r="O165" s="365"/>
    </row>
    <row r="166" spans="1:15" ht="15.75" customHeight="1">
      <c r="A166" s="365"/>
      <c r="B166" s="365"/>
      <c r="C166" s="365"/>
      <c r="D166" s="365"/>
      <c r="E166" s="365"/>
      <c r="F166" s="365"/>
      <c r="G166" s="365"/>
      <c r="H166" s="365"/>
      <c r="I166" s="365"/>
      <c r="J166" s="365"/>
      <c r="K166" s="365"/>
      <c r="L166" s="365"/>
      <c r="M166" s="365"/>
      <c r="N166" s="365"/>
      <c r="O166" s="365"/>
    </row>
    <row r="167" spans="1:15" ht="15.75" customHeight="1">
      <c r="A167" s="365"/>
      <c r="B167" s="365"/>
      <c r="C167" s="365"/>
      <c r="D167" s="365"/>
      <c r="E167" s="365"/>
      <c r="F167" s="365"/>
      <c r="G167" s="365"/>
      <c r="H167" s="365"/>
      <c r="I167" s="365"/>
      <c r="J167" s="365"/>
      <c r="K167" s="365"/>
      <c r="L167" s="365"/>
      <c r="M167" s="365"/>
      <c r="N167" s="365"/>
      <c r="O167" s="365"/>
    </row>
    <row r="168" spans="1:15" ht="15.75" customHeight="1">
      <c r="A168" s="365"/>
      <c r="B168" s="365"/>
      <c r="C168" s="365"/>
      <c r="D168" s="365"/>
      <c r="E168" s="365"/>
      <c r="F168" s="365"/>
      <c r="G168" s="365"/>
      <c r="H168" s="365"/>
      <c r="I168" s="365"/>
      <c r="J168" s="365"/>
      <c r="K168" s="365"/>
      <c r="L168" s="365"/>
      <c r="M168" s="365"/>
      <c r="N168" s="365"/>
      <c r="O168" s="365"/>
    </row>
    <row r="169" spans="1:15" ht="15.75" customHeight="1">
      <c r="A169" s="365"/>
      <c r="B169" s="365"/>
      <c r="C169" s="365"/>
      <c r="D169" s="365"/>
      <c r="E169" s="365"/>
      <c r="F169" s="365"/>
      <c r="G169" s="365"/>
      <c r="H169" s="365"/>
      <c r="I169" s="365"/>
      <c r="J169" s="365"/>
      <c r="K169" s="365"/>
      <c r="L169" s="365"/>
      <c r="M169" s="365"/>
      <c r="N169" s="365"/>
      <c r="O169" s="365"/>
    </row>
    <row r="170" spans="1:15" ht="15.75" customHeight="1">
      <c r="A170" s="365"/>
      <c r="B170" s="365"/>
      <c r="C170" s="365"/>
      <c r="D170" s="365"/>
      <c r="E170" s="365"/>
      <c r="F170" s="365"/>
      <c r="G170" s="365"/>
      <c r="H170" s="365"/>
      <c r="I170" s="365"/>
      <c r="J170" s="365"/>
      <c r="K170" s="365"/>
      <c r="L170" s="365"/>
      <c r="M170" s="365"/>
      <c r="N170" s="365"/>
      <c r="O170" s="365"/>
    </row>
    <row r="171" spans="1:15" ht="15.75" customHeight="1">
      <c r="A171" s="365"/>
      <c r="B171" s="365"/>
      <c r="C171" s="365"/>
      <c r="D171" s="365"/>
      <c r="E171" s="365"/>
      <c r="F171" s="365"/>
      <c r="G171" s="365"/>
      <c r="H171" s="365"/>
      <c r="I171" s="365"/>
      <c r="J171" s="365"/>
      <c r="K171" s="365"/>
      <c r="L171" s="365"/>
      <c r="M171" s="365"/>
      <c r="N171" s="365"/>
      <c r="O171" s="365"/>
    </row>
    <row r="172" spans="1:15" ht="15.75" customHeight="1">
      <c r="A172" s="365"/>
      <c r="B172" s="365"/>
      <c r="C172" s="365"/>
      <c r="D172" s="365"/>
      <c r="E172" s="365"/>
      <c r="F172" s="365"/>
      <c r="G172" s="365"/>
      <c r="H172" s="365"/>
      <c r="I172" s="365"/>
      <c r="J172" s="365"/>
      <c r="K172" s="365"/>
      <c r="L172" s="365"/>
      <c r="M172" s="365"/>
      <c r="N172" s="365"/>
      <c r="O172" s="365"/>
    </row>
    <row r="173" spans="1:15" ht="15.75" customHeight="1">
      <c r="A173" s="365"/>
      <c r="B173" s="365"/>
      <c r="C173" s="365"/>
      <c r="D173" s="365"/>
      <c r="E173" s="365"/>
      <c r="F173" s="365"/>
      <c r="G173" s="365"/>
      <c r="H173" s="365"/>
      <c r="I173" s="365"/>
      <c r="J173" s="365"/>
      <c r="K173" s="365"/>
      <c r="L173" s="365"/>
      <c r="M173" s="365"/>
      <c r="N173" s="365"/>
      <c r="O173" s="365"/>
    </row>
    <row r="174" spans="1:15" ht="15.75" customHeight="1">
      <c r="A174" s="365"/>
      <c r="B174" s="365"/>
      <c r="C174" s="365"/>
      <c r="D174" s="365"/>
      <c r="E174" s="365"/>
      <c r="F174" s="365"/>
      <c r="G174" s="365"/>
      <c r="H174" s="365"/>
      <c r="I174" s="365"/>
      <c r="J174" s="365"/>
      <c r="K174" s="365"/>
      <c r="L174" s="365"/>
      <c r="M174" s="365"/>
      <c r="N174" s="365"/>
      <c r="O174" s="365"/>
    </row>
    <row r="175" spans="1:15" ht="15.75" customHeight="1">
      <c r="A175" s="365"/>
      <c r="B175" s="365"/>
      <c r="C175" s="365"/>
      <c r="D175" s="365"/>
      <c r="E175" s="365"/>
      <c r="F175" s="365"/>
      <c r="G175" s="365"/>
      <c r="H175" s="365"/>
      <c r="I175" s="365"/>
      <c r="J175" s="365"/>
      <c r="K175" s="365"/>
      <c r="L175" s="365"/>
      <c r="M175" s="365"/>
      <c r="N175" s="365"/>
      <c r="O175" s="365"/>
    </row>
    <row r="176" spans="1:15" ht="15.75" customHeight="1">
      <c r="A176" s="365"/>
      <c r="B176" s="365"/>
      <c r="C176" s="365"/>
      <c r="D176" s="365"/>
      <c r="E176" s="365"/>
      <c r="F176" s="365"/>
      <c r="G176" s="365"/>
      <c r="H176" s="365"/>
      <c r="I176" s="365"/>
      <c r="J176" s="365"/>
      <c r="K176" s="365"/>
      <c r="L176" s="365"/>
      <c r="M176" s="365"/>
      <c r="N176" s="365"/>
      <c r="O176" s="365"/>
    </row>
    <row r="177" spans="1:15" ht="15.75" customHeight="1">
      <c r="A177" s="365"/>
      <c r="B177" s="365"/>
      <c r="C177" s="365"/>
      <c r="D177" s="365"/>
      <c r="E177" s="365"/>
      <c r="F177" s="365"/>
      <c r="G177" s="365"/>
      <c r="H177" s="365"/>
      <c r="I177" s="365"/>
      <c r="J177" s="365"/>
      <c r="K177" s="365"/>
      <c r="L177" s="365"/>
      <c r="M177" s="365"/>
      <c r="N177" s="365"/>
      <c r="O177" s="365"/>
    </row>
    <row r="178" spans="1:15" ht="15.75" customHeight="1">
      <c r="A178" s="365"/>
      <c r="B178" s="365"/>
      <c r="C178" s="365"/>
      <c r="D178" s="365"/>
      <c r="E178" s="365"/>
      <c r="F178" s="365"/>
      <c r="G178" s="365"/>
      <c r="H178" s="365"/>
      <c r="I178" s="365"/>
      <c r="J178" s="365"/>
      <c r="K178" s="365"/>
      <c r="L178" s="365"/>
      <c r="M178" s="365"/>
      <c r="N178" s="365"/>
      <c r="O178" s="365"/>
    </row>
    <row r="179" spans="1:15" ht="15.75" customHeight="1">
      <c r="A179" s="365"/>
      <c r="B179" s="365"/>
      <c r="C179" s="365"/>
      <c r="D179" s="365"/>
      <c r="E179" s="365"/>
      <c r="F179" s="365"/>
      <c r="G179" s="365"/>
      <c r="H179" s="365"/>
      <c r="I179" s="365"/>
      <c r="J179" s="365"/>
      <c r="K179" s="365"/>
      <c r="L179" s="365"/>
      <c r="M179" s="365"/>
      <c r="N179" s="365"/>
      <c r="O179" s="365"/>
    </row>
    <row r="180" spans="1:15" ht="15.75" customHeight="1">
      <c r="A180" s="365"/>
      <c r="B180" s="365"/>
      <c r="C180" s="365"/>
      <c r="D180" s="365"/>
      <c r="E180" s="365"/>
      <c r="F180" s="365"/>
      <c r="G180" s="365"/>
      <c r="H180" s="365"/>
      <c r="I180" s="365"/>
      <c r="J180" s="365"/>
      <c r="K180" s="365"/>
      <c r="L180" s="365"/>
      <c r="M180" s="365"/>
      <c r="N180" s="365"/>
      <c r="O180" s="365"/>
    </row>
    <row r="181" spans="1:15" ht="15.75" customHeight="1">
      <c r="A181" s="365"/>
      <c r="B181" s="365"/>
      <c r="C181" s="365"/>
      <c r="D181" s="365"/>
      <c r="E181" s="365"/>
      <c r="F181" s="365"/>
      <c r="G181" s="365"/>
      <c r="H181" s="365"/>
      <c r="I181" s="365"/>
      <c r="J181" s="365"/>
      <c r="K181" s="365"/>
      <c r="L181" s="365"/>
      <c r="M181" s="365"/>
      <c r="N181" s="365"/>
      <c r="O181" s="365"/>
    </row>
    <row r="182" spans="1:15" ht="15.75" customHeight="1">
      <c r="A182" s="365"/>
      <c r="B182" s="365"/>
      <c r="C182" s="365"/>
      <c r="D182" s="365"/>
      <c r="E182" s="365"/>
      <c r="F182" s="365"/>
      <c r="G182" s="365"/>
      <c r="H182" s="365"/>
      <c r="I182" s="365"/>
      <c r="J182" s="365"/>
      <c r="K182" s="365"/>
      <c r="L182" s="365"/>
      <c r="M182" s="365"/>
      <c r="N182" s="365"/>
      <c r="O182" s="365"/>
    </row>
    <row r="183" spans="1:15" ht="15.75" customHeight="1">
      <c r="A183" s="365"/>
      <c r="B183" s="365"/>
      <c r="C183" s="365"/>
      <c r="D183" s="365"/>
      <c r="E183" s="365"/>
      <c r="F183" s="365"/>
      <c r="G183" s="365"/>
      <c r="H183" s="365"/>
      <c r="I183" s="365"/>
      <c r="J183" s="365"/>
      <c r="K183" s="365"/>
      <c r="L183" s="365"/>
      <c r="M183" s="365"/>
      <c r="N183" s="365"/>
      <c r="O183" s="365"/>
    </row>
    <row r="184" spans="1:15" ht="15.75" customHeight="1">
      <c r="A184" s="365"/>
      <c r="B184" s="365"/>
      <c r="C184" s="365"/>
      <c r="D184" s="365"/>
      <c r="E184" s="365"/>
      <c r="F184" s="365"/>
      <c r="G184" s="365"/>
      <c r="H184" s="365"/>
      <c r="I184" s="365"/>
      <c r="J184" s="365"/>
      <c r="K184" s="365"/>
      <c r="L184" s="365"/>
      <c r="M184" s="365"/>
      <c r="N184" s="365"/>
      <c r="O184" s="365"/>
    </row>
    <row r="185" spans="1:15" ht="15.75" customHeight="1">
      <c r="A185" s="365"/>
      <c r="B185" s="365"/>
      <c r="C185" s="365"/>
      <c r="D185" s="365"/>
      <c r="E185" s="365"/>
      <c r="F185" s="365"/>
      <c r="G185" s="365"/>
      <c r="H185" s="365"/>
      <c r="I185" s="365"/>
      <c r="J185" s="365"/>
      <c r="K185" s="365"/>
      <c r="L185" s="365"/>
      <c r="M185" s="365"/>
      <c r="N185" s="365"/>
      <c r="O185" s="365"/>
    </row>
    <row r="186" spans="1:15" ht="15.75" customHeight="1">
      <c r="A186" s="365"/>
      <c r="B186" s="365"/>
      <c r="C186" s="365"/>
      <c r="D186" s="365"/>
      <c r="E186" s="365"/>
      <c r="F186" s="365"/>
      <c r="G186" s="365"/>
      <c r="H186" s="365"/>
      <c r="I186" s="365"/>
      <c r="J186" s="365"/>
      <c r="K186" s="365"/>
      <c r="L186" s="365"/>
      <c r="M186" s="365"/>
      <c r="N186" s="365"/>
      <c r="O186" s="365"/>
    </row>
    <row r="187" spans="1:15" ht="15.75" customHeight="1">
      <c r="A187" s="365"/>
      <c r="B187" s="365"/>
      <c r="C187" s="365"/>
      <c r="D187" s="365"/>
      <c r="E187" s="365"/>
      <c r="F187" s="365"/>
      <c r="G187" s="365"/>
      <c r="H187" s="365"/>
      <c r="I187" s="365"/>
      <c r="J187" s="365"/>
      <c r="K187" s="365"/>
      <c r="L187" s="365"/>
      <c r="M187" s="365"/>
      <c r="N187" s="365"/>
      <c r="O187" s="365"/>
    </row>
    <row r="188" spans="1:15" ht="15.75" customHeight="1">
      <c r="A188" s="365"/>
      <c r="B188" s="365"/>
      <c r="C188" s="365"/>
      <c r="D188" s="365"/>
      <c r="E188" s="365"/>
      <c r="F188" s="365"/>
      <c r="G188" s="365"/>
      <c r="H188" s="365"/>
      <c r="I188" s="365"/>
      <c r="J188" s="365"/>
      <c r="K188" s="365"/>
      <c r="L188" s="365"/>
      <c r="M188" s="365"/>
      <c r="N188" s="365"/>
      <c r="O188" s="365"/>
    </row>
    <row r="189" spans="1:15" ht="15.75" customHeight="1">
      <c r="A189" s="365"/>
      <c r="B189" s="365"/>
      <c r="C189" s="365"/>
      <c r="D189" s="365"/>
      <c r="E189" s="365"/>
      <c r="F189" s="365"/>
      <c r="G189" s="365"/>
      <c r="H189" s="365"/>
      <c r="I189" s="365"/>
      <c r="J189" s="365"/>
      <c r="K189" s="365"/>
      <c r="L189" s="365"/>
      <c r="M189" s="365"/>
      <c r="N189" s="365"/>
      <c r="O189" s="365"/>
    </row>
    <row r="190" spans="1:15" ht="15.75" customHeight="1">
      <c r="A190" s="365"/>
      <c r="B190" s="365"/>
      <c r="C190" s="365"/>
      <c r="D190" s="365"/>
      <c r="E190" s="365"/>
      <c r="F190" s="365"/>
      <c r="G190" s="365"/>
      <c r="H190" s="365"/>
      <c r="I190" s="365"/>
      <c r="J190" s="365"/>
      <c r="K190" s="365"/>
      <c r="L190" s="365"/>
      <c r="M190" s="365"/>
      <c r="N190" s="365"/>
      <c r="O190" s="365"/>
    </row>
    <row r="191" spans="1:15" ht="15.75" customHeight="1">
      <c r="A191" s="365"/>
      <c r="B191" s="365"/>
      <c r="C191" s="365"/>
      <c r="D191" s="365"/>
      <c r="E191" s="365"/>
      <c r="F191" s="365"/>
      <c r="G191" s="365"/>
      <c r="H191" s="365"/>
      <c r="I191" s="365"/>
      <c r="J191" s="365"/>
      <c r="K191" s="365"/>
      <c r="L191" s="365"/>
      <c r="M191" s="365"/>
      <c r="N191" s="365"/>
      <c r="O191" s="365"/>
    </row>
    <row r="192" spans="1:15" ht="15.75" customHeight="1">
      <c r="A192" s="365"/>
      <c r="B192" s="365"/>
      <c r="C192" s="365"/>
      <c r="D192" s="365"/>
      <c r="E192" s="365"/>
      <c r="F192" s="365"/>
      <c r="G192" s="365"/>
      <c r="H192" s="365"/>
      <c r="I192" s="365"/>
      <c r="J192" s="365"/>
      <c r="K192" s="365"/>
      <c r="L192" s="365"/>
      <c r="M192" s="365"/>
      <c r="N192" s="365"/>
      <c r="O192" s="365"/>
    </row>
    <row r="193" spans="1:15" ht="15.75" customHeight="1">
      <c r="A193" s="365"/>
      <c r="B193" s="365"/>
      <c r="C193" s="365"/>
      <c r="D193" s="365"/>
      <c r="E193" s="365"/>
      <c r="F193" s="365"/>
      <c r="G193" s="365"/>
      <c r="H193" s="365"/>
      <c r="I193" s="365"/>
      <c r="J193" s="365"/>
      <c r="K193" s="365"/>
      <c r="L193" s="365"/>
      <c r="M193" s="365"/>
      <c r="N193" s="365"/>
      <c r="O193" s="365"/>
    </row>
    <row r="194" spans="1:15" ht="15.75" customHeight="1">
      <c r="A194" s="365"/>
      <c r="B194" s="365"/>
      <c r="C194" s="365"/>
      <c r="D194" s="365"/>
      <c r="E194" s="365"/>
      <c r="F194" s="365"/>
      <c r="G194" s="365"/>
      <c r="H194" s="365"/>
      <c r="I194" s="365"/>
      <c r="J194" s="365"/>
      <c r="K194" s="365"/>
      <c r="L194" s="365"/>
      <c r="M194" s="365"/>
      <c r="N194" s="365"/>
      <c r="O194" s="365"/>
    </row>
    <row r="195" spans="1:15" ht="15.75" customHeight="1">
      <c r="A195" s="365"/>
      <c r="B195" s="365"/>
      <c r="C195" s="365"/>
      <c r="D195" s="365"/>
      <c r="E195" s="365"/>
      <c r="F195" s="365"/>
      <c r="G195" s="365"/>
      <c r="H195" s="365"/>
      <c r="I195" s="365"/>
      <c r="J195" s="365"/>
      <c r="K195" s="365"/>
      <c r="L195" s="365"/>
      <c r="M195" s="365"/>
      <c r="N195" s="365"/>
      <c r="O195" s="365"/>
    </row>
    <row r="196" spans="1:15" ht="15.75" customHeight="1">
      <c r="A196" s="365"/>
      <c r="B196" s="365"/>
      <c r="C196" s="365"/>
      <c r="D196" s="365"/>
      <c r="E196" s="365"/>
      <c r="F196" s="365"/>
      <c r="G196" s="365"/>
      <c r="H196" s="365"/>
      <c r="I196" s="365"/>
      <c r="J196" s="365"/>
      <c r="K196" s="365"/>
      <c r="L196" s="365"/>
      <c r="M196" s="365"/>
      <c r="N196" s="365"/>
      <c r="O196" s="365"/>
    </row>
    <row r="197" spans="1:15" ht="15.75" customHeight="1">
      <c r="A197" s="365"/>
      <c r="B197" s="365"/>
      <c r="C197" s="365"/>
      <c r="D197" s="365"/>
      <c r="E197" s="365"/>
      <c r="F197" s="365"/>
      <c r="G197" s="365"/>
      <c r="H197" s="365"/>
      <c r="I197" s="365"/>
      <c r="J197" s="365"/>
      <c r="K197" s="365"/>
      <c r="L197" s="365"/>
      <c r="M197" s="365"/>
      <c r="N197" s="365"/>
      <c r="O197" s="365"/>
    </row>
    <row r="198" spans="1:15" ht="15.75" customHeight="1">
      <c r="A198" s="365"/>
      <c r="B198" s="365"/>
      <c r="C198" s="365"/>
      <c r="D198" s="365"/>
      <c r="E198" s="365"/>
      <c r="F198" s="365"/>
      <c r="G198" s="365"/>
      <c r="H198" s="365"/>
      <c r="I198" s="365"/>
      <c r="J198" s="365"/>
      <c r="K198" s="365"/>
      <c r="L198" s="365"/>
      <c r="M198" s="365"/>
      <c r="N198" s="365"/>
      <c r="O198" s="365"/>
    </row>
    <row r="199" spans="1:15" ht="15.75" customHeight="1">
      <c r="A199" s="365"/>
      <c r="B199" s="365"/>
      <c r="C199" s="365"/>
      <c r="D199" s="365"/>
      <c r="E199" s="365"/>
      <c r="F199" s="365"/>
      <c r="G199" s="365"/>
      <c r="H199" s="365"/>
      <c r="I199" s="365"/>
      <c r="J199" s="365"/>
      <c r="K199" s="365"/>
      <c r="L199" s="365"/>
      <c r="M199" s="365"/>
      <c r="N199" s="365"/>
      <c r="O199" s="365"/>
    </row>
    <row r="200" spans="1:15" ht="15.75" customHeight="1">
      <c r="A200" s="365"/>
      <c r="B200" s="365"/>
      <c r="C200" s="365"/>
      <c r="D200" s="365"/>
      <c r="E200" s="365"/>
      <c r="F200" s="365"/>
      <c r="G200" s="365"/>
      <c r="H200" s="365"/>
      <c r="I200" s="365"/>
      <c r="J200" s="365"/>
      <c r="K200" s="365"/>
      <c r="L200" s="365"/>
      <c r="M200" s="365"/>
      <c r="N200" s="365"/>
      <c r="O200" s="365"/>
    </row>
    <row r="201" spans="1:15" ht="15.75" customHeight="1">
      <c r="A201" s="365"/>
      <c r="B201" s="365"/>
      <c r="C201" s="365"/>
      <c r="D201" s="365"/>
      <c r="E201" s="365"/>
      <c r="F201" s="365"/>
      <c r="G201" s="365"/>
      <c r="H201" s="365"/>
      <c r="I201" s="365"/>
      <c r="J201" s="365"/>
      <c r="K201" s="365"/>
      <c r="L201" s="365"/>
      <c r="M201" s="365"/>
      <c r="N201" s="365"/>
      <c r="O201" s="365"/>
    </row>
    <row r="202" spans="1:15" ht="15.75" customHeight="1">
      <c r="A202" s="365"/>
      <c r="B202" s="365"/>
      <c r="C202" s="365"/>
      <c r="D202" s="365"/>
      <c r="E202" s="365"/>
      <c r="F202" s="365"/>
      <c r="G202" s="365"/>
      <c r="H202" s="365"/>
      <c r="I202" s="365"/>
      <c r="J202" s="365"/>
      <c r="K202" s="365"/>
      <c r="L202" s="365"/>
      <c r="M202" s="365"/>
      <c r="N202" s="365"/>
      <c r="O202" s="365"/>
    </row>
    <row r="203" spans="1:15" ht="15.75" customHeight="1">
      <c r="A203" s="365"/>
      <c r="B203" s="365"/>
      <c r="C203" s="365"/>
      <c r="D203" s="365"/>
      <c r="E203" s="365"/>
      <c r="F203" s="365"/>
      <c r="G203" s="365"/>
      <c r="H203" s="365"/>
      <c r="I203" s="365"/>
      <c r="J203" s="365"/>
      <c r="K203" s="365"/>
      <c r="L203" s="365"/>
      <c r="M203" s="365"/>
      <c r="N203" s="365"/>
      <c r="O203" s="365"/>
    </row>
    <row r="204" spans="1:15" ht="15.75" customHeight="1">
      <c r="A204" s="365"/>
      <c r="B204" s="365"/>
      <c r="C204" s="365"/>
      <c r="D204" s="365"/>
      <c r="E204" s="365"/>
      <c r="F204" s="365"/>
      <c r="G204" s="365"/>
      <c r="H204" s="365"/>
      <c r="I204" s="365"/>
      <c r="J204" s="365"/>
      <c r="K204" s="365"/>
      <c r="L204" s="365"/>
      <c r="M204" s="365"/>
      <c r="N204" s="365"/>
      <c r="O204" s="365"/>
    </row>
    <row r="205" spans="1:15" ht="15.75" customHeight="1">
      <c r="A205" s="365"/>
      <c r="B205" s="365"/>
      <c r="C205" s="365"/>
      <c r="D205" s="365"/>
      <c r="E205" s="365"/>
      <c r="F205" s="365"/>
      <c r="G205" s="365"/>
      <c r="H205" s="365"/>
      <c r="I205" s="365"/>
      <c r="J205" s="365"/>
      <c r="K205" s="365"/>
      <c r="L205" s="365"/>
      <c r="M205" s="365"/>
      <c r="N205" s="365"/>
      <c r="O205" s="365"/>
    </row>
    <row r="206" spans="1:15" ht="15.75" customHeight="1">
      <c r="A206" s="365"/>
      <c r="B206" s="365"/>
      <c r="C206" s="365"/>
      <c r="D206" s="365"/>
      <c r="E206" s="365"/>
      <c r="F206" s="365"/>
      <c r="G206" s="365"/>
      <c r="H206" s="365"/>
      <c r="I206" s="365"/>
      <c r="J206" s="365"/>
      <c r="K206" s="365"/>
      <c r="L206" s="365"/>
      <c r="M206" s="365"/>
      <c r="N206" s="365"/>
      <c r="O206" s="365"/>
    </row>
    <row r="207" spans="1:15" ht="15.75" customHeight="1">
      <c r="A207" s="365"/>
      <c r="B207" s="365"/>
      <c r="C207" s="365"/>
      <c r="D207" s="365"/>
      <c r="E207" s="365"/>
      <c r="F207" s="365"/>
      <c r="G207" s="365"/>
      <c r="H207" s="365"/>
      <c r="I207" s="365"/>
      <c r="J207" s="365"/>
      <c r="K207" s="365"/>
      <c r="L207" s="365"/>
      <c r="M207" s="365"/>
      <c r="N207" s="365"/>
      <c r="O207" s="365"/>
    </row>
    <row r="208" spans="1:15" ht="15.75" customHeight="1">
      <c r="A208" s="365"/>
      <c r="B208" s="365"/>
      <c r="C208" s="365"/>
      <c r="D208" s="365"/>
      <c r="E208" s="365"/>
      <c r="F208" s="365"/>
      <c r="G208" s="365"/>
      <c r="H208" s="365"/>
      <c r="I208" s="365"/>
      <c r="J208" s="365"/>
      <c r="K208" s="365"/>
      <c r="L208" s="365"/>
      <c r="M208" s="365"/>
      <c r="N208" s="365"/>
      <c r="O208" s="365"/>
    </row>
    <row r="209" spans="1:15" ht="15.75" customHeight="1">
      <c r="A209" s="365"/>
      <c r="B209" s="365"/>
      <c r="C209" s="365"/>
      <c r="D209" s="365"/>
      <c r="E209" s="365"/>
      <c r="F209" s="365"/>
      <c r="G209" s="365"/>
      <c r="H209" s="365"/>
      <c r="I209" s="365"/>
      <c r="J209" s="365"/>
      <c r="K209" s="365"/>
      <c r="L209" s="365"/>
      <c r="M209" s="365"/>
      <c r="N209" s="365"/>
      <c r="O209" s="365"/>
    </row>
    <row r="210" spans="1:15" ht="15.75" customHeight="1">
      <c r="A210" s="365"/>
      <c r="B210" s="365"/>
      <c r="C210" s="365"/>
      <c r="D210" s="365"/>
      <c r="E210" s="365"/>
      <c r="F210" s="365"/>
      <c r="G210" s="365"/>
      <c r="H210" s="365"/>
      <c r="I210" s="365"/>
      <c r="J210" s="365"/>
      <c r="K210" s="365"/>
      <c r="L210" s="365"/>
      <c r="M210" s="365"/>
      <c r="N210" s="365"/>
      <c r="O210" s="365"/>
    </row>
    <row r="211" spans="1:15" ht="15.75" customHeight="1">
      <c r="A211" s="365"/>
      <c r="B211" s="365"/>
      <c r="C211" s="365"/>
      <c r="D211" s="365"/>
      <c r="E211" s="365"/>
      <c r="F211" s="365"/>
      <c r="G211" s="365"/>
      <c r="H211" s="365"/>
      <c r="I211" s="365"/>
      <c r="J211" s="365"/>
      <c r="K211" s="365"/>
      <c r="L211" s="365"/>
      <c r="M211" s="365"/>
      <c r="N211" s="365"/>
      <c r="O211" s="365"/>
    </row>
    <row r="212" spans="1:15" ht="15.75" customHeight="1">
      <c r="A212" s="365"/>
      <c r="B212" s="365"/>
      <c r="C212" s="365"/>
      <c r="D212" s="365"/>
      <c r="E212" s="365"/>
      <c r="F212" s="365"/>
      <c r="G212" s="365"/>
      <c r="H212" s="365"/>
      <c r="I212" s="365"/>
      <c r="J212" s="365"/>
      <c r="K212" s="365"/>
      <c r="L212" s="365"/>
      <c r="M212" s="365"/>
      <c r="N212" s="365"/>
      <c r="O212" s="365"/>
    </row>
    <row r="213" spans="1:15" ht="15.75" customHeight="1">
      <c r="A213" s="365"/>
      <c r="B213" s="365"/>
      <c r="C213" s="365"/>
      <c r="D213" s="365"/>
      <c r="E213" s="365"/>
      <c r="F213" s="365"/>
      <c r="G213" s="365"/>
      <c r="H213" s="365"/>
      <c r="I213" s="365"/>
      <c r="J213" s="365"/>
      <c r="K213" s="365"/>
      <c r="L213" s="365"/>
      <c r="M213" s="365"/>
      <c r="N213" s="365"/>
      <c r="O213" s="365"/>
    </row>
    <row r="214" spans="1:15" ht="15.75" customHeight="1">
      <c r="A214" s="365"/>
      <c r="B214" s="365"/>
      <c r="C214" s="365"/>
      <c r="D214" s="365"/>
      <c r="E214" s="365"/>
      <c r="F214" s="365"/>
      <c r="G214" s="365"/>
      <c r="H214" s="365"/>
      <c r="I214" s="365"/>
      <c r="J214" s="365"/>
      <c r="K214" s="365"/>
      <c r="L214" s="365"/>
      <c r="M214" s="365"/>
      <c r="N214" s="365"/>
      <c r="O214" s="365"/>
    </row>
    <row r="215" spans="1:15" ht="15.75" customHeight="1">
      <c r="A215" s="365"/>
      <c r="B215" s="365"/>
      <c r="C215" s="365"/>
      <c r="D215" s="365"/>
      <c r="E215" s="365"/>
      <c r="F215" s="365"/>
      <c r="G215" s="365"/>
      <c r="H215" s="365"/>
      <c r="I215" s="365"/>
      <c r="J215" s="365"/>
      <c r="K215" s="365"/>
      <c r="L215" s="365"/>
      <c r="M215" s="365"/>
      <c r="N215" s="365"/>
      <c r="O215" s="365"/>
    </row>
    <row r="216" spans="1:15" ht="15.75" customHeight="1">
      <c r="A216" s="365"/>
      <c r="B216" s="365"/>
      <c r="C216" s="365"/>
      <c r="D216" s="365"/>
      <c r="E216" s="365"/>
      <c r="F216" s="365"/>
      <c r="G216" s="365"/>
      <c r="H216" s="365"/>
      <c r="I216" s="365"/>
      <c r="J216" s="365"/>
      <c r="K216" s="365"/>
      <c r="L216" s="365"/>
      <c r="M216" s="365"/>
      <c r="N216" s="365"/>
      <c r="O216" s="365"/>
    </row>
    <row r="217" spans="1:15" ht="15.75" customHeight="1">
      <c r="A217" s="365"/>
      <c r="B217" s="365"/>
      <c r="C217" s="365"/>
      <c r="D217" s="365"/>
      <c r="E217" s="365"/>
      <c r="F217" s="365"/>
      <c r="G217" s="365"/>
      <c r="H217" s="365"/>
      <c r="I217" s="365"/>
      <c r="J217" s="365"/>
      <c r="K217" s="365"/>
      <c r="L217" s="365"/>
      <c r="M217" s="365"/>
      <c r="N217" s="365"/>
      <c r="O217" s="365"/>
    </row>
    <row r="218" spans="1:15" ht="15.75" customHeight="1">
      <c r="A218" s="365"/>
      <c r="B218" s="365"/>
      <c r="C218" s="365"/>
      <c r="D218" s="365"/>
      <c r="E218" s="365"/>
      <c r="F218" s="365"/>
      <c r="G218" s="365"/>
      <c r="H218" s="365"/>
      <c r="I218" s="365"/>
      <c r="J218" s="365"/>
      <c r="K218" s="365"/>
      <c r="L218" s="365"/>
      <c r="M218" s="365"/>
      <c r="N218" s="365"/>
      <c r="O218" s="365"/>
    </row>
    <row r="219" spans="1:15" ht="15.75" customHeight="1">
      <c r="A219" s="365"/>
      <c r="B219" s="365"/>
      <c r="C219" s="365"/>
      <c r="D219" s="365"/>
      <c r="E219" s="365"/>
      <c r="F219" s="365"/>
      <c r="G219" s="365"/>
      <c r="H219" s="365"/>
      <c r="I219" s="365"/>
      <c r="J219" s="365"/>
      <c r="K219" s="365"/>
      <c r="L219" s="365"/>
      <c r="M219" s="365"/>
      <c r="N219" s="365"/>
      <c r="O219" s="365"/>
    </row>
    <row r="220" spans="1:15" ht="15.75" customHeight="1">
      <c r="A220" s="365"/>
      <c r="B220" s="365"/>
      <c r="C220" s="365"/>
      <c r="D220" s="365"/>
      <c r="E220" s="365"/>
      <c r="F220" s="365"/>
      <c r="G220" s="365"/>
      <c r="H220" s="365"/>
      <c r="I220" s="365"/>
      <c r="J220" s="365"/>
      <c r="K220" s="365"/>
      <c r="L220" s="365"/>
      <c r="M220" s="365"/>
      <c r="N220" s="365"/>
      <c r="O220" s="365"/>
    </row>
    <row r="221" spans="1:15" ht="15.75" customHeight="1">
      <c r="A221" s="365"/>
      <c r="B221" s="365"/>
      <c r="C221" s="365"/>
      <c r="D221" s="365"/>
      <c r="E221" s="365"/>
      <c r="F221" s="365"/>
      <c r="G221" s="365"/>
      <c r="H221" s="365"/>
      <c r="I221" s="365"/>
      <c r="J221" s="365"/>
      <c r="K221" s="365"/>
      <c r="L221" s="365"/>
      <c r="M221" s="365"/>
      <c r="N221" s="365"/>
      <c r="O221" s="365"/>
    </row>
    <row r="222" spans="1:15" ht="15.75" customHeight="1">
      <c r="A222" s="365"/>
      <c r="B222" s="365"/>
      <c r="C222" s="365"/>
      <c r="D222" s="365"/>
      <c r="E222" s="365"/>
      <c r="F222" s="365"/>
      <c r="G222" s="365"/>
      <c r="H222" s="365"/>
      <c r="I222" s="365"/>
      <c r="J222" s="365"/>
      <c r="K222" s="365"/>
      <c r="L222" s="365"/>
      <c r="M222" s="365"/>
      <c r="N222" s="365"/>
      <c r="O222" s="365"/>
    </row>
    <row r="223" spans="1:15" ht="15.75" customHeight="1">
      <c r="A223" s="365"/>
      <c r="B223" s="365"/>
      <c r="C223" s="365"/>
      <c r="D223" s="365"/>
      <c r="E223" s="365"/>
      <c r="F223" s="365"/>
      <c r="G223" s="365"/>
      <c r="H223" s="365"/>
      <c r="I223" s="365"/>
      <c r="J223" s="365"/>
      <c r="K223" s="365"/>
      <c r="L223" s="365"/>
      <c r="M223" s="365"/>
      <c r="N223" s="365"/>
      <c r="O223" s="365"/>
    </row>
    <row r="224" spans="1:15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5">
    <mergeCell ref="G4:G9"/>
    <mergeCell ref="F12:F22"/>
    <mergeCell ref="G12:G22"/>
    <mergeCell ref="E10:F10"/>
    <mergeCell ref="D9:F9"/>
  </mergeCells>
  <conditionalFormatting sqref="C12">
    <cfRule type="cellIs" dxfId="37" priority="6" operator="greaterThan">
      <formula>0.35</formula>
    </cfRule>
    <cfRule type="cellIs" dxfId="36" priority="7" operator="lessThan">
      <formula>0.35</formula>
    </cfRule>
  </conditionalFormatting>
  <conditionalFormatting sqref="C14">
    <cfRule type="cellIs" dxfId="35" priority="8" operator="greaterThan">
      <formula>0.33</formula>
    </cfRule>
    <cfRule type="cellIs" dxfId="34" priority="9" operator="lessThanOrEqual">
      <formula>0.33</formula>
    </cfRule>
  </conditionalFormatting>
  <conditionalFormatting sqref="C17">
    <cfRule type="cellIs" dxfId="33" priority="10" operator="lessThan">
      <formula>0.1</formula>
    </cfRule>
    <cfRule type="cellIs" dxfId="32" priority="11" operator="greaterThan">
      <formula>0.1</formula>
    </cfRule>
  </conditionalFormatting>
  <dataValidations count="2">
    <dataValidation type="list" allowBlank="1" showInputMessage="1" showErrorMessage="1" sqref="B3" xr:uid="{00000000-0002-0000-0000-000000000000}">
      <formula1>"Janeiro,Fevereiro,Março,Abril,Maio,Junho,Julho,Agosto,Setembro,Outubro,Novembro,Dezembro"</formula1>
    </dataValidation>
    <dataValidation type="list" allowBlank="1" showInputMessage="1" showErrorMessage="1" sqref="C3" xr:uid="{00000000-0002-0000-0000-000001000000}">
      <formula1>"2025,2026,2027"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494C4-C627-4936-BB28-18041A101FED}">
  <sheetPr>
    <tabColor rgb="FFFF0000"/>
    <outlinePr summaryBelow="0" summaryRight="0"/>
  </sheetPr>
  <dimension ref="A1:AI336"/>
  <sheetViews>
    <sheetView showGridLines="0" zoomScale="90" zoomScaleNormal="90" workbookViewId="0">
      <pane ySplit="6" topLeftCell="A13" activePane="bottomLeft" state="frozen"/>
      <selection activeCell="H1" sqref="H1"/>
      <selection pane="bottomLeft" activeCell="E18" sqref="E18"/>
    </sheetView>
  </sheetViews>
  <sheetFormatPr defaultColWidth="11.19921875" defaultRowHeight="15" customHeight="1"/>
  <cols>
    <col min="1" max="1" width="2" customWidth="1"/>
    <col min="2" max="2" width="16" customWidth="1"/>
    <col min="3" max="3" width="9.796875" customWidth="1"/>
    <col min="4" max="4" width="6.5" customWidth="1"/>
    <col min="5" max="5" width="64.19921875" style="388" customWidth="1"/>
    <col min="6" max="6" width="23.5" customWidth="1"/>
    <col min="7" max="7" width="43.3984375" style="388" customWidth="1"/>
    <col min="8" max="8" width="20.5" style="388" customWidth="1"/>
    <col min="9" max="9" width="17.69921875" style="406" customWidth="1"/>
    <col min="10" max="10" width="12.69921875" style="406" customWidth="1"/>
    <col min="11" max="11" width="17.09765625" style="405" customWidth="1"/>
    <col min="12" max="12" width="15.69921875" style="388" customWidth="1"/>
    <col min="13" max="13" width="17.19921875" customWidth="1"/>
    <col min="14" max="14" width="14.19921875" customWidth="1"/>
    <col min="15" max="15" width="17" customWidth="1"/>
    <col min="16" max="16" width="14" customWidth="1"/>
    <col min="17" max="17" width="15.69921875" customWidth="1"/>
    <col min="18" max="18" width="19.796875" customWidth="1"/>
    <col min="19" max="19" width="2.296875" customWidth="1"/>
    <col min="20" max="20" width="14.19921875" customWidth="1"/>
    <col min="21" max="21" width="10.69921875" customWidth="1"/>
    <col min="22" max="22" width="12.296875" customWidth="1"/>
    <col min="23" max="23" width="14" customWidth="1"/>
    <col min="24" max="35" width="10" customWidth="1"/>
  </cols>
  <sheetData>
    <row r="1" spans="1:35" ht="6.75" customHeight="1">
      <c r="A1" s="33" t="s">
        <v>35</v>
      </c>
      <c r="B1" s="431"/>
      <c r="C1" s="34"/>
      <c r="D1" s="34"/>
      <c r="E1"/>
      <c r="F1" s="33"/>
      <c r="I1" s="437"/>
      <c r="J1" s="189"/>
      <c r="K1" s="35"/>
      <c r="L1" s="36"/>
      <c r="M1" s="37"/>
      <c r="N1" s="428"/>
      <c r="O1" s="38"/>
      <c r="P1" s="38"/>
      <c r="Q1" s="36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</row>
    <row r="2" spans="1:35" ht="14.25" customHeight="1" thickBot="1">
      <c r="A2" s="33"/>
      <c r="B2" s="80"/>
      <c r="E2"/>
      <c r="I2" s="438"/>
      <c r="J2" s="323"/>
      <c r="K2" s="324"/>
      <c r="L2" s="325" t="s">
        <v>36</v>
      </c>
      <c r="M2" s="322"/>
      <c r="N2" s="432" t="s">
        <v>200</v>
      </c>
      <c r="O2" s="433"/>
      <c r="P2" s="433"/>
      <c r="Q2" s="36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</row>
    <row r="3" spans="1:35" ht="14.25" customHeight="1" thickBot="1">
      <c r="A3" s="33"/>
      <c r="B3" s="80"/>
      <c r="E3" s="550" t="s">
        <v>37</v>
      </c>
      <c r="F3" s="551"/>
      <c r="G3" s="39">
        <f ca="1">YEAR((TODAY()-31))</f>
        <v>2026</v>
      </c>
      <c r="H3" s="523" t="str">
        <f ca="1">TEXT(DATE(YEAR(TODAY()),MONTH(TODAY())-1,1),"mmmm")</f>
        <v>maio</v>
      </c>
      <c r="I3" s="439" t="s">
        <v>38</v>
      </c>
      <c r="J3" s="319">
        <f ca="1">SUMIFS($J:$J,$O:$O,$H$3)</f>
        <v>1637.92</v>
      </c>
      <c r="K3" s="326">
        <f ca="1">SUMIFS(K:K,O:O,H3)</f>
        <v>1637.92</v>
      </c>
      <c r="L3" s="320" t="str">
        <f ca="1">IF(M3=(SUMIFS('📈Det. Resultados'!$7:$7,'📈Det. Resultados'!$3:$3,H3,'📈Det. Resultados'!$2:$2,G3)),"OK","ERRO")</f>
        <v>ERRO</v>
      </c>
      <c r="M3" s="321">
        <f ca="1">SUMIFS(M:M,O:O,H3)</f>
        <v>1637.92</v>
      </c>
      <c r="N3" s="434" t="s">
        <v>198</v>
      </c>
      <c r="O3" s="435">
        <v>46174</v>
      </c>
      <c r="P3" s="436">
        <f>SUMIFS(K7:K8183,'📋 Despesas'!N7:N8183,"&gt;="&amp;O3,'📋 Despesas'!N7:N8183,"&lt;="&amp;O4)</f>
        <v>3620</v>
      </c>
      <c r="Q3" s="364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</row>
    <row r="4" spans="1:35" ht="18" customHeight="1" thickBot="1">
      <c r="A4" s="33"/>
      <c r="B4" s="33"/>
      <c r="E4" s="337" t="str">
        <f>'💰Fluxo de Pagamentos'!B3</f>
        <v>HOJE</v>
      </c>
      <c r="F4" s="336">
        <f ca="1">'💰Fluxo de Pagamentos'!C3</f>
        <v>0</v>
      </c>
      <c r="G4" s="39">
        <f ca="1">YEAR((TODAY()))</f>
        <v>2026</v>
      </c>
      <c r="H4" s="523" t="str">
        <f ca="1">TEXT(TODAY(),"mmmm")</f>
        <v>junho</v>
      </c>
      <c r="I4" s="440" t="s">
        <v>39</v>
      </c>
      <c r="J4" s="332">
        <f ca="1">SUMIFS($J7:$J17825,$O7:$O17825,$H4)</f>
        <v>4430.0300000000007</v>
      </c>
      <c r="K4" s="333">
        <f ca="1">SUMIFS(K:K,O:O,H4)</f>
        <v>3620</v>
      </c>
      <c r="L4" s="334" t="str">
        <f ca="1">IF(M4=(SUMIFS('📈Det. Resultados'!$7:$7,'📈Det. Resultados'!$3:$3,H4)),"OK","ERRO")</f>
        <v>ERRO</v>
      </c>
      <c r="M4" s="335">
        <f ca="1">SUMIFS(M:M,O:O,H4)</f>
        <v>4430.0300000000007</v>
      </c>
      <c r="N4" s="434" t="s">
        <v>199</v>
      </c>
      <c r="O4" s="435">
        <v>46203</v>
      </c>
      <c r="P4" s="433"/>
      <c r="Q4" s="36"/>
      <c r="R4" s="191"/>
      <c r="S4" s="33"/>
      <c r="T4" s="33"/>
      <c r="U4" s="38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</row>
    <row r="5" spans="1:35" ht="21" customHeight="1" thickBot="1">
      <c r="A5" s="40"/>
      <c r="B5" s="431"/>
      <c r="C5" s="41"/>
      <c r="D5" s="41"/>
      <c r="E5" s="41"/>
      <c r="F5" s="41"/>
      <c r="G5" s="41"/>
      <c r="H5" s="329"/>
      <c r="I5" s="441" t="s">
        <v>4</v>
      </c>
      <c r="J5" s="327">
        <f ca="1">J4</f>
        <v>4430.0300000000007</v>
      </c>
      <c r="K5" s="331">
        <f>SUM(K7:K17825)</f>
        <v>9947.92</v>
      </c>
      <c r="L5" s="328"/>
      <c r="M5" s="330">
        <f>SUBTOTAL(9,J7:J17825)</f>
        <v>10757.95</v>
      </c>
      <c r="N5" s="429"/>
      <c r="O5" s="313"/>
      <c r="P5" s="313"/>
      <c r="Q5" s="36"/>
      <c r="R5" s="42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</row>
    <row r="6" spans="1:35" ht="17.25" customHeight="1">
      <c r="A6" s="238"/>
      <c r="B6" s="430" t="s">
        <v>40</v>
      </c>
      <c r="C6" s="43" t="s">
        <v>41</v>
      </c>
      <c r="D6" s="43" t="s">
        <v>42</v>
      </c>
      <c r="E6" s="43" t="s">
        <v>43</v>
      </c>
      <c r="F6" s="239" t="s">
        <v>44</v>
      </c>
      <c r="G6" s="240" t="s">
        <v>218</v>
      </c>
      <c r="H6" s="241" t="s">
        <v>45</v>
      </c>
      <c r="I6" s="442" t="s">
        <v>46</v>
      </c>
      <c r="J6" s="190" t="s">
        <v>4</v>
      </c>
      <c r="K6" s="403" t="s">
        <v>47</v>
      </c>
      <c r="L6" s="43" t="s">
        <v>48</v>
      </c>
      <c r="M6" s="44" t="s">
        <v>49</v>
      </c>
      <c r="N6" s="430" t="s">
        <v>50</v>
      </c>
      <c r="O6" s="314" t="s">
        <v>51</v>
      </c>
      <c r="P6" s="314" t="s">
        <v>52</v>
      </c>
      <c r="Q6" s="43" t="s">
        <v>53</v>
      </c>
      <c r="R6" s="443" t="s">
        <v>202</v>
      </c>
      <c r="S6" s="238"/>
      <c r="T6" s="238"/>
      <c r="U6" s="238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</row>
    <row r="7" spans="1:35" ht="15" customHeight="1">
      <c r="B7" s="220">
        <v>46143</v>
      </c>
      <c r="C7" s="46" t="str">
        <f t="shared" ref="C7:C67" si="0">IF(B7&lt;&gt;"",PROPER(TEXT(B7,"mmmm")),"")</f>
        <v>Maio</v>
      </c>
      <c r="D7" t="str">
        <f t="shared" ref="D7:D67" si="1">IF(B7&lt;&gt;"",TEXT(B7,"aaaa"),"")</f>
        <v>2026</v>
      </c>
      <c r="E7" s="407" t="s">
        <v>222</v>
      </c>
      <c r="F7" s="188" t="s">
        <v>211</v>
      </c>
      <c r="G7" s="407" t="s">
        <v>55</v>
      </c>
      <c r="H7" s="407" t="s">
        <v>32</v>
      </c>
      <c r="I7" s="406">
        <v>187</v>
      </c>
      <c r="J7" s="406">
        <v>202.44</v>
      </c>
      <c r="K7" s="404">
        <v>0</v>
      </c>
      <c r="L7" s="46" t="s">
        <v>28</v>
      </c>
      <c r="M7" s="242">
        <f t="shared" ref="M7:M69" si="2">J7</f>
        <v>202.44</v>
      </c>
      <c r="N7" s="220">
        <v>46184</v>
      </c>
      <c r="O7" s="315" t="str">
        <f t="shared" ref="O7:O67" si="3">IF(N7&lt;&gt;"",TEXT(N7,"mmmm"),"")</f>
        <v>junho</v>
      </c>
      <c r="P7" t="str">
        <f t="shared" ref="P7:P67" si="4">IF(N7&lt;&gt;"",TEXT(N7,"aaaa"),"")</f>
        <v>2026</v>
      </c>
      <c r="Q7" s="46" t="str">
        <f t="shared" ref="Q7:Q68" si="5">IF(J7=0,"",IF(K7=0,"PAGO","A PAGAR"))</f>
        <v>PAGO</v>
      </c>
      <c r="R7" s="218" t="str">
        <f t="shared" ref="R7:R36" ca="1" si="6">IF(Q7="PAGO", "✓ OK", IF(Q7="A PAGAR", IF(N7&lt;TODAY(), "⚠ EM ATRASO", "EM DIA"), ""))</f>
        <v>✓ OK</v>
      </c>
    </row>
    <row r="8" spans="1:35" ht="15" customHeight="1">
      <c r="B8" s="220">
        <v>46143</v>
      </c>
      <c r="C8" s="46" t="str">
        <f t="shared" ref="C8" si="7">IF(B8&lt;&gt;"",PROPER(TEXT(B8,"mmmm")),"")</f>
        <v>Maio</v>
      </c>
      <c r="D8" t="str">
        <f t="shared" ref="D8" si="8">IF(B8&lt;&gt;"",TEXT(B8,"aaaa"),"")</f>
        <v>2026</v>
      </c>
      <c r="E8" s="407" t="s">
        <v>24</v>
      </c>
      <c r="F8" s="188" t="s">
        <v>24</v>
      </c>
      <c r="G8" s="407" t="s">
        <v>217</v>
      </c>
      <c r="H8" s="407" t="s">
        <v>29</v>
      </c>
      <c r="I8" s="406">
        <v>1637.92</v>
      </c>
      <c r="J8" s="406">
        <f t="shared" ref="J8" si="9">I8</f>
        <v>1637.92</v>
      </c>
      <c r="K8" s="404">
        <f t="shared" ref="K8" si="10">J8</f>
        <v>1637.92</v>
      </c>
      <c r="L8" s="46" t="s">
        <v>28</v>
      </c>
      <c r="M8" s="242">
        <f t="shared" ref="M8" si="11">J8</f>
        <v>1637.92</v>
      </c>
      <c r="N8" s="220">
        <v>46147</v>
      </c>
      <c r="O8" s="315" t="str">
        <f t="shared" ref="O8" si="12">IF(N8&lt;&gt;"",TEXT(N8,"mmmm"),"")</f>
        <v>maio</v>
      </c>
      <c r="P8" t="str">
        <f t="shared" ref="P8" si="13">IF(N8&lt;&gt;"",TEXT(N8,"aaaa"),"")</f>
        <v>2026</v>
      </c>
      <c r="Q8" s="46" t="str">
        <f t="shared" ref="Q8" si="14">IF(J8=0,"",IF(K8=0,"PAGO","A PAGAR"))</f>
        <v>A PAGAR</v>
      </c>
      <c r="R8" s="218" t="str">
        <f t="shared" ca="1" si="6"/>
        <v>⚠ EM ATRASO</v>
      </c>
    </row>
    <row r="9" spans="1:35" ht="15" customHeight="1">
      <c r="B9" s="220">
        <v>46174</v>
      </c>
      <c r="C9" s="46" t="str">
        <f t="shared" si="0"/>
        <v>Junho</v>
      </c>
      <c r="D9" t="str">
        <f t="shared" si="1"/>
        <v>2026</v>
      </c>
      <c r="E9" s="407" t="s">
        <v>222</v>
      </c>
      <c r="F9" s="188" t="s">
        <v>211</v>
      </c>
      <c r="G9" s="407" t="s">
        <v>55</v>
      </c>
      <c r="H9" s="407" t="s">
        <v>32</v>
      </c>
      <c r="I9" s="406">
        <v>330</v>
      </c>
      <c r="J9" s="406">
        <f t="shared" ref="J9:K68" si="15">I9</f>
        <v>330</v>
      </c>
      <c r="K9" s="404">
        <v>0</v>
      </c>
      <c r="L9" s="46" t="s">
        <v>28</v>
      </c>
      <c r="M9" s="242">
        <f t="shared" si="2"/>
        <v>330</v>
      </c>
      <c r="N9" s="220">
        <v>46192</v>
      </c>
      <c r="O9" s="315" t="str">
        <f t="shared" si="3"/>
        <v>junho</v>
      </c>
      <c r="P9" t="str">
        <f t="shared" si="4"/>
        <v>2026</v>
      </c>
      <c r="Q9" s="46" t="str">
        <f t="shared" si="5"/>
        <v>PAGO</v>
      </c>
      <c r="R9" s="218" t="str">
        <f t="shared" ca="1" si="6"/>
        <v>✓ OK</v>
      </c>
    </row>
    <row r="10" spans="1:35" ht="15" customHeight="1">
      <c r="B10" s="220">
        <v>46174</v>
      </c>
      <c r="C10" s="46" t="str">
        <f t="shared" si="0"/>
        <v>Junho</v>
      </c>
      <c r="D10" t="str">
        <f t="shared" si="1"/>
        <v>2026</v>
      </c>
      <c r="E10" s="407" t="s">
        <v>24</v>
      </c>
      <c r="F10" s="188" t="s">
        <v>24</v>
      </c>
      <c r="G10" s="407" t="s">
        <v>217</v>
      </c>
      <c r="H10" s="407" t="s">
        <v>29</v>
      </c>
      <c r="I10" s="406">
        <f>3000-330</f>
        <v>2670</v>
      </c>
      <c r="J10" s="406">
        <f t="shared" si="15"/>
        <v>2670</v>
      </c>
      <c r="K10" s="404">
        <f t="shared" si="15"/>
        <v>2670</v>
      </c>
      <c r="L10" s="46" t="s">
        <v>28</v>
      </c>
      <c r="M10" s="242">
        <f t="shared" si="2"/>
        <v>2670</v>
      </c>
      <c r="N10" s="220">
        <v>46178</v>
      </c>
      <c r="O10" s="315" t="str">
        <f t="shared" si="3"/>
        <v>junho</v>
      </c>
      <c r="P10" t="str">
        <f t="shared" si="4"/>
        <v>2026</v>
      </c>
      <c r="Q10" s="46" t="str">
        <f t="shared" si="5"/>
        <v>A PAGAR</v>
      </c>
      <c r="R10" s="218" t="str">
        <f t="shared" ca="1" si="6"/>
        <v>⚠ EM ATRASO</v>
      </c>
    </row>
    <row r="11" spans="1:35" ht="15" customHeight="1">
      <c r="B11" s="408">
        <v>46204</v>
      </c>
      <c r="C11" s="46" t="str">
        <f t="shared" si="0"/>
        <v>Julho</v>
      </c>
      <c r="D11" t="str">
        <f t="shared" si="1"/>
        <v>2026</v>
      </c>
      <c r="E11" s="407" t="s">
        <v>54</v>
      </c>
      <c r="F11" s="188" t="s">
        <v>54</v>
      </c>
      <c r="G11" s="407" t="s">
        <v>223</v>
      </c>
      <c r="H11" s="407" t="s">
        <v>29</v>
      </c>
      <c r="I11" s="406">
        <v>590</v>
      </c>
      <c r="J11" s="406">
        <f t="shared" si="15"/>
        <v>590</v>
      </c>
      <c r="K11" s="404">
        <f t="shared" si="15"/>
        <v>590</v>
      </c>
      <c r="L11" s="46" t="s">
        <v>28</v>
      </c>
      <c r="M11" s="242">
        <f t="shared" si="2"/>
        <v>590</v>
      </c>
      <c r="N11" s="220">
        <v>46213</v>
      </c>
      <c r="O11" s="315" t="str">
        <f t="shared" si="3"/>
        <v>julho</v>
      </c>
      <c r="P11" t="str">
        <f t="shared" si="4"/>
        <v>2026</v>
      </c>
      <c r="Q11" s="46" t="str">
        <f t="shared" si="5"/>
        <v>A PAGAR</v>
      </c>
      <c r="R11" s="218" t="str">
        <f t="shared" ca="1" si="6"/>
        <v>EM DIA</v>
      </c>
    </row>
    <row r="12" spans="1:35" ht="15" customHeight="1">
      <c r="B12" s="220">
        <v>46181</v>
      </c>
      <c r="C12" s="46" t="str">
        <f t="shared" si="0"/>
        <v>Junho</v>
      </c>
      <c r="D12" t="str">
        <f t="shared" si="1"/>
        <v>2026</v>
      </c>
      <c r="E12" s="407" t="s">
        <v>221</v>
      </c>
      <c r="F12" s="188" t="s">
        <v>54</v>
      </c>
      <c r="G12" s="407" t="s">
        <v>223</v>
      </c>
      <c r="H12" s="407" t="s">
        <v>30</v>
      </c>
      <c r="I12" s="406">
        <v>950</v>
      </c>
      <c r="J12" s="406">
        <f t="shared" si="15"/>
        <v>950</v>
      </c>
      <c r="K12" s="404">
        <f t="shared" si="15"/>
        <v>950</v>
      </c>
      <c r="L12" s="46" t="s">
        <v>33</v>
      </c>
      <c r="M12" s="242">
        <f t="shared" si="2"/>
        <v>950</v>
      </c>
      <c r="N12" s="220">
        <v>46203</v>
      </c>
      <c r="O12" s="315" t="str">
        <f t="shared" si="3"/>
        <v>junho</v>
      </c>
      <c r="P12" t="str">
        <f t="shared" si="4"/>
        <v>2026</v>
      </c>
      <c r="Q12" s="46" t="str">
        <f t="shared" si="5"/>
        <v>A PAGAR</v>
      </c>
      <c r="R12" s="218" t="str">
        <f t="shared" ca="1" si="6"/>
        <v>EM DIA</v>
      </c>
    </row>
    <row r="13" spans="1:35" ht="15" customHeight="1">
      <c r="B13" s="220">
        <v>46187</v>
      </c>
      <c r="C13" s="46" t="str">
        <f t="shared" si="0"/>
        <v>Junho</v>
      </c>
      <c r="D13" t="str">
        <f t="shared" si="1"/>
        <v>2026</v>
      </c>
      <c r="E13" s="407" t="s">
        <v>230</v>
      </c>
      <c r="F13" s="188" t="s">
        <v>226</v>
      </c>
      <c r="G13" s="407" t="s">
        <v>227</v>
      </c>
      <c r="H13" s="407" t="s">
        <v>30</v>
      </c>
      <c r="I13" s="406">
        <v>106</v>
      </c>
      <c r="J13" s="406">
        <f t="shared" si="15"/>
        <v>106</v>
      </c>
      <c r="K13" s="404">
        <v>0</v>
      </c>
      <c r="L13" s="46" t="s">
        <v>28</v>
      </c>
      <c r="M13" s="242">
        <f t="shared" si="2"/>
        <v>106</v>
      </c>
      <c r="N13" s="220">
        <v>46187</v>
      </c>
      <c r="O13" s="315" t="str">
        <f t="shared" si="3"/>
        <v>junho</v>
      </c>
      <c r="P13" t="str">
        <f t="shared" si="4"/>
        <v>2026</v>
      </c>
      <c r="Q13" s="46" t="str">
        <f t="shared" si="5"/>
        <v>PAGO</v>
      </c>
      <c r="R13" s="218" t="str">
        <f t="shared" ca="1" si="6"/>
        <v>✓ OK</v>
      </c>
    </row>
    <row r="14" spans="1:35" ht="15" customHeight="1">
      <c r="B14" s="220">
        <v>46187</v>
      </c>
      <c r="C14" s="46" t="str">
        <f t="shared" si="0"/>
        <v>Junho</v>
      </c>
      <c r="D14" t="str">
        <f t="shared" si="1"/>
        <v>2026</v>
      </c>
      <c r="E14" s="407" t="s">
        <v>228</v>
      </c>
      <c r="F14" s="188" t="s">
        <v>226</v>
      </c>
      <c r="G14" s="407" t="s">
        <v>229</v>
      </c>
      <c r="H14" s="407" t="s">
        <v>30</v>
      </c>
      <c r="I14" s="406">
        <v>171.59</v>
      </c>
      <c r="J14" s="406">
        <f t="shared" si="15"/>
        <v>171.59</v>
      </c>
      <c r="K14" s="404">
        <v>0</v>
      </c>
      <c r="L14" s="46" t="s">
        <v>28</v>
      </c>
      <c r="M14" s="242">
        <f t="shared" si="2"/>
        <v>171.59</v>
      </c>
      <c r="N14" s="220">
        <v>46187</v>
      </c>
      <c r="O14" s="315" t="str">
        <f t="shared" si="3"/>
        <v>junho</v>
      </c>
      <c r="P14" t="str">
        <f t="shared" si="4"/>
        <v>2026</v>
      </c>
      <c r="Q14" s="46" t="str">
        <f t="shared" si="5"/>
        <v>PAGO</v>
      </c>
      <c r="R14" s="218" t="str">
        <f t="shared" ca="1" si="6"/>
        <v>✓ OK</v>
      </c>
    </row>
    <row r="15" spans="1:35" ht="15" customHeight="1">
      <c r="B15" s="408">
        <v>46204</v>
      </c>
      <c r="C15" s="46" t="str">
        <f t="shared" si="0"/>
        <v>Julho</v>
      </c>
      <c r="D15" t="str">
        <f t="shared" si="1"/>
        <v>2026</v>
      </c>
      <c r="E15" s="407" t="s">
        <v>24</v>
      </c>
      <c r="F15" s="188" t="s">
        <v>24</v>
      </c>
      <c r="G15" s="407" t="s">
        <v>217</v>
      </c>
      <c r="H15" s="407" t="s">
        <v>29</v>
      </c>
      <c r="I15" s="406">
        <f>3500-I16</f>
        <v>3115</v>
      </c>
      <c r="J15" s="406">
        <f t="shared" si="15"/>
        <v>3115</v>
      </c>
      <c r="K15" s="404">
        <f t="shared" si="15"/>
        <v>3115</v>
      </c>
      <c r="L15" s="46" t="s">
        <v>28</v>
      </c>
      <c r="M15" s="242">
        <f t="shared" si="2"/>
        <v>3115</v>
      </c>
      <c r="N15" s="220">
        <v>46208</v>
      </c>
      <c r="O15" s="315" t="str">
        <f t="shared" si="3"/>
        <v>julho</v>
      </c>
      <c r="P15" t="str">
        <f t="shared" si="4"/>
        <v>2026</v>
      </c>
      <c r="Q15" s="46" t="str">
        <f t="shared" si="5"/>
        <v>A PAGAR</v>
      </c>
      <c r="R15" s="218" t="str">
        <f t="shared" ca="1" si="6"/>
        <v>EM DIA</v>
      </c>
    </row>
    <row r="16" spans="1:35" ht="15" customHeight="1">
      <c r="B16" s="220">
        <v>46204</v>
      </c>
      <c r="C16" s="46" t="str">
        <f t="shared" si="0"/>
        <v>Julho</v>
      </c>
      <c r="D16" t="str">
        <f t="shared" si="1"/>
        <v>2026</v>
      </c>
      <c r="E16" s="407" t="s">
        <v>222</v>
      </c>
      <c r="F16" s="188" t="s">
        <v>211</v>
      </c>
      <c r="G16" s="407" t="s">
        <v>55</v>
      </c>
      <c r="H16" s="407" t="s">
        <v>29</v>
      </c>
      <c r="I16" s="406">
        <v>385</v>
      </c>
      <c r="J16" s="406">
        <f t="shared" si="15"/>
        <v>385</v>
      </c>
      <c r="K16" s="404">
        <f t="shared" si="15"/>
        <v>385</v>
      </c>
      <c r="L16" s="46" t="s">
        <v>28</v>
      </c>
      <c r="M16" s="242">
        <f t="shared" si="2"/>
        <v>385</v>
      </c>
      <c r="N16" s="220">
        <v>46223</v>
      </c>
      <c r="O16" s="315" t="str">
        <f t="shared" si="3"/>
        <v>julho</v>
      </c>
      <c r="P16" t="str">
        <f t="shared" si="4"/>
        <v>2026</v>
      </c>
      <c r="Q16" s="46" t="str">
        <f t="shared" si="5"/>
        <v>A PAGAR</v>
      </c>
      <c r="R16" s="218" t="str">
        <f t="shared" ca="1" si="6"/>
        <v>EM DIA</v>
      </c>
    </row>
    <row r="17" spans="2:18" ht="15" customHeight="1">
      <c r="B17" s="220">
        <v>46204</v>
      </c>
      <c r="C17" s="46" t="str">
        <f t="shared" si="0"/>
        <v>Julho</v>
      </c>
      <c r="D17" t="str">
        <f t="shared" si="1"/>
        <v>2026</v>
      </c>
      <c r="E17" s="407" t="s">
        <v>231</v>
      </c>
      <c r="F17" s="188" t="s">
        <v>231</v>
      </c>
      <c r="G17" s="407" t="s">
        <v>55</v>
      </c>
      <c r="H17" s="407" t="s">
        <v>29</v>
      </c>
      <c r="I17" s="406">
        <v>600</v>
      </c>
      <c r="J17" s="406">
        <f t="shared" si="15"/>
        <v>600</v>
      </c>
      <c r="K17" s="404">
        <f t="shared" si="15"/>
        <v>600</v>
      </c>
      <c r="L17" s="46" t="s">
        <v>28</v>
      </c>
      <c r="M17" s="242">
        <f t="shared" si="2"/>
        <v>600</v>
      </c>
      <c r="N17" s="220">
        <v>46223</v>
      </c>
      <c r="O17" s="315" t="str">
        <f t="shared" si="3"/>
        <v>julho</v>
      </c>
      <c r="P17" t="str">
        <f t="shared" si="4"/>
        <v>2026</v>
      </c>
      <c r="Q17" s="46" t="str">
        <f t="shared" si="5"/>
        <v>A PAGAR</v>
      </c>
      <c r="R17" s="218" t="str">
        <f t="shared" ca="1" si="6"/>
        <v>EM DIA</v>
      </c>
    </row>
    <row r="18" spans="2:18" ht="15" customHeight="1">
      <c r="C18" s="46" t="str">
        <f t="shared" si="0"/>
        <v/>
      </c>
      <c r="D18" t="str">
        <f t="shared" si="1"/>
        <v/>
      </c>
      <c r="F18" s="188"/>
      <c r="J18" s="406">
        <f t="shared" si="15"/>
        <v>0</v>
      </c>
      <c r="K18" s="404">
        <f t="shared" si="15"/>
        <v>0</v>
      </c>
      <c r="L18" s="46"/>
      <c r="M18" s="242">
        <f t="shared" si="2"/>
        <v>0</v>
      </c>
      <c r="O18" s="315" t="str">
        <f t="shared" si="3"/>
        <v/>
      </c>
      <c r="P18" t="str">
        <f t="shared" si="4"/>
        <v/>
      </c>
      <c r="Q18" s="46" t="str">
        <f t="shared" si="5"/>
        <v/>
      </c>
      <c r="R18" s="218" t="str">
        <f t="shared" ca="1" si="6"/>
        <v/>
      </c>
    </row>
    <row r="19" spans="2:18" ht="15" customHeight="1">
      <c r="C19" s="46" t="str">
        <f t="shared" si="0"/>
        <v/>
      </c>
      <c r="D19" t="str">
        <f t="shared" si="1"/>
        <v/>
      </c>
      <c r="F19" s="188"/>
      <c r="J19" s="406">
        <f t="shared" si="15"/>
        <v>0</v>
      </c>
      <c r="K19" s="404">
        <f t="shared" si="15"/>
        <v>0</v>
      </c>
      <c r="L19" s="46"/>
      <c r="M19" s="242">
        <f t="shared" si="2"/>
        <v>0</v>
      </c>
      <c r="O19" s="315" t="str">
        <f t="shared" si="3"/>
        <v/>
      </c>
      <c r="P19" t="str">
        <f t="shared" si="4"/>
        <v/>
      </c>
      <c r="Q19" s="46" t="str">
        <f t="shared" si="5"/>
        <v/>
      </c>
      <c r="R19" s="218" t="str">
        <f t="shared" ca="1" si="6"/>
        <v/>
      </c>
    </row>
    <row r="20" spans="2:18" ht="15" customHeight="1">
      <c r="C20" s="46" t="str">
        <f t="shared" si="0"/>
        <v/>
      </c>
      <c r="D20" t="str">
        <f t="shared" si="1"/>
        <v/>
      </c>
      <c r="F20" s="188"/>
      <c r="J20" s="406">
        <f t="shared" si="15"/>
        <v>0</v>
      </c>
      <c r="K20" s="404">
        <f t="shared" si="15"/>
        <v>0</v>
      </c>
      <c r="L20" s="46"/>
      <c r="M20" s="242">
        <f t="shared" si="2"/>
        <v>0</v>
      </c>
      <c r="O20" s="315" t="str">
        <f t="shared" si="3"/>
        <v/>
      </c>
      <c r="P20" t="str">
        <f t="shared" si="4"/>
        <v/>
      </c>
      <c r="Q20" s="46" t="str">
        <f t="shared" si="5"/>
        <v/>
      </c>
      <c r="R20" s="218" t="str">
        <f t="shared" ca="1" si="6"/>
        <v/>
      </c>
    </row>
    <row r="21" spans="2:18" ht="15" customHeight="1">
      <c r="C21" s="46" t="str">
        <f t="shared" si="0"/>
        <v/>
      </c>
      <c r="D21" t="str">
        <f t="shared" si="1"/>
        <v/>
      </c>
      <c r="F21" s="188"/>
      <c r="J21" s="406">
        <f t="shared" si="15"/>
        <v>0</v>
      </c>
      <c r="K21" s="404">
        <f t="shared" si="15"/>
        <v>0</v>
      </c>
      <c r="L21" s="46"/>
      <c r="M21" s="242">
        <f t="shared" si="2"/>
        <v>0</v>
      </c>
      <c r="O21" s="315" t="str">
        <f t="shared" si="3"/>
        <v/>
      </c>
      <c r="P21" t="str">
        <f t="shared" si="4"/>
        <v/>
      </c>
      <c r="Q21" s="46" t="str">
        <f t="shared" si="5"/>
        <v/>
      </c>
      <c r="R21" s="218" t="str">
        <f t="shared" ca="1" si="6"/>
        <v/>
      </c>
    </row>
    <row r="22" spans="2:18" ht="15" customHeight="1">
      <c r="C22" s="46" t="str">
        <f t="shared" si="0"/>
        <v/>
      </c>
      <c r="D22" t="str">
        <f t="shared" si="1"/>
        <v/>
      </c>
      <c r="F22" s="188"/>
      <c r="J22" s="406">
        <f t="shared" si="15"/>
        <v>0</v>
      </c>
      <c r="K22" s="404">
        <f t="shared" si="15"/>
        <v>0</v>
      </c>
      <c r="L22" s="46"/>
      <c r="M22" s="242">
        <f t="shared" si="2"/>
        <v>0</v>
      </c>
      <c r="O22" s="315" t="str">
        <f t="shared" si="3"/>
        <v/>
      </c>
      <c r="P22" t="str">
        <f t="shared" si="4"/>
        <v/>
      </c>
      <c r="Q22" s="46" t="str">
        <f t="shared" si="5"/>
        <v/>
      </c>
      <c r="R22" s="218" t="str">
        <f t="shared" ca="1" si="6"/>
        <v/>
      </c>
    </row>
    <row r="23" spans="2:18" ht="15" customHeight="1">
      <c r="C23" s="46" t="str">
        <f t="shared" si="0"/>
        <v/>
      </c>
      <c r="D23" t="str">
        <f t="shared" si="1"/>
        <v/>
      </c>
      <c r="F23" s="188"/>
      <c r="J23" s="406">
        <f t="shared" si="15"/>
        <v>0</v>
      </c>
      <c r="K23" s="404">
        <f t="shared" si="15"/>
        <v>0</v>
      </c>
      <c r="L23" s="46"/>
      <c r="M23" s="242">
        <f t="shared" si="2"/>
        <v>0</v>
      </c>
      <c r="O23" s="315" t="str">
        <f t="shared" si="3"/>
        <v/>
      </c>
      <c r="P23" t="str">
        <f t="shared" si="4"/>
        <v/>
      </c>
      <c r="Q23" s="46" t="str">
        <f t="shared" si="5"/>
        <v/>
      </c>
      <c r="R23" s="218" t="str">
        <f t="shared" ca="1" si="6"/>
        <v/>
      </c>
    </row>
    <row r="24" spans="2:18" ht="15" customHeight="1">
      <c r="C24" s="46" t="str">
        <f t="shared" si="0"/>
        <v/>
      </c>
      <c r="D24" t="str">
        <f t="shared" si="1"/>
        <v/>
      </c>
      <c r="F24" s="188"/>
      <c r="J24" s="406">
        <f t="shared" si="15"/>
        <v>0</v>
      </c>
      <c r="K24" s="404">
        <f t="shared" si="15"/>
        <v>0</v>
      </c>
      <c r="L24" s="46"/>
      <c r="M24" s="242">
        <f t="shared" si="2"/>
        <v>0</v>
      </c>
      <c r="O24" s="315" t="str">
        <f t="shared" si="3"/>
        <v/>
      </c>
      <c r="P24" t="str">
        <f t="shared" si="4"/>
        <v/>
      </c>
      <c r="Q24" s="46" t="str">
        <f t="shared" si="5"/>
        <v/>
      </c>
      <c r="R24" s="218" t="str">
        <f t="shared" ca="1" si="6"/>
        <v/>
      </c>
    </row>
    <row r="25" spans="2:18" ht="15" customHeight="1">
      <c r="C25" s="46" t="str">
        <f t="shared" si="0"/>
        <v/>
      </c>
      <c r="D25" t="str">
        <f t="shared" si="1"/>
        <v/>
      </c>
      <c r="F25" s="188"/>
      <c r="J25" s="406">
        <f t="shared" si="15"/>
        <v>0</v>
      </c>
      <c r="K25" s="404">
        <f t="shared" si="15"/>
        <v>0</v>
      </c>
      <c r="L25" s="46"/>
      <c r="M25" s="242">
        <f t="shared" si="2"/>
        <v>0</v>
      </c>
      <c r="O25" s="315" t="str">
        <f t="shared" si="3"/>
        <v/>
      </c>
      <c r="P25" t="str">
        <f t="shared" si="4"/>
        <v/>
      </c>
      <c r="Q25" s="46" t="str">
        <f t="shared" si="5"/>
        <v/>
      </c>
      <c r="R25" s="218" t="str">
        <f t="shared" ca="1" si="6"/>
        <v/>
      </c>
    </row>
    <row r="26" spans="2:18" ht="15" customHeight="1">
      <c r="C26" s="46" t="str">
        <f t="shared" si="0"/>
        <v/>
      </c>
      <c r="D26" t="str">
        <f t="shared" si="1"/>
        <v/>
      </c>
      <c r="F26" s="188"/>
      <c r="J26" s="406">
        <f t="shared" si="15"/>
        <v>0</v>
      </c>
      <c r="K26" s="404">
        <f t="shared" si="15"/>
        <v>0</v>
      </c>
      <c r="L26" s="46"/>
      <c r="M26" s="242">
        <f t="shared" si="2"/>
        <v>0</v>
      </c>
      <c r="O26" s="315" t="str">
        <f t="shared" si="3"/>
        <v/>
      </c>
      <c r="P26" t="str">
        <f t="shared" si="4"/>
        <v/>
      </c>
      <c r="Q26" s="46" t="str">
        <f t="shared" si="5"/>
        <v/>
      </c>
      <c r="R26" s="218" t="str">
        <f t="shared" ca="1" si="6"/>
        <v/>
      </c>
    </row>
    <row r="27" spans="2:18" ht="15" customHeight="1">
      <c r="C27" s="46" t="str">
        <f t="shared" si="0"/>
        <v/>
      </c>
      <c r="D27" t="str">
        <f t="shared" si="1"/>
        <v/>
      </c>
      <c r="F27" s="188"/>
      <c r="J27" s="406">
        <f t="shared" si="15"/>
        <v>0</v>
      </c>
      <c r="K27" s="404">
        <f t="shared" si="15"/>
        <v>0</v>
      </c>
      <c r="L27" s="46"/>
      <c r="M27" s="242">
        <f t="shared" si="2"/>
        <v>0</v>
      </c>
      <c r="O27" s="315" t="str">
        <f t="shared" si="3"/>
        <v/>
      </c>
      <c r="P27" t="str">
        <f t="shared" si="4"/>
        <v/>
      </c>
      <c r="Q27" s="46" t="str">
        <f t="shared" si="5"/>
        <v/>
      </c>
      <c r="R27" s="218" t="str">
        <f t="shared" ca="1" si="6"/>
        <v/>
      </c>
    </row>
    <row r="28" spans="2:18" ht="15" customHeight="1">
      <c r="C28" s="46" t="str">
        <f t="shared" si="0"/>
        <v/>
      </c>
      <c r="D28" t="str">
        <f t="shared" si="1"/>
        <v/>
      </c>
      <c r="F28" s="188"/>
      <c r="J28" s="406">
        <f t="shared" si="15"/>
        <v>0</v>
      </c>
      <c r="K28" s="404">
        <f t="shared" si="15"/>
        <v>0</v>
      </c>
      <c r="L28" s="46"/>
      <c r="M28" s="242">
        <f t="shared" si="2"/>
        <v>0</v>
      </c>
      <c r="O28" s="315" t="str">
        <f t="shared" si="3"/>
        <v/>
      </c>
      <c r="P28" t="str">
        <f t="shared" si="4"/>
        <v/>
      </c>
      <c r="Q28" s="46" t="str">
        <f t="shared" si="5"/>
        <v/>
      </c>
      <c r="R28" s="218" t="str">
        <f t="shared" ca="1" si="6"/>
        <v/>
      </c>
    </row>
    <row r="29" spans="2:18" ht="15" customHeight="1">
      <c r="C29" s="46" t="str">
        <f t="shared" si="0"/>
        <v/>
      </c>
      <c r="D29" t="str">
        <f t="shared" si="1"/>
        <v/>
      </c>
      <c r="F29" s="188"/>
      <c r="J29" s="406">
        <f t="shared" si="15"/>
        <v>0</v>
      </c>
      <c r="K29" s="404">
        <f t="shared" si="15"/>
        <v>0</v>
      </c>
      <c r="L29" s="46"/>
      <c r="M29" s="242">
        <f t="shared" si="2"/>
        <v>0</v>
      </c>
      <c r="O29" s="315" t="str">
        <f t="shared" si="3"/>
        <v/>
      </c>
      <c r="P29" t="str">
        <f t="shared" si="4"/>
        <v/>
      </c>
      <c r="Q29" s="46" t="str">
        <f t="shared" si="5"/>
        <v/>
      </c>
      <c r="R29" s="218" t="str">
        <f t="shared" ca="1" si="6"/>
        <v/>
      </c>
    </row>
    <row r="30" spans="2:18" ht="15" customHeight="1">
      <c r="C30" s="46" t="str">
        <f t="shared" si="0"/>
        <v/>
      </c>
      <c r="D30" t="str">
        <f t="shared" si="1"/>
        <v/>
      </c>
      <c r="F30" s="188"/>
      <c r="J30" s="406">
        <f t="shared" si="15"/>
        <v>0</v>
      </c>
      <c r="K30" s="404">
        <f t="shared" si="15"/>
        <v>0</v>
      </c>
      <c r="L30" s="46"/>
      <c r="M30" s="242">
        <f t="shared" si="2"/>
        <v>0</v>
      </c>
      <c r="O30" s="315" t="str">
        <f t="shared" si="3"/>
        <v/>
      </c>
      <c r="P30" t="str">
        <f t="shared" si="4"/>
        <v/>
      </c>
      <c r="Q30" s="46" t="str">
        <f t="shared" si="5"/>
        <v/>
      </c>
      <c r="R30" s="218" t="str">
        <f t="shared" ca="1" si="6"/>
        <v/>
      </c>
    </row>
    <row r="31" spans="2:18" ht="15" customHeight="1">
      <c r="C31" s="46" t="str">
        <f t="shared" si="0"/>
        <v/>
      </c>
      <c r="D31" t="str">
        <f t="shared" si="1"/>
        <v/>
      </c>
      <c r="F31" s="188"/>
      <c r="J31" s="406">
        <f t="shared" si="15"/>
        <v>0</v>
      </c>
      <c r="K31" s="404">
        <f t="shared" si="15"/>
        <v>0</v>
      </c>
      <c r="L31" s="46"/>
      <c r="M31" s="242">
        <f t="shared" si="2"/>
        <v>0</v>
      </c>
      <c r="O31" s="315" t="str">
        <f t="shared" si="3"/>
        <v/>
      </c>
      <c r="P31" t="str">
        <f t="shared" si="4"/>
        <v/>
      </c>
      <c r="Q31" s="46" t="str">
        <f t="shared" si="5"/>
        <v/>
      </c>
      <c r="R31" s="218" t="str">
        <f t="shared" ca="1" si="6"/>
        <v/>
      </c>
    </row>
    <row r="32" spans="2:18" ht="15" customHeight="1">
      <c r="C32" s="46" t="str">
        <f t="shared" si="0"/>
        <v/>
      </c>
      <c r="D32" t="str">
        <f t="shared" si="1"/>
        <v/>
      </c>
      <c r="F32" s="188"/>
      <c r="J32" s="406">
        <f t="shared" si="15"/>
        <v>0</v>
      </c>
      <c r="K32" s="404">
        <f t="shared" si="15"/>
        <v>0</v>
      </c>
      <c r="L32" s="46"/>
      <c r="M32" s="242">
        <f t="shared" si="2"/>
        <v>0</v>
      </c>
      <c r="O32" s="315" t="str">
        <f t="shared" si="3"/>
        <v/>
      </c>
      <c r="P32" t="str">
        <f t="shared" si="4"/>
        <v/>
      </c>
      <c r="Q32" s="46" t="str">
        <f t="shared" si="5"/>
        <v/>
      </c>
      <c r="R32" s="218" t="str">
        <f t="shared" ca="1" si="6"/>
        <v/>
      </c>
    </row>
    <row r="33" spans="3:18" ht="15" customHeight="1">
      <c r="C33" s="46" t="str">
        <f t="shared" si="0"/>
        <v/>
      </c>
      <c r="D33" t="str">
        <f t="shared" si="1"/>
        <v/>
      </c>
      <c r="F33" s="188"/>
      <c r="J33" s="406">
        <f t="shared" si="15"/>
        <v>0</v>
      </c>
      <c r="K33" s="404">
        <f t="shared" si="15"/>
        <v>0</v>
      </c>
      <c r="L33" s="46"/>
      <c r="M33" s="242">
        <f t="shared" si="2"/>
        <v>0</v>
      </c>
      <c r="O33" s="315" t="str">
        <f t="shared" si="3"/>
        <v/>
      </c>
      <c r="P33" t="str">
        <f t="shared" si="4"/>
        <v/>
      </c>
      <c r="Q33" s="46" t="str">
        <f t="shared" si="5"/>
        <v/>
      </c>
      <c r="R33" s="218" t="str">
        <f t="shared" ca="1" si="6"/>
        <v/>
      </c>
    </row>
    <row r="34" spans="3:18" ht="15" customHeight="1">
      <c r="C34" s="46" t="str">
        <f t="shared" si="0"/>
        <v/>
      </c>
      <c r="D34" t="str">
        <f t="shared" si="1"/>
        <v/>
      </c>
      <c r="F34" s="188"/>
      <c r="J34" s="406">
        <f t="shared" si="15"/>
        <v>0</v>
      </c>
      <c r="K34" s="404">
        <f t="shared" si="15"/>
        <v>0</v>
      </c>
      <c r="L34" s="46"/>
      <c r="M34" s="242">
        <f t="shared" si="2"/>
        <v>0</v>
      </c>
      <c r="O34" s="315" t="str">
        <f t="shared" si="3"/>
        <v/>
      </c>
      <c r="P34" t="str">
        <f t="shared" si="4"/>
        <v/>
      </c>
      <c r="Q34" s="46" t="str">
        <f t="shared" si="5"/>
        <v/>
      </c>
      <c r="R34" s="218" t="str">
        <f t="shared" ca="1" si="6"/>
        <v/>
      </c>
    </row>
    <row r="35" spans="3:18" ht="15" customHeight="1">
      <c r="C35" s="46" t="str">
        <f t="shared" si="0"/>
        <v/>
      </c>
      <c r="D35" t="str">
        <f t="shared" si="1"/>
        <v/>
      </c>
      <c r="F35" s="188"/>
      <c r="J35" s="406">
        <f t="shared" si="15"/>
        <v>0</v>
      </c>
      <c r="K35" s="404">
        <f t="shared" si="15"/>
        <v>0</v>
      </c>
      <c r="L35" s="46"/>
      <c r="M35" s="242">
        <f t="shared" si="2"/>
        <v>0</v>
      </c>
      <c r="O35" s="315" t="str">
        <f t="shared" si="3"/>
        <v/>
      </c>
      <c r="P35" t="str">
        <f t="shared" si="4"/>
        <v/>
      </c>
      <c r="Q35" s="46" t="str">
        <f t="shared" si="5"/>
        <v/>
      </c>
      <c r="R35" s="218" t="str">
        <f t="shared" ca="1" si="6"/>
        <v/>
      </c>
    </row>
    <row r="36" spans="3:18" ht="15" customHeight="1">
      <c r="C36" s="46" t="str">
        <f t="shared" si="0"/>
        <v/>
      </c>
      <c r="D36" t="str">
        <f t="shared" si="1"/>
        <v/>
      </c>
      <c r="F36" s="188"/>
      <c r="J36" s="406">
        <f t="shared" si="15"/>
        <v>0</v>
      </c>
      <c r="K36" s="404">
        <f t="shared" si="15"/>
        <v>0</v>
      </c>
      <c r="L36" s="46"/>
      <c r="M36" s="242">
        <f t="shared" si="2"/>
        <v>0</v>
      </c>
      <c r="O36" s="315" t="str">
        <f t="shared" si="3"/>
        <v/>
      </c>
      <c r="P36" t="str">
        <f t="shared" si="4"/>
        <v/>
      </c>
      <c r="Q36" s="46" t="str">
        <f t="shared" si="5"/>
        <v/>
      </c>
      <c r="R36" s="218" t="str">
        <f t="shared" ca="1" si="6"/>
        <v/>
      </c>
    </row>
    <row r="37" spans="3:18" ht="15" customHeight="1">
      <c r="C37" s="46" t="str">
        <f t="shared" si="0"/>
        <v/>
      </c>
      <c r="D37" t="str">
        <f t="shared" si="1"/>
        <v/>
      </c>
      <c r="F37" s="188"/>
      <c r="J37" s="406">
        <f t="shared" si="15"/>
        <v>0</v>
      </c>
      <c r="K37" s="404">
        <f t="shared" si="15"/>
        <v>0</v>
      </c>
      <c r="L37" s="46"/>
      <c r="M37" s="242">
        <f t="shared" si="2"/>
        <v>0</v>
      </c>
      <c r="O37" s="315" t="str">
        <f t="shared" si="3"/>
        <v/>
      </c>
      <c r="P37" t="str">
        <f t="shared" si="4"/>
        <v/>
      </c>
      <c r="Q37" s="46" t="str">
        <f t="shared" si="5"/>
        <v/>
      </c>
      <c r="R37" s="218" t="str">
        <f t="shared" ref="R37:R68" ca="1" si="16">IF(Q37="PAGO", "✓ OK", IF(Q37="A PAGAR", IF(N37&lt;TODAY(), "⚠ EM ATRASO", "EM DIA"), ""))</f>
        <v/>
      </c>
    </row>
    <row r="38" spans="3:18" ht="15" customHeight="1">
      <c r="C38" s="46" t="str">
        <f t="shared" si="0"/>
        <v/>
      </c>
      <c r="D38" t="str">
        <f t="shared" si="1"/>
        <v/>
      </c>
      <c r="F38" s="188"/>
      <c r="J38" s="406">
        <f t="shared" si="15"/>
        <v>0</v>
      </c>
      <c r="K38" s="404">
        <f t="shared" si="15"/>
        <v>0</v>
      </c>
      <c r="L38" s="46"/>
      <c r="M38" s="242">
        <f t="shared" si="2"/>
        <v>0</v>
      </c>
      <c r="O38" s="315" t="str">
        <f t="shared" si="3"/>
        <v/>
      </c>
      <c r="P38" t="str">
        <f t="shared" si="4"/>
        <v/>
      </c>
      <c r="Q38" s="46" t="str">
        <f t="shared" si="5"/>
        <v/>
      </c>
      <c r="R38" s="218" t="str">
        <f t="shared" ca="1" si="16"/>
        <v/>
      </c>
    </row>
    <row r="39" spans="3:18" ht="15" customHeight="1">
      <c r="C39" s="46" t="str">
        <f t="shared" si="0"/>
        <v/>
      </c>
      <c r="D39" t="str">
        <f t="shared" si="1"/>
        <v/>
      </c>
      <c r="F39" s="188"/>
      <c r="J39" s="406">
        <f t="shared" si="15"/>
        <v>0</v>
      </c>
      <c r="K39" s="404">
        <f t="shared" si="15"/>
        <v>0</v>
      </c>
      <c r="L39" s="46"/>
      <c r="M39" s="242">
        <f t="shared" si="2"/>
        <v>0</v>
      </c>
      <c r="O39" s="315" t="str">
        <f t="shared" si="3"/>
        <v/>
      </c>
      <c r="P39" t="str">
        <f t="shared" si="4"/>
        <v/>
      </c>
      <c r="Q39" s="46" t="str">
        <f t="shared" si="5"/>
        <v/>
      </c>
      <c r="R39" s="218" t="str">
        <f t="shared" ca="1" si="16"/>
        <v/>
      </c>
    </row>
    <row r="40" spans="3:18" ht="15" customHeight="1">
      <c r="C40" s="46" t="str">
        <f t="shared" si="0"/>
        <v/>
      </c>
      <c r="D40" t="str">
        <f t="shared" si="1"/>
        <v/>
      </c>
      <c r="F40" s="188"/>
      <c r="J40" s="406">
        <f t="shared" si="15"/>
        <v>0</v>
      </c>
      <c r="K40" s="404">
        <f t="shared" si="15"/>
        <v>0</v>
      </c>
      <c r="L40" s="46"/>
      <c r="M40" s="242">
        <f t="shared" si="2"/>
        <v>0</v>
      </c>
      <c r="O40" s="315" t="str">
        <f t="shared" si="3"/>
        <v/>
      </c>
      <c r="P40" t="str">
        <f t="shared" si="4"/>
        <v/>
      </c>
      <c r="Q40" s="46" t="str">
        <f t="shared" si="5"/>
        <v/>
      </c>
      <c r="R40" s="218" t="str">
        <f t="shared" ca="1" si="16"/>
        <v/>
      </c>
    </row>
    <row r="41" spans="3:18" ht="15" customHeight="1">
      <c r="C41" s="46" t="str">
        <f t="shared" si="0"/>
        <v/>
      </c>
      <c r="D41" t="str">
        <f t="shared" si="1"/>
        <v/>
      </c>
      <c r="F41" s="188"/>
      <c r="J41" s="406">
        <f t="shared" si="15"/>
        <v>0</v>
      </c>
      <c r="K41" s="404">
        <f t="shared" si="15"/>
        <v>0</v>
      </c>
      <c r="L41" s="46"/>
      <c r="M41" s="242">
        <f t="shared" si="2"/>
        <v>0</v>
      </c>
      <c r="O41" s="315" t="str">
        <f t="shared" si="3"/>
        <v/>
      </c>
      <c r="P41" t="str">
        <f t="shared" si="4"/>
        <v/>
      </c>
      <c r="Q41" s="46" t="str">
        <f t="shared" si="5"/>
        <v/>
      </c>
      <c r="R41" s="218" t="str">
        <f t="shared" ca="1" si="16"/>
        <v/>
      </c>
    </row>
    <row r="42" spans="3:18" ht="15" customHeight="1">
      <c r="C42" s="46" t="str">
        <f t="shared" si="0"/>
        <v/>
      </c>
      <c r="D42" t="str">
        <f t="shared" si="1"/>
        <v/>
      </c>
      <c r="F42" s="188"/>
      <c r="J42" s="406">
        <f t="shared" si="15"/>
        <v>0</v>
      </c>
      <c r="K42" s="404">
        <f t="shared" si="15"/>
        <v>0</v>
      </c>
      <c r="L42" s="46"/>
      <c r="M42" s="242">
        <f t="shared" si="2"/>
        <v>0</v>
      </c>
      <c r="O42" s="315" t="str">
        <f t="shared" si="3"/>
        <v/>
      </c>
      <c r="P42" t="str">
        <f t="shared" si="4"/>
        <v/>
      </c>
      <c r="Q42" s="46" t="str">
        <f t="shared" si="5"/>
        <v/>
      </c>
      <c r="R42" s="218" t="str">
        <f t="shared" ca="1" si="16"/>
        <v/>
      </c>
    </row>
    <row r="43" spans="3:18" ht="15" customHeight="1">
      <c r="C43" s="46" t="str">
        <f t="shared" si="0"/>
        <v/>
      </c>
      <c r="D43" t="str">
        <f t="shared" si="1"/>
        <v/>
      </c>
      <c r="F43" s="188"/>
      <c r="J43" s="406">
        <f t="shared" si="15"/>
        <v>0</v>
      </c>
      <c r="K43" s="404">
        <f t="shared" si="15"/>
        <v>0</v>
      </c>
      <c r="L43" s="46"/>
      <c r="M43" s="242">
        <f t="shared" si="2"/>
        <v>0</v>
      </c>
      <c r="O43" s="315" t="str">
        <f t="shared" si="3"/>
        <v/>
      </c>
      <c r="P43" t="str">
        <f t="shared" si="4"/>
        <v/>
      </c>
      <c r="Q43" s="46" t="str">
        <f t="shared" si="5"/>
        <v/>
      </c>
      <c r="R43" s="218" t="str">
        <f t="shared" ca="1" si="16"/>
        <v/>
      </c>
    </row>
    <row r="44" spans="3:18" ht="15" customHeight="1">
      <c r="C44" s="46" t="str">
        <f t="shared" si="0"/>
        <v/>
      </c>
      <c r="D44" t="str">
        <f t="shared" si="1"/>
        <v/>
      </c>
      <c r="F44" s="188"/>
      <c r="J44" s="406">
        <f t="shared" si="15"/>
        <v>0</v>
      </c>
      <c r="K44" s="404">
        <f t="shared" si="15"/>
        <v>0</v>
      </c>
      <c r="L44" s="46"/>
      <c r="M44" s="242">
        <f t="shared" si="2"/>
        <v>0</v>
      </c>
      <c r="O44" s="315" t="str">
        <f t="shared" si="3"/>
        <v/>
      </c>
      <c r="P44" t="str">
        <f t="shared" si="4"/>
        <v/>
      </c>
      <c r="Q44" s="46" t="str">
        <f t="shared" si="5"/>
        <v/>
      </c>
      <c r="R44" s="218" t="str">
        <f t="shared" ca="1" si="16"/>
        <v/>
      </c>
    </row>
    <row r="45" spans="3:18" ht="15" customHeight="1">
      <c r="C45" s="46" t="str">
        <f t="shared" si="0"/>
        <v/>
      </c>
      <c r="D45" t="str">
        <f t="shared" si="1"/>
        <v/>
      </c>
      <c r="F45" s="188"/>
      <c r="J45" s="406">
        <f t="shared" si="15"/>
        <v>0</v>
      </c>
      <c r="K45" s="404">
        <f t="shared" si="15"/>
        <v>0</v>
      </c>
      <c r="L45" s="46"/>
      <c r="M45" s="242">
        <f t="shared" si="2"/>
        <v>0</v>
      </c>
      <c r="O45" s="315" t="str">
        <f t="shared" si="3"/>
        <v/>
      </c>
      <c r="P45" t="str">
        <f t="shared" si="4"/>
        <v/>
      </c>
      <c r="Q45" s="46" t="str">
        <f t="shared" si="5"/>
        <v/>
      </c>
      <c r="R45" s="218" t="str">
        <f t="shared" ca="1" si="16"/>
        <v/>
      </c>
    </row>
    <row r="46" spans="3:18" ht="15" customHeight="1">
      <c r="C46" s="46" t="str">
        <f t="shared" si="0"/>
        <v/>
      </c>
      <c r="D46" t="str">
        <f t="shared" si="1"/>
        <v/>
      </c>
      <c r="F46" s="188"/>
      <c r="J46" s="406">
        <f t="shared" si="15"/>
        <v>0</v>
      </c>
      <c r="K46" s="404">
        <f t="shared" si="15"/>
        <v>0</v>
      </c>
      <c r="L46" s="46"/>
      <c r="M46" s="242">
        <f t="shared" si="2"/>
        <v>0</v>
      </c>
      <c r="O46" s="315" t="str">
        <f t="shared" si="3"/>
        <v/>
      </c>
      <c r="P46" t="str">
        <f t="shared" si="4"/>
        <v/>
      </c>
      <c r="Q46" s="46" t="str">
        <f t="shared" si="5"/>
        <v/>
      </c>
      <c r="R46" s="218" t="str">
        <f t="shared" ca="1" si="16"/>
        <v/>
      </c>
    </row>
    <row r="47" spans="3:18" ht="15" customHeight="1">
      <c r="C47" s="46" t="str">
        <f t="shared" si="0"/>
        <v/>
      </c>
      <c r="D47" t="str">
        <f t="shared" si="1"/>
        <v/>
      </c>
      <c r="F47" s="188"/>
      <c r="J47" s="406">
        <f t="shared" si="15"/>
        <v>0</v>
      </c>
      <c r="K47" s="404">
        <f t="shared" si="15"/>
        <v>0</v>
      </c>
      <c r="L47" s="46"/>
      <c r="M47" s="242">
        <f t="shared" si="2"/>
        <v>0</v>
      </c>
      <c r="O47" s="315" t="str">
        <f t="shared" si="3"/>
        <v/>
      </c>
      <c r="P47" t="str">
        <f t="shared" si="4"/>
        <v/>
      </c>
      <c r="Q47" s="46" t="str">
        <f t="shared" si="5"/>
        <v/>
      </c>
      <c r="R47" s="218" t="str">
        <f t="shared" ca="1" si="16"/>
        <v/>
      </c>
    </row>
    <row r="48" spans="3:18" ht="15" customHeight="1">
      <c r="C48" s="46" t="str">
        <f t="shared" si="0"/>
        <v/>
      </c>
      <c r="D48" t="str">
        <f t="shared" si="1"/>
        <v/>
      </c>
      <c r="F48" s="188"/>
      <c r="J48" s="406">
        <f t="shared" si="15"/>
        <v>0</v>
      </c>
      <c r="K48" s="404">
        <f t="shared" si="15"/>
        <v>0</v>
      </c>
      <c r="L48" s="46"/>
      <c r="M48" s="242">
        <f t="shared" si="2"/>
        <v>0</v>
      </c>
      <c r="O48" s="315" t="str">
        <f t="shared" si="3"/>
        <v/>
      </c>
      <c r="P48" t="str">
        <f t="shared" si="4"/>
        <v/>
      </c>
      <c r="Q48" s="46" t="str">
        <f t="shared" si="5"/>
        <v/>
      </c>
      <c r="R48" s="218" t="str">
        <f t="shared" ca="1" si="16"/>
        <v/>
      </c>
    </row>
    <row r="49" spans="3:18" ht="15" customHeight="1">
      <c r="C49" s="46" t="str">
        <f t="shared" si="0"/>
        <v/>
      </c>
      <c r="D49" t="str">
        <f t="shared" si="1"/>
        <v/>
      </c>
      <c r="F49" s="188"/>
      <c r="J49" s="406">
        <f t="shared" si="15"/>
        <v>0</v>
      </c>
      <c r="K49" s="404">
        <f t="shared" si="15"/>
        <v>0</v>
      </c>
      <c r="L49" s="46"/>
      <c r="M49" s="242">
        <f t="shared" si="2"/>
        <v>0</v>
      </c>
      <c r="O49" s="315" t="str">
        <f t="shared" si="3"/>
        <v/>
      </c>
      <c r="P49" t="str">
        <f t="shared" si="4"/>
        <v/>
      </c>
      <c r="Q49" s="46" t="str">
        <f t="shared" si="5"/>
        <v/>
      </c>
      <c r="R49" s="218" t="str">
        <f t="shared" ca="1" si="16"/>
        <v/>
      </c>
    </row>
    <row r="50" spans="3:18" ht="15" customHeight="1">
      <c r="C50" s="46" t="str">
        <f t="shared" si="0"/>
        <v/>
      </c>
      <c r="D50" t="str">
        <f t="shared" si="1"/>
        <v/>
      </c>
      <c r="F50" s="188"/>
      <c r="J50" s="406">
        <f t="shared" si="15"/>
        <v>0</v>
      </c>
      <c r="K50" s="404">
        <f t="shared" si="15"/>
        <v>0</v>
      </c>
      <c r="L50" s="46"/>
      <c r="M50" s="242">
        <f t="shared" si="2"/>
        <v>0</v>
      </c>
      <c r="O50" s="315" t="str">
        <f t="shared" si="3"/>
        <v/>
      </c>
      <c r="P50" t="str">
        <f t="shared" si="4"/>
        <v/>
      </c>
      <c r="Q50" s="46" t="str">
        <f t="shared" si="5"/>
        <v/>
      </c>
      <c r="R50" s="218" t="str">
        <f t="shared" ca="1" si="16"/>
        <v/>
      </c>
    </row>
    <row r="51" spans="3:18" ht="15" customHeight="1">
      <c r="C51" s="46" t="str">
        <f t="shared" si="0"/>
        <v/>
      </c>
      <c r="D51" t="str">
        <f t="shared" si="1"/>
        <v/>
      </c>
      <c r="F51" s="188"/>
      <c r="J51" s="406">
        <f t="shared" si="15"/>
        <v>0</v>
      </c>
      <c r="K51" s="404">
        <f t="shared" si="15"/>
        <v>0</v>
      </c>
      <c r="L51" s="46"/>
      <c r="M51" s="242">
        <f t="shared" si="2"/>
        <v>0</v>
      </c>
      <c r="O51" s="315" t="str">
        <f t="shared" si="3"/>
        <v/>
      </c>
      <c r="P51" t="str">
        <f t="shared" si="4"/>
        <v/>
      </c>
      <c r="Q51" s="46" t="str">
        <f t="shared" si="5"/>
        <v/>
      </c>
      <c r="R51" s="218" t="str">
        <f t="shared" ca="1" si="16"/>
        <v/>
      </c>
    </row>
    <row r="52" spans="3:18" ht="15" customHeight="1">
      <c r="C52" s="46" t="str">
        <f t="shared" si="0"/>
        <v/>
      </c>
      <c r="D52" t="str">
        <f t="shared" si="1"/>
        <v/>
      </c>
      <c r="F52" s="188"/>
      <c r="J52" s="406">
        <f t="shared" si="15"/>
        <v>0</v>
      </c>
      <c r="K52" s="404">
        <f t="shared" si="15"/>
        <v>0</v>
      </c>
      <c r="L52" s="46"/>
      <c r="M52" s="242">
        <f t="shared" si="2"/>
        <v>0</v>
      </c>
      <c r="O52" s="315" t="str">
        <f t="shared" si="3"/>
        <v/>
      </c>
      <c r="P52" t="str">
        <f t="shared" si="4"/>
        <v/>
      </c>
      <c r="Q52" s="46" t="str">
        <f t="shared" si="5"/>
        <v/>
      </c>
      <c r="R52" s="218" t="str">
        <f t="shared" ca="1" si="16"/>
        <v/>
      </c>
    </row>
    <row r="53" spans="3:18" ht="15" customHeight="1">
      <c r="C53" s="46" t="str">
        <f t="shared" si="0"/>
        <v/>
      </c>
      <c r="D53" t="str">
        <f t="shared" si="1"/>
        <v/>
      </c>
      <c r="F53" s="188"/>
      <c r="J53" s="406">
        <f t="shared" si="15"/>
        <v>0</v>
      </c>
      <c r="K53" s="404">
        <f t="shared" si="15"/>
        <v>0</v>
      </c>
      <c r="L53" s="46"/>
      <c r="M53" s="242">
        <f t="shared" si="2"/>
        <v>0</v>
      </c>
      <c r="O53" s="315" t="str">
        <f t="shared" si="3"/>
        <v/>
      </c>
      <c r="P53" t="str">
        <f t="shared" si="4"/>
        <v/>
      </c>
      <c r="Q53" s="46" t="str">
        <f t="shared" si="5"/>
        <v/>
      </c>
      <c r="R53" s="218" t="str">
        <f t="shared" ca="1" si="16"/>
        <v/>
      </c>
    </row>
    <row r="54" spans="3:18" ht="15" customHeight="1">
      <c r="C54" s="46" t="str">
        <f t="shared" si="0"/>
        <v/>
      </c>
      <c r="D54" t="str">
        <f t="shared" si="1"/>
        <v/>
      </c>
      <c r="F54" s="188"/>
      <c r="J54" s="406">
        <f t="shared" si="15"/>
        <v>0</v>
      </c>
      <c r="K54" s="404">
        <f t="shared" si="15"/>
        <v>0</v>
      </c>
      <c r="L54" s="46"/>
      <c r="M54" s="242">
        <f t="shared" si="2"/>
        <v>0</v>
      </c>
      <c r="O54" s="315" t="str">
        <f t="shared" si="3"/>
        <v/>
      </c>
      <c r="P54" t="str">
        <f t="shared" si="4"/>
        <v/>
      </c>
      <c r="Q54" s="46" t="str">
        <f t="shared" si="5"/>
        <v/>
      </c>
      <c r="R54" s="218" t="str">
        <f t="shared" ca="1" si="16"/>
        <v/>
      </c>
    </row>
    <row r="55" spans="3:18" ht="15" customHeight="1">
      <c r="C55" s="46" t="str">
        <f t="shared" si="0"/>
        <v/>
      </c>
      <c r="D55" t="str">
        <f t="shared" si="1"/>
        <v/>
      </c>
      <c r="F55" s="188"/>
      <c r="J55" s="406">
        <f t="shared" si="15"/>
        <v>0</v>
      </c>
      <c r="K55" s="404">
        <f t="shared" si="15"/>
        <v>0</v>
      </c>
      <c r="L55" s="46"/>
      <c r="M55" s="242">
        <f t="shared" si="2"/>
        <v>0</v>
      </c>
      <c r="O55" s="315" t="str">
        <f t="shared" si="3"/>
        <v/>
      </c>
      <c r="P55" t="str">
        <f t="shared" si="4"/>
        <v/>
      </c>
      <c r="Q55" s="46" t="str">
        <f t="shared" si="5"/>
        <v/>
      </c>
      <c r="R55" s="218" t="str">
        <f t="shared" ca="1" si="16"/>
        <v/>
      </c>
    </row>
    <row r="56" spans="3:18" ht="15" customHeight="1">
      <c r="C56" s="46" t="str">
        <f t="shared" si="0"/>
        <v/>
      </c>
      <c r="D56" t="str">
        <f t="shared" si="1"/>
        <v/>
      </c>
      <c r="F56" s="188"/>
      <c r="J56" s="406">
        <f t="shared" si="15"/>
        <v>0</v>
      </c>
      <c r="K56" s="404">
        <f t="shared" si="15"/>
        <v>0</v>
      </c>
      <c r="L56" s="46"/>
      <c r="M56" s="242">
        <f t="shared" si="2"/>
        <v>0</v>
      </c>
      <c r="O56" s="315" t="str">
        <f t="shared" si="3"/>
        <v/>
      </c>
      <c r="P56" t="str">
        <f t="shared" si="4"/>
        <v/>
      </c>
      <c r="Q56" s="46" t="str">
        <f t="shared" si="5"/>
        <v/>
      </c>
      <c r="R56" s="218" t="str">
        <f t="shared" ca="1" si="16"/>
        <v/>
      </c>
    </row>
    <row r="57" spans="3:18" ht="15" customHeight="1">
      <c r="C57" s="46" t="str">
        <f t="shared" si="0"/>
        <v/>
      </c>
      <c r="D57" t="str">
        <f t="shared" si="1"/>
        <v/>
      </c>
      <c r="F57" s="188"/>
      <c r="J57" s="406">
        <f t="shared" si="15"/>
        <v>0</v>
      </c>
      <c r="K57" s="404">
        <f t="shared" si="15"/>
        <v>0</v>
      </c>
      <c r="L57" s="46"/>
      <c r="M57" s="242">
        <f t="shared" si="2"/>
        <v>0</v>
      </c>
      <c r="O57" s="315" t="str">
        <f t="shared" si="3"/>
        <v/>
      </c>
      <c r="P57" t="str">
        <f t="shared" si="4"/>
        <v/>
      </c>
      <c r="Q57" s="46" t="str">
        <f t="shared" si="5"/>
        <v/>
      </c>
      <c r="R57" s="218" t="str">
        <f t="shared" ca="1" si="16"/>
        <v/>
      </c>
    </row>
    <row r="58" spans="3:18" ht="15" customHeight="1">
      <c r="C58" s="46" t="str">
        <f t="shared" si="0"/>
        <v/>
      </c>
      <c r="D58" t="str">
        <f t="shared" si="1"/>
        <v/>
      </c>
      <c r="F58" s="188"/>
      <c r="J58" s="406">
        <f t="shared" si="15"/>
        <v>0</v>
      </c>
      <c r="K58" s="404">
        <f t="shared" si="15"/>
        <v>0</v>
      </c>
      <c r="L58" s="46"/>
      <c r="M58" s="242">
        <f t="shared" si="2"/>
        <v>0</v>
      </c>
      <c r="O58" s="315" t="str">
        <f t="shared" si="3"/>
        <v/>
      </c>
      <c r="P58" t="str">
        <f t="shared" si="4"/>
        <v/>
      </c>
      <c r="Q58" s="46" t="str">
        <f t="shared" si="5"/>
        <v/>
      </c>
      <c r="R58" s="218" t="str">
        <f t="shared" ca="1" si="16"/>
        <v/>
      </c>
    </row>
    <row r="59" spans="3:18" ht="15" customHeight="1">
      <c r="C59" s="46" t="str">
        <f t="shared" si="0"/>
        <v/>
      </c>
      <c r="D59" t="str">
        <f t="shared" si="1"/>
        <v/>
      </c>
      <c r="F59" s="188"/>
      <c r="J59" s="406">
        <f t="shared" si="15"/>
        <v>0</v>
      </c>
      <c r="K59" s="404">
        <f t="shared" si="15"/>
        <v>0</v>
      </c>
      <c r="L59" s="46"/>
      <c r="M59" s="242">
        <f t="shared" si="2"/>
        <v>0</v>
      </c>
      <c r="O59" s="315" t="str">
        <f t="shared" si="3"/>
        <v/>
      </c>
      <c r="P59" t="str">
        <f t="shared" si="4"/>
        <v/>
      </c>
      <c r="Q59" s="46" t="str">
        <f t="shared" si="5"/>
        <v/>
      </c>
      <c r="R59" s="218" t="str">
        <f t="shared" ca="1" si="16"/>
        <v/>
      </c>
    </row>
    <row r="60" spans="3:18" ht="15" customHeight="1">
      <c r="C60" s="46" t="str">
        <f t="shared" si="0"/>
        <v/>
      </c>
      <c r="D60" t="str">
        <f t="shared" si="1"/>
        <v/>
      </c>
      <c r="F60" s="188"/>
      <c r="J60" s="406">
        <f t="shared" si="15"/>
        <v>0</v>
      </c>
      <c r="K60" s="404">
        <f t="shared" si="15"/>
        <v>0</v>
      </c>
      <c r="L60" s="46"/>
      <c r="M60" s="242">
        <f t="shared" si="2"/>
        <v>0</v>
      </c>
      <c r="O60" s="315" t="str">
        <f t="shared" si="3"/>
        <v/>
      </c>
      <c r="P60" t="str">
        <f t="shared" si="4"/>
        <v/>
      </c>
      <c r="Q60" s="46" t="str">
        <f t="shared" si="5"/>
        <v/>
      </c>
      <c r="R60" s="218" t="str">
        <f t="shared" ca="1" si="16"/>
        <v/>
      </c>
    </row>
    <row r="61" spans="3:18" ht="15" customHeight="1">
      <c r="C61" s="46" t="str">
        <f t="shared" si="0"/>
        <v/>
      </c>
      <c r="D61" t="str">
        <f t="shared" si="1"/>
        <v/>
      </c>
      <c r="F61" s="188"/>
      <c r="J61" s="406">
        <f t="shared" si="15"/>
        <v>0</v>
      </c>
      <c r="K61" s="404">
        <f t="shared" si="15"/>
        <v>0</v>
      </c>
      <c r="L61" s="46"/>
      <c r="M61" s="242">
        <f t="shared" si="2"/>
        <v>0</v>
      </c>
      <c r="O61" s="315" t="str">
        <f t="shared" si="3"/>
        <v/>
      </c>
      <c r="P61" t="str">
        <f t="shared" si="4"/>
        <v/>
      </c>
      <c r="Q61" s="46" t="str">
        <f t="shared" si="5"/>
        <v/>
      </c>
      <c r="R61" s="218" t="str">
        <f t="shared" ca="1" si="16"/>
        <v/>
      </c>
    </row>
    <row r="62" spans="3:18" ht="15" customHeight="1">
      <c r="C62" s="46" t="str">
        <f t="shared" si="0"/>
        <v/>
      </c>
      <c r="D62" t="str">
        <f t="shared" si="1"/>
        <v/>
      </c>
      <c r="F62" s="188"/>
      <c r="J62" s="406">
        <f t="shared" si="15"/>
        <v>0</v>
      </c>
      <c r="K62" s="404">
        <f t="shared" si="15"/>
        <v>0</v>
      </c>
      <c r="L62" s="46"/>
      <c r="M62" s="242">
        <f t="shared" si="2"/>
        <v>0</v>
      </c>
      <c r="O62" s="315" t="str">
        <f t="shared" si="3"/>
        <v/>
      </c>
      <c r="P62" t="str">
        <f t="shared" si="4"/>
        <v/>
      </c>
      <c r="Q62" s="46" t="str">
        <f t="shared" si="5"/>
        <v/>
      </c>
      <c r="R62" s="218" t="str">
        <f t="shared" ca="1" si="16"/>
        <v/>
      </c>
    </row>
    <row r="63" spans="3:18" ht="15" customHeight="1">
      <c r="C63" s="46" t="str">
        <f t="shared" si="0"/>
        <v/>
      </c>
      <c r="D63" t="str">
        <f t="shared" si="1"/>
        <v/>
      </c>
      <c r="F63" s="188"/>
      <c r="J63" s="406">
        <f t="shared" si="15"/>
        <v>0</v>
      </c>
      <c r="K63" s="404">
        <f t="shared" si="15"/>
        <v>0</v>
      </c>
      <c r="L63" s="46"/>
      <c r="M63" s="242">
        <f t="shared" si="2"/>
        <v>0</v>
      </c>
      <c r="O63" s="315" t="str">
        <f t="shared" si="3"/>
        <v/>
      </c>
      <c r="P63" t="str">
        <f t="shared" si="4"/>
        <v/>
      </c>
      <c r="Q63" s="46" t="str">
        <f t="shared" si="5"/>
        <v/>
      </c>
      <c r="R63" s="218" t="str">
        <f t="shared" ca="1" si="16"/>
        <v/>
      </c>
    </row>
    <row r="64" spans="3:18" ht="15" customHeight="1">
      <c r="C64" s="46" t="str">
        <f t="shared" si="0"/>
        <v/>
      </c>
      <c r="D64" t="str">
        <f t="shared" si="1"/>
        <v/>
      </c>
      <c r="F64" s="188"/>
      <c r="J64" s="406">
        <f t="shared" si="15"/>
        <v>0</v>
      </c>
      <c r="K64" s="404">
        <f t="shared" si="15"/>
        <v>0</v>
      </c>
      <c r="L64" s="46"/>
      <c r="M64" s="242">
        <f t="shared" si="2"/>
        <v>0</v>
      </c>
      <c r="O64" s="315" t="str">
        <f t="shared" si="3"/>
        <v/>
      </c>
      <c r="P64" t="str">
        <f t="shared" si="4"/>
        <v/>
      </c>
      <c r="Q64" s="46" t="str">
        <f t="shared" si="5"/>
        <v/>
      </c>
      <c r="R64" s="218" t="str">
        <f t="shared" ca="1" si="16"/>
        <v/>
      </c>
    </row>
    <row r="65" spans="3:18" ht="15" customHeight="1">
      <c r="C65" s="46" t="str">
        <f t="shared" si="0"/>
        <v/>
      </c>
      <c r="D65" t="str">
        <f t="shared" si="1"/>
        <v/>
      </c>
      <c r="F65" s="188"/>
      <c r="J65" s="406">
        <f t="shared" si="15"/>
        <v>0</v>
      </c>
      <c r="K65" s="404">
        <f t="shared" si="15"/>
        <v>0</v>
      </c>
      <c r="L65" s="46"/>
      <c r="M65" s="242">
        <f t="shared" si="2"/>
        <v>0</v>
      </c>
      <c r="O65" s="315" t="str">
        <f t="shared" si="3"/>
        <v/>
      </c>
      <c r="P65" t="str">
        <f t="shared" si="4"/>
        <v/>
      </c>
      <c r="Q65" s="46" t="str">
        <f t="shared" si="5"/>
        <v/>
      </c>
      <c r="R65" s="218" t="str">
        <f t="shared" ca="1" si="16"/>
        <v/>
      </c>
    </row>
    <row r="66" spans="3:18" ht="15" customHeight="1">
      <c r="C66" s="46" t="str">
        <f t="shared" si="0"/>
        <v/>
      </c>
      <c r="D66" t="str">
        <f t="shared" si="1"/>
        <v/>
      </c>
      <c r="F66" s="188"/>
      <c r="J66" s="406">
        <f t="shared" si="15"/>
        <v>0</v>
      </c>
      <c r="K66" s="404">
        <f t="shared" si="15"/>
        <v>0</v>
      </c>
      <c r="L66" s="46"/>
      <c r="M66" s="242">
        <f t="shared" si="2"/>
        <v>0</v>
      </c>
      <c r="O66" s="315" t="str">
        <f t="shared" si="3"/>
        <v/>
      </c>
      <c r="P66" t="str">
        <f t="shared" si="4"/>
        <v/>
      </c>
      <c r="Q66" s="46" t="str">
        <f t="shared" si="5"/>
        <v/>
      </c>
      <c r="R66" s="218" t="str">
        <f t="shared" ca="1" si="16"/>
        <v/>
      </c>
    </row>
    <row r="67" spans="3:18" ht="15" customHeight="1">
      <c r="C67" s="46" t="str">
        <f t="shared" si="0"/>
        <v/>
      </c>
      <c r="D67" t="str">
        <f t="shared" si="1"/>
        <v/>
      </c>
      <c r="F67" s="188"/>
      <c r="J67" s="406">
        <f t="shared" si="15"/>
        <v>0</v>
      </c>
      <c r="K67" s="404">
        <f t="shared" si="15"/>
        <v>0</v>
      </c>
      <c r="L67" s="46"/>
      <c r="M67" s="242">
        <f t="shared" si="2"/>
        <v>0</v>
      </c>
      <c r="O67" s="315" t="str">
        <f t="shared" si="3"/>
        <v/>
      </c>
      <c r="P67" t="str">
        <f t="shared" si="4"/>
        <v/>
      </c>
      <c r="Q67" s="46" t="str">
        <f t="shared" si="5"/>
        <v/>
      </c>
      <c r="R67" s="218" t="str">
        <f t="shared" ca="1" si="16"/>
        <v/>
      </c>
    </row>
    <row r="68" spans="3:18" ht="15" customHeight="1">
      <c r="C68" s="46" t="str">
        <f t="shared" ref="C68:C131" si="17">IF(B68&lt;&gt;"",PROPER(TEXT(B68,"mmmm")),"")</f>
        <v/>
      </c>
      <c r="D68" t="str">
        <f t="shared" ref="D68:D131" si="18">IF(B68&lt;&gt;"",TEXT(B68,"aaaa"),"")</f>
        <v/>
      </c>
      <c r="F68" s="188"/>
      <c r="J68" s="406">
        <f t="shared" si="15"/>
        <v>0</v>
      </c>
      <c r="K68" s="404">
        <f t="shared" si="15"/>
        <v>0</v>
      </c>
      <c r="L68" s="46"/>
      <c r="M68" s="242">
        <f t="shared" si="2"/>
        <v>0</v>
      </c>
      <c r="O68" s="315" t="str">
        <f t="shared" ref="O68:O129" si="19">IF(N68&lt;&gt;"",TEXT(N68,"mmmm"),"")</f>
        <v/>
      </c>
      <c r="P68" t="str">
        <f t="shared" ref="P68:P131" si="20">IF(N68&lt;&gt;"",TEXT(N68,"aaaa"),"")</f>
        <v/>
      </c>
      <c r="Q68" s="46" t="str">
        <f t="shared" si="5"/>
        <v/>
      </c>
      <c r="R68" s="218" t="str">
        <f t="shared" ca="1" si="16"/>
        <v/>
      </c>
    </row>
    <row r="69" spans="3:18" ht="15" customHeight="1">
      <c r="C69" s="46" t="str">
        <f t="shared" si="17"/>
        <v/>
      </c>
      <c r="D69" t="str">
        <f t="shared" si="18"/>
        <v/>
      </c>
      <c r="F69" s="188"/>
      <c r="J69" s="406">
        <f t="shared" ref="J69:K125" si="21">I69</f>
        <v>0</v>
      </c>
      <c r="K69" s="404">
        <f t="shared" si="21"/>
        <v>0</v>
      </c>
      <c r="L69" s="46"/>
      <c r="M69" s="242">
        <f t="shared" si="2"/>
        <v>0</v>
      </c>
      <c r="O69" s="315" t="str">
        <f t="shared" si="19"/>
        <v/>
      </c>
      <c r="P69" t="str">
        <f t="shared" si="20"/>
        <v/>
      </c>
      <c r="Q69" s="46" t="str">
        <f t="shared" ref="Q69:Q132" si="22">IF(J69=0,"",IF(K69=0,"PAGO","A PAGAR"))</f>
        <v/>
      </c>
      <c r="R69" s="218" t="str">
        <f t="shared" ref="R69:R100" ca="1" si="23">IF(Q69="PAGO", "✓ OK", IF(Q69="A PAGAR", IF(N69&lt;TODAY(), "⚠ EM ATRASO", "EM DIA"), ""))</f>
        <v/>
      </c>
    </row>
    <row r="70" spans="3:18" ht="15" customHeight="1">
      <c r="C70" s="46" t="str">
        <f t="shared" si="17"/>
        <v/>
      </c>
      <c r="D70" t="str">
        <f t="shared" si="18"/>
        <v/>
      </c>
      <c r="F70" s="188"/>
      <c r="J70" s="406">
        <f t="shared" si="21"/>
        <v>0</v>
      </c>
      <c r="K70" s="404">
        <f t="shared" si="21"/>
        <v>0</v>
      </c>
      <c r="L70" s="46"/>
      <c r="M70" s="242">
        <f t="shared" ref="M70:M133" si="24">J70</f>
        <v>0</v>
      </c>
      <c r="O70" s="315" t="str">
        <f t="shared" si="19"/>
        <v/>
      </c>
      <c r="P70" t="str">
        <f t="shared" si="20"/>
        <v/>
      </c>
      <c r="Q70" s="46" t="str">
        <f t="shared" si="22"/>
        <v/>
      </c>
      <c r="R70" s="218" t="str">
        <f t="shared" ca="1" si="23"/>
        <v/>
      </c>
    </row>
    <row r="71" spans="3:18" ht="15" customHeight="1">
      <c r="C71" s="46" t="str">
        <f t="shared" si="17"/>
        <v/>
      </c>
      <c r="D71" t="str">
        <f t="shared" si="18"/>
        <v/>
      </c>
      <c r="F71" s="188"/>
      <c r="J71" s="406">
        <f t="shared" si="21"/>
        <v>0</v>
      </c>
      <c r="K71" s="404">
        <f t="shared" si="21"/>
        <v>0</v>
      </c>
      <c r="L71" s="46"/>
      <c r="M71" s="242">
        <f t="shared" si="24"/>
        <v>0</v>
      </c>
      <c r="O71" s="315" t="str">
        <f t="shared" si="19"/>
        <v/>
      </c>
      <c r="P71" t="str">
        <f t="shared" si="20"/>
        <v/>
      </c>
      <c r="Q71" s="46" t="str">
        <f t="shared" si="22"/>
        <v/>
      </c>
      <c r="R71" s="218" t="str">
        <f t="shared" ca="1" si="23"/>
        <v/>
      </c>
    </row>
    <row r="72" spans="3:18" ht="15" customHeight="1">
      <c r="C72" s="46" t="str">
        <f t="shared" si="17"/>
        <v/>
      </c>
      <c r="D72" t="str">
        <f t="shared" si="18"/>
        <v/>
      </c>
      <c r="F72" s="188"/>
      <c r="J72" s="406">
        <f t="shared" si="21"/>
        <v>0</v>
      </c>
      <c r="K72" s="404">
        <f t="shared" si="21"/>
        <v>0</v>
      </c>
      <c r="L72" s="46"/>
      <c r="M72" s="242">
        <f t="shared" si="24"/>
        <v>0</v>
      </c>
      <c r="O72" s="315" t="str">
        <f t="shared" si="19"/>
        <v/>
      </c>
      <c r="P72" t="str">
        <f t="shared" si="20"/>
        <v/>
      </c>
      <c r="Q72" s="46" t="str">
        <f t="shared" si="22"/>
        <v/>
      </c>
      <c r="R72" s="218" t="str">
        <f t="shared" ca="1" si="23"/>
        <v/>
      </c>
    </row>
    <row r="73" spans="3:18" ht="15" customHeight="1">
      <c r="C73" s="46" t="str">
        <f t="shared" si="17"/>
        <v/>
      </c>
      <c r="D73" t="str">
        <f t="shared" si="18"/>
        <v/>
      </c>
      <c r="F73" s="188"/>
      <c r="J73" s="406">
        <f t="shared" si="21"/>
        <v>0</v>
      </c>
      <c r="K73" s="404">
        <f t="shared" si="21"/>
        <v>0</v>
      </c>
      <c r="L73" s="46"/>
      <c r="M73" s="242">
        <f t="shared" si="24"/>
        <v>0</v>
      </c>
      <c r="O73" s="315" t="str">
        <f t="shared" si="19"/>
        <v/>
      </c>
      <c r="P73" t="str">
        <f t="shared" si="20"/>
        <v/>
      </c>
      <c r="Q73" s="46" t="str">
        <f t="shared" si="22"/>
        <v/>
      </c>
      <c r="R73" s="218" t="str">
        <f t="shared" ca="1" si="23"/>
        <v/>
      </c>
    </row>
    <row r="74" spans="3:18" ht="15" customHeight="1">
      <c r="C74" s="46" t="str">
        <f t="shared" si="17"/>
        <v/>
      </c>
      <c r="D74" t="str">
        <f t="shared" si="18"/>
        <v/>
      </c>
      <c r="F74" s="188"/>
      <c r="J74" s="406">
        <f t="shared" si="21"/>
        <v>0</v>
      </c>
      <c r="K74" s="404">
        <f t="shared" si="21"/>
        <v>0</v>
      </c>
      <c r="L74" s="46"/>
      <c r="M74" s="242">
        <f t="shared" si="24"/>
        <v>0</v>
      </c>
      <c r="O74" s="315" t="str">
        <f t="shared" si="19"/>
        <v/>
      </c>
      <c r="P74" t="str">
        <f t="shared" si="20"/>
        <v/>
      </c>
      <c r="Q74" s="46" t="str">
        <f t="shared" si="22"/>
        <v/>
      </c>
      <c r="R74" s="218" t="str">
        <f t="shared" ca="1" si="23"/>
        <v/>
      </c>
    </row>
    <row r="75" spans="3:18" ht="15" customHeight="1">
      <c r="C75" s="46" t="str">
        <f t="shared" si="17"/>
        <v/>
      </c>
      <c r="D75" t="str">
        <f t="shared" si="18"/>
        <v/>
      </c>
      <c r="F75" s="188"/>
      <c r="J75" s="406">
        <f t="shared" si="21"/>
        <v>0</v>
      </c>
      <c r="K75" s="404">
        <f t="shared" si="21"/>
        <v>0</v>
      </c>
      <c r="L75" s="46"/>
      <c r="M75" s="242">
        <f t="shared" si="24"/>
        <v>0</v>
      </c>
      <c r="O75" s="315" t="str">
        <f t="shared" si="19"/>
        <v/>
      </c>
      <c r="P75" t="str">
        <f t="shared" si="20"/>
        <v/>
      </c>
      <c r="Q75" s="46" t="str">
        <f t="shared" si="22"/>
        <v/>
      </c>
      <c r="R75" s="218" t="str">
        <f t="shared" ca="1" si="23"/>
        <v/>
      </c>
    </row>
    <row r="76" spans="3:18" ht="15" customHeight="1">
      <c r="C76" s="46" t="str">
        <f t="shared" si="17"/>
        <v/>
      </c>
      <c r="D76" t="str">
        <f t="shared" si="18"/>
        <v/>
      </c>
      <c r="F76" s="188"/>
      <c r="J76" s="406">
        <f t="shared" si="21"/>
        <v>0</v>
      </c>
      <c r="K76" s="404">
        <f t="shared" si="21"/>
        <v>0</v>
      </c>
      <c r="L76" s="46"/>
      <c r="M76" s="242">
        <f t="shared" si="24"/>
        <v>0</v>
      </c>
      <c r="O76" s="315" t="str">
        <f t="shared" si="19"/>
        <v/>
      </c>
      <c r="P76" t="str">
        <f t="shared" si="20"/>
        <v/>
      </c>
      <c r="Q76" s="46" t="str">
        <f t="shared" si="22"/>
        <v/>
      </c>
      <c r="R76" s="218" t="str">
        <f t="shared" ca="1" si="23"/>
        <v/>
      </c>
    </row>
    <row r="77" spans="3:18" ht="15" customHeight="1">
      <c r="C77" s="46" t="str">
        <f t="shared" si="17"/>
        <v/>
      </c>
      <c r="D77" t="str">
        <f t="shared" si="18"/>
        <v/>
      </c>
      <c r="F77" s="188"/>
      <c r="J77" s="406">
        <f t="shared" si="21"/>
        <v>0</v>
      </c>
      <c r="K77" s="404">
        <f t="shared" si="21"/>
        <v>0</v>
      </c>
      <c r="L77" s="46"/>
      <c r="M77" s="242">
        <f t="shared" si="24"/>
        <v>0</v>
      </c>
      <c r="O77" s="315" t="str">
        <f t="shared" si="19"/>
        <v/>
      </c>
      <c r="P77" t="str">
        <f t="shared" si="20"/>
        <v/>
      </c>
      <c r="Q77" s="46" t="str">
        <f t="shared" si="22"/>
        <v/>
      </c>
      <c r="R77" s="218" t="str">
        <f t="shared" ca="1" si="23"/>
        <v/>
      </c>
    </row>
    <row r="78" spans="3:18" ht="15" customHeight="1">
      <c r="C78" s="46" t="str">
        <f t="shared" si="17"/>
        <v/>
      </c>
      <c r="D78" t="str">
        <f t="shared" si="18"/>
        <v/>
      </c>
      <c r="F78" s="188"/>
      <c r="J78" s="406">
        <f t="shared" si="21"/>
        <v>0</v>
      </c>
      <c r="K78" s="404">
        <f t="shared" si="21"/>
        <v>0</v>
      </c>
      <c r="L78" s="46"/>
      <c r="M78" s="242">
        <f t="shared" si="24"/>
        <v>0</v>
      </c>
      <c r="O78" s="315" t="str">
        <f t="shared" si="19"/>
        <v/>
      </c>
      <c r="P78" t="str">
        <f t="shared" si="20"/>
        <v/>
      </c>
      <c r="Q78" s="46" t="str">
        <f t="shared" si="22"/>
        <v/>
      </c>
      <c r="R78" s="218" t="str">
        <f t="shared" ca="1" si="23"/>
        <v/>
      </c>
    </row>
    <row r="79" spans="3:18" ht="15" customHeight="1">
      <c r="C79" s="46" t="str">
        <f t="shared" si="17"/>
        <v/>
      </c>
      <c r="D79" t="str">
        <f t="shared" si="18"/>
        <v/>
      </c>
      <c r="F79" s="188"/>
      <c r="J79" s="406">
        <f t="shared" si="21"/>
        <v>0</v>
      </c>
      <c r="K79" s="404">
        <f t="shared" si="21"/>
        <v>0</v>
      </c>
      <c r="L79" s="46"/>
      <c r="M79" s="242">
        <f t="shared" si="24"/>
        <v>0</v>
      </c>
      <c r="O79" s="315" t="str">
        <f t="shared" si="19"/>
        <v/>
      </c>
      <c r="P79" t="str">
        <f t="shared" si="20"/>
        <v/>
      </c>
      <c r="Q79" s="46" t="str">
        <f t="shared" si="22"/>
        <v/>
      </c>
      <c r="R79" s="218" t="str">
        <f t="shared" ca="1" si="23"/>
        <v/>
      </c>
    </row>
    <row r="80" spans="3:18" ht="15" customHeight="1">
      <c r="C80" s="46" t="str">
        <f t="shared" si="17"/>
        <v/>
      </c>
      <c r="D80" t="str">
        <f t="shared" si="18"/>
        <v/>
      </c>
      <c r="F80" s="188"/>
      <c r="J80" s="406">
        <f t="shared" si="21"/>
        <v>0</v>
      </c>
      <c r="K80" s="404">
        <f t="shared" si="21"/>
        <v>0</v>
      </c>
      <c r="L80" s="46"/>
      <c r="M80" s="242">
        <f t="shared" si="24"/>
        <v>0</v>
      </c>
      <c r="O80" s="315" t="str">
        <f t="shared" si="19"/>
        <v/>
      </c>
      <c r="P80" t="str">
        <f t="shared" si="20"/>
        <v/>
      </c>
      <c r="Q80" s="46" t="str">
        <f t="shared" si="22"/>
        <v/>
      </c>
      <c r="R80" s="218" t="str">
        <f t="shared" ca="1" si="23"/>
        <v/>
      </c>
    </row>
    <row r="81" spans="3:18" ht="15" customHeight="1">
      <c r="C81" s="46" t="str">
        <f t="shared" si="17"/>
        <v/>
      </c>
      <c r="D81" t="str">
        <f t="shared" si="18"/>
        <v/>
      </c>
      <c r="F81" s="188"/>
      <c r="J81" s="406">
        <f t="shared" si="21"/>
        <v>0</v>
      </c>
      <c r="K81" s="404">
        <f t="shared" si="21"/>
        <v>0</v>
      </c>
      <c r="L81" s="46"/>
      <c r="M81" s="242">
        <f t="shared" si="24"/>
        <v>0</v>
      </c>
      <c r="O81" s="315" t="str">
        <f t="shared" si="19"/>
        <v/>
      </c>
      <c r="P81" t="str">
        <f t="shared" si="20"/>
        <v/>
      </c>
      <c r="Q81" s="46" t="str">
        <f t="shared" si="22"/>
        <v/>
      </c>
      <c r="R81" s="218" t="str">
        <f t="shared" ca="1" si="23"/>
        <v/>
      </c>
    </row>
    <row r="82" spans="3:18" ht="15" customHeight="1">
      <c r="C82" s="46" t="str">
        <f t="shared" si="17"/>
        <v/>
      </c>
      <c r="D82" t="str">
        <f t="shared" si="18"/>
        <v/>
      </c>
      <c r="F82" s="188"/>
      <c r="J82" s="406">
        <f t="shared" si="21"/>
        <v>0</v>
      </c>
      <c r="K82" s="404">
        <f t="shared" si="21"/>
        <v>0</v>
      </c>
      <c r="L82" s="46"/>
      <c r="M82" s="242">
        <f t="shared" si="24"/>
        <v>0</v>
      </c>
      <c r="O82" s="315" t="str">
        <f t="shared" si="19"/>
        <v/>
      </c>
      <c r="P82" t="str">
        <f t="shared" si="20"/>
        <v/>
      </c>
      <c r="Q82" s="46" t="str">
        <f t="shared" si="22"/>
        <v/>
      </c>
      <c r="R82" s="218" t="str">
        <f t="shared" ca="1" si="23"/>
        <v/>
      </c>
    </row>
    <row r="83" spans="3:18" ht="15" customHeight="1">
      <c r="C83" s="46" t="str">
        <f t="shared" si="17"/>
        <v/>
      </c>
      <c r="D83" t="str">
        <f t="shared" si="18"/>
        <v/>
      </c>
      <c r="F83" s="188"/>
      <c r="J83" s="406">
        <f t="shared" si="21"/>
        <v>0</v>
      </c>
      <c r="K83" s="404">
        <f t="shared" si="21"/>
        <v>0</v>
      </c>
      <c r="L83" s="46"/>
      <c r="M83" s="242">
        <f t="shared" si="24"/>
        <v>0</v>
      </c>
      <c r="O83" s="315" t="str">
        <f t="shared" si="19"/>
        <v/>
      </c>
      <c r="P83" t="str">
        <f t="shared" si="20"/>
        <v/>
      </c>
      <c r="Q83" s="46" t="str">
        <f t="shared" si="22"/>
        <v/>
      </c>
      <c r="R83" s="218" t="str">
        <f t="shared" ca="1" si="23"/>
        <v/>
      </c>
    </row>
    <row r="84" spans="3:18" ht="15" customHeight="1">
      <c r="C84" s="46" t="str">
        <f t="shared" si="17"/>
        <v/>
      </c>
      <c r="D84" t="str">
        <f t="shared" si="18"/>
        <v/>
      </c>
      <c r="F84" s="188"/>
      <c r="J84" s="406">
        <f t="shared" si="21"/>
        <v>0</v>
      </c>
      <c r="K84" s="404">
        <f t="shared" si="21"/>
        <v>0</v>
      </c>
      <c r="L84" s="46"/>
      <c r="M84" s="242">
        <f t="shared" si="24"/>
        <v>0</v>
      </c>
      <c r="O84" s="315" t="str">
        <f t="shared" si="19"/>
        <v/>
      </c>
      <c r="P84" t="str">
        <f t="shared" si="20"/>
        <v/>
      </c>
      <c r="Q84" s="46" t="str">
        <f t="shared" si="22"/>
        <v/>
      </c>
      <c r="R84" s="218" t="str">
        <f t="shared" ca="1" si="23"/>
        <v/>
      </c>
    </row>
    <row r="85" spans="3:18" ht="15" customHeight="1">
      <c r="C85" s="46" t="str">
        <f t="shared" si="17"/>
        <v/>
      </c>
      <c r="D85" t="str">
        <f t="shared" si="18"/>
        <v/>
      </c>
      <c r="F85" s="188"/>
      <c r="J85" s="406">
        <f t="shared" si="21"/>
        <v>0</v>
      </c>
      <c r="K85" s="404">
        <f t="shared" si="21"/>
        <v>0</v>
      </c>
      <c r="L85" s="46"/>
      <c r="M85" s="242">
        <f t="shared" si="24"/>
        <v>0</v>
      </c>
      <c r="O85" s="315" t="str">
        <f t="shared" si="19"/>
        <v/>
      </c>
      <c r="P85" t="str">
        <f t="shared" si="20"/>
        <v/>
      </c>
      <c r="Q85" s="46" t="str">
        <f t="shared" si="22"/>
        <v/>
      </c>
      <c r="R85" s="218" t="str">
        <f t="shared" ca="1" si="23"/>
        <v/>
      </c>
    </row>
    <row r="86" spans="3:18" ht="15" customHeight="1">
      <c r="C86" s="46" t="str">
        <f t="shared" si="17"/>
        <v/>
      </c>
      <c r="D86" t="str">
        <f t="shared" si="18"/>
        <v/>
      </c>
      <c r="F86" s="188"/>
      <c r="J86" s="406">
        <f t="shared" si="21"/>
        <v>0</v>
      </c>
      <c r="K86" s="404">
        <f t="shared" si="21"/>
        <v>0</v>
      </c>
      <c r="L86" s="46"/>
      <c r="M86" s="242">
        <f t="shared" si="24"/>
        <v>0</v>
      </c>
      <c r="O86" s="315" t="str">
        <f t="shared" si="19"/>
        <v/>
      </c>
      <c r="P86" t="str">
        <f t="shared" si="20"/>
        <v/>
      </c>
      <c r="Q86" s="46" t="str">
        <f t="shared" si="22"/>
        <v/>
      </c>
      <c r="R86" s="218" t="str">
        <f t="shared" ca="1" si="23"/>
        <v/>
      </c>
    </row>
    <row r="87" spans="3:18" ht="15" customHeight="1">
      <c r="C87" s="46" t="str">
        <f t="shared" si="17"/>
        <v/>
      </c>
      <c r="D87" t="str">
        <f t="shared" si="18"/>
        <v/>
      </c>
      <c r="F87" s="188"/>
      <c r="J87" s="406">
        <f t="shared" si="21"/>
        <v>0</v>
      </c>
      <c r="K87" s="404">
        <f t="shared" si="21"/>
        <v>0</v>
      </c>
      <c r="L87" s="46"/>
      <c r="M87" s="242">
        <f t="shared" si="24"/>
        <v>0</v>
      </c>
      <c r="O87" s="315" t="str">
        <f t="shared" si="19"/>
        <v/>
      </c>
      <c r="P87" t="str">
        <f t="shared" si="20"/>
        <v/>
      </c>
      <c r="Q87" s="46" t="str">
        <f t="shared" si="22"/>
        <v/>
      </c>
      <c r="R87" s="218" t="str">
        <f t="shared" ca="1" si="23"/>
        <v/>
      </c>
    </row>
    <row r="88" spans="3:18" ht="15" customHeight="1">
      <c r="C88" s="46" t="str">
        <f t="shared" si="17"/>
        <v/>
      </c>
      <c r="D88" t="str">
        <f t="shared" si="18"/>
        <v/>
      </c>
      <c r="F88" s="188"/>
      <c r="J88" s="406">
        <f t="shared" si="21"/>
        <v>0</v>
      </c>
      <c r="K88" s="404">
        <f t="shared" si="21"/>
        <v>0</v>
      </c>
      <c r="L88" s="46"/>
      <c r="M88" s="242">
        <f t="shared" si="24"/>
        <v>0</v>
      </c>
      <c r="O88" s="315" t="str">
        <f t="shared" si="19"/>
        <v/>
      </c>
      <c r="P88" t="str">
        <f t="shared" si="20"/>
        <v/>
      </c>
      <c r="Q88" s="46" t="str">
        <f t="shared" si="22"/>
        <v/>
      </c>
      <c r="R88" s="218" t="str">
        <f t="shared" ca="1" si="23"/>
        <v/>
      </c>
    </row>
    <row r="89" spans="3:18" ht="15" customHeight="1">
      <c r="C89" s="46" t="str">
        <f t="shared" si="17"/>
        <v/>
      </c>
      <c r="D89" t="str">
        <f t="shared" si="18"/>
        <v/>
      </c>
      <c r="F89" s="188"/>
      <c r="J89" s="406">
        <f t="shared" si="21"/>
        <v>0</v>
      </c>
      <c r="K89" s="404">
        <f t="shared" si="21"/>
        <v>0</v>
      </c>
      <c r="L89" s="46"/>
      <c r="M89" s="242">
        <f t="shared" si="24"/>
        <v>0</v>
      </c>
      <c r="O89" s="315" t="str">
        <f t="shared" si="19"/>
        <v/>
      </c>
      <c r="P89" t="str">
        <f t="shared" si="20"/>
        <v/>
      </c>
      <c r="Q89" s="46" t="str">
        <f t="shared" si="22"/>
        <v/>
      </c>
      <c r="R89" s="218" t="str">
        <f t="shared" ca="1" si="23"/>
        <v/>
      </c>
    </row>
    <row r="90" spans="3:18" ht="15" customHeight="1">
      <c r="C90" s="46" t="str">
        <f t="shared" si="17"/>
        <v/>
      </c>
      <c r="D90" t="str">
        <f t="shared" si="18"/>
        <v/>
      </c>
      <c r="F90" s="188"/>
      <c r="J90" s="406">
        <f t="shared" si="21"/>
        <v>0</v>
      </c>
      <c r="K90" s="404">
        <f t="shared" si="21"/>
        <v>0</v>
      </c>
      <c r="L90" s="46"/>
      <c r="M90" s="242">
        <f t="shared" si="24"/>
        <v>0</v>
      </c>
      <c r="O90" s="315" t="str">
        <f t="shared" si="19"/>
        <v/>
      </c>
      <c r="P90" t="str">
        <f t="shared" si="20"/>
        <v/>
      </c>
      <c r="Q90" s="46" t="str">
        <f t="shared" si="22"/>
        <v/>
      </c>
      <c r="R90" s="218" t="str">
        <f t="shared" ca="1" si="23"/>
        <v/>
      </c>
    </row>
    <row r="91" spans="3:18" ht="15" customHeight="1">
      <c r="C91" s="46" t="str">
        <f t="shared" si="17"/>
        <v/>
      </c>
      <c r="D91" t="str">
        <f t="shared" si="18"/>
        <v/>
      </c>
      <c r="F91" s="188"/>
      <c r="J91" s="406">
        <f t="shared" si="21"/>
        <v>0</v>
      </c>
      <c r="K91" s="404">
        <f t="shared" si="21"/>
        <v>0</v>
      </c>
      <c r="L91" s="46"/>
      <c r="M91" s="242">
        <f t="shared" si="24"/>
        <v>0</v>
      </c>
      <c r="O91" s="315" t="str">
        <f t="shared" si="19"/>
        <v/>
      </c>
      <c r="P91" t="str">
        <f t="shared" si="20"/>
        <v/>
      </c>
      <c r="Q91" s="46" t="str">
        <f t="shared" si="22"/>
        <v/>
      </c>
      <c r="R91" s="218" t="str">
        <f t="shared" ca="1" si="23"/>
        <v/>
      </c>
    </row>
    <row r="92" spans="3:18" ht="15" customHeight="1">
      <c r="C92" s="46" t="str">
        <f t="shared" si="17"/>
        <v/>
      </c>
      <c r="D92" t="str">
        <f t="shared" si="18"/>
        <v/>
      </c>
      <c r="F92" s="188"/>
      <c r="J92" s="406">
        <f t="shared" si="21"/>
        <v>0</v>
      </c>
      <c r="K92" s="404">
        <f t="shared" si="21"/>
        <v>0</v>
      </c>
      <c r="L92" s="46"/>
      <c r="M92" s="242">
        <f t="shared" si="24"/>
        <v>0</v>
      </c>
      <c r="O92" s="315" t="str">
        <f t="shared" si="19"/>
        <v/>
      </c>
      <c r="P92" t="str">
        <f t="shared" si="20"/>
        <v/>
      </c>
      <c r="Q92" s="46" t="str">
        <f t="shared" si="22"/>
        <v/>
      </c>
      <c r="R92" s="218" t="str">
        <f t="shared" ca="1" si="23"/>
        <v/>
      </c>
    </row>
    <row r="93" spans="3:18" ht="15" customHeight="1">
      <c r="C93" s="46" t="str">
        <f t="shared" si="17"/>
        <v/>
      </c>
      <c r="D93" t="str">
        <f t="shared" si="18"/>
        <v/>
      </c>
      <c r="F93" s="188"/>
      <c r="J93" s="406">
        <f t="shared" si="21"/>
        <v>0</v>
      </c>
      <c r="K93" s="404">
        <f t="shared" si="21"/>
        <v>0</v>
      </c>
      <c r="L93" s="46"/>
      <c r="M93" s="242">
        <f t="shared" si="24"/>
        <v>0</v>
      </c>
      <c r="O93" s="315" t="str">
        <f t="shared" si="19"/>
        <v/>
      </c>
      <c r="P93" t="str">
        <f t="shared" si="20"/>
        <v/>
      </c>
      <c r="Q93" s="46" t="str">
        <f t="shared" si="22"/>
        <v/>
      </c>
      <c r="R93" s="218" t="str">
        <f t="shared" ca="1" si="23"/>
        <v/>
      </c>
    </row>
    <row r="94" spans="3:18" ht="15" customHeight="1">
      <c r="C94" s="46" t="str">
        <f t="shared" si="17"/>
        <v/>
      </c>
      <c r="D94" t="str">
        <f t="shared" si="18"/>
        <v/>
      </c>
      <c r="F94" s="188"/>
      <c r="J94" s="406">
        <f t="shared" si="21"/>
        <v>0</v>
      </c>
      <c r="K94" s="404">
        <f t="shared" si="21"/>
        <v>0</v>
      </c>
      <c r="L94" s="46"/>
      <c r="M94" s="242">
        <f t="shared" si="24"/>
        <v>0</v>
      </c>
      <c r="O94" s="315" t="str">
        <f t="shared" si="19"/>
        <v/>
      </c>
      <c r="P94" t="str">
        <f t="shared" si="20"/>
        <v/>
      </c>
      <c r="Q94" s="46" t="str">
        <f t="shared" si="22"/>
        <v/>
      </c>
      <c r="R94" s="218" t="str">
        <f t="shared" ca="1" si="23"/>
        <v/>
      </c>
    </row>
    <row r="95" spans="3:18" ht="15" customHeight="1">
      <c r="C95" s="46" t="str">
        <f t="shared" si="17"/>
        <v/>
      </c>
      <c r="D95" t="str">
        <f t="shared" si="18"/>
        <v/>
      </c>
      <c r="F95" s="188"/>
      <c r="J95" s="406">
        <f t="shared" si="21"/>
        <v>0</v>
      </c>
      <c r="K95" s="404">
        <f t="shared" si="21"/>
        <v>0</v>
      </c>
      <c r="L95" s="46"/>
      <c r="M95" s="242">
        <f t="shared" si="24"/>
        <v>0</v>
      </c>
      <c r="O95" s="315" t="str">
        <f t="shared" si="19"/>
        <v/>
      </c>
      <c r="P95" t="str">
        <f t="shared" si="20"/>
        <v/>
      </c>
      <c r="Q95" s="46" t="str">
        <f t="shared" si="22"/>
        <v/>
      </c>
      <c r="R95" s="218" t="str">
        <f t="shared" ca="1" si="23"/>
        <v/>
      </c>
    </row>
    <row r="96" spans="3:18" ht="15" customHeight="1">
      <c r="C96" s="46" t="str">
        <f t="shared" si="17"/>
        <v/>
      </c>
      <c r="D96" t="str">
        <f t="shared" si="18"/>
        <v/>
      </c>
      <c r="F96" s="188"/>
      <c r="J96" s="406">
        <f t="shared" si="21"/>
        <v>0</v>
      </c>
      <c r="K96" s="404">
        <f t="shared" si="21"/>
        <v>0</v>
      </c>
      <c r="L96" s="46"/>
      <c r="M96" s="242">
        <f t="shared" si="24"/>
        <v>0</v>
      </c>
      <c r="O96" s="315" t="str">
        <f t="shared" si="19"/>
        <v/>
      </c>
      <c r="P96" t="str">
        <f t="shared" si="20"/>
        <v/>
      </c>
      <c r="Q96" s="46" t="str">
        <f t="shared" si="22"/>
        <v/>
      </c>
      <c r="R96" s="218" t="str">
        <f t="shared" ca="1" si="23"/>
        <v/>
      </c>
    </row>
    <row r="97" spans="3:18" ht="15" customHeight="1">
      <c r="C97" s="46" t="str">
        <f t="shared" si="17"/>
        <v/>
      </c>
      <c r="D97" t="str">
        <f t="shared" si="18"/>
        <v/>
      </c>
      <c r="F97" s="188"/>
      <c r="J97" s="406">
        <f t="shared" si="21"/>
        <v>0</v>
      </c>
      <c r="K97" s="404">
        <f t="shared" si="21"/>
        <v>0</v>
      </c>
      <c r="L97" s="46"/>
      <c r="M97" s="242">
        <f t="shared" si="24"/>
        <v>0</v>
      </c>
      <c r="O97" s="315" t="str">
        <f t="shared" si="19"/>
        <v/>
      </c>
      <c r="P97" t="str">
        <f t="shared" si="20"/>
        <v/>
      </c>
      <c r="Q97" s="46" t="str">
        <f t="shared" si="22"/>
        <v/>
      </c>
      <c r="R97" s="218" t="str">
        <f t="shared" ca="1" si="23"/>
        <v/>
      </c>
    </row>
    <row r="98" spans="3:18" ht="15" customHeight="1">
      <c r="C98" s="46" t="str">
        <f t="shared" si="17"/>
        <v/>
      </c>
      <c r="D98" t="str">
        <f t="shared" si="18"/>
        <v/>
      </c>
      <c r="F98" s="188"/>
      <c r="J98" s="406">
        <f t="shared" si="21"/>
        <v>0</v>
      </c>
      <c r="K98" s="404">
        <f t="shared" si="21"/>
        <v>0</v>
      </c>
      <c r="L98" s="46"/>
      <c r="M98" s="242">
        <f t="shared" si="24"/>
        <v>0</v>
      </c>
      <c r="O98" s="315" t="str">
        <f t="shared" si="19"/>
        <v/>
      </c>
      <c r="P98" t="str">
        <f t="shared" si="20"/>
        <v/>
      </c>
      <c r="Q98" s="46" t="str">
        <f t="shared" si="22"/>
        <v/>
      </c>
      <c r="R98" s="218" t="str">
        <f t="shared" ca="1" si="23"/>
        <v/>
      </c>
    </row>
    <row r="99" spans="3:18" ht="15" customHeight="1">
      <c r="C99" s="46" t="str">
        <f t="shared" si="17"/>
        <v/>
      </c>
      <c r="D99" t="str">
        <f t="shared" si="18"/>
        <v/>
      </c>
      <c r="F99" s="188"/>
      <c r="J99" s="406">
        <f t="shared" si="21"/>
        <v>0</v>
      </c>
      <c r="K99" s="404">
        <f t="shared" si="21"/>
        <v>0</v>
      </c>
      <c r="L99" s="46"/>
      <c r="M99" s="242">
        <f t="shared" si="24"/>
        <v>0</v>
      </c>
      <c r="O99" s="315" t="str">
        <f t="shared" si="19"/>
        <v/>
      </c>
      <c r="P99" t="str">
        <f t="shared" si="20"/>
        <v/>
      </c>
      <c r="Q99" s="46" t="str">
        <f t="shared" si="22"/>
        <v/>
      </c>
      <c r="R99" s="218" t="str">
        <f t="shared" ca="1" si="23"/>
        <v/>
      </c>
    </row>
    <row r="100" spans="3:18" ht="15" customHeight="1">
      <c r="C100" s="46" t="str">
        <f t="shared" si="17"/>
        <v/>
      </c>
      <c r="D100" t="str">
        <f t="shared" si="18"/>
        <v/>
      </c>
      <c r="F100" s="188"/>
      <c r="J100" s="406">
        <f t="shared" si="21"/>
        <v>0</v>
      </c>
      <c r="K100" s="404">
        <f t="shared" si="21"/>
        <v>0</v>
      </c>
      <c r="L100" s="46"/>
      <c r="M100" s="242">
        <f t="shared" si="24"/>
        <v>0</v>
      </c>
      <c r="O100" s="315" t="str">
        <f t="shared" si="19"/>
        <v/>
      </c>
      <c r="P100" t="str">
        <f t="shared" si="20"/>
        <v/>
      </c>
      <c r="Q100" s="46" t="str">
        <f t="shared" si="22"/>
        <v/>
      </c>
      <c r="R100" s="218" t="str">
        <f t="shared" ca="1" si="23"/>
        <v/>
      </c>
    </row>
    <row r="101" spans="3:18" ht="15" customHeight="1">
      <c r="C101" s="46" t="str">
        <f t="shared" si="17"/>
        <v/>
      </c>
      <c r="D101" t="str">
        <f t="shared" si="18"/>
        <v/>
      </c>
      <c r="F101" s="188"/>
      <c r="J101" s="406">
        <f t="shared" si="21"/>
        <v>0</v>
      </c>
      <c r="K101" s="404">
        <f t="shared" si="21"/>
        <v>0</v>
      </c>
      <c r="L101" s="46"/>
      <c r="M101" s="242">
        <f t="shared" si="24"/>
        <v>0</v>
      </c>
      <c r="O101" s="315" t="str">
        <f t="shared" si="19"/>
        <v/>
      </c>
      <c r="P101" t="str">
        <f t="shared" si="20"/>
        <v/>
      </c>
      <c r="Q101" s="46" t="str">
        <f t="shared" si="22"/>
        <v/>
      </c>
      <c r="R101" s="218" t="str">
        <f t="shared" ref="R101:R132" ca="1" si="25">IF(Q101="PAGO", "✓ OK", IF(Q101="A PAGAR", IF(N101&lt;TODAY(), "⚠ EM ATRASO", "EM DIA"), ""))</f>
        <v/>
      </c>
    </row>
    <row r="102" spans="3:18" ht="15" customHeight="1">
      <c r="C102" s="46" t="str">
        <f t="shared" si="17"/>
        <v/>
      </c>
      <c r="D102" t="str">
        <f t="shared" si="18"/>
        <v/>
      </c>
      <c r="F102" s="188"/>
      <c r="J102" s="406">
        <f t="shared" si="21"/>
        <v>0</v>
      </c>
      <c r="K102" s="404">
        <f t="shared" si="21"/>
        <v>0</v>
      </c>
      <c r="L102" s="46"/>
      <c r="M102" s="242">
        <f t="shared" si="24"/>
        <v>0</v>
      </c>
      <c r="O102" s="315" t="str">
        <f t="shared" si="19"/>
        <v/>
      </c>
      <c r="P102" t="str">
        <f t="shared" si="20"/>
        <v/>
      </c>
      <c r="Q102" s="46" t="str">
        <f t="shared" si="22"/>
        <v/>
      </c>
      <c r="R102" s="218" t="str">
        <f t="shared" ca="1" si="25"/>
        <v/>
      </c>
    </row>
    <row r="103" spans="3:18" ht="15" customHeight="1">
      <c r="C103" s="46" t="str">
        <f t="shared" si="17"/>
        <v/>
      </c>
      <c r="D103" t="str">
        <f t="shared" si="18"/>
        <v/>
      </c>
      <c r="F103" s="188"/>
      <c r="J103" s="406">
        <f t="shared" si="21"/>
        <v>0</v>
      </c>
      <c r="K103" s="404">
        <f t="shared" si="21"/>
        <v>0</v>
      </c>
      <c r="L103" s="46"/>
      <c r="M103" s="242">
        <f t="shared" si="24"/>
        <v>0</v>
      </c>
      <c r="O103" s="315" t="str">
        <f t="shared" si="19"/>
        <v/>
      </c>
      <c r="P103" t="str">
        <f t="shared" si="20"/>
        <v/>
      </c>
      <c r="Q103" s="46" t="str">
        <f t="shared" si="22"/>
        <v/>
      </c>
      <c r="R103" s="218" t="str">
        <f t="shared" ca="1" si="25"/>
        <v/>
      </c>
    </row>
    <row r="104" spans="3:18" ht="15" customHeight="1">
      <c r="C104" s="46" t="str">
        <f t="shared" si="17"/>
        <v/>
      </c>
      <c r="D104" t="str">
        <f t="shared" si="18"/>
        <v/>
      </c>
      <c r="F104" s="188"/>
      <c r="J104" s="406">
        <f t="shared" si="21"/>
        <v>0</v>
      </c>
      <c r="K104" s="404">
        <f t="shared" si="21"/>
        <v>0</v>
      </c>
      <c r="L104" s="46"/>
      <c r="M104" s="242">
        <f t="shared" si="24"/>
        <v>0</v>
      </c>
      <c r="O104" s="315" t="str">
        <f t="shared" si="19"/>
        <v/>
      </c>
      <c r="P104" t="str">
        <f t="shared" si="20"/>
        <v/>
      </c>
      <c r="Q104" s="46" t="str">
        <f t="shared" si="22"/>
        <v/>
      </c>
      <c r="R104" s="218" t="str">
        <f t="shared" ca="1" si="25"/>
        <v/>
      </c>
    </row>
    <row r="105" spans="3:18" ht="15" customHeight="1">
      <c r="C105" s="46" t="str">
        <f t="shared" si="17"/>
        <v/>
      </c>
      <c r="D105" t="str">
        <f t="shared" si="18"/>
        <v/>
      </c>
      <c r="F105" s="188"/>
      <c r="J105" s="406">
        <f t="shared" si="21"/>
        <v>0</v>
      </c>
      <c r="K105" s="404">
        <f t="shared" si="21"/>
        <v>0</v>
      </c>
      <c r="L105" s="46"/>
      <c r="M105" s="242">
        <f t="shared" si="24"/>
        <v>0</v>
      </c>
      <c r="O105" s="315" t="str">
        <f t="shared" si="19"/>
        <v/>
      </c>
      <c r="P105" t="str">
        <f t="shared" si="20"/>
        <v/>
      </c>
      <c r="Q105" s="46" t="str">
        <f t="shared" si="22"/>
        <v/>
      </c>
      <c r="R105" s="218" t="str">
        <f t="shared" ca="1" si="25"/>
        <v/>
      </c>
    </row>
    <row r="106" spans="3:18" ht="15" customHeight="1">
      <c r="C106" s="46" t="str">
        <f t="shared" si="17"/>
        <v/>
      </c>
      <c r="D106" t="str">
        <f t="shared" si="18"/>
        <v/>
      </c>
      <c r="F106" s="188"/>
      <c r="J106" s="406">
        <f t="shared" si="21"/>
        <v>0</v>
      </c>
      <c r="K106" s="404">
        <f t="shared" si="21"/>
        <v>0</v>
      </c>
      <c r="L106" s="46"/>
      <c r="M106" s="242">
        <f t="shared" si="24"/>
        <v>0</v>
      </c>
      <c r="O106" s="315" t="str">
        <f t="shared" si="19"/>
        <v/>
      </c>
      <c r="P106" t="str">
        <f t="shared" si="20"/>
        <v/>
      </c>
      <c r="Q106" s="46" t="str">
        <f t="shared" si="22"/>
        <v/>
      </c>
      <c r="R106" s="218" t="str">
        <f t="shared" ca="1" si="25"/>
        <v/>
      </c>
    </row>
    <row r="107" spans="3:18" ht="15" customHeight="1">
      <c r="C107" s="46" t="str">
        <f t="shared" si="17"/>
        <v/>
      </c>
      <c r="D107" t="str">
        <f t="shared" si="18"/>
        <v/>
      </c>
      <c r="F107" s="188"/>
      <c r="J107" s="406">
        <f t="shared" si="21"/>
        <v>0</v>
      </c>
      <c r="K107" s="404">
        <f t="shared" si="21"/>
        <v>0</v>
      </c>
      <c r="L107" s="46"/>
      <c r="M107" s="242">
        <f t="shared" si="24"/>
        <v>0</v>
      </c>
      <c r="O107" s="315" t="str">
        <f t="shared" si="19"/>
        <v/>
      </c>
      <c r="P107" t="str">
        <f t="shared" si="20"/>
        <v/>
      </c>
      <c r="Q107" s="46" t="str">
        <f t="shared" si="22"/>
        <v/>
      </c>
      <c r="R107" s="218" t="str">
        <f t="shared" ca="1" si="25"/>
        <v/>
      </c>
    </row>
    <row r="108" spans="3:18" ht="15" customHeight="1">
      <c r="C108" s="46" t="str">
        <f t="shared" si="17"/>
        <v/>
      </c>
      <c r="D108" t="str">
        <f t="shared" si="18"/>
        <v/>
      </c>
      <c r="F108" s="188"/>
      <c r="J108" s="406">
        <f t="shared" si="21"/>
        <v>0</v>
      </c>
      <c r="K108" s="404">
        <f t="shared" si="21"/>
        <v>0</v>
      </c>
      <c r="L108" s="46"/>
      <c r="M108" s="242">
        <f t="shared" si="24"/>
        <v>0</v>
      </c>
      <c r="O108" s="315" t="str">
        <f t="shared" si="19"/>
        <v/>
      </c>
      <c r="P108" t="str">
        <f t="shared" si="20"/>
        <v/>
      </c>
      <c r="Q108" s="46" t="str">
        <f t="shared" si="22"/>
        <v/>
      </c>
      <c r="R108" s="218" t="str">
        <f t="shared" ca="1" si="25"/>
        <v/>
      </c>
    </row>
    <row r="109" spans="3:18" ht="15" customHeight="1">
      <c r="C109" s="46" t="str">
        <f t="shared" si="17"/>
        <v/>
      </c>
      <c r="D109" t="str">
        <f t="shared" si="18"/>
        <v/>
      </c>
      <c r="F109" s="188"/>
      <c r="J109" s="406">
        <f t="shared" si="21"/>
        <v>0</v>
      </c>
      <c r="K109" s="404">
        <f t="shared" si="21"/>
        <v>0</v>
      </c>
      <c r="L109" s="46"/>
      <c r="M109" s="242">
        <f t="shared" si="24"/>
        <v>0</v>
      </c>
      <c r="O109" s="315" t="str">
        <f t="shared" si="19"/>
        <v/>
      </c>
      <c r="P109" t="str">
        <f t="shared" si="20"/>
        <v/>
      </c>
      <c r="Q109" s="46" t="str">
        <f t="shared" si="22"/>
        <v/>
      </c>
      <c r="R109" s="218" t="str">
        <f t="shared" ca="1" si="25"/>
        <v/>
      </c>
    </row>
    <row r="110" spans="3:18" ht="15" customHeight="1">
      <c r="C110" s="46" t="str">
        <f t="shared" si="17"/>
        <v/>
      </c>
      <c r="D110" t="str">
        <f t="shared" si="18"/>
        <v/>
      </c>
      <c r="F110" s="188"/>
      <c r="J110" s="406">
        <f t="shared" si="21"/>
        <v>0</v>
      </c>
      <c r="K110" s="404">
        <f t="shared" si="21"/>
        <v>0</v>
      </c>
      <c r="L110" s="46"/>
      <c r="M110" s="242">
        <f t="shared" si="24"/>
        <v>0</v>
      </c>
      <c r="O110" s="315" t="str">
        <f t="shared" si="19"/>
        <v/>
      </c>
      <c r="P110" t="str">
        <f t="shared" si="20"/>
        <v/>
      </c>
      <c r="Q110" s="46" t="str">
        <f t="shared" si="22"/>
        <v/>
      </c>
      <c r="R110" s="218" t="str">
        <f t="shared" ca="1" si="25"/>
        <v/>
      </c>
    </row>
    <row r="111" spans="3:18" ht="15" customHeight="1">
      <c r="C111" s="46" t="str">
        <f t="shared" si="17"/>
        <v/>
      </c>
      <c r="D111" t="str">
        <f t="shared" si="18"/>
        <v/>
      </c>
      <c r="F111" s="188"/>
      <c r="J111" s="406">
        <f t="shared" si="21"/>
        <v>0</v>
      </c>
      <c r="K111" s="404">
        <f t="shared" si="21"/>
        <v>0</v>
      </c>
      <c r="L111" s="46"/>
      <c r="M111" s="242">
        <f t="shared" si="24"/>
        <v>0</v>
      </c>
      <c r="O111" s="315" t="str">
        <f t="shared" si="19"/>
        <v/>
      </c>
      <c r="P111" t="str">
        <f t="shared" si="20"/>
        <v/>
      </c>
      <c r="Q111" s="46" t="str">
        <f t="shared" si="22"/>
        <v/>
      </c>
      <c r="R111" s="218" t="str">
        <f t="shared" ca="1" si="25"/>
        <v/>
      </c>
    </row>
    <row r="112" spans="3:18" ht="15" customHeight="1">
      <c r="C112" s="46" t="str">
        <f t="shared" si="17"/>
        <v/>
      </c>
      <c r="D112" t="str">
        <f t="shared" si="18"/>
        <v/>
      </c>
      <c r="F112" s="188"/>
      <c r="J112" s="406">
        <f t="shared" si="21"/>
        <v>0</v>
      </c>
      <c r="K112" s="404">
        <f t="shared" si="21"/>
        <v>0</v>
      </c>
      <c r="L112" s="46"/>
      <c r="M112" s="242">
        <f t="shared" si="24"/>
        <v>0</v>
      </c>
      <c r="O112" s="315" t="str">
        <f t="shared" si="19"/>
        <v/>
      </c>
      <c r="P112" t="str">
        <f t="shared" si="20"/>
        <v/>
      </c>
      <c r="Q112" s="46" t="str">
        <f t="shared" si="22"/>
        <v/>
      </c>
      <c r="R112" s="218" t="str">
        <f t="shared" ca="1" si="25"/>
        <v/>
      </c>
    </row>
    <row r="113" spans="3:18" ht="15" customHeight="1">
      <c r="C113" s="46" t="str">
        <f t="shared" si="17"/>
        <v/>
      </c>
      <c r="D113" t="str">
        <f t="shared" si="18"/>
        <v/>
      </c>
      <c r="F113" s="188"/>
      <c r="J113" s="406">
        <f t="shared" si="21"/>
        <v>0</v>
      </c>
      <c r="K113" s="404">
        <f t="shared" si="21"/>
        <v>0</v>
      </c>
      <c r="L113" s="46"/>
      <c r="M113" s="242">
        <f t="shared" si="24"/>
        <v>0</v>
      </c>
      <c r="O113" s="315" t="str">
        <f t="shared" si="19"/>
        <v/>
      </c>
      <c r="P113" t="str">
        <f t="shared" si="20"/>
        <v/>
      </c>
      <c r="Q113" s="46" t="str">
        <f t="shared" si="22"/>
        <v/>
      </c>
      <c r="R113" s="218" t="str">
        <f t="shared" ca="1" si="25"/>
        <v/>
      </c>
    </row>
    <row r="114" spans="3:18" ht="15" customHeight="1">
      <c r="C114" s="46" t="str">
        <f t="shared" si="17"/>
        <v/>
      </c>
      <c r="D114" t="str">
        <f t="shared" si="18"/>
        <v/>
      </c>
      <c r="F114" s="188"/>
      <c r="J114" s="406">
        <f t="shared" si="21"/>
        <v>0</v>
      </c>
      <c r="K114" s="404">
        <f t="shared" si="21"/>
        <v>0</v>
      </c>
      <c r="L114" s="46"/>
      <c r="M114" s="242">
        <f t="shared" si="24"/>
        <v>0</v>
      </c>
      <c r="O114" s="315" t="str">
        <f t="shared" si="19"/>
        <v/>
      </c>
      <c r="P114" t="str">
        <f t="shared" si="20"/>
        <v/>
      </c>
      <c r="Q114" s="46" t="str">
        <f t="shared" si="22"/>
        <v/>
      </c>
      <c r="R114" s="218" t="str">
        <f t="shared" ca="1" si="25"/>
        <v/>
      </c>
    </row>
    <row r="115" spans="3:18" ht="15" customHeight="1">
      <c r="C115" s="46" t="str">
        <f t="shared" si="17"/>
        <v/>
      </c>
      <c r="D115" t="str">
        <f t="shared" si="18"/>
        <v/>
      </c>
      <c r="F115" s="188"/>
      <c r="J115" s="406">
        <f t="shared" si="21"/>
        <v>0</v>
      </c>
      <c r="K115" s="404">
        <f t="shared" si="21"/>
        <v>0</v>
      </c>
      <c r="L115" s="46"/>
      <c r="M115" s="242">
        <f t="shared" si="24"/>
        <v>0</v>
      </c>
      <c r="O115" s="315" t="str">
        <f t="shared" si="19"/>
        <v/>
      </c>
      <c r="P115" t="str">
        <f t="shared" si="20"/>
        <v/>
      </c>
      <c r="Q115" s="46" t="str">
        <f t="shared" si="22"/>
        <v/>
      </c>
      <c r="R115" s="218" t="str">
        <f t="shared" ca="1" si="25"/>
        <v/>
      </c>
    </row>
    <row r="116" spans="3:18" ht="15" customHeight="1">
      <c r="C116" s="46" t="str">
        <f t="shared" si="17"/>
        <v/>
      </c>
      <c r="D116" t="str">
        <f t="shared" si="18"/>
        <v/>
      </c>
      <c r="F116" s="188"/>
      <c r="J116" s="406">
        <f t="shared" si="21"/>
        <v>0</v>
      </c>
      <c r="K116" s="404">
        <f t="shared" si="21"/>
        <v>0</v>
      </c>
      <c r="L116" s="46"/>
      <c r="M116" s="242">
        <f t="shared" si="24"/>
        <v>0</v>
      </c>
      <c r="O116" s="315" t="str">
        <f t="shared" si="19"/>
        <v/>
      </c>
      <c r="P116" t="str">
        <f t="shared" si="20"/>
        <v/>
      </c>
      <c r="Q116" s="46" t="str">
        <f t="shared" si="22"/>
        <v/>
      </c>
      <c r="R116" s="218" t="str">
        <f t="shared" ca="1" si="25"/>
        <v/>
      </c>
    </row>
    <row r="117" spans="3:18" ht="15" customHeight="1">
      <c r="C117" s="46" t="str">
        <f t="shared" si="17"/>
        <v/>
      </c>
      <c r="D117" t="str">
        <f t="shared" si="18"/>
        <v/>
      </c>
      <c r="F117" s="188"/>
      <c r="J117" s="406">
        <f t="shared" si="21"/>
        <v>0</v>
      </c>
      <c r="K117" s="404">
        <f t="shared" si="21"/>
        <v>0</v>
      </c>
      <c r="L117" s="46"/>
      <c r="M117" s="242">
        <f t="shared" si="24"/>
        <v>0</v>
      </c>
      <c r="O117" s="315" t="str">
        <f t="shared" si="19"/>
        <v/>
      </c>
      <c r="P117" t="str">
        <f t="shared" si="20"/>
        <v/>
      </c>
      <c r="Q117" s="46" t="str">
        <f t="shared" si="22"/>
        <v/>
      </c>
      <c r="R117" s="218" t="str">
        <f t="shared" ca="1" si="25"/>
        <v/>
      </c>
    </row>
    <row r="118" spans="3:18" ht="15" customHeight="1">
      <c r="C118" s="46" t="str">
        <f t="shared" si="17"/>
        <v/>
      </c>
      <c r="D118" t="str">
        <f t="shared" si="18"/>
        <v/>
      </c>
      <c r="F118" s="188"/>
      <c r="J118" s="406">
        <f t="shared" si="21"/>
        <v>0</v>
      </c>
      <c r="K118" s="404">
        <f t="shared" si="21"/>
        <v>0</v>
      </c>
      <c r="L118" s="46"/>
      <c r="M118" s="242">
        <f t="shared" si="24"/>
        <v>0</v>
      </c>
      <c r="O118" s="315" t="str">
        <f t="shared" si="19"/>
        <v/>
      </c>
      <c r="P118" t="str">
        <f t="shared" si="20"/>
        <v/>
      </c>
      <c r="Q118" s="46" t="str">
        <f t="shared" si="22"/>
        <v/>
      </c>
      <c r="R118" s="218" t="str">
        <f t="shared" ca="1" si="25"/>
        <v/>
      </c>
    </row>
    <row r="119" spans="3:18" ht="15" customHeight="1">
      <c r="C119" s="46" t="str">
        <f t="shared" si="17"/>
        <v/>
      </c>
      <c r="D119" t="str">
        <f t="shared" si="18"/>
        <v/>
      </c>
      <c r="F119" s="188"/>
      <c r="J119" s="406">
        <f t="shared" si="21"/>
        <v>0</v>
      </c>
      <c r="K119" s="404">
        <f t="shared" si="21"/>
        <v>0</v>
      </c>
      <c r="L119" s="46"/>
      <c r="M119" s="242">
        <f t="shared" si="24"/>
        <v>0</v>
      </c>
      <c r="O119" s="315" t="str">
        <f t="shared" si="19"/>
        <v/>
      </c>
      <c r="P119" t="str">
        <f t="shared" si="20"/>
        <v/>
      </c>
      <c r="Q119" s="46" t="str">
        <f t="shared" si="22"/>
        <v/>
      </c>
      <c r="R119" s="218" t="str">
        <f t="shared" ca="1" si="25"/>
        <v/>
      </c>
    </row>
    <row r="120" spans="3:18" ht="15" customHeight="1">
      <c r="C120" s="46" t="str">
        <f t="shared" si="17"/>
        <v/>
      </c>
      <c r="D120" t="str">
        <f t="shared" si="18"/>
        <v/>
      </c>
      <c r="F120" s="188"/>
      <c r="J120" s="406">
        <f t="shared" si="21"/>
        <v>0</v>
      </c>
      <c r="K120" s="404">
        <f t="shared" si="21"/>
        <v>0</v>
      </c>
      <c r="L120" s="46"/>
      <c r="M120" s="242">
        <f t="shared" si="24"/>
        <v>0</v>
      </c>
      <c r="O120" s="315" t="str">
        <f t="shared" si="19"/>
        <v/>
      </c>
      <c r="P120" t="str">
        <f t="shared" si="20"/>
        <v/>
      </c>
      <c r="Q120" s="46" t="str">
        <f t="shared" si="22"/>
        <v/>
      </c>
      <c r="R120" s="218" t="str">
        <f t="shared" ca="1" si="25"/>
        <v/>
      </c>
    </row>
    <row r="121" spans="3:18" ht="15" customHeight="1">
      <c r="C121" s="46" t="str">
        <f t="shared" si="17"/>
        <v/>
      </c>
      <c r="D121" t="str">
        <f t="shared" si="18"/>
        <v/>
      </c>
      <c r="F121" s="188"/>
      <c r="J121" s="406">
        <f t="shared" si="21"/>
        <v>0</v>
      </c>
      <c r="K121" s="404">
        <f t="shared" si="21"/>
        <v>0</v>
      </c>
      <c r="L121" s="46"/>
      <c r="M121" s="242">
        <f t="shared" si="24"/>
        <v>0</v>
      </c>
      <c r="O121" s="315" t="str">
        <f t="shared" si="19"/>
        <v/>
      </c>
      <c r="P121" t="str">
        <f t="shared" si="20"/>
        <v/>
      </c>
      <c r="Q121" s="46" t="str">
        <f t="shared" si="22"/>
        <v/>
      </c>
      <c r="R121" s="218" t="str">
        <f t="shared" ca="1" si="25"/>
        <v/>
      </c>
    </row>
    <row r="122" spans="3:18" ht="15" customHeight="1">
      <c r="C122" s="46" t="str">
        <f t="shared" si="17"/>
        <v/>
      </c>
      <c r="D122" t="str">
        <f t="shared" si="18"/>
        <v/>
      </c>
      <c r="F122" s="188"/>
      <c r="J122" s="406">
        <f t="shared" si="21"/>
        <v>0</v>
      </c>
      <c r="K122" s="404">
        <f t="shared" si="21"/>
        <v>0</v>
      </c>
      <c r="L122" s="46"/>
      <c r="M122" s="242">
        <f t="shared" si="24"/>
        <v>0</v>
      </c>
      <c r="O122" s="315" t="str">
        <f t="shared" si="19"/>
        <v/>
      </c>
      <c r="P122" t="str">
        <f t="shared" si="20"/>
        <v/>
      </c>
      <c r="Q122" s="46" t="str">
        <f t="shared" si="22"/>
        <v/>
      </c>
      <c r="R122" s="218" t="str">
        <f t="shared" ca="1" si="25"/>
        <v/>
      </c>
    </row>
    <row r="123" spans="3:18" ht="15" customHeight="1">
      <c r="C123" s="46" t="str">
        <f t="shared" si="17"/>
        <v/>
      </c>
      <c r="D123" t="str">
        <f t="shared" si="18"/>
        <v/>
      </c>
      <c r="F123" s="188"/>
      <c r="J123" s="406">
        <f t="shared" si="21"/>
        <v>0</v>
      </c>
      <c r="K123" s="404">
        <f t="shared" si="21"/>
        <v>0</v>
      </c>
      <c r="L123" s="46"/>
      <c r="M123" s="242">
        <f t="shared" si="24"/>
        <v>0</v>
      </c>
      <c r="O123" s="315" t="str">
        <f t="shared" si="19"/>
        <v/>
      </c>
      <c r="P123" t="str">
        <f t="shared" si="20"/>
        <v/>
      </c>
      <c r="Q123" s="46" t="str">
        <f t="shared" si="22"/>
        <v/>
      </c>
      <c r="R123" s="218" t="str">
        <f t="shared" ca="1" si="25"/>
        <v/>
      </c>
    </row>
    <row r="124" spans="3:18" ht="15" customHeight="1">
      <c r="C124" s="46" t="str">
        <f t="shared" si="17"/>
        <v/>
      </c>
      <c r="D124" t="str">
        <f t="shared" si="18"/>
        <v/>
      </c>
      <c r="F124" s="188"/>
      <c r="J124" s="406">
        <f t="shared" si="21"/>
        <v>0</v>
      </c>
      <c r="K124" s="404">
        <f t="shared" si="21"/>
        <v>0</v>
      </c>
      <c r="L124" s="46"/>
      <c r="M124" s="242">
        <f t="shared" si="24"/>
        <v>0</v>
      </c>
      <c r="O124" s="315" t="str">
        <f t="shared" si="19"/>
        <v/>
      </c>
      <c r="P124" t="str">
        <f t="shared" si="20"/>
        <v/>
      </c>
      <c r="Q124" s="46" t="str">
        <f t="shared" si="22"/>
        <v/>
      </c>
      <c r="R124" s="218" t="str">
        <f t="shared" ca="1" si="25"/>
        <v/>
      </c>
    </row>
    <row r="125" spans="3:18" ht="15" customHeight="1">
      <c r="C125" s="46" t="str">
        <f t="shared" si="17"/>
        <v/>
      </c>
      <c r="D125" t="str">
        <f t="shared" si="18"/>
        <v/>
      </c>
      <c r="F125" s="188"/>
      <c r="J125" s="406">
        <f t="shared" si="21"/>
        <v>0</v>
      </c>
      <c r="K125" s="404">
        <f t="shared" si="21"/>
        <v>0</v>
      </c>
      <c r="L125" s="46"/>
      <c r="M125" s="242">
        <f t="shared" si="24"/>
        <v>0</v>
      </c>
      <c r="O125" s="315" t="str">
        <f t="shared" si="19"/>
        <v/>
      </c>
      <c r="P125" t="str">
        <f t="shared" si="20"/>
        <v/>
      </c>
      <c r="Q125" s="46" t="str">
        <f t="shared" si="22"/>
        <v/>
      </c>
      <c r="R125" s="218" t="str">
        <f t="shared" ca="1" si="25"/>
        <v/>
      </c>
    </row>
    <row r="126" spans="3:18" ht="15" customHeight="1">
      <c r="C126" s="46" t="str">
        <f t="shared" si="17"/>
        <v/>
      </c>
      <c r="D126" t="str">
        <f t="shared" si="18"/>
        <v/>
      </c>
      <c r="F126" s="188"/>
      <c r="K126" s="404">
        <f t="shared" ref="K126:K133" si="26">J126</f>
        <v>0</v>
      </c>
      <c r="L126" s="46"/>
      <c r="M126" s="242">
        <f t="shared" si="24"/>
        <v>0</v>
      </c>
      <c r="O126" s="315" t="str">
        <f t="shared" si="19"/>
        <v/>
      </c>
      <c r="P126" t="str">
        <f t="shared" si="20"/>
        <v/>
      </c>
      <c r="Q126" s="46" t="str">
        <f t="shared" si="22"/>
        <v/>
      </c>
      <c r="R126" s="218" t="str">
        <f t="shared" ca="1" si="25"/>
        <v/>
      </c>
    </row>
    <row r="127" spans="3:18" ht="15" customHeight="1">
      <c r="C127" s="46" t="str">
        <f t="shared" si="17"/>
        <v/>
      </c>
      <c r="D127" t="str">
        <f t="shared" si="18"/>
        <v/>
      </c>
      <c r="F127" s="188"/>
      <c r="K127" s="404">
        <f t="shared" si="26"/>
        <v>0</v>
      </c>
      <c r="L127" s="46"/>
      <c r="M127" s="242">
        <f t="shared" si="24"/>
        <v>0</v>
      </c>
      <c r="O127" s="315" t="str">
        <f t="shared" si="19"/>
        <v/>
      </c>
      <c r="P127" t="str">
        <f t="shared" si="20"/>
        <v/>
      </c>
      <c r="Q127" s="46" t="str">
        <f t="shared" si="22"/>
        <v/>
      </c>
      <c r="R127" s="218" t="str">
        <f t="shared" ca="1" si="25"/>
        <v/>
      </c>
    </row>
    <row r="128" spans="3:18" ht="15" customHeight="1">
      <c r="C128" s="46" t="str">
        <f t="shared" si="17"/>
        <v/>
      </c>
      <c r="D128" t="str">
        <f t="shared" si="18"/>
        <v/>
      </c>
      <c r="F128" s="188"/>
      <c r="K128" s="404">
        <f t="shared" si="26"/>
        <v>0</v>
      </c>
      <c r="L128" s="46"/>
      <c r="M128" s="242">
        <f t="shared" si="24"/>
        <v>0</v>
      </c>
      <c r="O128" s="315" t="str">
        <f t="shared" si="19"/>
        <v/>
      </c>
      <c r="P128" t="str">
        <f t="shared" si="20"/>
        <v/>
      </c>
      <c r="Q128" s="46" t="str">
        <f t="shared" si="22"/>
        <v/>
      </c>
      <c r="R128" s="218" t="str">
        <f t="shared" ca="1" si="25"/>
        <v/>
      </c>
    </row>
    <row r="129" spans="3:18" ht="15" customHeight="1">
      <c r="C129" s="46" t="str">
        <f t="shared" si="17"/>
        <v/>
      </c>
      <c r="D129" t="str">
        <f t="shared" si="18"/>
        <v/>
      </c>
      <c r="F129" s="188"/>
      <c r="K129" s="404">
        <f t="shared" si="26"/>
        <v>0</v>
      </c>
      <c r="L129" s="46"/>
      <c r="M129" s="242">
        <f t="shared" si="24"/>
        <v>0</v>
      </c>
      <c r="O129" s="315" t="str">
        <f t="shared" si="19"/>
        <v/>
      </c>
      <c r="P129" t="str">
        <f t="shared" si="20"/>
        <v/>
      </c>
      <c r="Q129" s="46" t="str">
        <f t="shared" si="22"/>
        <v/>
      </c>
      <c r="R129" s="218" t="str">
        <f t="shared" ca="1" si="25"/>
        <v/>
      </c>
    </row>
    <row r="130" spans="3:18" ht="15" customHeight="1">
      <c r="C130" s="46" t="str">
        <f t="shared" si="17"/>
        <v/>
      </c>
      <c r="D130" t="str">
        <f t="shared" si="18"/>
        <v/>
      </c>
      <c r="F130" s="188"/>
      <c r="K130" s="404">
        <f t="shared" si="26"/>
        <v>0</v>
      </c>
      <c r="L130" s="46"/>
      <c r="M130" s="242">
        <f t="shared" si="24"/>
        <v>0</v>
      </c>
      <c r="P130" t="str">
        <f t="shared" si="20"/>
        <v/>
      </c>
      <c r="Q130" s="46" t="str">
        <f t="shared" si="22"/>
        <v/>
      </c>
      <c r="R130" s="218" t="str">
        <f t="shared" ca="1" si="25"/>
        <v/>
      </c>
    </row>
    <row r="131" spans="3:18" ht="15" customHeight="1">
      <c r="C131" s="46" t="str">
        <f t="shared" si="17"/>
        <v/>
      </c>
      <c r="D131" t="str">
        <f t="shared" si="18"/>
        <v/>
      </c>
      <c r="F131" s="188"/>
      <c r="K131" s="404">
        <f t="shared" si="26"/>
        <v>0</v>
      </c>
      <c r="L131" s="46"/>
      <c r="M131" s="242">
        <f t="shared" si="24"/>
        <v>0</v>
      </c>
      <c r="P131" t="str">
        <f t="shared" si="20"/>
        <v/>
      </c>
      <c r="Q131" s="46" t="str">
        <f t="shared" si="22"/>
        <v/>
      </c>
      <c r="R131" s="218" t="str">
        <f t="shared" ca="1" si="25"/>
        <v/>
      </c>
    </row>
    <row r="132" spans="3:18" ht="15" customHeight="1">
      <c r="C132" s="46" t="str">
        <f t="shared" ref="C132:C133" si="27">IF(B132&lt;&gt;"",PROPER(TEXT(B132,"mmmm")),"")</f>
        <v/>
      </c>
      <c r="D132" t="str">
        <f t="shared" ref="D132:D133" si="28">IF(B132&lt;&gt;"",TEXT(B132,"aaaa"),"")</f>
        <v/>
      </c>
      <c r="F132" s="188"/>
      <c r="K132" s="404">
        <f t="shared" si="26"/>
        <v>0</v>
      </c>
      <c r="L132" s="46"/>
      <c r="M132" s="242">
        <f t="shared" si="24"/>
        <v>0</v>
      </c>
      <c r="P132" t="str">
        <f t="shared" ref="P132" si="29">IF(N132&lt;&gt;"",TEXT(N132,"aaaa"),"")</f>
        <v/>
      </c>
      <c r="Q132" s="46" t="str">
        <f t="shared" si="22"/>
        <v/>
      </c>
      <c r="R132" s="218" t="str">
        <f t="shared" ca="1" si="25"/>
        <v/>
      </c>
    </row>
    <row r="133" spans="3:18" ht="15" customHeight="1">
      <c r="C133" s="46" t="str">
        <f t="shared" si="27"/>
        <v/>
      </c>
      <c r="D133" t="str">
        <f t="shared" si="28"/>
        <v/>
      </c>
      <c r="F133" s="188"/>
      <c r="K133" s="404">
        <f t="shared" si="26"/>
        <v>0</v>
      </c>
      <c r="L133" s="46"/>
      <c r="M133" s="242">
        <f t="shared" si="24"/>
        <v>0</v>
      </c>
      <c r="R133" s="218" t="str">
        <f t="shared" ref="R133" ca="1" si="30">IF(Q133="PAGO", "✓ OK", IF(Q133="A PAGAR", IF(N133&lt;TODAY(), "⚠ EM ATRASO", "EM DIA"), ""))</f>
        <v/>
      </c>
    </row>
    <row r="134" spans="3:18" ht="15" customHeight="1">
      <c r="F134" s="188"/>
      <c r="L134" s="46"/>
    </row>
    <row r="135" spans="3:18" ht="15" customHeight="1">
      <c r="F135" s="188"/>
      <c r="L135" s="46"/>
    </row>
    <row r="136" spans="3:18" ht="15" customHeight="1">
      <c r="F136" s="188"/>
      <c r="L136" s="46"/>
    </row>
    <row r="137" spans="3:18" ht="15" customHeight="1">
      <c r="F137" s="188"/>
      <c r="L137" s="46"/>
    </row>
    <row r="138" spans="3:18" ht="15" customHeight="1">
      <c r="F138" s="188"/>
      <c r="L138" s="46"/>
    </row>
    <row r="139" spans="3:18" ht="15" customHeight="1">
      <c r="F139" s="188"/>
      <c r="L139" s="46"/>
    </row>
    <row r="140" spans="3:18" ht="15" customHeight="1">
      <c r="F140" s="188"/>
      <c r="L140" s="46"/>
    </row>
    <row r="141" spans="3:18" ht="15" customHeight="1">
      <c r="F141" s="188"/>
      <c r="L141" s="46"/>
    </row>
    <row r="142" spans="3:18" ht="15" customHeight="1">
      <c r="F142" s="188"/>
      <c r="L142" s="46"/>
    </row>
    <row r="143" spans="3:18" ht="15" customHeight="1">
      <c r="F143" s="188"/>
      <c r="L143" s="46"/>
    </row>
    <row r="144" spans="3:18" ht="15" customHeight="1">
      <c r="F144" s="188"/>
      <c r="L144" s="46"/>
    </row>
    <row r="145" spans="6:12" ht="15" customHeight="1">
      <c r="F145" s="188"/>
      <c r="L145" s="46"/>
    </row>
    <row r="146" spans="6:12" ht="15" customHeight="1">
      <c r="F146" s="188"/>
      <c r="L146" s="46"/>
    </row>
    <row r="147" spans="6:12" ht="15" customHeight="1">
      <c r="F147" s="188"/>
      <c r="L147" s="46"/>
    </row>
    <row r="148" spans="6:12" ht="15" customHeight="1">
      <c r="F148" s="188"/>
      <c r="L148" s="46"/>
    </row>
    <row r="149" spans="6:12" ht="15" customHeight="1">
      <c r="F149" s="188"/>
      <c r="L149" s="46"/>
    </row>
    <row r="150" spans="6:12" ht="15" customHeight="1">
      <c r="F150" s="188"/>
      <c r="L150" s="46"/>
    </row>
    <row r="151" spans="6:12" ht="15" customHeight="1">
      <c r="F151" s="188"/>
      <c r="L151" s="46"/>
    </row>
    <row r="152" spans="6:12" ht="15" customHeight="1">
      <c r="F152" s="188"/>
      <c r="L152" s="46"/>
    </row>
    <row r="153" spans="6:12" ht="15" customHeight="1">
      <c r="F153" s="188"/>
      <c r="L153" s="46"/>
    </row>
    <row r="154" spans="6:12" ht="15" customHeight="1">
      <c r="F154" s="188"/>
      <c r="L154" s="46"/>
    </row>
    <row r="155" spans="6:12" ht="15" customHeight="1">
      <c r="F155" s="188"/>
      <c r="L155" s="46"/>
    </row>
    <row r="156" spans="6:12" ht="15" customHeight="1">
      <c r="F156" s="188"/>
      <c r="L156" s="46"/>
    </row>
    <row r="157" spans="6:12" ht="15" customHeight="1">
      <c r="F157" s="188"/>
      <c r="L157" s="46"/>
    </row>
    <row r="158" spans="6:12" ht="15" customHeight="1">
      <c r="F158" s="188"/>
      <c r="L158" s="46"/>
    </row>
    <row r="159" spans="6:12" ht="15" customHeight="1">
      <c r="F159" s="188"/>
      <c r="L159" s="46"/>
    </row>
    <row r="160" spans="6:12" ht="15" customHeight="1">
      <c r="F160" s="188"/>
      <c r="L160" s="46"/>
    </row>
    <row r="161" spans="6:12" ht="15" customHeight="1">
      <c r="F161" s="188"/>
      <c r="L161" s="46"/>
    </row>
    <row r="162" spans="6:12" ht="15" customHeight="1">
      <c r="F162" s="188"/>
      <c r="L162" s="46"/>
    </row>
    <row r="163" spans="6:12" ht="15" customHeight="1">
      <c r="F163" s="188"/>
      <c r="L163" s="46"/>
    </row>
    <row r="164" spans="6:12" ht="15" customHeight="1">
      <c r="F164" s="188"/>
      <c r="L164" s="46"/>
    </row>
    <row r="165" spans="6:12" ht="15" customHeight="1">
      <c r="F165" s="188"/>
      <c r="L165" s="46"/>
    </row>
    <row r="166" spans="6:12" ht="15" customHeight="1">
      <c r="F166" s="188"/>
      <c r="L166" s="46"/>
    </row>
    <row r="167" spans="6:12" ht="15" customHeight="1">
      <c r="F167" s="188"/>
      <c r="L167" s="46"/>
    </row>
    <row r="168" spans="6:12" ht="15" customHeight="1">
      <c r="F168" s="188"/>
      <c r="L168" s="46"/>
    </row>
    <row r="169" spans="6:12" ht="15" customHeight="1">
      <c r="F169" s="188"/>
      <c r="L169" s="46"/>
    </row>
    <row r="170" spans="6:12" ht="15" customHeight="1">
      <c r="F170" s="188"/>
      <c r="L170" s="46"/>
    </row>
    <row r="171" spans="6:12" ht="15" customHeight="1">
      <c r="F171" s="188"/>
      <c r="L171" s="46"/>
    </row>
    <row r="172" spans="6:12" ht="15" customHeight="1">
      <c r="F172" s="188"/>
      <c r="L172" s="46"/>
    </row>
    <row r="173" spans="6:12" ht="15" customHeight="1">
      <c r="F173" s="188"/>
      <c r="L173" s="46"/>
    </row>
    <row r="174" spans="6:12" ht="15" customHeight="1">
      <c r="F174" s="188"/>
      <c r="L174" s="46"/>
    </row>
    <row r="175" spans="6:12" ht="15" customHeight="1">
      <c r="F175" s="188"/>
      <c r="L175" s="46"/>
    </row>
    <row r="176" spans="6:12" ht="15" customHeight="1">
      <c r="F176" s="188"/>
      <c r="L176" s="46"/>
    </row>
    <row r="177" spans="6:12" ht="15" customHeight="1">
      <c r="F177" s="188"/>
      <c r="L177" s="46"/>
    </row>
    <row r="178" spans="6:12" ht="15" customHeight="1">
      <c r="F178" s="188"/>
      <c r="L178" s="46"/>
    </row>
    <row r="179" spans="6:12" ht="15" customHeight="1">
      <c r="F179" s="188"/>
      <c r="L179" s="46"/>
    </row>
    <row r="180" spans="6:12" ht="15" customHeight="1">
      <c r="F180" s="188"/>
      <c r="L180" s="46"/>
    </row>
    <row r="181" spans="6:12" ht="15" customHeight="1">
      <c r="F181" s="188"/>
      <c r="L181" s="46"/>
    </row>
    <row r="182" spans="6:12" ht="15" customHeight="1">
      <c r="F182" s="188"/>
      <c r="L182" s="46"/>
    </row>
    <row r="183" spans="6:12" ht="15" customHeight="1">
      <c r="F183" s="188"/>
      <c r="L183" s="46"/>
    </row>
    <row r="184" spans="6:12" ht="15" customHeight="1">
      <c r="F184" s="188"/>
      <c r="L184" s="46"/>
    </row>
    <row r="185" spans="6:12" ht="15" customHeight="1">
      <c r="F185" s="188"/>
      <c r="L185" s="46"/>
    </row>
    <row r="186" spans="6:12" ht="15" customHeight="1">
      <c r="F186" s="188"/>
      <c r="L186" s="46"/>
    </row>
    <row r="187" spans="6:12" ht="15" customHeight="1">
      <c r="F187" s="188"/>
      <c r="L187" s="46"/>
    </row>
    <row r="188" spans="6:12" ht="15" customHeight="1">
      <c r="F188" s="188"/>
      <c r="L188" s="46"/>
    </row>
    <row r="189" spans="6:12" ht="15" customHeight="1">
      <c r="F189" s="188"/>
      <c r="L189" s="46"/>
    </row>
    <row r="190" spans="6:12" ht="15" customHeight="1">
      <c r="F190" s="188"/>
      <c r="L190" s="46"/>
    </row>
    <row r="191" spans="6:12" ht="15" customHeight="1">
      <c r="F191" s="188"/>
    </row>
    <row r="192" spans="6:12" ht="15" customHeight="1">
      <c r="F192" s="188"/>
    </row>
    <row r="193" spans="6:6" ht="15" customHeight="1">
      <c r="F193" s="188"/>
    </row>
    <row r="194" spans="6:6" ht="15" customHeight="1">
      <c r="F194" s="188"/>
    </row>
    <row r="195" spans="6:6" ht="15" customHeight="1">
      <c r="F195" s="188"/>
    </row>
    <row r="196" spans="6:6" ht="15" customHeight="1">
      <c r="F196" s="188"/>
    </row>
    <row r="197" spans="6:6" ht="15" customHeight="1">
      <c r="F197" s="188"/>
    </row>
    <row r="198" spans="6:6" ht="15" customHeight="1">
      <c r="F198" s="188"/>
    </row>
    <row r="199" spans="6:6" ht="15" customHeight="1">
      <c r="F199" s="188"/>
    </row>
    <row r="200" spans="6:6" ht="15" customHeight="1">
      <c r="F200" s="188"/>
    </row>
    <row r="201" spans="6:6" ht="15" customHeight="1">
      <c r="F201" s="188"/>
    </row>
    <row r="202" spans="6:6" ht="15" customHeight="1">
      <c r="F202" s="188"/>
    </row>
    <row r="203" spans="6:6" ht="15" customHeight="1">
      <c r="F203" s="188"/>
    </row>
    <row r="204" spans="6:6" ht="15" customHeight="1">
      <c r="F204" s="188"/>
    </row>
    <row r="205" spans="6:6" ht="15" customHeight="1">
      <c r="F205" s="188"/>
    </row>
    <row r="206" spans="6:6" ht="15" customHeight="1">
      <c r="F206" s="188"/>
    </row>
    <row r="207" spans="6:6" ht="15" customHeight="1">
      <c r="F207" s="188"/>
    </row>
    <row r="208" spans="6:6" ht="15" customHeight="1">
      <c r="F208" s="188"/>
    </row>
    <row r="209" spans="6:6" ht="15" customHeight="1">
      <c r="F209" s="188"/>
    </row>
    <row r="210" spans="6:6" ht="15" customHeight="1">
      <c r="F210" s="188"/>
    </row>
    <row r="211" spans="6:6" ht="15" customHeight="1">
      <c r="F211" s="188"/>
    </row>
    <row r="212" spans="6:6" ht="15" customHeight="1">
      <c r="F212" s="188"/>
    </row>
    <row r="213" spans="6:6" ht="15" customHeight="1">
      <c r="F213" s="188"/>
    </row>
    <row r="214" spans="6:6" ht="15" customHeight="1">
      <c r="F214" s="188"/>
    </row>
    <row r="215" spans="6:6" ht="15" customHeight="1">
      <c r="F215" s="188"/>
    </row>
    <row r="216" spans="6:6" ht="15" customHeight="1">
      <c r="F216" s="188"/>
    </row>
    <row r="217" spans="6:6" ht="15" customHeight="1">
      <c r="F217" s="188"/>
    </row>
    <row r="218" spans="6:6" ht="15" customHeight="1">
      <c r="F218" s="188"/>
    </row>
    <row r="219" spans="6:6" ht="15" customHeight="1">
      <c r="F219" s="188"/>
    </row>
    <row r="220" spans="6:6" ht="15" customHeight="1">
      <c r="F220" s="188"/>
    </row>
    <row r="221" spans="6:6" ht="15" customHeight="1">
      <c r="F221" s="188"/>
    </row>
    <row r="222" spans="6:6" ht="15" customHeight="1">
      <c r="F222" s="188"/>
    </row>
    <row r="223" spans="6:6" ht="15" customHeight="1">
      <c r="F223" s="188"/>
    </row>
    <row r="224" spans="6:6" ht="15" customHeight="1">
      <c r="F224" s="188"/>
    </row>
    <row r="225" spans="6:6" ht="15" customHeight="1">
      <c r="F225" s="188"/>
    </row>
    <row r="226" spans="6:6" ht="15" customHeight="1">
      <c r="F226" s="188"/>
    </row>
    <row r="227" spans="6:6" ht="15" customHeight="1">
      <c r="F227" s="188"/>
    </row>
    <row r="228" spans="6:6" ht="15" customHeight="1">
      <c r="F228" s="188"/>
    </row>
    <row r="229" spans="6:6" ht="15" customHeight="1">
      <c r="F229" s="188"/>
    </row>
    <row r="230" spans="6:6" ht="15" customHeight="1">
      <c r="F230" s="188"/>
    </row>
    <row r="231" spans="6:6" ht="15" customHeight="1">
      <c r="F231" s="188"/>
    </row>
    <row r="232" spans="6:6" ht="15" customHeight="1">
      <c r="F232" s="188"/>
    </row>
    <row r="233" spans="6:6" ht="15" customHeight="1">
      <c r="F233" s="188"/>
    </row>
    <row r="234" spans="6:6" ht="15" customHeight="1">
      <c r="F234" s="188"/>
    </row>
    <row r="235" spans="6:6" ht="15" customHeight="1">
      <c r="F235" s="188"/>
    </row>
    <row r="236" spans="6:6" ht="15" customHeight="1">
      <c r="F236" s="188"/>
    </row>
    <row r="237" spans="6:6" ht="15" customHeight="1">
      <c r="F237" s="188"/>
    </row>
    <row r="238" spans="6:6" ht="15" customHeight="1">
      <c r="F238" s="188"/>
    </row>
    <row r="239" spans="6:6" ht="15" customHeight="1">
      <c r="F239" s="188"/>
    </row>
    <row r="240" spans="6:6" ht="15" customHeight="1">
      <c r="F240" s="188"/>
    </row>
    <row r="241" spans="6:6" ht="15" customHeight="1">
      <c r="F241" s="188"/>
    </row>
    <row r="242" spans="6:6" ht="15" customHeight="1">
      <c r="F242" s="188"/>
    </row>
    <row r="243" spans="6:6" ht="15" customHeight="1">
      <c r="F243" s="188"/>
    </row>
    <row r="244" spans="6:6" ht="15" customHeight="1">
      <c r="F244" s="188"/>
    </row>
    <row r="245" spans="6:6" ht="15" customHeight="1">
      <c r="F245" s="188"/>
    </row>
    <row r="246" spans="6:6" ht="15" customHeight="1">
      <c r="F246" s="188"/>
    </row>
    <row r="247" spans="6:6" ht="15" customHeight="1">
      <c r="F247" s="188"/>
    </row>
    <row r="248" spans="6:6" ht="15" customHeight="1">
      <c r="F248" s="188"/>
    </row>
    <row r="249" spans="6:6" ht="15" customHeight="1">
      <c r="F249" s="188"/>
    </row>
    <row r="250" spans="6:6" ht="15" customHeight="1">
      <c r="F250" s="188"/>
    </row>
    <row r="251" spans="6:6" ht="15" customHeight="1">
      <c r="F251" s="188"/>
    </row>
    <row r="252" spans="6:6" ht="15" customHeight="1">
      <c r="F252" s="188"/>
    </row>
    <row r="253" spans="6:6" ht="15" customHeight="1">
      <c r="F253" s="188"/>
    </row>
    <row r="254" spans="6:6" ht="15" customHeight="1">
      <c r="F254" s="188"/>
    </row>
    <row r="255" spans="6:6" ht="15" customHeight="1">
      <c r="F255" s="188"/>
    </row>
    <row r="256" spans="6:6" ht="15" customHeight="1">
      <c r="F256" s="188"/>
    </row>
    <row r="257" spans="6:6" ht="15" customHeight="1">
      <c r="F257" s="188"/>
    </row>
    <row r="258" spans="6:6" ht="15" customHeight="1">
      <c r="F258" s="188"/>
    </row>
    <row r="259" spans="6:6" ht="15" customHeight="1">
      <c r="F259" s="188"/>
    </row>
    <row r="260" spans="6:6" ht="15" customHeight="1">
      <c r="F260" s="188"/>
    </row>
    <row r="261" spans="6:6" ht="15" customHeight="1">
      <c r="F261" s="188"/>
    </row>
    <row r="262" spans="6:6" ht="15" customHeight="1">
      <c r="F262" s="188"/>
    </row>
    <row r="263" spans="6:6" ht="15" customHeight="1">
      <c r="F263" s="188"/>
    </row>
    <row r="264" spans="6:6" ht="15" customHeight="1">
      <c r="F264" s="188"/>
    </row>
    <row r="265" spans="6:6" ht="15" customHeight="1">
      <c r="F265" s="188"/>
    </row>
    <row r="266" spans="6:6" ht="15" customHeight="1">
      <c r="F266" s="188"/>
    </row>
    <row r="267" spans="6:6" ht="15" customHeight="1">
      <c r="F267" s="188"/>
    </row>
    <row r="268" spans="6:6" ht="15" customHeight="1">
      <c r="F268" s="188"/>
    </row>
    <row r="269" spans="6:6" ht="15" customHeight="1">
      <c r="F269" s="188"/>
    </row>
    <row r="270" spans="6:6" ht="15" customHeight="1">
      <c r="F270" s="188"/>
    </row>
    <row r="271" spans="6:6" ht="15" customHeight="1">
      <c r="F271" s="188"/>
    </row>
    <row r="272" spans="6:6" ht="15" customHeight="1">
      <c r="F272" s="188"/>
    </row>
    <row r="273" spans="6:6" ht="15" customHeight="1">
      <c r="F273" s="188"/>
    </row>
    <row r="274" spans="6:6" ht="15" customHeight="1">
      <c r="F274" s="188"/>
    </row>
    <row r="275" spans="6:6" ht="15" customHeight="1">
      <c r="F275" s="188"/>
    </row>
    <row r="276" spans="6:6" ht="15" customHeight="1">
      <c r="F276" s="188"/>
    </row>
    <row r="277" spans="6:6" ht="15" customHeight="1">
      <c r="F277" s="188"/>
    </row>
    <row r="278" spans="6:6" ht="15" customHeight="1">
      <c r="F278" s="188"/>
    </row>
    <row r="279" spans="6:6" ht="15" customHeight="1">
      <c r="F279" s="188"/>
    </row>
    <row r="280" spans="6:6" ht="15" customHeight="1">
      <c r="F280" s="188"/>
    </row>
    <row r="281" spans="6:6" ht="15" customHeight="1">
      <c r="F281" s="188"/>
    </row>
    <row r="282" spans="6:6" ht="15" customHeight="1">
      <c r="F282" s="188"/>
    </row>
    <row r="283" spans="6:6" ht="15" customHeight="1">
      <c r="F283" s="188"/>
    </row>
    <row r="284" spans="6:6" ht="15" customHeight="1">
      <c r="F284" s="188"/>
    </row>
    <row r="285" spans="6:6" ht="15" customHeight="1">
      <c r="F285" s="188"/>
    </row>
    <row r="286" spans="6:6" ht="15" customHeight="1">
      <c r="F286" s="188"/>
    </row>
    <row r="287" spans="6:6" ht="15" customHeight="1">
      <c r="F287" s="188"/>
    </row>
    <row r="288" spans="6:6" ht="15" customHeight="1">
      <c r="F288" s="188"/>
    </row>
    <row r="289" spans="6:6" ht="15" customHeight="1">
      <c r="F289" s="188"/>
    </row>
    <row r="290" spans="6:6" ht="15" customHeight="1">
      <c r="F290" s="188"/>
    </row>
    <row r="291" spans="6:6" ht="15" customHeight="1">
      <c r="F291" s="188"/>
    </row>
    <row r="292" spans="6:6" ht="15" customHeight="1">
      <c r="F292" s="188"/>
    </row>
    <row r="293" spans="6:6" ht="15" customHeight="1">
      <c r="F293" s="188"/>
    </row>
    <row r="294" spans="6:6" ht="15" customHeight="1">
      <c r="F294" s="188"/>
    </row>
    <row r="295" spans="6:6" ht="15" customHeight="1">
      <c r="F295" s="188"/>
    </row>
    <row r="296" spans="6:6" ht="15" customHeight="1">
      <c r="F296" s="188"/>
    </row>
    <row r="297" spans="6:6" ht="15" customHeight="1">
      <c r="F297" s="188"/>
    </row>
    <row r="298" spans="6:6" ht="15" customHeight="1">
      <c r="F298" s="188"/>
    </row>
    <row r="299" spans="6:6" ht="15" customHeight="1">
      <c r="F299" s="188"/>
    </row>
    <row r="300" spans="6:6" ht="15" customHeight="1">
      <c r="F300" s="188"/>
    </row>
    <row r="301" spans="6:6" ht="15" customHeight="1">
      <c r="F301" s="188"/>
    </row>
    <row r="302" spans="6:6" ht="15" customHeight="1">
      <c r="F302" s="188"/>
    </row>
    <row r="303" spans="6:6" ht="15" customHeight="1">
      <c r="F303" s="188"/>
    </row>
    <row r="304" spans="6:6" ht="15" customHeight="1">
      <c r="F304" s="188"/>
    </row>
    <row r="305" spans="6:6" ht="15" customHeight="1">
      <c r="F305" s="188"/>
    </row>
    <row r="306" spans="6:6" ht="15" customHeight="1">
      <c r="F306" s="188"/>
    </row>
    <row r="307" spans="6:6" ht="15" customHeight="1">
      <c r="F307" s="188"/>
    </row>
    <row r="308" spans="6:6" ht="15" customHeight="1">
      <c r="F308" s="188"/>
    </row>
    <row r="309" spans="6:6" ht="15" customHeight="1">
      <c r="F309" s="188"/>
    </row>
    <row r="310" spans="6:6" ht="15" customHeight="1">
      <c r="F310" s="188"/>
    </row>
    <row r="311" spans="6:6" ht="15" customHeight="1">
      <c r="F311" s="188"/>
    </row>
    <row r="312" spans="6:6" ht="15" customHeight="1">
      <c r="F312" s="188"/>
    </row>
    <row r="313" spans="6:6" ht="15" customHeight="1">
      <c r="F313" s="188"/>
    </row>
    <row r="314" spans="6:6" ht="15" customHeight="1">
      <c r="F314" s="188"/>
    </row>
    <row r="315" spans="6:6" ht="15" customHeight="1">
      <c r="F315" s="188"/>
    </row>
    <row r="316" spans="6:6" ht="15" customHeight="1">
      <c r="F316" s="188"/>
    </row>
    <row r="317" spans="6:6" ht="15" customHeight="1">
      <c r="F317" s="188"/>
    </row>
    <row r="318" spans="6:6" ht="15" customHeight="1">
      <c r="F318" s="188"/>
    </row>
    <row r="319" spans="6:6" ht="15" customHeight="1">
      <c r="F319" s="188"/>
    </row>
    <row r="320" spans="6:6" ht="15" customHeight="1">
      <c r="F320" s="188"/>
    </row>
    <row r="321" spans="6:6" ht="15" customHeight="1">
      <c r="F321" s="188"/>
    </row>
    <row r="322" spans="6:6" ht="15" customHeight="1">
      <c r="F322" s="188"/>
    </row>
    <row r="323" spans="6:6" ht="15" customHeight="1">
      <c r="F323" s="188"/>
    </row>
    <row r="324" spans="6:6" ht="15" customHeight="1">
      <c r="F324" s="188"/>
    </row>
    <row r="325" spans="6:6" ht="15" customHeight="1">
      <c r="F325" s="188"/>
    </row>
    <row r="326" spans="6:6" ht="15" customHeight="1">
      <c r="F326" s="188"/>
    </row>
    <row r="327" spans="6:6" ht="15" customHeight="1">
      <c r="F327" s="188"/>
    </row>
    <row r="328" spans="6:6" ht="15" customHeight="1">
      <c r="F328" s="188"/>
    </row>
    <row r="329" spans="6:6" ht="15" customHeight="1">
      <c r="F329" s="188"/>
    </row>
    <row r="330" spans="6:6" ht="15" customHeight="1">
      <c r="F330" s="188"/>
    </row>
    <row r="331" spans="6:6" ht="15" customHeight="1">
      <c r="F331" s="188"/>
    </row>
    <row r="332" spans="6:6" ht="15" customHeight="1">
      <c r="F332" s="188"/>
    </row>
    <row r="333" spans="6:6" ht="15" customHeight="1">
      <c r="F333" s="188"/>
    </row>
    <row r="334" spans="6:6" ht="15" customHeight="1">
      <c r="F334" s="188"/>
    </row>
    <row r="335" spans="6:6" ht="15" customHeight="1">
      <c r="F335" s="188"/>
    </row>
    <row r="336" spans="6:6" ht="15" customHeight="1">
      <c r="F336" s="188"/>
    </row>
  </sheetData>
  <autoFilter ref="B6:Q133" xr:uid="{00000000-0001-0000-0100-000000000000}"/>
  <dataConsolidate/>
  <mergeCells count="1">
    <mergeCell ref="E3:F3"/>
  </mergeCells>
  <phoneticPr fontId="72" type="noConversion"/>
  <conditionalFormatting sqref="B7:R9248">
    <cfRule type="expression" dxfId="31" priority="21">
      <formula>$R7="⚠️ EM ATRASO"</formula>
    </cfRule>
  </conditionalFormatting>
  <conditionalFormatting sqref="C1:D1">
    <cfRule type="cellIs" dxfId="30" priority="14" operator="lessThan">
      <formula>0</formula>
    </cfRule>
    <cfRule type="cellIs" dxfId="29" priority="15" operator="greaterThan">
      <formula>0</formula>
    </cfRule>
  </conditionalFormatting>
  <conditionalFormatting sqref="K1:K1048576">
    <cfRule type="cellIs" dxfId="28" priority="8" operator="equal">
      <formula>0</formula>
    </cfRule>
  </conditionalFormatting>
  <conditionalFormatting sqref="L3:L4">
    <cfRule type="containsText" dxfId="27" priority="16" operator="containsText" text="OK">
      <formula>NOT(ISERROR(SEARCH(("OK"),(L3))))</formula>
    </cfRule>
    <cfRule type="containsText" dxfId="26" priority="17" operator="containsText" text="ERRO">
      <formula>NOT(ISERROR(SEARCH(("ERRO"),(L3))))</formula>
    </cfRule>
  </conditionalFormatting>
  <conditionalFormatting sqref="Q1:Q1048576">
    <cfRule type="cellIs" dxfId="25" priority="9" operator="equal">
      <formula>"A PAGAR"</formula>
    </cfRule>
    <cfRule type="cellIs" dxfId="24" priority="10" operator="equal">
      <formula>"PAGO"</formula>
    </cfRule>
  </conditionalFormatting>
  <conditionalFormatting sqref="R1:R1048576">
    <cfRule type="containsText" dxfId="23" priority="5" stopIfTrue="1" operator="containsText" text="✔ OK">
      <formula>NOT(ISERROR(SEARCH("✔ OK",R1)))</formula>
    </cfRule>
    <cfRule type="containsText" dxfId="22" priority="7" operator="containsText" text="⚠️ EM ATRASO">
      <formula>NOT(ISERROR(SEARCH("⚠️ EM ATRASO",R1)))</formula>
    </cfRule>
  </conditionalFormatting>
  <dataValidations count="2">
    <dataValidation allowBlank="1" showInputMessage="1" showErrorMessage="1" sqref="P133:P1048576 P1:P6 O1:O1048576" xr:uid="{5FD9C375-511C-4C7B-9278-05824CFFB273}"/>
    <dataValidation type="list" allowBlank="1" showInputMessage="1" showErrorMessage="1" sqref="L7:L190" xr:uid="{76BE644F-DB1A-4E5A-8C49-EFE5BF90EB44}">
      <formula1>"PIX,DEBITO,CREDITO,BOLETO,DINHEIRO"</formula1>
    </dataValidation>
  </dataValidations>
  <pageMargins left="0" right="0" top="0.78740157480314965" bottom="0" header="0" footer="0"/>
  <pageSetup paperSize="9" scale="75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F256750-A083-40A7-B2F7-21F8340CB736}">
          <x14:formula1>
            <xm:f>AUX!$B$3:$B$5</xm:f>
          </x14:formula1>
          <xm:sqref>H4:H5 H1:H2 H7:H1048576</xm:sqref>
        </x14:dataValidation>
        <x14:dataValidation type="list" allowBlank="1" showErrorMessage="1" xr:uid="{C145A3EF-B8C3-4FF0-BFC7-31278DEAE9D1}">
          <x14:formula1>
            <xm:f>_xlfn.ANCHORARRAY('📈Det. Resultados'!$Q$9)</xm:f>
          </x14:formula1>
          <xm:sqref>F7:F336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CDBAD-1D47-4F3B-A5B3-967E83F9857A}">
  <sheetPr>
    <tabColor rgb="FF00B050"/>
    <outlinePr summaryBelow="0" summaryRight="0"/>
  </sheetPr>
  <dimension ref="A5:AD10591"/>
  <sheetViews>
    <sheetView showGridLines="0" workbookViewId="0">
      <pane ySplit="7" topLeftCell="A8" activePane="bottomLeft" state="frozen"/>
      <selection pane="bottomLeft" activeCell="E8" sqref="E8"/>
    </sheetView>
  </sheetViews>
  <sheetFormatPr defaultColWidth="11.19921875" defaultRowHeight="15" customHeight="1" outlineLevelRow="1"/>
  <cols>
    <col min="1" max="1" width="10.296875" customWidth="1"/>
    <col min="2" max="2" width="17.69921875" customWidth="1"/>
    <col min="3" max="3" width="11.19921875" customWidth="1"/>
    <col min="4" max="4" width="14.19921875" customWidth="1"/>
    <col min="5" max="5" width="17.296875" customWidth="1"/>
    <col min="6" max="6" width="14.19921875" customWidth="1"/>
    <col min="7" max="7" width="11.19921875" style="191" customWidth="1"/>
    <col min="8" max="8" width="11.19921875" style="191"/>
    <col min="9" max="9" width="16.19921875" style="191" customWidth="1"/>
    <col min="10" max="10" width="15.69921875" style="191" customWidth="1"/>
  </cols>
  <sheetData>
    <row r="5" spans="1:30" ht="16.2" thickBot="1">
      <c r="A5" s="526"/>
      <c r="B5" s="527"/>
      <c r="C5" s="526"/>
      <c r="D5" s="528"/>
      <c r="E5" s="532"/>
      <c r="F5" s="532"/>
      <c r="G5" s="529"/>
      <c r="H5" s="530">
        <v>0.06</v>
      </c>
      <c r="I5" s="531"/>
      <c r="J5" s="531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</row>
    <row r="6" spans="1:30" ht="15.6">
      <c r="A6" s="48" t="s">
        <v>40</v>
      </c>
      <c r="B6" s="49" t="s">
        <v>56</v>
      </c>
      <c r="C6" s="49" t="s">
        <v>57</v>
      </c>
      <c r="D6" s="243" t="s">
        <v>58</v>
      </c>
      <c r="E6" s="533" t="s">
        <v>224</v>
      </c>
      <c r="F6" s="533" t="s">
        <v>220</v>
      </c>
      <c r="G6" s="524" t="s">
        <v>214</v>
      </c>
      <c r="H6" s="525" t="s">
        <v>219</v>
      </c>
      <c r="I6" s="50" t="s">
        <v>59</v>
      </c>
      <c r="J6" s="244" t="s">
        <v>60</v>
      </c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</row>
    <row r="7" spans="1:30" ht="15.75" customHeight="1" outlineLevel="1">
      <c r="A7" s="51">
        <v>46174</v>
      </c>
      <c r="B7" s="52" t="str">
        <f>IF(A7="","",TEXT(A7,"DDDD"))</f>
        <v>segunda-feira</v>
      </c>
      <c r="C7" t="str">
        <f t="shared" ref="C7:C70" si="0">IF(A7&lt;&gt;"",TEXT(A7,"aaaa"),"")</f>
        <v>2026</v>
      </c>
      <c r="D7" s="245" t="str">
        <f>IF(A7&lt;&gt;"",PROPER(TEXT(A7,"Mmmm")),"")</f>
        <v>Junho</v>
      </c>
      <c r="E7" s="534" t="s">
        <v>238</v>
      </c>
      <c r="F7" s="534">
        <v>1</v>
      </c>
      <c r="G7" s="198">
        <v>10000</v>
      </c>
      <c r="H7" s="246">
        <v>0</v>
      </c>
      <c r="I7" s="199">
        <f>G7</f>
        <v>10000</v>
      </c>
      <c r="J7" s="247">
        <f>IF(I7=0,"",I7-H7)</f>
        <v>10000</v>
      </c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</row>
    <row r="8" spans="1:30" ht="15.75" customHeight="1" outlineLevel="1">
      <c r="A8" s="51">
        <v>46175</v>
      </c>
      <c r="B8" s="52" t="str">
        <f t="shared" ref="B8:B71" si="1">IF(A8="","",TEXT(A8,"DDDD"))</f>
        <v>terça-feira</v>
      </c>
      <c r="C8" t="str">
        <f t="shared" si="0"/>
        <v>2026</v>
      </c>
      <c r="D8" s="245" t="str">
        <f t="shared" ref="D8:D71" si="2">IF(A8&lt;&gt;"",PROPER(TEXT(A8,"Mmmm")),"")</f>
        <v>Junho</v>
      </c>
      <c r="E8" s="534" t="s">
        <v>225</v>
      </c>
      <c r="F8" s="534"/>
      <c r="G8" s="198">
        <v>500</v>
      </c>
      <c r="H8" s="246">
        <v>0</v>
      </c>
      <c r="I8" s="199">
        <f t="shared" ref="I8:I71" si="3">G8</f>
        <v>500</v>
      </c>
      <c r="J8" s="247">
        <f t="shared" ref="J8:J71" si="4">IF(I8=0,"",I8-H8)</f>
        <v>500</v>
      </c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</row>
    <row r="9" spans="1:30" ht="15.75" customHeight="1" outlineLevel="1">
      <c r="A9" s="51"/>
      <c r="B9" s="52" t="str">
        <f t="shared" si="1"/>
        <v/>
      </c>
      <c r="C9" t="str">
        <f t="shared" si="0"/>
        <v/>
      </c>
      <c r="D9" s="245" t="str">
        <f t="shared" si="2"/>
        <v/>
      </c>
      <c r="E9" s="534"/>
      <c r="F9" s="534"/>
      <c r="G9" s="198"/>
      <c r="H9" s="246" t="str">
        <f t="shared" ref="H9:H40" si="5">IF(G9=0,"",G9*$H$5)</f>
        <v/>
      </c>
      <c r="I9" s="199">
        <f t="shared" si="3"/>
        <v>0</v>
      </c>
      <c r="J9" s="247" t="str">
        <f t="shared" si="4"/>
        <v/>
      </c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</row>
    <row r="10" spans="1:30" ht="15.75" customHeight="1" outlineLevel="1">
      <c r="A10" s="51"/>
      <c r="B10" s="52" t="str">
        <f t="shared" si="1"/>
        <v/>
      </c>
      <c r="C10" t="str">
        <f t="shared" si="0"/>
        <v/>
      </c>
      <c r="D10" s="245" t="str">
        <f t="shared" si="2"/>
        <v/>
      </c>
      <c r="E10" s="534"/>
      <c r="F10" s="534"/>
      <c r="G10" s="198"/>
      <c r="H10" s="246" t="str">
        <f t="shared" si="5"/>
        <v/>
      </c>
      <c r="I10" s="199">
        <f t="shared" si="3"/>
        <v>0</v>
      </c>
      <c r="J10" s="247" t="str">
        <f t="shared" si="4"/>
        <v/>
      </c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</row>
    <row r="11" spans="1:30" ht="15.75" customHeight="1" outlineLevel="1">
      <c r="A11" s="51"/>
      <c r="B11" s="52" t="str">
        <f t="shared" si="1"/>
        <v/>
      </c>
      <c r="C11" t="str">
        <f t="shared" si="0"/>
        <v/>
      </c>
      <c r="D11" s="245" t="str">
        <f t="shared" si="2"/>
        <v/>
      </c>
      <c r="E11" s="534"/>
      <c r="F11" s="534"/>
      <c r="G11" s="198"/>
      <c r="H11" s="246" t="str">
        <f t="shared" si="5"/>
        <v/>
      </c>
      <c r="I11" s="199">
        <f t="shared" si="3"/>
        <v>0</v>
      </c>
      <c r="J11" s="247" t="str">
        <f t="shared" si="4"/>
        <v/>
      </c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</row>
    <row r="12" spans="1:30" ht="15.75" customHeight="1" outlineLevel="1">
      <c r="A12" s="51"/>
      <c r="B12" s="52" t="str">
        <f t="shared" si="1"/>
        <v/>
      </c>
      <c r="C12" t="str">
        <f t="shared" si="0"/>
        <v/>
      </c>
      <c r="D12" s="245" t="str">
        <f t="shared" si="2"/>
        <v/>
      </c>
      <c r="E12" s="534"/>
      <c r="F12" s="534"/>
      <c r="G12" s="198"/>
      <c r="H12" s="246" t="str">
        <f t="shared" si="5"/>
        <v/>
      </c>
      <c r="I12" s="199">
        <f t="shared" si="3"/>
        <v>0</v>
      </c>
      <c r="J12" s="247" t="str">
        <f t="shared" si="4"/>
        <v/>
      </c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</row>
    <row r="13" spans="1:30" ht="15.75" customHeight="1" outlineLevel="1">
      <c r="A13" s="51"/>
      <c r="B13" s="52" t="str">
        <f t="shared" si="1"/>
        <v/>
      </c>
      <c r="C13" t="str">
        <f t="shared" si="0"/>
        <v/>
      </c>
      <c r="D13" s="245" t="str">
        <f t="shared" si="2"/>
        <v/>
      </c>
      <c r="E13" s="534"/>
      <c r="F13" s="534"/>
      <c r="G13" s="198"/>
      <c r="H13" s="246" t="str">
        <f t="shared" si="5"/>
        <v/>
      </c>
      <c r="I13" s="199">
        <f t="shared" si="3"/>
        <v>0</v>
      </c>
      <c r="J13" s="247" t="str">
        <f t="shared" si="4"/>
        <v/>
      </c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</row>
    <row r="14" spans="1:30" ht="15.75" customHeight="1" outlineLevel="1">
      <c r="A14" s="51"/>
      <c r="B14" s="52" t="str">
        <f t="shared" si="1"/>
        <v/>
      </c>
      <c r="C14" t="str">
        <f t="shared" si="0"/>
        <v/>
      </c>
      <c r="D14" s="245" t="str">
        <f t="shared" si="2"/>
        <v/>
      </c>
      <c r="E14" s="534"/>
      <c r="F14" s="534"/>
      <c r="G14" s="198"/>
      <c r="H14" s="246" t="str">
        <f t="shared" si="5"/>
        <v/>
      </c>
      <c r="I14" s="199">
        <f t="shared" si="3"/>
        <v>0</v>
      </c>
      <c r="J14" s="247" t="str">
        <f t="shared" si="4"/>
        <v/>
      </c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</row>
    <row r="15" spans="1:30" ht="15.75" customHeight="1" outlineLevel="1">
      <c r="A15" s="51"/>
      <c r="B15" s="52" t="str">
        <f t="shared" si="1"/>
        <v/>
      </c>
      <c r="C15" t="str">
        <f t="shared" si="0"/>
        <v/>
      </c>
      <c r="D15" s="245" t="str">
        <f t="shared" si="2"/>
        <v/>
      </c>
      <c r="E15" s="534"/>
      <c r="F15" s="534"/>
      <c r="G15" s="316"/>
      <c r="H15" s="246" t="str">
        <f t="shared" si="5"/>
        <v/>
      </c>
      <c r="I15" s="199">
        <f t="shared" si="3"/>
        <v>0</v>
      </c>
      <c r="J15" s="247" t="str">
        <f t="shared" si="4"/>
        <v/>
      </c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</row>
    <row r="16" spans="1:30" ht="15.75" customHeight="1" outlineLevel="1">
      <c r="A16" s="51"/>
      <c r="B16" s="52" t="str">
        <f t="shared" si="1"/>
        <v/>
      </c>
      <c r="C16" t="str">
        <f t="shared" si="0"/>
        <v/>
      </c>
      <c r="D16" s="245" t="str">
        <f t="shared" si="2"/>
        <v/>
      </c>
      <c r="E16" s="534"/>
      <c r="F16" s="534"/>
      <c r="G16" s="316"/>
      <c r="H16" s="246" t="str">
        <f t="shared" si="5"/>
        <v/>
      </c>
      <c r="I16" s="199">
        <f t="shared" si="3"/>
        <v>0</v>
      </c>
      <c r="J16" s="247" t="str">
        <f t="shared" si="4"/>
        <v/>
      </c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</row>
    <row r="17" spans="1:30" ht="15.75" customHeight="1" outlineLevel="1">
      <c r="A17" s="51"/>
      <c r="B17" s="52" t="str">
        <f t="shared" si="1"/>
        <v/>
      </c>
      <c r="C17" t="str">
        <f t="shared" si="0"/>
        <v/>
      </c>
      <c r="D17" s="245" t="str">
        <f t="shared" si="2"/>
        <v/>
      </c>
      <c r="E17" s="534"/>
      <c r="F17" s="534"/>
      <c r="G17" s="316"/>
      <c r="H17" s="246" t="str">
        <f t="shared" si="5"/>
        <v/>
      </c>
      <c r="I17" s="199">
        <f t="shared" si="3"/>
        <v>0</v>
      </c>
      <c r="J17" s="247" t="str">
        <f t="shared" si="4"/>
        <v/>
      </c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</row>
    <row r="18" spans="1:30" ht="15.75" customHeight="1" outlineLevel="1">
      <c r="A18" s="51"/>
      <c r="B18" s="52" t="str">
        <f t="shared" si="1"/>
        <v/>
      </c>
      <c r="C18" t="str">
        <f t="shared" si="0"/>
        <v/>
      </c>
      <c r="D18" s="245" t="str">
        <f t="shared" si="2"/>
        <v/>
      </c>
      <c r="E18" s="534"/>
      <c r="F18" s="534"/>
      <c r="G18" s="316"/>
      <c r="H18" s="246" t="str">
        <f t="shared" si="5"/>
        <v/>
      </c>
      <c r="I18" s="199">
        <f t="shared" si="3"/>
        <v>0</v>
      </c>
      <c r="J18" s="247" t="str">
        <f t="shared" si="4"/>
        <v/>
      </c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</row>
    <row r="19" spans="1:30" ht="15.75" customHeight="1" outlineLevel="1">
      <c r="A19" s="51"/>
      <c r="B19" s="52" t="str">
        <f t="shared" si="1"/>
        <v/>
      </c>
      <c r="C19" t="str">
        <f t="shared" si="0"/>
        <v/>
      </c>
      <c r="D19" s="245" t="str">
        <f t="shared" si="2"/>
        <v/>
      </c>
      <c r="E19" s="534"/>
      <c r="F19" s="534"/>
      <c r="G19" s="316"/>
      <c r="H19" s="246" t="str">
        <f t="shared" si="5"/>
        <v/>
      </c>
      <c r="I19" s="199">
        <f t="shared" si="3"/>
        <v>0</v>
      </c>
      <c r="J19" s="247" t="str">
        <f t="shared" si="4"/>
        <v/>
      </c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</row>
    <row r="20" spans="1:30" ht="15.75" customHeight="1" outlineLevel="1">
      <c r="A20" s="51"/>
      <c r="B20" s="52" t="str">
        <f t="shared" si="1"/>
        <v/>
      </c>
      <c r="C20" t="str">
        <f t="shared" si="0"/>
        <v/>
      </c>
      <c r="D20" s="245" t="str">
        <f t="shared" si="2"/>
        <v/>
      </c>
      <c r="E20" s="534"/>
      <c r="F20" s="534"/>
      <c r="G20" s="316"/>
      <c r="H20" s="246" t="str">
        <f t="shared" si="5"/>
        <v/>
      </c>
      <c r="I20" s="199">
        <f t="shared" si="3"/>
        <v>0</v>
      </c>
      <c r="J20" s="247" t="str">
        <f t="shared" si="4"/>
        <v/>
      </c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</row>
    <row r="21" spans="1:30" ht="15.75" customHeight="1" outlineLevel="1">
      <c r="A21" s="51"/>
      <c r="B21" s="52" t="str">
        <f t="shared" si="1"/>
        <v/>
      </c>
      <c r="C21" t="str">
        <f t="shared" si="0"/>
        <v/>
      </c>
      <c r="D21" s="245" t="str">
        <f t="shared" si="2"/>
        <v/>
      </c>
      <c r="E21" s="534"/>
      <c r="F21" s="534"/>
      <c r="G21" s="316"/>
      <c r="H21" s="246" t="str">
        <f t="shared" si="5"/>
        <v/>
      </c>
      <c r="I21" s="199">
        <f t="shared" si="3"/>
        <v>0</v>
      </c>
      <c r="J21" s="247" t="str">
        <f t="shared" si="4"/>
        <v/>
      </c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</row>
    <row r="22" spans="1:30" ht="15.75" customHeight="1" outlineLevel="1">
      <c r="A22" s="51"/>
      <c r="B22" s="52" t="str">
        <f t="shared" si="1"/>
        <v/>
      </c>
      <c r="C22" t="str">
        <f t="shared" si="0"/>
        <v/>
      </c>
      <c r="D22" s="245" t="str">
        <f t="shared" si="2"/>
        <v/>
      </c>
      <c r="E22" s="534"/>
      <c r="F22" s="534"/>
      <c r="G22" s="316"/>
      <c r="H22" s="246" t="str">
        <f t="shared" si="5"/>
        <v/>
      </c>
      <c r="I22" s="199">
        <f t="shared" si="3"/>
        <v>0</v>
      </c>
      <c r="J22" s="247" t="str">
        <f t="shared" si="4"/>
        <v/>
      </c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</row>
    <row r="23" spans="1:30" ht="15.75" customHeight="1" outlineLevel="1">
      <c r="A23" s="51"/>
      <c r="B23" s="52" t="str">
        <f t="shared" si="1"/>
        <v/>
      </c>
      <c r="C23" t="str">
        <f t="shared" si="0"/>
        <v/>
      </c>
      <c r="D23" s="245" t="str">
        <f t="shared" si="2"/>
        <v/>
      </c>
      <c r="E23" s="534"/>
      <c r="F23" s="534"/>
      <c r="G23" s="362"/>
      <c r="H23" s="246" t="str">
        <f t="shared" si="5"/>
        <v/>
      </c>
      <c r="I23" s="199">
        <f t="shared" si="3"/>
        <v>0</v>
      </c>
      <c r="J23" s="247" t="str">
        <f t="shared" si="4"/>
        <v/>
      </c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</row>
    <row r="24" spans="1:30" ht="15.75" customHeight="1" outlineLevel="1">
      <c r="A24" s="51"/>
      <c r="B24" s="52" t="str">
        <f t="shared" si="1"/>
        <v/>
      </c>
      <c r="C24" t="str">
        <f t="shared" si="0"/>
        <v/>
      </c>
      <c r="D24" s="245" t="str">
        <f t="shared" si="2"/>
        <v/>
      </c>
      <c r="E24" s="534"/>
      <c r="F24" s="534"/>
      <c r="G24" s="363"/>
      <c r="H24" s="246" t="str">
        <f t="shared" si="5"/>
        <v/>
      </c>
      <c r="I24" s="199">
        <f t="shared" si="3"/>
        <v>0</v>
      </c>
      <c r="J24" s="247" t="str">
        <f t="shared" si="4"/>
        <v/>
      </c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</row>
    <row r="25" spans="1:30" ht="15.75" customHeight="1" outlineLevel="1">
      <c r="A25" s="51"/>
      <c r="B25" s="52" t="str">
        <f t="shared" si="1"/>
        <v/>
      </c>
      <c r="C25" t="str">
        <f t="shared" si="0"/>
        <v/>
      </c>
      <c r="D25" s="245" t="str">
        <f t="shared" si="2"/>
        <v/>
      </c>
      <c r="E25" s="534"/>
      <c r="F25" s="534"/>
      <c r="G25" s="363"/>
      <c r="H25" s="246" t="str">
        <f t="shared" si="5"/>
        <v/>
      </c>
      <c r="I25" s="199">
        <f t="shared" si="3"/>
        <v>0</v>
      </c>
      <c r="J25" s="247" t="str">
        <f t="shared" si="4"/>
        <v/>
      </c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</row>
    <row r="26" spans="1:30" ht="15.75" customHeight="1" outlineLevel="1">
      <c r="A26" s="51"/>
      <c r="B26" s="52" t="str">
        <f t="shared" si="1"/>
        <v/>
      </c>
      <c r="C26" t="str">
        <f t="shared" si="0"/>
        <v/>
      </c>
      <c r="D26" s="245" t="str">
        <f t="shared" si="2"/>
        <v/>
      </c>
      <c r="E26" s="534"/>
      <c r="F26" s="534"/>
      <c r="G26" s="363"/>
      <c r="H26" s="246" t="str">
        <f t="shared" si="5"/>
        <v/>
      </c>
      <c r="I26" s="199">
        <f t="shared" si="3"/>
        <v>0</v>
      </c>
      <c r="J26" s="247" t="str">
        <f t="shared" si="4"/>
        <v/>
      </c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</row>
    <row r="27" spans="1:30" ht="15.75" customHeight="1" outlineLevel="1">
      <c r="A27" s="51"/>
      <c r="B27" s="52" t="str">
        <f t="shared" si="1"/>
        <v/>
      </c>
      <c r="C27" t="str">
        <f t="shared" si="0"/>
        <v/>
      </c>
      <c r="D27" s="245" t="str">
        <f t="shared" si="2"/>
        <v/>
      </c>
      <c r="E27" s="534"/>
      <c r="F27" s="534"/>
      <c r="G27" s="362"/>
      <c r="H27" s="246" t="str">
        <f t="shared" si="5"/>
        <v/>
      </c>
      <c r="I27" s="199">
        <f t="shared" si="3"/>
        <v>0</v>
      </c>
      <c r="J27" s="247" t="str">
        <f t="shared" si="4"/>
        <v/>
      </c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</row>
    <row r="28" spans="1:30" ht="15.75" customHeight="1" outlineLevel="1">
      <c r="A28" s="51"/>
      <c r="B28" s="52" t="str">
        <f t="shared" si="1"/>
        <v/>
      </c>
      <c r="C28" t="str">
        <f t="shared" si="0"/>
        <v/>
      </c>
      <c r="D28" s="245" t="str">
        <f t="shared" si="2"/>
        <v/>
      </c>
      <c r="E28" s="534"/>
      <c r="F28" s="534"/>
      <c r="G28" s="363"/>
      <c r="H28" s="246" t="str">
        <f t="shared" si="5"/>
        <v/>
      </c>
      <c r="I28" s="199">
        <f t="shared" si="3"/>
        <v>0</v>
      </c>
      <c r="J28" s="247" t="str">
        <f t="shared" si="4"/>
        <v/>
      </c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</row>
    <row r="29" spans="1:30" ht="15.75" customHeight="1" outlineLevel="1">
      <c r="A29" s="51"/>
      <c r="B29" s="52" t="str">
        <f t="shared" si="1"/>
        <v/>
      </c>
      <c r="C29" t="str">
        <f t="shared" si="0"/>
        <v/>
      </c>
      <c r="D29" s="245" t="str">
        <f t="shared" si="2"/>
        <v/>
      </c>
      <c r="E29" s="534"/>
      <c r="F29" s="534"/>
      <c r="G29" s="362"/>
      <c r="H29" s="246" t="str">
        <f t="shared" si="5"/>
        <v/>
      </c>
      <c r="I29" s="199">
        <f t="shared" si="3"/>
        <v>0</v>
      </c>
      <c r="J29" s="247" t="str">
        <f t="shared" si="4"/>
        <v/>
      </c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</row>
    <row r="30" spans="1:30" ht="15.75" customHeight="1" outlineLevel="1">
      <c r="A30" s="51"/>
      <c r="B30" s="52" t="str">
        <f t="shared" si="1"/>
        <v/>
      </c>
      <c r="C30" t="str">
        <f t="shared" si="0"/>
        <v/>
      </c>
      <c r="D30" s="245" t="str">
        <f t="shared" si="2"/>
        <v/>
      </c>
      <c r="E30" s="534"/>
      <c r="F30" s="534"/>
      <c r="G30" s="363"/>
      <c r="H30" s="246" t="str">
        <f t="shared" si="5"/>
        <v/>
      </c>
      <c r="I30" s="199">
        <f t="shared" si="3"/>
        <v>0</v>
      </c>
      <c r="J30" s="247" t="str">
        <f t="shared" si="4"/>
        <v/>
      </c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</row>
    <row r="31" spans="1:30" ht="15.75" customHeight="1" outlineLevel="1">
      <c r="A31" s="51"/>
      <c r="B31" s="52" t="str">
        <f t="shared" si="1"/>
        <v/>
      </c>
      <c r="C31" t="str">
        <f t="shared" si="0"/>
        <v/>
      </c>
      <c r="D31" s="245" t="str">
        <f t="shared" si="2"/>
        <v/>
      </c>
      <c r="E31" s="534"/>
      <c r="F31" s="534"/>
      <c r="G31" s="362"/>
      <c r="H31" s="246" t="str">
        <f t="shared" si="5"/>
        <v/>
      </c>
      <c r="I31" s="199">
        <f t="shared" si="3"/>
        <v>0</v>
      </c>
      <c r="J31" s="247" t="str">
        <f t="shared" si="4"/>
        <v/>
      </c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</row>
    <row r="32" spans="1:30" ht="15.75" customHeight="1" outlineLevel="1">
      <c r="A32" s="51"/>
      <c r="B32" s="52" t="str">
        <f t="shared" si="1"/>
        <v/>
      </c>
      <c r="C32" t="str">
        <f t="shared" si="0"/>
        <v/>
      </c>
      <c r="D32" s="245" t="str">
        <f t="shared" si="2"/>
        <v/>
      </c>
      <c r="E32" s="534"/>
      <c r="F32" s="534"/>
      <c r="G32" s="363"/>
      <c r="H32" s="246" t="str">
        <f t="shared" si="5"/>
        <v/>
      </c>
      <c r="I32" s="199">
        <f t="shared" si="3"/>
        <v>0</v>
      </c>
      <c r="J32" s="247" t="str">
        <f t="shared" si="4"/>
        <v/>
      </c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</row>
    <row r="33" spans="1:30" ht="15.75" customHeight="1" outlineLevel="1">
      <c r="A33" s="51"/>
      <c r="B33" s="52" t="str">
        <f t="shared" si="1"/>
        <v/>
      </c>
      <c r="C33" t="str">
        <f t="shared" si="0"/>
        <v/>
      </c>
      <c r="D33" s="245" t="str">
        <f t="shared" si="2"/>
        <v/>
      </c>
      <c r="E33" s="534"/>
      <c r="F33" s="534"/>
      <c r="G33" s="363"/>
      <c r="H33" s="246" t="str">
        <f t="shared" si="5"/>
        <v/>
      </c>
      <c r="I33" s="199">
        <f t="shared" si="3"/>
        <v>0</v>
      </c>
      <c r="J33" s="247" t="str">
        <f t="shared" si="4"/>
        <v/>
      </c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</row>
    <row r="34" spans="1:30" ht="15.75" customHeight="1" outlineLevel="1">
      <c r="A34" s="51"/>
      <c r="B34" s="52" t="str">
        <f t="shared" si="1"/>
        <v/>
      </c>
      <c r="C34" t="str">
        <f t="shared" si="0"/>
        <v/>
      </c>
      <c r="D34" s="245" t="str">
        <f t="shared" si="2"/>
        <v/>
      </c>
      <c r="E34" s="534"/>
      <c r="F34" s="534"/>
      <c r="G34" s="362"/>
      <c r="H34" s="246" t="str">
        <f t="shared" si="5"/>
        <v/>
      </c>
      <c r="I34" s="199">
        <f t="shared" si="3"/>
        <v>0</v>
      </c>
      <c r="J34" s="247" t="str">
        <f t="shared" si="4"/>
        <v/>
      </c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</row>
    <row r="35" spans="1:30" ht="15.75" customHeight="1" outlineLevel="1">
      <c r="A35" s="51"/>
      <c r="B35" s="52" t="str">
        <f t="shared" si="1"/>
        <v/>
      </c>
      <c r="C35" t="str">
        <f t="shared" si="0"/>
        <v/>
      </c>
      <c r="D35" s="245" t="str">
        <f t="shared" si="2"/>
        <v/>
      </c>
      <c r="E35" s="534"/>
      <c r="F35" s="534"/>
      <c r="G35" s="363"/>
      <c r="H35" s="246" t="str">
        <f t="shared" si="5"/>
        <v/>
      </c>
      <c r="I35" s="199">
        <f t="shared" si="3"/>
        <v>0</v>
      </c>
      <c r="J35" s="247" t="str">
        <f t="shared" si="4"/>
        <v/>
      </c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</row>
    <row r="36" spans="1:30" ht="15.75" customHeight="1" outlineLevel="1">
      <c r="A36" s="51"/>
      <c r="B36" s="52" t="str">
        <f t="shared" si="1"/>
        <v/>
      </c>
      <c r="C36" t="str">
        <f t="shared" si="0"/>
        <v/>
      </c>
      <c r="D36" s="245" t="str">
        <f t="shared" si="2"/>
        <v/>
      </c>
      <c r="E36" s="534"/>
      <c r="F36" s="534"/>
      <c r="G36" s="363"/>
      <c r="H36" s="246" t="str">
        <f t="shared" si="5"/>
        <v/>
      </c>
      <c r="I36" s="199">
        <f t="shared" si="3"/>
        <v>0</v>
      </c>
      <c r="J36" s="247" t="str">
        <f t="shared" si="4"/>
        <v/>
      </c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</row>
    <row r="37" spans="1:30" ht="15.75" customHeight="1" outlineLevel="1" thickBot="1">
      <c r="A37" s="51"/>
      <c r="B37" s="52" t="str">
        <f t="shared" si="1"/>
        <v/>
      </c>
      <c r="C37" t="str">
        <f t="shared" si="0"/>
        <v/>
      </c>
      <c r="D37" s="245" t="str">
        <f t="shared" si="2"/>
        <v/>
      </c>
      <c r="E37" s="534"/>
      <c r="F37" s="534"/>
      <c r="G37" s="316"/>
      <c r="H37" s="246" t="str">
        <f t="shared" si="5"/>
        <v/>
      </c>
      <c r="I37" s="199">
        <f t="shared" si="3"/>
        <v>0</v>
      </c>
      <c r="J37" s="247" t="str">
        <f t="shared" si="4"/>
        <v/>
      </c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</row>
    <row r="38" spans="1:30" ht="15.75" customHeight="1" outlineLevel="1" thickTop="1">
      <c r="A38" s="51"/>
      <c r="B38" s="52" t="str">
        <f t="shared" si="1"/>
        <v/>
      </c>
      <c r="C38" t="str">
        <f t="shared" si="0"/>
        <v/>
      </c>
      <c r="D38" s="245" t="str">
        <f t="shared" si="2"/>
        <v/>
      </c>
      <c r="E38" s="534"/>
      <c r="F38" s="534"/>
      <c r="G38" s="394"/>
      <c r="H38" s="246" t="str">
        <f t="shared" si="5"/>
        <v/>
      </c>
      <c r="I38" s="199">
        <f t="shared" si="3"/>
        <v>0</v>
      </c>
      <c r="J38" s="247" t="str">
        <f t="shared" si="4"/>
        <v/>
      </c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</row>
    <row r="39" spans="1:30" ht="15.75" customHeight="1" outlineLevel="1">
      <c r="A39" s="51"/>
      <c r="B39" s="52" t="str">
        <f t="shared" si="1"/>
        <v/>
      </c>
      <c r="C39" t="str">
        <f t="shared" si="0"/>
        <v/>
      </c>
      <c r="D39" s="245" t="str">
        <f t="shared" si="2"/>
        <v/>
      </c>
      <c r="E39" s="534"/>
      <c r="F39" s="534"/>
      <c r="G39" s="395"/>
      <c r="H39" s="246" t="str">
        <f t="shared" si="5"/>
        <v/>
      </c>
      <c r="I39" s="199">
        <f t="shared" si="3"/>
        <v>0</v>
      </c>
      <c r="J39" s="247" t="str">
        <f t="shared" si="4"/>
        <v/>
      </c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</row>
    <row r="40" spans="1:30" ht="15.75" customHeight="1" outlineLevel="1">
      <c r="A40" s="51"/>
      <c r="B40" s="52" t="str">
        <f t="shared" si="1"/>
        <v/>
      </c>
      <c r="C40" t="str">
        <f t="shared" si="0"/>
        <v/>
      </c>
      <c r="D40" s="245" t="str">
        <f t="shared" si="2"/>
        <v/>
      </c>
      <c r="E40" s="534"/>
      <c r="F40" s="534"/>
      <c r="G40" s="395"/>
      <c r="H40" s="246" t="str">
        <f t="shared" si="5"/>
        <v/>
      </c>
      <c r="I40" s="199">
        <f t="shared" si="3"/>
        <v>0</v>
      </c>
      <c r="J40" s="247" t="str">
        <f t="shared" si="4"/>
        <v/>
      </c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</row>
    <row r="41" spans="1:30" ht="15.75" customHeight="1" outlineLevel="1">
      <c r="A41" s="51"/>
      <c r="B41" s="52" t="str">
        <f t="shared" si="1"/>
        <v/>
      </c>
      <c r="C41" t="str">
        <f t="shared" si="0"/>
        <v/>
      </c>
      <c r="D41" s="245" t="str">
        <f t="shared" si="2"/>
        <v/>
      </c>
      <c r="E41" s="534"/>
      <c r="F41" s="534"/>
      <c r="G41" s="395"/>
      <c r="H41" s="246" t="str">
        <f t="shared" ref="H41:H71" si="6">IF(G41=0,"",G41*$H$5)</f>
        <v/>
      </c>
      <c r="I41" s="199">
        <f t="shared" si="3"/>
        <v>0</v>
      </c>
      <c r="J41" s="247" t="str">
        <f t="shared" si="4"/>
        <v/>
      </c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</row>
    <row r="42" spans="1:30" ht="15.75" customHeight="1" outlineLevel="1">
      <c r="A42" s="51"/>
      <c r="B42" s="52" t="str">
        <f t="shared" si="1"/>
        <v/>
      </c>
      <c r="C42" t="str">
        <f t="shared" si="0"/>
        <v/>
      </c>
      <c r="D42" s="245" t="str">
        <f t="shared" si="2"/>
        <v/>
      </c>
      <c r="E42" s="534"/>
      <c r="F42" s="534"/>
      <c r="G42" s="395"/>
      <c r="H42" s="246" t="str">
        <f t="shared" si="6"/>
        <v/>
      </c>
      <c r="I42" s="199">
        <f t="shared" si="3"/>
        <v>0</v>
      </c>
      <c r="J42" s="247" t="str">
        <f t="shared" si="4"/>
        <v/>
      </c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</row>
    <row r="43" spans="1:30" ht="15.75" customHeight="1" outlineLevel="1">
      <c r="A43" s="51"/>
      <c r="B43" s="52" t="str">
        <f t="shared" si="1"/>
        <v/>
      </c>
      <c r="C43" t="str">
        <f t="shared" si="0"/>
        <v/>
      </c>
      <c r="D43" s="245" t="str">
        <f t="shared" si="2"/>
        <v/>
      </c>
      <c r="E43" s="534"/>
      <c r="F43" s="534"/>
      <c r="G43" s="395"/>
      <c r="H43" s="246" t="str">
        <f t="shared" si="6"/>
        <v/>
      </c>
      <c r="I43" s="199">
        <f t="shared" si="3"/>
        <v>0</v>
      </c>
      <c r="J43" s="247" t="str">
        <f t="shared" si="4"/>
        <v/>
      </c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</row>
    <row r="44" spans="1:30" ht="15.75" customHeight="1" outlineLevel="1">
      <c r="A44" s="51"/>
      <c r="B44" s="52" t="str">
        <f t="shared" si="1"/>
        <v/>
      </c>
      <c r="C44" t="str">
        <f t="shared" si="0"/>
        <v/>
      </c>
      <c r="D44" s="245" t="str">
        <f t="shared" si="2"/>
        <v/>
      </c>
      <c r="E44" s="534"/>
      <c r="F44" s="534"/>
      <c r="G44" s="396"/>
      <c r="H44" s="246" t="str">
        <f t="shared" si="6"/>
        <v/>
      </c>
      <c r="I44" s="199">
        <f t="shared" si="3"/>
        <v>0</v>
      </c>
      <c r="J44" s="247" t="str">
        <f t="shared" si="4"/>
        <v/>
      </c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</row>
    <row r="45" spans="1:30" ht="15.75" customHeight="1" outlineLevel="1">
      <c r="A45" s="51"/>
      <c r="B45" s="52" t="str">
        <f t="shared" si="1"/>
        <v/>
      </c>
      <c r="C45" t="str">
        <f t="shared" si="0"/>
        <v/>
      </c>
      <c r="D45" s="245" t="str">
        <f t="shared" si="2"/>
        <v/>
      </c>
      <c r="E45" s="534"/>
      <c r="F45" s="534"/>
      <c r="G45" s="395"/>
      <c r="H45" s="246" t="str">
        <f t="shared" si="6"/>
        <v/>
      </c>
      <c r="I45" s="199">
        <f t="shared" si="3"/>
        <v>0</v>
      </c>
      <c r="J45" s="247" t="str">
        <f t="shared" si="4"/>
        <v/>
      </c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</row>
    <row r="46" spans="1:30" ht="15.75" customHeight="1" outlineLevel="1">
      <c r="A46" s="51"/>
      <c r="B46" s="52" t="str">
        <f t="shared" si="1"/>
        <v/>
      </c>
      <c r="C46" t="str">
        <f t="shared" si="0"/>
        <v/>
      </c>
      <c r="D46" s="245" t="str">
        <f t="shared" si="2"/>
        <v/>
      </c>
      <c r="E46" s="534"/>
      <c r="F46" s="534"/>
      <c r="G46" s="395"/>
      <c r="H46" s="246" t="str">
        <f t="shared" si="6"/>
        <v/>
      </c>
      <c r="I46" s="199">
        <f t="shared" si="3"/>
        <v>0</v>
      </c>
      <c r="J46" s="247" t="str">
        <f t="shared" si="4"/>
        <v/>
      </c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</row>
    <row r="47" spans="1:30" ht="15.75" customHeight="1" outlineLevel="1">
      <c r="A47" s="51"/>
      <c r="B47" s="52" t="str">
        <f t="shared" si="1"/>
        <v/>
      </c>
      <c r="C47" t="str">
        <f t="shared" si="0"/>
        <v/>
      </c>
      <c r="D47" s="245" t="str">
        <f t="shared" si="2"/>
        <v/>
      </c>
      <c r="E47" s="534"/>
      <c r="F47" s="534"/>
      <c r="G47" s="395"/>
      <c r="H47" s="246" t="str">
        <f t="shared" si="6"/>
        <v/>
      </c>
      <c r="I47" s="199">
        <f t="shared" si="3"/>
        <v>0</v>
      </c>
      <c r="J47" s="247" t="str">
        <f t="shared" si="4"/>
        <v/>
      </c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</row>
    <row r="48" spans="1:30" ht="15.75" customHeight="1" outlineLevel="1">
      <c r="A48" s="51"/>
      <c r="B48" s="52" t="str">
        <f t="shared" si="1"/>
        <v/>
      </c>
      <c r="C48" t="str">
        <f t="shared" si="0"/>
        <v/>
      </c>
      <c r="D48" s="245" t="str">
        <f t="shared" si="2"/>
        <v/>
      </c>
      <c r="E48" s="534"/>
      <c r="F48" s="534"/>
      <c r="G48" s="395"/>
      <c r="H48" s="246" t="str">
        <f t="shared" si="6"/>
        <v/>
      </c>
      <c r="I48" s="199">
        <f t="shared" si="3"/>
        <v>0</v>
      </c>
      <c r="J48" s="247" t="str">
        <f t="shared" si="4"/>
        <v/>
      </c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</row>
    <row r="49" spans="1:30" ht="15.75" customHeight="1" outlineLevel="1">
      <c r="A49" s="51"/>
      <c r="B49" s="52" t="str">
        <f t="shared" si="1"/>
        <v/>
      </c>
      <c r="C49" t="str">
        <f t="shared" si="0"/>
        <v/>
      </c>
      <c r="D49" s="245" t="str">
        <f t="shared" si="2"/>
        <v/>
      </c>
      <c r="E49" s="534"/>
      <c r="F49" s="534"/>
      <c r="G49" s="395"/>
      <c r="H49" s="246" t="str">
        <f t="shared" si="6"/>
        <v/>
      </c>
      <c r="I49" s="199">
        <f t="shared" si="3"/>
        <v>0</v>
      </c>
      <c r="J49" s="247" t="str">
        <f t="shared" si="4"/>
        <v/>
      </c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47"/>
      <c r="AD49" s="47"/>
    </row>
    <row r="50" spans="1:30" ht="15.75" customHeight="1" outlineLevel="1">
      <c r="A50" s="51"/>
      <c r="B50" s="52" t="str">
        <f t="shared" si="1"/>
        <v/>
      </c>
      <c r="C50" t="str">
        <f t="shared" si="0"/>
        <v/>
      </c>
      <c r="D50" s="245" t="str">
        <f t="shared" si="2"/>
        <v/>
      </c>
      <c r="E50" s="534"/>
      <c r="F50" s="534"/>
      <c r="G50" s="395"/>
      <c r="H50" s="246" t="str">
        <f t="shared" si="6"/>
        <v/>
      </c>
      <c r="I50" s="199">
        <f t="shared" si="3"/>
        <v>0</v>
      </c>
      <c r="J50" s="247" t="str">
        <f t="shared" si="4"/>
        <v/>
      </c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47"/>
      <c r="AD50" s="47"/>
    </row>
    <row r="51" spans="1:30" ht="15.75" customHeight="1" outlineLevel="1">
      <c r="A51" s="51"/>
      <c r="B51" s="52" t="str">
        <f t="shared" si="1"/>
        <v/>
      </c>
      <c r="C51" t="str">
        <f t="shared" si="0"/>
        <v/>
      </c>
      <c r="D51" s="245" t="str">
        <f t="shared" si="2"/>
        <v/>
      </c>
      <c r="E51" s="534"/>
      <c r="F51" s="534"/>
      <c r="G51" s="395"/>
      <c r="H51" s="246" t="str">
        <f t="shared" si="6"/>
        <v/>
      </c>
      <c r="I51" s="199">
        <f t="shared" si="3"/>
        <v>0</v>
      </c>
      <c r="J51" s="247" t="str">
        <f t="shared" si="4"/>
        <v/>
      </c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47"/>
      <c r="AD51" s="47"/>
    </row>
    <row r="52" spans="1:30" ht="15.75" customHeight="1" outlineLevel="1">
      <c r="A52" s="51"/>
      <c r="B52" s="52" t="str">
        <f t="shared" si="1"/>
        <v/>
      </c>
      <c r="C52" t="str">
        <f t="shared" si="0"/>
        <v/>
      </c>
      <c r="D52" s="245" t="str">
        <f t="shared" si="2"/>
        <v/>
      </c>
      <c r="E52" s="534"/>
      <c r="F52" s="534"/>
      <c r="G52" s="395"/>
      <c r="H52" s="246" t="str">
        <f t="shared" si="6"/>
        <v/>
      </c>
      <c r="I52" s="199">
        <f t="shared" si="3"/>
        <v>0</v>
      </c>
      <c r="J52" s="247" t="str">
        <f t="shared" si="4"/>
        <v/>
      </c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47"/>
    </row>
    <row r="53" spans="1:30" ht="15.75" customHeight="1" outlineLevel="1">
      <c r="A53" s="51"/>
      <c r="B53" s="52" t="str">
        <f t="shared" si="1"/>
        <v/>
      </c>
      <c r="C53" t="str">
        <f t="shared" si="0"/>
        <v/>
      </c>
      <c r="D53" s="245" t="str">
        <f t="shared" si="2"/>
        <v/>
      </c>
      <c r="E53" s="534"/>
      <c r="F53" s="534"/>
      <c r="G53" s="395"/>
      <c r="H53" s="246" t="str">
        <f t="shared" si="6"/>
        <v/>
      </c>
      <c r="I53" s="199">
        <f t="shared" si="3"/>
        <v>0</v>
      </c>
      <c r="J53" s="247" t="str">
        <f t="shared" si="4"/>
        <v/>
      </c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47"/>
      <c r="AD53" s="47"/>
    </row>
    <row r="54" spans="1:30" ht="15.75" customHeight="1" outlineLevel="1">
      <c r="A54" s="51"/>
      <c r="B54" s="52" t="str">
        <f t="shared" si="1"/>
        <v/>
      </c>
      <c r="C54" t="str">
        <f t="shared" si="0"/>
        <v/>
      </c>
      <c r="D54" s="245" t="str">
        <f t="shared" si="2"/>
        <v/>
      </c>
      <c r="E54" s="534"/>
      <c r="F54" s="534"/>
      <c r="G54" s="395"/>
      <c r="H54" s="246" t="str">
        <f t="shared" si="6"/>
        <v/>
      </c>
      <c r="I54" s="199">
        <f t="shared" si="3"/>
        <v>0</v>
      </c>
      <c r="J54" s="247" t="str">
        <f t="shared" si="4"/>
        <v/>
      </c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</row>
    <row r="55" spans="1:30" ht="15.75" customHeight="1" outlineLevel="1">
      <c r="A55" s="51"/>
      <c r="B55" s="52" t="str">
        <f t="shared" si="1"/>
        <v/>
      </c>
      <c r="C55" t="str">
        <f t="shared" si="0"/>
        <v/>
      </c>
      <c r="D55" s="245" t="str">
        <f t="shared" si="2"/>
        <v/>
      </c>
      <c r="E55" s="534"/>
      <c r="F55" s="534"/>
      <c r="G55" s="395"/>
      <c r="H55" s="246" t="str">
        <f t="shared" si="6"/>
        <v/>
      </c>
      <c r="I55" s="199">
        <f t="shared" si="3"/>
        <v>0</v>
      </c>
      <c r="J55" s="247" t="str">
        <f t="shared" si="4"/>
        <v/>
      </c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</row>
    <row r="56" spans="1:30" ht="15.75" customHeight="1" outlineLevel="1">
      <c r="A56" s="51"/>
      <c r="B56" s="52" t="str">
        <f t="shared" si="1"/>
        <v/>
      </c>
      <c r="C56" t="str">
        <f t="shared" si="0"/>
        <v/>
      </c>
      <c r="D56" s="245" t="str">
        <f t="shared" si="2"/>
        <v/>
      </c>
      <c r="E56" s="534"/>
      <c r="F56" s="534"/>
      <c r="G56" s="395"/>
      <c r="H56" s="246" t="str">
        <f t="shared" si="6"/>
        <v/>
      </c>
      <c r="I56" s="199">
        <f t="shared" si="3"/>
        <v>0</v>
      </c>
      <c r="J56" s="247" t="str">
        <f t="shared" si="4"/>
        <v/>
      </c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7"/>
      <c r="AC56" s="47"/>
      <c r="AD56" s="47"/>
    </row>
    <row r="57" spans="1:30" ht="15.75" customHeight="1" outlineLevel="1">
      <c r="A57" s="51"/>
      <c r="B57" s="52" t="str">
        <f t="shared" si="1"/>
        <v/>
      </c>
      <c r="C57" t="str">
        <f t="shared" si="0"/>
        <v/>
      </c>
      <c r="D57" s="245" t="str">
        <f t="shared" si="2"/>
        <v/>
      </c>
      <c r="E57" s="534"/>
      <c r="F57" s="534"/>
      <c r="G57" s="395"/>
      <c r="H57" s="246" t="str">
        <f t="shared" si="6"/>
        <v/>
      </c>
      <c r="I57" s="199">
        <f t="shared" si="3"/>
        <v>0</v>
      </c>
      <c r="J57" s="247" t="str">
        <f t="shared" si="4"/>
        <v/>
      </c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47"/>
      <c r="AC57" s="47"/>
      <c r="AD57" s="47"/>
    </row>
    <row r="58" spans="1:30" ht="15.75" customHeight="1" outlineLevel="1">
      <c r="A58" s="51"/>
      <c r="B58" s="52" t="str">
        <f t="shared" si="1"/>
        <v/>
      </c>
      <c r="C58" t="str">
        <f t="shared" si="0"/>
        <v/>
      </c>
      <c r="D58" s="245" t="str">
        <f t="shared" si="2"/>
        <v/>
      </c>
      <c r="E58" s="534"/>
      <c r="F58" s="534"/>
      <c r="G58" s="395"/>
      <c r="H58" s="246" t="str">
        <f t="shared" si="6"/>
        <v/>
      </c>
      <c r="I58" s="199">
        <f t="shared" si="3"/>
        <v>0</v>
      </c>
      <c r="J58" s="247" t="str">
        <f t="shared" si="4"/>
        <v/>
      </c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7"/>
      <c r="AC58" s="47"/>
      <c r="AD58" s="47"/>
    </row>
    <row r="59" spans="1:30" ht="15.75" customHeight="1" outlineLevel="1">
      <c r="A59" s="51"/>
      <c r="B59" s="52" t="str">
        <f t="shared" si="1"/>
        <v/>
      </c>
      <c r="C59" t="str">
        <f t="shared" si="0"/>
        <v/>
      </c>
      <c r="D59" s="245" t="str">
        <f t="shared" si="2"/>
        <v/>
      </c>
      <c r="E59" s="534"/>
      <c r="F59" s="534"/>
      <c r="G59" s="395"/>
      <c r="H59" s="246" t="str">
        <f t="shared" si="6"/>
        <v/>
      </c>
      <c r="I59" s="199">
        <f t="shared" si="3"/>
        <v>0</v>
      </c>
      <c r="J59" s="247" t="str">
        <f t="shared" si="4"/>
        <v/>
      </c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  <c r="AB59" s="47"/>
      <c r="AC59" s="47"/>
      <c r="AD59" s="47"/>
    </row>
    <row r="60" spans="1:30" ht="15.75" customHeight="1" outlineLevel="1">
      <c r="A60" s="51"/>
      <c r="B60" s="52" t="str">
        <f t="shared" si="1"/>
        <v/>
      </c>
      <c r="C60" t="str">
        <f t="shared" si="0"/>
        <v/>
      </c>
      <c r="D60" s="245" t="str">
        <f t="shared" si="2"/>
        <v/>
      </c>
      <c r="E60" s="534"/>
      <c r="F60" s="534"/>
      <c r="G60" s="395"/>
      <c r="H60" s="246" t="str">
        <f t="shared" si="6"/>
        <v/>
      </c>
      <c r="I60" s="199">
        <f t="shared" si="3"/>
        <v>0</v>
      </c>
      <c r="J60" s="247" t="str">
        <f t="shared" si="4"/>
        <v/>
      </c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</row>
    <row r="61" spans="1:30" ht="15.75" customHeight="1" outlineLevel="1">
      <c r="A61" s="51"/>
      <c r="B61" s="52" t="str">
        <f t="shared" si="1"/>
        <v/>
      </c>
      <c r="C61" t="str">
        <f t="shared" si="0"/>
        <v/>
      </c>
      <c r="D61" s="245" t="str">
        <f t="shared" si="2"/>
        <v/>
      </c>
      <c r="E61" s="534"/>
      <c r="F61" s="534"/>
      <c r="G61" s="395"/>
      <c r="H61" s="246" t="str">
        <f t="shared" si="6"/>
        <v/>
      </c>
      <c r="I61" s="199">
        <f t="shared" si="3"/>
        <v>0</v>
      </c>
      <c r="J61" s="247" t="str">
        <f t="shared" si="4"/>
        <v/>
      </c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47"/>
      <c r="AB61" s="47"/>
      <c r="AC61" s="47"/>
      <c r="AD61" s="47"/>
    </row>
    <row r="62" spans="1:30" ht="15.75" customHeight="1" outlineLevel="1">
      <c r="A62" s="51"/>
      <c r="B62" s="52" t="str">
        <f t="shared" si="1"/>
        <v/>
      </c>
      <c r="C62" t="str">
        <f t="shared" si="0"/>
        <v/>
      </c>
      <c r="D62" s="245" t="str">
        <f t="shared" si="2"/>
        <v/>
      </c>
      <c r="E62" s="534"/>
      <c r="F62" s="534"/>
      <c r="G62" s="395"/>
      <c r="H62" s="246" t="str">
        <f t="shared" si="6"/>
        <v/>
      </c>
      <c r="I62" s="199">
        <f t="shared" si="3"/>
        <v>0</v>
      </c>
      <c r="J62" s="247" t="str">
        <f t="shared" si="4"/>
        <v/>
      </c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  <c r="AB62" s="47"/>
      <c r="AC62" s="47"/>
      <c r="AD62" s="47"/>
    </row>
    <row r="63" spans="1:30" ht="15.75" customHeight="1" outlineLevel="1">
      <c r="A63" s="51"/>
      <c r="B63" s="52" t="str">
        <f t="shared" si="1"/>
        <v/>
      </c>
      <c r="C63" t="str">
        <f t="shared" si="0"/>
        <v/>
      </c>
      <c r="D63" s="245" t="str">
        <f t="shared" si="2"/>
        <v/>
      </c>
      <c r="E63" s="534"/>
      <c r="F63" s="534"/>
      <c r="G63" s="395"/>
      <c r="H63" s="246" t="str">
        <f t="shared" si="6"/>
        <v/>
      </c>
      <c r="I63" s="199">
        <f t="shared" si="3"/>
        <v>0</v>
      </c>
      <c r="J63" s="247" t="str">
        <f t="shared" si="4"/>
        <v/>
      </c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7"/>
      <c r="AC63" s="47"/>
      <c r="AD63" s="47"/>
    </row>
    <row r="64" spans="1:30" ht="15.75" customHeight="1" outlineLevel="1">
      <c r="A64" s="51"/>
      <c r="B64" s="52" t="str">
        <f t="shared" si="1"/>
        <v/>
      </c>
      <c r="C64" t="str">
        <f t="shared" si="0"/>
        <v/>
      </c>
      <c r="D64" s="245" t="str">
        <f t="shared" si="2"/>
        <v/>
      </c>
      <c r="E64" s="534"/>
      <c r="F64" s="534"/>
      <c r="G64" s="395"/>
      <c r="H64" s="246" t="str">
        <f t="shared" si="6"/>
        <v/>
      </c>
      <c r="I64" s="199">
        <f t="shared" si="3"/>
        <v>0</v>
      </c>
      <c r="J64" s="247" t="str">
        <f t="shared" si="4"/>
        <v/>
      </c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  <c r="AB64" s="47"/>
      <c r="AC64" s="47"/>
      <c r="AD64" s="47"/>
    </row>
    <row r="65" spans="1:30" ht="15.75" customHeight="1" outlineLevel="1">
      <c r="A65" s="51"/>
      <c r="B65" s="52" t="str">
        <f t="shared" si="1"/>
        <v/>
      </c>
      <c r="C65" t="str">
        <f t="shared" si="0"/>
        <v/>
      </c>
      <c r="D65" s="245" t="str">
        <f t="shared" si="2"/>
        <v/>
      </c>
      <c r="E65" s="534"/>
      <c r="F65" s="534"/>
      <c r="G65" s="395"/>
      <c r="H65" s="246" t="str">
        <f t="shared" si="6"/>
        <v/>
      </c>
      <c r="I65" s="199">
        <f t="shared" si="3"/>
        <v>0</v>
      </c>
      <c r="J65" s="247" t="str">
        <f t="shared" si="4"/>
        <v/>
      </c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7"/>
      <c r="AB65" s="47"/>
      <c r="AC65" s="47"/>
      <c r="AD65" s="47"/>
    </row>
    <row r="66" spans="1:30" ht="15.75" customHeight="1" outlineLevel="1">
      <c r="A66" s="51"/>
      <c r="B66" s="52" t="str">
        <f t="shared" si="1"/>
        <v/>
      </c>
      <c r="C66" t="str">
        <f t="shared" si="0"/>
        <v/>
      </c>
      <c r="D66" s="245" t="str">
        <f t="shared" si="2"/>
        <v/>
      </c>
      <c r="E66" s="534"/>
      <c r="F66" s="534"/>
      <c r="G66" s="395"/>
      <c r="H66" s="246" t="str">
        <f t="shared" si="6"/>
        <v/>
      </c>
      <c r="I66" s="199">
        <f t="shared" si="3"/>
        <v>0</v>
      </c>
      <c r="J66" s="247" t="str">
        <f t="shared" si="4"/>
        <v/>
      </c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  <c r="AB66" s="47"/>
      <c r="AC66" s="47"/>
      <c r="AD66" s="47"/>
    </row>
    <row r="67" spans="1:30" ht="15.75" customHeight="1" outlineLevel="1">
      <c r="A67" s="51"/>
      <c r="B67" s="52" t="str">
        <f t="shared" si="1"/>
        <v/>
      </c>
      <c r="C67" t="str">
        <f t="shared" si="0"/>
        <v/>
      </c>
      <c r="D67" s="245" t="str">
        <f t="shared" si="2"/>
        <v/>
      </c>
      <c r="E67" s="534"/>
      <c r="F67" s="534"/>
      <c r="G67" s="395"/>
      <c r="H67" s="246" t="str">
        <f t="shared" si="6"/>
        <v/>
      </c>
      <c r="I67" s="199">
        <f t="shared" si="3"/>
        <v>0</v>
      </c>
      <c r="J67" s="247" t="str">
        <f t="shared" si="4"/>
        <v/>
      </c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47"/>
      <c r="AB67" s="47"/>
      <c r="AC67" s="47"/>
      <c r="AD67" s="47"/>
    </row>
    <row r="68" spans="1:30" ht="15.75" customHeight="1" outlineLevel="1" thickBot="1">
      <c r="A68" s="51"/>
      <c r="B68" s="52" t="str">
        <f t="shared" si="1"/>
        <v/>
      </c>
      <c r="C68" t="str">
        <f t="shared" si="0"/>
        <v/>
      </c>
      <c r="D68" s="245" t="str">
        <f t="shared" si="2"/>
        <v/>
      </c>
      <c r="E68" s="534"/>
      <c r="F68" s="534"/>
      <c r="G68" s="398"/>
      <c r="H68" s="246" t="str">
        <f t="shared" si="6"/>
        <v/>
      </c>
      <c r="I68" s="199">
        <f t="shared" si="3"/>
        <v>0</v>
      </c>
      <c r="J68" s="247" t="str">
        <f t="shared" si="4"/>
        <v/>
      </c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7"/>
      <c r="AB68" s="47"/>
      <c r="AC68" s="47"/>
      <c r="AD68" s="47"/>
    </row>
    <row r="69" spans="1:30" ht="15.75" customHeight="1" outlineLevel="1" thickTop="1">
      <c r="A69" s="51"/>
      <c r="B69" s="52" t="str">
        <f t="shared" si="1"/>
        <v/>
      </c>
      <c r="C69" t="str">
        <f t="shared" si="0"/>
        <v/>
      </c>
      <c r="D69" s="245" t="str">
        <f t="shared" si="2"/>
        <v/>
      </c>
      <c r="E69" s="534"/>
      <c r="F69" s="534"/>
      <c r="G69" s="394"/>
      <c r="H69" s="246" t="str">
        <f t="shared" si="6"/>
        <v/>
      </c>
      <c r="I69" s="199">
        <f t="shared" si="3"/>
        <v>0</v>
      </c>
      <c r="J69" s="247" t="str">
        <f t="shared" si="4"/>
        <v/>
      </c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7"/>
      <c r="AB69" s="47"/>
      <c r="AC69" s="47"/>
      <c r="AD69" s="47"/>
    </row>
    <row r="70" spans="1:30" ht="15.75" customHeight="1" outlineLevel="1">
      <c r="A70" s="51"/>
      <c r="B70" s="52" t="str">
        <f t="shared" si="1"/>
        <v/>
      </c>
      <c r="C70" t="str">
        <f t="shared" si="0"/>
        <v/>
      </c>
      <c r="D70" s="245" t="str">
        <f t="shared" si="2"/>
        <v/>
      </c>
      <c r="E70" s="534"/>
      <c r="F70" s="534"/>
      <c r="G70" s="395"/>
      <c r="H70" s="246" t="str">
        <f t="shared" si="6"/>
        <v/>
      </c>
      <c r="I70" s="199">
        <f t="shared" si="3"/>
        <v>0</v>
      </c>
      <c r="J70" s="247" t="str">
        <f t="shared" si="4"/>
        <v/>
      </c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47"/>
      <c r="AB70" s="47"/>
      <c r="AC70" s="47"/>
      <c r="AD70" s="47"/>
    </row>
    <row r="71" spans="1:30" ht="15.75" customHeight="1" outlineLevel="1">
      <c r="A71" s="51"/>
      <c r="B71" s="52" t="str">
        <f t="shared" si="1"/>
        <v/>
      </c>
      <c r="C71" t="str">
        <f t="shared" ref="C71:C134" si="7">IF(A71&lt;&gt;"",TEXT(A71,"aaaa"),"")</f>
        <v/>
      </c>
      <c r="D71" s="245" t="str">
        <f t="shared" si="2"/>
        <v/>
      </c>
      <c r="E71" s="534"/>
      <c r="F71" s="534"/>
      <c r="G71" s="395"/>
      <c r="H71" s="246" t="str">
        <f t="shared" si="6"/>
        <v/>
      </c>
      <c r="I71" s="199">
        <f t="shared" si="3"/>
        <v>0</v>
      </c>
      <c r="J71" s="247" t="str">
        <f t="shared" si="4"/>
        <v/>
      </c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47"/>
      <c r="AB71" s="47"/>
      <c r="AC71" s="47"/>
      <c r="AD71" s="47"/>
    </row>
    <row r="72" spans="1:30" ht="15.75" customHeight="1" outlineLevel="1">
      <c r="A72" s="51"/>
      <c r="B72" s="52" t="str">
        <f t="shared" ref="B72:B135" si="8">IF(A72="","",TEXT(A72,"DDDD"))</f>
        <v/>
      </c>
      <c r="C72" t="str">
        <f t="shared" si="7"/>
        <v/>
      </c>
      <c r="D72" s="245" t="str">
        <f t="shared" ref="D72:D135" si="9">IF(A72&lt;&gt;"",PROPER(TEXT(A72,"Mmmm")),"")</f>
        <v/>
      </c>
      <c r="E72" s="534"/>
      <c r="F72" s="534"/>
      <c r="G72" s="395"/>
      <c r="H72" s="246" t="str">
        <f t="shared" ref="H72:H135" si="10">IF(G72=0,"",G72*$H$5)</f>
        <v/>
      </c>
      <c r="I72" s="199">
        <f t="shared" ref="I72:I135" si="11">G72</f>
        <v>0</v>
      </c>
      <c r="J72" s="247" t="str">
        <f t="shared" ref="J72:J135" si="12">IF(I72=0,"",I72-H72)</f>
        <v/>
      </c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7"/>
      <c r="AB72" s="47"/>
      <c r="AC72" s="47"/>
      <c r="AD72" s="47"/>
    </row>
    <row r="73" spans="1:30" ht="15.75" customHeight="1" outlineLevel="1">
      <c r="A73" s="51"/>
      <c r="B73" s="52" t="str">
        <f t="shared" si="8"/>
        <v/>
      </c>
      <c r="C73" t="str">
        <f t="shared" si="7"/>
        <v/>
      </c>
      <c r="D73" s="245" t="str">
        <f t="shared" si="9"/>
        <v/>
      </c>
      <c r="E73" s="534"/>
      <c r="F73" s="534"/>
      <c r="G73" s="395"/>
      <c r="H73" s="246" t="str">
        <f t="shared" si="10"/>
        <v/>
      </c>
      <c r="I73" s="199">
        <f t="shared" si="11"/>
        <v>0</v>
      </c>
      <c r="J73" s="247" t="str">
        <f t="shared" si="12"/>
        <v/>
      </c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  <c r="AA73" s="47"/>
      <c r="AB73" s="47"/>
      <c r="AC73" s="47"/>
      <c r="AD73" s="47"/>
    </row>
    <row r="74" spans="1:30" ht="15.75" customHeight="1" outlineLevel="1">
      <c r="A74" s="51"/>
      <c r="B74" s="52" t="str">
        <f t="shared" si="8"/>
        <v/>
      </c>
      <c r="C74" t="str">
        <f t="shared" si="7"/>
        <v/>
      </c>
      <c r="D74" s="245" t="str">
        <f t="shared" si="9"/>
        <v/>
      </c>
      <c r="E74" s="534"/>
      <c r="F74" s="534"/>
      <c r="G74" s="395"/>
      <c r="H74" s="246" t="str">
        <f t="shared" si="10"/>
        <v/>
      </c>
      <c r="I74" s="199">
        <f t="shared" si="11"/>
        <v>0</v>
      </c>
      <c r="J74" s="247" t="str">
        <f t="shared" si="12"/>
        <v/>
      </c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  <c r="AA74" s="47"/>
      <c r="AB74" s="47"/>
      <c r="AC74" s="47"/>
      <c r="AD74" s="47"/>
    </row>
    <row r="75" spans="1:30" ht="15.75" customHeight="1" outlineLevel="1">
      <c r="A75" s="51"/>
      <c r="B75" s="52" t="str">
        <f t="shared" si="8"/>
        <v/>
      </c>
      <c r="C75" t="str">
        <f t="shared" si="7"/>
        <v/>
      </c>
      <c r="D75" s="245" t="str">
        <f t="shared" si="9"/>
        <v/>
      </c>
      <c r="E75" s="534"/>
      <c r="F75" s="534"/>
      <c r="G75" s="396"/>
      <c r="H75" s="246" t="str">
        <f t="shared" si="10"/>
        <v/>
      </c>
      <c r="I75" s="199">
        <f t="shared" si="11"/>
        <v>0</v>
      </c>
      <c r="J75" s="247" t="str">
        <f t="shared" si="12"/>
        <v/>
      </c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  <c r="AA75" s="47"/>
      <c r="AB75" s="47"/>
      <c r="AC75" s="47"/>
      <c r="AD75" s="47"/>
    </row>
    <row r="76" spans="1:30" ht="15.75" customHeight="1" outlineLevel="1">
      <c r="A76" s="51"/>
      <c r="B76" s="52" t="str">
        <f t="shared" si="8"/>
        <v/>
      </c>
      <c r="C76" t="str">
        <f t="shared" si="7"/>
        <v/>
      </c>
      <c r="D76" s="245" t="str">
        <f t="shared" si="9"/>
        <v/>
      </c>
      <c r="E76" s="534"/>
      <c r="F76" s="534"/>
      <c r="G76" s="395"/>
      <c r="H76" s="246" t="str">
        <f t="shared" si="10"/>
        <v/>
      </c>
      <c r="I76" s="199">
        <f t="shared" si="11"/>
        <v>0</v>
      </c>
      <c r="J76" s="247" t="str">
        <f t="shared" si="12"/>
        <v/>
      </c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  <c r="AA76" s="47"/>
      <c r="AB76" s="47"/>
      <c r="AC76" s="47"/>
      <c r="AD76" s="47"/>
    </row>
    <row r="77" spans="1:30" ht="15.75" customHeight="1" outlineLevel="1">
      <c r="A77" s="51"/>
      <c r="B77" s="52" t="str">
        <f t="shared" si="8"/>
        <v/>
      </c>
      <c r="C77" t="str">
        <f t="shared" si="7"/>
        <v/>
      </c>
      <c r="D77" s="245" t="str">
        <f t="shared" si="9"/>
        <v/>
      </c>
      <c r="E77" s="534"/>
      <c r="F77" s="534"/>
      <c r="G77" s="395"/>
      <c r="H77" s="246" t="str">
        <f t="shared" si="10"/>
        <v/>
      </c>
      <c r="I77" s="199">
        <f t="shared" si="11"/>
        <v>0</v>
      </c>
      <c r="J77" s="247" t="str">
        <f t="shared" si="12"/>
        <v/>
      </c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  <c r="AA77" s="47"/>
      <c r="AB77" s="47"/>
      <c r="AC77" s="47"/>
      <c r="AD77" s="47"/>
    </row>
    <row r="78" spans="1:30" ht="15.75" customHeight="1" outlineLevel="1">
      <c r="A78" s="51"/>
      <c r="B78" s="52" t="str">
        <f t="shared" si="8"/>
        <v/>
      </c>
      <c r="C78" t="str">
        <f t="shared" si="7"/>
        <v/>
      </c>
      <c r="D78" s="245" t="str">
        <f t="shared" si="9"/>
        <v/>
      </c>
      <c r="E78" s="534"/>
      <c r="F78" s="534"/>
      <c r="G78" s="395"/>
      <c r="H78" s="246" t="str">
        <f t="shared" si="10"/>
        <v/>
      </c>
      <c r="I78" s="199">
        <f t="shared" si="11"/>
        <v>0</v>
      </c>
      <c r="J78" s="247" t="str">
        <f t="shared" si="12"/>
        <v/>
      </c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  <c r="AA78" s="47"/>
      <c r="AB78" s="47"/>
      <c r="AC78" s="47"/>
      <c r="AD78" s="47"/>
    </row>
    <row r="79" spans="1:30" ht="15.75" customHeight="1" outlineLevel="1">
      <c r="A79" s="51"/>
      <c r="B79" s="52" t="str">
        <f t="shared" si="8"/>
        <v/>
      </c>
      <c r="C79" t="str">
        <f t="shared" si="7"/>
        <v/>
      </c>
      <c r="D79" s="245" t="str">
        <f t="shared" si="9"/>
        <v/>
      </c>
      <c r="E79" s="534"/>
      <c r="F79" s="534"/>
      <c r="G79" s="395"/>
      <c r="H79" s="246" t="str">
        <f t="shared" si="10"/>
        <v/>
      </c>
      <c r="I79" s="199">
        <f t="shared" si="11"/>
        <v>0</v>
      </c>
      <c r="J79" s="247" t="str">
        <f t="shared" si="12"/>
        <v/>
      </c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  <c r="AA79" s="47"/>
      <c r="AB79" s="47"/>
      <c r="AC79" s="47"/>
      <c r="AD79" s="47"/>
    </row>
    <row r="80" spans="1:30" ht="15.75" customHeight="1" outlineLevel="1">
      <c r="A80" s="51"/>
      <c r="B80" s="52" t="str">
        <f t="shared" si="8"/>
        <v/>
      </c>
      <c r="C80" t="str">
        <f t="shared" si="7"/>
        <v/>
      </c>
      <c r="D80" s="245" t="str">
        <f t="shared" si="9"/>
        <v/>
      </c>
      <c r="E80" s="534"/>
      <c r="F80" s="534"/>
      <c r="G80" s="395"/>
      <c r="H80" s="246" t="str">
        <f t="shared" si="10"/>
        <v/>
      </c>
      <c r="I80" s="199">
        <f t="shared" si="11"/>
        <v>0</v>
      </c>
      <c r="J80" s="247" t="str">
        <f t="shared" si="12"/>
        <v/>
      </c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  <c r="AA80" s="47"/>
      <c r="AB80" s="47"/>
      <c r="AC80" s="47"/>
      <c r="AD80" s="47"/>
    </row>
    <row r="81" spans="1:30" ht="15.75" customHeight="1" outlineLevel="1">
      <c r="A81" s="51"/>
      <c r="B81" s="52" t="str">
        <f t="shared" si="8"/>
        <v/>
      </c>
      <c r="C81" t="str">
        <f t="shared" si="7"/>
        <v/>
      </c>
      <c r="D81" s="245" t="str">
        <f t="shared" si="9"/>
        <v/>
      </c>
      <c r="E81" s="534"/>
      <c r="F81" s="534"/>
      <c r="G81" s="395"/>
      <c r="H81" s="246" t="str">
        <f t="shared" si="10"/>
        <v/>
      </c>
      <c r="I81" s="199">
        <f t="shared" si="11"/>
        <v>0</v>
      </c>
      <c r="J81" s="247" t="str">
        <f t="shared" si="12"/>
        <v/>
      </c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  <c r="AA81" s="47"/>
      <c r="AB81" s="47"/>
      <c r="AC81" s="47"/>
      <c r="AD81" s="47"/>
    </row>
    <row r="82" spans="1:30" ht="15.75" customHeight="1" outlineLevel="1">
      <c r="A82" s="51"/>
      <c r="B82" s="52" t="str">
        <f t="shared" si="8"/>
        <v/>
      </c>
      <c r="C82" t="str">
        <f t="shared" si="7"/>
        <v/>
      </c>
      <c r="D82" s="245" t="str">
        <f t="shared" si="9"/>
        <v/>
      </c>
      <c r="E82" s="534"/>
      <c r="F82" s="534"/>
      <c r="G82" s="395"/>
      <c r="H82" s="246" t="str">
        <f t="shared" si="10"/>
        <v/>
      </c>
      <c r="I82" s="199">
        <f t="shared" si="11"/>
        <v>0</v>
      </c>
      <c r="J82" s="247" t="str">
        <f t="shared" si="12"/>
        <v/>
      </c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  <c r="AA82" s="47"/>
      <c r="AB82" s="47"/>
      <c r="AC82" s="47"/>
      <c r="AD82" s="47"/>
    </row>
    <row r="83" spans="1:30" ht="15.75" customHeight="1" outlineLevel="1">
      <c r="A83" s="51"/>
      <c r="B83" s="52" t="str">
        <f t="shared" si="8"/>
        <v/>
      </c>
      <c r="C83" t="str">
        <f t="shared" si="7"/>
        <v/>
      </c>
      <c r="D83" s="245" t="str">
        <f t="shared" si="9"/>
        <v/>
      </c>
      <c r="E83" s="534"/>
      <c r="F83" s="534"/>
      <c r="G83" s="395"/>
      <c r="H83" s="246" t="str">
        <f t="shared" si="10"/>
        <v/>
      </c>
      <c r="I83" s="199">
        <f t="shared" si="11"/>
        <v>0</v>
      </c>
      <c r="J83" s="247" t="str">
        <f t="shared" si="12"/>
        <v/>
      </c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  <c r="AA83" s="47"/>
      <c r="AB83" s="47"/>
      <c r="AC83" s="47"/>
      <c r="AD83" s="47"/>
    </row>
    <row r="84" spans="1:30" ht="15.75" customHeight="1" outlineLevel="1">
      <c r="A84" s="51"/>
      <c r="B84" s="52" t="str">
        <f t="shared" si="8"/>
        <v/>
      </c>
      <c r="C84" t="str">
        <f t="shared" si="7"/>
        <v/>
      </c>
      <c r="D84" s="245" t="str">
        <f t="shared" si="9"/>
        <v/>
      </c>
      <c r="E84" s="534"/>
      <c r="F84" s="534"/>
      <c r="G84" s="395"/>
      <c r="H84" s="246" t="str">
        <f t="shared" si="10"/>
        <v/>
      </c>
      <c r="I84" s="199">
        <f t="shared" si="11"/>
        <v>0</v>
      </c>
      <c r="J84" s="247" t="str">
        <f t="shared" si="12"/>
        <v/>
      </c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  <c r="AA84" s="47"/>
      <c r="AB84" s="47"/>
      <c r="AC84" s="47"/>
      <c r="AD84" s="47"/>
    </row>
    <row r="85" spans="1:30" ht="15.75" customHeight="1" outlineLevel="1">
      <c r="A85" s="51"/>
      <c r="B85" s="52" t="str">
        <f t="shared" si="8"/>
        <v/>
      </c>
      <c r="C85" t="str">
        <f t="shared" si="7"/>
        <v/>
      </c>
      <c r="D85" s="245" t="str">
        <f t="shared" si="9"/>
        <v/>
      </c>
      <c r="E85" s="534"/>
      <c r="F85" s="534"/>
      <c r="G85" s="395"/>
      <c r="H85" s="246" t="str">
        <f t="shared" si="10"/>
        <v/>
      </c>
      <c r="I85" s="199">
        <f t="shared" si="11"/>
        <v>0</v>
      </c>
      <c r="J85" s="247" t="str">
        <f t="shared" si="12"/>
        <v/>
      </c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  <c r="AA85" s="47"/>
      <c r="AB85" s="47"/>
      <c r="AC85" s="47"/>
      <c r="AD85" s="47"/>
    </row>
    <row r="86" spans="1:30" ht="15.75" customHeight="1" outlineLevel="1">
      <c r="A86" s="51"/>
      <c r="B86" s="52" t="str">
        <f t="shared" si="8"/>
        <v/>
      </c>
      <c r="C86" t="str">
        <f t="shared" si="7"/>
        <v/>
      </c>
      <c r="D86" s="245" t="str">
        <f t="shared" si="9"/>
        <v/>
      </c>
      <c r="E86" s="534"/>
      <c r="F86" s="534"/>
      <c r="G86" s="395"/>
      <c r="H86" s="246" t="str">
        <f t="shared" si="10"/>
        <v/>
      </c>
      <c r="I86" s="199">
        <f t="shared" si="11"/>
        <v>0</v>
      </c>
      <c r="J86" s="247" t="str">
        <f t="shared" si="12"/>
        <v/>
      </c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  <c r="AA86" s="47"/>
      <c r="AB86" s="47"/>
      <c r="AC86" s="47"/>
      <c r="AD86" s="47"/>
    </row>
    <row r="87" spans="1:30" ht="15.75" customHeight="1" outlineLevel="1">
      <c r="A87" s="51"/>
      <c r="B87" s="52" t="str">
        <f t="shared" si="8"/>
        <v/>
      </c>
      <c r="C87" t="str">
        <f t="shared" si="7"/>
        <v/>
      </c>
      <c r="D87" s="245" t="str">
        <f t="shared" si="9"/>
        <v/>
      </c>
      <c r="E87" s="534"/>
      <c r="F87" s="534"/>
      <c r="G87" s="395"/>
      <c r="H87" s="246" t="str">
        <f t="shared" si="10"/>
        <v/>
      </c>
      <c r="I87" s="199">
        <f t="shared" si="11"/>
        <v>0</v>
      </c>
      <c r="J87" s="247" t="str">
        <f t="shared" si="12"/>
        <v/>
      </c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  <c r="AA87" s="47"/>
      <c r="AB87" s="47"/>
      <c r="AC87" s="47"/>
      <c r="AD87" s="47"/>
    </row>
    <row r="88" spans="1:30" ht="15.75" customHeight="1" outlineLevel="1">
      <c r="A88" s="51"/>
      <c r="B88" s="52" t="str">
        <f t="shared" si="8"/>
        <v/>
      </c>
      <c r="C88" t="str">
        <f t="shared" si="7"/>
        <v/>
      </c>
      <c r="D88" s="245" t="str">
        <f t="shared" si="9"/>
        <v/>
      </c>
      <c r="E88" s="534"/>
      <c r="F88" s="534"/>
      <c r="G88" s="395"/>
      <c r="H88" s="246" t="str">
        <f t="shared" si="10"/>
        <v/>
      </c>
      <c r="I88" s="199">
        <f t="shared" si="11"/>
        <v>0</v>
      </c>
      <c r="J88" s="247" t="str">
        <f t="shared" si="12"/>
        <v/>
      </c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  <c r="AA88" s="47"/>
      <c r="AB88" s="47"/>
      <c r="AC88" s="47"/>
      <c r="AD88" s="47"/>
    </row>
    <row r="89" spans="1:30" ht="15.75" customHeight="1" outlineLevel="1">
      <c r="A89" s="51"/>
      <c r="B89" s="52" t="str">
        <f t="shared" si="8"/>
        <v/>
      </c>
      <c r="C89" t="str">
        <f t="shared" si="7"/>
        <v/>
      </c>
      <c r="D89" s="245" t="str">
        <f t="shared" si="9"/>
        <v/>
      </c>
      <c r="E89" s="534"/>
      <c r="F89" s="534"/>
      <c r="G89" s="395"/>
      <c r="H89" s="246" t="str">
        <f t="shared" si="10"/>
        <v/>
      </c>
      <c r="I89" s="199">
        <f t="shared" si="11"/>
        <v>0</v>
      </c>
      <c r="J89" s="247" t="str">
        <f t="shared" si="12"/>
        <v/>
      </c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  <c r="AA89" s="47"/>
      <c r="AB89" s="47"/>
      <c r="AC89" s="47"/>
      <c r="AD89" s="47"/>
    </row>
    <row r="90" spans="1:30" ht="15.75" customHeight="1" outlineLevel="1">
      <c r="A90" s="51"/>
      <c r="B90" s="52" t="str">
        <f t="shared" si="8"/>
        <v/>
      </c>
      <c r="C90" t="str">
        <f t="shared" si="7"/>
        <v/>
      </c>
      <c r="D90" s="245" t="str">
        <f t="shared" si="9"/>
        <v/>
      </c>
      <c r="E90" s="534"/>
      <c r="F90" s="534"/>
      <c r="G90" s="395"/>
      <c r="H90" s="246" t="str">
        <f t="shared" si="10"/>
        <v/>
      </c>
      <c r="I90" s="199">
        <f t="shared" si="11"/>
        <v>0</v>
      </c>
      <c r="J90" s="247" t="str">
        <f t="shared" si="12"/>
        <v/>
      </c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  <c r="AA90" s="47"/>
      <c r="AB90" s="47"/>
      <c r="AC90" s="47"/>
      <c r="AD90" s="47"/>
    </row>
    <row r="91" spans="1:30" ht="15.75" customHeight="1" outlineLevel="1">
      <c r="A91" s="51"/>
      <c r="B91" s="52" t="str">
        <f t="shared" si="8"/>
        <v/>
      </c>
      <c r="C91" t="str">
        <f t="shared" si="7"/>
        <v/>
      </c>
      <c r="D91" s="245" t="str">
        <f t="shared" si="9"/>
        <v/>
      </c>
      <c r="E91" s="534"/>
      <c r="F91" s="534"/>
      <c r="G91" s="395"/>
      <c r="H91" s="246" t="str">
        <f t="shared" si="10"/>
        <v/>
      </c>
      <c r="I91" s="199">
        <f t="shared" si="11"/>
        <v>0</v>
      </c>
      <c r="J91" s="247" t="str">
        <f t="shared" si="12"/>
        <v/>
      </c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  <c r="AA91" s="47"/>
      <c r="AB91" s="47"/>
      <c r="AC91" s="47"/>
      <c r="AD91" s="47"/>
    </row>
    <row r="92" spans="1:30" ht="15.75" customHeight="1" outlineLevel="1">
      <c r="A92" s="51"/>
      <c r="B92" s="52" t="str">
        <f t="shared" si="8"/>
        <v/>
      </c>
      <c r="C92" t="str">
        <f t="shared" si="7"/>
        <v/>
      </c>
      <c r="D92" s="245" t="str">
        <f t="shared" si="9"/>
        <v/>
      </c>
      <c r="E92" s="534"/>
      <c r="F92" s="534"/>
      <c r="G92" s="395"/>
      <c r="H92" s="246" t="str">
        <f t="shared" si="10"/>
        <v/>
      </c>
      <c r="I92" s="199">
        <f t="shared" si="11"/>
        <v>0</v>
      </c>
      <c r="J92" s="247" t="str">
        <f t="shared" si="12"/>
        <v/>
      </c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  <c r="AA92" s="47"/>
      <c r="AB92" s="47"/>
      <c r="AC92" s="47"/>
      <c r="AD92" s="47"/>
    </row>
    <row r="93" spans="1:30" ht="15.75" customHeight="1" outlineLevel="1">
      <c r="A93" s="51"/>
      <c r="B93" s="52" t="str">
        <f t="shared" si="8"/>
        <v/>
      </c>
      <c r="C93" t="str">
        <f t="shared" si="7"/>
        <v/>
      </c>
      <c r="D93" s="245" t="str">
        <f t="shared" si="9"/>
        <v/>
      </c>
      <c r="E93" s="534"/>
      <c r="F93" s="534"/>
      <c r="G93" s="395"/>
      <c r="H93" s="246" t="str">
        <f t="shared" si="10"/>
        <v/>
      </c>
      <c r="I93" s="199">
        <f t="shared" si="11"/>
        <v>0</v>
      </c>
      <c r="J93" s="247" t="str">
        <f t="shared" si="12"/>
        <v/>
      </c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  <c r="AA93" s="47"/>
      <c r="AB93" s="47"/>
      <c r="AC93" s="47"/>
      <c r="AD93" s="47"/>
    </row>
    <row r="94" spans="1:30" ht="15.75" customHeight="1" outlineLevel="1">
      <c r="A94" s="51"/>
      <c r="B94" s="52" t="str">
        <f t="shared" si="8"/>
        <v/>
      </c>
      <c r="C94" t="str">
        <f t="shared" si="7"/>
        <v/>
      </c>
      <c r="D94" s="245" t="str">
        <f t="shared" si="9"/>
        <v/>
      </c>
      <c r="E94" s="534"/>
      <c r="F94" s="534"/>
      <c r="G94" s="395"/>
      <c r="H94" s="246" t="str">
        <f t="shared" si="10"/>
        <v/>
      </c>
      <c r="I94" s="199">
        <f t="shared" si="11"/>
        <v>0</v>
      </c>
      <c r="J94" s="247" t="str">
        <f t="shared" si="12"/>
        <v/>
      </c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  <c r="AA94" s="47"/>
      <c r="AB94" s="47"/>
      <c r="AC94" s="47"/>
      <c r="AD94" s="47"/>
    </row>
    <row r="95" spans="1:30" ht="15.75" customHeight="1" outlineLevel="1">
      <c r="A95" s="51"/>
      <c r="B95" s="52" t="str">
        <f t="shared" si="8"/>
        <v/>
      </c>
      <c r="C95" t="str">
        <f t="shared" si="7"/>
        <v/>
      </c>
      <c r="D95" s="245" t="str">
        <f t="shared" si="9"/>
        <v/>
      </c>
      <c r="E95" s="534"/>
      <c r="F95" s="534"/>
      <c r="G95" s="395"/>
      <c r="H95" s="246" t="str">
        <f t="shared" si="10"/>
        <v/>
      </c>
      <c r="I95" s="199">
        <f t="shared" si="11"/>
        <v>0</v>
      </c>
      <c r="J95" s="247" t="str">
        <f t="shared" si="12"/>
        <v/>
      </c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  <c r="AA95" s="47"/>
      <c r="AB95" s="47"/>
      <c r="AC95" s="47"/>
      <c r="AD95" s="47"/>
    </row>
    <row r="96" spans="1:30" ht="15.75" customHeight="1" outlineLevel="1">
      <c r="A96" s="51"/>
      <c r="B96" s="52" t="str">
        <f t="shared" si="8"/>
        <v/>
      </c>
      <c r="C96" t="str">
        <f t="shared" si="7"/>
        <v/>
      </c>
      <c r="D96" s="245" t="str">
        <f t="shared" si="9"/>
        <v/>
      </c>
      <c r="E96" s="534"/>
      <c r="F96" s="534"/>
      <c r="G96" s="395"/>
      <c r="H96" s="246" t="str">
        <f t="shared" si="10"/>
        <v/>
      </c>
      <c r="I96" s="199">
        <f t="shared" si="11"/>
        <v>0</v>
      </c>
      <c r="J96" s="247" t="str">
        <f t="shared" si="12"/>
        <v/>
      </c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  <c r="AA96" s="47"/>
      <c r="AB96" s="47"/>
      <c r="AC96" s="47"/>
      <c r="AD96" s="47"/>
    </row>
    <row r="97" spans="1:30" ht="15.75" customHeight="1" outlineLevel="1">
      <c r="A97" s="51"/>
      <c r="B97" s="52" t="str">
        <f t="shared" si="8"/>
        <v/>
      </c>
      <c r="C97" t="str">
        <f t="shared" si="7"/>
        <v/>
      </c>
      <c r="D97" s="245" t="str">
        <f t="shared" si="9"/>
        <v/>
      </c>
      <c r="E97" s="534"/>
      <c r="F97" s="534"/>
      <c r="G97" s="395"/>
      <c r="H97" s="246" t="str">
        <f t="shared" si="10"/>
        <v/>
      </c>
      <c r="I97" s="199">
        <f t="shared" si="11"/>
        <v>0</v>
      </c>
      <c r="J97" s="247" t="str">
        <f t="shared" si="12"/>
        <v/>
      </c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  <c r="AA97" s="47"/>
      <c r="AB97" s="47"/>
      <c r="AC97" s="47"/>
      <c r="AD97" s="47"/>
    </row>
    <row r="98" spans="1:30" ht="15.75" customHeight="1" outlineLevel="1" thickBot="1">
      <c r="A98" s="51"/>
      <c r="B98" s="52" t="str">
        <f t="shared" si="8"/>
        <v/>
      </c>
      <c r="C98" t="str">
        <f t="shared" si="7"/>
        <v/>
      </c>
      <c r="D98" s="245" t="str">
        <f t="shared" si="9"/>
        <v/>
      </c>
      <c r="E98" s="534"/>
      <c r="F98" s="534"/>
      <c r="G98" s="395"/>
      <c r="H98" s="246" t="str">
        <f t="shared" si="10"/>
        <v/>
      </c>
      <c r="I98" s="199">
        <f t="shared" si="11"/>
        <v>0</v>
      </c>
      <c r="J98" s="247" t="str">
        <f t="shared" si="12"/>
        <v/>
      </c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7"/>
      <c r="AB98" s="47"/>
      <c r="AC98" s="47"/>
      <c r="AD98" s="47"/>
    </row>
    <row r="99" spans="1:30" ht="15.75" customHeight="1" outlineLevel="1" thickTop="1">
      <c r="A99" s="51"/>
      <c r="B99" s="52" t="str">
        <f t="shared" si="8"/>
        <v/>
      </c>
      <c r="C99" t="str">
        <f t="shared" si="7"/>
        <v/>
      </c>
      <c r="D99" s="245" t="str">
        <f t="shared" si="9"/>
        <v/>
      </c>
      <c r="E99" s="534"/>
      <c r="F99" s="534"/>
      <c r="G99" s="394"/>
      <c r="H99" s="246" t="str">
        <f t="shared" si="10"/>
        <v/>
      </c>
      <c r="I99" s="199">
        <f t="shared" si="11"/>
        <v>0</v>
      </c>
      <c r="J99" s="247" t="str">
        <f t="shared" si="12"/>
        <v/>
      </c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  <c r="AA99" s="47"/>
      <c r="AB99" s="47"/>
      <c r="AC99" s="47"/>
      <c r="AD99" s="47"/>
    </row>
    <row r="100" spans="1:30" ht="15.75" customHeight="1" outlineLevel="1">
      <c r="A100" s="51"/>
      <c r="B100" s="52" t="str">
        <f t="shared" si="8"/>
        <v/>
      </c>
      <c r="C100" t="str">
        <f t="shared" si="7"/>
        <v/>
      </c>
      <c r="D100" s="245" t="str">
        <f t="shared" si="9"/>
        <v/>
      </c>
      <c r="E100" s="534"/>
      <c r="F100" s="534"/>
      <c r="G100" s="395"/>
      <c r="H100" s="246" t="str">
        <f t="shared" si="10"/>
        <v/>
      </c>
      <c r="I100" s="199">
        <f t="shared" si="11"/>
        <v>0</v>
      </c>
      <c r="J100" s="247" t="str">
        <f t="shared" si="12"/>
        <v/>
      </c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  <c r="AA100" s="47"/>
      <c r="AB100" s="47"/>
      <c r="AC100" s="47"/>
      <c r="AD100" s="47"/>
    </row>
    <row r="101" spans="1:30" ht="15.75" customHeight="1" outlineLevel="1">
      <c r="A101" s="51"/>
      <c r="B101" s="52" t="str">
        <f t="shared" si="8"/>
        <v/>
      </c>
      <c r="C101" t="str">
        <f t="shared" si="7"/>
        <v/>
      </c>
      <c r="D101" s="245" t="str">
        <f t="shared" si="9"/>
        <v/>
      </c>
      <c r="E101" s="534"/>
      <c r="F101" s="534"/>
      <c r="G101" s="395"/>
      <c r="H101" s="246" t="str">
        <f t="shared" si="10"/>
        <v/>
      </c>
      <c r="I101" s="199">
        <f t="shared" si="11"/>
        <v>0</v>
      </c>
      <c r="J101" s="247" t="str">
        <f t="shared" si="12"/>
        <v/>
      </c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  <c r="AA101" s="47"/>
      <c r="AB101" s="47"/>
      <c r="AC101" s="47"/>
      <c r="AD101" s="47"/>
    </row>
    <row r="102" spans="1:30" ht="15.75" customHeight="1" outlineLevel="1">
      <c r="A102" s="51"/>
      <c r="B102" s="52" t="str">
        <f t="shared" si="8"/>
        <v/>
      </c>
      <c r="C102" t="str">
        <f t="shared" si="7"/>
        <v/>
      </c>
      <c r="D102" s="245" t="str">
        <f t="shared" si="9"/>
        <v/>
      </c>
      <c r="E102" s="534"/>
      <c r="F102" s="534"/>
      <c r="G102" s="395"/>
      <c r="H102" s="246" t="str">
        <f t="shared" si="10"/>
        <v/>
      </c>
      <c r="I102" s="199">
        <f t="shared" si="11"/>
        <v>0</v>
      </c>
      <c r="J102" s="247" t="str">
        <f t="shared" si="12"/>
        <v/>
      </c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7"/>
      <c r="AB102" s="47"/>
      <c r="AC102" s="47"/>
      <c r="AD102" s="47"/>
    </row>
    <row r="103" spans="1:30" ht="15.75" customHeight="1" outlineLevel="1">
      <c r="A103" s="51"/>
      <c r="B103" s="52" t="str">
        <f t="shared" si="8"/>
        <v/>
      </c>
      <c r="C103" t="str">
        <f t="shared" si="7"/>
        <v/>
      </c>
      <c r="D103" s="245" t="str">
        <f t="shared" si="9"/>
        <v/>
      </c>
      <c r="E103" s="534"/>
      <c r="F103" s="534"/>
      <c r="G103" s="395"/>
      <c r="H103" s="246" t="str">
        <f t="shared" si="10"/>
        <v/>
      </c>
      <c r="I103" s="199">
        <f t="shared" si="11"/>
        <v>0</v>
      </c>
      <c r="J103" s="247" t="str">
        <f t="shared" si="12"/>
        <v/>
      </c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  <c r="AA103" s="47"/>
      <c r="AB103" s="47"/>
      <c r="AC103" s="47"/>
      <c r="AD103" s="47"/>
    </row>
    <row r="104" spans="1:30" ht="15.75" customHeight="1" outlineLevel="1">
      <c r="A104" s="51"/>
      <c r="B104" s="52" t="str">
        <f t="shared" si="8"/>
        <v/>
      </c>
      <c r="C104" t="str">
        <f t="shared" si="7"/>
        <v/>
      </c>
      <c r="D104" s="245" t="str">
        <f t="shared" si="9"/>
        <v/>
      </c>
      <c r="E104" s="534"/>
      <c r="F104" s="534"/>
      <c r="G104" s="395"/>
      <c r="H104" s="246" t="str">
        <f t="shared" si="10"/>
        <v/>
      </c>
      <c r="I104" s="199">
        <f t="shared" si="11"/>
        <v>0</v>
      </c>
      <c r="J104" s="247" t="str">
        <f t="shared" si="12"/>
        <v/>
      </c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  <c r="AA104" s="47"/>
      <c r="AB104" s="47"/>
      <c r="AC104" s="47"/>
      <c r="AD104" s="47"/>
    </row>
    <row r="105" spans="1:30" ht="15.75" customHeight="1" outlineLevel="1">
      <c r="A105" s="51"/>
      <c r="B105" s="52" t="str">
        <f t="shared" si="8"/>
        <v/>
      </c>
      <c r="C105" t="str">
        <f t="shared" si="7"/>
        <v/>
      </c>
      <c r="D105" s="245" t="str">
        <f t="shared" si="9"/>
        <v/>
      </c>
      <c r="E105" s="534"/>
      <c r="F105" s="534"/>
      <c r="G105" s="396"/>
      <c r="H105" s="246" t="str">
        <f t="shared" si="10"/>
        <v/>
      </c>
      <c r="I105" s="199">
        <f t="shared" si="11"/>
        <v>0</v>
      </c>
      <c r="J105" s="247" t="str">
        <f t="shared" si="12"/>
        <v/>
      </c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  <c r="AA105" s="47"/>
      <c r="AB105" s="47"/>
      <c r="AC105" s="47"/>
      <c r="AD105" s="47"/>
    </row>
    <row r="106" spans="1:30" ht="15.75" customHeight="1" outlineLevel="1">
      <c r="A106" s="51"/>
      <c r="B106" s="52" t="str">
        <f t="shared" si="8"/>
        <v/>
      </c>
      <c r="C106" t="str">
        <f t="shared" si="7"/>
        <v/>
      </c>
      <c r="D106" s="245" t="str">
        <f t="shared" si="9"/>
        <v/>
      </c>
      <c r="E106" s="534"/>
      <c r="F106" s="534"/>
      <c r="G106" s="395"/>
      <c r="H106" s="246" t="str">
        <f t="shared" si="10"/>
        <v/>
      </c>
      <c r="I106" s="199">
        <f t="shared" si="11"/>
        <v>0</v>
      </c>
      <c r="J106" s="247" t="str">
        <f t="shared" si="12"/>
        <v/>
      </c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  <c r="AA106" s="47"/>
      <c r="AB106" s="47"/>
      <c r="AC106" s="47"/>
      <c r="AD106" s="47"/>
    </row>
    <row r="107" spans="1:30" ht="15.75" customHeight="1" outlineLevel="1">
      <c r="A107" s="51"/>
      <c r="B107" s="52" t="str">
        <f t="shared" si="8"/>
        <v/>
      </c>
      <c r="C107" t="str">
        <f t="shared" si="7"/>
        <v/>
      </c>
      <c r="D107" s="245" t="str">
        <f t="shared" si="9"/>
        <v/>
      </c>
      <c r="E107" s="534"/>
      <c r="F107" s="534"/>
      <c r="G107" s="395"/>
      <c r="H107" s="246" t="str">
        <f t="shared" si="10"/>
        <v/>
      </c>
      <c r="I107" s="199">
        <f t="shared" si="11"/>
        <v>0</v>
      </c>
      <c r="J107" s="247" t="str">
        <f t="shared" si="12"/>
        <v/>
      </c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  <c r="AA107" s="47"/>
      <c r="AB107" s="47"/>
      <c r="AC107" s="47"/>
      <c r="AD107" s="47"/>
    </row>
    <row r="108" spans="1:30" ht="15.75" customHeight="1" outlineLevel="1">
      <c r="A108" s="51"/>
      <c r="B108" s="52" t="str">
        <f t="shared" si="8"/>
        <v/>
      </c>
      <c r="C108" t="str">
        <f t="shared" si="7"/>
        <v/>
      </c>
      <c r="D108" s="245" t="str">
        <f t="shared" si="9"/>
        <v/>
      </c>
      <c r="E108" s="534"/>
      <c r="F108" s="534"/>
      <c r="G108" s="395"/>
      <c r="H108" s="246" t="str">
        <f t="shared" si="10"/>
        <v/>
      </c>
      <c r="I108" s="199">
        <f t="shared" si="11"/>
        <v>0</v>
      </c>
      <c r="J108" s="247" t="str">
        <f t="shared" si="12"/>
        <v/>
      </c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  <c r="AA108" s="47"/>
      <c r="AB108" s="47"/>
      <c r="AC108" s="47"/>
      <c r="AD108" s="47"/>
    </row>
    <row r="109" spans="1:30" ht="15.75" customHeight="1" outlineLevel="1">
      <c r="A109" s="51"/>
      <c r="B109" s="52" t="str">
        <f t="shared" si="8"/>
        <v/>
      </c>
      <c r="C109" t="str">
        <f t="shared" si="7"/>
        <v/>
      </c>
      <c r="D109" s="245" t="str">
        <f t="shared" si="9"/>
        <v/>
      </c>
      <c r="E109" s="534"/>
      <c r="F109" s="534"/>
      <c r="G109" s="395"/>
      <c r="H109" s="246" t="str">
        <f t="shared" si="10"/>
        <v/>
      </c>
      <c r="I109" s="199">
        <f t="shared" si="11"/>
        <v>0</v>
      </c>
      <c r="J109" s="247" t="str">
        <f t="shared" si="12"/>
        <v/>
      </c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  <c r="AA109" s="47"/>
      <c r="AB109" s="47"/>
      <c r="AC109" s="47"/>
      <c r="AD109" s="47"/>
    </row>
    <row r="110" spans="1:30" ht="15.75" customHeight="1" outlineLevel="1">
      <c r="A110" s="51"/>
      <c r="B110" s="52" t="str">
        <f t="shared" si="8"/>
        <v/>
      </c>
      <c r="C110" t="str">
        <f t="shared" si="7"/>
        <v/>
      </c>
      <c r="D110" s="245" t="str">
        <f t="shared" si="9"/>
        <v/>
      </c>
      <c r="E110" s="534"/>
      <c r="F110" s="534"/>
      <c r="G110" s="395"/>
      <c r="H110" s="246" t="str">
        <f t="shared" si="10"/>
        <v/>
      </c>
      <c r="I110" s="199">
        <f t="shared" si="11"/>
        <v>0</v>
      </c>
      <c r="J110" s="247" t="str">
        <f t="shared" si="12"/>
        <v/>
      </c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  <c r="AA110" s="47"/>
      <c r="AB110" s="47"/>
      <c r="AC110" s="47"/>
      <c r="AD110" s="47"/>
    </row>
    <row r="111" spans="1:30" ht="15.75" customHeight="1" outlineLevel="1">
      <c r="A111" s="51"/>
      <c r="B111" s="52" t="str">
        <f t="shared" si="8"/>
        <v/>
      </c>
      <c r="C111" t="str">
        <f t="shared" si="7"/>
        <v/>
      </c>
      <c r="D111" s="245" t="str">
        <f t="shared" si="9"/>
        <v/>
      </c>
      <c r="E111" s="534"/>
      <c r="F111" s="534"/>
      <c r="G111" s="395"/>
      <c r="H111" s="246" t="str">
        <f t="shared" si="10"/>
        <v/>
      </c>
      <c r="I111" s="199">
        <f t="shared" si="11"/>
        <v>0</v>
      </c>
      <c r="J111" s="247" t="str">
        <f t="shared" si="12"/>
        <v/>
      </c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  <c r="AA111" s="47"/>
      <c r="AB111" s="47"/>
      <c r="AC111" s="47"/>
      <c r="AD111" s="47"/>
    </row>
    <row r="112" spans="1:30" ht="15.75" customHeight="1" outlineLevel="1">
      <c r="A112" s="51"/>
      <c r="B112" s="52" t="str">
        <f t="shared" si="8"/>
        <v/>
      </c>
      <c r="C112" t="str">
        <f t="shared" si="7"/>
        <v/>
      </c>
      <c r="D112" s="245" t="str">
        <f t="shared" si="9"/>
        <v/>
      </c>
      <c r="E112" s="534"/>
      <c r="F112" s="534"/>
      <c r="G112" s="395"/>
      <c r="H112" s="246" t="str">
        <f t="shared" si="10"/>
        <v/>
      </c>
      <c r="I112" s="199">
        <f t="shared" si="11"/>
        <v>0</v>
      </c>
      <c r="J112" s="247" t="str">
        <f t="shared" si="12"/>
        <v/>
      </c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  <c r="AA112" s="47"/>
      <c r="AB112" s="47"/>
      <c r="AC112" s="47"/>
      <c r="AD112" s="47"/>
    </row>
    <row r="113" spans="1:30" ht="15.75" customHeight="1" outlineLevel="1">
      <c r="A113" s="51"/>
      <c r="B113" s="52" t="str">
        <f t="shared" si="8"/>
        <v/>
      </c>
      <c r="C113" t="str">
        <f t="shared" si="7"/>
        <v/>
      </c>
      <c r="D113" s="245" t="str">
        <f t="shared" si="9"/>
        <v/>
      </c>
      <c r="E113" s="534"/>
      <c r="F113" s="534"/>
      <c r="G113" s="395"/>
      <c r="H113" s="246" t="str">
        <f t="shared" si="10"/>
        <v/>
      </c>
      <c r="I113" s="199">
        <f t="shared" si="11"/>
        <v>0</v>
      </c>
      <c r="J113" s="247" t="str">
        <f t="shared" si="12"/>
        <v/>
      </c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  <c r="AA113" s="47"/>
      <c r="AB113" s="47"/>
      <c r="AC113" s="47"/>
      <c r="AD113" s="47"/>
    </row>
    <row r="114" spans="1:30" ht="15.75" customHeight="1" outlineLevel="1">
      <c r="A114" s="51"/>
      <c r="B114" s="52" t="str">
        <f t="shared" si="8"/>
        <v/>
      </c>
      <c r="C114" t="str">
        <f t="shared" si="7"/>
        <v/>
      </c>
      <c r="D114" s="245" t="str">
        <f t="shared" si="9"/>
        <v/>
      </c>
      <c r="E114" s="534"/>
      <c r="F114" s="534"/>
      <c r="G114" s="395"/>
      <c r="H114" s="246" t="str">
        <f t="shared" si="10"/>
        <v/>
      </c>
      <c r="I114" s="199">
        <f t="shared" si="11"/>
        <v>0</v>
      </c>
      <c r="J114" s="247" t="str">
        <f t="shared" si="12"/>
        <v/>
      </c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  <c r="AA114" s="47"/>
      <c r="AB114" s="47"/>
      <c r="AC114" s="47"/>
      <c r="AD114" s="47"/>
    </row>
    <row r="115" spans="1:30" ht="15.75" customHeight="1" outlineLevel="1">
      <c r="A115" s="51"/>
      <c r="B115" s="52" t="str">
        <f t="shared" si="8"/>
        <v/>
      </c>
      <c r="C115" t="str">
        <f t="shared" si="7"/>
        <v/>
      </c>
      <c r="D115" s="245" t="str">
        <f t="shared" si="9"/>
        <v/>
      </c>
      <c r="E115" s="534"/>
      <c r="F115" s="534"/>
      <c r="G115" s="395"/>
      <c r="H115" s="246" t="str">
        <f t="shared" si="10"/>
        <v/>
      </c>
      <c r="I115" s="199">
        <f t="shared" si="11"/>
        <v>0</v>
      </c>
      <c r="J115" s="247" t="str">
        <f t="shared" si="12"/>
        <v/>
      </c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  <c r="AA115" s="47"/>
      <c r="AB115" s="47"/>
      <c r="AC115" s="47"/>
      <c r="AD115" s="47"/>
    </row>
    <row r="116" spans="1:30" ht="15.75" customHeight="1" outlineLevel="1">
      <c r="A116" s="51"/>
      <c r="B116" s="52" t="str">
        <f t="shared" si="8"/>
        <v/>
      </c>
      <c r="C116" t="str">
        <f t="shared" si="7"/>
        <v/>
      </c>
      <c r="D116" s="245" t="str">
        <f t="shared" si="9"/>
        <v/>
      </c>
      <c r="E116" s="534"/>
      <c r="F116" s="534"/>
      <c r="G116" s="395"/>
      <c r="H116" s="246" t="str">
        <f t="shared" si="10"/>
        <v/>
      </c>
      <c r="I116" s="199">
        <f t="shared" si="11"/>
        <v>0</v>
      </c>
      <c r="J116" s="247" t="str">
        <f t="shared" si="12"/>
        <v/>
      </c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  <c r="AA116" s="47"/>
      <c r="AB116" s="47"/>
      <c r="AC116" s="47"/>
      <c r="AD116" s="47"/>
    </row>
    <row r="117" spans="1:30" ht="15.75" customHeight="1" outlineLevel="1">
      <c r="A117" s="51"/>
      <c r="B117" s="52" t="str">
        <f t="shared" si="8"/>
        <v/>
      </c>
      <c r="C117" t="str">
        <f t="shared" si="7"/>
        <v/>
      </c>
      <c r="D117" s="245" t="str">
        <f t="shared" si="9"/>
        <v/>
      </c>
      <c r="E117" s="534"/>
      <c r="F117" s="534"/>
      <c r="G117" s="395"/>
      <c r="H117" s="246" t="str">
        <f t="shared" si="10"/>
        <v/>
      </c>
      <c r="I117" s="199">
        <f t="shared" si="11"/>
        <v>0</v>
      </c>
      <c r="J117" s="247" t="str">
        <f t="shared" si="12"/>
        <v/>
      </c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  <c r="AA117" s="47"/>
      <c r="AB117" s="47"/>
      <c r="AC117" s="47"/>
      <c r="AD117" s="47"/>
    </row>
    <row r="118" spans="1:30" ht="15.75" customHeight="1" outlineLevel="1">
      <c r="A118" s="51"/>
      <c r="B118" s="52" t="str">
        <f t="shared" si="8"/>
        <v/>
      </c>
      <c r="C118" t="str">
        <f t="shared" si="7"/>
        <v/>
      </c>
      <c r="D118" s="245" t="str">
        <f t="shared" si="9"/>
        <v/>
      </c>
      <c r="E118" s="534"/>
      <c r="F118" s="534"/>
      <c r="G118" s="395"/>
      <c r="H118" s="246" t="str">
        <f t="shared" si="10"/>
        <v/>
      </c>
      <c r="I118" s="199">
        <f t="shared" si="11"/>
        <v>0</v>
      </c>
      <c r="J118" s="247" t="str">
        <f t="shared" si="12"/>
        <v/>
      </c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  <c r="AA118" s="47"/>
      <c r="AB118" s="47"/>
      <c r="AC118" s="47"/>
      <c r="AD118" s="47"/>
    </row>
    <row r="119" spans="1:30" ht="15.75" customHeight="1" outlineLevel="1">
      <c r="A119" s="51"/>
      <c r="B119" s="52" t="str">
        <f t="shared" si="8"/>
        <v/>
      </c>
      <c r="C119" t="str">
        <f t="shared" si="7"/>
        <v/>
      </c>
      <c r="D119" s="245" t="str">
        <f t="shared" si="9"/>
        <v/>
      </c>
      <c r="E119" s="534"/>
      <c r="F119" s="534"/>
      <c r="G119" s="395"/>
      <c r="H119" s="246" t="str">
        <f t="shared" si="10"/>
        <v/>
      </c>
      <c r="I119" s="199">
        <f t="shared" si="11"/>
        <v>0</v>
      </c>
      <c r="J119" s="247" t="str">
        <f t="shared" si="12"/>
        <v/>
      </c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  <c r="AA119" s="47"/>
      <c r="AB119" s="47"/>
      <c r="AC119" s="47"/>
      <c r="AD119" s="47"/>
    </row>
    <row r="120" spans="1:30" ht="15.75" customHeight="1" outlineLevel="1">
      <c r="A120" s="51"/>
      <c r="B120" s="52" t="str">
        <f t="shared" si="8"/>
        <v/>
      </c>
      <c r="C120" t="str">
        <f t="shared" si="7"/>
        <v/>
      </c>
      <c r="D120" s="245" t="str">
        <f t="shared" si="9"/>
        <v/>
      </c>
      <c r="E120" s="534"/>
      <c r="F120" s="534"/>
      <c r="G120" s="395"/>
      <c r="H120" s="246" t="str">
        <f t="shared" si="10"/>
        <v/>
      </c>
      <c r="I120" s="199">
        <f t="shared" si="11"/>
        <v>0</v>
      </c>
      <c r="J120" s="247" t="str">
        <f t="shared" si="12"/>
        <v/>
      </c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  <c r="AA120" s="47"/>
      <c r="AB120" s="47"/>
      <c r="AC120" s="47"/>
      <c r="AD120" s="47"/>
    </row>
    <row r="121" spans="1:30" ht="15.75" customHeight="1" outlineLevel="1">
      <c r="A121" s="51"/>
      <c r="B121" s="52" t="str">
        <f t="shared" si="8"/>
        <v/>
      </c>
      <c r="C121" t="str">
        <f t="shared" si="7"/>
        <v/>
      </c>
      <c r="D121" s="245" t="str">
        <f t="shared" si="9"/>
        <v/>
      </c>
      <c r="E121" s="534"/>
      <c r="F121" s="534"/>
      <c r="G121" s="395"/>
      <c r="H121" s="246" t="str">
        <f t="shared" si="10"/>
        <v/>
      </c>
      <c r="I121" s="199">
        <f t="shared" si="11"/>
        <v>0</v>
      </c>
      <c r="J121" s="247" t="str">
        <f t="shared" si="12"/>
        <v/>
      </c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  <c r="AA121" s="47"/>
      <c r="AB121" s="47"/>
      <c r="AC121" s="47"/>
      <c r="AD121" s="47"/>
    </row>
    <row r="122" spans="1:30" ht="15.75" customHeight="1" outlineLevel="1">
      <c r="A122" s="51"/>
      <c r="B122" s="52" t="str">
        <f t="shared" si="8"/>
        <v/>
      </c>
      <c r="C122" t="str">
        <f t="shared" si="7"/>
        <v/>
      </c>
      <c r="D122" s="245" t="str">
        <f t="shared" si="9"/>
        <v/>
      </c>
      <c r="E122" s="534"/>
      <c r="F122" s="534"/>
      <c r="G122" s="395"/>
      <c r="H122" s="246" t="str">
        <f t="shared" si="10"/>
        <v/>
      </c>
      <c r="I122" s="199">
        <f t="shared" si="11"/>
        <v>0</v>
      </c>
      <c r="J122" s="247" t="str">
        <f t="shared" si="12"/>
        <v/>
      </c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  <c r="AA122" s="47"/>
      <c r="AB122" s="47"/>
      <c r="AC122" s="47"/>
      <c r="AD122" s="47"/>
    </row>
    <row r="123" spans="1:30" ht="15.75" customHeight="1" outlineLevel="1">
      <c r="A123" s="51"/>
      <c r="B123" s="52" t="str">
        <f t="shared" si="8"/>
        <v/>
      </c>
      <c r="C123" t="str">
        <f t="shared" si="7"/>
        <v/>
      </c>
      <c r="D123" s="245" t="str">
        <f t="shared" si="9"/>
        <v/>
      </c>
      <c r="E123" s="534"/>
      <c r="F123" s="534"/>
      <c r="G123" s="395"/>
      <c r="H123" s="246" t="str">
        <f t="shared" si="10"/>
        <v/>
      </c>
      <c r="I123" s="199">
        <f t="shared" si="11"/>
        <v>0</v>
      </c>
      <c r="J123" s="247" t="str">
        <f t="shared" si="12"/>
        <v/>
      </c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  <c r="AA123" s="47"/>
      <c r="AB123" s="47"/>
      <c r="AC123" s="47"/>
      <c r="AD123" s="47"/>
    </row>
    <row r="124" spans="1:30" ht="15.75" customHeight="1" outlineLevel="1">
      <c r="A124" s="51"/>
      <c r="B124" s="52" t="str">
        <f t="shared" si="8"/>
        <v/>
      </c>
      <c r="C124" t="str">
        <f t="shared" si="7"/>
        <v/>
      </c>
      <c r="D124" s="245" t="str">
        <f t="shared" si="9"/>
        <v/>
      </c>
      <c r="E124" s="534"/>
      <c r="F124" s="534"/>
      <c r="G124" s="395"/>
      <c r="H124" s="246" t="str">
        <f t="shared" si="10"/>
        <v/>
      </c>
      <c r="I124" s="199">
        <f t="shared" si="11"/>
        <v>0</v>
      </c>
      <c r="J124" s="247" t="str">
        <f t="shared" si="12"/>
        <v/>
      </c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  <c r="AA124" s="47"/>
      <c r="AB124" s="47"/>
      <c r="AC124" s="47"/>
      <c r="AD124" s="47"/>
    </row>
    <row r="125" spans="1:30" ht="15.75" customHeight="1" outlineLevel="1">
      <c r="A125" s="51"/>
      <c r="B125" s="52" t="str">
        <f t="shared" si="8"/>
        <v/>
      </c>
      <c r="C125" t="str">
        <f t="shared" si="7"/>
        <v/>
      </c>
      <c r="D125" s="245" t="str">
        <f t="shared" si="9"/>
        <v/>
      </c>
      <c r="E125" s="534"/>
      <c r="F125" s="534"/>
      <c r="G125" s="395"/>
      <c r="H125" s="246" t="str">
        <f t="shared" si="10"/>
        <v/>
      </c>
      <c r="I125" s="199">
        <f t="shared" si="11"/>
        <v>0</v>
      </c>
      <c r="J125" s="247" t="str">
        <f t="shared" si="12"/>
        <v/>
      </c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  <c r="AC125" s="47"/>
      <c r="AD125" s="47"/>
    </row>
    <row r="126" spans="1:30" ht="15.75" customHeight="1" outlineLevel="1">
      <c r="A126" s="51"/>
      <c r="B126" s="52" t="str">
        <f t="shared" si="8"/>
        <v/>
      </c>
      <c r="C126" t="str">
        <f t="shared" si="7"/>
        <v/>
      </c>
      <c r="D126" s="245" t="str">
        <f t="shared" si="9"/>
        <v/>
      </c>
      <c r="E126" s="534"/>
      <c r="F126" s="534"/>
      <c r="G126" s="395"/>
      <c r="H126" s="246" t="str">
        <f t="shared" si="10"/>
        <v/>
      </c>
      <c r="I126" s="199">
        <f t="shared" si="11"/>
        <v>0</v>
      </c>
      <c r="J126" s="247" t="str">
        <f t="shared" si="12"/>
        <v/>
      </c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  <c r="AC126" s="47"/>
      <c r="AD126" s="47"/>
    </row>
    <row r="127" spans="1:30" ht="15.75" customHeight="1" outlineLevel="1">
      <c r="A127" s="51"/>
      <c r="B127" s="52" t="str">
        <f t="shared" si="8"/>
        <v/>
      </c>
      <c r="C127" t="str">
        <f t="shared" si="7"/>
        <v/>
      </c>
      <c r="D127" s="245" t="str">
        <f t="shared" si="9"/>
        <v/>
      </c>
      <c r="E127" s="534"/>
      <c r="F127" s="534"/>
      <c r="G127" s="395"/>
      <c r="H127" s="246" t="str">
        <f t="shared" si="10"/>
        <v/>
      </c>
      <c r="I127" s="199">
        <f t="shared" si="11"/>
        <v>0</v>
      </c>
      <c r="J127" s="247" t="str">
        <f t="shared" si="12"/>
        <v/>
      </c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  <c r="AD127" s="47"/>
    </row>
    <row r="128" spans="1:30" ht="15.75" customHeight="1" outlineLevel="1">
      <c r="A128" s="51"/>
      <c r="B128" s="52" t="str">
        <f t="shared" si="8"/>
        <v/>
      </c>
      <c r="C128" t="str">
        <f t="shared" si="7"/>
        <v/>
      </c>
      <c r="D128" s="245" t="str">
        <f t="shared" si="9"/>
        <v/>
      </c>
      <c r="E128" s="534"/>
      <c r="F128" s="534"/>
      <c r="G128" s="395"/>
      <c r="H128" s="246" t="str">
        <f t="shared" si="10"/>
        <v/>
      </c>
      <c r="I128" s="199">
        <f t="shared" si="11"/>
        <v>0</v>
      </c>
      <c r="J128" s="247" t="str">
        <f t="shared" si="12"/>
        <v/>
      </c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  <c r="AD128" s="47"/>
    </row>
    <row r="129" spans="1:30" ht="15.75" customHeight="1" outlineLevel="1" thickBot="1">
      <c r="A129" s="51"/>
      <c r="B129" s="52" t="str">
        <f t="shared" si="8"/>
        <v/>
      </c>
      <c r="C129" t="str">
        <f t="shared" si="7"/>
        <v/>
      </c>
      <c r="D129" s="245" t="str">
        <f t="shared" si="9"/>
        <v/>
      </c>
      <c r="E129" s="534"/>
      <c r="F129" s="534"/>
      <c r="G129" s="398"/>
      <c r="H129" s="246" t="str">
        <f t="shared" si="10"/>
        <v/>
      </c>
      <c r="I129" s="199">
        <f t="shared" si="11"/>
        <v>0</v>
      </c>
      <c r="J129" s="247" t="str">
        <f t="shared" si="12"/>
        <v/>
      </c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  <c r="AD129" s="47"/>
    </row>
    <row r="130" spans="1:30" ht="15.75" customHeight="1" outlineLevel="1" thickTop="1">
      <c r="A130" s="51"/>
      <c r="B130" s="52" t="str">
        <f t="shared" si="8"/>
        <v/>
      </c>
      <c r="C130" t="str">
        <f t="shared" si="7"/>
        <v/>
      </c>
      <c r="D130" s="245" t="str">
        <f t="shared" si="9"/>
        <v/>
      </c>
      <c r="E130" s="534"/>
      <c r="F130" s="534"/>
      <c r="G130" s="394"/>
      <c r="H130" s="246" t="str">
        <f t="shared" si="10"/>
        <v/>
      </c>
      <c r="I130" s="199">
        <f t="shared" si="11"/>
        <v>0</v>
      </c>
      <c r="J130" s="247" t="str">
        <f t="shared" si="12"/>
        <v/>
      </c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  <c r="AD130" s="47"/>
    </row>
    <row r="131" spans="1:30" ht="15.75" customHeight="1" outlineLevel="1">
      <c r="A131" s="51"/>
      <c r="B131" s="52" t="str">
        <f t="shared" si="8"/>
        <v/>
      </c>
      <c r="C131" t="str">
        <f t="shared" si="7"/>
        <v/>
      </c>
      <c r="D131" s="245" t="str">
        <f t="shared" si="9"/>
        <v/>
      </c>
      <c r="E131" s="534"/>
      <c r="F131" s="534"/>
      <c r="G131" s="395"/>
      <c r="H131" s="246" t="str">
        <f t="shared" si="10"/>
        <v/>
      </c>
      <c r="I131" s="199">
        <f t="shared" si="11"/>
        <v>0</v>
      </c>
      <c r="J131" s="247" t="str">
        <f t="shared" si="12"/>
        <v/>
      </c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  <c r="AD131" s="47"/>
    </row>
    <row r="132" spans="1:30" ht="15.75" customHeight="1" outlineLevel="1">
      <c r="A132" s="51"/>
      <c r="B132" s="52" t="str">
        <f t="shared" si="8"/>
        <v/>
      </c>
      <c r="C132" t="str">
        <f t="shared" si="7"/>
        <v/>
      </c>
      <c r="D132" s="245" t="str">
        <f t="shared" si="9"/>
        <v/>
      </c>
      <c r="E132" s="534"/>
      <c r="F132" s="534"/>
      <c r="G132" s="395"/>
      <c r="H132" s="246" t="str">
        <f t="shared" si="10"/>
        <v/>
      </c>
      <c r="I132" s="199">
        <f t="shared" si="11"/>
        <v>0</v>
      </c>
      <c r="J132" s="247" t="str">
        <f t="shared" si="12"/>
        <v/>
      </c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  <c r="AD132" s="47"/>
    </row>
    <row r="133" spans="1:30" ht="15.75" customHeight="1" outlineLevel="1">
      <c r="A133" s="51"/>
      <c r="B133" s="52" t="str">
        <f t="shared" si="8"/>
        <v/>
      </c>
      <c r="C133" t="str">
        <f t="shared" si="7"/>
        <v/>
      </c>
      <c r="D133" s="245" t="str">
        <f t="shared" si="9"/>
        <v/>
      </c>
      <c r="E133" s="534"/>
      <c r="F133" s="534"/>
      <c r="G133" s="395"/>
      <c r="H133" s="246" t="str">
        <f t="shared" si="10"/>
        <v/>
      </c>
      <c r="I133" s="199">
        <f t="shared" si="11"/>
        <v>0</v>
      </c>
      <c r="J133" s="247" t="str">
        <f t="shared" si="12"/>
        <v/>
      </c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  <c r="AD133" s="47"/>
    </row>
    <row r="134" spans="1:30" ht="15.75" customHeight="1" outlineLevel="1">
      <c r="A134" s="51"/>
      <c r="B134" s="52" t="str">
        <f t="shared" si="8"/>
        <v/>
      </c>
      <c r="C134" t="str">
        <f t="shared" si="7"/>
        <v/>
      </c>
      <c r="D134" s="245" t="str">
        <f t="shared" si="9"/>
        <v/>
      </c>
      <c r="E134" s="534"/>
      <c r="F134" s="534"/>
      <c r="G134" s="395"/>
      <c r="H134" s="246" t="str">
        <f t="shared" si="10"/>
        <v/>
      </c>
      <c r="I134" s="199">
        <f t="shared" si="11"/>
        <v>0</v>
      </c>
      <c r="J134" s="247" t="str">
        <f t="shared" si="12"/>
        <v/>
      </c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</row>
    <row r="135" spans="1:30" ht="15.75" customHeight="1" outlineLevel="1">
      <c r="A135" s="51"/>
      <c r="B135" s="52" t="str">
        <f t="shared" si="8"/>
        <v/>
      </c>
      <c r="C135" t="str">
        <f t="shared" ref="C135:C198" si="13">IF(A135&lt;&gt;"",TEXT(A135,"aaaa"),"")</f>
        <v/>
      </c>
      <c r="D135" s="245" t="str">
        <f t="shared" si="9"/>
        <v/>
      </c>
      <c r="E135" s="534"/>
      <c r="F135" s="534"/>
      <c r="G135" s="395"/>
      <c r="H135" s="246" t="str">
        <f t="shared" si="10"/>
        <v/>
      </c>
      <c r="I135" s="199">
        <f t="shared" si="11"/>
        <v>0</v>
      </c>
      <c r="J135" s="247" t="str">
        <f t="shared" si="12"/>
        <v/>
      </c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  <c r="AA135" s="47"/>
      <c r="AB135" s="47"/>
      <c r="AC135" s="47"/>
      <c r="AD135" s="47"/>
    </row>
    <row r="136" spans="1:30" ht="15.75" customHeight="1" outlineLevel="1">
      <c r="A136" s="51"/>
      <c r="B136" s="52" t="str">
        <f t="shared" ref="B136:B199" si="14">IF(A136="","",TEXT(A136,"DDDD"))</f>
        <v/>
      </c>
      <c r="C136" t="str">
        <f t="shared" si="13"/>
        <v/>
      </c>
      <c r="D136" s="245" t="str">
        <f t="shared" ref="D136:D199" si="15">IF(A136&lt;&gt;"",PROPER(TEXT(A136,"Mmmm")),"")</f>
        <v/>
      </c>
      <c r="E136" s="534"/>
      <c r="F136" s="534"/>
      <c r="G136" s="396"/>
      <c r="H136" s="246" t="str">
        <f t="shared" ref="H136:H199" si="16">IF(G136=0,"",G136*$H$5)</f>
        <v/>
      </c>
      <c r="I136" s="199">
        <f t="shared" ref="I136:I199" si="17">G136</f>
        <v>0</v>
      </c>
      <c r="J136" s="247" t="str">
        <f t="shared" ref="J136:J199" si="18">IF(I136=0,"",I136-H136)</f>
        <v/>
      </c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7"/>
      <c r="AB136" s="47"/>
      <c r="AC136" s="47"/>
      <c r="AD136" s="47"/>
    </row>
    <row r="137" spans="1:30" ht="15.75" customHeight="1" outlineLevel="1">
      <c r="A137" s="51"/>
      <c r="B137" s="52" t="str">
        <f t="shared" si="14"/>
        <v/>
      </c>
      <c r="C137" t="str">
        <f t="shared" si="13"/>
        <v/>
      </c>
      <c r="D137" s="245" t="str">
        <f t="shared" si="15"/>
        <v/>
      </c>
      <c r="E137" s="534"/>
      <c r="F137" s="534"/>
      <c r="G137" s="395"/>
      <c r="H137" s="246" t="str">
        <f t="shared" si="16"/>
        <v/>
      </c>
      <c r="I137" s="199">
        <f t="shared" si="17"/>
        <v>0</v>
      </c>
      <c r="J137" s="247" t="str">
        <f t="shared" si="18"/>
        <v/>
      </c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  <c r="AA137" s="47"/>
      <c r="AB137" s="47"/>
      <c r="AC137" s="47"/>
      <c r="AD137" s="47"/>
    </row>
    <row r="138" spans="1:30" ht="15.75" customHeight="1" outlineLevel="1">
      <c r="A138" s="51"/>
      <c r="B138" s="52" t="str">
        <f t="shared" si="14"/>
        <v/>
      </c>
      <c r="C138" t="str">
        <f t="shared" si="13"/>
        <v/>
      </c>
      <c r="D138" s="245" t="str">
        <f t="shared" si="15"/>
        <v/>
      </c>
      <c r="E138" s="534"/>
      <c r="F138" s="534"/>
      <c r="G138" s="395"/>
      <c r="H138" s="246" t="str">
        <f t="shared" si="16"/>
        <v/>
      </c>
      <c r="I138" s="199">
        <f t="shared" si="17"/>
        <v>0</v>
      </c>
      <c r="J138" s="247" t="str">
        <f t="shared" si="18"/>
        <v/>
      </c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  <c r="AA138" s="47"/>
      <c r="AB138" s="47"/>
      <c r="AC138" s="47"/>
      <c r="AD138" s="47"/>
    </row>
    <row r="139" spans="1:30" ht="15.75" customHeight="1" outlineLevel="1">
      <c r="A139" s="51"/>
      <c r="B139" s="52" t="str">
        <f t="shared" si="14"/>
        <v/>
      </c>
      <c r="C139" t="str">
        <f t="shared" si="13"/>
        <v/>
      </c>
      <c r="D139" s="245" t="str">
        <f t="shared" si="15"/>
        <v/>
      </c>
      <c r="E139" s="534"/>
      <c r="F139" s="534"/>
      <c r="G139" s="395"/>
      <c r="H139" s="246" t="str">
        <f t="shared" si="16"/>
        <v/>
      </c>
      <c r="I139" s="199">
        <f t="shared" si="17"/>
        <v>0</v>
      </c>
      <c r="J139" s="247" t="str">
        <f t="shared" si="18"/>
        <v/>
      </c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  <c r="AA139" s="47"/>
      <c r="AB139" s="47"/>
      <c r="AC139" s="47"/>
      <c r="AD139" s="47"/>
    </row>
    <row r="140" spans="1:30" ht="15.75" customHeight="1" outlineLevel="1">
      <c r="A140" s="51"/>
      <c r="B140" s="52" t="str">
        <f t="shared" si="14"/>
        <v/>
      </c>
      <c r="C140" t="str">
        <f t="shared" si="13"/>
        <v/>
      </c>
      <c r="D140" s="245" t="str">
        <f t="shared" si="15"/>
        <v/>
      </c>
      <c r="E140" s="534"/>
      <c r="F140" s="534"/>
      <c r="G140" s="395"/>
      <c r="H140" s="246" t="str">
        <f t="shared" si="16"/>
        <v/>
      </c>
      <c r="I140" s="199">
        <f t="shared" si="17"/>
        <v>0</v>
      </c>
      <c r="J140" s="247" t="str">
        <f t="shared" si="18"/>
        <v/>
      </c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  <c r="AA140" s="47"/>
      <c r="AB140" s="47"/>
      <c r="AC140" s="47"/>
      <c r="AD140" s="47"/>
    </row>
    <row r="141" spans="1:30" ht="15.75" customHeight="1" outlineLevel="1">
      <c r="A141" s="51"/>
      <c r="B141" s="52" t="str">
        <f t="shared" si="14"/>
        <v/>
      </c>
      <c r="C141" t="str">
        <f t="shared" si="13"/>
        <v/>
      </c>
      <c r="D141" s="245" t="str">
        <f t="shared" si="15"/>
        <v/>
      </c>
      <c r="E141" s="534"/>
      <c r="F141" s="534"/>
      <c r="G141" s="395"/>
      <c r="H141" s="246" t="str">
        <f t="shared" si="16"/>
        <v/>
      </c>
      <c r="I141" s="199">
        <f t="shared" si="17"/>
        <v>0</v>
      </c>
      <c r="J141" s="247" t="str">
        <f t="shared" si="18"/>
        <v/>
      </c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  <c r="AA141" s="47"/>
      <c r="AB141" s="47"/>
      <c r="AC141" s="47"/>
      <c r="AD141" s="47"/>
    </row>
    <row r="142" spans="1:30" ht="15.75" customHeight="1" outlineLevel="1">
      <c r="A142" s="51"/>
      <c r="B142" s="52" t="str">
        <f t="shared" si="14"/>
        <v/>
      </c>
      <c r="C142" t="str">
        <f t="shared" si="13"/>
        <v/>
      </c>
      <c r="D142" s="245" t="str">
        <f t="shared" si="15"/>
        <v/>
      </c>
      <c r="E142" s="534"/>
      <c r="F142" s="534"/>
      <c r="G142" s="395"/>
      <c r="H142" s="246" t="str">
        <f t="shared" si="16"/>
        <v/>
      </c>
      <c r="I142" s="199">
        <f t="shared" si="17"/>
        <v>0</v>
      </c>
      <c r="J142" s="247" t="str">
        <f t="shared" si="18"/>
        <v/>
      </c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7"/>
      <c r="AB142" s="47"/>
      <c r="AC142" s="47"/>
      <c r="AD142" s="47"/>
    </row>
    <row r="143" spans="1:30" ht="15.75" customHeight="1" outlineLevel="1">
      <c r="A143" s="51"/>
      <c r="B143" s="52" t="str">
        <f t="shared" si="14"/>
        <v/>
      </c>
      <c r="C143" t="str">
        <f t="shared" si="13"/>
        <v/>
      </c>
      <c r="D143" s="245" t="str">
        <f t="shared" si="15"/>
        <v/>
      </c>
      <c r="E143" s="534"/>
      <c r="F143" s="534"/>
      <c r="G143" s="395"/>
      <c r="H143" s="246" t="str">
        <f t="shared" si="16"/>
        <v/>
      </c>
      <c r="I143" s="199">
        <f t="shared" si="17"/>
        <v>0</v>
      </c>
      <c r="J143" s="247" t="str">
        <f t="shared" si="18"/>
        <v/>
      </c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  <c r="AA143" s="47"/>
      <c r="AB143" s="47"/>
      <c r="AC143" s="47"/>
      <c r="AD143" s="47"/>
    </row>
    <row r="144" spans="1:30" ht="15.75" customHeight="1" outlineLevel="1">
      <c r="A144" s="51"/>
      <c r="B144" s="52" t="str">
        <f t="shared" si="14"/>
        <v/>
      </c>
      <c r="C144" t="str">
        <f t="shared" si="13"/>
        <v/>
      </c>
      <c r="D144" s="245" t="str">
        <f t="shared" si="15"/>
        <v/>
      </c>
      <c r="E144" s="534"/>
      <c r="F144" s="534"/>
      <c r="G144" s="395"/>
      <c r="H144" s="246" t="str">
        <f t="shared" si="16"/>
        <v/>
      </c>
      <c r="I144" s="199">
        <f t="shared" si="17"/>
        <v>0</v>
      </c>
      <c r="J144" s="247" t="str">
        <f t="shared" si="18"/>
        <v/>
      </c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  <c r="AA144" s="47"/>
      <c r="AB144" s="47"/>
      <c r="AC144" s="47"/>
      <c r="AD144" s="47"/>
    </row>
    <row r="145" spans="1:30" ht="15.75" customHeight="1" outlineLevel="1">
      <c r="A145" s="51"/>
      <c r="B145" s="52" t="str">
        <f t="shared" si="14"/>
        <v/>
      </c>
      <c r="C145" t="str">
        <f t="shared" si="13"/>
        <v/>
      </c>
      <c r="D145" s="245" t="str">
        <f t="shared" si="15"/>
        <v/>
      </c>
      <c r="E145" s="534"/>
      <c r="F145" s="534"/>
      <c r="G145" s="395"/>
      <c r="H145" s="246" t="str">
        <f t="shared" si="16"/>
        <v/>
      </c>
      <c r="I145" s="199">
        <f t="shared" si="17"/>
        <v>0</v>
      </c>
      <c r="J145" s="247" t="str">
        <f t="shared" si="18"/>
        <v/>
      </c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  <c r="AA145" s="47"/>
      <c r="AB145" s="47"/>
      <c r="AC145" s="47"/>
      <c r="AD145" s="47"/>
    </row>
    <row r="146" spans="1:30" ht="15.75" customHeight="1" outlineLevel="1">
      <c r="A146" s="51"/>
      <c r="B146" s="52" t="str">
        <f t="shared" si="14"/>
        <v/>
      </c>
      <c r="C146" t="str">
        <f t="shared" si="13"/>
        <v/>
      </c>
      <c r="D146" s="245" t="str">
        <f t="shared" si="15"/>
        <v/>
      </c>
      <c r="E146" s="534"/>
      <c r="F146" s="534"/>
      <c r="G146" s="395"/>
      <c r="H146" s="246" t="str">
        <f t="shared" si="16"/>
        <v/>
      </c>
      <c r="I146" s="199">
        <f t="shared" si="17"/>
        <v>0</v>
      </c>
      <c r="J146" s="247" t="str">
        <f t="shared" si="18"/>
        <v/>
      </c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  <c r="AA146" s="47"/>
      <c r="AB146" s="47"/>
      <c r="AC146" s="47"/>
      <c r="AD146" s="47"/>
    </row>
    <row r="147" spans="1:30" ht="15.75" customHeight="1" outlineLevel="1">
      <c r="A147" s="51"/>
      <c r="B147" s="52" t="str">
        <f t="shared" si="14"/>
        <v/>
      </c>
      <c r="C147" t="str">
        <f t="shared" si="13"/>
        <v/>
      </c>
      <c r="D147" s="245" t="str">
        <f t="shared" si="15"/>
        <v/>
      </c>
      <c r="E147" s="534"/>
      <c r="F147" s="534"/>
      <c r="G147" s="395"/>
      <c r="H147" s="246" t="str">
        <f t="shared" si="16"/>
        <v/>
      </c>
      <c r="I147" s="199">
        <f t="shared" si="17"/>
        <v>0</v>
      </c>
      <c r="J147" s="247" t="str">
        <f t="shared" si="18"/>
        <v/>
      </c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  <c r="AA147" s="47"/>
      <c r="AB147" s="47"/>
      <c r="AC147" s="47"/>
      <c r="AD147" s="47"/>
    </row>
    <row r="148" spans="1:30" ht="15.75" customHeight="1" outlineLevel="1">
      <c r="A148" s="51"/>
      <c r="B148" s="52" t="str">
        <f t="shared" si="14"/>
        <v/>
      </c>
      <c r="C148" t="str">
        <f t="shared" si="13"/>
        <v/>
      </c>
      <c r="D148" s="245" t="str">
        <f t="shared" si="15"/>
        <v/>
      </c>
      <c r="E148" s="534"/>
      <c r="F148" s="534"/>
      <c r="G148" s="395"/>
      <c r="H148" s="246" t="str">
        <f t="shared" si="16"/>
        <v/>
      </c>
      <c r="I148" s="199">
        <f t="shared" si="17"/>
        <v>0</v>
      </c>
      <c r="J148" s="247" t="str">
        <f t="shared" si="18"/>
        <v/>
      </c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  <c r="AA148" s="47"/>
      <c r="AB148" s="47"/>
      <c r="AC148" s="47"/>
      <c r="AD148" s="47"/>
    </row>
    <row r="149" spans="1:30" ht="15.75" customHeight="1" outlineLevel="1">
      <c r="A149" s="51"/>
      <c r="B149" s="52" t="str">
        <f t="shared" si="14"/>
        <v/>
      </c>
      <c r="C149" t="str">
        <f t="shared" si="13"/>
        <v/>
      </c>
      <c r="D149" s="245" t="str">
        <f t="shared" si="15"/>
        <v/>
      </c>
      <c r="E149" s="534"/>
      <c r="F149" s="534"/>
      <c r="G149" s="395"/>
      <c r="H149" s="246" t="str">
        <f t="shared" si="16"/>
        <v/>
      </c>
      <c r="I149" s="199">
        <f t="shared" si="17"/>
        <v>0</v>
      </c>
      <c r="J149" s="247" t="str">
        <f t="shared" si="18"/>
        <v/>
      </c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  <c r="AA149" s="47"/>
      <c r="AB149" s="47"/>
      <c r="AC149" s="47"/>
      <c r="AD149" s="47"/>
    </row>
    <row r="150" spans="1:30" ht="15.75" customHeight="1" outlineLevel="1">
      <c r="A150" s="51"/>
      <c r="B150" s="52" t="str">
        <f t="shared" si="14"/>
        <v/>
      </c>
      <c r="C150" t="str">
        <f t="shared" si="13"/>
        <v/>
      </c>
      <c r="D150" s="245" t="str">
        <f t="shared" si="15"/>
        <v/>
      </c>
      <c r="E150" s="534"/>
      <c r="F150" s="534"/>
      <c r="G150" s="395"/>
      <c r="H150" s="246" t="str">
        <f t="shared" si="16"/>
        <v/>
      </c>
      <c r="I150" s="199">
        <f t="shared" si="17"/>
        <v>0</v>
      </c>
      <c r="J150" s="247" t="str">
        <f t="shared" si="18"/>
        <v/>
      </c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  <c r="AA150" s="47"/>
      <c r="AB150" s="47"/>
      <c r="AC150" s="47"/>
      <c r="AD150" s="47"/>
    </row>
    <row r="151" spans="1:30" ht="15.75" customHeight="1" outlineLevel="1">
      <c r="A151" s="51"/>
      <c r="B151" s="52" t="str">
        <f t="shared" si="14"/>
        <v/>
      </c>
      <c r="C151" t="str">
        <f t="shared" si="13"/>
        <v/>
      </c>
      <c r="D151" s="245" t="str">
        <f t="shared" si="15"/>
        <v/>
      </c>
      <c r="E151" s="534"/>
      <c r="F151" s="534"/>
      <c r="G151" s="395"/>
      <c r="H151" s="246" t="str">
        <f t="shared" si="16"/>
        <v/>
      </c>
      <c r="I151" s="199">
        <f t="shared" si="17"/>
        <v>0</v>
      </c>
      <c r="J151" s="247" t="str">
        <f t="shared" si="18"/>
        <v/>
      </c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  <c r="AA151" s="47"/>
      <c r="AB151" s="47"/>
      <c r="AC151" s="47"/>
      <c r="AD151" s="47"/>
    </row>
    <row r="152" spans="1:30" ht="15.75" customHeight="1" outlineLevel="1">
      <c r="A152" s="51"/>
      <c r="B152" s="52" t="str">
        <f t="shared" si="14"/>
        <v/>
      </c>
      <c r="C152" t="str">
        <f t="shared" si="13"/>
        <v/>
      </c>
      <c r="D152" s="245" t="str">
        <f t="shared" si="15"/>
        <v/>
      </c>
      <c r="E152" s="534"/>
      <c r="F152" s="534"/>
      <c r="G152" s="395"/>
      <c r="H152" s="246" t="str">
        <f t="shared" si="16"/>
        <v/>
      </c>
      <c r="I152" s="199">
        <f t="shared" si="17"/>
        <v>0</v>
      </c>
      <c r="J152" s="247" t="str">
        <f t="shared" si="18"/>
        <v/>
      </c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  <c r="AA152" s="47"/>
      <c r="AB152" s="47"/>
      <c r="AC152" s="47"/>
      <c r="AD152" s="47"/>
    </row>
    <row r="153" spans="1:30" ht="15.75" customHeight="1" outlineLevel="1">
      <c r="A153" s="51"/>
      <c r="B153" s="52" t="str">
        <f t="shared" si="14"/>
        <v/>
      </c>
      <c r="C153" t="str">
        <f t="shared" si="13"/>
        <v/>
      </c>
      <c r="D153" s="245" t="str">
        <f t="shared" si="15"/>
        <v/>
      </c>
      <c r="E153" s="534"/>
      <c r="F153" s="534"/>
      <c r="G153" s="395"/>
      <c r="H153" s="246" t="str">
        <f t="shared" si="16"/>
        <v/>
      </c>
      <c r="I153" s="199">
        <f t="shared" si="17"/>
        <v>0</v>
      </c>
      <c r="J153" s="247" t="str">
        <f t="shared" si="18"/>
        <v/>
      </c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  <c r="AA153" s="47"/>
      <c r="AB153" s="47"/>
      <c r="AC153" s="47"/>
      <c r="AD153" s="47"/>
    </row>
    <row r="154" spans="1:30" ht="15.75" customHeight="1" outlineLevel="1">
      <c r="A154" s="51"/>
      <c r="B154" s="52" t="str">
        <f t="shared" si="14"/>
        <v/>
      </c>
      <c r="C154" t="str">
        <f t="shared" si="13"/>
        <v/>
      </c>
      <c r="D154" s="245" t="str">
        <f t="shared" si="15"/>
        <v/>
      </c>
      <c r="E154" s="534"/>
      <c r="F154" s="534"/>
      <c r="G154" s="395"/>
      <c r="H154" s="246" t="str">
        <f t="shared" si="16"/>
        <v/>
      </c>
      <c r="I154" s="199">
        <f t="shared" si="17"/>
        <v>0</v>
      </c>
      <c r="J154" s="247" t="str">
        <f t="shared" si="18"/>
        <v/>
      </c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  <c r="AA154" s="47"/>
      <c r="AB154" s="47"/>
      <c r="AC154" s="47"/>
      <c r="AD154" s="47"/>
    </row>
    <row r="155" spans="1:30" ht="15.75" customHeight="1" outlineLevel="1">
      <c r="A155" s="51"/>
      <c r="B155" s="52" t="str">
        <f t="shared" si="14"/>
        <v/>
      </c>
      <c r="C155" t="str">
        <f t="shared" si="13"/>
        <v/>
      </c>
      <c r="D155" s="245" t="str">
        <f t="shared" si="15"/>
        <v/>
      </c>
      <c r="E155" s="534"/>
      <c r="F155" s="534"/>
      <c r="G155" s="395"/>
      <c r="H155" s="246" t="str">
        <f t="shared" si="16"/>
        <v/>
      </c>
      <c r="I155" s="199">
        <f t="shared" si="17"/>
        <v>0</v>
      </c>
      <c r="J155" s="247" t="str">
        <f t="shared" si="18"/>
        <v/>
      </c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  <c r="AA155" s="47"/>
      <c r="AB155" s="47"/>
      <c r="AC155" s="47"/>
      <c r="AD155" s="47"/>
    </row>
    <row r="156" spans="1:30" ht="15.75" customHeight="1" outlineLevel="1">
      <c r="A156" s="51"/>
      <c r="B156" s="52" t="str">
        <f t="shared" si="14"/>
        <v/>
      </c>
      <c r="C156" t="str">
        <f t="shared" si="13"/>
        <v/>
      </c>
      <c r="D156" s="245" t="str">
        <f t="shared" si="15"/>
        <v/>
      </c>
      <c r="E156" s="534"/>
      <c r="F156" s="534"/>
      <c r="G156" s="395"/>
      <c r="H156" s="246" t="str">
        <f t="shared" si="16"/>
        <v/>
      </c>
      <c r="I156" s="199">
        <f t="shared" si="17"/>
        <v>0</v>
      </c>
      <c r="J156" s="247" t="str">
        <f t="shared" si="18"/>
        <v/>
      </c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  <c r="AA156" s="47"/>
      <c r="AB156" s="47"/>
      <c r="AC156" s="47"/>
      <c r="AD156" s="47"/>
    </row>
    <row r="157" spans="1:30" ht="15.75" customHeight="1" outlineLevel="1">
      <c r="A157" s="51"/>
      <c r="B157" s="52" t="str">
        <f t="shared" si="14"/>
        <v/>
      </c>
      <c r="C157" t="str">
        <f t="shared" si="13"/>
        <v/>
      </c>
      <c r="D157" s="245" t="str">
        <f t="shared" si="15"/>
        <v/>
      </c>
      <c r="E157" s="534"/>
      <c r="F157" s="534"/>
      <c r="G157" s="395"/>
      <c r="H157" s="246" t="str">
        <f t="shared" si="16"/>
        <v/>
      </c>
      <c r="I157" s="199">
        <f t="shared" si="17"/>
        <v>0</v>
      </c>
      <c r="J157" s="247" t="str">
        <f t="shared" si="18"/>
        <v/>
      </c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  <c r="AA157" s="47"/>
      <c r="AB157" s="47"/>
      <c r="AC157" s="47"/>
      <c r="AD157" s="47"/>
    </row>
    <row r="158" spans="1:30" ht="15.75" customHeight="1" outlineLevel="1">
      <c r="A158" s="51"/>
      <c r="B158" s="52" t="str">
        <f t="shared" si="14"/>
        <v/>
      </c>
      <c r="C158" t="str">
        <f t="shared" si="13"/>
        <v/>
      </c>
      <c r="D158" s="245" t="str">
        <f t="shared" si="15"/>
        <v/>
      </c>
      <c r="E158" s="534"/>
      <c r="F158" s="534"/>
      <c r="G158" s="395"/>
      <c r="H158" s="246" t="str">
        <f t="shared" si="16"/>
        <v/>
      </c>
      <c r="I158" s="199">
        <f t="shared" si="17"/>
        <v>0</v>
      </c>
      <c r="J158" s="247" t="str">
        <f t="shared" si="18"/>
        <v/>
      </c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  <c r="AA158" s="47"/>
      <c r="AB158" s="47"/>
      <c r="AC158" s="47"/>
      <c r="AD158" s="47"/>
    </row>
    <row r="159" spans="1:30" ht="15.75" customHeight="1" outlineLevel="1" thickBot="1">
      <c r="A159" s="51"/>
      <c r="B159" s="52" t="str">
        <f t="shared" si="14"/>
        <v/>
      </c>
      <c r="C159" t="str">
        <f t="shared" si="13"/>
        <v/>
      </c>
      <c r="D159" s="245" t="str">
        <f t="shared" si="15"/>
        <v/>
      </c>
      <c r="E159" s="534"/>
      <c r="F159" s="534"/>
      <c r="G159" s="395"/>
      <c r="H159" s="246" t="str">
        <f t="shared" si="16"/>
        <v/>
      </c>
      <c r="I159" s="199">
        <f t="shared" si="17"/>
        <v>0</v>
      </c>
      <c r="J159" s="247" t="str">
        <f t="shared" si="18"/>
        <v/>
      </c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  <c r="AA159" s="47"/>
      <c r="AB159" s="47"/>
      <c r="AC159" s="47"/>
      <c r="AD159" s="47"/>
    </row>
    <row r="160" spans="1:30" ht="15.75" customHeight="1" outlineLevel="1" thickTop="1">
      <c r="A160" s="51"/>
      <c r="B160" s="52" t="str">
        <f t="shared" si="14"/>
        <v/>
      </c>
      <c r="C160" t="str">
        <f t="shared" si="13"/>
        <v/>
      </c>
      <c r="D160" s="245" t="str">
        <f t="shared" si="15"/>
        <v/>
      </c>
      <c r="E160" s="534"/>
      <c r="F160" s="534"/>
      <c r="G160" s="394"/>
      <c r="H160" s="246" t="str">
        <f t="shared" si="16"/>
        <v/>
      </c>
      <c r="I160" s="199">
        <f t="shared" si="17"/>
        <v>0</v>
      </c>
      <c r="J160" s="247" t="str">
        <f t="shared" si="18"/>
        <v/>
      </c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  <c r="AA160" s="47"/>
      <c r="AB160" s="47"/>
      <c r="AC160" s="47"/>
      <c r="AD160" s="47"/>
    </row>
    <row r="161" spans="1:30" ht="15.75" customHeight="1" outlineLevel="1">
      <c r="A161" s="51"/>
      <c r="B161" s="52" t="str">
        <f t="shared" si="14"/>
        <v/>
      </c>
      <c r="C161" t="str">
        <f t="shared" si="13"/>
        <v/>
      </c>
      <c r="D161" s="245" t="str">
        <f t="shared" si="15"/>
        <v/>
      </c>
      <c r="E161" s="534"/>
      <c r="F161" s="534"/>
      <c r="G161" s="395"/>
      <c r="H161" s="246" t="str">
        <f t="shared" si="16"/>
        <v/>
      </c>
      <c r="I161" s="199">
        <f t="shared" si="17"/>
        <v>0</v>
      </c>
      <c r="J161" s="247" t="str">
        <f t="shared" si="18"/>
        <v/>
      </c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  <c r="AA161" s="47"/>
      <c r="AB161" s="47"/>
      <c r="AC161" s="47"/>
      <c r="AD161" s="47"/>
    </row>
    <row r="162" spans="1:30" ht="15.75" customHeight="1" outlineLevel="1">
      <c r="A162" s="51"/>
      <c r="B162" s="52" t="str">
        <f t="shared" si="14"/>
        <v/>
      </c>
      <c r="C162" t="str">
        <f t="shared" si="13"/>
        <v/>
      </c>
      <c r="D162" s="245" t="str">
        <f t="shared" si="15"/>
        <v/>
      </c>
      <c r="E162" s="534"/>
      <c r="F162" s="534"/>
      <c r="G162" s="395"/>
      <c r="H162" s="246" t="str">
        <f t="shared" si="16"/>
        <v/>
      </c>
      <c r="I162" s="199">
        <f t="shared" si="17"/>
        <v>0</v>
      </c>
      <c r="J162" s="247" t="str">
        <f t="shared" si="18"/>
        <v/>
      </c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  <c r="AA162" s="47"/>
      <c r="AB162" s="47"/>
      <c r="AC162" s="47"/>
      <c r="AD162" s="47"/>
    </row>
    <row r="163" spans="1:30" ht="15.75" customHeight="1" outlineLevel="1">
      <c r="A163" s="51"/>
      <c r="B163" s="52" t="str">
        <f t="shared" si="14"/>
        <v/>
      </c>
      <c r="C163" t="str">
        <f t="shared" si="13"/>
        <v/>
      </c>
      <c r="D163" s="245" t="str">
        <f t="shared" si="15"/>
        <v/>
      </c>
      <c r="E163" s="534"/>
      <c r="F163" s="534"/>
      <c r="G163" s="395"/>
      <c r="H163" s="246" t="str">
        <f t="shared" si="16"/>
        <v/>
      </c>
      <c r="I163" s="199">
        <f t="shared" si="17"/>
        <v>0</v>
      </c>
      <c r="J163" s="247" t="str">
        <f t="shared" si="18"/>
        <v/>
      </c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  <c r="AA163" s="47"/>
      <c r="AB163" s="47"/>
      <c r="AC163" s="47"/>
      <c r="AD163" s="47"/>
    </row>
    <row r="164" spans="1:30" ht="15.75" customHeight="1" outlineLevel="1">
      <c r="A164" s="51"/>
      <c r="B164" s="52" t="str">
        <f t="shared" si="14"/>
        <v/>
      </c>
      <c r="C164" t="str">
        <f t="shared" si="13"/>
        <v/>
      </c>
      <c r="D164" s="245" t="str">
        <f t="shared" si="15"/>
        <v/>
      </c>
      <c r="E164" s="534"/>
      <c r="F164" s="534"/>
      <c r="G164" s="395"/>
      <c r="H164" s="246" t="str">
        <f t="shared" si="16"/>
        <v/>
      </c>
      <c r="I164" s="199">
        <f t="shared" si="17"/>
        <v>0</v>
      </c>
      <c r="J164" s="247" t="str">
        <f t="shared" si="18"/>
        <v/>
      </c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  <c r="AA164" s="47"/>
      <c r="AB164" s="47"/>
      <c r="AC164" s="47"/>
      <c r="AD164" s="47"/>
    </row>
    <row r="165" spans="1:30" ht="15.75" customHeight="1" outlineLevel="1">
      <c r="A165" s="51"/>
      <c r="B165" s="52" t="str">
        <f t="shared" si="14"/>
        <v/>
      </c>
      <c r="C165" t="str">
        <f t="shared" si="13"/>
        <v/>
      </c>
      <c r="D165" s="245" t="str">
        <f t="shared" si="15"/>
        <v/>
      </c>
      <c r="E165" s="534"/>
      <c r="F165" s="534"/>
      <c r="G165" s="395"/>
      <c r="H165" s="246" t="str">
        <f t="shared" si="16"/>
        <v/>
      </c>
      <c r="I165" s="199">
        <f t="shared" si="17"/>
        <v>0</v>
      </c>
      <c r="J165" s="247" t="str">
        <f t="shared" si="18"/>
        <v/>
      </c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  <c r="AA165" s="47"/>
      <c r="AB165" s="47"/>
      <c r="AC165" s="47"/>
      <c r="AD165" s="47"/>
    </row>
    <row r="166" spans="1:30" ht="15.75" customHeight="1" outlineLevel="1">
      <c r="A166" s="51"/>
      <c r="B166" s="52" t="str">
        <f t="shared" si="14"/>
        <v/>
      </c>
      <c r="C166" t="str">
        <f t="shared" si="13"/>
        <v/>
      </c>
      <c r="D166" s="245" t="str">
        <f t="shared" si="15"/>
        <v/>
      </c>
      <c r="E166" s="534"/>
      <c r="F166" s="534"/>
      <c r="G166" s="396"/>
      <c r="H166" s="246" t="str">
        <f t="shared" si="16"/>
        <v/>
      </c>
      <c r="I166" s="199">
        <f t="shared" si="17"/>
        <v>0</v>
      </c>
      <c r="J166" s="247" t="str">
        <f t="shared" si="18"/>
        <v/>
      </c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  <c r="AA166" s="47"/>
      <c r="AB166" s="47"/>
      <c r="AC166" s="47"/>
      <c r="AD166" s="47"/>
    </row>
    <row r="167" spans="1:30" ht="15.75" customHeight="1" outlineLevel="1">
      <c r="A167" s="51"/>
      <c r="B167" s="52" t="str">
        <f t="shared" si="14"/>
        <v/>
      </c>
      <c r="C167" t="str">
        <f t="shared" si="13"/>
        <v/>
      </c>
      <c r="D167" s="245" t="str">
        <f t="shared" si="15"/>
        <v/>
      </c>
      <c r="E167" s="534"/>
      <c r="F167" s="534"/>
      <c r="G167" s="395"/>
      <c r="H167" s="246" t="str">
        <f t="shared" si="16"/>
        <v/>
      </c>
      <c r="I167" s="199">
        <f t="shared" si="17"/>
        <v>0</v>
      </c>
      <c r="J167" s="247" t="str">
        <f t="shared" si="18"/>
        <v/>
      </c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  <c r="AA167" s="47"/>
      <c r="AB167" s="47"/>
      <c r="AC167" s="47"/>
      <c r="AD167" s="47"/>
    </row>
    <row r="168" spans="1:30" ht="15.75" customHeight="1" outlineLevel="1">
      <c r="A168" s="51"/>
      <c r="B168" s="52" t="str">
        <f t="shared" si="14"/>
        <v/>
      </c>
      <c r="C168" t="str">
        <f t="shared" si="13"/>
        <v/>
      </c>
      <c r="D168" s="245" t="str">
        <f t="shared" si="15"/>
        <v/>
      </c>
      <c r="E168" s="534"/>
      <c r="F168" s="534"/>
      <c r="G168" s="395"/>
      <c r="H168" s="246" t="str">
        <f t="shared" si="16"/>
        <v/>
      </c>
      <c r="I168" s="199">
        <f t="shared" si="17"/>
        <v>0</v>
      </c>
      <c r="J168" s="247" t="str">
        <f t="shared" si="18"/>
        <v/>
      </c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  <c r="AA168" s="47"/>
      <c r="AB168" s="47"/>
      <c r="AC168" s="47"/>
      <c r="AD168" s="47"/>
    </row>
    <row r="169" spans="1:30" ht="15.75" customHeight="1" outlineLevel="1">
      <c r="A169" s="51"/>
      <c r="B169" s="52" t="str">
        <f t="shared" si="14"/>
        <v/>
      </c>
      <c r="C169" t="str">
        <f t="shared" si="13"/>
        <v/>
      </c>
      <c r="D169" s="245" t="str">
        <f t="shared" si="15"/>
        <v/>
      </c>
      <c r="E169" s="534"/>
      <c r="F169" s="534"/>
      <c r="G169" s="395"/>
      <c r="H169" s="246" t="str">
        <f t="shared" si="16"/>
        <v/>
      </c>
      <c r="I169" s="199">
        <f t="shared" si="17"/>
        <v>0</v>
      </c>
      <c r="J169" s="247" t="str">
        <f t="shared" si="18"/>
        <v/>
      </c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  <c r="AA169" s="47"/>
      <c r="AB169" s="47"/>
      <c r="AC169" s="47"/>
      <c r="AD169" s="47"/>
    </row>
    <row r="170" spans="1:30" ht="15.75" customHeight="1" outlineLevel="1">
      <c r="A170" s="51"/>
      <c r="B170" s="52" t="str">
        <f t="shared" si="14"/>
        <v/>
      </c>
      <c r="C170" t="str">
        <f t="shared" si="13"/>
        <v/>
      </c>
      <c r="D170" s="245" t="str">
        <f t="shared" si="15"/>
        <v/>
      </c>
      <c r="E170" s="534"/>
      <c r="F170" s="534"/>
      <c r="G170" s="395"/>
      <c r="H170" s="246" t="str">
        <f t="shared" si="16"/>
        <v/>
      </c>
      <c r="I170" s="199">
        <f t="shared" si="17"/>
        <v>0</v>
      </c>
      <c r="J170" s="247" t="str">
        <f t="shared" si="18"/>
        <v/>
      </c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  <c r="AA170" s="47"/>
      <c r="AB170" s="47"/>
      <c r="AC170" s="47"/>
      <c r="AD170" s="47"/>
    </row>
    <row r="171" spans="1:30" ht="15.75" customHeight="1" outlineLevel="1">
      <c r="A171" s="51"/>
      <c r="B171" s="52" t="str">
        <f t="shared" si="14"/>
        <v/>
      </c>
      <c r="C171" t="str">
        <f t="shared" si="13"/>
        <v/>
      </c>
      <c r="D171" s="245" t="str">
        <f t="shared" si="15"/>
        <v/>
      </c>
      <c r="E171" s="534"/>
      <c r="F171" s="534"/>
      <c r="G171" s="395"/>
      <c r="H171" s="246" t="str">
        <f t="shared" si="16"/>
        <v/>
      </c>
      <c r="I171" s="199">
        <f t="shared" si="17"/>
        <v>0</v>
      </c>
      <c r="J171" s="247" t="str">
        <f t="shared" si="18"/>
        <v/>
      </c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  <c r="AA171" s="47"/>
      <c r="AB171" s="47"/>
      <c r="AC171" s="47"/>
      <c r="AD171" s="47"/>
    </row>
    <row r="172" spans="1:30" ht="15.75" customHeight="1" outlineLevel="1">
      <c r="A172" s="51"/>
      <c r="B172" s="52" t="str">
        <f t="shared" si="14"/>
        <v/>
      </c>
      <c r="C172" t="str">
        <f t="shared" si="13"/>
        <v/>
      </c>
      <c r="D172" s="245" t="str">
        <f t="shared" si="15"/>
        <v/>
      </c>
      <c r="E172" s="534"/>
      <c r="F172" s="534"/>
      <c r="G172" s="395"/>
      <c r="H172" s="246" t="str">
        <f t="shared" si="16"/>
        <v/>
      </c>
      <c r="I172" s="199">
        <f t="shared" si="17"/>
        <v>0</v>
      </c>
      <c r="J172" s="247" t="str">
        <f t="shared" si="18"/>
        <v/>
      </c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  <c r="AA172" s="47"/>
      <c r="AB172" s="47"/>
      <c r="AC172" s="47"/>
      <c r="AD172" s="47"/>
    </row>
    <row r="173" spans="1:30" ht="15.75" customHeight="1" outlineLevel="1">
      <c r="A173" s="51"/>
      <c r="B173" s="52" t="str">
        <f t="shared" si="14"/>
        <v/>
      </c>
      <c r="C173" t="str">
        <f t="shared" si="13"/>
        <v/>
      </c>
      <c r="D173" s="245" t="str">
        <f t="shared" si="15"/>
        <v/>
      </c>
      <c r="E173" s="534"/>
      <c r="F173" s="534"/>
      <c r="G173" s="395"/>
      <c r="H173" s="246" t="str">
        <f t="shared" si="16"/>
        <v/>
      </c>
      <c r="I173" s="199">
        <f t="shared" si="17"/>
        <v>0</v>
      </c>
      <c r="J173" s="247" t="str">
        <f t="shared" si="18"/>
        <v/>
      </c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  <c r="AA173" s="47"/>
      <c r="AB173" s="47"/>
      <c r="AC173" s="47"/>
      <c r="AD173" s="47"/>
    </row>
    <row r="174" spans="1:30" ht="15.75" customHeight="1" outlineLevel="1">
      <c r="A174" s="51"/>
      <c r="B174" s="52" t="str">
        <f t="shared" si="14"/>
        <v/>
      </c>
      <c r="C174" t="str">
        <f t="shared" si="13"/>
        <v/>
      </c>
      <c r="D174" s="245" t="str">
        <f t="shared" si="15"/>
        <v/>
      </c>
      <c r="E174" s="534"/>
      <c r="F174" s="534"/>
      <c r="G174" s="395"/>
      <c r="H174" s="246" t="str">
        <f t="shared" si="16"/>
        <v/>
      </c>
      <c r="I174" s="199">
        <f t="shared" si="17"/>
        <v>0</v>
      </c>
      <c r="J174" s="247" t="str">
        <f t="shared" si="18"/>
        <v/>
      </c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  <c r="AA174" s="47"/>
      <c r="AB174" s="47"/>
      <c r="AC174" s="47"/>
      <c r="AD174" s="47"/>
    </row>
    <row r="175" spans="1:30" ht="15.75" customHeight="1" outlineLevel="1">
      <c r="A175" s="51"/>
      <c r="B175" s="52" t="str">
        <f t="shared" si="14"/>
        <v/>
      </c>
      <c r="C175" t="str">
        <f t="shared" si="13"/>
        <v/>
      </c>
      <c r="D175" s="245" t="str">
        <f t="shared" si="15"/>
        <v/>
      </c>
      <c r="E175" s="534"/>
      <c r="F175" s="534"/>
      <c r="G175" s="395"/>
      <c r="H175" s="246" t="str">
        <f t="shared" si="16"/>
        <v/>
      </c>
      <c r="I175" s="199">
        <f t="shared" si="17"/>
        <v>0</v>
      </c>
      <c r="J175" s="247" t="str">
        <f t="shared" si="18"/>
        <v/>
      </c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  <c r="AA175" s="47"/>
      <c r="AB175" s="47"/>
      <c r="AC175" s="47"/>
      <c r="AD175" s="47"/>
    </row>
    <row r="176" spans="1:30" ht="15.75" customHeight="1" outlineLevel="1">
      <c r="A176" s="51"/>
      <c r="B176" s="52" t="str">
        <f t="shared" si="14"/>
        <v/>
      </c>
      <c r="C176" t="str">
        <f t="shared" si="13"/>
        <v/>
      </c>
      <c r="D176" s="245" t="str">
        <f t="shared" si="15"/>
        <v/>
      </c>
      <c r="E176" s="534"/>
      <c r="F176" s="534"/>
      <c r="G176" s="395"/>
      <c r="H176" s="246" t="str">
        <f t="shared" si="16"/>
        <v/>
      </c>
      <c r="I176" s="199">
        <f t="shared" si="17"/>
        <v>0</v>
      </c>
      <c r="J176" s="247" t="str">
        <f t="shared" si="18"/>
        <v/>
      </c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  <c r="AA176" s="47"/>
      <c r="AB176" s="47"/>
      <c r="AC176" s="47"/>
      <c r="AD176" s="47"/>
    </row>
    <row r="177" spans="1:30" ht="15.75" customHeight="1" outlineLevel="1">
      <c r="A177" s="51"/>
      <c r="B177" s="52" t="str">
        <f t="shared" si="14"/>
        <v/>
      </c>
      <c r="C177" t="str">
        <f t="shared" si="13"/>
        <v/>
      </c>
      <c r="D177" s="245" t="str">
        <f t="shared" si="15"/>
        <v/>
      </c>
      <c r="E177" s="534"/>
      <c r="F177" s="534"/>
      <c r="G177" s="395"/>
      <c r="H177" s="246" t="str">
        <f t="shared" si="16"/>
        <v/>
      </c>
      <c r="I177" s="199">
        <f t="shared" si="17"/>
        <v>0</v>
      </c>
      <c r="J177" s="247" t="str">
        <f t="shared" si="18"/>
        <v/>
      </c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  <c r="AA177" s="47"/>
      <c r="AB177" s="47"/>
      <c r="AC177" s="47"/>
      <c r="AD177" s="47"/>
    </row>
    <row r="178" spans="1:30" ht="15.75" customHeight="1" outlineLevel="1">
      <c r="A178" s="51"/>
      <c r="B178" s="52" t="str">
        <f t="shared" si="14"/>
        <v/>
      </c>
      <c r="C178" t="str">
        <f t="shared" si="13"/>
        <v/>
      </c>
      <c r="D178" s="245" t="str">
        <f t="shared" si="15"/>
        <v/>
      </c>
      <c r="E178" s="534"/>
      <c r="F178" s="534"/>
      <c r="G178" s="395"/>
      <c r="H178" s="246" t="str">
        <f t="shared" si="16"/>
        <v/>
      </c>
      <c r="I178" s="199">
        <f t="shared" si="17"/>
        <v>0</v>
      </c>
      <c r="J178" s="247" t="str">
        <f t="shared" si="18"/>
        <v/>
      </c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  <c r="AA178" s="47"/>
      <c r="AB178" s="47"/>
      <c r="AC178" s="47"/>
      <c r="AD178" s="47"/>
    </row>
    <row r="179" spans="1:30" ht="15.75" customHeight="1" outlineLevel="1">
      <c r="A179" s="51"/>
      <c r="B179" s="52" t="str">
        <f t="shared" si="14"/>
        <v/>
      </c>
      <c r="C179" t="str">
        <f t="shared" si="13"/>
        <v/>
      </c>
      <c r="D179" s="245" t="str">
        <f t="shared" si="15"/>
        <v/>
      </c>
      <c r="E179" s="534"/>
      <c r="F179" s="534"/>
      <c r="G179" s="395"/>
      <c r="H179" s="246" t="str">
        <f t="shared" si="16"/>
        <v/>
      </c>
      <c r="I179" s="199">
        <f t="shared" si="17"/>
        <v>0</v>
      </c>
      <c r="J179" s="247" t="str">
        <f t="shared" si="18"/>
        <v/>
      </c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  <c r="AA179" s="47"/>
      <c r="AB179" s="47"/>
      <c r="AC179" s="47"/>
      <c r="AD179" s="47"/>
    </row>
    <row r="180" spans="1:30" ht="15.75" customHeight="1" outlineLevel="1">
      <c r="A180" s="51"/>
      <c r="B180" s="52" t="str">
        <f t="shared" si="14"/>
        <v/>
      </c>
      <c r="C180" t="str">
        <f t="shared" si="13"/>
        <v/>
      </c>
      <c r="D180" s="245" t="str">
        <f t="shared" si="15"/>
        <v/>
      </c>
      <c r="E180" s="534"/>
      <c r="F180" s="534"/>
      <c r="G180" s="395"/>
      <c r="H180" s="246" t="str">
        <f t="shared" si="16"/>
        <v/>
      </c>
      <c r="I180" s="199">
        <f t="shared" si="17"/>
        <v>0</v>
      </c>
      <c r="J180" s="247" t="str">
        <f t="shared" si="18"/>
        <v/>
      </c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  <c r="AA180" s="47"/>
      <c r="AB180" s="47"/>
      <c r="AC180" s="47"/>
      <c r="AD180" s="47"/>
    </row>
    <row r="181" spans="1:30" ht="15.75" customHeight="1" outlineLevel="1">
      <c r="A181" s="51"/>
      <c r="B181" s="52" t="str">
        <f t="shared" si="14"/>
        <v/>
      </c>
      <c r="C181" t="str">
        <f t="shared" si="13"/>
        <v/>
      </c>
      <c r="D181" s="245" t="str">
        <f t="shared" si="15"/>
        <v/>
      </c>
      <c r="E181" s="534"/>
      <c r="F181" s="534"/>
      <c r="G181" s="395"/>
      <c r="H181" s="246" t="str">
        <f t="shared" si="16"/>
        <v/>
      </c>
      <c r="I181" s="199">
        <f t="shared" si="17"/>
        <v>0</v>
      </c>
      <c r="J181" s="247" t="str">
        <f t="shared" si="18"/>
        <v/>
      </c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  <c r="AA181" s="47"/>
      <c r="AB181" s="47"/>
      <c r="AC181" s="47"/>
      <c r="AD181" s="47"/>
    </row>
    <row r="182" spans="1:30" ht="15.75" customHeight="1" outlineLevel="1">
      <c r="A182" s="51"/>
      <c r="B182" s="52" t="str">
        <f t="shared" si="14"/>
        <v/>
      </c>
      <c r="C182" t="str">
        <f t="shared" si="13"/>
        <v/>
      </c>
      <c r="D182" s="245" t="str">
        <f t="shared" si="15"/>
        <v/>
      </c>
      <c r="E182" s="534"/>
      <c r="F182" s="534"/>
      <c r="G182" s="395"/>
      <c r="H182" s="246" t="str">
        <f t="shared" si="16"/>
        <v/>
      </c>
      <c r="I182" s="199">
        <f t="shared" si="17"/>
        <v>0</v>
      </c>
      <c r="J182" s="247" t="str">
        <f t="shared" si="18"/>
        <v/>
      </c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7"/>
      <c r="AB182" s="47"/>
      <c r="AC182" s="47"/>
      <c r="AD182" s="47"/>
    </row>
    <row r="183" spans="1:30" ht="15.75" customHeight="1" outlineLevel="1">
      <c r="A183" s="51"/>
      <c r="B183" s="52" t="str">
        <f t="shared" si="14"/>
        <v/>
      </c>
      <c r="C183" t="str">
        <f t="shared" si="13"/>
        <v/>
      </c>
      <c r="D183" s="245" t="str">
        <f t="shared" si="15"/>
        <v/>
      </c>
      <c r="E183" s="534"/>
      <c r="F183" s="534"/>
      <c r="G183" s="395"/>
      <c r="H183" s="246" t="str">
        <f t="shared" si="16"/>
        <v/>
      </c>
      <c r="I183" s="199">
        <f t="shared" si="17"/>
        <v>0</v>
      </c>
      <c r="J183" s="247" t="str">
        <f t="shared" si="18"/>
        <v/>
      </c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  <c r="AA183" s="47"/>
      <c r="AB183" s="47"/>
      <c r="AC183" s="47"/>
      <c r="AD183" s="47"/>
    </row>
    <row r="184" spans="1:30" ht="15.75" customHeight="1" outlineLevel="1">
      <c r="A184" s="51"/>
      <c r="B184" s="52" t="str">
        <f t="shared" si="14"/>
        <v/>
      </c>
      <c r="C184" t="str">
        <f t="shared" si="13"/>
        <v/>
      </c>
      <c r="D184" s="245" t="str">
        <f t="shared" si="15"/>
        <v/>
      </c>
      <c r="E184" s="534"/>
      <c r="F184" s="534"/>
      <c r="G184" s="395"/>
      <c r="H184" s="246" t="str">
        <f t="shared" si="16"/>
        <v/>
      </c>
      <c r="I184" s="199">
        <f t="shared" si="17"/>
        <v>0</v>
      </c>
      <c r="J184" s="247" t="str">
        <f t="shared" si="18"/>
        <v/>
      </c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  <c r="AA184" s="47"/>
      <c r="AB184" s="47"/>
      <c r="AC184" s="47"/>
      <c r="AD184" s="47"/>
    </row>
    <row r="185" spans="1:30" ht="15.75" customHeight="1" outlineLevel="1">
      <c r="A185" s="51"/>
      <c r="B185" s="52" t="str">
        <f t="shared" si="14"/>
        <v/>
      </c>
      <c r="C185" t="str">
        <f t="shared" si="13"/>
        <v/>
      </c>
      <c r="D185" s="245" t="str">
        <f t="shared" si="15"/>
        <v/>
      </c>
      <c r="E185" s="534"/>
      <c r="F185" s="534"/>
      <c r="G185" s="395"/>
      <c r="H185" s="246" t="str">
        <f t="shared" si="16"/>
        <v/>
      </c>
      <c r="I185" s="199">
        <f t="shared" si="17"/>
        <v>0</v>
      </c>
      <c r="J185" s="247" t="str">
        <f t="shared" si="18"/>
        <v/>
      </c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  <c r="AA185" s="47"/>
      <c r="AB185" s="47"/>
      <c r="AC185" s="47"/>
      <c r="AD185" s="47"/>
    </row>
    <row r="186" spans="1:30" ht="15.75" customHeight="1" outlineLevel="1">
      <c r="A186" s="51"/>
      <c r="B186" s="52" t="str">
        <f t="shared" si="14"/>
        <v/>
      </c>
      <c r="C186" t="str">
        <f t="shared" si="13"/>
        <v/>
      </c>
      <c r="D186" s="245" t="str">
        <f t="shared" si="15"/>
        <v/>
      </c>
      <c r="E186" s="534"/>
      <c r="F186" s="534"/>
      <c r="G186" s="395"/>
      <c r="H186" s="246" t="str">
        <f t="shared" si="16"/>
        <v/>
      </c>
      <c r="I186" s="199">
        <f t="shared" si="17"/>
        <v>0</v>
      </c>
      <c r="J186" s="247" t="str">
        <f t="shared" si="18"/>
        <v/>
      </c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  <c r="AA186" s="47"/>
      <c r="AB186" s="47"/>
      <c r="AC186" s="47"/>
      <c r="AD186" s="47"/>
    </row>
    <row r="187" spans="1:30" ht="15.75" customHeight="1" outlineLevel="1">
      <c r="A187" s="51"/>
      <c r="B187" s="52" t="str">
        <f t="shared" si="14"/>
        <v/>
      </c>
      <c r="C187" t="str">
        <f t="shared" si="13"/>
        <v/>
      </c>
      <c r="D187" s="245" t="str">
        <f t="shared" si="15"/>
        <v/>
      </c>
      <c r="E187" s="534"/>
      <c r="F187" s="534"/>
      <c r="G187" s="395"/>
      <c r="H187" s="246" t="str">
        <f t="shared" si="16"/>
        <v/>
      </c>
      <c r="I187" s="199">
        <f t="shared" si="17"/>
        <v>0</v>
      </c>
      <c r="J187" s="247" t="str">
        <f t="shared" si="18"/>
        <v/>
      </c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  <c r="AA187" s="47"/>
      <c r="AB187" s="47"/>
      <c r="AC187" s="47"/>
      <c r="AD187" s="47"/>
    </row>
    <row r="188" spans="1:30" ht="15.75" customHeight="1" outlineLevel="1">
      <c r="A188" s="51"/>
      <c r="B188" s="52" t="str">
        <f t="shared" si="14"/>
        <v/>
      </c>
      <c r="C188" t="str">
        <f t="shared" si="13"/>
        <v/>
      </c>
      <c r="D188" s="245" t="str">
        <f t="shared" si="15"/>
        <v/>
      </c>
      <c r="E188" s="534"/>
      <c r="F188" s="534"/>
      <c r="G188" s="395"/>
      <c r="H188" s="246" t="str">
        <f t="shared" si="16"/>
        <v/>
      </c>
      <c r="I188" s="199">
        <f t="shared" si="17"/>
        <v>0</v>
      </c>
      <c r="J188" s="247" t="str">
        <f t="shared" si="18"/>
        <v/>
      </c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  <c r="AA188" s="47"/>
      <c r="AB188" s="47"/>
      <c r="AC188" s="47"/>
      <c r="AD188" s="47"/>
    </row>
    <row r="189" spans="1:30" ht="15.75" customHeight="1" outlineLevel="1">
      <c r="A189" s="51"/>
      <c r="B189" s="52" t="str">
        <f t="shared" si="14"/>
        <v/>
      </c>
      <c r="C189" t="str">
        <f t="shared" si="13"/>
        <v/>
      </c>
      <c r="D189" s="245" t="str">
        <f t="shared" si="15"/>
        <v/>
      </c>
      <c r="E189" s="534"/>
      <c r="F189" s="534"/>
      <c r="G189" s="395"/>
      <c r="H189" s="246" t="str">
        <f t="shared" si="16"/>
        <v/>
      </c>
      <c r="I189" s="199">
        <f t="shared" si="17"/>
        <v>0</v>
      </c>
      <c r="J189" s="247" t="str">
        <f t="shared" si="18"/>
        <v/>
      </c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  <c r="AA189" s="47"/>
      <c r="AB189" s="47"/>
      <c r="AC189" s="47"/>
      <c r="AD189" s="47"/>
    </row>
    <row r="190" spans="1:30" ht="15.75" customHeight="1" outlineLevel="1" thickBot="1">
      <c r="A190" s="51"/>
      <c r="B190" s="52" t="str">
        <f t="shared" si="14"/>
        <v/>
      </c>
      <c r="C190" t="str">
        <f t="shared" si="13"/>
        <v/>
      </c>
      <c r="D190" s="245" t="str">
        <f t="shared" si="15"/>
        <v/>
      </c>
      <c r="E190" s="534"/>
      <c r="F190" s="534"/>
      <c r="G190" s="398"/>
      <c r="H190" s="246" t="str">
        <f t="shared" si="16"/>
        <v/>
      </c>
      <c r="I190" s="199">
        <f t="shared" si="17"/>
        <v>0</v>
      </c>
      <c r="J190" s="247" t="str">
        <f t="shared" si="18"/>
        <v/>
      </c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  <c r="AA190" s="47"/>
      <c r="AB190" s="47"/>
      <c r="AC190" s="47"/>
      <c r="AD190" s="47"/>
    </row>
    <row r="191" spans="1:30" ht="15.75" customHeight="1" outlineLevel="1" thickTop="1">
      <c r="A191" s="51"/>
      <c r="B191" s="52" t="str">
        <f t="shared" si="14"/>
        <v/>
      </c>
      <c r="C191" t="str">
        <f t="shared" si="13"/>
        <v/>
      </c>
      <c r="D191" s="245" t="str">
        <f t="shared" si="15"/>
        <v/>
      </c>
      <c r="E191" s="534"/>
      <c r="F191" s="534"/>
      <c r="G191" s="394"/>
      <c r="H191" s="246" t="str">
        <f t="shared" si="16"/>
        <v/>
      </c>
      <c r="I191" s="199">
        <f t="shared" si="17"/>
        <v>0</v>
      </c>
      <c r="J191" s="247" t="str">
        <f t="shared" si="18"/>
        <v/>
      </c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  <c r="AA191" s="47"/>
      <c r="AB191" s="47"/>
      <c r="AC191" s="47"/>
      <c r="AD191" s="47"/>
    </row>
    <row r="192" spans="1:30" ht="15.75" customHeight="1" outlineLevel="1">
      <c r="A192" s="51"/>
      <c r="B192" s="52" t="str">
        <f t="shared" si="14"/>
        <v/>
      </c>
      <c r="C192" t="str">
        <f t="shared" si="13"/>
        <v/>
      </c>
      <c r="D192" s="245" t="str">
        <f t="shared" si="15"/>
        <v/>
      </c>
      <c r="E192" s="534"/>
      <c r="F192" s="534"/>
      <c r="G192" s="395"/>
      <c r="H192" s="246" t="str">
        <f t="shared" si="16"/>
        <v/>
      </c>
      <c r="I192" s="199">
        <f t="shared" si="17"/>
        <v>0</v>
      </c>
      <c r="J192" s="247" t="str">
        <f t="shared" si="18"/>
        <v/>
      </c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  <c r="AA192" s="47"/>
      <c r="AB192" s="47"/>
      <c r="AC192" s="47"/>
      <c r="AD192" s="47"/>
    </row>
    <row r="193" spans="1:30" ht="15.75" customHeight="1" outlineLevel="1">
      <c r="A193" s="51"/>
      <c r="B193" s="52" t="str">
        <f t="shared" si="14"/>
        <v/>
      </c>
      <c r="C193" t="str">
        <f t="shared" si="13"/>
        <v/>
      </c>
      <c r="D193" s="245" t="str">
        <f t="shared" si="15"/>
        <v/>
      </c>
      <c r="E193" s="534"/>
      <c r="F193" s="534"/>
      <c r="G193" s="395"/>
      <c r="H193" s="246" t="str">
        <f t="shared" si="16"/>
        <v/>
      </c>
      <c r="I193" s="199">
        <f t="shared" si="17"/>
        <v>0</v>
      </c>
      <c r="J193" s="247" t="str">
        <f t="shared" si="18"/>
        <v/>
      </c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  <c r="AA193" s="47"/>
      <c r="AB193" s="47"/>
      <c r="AC193" s="47"/>
      <c r="AD193" s="47"/>
    </row>
    <row r="194" spans="1:30" ht="15.75" customHeight="1" outlineLevel="1">
      <c r="A194" s="51"/>
      <c r="B194" s="52" t="str">
        <f t="shared" si="14"/>
        <v/>
      </c>
      <c r="C194" t="str">
        <f t="shared" si="13"/>
        <v/>
      </c>
      <c r="D194" s="245" t="str">
        <f t="shared" si="15"/>
        <v/>
      </c>
      <c r="E194" s="534"/>
      <c r="F194" s="534"/>
      <c r="G194" s="395"/>
      <c r="H194" s="246" t="str">
        <f t="shared" si="16"/>
        <v/>
      </c>
      <c r="I194" s="199">
        <f t="shared" si="17"/>
        <v>0</v>
      </c>
      <c r="J194" s="247" t="str">
        <f t="shared" si="18"/>
        <v/>
      </c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  <c r="AA194" s="47"/>
      <c r="AB194" s="47"/>
      <c r="AC194" s="47"/>
      <c r="AD194" s="47"/>
    </row>
    <row r="195" spans="1:30" ht="15.75" customHeight="1" outlineLevel="1">
      <c r="A195" s="51"/>
      <c r="B195" s="52" t="str">
        <f t="shared" si="14"/>
        <v/>
      </c>
      <c r="C195" t="str">
        <f t="shared" si="13"/>
        <v/>
      </c>
      <c r="D195" s="245" t="str">
        <f t="shared" si="15"/>
        <v/>
      </c>
      <c r="E195" s="534"/>
      <c r="F195" s="534"/>
      <c r="G195" s="395"/>
      <c r="H195" s="246" t="str">
        <f t="shared" si="16"/>
        <v/>
      </c>
      <c r="I195" s="199">
        <f t="shared" si="17"/>
        <v>0</v>
      </c>
      <c r="J195" s="247" t="str">
        <f t="shared" si="18"/>
        <v/>
      </c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  <c r="AA195" s="47"/>
      <c r="AB195" s="47"/>
      <c r="AC195" s="47"/>
      <c r="AD195" s="47"/>
    </row>
    <row r="196" spans="1:30" ht="15.75" customHeight="1" outlineLevel="1">
      <c r="A196" s="51"/>
      <c r="B196" s="52" t="str">
        <f t="shared" si="14"/>
        <v/>
      </c>
      <c r="C196" t="str">
        <f t="shared" si="13"/>
        <v/>
      </c>
      <c r="D196" s="245" t="str">
        <f t="shared" si="15"/>
        <v/>
      </c>
      <c r="E196" s="534"/>
      <c r="F196" s="534"/>
      <c r="G196" s="395"/>
      <c r="H196" s="246" t="str">
        <f t="shared" si="16"/>
        <v/>
      </c>
      <c r="I196" s="199">
        <f t="shared" si="17"/>
        <v>0</v>
      </c>
      <c r="J196" s="247" t="str">
        <f t="shared" si="18"/>
        <v/>
      </c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  <c r="AA196" s="47"/>
      <c r="AB196" s="47"/>
      <c r="AC196" s="47"/>
      <c r="AD196" s="47"/>
    </row>
    <row r="197" spans="1:30" ht="15.75" customHeight="1" outlineLevel="1">
      <c r="A197" s="51"/>
      <c r="B197" s="52" t="str">
        <f t="shared" si="14"/>
        <v/>
      </c>
      <c r="C197" t="str">
        <f t="shared" si="13"/>
        <v/>
      </c>
      <c r="D197" s="245" t="str">
        <f t="shared" si="15"/>
        <v/>
      </c>
      <c r="E197" s="534"/>
      <c r="F197" s="534"/>
      <c r="G197" s="396"/>
      <c r="H197" s="246" t="str">
        <f t="shared" si="16"/>
        <v/>
      </c>
      <c r="I197" s="199">
        <f t="shared" si="17"/>
        <v>0</v>
      </c>
      <c r="J197" s="247" t="str">
        <f t="shared" si="18"/>
        <v/>
      </c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  <c r="AA197" s="47"/>
      <c r="AB197" s="47"/>
      <c r="AC197" s="47"/>
      <c r="AD197" s="47"/>
    </row>
    <row r="198" spans="1:30" ht="15.75" customHeight="1" outlineLevel="1">
      <c r="A198" s="51"/>
      <c r="B198" s="52" t="str">
        <f t="shared" si="14"/>
        <v/>
      </c>
      <c r="C198" t="str">
        <f t="shared" si="13"/>
        <v/>
      </c>
      <c r="D198" s="245" t="str">
        <f t="shared" si="15"/>
        <v/>
      </c>
      <c r="E198" s="534"/>
      <c r="F198" s="534"/>
      <c r="G198" s="395"/>
      <c r="H198" s="246" t="str">
        <f t="shared" si="16"/>
        <v/>
      </c>
      <c r="I198" s="199">
        <f t="shared" si="17"/>
        <v>0</v>
      </c>
      <c r="J198" s="247" t="str">
        <f t="shared" si="18"/>
        <v/>
      </c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  <c r="AC198" s="47"/>
      <c r="AD198" s="47"/>
    </row>
    <row r="199" spans="1:30" ht="15.75" customHeight="1" outlineLevel="1">
      <c r="A199" s="51"/>
      <c r="B199" s="52" t="str">
        <f t="shared" si="14"/>
        <v/>
      </c>
      <c r="C199" t="str">
        <f t="shared" ref="C199:C262" si="19">IF(A199&lt;&gt;"",TEXT(A199,"aaaa"),"")</f>
        <v/>
      </c>
      <c r="D199" s="245" t="str">
        <f t="shared" si="15"/>
        <v/>
      </c>
      <c r="E199" s="534"/>
      <c r="F199" s="534"/>
      <c r="G199" s="395"/>
      <c r="H199" s="246" t="str">
        <f t="shared" si="16"/>
        <v/>
      </c>
      <c r="I199" s="199">
        <f t="shared" si="17"/>
        <v>0</v>
      </c>
      <c r="J199" s="247" t="str">
        <f t="shared" si="18"/>
        <v/>
      </c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  <c r="AA199" s="47"/>
      <c r="AB199" s="47"/>
      <c r="AC199" s="47"/>
      <c r="AD199" s="47"/>
    </row>
    <row r="200" spans="1:30" ht="15.75" customHeight="1" outlineLevel="1">
      <c r="A200" s="51"/>
      <c r="B200" s="52" t="str">
        <f t="shared" ref="B200:B263" si="20">IF(A200="","",TEXT(A200,"DDDD"))</f>
        <v/>
      </c>
      <c r="C200" t="str">
        <f t="shared" si="19"/>
        <v/>
      </c>
      <c r="D200" s="245" t="str">
        <f t="shared" ref="D200:D263" si="21">IF(A200&lt;&gt;"",PROPER(TEXT(A200,"Mmmm")),"")</f>
        <v/>
      </c>
      <c r="E200" s="534"/>
      <c r="F200" s="534"/>
      <c r="G200" s="395"/>
      <c r="H200" s="246" t="str">
        <f t="shared" ref="H200:H263" si="22">IF(G200=0,"",G200*$H$5)</f>
        <v/>
      </c>
      <c r="I200" s="199">
        <f t="shared" ref="I200:I263" si="23">G200</f>
        <v>0</v>
      </c>
      <c r="J200" s="247" t="str">
        <f t="shared" ref="J200:J263" si="24">IF(I200=0,"",I200-H200)</f>
        <v/>
      </c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</row>
    <row r="201" spans="1:30" ht="15.75" customHeight="1" outlineLevel="1">
      <c r="A201" s="51"/>
      <c r="B201" s="52" t="str">
        <f t="shared" si="20"/>
        <v/>
      </c>
      <c r="C201" t="str">
        <f t="shared" si="19"/>
        <v/>
      </c>
      <c r="D201" s="245" t="str">
        <f t="shared" si="21"/>
        <v/>
      </c>
      <c r="E201" s="534"/>
      <c r="F201" s="534"/>
      <c r="G201" s="395"/>
      <c r="H201" s="246" t="str">
        <f t="shared" si="22"/>
        <v/>
      </c>
      <c r="I201" s="199">
        <f t="shared" si="23"/>
        <v>0</v>
      </c>
      <c r="J201" s="247" t="str">
        <f t="shared" si="24"/>
        <v/>
      </c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</row>
    <row r="202" spans="1:30" ht="15.75" customHeight="1" outlineLevel="1">
      <c r="A202" s="51"/>
      <c r="B202" s="52" t="str">
        <f t="shared" si="20"/>
        <v/>
      </c>
      <c r="C202" t="str">
        <f t="shared" si="19"/>
        <v/>
      </c>
      <c r="D202" s="245" t="str">
        <f t="shared" si="21"/>
        <v/>
      </c>
      <c r="E202" s="534"/>
      <c r="F202" s="534"/>
      <c r="G202" s="395"/>
      <c r="H202" s="246" t="str">
        <f t="shared" si="22"/>
        <v/>
      </c>
      <c r="I202" s="199">
        <f t="shared" si="23"/>
        <v>0</v>
      </c>
      <c r="J202" s="247" t="str">
        <f t="shared" si="24"/>
        <v/>
      </c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  <c r="AA202" s="47"/>
      <c r="AB202" s="47"/>
      <c r="AC202" s="47"/>
      <c r="AD202" s="47"/>
    </row>
    <row r="203" spans="1:30" ht="15.75" customHeight="1" outlineLevel="1">
      <c r="A203" s="51"/>
      <c r="B203" s="52" t="str">
        <f t="shared" si="20"/>
        <v/>
      </c>
      <c r="C203" t="str">
        <f t="shared" si="19"/>
        <v/>
      </c>
      <c r="D203" s="245" t="str">
        <f t="shared" si="21"/>
        <v/>
      </c>
      <c r="E203" s="534"/>
      <c r="F203" s="534"/>
      <c r="G203" s="395"/>
      <c r="H203" s="246" t="str">
        <f t="shared" si="22"/>
        <v/>
      </c>
      <c r="I203" s="199">
        <f t="shared" si="23"/>
        <v>0</v>
      </c>
      <c r="J203" s="247" t="str">
        <f t="shared" si="24"/>
        <v/>
      </c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  <c r="AA203" s="47"/>
      <c r="AB203" s="47"/>
      <c r="AC203" s="47"/>
      <c r="AD203" s="47"/>
    </row>
    <row r="204" spans="1:30" ht="15.75" customHeight="1" outlineLevel="1">
      <c r="A204" s="51"/>
      <c r="B204" s="52" t="str">
        <f t="shared" si="20"/>
        <v/>
      </c>
      <c r="C204" t="str">
        <f t="shared" si="19"/>
        <v/>
      </c>
      <c r="D204" s="245" t="str">
        <f t="shared" si="21"/>
        <v/>
      </c>
      <c r="E204" s="534"/>
      <c r="F204" s="534"/>
      <c r="G204" s="395"/>
      <c r="H204" s="246" t="str">
        <f t="shared" si="22"/>
        <v/>
      </c>
      <c r="I204" s="199">
        <f t="shared" si="23"/>
        <v>0</v>
      </c>
      <c r="J204" s="247" t="str">
        <f t="shared" si="24"/>
        <v/>
      </c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  <c r="AC204" s="47"/>
      <c r="AD204" s="47"/>
    </row>
    <row r="205" spans="1:30" ht="15.75" customHeight="1" outlineLevel="1">
      <c r="A205" s="51"/>
      <c r="B205" s="52" t="str">
        <f t="shared" si="20"/>
        <v/>
      </c>
      <c r="C205" t="str">
        <f t="shared" si="19"/>
        <v/>
      </c>
      <c r="D205" s="245" t="str">
        <f t="shared" si="21"/>
        <v/>
      </c>
      <c r="E205" s="534"/>
      <c r="F205" s="534"/>
      <c r="G205" s="395"/>
      <c r="H205" s="246" t="str">
        <f t="shared" si="22"/>
        <v/>
      </c>
      <c r="I205" s="199">
        <f t="shared" si="23"/>
        <v>0</v>
      </c>
      <c r="J205" s="247" t="str">
        <f t="shared" si="24"/>
        <v/>
      </c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</row>
    <row r="206" spans="1:30" ht="15.75" customHeight="1" outlineLevel="1">
      <c r="A206" s="51"/>
      <c r="B206" s="52" t="str">
        <f t="shared" si="20"/>
        <v/>
      </c>
      <c r="C206" t="str">
        <f t="shared" si="19"/>
        <v/>
      </c>
      <c r="D206" s="245" t="str">
        <f t="shared" si="21"/>
        <v/>
      </c>
      <c r="E206" s="534"/>
      <c r="F206" s="534"/>
      <c r="G206" s="395"/>
      <c r="H206" s="246" t="str">
        <f t="shared" si="22"/>
        <v/>
      </c>
      <c r="I206" s="199">
        <f t="shared" si="23"/>
        <v>0</v>
      </c>
      <c r="J206" s="247" t="str">
        <f t="shared" si="24"/>
        <v/>
      </c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</row>
    <row r="207" spans="1:30" ht="15.75" customHeight="1" outlineLevel="1">
      <c r="A207" s="51"/>
      <c r="B207" s="52" t="str">
        <f t="shared" si="20"/>
        <v/>
      </c>
      <c r="C207" t="str">
        <f t="shared" si="19"/>
        <v/>
      </c>
      <c r="D207" s="245" t="str">
        <f t="shared" si="21"/>
        <v/>
      </c>
      <c r="E207" s="534"/>
      <c r="F207" s="534"/>
      <c r="G207" s="395"/>
      <c r="H207" s="246" t="str">
        <f t="shared" si="22"/>
        <v/>
      </c>
      <c r="I207" s="199">
        <f t="shared" si="23"/>
        <v>0</v>
      </c>
      <c r="J207" s="247" t="str">
        <f t="shared" si="24"/>
        <v/>
      </c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</row>
    <row r="208" spans="1:30" ht="15.75" customHeight="1" outlineLevel="1">
      <c r="A208" s="51"/>
      <c r="B208" s="52" t="str">
        <f t="shared" si="20"/>
        <v/>
      </c>
      <c r="C208" t="str">
        <f t="shared" si="19"/>
        <v/>
      </c>
      <c r="D208" s="245" t="str">
        <f t="shared" si="21"/>
        <v/>
      </c>
      <c r="E208" s="534"/>
      <c r="F208" s="534"/>
      <c r="G208" s="395"/>
      <c r="H208" s="246" t="str">
        <f t="shared" si="22"/>
        <v/>
      </c>
      <c r="I208" s="199">
        <f t="shared" si="23"/>
        <v>0</v>
      </c>
      <c r="J208" s="247" t="str">
        <f t="shared" si="24"/>
        <v/>
      </c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</row>
    <row r="209" spans="1:30" ht="15.75" customHeight="1" outlineLevel="1">
      <c r="A209" s="51"/>
      <c r="B209" s="52" t="str">
        <f t="shared" si="20"/>
        <v/>
      </c>
      <c r="C209" t="str">
        <f t="shared" si="19"/>
        <v/>
      </c>
      <c r="D209" s="245" t="str">
        <f t="shared" si="21"/>
        <v/>
      </c>
      <c r="E209" s="534"/>
      <c r="F209" s="534"/>
      <c r="G209" s="395"/>
      <c r="H209" s="246" t="str">
        <f t="shared" si="22"/>
        <v/>
      </c>
      <c r="I209" s="199">
        <f t="shared" si="23"/>
        <v>0</v>
      </c>
      <c r="J209" s="247" t="str">
        <f t="shared" si="24"/>
        <v/>
      </c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</row>
    <row r="210" spans="1:30" ht="15.75" customHeight="1" outlineLevel="1">
      <c r="A210" s="51"/>
      <c r="B210" s="52" t="str">
        <f t="shared" si="20"/>
        <v/>
      </c>
      <c r="C210" t="str">
        <f t="shared" si="19"/>
        <v/>
      </c>
      <c r="D210" s="245" t="str">
        <f t="shared" si="21"/>
        <v/>
      </c>
      <c r="E210" s="534"/>
      <c r="F210" s="534"/>
      <c r="G210" s="395"/>
      <c r="H210" s="246" t="str">
        <f t="shared" si="22"/>
        <v/>
      </c>
      <c r="I210" s="199">
        <f t="shared" si="23"/>
        <v>0</v>
      </c>
      <c r="J210" s="247" t="str">
        <f t="shared" si="24"/>
        <v/>
      </c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</row>
    <row r="211" spans="1:30" ht="15.75" customHeight="1" outlineLevel="1">
      <c r="A211" s="51"/>
      <c r="B211" s="52" t="str">
        <f t="shared" si="20"/>
        <v/>
      </c>
      <c r="C211" t="str">
        <f t="shared" si="19"/>
        <v/>
      </c>
      <c r="D211" s="245" t="str">
        <f t="shared" si="21"/>
        <v/>
      </c>
      <c r="E211" s="534"/>
      <c r="F211" s="534"/>
      <c r="G211" s="395"/>
      <c r="H211" s="246" t="str">
        <f t="shared" si="22"/>
        <v/>
      </c>
      <c r="I211" s="199">
        <f t="shared" si="23"/>
        <v>0</v>
      </c>
      <c r="J211" s="247" t="str">
        <f t="shared" si="24"/>
        <v/>
      </c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</row>
    <row r="212" spans="1:30" ht="15.75" customHeight="1" outlineLevel="1">
      <c r="A212" s="51"/>
      <c r="B212" s="52" t="str">
        <f t="shared" si="20"/>
        <v/>
      </c>
      <c r="C212" t="str">
        <f t="shared" si="19"/>
        <v/>
      </c>
      <c r="D212" s="245" t="str">
        <f t="shared" si="21"/>
        <v/>
      </c>
      <c r="E212" s="534"/>
      <c r="F212" s="534"/>
      <c r="G212" s="395"/>
      <c r="H212" s="246" t="str">
        <f t="shared" si="22"/>
        <v/>
      </c>
      <c r="I212" s="199">
        <f t="shared" si="23"/>
        <v>0</v>
      </c>
      <c r="J212" s="247" t="str">
        <f t="shared" si="24"/>
        <v/>
      </c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</row>
    <row r="213" spans="1:30" ht="15.75" customHeight="1" outlineLevel="1">
      <c r="A213" s="51"/>
      <c r="B213" s="52" t="str">
        <f t="shared" si="20"/>
        <v/>
      </c>
      <c r="C213" t="str">
        <f t="shared" si="19"/>
        <v/>
      </c>
      <c r="D213" s="245" t="str">
        <f t="shared" si="21"/>
        <v/>
      </c>
      <c r="E213" s="534"/>
      <c r="F213" s="534"/>
      <c r="G213" s="395"/>
      <c r="H213" s="246" t="str">
        <f t="shared" si="22"/>
        <v/>
      </c>
      <c r="I213" s="199">
        <f t="shared" si="23"/>
        <v>0</v>
      </c>
      <c r="J213" s="247" t="str">
        <f t="shared" si="24"/>
        <v/>
      </c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</row>
    <row r="214" spans="1:30" ht="15.75" customHeight="1" outlineLevel="1">
      <c r="A214" s="51"/>
      <c r="B214" s="52" t="str">
        <f t="shared" si="20"/>
        <v/>
      </c>
      <c r="C214" t="str">
        <f t="shared" si="19"/>
        <v/>
      </c>
      <c r="D214" s="245" t="str">
        <f t="shared" si="21"/>
        <v/>
      </c>
      <c r="E214" s="534"/>
      <c r="F214" s="534"/>
      <c r="G214" s="395"/>
      <c r="H214" s="246" t="str">
        <f t="shared" si="22"/>
        <v/>
      </c>
      <c r="I214" s="199">
        <f t="shared" si="23"/>
        <v>0</v>
      </c>
      <c r="J214" s="247" t="str">
        <f t="shared" si="24"/>
        <v/>
      </c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</row>
    <row r="215" spans="1:30" ht="15.75" customHeight="1" outlineLevel="1">
      <c r="A215" s="51"/>
      <c r="B215" s="52" t="str">
        <f t="shared" si="20"/>
        <v/>
      </c>
      <c r="C215" t="str">
        <f t="shared" si="19"/>
        <v/>
      </c>
      <c r="D215" s="245" t="str">
        <f t="shared" si="21"/>
        <v/>
      </c>
      <c r="E215" s="534"/>
      <c r="F215" s="534"/>
      <c r="G215" s="395"/>
      <c r="H215" s="246" t="str">
        <f t="shared" si="22"/>
        <v/>
      </c>
      <c r="I215" s="199">
        <f t="shared" si="23"/>
        <v>0</v>
      </c>
      <c r="J215" s="247" t="str">
        <f t="shared" si="24"/>
        <v/>
      </c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</row>
    <row r="216" spans="1:30" ht="15.75" customHeight="1" outlineLevel="1">
      <c r="A216" s="51"/>
      <c r="B216" s="52" t="str">
        <f t="shared" si="20"/>
        <v/>
      </c>
      <c r="C216" t="str">
        <f t="shared" si="19"/>
        <v/>
      </c>
      <c r="D216" s="245" t="str">
        <f t="shared" si="21"/>
        <v/>
      </c>
      <c r="E216" s="534"/>
      <c r="F216" s="534"/>
      <c r="G216" s="395"/>
      <c r="H216" s="246" t="str">
        <f t="shared" si="22"/>
        <v/>
      </c>
      <c r="I216" s="199">
        <f t="shared" si="23"/>
        <v>0</v>
      </c>
      <c r="J216" s="247" t="str">
        <f t="shared" si="24"/>
        <v/>
      </c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</row>
    <row r="217" spans="1:30" ht="15.75" customHeight="1" outlineLevel="1">
      <c r="A217" s="51"/>
      <c r="B217" s="52" t="str">
        <f t="shared" si="20"/>
        <v/>
      </c>
      <c r="C217" t="str">
        <f t="shared" si="19"/>
        <v/>
      </c>
      <c r="D217" s="245" t="str">
        <f t="shared" si="21"/>
        <v/>
      </c>
      <c r="E217" s="534"/>
      <c r="F217" s="534"/>
      <c r="G217" s="395"/>
      <c r="H217" s="246" t="str">
        <f t="shared" si="22"/>
        <v/>
      </c>
      <c r="I217" s="199">
        <f t="shared" si="23"/>
        <v>0</v>
      </c>
      <c r="J217" s="247" t="str">
        <f t="shared" si="24"/>
        <v/>
      </c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</row>
    <row r="218" spans="1:30" ht="15.75" customHeight="1" outlineLevel="1">
      <c r="A218" s="51"/>
      <c r="B218" s="52" t="str">
        <f t="shared" si="20"/>
        <v/>
      </c>
      <c r="C218" t="str">
        <f t="shared" si="19"/>
        <v/>
      </c>
      <c r="D218" s="245" t="str">
        <f t="shared" si="21"/>
        <v/>
      </c>
      <c r="E218" s="534"/>
      <c r="F218" s="534"/>
      <c r="G218" s="395"/>
      <c r="H218" s="246" t="str">
        <f t="shared" si="22"/>
        <v/>
      </c>
      <c r="I218" s="199">
        <f t="shared" si="23"/>
        <v>0</v>
      </c>
      <c r="J218" s="247" t="str">
        <f t="shared" si="24"/>
        <v/>
      </c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</row>
    <row r="219" spans="1:30" ht="15.75" customHeight="1" outlineLevel="1">
      <c r="A219" s="51"/>
      <c r="B219" s="52" t="str">
        <f t="shared" si="20"/>
        <v/>
      </c>
      <c r="C219" t="str">
        <f t="shared" si="19"/>
        <v/>
      </c>
      <c r="D219" s="245" t="str">
        <f t="shared" si="21"/>
        <v/>
      </c>
      <c r="E219" s="534"/>
      <c r="F219" s="534"/>
      <c r="G219" s="395"/>
      <c r="H219" s="246" t="str">
        <f t="shared" si="22"/>
        <v/>
      </c>
      <c r="I219" s="199">
        <f t="shared" si="23"/>
        <v>0</v>
      </c>
      <c r="J219" s="247" t="str">
        <f t="shared" si="24"/>
        <v/>
      </c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</row>
    <row r="220" spans="1:30" ht="15.75" customHeight="1" outlineLevel="1">
      <c r="A220" s="51"/>
      <c r="B220" s="52" t="str">
        <f t="shared" si="20"/>
        <v/>
      </c>
      <c r="C220" t="str">
        <f t="shared" si="19"/>
        <v/>
      </c>
      <c r="D220" s="245" t="str">
        <f t="shared" si="21"/>
        <v/>
      </c>
      <c r="E220" s="534"/>
      <c r="F220" s="534"/>
      <c r="G220" s="395"/>
      <c r="H220" s="246" t="str">
        <f t="shared" si="22"/>
        <v/>
      </c>
      <c r="I220" s="199">
        <f t="shared" si="23"/>
        <v>0</v>
      </c>
      <c r="J220" s="247" t="str">
        <f t="shared" si="24"/>
        <v/>
      </c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</row>
    <row r="221" spans="1:30" ht="15.75" customHeight="1" outlineLevel="1" thickBot="1">
      <c r="A221" s="51"/>
      <c r="B221" s="52" t="str">
        <f t="shared" si="20"/>
        <v/>
      </c>
      <c r="C221" t="str">
        <f t="shared" si="19"/>
        <v/>
      </c>
      <c r="D221" s="245" t="str">
        <f t="shared" si="21"/>
        <v/>
      </c>
      <c r="E221" s="534"/>
      <c r="F221" s="534"/>
      <c r="G221" s="398"/>
      <c r="H221" s="246" t="str">
        <f t="shared" si="22"/>
        <v/>
      </c>
      <c r="I221" s="199">
        <f t="shared" si="23"/>
        <v>0</v>
      </c>
      <c r="J221" s="247" t="str">
        <f t="shared" si="24"/>
        <v/>
      </c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</row>
    <row r="222" spans="1:30" ht="15.75" customHeight="1" outlineLevel="1" thickTop="1">
      <c r="A222" s="51"/>
      <c r="B222" s="52" t="str">
        <f t="shared" si="20"/>
        <v/>
      </c>
      <c r="C222" t="str">
        <f t="shared" si="19"/>
        <v/>
      </c>
      <c r="D222" s="245" t="str">
        <f t="shared" si="21"/>
        <v/>
      </c>
      <c r="E222" s="534"/>
      <c r="F222" s="534"/>
      <c r="G222" s="198"/>
      <c r="H222" s="246" t="str">
        <f t="shared" si="22"/>
        <v/>
      </c>
      <c r="I222" s="199">
        <f t="shared" si="23"/>
        <v>0</v>
      </c>
      <c r="J222" s="247" t="str">
        <f t="shared" si="24"/>
        <v/>
      </c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</row>
    <row r="223" spans="1:30" ht="15.75" customHeight="1" outlineLevel="1">
      <c r="A223" s="51"/>
      <c r="B223" s="52" t="str">
        <f t="shared" si="20"/>
        <v/>
      </c>
      <c r="C223" t="str">
        <f t="shared" si="19"/>
        <v/>
      </c>
      <c r="D223" s="245" t="str">
        <f t="shared" si="21"/>
        <v/>
      </c>
      <c r="E223" s="534"/>
      <c r="F223" s="534"/>
      <c r="G223" s="198"/>
      <c r="H223" s="246" t="str">
        <f t="shared" si="22"/>
        <v/>
      </c>
      <c r="I223" s="199">
        <f t="shared" si="23"/>
        <v>0</v>
      </c>
      <c r="J223" s="247" t="str">
        <f t="shared" si="24"/>
        <v/>
      </c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</row>
    <row r="224" spans="1:30" ht="15.75" customHeight="1" outlineLevel="1">
      <c r="A224" s="51"/>
      <c r="B224" s="52" t="str">
        <f t="shared" si="20"/>
        <v/>
      </c>
      <c r="C224" t="str">
        <f t="shared" si="19"/>
        <v/>
      </c>
      <c r="D224" s="245" t="str">
        <f t="shared" si="21"/>
        <v/>
      </c>
      <c r="E224" s="534"/>
      <c r="F224" s="534"/>
      <c r="G224" s="198"/>
      <c r="H224" s="246" t="str">
        <f t="shared" si="22"/>
        <v/>
      </c>
      <c r="I224" s="199">
        <f t="shared" si="23"/>
        <v>0</v>
      </c>
      <c r="J224" s="247" t="str">
        <f t="shared" si="24"/>
        <v/>
      </c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</row>
    <row r="225" spans="1:30" ht="15.75" customHeight="1" outlineLevel="1">
      <c r="A225" s="51"/>
      <c r="B225" s="52" t="str">
        <f t="shared" si="20"/>
        <v/>
      </c>
      <c r="C225" t="str">
        <f t="shared" si="19"/>
        <v/>
      </c>
      <c r="D225" s="245" t="str">
        <f t="shared" si="21"/>
        <v/>
      </c>
      <c r="E225" s="534"/>
      <c r="F225" s="534"/>
      <c r="G225" s="198"/>
      <c r="H225" s="246" t="str">
        <f t="shared" si="22"/>
        <v/>
      </c>
      <c r="I225" s="199">
        <f t="shared" si="23"/>
        <v>0</v>
      </c>
      <c r="J225" s="247" t="str">
        <f t="shared" si="24"/>
        <v/>
      </c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</row>
    <row r="226" spans="1:30" ht="15.75" customHeight="1" outlineLevel="1">
      <c r="A226" s="51"/>
      <c r="B226" s="52" t="str">
        <f t="shared" si="20"/>
        <v/>
      </c>
      <c r="C226" t="str">
        <f t="shared" si="19"/>
        <v/>
      </c>
      <c r="D226" s="245" t="str">
        <f t="shared" si="21"/>
        <v/>
      </c>
      <c r="E226" s="534"/>
      <c r="F226" s="534"/>
      <c r="G226" s="198"/>
      <c r="H226" s="246" t="str">
        <f t="shared" si="22"/>
        <v/>
      </c>
      <c r="I226" s="199">
        <f t="shared" si="23"/>
        <v>0</v>
      </c>
      <c r="J226" s="247" t="str">
        <f t="shared" si="24"/>
        <v/>
      </c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</row>
    <row r="227" spans="1:30" ht="15.75" customHeight="1" outlineLevel="1">
      <c r="A227" s="51"/>
      <c r="B227" s="52" t="str">
        <f t="shared" si="20"/>
        <v/>
      </c>
      <c r="C227" t="str">
        <f t="shared" si="19"/>
        <v/>
      </c>
      <c r="D227" s="245" t="str">
        <f t="shared" si="21"/>
        <v/>
      </c>
      <c r="E227" s="534"/>
      <c r="F227" s="534"/>
      <c r="G227" s="198"/>
      <c r="H227" s="246" t="str">
        <f t="shared" si="22"/>
        <v/>
      </c>
      <c r="I227" s="199">
        <f t="shared" si="23"/>
        <v>0</v>
      </c>
      <c r="J227" s="247" t="str">
        <f t="shared" si="24"/>
        <v/>
      </c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</row>
    <row r="228" spans="1:30" ht="15.75" customHeight="1" outlineLevel="1">
      <c r="A228" s="51"/>
      <c r="B228" s="52" t="str">
        <f t="shared" si="20"/>
        <v/>
      </c>
      <c r="C228" t="str">
        <f t="shared" si="19"/>
        <v/>
      </c>
      <c r="D228" s="245" t="str">
        <f t="shared" si="21"/>
        <v/>
      </c>
      <c r="E228" s="534"/>
      <c r="F228" s="534"/>
      <c r="G228" s="198"/>
      <c r="H228" s="246" t="str">
        <f t="shared" si="22"/>
        <v/>
      </c>
      <c r="I228" s="199">
        <f t="shared" si="23"/>
        <v>0</v>
      </c>
      <c r="J228" s="247" t="str">
        <f t="shared" si="24"/>
        <v/>
      </c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</row>
    <row r="229" spans="1:30" ht="15.75" customHeight="1" outlineLevel="1">
      <c r="A229" s="51"/>
      <c r="B229" s="52" t="str">
        <f t="shared" si="20"/>
        <v/>
      </c>
      <c r="C229" t="str">
        <f t="shared" si="19"/>
        <v/>
      </c>
      <c r="D229" s="245" t="str">
        <f t="shared" si="21"/>
        <v/>
      </c>
      <c r="E229" s="534"/>
      <c r="F229" s="534"/>
      <c r="G229" s="198"/>
      <c r="H229" s="246" t="str">
        <f t="shared" si="22"/>
        <v/>
      </c>
      <c r="I229" s="199">
        <f t="shared" si="23"/>
        <v>0</v>
      </c>
      <c r="J229" s="247" t="str">
        <f t="shared" si="24"/>
        <v/>
      </c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</row>
    <row r="230" spans="1:30" ht="15.75" customHeight="1" outlineLevel="1">
      <c r="A230" s="51"/>
      <c r="B230" s="52" t="str">
        <f t="shared" si="20"/>
        <v/>
      </c>
      <c r="C230" t="str">
        <f t="shared" si="19"/>
        <v/>
      </c>
      <c r="D230" s="245" t="str">
        <f t="shared" si="21"/>
        <v/>
      </c>
      <c r="E230" s="534"/>
      <c r="F230" s="534"/>
      <c r="G230" s="198"/>
      <c r="H230" s="246" t="str">
        <f t="shared" si="22"/>
        <v/>
      </c>
      <c r="I230" s="199">
        <f t="shared" si="23"/>
        <v>0</v>
      </c>
      <c r="J230" s="247" t="str">
        <f t="shared" si="24"/>
        <v/>
      </c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</row>
    <row r="231" spans="1:30" ht="15.75" customHeight="1" outlineLevel="1">
      <c r="A231" s="51"/>
      <c r="B231" s="52" t="str">
        <f t="shared" si="20"/>
        <v/>
      </c>
      <c r="C231" t="str">
        <f t="shared" si="19"/>
        <v/>
      </c>
      <c r="D231" s="245" t="str">
        <f t="shared" si="21"/>
        <v/>
      </c>
      <c r="E231" s="534"/>
      <c r="F231" s="534"/>
      <c r="G231" s="198"/>
      <c r="H231" s="246" t="str">
        <f t="shared" si="22"/>
        <v/>
      </c>
      <c r="I231" s="199">
        <f t="shared" si="23"/>
        <v>0</v>
      </c>
      <c r="J231" s="247" t="str">
        <f t="shared" si="24"/>
        <v/>
      </c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</row>
    <row r="232" spans="1:30" ht="15.75" customHeight="1" outlineLevel="1">
      <c r="A232" s="51"/>
      <c r="B232" s="52" t="str">
        <f t="shared" si="20"/>
        <v/>
      </c>
      <c r="C232" t="str">
        <f t="shared" si="19"/>
        <v/>
      </c>
      <c r="D232" s="245" t="str">
        <f t="shared" si="21"/>
        <v/>
      </c>
      <c r="E232" s="534"/>
      <c r="F232" s="534"/>
      <c r="G232" s="198"/>
      <c r="H232" s="246" t="str">
        <f t="shared" si="22"/>
        <v/>
      </c>
      <c r="I232" s="199">
        <f t="shared" si="23"/>
        <v>0</v>
      </c>
      <c r="J232" s="247" t="str">
        <f t="shared" si="24"/>
        <v/>
      </c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</row>
    <row r="233" spans="1:30" ht="15.75" customHeight="1" outlineLevel="1">
      <c r="A233" s="51"/>
      <c r="B233" s="52" t="str">
        <f t="shared" si="20"/>
        <v/>
      </c>
      <c r="C233" t="str">
        <f t="shared" si="19"/>
        <v/>
      </c>
      <c r="D233" s="245" t="str">
        <f t="shared" si="21"/>
        <v/>
      </c>
      <c r="E233" s="534"/>
      <c r="F233" s="534"/>
      <c r="G233" s="198"/>
      <c r="H233" s="246" t="str">
        <f t="shared" si="22"/>
        <v/>
      </c>
      <c r="I233" s="199">
        <f t="shared" si="23"/>
        <v>0</v>
      </c>
      <c r="J233" s="247" t="str">
        <f t="shared" si="24"/>
        <v/>
      </c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</row>
    <row r="234" spans="1:30" ht="15.75" customHeight="1" outlineLevel="1">
      <c r="A234" s="51"/>
      <c r="B234" s="52" t="str">
        <f t="shared" si="20"/>
        <v/>
      </c>
      <c r="C234" t="str">
        <f t="shared" si="19"/>
        <v/>
      </c>
      <c r="D234" s="245" t="str">
        <f t="shared" si="21"/>
        <v/>
      </c>
      <c r="E234" s="534"/>
      <c r="F234" s="534"/>
      <c r="G234" s="198"/>
      <c r="H234" s="246" t="str">
        <f t="shared" si="22"/>
        <v/>
      </c>
      <c r="I234" s="199">
        <f t="shared" si="23"/>
        <v>0</v>
      </c>
      <c r="J234" s="247" t="str">
        <f t="shared" si="24"/>
        <v/>
      </c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</row>
    <row r="235" spans="1:30" ht="15.75" customHeight="1" outlineLevel="1">
      <c r="A235" s="51"/>
      <c r="B235" s="52" t="str">
        <f t="shared" si="20"/>
        <v/>
      </c>
      <c r="C235" t="str">
        <f t="shared" si="19"/>
        <v/>
      </c>
      <c r="D235" s="245" t="str">
        <f t="shared" si="21"/>
        <v/>
      </c>
      <c r="E235" s="534"/>
      <c r="F235" s="534"/>
      <c r="G235" s="198"/>
      <c r="H235" s="246" t="str">
        <f t="shared" si="22"/>
        <v/>
      </c>
      <c r="I235" s="199">
        <f t="shared" si="23"/>
        <v>0</v>
      </c>
      <c r="J235" s="247" t="str">
        <f t="shared" si="24"/>
        <v/>
      </c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  <c r="AA235" s="47"/>
      <c r="AB235" s="47"/>
      <c r="AC235" s="47"/>
      <c r="AD235" s="47"/>
    </row>
    <row r="236" spans="1:30" ht="15.75" customHeight="1" outlineLevel="1">
      <c r="A236" s="51"/>
      <c r="B236" s="52" t="str">
        <f t="shared" si="20"/>
        <v/>
      </c>
      <c r="C236" t="str">
        <f t="shared" si="19"/>
        <v/>
      </c>
      <c r="D236" s="245" t="str">
        <f t="shared" si="21"/>
        <v/>
      </c>
      <c r="E236" s="534"/>
      <c r="F236" s="534"/>
      <c r="G236" s="198"/>
      <c r="H236" s="246" t="str">
        <f t="shared" si="22"/>
        <v/>
      </c>
      <c r="I236" s="199">
        <f t="shared" si="23"/>
        <v>0</v>
      </c>
      <c r="J236" s="247" t="str">
        <f t="shared" si="24"/>
        <v/>
      </c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  <c r="AA236" s="47"/>
      <c r="AB236" s="47"/>
      <c r="AC236" s="47"/>
      <c r="AD236" s="47"/>
    </row>
    <row r="237" spans="1:30" ht="15.75" customHeight="1" outlineLevel="1">
      <c r="A237" s="51"/>
      <c r="B237" s="52" t="str">
        <f t="shared" si="20"/>
        <v/>
      </c>
      <c r="C237" t="str">
        <f t="shared" si="19"/>
        <v/>
      </c>
      <c r="D237" s="245" t="str">
        <f t="shared" si="21"/>
        <v/>
      </c>
      <c r="E237" s="534"/>
      <c r="F237" s="534"/>
      <c r="G237" s="198"/>
      <c r="H237" s="246" t="str">
        <f t="shared" si="22"/>
        <v/>
      </c>
      <c r="I237" s="199">
        <f t="shared" si="23"/>
        <v>0</v>
      </c>
      <c r="J237" s="247" t="str">
        <f t="shared" si="24"/>
        <v/>
      </c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  <c r="AC237" s="47"/>
      <c r="AD237" s="47"/>
    </row>
    <row r="238" spans="1:30" ht="15.75" customHeight="1" outlineLevel="1">
      <c r="A238" s="51"/>
      <c r="B238" s="52" t="str">
        <f t="shared" si="20"/>
        <v/>
      </c>
      <c r="C238" t="str">
        <f t="shared" si="19"/>
        <v/>
      </c>
      <c r="D238" s="245" t="str">
        <f t="shared" si="21"/>
        <v/>
      </c>
      <c r="E238" s="534"/>
      <c r="F238" s="534"/>
      <c r="G238" s="198"/>
      <c r="H238" s="246" t="str">
        <f t="shared" si="22"/>
        <v/>
      </c>
      <c r="I238" s="199">
        <f t="shared" si="23"/>
        <v>0</v>
      </c>
      <c r="J238" s="247" t="str">
        <f t="shared" si="24"/>
        <v/>
      </c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</row>
    <row r="239" spans="1:30" ht="15.75" customHeight="1" outlineLevel="1">
      <c r="A239" s="51"/>
      <c r="B239" s="52" t="str">
        <f t="shared" si="20"/>
        <v/>
      </c>
      <c r="C239" t="str">
        <f t="shared" si="19"/>
        <v/>
      </c>
      <c r="D239" s="245" t="str">
        <f t="shared" si="21"/>
        <v/>
      </c>
      <c r="E239" s="534"/>
      <c r="F239" s="534"/>
      <c r="G239" s="198"/>
      <c r="H239" s="246" t="str">
        <f t="shared" si="22"/>
        <v/>
      </c>
      <c r="I239" s="199">
        <f t="shared" si="23"/>
        <v>0</v>
      </c>
      <c r="J239" s="247" t="str">
        <f t="shared" si="24"/>
        <v/>
      </c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</row>
    <row r="240" spans="1:30" ht="15.75" customHeight="1" outlineLevel="1">
      <c r="A240" s="51"/>
      <c r="B240" s="52" t="str">
        <f t="shared" si="20"/>
        <v/>
      </c>
      <c r="C240" t="str">
        <f t="shared" si="19"/>
        <v/>
      </c>
      <c r="D240" s="245" t="str">
        <f t="shared" si="21"/>
        <v/>
      </c>
      <c r="E240" s="534"/>
      <c r="F240" s="534"/>
      <c r="G240" s="198"/>
      <c r="H240" s="246" t="str">
        <f t="shared" si="22"/>
        <v/>
      </c>
      <c r="I240" s="199">
        <f t="shared" si="23"/>
        <v>0</v>
      </c>
      <c r="J240" s="247" t="str">
        <f t="shared" si="24"/>
        <v/>
      </c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</row>
    <row r="241" spans="1:30" ht="15.75" customHeight="1" outlineLevel="1">
      <c r="A241" s="51"/>
      <c r="B241" s="52" t="str">
        <f t="shared" si="20"/>
        <v/>
      </c>
      <c r="C241" t="str">
        <f t="shared" si="19"/>
        <v/>
      </c>
      <c r="D241" s="245" t="str">
        <f t="shared" si="21"/>
        <v/>
      </c>
      <c r="E241" s="534"/>
      <c r="F241" s="534"/>
      <c r="G241" s="198"/>
      <c r="H241" s="246" t="str">
        <f t="shared" si="22"/>
        <v/>
      </c>
      <c r="I241" s="199">
        <f t="shared" si="23"/>
        <v>0</v>
      </c>
      <c r="J241" s="247" t="str">
        <f t="shared" si="24"/>
        <v/>
      </c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</row>
    <row r="242" spans="1:30" ht="15.75" customHeight="1" outlineLevel="1">
      <c r="A242" s="51"/>
      <c r="B242" s="52" t="str">
        <f t="shared" si="20"/>
        <v/>
      </c>
      <c r="C242" t="str">
        <f t="shared" si="19"/>
        <v/>
      </c>
      <c r="D242" s="245" t="str">
        <f t="shared" si="21"/>
        <v/>
      </c>
      <c r="E242" s="534"/>
      <c r="F242" s="534"/>
      <c r="G242" s="198"/>
      <c r="H242" s="246" t="str">
        <f t="shared" si="22"/>
        <v/>
      </c>
      <c r="I242" s="199">
        <f t="shared" si="23"/>
        <v>0</v>
      </c>
      <c r="J242" s="247" t="str">
        <f t="shared" si="24"/>
        <v/>
      </c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</row>
    <row r="243" spans="1:30" ht="15.75" customHeight="1" outlineLevel="1">
      <c r="A243" s="51"/>
      <c r="B243" s="52" t="str">
        <f t="shared" si="20"/>
        <v/>
      </c>
      <c r="C243" t="str">
        <f t="shared" si="19"/>
        <v/>
      </c>
      <c r="D243" s="245" t="str">
        <f t="shared" si="21"/>
        <v/>
      </c>
      <c r="E243" s="534"/>
      <c r="F243" s="534"/>
      <c r="G243" s="198"/>
      <c r="H243" s="246" t="str">
        <f t="shared" si="22"/>
        <v/>
      </c>
      <c r="I243" s="199">
        <f t="shared" si="23"/>
        <v>0</v>
      </c>
      <c r="J243" s="247" t="str">
        <f t="shared" si="24"/>
        <v/>
      </c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</row>
    <row r="244" spans="1:30" ht="15.75" customHeight="1" outlineLevel="1">
      <c r="A244" s="51"/>
      <c r="B244" s="52" t="str">
        <f t="shared" si="20"/>
        <v/>
      </c>
      <c r="C244" t="str">
        <f t="shared" si="19"/>
        <v/>
      </c>
      <c r="D244" s="245" t="str">
        <f t="shared" si="21"/>
        <v/>
      </c>
      <c r="E244" s="534"/>
      <c r="F244" s="534"/>
      <c r="G244" s="198"/>
      <c r="H244" s="246" t="str">
        <f t="shared" si="22"/>
        <v/>
      </c>
      <c r="I244" s="199">
        <f t="shared" si="23"/>
        <v>0</v>
      </c>
      <c r="J244" s="247" t="str">
        <f t="shared" si="24"/>
        <v/>
      </c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</row>
    <row r="245" spans="1:30" ht="15.75" customHeight="1" outlineLevel="1">
      <c r="A245" s="51"/>
      <c r="B245" s="52" t="str">
        <f t="shared" si="20"/>
        <v/>
      </c>
      <c r="C245" t="str">
        <f t="shared" si="19"/>
        <v/>
      </c>
      <c r="D245" s="245" t="str">
        <f t="shared" si="21"/>
        <v/>
      </c>
      <c r="E245" s="534"/>
      <c r="F245" s="534"/>
      <c r="G245" s="198"/>
      <c r="H245" s="246" t="str">
        <f t="shared" si="22"/>
        <v/>
      </c>
      <c r="I245" s="199">
        <f t="shared" si="23"/>
        <v>0</v>
      </c>
      <c r="J245" s="247" t="str">
        <f t="shared" si="24"/>
        <v/>
      </c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</row>
    <row r="246" spans="1:30" ht="15.75" customHeight="1" outlineLevel="1">
      <c r="A246" s="51"/>
      <c r="B246" s="52" t="str">
        <f t="shared" si="20"/>
        <v/>
      </c>
      <c r="C246" t="str">
        <f t="shared" si="19"/>
        <v/>
      </c>
      <c r="D246" s="245" t="str">
        <f t="shared" si="21"/>
        <v/>
      </c>
      <c r="E246" s="534"/>
      <c r="F246" s="534"/>
      <c r="G246" s="198"/>
      <c r="H246" s="246" t="str">
        <f t="shared" si="22"/>
        <v/>
      </c>
      <c r="I246" s="199">
        <f t="shared" si="23"/>
        <v>0</v>
      </c>
      <c r="J246" s="247" t="str">
        <f t="shared" si="24"/>
        <v/>
      </c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</row>
    <row r="247" spans="1:30" ht="15.75" customHeight="1" outlineLevel="1">
      <c r="A247" s="51"/>
      <c r="B247" s="52" t="str">
        <f t="shared" si="20"/>
        <v/>
      </c>
      <c r="C247" t="str">
        <f t="shared" si="19"/>
        <v/>
      </c>
      <c r="D247" s="245" t="str">
        <f t="shared" si="21"/>
        <v/>
      </c>
      <c r="E247" s="534"/>
      <c r="F247" s="534"/>
      <c r="G247" s="198"/>
      <c r="H247" s="246" t="str">
        <f t="shared" si="22"/>
        <v/>
      </c>
      <c r="I247" s="199">
        <f t="shared" si="23"/>
        <v>0</v>
      </c>
      <c r="J247" s="247" t="str">
        <f t="shared" si="24"/>
        <v/>
      </c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  <c r="AA247" s="47"/>
      <c r="AB247" s="47"/>
      <c r="AC247" s="47"/>
      <c r="AD247" s="47"/>
    </row>
    <row r="248" spans="1:30" ht="15.75" customHeight="1" outlineLevel="1">
      <c r="A248" s="51"/>
      <c r="B248" s="52" t="str">
        <f t="shared" si="20"/>
        <v/>
      </c>
      <c r="C248" t="str">
        <f t="shared" si="19"/>
        <v/>
      </c>
      <c r="D248" s="245" t="str">
        <f t="shared" si="21"/>
        <v/>
      </c>
      <c r="E248" s="534"/>
      <c r="F248" s="534"/>
      <c r="G248" s="198"/>
      <c r="H248" s="246" t="str">
        <f t="shared" si="22"/>
        <v/>
      </c>
      <c r="I248" s="199">
        <f t="shared" si="23"/>
        <v>0</v>
      </c>
      <c r="J248" s="247" t="str">
        <f t="shared" si="24"/>
        <v/>
      </c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  <c r="AA248" s="47"/>
      <c r="AB248" s="47"/>
      <c r="AC248" s="47"/>
      <c r="AD248" s="47"/>
    </row>
    <row r="249" spans="1:30" ht="15.75" customHeight="1" outlineLevel="1">
      <c r="A249" s="51"/>
      <c r="B249" s="52" t="str">
        <f t="shared" si="20"/>
        <v/>
      </c>
      <c r="C249" t="str">
        <f t="shared" si="19"/>
        <v/>
      </c>
      <c r="D249" s="245" t="str">
        <f t="shared" si="21"/>
        <v/>
      </c>
      <c r="E249" s="534"/>
      <c r="F249" s="534"/>
      <c r="G249" s="198"/>
      <c r="H249" s="246" t="str">
        <f t="shared" si="22"/>
        <v/>
      </c>
      <c r="I249" s="199">
        <f t="shared" si="23"/>
        <v>0</v>
      </c>
      <c r="J249" s="247" t="str">
        <f t="shared" si="24"/>
        <v/>
      </c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  <c r="AA249" s="47"/>
      <c r="AB249" s="47"/>
      <c r="AC249" s="47"/>
      <c r="AD249" s="47"/>
    </row>
    <row r="250" spans="1:30" ht="15.75" customHeight="1" outlineLevel="1">
      <c r="A250" s="51"/>
      <c r="B250" s="52" t="str">
        <f t="shared" si="20"/>
        <v/>
      </c>
      <c r="C250" t="str">
        <f t="shared" si="19"/>
        <v/>
      </c>
      <c r="D250" s="245" t="str">
        <f t="shared" si="21"/>
        <v/>
      </c>
      <c r="E250" s="534"/>
      <c r="F250" s="534"/>
      <c r="G250" s="198"/>
      <c r="H250" s="246" t="str">
        <f t="shared" si="22"/>
        <v/>
      </c>
      <c r="I250" s="199">
        <f t="shared" si="23"/>
        <v>0</v>
      </c>
      <c r="J250" s="247" t="str">
        <f t="shared" si="24"/>
        <v/>
      </c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  <c r="AA250" s="47"/>
      <c r="AB250" s="47"/>
      <c r="AC250" s="47"/>
      <c r="AD250" s="47"/>
    </row>
    <row r="251" spans="1:30" ht="15.75" customHeight="1" outlineLevel="1">
      <c r="A251" s="51"/>
      <c r="B251" s="52" t="str">
        <f t="shared" si="20"/>
        <v/>
      </c>
      <c r="C251" t="str">
        <f t="shared" si="19"/>
        <v/>
      </c>
      <c r="D251" s="245" t="str">
        <f t="shared" si="21"/>
        <v/>
      </c>
      <c r="E251" s="534"/>
      <c r="F251" s="534"/>
      <c r="G251" s="198"/>
      <c r="H251" s="246" t="str">
        <f t="shared" si="22"/>
        <v/>
      </c>
      <c r="I251" s="199">
        <f t="shared" si="23"/>
        <v>0</v>
      </c>
      <c r="J251" s="247" t="str">
        <f t="shared" si="24"/>
        <v/>
      </c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  <c r="AA251" s="47"/>
      <c r="AB251" s="47"/>
      <c r="AC251" s="47"/>
      <c r="AD251" s="47"/>
    </row>
    <row r="252" spans="1:30" ht="15.75" customHeight="1" outlineLevel="1">
      <c r="A252" s="51"/>
      <c r="B252" s="52" t="str">
        <f t="shared" si="20"/>
        <v/>
      </c>
      <c r="C252" t="str">
        <f t="shared" si="19"/>
        <v/>
      </c>
      <c r="D252" s="245" t="str">
        <f t="shared" si="21"/>
        <v/>
      </c>
      <c r="E252" s="534"/>
      <c r="F252" s="534"/>
      <c r="G252" s="198"/>
      <c r="H252" s="246" t="str">
        <f t="shared" si="22"/>
        <v/>
      </c>
      <c r="I252" s="199">
        <f t="shared" si="23"/>
        <v>0</v>
      </c>
      <c r="J252" s="247" t="str">
        <f t="shared" si="24"/>
        <v/>
      </c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  <c r="AA252" s="47"/>
      <c r="AB252" s="47"/>
      <c r="AC252" s="47"/>
      <c r="AD252" s="47"/>
    </row>
    <row r="253" spans="1:30" ht="15.75" customHeight="1" outlineLevel="1">
      <c r="A253" s="51"/>
      <c r="B253" s="52" t="str">
        <f t="shared" si="20"/>
        <v/>
      </c>
      <c r="C253" t="str">
        <f t="shared" si="19"/>
        <v/>
      </c>
      <c r="D253" s="245" t="str">
        <f t="shared" si="21"/>
        <v/>
      </c>
      <c r="E253" s="534"/>
      <c r="F253" s="534"/>
      <c r="G253" s="198"/>
      <c r="H253" s="246" t="str">
        <f t="shared" si="22"/>
        <v/>
      </c>
      <c r="I253" s="199">
        <f t="shared" si="23"/>
        <v>0</v>
      </c>
      <c r="J253" s="247" t="str">
        <f t="shared" si="24"/>
        <v/>
      </c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  <c r="AA253" s="47"/>
      <c r="AB253" s="47"/>
      <c r="AC253" s="47"/>
      <c r="AD253" s="47"/>
    </row>
    <row r="254" spans="1:30" ht="15.75" customHeight="1" outlineLevel="1">
      <c r="A254" s="51"/>
      <c r="B254" s="52" t="str">
        <f t="shared" si="20"/>
        <v/>
      </c>
      <c r="C254" t="str">
        <f t="shared" si="19"/>
        <v/>
      </c>
      <c r="D254" s="245" t="str">
        <f t="shared" si="21"/>
        <v/>
      </c>
      <c r="E254" s="534"/>
      <c r="F254" s="534"/>
      <c r="G254" s="198"/>
      <c r="H254" s="246" t="str">
        <f t="shared" si="22"/>
        <v/>
      </c>
      <c r="I254" s="199">
        <f t="shared" si="23"/>
        <v>0</v>
      </c>
      <c r="J254" s="247" t="str">
        <f t="shared" si="24"/>
        <v/>
      </c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  <c r="AA254" s="47"/>
      <c r="AB254" s="47"/>
      <c r="AC254" s="47"/>
      <c r="AD254" s="47"/>
    </row>
    <row r="255" spans="1:30" ht="15.75" customHeight="1" outlineLevel="1">
      <c r="A255" s="51"/>
      <c r="B255" s="52" t="str">
        <f t="shared" si="20"/>
        <v/>
      </c>
      <c r="C255" t="str">
        <f t="shared" si="19"/>
        <v/>
      </c>
      <c r="D255" s="245" t="str">
        <f t="shared" si="21"/>
        <v/>
      </c>
      <c r="E255" s="534"/>
      <c r="F255" s="534"/>
      <c r="G255" s="198"/>
      <c r="H255" s="246" t="str">
        <f t="shared" si="22"/>
        <v/>
      </c>
      <c r="I255" s="199">
        <f t="shared" si="23"/>
        <v>0</v>
      </c>
      <c r="J255" s="247" t="str">
        <f t="shared" si="24"/>
        <v/>
      </c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  <c r="AA255" s="47"/>
      <c r="AB255" s="47"/>
      <c r="AC255" s="47"/>
      <c r="AD255" s="47"/>
    </row>
    <row r="256" spans="1:30" ht="15.75" customHeight="1" outlineLevel="1">
      <c r="A256" s="51"/>
      <c r="B256" s="52" t="str">
        <f t="shared" si="20"/>
        <v/>
      </c>
      <c r="C256" t="str">
        <f t="shared" si="19"/>
        <v/>
      </c>
      <c r="D256" s="245" t="str">
        <f t="shared" si="21"/>
        <v/>
      </c>
      <c r="E256" s="534"/>
      <c r="F256" s="534"/>
      <c r="G256" s="198"/>
      <c r="H256" s="246" t="str">
        <f t="shared" si="22"/>
        <v/>
      </c>
      <c r="I256" s="199">
        <f t="shared" si="23"/>
        <v>0</v>
      </c>
      <c r="J256" s="247" t="str">
        <f t="shared" si="24"/>
        <v/>
      </c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  <c r="AA256" s="47"/>
      <c r="AB256" s="47"/>
      <c r="AC256" s="47"/>
      <c r="AD256" s="47"/>
    </row>
    <row r="257" spans="1:30" ht="15.75" customHeight="1" outlineLevel="1">
      <c r="A257" s="51"/>
      <c r="B257" s="52" t="str">
        <f t="shared" si="20"/>
        <v/>
      </c>
      <c r="C257" t="str">
        <f t="shared" si="19"/>
        <v/>
      </c>
      <c r="D257" s="245" t="str">
        <f t="shared" si="21"/>
        <v/>
      </c>
      <c r="E257" s="534"/>
      <c r="F257" s="534"/>
      <c r="G257" s="198"/>
      <c r="H257" s="246" t="str">
        <f t="shared" si="22"/>
        <v/>
      </c>
      <c r="I257" s="199">
        <f t="shared" si="23"/>
        <v>0</v>
      </c>
      <c r="J257" s="247" t="str">
        <f t="shared" si="24"/>
        <v/>
      </c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  <c r="AA257" s="47"/>
      <c r="AB257" s="47"/>
      <c r="AC257" s="47"/>
      <c r="AD257" s="47"/>
    </row>
    <row r="258" spans="1:30" ht="15.75" customHeight="1" outlineLevel="1">
      <c r="A258" s="51"/>
      <c r="B258" s="52" t="str">
        <f t="shared" si="20"/>
        <v/>
      </c>
      <c r="C258" t="str">
        <f t="shared" si="19"/>
        <v/>
      </c>
      <c r="D258" s="245" t="str">
        <f t="shared" si="21"/>
        <v/>
      </c>
      <c r="E258" s="534"/>
      <c r="F258" s="534"/>
      <c r="G258" s="198"/>
      <c r="H258" s="246" t="str">
        <f t="shared" si="22"/>
        <v/>
      </c>
      <c r="I258" s="199">
        <f t="shared" si="23"/>
        <v>0</v>
      </c>
      <c r="J258" s="247" t="str">
        <f t="shared" si="24"/>
        <v/>
      </c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  <c r="AA258" s="47"/>
      <c r="AB258" s="47"/>
      <c r="AC258" s="47"/>
      <c r="AD258" s="47"/>
    </row>
    <row r="259" spans="1:30" ht="15.75" customHeight="1" outlineLevel="1">
      <c r="A259" s="51"/>
      <c r="B259" s="52" t="str">
        <f t="shared" si="20"/>
        <v/>
      </c>
      <c r="C259" t="str">
        <f t="shared" si="19"/>
        <v/>
      </c>
      <c r="D259" s="245" t="str">
        <f t="shared" si="21"/>
        <v/>
      </c>
      <c r="E259" s="534"/>
      <c r="F259" s="534"/>
      <c r="G259" s="198"/>
      <c r="H259" s="246" t="str">
        <f t="shared" si="22"/>
        <v/>
      </c>
      <c r="I259" s="199">
        <f t="shared" si="23"/>
        <v>0</v>
      </c>
      <c r="J259" s="247" t="str">
        <f t="shared" si="24"/>
        <v/>
      </c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  <c r="AA259" s="47"/>
      <c r="AB259" s="47"/>
      <c r="AC259" s="47"/>
      <c r="AD259" s="47"/>
    </row>
    <row r="260" spans="1:30" ht="15.75" customHeight="1" outlineLevel="1">
      <c r="A260" s="51"/>
      <c r="B260" s="52" t="str">
        <f t="shared" si="20"/>
        <v/>
      </c>
      <c r="C260" t="str">
        <f t="shared" si="19"/>
        <v/>
      </c>
      <c r="D260" s="245" t="str">
        <f t="shared" si="21"/>
        <v/>
      </c>
      <c r="E260" s="534"/>
      <c r="F260" s="534"/>
      <c r="G260" s="198"/>
      <c r="H260" s="246" t="str">
        <f t="shared" si="22"/>
        <v/>
      </c>
      <c r="I260" s="199">
        <f t="shared" si="23"/>
        <v>0</v>
      </c>
      <c r="J260" s="247" t="str">
        <f t="shared" si="24"/>
        <v/>
      </c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  <c r="AA260" s="47"/>
      <c r="AB260" s="47"/>
      <c r="AC260" s="47"/>
      <c r="AD260" s="47"/>
    </row>
    <row r="261" spans="1:30" ht="15.75" customHeight="1" outlineLevel="1">
      <c r="A261" s="51"/>
      <c r="B261" s="52" t="str">
        <f t="shared" si="20"/>
        <v/>
      </c>
      <c r="C261" t="str">
        <f t="shared" si="19"/>
        <v/>
      </c>
      <c r="D261" s="245" t="str">
        <f t="shared" si="21"/>
        <v/>
      </c>
      <c r="E261" s="534"/>
      <c r="F261" s="534"/>
      <c r="G261" s="198"/>
      <c r="H261" s="246" t="str">
        <f t="shared" si="22"/>
        <v/>
      </c>
      <c r="I261" s="199">
        <f t="shared" si="23"/>
        <v>0</v>
      </c>
      <c r="J261" s="247" t="str">
        <f t="shared" si="24"/>
        <v/>
      </c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  <c r="AA261" s="47"/>
      <c r="AB261" s="47"/>
      <c r="AC261" s="47"/>
      <c r="AD261" s="47"/>
    </row>
    <row r="262" spans="1:30" ht="15.75" customHeight="1" outlineLevel="1">
      <c r="A262" s="51"/>
      <c r="B262" s="52" t="str">
        <f t="shared" si="20"/>
        <v/>
      </c>
      <c r="C262" t="str">
        <f t="shared" si="19"/>
        <v/>
      </c>
      <c r="D262" s="245" t="str">
        <f t="shared" si="21"/>
        <v/>
      </c>
      <c r="E262" s="534"/>
      <c r="F262" s="534"/>
      <c r="G262" s="198"/>
      <c r="H262" s="246" t="str">
        <f t="shared" si="22"/>
        <v/>
      </c>
      <c r="I262" s="199">
        <f t="shared" si="23"/>
        <v>0</v>
      </c>
      <c r="J262" s="247" t="str">
        <f t="shared" si="24"/>
        <v/>
      </c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7"/>
      <c r="AB262" s="47"/>
      <c r="AC262" s="47"/>
      <c r="AD262" s="47"/>
    </row>
    <row r="263" spans="1:30" ht="15.75" customHeight="1" outlineLevel="1">
      <c r="A263" s="51"/>
      <c r="B263" s="52" t="str">
        <f t="shared" si="20"/>
        <v/>
      </c>
      <c r="C263" t="str">
        <f t="shared" ref="C263:C326" si="25">IF(A263&lt;&gt;"",TEXT(A263,"aaaa"),"")</f>
        <v/>
      </c>
      <c r="D263" s="245" t="str">
        <f t="shared" si="21"/>
        <v/>
      </c>
      <c r="E263" s="534"/>
      <c r="F263" s="534"/>
      <c r="G263" s="198"/>
      <c r="H263" s="246" t="str">
        <f t="shared" si="22"/>
        <v/>
      </c>
      <c r="I263" s="199">
        <f t="shared" si="23"/>
        <v>0</v>
      </c>
      <c r="J263" s="247" t="str">
        <f t="shared" si="24"/>
        <v/>
      </c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  <c r="AA263" s="47"/>
      <c r="AB263" s="47"/>
      <c r="AC263" s="47"/>
      <c r="AD263" s="47"/>
    </row>
    <row r="264" spans="1:30" ht="15.75" customHeight="1" outlineLevel="1">
      <c r="A264" s="51"/>
      <c r="B264" s="52" t="str">
        <f t="shared" ref="B264:B327" si="26">IF(A264="","",TEXT(A264,"DDDD"))</f>
        <v/>
      </c>
      <c r="C264" t="str">
        <f t="shared" si="25"/>
        <v/>
      </c>
      <c r="D264" s="245" t="str">
        <f t="shared" ref="D264:D327" si="27">IF(A264&lt;&gt;"",PROPER(TEXT(A264,"Mmmm")),"")</f>
        <v/>
      </c>
      <c r="E264" s="534"/>
      <c r="F264" s="534"/>
      <c r="G264" s="198"/>
      <c r="H264" s="246" t="str">
        <f t="shared" ref="H264:H327" si="28">IF(G264=0,"",G264*$H$5)</f>
        <v/>
      </c>
      <c r="I264" s="199">
        <f t="shared" ref="I264:I327" si="29">G264</f>
        <v>0</v>
      </c>
      <c r="J264" s="247" t="str">
        <f t="shared" ref="J264:J327" si="30">IF(I264=0,"",I264-H264)</f>
        <v/>
      </c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  <c r="AA264" s="47"/>
      <c r="AB264" s="47"/>
      <c r="AC264" s="47"/>
      <c r="AD264" s="47"/>
    </row>
    <row r="265" spans="1:30" ht="15.75" customHeight="1" outlineLevel="1">
      <c r="A265" s="51"/>
      <c r="B265" s="52" t="str">
        <f t="shared" si="26"/>
        <v/>
      </c>
      <c r="C265" t="str">
        <f t="shared" si="25"/>
        <v/>
      </c>
      <c r="D265" s="245" t="str">
        <f t="shared" si="27"/>
        <v/>
      </c>
      <c r="E265" s="534"/>
      <c r="F265" s="534"/>
      <c r="G265" s="198"/>
      <c r="H265" s="246" t="str">
        <f t="shared" si="28"/>
        <v/>
      </c>
      <c r="I265" s="199">
        <f t="shared" si="29"/>
        <v>0</v>
      </c>
      <c r="J265" s="247" t="str">
        <f t="shared" si="30"/>
        <v/>
      </c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  <c r="AA265" s="47"/>
      <c r="AB265" s="47"/>
      <c r="AC265" s="47"/>
      <c r="AD265" s="47"/>
    </row>
    <row r="266" spans="1:30" ht="15.75" customHeight="1" outlineLevel="1">
      <c r="A266" s="51"/>
      <c r="B266" s="52" t="str">
        <f t="shared" si="26"/>
        <v/>
      </c>
      <c r="C266" t="str">
        <f t="shared" si="25"/>
        <v/>
      </c>
      <c r="D266" s="245" t="str">
        <f t="shared" si="27"/>
        <v/>
      </c>
      <c r="E266" s="534"/>
      <c r="F266" s="534"/>
      <c r="G266" s="198"/>
      <c r="H266" s="246" t="str">
        <f t="shared" si="28"/>
        <v/>
      </c>
      <c r="I266" s="199">
        <f t="shared" si="29"/>
        <v>0</v>
      </c>
      <c r="J266" s="247" t="str">
        <f t="shared" si="30"/>
        <v/>
      </c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  <c r="AA266" s="47"/>
      <c r="AB266" s="47"/>
      <c r="AC266" s="47"/>
      <c r="AD266" s="47"/>
    </row>
    <row r="267" spans="1:30" ht="15.75" customHeight="1" outlineLevel="1">
      <c r="A267" s="51"/>
      <c r="B267" s="52" t="str">
        <f t="shared" si="26"/>
        <v/>
      </c>
      <c r="C267" t="str">
        <f t="shared" si="25"/>
        <v/>
      </c>
      <c r="D267" s="245" t="str">
        <f t="shared" si="27"/>
        <v/>
      </c>
      <c r="E267" s="534"/>
      <c r="F267" s="534"/>
      <c r="G267" s="198"/>
      <c r="H267" s="246" t="str">
        <f t="shared" si="28"/>
        <v/>
      </c>
      <c r="I267" s="199">
        <f t="shared" si="29"/>
        <v>0</v>
      </c>
      <c r="J267" s="247" t="str">
        <f t="shared" si="30"/>
        <v/>
      </c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  <c r="AA267" s="47"/>
      <c r="AB267" s="47"/>
      <c r="AC267" s="47"/>
      <c r="AD267" s="47"/>
    </row>
    <row r="268" spans="1:30" ht="15.75" customHeight="1" outlineLevel="1">
      <c r="A268" s="51"/>
      <c r="B268" s="52" t="str">
        <f t="shared" si="26"/>
        <v/>
      </c>
      <c r="C268" t="str">
        <f t="shared" si="25"/>
        <v/>
      </c>
      <c r="D268" s="245" t="str">
        <f t="shared" si="27"/>
        <v/>
      </c>
      <c r="E268" s="534"/>
      <c r="F268" s="534"/>
      <c r="G268" s="198"/>
      <c r="H268" s="246" t="str">
        <f t="shared" si="28"/>
        <v/>
      </c>
      <c r="I268" s="199">
        <f t="shared" si="29"/>
        <v>0</v>
      </c>
      <c r="J268" s="247" t="str">
        <f t="shared" si="30"/>
        <v/>
      </c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  <c r="AA268" s="47"/>
      <c r="AB268" s="47"/>
      <c r="AC268" s="47"/>
      <c r="AD268" s="47"/>
    </row>
    <row r="269" spans="1:30" ht="15.75" customHeight="1" outlineLevel="1">
      <c r="A269" s="51"/>
      <c r="B269" s="52" t="str">
        <f t="shared" si="26"/>
        <v/>
      </c>
      <c r="C269" t="str">
        <f t="shared" si="25"/>
        <v/>
      </c>
      <c r="D269" s="245" t="str">
        <f t="shared" si="27"/>
        <v/>
      </c>
      <c r="E269" s="534"/>
      <c r="F269" s="534"/>
      <c r="G269" s="198"/>
      <c r="H269" s="246" t="str">
        <f t="shared" si="28"/>
        <v/>
      </c>
      <c r="I269" s="199">
        <f t="shared" si="29"/>
        <v>0</v>
      </c>
      <c r="J269" s="247" t="str">
        <f t="shared" si="30"/>
        <v/>
      </c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  <c r="AA269" s="47"/>
      <c r="AB269" s="47"/>
      <c r="AC269" s="47"/>
      <c r="AD269" s="47"/>
    </row>
    <row r="270" spans="1:30" ht="15.75" customHeight="1" outlineLevel="1">
      <c r="A270" s="51"/>
      <c r="B270" s="52" t="str">
        <f t="shared" si="26"/>
        <v/>
      </c>
      <c r="C270" t="str">
        <f t="shared" si="25"/>
        <v/>
      </c>
      <c r="D270" s="245" t="str">
        <f t="shared" si="27"/>
        <v/>
      </c>
      <c r="E270" s="534"/>
      <c r="F270" s="534"/>
      <c r="G270" s="198"/>
      <c r="H270" s="246" t="str">
        <f t="shared" si="28"/>
        <v/>
      </c>
      <c r="I270" s="199">
        <f t="shared" si="29"/>
        <v>0</v>
      </c>
      <c r="J270" s="247" t="str">
        <f t="shared" si="30"/>
        <v/>
      </c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  <c r="AA270" s="47"/>
      <c r="AB270" s="47"/>
      <c r="AC270" s="47"/>
      <c r="AD270" s="47"/>
    </row>
    <row r="271" spans="1:30" ht="15.75" customHeight="1" outlineLevel="1">
      <c r="A271" s="51"/>
      <c r="B271" s="52" t="str">
        <f t="shared" si="26"/>
        <v/>
      </c>
      <c r="C271" t="str">
        <f t="shared" si="25"/>
        <v/>
      </c>
      <c r="D271" s="245" t="str">
        <f t="shared" si="27"/>
        <v/>
      </c>
      <c r="E271" s="534"/>
      <c r="F271" s="534"/>
      <c r="G271" s="198"/>
      <c r="H271" s="246" t="str">
        <f t="shared" si="28"/>
        <v/>
      </c>
      <c r="I271" s="199">
        <f t="shared" si="29"/>
        <v>0</v>
      </c>
      <c r="J271" s="247" t="str">
        <f t="shared" si="30"/>
        <v/>
      </c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  <c r="AA271" s="47"/>
      <c r="AB271" s="47"/>
      <c r="AC271" s="47"/>
      <c r="AD271" s="47"/>
    </row>
    <row r="272" spans="1:30" ht="15.75" customHeight="1" outlineLevel="1">
      <c r="A272" s="51"/>
      <c r="B272" s="52" t="str">
        <f t="shared" si="26"/>
        <v/>
      </c>
      <c r="C272" t="str">
        <f t="shared" si="25"/>
        <v/>
      </c>
      <c r="D272" s="245" t="str">
        <f t="shared" si="27"/>
        <v/>
      </c>
      <c r="E272" s="534"/>
      <c r="F272" s="534"/>
      <c r="G272" s="198"/>
      <c r="H272" s="246" t="str">
        <f t="shared" si="28"/>
        <v/>
      </c>
      <c r="I272" s="199">
        <f t="shared" si="29"/>
        <v>0</v>
      </c>
      <c r="J272" s="247" t="str">
        <f t="shared" si="30"/>
        <v/>
      </c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  <c r="AA272" s="47"/>
      <c r="AB272" s="47"/>
      <c r="AC272" s="47"/>
      <c r="AD272" s="47"/>
    </row>
    <row r="273" spans="1:30" ht="15.75" customHeight="1" outlineLevel="1">
      <c r="A273" s="51"/>
      <c r="B273" s="52" t="str">
        <f t="shared" si="26"/>
        <v/>
      </c>
      <c r="C273" t="str">
        <f t="shared" si="25"/>
        <v/>
      </c>
      <c r="D273" s="245" t="str">
        <f t="shared" si="27"/>
        <v/>
      </c>
      <c r="E273" s="534"/>
      <c r="F273" s="534"/>
      <c r="G273" s="198"/>
      <c r="H273" s="246" t="str">
        <f t="shared" si="28"/>
        <v/>
      </c>
      <c r="I273" s="199">
        <f t="shared" si="29"/>
        <v>0</v>
      </c>
      <c r="J273" s="247" t="str">
        <f t="shared" si="30"/>
        <v/>
      </c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  <c r="AA273" s="47"/>
      <c r="AB273" s="47"/>
      <c r="AC273" s="47"/>
      <c r="AD273" s="47"/>
    </row>
    <row r="274" spans="1:30" ht="15.75" customHeight="1" outlineLevel="1">
      <c r="A274" s="51"/>
      <c r="B274" s="52" t="str">
        <f t="shared" si="26"/>
        <v/>
      </c>
      <c r="C274" t="str">
        <f t="shared" si="25"/>
        <v/>
      </c>
      <c r="D274" s="245" t="str">
        <f t="shared" si="27"/>
        <v/>
      </c>
      <c r="E274" s="534"/>
      <c r="F274" s="534"/>
      <c r="G274" s="198"/>
      <c r="H274" s="246" t="str">
        <f t="shared" si="28"/>
        <v/>
      </c>
      <c r="I274" s="199">
        <f t="shared" si="29"/>
        <v>0</v>
      </c>
      <c r="J274" s="247" t="str">
        <f t="shared" si="30"/>
        <v/>
      </c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  <c r="AA274" s="47"/>
      <c r="AB274" s="47"/>
      <c r="AC274" s="47"/>
      <c r="AD274" s="47"/>
    </row>
    <row r="275" spans="1:30" ht="15.75" customHeight="1" outlineLevel="1">
      <c r="A275" s="51"/>
      <c r="B275" s="52" t="str">
        <f t="shared" si="26"/>
        <v/>
      </c>
      <c r="C275" t="str">
        <f t="shared" si="25"/>
        <v/>
      </c>
      <c r="D275" s="245" t="str">
        <f t="shared" si="27"/>
        <v/>
      </c>
      <c r="E275" s="534"/>
      <c r="F275" s="534"/>
      <c r="G275" s="198"/>
      <c r="H275" s="246" t="str">
        <f t="shared" si="28"/>
        <v/>
      </c>
      <c r="I275" s="199">
        <f t="shared" si="29"/>
        <v>0</v>
      </c>
      <c r="J275" s="247" t="str">
        <f t="shared" si="30"/>
        <v/>
      </c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  <c r="AA275" s="47"/>
      <c r="AB275" s="47"/>
      <c r="AC275" s="47"/>
      <c r="AD275" s="47"/>
    </row>
    <row r="276" spans="1:30" ht="15.75" customHeight="1" outlineLevel="1">
      <c r="A276" s="51"/>
      <c r="B276" s="52" t="str">
        <f t="shared" si="26"/>
        <v/>
      </c>
      <c r="C276" t="str">
        <f t="shared" si="25"/>
        <v/>
      </c>
      <c r="D276" s="245" t="str">
        <f t="shared" si="27"/>
        <v/>
      </c>
      <c r="E276" s="534"/>
      <c r="F276" s="534"/>
      <c r="G276" s="198"/>
      <c r="H276" s="246" t="str">
        <f t="shared" si="28"/>
        <v/>
      </c>
      <c r="I276" s="199">
        <f t="shared" si="29"/>
        <v>0</v>
      </c>
      <c r="J276" s="247" t="str">
        <f t="shared" si="30"/>
        <v/>
      </c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  <c r="AA276" s="47"/>
      <c r="AB276" s="47"/>
      <c r="AC276" s="47"/>
      <c r="AD276" s="47"/>
    </row>
    <row r="277" spans="1:30" ht="15.75" customHeight="1" outlineLevel="1">
      <c r="A277" s="51"/>
      <c r="B277" s="52" t="str">
        <f t="shared" si="26"/>
        <v/>
      </c>
      <c r="C277" t="str">
        <f t="shared" si="25"/>
        <v/>
      </c>
      <c r="D277" s="245" t="str">
        <f t="shared" si="27"/>
        <v/>
      </c>
      <c r="E277" s="534"/>
      <c r="F277" s="534"/>
      <c r="G277" s="198"/>
      <c r="H277" s="246" t="str">
        <f t="shared" si="28"/>
        <v/>
      </c>
      <c r="I277" s="199">
        <f t="shared" si="29"/>
        <v>0</v>
      </c>
      <c r="J277" s="247" t="str">
        <f t="shared" si="30"/>
        <v/>
      </c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  <c r="AA277" s="47"/>
      <c r="AB277" s="47"/>
      <c r="AC277" s="47"/>
      <c r="AD277" s="47"/>
    </row>
    <row r="278" spans="1:30" ht="15.75" customHeight="1" outlineLevel="1">
      <c r="A278" s="51"/>
      <c r="B278" s="52" t="str">
        <f t="shared" si="26"/>
        <v/>
      </c>
      <c r="C278" t="str">
        <f t="shared" si="25"/>
        <v/>
      </c>
      <c r="D278" s="245" t="str">
        <f t="shared" si="27"/>
        <v/>
      </c>
      <c r="E278" s="534"/>
      <c r="F278" s="534"/>
      <c r="G278" s="198"/>
      <c r="H278" s="246" t="str">
        <f t="shared" si="28"/>
        <v/>
      </c>
      <c r="I278" s="199">
        <f t="shared" si="29"/>
        <v>0</v>
      </c>
      <c r="J278" s="247" t="str">
        <f t="shared" si="30"/>
        <v/>
      </c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  <c r="AA278" s="47"/>
      <c r="AB278" s="47"/>
      <c r="AC278" s="47"/>
      <c r="AD278" s="47"/>
    </row>
    <row r="279" spans="1:30" ht="15.75" customHeight="1" outlineLevel="1">
      <c r="A279" s="51"/>
      <c r="B279" s="52" t="str">
        <f t="shared" si="26"/>
        <v/>
      </c>
      <c r="C279" t="str">
        <f t="shared" si="25"/>
        <v/>
      </c>
      <c r="D279" s="245" t="str">
        <f t="shared" si="27"/>
        <v/>
      </c>
      <c r="E279" s="534"/>
      <c r="F279" s="534"/>
      <c r="G279" s="198"/>
      <c r="H279" s="246" t="str">
        <f t="shared" si="28"/>
        <v/>
      </c>
      <c r="I279" s="199">
        <f t="shared" si="29"/>
        <v>0</v>
      </c>
      <c r="J279" s="247" t="str">
        <f t="shared" si="30"/>
        <v/>
      </c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  <c r="AA279" s="47"/>
      <c r="AB279" s="47"/>
      <c r="AC279" s="47"/>
      <c r="AD279" s="47"/>
    </row>
    <row r="280" spans="1:30" ht="15.75" customHeight="1" outlineLevel="1">
      <c r="A280" s="51"/>
      <c r="B280" s="52" t="str">
        <f t="shared" si="26"/>
        <v/>
      </c>
      <c r="C280" t="str">
        <f t="shared" si="25"/>
        <v/>
      </c>
      <c r="D280" s="245" t="str">
        <f t="shared" si="27"/>
        <v/>
      </c>
      <c r="E280" s="534"/>
      <c r="F280" s="534"/>
      <c r="G280" s="198"/>
      <c r="H280" s="246" t="str">
        <f t="shared" si="28"/>
        <v/>
      </c>
      <c r="I280" s="199">
        <f t="shared" si="29"/>
        <v>0</v>
      </c>
      <c r="J280" s="247" t="str">
        <f t="shared" si="30"/>
        <v/>
      </c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  <c r="AA280" s="47"/>
      <c r="AB280" s="47"/>
      <c r="AC280" s="47"/>
      <c r="AD280" s="47"/>
    </row>
    <row r="281" spans="1:30" ht="15.75" customHeight="1">
      <c r="A281" s="51"/>
      <c r="B281" s="52" t="str">
        <f t="shared" si="26"/>
        <v/>
      </c>
      <c r="C281" t="str">
        <f t="shared" si="25"/>
        <v/>
      </c>
      <c r="D281" s="245" t="str">
        <f t="shared" si="27"/>
        <v/>
      </c>
      <c r="E281" s="534"/>
      <c r="F281" s="534"/>
      <c r="G281" s="198"/>
      <c r="H281" s="246" t="str">
        <f t="shared" si="28"/>
        <v/>
      </c>
      <c r="I281" s="199">
        <f t="shared" si="29"/>
        <v>0</v>
      </c>
      <c r="J281" s="247" t="str">
        <f t="shared" si="30"/>
        <v/>
      </c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  <c r="AA281" s="47"/>
      <c r="AB281" s="47"/>
      <c r="AC281" s="47"/>
      <c r="AD281" s="47"/>
    </row>
    <row r="282" spans="1:30" ht="15.75" customHeight="1">
      <c r="A282" s="51"/>
      <c r="B282" s="52" t="str">
        <f t="shared" si="26"/>
        <v/>
      </c>
      <c r="C282" t="str">
        <f t="shared" si="25"/>
        <v/>
      </c>
      <c r="D282" s="245" t="str">
        <f t="shared" si="27"/>
        <v/>
      </c>
      <c r="E282" s="534"/>
      <c r="F282" s="534"/>
      <c r="G282" s="198"/>
      <c r="H282" s="246" t="str">
        <f t="shared" si="28"/>
        <v/>
      </c>
      <c r="I282" s="199">
        <f t="shared" si="29"/>
        <v>0</v>
      </c>
      <c r="J282" s="247" t="str">
        <f t="shared" si="30"/>
        <v/>
      </c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  <c r="AA282" s="47"/>
      <c r="AB282" s="47"/>
      <c r="AC282" s="47"/>
      <c r="AD282" s="47"/>
    </row>
    <row r="283" spans="1:30" ht="15.75" customHeight="1">
      <c r="A283" s="51"/>
      <c r="B283" s="52" t="str">
        <f t="shared" si="26"/>
        <v/>
      </c>
      <c r="C283" t="str">
        <f t="shared" si="25"/>
        <v/>
      </c>
      <c r="D283" s="245" t="str">
        <f t="shared" si="27"/>
        <v/>
      </c>
      <c r="E283" s="534"/>
      <c r="F283" s="534"/>
      <c r="G283" s="198"/>
      <c r="H283" s="246" t="str">
        <f t="shared" si="28"/>
        <v/>
      </c>
      <c r="I283" s="199">
        <f t="shared" si="29"/>
        <v>0</v>
      </c>
      <c r="J283" s="247" t="str">
        <f t="shared" si="30"/>
        <v/>
      </c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  <c r="AA283" s="47"/>
      <c r="AB283" s="47"/>
      <c r="AC283" s="47"/>
      <c r="AD283" s="47"/>
    </row>
    <row r="284" spans="1:30" ht="15.75" customHeight="1">
      <c r="A284" s="51"/>
      <c r="B284" s="52" t="str">
        <f t="shared" si="26"/>
        <v/>
      </c>
      <c r="C284" t="str">
        <f t="shared" si="25"/>
        <v/>
      </c>
      <c r="D284" s="245" t="str">
        <f t="shared" si="27"/>
        <v/>
      </c>
      <c r="E284" s="534"/>
      <c r="F284" s="534"/>
      <c r="G284" s="198"/>
      <c r="H284" s="246" t="str">
        <f t="shared" si="28"/>
        <v/>
      </c>
      <c r="I284" s="199">
        <f t="shared" si="29"/>
        <v>0</v>
      </c>
      <c r="J284" s="247" t="str">
        <f t="shared" si="30"/>
        <v/>
      </c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  <c r="AA284" s="47"/>
      <c r="AB284" s="47"/>
      <c r="AC284" s="47"/>
      <c r="AD284" s="47"/>
    </row>
    <row r="285" spans="1:30" ht="15.75" customHeight="1">
      <c r="A285" s="51"/>
      <c r="B285" s="52" t="str">
        <f t="shared" si="26"/>
        <v/>
      </c>
      <c r="C285" t="str">
        <f t="shared" si="25"/>
        <v/>
      </c>
      <c r="D285" s="245" t="str">
        <f t="shared" si="27"/>
        <v/>
      </c>
      <c r="E285" s="534"/>
      <c r="F285" s="534"/>
      <c r="G285" s="198"/>
      <c r="H285" s="246" t="str">
        <f t="shared" si="28"/>
        <v/>
      </c>
      <c r="I285" s="199">
        <f t="shared" si="29"/>
        <v>0</v>
      </c>
      <c r="J285" s="247" t="str">
        <f t="shared" si="30"/>
        <v/>
      </c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  <c r="AA285" s="47"/>
      <c r="AB285" s="47"/>
      <c r="AC285" s="47"/>
      <c r="AD285" s="47"/>
    </row>
    <row r="286" spans="1:30" ht="15.75" customHeight="1">
      <c r="A286" s="51"/>
      <c r="B286" s="52" t="str">
        <f t="shared" si="26"/>
        <v/>
      </c>
      <c r="C286" t="str">
        <f t="shared" si="25"/>
        <v/>
      </c>
      <c r="D286" s="245" t="str">
        <f t="shared" si="27"/>
        <v/>
      </c>
      <c r="E286" s="534"/>
      <c r="F286" s="534"/>
      <c r="G286" s="198"/>
      <c r="H286" s="246" t="str">
        <f t="shared" si="28"/>
        <v/>
      </c>
      <c r="I286" s="199">
        <f t="shared" si="29"/>
        <v>0</v>
      </c>
      <c r="J286" s="247" t="str">
        <f t="shared" si="30"/>
        <v/>
      </c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  <c r="AA286" s="47"/>
      <c r="AB286" s="47"/>
      <c r="AC286" s="47"/>
      <c r="AD286" s="47"/>
    </row>
    <row r="287" spans="1:30" ht="15.75" customHeight="1">
      <c r="A287" s="51"/>
      <c r="B287" s="52" t="str">
        <f t="shared" si="26"/>
        <v/>
      </c>
      <c r="C287" t="str">
        <f t="shared" si="25"/>
        <v/>
      </c>
      <c r="D287" s="245" t="str">
        <f t="shared" si="27"/>
        <v/>
      </c>
      <c r="E287" s="534"/>
      <c r="F287" s="534"/>
      <c r="G287" s="198"/>
      <c r="H287" s="246" t="str">
        <f t="shared" si="28"/>
        <v/>
      </c>
      <c r="I287" s="199">
        <f t="shared" si="29"/>
        <v>0</v>
      </c>
      <c r="J287" s="247" t="str">
        <f t="shared" si="30"/>
        <v/>
      </c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  <c r="AA287" s="47"/>
      <c r="AB287" s="47"/>
      <c r="AC287" s="47"/>
      <c r="AD287" s="47"/>
    </row>
    <row r="288" spans="1:30" ht="15.75" customHeight="1">
      <c r="A288" s="51"/>
      <c r="B288" s="52" t="str">
        <f t="shared" si="26"/>
        <v/>
      </c>
      <c r="C288" t="str">
        <f t="shared" si="25"/>
        <v/>
      </c>
      <c r="D288" s="245" t="str">
        <f t="shared" si="27"/>
        <v/>
      </c>
      <c r="E288" s="534"/>
      <c r="F288" s="534"/>
      <c r="G288" s="198"/>
      <c r="H288" s="246" t="str">
        <f t="shared" si="28"/>
        <v/>
      </c>
      <c r="I288" s="199">
        <f t="shared" si="29"/>
        <v>0</v>
      </c>
      <c r="J288" s="247" t="str">
        <f t="shared" si="30"/>
        <v/>
      </c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  <c r="AA288" s="47"/>
      <c r="AB288" s="47"/>
      <c r="AC288" s="47"/>
      <c r="AD288" s="47"/>
    </row>
    <row r="289" spans="1:30" ht="15.75" customHeight="1">
      <c r="A289" s="51"/>
      <c r="B289" s="52" t="str">
        <f t="shared" si="26"/>
        <v/>
      </c>
      <c r="C289" t="str">
        <f t="shared" si="25"/>
        <v/>
      </c>
      <c r="D289" s="245" t="str">
        <f t="shared" si="27"/>
        <v/>
      </c>
      <c r="E289" s="534"/>
      <c r="F289" s="534"/>
      <c r="G289" s="198"/>
      <c r="H289" s="246" t="str">
        <f t="shared" si="28"/>
        <v/>
      </c>
      <c r="I289" s="199">
        <f t="shared" si="29"/>
        <v>0</v>
      </c>
      <c r="J289" s="247" t="str">
        <f t="shared" si="30"/>
        <v/>
      </c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  <c r="AA289" s="47"/>
      <c r="AB289" s="47"/>
      <c r="AC289" s="47"/>
      <c r="AD289" s="47"/>
    </row>
    <row r="290" spans="1:30" ht="15.75" customHeight="1">
      <c r="A290" s="51"/>
      <c r="B290" s="52" t="str">
        <f t="shared" si="26"/>
        <v/>
      </c>
      <c r="C290" t="str">
        <f t="shared" si="25"/>
        <v/>
      </c>
      <c r="D290" s="245" t="str">
        <f t="shared" si="27"/>
        <v/>
      </c>
      <c r="E290" s="534"/>
      <c r="F290" s="534"/>
      <c r="G290" s="198"/>
      <c r="H290" s="246" t="str">
        <f t="shared" si="28"/>
        <v/>
      </c>
      <c r="I290" s="199">
        <f t="shared" si="29"/>
        <v>0</v>
      </c>
      <c r="J290" s="247" t="str">
        <f t="shared" si="30"/>
        <v/>
      </c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  <c r="AA290" s="47"/>
      <c r="AB290" s="47"/>
      <c r="AC290" s="47"/>
      <c r="AD290" s="47"/>
    </row>
    <row r="291" spans="1:30" ht="15.75" customHeight="1">
      <c r="A291" s="51"/>
      <c r="B291" s="52" t="str">
        <f t="shared" si="26"/>
        <v/>
      </c>
      <c r="C291" t="str">
        <f t="shared" si="25"/>
        <v/>
      </c>
      <c r="D291" s="245" t="str">
        <f t="shared" si="27"/>
        <v/>
      </c>
      <c r="E291" s="534"/>
      <c r="F291" s="534"/>
      <c r="G291" s="198"/>
      <c r="H291" s="246" t="str">
        <f t="shared" si="28"/>
        <v/>
      </c>
      <c r="I291" s="199">
        <f t="shared" si="29"/>
        <v>0</v>
      </c>
      <c r="J291" s="247" t="str">
        <f t="shared" si="30"/>
        <v/>
      </c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  <c r="AA291" s="47"/>
      <c r="AB291" s="47"/>
      <c r="AC291" s="47"/>
      <c r="AD291" s="47"/>
    </row>
    <row r="292" spans="1:30" ht="15.75" customHeight="1">
      <c r="A292" s="51"/>
      <c r="B292" s="52" t="str">
        <f t="shared" si="26"/>
        <v/>
      </c>
      <c r="C292" t="str">
        <f t="shared" si="25"/>
        <v/>
      </c>
      <c r="D292" s="245" t="str">
        <f t="shared" si="27"/>
        <v/>
      </c>
      <c r="E292" s="534"/>
      <c r="F292" s="534"/>
      <c r="G292" s="198"/>
      <c r="H292" s="246" t="str">
        <f t="shared" si="28"/>
        <v/>
      </c>
      <c r="I292" s="199">
        <f t="shared" si="29"/>
        <v>0</v>
      </c>
      <c r="J292" s="247" t="str">
        <f t="shared" si="30"/>
        <v/>
      </c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  <c r="AA292" s="47"/>
      <c r="AB292" s="47"/>
      <c r="AC292" s="47"/>
      <c r="AD292" s="47"/>
    </row>
    <row r="293" spans="1:30" ht="15.75" customHeight="1">
      <c r="A293" s="51"/>
      <c r="B293" s="52" t="str">
        <f t="shared" si="26"/>
        <v/>
      </c>
      <c r="C293" t="str">
        <f t="shared" si="25"/>
        <v/>
      </c>
      <c r="D293" s="245" t="str">
        <f t="shared" si="27"/>
        <v/>
      </c>
      <c r="E293" s="534"/>
      <c r="F293" s="534"/>
      <c r="G293" s="198"/>
      <c r="H293" s="246" t="str">
        <f t="shared" si="28"/>
        <v/>
      </c>
      <c r="I293" s="199">
        <f t="shared" si="29"/>
        <v>0</v>
      </c>
      <c r="J293" s="247" t="str">
        <f t="shared" si="30"/>
        <v/>
      </c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  <c r="AA293" s="47"/>
      <c r="AB293" s="47"/>
      <c r="AC293" s="47"/>
      <c r="AD293" s="47"/>
    </row>
    <row r="294" spans="1:30" ht="15.75" customHeight="1">
      <c r="A294" s="51"/>
      <c r="B294" s="52" t="str">
        <f t="shared" si="26"/>
        <v/>
      </c>
      <c r="C294" t="str">
        <f t="shared" si="25"/>
        <v/>
      </c>
      <c r="D294" s="245" t="str">
        <f t="shared" si="27"/>
        <v/>
      </c>
      <c r="E294" s="534"/>
      <c r="F294" s="534"/>
      <c r="G294" s="198"/>
      <c r="H294" s="246" t="str">
        <f t="shared" si="28"/>
        <v/>
      </c>
      <c r="I294" s="199">
        <f t="shared" si="29"/>
        <v>0</v>
      </c>
      <c r="J294" s="247" t="str">
        <f t="shared" si="30"/>
        <v/>
      </c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  <c r="AA294" s="47"/>
      <c r="AB294" s="47"/>
      <c r="AC294" s="47"/>
      <c r="AD294" s="47"/>
    </row>
    <row r="295" spans="1:30" ht="15.75" customHeight="1">
      <c r="A295" s="51"/>
      <c r="B295" s="52" t="str">
        <f t="shared" si="26"/>
        <v/>
      </c>
      <c r="C295" t="str">
        <f t="shared" si="25"/>
        <v/>
      </c>
      <c r="D295" s="245" t="str">
        <f t="shared" si="27"/>
        <v/>
      </c>
      <c r="E295" s="534"/>
      <c r="F295" s="534"/>
      <c r="G295" s="198"/>
      <c r="H295" s="246" t="str">
        <f t="shared" si="28"/>
        <v/>
      </c>
      <c r="I295" s="199">
        <f t="shared" si="29"/>
        <v>0</v>
      </c>
      <c r="J295" s="247" t="str">
        <f t="shared" si="30"/>
        <v/>
      </c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  <c r="AA295" s="47"/>
      <c r="AB295" s="47"/>
      <c r="AC295" s="47"/>
      <c r="AD295" s="47"/>
    </row>
    <row r="296" spans="1:30" ht="15.75" customHeight="1">
      <c r="A296" s="51"/>
      <c r="B296" s="52" t="str">
        <f t="shared" si="26"/>
        <v/>
      </c>
      <c r="C296" t="str">
        <f t="shared" si="25"/>
        <v/>
      </c>
      <c r="D296" s="245" t="str">
        <f t="shared" si="27"/>
        <v/>
      </c>
      <c r="E296" s="534"/>
      <c r="F296" s="534"/>
      <c r="G296" s="198"/>
      <c r="H296" s="246" t="str">
        <f t="shared" si="28"/>
        <v/>
      </c>
      <c r="I296" s="199">
        <f t="shared" si="29"/>
        <v>0</v>
      </c>
      <c r="J296" s="247" t="str">
        <f t="shared" si="30"/>
        <v/>
      </c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  <c r="AA296" s="47"/>
      <c r="AB296" s="47"/>
      <c r="AC296" s="47"/>
      <c r="AD296" s="47"/>
    </row>
    <row r="297" spans="1:30" ht="15.75" customHeight="1">
      <c r="A297" s="51"/>
      <c r="B297" s="52" t="str">
        <f t="shared" si="26"/>
        <v/>
      </c>
      <c r="C297" t="str">
        <f t="shared" si="25"/>
        <v/>
      </c>
      <c r="D297" s="245" t="str">
        <f t="shared" si="27"/>
        <v/>
      </c>
      <c r="E297" s="534"/>
      <c r="F297" s="534"/>
      <c r="G297" s="198"/>
      <c r="H297" s="246" t="str">
        <f t="shared" si="28"/>
        <v/>
      </c>
      <c r="I297" s="199">
        <f t="shared" si="29"/>
        <v>0</v>
      </c>
      <c r="J297" s="247" t="str">
        <f t="shared" si="30"/>
        <v/>
      </c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  <c r="AA297" s="47"/>
      <c r="AB297" s="47"/>
      <c r="AC297" s="47"/>
      <c r="AD297" s="47"/>
    </row>
    <row r="298" spans="1:30" ht="15.75" customHeight="1">
      <c r="A298" s="51"/>
      <c r="B298" s="52" t="str">
        <f t="shared" si="26"/>
        <v/>
      </c>
      <c r="C298" t="str">
        <f t="shared" si="25"/>
        <v/>
      </c>
      <c r="D298" s="245" t="str">
        <f t="shared" si="27"/>
        <v/>
      </c>
      <c r="E298" s="534"/>
      <c r="F298" s="534"/>
      <c r="G298" s="198"/>
      <c r="H298" s="246" t="str">
        <f t="shared" si="28"/>
        <v/>
      </c>
      <c r="I298" s="199">
        <f t="shared" si="29"/>
        <v>0</v>
      </c>
      <c r="J298" s="247" t="str">
        <f t="shared" si="30"/>
        <v/>
      </c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  <c r="AA298" s="47"/>
      <c r="AB298" s="47"/>
      <c r="AC298" s="47"/>
      <c r="AD298" s="47"/>
    </row>
    <row r="299" spans="1:30" ht="15.75" customHeight="1">
      <c r="A299" s="51"/>
      <c r="B299" s="52" t="str">
        <f t="shared" si="26"/>
        <v/>
      </c>
      <c r="C299" t="str">
        <f t="shared" si="25"/>
        <v/>
      </c>
      <c r="D299" s="245" t="str">
        <f t="shared" si="27"/>
        <v/>
      </c>
      <c r="E299" s="534"/>
      <c r="F299" s="534"/>
      <c r="G299" s="198"/>
      <c r="H299" s="246" t="str">
        <f t="shared" si="28"/>
        <v/>
      </c>
      <c r="I299" s="199">
        <f t="shared" si="29"/>
        <v>0</v>
      </c>
      <c r="J299" s="247" t="str">
        <f t="shared" si="30"/>
        <v/>
      </c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  <c r="AA299" s="47"/>
      <c r="AB299" s="47"/>
      <c r="AC299" s="47"/>
      <c r="AD299" s="47"/>
    </row>
    <row r="300" spans="1:30" ht="15.75" customHeight="1">
      <c r="A300" s="51"/>
      <c r="B300" s="52" t="str">
        <f t="shared" si="26"/>
        <v/>
      </c>
      <c r="C300" t="str">
        <f t="shared" si="25"/>
        <v/>
      </c>
      <c r="D300" s="245" t="str">
        <f t="shared" si="27"/>
        <v/>
      </c>
      <c r="E300" s="534"/>
      <c r="F300" s="534"/>
      <c r="G300" s="198"/>
      <c r="H300" s="246" t="str">
        <f t="shared" si="28"/>
        <v/>
      </c>
      <c r="I300" s="199">
        <f t="shared" si="29"/>
        <v>0</v>
      </c>
      <c r="J300" s="247" t="str">
        <f t="shared" si="30"/>
        <v/>
      </c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  <c r="AA300" s="47"/>
      <c r="AB300" s="47"/>
      <c r="AC300" s="47"/>
      <c r="AD300" s="47"/>
    </row>
    <row r="301" spans="1:30" ht="15.75" customHeight="1">
      <c r="A301" s="51"/>
      <c r="B301" s="52" t="str">
        <f t="shared" si="26"/>
        <v/>
      </c>
      <c r="C301" t="str">
        <f t="shared" si="25"/>
        <v/>
      </c>
      <c r="D301" s="245" t="str">
        <f t="shared" si="27"/>
        <v/>
      </c>
      <c r="E301" s="534"/>
      <c r="F301" s="534"/>
      <c r="G301" s="198"/>
      <c r="H301" s="246" t="str">
        <f t="shared" si="28"/>
        <v/>
      </c>
      <c r="I301" s="199">
        <f t="shared" si="29"/>
        <v>0</v>
      </c>
      <c r="J301" s="247" t="str">
        <f t="shared" si="30"/>
        <v/>
      </c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  <c r="AA301" s="47"/>
      <c r="AB301" s="47"/>
      <c r="AC301" s="47"/>
      <c r="AD301" s="47"/>
    </row>
    <row r="302" spans="1:30" ht="15.75" customHeight="1">
      <c r="A302" s="51"/>
      <c r="B302" s="52" t="str">
        <f t="shared" si="26"/>
        <v/>
      </c>
      <c r="C302" t="str">
        <f t="shared" si="25"/>
        <v/>
      </c>
      <c r="D302" s="245" t="str">
        <f t="shared" si="27"/>
        <v/>
      </c>
      <c r="E302" s="534"/>
      <c r="F302" s="534"/>
      <c r="G302" s="198"/>
      <c r="H302" s="246" t="str">
        <f t="shared" si="28"/>
        <v/>
      </c>
      <c r="I302" s="199">
        <f t="shared" si="29"/>
        <v>0</v>
      </c>
      <c r="J302" s="247" t="str">
        <f t="shared" si="30"/>
        <v/>
      </c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7"/>
      <c r="AB302" s="47"/>
      <c r="AC302" s="47"/>
      <c r="AD302" s="47"/>
    </row>
    <row r="303" spans="1:30" ht="15.75" customHeight="1">
      <c r="A303" s="51"/>
      <c r="B303" s="52" t="str">
        <f t="shared" si="26"/>
        <v/>
      </c>
      <c r="C303" t="str">
        <f t="shared" si="25"/>
        <v/>
      </c>
      <c r="D303" s="245" t="str">
        <f t="shared" si="27"/>
        <v/>
      </c>
      <c r="E303" s="534"/>
      <c r="F303" s="534"/>
      <c r="G303" s="198"/>
      <c r="H303" s="246" t="str">
        <f t="shared" si="28"/>
        <v/>
      </c>
      <c r="I303" s="199">
        <f t="shared" si="29"/>
        <v>0</v>
      </c>
      <c r="J303" s="247" t="str">
        <f t="shared" si="30"/>
        <v/>
      </c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  <c r="AA303" s="47"/>
      <c r="AB303" s="47"/>
      <c r="AC303" s="47"/>
      <c r="AD303" s="47"/>
    </row>
    <row r="304" spans="1:30" ht="15.75" customHeight="1">
      <c r="A304" s="51"/>
      <c r="B304" s="52" t="str">
        <f t="shared" si="26"/>
        <v/>
      </c>
      <c r="C304" t="str">
        <f t="shared" si="25"/>
        <v/>
      </c>
      <c r="D304" s="245" t="str">
        <f t="shared" si="27"/>
        <v/>
      </c>
      <c r="E304" s="534"/>
      <c r="F304" s="534"/>
      <c r="G304" s="198"/>
      <c r="H304" s="246" t="str">
        <f t="shared" si="28"/>
        <v/>
      </c>
      <c r="I304" s="199">
        <f t="shared" si="29"/>
        <v>0</v>
      </c>
      <c r="J304" s="247" t="str">
        <f t="shared" si="30"/>
        <v/>
      </c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  <c r="AA304" s="47"/>
      <c r="AB304" s="47"/>
      <c r="AC304" s="47"/>
      <c r="AD304" s="47"/>
    </row>
    <row r="305" spans="1:30" ht="15.75" customHeight="1">
      <c r="A305" s="51"/>
      <c r="B305" s="52" t="str">
        <f t="shared" si="26"/>
        <v/>
      </c>
      <c r="C305" t="str">
        <f t="shared" si="25"/>
        <v/>
      </c>
      <c r="D305" s="245" t="str">
        <f t="shared" si="27"/>
        <v/>
      </c>
      <c r="E305" s="534"/>
      <c r="F305" s="534"/>
      <c r="G305" s="198"/>
      <c r="H305" s="246" t="str">
        <f t="shared" si="28"/>
        <v/>
      </c>
      <c r="I305" s="199">
        <f t="shared" si="29"/>
        <v>0</v>
      </c>
      <c r="J305" s="247" t="str">
        <f t="shared" si="30"/>
        <v/>
      </c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  <c r="AA305" s="47"/>
      <c r="AB305" s="47"/>
      <c r="AC305" s="47"/>
      <c r="AD305" s="47"/>
    </row>
    <row r="306" spans="1:30" ht="15.75" customHeight="1">
      <c r="A306" s="51"/>
      <c r="B306" s="52" t="str">
        <f t="shared" si="26"/>
        <v/>
      </c>
      <c r="C306" t="str">
        <f t="shared" si="25"/>
        <v/>
      </c>
      <c r="D306" s="245" t="str">
        <f t="shared" si="27"/>
        <v/>
      </c>
      <c r="E306" s="534"/>
      <c r="F306" s="534"/>
      <c r="G306" s="198"/>
      <c r="H306" s="246" t="str">
        <f t="shared" si="28"/>
        <v/>
      </c>
      <c r="I306" s="199">
        <f t="shared" si="29"/>
        <v>0</v>
      </c>
      <c r="J306" s="247" t="str">
        <f t="shared" si="30"/>
        <v/>
      </c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  <c r="AA306" s="47"/>
      <c r="AB306" s="47"/>
      <c r="AC306" s="47"/>
      <c r="AD306" s="47"/>
    </row>
    <row r="307" spans="1:30" ht="15.75" customHeight="1">
      <c r="A307" s="51"/>
      <c r="B307" s="52" t="str">
        <f t="shared" si="26"/>
        <v/>
      </c>
      <c r="C307" t="str">
        <f t="shared" si="25"/>
        <v/>
      </c>
      <c r="D307" s="245" t="str">
        <f t="shared" si="27"/>
        <v/>
      </c>
      <c r="E307" s="534"/>
      <c r="F307" s="534"/>
      <c r="G307" s="198"/>
      <c r="H307" s="246" t="str">
        <f t="shared" si="28"/>
        <v/>
      </c>
      <c r="I307" s="199">
        <f t="shared" si="29"/>
        <v>0</v>
      </c>
      <c r="J307" s="247" t="str">
        <f t="shared" si="30"/>
        <v/>
      </c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  <c r="AA307" s="47"/>
      <c r="AB307" s="47"/>
      <c r="AC307" s="47"/>
      <c r="AD307" s="47"/>
    </row>
    <row r="308" spans="1:30" ht="15.75" customHeight="1">
      <c r="A308" s="51"/>
      <c r="B308" s="52" t="str">
        <f t="shared" si="26"/>
        <v/>
      </c>
      <c r="C308" t="str">
        <f t="shared" si="25"/>
        <v/>
      </c>
      <c r="D308" s="245" t="str">
        <f t="shared" si="27"/>
        <v/>
      </c>
      <c r="E308" s="534"/>
      <c r="F308" s="534"/>
      <c r="G308" s="198"/>
      <c r="H308" s="246" t="str">
        <f t="shared" si="28"/>
        <v/>
      </c>
      <c r="I308" s="199">
        <f t="shared" si="29"/>
        <v>0</v>
      </c>
      <c r="J308" s="247" t="str">
        <f t="shared" si="30"/>
        <v/>
      </c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  <c r="AA308" s="47"/>
      <c r="AB308" s="47"/>
      <c r="AC308" s="47"/>
      <c r="AD308" s="47"/>
    </row>
    <row r="309" spans="1:30" ht="15.75" customHeight="1">
      <c r="A309" s="51"/>
      <c r="B309" s="52" t="str">
        <f t="shared" si="26"/>
        <v/>
      </c>
      <c r="C309" t="str">
        <f t="shared" si="25"/>
        <v/>
      </c>
      <c r="D309" s="245" t="str">
        <f t="shared" si="27"/>
        <v/>
      </c>
      <c r="E309" s="534"/>
      <c r="F309" s="534"/>
      <c r="G309" s="198"/>
      <c r="H309" s="246" t="str">
        <f t="shared" si="28"/>
        <v/>
      </c>
      <c r="I309" s="199">
        <f t="shared" si="29"/>
        <v>0</v>
      </c>
      <c r="J309" s="247" t="str">
        <f t="shared" si="30"/>
        <v/>
      </c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  <c r="AA309" s="47"/>
      <c r="AB309" s="47"/>
      <c r="AC309" s="47"/>
      <c r="AD309" s="47"/>
    </row>
    <row r="310" spans="1:30" ht="15.75" customHeight="1">
      <c r="A310" s="51"/>
      <c r="B310" s="52" t="str">
        <f t="shared" si="26"/>
        <v/>
      </c>
      <c r="C310" t="str">
        <f t="shared" si="25"/>
        <v/>
      </c>
      <c r="D310" s="245" t="str">
        <f t="shared" si="27"/>
        <v/>
      </c>
      <c r="E310" s="534"/>
      <c r="F310" s="534"/>
      <c r="G310" s="198"/>
      <c r="H310" s="246" t="str">
        <f t="shared" si="28"/>
        <v/>
      </c>
      <c r="I310" s="199">
        <f t="shared" si="29"/>
        <v>0</v>
      </c>
      <c r="J310" s="247" t="str">
        <f t="shared" si="30"/>
        <v/>
      </c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  <c r="AA310" s="47"/>
      <c r="AB310" s="47"/>
      <c r="AC310" s="47"/>
      <c r="AD310" s="47"/>
    </row>
    <row r="311" spans="1:30" ht="15.75" customHeight="1">
      <c r="A311" s="51"/>
      <c r="B311" s="52" t="str">
        <f t="shared" si="26"/>
        <v/>
      </c>
      <c r="C311" t="str">
        <f t="shared" si="25"/>
        <v/>
      </c>
      <c r="D311" s="245" t="str">
        <f t="shared" si="27"/>
        <v/>
      </c>
      <c r="E311" s="534"/>
      <c r="F311" s="534"/>
      <c r="G311" s="198"/>
      <c r="H311" s="246" t="str">
        <f t="shared" si="28"/>
        <v/>
      </c>
      <c r="I311" s="199">
        <f t="shared" si="29"/>
        <v>0</v>
      </c>
      <c r="J311" s="247" t="str">
        <f t="shared" si="30"/>
        <v/>
      </c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  <c r="AA311" s="47"/>
      <c r="AB311" s="47"/>
      <c r="AC311" s="47"/>
      <c r="AD311" s="47"/>
    </row>
    <row r="312" spans="1:30" ht="15.75" customHeight="1">
      <c r="A312" s="51"/>
      <c r="B312" s="52" t="str">
        <f t="shared" si="26"/>
        <v/>
      </c>
      <c r="C312" t="str">
        <f t="shared" si="25"/>
        <v/>
      </c>
      <c r="D312" s="245" t="str">
        <f t="shared" si="27"/>
        <v/>
      </c>
      <c r="E312" s="534"/>
      <c r="F312" s="534"/>
      <c r="G312" s="198"/>
      <c r="H312" s="246" t="str">
        <f t="shared" si="28"/>
        <v/>
      </c>
      <c r="I312" s="199">
        <f t="shared" si="29"/>
        <v>0</v>
      </c>
      <c r="J312" s="247" t="str">
        <f t="shared" si="30"/>
        <v/>
      </c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  <c r="AA312" s="47"/>
      <c r="AB312" s="47"/>
      <c r="AC312" s="47"/>
      <c r="AD312" s="47"/>
    </row>
    <row r="313" spans="1:30" ht="15.75" customHeight="1">
      <c r="A313" s="51"/>
      <c r="B313" s="52" t="str">
        <f t="shared" si="26"/>
        <v/>
      </c>
      <c r="C313" t="str">
        <f t="shared" si="25"/>
        <v/>
      </c>
      <c r="D313" s="245" t="str">
        <f t="shared" si="27"/>
        <v/>
      </c>
      <c r="E313" s="534"/>
      <c r="F313" s="534"/>
      <c r="G313" s="198"/>
      <c r="H313" s="246" t="str">
        <f t="shared" si="28"/>
        <v/>
      </c>
      <c r="I313" s="199">
        <f t="shared" si="29"/>
        <v>0</v>
      </c>
      <c r="J313" s="247" t="str">
        <f t="shared" si="30"/>
        <v/>
      </c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  <c r="AA313" s="47"/>
      <c r="AB313" s="47"/>
      <c r="AC313" s="47"/>
      <c r="AD313" s="47"/>
    </row>
    <row r="314" spans="1:30" ht="15.75" customHeight="1">
      <c r="A314" s="51"/>
      <c r="B314" s="52" t="str">
        <f t="shared" si="26"/>
        <v/>
      </c>
      <c r="C314" t="str">
        <f t="shared" si="25"/>
        <v/>
      </c>
      <c r="D314" s="245" t="str">
        <f t="shared" si="27"/>
        <v/>
      </c>
      <c r="E314" s="534"/>
      <c r="F314" s="534"/>
      <c r="G314" s="198"/>
      <c r="H314" s="246" t="str">
        <f t="shared" si="28"/>
        <v/>
      </c>
      <c r="I314" s="199">
        <f t="shared" si="29"/>
        <v>0</v>
      </c>
      <c r="J314" s="247" t="str">
        <f t="shared" si="30"/>
        <v/>
      </c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  <c r="AA314" s="47"/>
      <c r="AB314" s="47"/>
      <c r="AC314" s="47"/>
      <c r="AD314" s="47"/>
    </row>
    <row r="315" spans="1:30" ht="15.75" customHeight="1">
      <c r="A315" s="51"/>
      <c r="B315" s="52" t="str">
        <f t="shared" si="26"/>
        <v/>
      </c>
      <c r="C315" t="str">
        <f t="shared" si="25"/>
        <v/>
      </c>
      <c r="D315" s="245" t="str">
        <f t="shared" si="27"/>
        <v/>
      </c>
      <c r="E315" s="534"/>
      <c r="F315" s="534"/>
      <c r="G315" s="198"/>
      <c r="H315" s="246" t="str">
        <f t="shared" si="28"/>
        <v/>
      </c>
      <c r="I315" s="199">
        <f t="shared" si="29"/>
        <v>0</v>
      </c>
      <c r="J315" s="247" t="str">
        <f t="shared" si="30"/>
        <v/>
      </c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  <c r="AA315" s="47"/>
      <c r="AB315" s="47"/>
      <c r="AC315" s="47"/>
      <c r="AD315" s="47"/>
    </row>
    <row r="316" spans="1:30" ht="15.75" customHeight="1">
      <c r="A316" s="51"/>
      <c r="B316" s="52" t="str">
        <f t="shared" si="26"/>
        <v/>
      </c>
      <c r="C316" t="str">
        <f t="shared" si="25"/>
        <v/>
      </c>
      <c r="D316" s="245" t="str">
        <f t="shared" si="27"/>
        <v/>
      </c>
      <c r="E316" s="534"/>
      <c r="F316" s="534"/>
      <c r="G316" s="198"/>
      <c r="H316" s="246" t="str">
        <f t="shared" si="28"/>
        <v/>
      </c>
      <c r="I316" s="199">
        <f t="shared" si="29"/>
        <v>0</v>
      </c>
      <c r="J316" s="247" t="str">
        <f t="shared" si="30"/>
        <v/>
      </c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  <c r="AA316" s="47"/>
      <c r="AB316" s="47"/>
      <c r="AC316" s="47"/>
      <c r="AD316" s="47"/>
    </row>
    <row r="317" spans="1:30" ht="15.75" customHeight="1">
      <c r="A317" s="51"/>
      <c r="B317" s="52" t="str">
        <f t="shared" si="26"/>
        <v/>
      </c>
      <c r="C317" t="str">
        <f t="shared" si="25"/>
        <v/>
      </c>
      <c r="D317" s="245" t="str">
        <f t="shared" si="27"/>
        <v/>
      </c>
      <c r="E317" s="534"/>
      <c r="F317" s="534"/>
      <c r="G317" s="198"/>
      <c r="H317" s="246" t="str">
        <f t="shared" si="28"/>
        <v/>
      </c>
      <c r="I317" s="199">
        <f t="shared" si="29"/>
        <v>0</v>
      </c>
      <c r="J317" s="247" t="str">
        <f t="shared" si="30"/>
        <v/>
      </c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  <c r="AA317" s="47"/>
      <c r="AB317" s="47"/>
      <c r="AC317" s="47"/>
      <c r="AD317" s="47"/>
    </row>
    <row r="318" spans="1:30" ht="15.75" customHeight="1">
      <c r="A318" s="51"/>
      <c r="B318" s="52" t="str">
        <f t="shared" si="26"/>
        <v/>
      </c>
      <c r="C318" t="str">
        <f t="shared" si="25"/>
        <v/>
      </c>
      <c r="D318" s="245" t="str">
        <f t="shared" si="27"/>
        <v/>
      </c>
      <c r="E318" s="534"/>
      <c r="F318" s="534"/>
      <c r="G318" s="198"/>
      <c r="H318" s="246" t="str">
        <f t="shared" si="28"/>
        <v/>
      </c>
      <c r="I318" s="199">
        <f t="shared" si="29"/>
        <v>0</v>
      </c>
      <c r="J318" s="247" t="str">
        <f t="shared" si="30"/>
        <v/>
      </c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  <c r="AA318" s="47"/>
      <c r="AB318" s="47"/>
      <c r="AC318" s="47"/>
      <c r="AD318" s="47"/>
    </row>
    <row r="319" spans="1:30" ht="15.75" customHeight="1">
      <c r="A319" s="51"/>
      <c r="B319" s="52" t="str">
        <f t="shared" si="26"/>
        <v/>
      </c>
      <c r="C319" t="str">
        <f t="shared" si="25"/>
        <v/>
      </c>
      <c r="D319" s="245" t="str">
        <f t="shared" si="27"/>
        <v/>
      </c>
      <c r="E319" s="534"/>
      <c r="F319" s="534"/>
      <c r="G319" s="198"/>
      <c r="H319" s="246" t="str">
        <f t="shared" si="28"/>
        <v/>
      </c>
      <c r="I319" s="199">
        <f t="shared" si="29"/>
        <v>0</v>
      </c>
      <c r="J319" s="247" t="str">
        <f t="shared" si="30"/>
        <v/>
      </c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  <c r="AA319" s="47"/>
      <c r="AB319" s="47"/>
      <c r="AC319" s="47"/>
      <c r="AD319" s="47"/>
    </row>
    <row r="320" spans="1:30" ht="15.75" customHeight="1">
      <c r="A320" s="51"/>
      <c r="B320" s="52" t="str">
        <f t="shared" si="26"/>
        <v/>
      </c>
      <c r="C320" t="str">
        <f t="shared" si="25"/>
        <v/>
      </c>
      <c r="D320" s="245" t="str">
        <f t="shared" si="27"/>
        <v/>
      </c>
      <c r="E320" s="534"/>
      <c r="F320" s="534"/>
      <c r="G320" s="198"/>
      <c r="H320" s="246" t="str">
        <f t="shared" si="28"/>
        <v/>
      </c>
      <c r="I320" s="199">
        <f t="shared" si="29"/>
        <v>0</v>
      </c>
      <c r="J320" s="247" t="str">
        <f t="shared" si="30"/>
        <v/>
      </c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  <c r="AA320" s="47"/>
      <c r="AB320" s="47"/>
      <c r="AC320" s="47"/>
      <c r="AD320" s="47"/>
    </row>
    <row r="321" spans="1:30" ht="15.75" customHeight="1">
      <c r="A321" s="51"/>
      <c r="B321" s="52" t="str">
        <f t="shared" si="26"/>
        <v/>
      </c>
      <c r="C321" t="str">
        <f t="shared" si="25"/>
        <v/>
      </c>
      <c r="D321" s="245" t="str">
        <f t="shared" si="27"/>
        <v/>
      </c>
      <c r="E321" s="534"/>
      <c r="F321" s="534"/>
      <c r="G321" s="198"/>
      <c r="H321" s="246" t="str">
        <f t="shared" si="28"/>
        <v/>
      </c>
      <c r="I321" s="199">
        <f t="shared" si="29"/>
        <v>0</v>
      </c>
      <c r="J321" s="247" t="str">
        <f t="shared" si="30"/>
        <v/>
      </c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  <c r="AA321" s="47"/>
      <c r="AB321" s="47"/>
      <c r="AC321" s="47"/>
      <c r="AD321" s="47"/>
    </row>
    <row r="322" spans="1:30" ht="15.75" customHeight="1">
      <c r="A322" s="51"/>
      <c r="B322" s="52" t="str">
        <f t="shared" si="26"/>
        <v/>
      </c>
      <c r="C322" t="str">
        <f t="shared" si="25"/>
        <v/>
      </c>
      <c r="D322" s="245" t="str">
        <f t="shared" si="27"/>
        <v/>
      </c>
      <c r="E322" s="534"/>
      <c r="F322" s="534"/>
      <c r="G322" s="198"/>
      <c r="H322" s="246" t="str">
        <f t="shared" si="28"/>
        <v/>
      </c>
      <c r="I322" s="199">
        <f t="shared" si="29"/>
        <v>0</v>
      </c>
      <c r="J322" s="247" t="str">
        <f t="shared" si="30"/>
        <v/>
      </c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  <c r="AA322" s="47"/>
      <c r="AB322" s="47"/>
      <c r="AC322" s="47"/>
      <c r="AD322" s="47"/>
    </row>
    <row r="323" spans="1:30" ht="15.75" customHeight="1">
      <c r="A323" s="51"/>
      <c r="B323" s="52" t="str">
        <f t="shared" si="26"/>
        <v/>
      </c>
      <c r="C323" t="str">
        <f t="shared" si="25"/>
        <v/>
      </c>
      <c r="D323" s="245" t="str">
        <f t="shared" si="27"/>
        <v/>
      </c>
      <c r="E323" s="534"/>
      <c r="F323" s="534"/>
      <c r="G323" s="198"/>
      <c r="H323" s="246" t="str">
        <f t="shared" si="28"/>
        <v/>
      </c>
      <c r="I323" s="199">
        <f t="shared" si="29"/>
        <v>0</v>
      </c>
      <c r="J323" s="247" t="str">
        <f t="shared" si="30"/>
        <v/>
      </c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  <c r="AA323" s="47"/>
      <c r="AB323" s="47"/>
      <c r="AC323" s="47"/>
      <c r="AD323" s="47"/>
    </row>
    <row r="324" spans="1:30" ht="15.75" customHeight="1">
      <c r="A324" s="51"/>
      <c r="B324" s="52" t="str">
        <f t="shared" si="26"/>
        <v/>
      </c>
      <c r="C324" t="str">
        <f t="shared" si="25"/>
        <v/>
      </c>
      <c r="D324" s="245" t="str">
        <f t="shared" si="27"/>
        <v/>
      </c>
      <c r="E324" s="534"/>
      <c r="F324" s="534"/>
      <c r="G324" s="198"/>
      <c r="H324" s="246" t="str">
        <f t="shared" si="28"/>
        <v/>
      </c>
      <c r="I324" s="199">
        <f t="shared" si="29"/>
        <v>0</v>
      </c>
      <c r="J324" s="247" t="str">
        <f t="shared" si="30"/>
        <v/>
      </c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  <c r="AA324" s="47"/>
      <c r="AB324" s="47"/>
      <c r="AC324" s="47"/>
      <c r="AD324" s="47"/>
    </row>
    <row r="325" spans="1:30" ht="15.75" customHeight="1">
      <c r="A325" s="51"/>
      <c r="B325" s="52" t="str">
        <f t="shared" si="26"/>
        <v/>
      </c>
      <c r="C325" t="str">
        <f t="shared" si="25"/>
        <v/>
      </c>
      <c r="D325" s="245" t="str">
        <f t="shared" si="27"/>
        <v/>
      </c>
      <c r="E325" s="534"/>
      <c r="F325" s="534"/>
      <c r="G325" s="198"/>
      <c r="H325" s="246" t="str">
        <f t="shared" si="28"/>
        <v/>
      </c>
      <c r="I325" s="199">
        <f t="shared" si="29"/>
        <v>0</v>
      </c>
      <c r="J325" s="247" t="str">
        <f t="shared" si="30"/>
        <v/>
      </c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  <c r="AA325" s="47"/>
      <c r="AB325" s="47"/>
      <c r="AC325" s="47"/>
      <c r="AD325" s="47"/>
    </row>
    <row r="326" spans="1:30" ht="15.75" customHeight="1">
      <c r="A326" s="51"/>
      <c r="B326" s="52" t="str">
        <f t="shared" si="26"/>
        <v/>
      </c>
      <c r="C326" t="str">
        <f t="shared" si="25"/>
        <v/>
      </c>
      <c r="D326" s="245" t="str">
        <f t="shared" si="27"/>
        <v/>
      </c>
      <c r="E326" s="534"/>
      <c r="F326" s="534"/>
      <c r="G326" s="198"/>
      <c r="H326" s="246" t="str">
        <f t="shared" si="28"/>
        <v/>
      </c>
      <c r="I326" s="199">
        <f t="shared" si="29"/>
        <v>0</v>
      </c>
      <c r="J326" s="247" t="str">
        <f t="shared" si="30"/>
        <v/>
      </c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  <c r="AA326" s="47"/>
      <c r="AB326" s="47"/>
      <c r="AC326" s="47"/>
      <c r="AD326" s="47"/>
    </row>
    <row r="327" spans="1:30" ht="15.75" customHeight="1">
      <c r="A327" s="51"/>
      <c r="B327" s="52" t="str">
        <f t="shared" si="26"/>
        <v/>
      </c>
      <c r="C327" t="str">
        <f t="shared" ref="C327:C341" si="31">IF(A327&lt;&gt;"",TEXT(A327,"aaaa"),"")</f>
        <v/>
      </c>
      <c r="D327" s="245" t="str">
        <f t="shared" si="27"/>
        <v/>
      </c>
      <c r="E327" s="534"/>
      <c r="F327" s="534"/>
      <c r="G327" s="198"/>
      <c r="H327" s="246" t="str">
        <f t="shared" si="28"/>
        <v/>
      </c>
      <c r="I327" s="199">
        <f t="shared" si="29"/>
        <v>0</v>
      </c>
      <c r="J327" s="247" t="str">
        <f t="shared" si="30"/>
        <v/>
      </c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  <c r="AA327" s="47"/>
      <c r="AB327" s="47"/>
      <c r="AC327" s="47"/>
      <c r="AD327" s="47"/>
    </row>
    <row r="328" spans="1:30" ht="15.75" customHeight="1">
      <c r="A328" s="51"/>
      <c r="B328" s="52" t="str">
        <f t="shared" ref="B328:B341" si="32">IF(A328="","",TEXT(A328,"DDDD"))</f>
        <v/>
      </c>
      <c r="C328" t="str">
        <f t="shared" si="31"/>
        <v/>
      </c>
      <c r="D328" s="245" t="str">
        <f t="shared" ref="D328:D341" si="33">IF(A328&lt;&gt;"",PROPER(TEXT(A328,"Mmmm")),"")</f>
        <v/>
      </c>
      <c r="E328" s="534"/>
      <c r="F328" s="534"/>
      <c r="G328" s="198"/>
      <c r="H328" s="246" t="str">
        <f t="shared" ref="H328:H391" si="34">IF(G328=0,"",G328*$H$5)</f>
        <v/>
      </c>
      <c r="I328" s="199">
        <f t="shared" ref="I328:I341" si="35">G328</f>
        <v>0</v>
      </c>
      <c r="J328" s="247" t="str">
        <f t="shared" ref="J328:J391" si="36">IF(I328=0,"",I328-H328)</f>
        <v/>
      </c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  <c r="AA328" s="47"/>
      <c r="AB328" s="47"/>
      <c r="AC328" s="47"/>
      <c r="AD328" s="47"/>
    </row>
    <row r="329" spans="1:30" ht="15.75" customHeight="1">
      <c r="A329" s="51"/>
      <c r="B329" s="52" t="str">
        <f t="shared" si="32"/>
        <v/>
      </c>
      <c r="C329" t="str">
        <f t="shared" si="31"/>
        <v/>
      </c>
      <c r="D329" s="245" t="str">
        <f t="shared" si="33"/>
        <v/>
      </c>
      <c r="E329" s="534"/>
      <c r="F329" s="534"/>
      <c r="G329" s="198"/>
      <c r="H329" s="246" t="str">
        <f t="shared" si="34"/>
        <v/>
      </c>
      <c r="I329" s="199">
        <f t="shared" si="35"/>
        <v>0</v>
      </c>
      <c r="J329" s="247" t="str">
        <f t="shared" si="36"/>
        <v/>
      </c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  <c r="AA329" s="47"/>
      <c r="AB329" s="47"/>
      <c r="AC329" s="47"/>
      <c r="AD329" s="47"/>
    </row>
    <row r="330" spans="1:30" ht="15.75" customHeight="1">
      <c r="A330" s="51"/>
      <c r="B330" s="52" t="str">
        <f t="shared" si="32"/>
        <v/>
      </c>
      <c r="C330" t="str">
        <f t="shared" si="31"/>
        <v/>
      </c>
      <c r="D330" s="245" t="str">
        <f t="shared" si="33"/>
        <v/>
      </c>
      <c r="E330" s="534"/>
      <c r="F330" s="534"/>
      <c r="G330" s="198"/>
      <c r="H330" s="246" t="str">
        <f t="shared" si="34"/>
        <v/>
      </c>
      <c r="I330" s="199">
        <f t="shared" si="35"/>
        <v>0</v>
      </c>
      <c r="J330" s="247" t="str">
        <f t="shared" si="36"/>
        <v/>
      </c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  <c r="AA330" s="47"/>
      <c r="AB330" s="47"/>
      <c r="AC330" s="47"/>
      <c r="AD330" s="47"/>
    </row>
    <row r="331" spans="1:30" ht="15.75" customHeight="1">
      <c r="A331" s="51"/>
      <c r="B331" s="52" t="str">
        <f t="shared" si="32"/>
        <v/>
      </c>
      <c r="C331" t="str">
        <f t="shared" si="31"/>
        <v/>
      </c>
      <c r="D331" s="245" t="str">
        <f t="shared" si="33"/>
        <v/>
      </c>
      <c r="E331" s="534"/>
      <c r="F331" s="534"/>
      <c r="G331" s="198"/>
      <c r="H331" s="246" t="str">
        <f t="shared" si="34"/>
        <v/>
      </c>
      <c r="I331" s="199">
        <f t="shared" si="35"/>
        <v>0</v>
      </c>
      <c r="J331" s="247" t="str">
        <f t="shared" si="36"/>
        <v/>
      </c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  <c r="AA331" s="47"/>
      <c r="AB331" s="47"/>
      <c r="AC331" s="47"/>
      <c r="AD331" s="47"/>
    </row>
    <row r="332" spans="1:30" ht="15.75" customHeight="1">
      <c r="A332" s="51"/>
      <c r="B332" s="52" t="str">
        <f t="shared" si="32"/>
        <v/>
      </c>
      <c r="C332" t="str">
        <f t="shared" si="31"/>
        <v/>
      </c>
      <c r="D332" s="245" t="str">
        <f t="shared" si="33"/>
        <v/>
      </c>
      <c r="E332" s="534"/>
      <c r="F332" s="534"/>
      <c r="G332" s="198"/>
      <c r="H332" s="246" t="str">
        <f t="shared" si="34"/>
        <v/>
      </c>
      <c r="I332" s="199">
        <f t="shared" si="35"/>
        <v>0</v>
      </c>
      <c r="J332" s="247" t="str">
        <f t="shared" si="36"/>
        <v/>
      </c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  <c r="AA332" s="47"/>
      <c r="AB332" s="47"/>
      <c r="AC332" s="47"/>
      <c r="AD332" s="47"/>
    </row>
    <row r="333" spans="1:30" ht="15.75" customHeight="1">
      <c r="A333" s="51"/>
      <c r="B333" s="52" t="str">
        <f t="shared" si="32"/>
        <v/>
      </c>
      <c r="C333" t="str">
        <f t="shared" si="31"/>
        <v/>
      </c>
      <c r="D333" s="245" t="str">
        <f t="shared" si="33"/>
        <v/>
      </c>
      <c r="E333" s="534"/>
      <c r="F333" s="534"/>
      <c r="G333" s="198"/>
      <c r="H333" s="246" t="str">
        <f t="shared" si="34"/>
        <v/>
      </c>
      <c r="I333" s="199">
        <f t="shared" si="35"/>
        <v>0</v>
      </c>
      <c r="J333" s="247" t="str">
        <f t="shared" si="36"/>
        <v/>
      </c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  <c r="AA333" s="47"/>
      <c r="AB333" s="47"/>
      <c r="AC333" s="47"/>
      <c r="AD333" s="47"/>
    </row>
    <row r="334" spans="1:30" ht="15.75" customHeight="1">
      <c r="A334" s="51"/>
      <c r="B334" s="52" t="str">
        <f t="shared" si="32"/>
        <v/>
      </c>
      <c r="C334" t="str">
        <f t="shared" si="31"/>
        <v/>
      </c>
      <c r="D334" s="245" t="str">
        <f t="shared" si="33"/>
        <v/>
      </c>
      <c r="E334" s="534"/>
      <c r="F334" s="534"/>
      <c r="G334" s="198"/>
      <c r="H334" s="246" t="str">
        <f t="shared" si="34"/>
        <v/>
      </c>
      <c r="I334" s="199">
        <f t="shared" si="35"/>
        <v>0</v>
      </c>
      <c r="J334" s="247" t="str">
        <f t="shared" si="36"/>
        <v/>
      </c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  <c r="AA334" s="47"/>
      <c r="AB334" s="47"/>
      <c r="AC334" s="47"/>
      <c r="AD334" s="47"/>
    </row>
    <row r="335" spans="1:30" ht="15.75" customHeight="1">
      <c r="A335" s="51"/>
      <c r="B335" s="52" t="str">
        <f t="shared" si="32"/>
        <v/>
      </c>
      <c r="C335" t="str">
        <f t="shared" si="31"/>
        <v/>
      </c>
      <c r="D335" s="245" t="str">
        <f t="shared" si="33"/>
        <v/>
      </c>
      <c r="E335" s="534"/>
      <c r="F335" s="534"/>
      <c r="G335" s="198"/>
      <c r="H335" s="246" t="str">
        <f t="shared" si="34"/>
        <v/>
      </c>
      <c r="I335" s="199">
        <f t="shared" si="35"/>
        <v>0</v>
      </c>
      <c r="J335" s="247" t="str">
        <f t="shared" si="36"/>
        <v/>
      </c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  <c r="AA335" s="47"/>
      <c r="AB335" s="47"/>
      <c r="AC335" s="47"/>
      <c r="AD335" s="47"/>
    </row>
    <row r="336" spans="1:30" ht="15.75" customHeight="1">
      <c r="A336" s="51"/>
      <c r="B336" s="52" t="str">
        <f t="shared" si="32"/>
        <v/>
      </c>
      <c r="C336" t="str">
        <f t="shared" si="31"/>
        <v/>
      </c>
      <c r="D336" s="245" t="str">
        <f t="shared" si="33"/>
        <v/>
      </c>
      <c r="E336" s="534"/>
      <c r="F336" s="534"/>
      <c r="G336" s="198"/>
      <c r="H336" s="246" t="str">
        <f t="shared" si="34"/>
        <v/>
      </c>
      <c r="I336" s="199">
        <f t="shared" si="35"/>
        <v>0</v>
      </c>
      <c r="J336" s="247" t="str">
        <f t="shared" si="36"/>
        <v/>
      </c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  <c r="AA336" s="47"/>
      <c r="AB336" s="47"/>
      <c r="AC336" s="47"/>
      <c r="AD336" s="47"/>
    </row>
    <row r="337" spans="1:30" ht="15.75" customHeight="1">
      <c r="A337" s="51"/>
      <c r="B337" s="52" t="str">
        <f t="shared" si="32"/>
        <v/>
      </c>
      <c r="C337" t="str">
        <f t="shared" si="31"/>
        <v/>
      </c>
      <c r="D337" s="245" t="str">
        <f t="shared" si="33"/>
        <v/>
      </c>
      <c r="E337" s="534"/>
      <c r="F337" s="534"/>
      <c r="G337" s="198"/>
      <c r="H337" s="246" t="str">
        <f t="shared" si="34"/>
        <v/>
      </c>
      <c r="I337" s="199">
        <f t="shared" si="35"/>
        <v>0</v>
      </c>
      <c r="J337" s="247" t="str">
        <f t="shared" si="36"/>
        <v/>
      </c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  <c r="AA337" s="47"/>
      <c r="AB337" s="47"/>
      <c r="AC337" s="47"/>
      <c r="AD337" s="47"/>
    </row>
    <row r="338" spans="1:30" ht="15.75" customHeight="1">
      <c r="A338" s="51"/>
      <c r="B338" s="52" t="str">
        <f t="shared" si="32"/>
        <v/>
      </c>
      <c r="C338" t="str">
        <f t="shared" si="31"/>
        <v/>
      </c>
      <c r="D338" s="245" t="str">
        <f t="shared" si="33"/>
        <v/>
      </c>
      <c r="E338" s="534"/>
      <c r="F338" s="534"/>
      <c r="G338" s="198"/>
      <c r="H338" s="246" t="str">
        <f t="shared" si="34"/>
        <v/>
      </c>
      <c r="I338" s="199">
        <f t="shared" si="35"/>
        <v>0</v>
      </c>
      <c r="J338" s="247" t="str">
        <f t="shared" si="36"/>
        <v/>
      </c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  <c r="AA338" s="47"/>
      <c r="AB338" s="47"/>
      <c r="AC338" s="47"/>
      <c r="AD338" s="47"/>
    </row>
    <row r="339" spans="1:30" ht="15.75" customHeight="1">
      <c r="A339" s="51"/>
      <c r="B339" s="52" t="str">
        <f t="shared" si="32"/>
        <v/>
      </c>
      <c r="C339" t="str">
        <f t="shared" si="31"/>
        <v/>
      </c>
      <c r="D339" s="245" t="str">
        <f t="shared" si="33"/>
        <v/>
      </c>
      <c r="E339" s="534"/>
      <c r="F339" s="534"/>
      <c r="G339" s="198"/>
      <c r="H339" s="246" t="str">
        <f t="shared" si="34"/>
        <v/>
      </c>
      <c r="I339" s="199">
        <f t="shared" si="35"/>
        <v>0</v>
      </c>
      <c r="J339" s="247" t="str">
        <f t="shared" si="36"/>
        <v/>
      </c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  <c r="AA339" s="47"/>
      <c r="AB339" s="47"/>
      <c r="AC339" s="47"/>
      <c r="AD339" s="47"/>
    </row>
    <row r="340" spans="1:30" ht="15.75" customHeight="1">
      <c r="A340" s="51"/>
      <c r="B340" s="52" t="str">
        <f t="shared" si="32"/>
        <v/>
      </c>
      <c r="C340" t="str">
        <f t="shared" si="31"/>
        <v/>
      </c>
      <c r="D340" s="245" t="str">
        <f t="shared" si="33"/>
        <v/>
      </c>
      <c r="E340" s="534"/>
      <c r="F340" s="534"/>
      <c r="G340" s="198"/>
      <c r="H340" s="246" t="str">
        <f t="shared" si="34"/>
        <v/>
      </c>
      <c r="I340" s="199">
        <f t="shared" si="35"/>
        <v>0</v>
      </c>
      <c r="J340" s="247" t="str">
        <f t="shared" si="36"/>
        <v/>
      </c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  <c r="AA340" s="47"/>
      <c r="AB340" s="47"/>
      <c r="AC340" s="47"/>
      <c r="AD340" s="47"/>
    </row>
    <row r="341" spans="1:30" ht="15.75" customHeight="1">
      <c r="A341" s="51"/>
      <c r="B341" s="52" t="str">
        <f t="shared" si="32"/>
        <v/>
      </c>
      <c r="C341" t="str">
        <f t="shared" si="31"/>
        <v/>
      </c>
      <c r="D341" s="245" t="str">
        <f t="shared" si="33"/>
        <v/>
      </c>
      <c r="E341" s="534"/>
      <c r="F341" s="534"/>
      <c r="G341" s="198"/>
      <c r="H341" s="246" t="str">
        <f t="shared" si="34"/>
        <v/>
      </c>
      <c r="I341" s="199">
        <f t="shared" si="35"/>
        <v>0</v>
      </c>
      <c r="J341" s="247" t="str">
        <f t="shared" si="36"/>
        <v/>
      </c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  <c r="AA341" s="47"/>
      <c r="AB341" s="47"/>
      <c r="AC341" s="47"/>
      <c r="AD341" s="47"/>
    </row>
    <row r="342" spans="1:30" ht="15.75" customHeight="1">
      <c r="A342" s="51"/>
      <c r="B342" s="52" t="str">
        <f t="shared" ref="B342:B391" si="37">IF(A342="","",TEXT(A342,"DDDD"))</f>
        <v/>
      </c>
      <c r="C342" t="str">
        <f t="shared" ref="C342:C385" si="38">IF(A342&lt;&gt;"",TEXT(A342,"aaaa"),"")</f>
        <v/>
      </c>
      <c r="D342" s="245" t="str">
        <f t="shared" ref="D342:D392" si="39">IF(A342&lt;&gt;"",PROPER(TEXT(A342,"Mmmm")),"")</f>
        <v/>
      </c>
      <c r="E342" s="534"/>
      <c r="F342" s="534"/>
      <c r="G342" s="198"/>
      <c r="H342" s="246" t="str">
        <f t="shared" si="34"/>
        <v/>
      </c>
      <c r="I342" s="199" t="e">
        <f>IF(#REF!="","",#REF!+G342+#REF!+#REF!+#REF!+H342)</f>
        <v>#REF!</v>
      </c>
      <c r="J342" s="247" t="e">
        <f t="shared" si="36"/>
        <v>#REF!</v>
      </c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7"/>
      <c r="AB342" s="47"/>
      <c r="AC342" s="47"/>
      <c r="AD342" s="47"/>
    </row>
    <row r="343" spans="1:30" ht="15.75" customHeight="1">
      <c r="A343" s="51"/>
      <c r="B343" s="52" t="str">
        <f t="shared" si="37"/>
        <v/>
      </c>
      <c r="C343" t="str">
        <f t="shared" si="38"/>
        <v/>
      </c>
      <c r="D343" s="245" t="str">
        <f t="shared" si="39"/>
        <v/>
      </c>
      <c r="E343" s="534"/>
      <c r="F343" s="534"/>
      <c r="G343" s="198"/>
      <c r="H343" s="246" t="str">
        <f t="shared" si="34"/>
        <v/>
      </c>
      <c r="I343" s="199" t="e">
        <f>IF(#REF!="","",#REF!+G343+#REF!+#REF!+#REF!+H343)</f>
        <v>#REF!</v>
      </c>
      <c r="J343" s="247" t="e">
        <f t="shared" si="36"/>
        <v>#REF!</v>
      </c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  <c r="AA343" s="47"/>
      <c r="AB343" s="47"/>
      <c r="AC343" s="47"/>
      <c r="AD343" s="47"/>
    </row>
    <row r="344" spans="1:30" ht="15.75" customHeight="1">
      <c r="A344" s="51"/>
      <c r="B344" s="52" t="str">
        <f t="shared" si="37"/>
        <v/>
      </c>
      <c r="C344" t="str">
        <f t="shared" si="38"/>
        <v/>
      </c>
      <c r="D344" s="245" t="str">
        <f t="shared" si="39"/>
        <v/>
      </c>
      <c r="E344" s="534"/>
      <c r="F344" s="534"/>
      <c r="G344" s="198"/>
      <c r="H344" s="246" t="str">
        <f t="shared" si="34"/>
        <v/>
      </c>
      <c r="I344" s="199" t="e">
        <f>IF(#REF!="","",#REF!+G344+#REF!+#REF!+#REF!+H344)</f>
        <v>#REF!</v>
      </c>
      <c r="J344" s="247" t="e">
        <f t="shared" si="36"/>
        <v>#REF!</v>
      </c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  <c r="AA344" s="47"/>
      <c r="AB344" s="47"/>
      <c r="AC344" s="47"/>
      <c r="AD344" s="47"/>
    </row>
    <row r="345" spans="1:30" ht="15.75" customHeight="1">
      <c r="A345" s="51"/>
      <c r="B345" s="52" t="str">
        <f t="shared" si="37"/>
        <v/>
      </c>
      <c r="C345" t="str">
        <f t="shared" si="38"/>
        <v/>
      </c>
      <c r="D345" s="245" t="str">
        <f t="shared" si="39"/>
        <v/>
      </c>
      <c r="E345" s="534"/>
      <c r="F345" s="534"/>
      <c r="G345" s="198"/>
      <c r="H345" s="246" t="str">
        <f t="shared" si="34"/>
        <v/>
      </c>
      <c r="I345" s="199" t="e">
        <f>IF(#REF!="","",#REF!+G345+#REF!+#REF!+#REF!+H345)</f>
        <v>#REF!</v>
      </c>
      <c r="J345" s="247" t="e">
        <f t="shared" si="36"/>
        <v>#REF!</v>
      </c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  <c r="AA345" s="47"/>
      <c r="AB345" s="47"/>
      <c r="AC345" s="47"/>
      <c r="AD345" s="47"/>
    </row>
    <row r="346" spans="1:30" ht="15.75" customHeight="1">
      <c r="A346" s="51"/>
      <c r="B346" s="52" t="str">
        <f t="shared" si="37"/>
        <v/>
      </c>
      <c r="C346" t="str">
        <f t="shared" si="38"/>
        <v/>
      </c>
      <c r="D346" s="245" t="str">
        <f t="shared" si="39"/>
        <v/>
      </c>
      <c r="E346" s="534"/>
      <c r="F346" s="534"/>
      <c r="G346" s="198"/>
      <c r="H346" s="246" t="str">
        <f t="shared" si="34"/>
        <v/>
      </c>
      <c r="I346" s="199" t="e">
        <f>IF(#REF!="","",#REF!+G346+#REF!+#REF!+#REF!+H346)</f>
        <v>#REF!</v>
      </c>
      <c r="J346" s="247" t="e">
        <f t="shared" si="36"/>
        <v>#REF!</v>
      </c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  <c r="AA346" s="47"/>
      <c r="AB346" s="47"/>
      <c r="AC346" s="47"/>
      <c r="AD346" s="47"/>
    </row>
    <row r="347" spans="1:30" ht="15.75" customHeight="1">
      <c r="A347" s="51"/>
      <c r="B347" s="52" t="str">
        <f t="shared" si="37"/>
        <v/>
      </c>
      <c r="C347" t="str">
        <f t="shared" si="38"/>
        <v/>
      </c>
      <c r="D347" s="245" t="str">
        <f t="shared" si="39"/>
        <v/>
      </c>
      <c r="E347" s="534"/>
      <c r="F347" s="534"/>
      <c r="G347" s="198"/>
      <c r="H347" s="246" t="str">
        <f t="shared" si="34"/>
        <v/>
      </c>
      <c r="I347" s="199" t="e">
        <f>IF(#REF!="","",#REF!+G347+#REF!+#REF!+#REF!+H347)</f>
        <v>#REF!</v>
      </c>
      <c r="J347" s="247" t="e">
        <f t="shared" si="36"/>
        <v>#REF!</v>
      </c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  <c r="AA347" s="47"/>
      <c r="AB347" s="47"/>
      <c r="AC347" s="47"/>
      <c r="AD347" s="47"/>
    </row>
    <row r="348" spans="1:30" ht="15.75" customHeight="1">
      <c r="A348" s="51"/>
      <c r="B348" s="52" t="str">
        <f t="shared" si="37"/>
        <v/>
      </c>
      <c r="C348" t="str">
        <f t="shared" si="38"/>
        <v/>
      </c>
      <c r="D348" s="245" t="str">
        <f t="shared" si="39"/>
        <v/>
      </c>
      <c r="E348" s="534"/>
      <c r="F348" s="534"/>
      <c r="G348" s="198"/>
      <c r="H348" s="246" t="str">
        <f t="shared" si="34"/>
        <v/>
      </c>
      <c r="I348" s="199" t="e">
        <f>IF(#REF!="","",#REF!+G348+#REF!+#REF!+#REF!+H348)</f>
        <v>#REF!</v>
      </c>
      <c r="J348" s="247" t="e">
        <f t="shared" si="36"/>
        <v>#REF!</v>
      </c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  <c r="AA348" s="47"/>
      <c r="AB348" s="47"/>
      <c r="AC348" s="47"/>
      <c r="AD348" s="47"/>
    </row>
    <row r="349" spans="1:30" ht="15.75" customHeight="1">
      <c r="A349" s="51"/>
      <c r="B349" s="52" t="str">
        <f t="shared" si="37"/>
        <v/>
      </c>
      <c r="C349" t="str">
        <f t="shared" si="38"/>
        <v/>
      </c>
      <c r="D349" s="245" t="str">
        <f t="shared" si="39"/>
        <v/>
      </c>
      <c r="E349" s="534"/>
      <c r="F349" s="534"/>
      <c r="G349" s="198"/>
      <c r="H349" s="246" t="str">
        <f t="shared" si="34"/>
        <v/>
      </c>
      <c r="I349" s="199" t="e">
        <f>IF(#REF!="","",#REF!+G349+#REF!+#REF!+#REF!+H349)</f>
        <v>#REF!</v>
      </c>
      <c r="J349" s="247" t="e">
        <f t="shared" si="36"/>
        <v>#REF!</v>
      </c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  <c r="AA349" s="47"/>
      <c r="AB349" s="47"/>
      <c r="AC349" s="47"/>
      <c r="AD349" s="47"/>
    </row>
    <row r="350" spans="1:30" ht="15.75" customHeight="1">
      <c r="A350" s="51"/>
      <c r="B350" s="52" t="str">
        <f t="shared" si="37"/>
        <v/>
      </c>
      <c r="C350" t="str">
        <f t="shared" si="38"/>
        <v/>
      </c>
      <c r="D350" s="245" t="str">
        <f t="shared" si="39"/>
        <v/>
      </c>
      <c r="E350" s="534"/>
      <c r="F350" s="534"/>
      <c r="G350" s="198"/>
      <c r="H350" s="246" t="str">
        <f t="shared" si="34"/>
        <v/>
      </c>
      <c r="I350" s="199" t="e">
        <f>IF(#REF!="","",#REF!+G350+#REF!+#REF!+#REF!+H350)</f>
        <v>#REF!</v>
      </c>
      <c r="J350" s="247" t="e">
        <f t="shared" si="36"/>
        <v>#REF!</v>
      </c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  <c r="AA350" s="47"/>
      <c r="AB350" s="47"/>
      <c r="AC350" s="47"/>
      <c r="AD350" s="47"/>
    </row>
    <row r="351" spans="1:30" ht="15.75" customHeight="1">
      <c r="A351" s="51"/>
      <c r="B351" s="52" t="str">
        <f t="shared" si="37"/>
        <v/>
      </c>
      <c r="C351" t="str">
        <f t="shared" si="38"/>
        <v/>
      </c>
      <c r="D351" s="245" t="str">
        <f t="shared" si="39"/>
        <v/>
      </c>
      <c r="E351" s="534"/>
      <c r="F351" s="534"/>
      <c r="G351" s="198"/>
      <c r="H351" s="246" t="str">
        <f t="shared" si="34"/>
        <v/>
      </c>
      <c r="I351" s="199" t="e">
        <f>IF(#REF!="","",#REF!+G351+#REF!+#REF!+#REF!+H351)</f>
        <v>#REF!</v>
      </c>
      <c r="J351" s="247" t="e">
        <f t="shared" si="36"/>
        <v>#REF!</v>
      </c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  <c r="AA351" s="47"/>
      <c r="AB351" s="47"/>
      <c r="AC351" s="47"/>
      <c r="AD351" s="47"/>
    </row>
    <row r="352" spans="1:30" ht="15.75" customHeight="1">
      <c r="A352" s="51"/>
      <c r="B352" s="52" t="str">
        <f t="shared" si="37"/>
        <v/>
      </c>
      <c r="C352" t="str">
        <f t="shared" si="38"/>
        <v/>
      </c>
      <c r="D352" s="245" t="str">
        <f t="shared" si="39"/>
        <v/>
      </c>
      <c r="E352" s="534"/>
      <c r="F352" s="534"/>
      <c r="G352" s="198"/>
      <c r="H352" s="246" t="str">
        <f t="shared" si="34"/>
        <v/>
      </c>
      <c r="I352" s="199" t="e">
        <f>IF(#REF!="","",#REF!+G352+#REF!+#REF!+#REF!+H352)</f>
        <v>#REF!</v>
      </c>
      <c r="J352" s="247" t="e">
        <f t="shared" si="36"/>
        <v>#REF!</v>
      </c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  <c r="AA352" s="47"/>
      <c r="AB352" s="47"/>
      <c r="AC352" s="47"/>
      <c r="AD352" s="47"/>
    </row>
    <row r="353" spans="1:30" ht="15.75" customHeight="1">
      <c r="A353" s="51"/>
      <c r="B353" s="52" t="str">
        <f t="shared" si="37"/>
        <v/>
      </c>
      <c r="C353" t="str">
        <f t="shared" si="38"/>
        <v/>
      </c>
      <c r="D353" s="245" t="str">
        <f t="shared" si="39"/>
        <v/>
      </c>
      <c r="E353" s="534"/>
      <c r="F353" s="534"/>
      <c r="G353" s="198"/>
      <c r="H353" s="246" t="str">
        <f t="shared" si="34"/>
        <v/>
      </c>
      <c r="I353" s="199" t="e">
        <f>IF(#REF!="","",#REF!+G353+#REF!+#REF!+#REF!+H353)</f>
        <v>#REF!</v>
      </c>
      <c r="J353" s="247" t="e">
        <f t="shared" si="36"/>
        <v>#REF!</v>
      </c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  <c r="AA353" s="47"/>
      <c r="AB353" s="47"/>
      <c r="AC353" s="47"/>
      <c r="AD353" s="47"/>
    </row>
    <row r="354" spans="1:30" ht="15.75" customHeight="1">
      <c r="A354" s="51"/>
      <c r="B354" s="52" t="str">
        <f t="shared" si="37"/>
        <v/>
      </c>
      <c r="C354" t="str">
        <f t="shared" si="38"/>
        <v/>
      </c>
      <c r="D354" s="245" t="str">
        <f t="shared" si="39"/>
        <v/>
      </c>
      <c r="E354" s="534"/>
      <c r="F354" s="534"/>
      <c r="G354" s="198"/>
      <c r="H354" s="246" t="str">
        <f t="shared" si="34"/>
        <v/>
      </c>
      <c r="I354" s="199" t="e">
        <f>IF(#REF!="","",#REF!+G354+#REF!+#REF!+#REF!+H354)</f>
        <v>#REF!</v>
      </c>
      <c r="J354" s="247" t="e">
        <f t="shared" si="36"/>
        <v>#REF!</v>
      </c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  <c r="AA354" s="47"/>
      <c r="AB354" s="47"/>
      <c r="AC354" s="47"/>
      <c r="AD354" s="47"/>
    </row>
    <row r="355" spans="1:30" ht="15.75" customHeight="1">
      <c r="A355" s="51"/>
      <c r="B355" s="52" t="str">
        <f t="shared" si="37"/>
        <v/>
      </c>
      <c r="C355" t="str">
        <f t="shared" si="38"/>
        <v/>
      </c>
      <c r="D355" s="245" t="str">
        <f t="shared" si="39"/>
        <v/>
      </c>
      <c r="E355" s="534"/>
      <c r="F355" s="534"/>
      <c r="G355" s="198"/>
      <c r="H355" s="246" t="str">
        <f t="shared" si="34"/>
        <v/>
      </c>
      <c r="I355" s="199" t="e">
        <f>IF(#REF!="","",#REF!+G355+#REF!+#REF!+#REF!+H355)</f>
        <v>#REF!</v>
      </c>
      <c r="J355" s="247" t="e">
        <f t="shared" si="36"/>
        <v>#REF!</v>
      </c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  <c r="AA355" s="47"/>
      <c r="AB355" s="47"/>
      <c r="AC355" s="47"/>
      <c r="AD355" s="47"/>
    </row>
    <row r="356" spans="1:30" ht="15.75" customHeight="1">
      <c r="A356" s="51"/>
      <c r="B356" s="52" t="str">
        <f t="shared" si="37"/>
        <v/>
      </c>
      <c r="C356" t="str">
        <f t="shared" si="38"/>
        <v/>
      </c>
      <c r="D356" s="245" t="str">
        <f t="shared" si="39"/>
        <v/>
      </c>
      <c r="E356" s="534"/>
      <c r="F356" s="534"/>
      <c r="G356" s="198"/>
      <c r="H356" s="246" t="str">
        <f t="shared" si="34"/>
        <v/>
      </c>
      <c r="I356" s="199" t="e">
        <f>IF(#REF!="","",#REF!+G356+#REF!+#REF!+#REF!+H356)</f>
        <v>#REF!</v>
      </c>
      <c r="J356" s="247" t="e">
        <f t="shared" si="36"/>
        <v>#REF!</v>
      </c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  <c r="AA356" s="47"/>
      <c r="AB356" s="47"/>
      <c r="AC356" s="47"/>
      <c r="AD356" s="47"/>
    </row>
    <row r="357" spans="1:30" ht="15.75" customHeight="1">
      <c r="A357" s="51"/>
      <c r="B357" s="52" t="str">
        <f t="shared" si="37"/>
        <v/>
      </c>
      <c r="C357" t="str">
        <f t="shared" si="38"/>
        <v/>
      </c>
      <c r="D357" s="245" t="str">
        <f t="shared" si="39"/>
        <v/>
      </c>
      <c r="E357" s="534"/>
      <c r="F357" s="534"/>
      <c r="G357" s="198"/>
      <c r="H357" s="246" t="str">
        <f t="shared" si="34"/>
        <v/>
      </c>
      <c r="I357" s="199" t="e">
        <f>IF(#REF!="","",#REF!+G357+#REF!+#REF!+#REF!+H357)</f>
        <v>#REF!</v>
      </c>
      <c r="J357" s="247" t="e">
        <f t="shared" si="36"/>
        <v>#REF!</v>
      </c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  <c r="AA357" s="47"/>
      <c r="AB357" s="47"/>
      <c r="AC357" s="47"/>
      <c r="AD357" s="47"/>
    </row>
    <row r="358" spans="1:30" ht="15.75" customHeight="1">
      <c r="A358" s="51"/>
      <c r="B358" s="52" t="str">
        <f t="shared" si="37"/>
        <v/>
      </c>
      <c r="C358" t="str">
        <f t="shared" si="38"/>
        <v/>
      </c>
      <c r="D358" s="245" t="str">
        <f t="shared" si="39"/>
        <v/>
      </c>
      <c r="E358" s="534"/>
      <c r="F358" s="534"/>
      <c r="G358" s="198"/>
      <c r="H358" s="246" t="str">
        <f t="shared" si="34"/>
        <v/>
      </c>
      <c r="I358" s="199" t="e">
        <f>IF(#REF!="","",#REF!+G358+#REF!+#REF!+#REF!+H358)</f>
        <v>#REF!</v>
      </c>
      <c r="J358" s="247" t="e">
        <f t="shared" si="36"/>
        <v>#REF!</v>
      </c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  <c r="AA358" s="47"/>
      <c r="AB358" s="47"/>
      <c r="AC358" s="47"/>
      <c r="AD358" s="47"/>
    </row>
    <row r="359" spans="1:30" ht="15.75" customHeight="1">
      <c r="A359" s="51"/>
      <c r="B359" s="52" t="str">
        <f t="shared" si="37"/>
        <v/>
      </c>
      <c r="C359" t="str">
        <f t="shared" si="38"/>
        <v/>
      </c>
      <c r="D359" s="245" t="str">
        <f t="shared" si="39"/>
        <v/>
      </c>
      <c r="E359" s="534"/>
      <c r="F359" s="534"/>
      <c r="G359" s="198"/>
      <c r="H359" s="246" t="str">
        <f t="shared" si="34"/>
        <v/>
      </c>
      <c r="I359" s="199" t="e">
        <f>IF(#REF!="","",#REF!+G359+#REF!+#REF!+#REF!+H359)</f>
        <v>#REF!</v>
      </c>
      <c r="J359" s="247" t="e">
        <f t="shared" si="36"/>
        <v>#REF!</v>
      </c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  <c r="AA359" s="47"/>
      <c r="AB359" s="47"/>
      <c r="AC359" s="47"/>
      <c r="AD359" s="47"/>
    </row>
    <row r="360" spans="1:30" ht="15.75" customHeight="1">
      <c r="A360" s="51"/>
      <c r="B360" s="52" t="str">
        <f t="shared" si="37"/>
        <v/>
      </c>
      <c r="C360" t="str">
        <f t="shared" si="38"/>
        <v/>
      </c>
      <c r="D360" s="245" t="str">
        <f t="shared" si="39"/>
        <v/>
      </c>
      <c r="E360" s="534"/>
      <c r="F360" s="534"/>
      <c r="G360" s="198"/>
      <c r="H360" s="246" t="str">
        <f t="shared" si="34"/>
        <v/>
      </c>
      <c r="I360" s="199" t="e">
        <f>IF(#REF!="","",#REF!+G360+#REF!+#REF!+#REF!+H360)</f>
        <v>#REF!</v>
      </c>
      <c r="J360" s="247" t="e">
        <f t="shared" si="36"/>
        <v>#REF!</v>
      </c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  <c r="AA360" s="47"/>
      <c r="AB360" s="47"/>
      <c r="AC360" s="47"/>
      <c r="AD360" s="47"/>
    </row>
    <row r="361" spans="1:30" ht="15.75" customHeight="1">
      <c r="A361" s="51"/>
      <c r="B361" s="52" t="str">
        <f t="shared" si="37"/>
        <v/>
      </c>
      <c r="C361" t="str">
        <f t="shared" si="38"/>
        <v/>
      </c>
      <c r="D361" s="245" t="str">
        <f t="shared" si="39"/>
        <v/>
      </c>
      <c r="E361" s="534"/>
      <c r="F361" s="534"/>
      <c r="G361" s="198"/>
      <c r="H361" s="246" t="str">
        <f t="shared" si="34"/>
        <v/>
      </c>
      <c r="I361" s="199" t="e">
        <f>IF(#REF!="","",#REF!+G361+#REF!+#REF!+#REF!+H361)</f>
        <v>#REF!</v>
      </c>
      <c r="J361" s="247" t="e">
        <f t="shared" si="36"/>
        <v>#REF!</v>
      </c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  <c r="AA361" s="47"/>
      <c r="AB361" s="47"/>
      <c r="AC361" s="47"/>
      <c r="AD361" s="47"/>
    </row>
    <row r="362" spans="1:30" ht="15.75" customHeight="1">
      <c r="A362" s="51"/>
      <c r="B362" s="52" t="str">
        <f t="shared" si="37"/>
        <v/>
      </c>
      <c r="C362" t="str">
        <f t="shared" si="38"/>
        <v/>
      </c>
      <c r="D362" s="245" t="str">
        <f t="shared" si="39"/>
        <v/>
      </c>
      <c r="E362" s="534"/>
      <c r="F362" s="534"/>
      <c r="G362" s="198"/>
      <c r="H362" s="246" t="str">
        <f t="shared" si="34"/>
        <v/>
      </c>
      <c r="I362" s="199" t="e">
        <f>IF(#REF!="","",#REF!+G362+#REF!+#REF!+#REF!+H362)</f>
        <v>#REF!</v>
      </c>
      <c r="J362" s="247" t="e">
        <f t="shared" si="36"/>
        <v>#REF!</v>
      </c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  <c r="AA362" s="47"/>
      <c r="AB362" s="47"/>
      <c r="AC362" s="47"/>
      <c r="AD362" s="47"/>
    </row>
    <row r="363" spans="1:30" ht="15.75" customHeight="1">
      <c r="A363" s="51"/>
      <c r="B363" s="52" t="str">
        <f t="shared" si="37"/>
        <v/>
      </c>
      <c r="C363" t="str">
        <f t="shared" si="38"/>
        <v/>
      </c>
      <c r="D363" s="245" t="str">
        <f t="shared" si="39"/>
        <v/>
      </c>
      <c r="E363" s="534"/>
      <c r="F363" s="534"/>
      <c r="G363" s="198"/>
      <c r="H363" s="246" t="str">
        <f t="shared" si="34"/>
        <v/>
      </c>
      <c r="I363" s="199" t="e">
        <f>IF(#REF!="","",#REF!+G363+#REF!+#REF!+#REF!+H363)</f>
        <v>#REF!</v>
      </c>
      <c r="J363" s="247" t="e">
        <f t="shared" si="36"/>
        <v>#REF!</v>
      </c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  <c r="AA363" s="47"/>
      <c r="AB363" s="47"/>
      <c r="AC363" s="47"/>
      <c r="AD363" s="47"/>
    </row>
    <row r="364" spans="1:30" ht="15.75" customHeight="1">
      <c r="A364" s="51"/>
      <c r="B364" s="52" t="str">
        <f t="shared" si="37"/>
        <v/>
      </c>
      <c r="C364" t="str">
        <f t="shared" si="38"/>
        <v/>
      </c>
      <c r="D364" s="245" t="str">
        <f t="shared" si="39"/>
        <v/>
      </c>
      <c r="E364" s="534"/>
      <c r="F364" s="534"/>
      <c r="G364" s="198"/>
      <c r="H364" s="246" t="str">
        <f t="shared" si="34"/>
        <v/>
      </c>
      <c r="I364" s="199" t="e">
        <f>IF(#REF!="","",#REF!+G364+#REF!+#REF!+#REF!+H364)</f>
        <v>#REF!</v>
      </c>
      <c r="J364" s="247" t="e">
        <f t="shared" si="36"/>
        <v>#REF!</v>
      </c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  <c r="AA364" s="47"/>
      <c r="AB364" s="47"/>
      <c r="AC364" s="47"/>
      <c r="AD364" s="47"/>
    </row>
    <row r="365" spans="1:30" ht="15.75" customHeight="1">
      <c r="A365" s="51"/>
      <c r="B365" s="52" t="str">
        <f t="shared" si="37"/>
        <v/>
      </c>
      <c r="C365" t="str">
        <f t="shared" si="38"/>
        <v/>
      </c>
      <c r="D365" s="245" t="str">
        <f t="shared" si="39"/>
        <v/>
      </c>
      <c r="E365" s="534"/>
      <c r="F365" s="534"/>
      <c r="G365" s="198"/>
      <c r="H365" s="246" t="str">
        <f t="shared" si="34"/>
        <v/>
      </c>
      <c r="I365" s="199" t="e">
        <f>IF(#REF!="","",#REF!+G365+#REF!+#REF!+#REF!+H365)</f>
        <v>#REF!</v>
      </c>
      <c r="J365" s="247" t="e">
        <f t="shared" si="36"/>
        <v>#REF!</v>
      </c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  <c r="AA365" s="47"/>
      <c r="AB365" s="47"/>
      <c r="AC365" s="47"/>
      <c r="AD365" s="47"/>
    </row>
    <row r="366" spans="1:30" ht="15.75" customHeight="1">
      <c r="A366" s="51"/>
      <c r="B366" s="52" t="str">
        <f t="shared" si="37"/>
        <v/>
      </c>
      <c r="C366" t="str">
        <f t="shared" si="38"/>
        <v/>
      </c>
      <c r="D366" s="245" t="str">
        <f t="shared" si="39"/>
        <v/>
      </c>
      <c r="E366" s="534"/>
      <c r="F366" s="534"/>
      <c r="G366" s="198"/>
      <c r="H366" s="246" t="str">
        <f t="shared" si="34"/>
        <v/>
      </c>
      <c r="I366" s="199" t="e">
        <f>IF(#REF!="","",#REF!+G366+#REF!+#REF!+#REF!+H366)</f>
        <v>#REF!</v>
      </c>
      <c r="J366" s="247" t="e">
        <f t="shared" si="36"/>
        <v>#REF!</v>
      </c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  <c r="AA366" s="47"/>
      <c r="AB366" s="47"/>
      <c r="AC366" s="47"/>
      <c r="AD366" s="47"/>
    </row>
    <row r="367" spans="1:30" ht="15.75" customHeight="1">
      <c r="A367" s="51"/>
      <c r="B367" s="52" t="str">
        <f t="shared" si="37"/>
        <v/>
      </c>
      <c r="C367" t="str">
        <f t="shared" si="38"/>
        <v/>
      </c>
      <c r="D367" s="245" t="str">
        <f t="shared" si="39"/>
        <v/>
      </c>
      <c r="E367" s="534"/>
      <c r="F367" s="534"/>
      <c r="G367" s="198"/>
      <c r="H367" s="246" t="str">
        <f t="shared" si="34"/>
        <v/>
      </c>
      <c r="I367" s="199" t="e">
        <f>IF(#REF!="","",#REF!+G367+#REF!+#REF!+#REF!+H367)</f>
        <v>#REF!</v>
      </c>
      <c r="J367" s="247" t="e">
        <f t="shared" si="36"/>
        <v>#REF!</v>
      </c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  <c r="AA367" s="47"/>
      <c r="AB367" s="47"/>
      <c r="AC367" s="47"/>
      <c r="AD367" s="47"/>
    </row>
    <row r="368" spans="1:30" ht="15.75" customHeight="1">
      <c r="A368" s="51"/>
      <c r="B368" s="52" t="str">
        <f t="shared" si="37"/>
        <v/>
      </c>
      <c r="C368" t="str">
        <f t="shared" si="38"/>
        <v/>
      </c>
      <c r="D368" s="245" t="str">
        <f t="shared" si="39"/>
        <v/>
      </c>
      <c r="E368" s="534"/>
      <c r="F368" s="534"/>
      <c r="G368" s="198"/>
      <c r="H368" s="246" t="str">
        <f t="shared" si="34"/>
        <v/>
      </c>
      <c r="I368" s="199" t="e">
        <f>IF(#REF!="","",#REF!+G368+#REF!+#REF!+#REF!+H368)</f>
        <v>#REF!</v>
      </c>
      <c r="J368" s="247" t="e">
        <f t="shared" si="36"/>
        <v>#REF!</v>
      </c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  <c r="AA368" s="47"/>
      <c r="AB368" s="47"/>
      <c r="AC368" s="47"/>
      <c r="AD368" s="47"/>
    </row>
    <row r="369" spans="1:30" ht="15.75" customHeight="1">
      <c r="A369" s="51"/>
      <c r="B369" s="52" t="str">
        <f t="shared" si="37"/>
        <v/>
      </c>
      <c r="C369" t="str">
        <f t="shared" si="38"/>
        <v/>
      </c>
      <c r="D369" s="245" t="str">
        <f t="shared" si="39"/>
        <v/>
      </c>
      <c r="E369" s="534"/>
      <c r="F369" s="534"/>
      <c r="G369" s="198"/>
      <c r="H369" s="246" t="str">
        <f t="shared" si="34"/>
        <v/>
      </c>
      <c r="I369" s="199" t="e">
        <f>IF(#REF!="","",#REF!+G369+#REF!+#REF!+#REF!+H369)</f>
        <v>#REF!</v>
      </c>
      <c r="J369" s="247" t="e">
        <f t="shared" si="36"/>
        <v>#REF!</v>
      </c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  <c r="AA369" s="47"/>
      <c r="AB369" s="47"/>
      <c r="AC369" s="47"/>
      <c r="AD369" s="47"/>
    </row>
    <row r="370" spans="1:30" ht="15.75" customHeight="1">
      <c r="A370" s="51"/>
      <c r="B370" s="52" t="str">
        <f t="shared" si="37"/>
        <v/>
      </c>
      <c r="C370" t="str">
        <f t="shared" si="38"/>
        <v/>
      </c>
      <c r="D370" s="245" t="str">
        <f t="shared" si="39"/>
        <v/>
      </c>
      <c r="E370" s="534"/>
      <c r="F370" s="534"/>
      <c r="G370" s="198"/>
      <c r="H370" s="246" t="str">
        <f t="shared" si="34"/>
        <v/>
      </c>
      <c r="I370" s="199" t="e">
        <f>IF(#REF!="","",#REF!+G370+#REF!+#REF!+#REF!+H370)</f>
        <v>#REF!</v>
      </c>
      <c r="J370" s="247" t="e">
        <f t="shared" si="36"/>
        <v>#REF!</v>
      </c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  <c r="AA370" s="47"/>
      <c r="AB370" s="47"/>
      <c r="AC370" s="47"/>
      <c r="AD370" s="47"/>
    </row>
    <row r="371" spans="1:30" ht="15.75" customHeight="1">
      <c r="A371" s="51"/>
      <c r="B371" s="52" t="str">
        <f t="shared" si="37"/>
        <v/>
      </c>
      <c r="C371" t="str">
        <f t="shared" si="38"/>
        <v/>
      </c>
      <c r="D371" s="245" t="str">
        <f t="shared" si="39"/>
        <v/>
      </c>
      <c r="E371" s="534"/>
      <c r="F371" s="534"/>
      <c r="G371" s="198"/>
      <c r="H371" s="246" t="str">
        <f t="shared" si="34"/>
        <v/>
      </c>
      <c r="I371" s="199" t="e">
        <f>IF(#REF!="","",#REF!+G371+#REF!+#REF!+#REF!+H371)</f>
        <v>#REF!</v>
      </c>
      <c r="J371" s="247" t="e">
        <f t="shared" si="36"/>
        <v>#REF!</v>
      </c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  <c r="AA371" s="47"/>
      <c r="AB371" s="47"/>
      <c r="AC371" s="47"/>
      <c r="AD371" s="47"/>
    </row>
    <row r="372" spans="1:30" ht="15.75" customHeight="1">
      <c r="A372" s="51"/>
      <c r="B372" s="52" t="str">
        <f t="shared" si="37"/>
        <v/>
      </c>
      <c r="C372" t="str">
        <f t="shared" si="38"/>
        <v/>
      </c>
      <c r="D372" s="245" t="str">
        <f t="shared" si="39"/>
        <v/>
      </c>
      <c r="E372" s="534"/>
      <c r="F372" s="534"/>
      <c r="G372" s="198"/>
      <c r="H372" s="246" t="str">
        <f t="shared" si="34"/>
        <v/>
      </c>
      <c r="I372" s="199" t="e">
        <f>IF(#REF!="","",#REF!+G372+#REF!+#REF!+#REF!+H372)</f>
        <v>#REF!</v>
      </c>
      <c r="J372" s="247" t="e">
        <f t="shared" si="36"/>
        <v>#REF!</v>
      </c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  <c r="AA372" s="47"/>
      <c r="AB372" s="47"/>
      <c r="AC372" s="47"/>
      <c r="AD372" s="47"/>
    </row>
    <row r="373" spans="1:30" ht="15.75" customHeight="1">
      <c r="A373" s="51"/>
      <c r="B373" s="52" t="str">
        <f t="shared" si="37"/>
        <v/>
      </c>
      <c r="C373" t="str">
        <f t="shared" si="38"/>
        <v/>
      </c>
      <c r="D373" s="245" t="str">
        <f t="shared" si="39"/>
        <v/>
      </c>
      <c r="E373" s="534"/>
      <c r="F373" s="534"/>
      <c r="G373" s="198"/>
      <c r="H373" s="246" t="str">
        <f t="shared" si="34"/>
        <v/>
      </c>
      <c r="I373" s="199" t="e">
        <f>IF(#REF!="","",#REF!+G373+#REF!+#REF!+#REF!+H373)</f>
        <v>#REF!</v>
      </c>
      <c r="J373" s="247" t="e">
        <f t="shared" si="36"/>
        <v>#REF!</v>
      </c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  <c r="AA373" s="47"/>
      <c r="AB373" s="47"/>
      <c r="AC373" s="47"/>
      <c r="AD373" s="47"/>
    </row>
    <row r="374" spans="1:30" ht="15.75" customHeight="1">
      <c r="A374" s="51"/>
      <c r="B374" s="52" t="str">
        <f t="shared" si="37"/>
        <v/>
      </c>
      <c r="C374" t="str">
        <f t="shared" si="38"/>
        <v/>
      </c>
      <c r="D374" s="245" t="str">
        <f t="shared" si="39"/>
        <v/>
      </c>
      <c r="E374" s="534"/>
      <c r="F374" s="534"/>
      <c r="G374" s="198"/>
      <c r="H374" s="246" t="str">
        <f t="shared" si="34"/>
        <v/>
      </c>
      <c r="I374" s="199" t="e">
        <f>IF(#REF!="","",#REF!+G374+#REF!+#REF!+#REF!+H374)</f>
        <v>#REF!</v>
      </c>
      <c r="J374" s="247" t="e">
        <f t="shared" si="36"/>
        <v>#REF!</v>
      </c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  <c r="AA374" s="47"/>
      <c r="AB374" s="47"/>
      <c r="AC374" s="47"/>
      <c r="AD374" s="47"/>
    </row>
    <row r="375" spans="1:30" ht="15.75" customHeight="1">
      <c r="A375" s="51"/>
      <c r="B375" s="52" t="str">
        <f t="shared" si="37"/>
        <v/>
      </c>
      <c r="C375" t="str">
        <f t="shared" si="38"/>
        <v/>
      </c>
      <c r="D375" s="245" t="str">
        <f t="shared" si="39"/>
        <v/>
      </c>
      <c r="E375" s="534"/>
      <c r="F375" s="534"/>
      <c r="G375" s="198"/>
      <c r="H375" s="246" t="str">
        <f t="shared" si="34"/>
        <v/>
      </c>
      <c r="I375" s="199" t="e">
        <f>IF(#REF!="","",#REF!+G375+#REF!+#REF!+#REF!+H375)</f>
        <v>#REF!</v>
      </c>
      <c r="J375" s="247" t="e">
        <f t="shared" si="36"/>
        <v>#REF!</v>
      </c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  <c r="AA375" s="47"/>
      <c r="AB375" s="47"/>
      <c r="AC375" s="47"/>
      <c r="AD375" s="47"/>
    </row>
    <row r="376" spans="1:30" ht="15.75" customHeight="1">
      <c r="A376" s="51"/>
      <c r="B376" s="52" t="str">
        <f t="shared" si="37"/>
        <v/>
      </c>
      <c r="C376" t="str">
        <f t="shared" si="38"/>
        <v/>
      </c>
      <c r="D376" s="245" t="str">
        <f t="shared" si="39"/>
        <v/>
      </c>
      <c r="E376" s="534"/>
      <c r="F376" s="534"/>
      <c r="G376" s="198"/>
      <c r="H376" s="246" t="str">
        <f t="shared" si="34"/>
        <v/>
      </c>
      <c r="I376" s="199" t="e">
        <f>IF(#REF!="","",#REF!+G376+#REF!+#REF!+#REF!+H376)</f>
        <v>#REF!</v>
      </c>
      <c r="J376" s="247" t="e">
        <f t="shared" si="36"/>
        <v>#REF!</v>
      </c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  <c r="AA376" s="47"/>
      <c r="AB376" s="47"/>
      <c r="AC376" s="47"/>
      <c r="AD376" s="47"/>
    </row>
    <row r="377" spans="1:30" ht="15.75" customHeight="1">
      <c r="A377" s="51"/>
      <c r="B377" s="52" t="str">
        <f t="shared" si="37"/>
        <v/>
      </c>
      <c r="C377" t="str">
        <f t="shared" si="38"/>
        <v/>
      </c>
      <c r="D377" s="245" t="str">
        <f t="shared" si="39"/>
        <v/>
      </c>
      <c r="E377" s="534"/>
      <c r="F377" s="534"/>
      <c r="G377" s="198"/>
      <c r="H377" s="246" t="str">
        <f t="shared" si="34"/>
        <v/>
      </c>
      <c r="I377" s="199" t="e">
        <f>IF(#REF!="","",#REF!+G377+#REF!+#REF!+#REF!+H377)</f>
        <v>#REF!</v>
      </c>
      <c r="J377" s="247" t="e">
        <f t="shared" si="36"/>
        <v>#REF!</v>
      </c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  <c r="AA377" s="47"/>
      <c r="AB377" s="47"/>
      <c r="AC377" s="47"/>
      <c r="AD377" s="47"/>
    </row>
    <row r="378" spans="1:30" ht="15.75" customHeight="1">
      <c r="A378" s="51"/>
      <c r="B378" s="52" t="str">
        <f t="shared" si="37"/>
        <v/>
      </c>
      <c r="C378" t="str">
        <f t="shared" si="38"/>
        <v/>
      </c>
      <c r="D378" s="245" t="str">
        <f t="shared" si="39"/>
        <v/>
      </c>
      <c r="E378" s="534"/>
      <c r="F378" s="534"/>
      <c r="G378" s="198"/>
      <c r="H378" s="246" t="str">
        <f t="shared" si="34"/>
        <v/>
      </c>
      <c r="I378" s="199" t="e">
        <f>IF(#REF!="","",#REF!+G378+#REF!+#REF!+#REF!+H378)</f>
        <v>#REF!</v>
      </c>
      <c r="J378" s="247" t="e">
        <f t="shared" si="36"/>
        <v>#REF!</v>
      </c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  <c r="AA378" s="47"/>
      <c r="AB378" s="47"/>
      <c r="AC378" s="47"/>
      <c r="AD378" s="47"/>
    </row>
    <row r="379" spans="1:30" ht="15.75" customHeight="1">
      <c r="A379" s="51"/>
      <c r="B379" s="52" t="str">
        <f t="shared" si="37"/>
        <v/>
      </c>
      <c r="C379" t="str">
        <f t="shared" si="38"/>
        <v/>
      </c>
      <c r="D379" s="245" t="str">
        <f t="shared" si="39"/>
        <v/>
      </c>
      <c r="E379" s="534"/>
      <c r="F379" s="534"/>
      <c r="G379" s="198"/>
      <c r="H379" s="246" t="str">
        <f t="shared" si="34"/>
        <v/>
      </c>
      <c r="I379" s="199" t="e">
        <f>IF(#REF!="","",#REF!+G379+#REF!+#REF!+#REF!+H379)</f>
        <v>#REF!</v>
      </c>
      <c r="J379" s="247" t="e">
        <f t="shared" si="36"/>
        <v>#REF!</v>
      </c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  <c r="AA379" s="47"/>
      <c r="AB379" s="47"/>
      <c r="AC379" s="47"/>
      <c r="AD379" s="47"/>
    </row>
    <row r="380" spans="1:30" ht="15.75" customHeight="1">
      <c r="A380" s="51"/>
      <c r="B380" s="52" t="str">
        <f t="shared" si="37"/>
        <v/>
      </c>
      <c r="C380" t="str">
        <f t="shared" si="38"/>
        <v/>
      </c>
      <c r="D380" s="245" t="str">
        <f t="shared" si="39"/>
        <v/>
      </c>
      <c r="E380" s="534"/>
      <c r="F380" s="534"/>
      <c r="G380" s="198"/>
      <c r="H380" s="246" t="str">
        <f t="shared" si="34"/>
        <v/>
      </c>
      <c r="I380" s="199" t="e">
        <f>IF(#REF!="","",#REF!+G380+#REF!+#REF!+#REF!+H380)</f>
        <v>#REF!</v>
      </c>
      <c r="J380" s="247" t="e">
        <f t="shared" si="36"/>
        <v>#REF!</v>
      </c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  <c r="AA380" s="47"/>
      <c r="AB380" s="47"/>
      <c r="AC380" s="47"/>
      <c r="AD380" s="47"/>
    </row>
    <row r="381" spans="1:30" ht="15.75" customHeight="1">
      <c r="A381" s="51"/>
      <c r="B381" s="52" t="str">
        <f t="shared" si="37"/>
        <v/>
      </c>
      <c r="C381" t="str">
        <f t="shared" si="38"/>
        <v/>
      </c>
      <c r="D381" s="245" t="str">
        <f t="shared" si="39"/>
        <v/>
      </c>
      <c r="E381" s="534"/>
      <c r="F381" s="534"/>
      <c r="G381" s="198"/>
      <c r="H381" s="246" t="str">
        <f t="shared" si="34"/>
        <v/>
      </c>
      <c r="I381" s="199" t="e">
        <f>IF(#REF!="","",#REF!+G381+#REF!+#REF!+#REF!+H381)</f>
        <v>#REF!</v>
      </c>
      <c r="J381" s="247" t="e">
        <f t="shared" si="36"/>
        <v>#REF!</v>
      </c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  <c r="AA381" s="47"/>
      <c r="AB381" s="47"/>
      <c r="AC381" s="47"/>
      <c r="AD381" s="47"/>
    </row>
    <row r="382" spans="1:30" ht="15.75" customHeight="1">
      <c r="A382" s="51"/>
      <c r="B382" s="52" t="str">
        <f t="shared" si="37"/>
        <v/>
      </c>
      <c r="C382" t="str">
        <f t="shared" si="38"/>
        <v/>
      </c>
      <c r="D382" s="245" t="str">
        <f t="shared" si="39"/>
        <v/>
      </c>
      <c r="E382" s="534"/>
      <c r="F382" s="534"/>
      <c r="G382" s="198"/>
      <c r="H382" s="246" t="str">
        <f t="shared" si="34"/>
        <v/>
      </c>
      <c r="I382" s="199" t="e">
        <f>IF(#REF!="","",#REF!+G382+#REF!+#REF!+#REF!+H382)</f>
        <v>#REF!</v>
      </c>
      <c r="J382" s="247" t="e">
        <f t="shared" si="36"/>
        <v>#REF!</v>
      </c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7"/>
      <c r="AB382" s="47"/>
      <c r="AC382" s="47"/>
      <c r="AD382" s="47"/>
    </row>
    <row r="383" spans="1:30" ht="15.75" customHeight="1">
      <c r="A383" s="51"/>
      <c r="B383" s="52" t="str">
        <f t="shared" si="37"/>
        <v/>
      </c>
      <c r="C383" t="str">
        <f t="shared" si="38"/>
        <v/>
      </c>
      <c r="D383" s="245" t="str">
        <f t="shared" si="39"/>
        <v/>
      </c>
      <c r="E383" s="534"/>
      <c r="F383" s="534"/>
      <c r="G383" s="198"/>
      <c r="H383" s="246" t="str">
        <f t="shared" si="34"/>
        <v/>
      </c>
      <c r="I383" s="199" t="e">
        <f>IF(#REF!="","",#REF!+G383+#REF!+#REF!+#REF!+H383)</f>
        <v>#REF!</v>
      </c>
      <c r="J383" s="247" t="e">
        <f t="shared" si="36"/>
        <v>#REF!</v>
      </c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  <c r="AA383" s="47"/>
      <c r="AB383" s="47"/>
      <c r="AC383" s="47"/>
      <c r="AD383" s="47"/>
    </row>
    <row r="384" spans="1:30" ht="15.75" customHeight="1">
      <c r="A384" s="51"/>
      <c r="B384" s="52" t="str">
        <f t="shared" si="37"/>
        <v/>
      </c>
      <c r="C384" t="str">
        <f t="shared" si="38"/>
        <v/>
      </c>
      <c r="D384" s="245" t="str">
        <f t="shared" si="39"/>
        <v/>
      </c>
      <c r="E384" s="534"/>
      <c r="F384" s="534"/>
      <c r="G384" s="198"/>
      <c r="H384" s="246" t="str">
        <f t="shared" si="34"/>
        <v/>
      </c>
      <c r="I384" s="199" t="e">
        <f>IF(#REF!="","",#REF!+G384+#REF!+#REF!+#REF!+H384)</f>
        <v>#REF!</v>
      </c>
      <c r="J384" s="247" t="e">
        <f t="shared" si="36"/>
        <v>#REF!</v>
      </c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  <c r="AA384" s="47"/>
      <c r="AB384" s="47"/>
      <c r="AC384" s="47"/>
      <c r="AD384" s="47"/>
    </row>
    <row r="385" spans="1:30" ht="15.75" customHeight="1">
      <c r="A385" s="51"/>
      <c r="B385" s="52" t="str">
        <f t="shared" si="37"/>
        <v/>
      </c>
      <c r="C385" t="str">
        <f t="shared" si="38"/>
        <v/>
      </c>
      <c r="D385" s="245" t="str">
        <f t="shared" si="39"/>
        <v/>
      </c>
      <c r="E385" s="534"/>
      <c r="F385" s="534"/>
      <c r="G385" s="198"/>
      <c r="H385" s="246" t="str">
        <f t="shared" si="34"/>
        <v/>
      </c>
      <c r="I385" s="199" t="e">
        <f>IF(#REF!="","",#REF!+G385+#REF!+#REF!+#REF!+H385)</f>
        <v>#REF!</v>
      </c>
      <c r="J385" s="247" t="e">
        <f t="shared" si="36"/>
        <v>#REF!</v>
      </c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  <c r="AA385" s="47"/>
      <c r="AB385" s="47"/>
      <c r="AC385" s="47"/>
      <c r="AD385" s="47"/>
    </row>
    <row r="386" spans="1:30" ht="15.75" customHeight="1">
      <c r="A386" s="51"/>
      <c r="B386" s="52" t="str">
        <f t="shared" si="37"/>
        <v/>
      </c>
      <c r="C386" t="str">
        <f t="shared" ref="C386:C449" si="40">IF(A386&lt;&gt;"",TEXT(A386,"aaaa"),"")</f>
        <v/>
      </c>
      <c r="D386" s="245" t="str">
        <f t="shared" si="39"/>
        <v/>
      </c>
      <c r="E386" s="534"/>
      <c r="F386" s="534"/>
      <c r="G386" s="198"/>
      <c r="H386" s="246" t="str">
        <f t="shared" si="34"/>
        <v/>
      </c>
      <c r="I386" s="199" t="e">
        <f>IF(#REF!="","",#REF!+G386+#REF!+#REF!+#REF!+H386)</f>
        <v>#REF!</v>
      </c>
      <c r="J386" s="247" t="e">
        <f t="shared" si="36"/>
        <v>#REF!</v>
      </c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  <c r="AA386" s="47"/>
      <c r="AB386" s="47"/>
      <c r="AC386" s="47"/>
      <c r="AD386" s="47"/>
    </row>
    <row r="387" spans="1:30" ht="15.75" customHeight="1">
      <c r="A387" s="51"/>
      <c r="B387" s="52" t="str">
        <f t="shared" si="37"/>
        <v/>
      </c>
      <c r="C387" t="str">
        <f t="shared" si="40"/>
        <v/>
      </c>
      <c r="D387" s="245" t="str">
        <f t="shared" si="39"/>
        <v/>
      </c>
      <c r="E387" s="534"/>
      <c r="F387" s="534"/>
      <c r="G387" s="198"/>
      <c r="H387" s="246" t="str">
        <f t="shared" si="34"/>
        <v/>
      </c>
      <c r="I387" s="199" t="e">
        <f>IF(#REF!="","",#REF!+G387+#REF!+#REF!+#REF!+H387)</f>
        <v>#REF!</v>
      </c>
      <c r="J387" s="247" t="e">
        <f t="shared" si="36"/>
        <v>#REF!</v>
      </c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  <c r="AA387" s="47"/>
      <c r="AB387" s="47"/>
      <c r="AC387" s="47"/>
      <c r="AD387" s="47"/>
    </row>
    <row r="388" spans="1:30" ht="15.75" customHeight="1">
      <c r="A388" s="51"/>
      <c r="B388" s="52" t="str">
        <f t="shared" si="37"/>
        <v/>
      </c>
      <c r="C388" t="str">
        <f t="shared" si="40"/>
        <v/>
      </c>
      <c r="D388" s="245" t="str">
        <f t="shared" si="39"/>
        <v/>
      </c>
      <c r="E388" s="534"/>
      <c r="F388" s="534"/>
      <c r="G388" s="198"/>
      <c r="H388" s="246" t="str">
        <f t="shared" si="34"/>
        <v/>
      </c>
      <c r="I388" s="199" t="e">
        <f>IF(#REF!="","",#REF!+G388+#REF!+#REF!+#REF!+H388)</f>
        <v>#REF!</v>
      </c>
      <c r="J388" s="247" t="e">
        <f t="shared" si="36"/>
        <v>#REF!</v>
      </c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  <c r="AA388" s="47"/>
      <c r="AB388" s="47"/>
      <c r="AC388" s="47"/>
      <c r="AD388" s="47"/>
    </row>
    <row r="389" spans="1:30" ht="15.75" customHeight="1">
      <c r="A389" s="51"/>
      <c r="B389" s="52" t="str">
        <f t="shared" si="37"/>
        <v/>
      </c>
      <c r="C389" t="str">
        <f t="shared" si="40"/>
        <v/>
      </c>
      <c r="D389" s="245" t="str">
        <f t="shared" si="39"/>
        <v/>
      </c>
      <c r="E389" s="534"/>
      <c r="F389" s="534"/>
      <c r="G389" s="198"/>
      <c r="H389" s="246" t="str">
        <f t="shared" si="34"/>
        <v/>
      </c>
      <c r="I389" s="199" t="e">
        <f>IF(#REF!="","",#REF!+G389+#REF!+#REF!+#REF!+H389)</f>
        <v>#REF!</v>
      </c>
      <c r="J389" s="247" t="e">
        <f t="shared" si="36"/>
        <v>#REF!</v>
      </c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  <c r="AA389" s="47"/>
      <c r="AB389" s="47"/>
      <c r="AC389" s="47"/>
      <c r="AD389" s="47"/>
    </row>
    <row r="390" spans="1:30" ht="15.75" customHeight="1">
      <c r="A390" s="51"/>
      <c r="B390" s="52" t="str">
        <f t="shared" si="37"/>
        <v/>
      </c>
      <c r="C390" t="str">
        <f t="shared" si="40"/>
        <v/>
      </c>
      <c r="D390" s="245" t="str">
        <f t="shared" si="39"/>
        <v/>
      </c>
      <c r="E390" s="534"/>
      <c r="F390" s="534"/>
      <c r="G390" s="198"/>
      <c r="H390" s="246" t="str">
        <f t="shared" si="34"/>
        <v/>
      </c>
      <c r="I390" s="199" t="e">
        <f>IF(#REF!="","",#REF!+G390+#REF!+#REF!+#REF!+H390)</f>
        <v>#REF!</v>
      </c>
      <c r="J390" s="247" t="e">
        <f t="shared" si="36"/>
        <v>#REF!</v>
      </c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  <c r="AA390" s="47"/>
      <c r="AB390" s="47"/>
      <c r="AC390" s="47"/>
      <c r="AD390" s="47"/>
    </row>
    <row r="391" spans="1:30" ht="15.75" customHeight="1">
      <c r="A391" s="51"/>
      <c r="B391" s="52" t="str">
        <f t="shared" si="37"/>
        <v/>
      </c>
      <c r="C391" t="str">
        <f t="shared" si="40"/>
        <v/>
      </c>
      <c r="D391" s="245" t="str">
        <f t="shared" si="39"/>
        <v/>
      </c>
      <c r="E391" s="534"/>
      <c r="F391" s="534"/>
      <c r="G391" s="198"/>
      <c r="H391" s="246" t="str">
        <f t="shared" si="34"/>
        <v/>
      </c>
      <c r="I391" s="199" t="e">
        <f>IF(#REF!="","",#REF!+G391+#REF!+#REF!+#REF!+H391)</f>
        <v>#REF!</v>
      </c>
      <c r="J391" s="247" t="e">
        <f t="shared" si="36"/>
        <v>#REF!</v>
      </c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  <c r="AA391" s="47"/>
      <c r="AB391" s="47"/>
      <c r="AC391" s="47"/>
      <c r="AD391" s="47"/>
    </row>
    <row r="392" spans="1:30" ht="15.75" customHeight="1">
      <c r="A392" s="51"/>
      <c r="B392" s="52" t="str">
        <f t="shared" ref="B392:B455" si="41">IF(A392="","",TEXT(A392,"DDDD"))</f>
        <v/>
      </c>
      <c r="C392" t="str">
        <f t="shared" si="40"/>
        <v/>
      </c>
      <c r="D392" s="245" t="str">
        <f t="shared" si="39"/>
        <v/>
      </c>
      <c r="E392" s="534"/>
      <c r="F392" s="534"/>
      <c r="G392" s="198"/>
      <c r="H392" s="246" t="str">
        <f t="shared" ref="H392:H455" si="42">IF(G392=0,"",G392*$H$5)</f>
        <v/>
      </c>
      <c r="I392" s="199" t="e">
        <f>IF(#REF!="","",#REF!+G392+#REF!+#REF!+#REF!+H392)</f>
        <v>#REF!</v>
      </c>
      <c r="J392" s="247" t="e">
        <f t="shared" ref="J392:J455" si="43">IF(I392=0,"",I392-H392)</f>
        <v>#REF!</v>
      </c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  <c r="AA392" s="47"/>
      <c r="AB392" s="47"/>
      <c r="AC392" s="47"/>
      <c r="AD392" s="47"/>
    </row>
    <row r="393" spans="1:30" ht="15.75" customHeight="1">
      <c r="A393" s="51"/>
      <c r="B393" s="52" t="str">
        <f t="shared" si="41"/>
        <v/>
      </c>
      <c r="C393" t="str">
        <f t="shared" si="40"/>
        <v/>
      </c>
      <c r="D393" s="245" t="str">
        <f t="shared" ref="D393:D456" si="44">IF(A393&lt;&gt;"",PROPER(TEXT(A393,"Mmmm")),"")</f>
        <v/>
      </c>
      <c r="E393" s="534"/>
      <c r="F393" s="534"/>
      <c r="G393" s="198"/>
      <c r="H393" s="246" t="str">
        <f t="shared" si="42"/>
        <v/>
      </c>
      <c r="I393" s="199" t="e">
        <f>IF(#REF!="","",#REF!+G393+#REF!+#REF!+#REF!+H393)</f>
        <v>#REF!</v>
      </c>
      <c r="J393" s="247" t="e">
        <f t="shared" si="43"/>
        <v>#REF!</v>
      </c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  <c r="AA393" s="47"/>
      <c r="AB393" s="47"/>
      <c r="AC393" s="47"/>
      <c r="AD393" s="47"/>
    </row>
    <row r="394" spans="1:30" ht="15.75" customHeight="1">
      <c r="A394" s="51"/>
      <c r="B394" s="52" t="str">
        <f t="shared" si="41"/>
        <v/>
      </c>
      <c r="C394" t="str">
        <f t="shared" si="40"/>
        <v/>
      </c>
      <c r="D394" s="245" t="str">
        <f t="shared" si="44"/>
        <v/>
      </c>
      <c r="E394" s="534"/>
      <c r="F394" s="534"/>
      <c r="G394" s="198"/>
      <c r="H394" s="246" t="str">
        <f t="shared" si="42"/>
        <v/>
      </c>
      <c r="I394" s="199" t="e">
        <f>IF(#REF!="","",#REF!+G394+#REF!+#REF!+#REF!+H394)</f>
        <v>#REF!</v>
      </c>
      <c r="J394" s="247" t="e">
        <f t="shared" si="43"/>
        <v>#REF!</v>
      </c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  <c r="AA394" s="47"/>
      <c r="AB394" s="47"/>
      <c r="AC394" s="47"/>
      <c r="AD394" s="47"/>
    </row>
    <row r="395" spans="1:30" ht="15.75" customHeight="1">
      <c r="A395" s="51"/>
      <c r="B395" s="52" t="str">
        <f t="shared" si="41"/>
        <v/>
      </c>
      <c r="C395" t="str">
        <f t="shared" si="40"/>
        <v/>
      </c>
      <c r="D395" s="245" t="str">
        <f t="shared" si="44"/>
        <v/>
      </c>
      <c r="E395" s="534"/>
      <c r="F395" s="534"/>
      <c r="G395" s="198"/>
      <c r="H395" s="246" t="str">
        <f t="shared" si="42"/>
        <v/>
      </c>
      <c r="I395" s="199" t="e">
        <f>IF(#REF!="","",#REF!+G395+#REF!+#REF!+#REF!+H395)</f>
        <v>#REF!</v>
      </c>
      <c r="J395" s="247" t="e">
        <f t="shared" si="43"/>
        <v>#REF!</v>
      </c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  <c r="AA395" s="47"/>
      <c r="AB395" s="47"/>
      <c r="AC395" s="47"/>
      <c r="AD395" s="47"/>
    </row>
    <row r="396" spans="1:30" ht="15.75" customHeight="1">
      <c r="A396" s="51"/>
      <c r="B396" s="52" t="str">
        <f t="shared" si="41"/>
        <v/>
      </c>
      <c r="C396" t="str">
        <f t="shared" si="40"/>
        <v/>
      </c>
      <c r="D396" s="245" t="str">
        <f t="shared" si="44"/>
        <v/>
      </c>
      <c r="E396" s="534"/>
      <c r="F396" s="534"/>
      <c r="G396" s="198"/>
      <c r="H396" s="246" t="str">
        <f t="shared" si="42"/>
        <v/>
      </c>
      <c r="I396" s="199" t="e">
        <f>IF(#REF!="","",#REF!+G396+#REF!+#REF!+#REF!+H396)</f>
        <v>#REF!</v>
      </c>
      <c r="J396" s="247" t="e">
        <f t="shared" si="43"/>
        <v>#REF!</v>
      </c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  <c r="AA396" s="47"/>
      <c r="AB396" s="47"/>
      <c r="AC396" s="47"/>
      <c r="AD396" s="47"/>
    </row>
    <row r="397" spans="1:30" ht="15.75" customHeight="1">
      <c r="A397" s="51"/>
      <c r="B397" s="52" t="str">
        <f t="shared" si="41"/>
        <v/>
      </c>
      <c r="C397" t="str">
        <f t="shared" si="40"/>
        <v/>
      </c>
      <c r="D397" s="245" t="str">
        <f t="shared" si="44"/>
        <v/>
      </c>
      <c r="E397" s="534"/>
      <c r="F397" s="534"/>
      <c r="G397" s="198"/>
      <c r="H397" s="246" t="str">
        <f t="shared" si="42"/>
        <v/>
      </c>
      <c r="I397" s="199" t="e">
        <f>IF(#REF!="","",#REF!+G397+#REF!+#REF!+#REF!+H397)</f>
        <v>#REF!</v>
      </c>
      <c r="J397" s="247" t="e">
        <f t="shared" si="43"/>
        <v>#REF!</v>
      </c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  <c r="AA397" s="47"/>
      <c r="AB397" s="47"/>
      <c r="AC397" s="47"/>
      <c r="AD397" s="47"/>
    </row>
    <row r="398" spans="1:30" ht="15.75" customHeight="1">
      <c r="A398" s="51"/>
      <c r="B398" s="52" t="str">
        <f t="shared" si="41"/>
        <v/>
      </c>
      <c r="C398" t="str">
        <f t="shared" si="40"/>
        <v/>
      </c>
      <c r="D398" s="245" t="str">
        <f t="shared" si="44"/>
        <v/>
      </c>
      <c r="E398" s="534"/>
      <c r="F398" s="534"/>
      <c r="G398" s="198"/>
      <c r="H398" s="246" t="str">
        <f t="shared" si="42"/>
        <v/>
      </c>
      <c r="I398" s="199" t="e">
        <f>IF(#REF!="","",#REF!+G398+#REF!+#REF!+#REF!+H398)</f>
        <v>#REF!</v>
      </c>
      <c r="J398" s="247" t="e">
        <f t="shared" si="43"/>
        <v>#REF!</v>
      </c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  <c r="AA398" s="47"/>
      <c r="AB398" s="47"/>
      <c r="AC398" s="47"/>
      <c r="AD398" s="47"/>
    </row>
    <row r="399" spans="1:30" ht="15.75" customHeight="1">
      <c r="A399" s="51"/>
      <c r="B399" s="52" t="str">
        <f t="shared" si="41"/>
        <v/>
      </c>
      <c r="C399" t="str">
        <f t="shared" si="40"/>
        <v/>
      </c>
      <c r="D399" s="245" t="str">
        <f t="shared" si="44"/>
        <v/>
      </c>
      <c r="E399" s="534"/>
      <c r="F399" s="534"/>
      <c r="G399" s="198"/>
      <c r="H399" s="246" t="str">
        <f t="shared" si="42"/>
        <v/>
      </c>
      <c r="I399" s="199" t="e">
        <f>IF(#REF!="","",#REF!+G399+#REF!+#REF!+#REF!+H399)</f>
        <v>#REF!</v>
      </c>
      <c r="J399" s="247" t="e">
        <f t="shared" si="43"/>
        <v>#REF!</v>
      </c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  <c r="AA399" s="47"/>
      <c r="AB399" s="47"/>
      <c r="AC399" s="47"/>
      <c r="AD399" s="47"/>
    </row>
    <row r="400" spans="1:30" ht="15.75" customHeight="1">
      <c r="A400" s="51"/>
      <c r="B400" s="52" t="str">
        <f t="shared" si="41"/>
        <v/>
      </c>
      <c r="C400" t="str">
        <f t="shared" si="40"/>
        <v/>
      </c>
      <c r="D400" s="245" t="str">
        <f t="shared" si="44"/>
        <v/>
      </c>
      <c r="E400" s="534"/>
      <c r="F400" s="534"/>
      <c r="G400" s="198"/>
      <c r="H400" s="246" t="str">
        <f t="shared" si="42"/>
        <v/>
      </c>
      <c r="I400" s="199" t="e">
        <f>IF(#REF!="","",#REF!+G400+#REF!+#REF!+#REF!+H400)</f>
        <v>#REF!</v>
      </c>
      <c r="J400" s="247" t="e">
        <f t="shared" si="43"/>
        <v>#REF!</v>
      </c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  <c r="AA400" s="47"/>
      <c r="AB400" s="47"/>
      <c r="AC400" s="47"/>
      <c r="AD400" s="47"/>
    </row>
    <row r="401" spans="1:30" ht="15.75" customHeight="1">
      <c r="A401" s="51"/>
      <c r="B401" s="52" t="str">
        <f t="shared" si="41"/>
        <v/>
      </c>
      <c r="C401" t="str">
        <f t="shared" si="40"/>
        <v/>
      </c>
      <c r="D401" s="245" t="str">
        <f t="shared" si="44"/>
        <v/>
      </c>
      <c r="E401" s="534"/>
      <c r="F401" s="534"/>
      <c r="G401" s="198"/>
      <c r="H401" s="246" t="str">
        <f t="shared" si="42"/>
        <v/>
      </c>
      <c r="I401" s="199" t="e">
        <f>IF(#REF!="","",#REF!+G401+#REF!+#REF!+#REF!+H401)</f>
        <v>#REF!</v>
      </c>
      <c r="J401" s="247" t="e">
        <f t="shared" si="43"/>
        <v>#REF!</v>
      </c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  <c r="AA401" s="47"/>
      <c r="AB401" s="47"/>
      <c r="AC401" s="47"/>
      <c r="AD401" s="47"/>
    </row>
    <row r="402" spans="1:30" ht="15.75" customHeight="1">
      <c r="A402" s="51"/>
      <c r="B402" s="52" t="str">
        <f t="shared" si="41"/>
        <v/>
      </c>
      <c r="C402" t="str">
        <f t="shared" si="40"/>
        <v/>
      </c>
      <c r="D402" s="245" t="str">
        <f t="shared" si="44"/>
        <v/>
      </c>
      <c r="E402" s="534"/>
      <c r="F402" s="534"/>
      <c r="G402" s="198"/>
      <c r="H402" s="246" t="str">
        <f t="shared" si="42"/>
        <v/>
      </c>
      <c r="I402" s="199" t="e">
        <f>IF(#REF!="","",#REF!+G402+#REF!+#REF!+#REF!+H402)</f>
        <v>#REF!</v>
      </c>
      <c r="J402" s="247" t="e">
        <f t="shared" si="43"/>
        <v>#REF!</v>
      </c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  <c r="AA402" s="47"/>
      <c r="AB402" s="47"/>
      <c r="AC402" s="47"/>
      <c r="AD402" s="47"/>
    </row>
    <row r="403" spans="1:30" ht="15.75" customHeight="1">
      <c r="A403" s="51"/>
      <c r="B403" s="52" t="str">
        <f t="shared" si="41"/>
        <v/>
      </c>
      <c r="C403" t="str">
        <f t="shared" si="40"/>
        <v/>
      </c>
      <c r="D403" s="245" t="str">
        <f t="shared" si="44"/>
        <v/>
      </c>
      <c r="E403" s="534"/>
      <c r="F403" s="534"/>
      <c r="G403" s="198"/>
      <c r="H403" s="246" t="str">
        <f t="shared" si="42"/>
        <v/>
      </c>
      <c r="I403" s="199" t="e">
        <f>IF(#REF!="","",#REF!+G403+#REF!+#REF!+#REF!+H403)</f>
        <v>#REF!</v>
      </c>
      <c r="J403" s="247" t="e">
        <f t="shared" si="43"/>
        <v>#REF!</v>
      </c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  <c r="AA403" s="47"/>
      <c r="AB403" s="47"/>
      <c r="AC403" s="47"/>
      <c r="AD403" s="47"/>
    </row>
    <row r="404" spans="1:30" ht="15.75" customHeight="1">
      <c r="A404" s="51"/>
      <c r="B404" s="52" t="str">
        <f t="shared" si="41"/>
        <v/>
      </c>
      <c r="C404" t="str">
        <f t="shared" si="40"/>
        <v/>
      </c>
      <c r="D404" s="245" t="str">
        <f t="shared" si="44"/>
        <v/>
      </c>
      <c r="E404" s="534"/>
      <c r="F404" s="534"/>
      <c r="G404" s="198"/>
      <c r="H404" s="246" t="str">
        <f t="shared" si="42"/>
        <v/>
      </c>
      <c r="I404" s="199" t="e">
        <f>IF(#REF!="","",#REF!+G404+#REF!+#REF!+#REF!+H404)</f>
        <v>#REF!</v>
      </c>
      <c r="J404" s="247" t="e">
        <f t="shared" si="43"/>
        <v>#REF!</v>
      </c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  <c r="AA404" s="47"/>
      <c r="AB404" s="47"/>
      <c r="AC404" s="47"/>
      <c r="AD404" s="47"/>
    </row>
    <row r="405" spans="1:30" ht="15.75" customHeight="1">
      <c r="A405" s="51"/>
      <c r="B405" s="52" t="str">
        <f t="shared" si="41"/>
        <v/>
      </c>
      <c r="C405" t="str">
        <f t="shared" si="40"/>
        <v/>
      </c>
      <c r="D405" s="245" t="str">
        <f t="shared" si="44"/>
        <v/>
      </c>
      <c r="E405" s="534"/>
      <c r="F405" s="534"/>
      <c r="G405" s="198"/>
      <c r="H405" s="246" t="str">
        <f t="shared" si="42"/>
        <v/>
      </c>
      <c r="I405" s="199" t="e">
        <f>IF(#REF!="","",#REF!+G405+#REF!+#REF!+#REF!+H405)</f>
        <v>#REF!</v>
      </c>
      <c r="J405" s="247" t="e">
        <f t="shared" si="43"/>
        <v>#REF!</v>
      </c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  <c r="AA405" s="47"/>
      <c r="AB405" s="47"/>
      <c r="AC405" s="47"/>
      <c r="AD405" s="47"/>
    </row>
    <row r="406" spans="1:30" ht="15.75" customHeight="1">
      <c r="A406" s="51"/>
      <c r="B406" s="52" t="str">
        <f t="shared" si="41"/>
        <v/>
      </c>
      <c r="C406" t="str">
        <f t="shared" si="40"/>
        <v/>
      </c>
      <c r="D406" s="245" t="str">
        <f t="shared" si="44"/>
        <v/>
      </c>
      <c r="E406" s="534"/>
      <c r="F406" s="534"/>
      <c r="G406" s="198"/>
      <c r="H406" s="246" t="str">
        <f t="shared" si="42"/>
        <v/>
      </c>
      <c r="I406" s="199" t="e">
        <f>IF(#REF!="","",#REF!+G406+#REF!+#REF!+#REF!+H406)</f>
        <v>#REF!</v>
      </c>
      <c r="J406" s="247" t="e">
        <f t="shared" si="43"/>
        <v>#REF!</v>
      </c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  <c r="AA406" s="47"/>
      <c r="AB406" s="47"/>
      <c r="AC406" s="47"/>
      <c r="AD406" s="47"/>
    </row>
    <row r="407" spans="1:30" ht="15.75" customHeight="1">
      <c r="A407" s="51"/>
      <c r="B407" s="52" t="str">
        <f t="shared" si="41"/>
        <v/>
      </c>
      <c r="C407" t="str">
        <f t="shared" si="40"/>
        <v/>
      </c>
      <c r="D407" s="245" t="str">
        <f t="shared" si="44"/>
        <v/>
      </c>
      <c r="E407" s="534"/>
      <c r="F407" s="534"/>
      <c r="G407" s="198"/>
      <c r="H407" s="246" t="str">
        <f t="shared" si="42"/>
        <v/>
      </c>
      <c r="I407" s="199" t="e">
        <f>IF(#REF!="","",#REF!+G407+#REF!+#REF!+#REF!+H407)</f>
        <v>#REF!</v>
      </c>
      <c r="J407" s="247" t="e">
        <f t="shared" si="43"/>
        <v>#REF!</v>
      </c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  <c r="AA407" s="47"/>
      <c r="AB407" s="47"/>
      <c r="AC407" s="47"/>
      <c r="AD407" s="47"/>
    </row>
    <row r="408" spans="1:30" ht="15.75" customHeight="1">
      <c r="A408" s="51"/>
      <c r="B408" s="52" t="str">
        <f t="shared" si="41"/>
        <v/>
      </c>
      <c r="C408" t="str">
        <f t="shared" si="40"/>
        <v/>
      </c>
      <c r="D408" s="245" t="str">
        <f t="shared" si="44"/>
        <v/>
      </c>
      <c r="E408" s="534"/>
      <c r="F408" s="534"/>
      <c r="G408" s="198"/>
      <c r="H408" s="246" t="str">
        <f t="shared" si="42"/>
        <v/>
      </c>
      <c r="I408" s="199" t="e">
        <f>IF(#REF!="","",#REF!+G408+#REF!+#REF!+#REF!+H408)</f>
        <v>#REF!</v>
      </c>
      <c r="J408" s="247" t="e">
        <f t="shared" si="43"/>
        <v>#REF!</v>
      </c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  <c r="AA408" s="47"/>
      <c r="AB408" s="47"/>
      <c r="AC408" s="47"/>
      <c r="AD408" s="47"/>
    </row>
    <row r="409" spans="1:30" ht="15.75" customHeight="1">
      <c r="A409" s="51"/>
      <c r="B409" s="52" t="str">
        <f t="shared" si="41"/>
        <v/>
      </c>
      <c r="C409" t="str">
        <f t="shared" si="40"/>
        <v/>
      </c>
      <c r="D409" s="245" t="str">
        <f t="shared" si="44"/>
        <v/>
      </c>
      <c r="E409" s="534"/>
      <c r="F409" s="534"/>
      <c r="G409" s="198"/>
      <c r="H409" s="246" t="str">
        <f t="shared" si="42"/>
        <v/>
      </c>
      <c r="I409" s="199" t="e">
        <f>IF(#REF!="","",#REF!+G409+#REF!+#REF!+#REF!+H409)</f>
        <v>#REF!</v>
      </c>
      <c r="J409" s="247" t="e">
        <f t="shared" si="43"/>
        <v>#REF!</v>
      </c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  <c r="AA409" s="47"/>
      <c r="AB409" s="47"/>
      <c r="AC409" s="47"/>
      <c r="AD409" s="47"/>
    </row>
    <row r="410" spans="1:30" ht="15.75" customHeight="1">
      <c r="A410" s="51"/>
      <c r="B410" s="52" t="str">
        <f t="shared" si="41"/>
        <v/>
      </c>
      <c r="C410" t="str">
        <f t="shared" si="40"/>
        <v/>
      </c>
      <c r="D410" s="245" t="str">
        <f t="shared" si="44"/>
        <v/>
      </c>
      <c r="E410" s="534"/>
      <c r="F410" s="534"/>
      <c r="G410" s="198"/>
      <c r="H410" s="246" t="str">
        <f t="shared" si="42"/>
        <v/>
      </c>
      <c r="I410" s="199" t="e">
        <f>IF(#REF!="","",#REF!+G410+#REF!+#REF!+#REF!+H410)</f>
        <v>#REF!</v>
      </c>
      <c r="J410" s="247" t="e">
        <f t="shared" si="43"/>
        <v>#REF!</v>
      </c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  <c r="AA410" s="47"/>
      <c r="AB410" s="47"/>
      <c r="AC410" s="47"/>
      <c r="AD410" s="47"/>
    </row>
    <row r="411" spans="1:30" ht="15.75" customHeight="1">
      <c r="A411" s="51"/>
      <c r="B411" s="52" t="str">
        <f t="shared" si="41"/>
        <v/>
      </c>
      <c r="C411" t="str">
        <f t="shared" si="40"/>
        <v/>
      </c>
      <c r="D411" s="245" t="str">
        <f t="shared" si="44"/>
        <v/>
      </c>
      <c r="E411" s="534"/>
      <c r="F411" s="534"/>
      <c r="G411" s="198"/>
      <c r="H411" s="246" t="str">
        <f t="shared" si="42"/>
        <v/>
      </c>
      <c r="I411" s="199" t="e">
        <f>IF(#REF!="","",#REF!+G411+#REF!+#REF!+#REF!+H411)</f>
        <v>#REF!</v>
      </c>
      <c r="J411" s="247" t="e">
        <f t="shared" si="43"/>
        <v>#REF!</v>
      </c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  <c r="AA411" s="47"/>
      <c r="AB411" s="47"/>
      <c r="AC411" s="47"/>
      <c r="AD411" s="47"/>
    </row>
    <row r="412" spans="1:30" ht="15.75" customHeight="1">
      <c r="A412" s="51"/>
      <c r="B412" s="52" t="str">
        <f t="shared" si="41"/>
        <v/>
      </c>
      <c r="C412" t="str">
        <f t="shared" si="40"/>
        <v/>
      </c>
      <c r="D412" s="245" t="str">
        <f t="shared" si="44"/>
        <v/>
      </c>
      <c r="E412" s="534"/>
      <c r="F412" s="534"/>
      <c r="G412" s="198"/>
      <c r="H412" s="246" t="str">
        <f t="shared" si="42"/>
        <v/>
      </c>
      <c r="I412" s="199" t="e">
        <f>IF(#REF!="","",#REF!+G412+#REF!+#REF!+#REF!+H412)</f>
        <v>#REF!</v>
      </c>
      <c r="J412" s="247" t="e">
        <f t="shared" si="43"/>
        <v>#REF!</v>
      </c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  <c r="AA412" s="47"/>
      <c r="AB412" s="47"/>
      <c r="AC412" s="47"/>
      <c r="AD412" s="47"/>
    </row>
    <row r="413" spans="1:30" ht="15.75" customHeight="1">
      <c r="A413" s="51"/>
      <c r="B413" s="52" t="str">
        <f t="shared" si="41"/>
        <v/>
      </c>
      <c r="C413" t="str">
        <f t="shared" si="40"/>
        <v/>
      </c>
      <c r="D413" s="245" t="str">
        <f t="shared" si="44"/>
        <v/>
      </c>
      <c r="E413" s="534"/>
      <c r="F413" s="534"/>
      <c r="G413" s="198"/>
      <c r="H413" s="246" t="str">
        <f t="shared" si="42"/>
        <v/>
      </c>
      <c r="I413" s="199" t="e">
        <f>IF(#REF!="","",#REF!+G413+#REF!+#REF!+#REF!+H413)</f>
        <v>#REF!</v>
      </c>
      <c r="J413" s="247" t="e">
        <f t="shared" si="43"/>
        <v>#REF!</v>
      </c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  <c r="AA413" s="47"/>
      <c r="AB413" s="47"/>
      <c r="AC413" s="47"/>
      <c r="AD413" s="47"/>
    </row>
    <row r="414" spans="1:30" ht="15.75" customHeight="1">
      <c r="A414" s="51"/>
      <c r="B414" s="52" t="str">
        <f t="shared" si="41"/>
        <v/>
      </c>
      <c r="C414" t="str">
        <f t="shared" si="40"/>
        <v/>
      </c>
      <c r="D414" s="245" t="str">
        <f t="shared" si="44"/>
        <v/>
      </c>
      <c r="E414" s="534"/>
      <c r="F414" s="534"/>
      <c r="G414" s="198"/>
      <c r="H414" s="246" t="str">
        <f t="shared" si="42"/>
        <v/>
      </c>
      <c r="I414" s="199" t="e">
        <f>IF(#REF!="","",#REF!+G414+#REF!+#REF!+#REF!+H414)</f>
        <v>#REF!</v>
      </c>
      <c r="J414" s="247" t="e">
        <f t="shared" si="43"/>
        <v>#REF!</v>
      </c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  <c r="AA414" s="47"/>
      <c r="AB414" s="47"/>
      <c r="AC414" s="47"/>
      <c r="AD414" s="47"/>
    </row>
    <row r="415" spans="1:30" ht="15.75" customHeight="1">
      <c r="A415" s="51"/>
      <c r="B415" s="52" t="str">
        <f t="shared" si="41"/>
        <v/>
      </c>
      <c r="C415" t="str">
        <f t="shared" si="40"/>
        <v/>
      </c>
      <c r="D415" s="245" t="str">
        <f t="shared" si="44"/>
        <v/>
      </c>
      <c r="E415" s="534"/>
      <c r="F415" s="534"/>
      <c r="G415" s="198"/>
      <c r="H415" s="246" t="str">
        <f t="shared" si="42"/>
        <v/>
      </c>
      <c r="I415" s="199" t="e">
        <f>IF(#REF!="","",#REF!+G415+#REF!+#REF!+#REF!+H415)</f>
        <v>#REF!</v>
      </c>
      <c r="J415" s="247" t="e">
        <f t="shared" si="43"/>
        <v>#REF!</v>
      </c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  <c r="AA415" s="47"/>
      <c r="AB415" s="47"/>
      <c r="AC415" s="47"/>
      <c r="AD415" s="47"/>
    </row>
    <row r="416" spans="1:30" ht="15.75" customHeight="1">
      <c r="A416" s="51"/>
      <c r="B416" s="52" t="str">
        <f t="shared" si="41"/>
        <v/>
      </c>
      <c r="C416" t="str">
        <f t="shared" si="40"/>
        <v/>
      </c>
      <c r="D416" s="245" t="str">
        <f t="shared" si="44"/>
        <v/>
      </c>
      <c r="E416" s="534"/>
      <c r="F416" s="534"/>
      <c r="G416" s="198"/>
      <c r="H416" s="246" t="str">
        <f t="shared" si="42"/>
        <v/>
      </c>
      <c r="I416" s="199" t="e">
        <f>IF(#REF!="","",#REF!+G416+#REF!+#REF!+#REF!+H416)</f>
        <v>#REF!</v>
      </c>
      <c r="J416" s="247" t="e">
        <f t="shared" si="43"/>
        <v>#REF!</v>
      </c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  <c r="AA416" s="47"/>
      <c r="AB416" s="47"/>
      <c r="AC416" s="47"/>
      <c r="AD416" s="47"/>
    </row>
    <row r="417" spans="1:30" ht="15.75" customHeight="1">
      <c r="A417" s="51"/>
      <c r="B417" s="52" t="str">
        <f t="shared" si="41"/>
        <v/>
      </c>
      <c r="C417" t="str">
        <f t="shared" si="40"/>
        <v/>
      </c>
      <c r="D417" s="245" t="str">
        <f t="shared" si="44"/>
        <v/>
      </c>
      <c r="E417" s="534"/>
      <c r="F417" s="534"/>
      <c r="G417" s="198"/>
      <c r="H417" s="246" t="str">
        <f t="shared" si="42"/>
        <v/>
      </c>
      <c r="I417" s="199" t="e">
        <f>IF(#REF!="","",#REF!+G417+#REF!+#REF!+#REF!+H417)</f>
        <v>#REF!</v>
      </c>
      <c r="J417" s="247" t="e">
        <f t="shared" si="43"/>
        <v>#REF!</v>
      </c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  <c r="AA417" s="47"/>
      <c r="AB417" s="47"/>
      <c r="AC417" s="47"/>
      <c r="AD417" s="47"/>
    </row>
    <row r="418" spans="1:30" ht="15.75" customHeight="1">
      <c r="A418" s="51"/>
      <c r="B418" s="52" t="str">
        <f t="shared" si="41"/>
        <v/>
      </c>
      <c r="C418" t="str">
        <f t="shared" si="40"/>
        <v/>
      </c>
      <c r="D418" s="245" t="str">
        <f t="shared" si="44"/>
        <v/>
      </c>
      <c r="E418" s="534"/>
      <c r="F418" s="534"/>
      <c r="G418" s="198"/>
      <c r="H418" s="246" t="str">
        <f t="shared" si="42"/>
        <v/>
      </c>
      <c r="I418" s="199" t="e">
        <f>IF(#REF!="","",#REF!+G418+#REF!+#REF!+#REF!+H418)</f>
        <v>#REF!</v>
      </c>
      <c r="J418" s="247" t="e">
        <f t="shared" si="43"/>
        <v>#REF!</v>
      </c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  <c r="AA418" s="47"/>
      <c r="AB418" s="47"/>
      <c r="AC418" s="47"/>
      <c r="AD418" s="47"/>
    </row>
    <row r="419" spans="1:30" ht="15.75" customHeight="1">
      <c r="A419" s="51"/>
      <c r="B419" s="52" t="str">
        <f t="shared" si="41"/>
        <v/>
      </c>
      <c r="C419" t="str">
        <f t="shared" si="40"/>
        <v/>
      </c>
      <c r="D419" s="245" t="str">
        <f t="shared" si="44"/>
        <v/>
      </c>
      <c r="E419" s="534"/>
      <c r="F419" s="534"/>
      <c r="G419" s="198"/>
      <c r="H419" s="246" t="str">
        <f t="shared" si="42"/>
        <v/>
      </c>
      <c r="I419" s="199" t="e">
        <f>IF(#REF!="","",#REF!+G419+#REF!+#REF!+#REF!+H419)</f>
        <v>#REF!</v>
      </c>
      <c r="J419" s="247" t="e">
        <f t="shared" si="43"/>
        <v>#REF!</v>
      </c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  <c r="AA419" s="47"/>
      <c r="AB419" s="47"/>
      <c r="AC419" s="47"/>
      <c r="AD419" s="47"/>
    </row>
    <row r="420" spans="1:30" ht="15.75" customHeight="1">
      <c r="A420" s="51"/>
      <c r="B420" s="52" t="str">
        <f t="shared" si="41"/>
        <v/>
      </c>
      <c r="C420" t="str">
        <f t="shared" si="40"/>
        <v/>
      </c>
      <c r="D420" s="245" t="str">
        <f t="shared" si="44"/>
        <v/>
      </c>
      <c r="E420" s="534"/>
      <c r="F420" s="534"/>
      <c r="G420" s="198"/>
      <c r="H420" s="246" t="str">
        <f t="shared" si="42"/>
        <v/>
      </c>
      <c r="I420" s="199" t="e">
        <f>IF(#REF!="","",#REF!+G420+#REF!+#REF!+#REF!+H420)</f>
        <v>#REF!</v>
      </c>
      <c r="J420" s="247" t="e">
        <f t="shared" si="43"/>
        <v>#REF!</v>
      </c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  <c r="AA420" s="47"/>
      <c r="AB420" s="47"/>
      <c r="AC420" s="47"/>
      <c r="AD420" s="47"/>
    </row>
    <row r="421" spans="1:30" ht="15.75" customHeight="1">
      <c r="A421" s="51"/>
      <c r="B421" s="52" t="str">
        <f t="shared" si="41"/>
        <v/>
      </c>
      <c r="C421" t="str">
        <f t="shared" si="40"/>
        <v/>
      </c>
      <c r="D421" s="245" t="str">
        <f t="shared" si="44"/>
        <v/>
      </c>
      <c r="E421" s="534"/>
      <c r="F421" s="534"/>
      <c r="G421" s="198"/>
      <c r="H421" s="246" t="str">
        <f t="shared" si="42"/>
        <v/>
      </c>
      <c r="I421" s="199" t="e">
        <f>IF(#REF!="","",#REF!+G421+#REF!+#REF!+#REF!+H421)</f>
        <v>#REF!</v>
      </c>
      <c r="J421" s="247" t="e">
        <f t="shared" si="43"/>
        <v>#REF!</v>
      </c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  <c r="AA421" s="47"/>
      <c r="AB421" s="47"/>
      <c r="AC421" s="47"/>
      <c r="AD421" s="47"/>
    </row>
    <row r="422" spans="1:30" ht="15.75" customHeight="1">
      <c r="A422" s="51"/>
      <c r="B422" s="52" t="str">
        <f t="shared" si="41"/>
        <v/>
      </c>
      <c r="C422" t="str">
        <f t="shared" si="40"/>
        <v/>
      </c>
      <c r="D422" s="245" t="str">
        <f t="shared" si="44"/>
        <v/>
      </c>
      <c r="E422" s="534"/>
      <c r="F422" s="534"/>
      <c r="G422" s="198"/>
      <c r="H422" s="246" t="str">
        <f t="shared" si="42"/>
        <v/>
      </c>
      <c r="I422" s="199" t="e">
        <f>IF(#REF!="","",#REF!+G422+#REF!+#REF!+#REF!+H422)</f>
        <v>#REF!</v>
      </c>
      <c r="J422" s="247" t="e">
        <f t="shared" si="43"/>
        <v>#REF!</v>
      </c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7"/>
      <c r="AB422" s="47"/>
      <c r="AC422" s="47"/>
      <c r="AD422" s="47"/>
    </row>
    <row r="423" spans="1:30" ht="15.75" customHeight="1">
      <c r="A423" s="51"/>
      <c r="B423" s="52" t="str">
        <f t="shared" si="41"/>
        <v/>
      </c>
      <c r="C423" t="str">
        <f t="shared" si="40"/>
        <v/>
      </c>
      <c r="D423" s="245" t="str">
        <f t="shared" si="44"/>
        <v/>
      </c>
      <c r="E423" s="534"/>
      <c r="F423" s="534"/>
      <c r="G423" s="198"/>
      <c r="H423" s="246" t="str">
        <f t="shared" si="42"/>
        <v/>
      </c>
      <c r="I423" s="199" t="e">
        <f>IF(#REF!="","",#REF!+G423+#REF!+#REF!+#REF!+H423)</f>
        <v>#REF!</v>
      </c>
      <c r="J423" s="247" t="e">
        <f t="shared" si="43"/>
        <v>#REF!</v>
      </c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  <c r="AA423" s="47"/>
      <c r="AB423" s="47"/>
      <c r="AC423" s="47"/>
      <c r="AD423" s="47"/>
    </row>
    <row r="424" spans="1:30" ht="15.75" customHeight="1">
      <c r="A424" s="51"/>
      <c r="B424" s="52" t="str">
        <f t="shared" si="41"/>
        <v/>
      </c>
      <c r="C424" t="str">
        <f t="shared" si="40"/>
        <v/>
      </c>
      <c r="D424" s="245" t="str">
        <f t="shared" si="44"/>
        <v/>
      </c>
      <c r="E424" s="534"/>
      <c r="F424" s="534"/>
      <c r="G424" s="198"/>
      <c r="H424" s="246" t="str">
        <f t="shared" si="42"/>
        <v/>
      </c>
      <c r="I424" s="199" t="e">
        <f>IF(#REF!="","",#REF!+G424+#REF!+#REF!+#REF!+H424)</f>
        <v>#REF!</v>
      </c>
      <c r="J424" s="247" t="e">
        <f t="shared" si="43"/>
        <v>#REF!</v>
      </c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  <c r="AA424" s="47"/>
      <c r="AB424" s="47"/>
      <c r="AC424" s="47"/>
      <c r="AD424" s="47"/>
    </row>
    <row r="425" spans="1:30" ht="15.75" customHeight="1">
      <c r="A425" s="51"/>
      <c r="B425" s="52" t="str">
        <f t="shared" si="41"/>
        <v/>
      </c>
      <c r="C425" t="str">
        <f t="shared" si="40"/>
        <v/>
      </c>
      <c r="D425" s="245" t="str">
        <f t="shared" si="44"/>
        <v/>
      </c>
      <c r="E425" s="534"/>
      <c r="F425" s="534"/>
      <c r="G425" s="198"/>
      <c r="H425" s="246" t="str">
        <f t="shared" si="42"/>
        <v/>
      </c>
      <c r="I425" s="199" t="e">
        <f>IF(#REF!="","",#REF!+G425+#REF!+#REF!+#REF!+H425)</f>
        <v>#REF!</v>
      </c>
      <c r="J425" s="247" t="e">
        <f t="shared" si="43"/>
        <v>#REF!</v>
      </c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  <c r="AA425" s="47"/>
      <c r="AB425" s="47"/>
      <c r="AC425" s="47"/>
      <c r="AD425" s="47"/>
    </row>
    <row r="426" spans="1:30" ht="15.75" customHeight="1">
      <c r="A426" s="51"/>
      <c r="B426" s="52" t="str">
        <f t="shared" si="41"/>
        <v/>
      </c>
      <c r="C426" t="str">
        <f t="shared" si="40"/>
        <v/>
      </c>
      <c r="D426" s="245" t="str">
        <f t="shared" si="44"/>
        <v/>
      </c>
      <c r="E426" s="534"/>
      <c r="F426" s="534"/>
      <c r="G426" s="198"/>
      <c r="H426" s="246" t="str">
        <f t="shared" si="42"/>
        <v/>
      </c>
      <c r="I426" s="199" t="e">
        <f>IF(#REF!="","",#REF!+G426+#REF!+#REF!+#REF!+H426)</f>
        <v>#REF!</v>
      </c>
      <c r="J426" s="247" t="e">
        <f t="shared" si="43"/>
        <v>#REF!</v>
      </c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  <c r="AA426" s="47"/>
      <c r="AB426" s="47"/>
      <c r="AC426" s="47"/>
      <c r="AD426" s="47"/>
    </row>
    <row r="427" spans="1:30" ht="15.75" customHeight="1">
      <c r="A427" s="51"/>
      <c r="B427" s="52" t="str">
        <f t="shared" si="41"/>
        <v/>
      </c>
      <c r="C427" t="str">
        <f t="shared" si="40"/>
        <v/>
      </c>
      <c r="D427" s="245" t="str">
        <f t="shared" si="44"/>
        <v/>
      </c>
      <c r="E427" s="534"/>
      <c r="F427" s="534"/>
      <c r="G427" s="198"/>
      <c r="H427" s="246" t="str">
        <f t="shared" si="42"/>
        <v/>
      </c>
      <c r="I427" s="199" t="e">
        <f>IF(#REF!="","",#REF!+G427+#REF!+#REF!+#REF!+H427)</f>
        <v>#REF!</v>
      </c>
      <c r="J427" s="247" t="e">
        <f t="shared" si="43"/>
        <v>#REF!</v>
      </c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  <c r="AA427" s="47"/>
      <c r="AB427" s="47"/>
      <c r="AC427" s="47"/>
      <c r="AD427" s="47"/>
    </row>
    <row r="428" spans="1:30" ht="15.75" customHeight="1">
      <c r="A428" s="51"/>
      <c r="B428" s="52" t="str">
        <f t="shared" si="41"/>
        <v/>
      </c>
      <c r="C428" t="str">
        <f t="shared" si="40"/>
        <v/>
      </c>
      <c r="D428" s="245" t="str">
        <f t="shared" si="44"/>
        <v/>
      </c>
      <c r="E428" s="534"/>
      <c r="F428" s="534"/>
      <c r="G428" s="198"/>
      <c r="H428" s="246" t="str">
        <f t="shared" si="42"/>
        <v/>
      </c>
      <c r="I428" s="199" t="e">
        <f>IF(#REF!="","",#REF!+G428+#REF!+#REF!+#REF!+H428)</f>
        <v>#REF!</v>
      </c>
      <c r="J428" s="247" t="e">
        <f t="shared" si="43"/>
        <v>#REF!</v>
      </c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  <c r="AA428" s="47"/>
      <c r="AB428" s="47"/>
      <c r="AC428" s="47"/>
      <c r="AD428" s="47"/>
    </row>
    <row r="429" spans="1:30" ht="15.75" customHeight="1">
      <c r="A429" s="51"/>
      <c r="B429" s="52" t="str">
        <f t="shared" si="41"/>
        <v/>
      </c>
      <c r="C429" t="str">
        <f t="shared" si="40"/>
        <v/>
      </c>
      <c r="D429" s="245" t="str">
        <f t="shared" si="44"/>
        <v/>
      </c>
      <c r="E429" s="534"/>
      <c r="F429" s="534"/>
      <c r="G429" s="198"/>
      <c r="H429" s="246" t="str">
        <f t="shared" si="42"/>
        <v/>
      </c>
      <c r="I429" s="199" t="e">
        <f>IF(#REF!="","",#REF!+G429+#REF!+#REF!+#REF!+H429)</f>
        <v>#REF!</v>
      </c>
      <c r="J429" s="247" t="e">
        <f t="shared" si="43"/>
        <v>#REF!</v>
      </c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  <c r="AA429" s="47"/>
      <c r="AB429" s="47"/>
      <c r="AC429" s="47"/>
      <c r="AD429" s="47"/>
    </row>
    <row r="430" spans="1:30" ht="15.75" customHeight="1">
      <c r="A430" s="51"/>
      <c r="B430" s="52" t="str">
        <f t="shared" si="41"/>
        <v/>
      </c>
      <c r="C430" t="str">
        <f t="shared" si="40"/>
        <v/>
      </c>
      <c r="D430" s="245" t="str">
        <f t="shared" si="44"/>
        <v/>
      </c>
      <c r="E430" s="534"/>
      <c r="F430" s="534"/>
      <c r="G430" s="198"/>
      <c r="H430" s="246" t="str">
        <f t="shared" si="42"/>
        <v/>
      </c>
      <c r="I430" s="199" t="e">
        <f>IF(#REF!="","",#REF!+G430+#REF!+#REF!+#REF!+H430)</f>
        <v>#REF!</v>
      </c>
      <c r="J430" s="247" t="e">
        <f t="shared" si="43"/>
        <v>#REF!</v>
      </c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  <c r="AA430" s="47"/>
      <c r="AB430" s="47"/>
      <c r="AC430" s="47"/>
      <c r="AD430" s="47"/>
    </row>
    <row r="431" spans="1:30" ht="15.75" customHeight="1">
      <c r="A431" s="51"/>
      <c r="B431" s="52" t="str">
        <f t="shared" si="41"/>
        <v/>
      </c>
      <c r="C431" t="str">
        <f t="shared" si="40"/>
        <v/>
      </c>
      <c r="D431" s="245" t="str">
        <f t="shared" si="44"/>
        <v/>
      </c>
      <c r="E431" s="534"/>
      <c r="F431" s="534"/>
      <c r="G431" s="198"/>
      <c r="H431" s="246" t="str">
        <f t="shared" si="42"/>
        <v/>
      </c>
      <c r="I431" s="199" t="e">
        <f>IF(#REF!="","",#REF!+G431+#REF!+#REF!+#REF!+H431)</f>
        <v>#REF!</v>
      </c>
      <c r="J431" s="247" t="e">
        <f t="shared" si="43"/>
        <v>#REF!</v>
      </c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  <c r="AA431" s="47"/>
      <c r="AB431" s="47"/>
      <c r="AC431" s="47"/>
      <c r="AD431" s="47"/>
    </row>
    <row r="432" spans="1:30" ht="15.75" customHeight="1">
      <c r="A432" s="51"/>
      <c r="B432" s="52" t="str">
        <f t="shared" si="41"/>
        <v/>
      </c>
      <c r="C432" t="str">
        <f t="shared" si="40"/>
        <v/>
      </c>
      <c r="D432" s="245" t="str">
        <f t="shared" si="44"/>
        <v/>
      </c>
      <c r="E432" s="534"/>
      <c r="F432" s="534"/>
      <c r="G432" s="198"/>
      <c r="H432" s="246" t="str">
        <f t="shared" si="42"/>
        <v/>
      </c>
      <c r="I432" s="199" t="e">
        <f>IF(#REF!="","",#REF!+G432+#REF!+#REF!+#REF!+H432)</f>
        <v>#REF!</v>
      </c>
      <c r="J432" s="247" t="e">
        <f t="shared" si="43"/>
        <v>#REF!</v>
      </c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  <c r="AA432" s="47"/>
      <c r="AB432" s="47"/>
      <c r="AC432" s="47"/>
      <c r="AD432" s="47"/>
    </row>
    <row r="433" spans="1:30" ht="15.75" customHeight="1">
      <c r="A433" s="51"/>
      <c r="B433" s="52" t="str">
        <f t="shared" si="41"/>
        <v/>
      </c>
      <c r="C433" t="str">
        <f t="shared" si="40"/>
        <v/>
      </c>
      <c r="D433" s="245" t="str">
        <f t="shared" si="44"/>
        <v/>
      </c>
      <c r="E433" s="534"/>
      <c r="F433" s="534"/>
      <c r="G433" s="198"/>
      <c r="H433" s="246" t="str">
        <f t="shared" si="42"/>
        <v/>
      </c>
      <c r="I433" s="199" t="e">
        <f>IF(#REF!="","",#REF!+G433+#REF!+#REF!+#REF!+H433)</f>
        <v>#REF!</v>
      </c>
      <c r="J433" s="247" t="e">
        <f t="shared" si="43"/>
        <v>#REF!</v>
      </c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  <c r="AA433" s="47"/>
      <c r="AB433" s="47"/>
      <c r="AC433" s="47"/>
      <c r="AD433" s="47"/>
    </row>
    <row r="434" spans="1:30" ht="15.75" customHeight="1">
      <c r="A434" s="51"/>
      <c r="B434" s="52" t="str">
        <f t="shared" si="41"/>
        <v/>
      </c>
      <c r="C434" t="str">
        <f t="shared" si="40"/>
        <v/>
      </c>
      <c r="D434" s="245" t="str">
        <f t="shared" si="44"/>
        <v/>
      </c>
      <c r="E434" s="534"/>
      <c r="F434" s="534"/>
      <c r="G434" s="198"/>
      <c r="H434" s="246" t="str">
        <f t="shared" si="42"/>
        <v/>
      </c>
      <c r="I434" s="199" t="e">
        <f>IF(#REF!="","",#REF!+G434+#REF!+#REF!+#REF!+H434)</f>
        <v>#REF!</v>
      </c>
      <c r="J434" s="247" t="e">
        <f t="shared" si="43"/>
        <v>#REF!</v>
      </c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  <c r="AA434" s="47"/>
      <c r="AB434" s="47"/>
      <c r="AC434" s="47"/>
      <c r="AD434" s="47"/>
    </row>
    <row r="435" spans="1:30" ht="15.75" customHeight="1">
      <c r="A435" s="51"/>
      <c r="B435" s="52" t="str">
        <f t="shared" si="41"/>
        <v/>
      </c>
      <c r="C435" t="str">
        <f t="shared" si="40"/>
        <v/>
      </c>
      <c r="D435" s="245" t="str">
        <f t="shared" si="44"/>
        <v/>
      </c>
      <c r="E435" s="534"/>
      <c r="F435" s="534"/>
      <c r="G435" s="198"/>
      <c r="H435" s="246" t="str">
        <f t="shared" si="42"/>
        <v/>
      </c>
      <c r="I435" s="199" t="e">
        <f>IF(#REF!="","",#REF!+G435+#REF!+#REF!+#REF!+H435)</f>
        <v>#REF!</v>
      </c>
      <c r="J435" s="247" t="e">
        <f t="shared" si="43"/>
        <v>#REF!</v>
      </c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  <c r="AA435" s="47"/>
      <c r="AB435" s="47"/>
      <c r="AC435" s="47"/>
      <c r="AD435" s="47"/>
    </row>
    <row r="436" spans="1:30" ht="15.75" customHeight="1">
      <c r="A436" s="51"/>
      <c r="B436" s="52" t="str">
        <f t="shared" si="41"/>
        <v/>
      </c>
      <c r="C436" t="str">
        <f t="shared" si="40"/>
        <v/>
      </c>
      <c r="D436" s="245" t="str">
        <f t="shared" si="44"/>
        <v/>
      </c>
      <c r="E436" s="534"/>
      <c r="F436" s="534"/>
      <c r="G436" s="198"/>
      <c r="H436" s="246" t="str">
        <f t="shared" si="42"/>
        <v/>
      </c>
      <c r="I436" s="199" t="e">
        <f>IF(#REF!="","",#REF!+G436+#REF!+#REF!+#REF!+H436)</f>
        <v>#REF!</v>
      </c>
      <c r="J436" s="247" t="e">
        <f t="shared" si="43"/>
        <v>#REF!</v>
      </c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  <c r="AA436" s="47"/>
      <c r="AB436" s="47"/>
      <c r="AC436" s="47"/>
      <c r="AD436" s="47"/>
    </row>
    <row r="437" spans="1:30" ht="15.75" customHeight="1">
      <c r="A437" s="51"/>
      <c r="B437" s="52" t="str">
        <f t="shared" si="41"/>
        <v/>
      </c>
      <c r="C437" t="str">
        <f t="shared" si="40"/>
        <v/>
      </c>
      <c r="D437" s="245" t="str">
        <f t="shared" si="44"/>
        <v/>
      </c>
      <c r="E437" s="534"/>
      <c r="F437" s="534"/>
      <c r="G437" s="198"/>
      <c r="H437" s="246" t="str">
        <f t="shared" si="42"/>
        <v/>
      </c>
      <c r="I437" s="199" t="e">
        <f>IF(#REF!="","",#REF!+G437+#REF!+#REF!+#REF!+H437)</f>
        <v>#REF!</v>
      </c>
      <c r="J437" s="247" t="e">
        <f t="shared" si="43"/>
        <v>#REF!</v>
      </c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  <c r="AA437" s="47"/>
      <c r="AB437" s="47"/>
      <c r="AC437" s="47"/>
      <c r="AD437" s="47"/>
    </row>
    <row r="438" spans="1:30" ht="15.75" customHeight="1">
      <c r="A438" s="51"/>
      <c r="B438" s="52" t="str">
        <f t="shared" si="41"/>
        <v/>
      </c>
      <c r="C438" t="str">
        <f t="shared" si="40"/>
        <v/>
      </c>
      <c r="D438" s="245" t="str">
        <f t="shared" si="44"/>
        <v/>
      </c>
      <c r="E438" s="534"/>
      <c r="F438" s="534"/>
      <c r="G438" s="198"/>
      <c r="H438" s="246" t="str">
        <f t="shared" si="42"/>
        <v/>
      </c>
      <c r="I438" s="199" t="e">
        <f>IF(#REF!="","",#REF!+G438+#REF!+#REF!+#REF!+H438)</f>
        <v>#REF!</v>
      </c>
      <c r="J438" s="247" t="e">
        <f t="shared" si="43"/>
        <v>#REF!</v>
      </c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  <c r="AA438" s="47"/>
      <c r="AB438" s="47"/>
      <c r="AC438" s="47"/>
      <c r="AD438" s="47"/>
    </row>
    <row r="439" spans="1:30" ht="15.75" customHeight="1">
      <c r="A439" s="51"/>
      <c r="B439" s="52" t="str">
        <f t="shared" si="41"/>
        <v/>
      </c>
      <c r="C439" t="str">
        <f t="shared" si="40"/>
        <v/>
      </c>
      <c r="D439" s="245" t="str">
        <f t="shared" si="44"/>
        <v/>
      </c>
      <c r="E439" s="534"/>
      <c r="F439" s="534"/>
      <c r="G439" s="198"/>
      <c r="H439" s="246" t="str">
        <f t="shared" si="42"/>
        <v/>
      </c>
      <c r="I439" s="199" t="e">
        <f>IF(#REF!="","",#REF!+G439+#REF!+#REF!+#REF!+H439)</f>
        <v>#REF!</v>
      </c>
      <c r="J439" s="247" t="e">
        <f t="shared" si="43"/>
        <v>#REF!</v>
      </c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  <c r="AA439" s="47"/>
      <c r="AB439" s="47"/>
      <c r="AC439" s="47"/>
      <c r="AD439" s="47"/>
    </row>
    <row r="440" spans="1:30" ht="15.75" customHeight="1">
      <c r="A440" s="51"/>
      <c r="B440" s="52" t="str">
        <f t="shared" si="41"/>
        <v/>
      </c>
      <c r="C440" t="str">
        <f t="shared" si="40"/>
        <v/>
      </c>
      <c r="D440" s="245" t="str">
        <f t="shared" si="44"/>
        <v/>
      </c>
      <c r="E440" s="534"/>
      <c r="F440" s="534"/>
      <c r="G440" s="198"/>
      <c r="H440" s="246" t="str">
        <f t="shared" si="42"/>
        <v/>
      </c>
      <c r="I440" s="199" t="e">
        <f>IF(#REF!="","",#REF!+G440+#REF!+#REF!+#REF!+H440)</f>
        <v>#REF!</v>
      </c>
      <c r="J440" s="247" t="e">
        <f t="shared" si="43"/>
        <v>#REF!</v>
      </c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  <c r="AA440" s="47"/>
      <c r="AB440" s="47"/>
      <c r="AC440" s="47"/>
      <c r="AD440" s="47"/>
    </row>
    <row r="441" spans="1:30" ht="15.75" customHeight="1">
      <c r="A441" s="51"/>
      <c r="B441" s="52" t="str">
        <f t="shared" si="41"/>
        <v/>
      </c>
      <c r="C441" t="str">
        <f t="shared" si="40"/>
        <v/>
      </c>
      <c r="D441" s="245" t="str">
        <f t="shared" si="44"/>
        <v/>
      </c>
      <c r="E441" s="534"/>
      <c r="F441" s="534"/>
      <c r="G441" s="198"/>
      <c r="H441" s="246" t="str">
        <f t="shared" si="42"/>
        <v/>
      </c>
      <c r="I441" s="199" t="e">
        <f>IF(#REF!="","",#REF!+G441+#REF!+#REF!+#REF!+H441)</f>
        <v>#REF!</v>
      </c>
      <c r="J441" s="247" t="e">
        <f t="shared" si="43"/>
        <v>#REF!</v>
      </c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  <c r="AA441" s="47"/>
      <c r="AB441" s="47"/>
      <c r="AC441" s="47"/>
      <c r="AD441" s="47"/>
    </row>
    <row r="442" spans="1:30" ht="15.75" customHeight="1">
      <c r="A442" s="51"/>
      <c r="B442" s="52" t="str">
        <f t="shared" si="41"/>
        <v/>
      </c>
      <c r="C442" t="str">
        <f t="shared" si="40"/>
        <v/>
      </c>
      <c r="D442" s="245" t="str">
        <f t="shared" si="44"/>
        <v/>
      </c>
      <c r="E442" s="534"/>
      <c r="F442" s="534"/>
      <c r="G442" s="198"/>
      <c r="H442" s="246" t="str">
        <f t="shared" si="42"/>
        <v/>
      </c>
      <c r="I442" s="199" t="e">
        <f>IF(#REF!="","",#REF!+G442+#REF!+#REF!+#REF!+H442)</f>
        <v>#REF!</v>
      </c>
      <c r="J442" s="247" t="e">
        <f t="shared" si="43"/>
        <v>#REF!</v>
      </c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  <c r="AA442" s="47"/>
      <c r="AB442" s="47"/>
      <c r="AC442" s="47"/>
      <c r="AD442" s="47"/>
    </row>
    <row r="443" spans="1:30" ht="15.75" customHeight="1">
      <c r="A443" s="51"/>
      <c r="B443" s="52" t="str">
        <f t="shared" si="41"/>
        <v/>
      </c>
      <c r="C443" t="str">
        <f t="shared" si="40"/>
        <v/>
      </c>
      <c r="D443" s="245" t="str">
        <f t="shared" si="44"/>
        <v/>
      </c>
      <c r="E443" s="534"/>
      <c r="F443" s="534"/>
      <c r="G443" s="198"/>
      <c r="H443" s="246" t="str">
        <f t="shared" si="42"/>
        <v/>
      </c>
      <c r="I443" s="199" t="e">
        <f>IF(#REF!="","",#REF!+G443+#REF!+#REF!+#REF!+H443)</f>
        <v>#REF!</v>
      </c>
      <c r="J443" s="247" t="e">
        <f t="shared" si="43"/>
        <v>#REF!</v>
      </c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  <c r="AA443" s="47"/>
      <c r="AB443" s="47"/>
      <c r="AC443" s="47"/>
      <c r="AD443" s="47"/>
    </row>
    <row r="444" spans="1:30" ht="15.75" customHeight="1">
      <c r="A444" s="51"/>
      <c r="B444" s="52" t="str">
        <f t="shared" si="41"/>
        <v/>
      </c>
      <c r="C444" t="str">
        <f t="shared" si="40"/>
        <v/>
      </c>
      <c r="D444" s="245" t="str">
        <f t="shared" si="44"/>
        <v/>
      </c>
      <c r="E444" s="534"/>
      <c r="F444" s="534"/>
      <c r="G444" s="198"/>
      <c r="H444" s="246" t="str">
        <f t="shared" si="42"/>
        <v/>
      </c>
      <c r="I444" s="199" t="e">
        <f>IF(#REF!="","",#REF!+G444+#REF!+#REF!+#REF!+H444)</f>
        <v>#REF!</v>
      </c>
      <c r="J444" s="247" t="e">
        <f t="shared" si="43"/>
        <v>#REF!</v>
      </c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  <c r="AA444" s="47"/>
      <c r="AB444" s="47"/>
      <c r="AC444" s="47"/>
      <c r="AD444" s="47"/>
    </row>
    <row r="445" spans="1:30" ht="15.75" customHeight="1">
      <c r="A445" s="51"/>
      <c r="B445" s="52" t="str">
        <f t="shared" si="41"/>
        <v/>
      </c>
      <c r="C445" t="str">
        <f t="shared" si="40"/>
        <v/>
      </c>
      <c r="D445" s="245" t="str">
        <f t="shared" si="44"/>
        <v/>
      </c>
      <c r="E445" s="534"/>
      <c r="F445" s="534"/>
      <c r="G445" s="198"/>
      <c r="H445" s="246" t="str">
        <f t="shared" si="42"/>
        <v/>
      </c>
      <c r="I445" s="199" t="e">
        <f>IF(#REF!="","",#REF!+G445+#REF!+#REF!+#REF!+H445)</f>
        <v>#REF!</v>
      </c>
      <c r="J445" s="247" t="e">
        <f t="shared" si="43"/>
        <v>#REF!</v>
      </c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  <c r="AA445" s="47"/>
      <c r="AB445" s="47"/>
      <c r="AC445" s="47"/>
      <c r="AD445" s="47"/>
    </row>
    <row r="446" spans="1:30" ht="15.75" customHeight="1">
      <c r="A446" s="51"/>
      <c r="B446" s="52" t="str">
        <f t="shared" si="41"/>
        <v/>
      </c>
      <c r="C446" t="str">
        <f t="shared" si="40"/>
        <v/>
      </c>
      <c r="D446" s="245" t="str">
        <f t="shared" si="44"/>
        <v/>
      </c>
      <c r="E446" s="534"/>
      <c r="F446" s="534"/>
      <c r="G446" s="198"/>
      <c r="H446" s="246" t="str">
        <f t="shared" si="42"/>
        <v/>
      </c>
      <c r="I446" s="199" t="e">
        <f>IF(#REF!="","",#REF!+G446+#REF!+#REF!+#REF!+H446)</f>
        <v>#REF!</v>
      </c>
      <c r="J446" s="247" t="e">
        <f t="shared" si="43"/>
        <v>#REF!</v>
      </c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  <c r="AA446" s="47"/>
      <c r="AB446" s="47"/>
      <c r="AC446" s="47"/>
      <c r="AD446" s="47"/>
    </row>
    <row r="447" spans="1:30" ht="15.75" customHeight="1">
      <c r="A447" s="51"/>
      <c r="B447" s="52" t="str">
        <f t="shared" si="41"/>
        <v/>
      </c>
      <c r="C447" t="str">
        <f t="shared" si="40"/>
        <v/>
      </c>
      <c r="D447" s="245" t="str">
        <f t="shared" si="44"/>
        <v/>
      </c>
      <c r="E447" s="534"/>
      <c r="F447" s="534"/>
      <c r="G447" s="198"/>
      <c r="H447" s="246" t="str">
        <f t="shared" si="42"/>
        <v/>
      </c>
      <c r="I447" s="199" t="e">
        <f>IF(#REF!="","",#REF!+G447+#REF!+#REF!+#REF!+H447)</f>
        <v>#REF!</v>
      </c>
      <c r="J447" s="247" t="e">
        <f t="shared" si="43"/>
        <v>#REF!</v>
      </c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  <c r="AA447" s="47"/>
      <c r="AB447" s="47"/>
      <c r="AC447" s="47"/>
      <c r="AD447" s="47"/>
    </row>
    <row r="448" spans="1:30" ht="15.75" customHeight="1">
      <c r="A448" s="51"/>
      <c r="B448" s="52" t="str">
        <f t="shared" si="41"/>
        <v/>
      </c>
      <c r="C448" t="str">
        <f t="shared" si="40"/>
        <v/>
      </c>
      <c r="D448" s="245" t="str">
        <f t="shared" si="44"/>
        <v/>
      </c>
      <c r="E448" s="534"/>
      <c r="F448" s="534"/>
      <c r="G448" s="198"/>
      <c r="H448" s="246" t="str">
        <f t="shared" si="42"/>
        <v/>
      </c>
      <c r="I448" s="199" t="e">
        <f>IF(#REF!="","",#REF!+G448+#REF!+#REF!+#REF!+H448)</f>
        <v>#REF!</v>
      </c>
      <c r="J448" s="247" t="e">
        <f t="shared" si="43"/>
        <v>#REF!</v>
      </c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  <c r="AA448" s="47"/>
      <c r="AB448" s="47"/>
      <c r="AC448" s="47"/>
      <c r="AD448" s="47"/>
    </row>
    <row r="449" spans="1:30" ht="15.75" customHeight="1">
      <c r="A449" s="51"/>
      <c r="B449" s="52" t="str">
        <f t="shared" si="41"/>
        <v/>
      </c>
      <c r="C449" t="str">
        <f t="shared" si="40"/>
        <v/>
      </c>
      <c r="D449" s="245" t="str">
        <f t="shared" si="44"/>
        <v/>
      </c>
      <c r="E449" s="534"/>
      <c r="F449" s="534"/>
      <c r="G449" s="198"/>
      <c r="H449" s="246" t="str">
        <f t="shared" si="42"/>
        <v/>
      </c>
      <c r="I449" s="199" t="e">
        <f>IF(#REF!="","",#REF!+G449+#REF!+#REF!+#REF!+H449)</f>
        <v>#REF!</v>
      </c>
      <c r="J449" s="247" t="e">
        <f t="shared" si="43"/>
        <v>#REF!</v>
      </c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  <c r="AA449" s="47"/>
      <c r="AB449" s="47"/>
      <c r="AC449" s="47"/>
      <c r="AD449" s="47"/>
    </row>
    <row r="450" spans="1:30" ht="15.75" customHeight="1">
      <c r="A450" s="51"/>
      <c r="B450" s="52" t="str">
        <f t="shared" si="41"/>
        <v/>
      </c>
      <c r="C450" t="str">
        <f t="shared" ref="C450:C513" si="45">IF(A450&lt;&gt;"",TEXT(A450,"aaaa"),"")</f>
        <v/>
      </c>
      <c r="D450" s="245" t="str">
        <f t="shared" si="44"/>
        <v/>
      </c>
      <c r="E450" s="534"/>
      <c r="F450" s="534"/>
      <c r="G450" s="198"/>
      <c r="H450" s="246" t="str">
        <f t="shared" si="42"/>
        <v/>
      </c>
      <c r="I450" s="199" t="e">
        <f>IF(#REF!="","",#REF!+G450+#REF!+#REF!+#REF!+H450)</f>
        <v>#REF!</v>
      </c>
      <c r="J450" s="247" t="e">
        <f t="shared" si="43"/>
        <v>#REF!</v>
      </c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  <c r="AA450" s="47"/>
      <c r="AB450" s="47"/>
      <c r="AC450" s="47"/>
      <c r="AD450" s="47"/>
    </row>
    <row r="451" spans="1:30" ht="15.75" customHeight="1">
      <c r="A451" s="51"/>
      <c r="B451" s="52" t="str">
        <f t="shared" si="41"/>
        <v/>
      </c>
      <c r="C451" t="str">
        <f t="shared" si="45"/>
        <v/>
      </c>
      <c r="D451" s="245" t="str">
        <f t="shared" si="44"/>
        <v/>
      </c>
      <c r="E451" s="534"/>
      <c r="F451" s="534"/>
      <c r="G451" s="198"/>
      <c r="H451" s="246" t="str">
        <f t="shared" si="42"/>
        <v/>
      </c>
      <c r="I451" s="199" t="e">
        <f>IF(#REF!="","",#REF!+G451+#REF!+#REF!+#REF!+H451)</f>
        <v>#REF!</v>
      </c>
      <c r="J451" s="247" t="e">
        <f t="shared" si="43"/>
        <v>#REF!</v>
      </c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  <c r="AA451" s="47"/>
      <c r="AB451" s="47"/>
      <c r="AC451" s="47"/>
      <c r="AD451" s="47"/>
    </row>
    <row r="452" spans="1:30" ht="15.75" customHeight="1">
      <c r="A452" s="51"/>
      <c r="B452" s="52" t="str">
        <f t="shared" si="41"/>
        <v/>
      </c>
      <c r="C452" t="str">
        <f t="shared" si="45"/>
        <v/>
      </c>
      <c r="D452" s="245" t="str">
        <f t="shared" si="44"/>
        <v/>
      </c>
      <c r="E452" s="534"/>
      <c r="F452" s="534"/>
      <c r="G452" s="198"/>
      <c r="H452" s="246" t="str">
        <f t="shared" si="42"/>
        <v/>
      </c>
      <c r="I452" s="199" t="e">
        <f>IF(#REF!="","",#REF!+G452+#REF!+#REF!+#REF!+H452)</f>
        <v>#REF!</v>
      </c>
      <c r="J452" s="247" t="e">
        <f t="shared" si="43"/>
        <v>#REF!</v>
      </c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  <c r="AA452" s="47"/>
      <c r="AB452" s="47"/>
      <c r="AC452" s="47"/>
      <c r="AD452" s="47"/>
    </row>
    <row r="453" spans="1:30" ht="15.75" customHeight="1">
      <c r="A453" s="51"/>
      <c r="B453" s="52" t="str">
        <f t="shared" si="41"/>
        <v/>
      </c>
      <c r="C453" t="str">
        <f t="shared" si="45"/>
        <v/>
      </c>
      <c r="D453" s="245" t="str">
        <f t="shared" si="44"/>
        <v/>
      </c>
      <c r="E453" s="534"/>
      <c r="F453" s="534"/>
      <c r="G453" s="198"/>
      <c r="H453" s="246" t="str">
        <f t="shared" si="42"/>
        <v/>
      </c>
      <c r="I453" s="199" t="e">
        <f>IF(#REF!="","",#REF!+G453+#REF!+#REF!+#REF!+H453)</f>
        <v>#REF!</v>
      </c>
      <c r="J453" s="247" t="e">
        <f t="shared" si="43"/>
        <v>#REF!</v>
      </c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  <c r="AA453" s="47"/>
      <c r="AB453" s="47"/>
      <c r="AC453" s="47"/>
      <c r="AD453" s="47"/>
    </row>
    <row r="454" spans="1:30" ht="15.75" customHeight="1">
      <c r="A454" s="51"/>
      <c r="B454" s="52" t="str">
        <f t="shared" si="41"/>
        <v/>
      </c>
      <c r="C454" t="str">
        <f t="shared" si="45"/>
        <v/>
      </c>
      <c r="D454" s="245" t="str">
        <f t="shared" si="44"/>
        <v/>
      </c>
      <c r="E454" s="534"/>
      <c r="F454" s="534"/>
      <c r="G454" s="198"/>
      <c r="H454" s="246" t="str">
        <f t="shared" si="42"/>
        <v/>
      </c>
      <c r="I454" s="199" t="e">
        <f>IF(#REF!="","",#REF!+G454+#REF!+#REF!+#REF!+H454)</f>
        <v>#REF!</v>
      </c>
      <c r="J454" s="247" t="e">
        <f t="shared" si="43"/>
        <v>#REF!</v>
      </c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  <c r="AA454" s="47"/>
      <c r="AB454" s="47"/>
      <c r="AC454" s="47"/>
      <c r="AD454" s="47"/>
    </row>
    <row r="455" spans="1:30" ht="15.75" customHeight="1">
      <c r="A455" s="51"/>
      <c r="B455" s="52" t="str">
        <f t="shared" si="41"/>
        <v/>
      </c>
      <c r="C455" t="str">
        <f t="shared" si="45"/>
        <v/>
      </c>
      <c r="D455" s="245" t="str">
        <f t="shared" si="44"/>
        <v/>
      </c>
      <c r="E455" s="534"/>
      <c r="F455" s="534"/>
      <c r="G455" s="198"/>
      <c r="H455" s="246" t="str">
        <f t="shared" si="42"/>
        <v/>
      </c>
      <c r="I455" s="199" t="e">
        <f>IF(#REF!="","",#REF!+G455+#REF!+#REF!+#REF!+H455)</f>
        <v>#REF!</v>
      </c>
      <c r="J455" s="247" t="e">
        <f t="shared" si="43"/>
        <v>#REF!</v>
      </c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  <c r="AA455" s="47"/>
      <c r="AB455" s="47"/>
      <c r="AC455" s="47"/>
      <c r="AD455" s="47"/>
    </row>
    <row r="456" spans="1:30" ht="15.75" customHeight="1">
      <c r="A456" s="51"/>
      <c r="B456" s="52" t="str">
        <f t="shared" ref="B456:B519" si="46">IF(A456="","",TEXT(A456,"DDDD"))</f>
        <v/>
      </c>
      <c r="C456" t="str">
        <f t="shared" si="45"/>
        <v/>
      </c>
      <c r="D456" s="245" t="str">
        <f t="shared" si="44"/>
        <v/>
      </c>
      <c r="E456" s="534"/>
      <c r="F456" s="534"/>
      <c r="G456" s="198"/>
      <c r="H456" s="246" t="str">
        <f t="shared" ref="H456:H519" si="47">IF(G456=0,"",G456*$H$5)</f>
        <v/>
      </c>
      <c r="I456" s="199" t="e">
        <f>IF(#REF!="","",#REF!+G456+#REF!+#REF!+#REF!+H456)</f>
        <v>#REF!</v>
      </c>
      <c r="J456" s="247" t="e">
        <f t="shared" ref="J456:J519" si="48">IF(I456=0,"",I456-H456)</f>
        <v>#REF!</v>
      </c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  <c r="AA456" s="47"/>
      <c r="AB456" s="47"/>
      <c r="AC456" s="47"/>
      <c r="AD456" s="47"/>
    </row>
    <row r="457" spans="1:30" ht="15.75" customHeight="1">
      <c r="A457" s="51"/>
      <c r="B457" s="52" t="str">
        <f t="shared" si="46"/>
        <v/>
      </c>
      <c r="C457" t="str">
        <f t="shared" si="45"/>
        <v/>
      </c>
      <c r="D457" s="245" t="str">
        <f t="shared" ref="D457:D520" si="49">IF(A457&lt;&gt;"",PROPER(TEXT(A457,"Mmmm")),"")</f>
        <v/>
      </c>
      <c r="E457" s="534"/>
      <c r="F457" s="534"/>
      <c r="G457" s="198"/>
      <c r="H457" s="246" t="str">
        <f t="shared" si="47"/>
        <v/>
      </c>
      <c r="I457" s="199" t="e">
        <f>IF(#REF!="","",#REF!+G457+#REF!+#REF!+#REF!+H457)</f>
        <v>#REF!</v>
      </c>
      <c r="J457" s="247" t="e">
        <f t="shared" si="48"/>
        <v>#REF!</v>
      </c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  <c r="AA457" s="47"/>
      <c r="AB457" s="47"/>
      <c r="AC457" s="47"/>
      <c r="AD457" s="47"/>
    </row>
    <row r="458" spans="1:30" ht="15.75" customHeight="1">
      <c r="A458" s="51"/>
      <c r="B458" s="52" t="str">
        <f t="shared" si="46"/>
        <v/>
      </c>
      <c r="C458" t="str">
        <f t="shared" si="45"/>
        <v/>
      </c>
      <c r="D458" s="245" t="str">
        <f t="shared" si="49"/>
        <v/>
      </c>
      <c r="E458" s="534"/>
      <c r="F458" s="534"/>
      <c r="G458" s="198"/>
      <c r="H458" s="246" t="str">
        <f t="shared" si="47"/>
        <v/>
      </c>
      <c r="I458" s="199" t="e">
        <f>IF(#REF!="","",#REF!+G458+#REF!+#REF!+#REF!+H458)</f>
        <v>#REF!</v>
      </c>
      <c r="J458" s="247" t="e">
        <f t="shared" si="48"/>
        <v>#REF!</v>
      </c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  <c r="AA458" s="47"/>
      <c r="AB458" s="47"/>
      <c r="AC458" s="47"/>
      <c r="AD458" s="47"/>
    </row>
    <row r="459" spans="1:30" ht="15.75" customHeight="1">
      <c r="A459" s="51"/>
      <c r="B459" s="52" t="str">
        <f t="shared" si="46"/>
        <v/>
      </c>
      <c r="C459" t="str">
        <f t="shared" si="45"/>
        <v/>
      </c>
      <c r="D459" s="245" t="str">
        <f t="shared" si="49"/>
        <v/>
      </c>
      <c r="E459" s="534"/>
      <c r="F459" s="534"/>
      <c r="G459" s="198"/>
      <c r="H459" s="246" t="str">
        <f t="shared" si="47"/>
        <v/>
      </c>
      <c r="I459" s="199" t="e">
        <f>IF(#REF!="","",#REF!+G459+#REF!+#REF!+#REF!+H459)</f>
        <v>#REF!</v>
      </c>
      <c r="J459" s="247" t="e">
        <f t="shared" si="48"/>
        <v>#REF!</v>
      </c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  <c r="AA459" s="47"/>
      <c r="AB459" s="47"/>
      <c r="AC459" s="47"/>
      <c r="AD459" s="47"/>
    </row>
    <row r="460" spans="1:30" ht="15.75" customHeight="1">
      <c r="A460" s="51"/>
      <c r="B460" s="52" t="str">
        <f t="shared" si="46"/>
        <v/>
      </c>
      <c r="C460" t="str">
        <f t="shared" si="45"/>
        <v/>
      </c>
      <c r="D460" s="245" t="str">
        <f t="shared" si="49"/>
        <v/>
      </c>
      <c r="E460" s="534"/>
      <c r="F460" s="534"/>
      <c r="G460" s="198"/>
      <c r="H460" s="246" t="str">
        <f t="shared" si="47"/>
        <v/>
      </c>
      <c r="I460" s="199" t="e">
        <f>IF(#REF!="","",#REF!+G460+#REF!+#REF!+#REF!+H460)</f>
        <v>#REF!</v>
      </c>
      <c r="J460" s="247" t="e">
        <f t="shared" si="48"/>
        <v>#REF!</v>
      </c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  <c r="AA460" s="47"/>
      <c r="AB460" s="47"/>
      <c r="AC460" s="47"/>
      <c r="AD460" s="47"/>
    </row>
    <row r="461" spans="1:30" ht="15.75" customHeight="1">
      <c r="A461" s="51"/>
      <c r="B461" s="52" t="str">
        <f t="shared" si="46"/>
        <v/>
      </c>
      <c r="C461" t="str">
        <f t="shared" si="45"/>
        <v/>
      </c>
      <c r="D461" s="245" t="str">
        <f t="shared" si="49"/>
        <v/>
      </c>
      <c r="E461" s="534"/>
      <c r="F461" s="534"/>
      <c r="G461" s="198"/>
      <c r="H461" s="246" t="str">
        <f t="shared" si="47"/>
        <v/>
      </c>
      <c r="I461" s="199" t="e">
        <f>IF(#REF!="","",#REF!+G461+#REF!+#REF!+#REF!+H461)</f>
        <v>#REF!</v>
      </c>
      <c r="J461" s="247" t="e">
        <f t="shared" si="48"/>
        <v>#REF!</v>
      </c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  <c r="AA461" s="47"/>
      <c r="AB461" s="47"/>
      <c r="AC461" s="47"/>
      <c r="AD461" s="47"/>
    </row>
    <row r="462" spans="1:30" ht="15.75" customHeight="1">
      <c r="A462" s="51"/>
      <c r="B462" s="52" t="str">
        <f t="shared" si="46"/>
        <v/>
      </c>
      <c r="C462" t="str">
        <f t="shared" si="45"/>
        <v/>
      </c>
      <c r="D462" s="245" t="str">
        <f t="shared" si="49"/>
        <v/>
      </c>
      <c r="E462" s="534"/>
      <c r="F462" s="534"/>
      <c r="G462" s="198"/>
      <c r="H462" s="246" t="str">
        <f t="shared" si="47"/>
        <v/>
      </c>
      <c r="I462" s="199" t="e">
        <f>IF(#REF!="","",#REF!+G462+#REF!+#REF!+#REF!+H462)</f>
        <v>#REF!</v>
      </c>
      <c r="J462" s="247" t="e">
        <f t="shared" si="48"/>
        <v>#REF!</v>
      </c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7"/>
      <c r="AB462" s="47"/>
      <c r="AC462" s="47"/>
      <c r="AD462" s="47"/>
    </row>
    <row r="463" spans="1:30" ht="15.75" customHeight="1">
      <c r="A463" s="51"/>
      <c r="B463" s="52" t="str">
        <f t="shared" si="46"/>
        <v/>
      </c>
      <c r="C463" t="str">
        <f t="shared" si="45"/>
        <v/>
      </c>
      <c r="D463" s="245" t="str">
        <f t="shared" si="49"/>
        <v/>
      </c>
      <c r="E463" s="534"/>
      <c r="F463" s="534"/>
      <c r="G463" s="198"/>
      <c r="H463" s="246" t="str">
        <f t="shared" si="47"/>
        <v/>
      </c>
      <c r="I463" s="199" t="e">
        <f>IF(#REF!="","",#REF!+G463+#REF!+#REF!+#REF!+H463)</f>
        <v>#REF!</v>
      </c>
      <c r="J463" s="247" t="e">
        <f t="shared" si="48"/>
        <v>#REF!</v>
      </c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  <c r="AA463" s="47"/>
      <c r="AB463" s="47"/>
      <c r="AC463" s="47"/>
      <c r="AD463" s="47"/>
    </row>
    <row r="464" spans="1:30" ht="15.75" customHeight="1">
      <c r="A464" s="51"/>
      <c r="B464" s="52" t="str">
        <f t="shared" si="46"/>
        <v/>
      </c>
      <c r="C464" t="str">
        <f t="shared" si="45"/>
        <v/>
      </c>
      <c r="D464" s="245" t="str">
        <f t="shared" si="49"/>
        <v/>
      </c>
      <c r="E464" s="534"/>
      <c r="F464" s="534"/>
      <c r="G464" s="198"/>
      <c r="H464" s="246" t="str">
        <f t="shared" si="47"/>
        <v/>
      </c>
      <c r="I464" s="199" t="e">
        <f>IF(#REF!="","",#REF!+G464+#REF!+#REF!+#REF!+H464)</f>
        <v>#REF!</v>
      </c>
      <c r="J464" s="247" t="e">
        <f t="shared" si="48"/>
        <v>#REF!</v>
      </c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  <c r="AA464" s="47"/>
      <c r="AB464" s="47"/>
      <c r="AC464" s="47"/>
      <c r="AD464" s="47"/>
    </row>
    <row r="465" spans="1:30" ht="15.75" customHeight="1">
      <c r="A465" s="51"/>
      <c r="B465" s="52" t="str">
        <f t="shared" si="46"/>
        <v/>
      </c>
      <c r="C465" t="str">
        <f t="shared" si="45"/>
        <v/>
      </c>
      <c r="D465" s="245" t="str">
        <f t="shared" si="49"/>
        <v/>
      </c>
      <c r="E465" s="534"/>
      <c r="F465" s="534"/>
      <c r="G465" s="198"/>
      <c r="H465" s="246" t="str">
        <f t="shared" si="47"/>
        <v/>
      </c>
      <c r="I465" s="199" t="e">
        <f>IF(#REF!="","",#REF!+G465+#REF!+#REF!+#REF!+H465)</f>
        <v>#REF!</v>
      </c>
      <c r="J465" s="247" t="e">
        <f t="shared" si="48"/>
        <v>#REF!</v>
      </c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  <c r="AA465" s="47"/>
      <c r="AB465" s="47"/>
      <c r="AC465" s="47"/>
      <c r="AD465" s="47"/>
    </row>
    <row r="466" spans="1:30" ht="15.75" customHeight="1">
      <c r="A466" s="51"/>
      <c r="B466" s="52" t="str">
        <f t="shared" si="46"/>
        <v/>
      </c>
      <c r="C466" t="str">
        <f t="shared" si="45"/>
        <v/>
      </c>
      <c r="D466" s="245" t="str">
        <f t="shared" si="49"/>
        <v/>
      </c>
      <c r="E466" s="534"/>
      <c r="F466" s="534"/>
      <c r="G466" s="198"/>
      <c r="H466" s="246" t="str">
        <f t="shared" si="47"/>
        <v/>
      </c>
      <c r="I466" s="199" t="e">
        <f>IF(#REF!="","",#REF!+G466+#REF!+#REF!+#REF!+H466)</f>
        <v>#REF!</v>
      </c>
      <c r="J466" s="247" t="e">
        <f t="shared" si="48"/>
        <v>#REF!</v>
      </c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  <c r="AA466" s="47"/>
      <c r="AB466" s="47"/>
      <c r="AC466" s="47"/>
      <c r="AD466" s="47"/>
    </row>
    <row r="467" spans="1:30" ht="15.75" customHeight="1">
      <c r="A467" s="51"/>
      <c r="B467" s="52" t="str">
        <f t="shared" si="46"/>
        <v/>
      </c>
      <c r="C467" t="str">
        <f t="shared" si="45"/>
        <v/>
      </c>
      <c r="D467" s="245" t="str">
        <f t="shared" si="49"/>
        <v/>
      </c>
      <c r="E467" s="534"/>
      <c r="F467" s="534"/>
      <c r="G467" s="198"/>
      <c r="H467" s="246" t="str">
        <f t="shared" si="47"/>
        <v/>
      </c>
      <c r="I467" s="199" t="e">
        <f>IF(#REF!="","",#REF!+G467+#REF!+#REF!+#REF!+H467)</f>
        <v>#REF!</v>
      </c>
      <c r="J467" s="247" t="e">
        <f t="shared" si="48"/>
        <v>#REF!</v>
      </c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  <c r="AA467" s="47"/>
      <c r="AB467" s="47"/>
      <c r="AC467" s="47"/>
      <c r="AD467" s="47"/>
    </row>
    <row r="468" spans="1:30" ht="15.75" customHeight="1">
      <c r="A468" s="51"/>
      <c r="B468" s="52" t="str">
        <f t="shared" si="46"/>
        <v/>
      </c>
      <c r="C468" t="str">
        <f t="shared" si="45"/>
        <v/>
      </c>
      <c r="D468" s="245" t="str">
        <f t="shared" si="49"/>
        <v/>
      </c>
      <c r="E468" s="534"/>
      <c r="F468" s="534"/>
      <c r="G468" s="198"/>
      <c r="H468" s="246" t="str">
        <f t="shared" si="47"/>
        <v/>
      </c>
      <c r="I468" s="199" t="e">
        <f>IF(#REF!="","",#REF!+G468+#REF!+#REF!+#REF!+H468)</f>
        <v>#REF!</v>
      </c>
      <c r="J468" s="247" t="e">
        <f t="shared" si="48"/>
        <v>#REF!</v>
      </c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  <c r="AA468" s="47"/>
      <c r="AB468" s="47"/>
      <c r="AC468" s="47"/>
      <c r="AD468" s="47"/>
    </row>
    <row r="469" spans="1:30" ht="15.75" customHeight="1">
      <c r="A469" s="51"/>
      <c r="B469" s="52" t="str">
        <f t="shared" si="46"/>
        <v/>
      </c>
      <c r="C469" t="str">
        <f t="shared" si="45"/>
        <v/>
      </c>
      <c r="D469" s="245" t="str">
        <f t="shared" si="49"/>
        <v/>
      </c>
      <c r="E469" s="534"/>
      <c r="F469" s="534"/>
      <c r="G469" s="198"/>
      <c r="H469" s="246" t="str">
        <f t="shared" si="47"/>
        <v/>
      </c>
      <c r="I469" s="199" t="e">
        <f>IF(#REF!="","",#REF!+G469+#REF!+#REF!+#REF!+H469)</f>
        <v>#REF!</v>
      </c>
      <c r="J469" s="247" t="e">
        <f t="shared" si="48"/>
        <v>#REF!</v>
      </c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  <c r="AA469" s="47"/>
      <c r="AB469" s="47"/>
      <c r="AC469" s="47"/>
      <c r="AD469" s="47"/>
    </row>
    <row r="470" spans="1:30" ht="15.75" customHeight="1">
      <c r="A470" s="51"/>
      <c r="B470" s="52" t="str">
        <f t="shared" si="46"/>
        <v/>
      </c>
      <c r="C470" t="str">
        <f t="shared" si="45"/>
        <v/>
      </c>
      <c r="D470" s="245" t="str">
        <f t="shared" si="49"/>
        <v/>
      </c>
      <c r="E470" s="534"/>
      <c r="F470" s="534"/>
      <c r="G470" s="198"/>
      <c r="H470" s="246" t="str">
        <f t="shared" si="47"/>
        <v/>
      </c>
      <c r="I470" s="199" t="e">
        <f>IF(#REF!="","",#REF!+G470+#REF!+#REF!+#REF!+H470)</f>
        <v>#REF!</v>
      </c>
      <c r="J470" s="247" t="e">
        <f t="shared" si="48"/>
        <v>#REF!</v>
      </c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  <c r="AA470" s="47"/>
      <c r="AB470" s="47"/>
      <c r="AC470" s="47"/>
      <c r="AD470" s="47"/>
    </row>
    <row r="471" spans="1:30" ht="15.75" customHeight="1">
      <c r="A471" s="51"/>
      <c r="B471" s="52" t="str">
        <f t="shared" si="46"/>
        <v/>
      </c>
      <c r="C471" t="str">
        <f t="shared" si="45"/>
        <v/>
      </c>
      <c r="D471" s="245" t="str">
        <f t="shared" si="49"/>
        <v/>
      </c>
      <c r="E471" s="534"/>
      <c r="F471" s="534"/>
      <c r="G471" s="198"/>
      <c r="H471" s="246" t="str">
        <f t="shared" si="47"/>
        <v/>
      </c>
      <c r="I471" s="199" t="e">
        <f>IF(#REF!="","",#REF!+G471+#REF!+#REF!+#REF!+H471)</f>
        <v>#REF!</v>
      </c>
      <c r="J471" s="247" t="e">
        <f t="shared" si="48"/>
        <v>#REF!</v>
      </c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  <c r="AA471" s="47"/>
      <c r="AB471" s="47"/>
      <c r="AC471" s="47"/>
      <c r="AD471" s="47"/>
    </row>
    <row r="472" spans="1:30" ht="15.75" customHeight="1">
      <c r="A472" s="51"/>
      <c r="B472" s="52" t="str">
        <f t="shared" si="46"/>
        <v/>
      </c>
      <c r="C472" t="str">
        <f t="shared" si="45"/>
        <v/>
      </c>
      <c r="D472" s="245" t="str">
        <f t="shared" si="49"/>
        <v/>
      </c>
      <c r="E472" s="534"/>
      <c r="F472" s="534"/>
      <c r="G472" s="198"/>
      <c r="H472" s="246" t="str">
        <f t="shared" si="47"/>
        <v/>
      </c>
      <c r="I472" s="199" t="e">
        <f>IF(#REF!="","",#REF!+G472+#REF!+#REF!+#REF!+H472)</f>
        <v>#REF!</v>
      </c>
      <c r="J472" s="247" t="e">
        <f t="shared" si="48"/>
        <v>#REF!</v>
      </c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  <c r="AA472" s="47"/>
      <c r="AB472" s="47"/>
      <c r="AC472" s="47"/>
      <c r="AD472" s="47"/>
    </row>
    <row r="473" spans="1:30" ht="15.75" customHeight="1">
      <c r="A473" s="51"/>
      <c r="B473" s="52" t="str">
        <f t="shared" si="46"/>
        <v/>
      </c>
      <c r="C473" t="str">
        <f t="shared" si="45"/>
        <v/>
      </c>
      <c r="D473" s="245" t="str">
        <f t="shared" si="49"/>
        <v/>
      </c>
      <c r="E473" s="534"/>
      <c r="F473" s="534"/>
      <c r="G473" s="198"/>
      <c r="H473" s="246" t="str">
        <f t="shared" si="47"/>
        <v/>
      </c>
      <c r="I473" s="199" t="e">
        <f>IF(#REF!="","",#REF!+G473+#REF!+#REF!+#REF!+H473)</f>
        <v>#REF!</v>
      </c>
      <c r="J473" s="247" t="e">
        <f t="shared" si="48"/>
        <v>#REF!</v>
      </c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  <c r="AA473" s="47"/>
      <c r="AB473" s="47"/>
      <c r="AC473" s="47"/>
      <c r="AD473" s="47"/>
    </row>
    <row r="474" spans="1:30" ht="15.75" customHeight="1">
      <c r="A474" s="51"/>
      <c r="B474" s="52" t="str">
        <f t="shared" si="46"/>
        <v/>
      </c>
      <c r="C474" t="str">
        <f t="shared" si="45"/>
        <v/>
      </c>
      <c r="D474" s="245" t="str">
        <f t="shared" si="49"/>
        <v/>
      </c>
      <c r="E474" s="534"/>
      <c r="F474" s="534"/>
      <c r="G474" s="198"/>
      <c r="H474" s="246" t="str">
        <f t="shared" si="47"/>
        <v/>
      </c>
      <c r="I474" s="199" t="e">
        <f>IF(#REF!="","",#REF!+G474+#REF!+#REF!+#REF!+H474)</f>
        <v>#REF!</v>
      </c>
      <c r="J474" s="247" t="e">
        <f t="shared" si="48"/>
        <v>#REF!</v>
      </c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  <c r="AA474" s="47"/>
      <c r="AB474" s="47"/>
      <c r="AC474" s="47"/>
      <c r="AD474" s="47"/>
    </row>
    <row r="475" spans="1:30" ht="15.75" customHeight="1">
      <c r="A475" s="51"/>
      <c r="B475" s="52" t="str">
        <f t="shared" si="46"/>
        <v/>
      </c>
      <c r="C475" t="str">
        <f t="shared" si="45"/>
        <v/>
      </c>
      <c r="D475" s="245" t="str">
        <f t="shared" si="49"/>
        <v/>
      </c>
      <c r="E475" s="534"/>
      <c r="F475" s="534"/>
      <c r="G475" s="198"/>
      <c r="H475" s="246" t="str">
        <f t="shared" si="47"/>
        <v/>
      </c>
      <c r="I475" s="199" t="e">
        <f>IF(#REF!="","",#REF!+G475+#REF!+#REF!+#REF!+H475)</f>
        <v>#REF!</v>
      </c>
      <c r="J475" s="247" t="e">
        <f t="shared" si="48"/>
        <v>#REF!</v>
      </c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  <c r="AA475" s="47"/>
      <c r="AB475" s="47"/>
      <c r="AC475" s="47"/>
      <c r="AD475" s="47"/>
    </row>
    <row r="476" spans="1:30" ht="15.75" customHeight="1">
      <c r="A476" s="51"/>
      <c r="B476" s="52" t="str">
        <f t="shared" si="46"/>
        <v/>
      </c>
      <c r="C476" t="str">
        <f t="shared" si="45"/>
        <v/>
      </c>
      <c r="D476" s="245" t="str">
        <f t="shared" si="49"/>
        <v/>
      </c>
      <c r="E476" s="534"/>
      <c r="F476" s="534"/>
      <c r="G476" s="198"/>
      <c r="H476" s="246" t="str">
        <f t="shared" si="47"/>
        <v/>
      </c>
      <c r="I476" s="199" t="e">
        <f>IF(#REF!="","",#REF!+G476+#REF!+#REF!+#REF!+H476)</f>
        <v>#REF!</v>
      </c>
      <c r="J476" s="247" t="e">
        <f t="shared" si="48"/>
        <v>#REF!</v>
      </c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  <c r="AA476" s="47"/>
      <c r="AB476" s="47"/>
      <c r="AC476" s="47"/>
      <c r="AD476" s="47"/>
    </row>
    <row r="477" spans="1:30" ht="15.75" customHeight="1">
      <c r="A477" s="51"/>
      <c r="B477" s="52" t="str">
        <f t="shared" si="46"/>
        <v/>
      </c>
      <c r="C477" t="str">
        <f t="shared" si="45"/>
        <v/>
      </c>
      <c r="D477" s="245" t="str">
        <f t="shared" si="49"/>
        <v/>
      </c>
      <c r="E477" s="534"/>
      <c r="F477" s="534"/>
      <c r="G477" s="198"/>
      <c r="H477" s="246" t="str">
        <f t="shared" si="47"/>
        <v/>
      </c>
      <c r="I477" s="199" t="e">
        <f>IF(#REF!="","",#REF!+G477+#REF!+#REF!+#REF!+H477)</f>
        <v>#REF!</v>
      </c>
      <c r="J477" s="247" t="e">
        <f t="shared" si="48"/>
        <v>#REF!</v>
      </c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  <c r="AA477" s="47"/>
      <c r="AB477" s="47"/>
      <c r="AC477" s="47"/>
      <c r="AD477" s="47"/>
    </row>
    <row r="478" spans="1:30" ht="15.75" customHeight="1">
      <c r="A478" s="51"/>
      <c r="B478" s="52" t="str">
        <f t="shared" si="46"/>
        <v/>
      </c>
      <c r="C478" t="str">
        <f t="shared" si="45"/>
        <v/>
      </c>
      <c r="D478" s="245" t="str">
        <f t="shared" si="49"/>
        <v/>
      </c>
      <c r="E478" s="534"/>
      <c r="F478" s="534"/>
      <c r="G478" s="198"/>
      <c r="H478" s="246" t="str">
        <f t="shared" si="47"/>
        <v/>
      </c>
      <c r="I478" s="199" t="e">
        <f>IF(#REF!="","",#REF!+G478+#REF!+#REF!+#REF!+H478)</f>
        <v>#REF!</v>
      </c>
      <c r="J478" s="247" t="e">
        <f t="shared" si="48"/>
        <v>#REF!</v>
      </c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  <c r="AA478" s="47"/>
      <c r="AB478" s="47"/>
      <c r="AC478" s="47"/>
      <c r="AD478" s="47"/>
    </row>
    <row r="479" spans="1:30" ht="15.75" customHeight="1">
      <c r="A479" s="51"/>
      <c r="B479" s="52" t="str">
        <f t="shared" si="46"/>
        <v/>
      </c>
      <c r="C479" t="str">
        <f t="shared" si="45"/>
        <v/>
      </c>
      <c r="D479" s="245" t="str">
        <f t="shared" si="49"/>
        <v/>
      </c>
      <c r="E479" s="534"/>
      <c r="F479" s="534"/>
      <c r="G479" s="198"/>
      <c r="H479" s="246" t="str">
        <f t="shared" si="47"/>
        <v/>
      </c>
      <c r="I479" s="199" t="e">
        <f>IF(#REF!="","",#REF!+G479+#REF!+#REF!+#REF!+H479)</f>
        <v>#REF!</v>
      </c>
      <c r="J479" s="247" t="e">
        <f t="shared" si="48"/>
        <v>#REF!</v>
      </c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  <c r="AA479" s="47"/>
      <c r="AB479" s="47"/>
      <c r="AC479" s="47"/>
      <c r="AD479" s="47"/>
    </row>
    <row r="480" spans="1:30" ht="15.75" customHeight="1">
      <c r="A480" s="51"/>
      <c r="B480" s="52" t="str">
        <f t="shared" si="46"/>
        <v/>
      </c>
      <c r="C480" t="str">
        <f t="shared" si="45"/>
        <v/>
      </c>
      <c r="D480" s="245" t="str">
        <f t="shared" si="49"/>
        <v/>
      </c>
      <c r="E480" s="534"/>
      <c r="F480" s="534"/>
      <c r="G480" s="198"/>
      <c r="H480" s="246" t="str">
        <f t="shared" si="47"/>
        <v/>
      </c>
      <c r="I480" s="199" t="e">
        <f>IF(#REF!="","",#REF!+G480+#REF!+#REF!+#REF!+H480)</f>
        <v>#REF!</v>
      </c>
      <c r="J480" s="247" t="e">
        <f t="shared" si="48"/>
        <v>#REF!</v>
      </c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  <c r="AA480" s="47"/>
      <c r="AB480" s="47"/>
      <c r="AC480" s="47"/>
      <c r="AD480" s="47"/>
    </row>
    <row r="481" spans="1:30" ht="15.75" customHeight="1">
      <c r="A481" s="51"/>
      <c r="B481" s="52" t="str">
        <f t="shared" si="46"/>
        <v/>
      </c>
      <c r="C481" t="str">
        <f t="shared" si="45"/>
        <v/>
      </c>
      <c r="D481" s="245" t="str">
        <f t="shared" si="49"/>
        <v/>
      </c>
      <c r="E481" s="534"/>
      <c r="F481" s="534"/>
      <c r="G481" s="198"/>
      <c r="H481" s="246" t="str">
        <f t="shared" si="47"/>
        <v/>
      </c>
      <c r="I481" s="199" t="e">
        <f>IF(#REF!="","",#REF!+G481+#REF!+#REF!+#REF!+H481)</f>
        <v>#REF!</v>
      </c>
      <c r="J481" s="247" t="e">
        <f t="shared" si="48"/>
        <v>#REF!</v>
      </c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  <c r="AA481" s="47"/>
      <c r="AB481" s="47"/>
      <c r="AC481" s="47"/>
      <c r="AD481" s="47"/>
    </row>
    <row r="482" spans="1:30" ht="15.75" customHeight="1">
      <c r="A482" s="51"/>
      <c r="B482" s="52" t="str">
        <f t="shared" si="46"/>
        <v/>
      </c>
      <c r="C482" t="str">
        <f t="shared" si="45"/>
        <v/>
      </c>
      <c r="D482" s="245" t="str">
        <f t="shared" si="49"/>
        <v/>
      </c>
      <c r="E482" s="534"/>
      <c r="F482" s="534"/>
      <c r="G482" s="198"/>
      <c r="H482" s="246" t="str">
        <f t="shared" si="47"/>
        <v/>
      </c>
      <c r="I482" s="199" t="e">
        <f>IF(#REF!="","",#REF!+G482+#REF!+#REF!+#REF!+H482)</f>
        <v>#REF!</v>
      </c>
      <c r="J482" s="247" t="e">
        <f t="shared" si="48"/>
        <v>#REF!</v>
      </c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  <c r="AA482" s="47"/>
      <c r="AB482" s="47"/>
      <c r="AC482" s="47"/>
      <c r="AD482" s="47"/>
    </row>
    <row r="483" spans="1:30" ht="15.75" customHeight="1">
      <c r="A483" s="51"/>
      <c r="B483" s="52" t="str">
        <f t="shared" si="46"/>
        <v/>
      </c>
      <c r="C483" t="str">
        <f t="shared" si="45"/>
        <v/>
      </c>
      <c r="D483" s="245" t="str">
        <f t="shared" si="49"/>
        <v/>
      </c>
      <c r="E483" s="534"/>
      <c r="F483" s="534"/>
      <c r="G483" s="198"/>
      <c r="H483" s="246" t="str">
        <f t="shared" si="47"/>
        <v/>
      </c>
      <c r="I483" s="199" t="e">
        <f>IF(#REF!="","",#REF!+G483+#REF!+#REF!+#REF!+H483)</f>
        <v>#REF!</v>
      </c>
      <c r="J483" s="247" t="e">
        <f t="shared" si="48"/>
        <v>#REF!</v>
      </c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  <c r="AA483" s="47"/>
      <c r="AB483" s="47"/>
      <c r="AC483" s="47"/>
      <c r="AD483" s="47"/>
    </row>
    <row r="484" spans="1:30" ht="15.75" customHeight="1">
      <c r="A484" s="51"/>
      <c r="B484" s="52" t="str">
        <f t="shared" si="46"/>
        <v/>
      </c>
      <c r="C484" t="str">
        <f t="shared" si="45"/>
        <v/>
      </c>
      <c r="D484" s="245" t="str">
        <f t="shared" si="49"/>
        <v/>
      </c>
      <c r="E484" s="534"/>
      <c r="F484" s="534"/>
      <c r="G484" s="198"/>
      <c r="H484" s="246" t="str">
        <f t="shared" si="47"/>
        <v/>
      </c>
      <c r="I484" s="199" t="e">
        <f>IF(#REF!="","",#REF!+G484+#REF!+#REF!+#REF!+H484)</f>
        <v>#REF!</v>
      </c>
      <c r="J484" s="247" t="e">
        <f t="shared" si="48"/>
        <v>#REF!</v>
      </c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  <c r="AA484" s="47"/>
      <c r="AB484" s="47"/>
      <c r="AC484" s="47"/>
      <c r="AD484" s="47"/>
    </row>
    <row r="485" spans="1:30" ht="15.75" customHeight="1">
      <c r="A485" s="51"/>
      <c r="B485" s="52" t="str">
        <f t="shared" si="46"/>
        <v/>
      </c>
      <c r="C485" t="str">
        <f t="shared" si="45"/>
        <v/>
      </c>
      <c r="D485" s="245" t="str">
        <f t="shared" si="49"/>
        <v/>
      </c>
      <c r="E485" s="534"/>
      <c r="F485" s="534"/>
      <c r="G485" s="198"/>
      <c r="H485" s="246" t="str">
        <f t="shared" si="47"/>
        <v/>
      </c>
      <c r="I485" s="199" t="e">
        <f>IF(#REF!="","",#REF!+G485+#REF!+#REF!+#REF!+H485)</f>
        <v>#REF!</v>
      </c>
      <c r="J485" s="247" t="e">
        <f t="shared" si="48"/>
        <v>#REF!</v>
      </c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  <c r="AA485" s="47"/>
      <c r="AB485" s="47"/>
      <c r="AC485" s="47"/>
      <c r="AD485" s="47"/>
    </row>
    <row r="486" spans="1:30" ht="15.75" customHeight="1">
      <c r="A486" s="51"/>
      <c r="B486" s="52" t="str">
        <f t="shared" si="46"/>
        <v/>
      </c>
      <c r="C486" t="str">
        <f t="shared" si="45"/>
        <v/>
      </c>
      <c r="D486" s="245" t="str">
        <f t="shared" si="49"/>
        <v/>
      </c>
      <c r="E486" s="534"/>
      <c r="F486" s="534"/>
      <c r="G486" s="198"/>
      <c r="H486" s="246" t="str">
        <f t="shared" si="47"/>
        <v/>
      </c>
      <c r="I486" s="199" t="e">
        <f>IF(#REF!="","",#REF!+G486+#REF!+#REF!+#REF!+H486)</f>
        <v>#REF!</v>
      </c>
      <c r="J486" s="247" t="e">
        <f t="shared" si="48"/>
        <v>#REF!</v>
      </c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  <c r="AA486" s="47"/>
      <c r="AB486" s="47"/>
      <c r="AC486" s="47"/>
      <c r="AD486" s="47"/>
    </row>
    <row r="487" spans="1:30" ht="15.75" customHeight="1">
      <c r="A487" s="51"/>
      <c r="B487" s="52" t="str">
        <f t="shared" si="46"/>
        <v/>
      </c>
      <c r="C487" t="str">
        <f t="shared" si="45"/>
        <v/>
      </c>
      <c r="D487" s="245" t="str">
        <f t="shared" si="49"/>
        <v/>
      </c>
      <c r="E487" s="534"/>
      <c r="F487" s="534"/>
      <c r="G487" s="198"/>
      <c r="H487" s="246" t="str">
        <f t="shared" si="47"/>
        <v/>
      </c>
      <c r="I487" s="199" t="e">
        <f>IF(#REF!="","",#REF!+G487+#REF!+#REF!+#REF!+H487)</f>
        <v>#REF!</v>
      </c>
      <c r="J487" s="247" t="e">
        <f t="shared" si="48"/>
        <v>#REF!</v>
      </c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  <c r="AA487" s="47"/>
      <c r="AB487" s="47"/>
      <c r="AC487" s="47"/>
      <c r="AD487" s="47"/>
    </row>
    <row r="488" spans="1:30" ht="15.75" customHeight="1">
      <c r="A488" s="51"/>
      <c r="B488" s="52" t="str">
        <f t="shared" si="46"/>
        <v/>
      </c>
      <c r="C488" t="str">
        <f t="shared" si="45"/>
        <v/>
      </c>
      <c r="D488" s="245" t="str">
        <f t="shared" si="49"/>
        <v/>
      </c>
      <c r="E488" s="534"/>
      <c r="F488" s="534"/>
      <c r="G488" s="198"/>
      <c r="H488" s="246" t="str">
        <f t="shared" si="47"/>
        <v/>
      </c>
      <c r="I488" s="199" t="e">
        <f>IF(#REF!="","",#REF!+G488+#REF!+#REF!+#REF!+H488)</f>
        <v>#REF!</v>
      </c>
      <c r="J488" s="247" t="e">
        <f t="shared" si="48"/>
        <v>#REF!</v>
      </c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  <c r="AA488" s="47"/>
      <c r="AB488" s="47"/>
      <c r="AC488" s="47"/>
      <c r="AD488" s="47"/>
    </row>
    <row r="489" spans="1:30" ht="15.75" customHeight="1">
      <c r="A489" s="51"/>
      <c r="B489" s="52" t="str">
        <f t="shared" si="46"/>
        <v/>
      </c>
      <c r="C489" t="str">
        <f t="shared" si="45"/>
        <v/>
      </c>
      <c r="D489" s="245" t="str">
        <f t="shared" si="49"/>
        <v/>
      </c>
      <c r="E489" s="534"/>
      <c r="F489" s="534"/>
      <c r="G489" s="198"/>
      <c r="H489" s="246" t="str">
        <f t="shared" si="47"/>
        <v/>
      </c>
      <c r="I489" s="199" t="e">
        <f>IF(#REF!="","",#REF!+G489+#REF!+#REF!+#REF!+H489)</f>
        <v>#REF!</v>
      </c>
      <c r="J489" s="247" t="e">
        <f t="shared" si="48"/>
        <v>#REF!</v>
      </c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  <c r="AA489" s="47"/>
      <c r="AB489" s="47"/>
      <c r="AC489" s="47"/>
      <c r="AD489" s="47"/>
    </row>
    <row r="490" spans="1:30" ht="15.75" customHeight="1">
      <c r="A490" s="51"/>
      <c r="B490" s="52" t="str">
        <f t="shared" si="46"/>
        <v/>
      </c>
      <c r="C490" t="str">
        <f t="shared" si="45"/>
        <v/>
      </c>
      <c r="D490" s="245" t="str">
        <f t="shared" si="49"/>
        <v/>
      </c>
      <c r="E490" s="534"/>
      <c r="F490" s="534"/>
      <c r="G490" s="198"/>
      <c r="H490" s="246" t="str">
        <f t="shared" si="47"/>
        <v/>
      </c>
      <c r="I490" s="199" t="e">
        <f>IF(#REF!="","",#REF!+G490+#REF!+#REF!+#REF!+H490)</f>
        <v>#REF!</v>
      </c>
      <c r="J490" s="247" t="e">
        <f t="shared" si="48"/>
        <v>#REF!</v>
      </c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  <c r="AA490" s="47"/>
      <c r="AB490" s="47"/>
      <c r="AC490" s="47"/>
      <c r="AD490" s="47"/>
    </row>
    <row r="491" spans="1:30" ht="15.75" customHeight="1">
      <c r="A491" s="51"/>
      <c r="B491" s="52" t="str">
        <f t="shared" si="46"/>
        <v/>
      </c>
      <c r="C491" t="str">
        <f t="shared" si="45"/>
        <v/>
      </c>
      <c r="D491" s="245" t="str">
        <f t="shared" si="49"/>
        <v/>
      </c>
      <c r="E491" s="534"/>
      <c r="F491" s="534"/>
      <c r="G491" s="198"/>
      <c r="H491" s="246" t="str">
        <f t="shared" si="47"/>
        <v/>
      </c>
      <c r="I491" s="199" t="e">
        <f>IF(#REF!="","",#REF!+G491+#REF!+#REF!+#REF!+H491)</f>
        <v>#REF!</v>
      </c>
      <c r="J491" s="247" t="e">
        <f t="shared" si="48"/>
        <v>#REF!</v>
      </c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  <c r="AA491" s="47"/>
      <c r="AB491" s="47"/>
      <c r="AC491" s="47"/>
      <c r="AD491" s="47"/>
    </row>
    <row r="492" spans="1:30" ht="15.75" customHeight="1">
      <c r="A492" s="51"/>
      <c r="B492" s="52" t="str">
        <f t="shared" si="46"/>
        <v/>
      </c>
      <c r="C492" t="str">
        <f t="shared" si="45"/>
        <v/>
      </c>
      <c r="D492" s="245" t="str">
        <f t="shared" si="49"/>
        <v/>
      </c>
      <c r="E492" s="534"/>
      <c r="F492" s="534"/>
      <c r="G492" s="198"/>
      <c r="H492" s="246" t="str">
        <f t="shared" si="47"/>
        <v/>
      </c>
      <c r="I492" s="199" t="e">
        <f>IF(#REF!="","",#REF!+G492+#REF!+#REF!+#REF!+H492)</f>
        <v>#REF!</v>
      </c>
      <c r="J492" s="247" t="e">
        <f t="shared" si="48"/>
        <v>#REF!</v>
      </c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  <c r="AA492" s="47"/>
      <c r="AB492" s="47"/>
      <c r="AC492" s="47"/>
      <c r="AD492" s="47"/>
    </row>
    <row r="493" spans="1:30" ht="15.75" customHeight="1">
      <c r="A493" s="51"/>
      <c r="B493" s="52" t="str">
        <f t="shared" si="46"/>
        <v/>
      </c>
      <c r="C493" t="str">
        <f t="shared" si="45"/>
        <v/>
      </c>
      <c r="D493" s="245" t="str">
        <f t="shared" si="49"/>
        <v/>
      </c>
      <c r="E493" s="534"/>
      <c r="F493" s="534"/>
      <c r="G493" s="198"/>
      <c r="H493" s="246" t="str">
        <f t="shared" si="47"/>
        <v/>
      </c>
      <c r="I493" s="199" t="e">
        <f>IF(#REF!="","",#REF!+G493+#REF!+#REF!+#REF!+H493)</f>
        <v>#REF!</v>
      </c>
      <c r="J493" s="247" t="e">
        <f t="shared" si="48"/>
        <v>#REF!</v>
      </c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  <c r="AA493" s="47"/>
      <c r="AB493" s="47"/>
      <c r="AC493" s="47"/>
      <c r="AD493" s="47"/>
    </row>
    <row r="494" spans="1:30" ht="15.75" customHeight="1">
      <c r="A494" s="51"/>
      <c r="B494" s="52" t="str">
        <f t="shared" si="46"/>
        <v/>
      </c>
      <c r="C494" t="str">
        <f t="shared" si="45"/>
        <v/>
      </c>
      <c r="D494" s="245" t="str">
        <f t="shared" si="49"/>
        <v/>
      </c>
      <c r="E494" s="534"/>
      <c r="F494" s="534"/>
      <c r="G494" s="198"/>
      <c r="H494" s="246" t="str">
        <f t="shared" si="47"/>
        <v/>
      </c>
      <c r="I494" s="199" t="e">
        <f>IF(#REF!="","",#REF!+G494+#REF!+#REF!+#REF!+H494)</f>
        <v>#REF!</v>
      </c>
      <c r="J494" s="247" t="e">
        <f t="shared" si="48"/>
        <v>#REF!</v>
      </c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  <c r="AA494" s="47"/>
      <c r="AB494" s="47"/>
      <c r="AC494" s="47"/>
      <c r="AD494" s="47"/>
    </row>
    <row r="495" spans="1:30" ht="15.75" customHeight="1">
      <c r="A495" s="51"/>
      <c r="B495" s="52" t="str">
        <f t="shared" si="46"/>
        <v/>
      </c>
      <c r="C495" t="str">
        <f t="shared" si="45"/>
        <v/>
      </c>
      <c r="D495" s="245" t="str">
        <f t="shared" si="49"/>
        <v/>
      </c>
      <c r="E495" s="534"/>
      <c r="F495" s="534"/>
      <c r="G495" s="198"/>
      <c r="H495" s="246" t="str">
        <f t="shared" si="47"/>
        <v/>
      </c>
      <c r="I495" s="199" t="e">
        <f>IF(#REF!="","",#REF!+G495+#REF!+#REF!+#REF!+H495)</f>
        <v>#REF!</v>
      </c>
      <c r="J495" s="247" t="e">
        <f t="shared" si="48"/>
        <v>#REF!</v>
      </c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  <c r="AA495" s="47"/>
      <c r="AB495" s="47"/>
      <c r="AC495" s="47"/>
      <c r="AD495" s="47"/>
    </row>
    <row r="496" spans="1:30" ht="15.75" customHeight="1">
      <c r="A496" s="51"/>
      <c r="B496" s="52" t="str">
        <f t="shared" si="46"/>
        <v/>
      </c>
      <c r="C496" t="str">
        <f t="shared" si="45"/>
        <v/>
      </c>
      <c r="D496" s="245" t="str">
        <f t="shared" si="49"/>
        <v/>
      </c>
      <c r="E496" s="534"/>
      <c r="F496" s="534"/>
      <c r="G496" s="198"/>
      <c r="H496" s="246" t="str">
        <f t="shared" si="47"/>
        <v/>
      </c>
      <c r="I496" s="199" t="e">
        <f>IF(#REF!="","",#REF!+G496+#REF!+#REF!+#REF!+H496)</f>
        <v>#REF!</v>
      </c>
      <c r="J496" s="247" t="e">
        <f t="shared" si="48"/>
        <v>#REF!</v>
      </c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  <c r="AA496" s="47"/>
      <c r="AB496" s="47"/>
      <c r="AC496" s="47"/>
      <c r="AD496" s="47"/>
    </row>
    <row r="497" spans="1:30" ht="15.75" customHeight="1">
      <c r="A497" s="51"/>
      <c r="B497" s="52" t="str">
        <f t="shared" si="46"/>
        <v/>
      </c>
      <c r="C497" t="str">
        <f t="shared" si="45"/>
        <v/>
      </c>
      <c r="D497" s="245" t="str">
        <f t="shared" si="49"/>
        <v/>
      </c>
      <c r="E497" s="534"/>
      <c r="F497" s="534"/>
      <c r="G497" s="198"/>
      <c r="H497" s="246" t="str">
        <f t="shared" si="47"/>
        <v/>
      </c>
      <c r="I497" s="199" t="e">
        <f>IF(#REF!="","",#REF!+G497+#REF!+#REF!+#REF!+H497)</f>
        <v>#REF!</v>
      </c>
      <c r="J497" s="247" t="e">
        <f t="shared" si="48"/>
        <v>#REF!</v>
      </c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  <c r="AA497" s="47"/>
      <c r="AB497" s="47"/>
      <c r="AC497" s="47"/>
      <c r="AD497" s="47"/>
    </row>
    <row r="498" spans="1:30" ht="15.75" customHeight="1">
      <c r="A498" s="51"/>
      <c r="B498" s="52" t="str">
        <f t="shared" si="46"/>
        <v/>
      </c>
      <c r="C498" t="str">
        <f t="shared" si="45"/>
        <v/>
      </c>
      <c r="D498" s="245" t="str">
        <f t="shared" si="49"/>
        <v/>
      </c>
      <c r="E498" s="534"/>
      <c r="F498" s="534"/>
      <c r="G498" s="198"/>
      <c r="H498" s="246" t="str">
        <f t="shared" si="47"/>
        <v/>
      </c>
      <c r="I498" s="199" t="e">
        <f>IF(#REF!="","",#REF!+G498+#REF!+#REF!+#REF!+H498)</f>
        <v>#REF!</v>
      </c>
      <c r="J498" s="247" t="e">
        <f t="shared" si="48"/>
        <v>#REF!</v>
      </c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  <c r="AA498" s="47"/>
      <c r="AB498" s="47"/>
      <c r="AC498" s="47"/>
      <c r="AD498" s="47"/>
    </row>
    <row r="499" spans="1:30" ht="15.75" customHeight="1">
      <c r="A499" s="51"/>
      <c r="B499" s="52" t="str">
        <f t="shared" si="46"/>
        <v/>
      </c>
      <c r="C499" t="str">
        <f t="shared" si="45"/>
        <v/>
      </c>
      <c r="D499" s="245" t="str">
        <f t="shared" si="49"/>
        <v/>
      </c>
      <c r="E499" s="534"/>
      <c r="F499" s="534"/>
      <c r="G499" s="198"/>
      <c r="H499" s="246" t="str">
        <f t="shared" si="47"/>
        <v/>
      </c>
      <c r="I499" s="199" t="e">
        <f>IF(#REF!="","",#REF!+G499+#REF!+#REF!+#REF!+H499)</f>
        <v>#REF!</v>
      </c>
      <c r="J499" s="247" t="e">
        <f t="shared" si="48"/>
        <v>#REF!</v>
      </c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  <c r="AA499" s="47"/>
      <c r="AB499" s="47"/>
      <c r="AC499" s="47"/>
      <c r="AD499" s="47"/>
    </row>
    <row r="500" spans="1:30" ht="15.75" customHeight="1">
      <c r="A500" s="51"/>
      <c r="B500" s="52" t="str">
        <f t="shared" si="46"/>
        <v/>
      </c>
      <c r="C500" t="str">
        <f t="shared" si="45"/>
        <v/>
      </c>
      <c r="D500" s="245" t="str">
        <f t="shared" si="49"/>
        <v/>
      </c>
      <c r="E500" s="534"/>
      <c r="F500" s="534"/>
      <c r="G500" s="198"/>
      <c r="H500" s="246" t="str">
        <f t="shared" si="47"/>
        <v/>
      </c>
      <c r="I500" s="199" t="e">
        <f>IF(#REF!="","",#REF!+G500+#REF!+#REF!+#REF!+H500)</f>
        <v>#REF!</v>
      </c>
      <c r="J500" s="247" t="e">
        <f t="shared" si="48"/>
        <v>#REF!</v>
      </c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  <c r="AA500" s="47"/>
      <c r="AB500" s="47"/>
      <c r="AC500" s="47"/>
      <c r="AD500" s="47"/>
    </row>
    <row r="501" spans="1:30" ht="15.75" customHeight="1">
      <c r="A501" s="51"/>
      <c r="B501" s="52" t="str">
        <f t="shared" si="46"/>
        <v/>
      </c>
      <c r="C501" t="str">
        <f t="shared" si="45"/>
        <v/>
      </c>
      <c r="D501" s="245" t="str">
        <f t="shared" si="49"/>
        <v/>
      </c>
      <c r="E501" s="534"/>
      <c r="F501" s="534"/>
      <c r="G501" s="198"/>
      <c r="H501" s="246" t="str">
        <f t="shared" si="47"/>
        <v/>
      </c>
      <c r="I501" s="199" t="e">
        <f>IF(#REF!="","",#REF!+G501+#REF!+#REF!+#REF!+H501)</f>
        <v>#REF!</v>
      </c>
      <c r="J501" s="247" t="e">
        <f t="shared" si="48"/>
        <v>#REF!</v>
      </c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  <c r="AA501" s="47"/>
      <c r="AB501" s="47"/>
      <c r="AC501" s="47"/>
      <c r="AD501" s="47"/>
    </row>
    <row r="502" spans="1:30" ht="15.75" customHeight="1">
      <c r="A502" s="51"/>
      <c r="B502" s="52" t="str">
        <f t="shared" si="46"/>
        <v/>
      </c>
      <c r="C502" t="str">
        <f t="shared" si="45"/>
        <v/>
      </c>
      <c r="D502" s="245" t="str">
        <f t="shared" si="49"/>
        <v/>
      </c>
      <c r="E502" s="534"/>
      <c r="F502" s="534"/>
      <c r="G502" s="198"/>
      <c r="H502" s="246" t="str">
        <f t="shared" si="47"/>
        <v/>
      </c>
      <c r="I502" s="199" t="e">
        <f>IF(#REF!="","",#REF!+G502+#REF!+#REF!+#REF!+H502)</f>
        <v>#REF!</v>
      </c>
      <c r="J502" s="247" t="e">
        <f t="shared" si="48"/>
        <v>#REF!</v>
      </c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7"/>
      <c r="AB502" s="47"/>
      <c r="AC502" s="47"/>
      <c r="AD502" s="47"/>
    </row>
    <row r="503" spans="1:30" ht="15.75" customHeight="1">
      <c r="A503" s="51"/>
      <c r="B503" s="52" t="str">
        <f t="shared" si="46"/>
        <v/>
      </c>
      <c r="C503" t="str">
        <f t="shared" si="45"/>
        <v/>
      </c>
      <c r="D503" s="245" t="str">
        <f t="shared" si="49"/>
        <v/>
      </c>
      <c r="E503" s="534"/>
      <c r="F503" s="534"/>
      <c r="G503" s="198"/>
      <c r="H503" s="246" t="str">
        <f t="shared" si="47"/>
        <v/>
      </c>
      <c r="I503" s="199" t="e">
        <f>IF(#REF!="","",#REF!+G503+#REF!+#REF!+#REF!+H503)</f>
        <v>#REF!</v>
      </c>
      <c r="J503" s="247" t="e">
        <f t="shared" si="48"/>
        <v>#REF!</v>
      </c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  <c r="AA503" s="47"/>
      <c r="AB503" s="47"/>
      <c r="AC503" s="47"/>
      <c r="AD503" s="47"/>
    </row>
    <row r="504" spans="1:30" ht="15.75" customHeight="1">
      <c r="A504" s="51"/>
      <c r="B504" s="52" t="str">
        <f t="shared" si="46"/>
        <v/>
      </c>
      <c r="C504" t="str">
        <f t="shared" si="45"/>
        <v/>
      </c>
      <c r="D504" s="245" t="str">
        <f t="shared" si="49"/>
        <v/>
      </c>
      <c r="E504" s="534"/>
      <c r="F504" s="534"/>
      <c r="G504" s="198"/>
      <c r="H504" s="246" t="str">
        <f t="shared" si="47"/>
        <v/>
      </c>
      <c r="I504" s="199" t="e">
        <f>IF(#REF!="","",#REF!+G504+#REF!+#REF!+#REF!+H504)</f>
        <v>#REF!</v>
      </c>
      <c r="J504" s="247" t="e">
        <f t="shared" si="48"/>
        <v>#REF!</v>
      </c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  <c r="AA504" s="47"/>
      <c r="AB504" s="47"/>
      <c r="AC504" s="47"/>
      <c r="AD504" s="47"/>
    </row>
    <row r="505" spans="1:30" ht="15.75" customHeight="1">
      <c r="A505" s="51"/>
      <c r="B505" s="52" t="str">
        <f t="shared" si="46"/>
        <v/>
      </c>
      <c r="C505" t="str">
        <f t="shared" si="45"/>
        <v/>
      </c>
      <c r="D505" s="245" t="str">
        <f t="shared" si="49"/>
        <v/>
      </c>
      <c r="E505" s="534"/>
      <c r="F505" s="534"/>
      <c r="G505" s="198"/>
      <c r="H505" s="246" t="str">
        <f t="shared" si="47"/>
        <v/>
      </c>
      <c r="I505" s="199" t="e">
        <f>IF(#REF!="","",#REF!+G505+#REF!+#REF!+#REF!+H505)</f>
        <v>#REF!</v>
      </c>
      <c r="J505" s="247" t="e">
        <f t="shared" si="48"/>
        <v>#REF!</v>
      </c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  <c r="AA505" s="47"/>
      <c r="AB505" s="47"/>
      <c r="AC505" s="47"/>
      <c r="AD505" s="47"/>
    </row>
    <row r="506" spans="1:30" ht="15.75" customHeight="1">
      <c r="A506" s="51"/>
      <c r="B506" s="52" t="str">
        <f t="shared" si="46"/>
        <v/>
      </c>
      <c r="C506" t="str">
        <f t="shared" si="45"/>
        <v/>
      </c>
      <c r="D506" s="245" t="str">
        <f t="shared" si="49"/>
        <v/>
      </c>
      <c r="E506" s="534"/>
      <c r="F506" s="534"/>
      <c r="G506" s="198"/>
      <c r="H506" s="246" t="str">
        <f t="shared" si="47"/>
        <v/>
      </c>
      <c r="I506" s="199" t="e">
        <f>IF(#REF!="","",#REF!+G506+#REF!+#REF!+#REF!+H506)</f>
        <v>#REF!</v>
      </c>
      <c r="J506" s="247" t="e">
        <f t="shared" si="48"/>
        <v>#REF!</v>
      </c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  <c r="AA506" s="47"/>
      <c r="AB506" s="47"/>
      <c r="AC506" s="47"/>
      <c r="AD506" s="47"/>
    </row>
    <row r="507" spans="1:30" ht="15.75" customHeight="1">
      <c r="A507" s="51"/>
      <c r="B507" s="52" t="str">
        <f t="shared" si="46"/>
        <v/>
      </c>
      <c r="C507" t="str">
        <f t="shared" si="45"/>
        <v/>
      </c>
      <c r="D507" s="245" t="str">
        <f t="shared" si="49"/>
        <v/>
      </c>
      <c r="E507" s="534"/>
      <c r="F507" s="534"/>
      <c r="G507" s="198"/>
      <c r="H507" s="246" t="str">
        <f t="shared" si="47"/>
        <v/>
      </c>
      <c r="I507" s="199" t="e">
        <f>IF(#REF!="","",#REF!+G507+#REF!+#REF!+#REF!+H507)</f>
        <v>#REF!</v>
      </c>
      <c r="J507" s="247" t="e">
        <f t="shared" si="48"/>
        <v>#REF!</v>
      </c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  <c r="AA507" s="47"/>
      <c r="AB507" s="47"/>
      <c r="AC507" s="47"/>
      <c r="AD507" s="47"/>
    </row>
    <row r="508" spans="1:30" ht="15.75" customHeight="1">
      <c r="A508" s="51"/>
      <c r="B508" s="52" t="str">
        <f t="shared" si="46"/>
        <v/>
      </c>
      <c r="C508" t="str">
        <f t="shared" si="45"/>
        <v/>
      </c>
      <c r="D508" s="245" t="str">
        <f t="shared" si="49"/>
        <v/>
      </c>
      <c r="E508" s="534"/>
      <c r="F508" s="534"/>
      <c r="G508" s="198"/>
      <c r="H508" s="246" t="str">
        <f t="shared" si="47"/>
        <v/>
      </c>
      <c r="I508" s="199" t="e">
        <f>IF(#REF!="","",#REF!+G508+#REF!+#REF!+#REF!+H508)</f>
        <v>#REF!</v>
      </c>
      <c r="J508" s="247" t="e">
        <f t="shared" si="48"/>
        <v>#REF!</v>
      </c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  <c r="AA508" s="47"/>
      <c r="AB508" s="47"/>
      <c r="AC508" s="47"/>
      <c r="AD508" s="47"/>
    </row>
    <row r="509" spans="1:30" ht="15.75" customHeight="1">
      <c r="A509" s="51"/>
      <c r="B509" s="52" t="str">
        <f t="shared" si="46"/>
        <v/>
      </c>
      <c r="C509" t="str">
        <f t="shared" si="45"/>
        <v/>
      </c>
      <c r="D509" s="245" t="str">
        <f t="shared" si="49"/>
        <v/>
      </c>
      <c r="E509" s="534"/>
      <c r="F509" s="534"/>
      <c r="G509" s="198"/>
      <c r="H509" s="246" t="str">
        <f t="shared" si="47"/>
        <v/>
      </c>
      <c r="I509" s="199" t="e">
        <f>IF(#REF!="","",#REF!+G509+#REF!+#REF!+#REF!+H509)</f>
        <v>#REF!</v>
      </c>
      <c r="J509" s="247" t="e">
        <f t="shared" si="48"/>
        <v>#REF!</v>
      </c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  <c r="AA509" s="47"/>
      <c r="AB509" s="47"/>
      <c r="AC509" s="47"/>
      <c r="AD509" s="47"/>
    </row>
    <row r="510" spans="1:30" ht="15.75" customHeight="1">
      <c r="A510" s="51"/>
      <c r="B510" s="52" t="str">
        <f t="shared" si="46"/>
        <v/>
      </c>
      <c r="C510" t="str">
        <f t="shared" si="45"/>
        <v/>
      </c>
      <c r="D510" s="245" t="str">
        <f t="shared" si="49"/>
        <v/>
      </c>
      <c r="E510" s="534"/>
      <c r="F510" s="534"/>
      <c r="G510" s="198"/>
      <c r="H510" s="246" t="str">
        <f t="shared" si="47"/>
        <v/>
      </c>
      <c r="I510" s="199" t="e">
        <f>IF(#REF!="","",#REF!+G510+#REF!+#REF!+#REF!+H510)</f>
        <v>#REF!</v>
      </c>
      <c r="J510" s="247" t="e">
        <f t="shared" si="48"/>
        <v>#REF!</v>
      </c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  <c r="AA510" s="47"/>
      <c r="AB510" s="47"/>
      <c r="AC510" s="47"/>
      <c r="AD510" s="47"/>
    </row>
    <row r="511" spans="1:30" ht="15.75" customHeight="1">
      <c r="A511" s="51"/>
      <c r="B511" s="52" t="str">
        <f t="shared" si="46"/>
        <v/>
      </c>
      <c r="C511" t="str">
        <f t="shared" si="45"/>
        <v/>
      </c>
      <c r="D511" s="245" t="str">
        <f t="shared" si="49"/>
        <v/>
      </c>
      <c r="E511" s="534"/>
      <c r="F511" s="534"/>
      <c r="G511" s="198"/>
      <c r="H511" s="246" t="str">
        <f t="shared" si="47"/>
        <v/>
      </c>
      <c r="I511" s="199" t="e">
        <f>IF(#REF!="","",#REF!+G511+#REF!+#REF!+#REF!+H511)</f>
        <v>#REF!</v>
      </c>
      <c r="J511" s="247" t="e">
        <f t="shared" si="48"/>
        <v>#REF!</v>
      </c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  <c r="AA511" s="47"/>
      <c r="AB511" s="47"/>
      <c r="AC511" s="47"/>
      <c r="AD511" s="47"/>
    </row>
    <row r="512" spans="1:30" ht="15.75" customHeight="1">
      <c r="A512" s="51"/>
      <c r="B512" s="52" t="str">
        <f t="shared" si="46"/>
        <v/>
      </c>
      <c r="C512" t="str">
        <f t="shared" si="45"/>
        <v/>
      </c>
      <c r="D512" s="245" t="str">
        <f t="shared" si="49"/>
        <v/>
      </c>
      <c r="E512" s="534"/>
      <c r="F512" s="534"/>
      <c r="G512" s="198"/>
      <c r="H512" s="246" t="str">
        <f t="shared" si="47"/>
        <v/>
      </c>
      <c r="I512" s="199" t="e">
        <f>IF(#REF!="","",#REF!+G512+#REF!+#REF!+#REF!+H512)</f>
        <v>#REF!</v>
      </c>
      <c r="J512" s="247" t="e">
        <f t="shared" si="48"/>
        <v>#REF!</v>
      </c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  <c r="AA512" s="47"/>
      <c r="AB512" s="47"/>
      <c r="AC512" s="47"/>
      <c r="AD512" s="47"/>
    </row>
    <row r="513" spans="1:30" ht="15.75" customHeight="1">
      <c r="A513" s="51"/>
      <c r="B513" s="52" t="str">
        <f t="shared" si="46"/>
        <v/>
      </c>
      <c r="C513" t="str">
        <f t="shared" si="45"/>
        <v/>
      </c>
      <c r="D513" s="245" t="str">
        <f t="shared" si="49"/>
        <v/>
      </c>
      <c r="E513" s="534"/>
      <c r="F513" s="534"/>
      <c r="G513" s="198"/>
      <c r="H513" s="246" t="str">
        <f t="shared" si="47"/>
        <v/>
      </c>
      <c r="I513" s="199" t="e">
        <f>IF(#REF!="","",#REF!+G513+#REF!+#REF!+#REF!+H513)</f>
        <v>#REF!</v>
      </c>
      <c r="J513" s="247" t="e">
        <f t="shared" si="48"/>
        <v>#REF!</v>
      </c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  <c r="AA513" s="47"/>
      <c r="AB513" s="47"/>
      <c r="AC513" s="47"/>
      <c r="AD513" s="47"/>
    </row>
    <row r="514" spans="1:30" ht="15.75" customHeight="1">
      <c r="A514" s="51"/>
      <c r="B514" s="52" t="str">
        <f t="shared" si="46"/>
        <v/>
      </c>
      <c r="C514" t="str">
        <f t="shared" ref="C514:C577" si="50">IF(A514&lt;&gt;"",TEXT(A514,"aaaa"),"")</f>
        <v/>
      </c>
      <c r="D514" s="245" t="str">
        <f t="shared" si="49"/>
        <v/>
      </c>
      <c r="E514" s="534"/>
      <c r="F514" s="534"/>
      <c r="G514" s="198"/>
      <c r="H514" s="246" t="str">
        <f t="shared" si="47"/>
        <v/>
      </c>
      <c r="I514" s="199" t="e">
        <f>IF(#REF!="","",#REF!+G514+#REF!+#REF!+#REF!+H514)</f>
        <v>#REF!</v>
      </c>
      <c r="J514" s="247" t="e">
        <f t="shared" si="48"/>
        <v>#REF!</v>
      </c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  <c r="AA514" s="47"/>
      <c r="AB514" s="47"/>
      <c r="AC514" s="47"/>
      <c r="AD514" s="47"/>
    </row>
    <row r="515" spans="1:30" ht="15.75" customHeight="1">
      <c r="A515" s="51"/>
      <c r="B515" s="52" t="str">
        <f t="shared" si="46"/>
        <v/>
      </c>
      <c r="C515" t="str">
        <f t="shared" si="50"/>
        <v/>
      </c>
      <c r="D515" s="245" t="str">
        <f t="shared" si="49"/>
        <v/>
      </c>
      <c r="E515" s="534"/>
      <c r="F515" s="534"/>
      <c r="G515" s="198"/>
      <c r="H515" s="246" t="str">
        <f t="shared" si="47"/>
        <v/>
      </c>
      <c r="I515" s="199" t="e">
        <f>IF(#REF!="","",#REF!+G515+#REF!+#REF!+#REF!+H515)</f>
        <v>#REF!</v>
      </c>
      <c r="J515" s="247" t="e">
        <f t="shared" si="48"/>
        <v>#REF!</v>
      </c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  <c r="AA515" s="47"/>
      <c r="AB515" s="47"/>
      <c r="AC515" s="47"/>
      <c r="AD515" s="47"/>
    </row>
    <row r="516" spans="1:30" ht="15.75" customHeight="1">
      <c r="A516" s="51"/>
      <c r="B516" s="52" t="str">
        <f t="shared" si="46"/>
        <v/>
      </c>
      <c r="C516" t="str">
        <f t="shared" si="50"/>
        <v/>
      </c>
      <c r="D516" s="245" t="str">
        <f t="shared" si="49"/>
        <v/>
      </c>
      <c r="E516" s="534"/>
      <c r="F516" s="534"/>
      <c r="G516" s="198"/>
      <c r="H516" s="246" t="str">
        <f t="shared" si="47"/>
        <v/>
      </c>
      <c r="I516" s="199" t="e">
        <f>IF(#REF!="","",#REF!+G516+#REF!+#REF!+#REF!+H516)</f>
        <v>#REF!</v>
      </c>
      <c r="J516" s="247" t="e">
        <f t="shared" si="48"/>
        <v>#REF!</v>
      </c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  <c r="AA516" s="47"/>
      <c r="AB516" s="47"/>
      <c r="AC516" s="47"/>
      <c r="AD516" s="47"/>
    </row>
    <row r="517" spans="1:30" ht="15.75" customHeight="1">
      <c r="A517" s="51"/>
      <c r="B517" s="52" t="str">
        <f t="shared" si="46"/>
        <v/>
      </c>
      <c r="C517" t="str">
        <f t="shared" si="50"/>
        <v/>
      </c>
      <c r="D517" s="245" t="str">
        <f t="shared" si="49"/>
        <v/>
      </c>
      <c r="E517" s="534"/>
      <c r="F517" s="534"/>
      <c r="G517" s="198"/>
      <c r="H517" s="246" t="str">
        <f t="shared" si="47"/>
        <v/>
      </c>
      <c r="I517" s="199" t="e">
        <f>IF(#REF!="","",#REF!+G517+#REF!+#REF!+#REF!+H517)</f>
        <v>#REF!</v>
      </c>
      <c r="J517" s="247" t="e">
        <f t="shared" si="48"/>
        <v>#REF!</v>
      </c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  <c r="AA517" s="47"/>
      <c r="AB517" s="47"/>
      <c r="AC517" s="47"/>
      <c r="AD517" s="47"/>
    </row>
    <row r="518" spans="1:30" ht="15.75" customHeight="1">
      <c r="A518" s="51"/>
      <c r="B518" s="52" t="str">
        <f t="shared" si="46"/>
        <v/>
      </c>
      <c r="C518" t="str">
        <f t="shared" si="50"/>
        <v/>
      </c>
      <c r="D518" s="245" t="str">
        <f t="shared" si="49"/>
        <v/>
      </c>
      <c r="E518" s="534"/>
      <c r="F518" s="534"/>
      <c r="G518" s="198"/>
      <c r="H518" s="246" t="str">
        <f t="shared" si="47"/>
        <v/>
      </c>
      <c r="I518" s="199" t="e">
        <f>IF(#REF!="","",#REF!+G518+#REF!+#REF!+#REF!+H518)</f>
        <v>#REF!</v>
      </c>
      <c r="J518" s="247" t="e">
        <f t="shared" si="48"/>
        <v>#REF!</v>
      </c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  <c r="AA518" s="47"/>
      <c r="AB518" s="47"/>
      <c r="AC518" s="47"/>
      <c r="AD518" s="47"/>
    </row>
    <row r="519" spans="1:30" ht="15.75" customHeight="1">
      <c r="A519" s="51"/>
      <c r="B519" s="52" t="str">
        <f t="shared" si="46"/>
        <v/>
      </c>
      <c r="C519" t="str">
        <f t="shared" si="50"/>
        <v/>
      </c>
      <c r="D519" s="245" t="str">
        <f t="shared" si="49"/>
        <v/>
      </c>
      <c r="E519" s="534"/>
      <c r="F519" s="534"/>
      <c r="G519" s="198"/>
      <c r="H519" s="246" t="str">
        <f t="shared" si="47"/>
        <v/>
      </c>
      <c r="I519" s="199" t="e">
        <f>IF(#REF!="","",#REF!+G519+#REF!+#REF!+#REF!+H519)</f>
        <v>#REF!</v>
      </c>
      <c r="J519" s="247" t="e">
        <f t="shared" si="48"/>
        <v>#REF!</v>
      </c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  <c r="AA519" s="47"/>
      <c r="AB519" s="47"/>
      <c r="AC519" s="47"/>
      <c r="AD519" s="47"/>
    </row>
    <row r="520" spans="1:30" ht="15.75" customHeight="1">
      <c r="A520" s="51"/>
      <c r="B520" s="52" t="str">
        <f t="shared" ref="B520:B583" si="51">IF(A520="","",TEXT(A520,"DDDD"))</f>
        <v/>
      </c>
      <c r="C520" t="str">
        <f t="shared" si="50"/>
        <v/>
      </c>
      <c r="D520" s="245" t="str">
        <f t="shared" si="49"/>
        <v/>
      </c>
      <c r="E520" s="534"/>
      <c r="F520" s="534"/>
      <c r="G520" s="198"/>
      <c r="H520" s="246" t="str">
        <f t="shared" ref="H520:H583" si="52">IF(G520=0,"",G520*$H$5)</f>
        <v/>
      </c>
      <c r="I520" s="199" t="e">
        <f>IF(#REF!="","",#REF!+G520+#REF!+#REF!+#REF!+H520)</f>
        <v>#REF!</v>
      </c>
      <c r="J520" s="247" t="e">
        <f t="shared" ref="J520:J583" si="53">IF(I520=0,"",I520-H520)</f>
        <v>#REF!</v>
      </c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  <c r="AA520" s="47"/>
      <c r="AB520" s="47"/>
      <c r="AC520" s="47"/>
      <c r="AD520" s="47"/>
    </row>
    <row r="521" spans="1:30" ht="15.75" customHeight="1">
      <c r="A521" s="51"/>
      <c r="B521" s="52" t="str">
        <f t="shared" si="51"/>
        <v/>
      </c>
      <c r="C521" t="str">
        <f t="shared" si="50"/>
        <v/>
      </c>
      <c r="D521" s="245" t="str">
        <f t="shared" ref="D521:D584" si="54">IF(A521&lt;&gt;"",PROPER(TEXT(A521,"Mmmm")),"")</f>
        <v/>
      </c>
      <c r="E521" s="534"/>
      <c r="F521" s="534"/>
      <c r="G521" s="198"/>
      <c r="H521" s="246" t="str">
        <f t="shared" si="52"/>
        <v/>
      </c>
      <c r="I521" s="199" t="e">
        <f>IF(#REF!="","",#REF!+G521+#REF!+#REF!+#REF!+H521)</f>
        <v>#REF!</v>
      </c>
      <c r="J521" s="247" t="e">
        <f t="shared" si="53"/>
        <v>#REF!</v>
      </c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  <c r="AA521" s="47"/>
      <c r="AB521" s="47"/>
      <c r="AC521" s="47"/>
      <c r="AD521" s="47"/>
    </row>
    <row r="522" spans="1:30" ht="15.75" customHeight="1">
      <c r="A522" s="51"/>
      <c r="B522" s="52" t="str">
        <f t="shared" si="51"/>
        <v/>
      </c>
      <c r="C522" t="str">
        <f t="shared" si="50"/>
        <v/>
      </c>
      <c r="D522" s="245" t="str">
        <f t="shared" si="54"/>
        <v/>
      </c>
      <c r="E522" s="534"/>
      <c r="F522" s="534"/>
      <c r="G522" s="198"/>
      <c r="H522" s="246" t="str">
        <f t="shared" si="52"/>
        <v/>
      </c>
      <c r="I522" s="199" t="e">
        <f>IF(#REF!="","",#REF!+G522+#REF!+#REF!+#REF!+H522)</f>
        <v>#REF!</v>
      </c>
      <c r="J522" s="247" t="e">
        <f t="shared" si="53"/>
        <v>#REF!</v>
      </c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  <c r="AA522" s="47"/>
      <c r="AB522" s="47"/>
      <c r="AC522" s="47"/>
      <c r="AD522" s="47"/>
    </row>
    <row r="523" spans="1:30" ht="15.75" customHeight="1">
      <c r="A523" s="51"/>
      <c r="B523" s="52" t="str">
        <f t="shared" si="51"/>
        <v/>
      </c>
      <c r="C523" t="str">
        <f t="shared" si="50"/>
        <v/>
      </c>
      <c r="D523" s="245" t="str">
        <f t="shared" si="54"/>
        <v/>
      </c>
      <c r="E523" s="534"/>
      <c r="F523" s="534"/>
      <c r="G523" s="198"/>
      <c r="H523" s="246" t="str">
        <f t="shared" si="52"/>
        <v/>
      </c>
      <c r="I523" s="199" t="e">
        <f>IF(#REF!="","",#REF!+G523+#REF!+#REF!+#REF!+H523)</f>
        <v>#REF!</v>
      </c>
      <c r="J523" s="247" t="e">
        <f t="shared" si="53"/>
        <v>#REF!</v>
      </c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  <c r="AA523" s="47"/>
      <c r="AB523" s="47"/>
      <c r="AC523" s="47"/>
      <c r="AD523" s="47"/>
    </row>
    <row r="524" spans="1:30" ht="15.75" customHeight="1">
      <c r="A524" s="51"/>
      <c r="B524" s="52" t="str">
        <f t="shared" si="51"/>
        <v/>
      </c>
      <c r="C524" t="str">
        <f t="shared" si="50"/>
        <v/>
      </c>
      <c r="D524" s="245" t="str">
        <f t="shared" si="54"/>
        <v/>
      </c>
      <c r="E524" s="534"/>
      <c r="F524" s="534"/>
      <c r="G524" s="198"/>
      <c r="H524" s="246" t="str">
        <f t="shared" si="52"/>
        <v/>
      </c>
      <c r="I524" s="199" t="e">
        <f>IF(#REF!="","",#REF!+G524+#REF!+#REF!+#REF!+H524)</f>
        <v>#REF!</v>
      </c>
      <c r="J524" s="247" t="e">
        <f t="shared" si="53"/>
        <v>#REF!</v>
      </c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  <c r="AA524" s="47"/>
      <c r="AB524" s="47"/>
      <c r="AC524" s="47"/>
      <c r="AD524" s="47"/>
    </row>
    <row r="525" spans="1:30" ht="15.75" customHeight="1">
      <c r="A525" s="51"/>
      <c r="B525" s="52" t="str">
        <f t="shared" si="51"/>
        <v/>
      </c>
      <c r="C525" t="str">
        <f t="shared" si="50"/>
        <v/>
      </c>
      <c r="D525" s="245" t="str">
        <f t="shared" si="54"/>
        <v/>
      </c>
      <c r="E525" s="534"/>
      <c r="F525" s="534"/>
      <c r="G525" s="198"/>
      <c r="H525" s="246" t="str">
        <f t="shared" si="52"/>
        <v/>
      </c>
      <c r="I525" s="199" t="e">
        <f>IF(#REF!="","",#REF!+G525+#REF!+#REF!+#REF!+H525)</f>
        <v>#REF!</v>
      </c>
      <c r="J525" s="247" t="e">
        <f t="shared" si="53"/>
        <v>#REF!</v>
      </c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  <c r="AA525" s="47"/>
      <c r="AB525" s="47"/>
      <c r="AC525" s="47"/>
      <c r="AD525" s="47"/>
    </row>
    <row r="526" spans="1:30" ht="15.75" customHeight="1">
      <c r="A526" s="51"/>
      <c r="B526" s="52" t="str">
        <f t="shared" si="51"/>
        <v/>
      </c>
      <c r="C526" t="str">
        <f t="shared" si="50"/>
        <v/>
      </c>
      <c r="D526" s="245" t="str">
        <f t="shared" si="54"/>
        <v/>
      </c>
      <c r="E526" s="534"/>
      <c r="F526" s="534"/>
      <c r="G526" s="198"/>
      <c r="H526" s="246" t="str">
        <f t="shared" si="52"/>
        <v/>
      </c>
      <c r="I526" s="199" t="e">
        <f>IF(#REF!="","",#REF!+G526+#REF!+#REF!+#REF!+H526)</f>
        <v>#REF!</v>
      </c>
      <c r="J526" s="247" t="e">
        <f t="shared" si="53"/>
        <v>#REF!</v>
      </c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  <c r="AA526" s="47"/>
      <c r="AB526" s="47"/>
      <c r="AC526" s="47"/>
      <c r="AD526" s="47"/>
    </row>
    <row r="527" spans="1:30" ht="15.75" customHeight="1">
      <c r="A527" s="51"/>
      <c r="B527" s="52" t="str">
        <f t="shared" si="51"/>
        <v/>
      </c>
      <c r="C527" t="str">
        <f t="shared" si="50"/>
        <v/>
      </c>
      <c r="D527" s="245" t="str">
        <f t="shared" si="54"/>
        <v/>
      </c>
      <c r="E527" s="534"/>
      <c r="F527" s="534"/>
      <c r="G527" s="198"/>
      <c r="H527" s="246" t="str">
        <f t="shared" si="52"/>
        <v/>
      </c>
      <c r="I527" s="199" t="e">
        <f>IF(#REF!="","",#REF!+G527+#REF!+#REF!+#REF!+H527)</f>
        <v>#REF!</v>
      </c>
      <c r="J527" s="247" t="e">
        <f t="shared" si="53"/>
        <v>#REF!</v>
      </c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  <c r="AA527" s="47"/>
      <c r="AB527" s="47"/>
      <c r="AC527" s="47"/>
      <c r="AD527" s="47"/>
    </row>
    <row r="528" spans="1:30" ht="15.75" customHeight="1">
      <c r="A528" s="51"/>
      <c r="B528" s="52" t="str">
        <f t="shared" si="51"/>
        <v/>
      </c>
      <c r="C528" t="str">
        <f t="shared" si="50"/>
        <v/>
      </c>
      <c r="D528" s="245" t="str">
        <f t="shared" si="54"/>
        <v/>
      </c>
      <c r="E528" s="534"/>
      <c r="F528" s="534"/>
      <c r="G528" s="198"/>
      <c r="H528" s="246" t="str">
        <f t="shared" si="52"/>
        <v/>
      </c>
      <c r="I528" s="199" t="e">
        <f>IF(#REF!="","",#REF!+G528+#REF!+#REF!+#REF!+H528)</f>
        <v>#REF!</v>
      </c>
      <c r="J528" s="247" t="e">
        <f t="shared" si="53"/>
        <v>#REF!</v>
      </c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  <c r="AA528" s="47"/>
      <c r="AB528" s="47"/>
      <c r="AC528" s="47"/>
      <c r="AD528" s="47"/>
    </row>
    <row r="529" spans="1:30" ht="15.75" customHeight="1">
      <c r="A529" s="51"/>
      <c r="B529" s="52" t="str">
        <f t="shared" si="51"/>
        <v/>
      </c>
      <c r="C529" t="str">
        <f t="shared" si="50"/>
        <v/>
      </c>
      <c r="D529" s="245" t="str">
        <f t="shared" si="54"/>
        <v/>
      </c>
      <c r="E529" s="534"/>
      <c r="F529" s="534"/>
      <c r="G529" s="198"/>
      <c r="H529" s="246" t="str">
        <f t="shared" si="52"/>
        <v/>
      </c>
      <c r="I529" s="199" t="e">
        <f>IF(#REF!="","",#REF!+G529+#REF!+#REF!+#REF!+H529)</f>
        <v>#REF!</v>
      </c>
      <c r="J529" s="247" t="e">
        <f t="shared" si="53"/>
        <v>#REF!</v>
      </c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  <c r="AA529" s="47"/>
      <c r="AB529" s="47"/>
      <c r="AC529" s="47"/>
      <c r="AD529" s="47"/>
    </row>
    <row r="530" spans="1:30" ht="15.75" customHeight="1">
      <c r="A530" s="51"/>
      <c r="B530" s="52" t="str">
        <f t="shared" si="51"/>
        <v/>
      </c>
      <c r="C530" t="str">
        <f t="shared" si="50"/>
        <v/>
      </c>
      <c r="D530" s="245" t="str">
        <f t="shared" si="54"/>
        <v/>
      </c>
      <c r="E530" s="534"/>
      <c r="F530" s="534"/>
      <c r="G530" s="198"/>
      <c r="H530" s="246" t="str">
        <f t="shared" si="52"/>
        <v/>
      </c>
      <c r="I530" s="199" t="e">
        <f>IF(#REF!="","",#REF!+G530+#REF!+#REF!+#REF!+H530)</f>
        <v>#REF!</v>
      </c>
      <c r="J530" s="247" t="e">
        <f t="shared" si="53"/>
        <v>#REF!</v>
      </c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  <c r="AA530" s="47"/>
      <c r="AB530" s="47"/>
      <c r="AC530" s="47"/>
      <c r="AD530" s="47"/>
    </row>
    <row r="531" spans="1:30" ht="15.75" customHeight="1">
      <c r="A531" s="51"/>
      <c r="B531" s="52" t="str">
        <f t="shared" si="51"/>
        <v/>
      </c>
      <c r="C531" t="str">
        <f t="shared" si="50"/>
        <v/>
      </c>
      <c r="D531" s="245" t="str">
        <f t="shared" si="54"/>
        <v/>
      </c>
      <c r="E531" s="534"/>
      <c r="F531" s="534"/>
      <c r="G531" s="198"/>
      <c r="H531" s="246" t="str">
        <f t="shared" si="52"/>
        <v/>
      </c>
      <c r="I531" s="199" t="e">
        <f>IF(#REF!="","",#REF!+G531+#REF!+#REF!+#REF!+H531)</f>
        <v>#REF!</v>
      </c>
      <c r="J531" s="247" t="e">
        <f t="shared" si="53"/>
        <v>#REF!</v>
      </c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  <c r="AA531" s="47"/>
      <c r="AB531" s="47"/>
      <c r="AC531" s="47"/>
      <c r="AD531" s="47"/>
    </row>
    <row r="532" spans="1:30" ht="15.75" customHeight="1">
      <c r="A532" s="51"/>
      <c r="B532" s="52" t="str">
        <f t="shared" si="51"/>
        <v/>
      </c>
      <c r="C532" t="str">
        <f t="shared" si="50"/>
        <v/>
      </c>
      <c r="D532" s="245" t="str">
        <f t="shared" si="54"/>
        <v/>
      </c>
      <c r="E532" s="534"/>
      <c r="F532" s="534"/>
      <c r="G532" s="198"/>
      <c r="H532" s="246" t="str">
        <f t="shared" si="52"/>
        <v/>
      </c>
      <c r="I532" s="199" t="e">
        <f>IF(#REF!="","",#REF!+G532+#REF!+#REF!+#REF!+H532)</f>
        <v>#REF!</v>
      </c>
      <c r="J532" s="247" t="e">
        <f t="shared" si="53"/>
        <v>#REF!</v>
      </c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  <c r="AA532" s="47"/>
      <c r="AB532" s="47"/>
      <c r="AC532" s="47"/>
      <c r="AD532" s="47"/>
    </row>
    <row r="533" spans="1:30" ht="15.75" customHeight="1">
      <c r="A533" s="51"/>
      <c r="B533" s="52" t="str">
        <f t="shared" si="51"/>
        <v/>
      </c>
      <c r="C533" t="str">
        <f t="shared" si="50"/>
        <v/>
      </c>
      <c r="D533" s="245" t="str">
        <f t="shared" si="54"/>
        <v/>
      </c>
      <c r="E533" s="534"/>
      <c r="F533" s="534"/>
      <c r="G533" s="198"/>
      <c r="H533" s="246" t="str">
        <f t="shared" si="52"/>
        <v/>
      </c>
      <c r="I533" s="199" t="e">
        <f>IF(#REF!="","",#REF!+G533+#REF!+#REF!+#REF!+H533)</f>
        <v>#REF!</v>
      </c>
      <c r="J533" s="247" t="e">
        <f t="shared" si="53"/>
        <v>#REF!</v>
      </c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  <c r="AA533" s="47"/>
      <c r="AB533" s="47"/>
      <c r="AC533" s="47"/>
      <c r="AD533" s="47"/>
    </row>
    <row r="534" spans="1:30" ht="15.75" customHeight="1">
      <c r="A534" s="51"/>
      <c r="B534" s="52" t="str">
        <f t="shared" si="51"/>
        <v/>
      </c>
      <c r="C534" t="str">
        <f t="shared" si="50"/>
        <v/>
      </c>
      <c r="D534" s="245" t="str">
        <f t="shared" si="54"/>
        <v/>
      </c>
      <c r="E534" s="534"/>
      <c r="F534" s="534"/>
      <c r="G534" s="198"/>
      <c r="H534" s="246" t="str">
        <f t="shared" si="52"/>
        <v/>
      </c>
      <c r="I534" s="199" t="e">
        <f>IF(#REF!="","",#REF!+G534+#REF!+#REF!+#REF!+H534)</f>
        <v>#REF!</v>
      </c>
      <c r="J534" s="247" t="e">
        <f t="shared" si="53"/>
        <v>#REF!</v>
      </c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  <c r="AA534" s="47"/>
      <c r="AB534" s="47"/>
      <c r="AC534" s="47"/>
      <c r="AD534" s="47"/>
    </row>
    <row r="535" spans="1:30" ht="15.75" customHeight="1">
      <c r="A535" s="51"/>
      <c r="B535" s="52" t="str">
        <f t="shared" si="51"/>
        <v/>
      </c>
      <c r="C535" t="str">
        <f t="shared" si="50"/>
        <v/>
      </c>
      <c r="D535" s="245" t="str">
        <f t="shared" si="54"/>
        <v/>
      </c>
      <c r="E535" s="534"/>
      <c r="F535" s="534"/>
      <c r="G535" s="198"/>
      <c r="H535" s="246" t="str">
        <f t="shared" si="52"/>
        <v/>
      </c>
      <c r="I535" s="199" t="e">
        <f>IF(#REF!="","",#REF!+G535+#REF!+#REF!+#REF!+H535)</f>
        <v>#REF!</v>
      </c>
      <c r="J535" s="247" t="e">
        <f t="shared" si="53"/>
        <v>#REF!</v>
      </c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  <c r="AA535" s="47"/>
      <c r="AB535" s="47"/>
      <c r="AC535" s="47"/>
      <c r="AD535" s="47"/>
    </row>
    <row r="536" spans="1:30" ht="15.75" customHeight="1">
      <c r="A536" s="51"/>
      <c r="B536" s="52" t="str">
        <f t="shared" si="51"/>
        <v/>
      </c>
      <c r="C536" t="str">
        <f t="shared" si="50"/>
        <v/>
      </c>
      <c r="D536" s="245" t="str">
        <f t="shared" si="54"/>
        <v/>
      </c>
      <c r="E536" s="534"/>
      <c r="F536" s="534"/>
      <c r="G536" s="198"/>
      <c r="H536" s="246" t="str">
        <f t="shared" si="52"/>
        <v/>
      </c>
      <c r="I536" s="199" t="e">
        <f>IF(#REF!="","",#REF!+G536+#REF!+#REF!+#REF!+H536)</f>
        <v>#REF!</v>
      </c>
      <c r="J536" s="247" t="e">
        <f t="shared" si="53"/>
        <v>#REF!</v>
      </c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  <c r="AA536" s="47"/>
      <c r="AB536" s="47"/>
      <c r="AC536" s="47"/>
      <c r="AD536" s="47"/>
    </row>
    <row r="537" spans="1:30" ht="15.75" customHeight="1">
      <c r="A537" s="51"/>
      <c r="B537" s="52" t="str">
        <f t="shared" si="51"/>
        <v/>
      </c>
      <c r="C537" t="str">
        <f t="shared" si="50"/>
        <v/>
      </c>
      <c r="D537" s="245" t="str">
        <f t="shared" si="54"/>
        <v/>
      </c>
      <c r="E537" s="534"/>
      <c r="F537" s="534"/>
      <c r="G537" s="198"/>
      <c r="H537" s="246" t="str">
        <f t="shared" si="52"/>
        <v/>
      </c>
      <c r="I537" s="199" t="e">
        <f>IF(#REF!="","",#REF!+G537+#REF!+#REF!+#REF!+H537)</f>
        <v>#REF!</v>
      </c>
      <c r="J537" s="247" t="e">
        <f t="shared" si="53"/>
        <v>#REF!</v>
      </c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  <c r="AA537" s="47"/>
      <c r="AB537" s="47"/>
      <c r="AC537" s="47"/>
      <c r="AD537" s="47"/>
    </row>
    <row r="538" spans="1:30" ht="15.75" customHeight="1">
      <c r="A538" s="51"/>
      <c r="B538" s="52" t="str">
        <f t="shared" si="51"/>
        <v/>
      </c>
      <c r="C538" t="str">
        <f t="shared" si="50"/>
        <v/>
      </c>
      <c r="D538" s="245" t="str">
        <f t="shared" si="54"/>
        <v/>
      </c>
      <c r="E538" s="534"/>
      <c r="F538" s="534"/>
      <c r="G538" s="198"/>
      <c r="H538" s="246" t="str">
        <f t="shared" si="52"/>
        <v/>
      </c>
      <c r="I538" s="199" t="e">
        <f>IF(#REF!="","",#REF!+G538+#REF!+#REF!+#REF!+H538)</f>
        <v>#REF!</v>
      </c>
      <c r="J538" s="247" t="e">
        <f t="shared" si="53"/>
        <v>#REF!</v>
      </c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  <c r="AA538" s="47"/>
      <c r="AB538" s="47"/>
      <c r="AC538" s="47"/>
      <c r="AD538" s="47"/>
    </row>
    <row r="539" spans="1:30" ht="15.75" customHeight="1">
      <c r="A539" s="51"/>
      <c r="B539" s="52" t="str">
        <f t="shared" si="51"/>
        <v/>
      </c>
      <c r="C539" t="str">
        <f t="shared" si="50"/>
        <v/>
      </c>
      <c r="D539" s="245" t="str">
        <f t="shared" si="54"/>
        <v/>
      </c>
      <c r="E539" s="534"/>
      <c r="F539" s="534"/>
      <c r="G539" s="198"/>
      <c r="H539" s="246" t="str">
        <f t="shared" si="52"/>
        <v/>
      </c>
      <c r="I539" s="199" t="e">
        <f>IF(#REF!="","",#REF!+G539+#REF!+#REF!+#REF!+H539)</f>
        <v>#REF!</v>
      </c>
      <c r="J539" s="247" t="e">
        <f t="shared" si="53"/>
        <v>#REF!</v>
      </c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  <c r="AA539" s="47"/>
      <c r="AB539" s="47"/>
      <c r="AC539" s="47"/>
      <c r="AD539" s="47"/>
    </row>
    <row r="540" spans="1:30" ht="15.75" customHeight="1">
      <c r="A540" s="51"/>
      <c r="B540" s="52" t="str">
        <f t="shared" si="51"/>
        <v/>
      </c>
      <c r="C540" t="str">
        <f t="shared" si="50"/>
        <v/>
      </c>
      <c r="D540" s="245" t="str">
        <f t="shared" si="54"/>
        <v/>
      </c>
      <c r="E540" s="534"/>
      <c r="F540" s="534"/>
      <c r="G540" s="198"/>
      <c r="H540" s="246" t="str">
        <f t="shared" si="52"/>
        <v/>
      </c>
      <c r="I540" s="199" t="e">
        <f>IF(#REF!="","",#REF!+G540+#REF!+#REF!+#REF!+H540)</f>
        <v>#REF!</v>
      </c>
      <c r="J540" s="247" t="e">
        <f t="shared" si="53"/>
        <v>#REF!</v>
      </c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  <c r="AA540" s="47"/>
      <c r="AB540" s="47"/>
      <c r="AC540" s="47"/>
      <c r="AD540" s="47"/>
    </row>
    <row r="541" spans="1:30" ht="15.75" customHeight="1">
      <c r="A541" s="51"/>
      <c r="B541" s="52" t="str">
        <f t="shared" si="51"/>
        <v/>
      </c>
      <c r="C541" t="str">
        <f t="shared" si="50"/>
        <v/>
      </c>
      <c r="D541" s="245" t="str">
        <f t="shared" si="54"/>
        <v/>
      </c>
      <c r="E541" s="534"/>
      <c r="F541" s="534"/>
      <c r="G541" s="198"/>
      <c r="H541" s="246" t="str">
        <f t="shared" si="52"/>
        <v/>
      </c>
      <c r="I541" s="199" t="e">
        <f>IF(#REF!="","",#REF!+G541+#REF!+#REF!+#REF!+H541)</f>
        <v>#REF!</v>
      </c>
      <c r="J541" s="247" t="e">
        <f t="shared" si="53"/>
        <v>#REF!</v>
      </c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  <c r="AA541" s="47"/>
      <c r="AB541" s="47"/>
      <c r="AC541" s="47"/>
      <c r="AD541" s="47"/>
    </row>
    <row r="542" spans="1:30" ht="15.75" customHeight="1">
      <c r="A542" s="51"/>
      <c r="B542" s="52" t="str">
        <f t="shared" si="51"/>
        <v/>
      </c>
      <c r="C542" t="str">
        <f t="shared" si="50"/>
        <v/>
      </c>
      <c r="D542" s="245" t="str">
        <f t="shared" si="54"/>
        <v/>
      </c>
      <c r="E542" s="534"/>
      <c r="F542" s="534"/>
      <c r="G542" s="198"/>
      <c r="H542" s="246" t="str">
        <f t="shared" si="52"/>
        <v/>
      </c>
      <c r="I542" s="199" t="e">
        <f>IF(#REF!="","",#REF!+G542+#REF!+#REF!+#REF!+H542)</f>
        <v>#REF!</v>
      </c>
      <c r="J542" s="247" t="e">
        <f t="shared" si="53"/>
        <v>#REF!</v>
      </c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7"/>
      <c r="AB542" s="47"/>
      <c r="AC542" s="47"/>
      <c r="AD542" s="47"/>
    </row>
    <row r="543" spans="1:30" ht="15.75" customHeight="1">
      <c r="A543" s="51"/>
      <c r="B543" s="52" t="str">
        <f t="shared" si="51"/>
        <v/>
      </c>
      <c r="C543" t="str">
        <f t="shared" si="50"/>
        <v/>
      </c>
      <c r="D543" s="245" t="str">
        <f t="shared" si="54"/>
        <v/>
      </c>
      <c r="E543" s="534"/>
      <c r="F543" s="534"/>
      <c r="G543" s="198"/>
      <c r="H543" s="246" t="str">
        <f t="shared" si="52"/>
        <v/>
      </c>
      <c r="I543" s="199" t="e">
        <f>IF(#REF!="","",#REF!+G543+#REF!+#REF!+#REF!+H543)</f>
        <v>#REF!</v>
      </c>
      <c r="J543" s="247" t="e">
        <f t="shared" si="53"/>
        <v>#REF!</v>
      </c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  <c r="AA543" s="47"/>
      <c r="AB543" s="47"/>
      <c r="AC543" s="47"/>
      <c r="AD543" s="47"/>
    </row>
    <row r="544" spans="1:30" ht="15.75" customHeight="1">
      <c r="A544" s="51"/>
      <c r="B544" s="52" t="str">
        <f t="shared" si="51"/>
        <v/>
      </c>
      <c r="C544" t="str">
        <f t="shared" si="50"/>
        <v/>
      </c>
      <c r="D544" s="245" t="str">
        <f t="shared" si="54"/>
        <v/>
      </c>
      <c r="E544" s="534"/>
      <c r="F544" s="534"/>
      <c r="G544" s="198"/>
      <c r="H544" s="246" t="str">
        <f t="shared" si="52"/>
        <v/>
      </c>
      <c r="I544" s="199" t="e">
        <f>IF(#REF!="","",#REF!+G544+#REF!+#REF!+#REF!+H544)</f>
        <v>#REF!</v>
      </c>
      <c r="J544" s="247" t="e">
        <f t="shared" si="53"/>
        <v>#REF!</v>
      </c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  <c r="AA544" s="47"/>
      <c r="AB544" s="47"/>
      <c r="AC544" s="47"/>
      <c r="AD544" s="47"/>
    </row>
    <row r="545" spans="1:30" ht="15.75" customHeight="1">
      <c r="A545" s="51"/>
      <c r="B545" s="52" t="str">
        <f t="shared" si="51"/>
        <v/>
      </c>
      <c r="C545" t="str">
        <f t="shared" si="50"/>
        <v/>
      </c>
      <c r="D545" s="245" t="str">
        <f t="shared" si="54"/>
        <v/>
      </c>
      <c r="E545" s="534"/>
      <c r="F545" s="534"/>
      <c r="G545" s="198"/>
      <c r="H545" s="246" t="str">
        <f t="shared" si="52"/>
        <v/>
      </c>
      <c r="I545" s="199" t="e">
        <f>IF(#REF!="","",#REF!+G545+#REF!+#REF!+#REF!+H545)</f>
        <v>#REF!</v>
      </c>
      <c r="J545" s="247" t="e">
        <f t="shared" si="53"/>
        <v>#REF!</v>
      </c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  <c r="AA545" s="47"/>
      <c r="AB545" s="47"/>
      <c r="AC545" s="47"/>
      <c r="AD545" s="47"/>
    </row>
    <row r="546" spans="1:30" ht="15.75" customHeight="1">
      <c r="A546" s="51"/>
      <c r="B546" s="52" t="str">
        <f t="shared" si="51"/>
        <v/>
      </c>
      <c r="C546" t="str">
        <f t="shared" si="50"/>
        <v/>
      </c>
      <c r="D546" s="245" t="str">
        <f t="shared" si="54"/>
        <v/>
      </c>
      <c r="E546" s="534"/>
      <c r="F546" s="534"/>
      <c r="G546" s="198"/>
      <c r="H546" s="246" t="str">
        <f t="shared" si="52"/>
        <v/>
      </c>
      <c r="I546" s="199" t="e">
        <f>IF(#REF!="","",#REF!+G546+#REF!+#REF!+#REF!+H546)</f>
        <v>#REF!</v>
      </c>
      <c r="J546" s="247" t="e">
        <f t="shared" si="53"/>
        <v>#REF!</v>
      </c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  <c r="AA546" s="47"/>
      <c r="AB546" s="47"/>
      <c r="AC546" s="47"/>
      <c r="AD546" s="47"/>
    </row>
    <row r="547" spans="1:30" ht="15.75" customHeight="1">
      <c r="A547" s="51"/>
      <c r="B547" s="52" t="str">
        <f t="shared" si="51"/>
        <v/>
      </c>
      <c r="C547" t="str">
        <f t="shared" si="50"/>
        <v/>
      </c>
      <c r="D547" s="245" t="str">
        <f t="shared" si="54"/>
        <v/>
      </c>
      <c r="E547" s="534"/>
      <c r="F547" s="534"/>
      <c r="G547" s="198"/>
      <c r="H547" s="246" t="str">
        <f t="shared" si="52"/>
        <v/>
      </c>
      <c r="I547" s="199" t="e">
        <f>IF(#REF!="","",#REF!+G547+#REF!+#REF!+#REF!+H547)</f>
        <v>#REF!</v>
      </c>
      <c r="J547" s="247" t="e">
        <f t="shared" si="53"/>
        <v>#REF!</v>
      </c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  <c r="AA547" s="47"/>
      <c r="AB547" s="47"/>
      <c r="AC547" s="47"/>
      <c r="AD547" s="47"/>
    </row>
    <row r="548" spans="1:30" ht="15.75" customHeight="1">
      <c r="A548" s="51"/>
      <c r="B548" s="52" t="str">
        <f t="shared" si="51"/>
        <v/>
      </c>
      <c r="C548" t="str">
        <f t="shared" si="50"/>
        <v/>
      </c>
      <c r="D548" s="245" t="str">
        <f t="shared" si="54"/>
        <v/>
      </c>
      <c r="E548" s="534"/>
      <c r="F548" s="534"/>
      <c r="G548" s="198"/>
      <c r="H548" s="246" t="str">
        <f t="shared" si="52"/>
        <v/>
      </c>
      <c r="I548" s="199" t="e">
        <f>IF(#REF!="","",#REF!+G548+#REF!+#REF!+#REF!+H548)</f>
        <v>#REF!</v>
      </c>
      <c r="J548" s="247" t="e">
        <f t="shared" si="53"/>
        <v>#REF!</v>
      </c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  <c r="AA548" s="47"/>
      <c r="AB548" s="47"/>
      <c r="AC548" s="47"/>
      <c r="AD548" s="47"/>
    </row>
    <row r="549" spans="1:30" ht="15.75" customHeight="1">
      <c r="A549" s="51"/>
      <c r="B549" s="52" t="str">
        <f t="shared" si="51"/>
        <v/>
      </c>
      <c r="C549" t="str">
        <f t="shared" si="50"/>
        <v/>
      </c>
      <c r="D549" s="245" t="str">
        <f t="shared" si="54"/>
        <v/>
      </c>
      <c r="E549" s="534"/>
      <c r="F549" s="534"/>
      <c r="G549" s="198"/>
      <c r="H549" s="246" t="str">
        <f t="shared" si="52"/>
        <v/>
      </c>
      <c r="I549" s="199" t="e">
        <f>IF(#REF!="","",#REF!+G549+#REF!+#REF!+#REF!+H549)</f>
        <v>#REF!</v>
      </c>
      <c r="J549" s="247" t="e">
        <f t="shared" si="53"/>
        <v>#REF!</v>
      </c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  <c r="AA549" s="47"/>
      <c r="AB549" s="47"/>
      <c r="AC549" s="47"/>
      <c r="AD549" s="47"/>
    </row>
    <row r="550" spans="1:30" ht="15.75" customHeight="1">
      <c r="A550" s="51"/>
      <c r="B550" s="52" t="str">
        <f t="shared" si="51"/>
        <v/>
      </c>
      <c r="C550" t="str">
        <f t="shared" si="50"/>
        <v/>
      </c>
      <c r="D550" s="245" t="str">
        <f t="shared" si="54"/>
        <v/>
      </c>
      <c r="E550" s="534"/>
      <c r="F550" s="534"/>
      <c r="G550" s="198"/>
      <c r="H550" s="246" t="str">
        <f t="shared" si="52"/>
        <v/>
      </c>
      <c r="I550" s="199" t="e">
        <f>IF(#REF!="","",#REF!+G550+#REF!+#REF!+#REF!+H550)</f>
        <v>#REF!</v>
      </c>
      <c r="J550" s="247" t="e">
        <f t="shared" si="53"/>
        <v>#REF!</v>
      </c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  <c r="AA550" s="47"/>
      <c r="AB550" s="47"/>
      <c r="AC550" s="47"/>
      <c r="AD550" s="47"/>
    </row>
    <row r="551" spans="1:30" ht="15.75" customHeight="1">
      <c r="A551" s="51"/>
      <c r="B551" s="52" t="str">
        <f t="shared" si="51"/>
        <v/>
      </c>
      <c r="C551" t="str">
        <f t="shared" si="50"/>
        <v/>
      </c>
      <c r="D551" s="245" t="str">
        <f t="shared" si="54"/>
        <v/>
      </c>
      <c r="E551" s="534"/>
      <c r="F551" s="534"/>
      <c r="G551" s="198"/>
      <c r="H551" s="246" t="str">
        <f t="shared" si="52"/>
        <v/>
      </c>
      <c r="I551" s="199" t="e">
        <f>IF(#REF!="","",#REF!+G551+#REF!+#REF!+#REF!+H551)</f>
        <v>#REF!</v>
      </c>
      <c r="J551" s="247" t="e">
        <f t="shared" si="53"/>
        <v>#REF!</v>
      </c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  <c r="AA551" s="47"/>
      <c r="AB551" s="47"/>
      <c r="AC551" s="47"/>
      <c r="AD551" s="47"/>
    </row>
    <row r="552" spans="1:30" ht="15.75" customHeight="1">
      <c r="A552" s="51"/>
      <c r="B552" s="52" t="str">
        <f t="shared" si="51"/>
        <v/>
      </c>
      <c r="C552" t="str">
        <f t="shared" si="50"/>
        <v/>
      </c>
      <c r="D552" s="245" t="str">
        <f t="shared" si="54"/>
        <v/>
      </c>
      <c r="E552" s="534"/>
      <c r="F552" s="534"/>
      <c r="G552" s="198"/>
      <c r="H552" s="246" t="str">
        <f t="shared" si="52"/>
        <v/>
      </c>
      <c r="I552" s="199" t="e">
        <f>IF(#REF!="","",#REF!+G552+#REF!+#REF!+#REF!+H552)</f>
        <v>#REF!</v>
      </c>
      <c r="J552" s="247" t="e">
        <f t="shared" si="53"/>
        <v>#REF!</v>
      </c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  <c r="AA552" s="47"/>
      <c r="AB552" s="47"/>
      <c r="AC552" s="47"/>
      <c r="AD552" s="47"/>
    </row>
    <row r="553" spans="1:30" ht="15.75" customHeight="1">
      <c r="A553" s="51"/>
      <c r="B553" s="52" t="str">
        <f t="shared" si="51"/>
        <v/>
      </c>
      <c r="C553" t="str">
        <f t="shared" si="50"/>
        <v/>
      </c>
      <c r="D553" s="245" t="str">
        <f t="shared" si="54"/>
        <v/>
      </c>
      <c r="E553" s="534"/>
      <c r="F553" s="534"/>
      <c r="G553" s="198"/>
      <c r="H553" s="246" t="str">
        <f t="shared" si="52"/>
        <v/>
      </c>
      <c r="I553" s="199" t="e">
        <f>IF(#REF!="","",#REF!+G553+#REF!+#REF!+#REF!+H553)</f>
        <v>#REF!</v>
      </c>
      <c r="J553" s="247" t="e">
        <f t="shared" si="53"/>
        <v>#REF!</v>
      </c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  <c r="AA553" s="47"/>
      <c r="AB553" s="47"/>
      <c r="AC553" s="47"/>
      <c r="AD553" s="47"/>
    </row>
    <row r="554" spans="1:30" ht="15.75" customHeight="1">
      <c r="A554" s="51"/>
      <c r="B554" s="52" t="str">
        <f t="shared" si="51"/>
        <v/>
      </c>
      <c r="C554" t="str">
        <f t="shared" si="50"/>
        <v/>
      </c>
      <c r="D554" s="245" t="str">
        <f t="shared" si="54"/>
        <v/>
      </c>
      <c r="E554" s="534"/>
      <c r="F554" s="534"/>
      <c r="G554" s="198"/>
      <c r="H554" s="246" t="str">
        <f t="shared" si="52"/>
        <v/>
      </c>
      <c r="I554" s="199" t="e">
        <f>IF(#REF!="","",#REF!+G554+#REF!+#REF!+#REF!+H554)</f>
        <v>#REF!</v>
      </c>
      <c r="J554" s="247" t="e">
        <f t="shared" si="53"/>
        <v>#REF!</v>
      </c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  <c r="AA554" s="47"/>
      <c r="AB554" s="47"/>
      <c r="AC554" s="47"/>
      <c r="AD554" s="47"/>
    </row>
    <row r="555" spans="1:30" ht="15.75" customHeight="1">
      <c r="A555" s="51"/>
      <c r="B555" s="52" t="str">
        <f t="shared" si="51"/>
        <v/>
      </c>
      <c r="C555" t="str">
        <f t="shared" si="50"/>
        <v/>
      </c>
      <c r="D555" s="245" t="str">
        <f t="shared" si="54"/>
        <v/>
      </c>
      <c r="E555" s="534"/>
      <c r="F555" s="534"/>
      <c r="G555" s="198"/>
      <c r="H555" s="246" t="str">
        <f t="shared" si="52"/>
        <v/>
      </c>
      <c r="I555" s="199" t="e">
        <f>IF(#REF!="","",#REF!+G555+#REF!+#REF!+#REF!+H555)</f>
        <v>#REF!</v>
      </c>
      <c r="J555" s="247" t="e">
        <f t="shared" si="53"/>
        <v>#REF!</v>
      </c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  <c r="AA555" s="47"/>
      <c r="AB555" s="47"/>
      <c r="AC555" s="47"/>
      <c r="AD555" s="47"/>
    </row>
    <row r="556" spans="1:30" ht="15.75" customHeight="1">
      <c r="A556" s="51"/>
      <c r="B556" s="52" t="str">
        <f t="shared" si="51"/>
        <v/>
      </c>
      <c r="C556" t="str">
        <f t="shared" si="50"/>
        <v/>
      </c>
      <c r="D556" s="245" t="str">
        <f t="shared" si="54"/>
        <v/>
      </c>
      <c r="E556" s="534"/>
      <c r="F556" s="534"/>
      <c r="G556" s="198"/>
      <c r="H556" s="246" t="str">
        <f t="shared" si="52"/>
        <v/>
      </c>
      <c r="I556" s="199" t="e">
        <f>IF(#REF!="","",#REF!+G556+#REF!+#REF!+#REF!+H556)</f>
        <v>#REF!</v>
      </c>
      <c r="J556" s="247" t="e">
        <f t="shared" si="53"/>
        <v>#REF!</v>
      </c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  <c r="AA556" s="47"/>
      <c r="AB556" s="47"/>
      <c r="AC556" s="47"/>
      <c r="AD556" s="47"/>
    </row>
    <row r="557" spans="1:30" ht="15.75" customHeight="1">
      <c r="A557" s="51"/>
      <c r="B557" s="52" t="str">
        <f t="shared" si="51"/>
        <v/>
      </c>
      <c r="C557" t="str">
        <f t="shared" si="50"/>
        <v/>
      </c>
      <c r="D557" s="245" t="str">
        <f t="shared" si="54"/>
        <v/>
      </c>
      <c r="E557" s="534"/>
      <c r="F557" s="534"/>
      <c r="G557" s="198"/>
      <c r="H557" s="246" t="str">
        <f t="shared" si="52"/>
        <v/>
      </c>
      <c r="I557" s="199" t="e">
        <f>IF(#REF!="","",#REF!+G557+#REF!+#REF!+#REF!+H557)</f>
        <v>#REF!</v>
      </c>
      <c r="J557" s="247" t="e">
        <f t="shared" si="53"/>
        <v>#REF!</v>
      </c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  <c r="AA557" s="47"/>
      <c r="AB557" s="47"/>
      <c r="AC557" s="47"/>
      <c r="AD557" s="47"/>
    </row>
    <row r="558" spans="1:30" ht="15.75" customHeight="1">
      <c r="A558" s="51"/>
      <c r="B558" s="52" t="str">
        <f t="shared" si="51"/>
        <v/>
      </c>
      <c r="C558" t="str">
        <f t="shared" si="50"/>
        <v/>
      </c>
      <c r="D558" s="245" t="str">
        <f t="shared" si="54"/>
        <v/>
      </c>
      <c r="E558" s="534"/>
      <c r="F558" s="534"/>
      <c r="G558" s="198"/>
      <c r="H558" s="246" t="str">
        <f t="shared" si="52"/>
        <v/>
      </c>
      <c r="I558" s="199" t="e">
        <f>IF(#REF!="","",#REF!+G558+#REF!+#REF!+#REF!+H558)</f>
        <v>#REF!</v>
      </c>
      <c r="J558" s="247" t="e">
        <f t="shared" si="53"/>
        <v>#REF!</v>
      </c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  <c r="AA558" s="47"/>
      <c r="AB558" s="47"/>
      <c r="AC558" s="47"/>
      <c r="AD558" s="47"/>
    </row>
    <row r="559" spans="1:30" ht="15.75" customHeight="1">
      <c r="A559" s="51"/>
      <c r="B559" s="52" t="str">
        <f t="shared" si="51"/>
        <v/>
      </c>
      <c r="C559" t="str">
        <f t="shared" si="50"/>
        <v/>
      </c>
      <c r="D559" s="245" t="str">
        <f t="shared" si="54"/>
        <v/>
      </c>
      <c r="E559" s="534"/>
      <c r="F559" s="534"/>
      <c r="G559" s="198"/>
      <c r="H559" s="246" t="str">
        <f t="shared" si="52"/>
        <v/>
      </c>
      <c r="I559" s="199" t="e">
        <f>IF(#REF!="","",#REF!+G559+#REF!+#REF!+#REF!+H559)</f>
        <v>#REF!</v>
      </c>
      <c r="J559" s="247" t="e">
        <f t="shared" si="53"/>
        <v>#REF!</v>
      </c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  <c r="AA559" s="47"/>
      <c r="AB559" s="47"/>
      <c r="AC559" s="47"/>
      <c r="AD559" s="47"/>
    </row>
    <row r="560" spans="1:30" ht="15.75" customHeight="1">
      <c r="A560" s="51"/>
      <c r="B560" s="52" t="str">
        <f t="shared" si="51"/>
        <v/>
      </c>
      <c r="C560" t="str">
        <f t="shared" si="50"/>
        <v/>
      </c>
      <c r="D560" s="245" t="str">
        <f t="shared" si="54"/>
        <v/>
      </c>
      <c r="E560" s="534"/>
      <c r="F560" s="534"/>
      <c r="G560" s="198"/>
      <c r="H560" s="246" t="str">
        <f t="shared" si="52"/>
        <v/>
      </c>
      <c r="I560" s="199" t="e">
        <f>IF(#REF!="","",#REF!+G560+#REF!+#REF!+#REF!+H560)</f>
        <v>#REF!</v>
      </c>
      <c r="J560" s="247" t="e">
        <f t="shared" si="53"/>
        <v>#REF!</v>
      </c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  <c r="AA560" s="47"/>
      <c r="AB560" s="47"/>
      <c r="AC560" s="47"/>
      <c r="AD560" s="47"/>
    </row>
    <row r="561" spans="1:30" ht="15.75" customHeight="1">
      <c r="A561" s="51"/>
      <c r="B561" s="52" t="str">
        <f t="shared" si="51"/>
        <v/>
      </c>
      <c r="C561" t="str">
        <f t="shared" si="50"/>
        <v/>
      </c>
      <c r="D561" s="245" t="str">
        <f t="shared" si="54"/>
        <v/>
      </c>
      <c r="E561" s="534"/>
      <c r="F561" s="534"/>
      <c r="G561" s="198"/>
      <c r="H561" s="246" t="str">
        <f t="shared" si="52"/>
        <v/>
      </c>
      <c r="I561" s="199" t="e">
        <f>IF(#REF!="","",#REF!+G561+#REF!+#REF!+#REF!+H561)</f>
        <v>#REF!</v>
      </c>
      <c r="J561" s="247" t="e">
        <f t="shared" si="53"/>
        <v>#REF!</v>
      </c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  <c r="AA561" s="47"/>
      <c r="AB561" s="47"/>
      <c r="AC561" s="47"/>
      <c r="AD561" s="47"/>
    </row>
    <row r="562" spans="1:30" ht="15.75" customHeight="1">
      <c r="A562" s="51"/>
      <c r="B562" s="52" t="str">
        <f t="shared" si="51"/>
        <v/>
      </c>
      <c r="C562" t="str">
        <f t="shared" si="50"/>
        <v/>
      </c>
      <c r="D562" s="245" t="str">
        <f t="shared" si="54"/>
        <v/>
      </c>
      <c r="E562" s="534"/>
      <c r="F562" s="534"/>
      <c r="G562" s="198"/>
      <c r="H562" s="246" t="str">
        <f t="shared" si="52"/>
        <v/>
      </c>
      <c r="I562" s="199" t="e">
        <f>IF(#REF!="","",#REF!+G562+#REF!+#REF!+#REF!+H562)</f>
        <v>#REF!</v>
      </c>
      <c r="J562" s="247" t="e">
        <f t="shared" si="53"/>
        <v>#REF!</v>
      </c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  <c r="AA562" s="47"/>
      <c r="AB562" s="47"/>
      <c r="AC562" s="47"/>
      <c r="AD562" s="47"/>
    </row>
    <row r="563" spans="1:30" ht="15.75" customHeight="1">
      <c r="A563" s="51"/>
      <c r="B563" s="52" t="str">
        <f t="shared" si="51"/>
        <v/>
      </c>
      <c r="C563" t="str">
        <f t="shared" si="50"/>
        <v/>
      </c>
      <c r="D563" s="245" t="str">
        <f t="shared" si="54"/>
        <v/>
      </c>
      <c r="E563" s="534"/>
      <c r="F563" s="534"/>
      <c r="G563" s="198"/>
      <c r="H563" s="246" t="str">
        <f t="shared" si="52"/>
        <v/>
      </c>
      <c r="I563" s="199" t="e">
        <f>IF(#REF!="","",#REF!+G563+#REF!+#REF!+#REF!+H563)</f>
        <v>#REF!</v>
      </c>
      <c r="J563" s="247" t="e">
        <f t="shared" si="53"/>
        <v>#REF!</v>
      </c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  <c r="AA563" s="47"/>
      <c r="AB563" s="47"/>
      <c r="AC563" s="47"/>
      <c r="AD563" s="47"/>
    </row>
    <row r="564" spans="1:30" ht="15.75" customHeight="1">
      <c r="A564" s="51"/>
      <c r="B564" s="52" t="str">
        <f t="shared" si="51"/>
        <v/>
      </c>
      <c r="C564" t="str">
        <f t="shared" si="50"/>
        <v/>
      </c>
      <c r="D564" s="245" t="str">
        <f t="shared" si="54"/>
        <v/>
      </c>
      <c r="E564" s="534"/>
      <c r="F564" s="534"/>
      <c r="G564" s="198"/>
      <c r="H564" s="246" t="str">
        <f t="shared" si="52"/>
        <v/>
      </c>
      <c r="I564" s="199" t="e">
        <f>IF(#REF!="","",#REF!+G564+#REF!+#REF!+#REF!+H564)</f>
        <v>#REF!</v>
      </c>
      <c r="J564" s="247" t="e">
        <f t="shared" si="53"/>
        <v>#REF!</v>
      </c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  <c r="AA564" s="47"/>
      <c r="AB564" s="47"/>
      <c r="AC564" s="47"/>
      <c r="AD564" s="47"/>
    </row>
    <row r="565" spans="1:30" ht="15.75" customHeight="1">
      <c r="A565" s="51"/>
      <c r="B565" s="52" t="str">
        <f t="shared" si="51"/>
        <v/>
      </c>
      <c r="C565" t="str">
        <f t="shared" si="50"/>
        <v/>
      </c>
      <c r="D565" s="245" t="str">
        <f t="shared" si="54"/>
        <v/>
      </c>
      <c r="E565" s="534"/>
      <c r="F565" s="534"/>
      <c r="G565" s="198"/>
      <c r="H565" s="246" t="str">
        <f t="shared" si="52"/>
        <v/>
      </c>
      <c r="I565" s="199" t="e">
        <f>IF(#REF!="","",#REF!+G565+#REF!+#REF!+#REF!+H565)</f>
        <v>#REF!</v>
      </c>
      <c r="J565" s="247" t="e">
        <f t="shared" si="53"/>
        <v>#REF!</v>
      </c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  <c r="AA565" s="47"/>
      <c r="AB565" s="47"/>
      <c r="AC565" s="47"/>
      <c r="AD565" s="47"/>
    </row>
    <row r="566" spans="1:30" ht="15.75" customHeight="1">
      <c r="A566" s="51"/>
      <c r="B566" s="52" t="str">
        <f t="shared" si="51"/>
        <v/>
      </c>
      <c r="C566" t="str">
        <f t="shared" si="50"/>
        <v/>
      </c>
      <c r="D566" s="245" t="str">
        <f t="shared" si="54"/>
        <v/>
      </c>
      <c r="E566" s="534"/>
      <c r="F566" s="534"/>
      <c r="G566" s="198"/>
      <c r="H566" s="246" t="str">
        <f t="shared" si="52"/>
        <v/>
      </c>
      <c r="I566" s="199" t="e">
        <f>IF(#REF!="","",#REF!+G566+#REF!+#REF!+#REF!+H566)</f>
        <v>#REF!</v>
      </c>
      <c r="J566" s="247" t="e">
        <f t="shared" si="53"/>
        <v>#REF!</v>
      </c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  <c r="AA566" s="47"/>
      <c r="AB566" s="47"/>
      <c r="AC566" s="47"/>
      <c r="AD566" s="47"/>
    </row>
    <row r="567" spans="1:30" ht="15.75" customHeight="1">
      <c r="A567" s="51"/>
      <c r="B567" s="52" t="str">
        <f t="shared" si="51"/>
        <v/>
      </c>
      <c r="C567" t="str">
        <f t="shared" si="50"/>
        <v/>
      </c>
      <c r="D567" s="245" t="str">
        <f t="shared" si="54"/>
        <v/>
      </c>
      <c r="E567" s="534"/>
      <c r="F567" s="534"/>
      <c r="G567" s="198"/>
      <c r="H567" s="246" t="str">
        <f t="shared" si="52"/>
        <v/>
      </c>
      <c r="I567" s="199" t="e">
        <f>IF(#REF!="","",#REF!+G567+#REF!+#REF!+#REF!+H567)</f>
        <v>#REF!</v>
      </c>
      <c r="J567" s="247" t="e">
        <f t="shared" si="53"/>
        <v>#REF!</v>
      </c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  <c r="AA567" s="47"/>
      <c r="AB567" s="47"/>
      <c r="AC567" s="47"/>
      <c r="AD567" s="47"/>
    </row>
    <row r="568" spans="1:30" ht="15.75" customHeight="1">
      <c r="A568" s="51"/>
      <c r="B568" s="52" t="str">
        <f t="shared" si="51"/>
        <v/>
      </c>
      <c r="C568" t="str">
        <f t="shared" si="50"/>
        <v/>
      </c>
      <c r="D568" s="245" t="str">
        <f t="shared" si="54"/>
        <v/>
      </c>
      <c r="E568" s="534"/>
      <c r="F568" s="534"/>
      <c r="G568" s="198"/>
      <c r="H568" s="246" t="str">
        <f t="shared" si="52"/>
        <v/>
      </c>
      <c r="I568" s="199" t="e">
        <f>IF(#REF!="","",#REF!+G568+#REF!+#REF!+#REF!+H568)</f>
        <v>#REF!</v>
      </c>
      <c r="J568" s="247" t="e">
        <f t="shared" si="53"/>
        <v>#REF!</v>
      </c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  <c r="AA568" s="47"/>
      <c r="AB568" s="47"/>
      <c r="AC568" s="47"/>
      <c r="AD568" s="47"/>
    </row>
    <row r="569" spans="1:30" ht="15.75" customHeight="1">
      <c r="A569" s="51"/>
      <c r="B569" s="52" t="str">
        <f t="shared" si="51"/>
        <v/>
      </c>
      <c r="C569" t="str">
        <f t="shared" si="50"/>
        <v/>
      </c>
      <c r="D569" s="245" t="str">
        <f t="shared" si="54"/>
        <v/>
      </c>
      <c r="E569" s="534"/>
      <c r="F569" s="534"/>
      <c r="G569" s="198"/>
      <c r="H569" s="246" t="str">
        <f t="shared" si="52"/>
        <v/>
      </c>
      <c r="I569" s="199" t="e">
        <f>IF(#REF!="","",#REF!+G569+#REF!+#REF!+#REF!+H569)</f>
        <v>#REF!</v>
      </c>
      <c r="J569" s="247" t="e">
        <f t="shared" si="53"/>
        <v>#REF!</v>
      </c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  <c r="AA569" s="47"/>
      <c r="AB569" s="47"/>
      <c r="AC569" s="47"/>
      <c r="AD569" s="47"/>
    </row>
    <row r="570" spans="1:30" ht="15.75" customHeight="1">
      <c r="A570" s="51"/>
      <c r="B570" s="52" t="str">
        <f t="shared" si="51"/>
        <v/>
      </c>
      <c r="C570" t="str">
        <f t="shared" si="50"/>
        <v/>
      </c>
      <c r="D570" s="245" t="str">
        <f t="shared" si="54"/>
        <v/>
      </c>
      <c r="E570" s="534"/>
      <c r="F570" s="534"/>
      <c r="G570" s="198"/>
      <c r="H570" s="246" t="str">
        <f t="shared" si="52"/>
        <v/>
      </c>
      <c r="I570" s="199" t="e">
        <f>IF(#REF!="","",#REF!+G570+#REF!+#REF!+#REF!+H570)</f>
        <v>#REF!</v>
      </c>
      <c r="J570" s="247" t="e">
        <f t="shared" si="53"/>
        <v>#REF!</v>
      </c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  <c r="AA570" s="47"/>
      <c r="AB570" s="47"/>
      <c r="AC570" s="47"/>
      <c r="AD570" s="47"/>
    </row>
    <row r="571" spans="1:30" ht="15.75" customHeight="1">
      <c r="A571" s="51"/>
      <c r="B571" s="52" t="str">
        <f t="shared" si="51"/>
        <v/>
      </c>
      <c r="C571" t="str">
        <f t="shared" si="50"/>
        <v/>
      </c>
      <c r="D571" s="245" t="str">
        <f t="shared" si="54"/>
        <v/>
      </c>
      <c r="E571" s="534"/>
      <c r="F571" s="534"/>
      <c r="G571" s="198"/>
      <c r="H571" s="246" t="str">
        <f t="shared" si="52"/>
        <v/>
      </c>
      <c r="I571" s="199" t="e">
        <f>IF(#REF!="","",#REF!+G571+#REF!+#REF!+#REF!+H571)</f>
        <v>#REF!</v>
      </c>
      <c r="J571" s="247" t="e">
        <f t="shared" si="53"/>
        <v>#REF!</v>
      </c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  <c r="AA571" s="47"/>
      <c r="AB571" s="47"/>
      <c r="AC571" s="47"/>
      <c r="AD571" s="47"/>
    </row>
    <row r="572" spans="1:30" ht="15.75" customHeight="1">
      <c r="A572" s="51"/>
      <c r="B572" s="52" t="str">
        <f t="shared" si="51"/>
        <v/>
      </c>
      <c r="C572" t="str">
        <f t="shared" si="50"/>
        <v/>
      </c>
      <c r="D572" s="245" t="str">
        <f t="shared" si="54"/>
        <v/>
      </c>
      <c r="E572" s="534"/>
      <c r="F572" s="534"/>
      <c r="G572" s="198"/>
      <c r="H572" s="246" t="str">
        <f t="shared" si="52"/>
        <v/>
      </c>
      <c r="I572" s="199" t="e">
        <f>IF(#REF!="","",#REF!+G572+#REF!+#REF!+#REF!+H572)</f>
        <v>#REF!</v>
      </c>
      <c r="J572" s="247" t="e">
        <f t="shared" si="53"/>
        <v>#REF!</v>
      </c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  <c r="AA572" s="47"/>
      <c r="AB572" s="47"/>
      <c r="AC572" s="47"/>
      <c r="AD572" s="47"/>
    </row>
    <row r="573" spans="1:30" ht="15.75" customHeight="1">
      <c r="A573" s="51"/>
      <c r="B573" s="52" t="str">
        <f t="shared" si="51"/>
        <v/>
      </c>
      <c r="C573" t="str">
        <f t="shared" si="50"/>
        <v/>
      </c>
      <c r="D573" s="245" t="str">
        <f t="shared" si="54"/>
        <v/>
      </c>
      <c r="E573" s="534"/>
      <c r="F573" s="534"/>
      <c r="G573" s="198"/>
      <c r="H573" s="246" t="str">
        <f t="shared" si="52"/>
        <v/>
      </c>
      <c r="I573" s="199" t="e">
        <f>IF(#REF!="","",#REF!+G573+#REF!+#REF!+#REF!+H573)</f>
        <v>#REF!</v>
      </c>
      <c r="J573" s="247" t="e">
        <f t="shared" si="53"/>
        <v>#REF!</v>
      </c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  <c r="AA573" s="47"/>
      <c r="AB573" s="47"/>
      <c r="AC573" s="47"/>
      <c r="AD573" s="47"/>
    </row>
    <row r="574" spans="1:30" ht="15.75" customHeight="1">
      <c r="A574" s="51"/>
      <c r="B574" s="52" t="str">
        <f t="shared" si="51"/>
        <v/>
      </c>
      <c r="C574" t="str">
        <f t="shared" si="50"/>
        <v/>
      </c>
      <c r="D574" s="245" t="str">
        <f t="shared" si="54"/>
        <v/>
      </c>
      <c r="E574" s="534"/>
      <c r="F574" s="534"/>
      <c r="G574" s="198"/>
      <c r="H574" s="246" t="str">
        <f t="shared" si="52"/>
        <v/>
      </c>
      <c r="I574" s="199" t="e">
        <f>IF(#REF!="","",#REF!+G574+#REF!+#REF!+#REF!+H574)</f>
        <v>#REF!</v>
      </c>
      <c r="J574" s="247" t="e">
        <f t="shared" si="53"/>
        <v>#REF!</v>
      </c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  <c r="AA574" s="47"/>
      <c r="AB574" s="47"/>
      <c r="AC574" s="47"/>
      <c r="AD574" s="47"/>
    </row>
    <row r="575" spans="1:30" ht="15.75" customHeight="1">
      <c r="A575" s="51"/>
      <c r="B575" s="52" t="str">
        <f t="shared" si="51"/>
        <v/>
      </c>
      <c r="C575" t="str">
        <f t="shared" si="50"/>
        <v/>
      </c>
      <c r="D575" s="245" t="str">
        <f t="shared" si="54"/>
        <v/>
      </c>
      <c r="E575" s="534"/>
      <c r="F575" s="534"/>
      <c r="G575" s="198"/>
      <c r="H575" s="246" t="str">
        <f t="shared" si="52"/>
        <v/>
      </c>
      <c r="I575" s="199" t="e">
        <f>IF(#REF!="","",#REF!+G575+#REF!+#REF!+#REF!+H575)</f>
        <v>#REF!</v>
      </c>
      <c r="J575" s="247" t="e">
        <f t="shared" si="53"/>
        <v>#REF!</v>
      </c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  <c r="AA575" s="47"/>
      <c r="AB575" s="47"/>
      <c r="AC575" s="47"/>
      <c r="AD575" s="47"/>
    </row>
    <row r="576" spans="1:30" ht="15.75" customHeight="1">
      <c r="A576" s="51"/>
      <c r="B576" s="52" t="str">
        <f t="shared" si="51"/>
        <v/>
      </c>
      <c r="C576" t="str">
        <f t="shared" si="50"/>
        <v/>
      </c>
      <c r="D576" s="245" t="str">
        <f t="shared" si="54"/>
        <v/>
      </c>
      <c r="E576" s="534"/>
      <c r="F576" s="534"/>
      <c r="G576" s="198"/>
      <c r="H576" s="246" t="str">
        <f t="shared" si="52"/>
        <v/>
      </c>
      <c r="I576" s="199" t="e">
        <f>IF(#REF!="","",#REF!+G576+#REF!+#REF!+#REF!+H576)</f>
        <v>#REF!</v>
      </c>
      <c r="J576" s="247" t="e">
        <f t="shared" si="53"/>
        <v>#REF!</v>
      </c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  <c r="AA576" s="47"/>
      <c r="AB576" s="47"/>
      <c r="AC576" s="47"/>
      <c r="AD576" s="47"/>
    </row>
    <row r="577" spans="1:30" ht="15.75" customHeight="1">
      <c r="A577" s="51"/>
      <c r="B577" s="52" t="str">
        <f t="shared" si="51"/>
        <v/>
      </c>
      <c r="C577" t="str">
        <f t="shared" si="50"/>
        <v/>
      </c>
      <c r="D577" s="245" t="str">
        <f t="shared" si="54"/>
        <v/>
      </c>
      <c r="E577" s="534"/>
      <c r="F577" s="534"/>
      <c r="G577" s="198"/>
      <c r="H577" s="246" t="str">
        <f t="shared" si="52"/>
        <v/>
      </c>
      <c r="I577" s="199" t="e">
        <f>IF(#REF!="","",#REF!+G577+#REF!+#REF!+#REF!+H577)</f>
        <v>#REF!</v>
      </c>
      <c r="J577" s="247" t="e">
        <f t="shared" si="53"/>
        <v>#REF!</v>
      </c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  <c r="AA577" s="47"/>
      <c r="AB577" s="47"/>
      <c r="AC577" s="47"/>
      <c r="AD577" s="47"/>
    </row>
    <row r="578" spans="1:30" ht="15.75" customHeight="1">
      <c r="A578" s="51"/>
      <c r="B578" s="52" t="str">
        <f t="shared" si="51"/>
        <v/>
      </c>
      <c r="C578" t="str">
        <f t="shared" ref="C578:C641" si="55">IF(A578&lt;&gt;"",TEXT(A578,"aaaa"),"")</f>
        <v/>
      </c>
      <c r="D578" s="245" t="str">
        <f t="shared" si="54"/>
        <v/>
      </c>
      <c r="E578" s="534"/>
      <c r="F578" s="534"/>
      <c r="G578" s="198"/>
      <c r="H578" s="246" t="str">
        <f t="shared" si="52"/>
        <v/>
      </c>
      <c r="I578" s="199" t="e">
        <f>IF(#REF!="","",#REF!+G578+#REF!+#REF!+#REF!+H578)</f>
        <v>#REF!</v>
      </c>
      <c r="J578" s="247" t="e">
        <f t="shared" si="53"/>
        <v>#REF!</v>
      </c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  <c r="AA578" s="47"/>
      <c r="AB578" s="47"/>
      <c r="AC578" s="47"/>
      <c r="AD578" s="47"/>
    </row>
    <row r="579" spans="1:30" ht="15.75" customHeight="1">
      <c r="A579" s="51"/>
      <c r="B579" s="52" t="str">
        <f t="shared" si="51"/>
        <v/>
      </c>
      <c r="C579" t="str">
        <f t="shared" si="55"/>
        <v/>
      </c>
      <c r="D579" s="245" t="str">
        <f t="shared" si="54"/>
        <v/>
      </c>
      <c r="E579" s="534"/>
      <c r="F579" s="534"/>
      <c r="G579" s="198"/>
      <c r="H579" s="246" t="str">
        <f t="shared" si="52"/>
        <v/>
      </c>
      <c r="I579" s="199" t="e">
        <f>IF(#REF!="","",#REF!+G579+#REF!+#REF!+#REF!+H579)</f>
        <v>#REF!</v>
      </c>
      <c r="J579" s="247" t="e">
        <f t="shared" si="53"/>
        <v>#REF!</v>
      </c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  <c r="AA579" s="47"/>
      <c r="AB579" s="47"/>
      <c r="AC579" s="47"/>
      <c r="AD579" s="47"/>
    </row>
    <row r="580" spans="1:30" ht="15.75" customHeight="1">
      <c r="A580" s="51"/>
      <c r="B580" s="52" t="str">
        <f t="shared" si="51"/>
        <v/>
      </c>
      <c r="C580" t="str">
        <f t="shared" si="55"/>
        <v/>
      </c>
      <c r="D580" s="245" t="str">
        <f t="shared" si="54"/>
        <v/>
      </c>
      <c r="E580" s="534"/>
      <c r="F580" s="534"/>
      <c r="G580" s="198"/>
      <c r="H580" s="246" t="str">
        <f t="shared" si="52"/>
        <v/>
      </c>
      <c r="I580" s="199" t="e">
        <f>IF(#REF!="","",#REF!+G580+#REF!+#REF!+#REF!+H580)</f>
        <v>#REF!</v>
      </c>
      <c r="J580" s="247" t="e">
        <f t="shared" si="53"/>
        <v>#REF!</v>
      </c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  <c r="AA580" s="47"/>
      <c r="AB580" s="47"/>
      <c r="AC580" s="47"/>
      <c r="AD580" s="47"/>
    </row>
    <row r="581" spans="1:30" ht="15.75" customHeight="1">
      <c r="A581" s="51"/>
      <c r="B581" s="52" t="str">
        <f t="shared" si="51"/>
        <v/>
      </c>
      <c r="C581" t="str">
        <f t="shared" si="55"/>
        <v/>
      </c>
      <c r="D581" s="245" t="str">
        <f t="shared" si="54"/>
        <v/>
      </c>
      <c r="E581" s="534"/>
      <c r="F581" s="534"/>
      <c r="G581" s="198"/>
      <c r="H581" s="246" t="str">
        <f t="shared" si="52"/>
        <v/>
      </c>
      <c r="I581" s="199" t="e">
        <f>IF(#REF!="","",#REF!+G581+#REF!+#REF!+#REF!+H581)</f>
        <v>#REF!</v>
      </c>
      <c r="J581" s="247" t="e">
        <f t="shared" si="53"/>
        <v>#REF!</v>
      </c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  <c r="AA581" s="47"/>
      <c r="AB581" s="47"/>
      <c r="AC581" s="47"/>
      <c r="AD581" s="47"/>
    </row>
    <row r="582" spans="1:30" ht="15.75" customHeight="1">
      <c r="A582" s="51"/>
      <c r="B582" s="52" t="str">
        <f t="shared" si="51"/>
        <v/>
      </c>
      <c r="C582" t="str">
        <f t="shared" si="55"/>
        <v/>
      </c>
      <c r="D582" s="245" t="str">
        <f t="shared" si="54"/>
        <v/>
      </c>
      <c r="E582" s="534"/>
      <c r="F582" s="534"/>
      <c r="G582" s="198"/>
      <c r="H582" s="246" t="str">
        <f t="shared" si="52"/>
        <v/>
      </c>
      <c r="I582" s="199" t="e">
        <f>IF(#REF!="","",#REF!+G582+#REF!+#REF!+#REF!+H582)</f>
        <v>#REF!</v>
      </c>
      <c r="J582" s="247" t="e">
        <f t="shared" si="53"/>
        <v>#REF!</v>
      </c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7"/>
      <c r="AB582" s="47"/>
      <c r="AC582" s="47"/>
      <c r="AD582" s="47"/>
    </row>
    <row r="583" spans="1:30" ht="15.75" customHeight="1">
      <c r="A583" s="51"/>
      <c r="B583" s="52" t="str">
        <f t="shared" si="51"/>
        <v/>
      </c>
      <c r="C583" t="str">
        <f t="shared" si="55"/>
        <v/>
      </c>
      <c r="D583" s="245" t="str">
        <f t="shared" si="54"/>
        <v/>
      </c>
      <c r="E583" s="534"/>
      <c r="F583" s="534"/>
      <c r="G583" s="198"/>
      <c r="H583" s="246" t="str">
        <f t="shared" si="52"/>
        <v/>
      </c>
      <c r="I583" s="199" t="e">
        <f>IF(#REF!="","",#REF!+G583+#REF!+#REF!+#REF!+H583)</f>
        <v>#REF!</v>
      </c>
      <c r="J583" s="247" t="e">
        <f t="shared" si="53"/>
        <v>#REF!</v>
      </c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  <c r="AA583" s="47"/>
      <c r="AB583" s="47"/>
      <c r="AC583" s="47"/>
      <c r="AD583" s="47"/>
    </row>
    <row r="584" spans="1:30" ht="15.75" customHeight="1">
      <c r="A584" s="51"/>
      <c r="B584" s="52" t="str">
        <f t="shared" ref="B584:B647" si="56">IF(A584="","",TEXT(A584,"DDDD"))</f>
        <v/>
      </c>
      <c r="C584" t="str">
        <f t="shared" si="55"/>
        <v/>
      </c>
      <c r="D584" s="245" t="str">
        <f t="shared" si="54"/>
        <v/>
      </c>
      <c r="E584" s="534"/>
      <c r="F584" s="534"/>
      <c r="G584" s="198"/>
      <c r="H584" s="246" t="str">
        <f t="shared" ref="H584:H647" si="57">IF(G584=0,"",G584*$H$5)</f>
        <v/>
      </c>
      <c r="I584" s="199" t="e">
        <f>IF(#REF!="","",#REF!+G584+#REF!+#REF!+#REF!+H584)</f>
        <v>#REF!</v>
      </c>
      <c r="J584" s="247" t="e">
        <f t="shared" ref="J584:J647" si="58">IF(I584=0,"",I584-H584)</f>
        <v>#REF!</v>
      </c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  <c r="AA584" s="47"/>
      <c r="AB584" s="47"/>
      <c r="AC584" s="47"/>
      <c r="AD584" s="47"/>
    </row>
    <row r="585" spans="1:30" ht="15.75" customHeight="1">
      <c r="A585" s="51"/>
      <c r="B585" s="52" t="str">
        <f t="shared" si="56"/>
        <v/>
      </c>
      <c r="C585" t="str">
        <f t="shared" si="55"/>
        <v/>
      </c>
      <c r="D585" s="245" t="str">
        <f t="shared" ref="D585:D648" si="59">IF(A585&lt;&gt;"",PROPER(TEXT(A585,"Mmmm")),"")</f>
        <v/>
      </c>
      <c r="E585" s="534"/>
      <c r="F585" s="534"/>
      <c r="G585" s="198"/>
      <c r="H585" s="246" t="str">
        <f t="shared" si="57"/>
        <v/>
      </c>
      <c r="I585" s="199" t="e">
        <f>IF(#REF!="","",#REF!+G585+#REF!+#REF!+#REF!+H585)</f>
        <v>#REF!</v>
      </c>
      <c r="J585" s="247" t="e">
        <f t="shared" si="58"/>
        <v>#REF!</v>
      </c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  <c r="AA585" s="47"/>
      <c r="AB585" s="47"/>
      <c r="AC585" s="47"/>
      <c r="AD585" s="47"/>
    </row>
    <row r="586" spans="1:30" ht="15.75" customHeight="1">
      <c r="A586" s="51"/>
      <c r="B586" s="52" t="str">
        <f t="shared" si="56"/>
        <v/>
      </c>
      <c r="C586" t="str">
        <f t="shared" si="55"/>
        <v/>
      </c>
      <c r="D586" s="245" t="str">
        <f t="shared" si="59"/>
        <v/>
      </c>
      <c r="E586" s="534"/>
      <c r="F586" s="534"/>
      <c r="G586" s="198"/>
      <c r="H586" s="246" t="str">
        <f t="shared" si="57"/>
        <v/>
      </c>
      <c r="I586" s="199" t="e">
        <f>IF(#REF!="","",#REF!+G586+#REF!+#REF!+#REF!+H586)</f>
        <v>#REF!</v>
      </c>
      <c r="J586" s="247" t="e">
        <f t="shared" si="58"/>
        <v>#REF!</v>
      </c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  <c r="AA586" s="47"/>
      <c r="AB586" s="47"/>
      <c r="AC586" s="47"/>
      <c r="AD586" s="47"/>
    </row>
    <row r="587" spans="1:30" ht="15.75" customHeight="1">
      <c r="A587" s="51"/>
      <c r="B587" s="52" t="str">
        <f t="shared" si="56"/>
        <v/>
      </c>
      <c r="C587" t="str">
        <f t="shared" si="55"/>
        <v/>
      </c>
      <c r="D587" s="245" t="str">
        <f t="shared" si="59"/>
        <v/>
      </c>
      <c r="E587" s="534"/>
      <c r="F587" s="534"/>
      <c r="G587" s="198"/>
      <c r="H587" s="246" t="str">
        <f t="shared" si="57"/>
        <v/>
      </c>
      <c r="I587" s="199" t="e">
        <f>IF(#REF!="","",#REF!+G587+#REF!+#REF!+#REF!+H587)</f>
        <v>#REF!</v>
      </c>
      <c r="J587" s="247" t="e">
        <f t="shared" si="58"/>
        <v>#REF!</v>
      </c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  <c r="AA587" s="47"/>
      <c r="AB587" s="47"/>
      <c r="AC587" s="47"/>
      <c r="AD587" s="47"/>
    </row>
    <row r="588" spans="1:30" ht="15.75" customHeight="1">
      <c r="A588" s="51"/>
      <c r="B588" s="52" t="str">
        <f t="shared" si="56"/>
        <v/>
      </c>
      <c r="C588" t="str">
        <f t="shared" si="55"/>
        <v/>
      </c>
      <c r="D588" s="245" t="str">
        <f t="shared" si="59"/>
        <v/>
      </c>
      <c r="E588" s="534"/>
      <c r="F588" s="534"/>
      <c r="G588" s="198"/>
      <c r="H588" s="246" t="str">
        <f t="shared" si="57"/>
        <v/>
      </c>
      <c r="I588" s="199" t="e">
        <f>IF(#REF!="","",#REF!+G588+#REF!+#REF!+#REF!+H588)</f>
        <v>#REF!</v>
      </c>
      <c r="J588" s="247" t="e">
        <f t="shared" si="58"/>
        <v>#REF!</v>
      </c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  <c r="AA588" s="47"/>
      <c r="AB588" s="47"/>
      <c r="AC588" s="47"/>
      <c r="AD588" s="47"/>
    </row>
    <row r="589" spans="1:30" ht="15.75" customHeight="1">
      <c r="A589" s="51"/>
      <c r="B589" s="52" t="str">
        <f t="shared" si="56"/>
        <v/>
      </c>
      <c r="C589" t="str">
        <f t="shared" si="55"/>
        <v/>
      </c>
      <c r="D589" s="245" t="str">
        <f t="shared" si="59"/>
        <v/>
      </c>
      <c r="E589" s="534"/>
      <c r="F589" s="534"/>
      <c r="G589" s="198"/>
      <c r="H589" s="246" t="str">
        <f t="shared" si="57"/>
        <v/>
      </c>
      <c r="I589" s="199" t="e">
        <f>IF(#REF!="","",#REF!+G589+#REF!+#REF!+#REF!+H589)</f>
        <v>#REF!</v>
      </c>
      <c r="J589" s="247" t="e">
        <f t="shared" si="58"/>
        <v>#REF!</v>
      </c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  <c r="AA589" s="47"/>
      <c r="AB589" s="47"/>
      <c r="AC589" s="47"/>
      <c r="AD589" s="47"/>
    </row>
    <row r="590" spans="1:30" ht="15.75" customHeight="1">
      <c r="A590" s="51"/>
      <c r="B590" s="52" t="str">
        <f t="shared" si="56"/>
        <v/>
      </c>
      <c r="C590" t="str">
        <f t="shared" si="55"/>
        <v/>
      </c>
      <c r="D590" s="245" t="str">
        <f t="shared" si="59"/>
        <v/>
      </c>
      <c r="E590" s="534"/>
      <c r="F590" s="534"/>
      <c r="G590" s="198"/>
      <c r="H590" s="246" t="str">
        <f t="shared" si="57"/>
        <v/>
      </c>
      <c r="I590" s="199" t="e">
        <f>IF(#REF!="","",#REF!+G590+#REF!+#REF!+#REF!+H590)</f>
        <v>#REF!</v>
      </c>
      <c r="J590" s="247" t="e">
        <f t="shared" si="58"/>
        <v>#REF!</v>
      </c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  <c r="AA590" s="47"/>
      <c r="AB590" s="47"/>
      <c r="AC590" s="47"/>
      <c r="AD590" s="47"/>
    </row>
    <row r="591" spans="1:30" ht="15.75" customHeight="1">
      <c r="A591" s="51"/>
      <c r="B591" s="52" t="str">
        <f t="shared" si="56"/>
        <v/>
      </c>
      <c r="C591" t="str">
        <f t="shared" si="55"/>
        <v/>
      </c>
      <c r="D591" s="245" t="str">
        <f t="shared" si="59"/>
        <v/>
      </c>
      <c r="E591" s="534"/>
      <c r="F591" s="534"/>
      <c r="G591" s="198"/>
      <c r="H591" s="246" t="str">
        <f t="shared" si="57"/>
        <v/>
      </c>
      <c r="I591" s="199" t="e">
        <f>IF(#REF!="","",#REF!+G591+#REF!+#REF!+#REF!+H591)</f>
        <v>#REF!</v>
      </c>
      <c r="J591" s="247" t="e">
        <f t="shared" si="58"/>
        <v>#REF!</v>
      </c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  <c r="AA591" s="47"/>
      <c r="AB591" s="47"/>
      <c r="AC591" s="47"/>
      <c r="AD591" s="47"/>
    </row>
    <row r="592" spans="1:30" ht="15.75" customHeight="1">
      <c r="A592" s="51"/>
      <c r="B592" s="52" t="str">
        <f t="shared" si="56"/>
        <v/>
      </c>
      <c r="C592" t="str">
        <f t="shared" si="55"/>
        <v/>
      </c>
      <c r="D592" s="245" t="str">
        <f t="shared" si="59"/>
        <v/>
      </c>
      <c r="E592" s="534"/>
      <c r="F592" s="534"/>
      <c r="G592" s="198"/>
      <c r="H592" s="246" t="str">
        <f t="shared" si="57"/>
        <v/>
      </c>
      <c r="I592" s="199" t="e">
        <f>IF(#REF!="","",#REF!+G592+#REF!+#REF!+#REF!+H592)</f>
        <v>#REF!</v>
      </c>
      <c r="J592" s="247" t="e">
        <f t="shared" si="58"/>
        <v>#REF!</v>
      </c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  <c r="AA592" s="47"/>
      <c r="AB592" s="47"/>
      <c r="AC592" s="47"/>
      <c r="AD592" s="47"/>
    </row>
    <row r="593" spans="1:30" ht="15.75" customHeight="1">
      <c r="A593" s="51"/>
      <c r="B593" s="52" t="str">
        <f t="shared" si="56"/>
        <v/>
      </c>
      <c r="C593" t="str">
        <f t="shared" si="55"/>
        <v/>
      </c>
      <c r="D593" s="245" t="str">
        <f t="shared" si="59"/>
        <v/>
      </c>
      <c r="E593" s="534"/>
      <c r="F593" s="534"/>
      <c r="G593" s="198"/>
      <c r="H593" s="246" t="str">
        <f t="shared" si="57"/>
        <v/>
      </c>
      <c r="I593" s="199" t="e">
        <f>IF(#REF!="","",#REF!+G593+#REF!+#REF!+#REF!+H593)</f>
        <v>#REF!</v>
      </c>
      <c r="J593" s="247" t="e">
        <f t="shared" si="58"/>
        <v>#REF!</v>
      </c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  <c r="AA593" s="47"/>
      <c r="AB593" s="47"/>
      <c r="AC593" s="47"/>
      <c r="AD593" s="47"/>
    </row>
    <row r="594" spans="1:30" ht="15.75" customHeight="1">
      <c r="A594" s="51"/>
      <c r="B594" s="52" t="str">
        <f t="shared" si="56"/>
        <v/>
      </c>
      <c r="C594" t="str">
        <f t="shared" si="55"/>
        <v/>
      </c>
      <c r="D594" s="245" t="str">
        <f t="shared" si="59"/>
        <v/>
      </c>
      <c r="E594" s="534"/>
      <c r="F594" s="534"/>
      <c r="G594" s="198"/>
      <c r="H594" s="246" t="str">
        <f t="shared" si="57"/>
        <v/>
      </c>
      <c r="I594" s="199" t="e">
        <f>IF(#REF!="","",#REF!+G594+#REF!+#REF!+#REF!+H594)</f>
        <v>#REF!</v>
      </c>
      <c r="J594" s="247" t="e">
        <f t="shared" si="58"/>
        <v>#REF!</v>
      </c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  <c r="AA594" s="47"/>
      <c r="AB594" s="47"/>
      <c r="AC594" s="47"/>
      <c r="AD594" s="47"/>
    </row>
    <row r="595" spans="1:30" ht="15.75" customHeight="1">
      <c r="A595" s="51"/>
      <c r="B595" s="52" t="str">
        <f t="shared" si="56"/>
        <v/>
      </c>
      <c r="C595" t="str">
        <f t="shared" si="55"/>
        <v/>
      </c>
      <c r="D595" s="245" t="str">
        <f t="shared" si="59"/>
        <v/>
      </c>
      <c r="E595" s="534"/>
      <c r="F595" s="534"/>
      <c r="G595" s="198"/>
      <c r="H595" s="246" t="str">
        <f t="shared" si="57"/>
        <v/>
      </c>
      <c r="I595" s="199" t="e">
        <f>IF(#REF!="","",#REF!+G595+#REF!+#REF!+#REF!+H595)</f>
        <v>#REF!</v>
      </c>
      <c r="J595" s="247" t="e">
        <f t="shared" si="58"/>
        <v>#REF!</v>
      </c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  <c r="AA595" s="47"/>
      <c r="AB595" s="47"/>
      <c r="AC595" s="47"/>
      <c r="AD595" s="47"/>
    </row>
    <row r="596" spans="1:30" ht="15.75" customHeight="1">
      <c r="A596" s="51"/>
      <c r="B596" s="52" t="str">
        <f t="shared" si="56"/>
        <v/>
      </c>
      <c r="C596" t="str">
        <f t="shared" si="55"/>
        <v/>
      </c>
      <c r="D596" s="245" t="str">
        <f t="shared" si="59"/>
        <v/>
      </c>
      <c r="E596" s="534"/>
      <c r="F596" s="534"/>
      <c r="G596" s="198"/>
      <c r="H596" s="246" t="str">
        <f t="shared" si="57"/>
        <v/>
      </c>
      <c r="I596" s="199" t="e">
        <f>IF(#REF!="","",#REF!+G596+#REF!+#REF!+#REF!+H596)</f>
        <v>#REF!</v>
      </c>
      <c r="J596" s="247" t="e">
        <f t="shared" si="58"/>
        <v>#REF!</v>
      </c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  <c r="AA596" s="47"/>
      <c r="AB596" s="47"/>
      <c r="AC596" s="47"/>
      <c r="AD596" s="47"/>
    </row>
    <row r="597" spans="1:30" ht="15.75" customHeight="1">
      <c r="A597" s="51"/>
      <c r="B597" s="52" t="str">
        <f t="shared" si="56"/>
        <v/>
      </c>
      <c r="C597" t="str">
        <f t="shared" si="55"/>
        <v/>
      </c>
      <c r="D597" s="245" t="str">
        <f t="shared" si="59"/>
        <v/>
      </c>
      <c r="E597" s="534"/>
      <c r="F597" s="534"/>
      <c r="G597" s="198"/>
      <c r="H597" s="246" t="str">
        <f t="shared" si="57"/>
        <v/>
      </c>
      <c r="I597" s="199" t="e">
        <f>IF(#REF!="","",#REF!+G597+#REF!+#REF!+#REF!+H597)</f>
        <v>#REF!</v>
      </c>
      <c r="J597" s="247" t="e">
        <f t="shared" si="58"/>
        <v>#REF!</v>
      </c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  <c r="AA597" s="47"/>
      <c r="AB597" s="47"/>
      <c r="AC597" s="47"/>
      <c r="AD597" s="47"/>
    </row>
    <row r="598" spans="1:30" ht="15.75" customHeight="1">
      <c r="A598" s="51"/>
      <c r="B598" s="52" t="str">
        <f t="shared" si="56"/>
        <v/>
      </c>
      <c r="C598" t="str">
        <f t="shared" si="55"/>
        <v/>
      </c>
      <c r="D598" s="245" t="str">
        <f t="shared" si="59"/>
        <v/>
      </c>
      <c r="E598" s="534"/>
      <c r="F598" s="534"/>
      <c r="G598" s="198"/>
      <c r="H598" s="246" t="str">
        <f t="shared" si="57"/>
        <v/>
      </c>
      <c r="I598" s="199" t="e">
        <f>IF(#REF!="","",#REF!+G598+#REF!+#REF!+#REF!+H598)</f>
        <v>#REF!</v>
      </c>
      <c r="J598" s="247" t="e">
        <f t="shared" si="58"/>
        <v>#REF!</v>
      </c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  <c r="AA598" s="47"/>
      <c r="AB598" s="47"/>
      <c r="AC598" s="47"/>
      <c r="AD598" s="47"/>
    </row>
    <row r="599" spans="1:30" ht="15.75" customHeight="1">
      <c r="A599" s="51"/>
      <c r="B599" s="52" t="str">
        <f t="shared" si="56"/>
        <v/>
      </c>
      <c r="C599" t="str">
        <f t="shared" si="55"/>
        <v/>
      </c>
      <c r="D599" s="245" t="str">
        <f t="shared" si="59"/>
        <v/>
      </c>
      <c r="E599" s="534"/>
      <c r="F599" s="534"/>
      <c r="G599" s="198"/>
      <c r="H599" s="246" t="str">
        <f t="shared" si="57"/>
        <v/>
      </c>
      <c r="I599" s="199" t="e">
        <f>IF(#REF!="","",#REF!+G599+#REF!+#REF!+#REF!+H599)</f>
        <v>#REF!</v>
      </c>
      <c r="J599" s="247" t="e">
        <f t="shared" si="58"/>
        <v>#REF!</v>
      </c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  <c r="AA599" s="47"/>
      <c r="AB599" s="47"/>
      <c r="AC599" s="47"/>
      <c r="AD599" s="47"/>
    </row>
    <row r="600" spans="1:30" ht="15.75" customHeight="1">
      <c r="A600" s="51"/>
      <c r="B600" s="52" t="str">
        <f t="shared" si="56"/>
        <v/>
      </c>
      <c r="C600" t="str">
        <f t="shared" si="55"/>
        <v/>
      </c>
      <c r="D600" s="245" t="str">
        <f t="shared" si="59"/>
        <v/>
      </c>
      <c r="E600" s="534"/>
      <c r="F600" s="534"/>
      <c r="G600" s="198"/>
      <c r="H600" s="246" t="str">
        <f t="shared" si="57"/>
        <v/>
      </c>
      <c r="I600" s="199" t="e">
        <f>IF(#REF!="","",#REF!+G600+#REF!+#REF!+#REF!+H600)</f>
        <v>#REF!</v>
      </c>
      <c r="J600" s="247" t="e">
        <f t="shared" si="58"/>
        <v>#REF!</v>
      </c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  <c r="AA600" s="47"/>
      <c r="AB600" s="47"/>
      <c r="AC600" s="47"/>
      <c r="AD600" s="47"/>
    </row>
    <row r="601" spans="1:30" ht="15.75" customHeight="1">
      <c r="A601" s="51"/>
      <c r="B601" s="52" t="str">
        <f t="shared" si="56"/>
        <v/>
      </c>
      <c r="C601" t="str">
        <f t="shared" si="55"/>
        <v/>
      </c>
      <c r="D601" s="245" t="str">
        <f t="shared" si="59"/>
        <v/>
      </c>
      <c r="E601" s="534"/>
      <c r="F601" s="534"/>
      <c r="G601" s="198"/>
      <c r="H601" s="246" t="str">
        <f t="shared" si="57"/>
        <v/>
      </c>
      <c r="I601" s="199" t="e">
        <f>IF(#REF!="","",#REF!+G601+#REF!+#REF!+#REF!+H601)</f>
        <v>#REF!</v>
      </c>
      <c r="J601" s="247" t="e">
        <f t="shared" si="58"/>
        <v>#REF!</v>
      </c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  <c r="AA601" s="47"/>
      <c r="AB601" s="47"/>
      <c r="AC601" s="47"/>
      <c r="AD601" s="47"/>
    </row>
    <row r="602" spans="1:30" ht="15.75" customHeight="1">
      <c r="A602" s="51"/>
      <c r="B602" s="52" t="str">
        <f t="shared" si="56"/>
        <v/>
      </c>
      <c r="C602" t="str">
        <f t="shared" si="55"/>
        <v/>
      </c>
      <c r="D602" s="245" t="str">
        <f t="shared" si="59"/>
        <v/>
      </c>
      <c r="E602" s="534"/>
      <c r="F602" s="534"/>
      <c r="G602" s="198"/>
      <c r="H602" s="246" t="str">
        <f t="shared" si="57"/>
        <v/>
      </c>
      <c r="I602" s="199" t="e">
        <f>IF(#REF!="","",#REF!+G602+#REF!+#REF!+#REF!+H602)</f>
        <v>#REF!</v>
      </c>
      <c r="J602" s="247" t="e">
        <f t="shared" si="58"/>
        <v>#REF!</v>
      </c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  <c r="AA602" s="47"/>
      <c r="AB602" s="47"/>
      <c r="AC602" s="47"/>
      <c r="AD602" s="47"/>
    </row>
    <row r="603" spans="1:30" ht="15.75" customHeight="1">
      <c r="A603" s="51"/>
      <c r="B603" s="52" t="str">
        <f t="shared" si="56"/>
        <v/>
      </c>
      <c r="C603" t="str">
        <f t="shared" si="55"/>
        <v/>
      </c>
      <c r="D603" s="245" t="str">
        <f t="shared" si="59"/>
        <v/>
      </c>
      <c r="E603" s="534"/>
      <c r="F603" s="534"/>
      <c r="G603" s="198"/>
      <c r="H603" s="246" t="str">
        <f t="shared" si="57"/>
        <v/>
      </c>
      <c r="I603" s="199" t="e">
        <f>IF(#REF!="","",#REF!+G603+#REF!+#REF!+#REF!+H603)</f>
        <v>#REF!</v>
      </c>
      <c r="J603" s="247" t="e">
        <f t="shared" si="58"/>
        <v>#REF!</v>
      </c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  <c r="AA603" s="47"/>
      <c r="AB603" s="47"/>
      <c r="AC603" s="47"/>
      <c r="AD603" s="47"/>
    </row>
    <row r="604" spans="1:30" ht="15.75" customHeight="1">
      <c r="A604" s="51"/>
      <c r="B604" s="52" t="str">
        <f t="shared" si="56"/>
        <v/>
      </c>
      <c r="C604" t="str">
        <f t="shared" si="55"/>
        <v/>
      </c>
      <c r="D604" s="245" t="str">
        <f t="shared" si="59"/>
        <v/>
      </c>
      <c r="E604" s="534"/>
      <c r="F604" s="534"/>
      <c r="G604" s="198"/>
      <c r="H604" s="246" t="str">
        <f t="shared" si="57"/>
        <v/>
      </c>
      <c r="I604" s="199" t="e">
        <f>IF(#REF!="","",#REF!+G604+#REF!+#REF!+#REF!+H604)</f>
        <v>#REF!</v>
      </c>
      <c r="J604" s="247" t="e">
        <f t="shared" si="58"/>
        <v>#REF!</v>
      </c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  <c r="AA604" s="47"/>
      <c r="AB604" s="47"/>
      <c r="AC604" s="47"/>
      <c r="AD604" s="47"/>
    </row>
    <row r="605" spans="1:30" ht="15.75" customHeight="1">
      <c r="A605" s="51"/>
      <c r="B605" s="52" t="str">
        <f t="shared" si="56"/>
        <v/>
      </c>
      <c r="C605" t="str">
        <f t="shared" si="55"/>
        <v/>
      </c>
      <c r="D605" s="245" t="str">
        <f t="shared" si="59"/>
        <v/>
      </c>
      <c r="E605" s="534"/>
      <c r="F605" s="534"/>
      <c r="G605" s="198"/>
      <c r="H605" s="246" t="str">
        <f t="shared" si="57"/>
        <v/>
      </c>
      <c r="I605" s="199" t="e">
        <f>IF(#REF!="","",#REF!+G605+#REF!+#REF!+#REF!+H605)</f>
        <v>#REF!</v>
      </c>
      <c r="J605" s="247" t="e">
        <f t="shared" si="58"/>
        <v>#REF!</v>
      </c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  <c r="AA605" s="47"/>
      <c r="AB605" s="47"/>
      <c r="AC605" s="47"/>
      <c r="AD605" s="47"/>
    </row>
    <row r="606" spans="1:30" ht="15.75" customHeight="1">
      <c r="A606" s="51"/>
      <c r="B606" s="52" t="str">
        <f t="shared" si="56"/>
        <v/>
      </c>
      <c r="C606" t="str">
        <f t="shared" si="55"/>
        <v/>
      </c>
      <c r="D606" s="245" t="str">
        <f t="shared" si="59"/>
        <v/>
      </c>
      <c r="E606" s="534"/>
      <c r="F606" s="534"/>
      <c r="G606" s="198"/>
      <c r="H606" s="246" t="str">
        <f t="shared" si="57"/>
        <v/>
      </c>
      <c r="I606" s="199" t="e">
        <f>IF(#REF!="","",#REF!+G606+#REF!+#REF!+#REF!+H606)</f>
        <v>#REF!</v>
      </c>
      <c r="J606" s="247" t="e">
        <f t="shared" si="58"/>
        <v>#REF!</v>
      </c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  <c r="AA606" s="47"/>
      <c r="AB606" s="47"/>
      <c r="AC606" s="47"/>
      <c r="AD606" s="47"/>
    </row>
    <row r="607" spans="1:30" ht="15.75" customHeight="1">
      <c r="A607" s="51"/>
      <c r="B607" s="52" t="str">
        <f t="shared" si="56"/>
        <v/>
      </c>
      <c r="C607" t="str">
        <f t="shared" si="55"/>
        <v/>
      </c>
      <c r="D607" s="245" t="str">
        <f t="shared" si="59"/>
        <v/>
      </c>
      <c r="E607" s="534"/>
      <c r="F607" s="534"/>
      <c r="G607" s="198"/>
      <c r="H607" s="246" t="str">
        <f t="shared" si="57"/>
        <v/>
      </c>
      <c r="I607" s="199" t="e">
        <f>IF(#REF!="","",#REF!+G607+#REF!+#REF!+#REF!+H607)</f>
        <v>#REF!</v>
      </c>
      <c r="J607" s="247" t="e">
        <f t="shared" si="58"/>
        <v>#REF!</v>
      </c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  <c r="AA607" s="47"/>
      <c r="AB607" s="47"/>
      <c r="AC607" s="47"/>
      <c r="AD607" s="47"/>
    </row>
    <row r="608" spans="1:30" ht="15.75" customHeight="1">
      <c r="A608" s="51"/>
      <c r="B608" s="52" t="str">
        <f t="shared" si="56"/>
        <v/>
      </c>
      <c r="C608" t="str">
        <f t="shared" si="55"/>
        <v/>
      </c>
      <c r="D608" s="245" t="str">
        <f t="shared" si="59"/>
        <v/>
      </c>
      <c r="E608" s="534"/>
      <c r="F608" s="534"/>
      <c r="G608" s="198"/>
      <c r="H608" s="246" t="str">
        <f t="shared" si="57"/>
        <v/>
      </c>
      <c r="I608" s="199" t="e">
        <f>IF(#REF!="","",#REF!+G608+#REF!+#REF!+#REF!+H608)</f>
        <v>#REF!</v>
      </c>
      <c r="J608" s="247" t="e">
        <f t="shared" si="58"/>
        <v>#REF!</v>
      </c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  <c r="AA608" s="47"/>
      <c r="AB608" s="47"/>
      <c r="AC608" s="47"/>
      <c r="AD608" s="47"/>
    </row>
    <row r="609" spans="1:30" ht="15.75" customHeight="1">
      <c r="A609" s="51"/>
      <c r="B609" s="52" t="str">
        <f t="shared" si="56"/>
        <v/>
      </c>
      <c r="C609" t="str">
        <f t="shared" si="55"/>
        <v/>
      </c>
      <c r="D609" s="245" t="str">
        <f t="shared" si="59"/>
        <v/>
      </c>
      <c r="E609" s="534"/>
      <c r="F609" s="534"/>
      <c r="G609" s="198"/>
      <c r="H609" s="246" t="str">
        <f t="shared" si="57"/>
        <v/>
      </c>
      <c r="I609" s="199" t="e">
        <f>IF(#REF!="","",#REF!+G609+#REF!+#REF!+#REF!+H609)</f>
        <v>#REF!</v>
      </c>
      <c r="J609" s="247" t="e">
        <f t="shared" si="58"/>
        <v>#REF!</v>
      </c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  <c r="AA609" s="47"/>
      <c r="AB609" s="47"/>
      <c r="AC609" s="47"/>
      <c r="AD609" s="47"/>
    </row>
    <row r="610" spans="1:30" ht="15.75" customHeight="1">
      <c r="A610" s="51"/>
      <c r="B610" s="52" t="str">
        <f t="shared" si="56"/>
        <v/>
      </c>
      <c r="C610" t="str">
        <f t="shared" si="55"/>
        <v/>
      </c>
      <c r="D610" s="245" t="str">
        <f t="shared" si="59"/>
        <v/>
      </c>
      <c r="E610" s="534"/>
      <c r="F610" s="534"/>
      <c r="G610" s="198"/>
      <c r="H610" s="246" t="str">
        <f t="shared" si="57"/>
        <v/>
      </c>
      <c r="I610" s="199" t="e">
        <f>IF(#REF!="","",#REF!+G610+#REF!+#REF!+#REF!+H610)</f>
        <v>#REF!</v>
      </c>
      <c r="J610" s="247" t="e">
        <f t="shared" si="58"/>
        <v>#REF!</v>
      </c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  <c r="AA610" s="47"/>
      <c r="AB610" s="47"/>
      <c r="AC610" s="47"/>
      <c r="AD610" s="47"/>
    </row>
    <row r="611" spans="1:30" ht="15.75" customHeight="1">
      <c r="A611" s="51"/>
      <c r="B611" s="52" t="str">
        <f t="shared" si="56"/>
        <v/>
      </c>
      <c r="C611" t="str">
        <f t="shared" si="55"/>
        <v/>
      </c>
      <c r="D611" s="245" t="str">
        <f t="shared" si="59"/>
        <v/>
      </c>
      <c r="E611" s="534"/>
      <c r="F611" s="534"/>
      <c r="G611" s="198"/>
      <c r="H611" s="246" t="str">
        <f t="shared" si="57"/>
        <v/>
      </c>
      <c r="I611" s="199" t="e">
        <f>IF(#REF!="","",#REF!+G611+#REF!+#REF!+#REF!+H611)</f>
        <v>#REF!</v>
      </c>
      <c r="J611" s="247" t="e">
        <f t="shared" si="58"/>
        <v>#REF!</v>
      </c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  <c r="AA611" s="47"/>
      <c r="AB611" s="47"/>
      <c r="AC611" s="47"/>
      <c r="AD611" s="47"/>
    </row>
    <row r="612" spans="1:30" ht="15.75" customHeight="1">
      <c r="A612" s="51"/>
      <c r="B612" s="52" t="str">
        <f t="shared" si="56"/>
        <v/>
      </c>
      <c r="C612" t="str">
        <f t="shared" si="55"/>
        <v/>
      </c>
      <c r="D612" s="245" t="str">
        <f t="shared" si="59"/>
        <v/>
      </c>
      <c r="E612" s="534"/>
      <c r="F612" s="534"/>
      <c r="G612" s="198"/>
      <c r="H612" s="246" t="str">
        <f t="shared" si="57"/>
        <v/>
      </c>
      <c r="I612" s="199" t="e">
        <f>IF(#REF!="","",#REF!+G612+#REF!+#REF!+#REF!+H612)</f>
        <v>#REF!</v>
      </c>
      <c r="J612" s="247" t="e">
        <f t="shared" si="58"/>
        <v>#REF!</v>
      </c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  <c r="AA612" s="47"/>
      <c r="AB612" s="47"/>
      <c r="AC612" s="47"/>
      <c r="AD612" s="47"/>
    </row>
    <row r="613" spans="1:30" ht="15.75" customHeight="1">
      <c r="A613" s="51"/>
      <c r="B613" s="52" t="str">
        <f t="shared" si="56"/>
        <v/>
      </c>
      <c r="C613" t="str">
        <f t="shared" si="55"/>
        <v/>
      </c>
      <c r="D613" s="245" t="str">
        <f t="shared" si="59"/>
        <v/>
      </c>
      <c r="E613" s="534"/>
      <c r="F613" s="534"/>
      <c r="G613" s="198"/>
      <c r="H613" s="246" t="str">
        <f t="shared" si="57"/>
        <v/>
      </c>
      <c r="I613" s="199" t="e">
        <f>IF(#REF!="","",#REF!+G613+#REF!+#REF!+#REF!+H613)</f>
        <v>#REF!</v>
      </c>
      <c r="J613" s="247" t="e">
        <f t="shared" si="58"/>
        <v>#REF!</v>
      </c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  <c r="AA613" s="47"/>
      <c r="AB613" s="47"/>
      <c r="AC613" s="47"/>
      <c r="AD613" s="47"/>
    </row>
    <row r="614" spans="1:30" ht="15.75" customHeight="1">
      <c r="A614" s="51"/>
      <c r="B614" s="52" t="str">
        <f t="shared" si="56"/>
        <v/>
      </c>
      <c r="C614" t="str">
        <f t="shared" si="55"/>
        <v/>
      </c>
      <c r="D614" s="245" t="str">
        <f t="shared" si="59"/>
        <v/>
      </c>
      <c r="E614" s="534"/>
      <c r="F614" s="534"/>
      <c r="G614" s="198"/>
      <c r="H614" s="246" t="str">
        <f t="shared" si="57"/>
        <v/>
      </c>
      <c r="I614" s="199" t="e">
        <f>IF(#REF!="","",#REF!+G614+#REF!+#REF!+#REF!+H614)</f>
        <v>#REF!</v>
      </c>
      <c r="J614" s="247" t="e">
        <f t="shared" si="58"/>
        <v>#REF!</v>
      </c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  <c r="AA614" s="47"/>
      <c r="AB614" s="47"/>
      <c r="AC614" s="47"/>
      <c r="AD614" s="47"/>
    </row>
    <row r="615" spans="1:30" ht="15.75" customHeight="1">
      <c r="A615" s="51"/>
      <c r="B615" s="52" t="str">
        <f t="shared" si="56"/>
        <v/>
      </c>
      <c r="C615" t="str">
        <f t="shared" si="55"/>
        <v/>
      </c>
      <c r="D615" s="245" t="str">
        <f t="shared" si="59"/>
        <v/>
      </c>
      <c r="E615" s="534"/>
      <c r="F615" s="534"/>
      <c r="G615" s="198"/>
      <c r="H615" s="246" t="str">
        <f t="shared" si="57"/>
        <v/>
      </c>
      <c r="I615" s="199" t="e">
        <f>IF(#REF!="","",#REF!+G615+#REF!+#REF!+#REF!+H615)</f>
        <v>#REF!</v>
      </c>
      <c r="J615" s="247" t="e">
        <f t="shared" si="58"/>
        <v>#REF!</v>
      </c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  <c r="AA615" s="47"/>
      <c r="AB615" s="47"/>
      <c r="AC615" s="47"/>
      <c r="AD615" s="47"/>
    </row>
    <row r="616" spans="1:30" ht="15.75" customHeight="1">
      <c r="A616" s="51"/>
      <c r="B616" s="52" t="str">
        <f t="shared" si="56"/>
        <v/>
      </c>
      <c r="C616" t="str">
        <f t="shared" si="55"/>
        <v/>
      </c>
      <c r="D616" s="245" t="str">
        <f t="shared" si="59"/>
        <v/>
      </c>
      <c r="E616" s="534"/>
      <c r="F616" s="534"/>
      <c r="G616" s="198"/>
      <c r="H616" s="246" t="str">
        <f t="shared" si="57"/>
        <v/>
      </c>
      <c r="I616" s="199" t="e">
        <f>IF(#REF!="","",#REF!+G616+#REF!+#REF!+#REF!+H616)</f>
        <v>#REF!</v>
      </c>
      <c r="J616" s="247" t="e">
        <f t="shared" si="58"/>
        <v>#REF!</v>
      </c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  <c r="AA616" s="47"/>
      <c r="AB616" s="47"/>
      <c r="AC616" s="47"/>
      <c r="AD616" s="47"/>
    </row>
    <row r="617" spans="1:30" ht="15.75" customHeight="1">
      <c r="A617" s="51"/>
      <c r="B617" s="52" t="str">
        <f t="shared" si="56"/>
        <v/>
      </c>
      <c r="C617" t="str">
        <f t="shared" si="55"/>
        <v/>
      </c>
      <c r="D617" s="245" t="str">
        <f t="shared" si="59"/>
        <v/>
      </c>
      <c r="E617" s="534"/>
      <c r="F617" s="534"/>
      <c r="G617" s="198"/>
      <c r="H617" s="246" t="str">
        <f t="shared" si="57"/>
        <v/>
      </c>
      <c r="I617" s="199" t="e">
        <f>IF(#REF!="","",#REF!+G617+#REF!+#REF!+#REF!+H617)</f>
        <v>#REF!</v>
      </c>
      <c r="J617" s="247" t="e">
        <f t="shared" si="58"/>
        <v>#REF!</v>
      </c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  <c r="AA617" s="47"/>
      <c r="AB617" s="47"/>
      <c r="AC617" s="47"/>
      <c r="AD617" s="47"/>
    </row>
    <row r="618" spans="1:30" ht="15.75" customHeight="1">
      <c r="A618" s="51"/>
      <c r="B618" s="52" t="str">
        <f t="shared" si="56"/>
        <v/>
      </c>
      <c r="C618" t="str">
        <f t="shared" si="55"/>
        <v/>
      </c>
      <c r="D618" s="245" t="str">
        <f t="shared" si="59"/>
        <v/>
      </c>
      <c r="E618" s="534"/>
      <c r="F618" s="534"/>
      <c r="G618" s="198"/>
      <c r="H618" s="246" t="str">
        <f t="shared" si="57"/>
        <v/>
      </c>
      <c r="I618" s="199" t="e">
        <f>IF(#REF!="","",#REF!+G618+#REF!+#REF!+#REF!+H618)</f>
        <v>#REF!</v>
      </c>
      <c r="J618" s="247" t="e">
        <f t="shared" si="58"/>
        <v>#REF!</v>
      </c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  <c r="AA618" s="47"/>
      <c r="AB618" s="47"/>
      <c r="AC618" s="47"/>
      <c r="AD618" s="47"/>
    </row>
    <row r="619" spans="1:30" ht="15.75" customHeight="1">
      <c r="A619" s="51"/>
      <c r="B619" s="52" t="str">
        <f t="shared" si="56"/>
        <v/>
      </c>
      <c r="C619" t="str">
        <f t="shared" si="55"/>
        <v/>
      </c>
      <c r="D619" s="245" t="str">
        <f t="shared" si="59"/>
        <v/>
      </c>
      <c r="E619" s="534"/>
      <c r="F619" s="534"/>
      <c r="G619" s="198"/>
      <c r="H619" s="246" t="str">
        <f t="shared" si="57"/>
        <v/>
      </c>
      <c r="I619" s="199" t="e">
        <f>IF(#REF!="","",#REF!+G619+#REF!+#REF!+#REF!+H619)</f>
        <v>#REF!</v>
      </c>
      <c r="J619" s="247" t="e">
        <f t="shared" si="58"/>
        <v>#REF!</v>
      </c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  <c r="AA619" s="47"/>
      <c r="AB619" s="47"/>
      <c r="AC619" s="47"/>
      <c r="AD619" s="47"/>
    </row>
    <row r="620" spans="1:30" ht="15.75" customHeight="1">
      <c r="A620" s="51"/>
      <c r="B620" s="52" t="str">
        <f t="shared" si="56"/>
        <v/>
      </c>
      <c r="C620" t="str">
        <f t="shared" si="55"/>
        <v/>
      </c>
      <c r="D620" s="245" t="str">
        <f t="shared" si="59"/>
        <v/>
      </c>
      <c r="E620" s="534"/>
      <c r="F620" s="534"/>
      <c r="G620" s="198"/>
      <c r="H620" s="246" t="str">
        <f t="shared" si="57"/>
        <v/>
      </c>
      <c r="I620" s="199" t="e">
        <f>IF(#REF!="","",#REF!+G620+#REF!+#REF!+#REF!+H620)</f>
        <v>#REF!</v>
      </c>
      <c r="J620" s="247" t="e">
        <f t="shared" si="58"/>
        <v>#REF!</v>
      </c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  <c r="AA620" s="47"/>
      <c r="AB620" s="47"/>
      <c r="AC620" s="47"/>
      <c r="AD620" s="47"/>
    </row>
    <row r="621" spans="1:30" ht="15.75" customHeight="1">
      <c r="A621" s="51"/>
      <c r="B621" s="52" t="str">
        <f t="shared" si="56"/>
        <v/>
      </c>
      <c r="C621" t="str">
        <f t="shared" si="55"/>
        <v/>
      </c>
      <c r="D621" s="245" t="str">
        <f t="shared" si="59"/>
        <v/>
      </c>
      <c r="E621" s="534"/>
      <c r="F621" s="534"/>
      <c r="G621" s="198"/>
      <c r="H621" s="246" t="str">
        <f t="shared" si="57"/>
        <v/>
      </c>
      <c r="I621" s="199" t="e">
        <f>IF(#REF!="","",#REF!+G621+#REF!+#REF!+#REF!+H621)</f>
        <v>#REF!</v>
      </c>
      <c r="J621" s="247" t="e">
        <f t="shared" si="58"/>
        <v>#REF!</v>
      </c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  <c r="AA621" s="47"/>
      <c r="AB621" s="47"/>
      <c r="AC621" s="47"/>
      <c r="AD621" s="47"/>
    </row>
    <row r="622" spans="1:30" ht="15.75" customHeight="1">
      <c r="A622" s="51"/>
      <c r="B622" s="52" t="str">
        <f t="shared" si="56"/>
        <v/>
      </c>
      <c r="C622" t="str">
        <f t="shared" si="55"/>
        <v/>
      </c>
      <c r="D622" s="245" t="str">
        <f t="shared" si="59"/>
        <v/>
      </c>
      <c r="E622" s="534"/>
      <c r="F622" s="534"/>
      <c r="G622" s="198"/>
      <c r="H622" s="246" t="str">
        <f t="shared" si="57"/>
        <v/>
      </c>
      <c r="I622" s="199" t="e">
        <f>IF(#REF!="","",#REF!+G622+#REF!+#REF!+#REF!+H622)</f>
        <v>#REF!</v>
      </c>
      <c r="J622" s="247" t="e">
        <f t="shared" si="58"/>
        <v>#REF!</v>
      </c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7"/>
      <c r="AB622" s="47"/>
      <c r="AC622" s="47"/>
      <c r="AD622" s="47"/>
    </row>
    <row r="623" spans="1:30" ht="15.75" customHeight="1">
      <c r="A623" s="51"/>
      <c r="B623" s="52" t="str">
        <f t="shared" si="56"/>
        <v/>
      </c>
      <c r="C623" t="str">
        <f t="shared" si="55"/>
        <v/>
      </c>
      <c r="D623" s="245" t="str">
        <f t="shared" si="59"/>
        <v/>
      </c>
      <c r="E623" s="534"/>
      <c r="F623" s="534"/>
      <c r="G623" s="198"/>
      <c r="H623" s="246" t="str">
        <f t="shared" si="57"/>
        <v/>
      </c>
      <c r="I623" s="199" t="e">
        <f>IF(#REF!="","",#REF!+G623+#REF!+#REF!+#REF!+H623)</f>
        <v>#REF!</v>
      </c>
      <c r="J623" s="247" t="e">
        <f t="shared" si="58"/>
        <v>#REF!</v>
      </c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  <c r="AA623" s="47"/>
      <c r="AB623" s="47"/>
      <c r="AC623" s="47"/>
      <c r="AD623" s="47"/>
    </row>
    <row r="624" spans="1:30" ht="15.75" customHeight="1">
      <c r="A624" s="51"/>
      <c r="B624" s="52" t="str">
        <f t="shared" si="56"/>
        <v/>
      </c>
      <c r="C624" t="str">
        <f t="shared" si="55"/>
        <v/>
      </c>
      <c r="D624" s="245" t="str">
        <f t="shared" si="59"/>
        <v/>
      </c>
      <c r="E624" s="534"/>
      <c r="F624" s="534"/>
      <c r="G624" s="198"/>
      <c r="H624" s="246" t="str">
        <f t="shared" si="57"/>
        <v/>
      </c>
      <c r="I624" s="199" t="e">
        <f>IF(#REF!="","",#REF!+G624+#REF!+#REF!+#REF!+H624)</f>
        <v>#REF!</v>
      </c>
      <c r="J624" s="247" t="e">
        <f t="shared" si="58"/>
        <v>#REF!</v>
      </c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  <c r="AA624" s="47"/>
      <c r="AB624" s="47"/>
      <c r="AC624" s="47"/>
      <c r="AD624" s="47"/>
    </row>
    <row r="625" spans="1:30" ht="15.75" customHeight="1">
      <c r="A625" s="51"/>
      <c r="B625" s="52" t="str">
        <f t="shared" si="56"/>
        <v/>
      </c>
      <c r="C625" t="str">
        <f t="shared" si="55"/>
        <v/>
      </c>
      <c r="D625" s="245" t="str">
        <f t="shared" si="59"/>
        <v/>
      </c>
      <c r="E625" s="534"/>
      <c r="F625" s="534"/>
      <c r="G625" s="198"/>
      <c r="H625" s="246" t="str">
        <f t="shared" si="57"/>
        <v/>
      </c>
      <c r="I625" s="199" t="e">
        <f>IF(#REF!="","",#REF!+G625+#REF!+#REF!+#REF!+H625)</f>
        <v>#REF!</v>
      </c>
      <c r="J625" s="247" t="e">
        <f t="shared" si="58"/>
        <v>#REF!</v>
      </c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  <c r="AA625" s="47"/>
      <c r="AB625" s="47"/>
      <c r="AC625" s="47"/>
      <c r="AD625" s="47"/>
    </row>
    <row r="626" spans="1:30" ht="15.75" customHeight="1">
      <c r="A626" s="51"/>
      <c r="B626" s="52" t="str">
        <f t="shared" si="56"/>
        <v/>
      </c>
      <c r="C626" t="str">
        <f t="shared" si="55"/>
        <v/>
      </c>
      <c r="D626" s="245" t="str">
        <f t="shared" si="59"/>
        <v/>
      </c>
      <c r="E626" s="534"/>
      <c r="F626" s="534"/>
      <c r="G626" s="198"/>
      <c r="H626" s="246" t="str">
        <f t="shared" si="57"/>
        <v/>
      </c>
      <c r="I626" s="199" t="e">
        <f>IF(#REF!="","",#REF!+G626+#REF!+#REF!+#REF!+H626)</f>
        <v>#REF!</v>
      </c>
      <c r="J626" s="247" t="e">
        <f t="shared" si="58"/>
        <v>#REF!</v>
      </c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  <c r="AA626" s="47"/>
      <c r="AB626" s="47"/>
      <c r="AC626" s="47"/>
      <c r="AD626" s="47"/>
    </row>
    <row r="627" spans="1:30" ht="15.75" customHeight="1">
      <c r="A627" s="51"/>
      <c r="B627" s="52" t="str">
        <f t="shared" si="56"/>
        <v/>
      </c>
      <c r="C627" t="str">
        <f t="shared" si="55"/>
        <v/>
      </c>
      <c r="D627" s="245" t="str">
        <f t="shared" si="59"/>
        <v/>
      </c>
      <c r="E627" s="534"/>
      <c r="F627" s="534"/>
      <c r="G627" s="198"/>
      <c r="H627" s="246" t="str">
        <f t="shared" si="57"/>
        <v/>
      </c>
      <c r="I627" s="199" t="e">
        <f>IF(#REF!="","",#REF!+G627+#REF!+#REF!+#REF!+H627)</f>
        <v>#REF!</v>
      </c>
      <c r="J627" s="247" t="e">
        <f t="shared" si="58"/>
        <v>#REF!</v>
      </c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  <c r="AA627" s="47"/>
      <c r="AB627" s="47"/>
      <c r="AC627" s="47"/>
      <c r="AD627" s="47"/>
    </row>
    <row r="628" spans="1:30" ht="15.75" customHeight="1">
      <c r="A628" s="51"/>
      <c r="B628" s="52" t="str">
        <f t="shared" si="56"/>
        <v/>
      </c>
      <c r="C628" t="str">
        <f t="shared" si="55"/>
        <v/>
      </c>
      <c r="D628" s="245" t="str">
        <f t="shared" si="59"/>
        <v/>
      </c>
      <c r="E628" s="534"/>
      <c r="F628" s="534"/>
      <c r="G628" s="198"/>
      <c r="H628" s="246" t="str">
        <f t="shared" si="57"/>
        <v/>
      </c>
      <c r="I628" s="199" t="e">
        <f>IF(#REF!="","",#REF!+G628+#REF!+#REF!+#REF!+H628)</f>
        <v>#REF!</v>
      </c>
      <c r="J628" s="247" t="e">
        <f t="shared" si="58"/>
        <v>#REF!</v>
      </c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  <c r="AA628" s="47"/>
      <c r="AB628" s="47"/>
      <c r="AC628" s="47"/>
      <c r="AD628" s="47"/>
    </row>
    <row r="629" spans="1:30" ht="15.75" customHeight="1">
      <c r="A629" s="51"/>
      <c r="B629" s="52" t="str">
        <f t="shared" si="56"/>
        <v/>
      </c>
      <c r="C629" t="str">
        <f t="shared" si="55"/>
        <v/>
      </c>
      <c r="D629" s="245" t="str">
        <f t="shared" si="59"/>
        <v/>
      </c>
      <c r="E629" s="534"/>
      <c r="F629" s="534"/>
      <c r="G629" s="198"/>
      <c r="H629" s="246" t="str">
        <f t="shared" si="57"/>
        <v/>
      </c>
      <c r="I629" s="199" t="e">
        <f>IF(#REF!="","",#REF!+G629+#REF!+#REF!+#REF!+H629)</f>
        <v>#REF!</v>
      </c>
      <c r="J629" s="247" t="e">
        <f t="shared" si="58"/>
        <v>#REF!</v>
      </c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  <c r="AA629" s="47"/>
      <c r="AB629" s="47"/>
      <c r="AC629" s="47"/>
      <c r="AD629" s="47"/>
    </row>
    <row r="630" spans="1:30" ht="15.75" customHeight="1">
      <c r="A630" s="51"/>
      <c r="B630" s="52" t="str">
        <f t="shared" si="56"/>
        <v/>
      </c>
      <c r="C630" t="str">
        <f t="shared" si="55"/>
        <v/>
      </c>
      <c r="D630" s="245" t="str">
        <f t="shared" si="59"/>
        <v/>
      </c>
      <c r="E630" s="534"/>
      <c r="F630" s="534"/>
      <c r="G630" s="198"/>
      <c r="H630" s="246" t="str">
        <f t="shared" si="57"/>
        <v/>
      </c>
      <c r="I630" s="199" t="e">
        <f>IF(#REF!="","",#REF!+G630+#REF!+#REF!+#REF!+H630)</f>
        <v>#REF!</v>
      </c>
      <c r="J630" s="247" t="e">
        <f t="shared" si="58"/>
        <v>#REF!</v>
      </c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  <c r="AA630" s="47"/>
      <c r="AB630" s="47"/>
      <c r="AC630" s="47"/>
      <c r="AD630" s="47"/>
    </row>
    <row r="631" spans="1:30" ht="15.75" customHeight="1">
      <c r="A631" s="51"/>
      <c r="B631" s="52" t="str">
        <f t="shared" si="56"/>
        <v/>
      </c>
      <c r="C631" t="str">
        <f t="shared" si="55"/>
        <v/>
      </c>
      <c r="D631" s="245" t="str">
        <f t="shared" si="59"/>
        <v/>
      </c>
      <c r="E631" s="534"/>
      <c r="F631" s="534"/>
      <c r="G631" s="198"/>
      <c r="H631" s="246" t="str">
        <f t="shared" si="57"/>
        <v/>
      </c>
      <c r="I631" s="199" t="e">
        <f>IF(#REF!="","",#REF!+G631+#REF!+#REF!+#REF!+H631)</f>
        <v>#REF!</v>
      </c>
      <c r="J631" s="247" t="e">
        <f t="shared" si="58"/>
        <v>#REF!</v>
      </c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  <c r="AA631" s="47"/>
      <c r="AB631" s="47"/>
      <c r="AC631" s="47"/>
      <c r="AD631" s="47"/>
    </row>
    <row r="632" spans="1:30" ht="15.75" customHeight="1">
      <c r="A632" s="51"/>
      <c r="B632" s="52" t="str">
        <f t="shared" si="56"/>
        <v/>
      </c>
      <c r="C632" t="str">
        <f t="shared" si="55"/>
        <v/>
      </c>
      <c r="D632" s="245" t="str">
        <f t="shared" si="59"/>
        <v/>
      </c>
      <c r="E632" s="534"/>
      <c r="F632" s="534"/>
      <c r="G632" s="198"/>
      <c r="H632" s="246" t="str">
        <f t="shared" si="57"/>
        <v/>
      </c>
      <c r="I632" s="199" t="e">
        <f>IF(#REF!="","",#REF!+G632+#REF!+#REF!+#REF!+H632)</f>
        <v>#REF!</v>
      </c>
      <c r="J632" s="247" t="e">
        <f t="shared" si="58"/>
        <v>#REF!</v>
      </c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  <c r="AA632" s="47"/>
      <c r="AB632" s="47"/>
      <c r="AC632" s="47"/>
      <c r="AD632" s="47"/>
    </row>
    <row r="633" spans="1:30" ht="15.75" customHeight="1">
      <c r="A633" s="51"/>
      <c r="B633" s="52" t="str">
        <f t="shared" si="56"/>
        <v/>
      </c>
      <c r="C633" t="str">
        <f t="shared" si="55"/>
        <v/>
      </c>
      <c r="D633" s="245" t="str">
        <f t="shared" si="59"/>
        <v/>
      </c>
      <c r="E633" s="534"/>
      <c r="F633" s="534"/>
      <c r="G633" s="198"/>
      <c r="H633" s="246" t="str">
        <f t="shared" si="57"/>
        <v/>
      </c>
      <c r="I633" s="199" t="e">
        <f>IF(#REF!="","",#REF!+G633+#REF!+#REF!+#REF!+H633)</f>
        <v>#REF!</v>
      </c>
      <c r="J633" s="247" t="e">
        <f t="shared" si="58"/>
        <v>#REF!</v>
      </c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  <c r="AA633" s="47"/>
      <c r="AB633" s="47"/>
      <c r="AC633" s="47"/>
      <c r="AD633" s="47"/>
    </row>
    <row r="634" spans="1:30" ht="15.75" customHeight="1">
      <c r="A634" s="51"/>
      <c r="B634" s="52" t="str">
        <f t="shared" si="56"/>
        <v/>
      </c>
      <c r="C634" t="str">
        <f t="shared" si="55"/>
        <v/>
      </c>
      <c r="D634" s="245" t="str">
        <f t="shared" si="59"/>
        <v/>
      </c>
      <c r="E634" s="534"/>
      <c r="F634" s="534"/>
      <c r="G634" s="198"/>
      <c r="H634" s="246" t="str">
        <f t="shared" si="57"/>
        <v/>
      </c>
      <c r="I634" s="199" t="e">
        <f>IF(#REF!="","",#REF!+G634+#REF!+#REF!+#REF!+H634)</f>
        <v>#REF!</v>
      </c>
      <c r="J634" s="247" t="e">
        <f t="shared" si="58"/>
        <v>#REF!</v>
      </c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  <c r="AA634" s="47"/>
      <c r="AB634" s="47"/>
      <c r="AC634" s="47"/>
      <c r="AD634" s="47"/>
    </row>
    <row r="635" spans="1:30" ht="15.75" customHeight="1">
      <c r="A635" s="51"/>
      <c r="B635" s="52" t="str">
        <f t="shared" si="56"/>
        <v/>
      </c>
      <c r="C635" t="str">
        <f t="shared" si="55"/>
        <v/>
      </c>
      <c r="D635" s="245" t="str">
        <f t="shared" si="59"/>
        <v/>
      </c>
      <c r="E635" s="534"/>
      <c r="F635" s="534"/>
      <c r="G635" s="198"/>
      <c r="H635" s="246" t="str">
        <f t="shared" si="57"/>
        <v/>
      </c>
      <c r="I635" s="199" t="e">
        <f>IF(#REF!="","",#REF!+G635+#REF!+#REF!+#REF!+H635)</f>
        <v>#REF!</v>
      </c>
      <c r="J635" s="247" t="e">
        <f t="shared" si="58"/>
        <v>#REF!</v>
      </c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  <c r="AA635" s="47"/>
      <c r="AB635" s="47"/>
      <c r="AC635" s="47"/>
      <c r="AD635" s="47"/>
    </row>
    <row r="636" spans="1:30" ht="15.75" customHeight="1">
      <c r="A636" s="51"/>
      <c r="B636" s="52" t="str">
        <f t="shared" si="56"/>
        <v/>
      </c>
      <c r="C636" t="str">
        <f t="shared" si="55"/>
        <v/>
      </c>
      <c r="D636" s="245" t="str">
        <f t="shared" si="59"/>
        <v/>
      </c>
      <c r="E636" s="534"/>
      <c r="F636" s="534"/>
      <c r="G636" s="198"/>
      <c r="H636" s="246" t="str">
        <f t="shared" si="57"/>
        <v/>
      </c>
      <c r="I636" s="199" t="e">
        <f>IF(#REF!="","",#REF!+G636+#REF!+#REF!+#REF!+H636)</f>
        <v>#REF!</v>
      </c>
      <c r="J636" s="247" t="e">
        <f t="shared" si="58"/>
        <v>#REF!</v>
      </c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  <c r="AA636" s="47"/>
      <c r="AB636" s="47"/>
      <c r="AC636" s="47"/>
      <c r="AD636" s="47"/>
    </row>
    <row r="637" spans="1:30" ht="15.75" customHeight="1">
      <c r="A637" s="51"/>
      <c r="B637" s="52" t="str">
        <f t="shared" si="56"/>
        <v/>
      </c>
      <c r="C637" t="str">
        <f t="shared" si="55"/>
        <v/>
      </c>
      <c r="D637" s="245" t="str">
        <f t="shared" si="59"/>
        <v/>
      </c>
      <c r="E637" s="534"/>
      <c r="F637" s="534"/>
      <c r="G637" s="198"/>
      <c r="H637" s="246" t="str">
        <f t="shared" si="57"/>
        <v/>
      </c>
      <c r="I637" s="199" t="e">
        <f>IF(#REF!="","",#REF!+G637+#REF!+#REF!+#REF!+H637)</f>
        <v>#REF!</v>
      </c>
      <c r="J637" s="247" t="e">
        <f t="shared" si="58"/>
        <v>#REF!</v>
      </c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  <c r="AA637" s="47"/>
      <c r="AB637" s="47"/>
      <c r="AC637" s="47"/>
      <c r="AD637" s="47"/>
    </row>
    <row r="638" spans="1:30" ht="15.75" customHeight="1">
      <c r="A638" s="51"/>
      <c r="B638" s="52" t="str">
        <f t="shared" si="56"/>
        <v/>
      </c>
      <c r="C638" t="str">
        <f t="shared" si="55"/>
        <v/>
      </c>
      <c r="D638" s="245" t="str">
        <f t="shared" si="59"/>
        <v/>
      </c>
      <c r="E638" s="534"/>
      <c r="F638" s="534"/>
      <c r="G638" s="198"/>
      <c r="H638" s="246" t="str">
        <f t="shared" si="57"/>
        <v/>
      </c>
      <c r="I638" s="199" t="e">
        <f>IF(#REF!="","",#REF!+G638+#REF!+#REF!+#REF!+H638)</f>
        <v>#REF!</v>
      </c>
      <c r="J638" s="247" t="e">
        <f t="shared" si="58"/>
        <v>#REF!</v>
      </c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  <c r="AA638" s="47"/>
      <c r="AB638" s="47"/>
      <c r="AC638" s="47"/>
      <c r="AD638" s="47"/>
    </row>
    <row r="639" spans="1:30" ht="15.75" customHeight="1">
      <c r="A639" s="51"/>
      <c r="B639" s="52" t="str">
        <f t="shared" si="56"/>
        <v/>
      </c>
      <c r="C639" t="str">
        <f t="shared" si="55"/>
        <v/>
      </c>
      <c r="D639" s="245" t="str">
        <f t="shared" si="59"/>
        <v/>
      </c>
      <c r="E639" s="534"/>
      <c r="F639" s="534"/>
      <c r="G639" s="198"/>
      <c r="H639" s="246" t="str">
        <f t="shared" si="57"/>
        <v/>
      </c>
      <c r="I639" s="199" t="e">
        <f>IF(#REF!="","",#REF!+G639+#REF!+#REF!+#REF!+H639)</f>
        <v>#REF!</v>
      </c>
      <c r="J639" s="247" t="e">
        <f t="shared" si="58"/>
        <v>#REF!</v>
      </c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  <c r="AA639" s="47"/>
      <c r="AB639" s="47"/>
      <c r="AC639" s="47"/>
      <c r="AD639" s="47"/>
    </row>
    <row r="640" spans="1:30" ht="15.75" customHeight="1">
      <c r="A640" s="51"/>
      <c r="B640" s="52" t="str">
        <f t="shared" si="56"/>
        <v/>
      </c>
      <c r="C640" t="str">
        <f t="shared" si="55"/>
        <v/>
      </c>
      <c r="D640" s="245" t="str">
        <f t="shared" si="59"/>
        <v/>
      </c>
      <c r="E640" s="534"/>
      <c r="F640" s="534"/>
      <c r="G640" s="198"/>
      <c r="H640" s="246" t="str">
        <f t="shared" si="57"/>
        <v/>
      </c>
      <c r="I640" s="199" t="e">
        <f>IF(#REF!="","",#REF!+G640+#REF!+#REF!+#REF!+H640)</f>
        <v>#REF!</v>
      </c>
      <c r="J640" s="247" t="e">
        <f t="shared" si="58"/>
        <v>#REF!</v>
      </c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  <c r="AA640" s="47"/>
      <c r="AB640" s="47"/>
      <c r="AC640" s="47"/>
      <c r="AD640" s="47"/>
    </row>
    <row r="641" spans="1:30" ht="15.75" customHeight="1">
      <c r="A641" s="51"/>
      <c r="B641" s="52" t="str">
        <f t="shared" si="56"/>
        <v/>
      </c>
      <c r="C641" t="str">
        <f t="shared" si="55"/>
        <v/>
      </c>
      <c r="D641" s="245" t="str">
        <f t="shared" si="59"/>
        <v/>
      </c>
      <c r="E641" s="534"/>
      <c r="F641" s="534"/>
      <c r="G641" s="198"/>
      <c r="H641" s="246" t="str">
        <f t="shared" si="57"/>
        <v/>
      </c>
      <c r="I641" s="199" t="e">
        <f>IF(#REF!="","",#REF!+G641+#REF!+#REF!+#REF!+H641)</f>
        <v>#REF!</v>
      </c>
      <c r="J641" s="247" t="e">
        <f t="shared" si="58"/>
        <v>#REF!</v>
      </c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  <c r="AA641" s="47"/>
      <c r="AB641" s="47"/>
      <c r="AC641" s="47"/>
      <c r="AD641" s="47"/>
    </row>
    <row r="642" spans="1:30" ht="15.75" customHeight="1">
      <c r="A642" s="51"/>
      <c r="B642" s="52" t="str">
        <f t="shared" si="56"/>
        <v/>
      </c>
      <c r="C642" t="str">
        <f t="shared" ref="C642:C705" si="60">IF(A642&lt;&gt;"",TEXT(A642,"aaaa"),"")</f>
        <v/>
      </c>
      <c r="D642" s="245" t="str">
        <f t="shared" si="59"/>
        <v/>
      </c>
      <c r="E642" s="534"/>
      <c r="F642" s="534"/>
      <c r="G642" s="198"/>
      <c r="H642" s="246" t="str">
        <f t="shared" si="57"/>
        <v/>
      </c>
      <c r="I642" s="199" t="e">
        <f>IF(#REF!="","",#REF!+G642+#REF!+#REF!+#REF!+H642)</f>
        <v>#REF!</v>
      </c>
      <c r="J642" s="247" t="e">
        <f t="shared" si="58"/>
        <v>#REF!</v>
      </c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  <c r="AA642" s="47"/>
      <c r="AB642" s="47"/>
      <c r="AC642" s="47"/>
      <c r="AD642" s="47"/>
    </row>
    <row r="643" spans="1:30" ht="15.75" customHeight="1">
      <c r="A643" s="51"/>
      <c r="B643" s="52" t="str">
        <f t="shared" si="56"/>
        <v/>
      </c>
      <c r="C643" t="str">
        <f t="shared" si="60"/>
        <v/>
      </c>
      <c r="D643" s="245" t="str">
        <f t="shared" si="59"/>
        <v/>
      </c>
      <c r="E643" s="534"/>
      <c r="F643" s="534"/>
      <c r="G643" s="198"/>
      <c r="H643" s="246" t="str">
        <f t="shared" si="57"/>
        <v/>
      </c>
      <c r="I643" s="199" t="e">
        <f>IF(#REF!="","",#REF!+G643+#REF!+#REF!+#REF!+H643)</f>
        <v>#REF!</v>
      </c>
      <c r="J643" s="247" t="e">
        <f t="shared" si="58"/>
        <v>#REF!</v>
      </c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  <c r="AA643" s="47"/>
      <c r="AB643" s="47"/>
      <c r="AC643" s="47"/>
      <c r="AD643" s="47"/>
    </row>
    <row r="644" spans="1:30" ht="15.75" customHeight="1">
      <c r="A644" s="51"/>
      <c r="B644" s="52" t="str">
        <f t="shared" si="56"/>
        <v/>
      </c>
      <c r="C644" t="str">
        <f t="shared" si="60"/>
        <v/>
      </c>
      <c r="D644" s="245" t="str">
        <f t="shared" si="59"/>
        <v/>
      </c>
      <c r="E644" s="534"/>
      <c r="F644" s="534"/>
      <c r="G644" s="198"/>
      <c r="H644" s="246" t="str">
        <f t="shared" si="57"/>
        <v/>
      </c>
      <c r="I644" s="199" t="e">
        <f>IF(#REF!="","",#REF!+G644+#REF!+#REF!+#REF!+H644)</f>
        <v>#REF!</v>
      </c>
      <c r="J644" s="247" t="e">
        <f t="shared" si="58"/>
        <v>#REF!</v>
      </c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  <c r="AA644" s="47"/>
      <c r="AB644" s="47"/>
      <c r="AC644" s="47"/>
      <c r="AD644" s="47"/>
    </row>
    <row r="645" spans="1:30" ht="15.75" customHeight="1">
      <c r="A645" s="51"/>
      <c r="B645" s="52" t="str">
        <f t="shared" si="56"/>
        <v/>
      </c>
      <c r="C645" t="str">
        <f t="shared" si="60"/>
        <v/>
      </c>
      <c r="D645" s="245" t="str">
        <f t="shared" si="59"/>
        <v/>
      </c>
      <c r="E645" s="534"/>
      <c r="F645" s="534"/>
      <c r="G645" s="198"/>
      <c r="H645" s="246" t="str">
        <f t="shared" si="57"/>
        <v/>
      </c>
      <c r="I645" s="199" t="e">
        <f>IF(#REF!="","",#REF!+G645+#REF!+#REF!+#REF!+H645)</f>
        <v>#REF!</v>
      </c>
      <c r="J645" s="247" t="e">
        <f t="shared" si="58"/>
        <v>#REF!</v>
      </c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  <c r="AA645" s="47"/>
      <c r="AB645" s="47"/>
      <c r="AC645" s="47"/>
      <c r="AD645" s="47"/>
    </row>
    <row r="646" spans="1:30" ht="15.75" customHeight="1">
      <c r="A646" s="51"/>
      <c r="B646" s="52" t="str">
        <f t="shared" si="56"/>
        <v/>
      </c>
      <c r="C646" t="str">
        <f t="shared" si="60"/>
        <v/>
      </c>
      <c r="D646" s="245" t="str">
        <f t="shared" si="59"/>
        <v/>
      </c>
      <c r="E646" s="534"/>
      <c r="F646" s="534"/>
      <c r="G646" s="198"/>
      <c r="H646" s="246" t="str">
        <f t="shared" si="57"/>
        <v/>
      </c>
      <c r="I646" s="199" t="e">
        <f>IF(#REF!="","",#REF!+G646+#REF!+#REF!+#REF!+H646)</f>
        <v>#REF!</v>
      </c>
      <c r="J646" s="247" t="e">
        <f t="shared" si="58"/>
        <v>#REF!</v>
      </c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  <c r="AA646" s="47"/>
      <c r="AB646" s="47"/>
      <c r="AC646" s="47"/>
      <c r="AD646" s="47"/>
    </row>
    <row r="647" spans="1:30" ht="15.75" customHeight="1">
      <c r="A647" s="51"/>
      <c r="B647" s="52" t="str">
        <f t="shared" si="56"/>
        <v/>
      </c>
      <c r="C647" t="str">
        <f t="shared" si="60"/>
        <v/>
      </c>
      <c r="D647" s="245" t="str">
        <f t="shared" si="59"/>
        <v/>
      </c>
      <c r="E647" s="534"/>
      <c r="F647" s="534"/>
      <c r="G647" s="198"/>
      <c r="H647" s="246" t="str">
        <f t="shared" si="57"/>
        <v/>
      </c>
      <c r="I647" s="199" t="e">
        <f>IF(#REF!="","",#REF!+G647+#REF!+#REF!+#REF!+H647)</f>
        <v>#REF!</v>
      </c>
      <c r="J647" s="247" t="e">
        <f t="shared" si="58"/>
        <v>#REF!</v>
      </c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  <c r="AA647" s="47"/>
      <c r="AB647" s="47"/>
      <c r="AC647" s="47"/>
      <c r="AD647" s="47"/>
    </row>
    <row r="648" spans="1:30" ht="15.75" customHeight="1">
      <c r="A648" s="51"/>
      <c r="B648" s="52" t="str">
        <f t="shared" ref="B648:B711" si="61">IF(A648="","",TEXT(A648,"DDDD"))</f>
        <v/>
      </c>
      <c r="C648" t="str">
        <f t="shared" si="60"/>
        <v/>
      </c>
      <c r="D648" s="245" t="str">
        <f t="shared" si="59"/>
        <v/>
      </c>
      <c r="E648" s="534"/>
      <c r="F648" s="534"/>
      <c r="G648" s="198"/>
      <c r="H648" s="246" t="str">
        <f t="shared" ref="H648:H681" si="62">IF(G648=0,"",G648*$H$5)</f>
        <v/>
      </c>
      <c r="I648" s="199" t="e">
        <f>IF(#REF!="","",#REF!+G648+#REF!+#REF!+#REF!+H648)</f>
        <v>#REF!</v>
      </c>
      <c r="J648" s="247" t="e">
        <f t="shared" ref="J648:J681" si="63">IF(I648=0,"",I648-H648)</f>
        <v>#REF!</v>
      </c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  <c r="AA648" s="47"/>
      <c r="AB648" s="47"/>
      <c r="AC648" s="47"/>
      <c r="AD648" s="47"/>
    </row>
    <row r="649" spans="1:30" ht="15.75" customHeight="1">
      <c r="A649" s="51"/>
      <c r="B649" s="52" t="str">
        <f t="shared" si="61"/>
        <v/>
      </c>
      <c r="C649" t="str">
        <f t="shared" si="60"/>
        <v/>
      </c>
      <c r="D649" s="245" t="str">
        <f t="shared" ref="D649:D712" si="64">IF(A649&lt;&gt;"",PROPER(TEXT(A649,"Mmmm")),"")</f>
        <v/>
      </c>
      <c r="E649" s="534"/>
      <c r="F649" s="534"/>
      <c r="G649" s="198"/>
      <c r="H649" s="246" t="str">
        <f t="shared" si="62"/>
        <v/>
      </c>
      <c r="I649" s="199" t="e">
        <f>IF(#REF!="","",#REF!+G649+#REF!+#REF!+#REF!+H649)</f>
        <v>#REF!</v>
      </c>
      <c r="J649" s="247" t="e">
        <f t="shared" si="63"/>
        <v>#REF!</v>
      </c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  <c r="AA649" s="47"/>
      <c r="AB649" s="47"/>
      <c r="AC649" s="47"/>
      <c r="AD649" s="47"/>
    </row>
    <row r="650" spans="1:30" ht="15.75" customHeight="1">
      <c r="A650" s="51"/>
      <c r="B650" s="52" t="str">
        <f t="shared" si="61"/>
        <v/>
      </c>
      <c r="C650" t="str">
        <f t="shared" si="60"/>
        <v/>
      </c>
      <c r="D650" s="245" t="str">
        <f t="shared" si="64"/>
        <v/>
      </c>
      <c r="E650" s="534"/>
      <c r="F650" s="534"/>
      <c r="G650" s="198"/>
      <c r="H650" s="246" t="str">
        <f t="shared" si="62"/>
        <v/>
      </c>
      <c r="I650" s="199" t="e">
        <f>IF(#REF!="","",#REF!+G650+#REF!+#REF!+#REF!+H650)</f>
        <v>#REF!</v>
      </c>
      <c r="J650" s="247" t="e">
        <f t="shared" si="63"/>
        <v>#REF!</v>
      </c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  <c r="AA650" s="47"/>
      <c r="AB650" s="47"/>
      <c r="AC650" s="47"/>
      <c r="AD650" s="47"/>
    </row>
    <row r="651" spans="1:30" ht="15.75" customHeight="1">
      <c r="A651" s="51"/>
      <c r="B651" s="52" t="str">
        <f t="shared" si="61"/>
        <v/>
      </c>
      <c r="C651" t="str">
        <f t="shared" si="60"/>
        <v/>
      </c>
      <c r="D651" s="245" t="str">
        <f t="shared" si="64"/>
        <v/>
      </c>
      <c r="E651" s="534"/>
      <c r="F651" s="534"/>
      <c r="G651" s="198"/>
      <c r="H651" s="246" t="str">
        <f t="shared" si="62"/>
        <v/>
      </c>
      <c r="I651" s="199" t="e">
        <f>IF(#REF!="","",#REF!+G651+#REF!+#REF!+#REF!+H651)</f>
        <v>#REF!</v>
      </c>
      <c r="J651" s="247" t="e">
        <f t="shared" si="63"/>
        <v>#REF!</v>
      </c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  <c r="AA651" s="47"/>
      <c r="AB651" s="47"/>
      <c r="AC651" s="47"/>
      <c r="AD651" s="47"/>
    </row>
    <row r="652" spans="1:30" ht="15.75" customHeight="1">
      <c r="A652" s="51"/>
      <c r="B652" s="52" t="str">
        <f t="shared" si="61"/>
        <v/>
      </c>
      <c r="C652" t="str">
        <f t="shared" si="60"/>
        <v/>
      </c>
      <c r="D652" s="245" t="str">
        <f t="shared" si="64"/>
        <v/>
      </c>
      <c r="E652" s="534"/>
      <c r="F652" s="534"/>
      <c r="G652" s="198"/>
      <c r="H652" s="246" t="str">
        <f t="shared" si="62"/>
        <v/>
      </c>
      <c r="I652" s="199" t="e">
        <f>IF(#REF!="","",#REF!+G652+#REF!+#REF!+#REF!+H652)</f>
        <v>#REF!</v>
      </c>
      <c r="J652" s="247" t="e">
        <f t="shared" si="63"/>
        <v>#REF!</v>
      </c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  <c r="AA652" s="47"/>
      <c r="AB652" s="47"/>
      <c r="AC652" s="47"/>
      <c r="AD652" s="47"/>
    </row>
    <row r="653" spans="1:30" ht="15.75" customHeight="1">
      <c r="A653" s="51"/>
      <c r="B653" s="52" t="str">
        <f t="shared" si="61"/>
        <v/>
      </c>
      <c r="C653" t="str">
        <f t="shared" si="60"/>
        <v/>
      </c>
      <c r="D653" s="245" t="str">
        <f t="shared" si="64"/>
        <v/>
      </c>
      <c r="E653" s="534"/>
      <c r="F653" s="534"/>
      <c r="G653" s="198"/>
      <c r="H653" s="246" t="str">
        <f t="shared" si="62"/>
        <v/>
      </c>
      <c r="I653" s="199" t="e">
        <f>IF(#REF!="","",#REF!+G653+#REF!+#REF!+#REF!+H653)</f>
        <v>#REF!</v>
      </c>
      <c r="J653" s="247" t="e">
        <f t="shared" si="63"/>
        <v>#REF!</v>
      </c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  <c r="AA653" s="47"/>
      <c r="AB653" s="47"/>
      <c r="AC653" s="47"/>
      <c r="AD653" s="47"/>
    </row>
    <row r="654" spans="1:30" ht="15.75" customHeight="1">
      <c r="A654" s="51"/>
      <c r="B654" s="52" t="str">
        <f t="shared" si="61"/>
        <v/>
      </c>
      <c r="C654" t="str">
        <f t="shared" si="60"/>
        <v/>
      </c>
      <c r="D654" s="245" t="str">
        <f t="shared" si="64"/>
        <v/>
      </c>
      <c r="E654" s="534"/>
      <c r="F654" s="534"/>
      <c r="G654" s="198"/>
      <c r="H654" s="246" t="str">
        <f t="shared" si="62"/>
        <v/>
      </c>
      <c r="I654" s="199" t="e">
        <f>IF(#REF!="","",#REF!+G654+#REF!+#REF!+#REF!+H654)</f>
        <v>#REF!</v>
      </c>
      <c r="J654" s="247" t="e">
        <f t="shared" si="63"/>
        <v>#REF!</v>
      </c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  <c r="AA654" s="47"/>
      <c r="AB654" s="47"/>
      <c r="AC654" s="47"/>
      <c r="AD654" s="47"/>
    </row>
    <row r="655" spans="1:30" ht="15.75" customHeight="1">
      <c r="A655" s="51"/>
      <c r="B655" s="52" t="str">
        <f t="shared" si="61"/>
        <v/>
      </c>
      <c r="C655" t="str">
        <f t="shared" si="60"/>
        <v/>
      </c>
      <c r="D655" s="245" t="str">
        <f t="shared" si="64"/>
        <v/>
      </c>
      <c r="E655" s="534"/>
      <c r="F655" s="534"/>
      <c r="G655" s="198"/>
      <c r="H655" s="246" t="str">
        <f t="shared" si="62"/>
        <v/>
      </c>
      <c r="I655" s="199" t="e">
        <f>IF(#REF!="","",#REF!+G655+#REF!+#REF!+#REF!+H655)</f>
        <v>#REF!</v>
      </c>
      <c r="J655" s="247" t="e">
        <f t="shared" si="63"/>
        <v>#REF!</v>
      </c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  <c r="AA655" s="47"/>
      <c r="AB655" s="47"/>
      <c r="AC655" s="47"/>
      <c r="AD655" s="47"/>
    </row>
    <row r="656" spans="1:30" ht="15.75" customHeight="1">
      <c r="A656" s="51"/>
      <c r="B656" s="52" t="str">
        <f t="shared" si="61"/>
        <v/>
      </c>
      <c r="C656" t="str">
        <f t="shared" si="60"/>
        <v/>
      </c>
      <c r="D656" s="245" t="str">
        <f t="shared" si="64"/>
        <v/>
      </c>
      <c r="E656" s="534"/>
      <c r="F656" s="534"/>
      <c r="G656" s="198"/>
      <c r="H656" s="246" t="str">
        <f t="shared" si="62"/>
        <v/>
      </c>
      <c r="I656" s="199" t="e">
        <f>IF(#REF!="","",#REF!+G656+#REF!+#REF!+#REF!+H656)</f>
        <v>#REF!</v>
      </c>
      <c r="J656" s="247" t="e">
        <f t="shared" si="63"/>
        <v>#REF!</v>
      </c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  <c r="AA656" s="47"/>
      <c r="AB656" s="47"/>
      <c r="AC656" s="47"/>
      <c r="AD656" s="47"/>
    </row>
    <row r="657" spans="1:30" ht="15.75" customHeight="1">
      <c r="A657" s="51"/>
      <c r="B657" s="52" t="str">
        <f t="shared" si="61"/>
        <v/>
      </c>
      <c r="C657" t="str">
        <f t="shared" si="60"/>
        <v/>
      </c>
      <c r="D657" s="245" t="str">
        <f t="shared" si="64"/>
        <v/>
      </c>
      <c r="E657" s="534"/>
      <c r="F657" s="534"/>
      <c r="G657" s="198"/>
      <c r="H657" s="246" t="str">
        <f t="shared" si="62"/>
        <v/>
      </c>
      <c r="I657" s="199" t="e">
        <f>IF(#REF!="","",#REF!+G657+#REF!+#REF!+#REF!+H657)</f>
        <v>#REF!</v>
      </c>
      <c r="J657" s="247" t="e">
        <f t="shared" si="63"/>
        <v>#REF!</v>
      </c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  <c r="AA657" s="47"/>
      <c r="AB657" s="47"/>
      <c r="AC657" s="47"/>
      <c r="AD657" s="47"/>
    </row>
    <row r="658" spans="1:30" ht="15.75" customHeight="1">
      <c r="A658" s="51"/>
      <c r="B658" s="52" t="str">
        <f t="shared" si="61"/>
        <v/>
      </c>
      <c r="C658" t="str">
        <f t="shared" si="60"/>
        <v/>
      </c>
      <c r="D658" s="245" t="str">
        <f t="shared" si="64"/>
        <v/>
      </c>
      <c r="E658" s="534"/>
      <c r="F658" s="534"/>
      <c r="G658" s="198"/>
      <c r="H658" s="246" t="str">
        <f t="shared" si="62"/>
        <v/>
      </c>
      <c r="I658" s="199" t="e">
        <f>IF(#REF!="","",#REF!+G658+#REF!+#REF!+#REF!+H658)</f>
        <v>#REF!</v>
      </c>
      <c r="J658" s="247" t="e">
        <f t="shared" si="63"/>
        <v>#REF!</v>
      </c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  <c r="AA658" s="47"/>
      <c r="AB658" s="47"/>
      <c r="AC658" s="47"/>
      <c r="AD658" s="47"/>
    </row>
    <row r="659" spans="1:30" ht="15.75" customHeight="1">
      <c r="A659" s="51"/>
      <c r="B659" s="52" t="str">
        <f t="shared" si="61"/>
        <v/>
      </c>
      <c r="C659" t="str">
        <f t="shared" si="60"/>
        <v/>
      </c>
      <c r="D659" s="245" t="str">
        <f t="shared" si="64"/>
        <v/>
      </c>
      <c r="E659" s="534"/>
      <c r="F659" s="534"/>
      <c r="G659" s="198"/>
      <c r="H659" s="246" t="str">
        <f t="shared" si="62"/>
        <v/>
      </c>
      <c r="I659" s="199" t="e">
        <f>IF(#REF!="","",#REF!+G659+#REF!+#REF!+#REF!+H659)</f>
        <v>#REF!</v>
      </c>
      <c r="J659" s="247" t="e">
        <f t="shared" si="63"/>
        <v>#REF!</v>
      </c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  <c r="AA659" s="47"/>
      <c r="AB659" s="47"/>
      <c r="AC659" s="47"/>
      <c r="AD659" s="47"/>
    </row>
    <row r="660" spans="1:30" ht="15.75" customHeight="1">
      <c r="A660" s="51"/>
      <c r="B660" s="52" t="str">
        <f t="shared" si="61"/>
        <v/>
      </c>
      <c r="C660" t="str">
        <f t="shared" si="60"/>
        <v/>
      </c>
      <c r="D660" s="245" t="str">
        <f t="shared" si="64"/>
        <v/>
      </c>
      <c r="E660" s="534"/>
      <c r="F660" s="534"/>
      <c r="G660" s="198"/>
      <c r="H660" s="246" t="str">
        <f t="shared" si="62"/>
        <v/>
      </c>
      <c r="I660" s="199" t="e">
        <f>IF(#REF!="","",#REF!+G660+#REF!+#REF!+#REF!+H660)</f>
        <v>#REF!</v>
      </c>
      <c r="J660" s="247" t="e">
        <f t="shared" si="63"/>
        <v>#REF!</v>
      </c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  <c r="AA660" s="47"/>
      <c r="AB660" s="47"/>
      <c r="AC660" s="47"/>
      <c r="AD660" s="47"/>
    </row>
    <row r="661" spans="1:30" ht="15.75" customHeight="1">
      <c r="A661" s="51"/>
      <c r="B661" s="52" t="str">
        <f t="shared" si="61"/>
        <v/>
      </c>
      <c r="C661" t="str">
        <f t="shared" si="60"/>
        <v/>
      </c>
      <c r="D661" s="245" t="str">
        <f t="shared" si="64"/>
        <v/>
      </c>
      <c r="E661" s="534"/>
      <c r="F661" s="534"/>
      <c r="G661" s="198"/>
      <c r="H661" s="246" t="str">
        <f t="shared" si="62"/>
        <v/>
      </c>
      <c r="I661" s="199" t="e">
        <f>IF(#REF!="","",#REF!+G661+#REF!+#REF!+#REF!+H661)</f>
        <v>#REF!</v>
      </c>
      <c r="J661" s="247" t="e">
        <f t="shared" si="63"/>
        <v>#REF!</v>
      </c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  <c r="AA661" s="47"/>
      <c r="AB661" s="47"/>
      <c r="AC661" s="47"/>
      <c r="AD661" s="47"/>
    </row>
    <row r="662" spans="1:30" ht="15.75" customHeight="1">
      <c r="A662" s="51"/>
      <c r="B662" s="52" t="str">
        <f t="shared" si="61"/>
        <v/>
      </c>
      <c r="C662" t="str">
        <f t="shared" si="60"/>
        <v/>
      </c>
      <c r="D662" s="245" t="str">
        <f t="shared" si="64"/>
        <v/>
      </c>
      <c r="E662" s="534"/>
      <c r="F662" s="534"/>
      <c r="G662" s="198"/>
      <c r="H662" s="246" t="str">
        <f t="shared" si="62"/>
        <v/>
      </c>
      <c r="I662" s="199" t="e">
        <f>IF(#REF!="","",#REF!+G662+#REF!+#REF!+#REF!+H662)</f>
        <v>#REF!</v>
      </c>
      <c r="J662" s="247" t="e">
        <f t="shared" si="63"/>
        <v>#REF!</v>
      </c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7"/>
      <c r="AB662" s="47"/>
      <c r="AC662" s="47"/>
      <c r="AD662" s="47"/>
    </row>
    <row r="663" spans="1:30" ht="15.75" customHeight="1">
      <c r="A663" s="51"/>
      <c r="B663" s="52" t="str">
        <f t="shared" si="61"/>
        <v/>
      </c>
      <c r="C663" t="str">
        <f t="shared" si="60"/>
        <v/>
      </c>
      <c r="D663" s="245" t="str">
        <f t="shared" si="64"/>
        <v/>
      </c>
      <c r="E663" s="534"/>
      <c r="F663" s="534"/>
      <c r="G663" s="198"/>
      <c r="H663" s="246" t="str">
        <f t="shared" si="62"/>
        <v/>
      </c>
      <c r="I663" s="199" t="e">
        <f>IF(#REF!="","",#REF!+G663+#REF!+#REF!+#REF!+H663)</f>
        <v>#REF!</v>
      </c>
      <c r="J663" s="247" t="e">
        <f t="shared" si="63"/>
        <v>#REF!</v>
      </c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  <c r="AA663" s="47"/>
      <c r="AB663" s="47"/>
      <c r="AC663" s="47"/>
      <c r="AD663" s="47"/>
    </row>
    <row r="664" spans="1:30" ht="15.75" customHeight="1">
      <c r="A664" s="51"/>
      <c r="B664" s="52" t="str">
        <f t="shared" si="61"/>
        <v/>
      </c>
      <c r="C664" t="str">
        <f t="shared" si="60"/>
        <v/>
      </c>
      <c r="D664" s="245" t="str">
        <f t="shared" si="64"/>
        <v/>
      </c>
      <c r="E664" s="534"/>
      <c r="F664" s="534"/>
      <c r="G664" s="198"/>
      <c r="H664" s="246" t="str">
        <f t="shared" si="62"/>
        <v/>
      </c>
      <c r="I664" s="199" t="e">
        <f>IF(#REF!="","",#REF!+G664+#REF!+#REF!+#REF!+H664)</f>
        <v>#REF!</v>
      </c>
      <c r="J664" s="247" t="e">
        <f t="shared" si="63"/>
        <v>#REF!</v>
      </c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  <c r="AA664" s="47"/>
      <c r="AB664" s="47"/>
      <c r="AC664" s="47"/>
      <c r="AD664" s="47"/>
    </row>
    <row r="665" spans="1:30" ht="15.75" customHeight="1">
      <c r="A665" s="51"/>
      <c r="B665" s="52" t="str">
        <f t="shared" si="61"/>
        <v/>
      </c>
      <c r="C665" t="str">
        <f t="shared" si="60"/>
        <v/>
      </c>
      <c r="D665" s="245" t="str">
        <f t="shared" si="64"/>
        <v/>
      </c>
      <c r="E665" s="534"/>
      <c r="F665" s="534"/>
      <c r="G665" s="198"/>
      <c r="H665" s="246" t="str">
        <f t="shared" si="62"/>
        <v/>
      </c>
      <c r="I665" s="199" t="e">
        <f>IF(#REF!="","",#REF!+G665+#REF!+#REF!+#REF!+H665)</f>
        <v>#REF!</v>
      </c>
      <c r="J665" s="247" t="e">
        <f t="shared" si="63"/>
        <v>#REF!</v>
      </c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  <c r="AA665" s="47"/>
      <c r="AB665" s="47"/>
      <c r="AC665" s="47"/>
      <c r="AD665" s="47"/>
    </row>
    <row r="666" spans="1:30" ht="15.75" customHeight="1">
      <c r="A666" s="51"/>
      <c r="B666" s="52" t="str">
        <f t="shared" si="61"/>
        <v/>
      </c>
      <c r="C666" t="str">
        <f t="shared" si="60"/>
        <v/>
      </c>
      <c r="D666" s="245" t="str">
        <f t="shared" si="64"/>
        <v/>
      </c>
      <c r="E666" s="534"/>
      <c r="F666" s="534"/>
      <c r="G666" s="198"/>
      <c r="H666" s="246" t="str">
        <f t="shared" si="62"/>
        <v/>
      </c>
      <c r="I666" s="199" t="e">
        <f>IF(#REF!="","",#REF!+G666+#REF!+#REF!+#REF!+H666)</f>
        <v>#REF!</v>
      </c>
      <c r="J666" s="247" t="e">
        <f t="shared" si="63"/>
        <v>#REF!</v>
      </c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  <c r="AA666" s="47"/>
      <c r="AB666" s="47"/>
      <c r="AC666" s="47"/>
      <c r="AD666" s="47"/>
    </row>
    <row r="667" spans="1:30" ht="15.75" customHeight="1">
      <c r="A667" s="51"/>
      <c r="B667" s="52" t="str">
        <f t="shared" si="61"/>
        <v/>
      </c>
      <c r="C667" t="str">
        <f t="shared" si="60"/>
        <v/>
      </c>
      <c r="D667" s="245" t="str">
        <f t="shared" si="64"/>
        <v/>
      </c>
      <c r="E667" s="534"/>
      <c r="F667" s="534"/>
      <c r="G667" s="198"/>
      <c r="H667" s="246" t="str">
        <f t="shared" si="62"/>
        <v/>
      </c>
      <c r="I667" s="199" t="e">
        <f>IF(#REF!="","",#REF!+G667+#REF!+#REF!+#REF!+H667)</f>
        <v>#REF!</v>
      </c>
      <c r="J667" s="247" t="e">
        <f t="shared" si="63"/>
        <v>#REF!</v>
      </c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  <c r="AA667" s="47"/>
      <c r="AB667" s="47"/>
      <c r="AC667" s="47"/>
      <c r="AD667" s="47"/>
    </row>
    <row r="668" spans="1:30" ht="15.75" customHeight="1">
      <c r="A668" s="51"/>
      <c r="B668" s="52" t="str">
        <f t="shared" si="61"/>
        <v/>
      </c>
      <c r="C668" t="str">
        <f t="shared" si="60"/>
        <v/>
      </c>
      <c r="D668" s="245" t="str">
        <f t="shared" si="64"/>
        <v/>
      </c>
      <c r="E668" s="534"/>
      <c r="F668" s="534"/>
      <c r="G668" s="198"/>
      <c r="H668" s="246" t="str">
        <f t="shared" si="62"/>
        <v/>
      </c>
      <c r="I668" s="199" t="e">
        <f>IF(#REF!="","",#REF!+G668+#REF!+#REF!+#REF!+H668)</f>
        <v>#REF!</v>
      </c>
      <c r="J668" s="247" t="e">
        <f t="shared" si="63"/>
        <v>#REF!</v>
      </c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  <c r="AA668" s="47"/>
      <c r="AB668" s="47"/>
      <c r="AC668" s="47"/>
      <c r="AD668" s="47"/>
    </row>
    <row r="669" spans="1:30" ht="15.75" customHeight="1">
      <c r="A669" s="51"/>
      <c r="B669" s="52" t="str">
        <f t="shared" si="61"/>
        <v/>
      </c>
      <c r="C669" t="str">
        <f t="shared" si="60"/>
        <v/>
      </c>
      <c r="D669" s="245" t="str">
        <f t="shared" si="64"/>
        <v/>
      </c>
      <c r="E669" s="534"/>
      <c r="F669" s="534"/>
      <c r="G669" s="198"/>
      <c r="H669" s="246" t="str">
        <f t="shared" si="62"/>
        <v/>
      </c>
      <c r="I669" s="199" t="e">
        <f>IF(#REF!="","",#REF!+G669+#REF!+#REF!+#REF!+H669)</f>
        <v>#REF!</v>
      </c>
      <c r="J669" s="247" t="e">
        <f t="shared" si="63"/>
        <v>#REF!</v>
      </c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  <c r="AA669" s="47"/>
      <c r="AB669" s="47"/>
      <c r="AC669" s="47"/>
      <c r="AD669" s="47"/>
    </row>
    <row r="670" spans="1:30" ht="15.75" customHeight="1">
      <c r="A670" s="51"/>
      <c r="B670" s="52" t="str">
        <f t="shared" si="61"/>
        <v/>
      </c>
      <c r="C670" t="str">
        <f t="shared" si="60"/>
        <v/>
      </c>
      <c r="D670" s="245" t="str">
        <f t="shared" si="64"/>
        <v/>
      </c>
      <c r="E670" s="534"/>
      <c r="F670" s="534"/>
      <c r="G670" s="198"/>
      <c r="H670" s="246" t="str">
        <f t="shared" si="62"/>
        <v/>
      </c>
      <c r="I670" s="199" t="e">
        <f>IF(#REF!="","",#REF!+G670+#REF!+#REF!+#REF!+H670)</f>
        <v>#REF!</v>
      </c>
      <c r="J670" s="247" t="e">
        <f t="shared" si="63"/>
        <v>#REF!</v>
      </c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  <c r="AA670" s="47"/>
      <c r="AB670" s="47"/>
      <c r="AC670" s="47"/>
      <c r="AD670" s="47"/>
    </row>
    <row r="671" spans="1:30" ht="15.75" customHeight="1">
      <c r="A671" s="51"/>
      <c r="B671" s="52" t="str">
        <f t="shared" si="61"/>
        <v/>
      </c>
      <c r="C671" t="str">
        <f t="shared" si="60"/>
        <v/>
      </c>
      <c r="D671" s="245" t="str">
        <f t="shared" si="64"/>
        <v/>
      </c>
      <c r="E671" s="534"/>
      <c r="F671" s="534"/>
      <c r="G671" s="198"/>
      <c r="H671" s="246" t="str">
        <f t="shared" si="62"/>
        <v/>
      </c>
      <c r="I671" s="199" t="e">
        <f>IF(#REF!="","",#REF!+G671+#REF!+#REF!+#REF!+H671)</f>
        <v>#REF!</v>
      </c>
      <c r="J671" s="247" t="e">
        <f t="shared" si="63"/>
        <v>#REF!</v>
      </c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  <c r="AA671" s="47"/>
      <c r="AB671" s="47"/>
      <c r="AC671" s="47"/>
      <c r="AD671" s="47"/>
    </row>
    <row r="672" spans="1:30" ht="15.75" customHeight="1">
      <c r="A672" s="51"/>
      <c r="B672" s="52" t="str">
        <f t="shared" si="61"/>
        <v/>
      </c>
      <c r="C672" t="str">
        <f t="shared" si="60"/>
        <v/>
      </c>
      <c r="D672" s="245" t="str">
        <f t="shared" si="64"/>
        <v/>
      </c>
      <c r="E672" s="534"/>
      <c r="F672" s="534"/>
      <c r="G672" s="198"/>
      <c r="H672" s="246" t="str">
        <f t="shared" si="62"/>
        <v/>
      </c>
      <c r="I672" s="199" t="e">
        <f>IF(#REF!="","",#REF!+G672+#REF!+#REF!+#REF!+H672)</f>
        <v>#REF!</v>
      </c>
      <c r="J672" s="247" t="e">
        <f t="shared" si="63"/>
        <v>#REF!</v>
      </c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  <c r="AA672" s="47"/>
      <c r="AB672" s="47"/>
      <c r="AC672" s="47"/>
      <c r="AD672" s="47"/>
    </row>
    <row r="673" spans="1:30" ht="15.75" customHeight="1">
      <c r="A673" s="51"/>
      <c r="B673" s="52" t="str">
        <f t="shared" si="61"/>
        <v/>
      </c>
      <c r="C673" t="str">
        <f t="shared" si="60"/>
        <v/>
      </c>
      <c r="D673" s="245" t="str">
        <f t="shared" si="64"/>
        <v/>
      </c>
      <c r="E673" s="534"/>
      <c r="F673" s="534"/>
      <c r="G673" s="198"/>
      <c r="H673" s="246" t="str">
        <f t="shared" si="62"/>
        <v/>
      </c>
      <c r="I673" s="199" t="e">
        <f>IF(#REF!="","",#REF!+G673+#REF!+#REF!+#REF!+H673)</f>
        <v>#REF!</v>
      </c>
      <c r="J673" s="247" t="e">
        <f t="shared" si="63"/>
        <v>#REF!</v>
      </c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  <c r="AA673" s="47"/>
      <c r="AB673" s="47"/>
      <c r="AC673" s="47"/>
      <c r="AD673" s="47"/>
    </row>
    <row r="674" spans="1:30" ht="15.75" customHeight="1">
      <c r="A674" s="51"/>
      <c r="B674" s="52" t="str">
        <f t="shared" si="61"/>
        <v/>
      </c>
      <c r="C674" t="str">
        <f t="shared" si="60"/>
        <v/>
      </c>
      <c r="D674" s="245" t="str">
        <f t="shared" si="64"/>
        <v/>
      </c>
      <c r="E674" s="534"/>
      <c r="F674" s="534"/>
      <c r="G674" s="198"/>
      <c r="H674" s="246" t="str">
        <f t="shared" si="62"/>
        <v/>
      </c>
      <c r="I674" s="199" t="e">
        <f>IF(#REF!="","",#REF!+G674+#REF!+#REF!+#REF!+H674)</f>
        <v>#REF!</v>
      </c>
      <c r="J674" s="247" t="e">
        <f t="shared" si="63"/>
        <v>#REF!</v>
      </c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  <c r="AA674" s="47"/>
      <c r="AB674" s="47"/>
      <c r="AC674" s="47"/>
      <c r="AD674" s="47"/>
    </row>
    <row r="675" spans="1:30" ht="15.75" customHeight="1">
      <c r="A675" s="51"/>
      <c r="B675" s="52" t="str">
        <f t="shared" si="61"/>
        <v/>
      </c>
      <c r="C675" t="str">
        <f t="shared" si="60"/>
        <v/>
      </c>
      <c r="D675" s="245" t="str">
        <f t="shared" si="64"/>
        <v/>
      </c>
      <c r="E675" s="534"/>
      <c r="F675" s="534"/>
      <c r="G675" s="198"/>
      <c r="H675" s="246" t="str">
        <f t="shared" si="62"/>
        <v/>
      </c>
      <c r="I675" s="199" t="e">
        <f>IF(#REF!="","",#REF!+G675+#REF!+#REF!+#REF!+H675)</f>
        <v>#REF!</v>
      </c>
      <c r="J675" s="247" t="e">
        <f t="shared" si="63"/>
        <v>#REF!</v>
      </c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  <c r="AA675" s="47"/>
      <c r="AB675" s="47"/>
      <c r="AC675" s="47"/>
      <c r="AD675" s="47"/>
    </row>
    <row r="676" spans="1:30" ht="15.75" customHeight="1">
      <c r="A676" s="51"/>
      <c r="B676" s="52" t="str">
        <f t="shared" si="61"/>
        <v/>
      </c>
      <c r="C676" t="str">
        <f t="shared" si="60"/>
        <v/>
      </c>
      <c r="D676" s="245" t="str">
        <f t="shared" si="64"/>
        <v/>
      </c>
      <c r="E676" s="534"/>
      <c r="F676" s="534"/>
      <c r="G676" s="198"/>
      <c r="H676" s="246" t="str">
        <f t="shared" si="62"/>
        <v/>
      </c>
      <c r="I676" s="199" t="e">
        <f>IF(#REF!="","",#REF!+G676+#REF!+#REF!+#REF!+H676)</f>
        <v>#REF!</v>
      </c>
      <c r="J676" s="247" t="e">
        <f t="shared" si="63"/>
        <v>#REF!</v>
      </c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  <c r="AA676" s="47"/>
      <c r="AB676" s="47"/>
      <c r="AC676" s="47"/>
      <c r="AD676" s="47"/>
    </row>
    <row r="677" spans="1:30" ht="15.75" customHeight="1">
      <c r="A677" s="51"/>
      <c r="B677" s="52" t="str">
        <f t="shared" si="61"/>
        <v/>
      </c>
      <c r="C677" t="str">
        <f t="shared" si="60"/>
        <v/>
      </c>
      <c r="D677" s="245" t="str">
        <f t="shared" si="64"/>
        <v/>
      </c>
      <c r="E677" s="534"/>
      <c r="F677" s="534"/>
      <c r="G677" s="198"/>
      <c r="H677" s="246" t="str">
        <f t="shared" si="62"/>
        <v/>
      </c>
      <c r="I677" s="199" t="e">
        <f>IF(#REF!="","",#REF!+G677+#REF!+#REF!+#REF!+H677)</f>
        <v>#REF!</v>
      </c>
      <c r="J677" s="247" t="e">
        <f t="shared" si="63"/>
        <v>#REF!</v>
      </c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  <c r="AA677" s="47"/>
      <c r="AB677" s="47"/>
      <c r="AC677" s="47"/>
      <c r="AD677" s="47"/>
    </row>
    <row r="678" spans="1:30" ht="15.75" customHeight="1">
      <c r="A678" s="51"/>
      <c r="B678" s="52" t="str">
        <f t="shared" si="61"/>
        <v/>
      </c>
      <c r="C678" t="str">
        <f t="shared" si="60"/>
        <v/>
      </c>
      <c r="D678" s="245" t="str">
        <f t="shared" si="64"/>
        <v/>
      </c>
      <c r="E678" s="534"/>
      <c r="F678" s="534"/>
      <c r="G678" s="198"/>
      <c r="H678" s="246" t="str">
        <f t="shared" si="62"/>
        <v/>
      </c>
      <c r="I678" s="199" t="e">
        <f>IF(#REF!="","",#REF!+G678+#REF!+#REF!+#REF!+H678)</f>
        <v>#REF!</v>
      </c>
      <c r="J678" s="247" t="e">
        <f t="shared" si="63"/>
        <v>#REF!</v>
      </c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  <c r="AA678" s="47"/>
      <c r="AB678" s="47"/>
      <c r="AC678" s="47"/>
      <c r="AD678" s="47"/>
    </row>
    <row r="679" spans="1:30" ht="15.75" customHeight="1">
      <c r="A679" s="51"/>
      <c r="B679" s="52" t="str">
        <f t="shared" si="61"/>
        <v/>
      </c>
      <c r="C679" t="str">
        <f t="shared" si="60"/>
        <v/>
      </c>
      <c r="D679" s="245" t="str">
        <f t="shared" si="64"/>
        <v/>
      </c>
      <c r="E679" s="534"/>
      <c r="F679" s="534"/>
      <c r="G679" s="198"/>
      <c r="H679" s="246" t="str">
        <f t="shared" si="62"/>
        <v/>
      </c>
      <c r="I679" s="199" t="e">
        <f>IF(#REF!="","",#REF!+G679+#REF!+#REF!+#REF!+H679)</f>
        <v>#REF!</v>
      </c>
      <c r="J679" s="247" t="e">
        <f t="shared" si="63"/>
        <v>#REF!</v>
      </c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  <c r="AA679" s="47"/>
      <c r="AB679" s="47"/>
      <c r="AC679" s="47"/>
      <c r="AD679" s="47"/>
    </row>
    <row r="680" spans="1:30" ht="15.75" customHeight="1">
      <c r="A680" s="51"/>
      <c r="B680" s="52" t="str">
        <f t="shared" si="61"/>
        <v/>
      </c>
      <c r="C680" t="str">
        <f t="shared" si="60"/>
        <v/>
      </c>
      <c r="D680" s="245" t="str">
        <f t="shared" si="64"/>
        <v/>
      </c>
      <c r="E680" s="534"/>
      <c r="F680" s="534"/>
      <c r="G680" s="198"/>
      <c r="H680" s="246" t="str">
        <f t="shared" si="62"/>
        <v/>
      </c>
      <c r="I680" s="199" t="e">
        <f>IF(#REF!="","",#REF!+G680+#REF!+#REF!+#REF!+H680)</f>
        <v>#REF!</v>
      </c>
      <c r="J680" s="247" t="e">
        <f t="shared" si="63"/>
        <v>#REF!</v>
      </c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  <c r="AA680" s="47"/>
      <c r="AB680" s="47"/>
      <c r="AC680" s="47"/>
      <c r="AD680" s="47"/>
    </row>
    <row r="681" spans="1:30" ht="15.75" customHeight="1">
      <c r="A681" s="51"/>
      <c r="B681" s="52" t="str">
        <f t="shared" si="61"/>
        <v/>
      </c>
      <c r="C681" t="str">
        <f t="shared" si="60"/>
        <v/>
      </c>
      <c r="D681" s="245" t="str">
        <f t="shared" si="64"/>
        <v/>
      </c>
      <c r="E681" s="534"/>
      <c r="F681" s="534"/>
      <c r="G681" s="198"/>
      <c r="H681" s="246" t="str">
        <f t="shared" si="62"/>
        <v/>
      </c>
      <c r="I681" s="199" t="e">
        <f>IF(#REF!="","",#REF!+G681+#REF!+#REF!+#REF!+H681)</f>
        <v>#REF!</v>
      </c>
      <c r="J681" s="247" t="e">
        <f t="shared" si="63"/>
        <v>#REF!</v>
      </c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  <c r="AA681" s="47"/>
      <c r="AB681" s="47"/>
      <c r="AC681" s="47"/>
      <c r="AD681" s="47"/>
    </row>
    <row r="682" spans="1:30" ht="15" customHeight="1">
      <c r="A682" s="51"/>
      <c r="B682" s="52" t="str">
        <f t="shared" si="61"/>
        <v/>
      </c>
      <c r="C682" t="str">
        <f t="shared" si="60"/>
        <v/>
      </c>
      <c r="D682" s="245" t="str">
        <f t="shared" si="64"/>
        <v/>
      </c>
      <c r="E682" s="534"/>
      <c r="F682" s="534"/>
    </row>
    <row r="683" spans="1:30" ht="15" customHeight="1">
      <c r="A683" s="51"/>
      <c r="B683" s="52" t="str">
        <f t="shared" si="61"/>
        <v/>
      </c>
      <c r="C683" t="str">
        <f t="shared" si="60"/>
        <v/>
      </c>
      <c r="D683" s="245" t="str">
        <f t="shared" si="64"/>
        <v/>
      </c>
      <c r="E683" s="534"/>
      <c r="F683" s="534"/>
    </row>
    <row r="684" spans="1:30" ht="15" customHeight="1">
      <c r="A684" s="51"/>
      <c r="B684" s="52" t="str">
        <f t="shared" si="61"/>
        <v/>
      </c>
      <c r="C684" t="str">
        <f t="shared" si="60"/>
        <v/>
      </c>
      <c r="D684" s="245" t="str">
        <f t="shared" si="64"/>
        <v/>
      </c>
      <c r="E684" s="534"/>
      <c r="F684" s="534"/>
    </row>
    <row r="685" spans="1:30" ht="15" customHeight="1">
      <c r="A685" s="51"/>
      <c r="B685" s="52" t="str">
        <f t="shared" si="61"/>
        <v/>
      </c>
      <c r="C685" t="str">
        <f t="shared" si="60"/>
        <v/>
      </c>
      <c r="D685" s="245" t="str">
        <f t="shared" si="64"/>
        <v/>
      </c>
      <c r="E685" s="534"/>
      <c r="F685" s="534"/>
    </row>
    <row r="686" spans="1:30" ht="15" customHeight="1">
      <c r="A686" s="51"/>
      <c r="B686" s="52" t="str">
        <f t="shared" si="61"/>
        <v/>
      </c>
      <c r="C686" t="str">
        <f t="shared" si="60"/>
        <v/>
      </c>
      <c r="D686" s="245" t="str">
        <f t="shared" si="64"/>
        <v/>
      </c>
      <c r="E686" s="534"/>
      <c r="F686" s="534"/>
    </row>
    <row r="687" spans="1:30" ht="15" customHeight="1">
      <c r="A687" s="51"/>
      <c r="B687" s="52" t="str">
        <f t="shared" si="61"/>
        <v/>
      </c>
      <c r="C687" t="str">
        <f t="shared" si="60"/>
        <v/>
      </c>
      <c r="D687" s="245" t="str">
        <f t="shared" si="64"/>
        <v/>
      </c>
      <c r="E687" s="534"/>
      <c r="F687" s="534"/>
    </row>
    <row r="688" spans="1:30" ht="15" customHeight="1">
      <c r="A688" s="51"/>
      <c r="B688" s="52" t="str">
        <f t="shared" si="61"/>
        <v/>
      </c>
      <c r="C688" t="str">
        <f t="shared" si="60"/>
        <v/>
      </c>
      <c r="D688" s="245" t="str">
        <f t="shared" si="64"/>
        <v/>
      </c>
      <c r="E688" s="534"/>
      <c r="F688" s="534"/>
    </row>
    <row r="689" spans="1:6" ht="15" customHeight="1">
      <c r="A689" s="51"/>
      <c r="B689" s="52" t="str">
        <f t="shared" si="61"/>
        <v/>
      </c>
      <c r="C689" t="str">
        <f t="shared" si="60"/>
        <v/>
      </c>
      <c r="D689" s="245" t="str">
        <f t="shared" si="64"/>
        <v/>
      </c>
      <c r="E689" s="534"/>
      <c r="F689" s="534"/>
    </row>
    <row r="690" spans="1:6" ht="15" customHeight="1">
      <c r="A690" s="51"/>
      <c r="B690" s="52" t="str">
        <f t="shared" si="61"/>
        <v/>
      </c>
      <c r="C690" t="str">
        <f t="shared" si="60"/>
        <v/>
      </c>
      <c r="D690" s="245" t="str">
        <f t="shared" si="64"/>
        <v/>
      </c>
      <c r="E690" s="534"/>
      <c r="F690" s="534"/>
    </row>
    <row r="691" spans="1:6" ht="15" customHeight="1">
      <c r="A691" s="51"/>
      <c r="B691" s="52" t="str">
        <f t="shared" si="61"/>
        <v/>
      </c>
      <c r="C691" t="str">
        <f t="shared" si="60"/>
        <v/>
      </c>
      <c r="D691" s="245" t="str">
        <f t="shared" si="64"/>
        <v/>
      </c>
      <c r="E691" s="534"/>
      <c r="F691" s="534"/>
    </row>
    <row r="692" spans="1:6" ht="15" customHeight="1">
      <c r="A692" s="51"/>
      <c r="B692" s="52" t="str">
        <f t="shared" si="61"/>
        <v/>
      </c>
      <c r="C692" t="str">
        <f t="shared" si="60"/>
        <v/>
      </c>
      <c r="D692" s="245" t="str">
        <f t="shared" si="64"/>
        <v/>
      </c>
      <c r="E692" s="534"/>
      <c r="F692" s="534"/>
    </row>
    <row r="693" spans="1:6" ht="15" customHeight="1">
      <c r="A693" s="51"/>
      <c r="B693" s="52" t="str">
        <f t="shared" si="61"/>
        <v/>
      </c>
      <c r="C693" t="str">
        <f t="shared" si="60"/>
        <v/>
      </c>
      <c r="D693" s="245" t="str">
        <f t="shared" si="64"/>
        <v/>
      </c>
      <c r="E693" s="534"/>
      <c r="F693" s="534"/>
    </row>
    <row r="694" spans="1:6" ht="15" customHeight="1">
      <c r="A694" s="51"/>
      <c r="B694" s="52" t="str">
        <f t="shared" si="61"/>
        <v/>
      </c>
      <c r="C694" t="str">
        <f t="shared" si="60"/>
        <v/>
      </c>
      <c r="D694" s="245" t="str">
        <f t="shared" si="64"/>
        <v/>
      </c>
      <c r="E694" s="534"/>
      <c r="F694" s="534"/>
    </row>
    <row r="695" spans="1:6" ht="15" customHeight="1">
      <c r="A695" s="51"/>
      <c r="B695" s="52" t="str">
        <f t="shared" si="61"/>
        <v/>
      </c>
      <c r="C695" t="str">
        <f t="shared" si="60"/>
        <v/>
      </c>
      <c r="D695" s="245" t="str">
        <f t="shared" si="64"/>
        <v/>
      </c>
      <c r="E695" s="534"/>
      <c r="F695" s="534"/>
    </row>
    <row r="696" spans="1:6" ht="15" customHeight="1">
      <c r="A696" s="51"/>
      <c r="B696" s="52" t="str">
        <f t="shared" si="61"/>
        <v/>
      </c>
      <c r="C696" t="str">
        <f t="shared" si="60"/>
        <v/>
      </c>
      <c r="D696" s="245" t="str">
        <f t="shared" si="64"/>
        <v/>
      </c>
      <c r="E696" s="534"/>
      <c r="F696" s="534"/>
    </row>
    <row r="697" spans="1:6" ht="15" customHeight="1">
      <c r="A697" s="51"/>
      <c r="B697" s="52" t="str">
        <f t="shared" si="61"/>
        <v/>
      </c>
      <c r="C697" t="str">
        <f t="shared" si="60"/>
        <v/>
      </c>
      <c r="D697" s="245" t="str">
        <f t="shared" si="64"/>
        <v/>
      </c>
      <c r="E697" s="534"/>
      <c r="F697" s="534"/>
    </row>
    <row r="698" spans="1:6" ht="15" customHeight="1">
      <c r="A698" s="51"/>
      <c r="B698" s="52" t="str">
        <f t="shared" si="61"/>
        <v/>
      </c>
      <c r="C698" t="str">
        <f t="shared" si="60"/>
        <v/>
      </c>
      <c r="D698" s="245" t="str">
        <f t="shared" si="64"/>
        <v/>
      </c>
      <c r="E698" s="534"/>
      <c r="F698" s="534"/>
    </row>
    <row r="699" spans="1:6" ht="15" customHeight="1">
      <c r="A699" s="51"/>
      <c r="B699" s="52" t="str">
        <f t="shared" si="61"/>
        <v/>
      </c>
      <c r="C699" t="str">
        <f t="shared" si="60"/>
        <v/>
      </c>
      <c r="D699" s="245" t="str">
        <f t="shared" si="64"/>
        <v/>
      </c>
      <c r="E699" s="534"/>
      <c r="F699" s="534"/>
    </row>
    <row r="700" spans="1:6" ht="15" customHeight="1">
      <c r="A700" s="51"/>
      <c r="B700" s="52" t="str">
        <f t="shared" si="61"/>
        <v/>
      </c>
      <c r="C700" t="str">
        <f t="shared" si="60"/>
        <v/>
      </c>
      <c r="D700" s="245" t="str">
        <f t="shared" si="64"/>
        <v/>
      </c>
      <c r="E700" s="534"/>
      <c r="F700" s="534"/>
    </row>
    <row r="701" spans="1:6" ht="15" customHeight="1">
      <c r="A701" s="51"/>
      <c r="B701" s="52" t="str">
        <f t="shared" si="61"/>
        <v/>
      </c>
      <c r="C701" t="str">
        <f t="shared" si="60"/>
        <v/>
      </c>
      <c r="D701" s="245" t="str">
        <f t="shared" si="64"/>
        <v/>
      </c>
      <c r="E701" s="534"/>
      <c r="F701" s="534"/>
    </row>
    <row r="702" spans="1:6" ht="15" customHeight="1">
      <c r="A702" s="51"/>
      <c r="B702" s="52" t="str">
        <f t="shared" si="61"/>
        <v/>
      </c>
      <c r="C702" t="str">
        <f t="shared" si="60"/>
        <v/>
      </c>
      <c r="D702" s="245" t="str">
        <f t="shared" si="64"/>
        <v/>
      </c>
      <c r="E702" s="534"/>
      <c r="F702" s="534"/>
    </row>
    <row r="703" spans="1:6" ht="15" customHeight="1">
      <c r="A703" s="51"/>
      <c r="B703" s="52" t="str">
        <f t="shared" si="61"/>
        <v/>
      </c>
      <c r="C703" t="str">
        <f t="shared" si="60"/>
        <v/>
      </c>
      <c r="D703" s="245" t="str">
        <f t="shared" si="64"/>
        <v/>
      </c>
      <c r="E703" s="534"/>
      <c r="F703" s="534"/>
    </row>
    <row r="704" spans="1:6" ht="15" customHeight="1">
      <c r="A704" s="51"/>
      <c r="B704" s="52" t="str">
        <f t="shared" si="61"/>
        <v/>
      </c>
      <c r="C704" t="str">
        <f t="shared" si="60"/>
        <v/>
      </c>
      <c r="D704" s="245" t="str">
        <f t="shared" si="64"/>
        <v/>
      </c>
      <c r="E704" s="534"/>
      <c r="F704" s="534"/>
    </row>
    <row r="705" spans="1:6" ht="15" customHeight="1">
      <c r="A705" s="51"/>
      <c r="B705" s="52" t="str">
        <f t="shared" si="61"/>
        <v/>
      </c>
      <c r="C705" t="str">
        <f t="shared" si="60"/>
        <v/>
      </c>
      <c r="D705" s="245" t="str">
        <f t="shared" si="64"/>
        <v/>
      </c>
      <c r="E705" s="534"/>
      <c r="F705" s="534"/>
    </row>
    <row r="706" spans="1:6" ht="15" customHeight="1">
      <c r="A706" s="51"/>
      <c r="B706" s="52" t="str">
        <f t="shared" si="61"/>
        <v/>
      </c>
      <c r="C706" t="str">
        <f t="shared" ref="C706:C769" si="65">IF(A706&lt;&gt;"",TEXT(A706,"aaaa"),"")</f>
        <v/>
      </c>
      <c r="D706" s="245" t="str">
        <f t="shared" si="64"/>
        <v/>
      </c>
      <c r="E706" s="534"/>
      <c r="F706" s="534"/>
    </row>
    <row r="707" spans="1:6" ht="15" customHeight="1">
      <c r="A707" s="51"/>
      <c r="B707" s="52" t="str">
        <f t="shared" si="61"/>
        <v/>
      </c>
      <c r="C707" t="str">
        <f t="shared" si="65"/>
        <v/>
      </c>
      <c r="D707" s="245" t="str">
        <f t="shared" si="64"/>
        <v/>
      </c>
      <c r="E707" s="534"/>
      <c r="F707" s="534"/>
    </row>
    <row r="708" spans="1:6" ht="15" customHeight="1">
      <c r="A708" s="51"/>
      <c r="B708" s="52" t="str">
        <f t="shared" si="61"/>
        <v/>
      </c>
      <c r="C708" t="str">
        <f t="shared" si="65"/>
        <v/>
      </c>
      <c r="D708" s="245" t="str">
        <f t="shared" si="64"/>
        <v/>
      </c>
      <c r="E708" s="534"/>
      <c r="F708" s="534"/>
    </row>
    <row r="709" spans="1:6" ht="15" customHeight="1">
      <c r="A709" s="51"/>
      <c r="B709" s="52" t="str">
        <f t="shared" si="61"/>
        <v/>
      </c>
      <c r="C709" t="str">
        <f t="shared" si="65"/>
        <v/>
      </c>
      <c r="D709" s="245" t="str">
        <f t="shared" si="64"/>
        <v/>
      </c>
      <c r="E709" s="534"/>
      <c r="F709" s="534"/>
    </row>
    <row r="710" spans="1:6" ht="15" customHeight="1">
      <c r="A710" s="51"/>
      <c r="B710" s="52" t="str">
        <f t="shared" si="61"/>
        <v/>
      </c>
      <c r="C710" t="str">
        <f t="shared" si="65"/>
        <v/>
      </c>
      <c r="D710" s="245" t="str">
        <f t="shared" si="64"/>
        <v/>
      </c>
      <c r="E710" s="534"/>
      <c r="F710" s="534"/>
    </row>
    <row r="711" spans="1:6" ht="15" customHeight="1">
      <c r="A711" s="51"/>
      <c r="B711" s="52" t="str">
        <f t="shared" si="61"/>
        <v/>
      </c>
      <c r="C711" t="str">
        <f t="shared" si="65"/>
        <v/>
      </c>
      <c r="D711" s="245" t="str">
        <f t="shared" si="64"/>
        <v/>
      </c>
      <c r="E711" s="534"/>
      <c r="F711" s="534"/>
    </row>
    <row r="712" spans="1:6" ht="15" customHeight="1">
      <c r="A712" s="51"/>
      <c r="B712" s="52" t="str">
        <f t="shared" ref="B712:B775" si="66">IF(A712="","",TEXT(A712,"DDDD"))</f>
        <v/>
      </c>
      <c r="C712" t="str">
        <f t="shared" si="65"/>
        <v/>
      </c>
      <c r="D712" s="245" t="str">
        <f t="shared" si="64"/>
        <v/>
      </c>
      <c r="E712" s="534"/>
      <c r="F712" s="534"/>
    </row>
    <row r="713" spans="1:6" ht="15" customHeight="1">
      <c r="A713" s="51"/>
      <c r="B713" s="52" t="str">
        <f t="shared" si="66"/>
        <v/>
      </c>
      <c r="C713" t="str">
        <f t="shared" si="65"/>
        <v/>
      </c>
      <c r="D713" s="245" t="str">
        <f t="shared" ref="D713:D776" si="67">IF(A713&lt;&gt;"",PROPER(TEXT(A713,"Mmmm")),"")</f>
        <v/>
      </c>
      <c r="E713" s="534"/>
      <c r="F713" s="534"/>
    </row>
    <row r="714" spans="1:6" ht="15" customHeight="1">
      <c r="A714" s="51"/>
      <c r="B714" s="52" t="str">
        <f t="shared" si="66"/>
        <v/>
      </c>
      <c r="C714" t="str">
        <f t="shared" si="65"/>
        <v/>
      </c>
      <c r="D714" s="245" t="str">
        <f t="shared" si="67"/>
        <v/>
      </c>
      <c r="E714" s="534"/>
      <c r="F714" s="534"/>
    </row>
    <row r="715" spans="1:6" ht="15" customHeight="1">
      <c r="A715" s="51"/>
      <c r="B715" s="52" t="str">
        <f t="shared" si="66"/>
        <v/>
      </c>
      <c r="C715" t="str">
        <f t="shared" si="65"/>
        <v/>
      </c>
      <c r="D715" s="245" t="str">
        <f t="shared" si="67"/>
        <v/>
      </c>
      <c r="E715" s="534"/>
      <c r="F715" s="534"/>
    </row>
    <row r="716" spans="1:6" ht="15" customHeight="1">
      <c r="A716" s="51"/>
      <c r="B716" s="52" t="str">
        <f t="shared" si="66"/>
        <v/>
      </c>
      <c r="C716" t="str">
        <f t="shared" si="65"/>
        <v/>
      </c>
      <c r="D716" s="245" t="str">
        <f t="shared" si="67"/>
        <v/>
      </c>
      <c r="E716" s="534"/>
      <c r="F716" s="534"/>
    </row>
    <row r="717" spans="1:6" ht="15" customHeight="1">
      <c r="A717" s="51"/>
      <c r="B717" s="52" t="str">
        <f t="shared" si="66"/>
        <v/>
      </c>
      <c r="C717" t="str">
        <f t="shared" si="65"/>
        <v/>
      </c>
      <c r="D717" s="245" t="str">
        <f t="shared" si="67"/>
        <v/>
      </c>
      <c r="E717" s="534"/>
      <c r="F717" s="534"/>
    </row>
    <row r="718" spans="1:6" ht="15" customHeight="1">
      <c r="A718" s="51"/>
      <c r="B718" s="52" t="str">
        <f t="shared" si="66"/>
        <v/>
      </c>
      <c r="C718" t="str">
        <f t="shared" si="65"/>
        <v/>
      </c>
      <c r="D718" s="245" t="str">
        <f t="shared" si="67"/>
        <v/>
      </c>
      <c r="E718" s="534"/>
      <c r="F718" s="534"/>
    </row>
    <row r="719" spans="1:6" ht="15" customHeight="1">
      <c r="A719" s="51"/>
      <c r="B719" s="52" t="str">
        <f t="shared" si="66"/>
        <v/>
      </c>
      <c r="C719" t="str">
        <f t="shared" si="65"/>
        <v/>
      </c>
      <c r="D719" s="245" t="str">
        <f t="shared" si="67"/>
        <v/>
      </c>
      <c r="E719" s="534"/>
      <c r="F719" s="534"/>
    </row>
    <row r="720" spans="1:6" ht="15" customHeight="1">
      <c r="A720" s="51"/>
      <c r="B720" s="52" t="str">
        <f t="shared" si="66"/>
        <v/>
      </c>
      <c r="C720" t="str">
        <f t="shared" si="65"/>
        <v/>
      </c>
      <c r="D720" s="245" t="str">
        <f t="shared" si="67"/>
        <v/>
      </c>
      <c r="E720" s="534"/>
      <c r="F720" s="534"/>
    </row>
    <row r="721" spans="1:6" ht="15" customHeight="1">
      <c r="A721" s="51"/>
      <c r="B721" s="52" t="str">
        <f t="shared" si="66"/>
        <v/>
      </c>
      <c r="C721" t="str">
        <f t="shared" si="65"/>
        <v/>
      </c>
      <c r="D721" s="245" t="str">
        <f t="shared" si="67"/>
        <v/>
      </c>
      <c r="E721" s="534"/>
      <c r="F721" s="534"/>
    </row>
    <row r="722" spans="1:6" ht="15" customHeight="1">
      <c r="A722" s="51"/>
      <c r="B722" s="52" t="str">
        <f t="shared" si="66"/>
        <v/>
      </c>
      <c r="C722" t="str">
        <f t="shared" si="65"/>
        <v/>
      </c>
      <c r="D722" s="245" t="str">
        <f t="shared" si="67"/>
        <v/>
      </c>
      <c r="E722" s="534"/>
      <c r="F722" s="534"/>
    </row>
    <row r="723" spans="1:6" ht="15" customHeight="1">
      <c r="A723" s="51"/>
      <c r="B723" s="52" t="str">
        <f t="shared" si="66"/>
        <v/>
      </c>
      <c r="C723" t="str">
        <f t="shared" si="65"/>
        <v/>
      </c>
      <c r="D723" s="245" t="str">
        <f t="shared" si="67"/>
        <v/>
      </c>
      <c r="E723" s="534"/>
      <c r="F723" s="534"/>
    </row>
    <row r="724" spans="1:6" ht="15" customHeight="1">
      <c r="A724" s="51"/>
      <c r="B724" s="52" t="str">
        <f t="shared" si="66"/>
        <v/>
      </c>
      <c r="C724" t="str">
        <f t="shared" si="65"/>
        <v/>
      </c>
      <c r="D724" s="245" t="str">
        <f t="shared" si="67"/>
        <v/>
      </c>
      <c r="E724" s="534"/>
      <c r="F724" s="534"/>
    </row>
    <row r="725" spans="1:6" ht="15" customHeight="1">
      <c r="A725" s="51"/>
      <c r="B725" s="52" t="str">
        <f t="shared" si="66"/>
        <v/>
      </c>
      <c r="C725" t="str">
        <f t="shared" si="65"/>
        <v/>
      </c>
      <c r="D725" s="245" t="str">
        <f t="shared" si="67"/>
        <v/>
      </c>
      <c r="E725" s="534"/>
      <c r="F725" s="534"/>
    </row>
    <row r="726" spans="1:6" ht="15" customHeight="1">
      <c r="A726" s="51"/>
      <c r="B726" s="52" t="str">
        <f t="shared" si="66"/>
        <v/>
      </c>
      <c r="C726" t="str">
        <f t="shared" si="65"/>
        <v/>
      </c>
      <c r="D726" s="245" t="str">
        <f t="shared" si="67"/>
        <v/>
      </c>
      <c r="E726" s="534"/>
      <c r="F726" s="534"/>
    </row>
    <row r="727" spans="1:6" ht="15" customHeight="1">
      <c r="A727" s="51"/>
      <c r="B727" s="52" t="str">
        <f t="shared" si="66"/>
        <v/>
      </c>
      <c r="C727" t="str">
        <f t="shared" si="65"/>
        <v/>
      </c>
      <c r="D727" s="245" t="str">
        <f t="shared" si="67"/>
        <v/>
      </c>
      <c r="E727" s="534"/>
      <c r="F727" s="534"/>
    </row>
    <row r="728" spans="1:6" ht="15" customHeight="1">
      <c r="A728" s="51"/>
      <c r="B728" s="52" t="str">
        <f t="shared" si="66"/>
        <v/>
      </c>
      <c r="C728" t="str">
        <f t="shared" si="65"/>
        <v/>
      </c>
      <c r="D728" s="245" t="str">
        <f t="shared" si="67"/>
        <v/>
      </c>
      <c r="E728" s="534"/>
      <c r="F728" s="534"/>
    </row>
    <row r="729" spans="1:6" ht="15" customHeight="1">
      <c r="A729" s="51"/>
      <c r="B729" s="52" t="str">
        <f t="shared" si="66"/>
        <v/>
      </c>
      <c r="C729" t="str">
        <f t="shared" si="65"/>
        <v/>
      </c>
      <c r="D729" s="245" t="str">
        <f t="shared" si="67"/>
        <v/>
      </c>
      <c r="E729" s="534"/>
      <c r="F729" s="534"/>
    </row>
    <row r="730" spans="1:6" ht="15" customHeight="1">
      <c r="A730" s="51"/>
      <c r="B730" s="52" t="str">
        <f t="shared" si="66"/>
        <v/>
      </c>
      <c r="C730" t="str">
        <f t="shared" si="65"/>
        <v/>
      </c>
      <c r="D730" s="245" t="str">
        <f t="shared" si="67"/>
        <v/>
      </c>
      <c r="E730" s="534"/>
      <c r="F730" s="534"/>
    </row>
    <row r="731" spans="1:6" ht="15" customHeight="1">
      <c r="A731" s="51"/>
      <c r="B731" s="52" t="str">
        <f t="shared" si="66"/>
        <v/>
      </c>
      <c r="C731" t="str">
        <f t="shared" si="65"/>
        <v/>
      </c>
      <c r="D731" s="245" t="str">
        <f t="shared" si="67"/>
        <v/>
      </c>
      <c r="E731" s="534"/>
      <c r="F731" s="534"/>
    </row>
    <row r="732" spans="1:6" ht="15" customHeight="1">
      <c r="A732" s="51"/>
      <c r="B732" s="52" t="str">
        <f t="shared" si="66"/>
        <v/>
      </c>
      <c r="C732" t="str">
        <f t="shared" si="65"/>
        <v/>
      </c>
      <c r="D732" s="245" t="str">
        <f t="shared" si="67"/>
        <v/>
      </c>
      <c r="E732" s="534"/>
      <c r="F732" s="534"/>
    </row>
    <row r="733" spans="1:6" ht="15" customHeight="1">
      <c r="A733" s="51"/>
      <c r="B733" s="52" t="str">
        <f t="shared" si="66"/>
        <v/>
      </c>
      <c r="C733" t="str">
        <f t="shared" si="65"/>
        <v/>
      </c>
      <c r="D733" s="245" t="str">
        <f t="shared" si="67"/>
        <v/>
      </c>
      <c r="E733" s="534"/>
      <c r="F733" s="534"/>
    </row>
    <row r="734" spans="1:6" ht="15" customHeight="1">
      <c r="A734" s="51"/>
      <c r="B734" s="52" t="str">
        <f t="shared" si="66"/>
        <v/>
      </c>
      <c r="C734" t="str">
        <f t="shared" si="65"/>
        <v/>
      </c>
      <c r="D734" s="245" t="str">
        <f t="shared" si="67"/>
        <v/>
      </c>
      <c r="E734" s="534"/>
      <c r="F734" s="534"/>
    </row>
    <row r="735" spans="1:6" ht="15" customHeight="1">
      <c r="A735" s="51"/>
      <c r="B735" s="52" t="str">
        <f t="shared" si="66"/>
        <v/>
      </c>
      <c r="C735" t="str">
        <f t="shared" si="65"/>
        <v/>
      </c>
      <c r="D735" s="245" t="str">
        <f t="shared" si="67"/>
        <v/>
      </c>
      <c r="E735" s="534"/>
      <c r="F735" s="534"/>
    </row>
    <row r="736" spans="1:6" ht="15" customHeight="1">
      <c r="A736" s="51"/>
      <c r="B736" s="52" t="str">
        <f t="shared" si="66"/>
        <v/>
      </c>
      <c r="C736" t="str">
        <f t="shared" si="65"/>
        <v/>
      </c>
      <c r="D736" s="245" t="str">
        <f t="shared" si="67"/>
        <v/>
      </c>
      <c r="E736" s="534"/>
      <c r="F736" s="534"/>
    </row>
    <row r="737" spans="1:6" ht="15" customHeight="1">
      <c r="A737" s="51"/>
      <c r="B737" s="52" t="str">
        <f t="shared" si="66"/>
        <v/>
      </c>
      <c r="C737" t="str">
        <f t="shared" si="65"/>
        <v/>
      </c>
      <c r="D737" s="245" t="str">
        <f t="shared" si="67"/>
        <v/>
      </c>
      <c r="E737" s="534"/>
      <c r="F737" s="534"/>
    </row>
    <row r="738" spans="1:6" ht="15" customHeight="1">
      <c r="A738" s="51"/>
      <c r="B738" s="52" t="str">
        <f t="shared" si="66"/>
        <v/>
      </c>
      <c r="C738" t="str">
        <f t="shared" si="65"/>
        <v/>
      </c>
      <c r="D738" s="245" t="str">
        <f t="shared" si="67"/>
        <v/>
      </c>
      <c r="E738" s="534"/>
      <c r="F738" s="534"/>
    </row>
    <row r="739" spans="1:6" ht="15" customHeight="1">
      <c r="A739" s="51"/>
      <c r="B739" s="52" t="str">
        <f t="shared" si="66"/>
        <v/>
      </c>
      <c r="C739" t="str">
        <f t="shared" si="65"/>
        <v/>
      </c>
      <c r="D739" s="245" t="str">
        <f t="shared" si="67"/>
        <v/>
      </c>
      <c r="E739" s="534"/>
      <c r="F739" s="534"/>
    </row>
    <row r="740" spans="1:6" ht="15" customHeight="1">
      <c r="A740" s="51"/>
      <c r="B740" s="52" t="str">
        <f t="shared" si="66"/>
        <v/>
      </c>
      <c r="C740" t="str">
        <f t="shared" si="65"/>
        <v/>
      </c>
      <c r="D740" s="245" t="str">
        <f t="shared" si="67"/>
        <v/>
      </c>
      <c r="E740" s="534"/>
      <c r="F740" s="534"/>
    </row>
    <row r="741" spans="1:6" ht="15" customHeight="1">
      <c r="A741" s="51"/>
      <c r="B741" s="52" t="str">
        <f t="shared" si="66"/>
        <v/>
      </c>
      <c r="C741" t="str">
        <f t="shared" si="65"/>
        <v/>
      </c>
      <c r="D741" s="245" t="str">
        <f t="shared" si="67"/>
        <v/>
      </c>
      <c r="E741" s="534"/>
      <c r="F741" s="534"/>
    </row>
    <row r="742" spans="1:6" ht="15" customHeight="1">
      <c r="A742" s="51"/>
      <c r="B742" s="52" t="str">
        <f t="shared" si="66"/>
        <v/>
      </c>
      <c r="C742" t="str">
        <f t="shared" si="65"/>
        <v/>
      </c>
      <c r="D742" s="245" t="str">
        <f t="shared" si="67"/>
        <v/>
      </c>
      <c r="E742" s="534"/>
      <c r="F742" s="534"/>
    </row>
    <row r="743" spans="1:6" ht="15" customHeight="1">
      <c r="A743" s="51"/>
      <c r="B743" s="52" t="str">
        <f t="shared" si="66"/>
        <v/>
      </c>
      <c r="C743" t="str">
        <f t="shared" si="65"/>
        <v/>
      </c>
      <c r="D743" s="245" t="str">
        <f t="shared" si="67"/>
        <v/>
      </c>
      <c r="E743" s="534"/>
      <c r="F743" s="534"/>
    </row>
    <row r="744" spans="1:6" ht="15" customHeight="1">
      <c r="A744" s="51"/>
      <c r="B744" s="52" t="str">
        <f t="shared" si="66"/>
        <v/>
      </c>
      <c r="C744" t="str">
        <f t="shared" si="65"/>
        <v/>
      </c>
      <c r="D744" s="245" t="str">
        <f t="shared" si="67"/>
        <v/>
      </c>
      <c r="E744" s="534"/>
      <c r="F744" s="534"/>
    </row>
    <row r="745" spans="1:6" ht="15" customHeight="1">
      <c r="A745" s="51"/>
      <c r="B745" s="52" t="str">
        <f t="shared" si="66"/>
        <v/>
      </c>
      <c r="C745" t="str">
        <f t="shared" si="65"/>
        <v/>
      </c>
      <c r="D745" s="245" t="str">
        <f t="shared" si="67"/>
        <v/>
      </c>
      <c r="E745" s="534"/>
      <c r="F745" s="534"/>
    </row>
    <row r="746" spans="1:6" ht="15" customHeight="1">
      <c r="A746" s="51"/>
      <c r="B746" s="52" t="str">
        <f t="shared" si="66"/>
        <v/>
      </c>
      <c r="C746" t="str">
        <f t="shared" si="65"/>
        <v/>
      </c>
      <c r="D746" s="245" t="str">
        <f t="shared" si="67"/>
        <v/>
      </c>
      <c r="E746" s="534"/>
      <c r="F746" s="534"/>
    </row>
    <row r="747" spans="1:6" ht="15" customHeight="1">
      <c r="A747" s="51"/>
      <c r="B747" s="52" t="str">
        <f t="shared" si="66"/>
        <v/>
      </c>
      <c r="C747" t="str">
        <f t="shared" si="65"/>
        <v/>
      </c>
      <c r="D747" s="245" t="str">
        <f t="shared" si="67"/>
        <v/>
      </c>
      <c r="E747" s="534"/>
      <c r="F747" s="534"/>
    </row>
    <row r="748" spans="1:6" ht="15" customHeight="1">
      <c r="A748" s="51"/>
      <c r="B748" s="52" t="str">
        <f t="shared" si="66"/>
        <v/>
      </c>
      <c r="C748" t="str">
        <f t="shared" si="65"/>
        <v/>
      </c>
      <c r="D748" s="245" t="str">
        <f t="shared" si="67"/>
        <v/>
      </c>
      <c r="E748" s="534"/>
      <c r="F748" s="534"/>
    </row>
    <row r="749" spans="1:6" ht="15" customHeight="1">
      <c r="A749" s="51"/>
      <c r="B749" s="52" t="str">
        <f t="shared" si="66"/>
        <v/>
      </c>
      <c r="C749" t="str">
        <f t="shared" si="65"/>
        <v/>
      </c>
      <c r="D749" s="245" t="str">
        <f t="shared" si="67"/>
        <v/>
      </c>
      <c r="E749" s="534"/>
      <c r="F749" s="534"/>
    </row>
    <row r="750" spans="1:6" ht="15" customHeight="1">
      <c r="A750" s="51"/>
      <c r="B750" s="52" t="str">
        <f t="shared" si="66"/>
        <v/>
      </c>
      <c r="C750" t="str">
        <f t="shared" si="65"/>
        <v/>
      </c>
      <c r="D750" s="245" t="str">
        <f t="shared" si="67"/>
        <v/>
      </c>
      <c r="E750" s="534"/>
      <c r="F750" s="534"/>
    </row>
    <row r="751" spans="1:6" ht="15" customHeight="1">
      <c r="A751" s="51"/>
      <c r="B751" s="52" t="str">
        <f t="shared" si="66"/>
        <v/>
      </c>
      <c r="C751" t="str">
        <f t="shared" si="65"/>
        <v/>
      </c>
      <c r="D751" s="245" t="str">
        <f t="shared" si="67"/>
        <v/>
      </c>
      <c r="E751" s="534"/>
      <c r="F751" s="534"/>
    </row>
    <row r="752" spans="1:6" ht="15" customHeight="1">
      <c r="A752" s="51"/>
      <c r="B752" s="52" t="str">
        <f t="shared" si="66"/>
        <v/>
      </c>
      <c r="C752" t="str">
        <f t="shared" si="65"/>
        <v/>
      </c>
      <c r="D752" s="245" t="str">
        <f t="shared" si="67"/>
        <v/>
      </c>
      <c r="E752" s="534"/>
      <c r="F752" s="534"/>
    </row>
    <row r="753" spans="1:6" ht="15" customHeight="1">
      <c r="A753" s="51"/>
      <c r="B753" s="52" t="str">
        <f t="shared" si="66"/>
        <v/>
      </c>
      <c r="C753" t="str">
        <f t="shared" si="65"/>
        <v/>
      </c>
      <c r="D753" s="245" t="str">
        <f t="shared" si="67"/>
        <v/>
      </c>
      <c r="E753" s="534"/>
      <c r="F753" s="534"/>
    </row>
    <row r="754" spans="1:6" ht="15" customHeight="1">
      <c r="A754" s="51"/>
      <c r="B754" s="52" t="str">
        <f t="shared" si="66"/>
        <v/>
      </c>
      <c r="C754" t="str">
        <f t="shared" si="65"/>
        <v/>
      </c>
      <c r="D754" s="245" t="str">
        <f t="shared" si="67"/>
        <v/>
      </c>
      <c r="E754" s="534"/>
      <c r="F754" s="534"/>
    </row>
    <row r="755" spans="1:6" ht="15" customHeight="1">
      <c r="A755" s="51"/>
      <c r="B755" s="52" t="str">
        <f t="shared" si="66"/>
        <v/>
      </c>
      <c r="C755" t="str">
        <f t="shared" si="65"/>
        <v/>
      </c>
      <c r="D755" s="245" t="str">
        <f t="shared" si="67"/>
        <v/>
      </c>
      <c r="E755" s="534"/>
      <c r="F755" s="534"/>
    </row>
    <row r="756" spans="1:6" ht="15" customHeight="1">
      <c r="A756" s="51"/>
      <c r="B756" s="52" t="str">
        <f t="shared" si="66"/>
        <v/>
      </c>
      <c r="C756" t="str">
        <f t="shared" si="65"/>
        <v/>
      </c>
      <c r="D756" s="245" t="str">
        <f t="shared" si="67"/>
        <v/>
      </c>
      <c r="E756" s="534"/>
      <c r="F756" s="534"/>
    </row>
    <row r="757" spans="1:6" ht="15" customHeight="1">
      <c r="A757" s="51"/>
      <c r="B757" s="52" t="str">
        <f t="shared" si="66"/>
        <v/>
      </c>
      <c r="C757" t="str">
        <f t="shared" si="65"/>
        <v/>
      </c>
      <c r="D757" s="245" t="str">
        <f t="shared" si="67"/>
        <v/>
      </c>
      <c r="E757" s="534"/>
      <c r="F757" s="534"/>
    </row>
    <row r="758" spans="1:6" ht="15" customHeight="1">
      <c r="A758" s="51"/>
      <c r="B758" s="52" t="str">
        <f t="shared" si="66"/>
        <v/>
      </c>
      <c r="C758" t="str">
        <f t="shared" si="65"/>
        <v/>
      </c>
      <c r="D758" s="245" t="str">
        <f t="shared" si="67"/>
        <v/>
      </c>
      <c r="E758" s="534"/>
      <c r="F758" s="534"/>
    </row>
    <row r="759" spans="1:6" ht="15" customHeight="1">
      <c r="A759" s="51"/>
      <c r="B759" s="52" t="str">
        <f t="shared" si="66"/>
        <v/>
      </c>
      <c r="C759" t="str">
        <f t="shared" si="65"/>
        <v/>
      </c>
      <c r="D759" s="245" t="str">
        <f t="shared" si="67"/>
        <v/>
      </c>
      <c r="E759" s="534"/>
      <c r="F759" s="534"/>
    </row>
    <row r="760" spans="1:6" ht="15" customHeight="1">
      <c r="A760" s="51"/>
      <c r="B760" s="52" t="str">
        <f t="shared" si="66"/>
        <v/>
      </c>
      <c r="C760" t="str">
        <f t="shared" si="65"/>
        <v/>
      </c>
      <c r="D760" s="245" t="str">
        <f t="shared" si="67"/>
        <v/>
      </c>
      <c r="E760" s="534"/>
      <c r="F760" s="534"/>
    </row>
    <row r="761" spans="1:6" ht="15" customHeight="1">
      <c r="A761" s="51"/>
      <c r="B761" s="52" t="str">
        <f t="shared" si="66"/>
        <v/>
      </c>
      <c r="C761" t="str">
        <f t="shared" si="65"/>
        <v/>
      </c>
      <c r="D761" s="245" t="str">
        <f t="shared" si="67"/>
        <v/>
      </c>
      <c r="E761" s="534"/>
      <c r="F761" s="534"/>
    </row>
    <row r="762" spans="1:6" ht="15" customHeight="1">
      <c r="A762" s="51"/>
      <c r="B762" s="52" t="str">
        <f t="shared" si="66"/>
        <v/>
      </c>
      <c r="C762" t="str">
        <f t="shared" si="65"/>
        <v/>
      </c>
      <c r="D762" s="245" t="str">
        <f t="shared" si="67"/>
        <v/>
      </c>
      <c r="E762" s="534"/>
      <c r="F762" s="534"/>
    </row>
    <row r="763" spans="1:6" ht="15" customHeight="1">
      <c r="A763" s="51"/>
      <c r="B763" s="52" t="str">
        <f t="shared" si="66"/>
        <v/>
      </c>
      <c r="C763" t="str">
        <f t="shared" si="65"/>
        <v/>
      </c>
      <c r="D763" s="245" t="str">
        <f t="shared" si="67"/>
        <v/>
      </c>
      <c r="E763" s="534"/>
      <c r="F763" s="534"/>
    </row>
    <row r="764" spans="1:6" ht="15" customHeight="1">
      <c r="A764" s="51"/>
      <c r="B764" s="52" t="str">
        <f t="shared" si="66"/>
        <v/>
      </c>
      <c r="C764" t="str">
        <f t="shared" si="65"/>
        <v/>
      </c>
      <c r="D764" s="245" t="str">
        <f t="shared" si="67"/>
        <v/>
      </c>
      <c r="E764" s="534"/>
      <c r="F764" s="534"/>
    </row>
    <row r="765" spans="1:6" ht="15" customHeight="1">
      <c r="A765" s="51"/>
      <c r="B765" s="52" t="str">
        <f t="shared" si="66"/>
        <v/>
      </c>
      <c r="C765" t="str">
        <f t="shared" si="65"/>
        <v/>
      </c>
      <c r="D765" s="245" t="str">
        <f t="shared" si="67"/>
        <v/>
      </c>
      <c r="E765" s="534"/>
      <c r="F765" s="534"/>
    </row>
    <row r="766" spans="1:6" ht="15" customHeight="1">
      <c r="A766" s="51"/>
      <c r="B766" s="52" t="str">
        <f t="shared" si="66"/>
        <v/>
      </c>
      <c r="C766" t="str">
        <f t="shared" si="65"/>
        <v/>
      </c>
      <c r="D766" s="245" t="str">
        <f t="shared" si="67"/>
        <v/>
      </c>
      <c r="E766" s="534"/>
      <c r="F766" s="534"/>
    </row>
    <row r="767" spans="1:6" ht="15" customHeight="1">
      <c r="A767" s="51"/>
      <c r="B767" s="52" t="str">
        <f t="shared" si="66"/>
        <v/>
      </c>
      <c r="C767" t="str">
        <f t="shared" si="65"/>
        <v/>
      </c>
      <c r="D767" s="245" t="str">
        <f t="shared" si="67"/>
        <v/>
      </c>
      <c r="E767" s="534"/>
      <c r="F767" s="534"/>
    </row>
    <row r="768" spans="1:6" ht="15" customHeight="1">
      <c r="A768" s="51"/>
      <c r="B768" s="52" t="str">
        <f t="shared" si="66"/>
        <v/>
      </c>
      <c r="C768" t="str">
        <f t="shared" si="65"/>
        <v/>
      </c>
      <c r="D768" s="245" t="str">
        <f t="shared" si="67"/>
        <v/>
      </c>
      <c r="E768" s="534"/>
      <c r="F768" s="534"/>
    </row>
    <row r="769" spans="1:6" ht="15" customHeight="1">
      <c r="A769" s="51"/>
      <c r="B769" s="52" t="str">
        <f t="shared" si="66"/>
        <v/>
      </c>
      <c r="C769" t="str">
        <f t="shared" si="65"/>
        <v/>
      </c>
      <c r="D769" s="245" t="str">
        <f t="shared" si="67"/>
        <v/>
      </c>
      <c r="E769" s="534"/>
      <c r="F769" s="534"/>
    </row>
    <row r="770" spans="1:6" ht="15" customHeight="1">
      <c r="A770" s="51"/>
      <c r="B770" s="52" t="str">
        <f t="shared" si="66"/>
        <v/>
      </c>
      <c r="C770" t="str">
        <f t="shared" ref="C770:C833" si="68">IF(A770&lt;&gt;"",TEXT(A770,"aaaa"),"")</f>
        <v/>
      </c>
      <c r="D770" s="245" t="str">
        <f t="shared" si="67"/>
        <v/>
      </c>
      <c r="E770" s="534"/>
      <c r="F770" s="534"/>
    </row>
    <row r="771" spans="1:6" ht="15" customHeight="1">
      <c r="A771" s="51"/>
      <c r="B771" s="52" t="str">
        <f t="shared" si="66"/>
        <v/>
      </c>
      <c r="C771" t="str">
        <f t="shared" si="68"/>
        <v/>
      </c>
      <c r="D771" s="245" t="str">
        <f t="shared" si="67"/>
        <v/>
      </c>
      <c r="E771" s="534"/>
      <c r="F771" s="534"/>
    </row>
    <row r="772" spans="1:6" ht="15" customHeight="1">
      <c r="A772" s="51"/>
      <c r="B772" s="52" t="str">
        <f t="shared" si="66"/>
        <v/>
      </c>
      <c r="C772" t="str">
        <f t="shared" si="68"/>
        <v/>
      </c>
      <c r="D772" s="245" t="str">
        <f t="shared" si="67"/>
        <v/>
      </c>
      <c r="E772" s="534"/>
      <c r="F772" s="534"/>
    </row>
    <row r="773" spans="1:6" ht="15" customHeight="1">
      <c r="A773" s="51"/>
      <c r="B773" s="52" t="str">
        <f t="shared" si="66"/>
        <v/>
      </c>
      <c r="C773" t="str">
        <f t="shared" si="68"/>
        <v/>
      </c>
      <c r="D773" s="245" t="str">
        <f t="shared" si="67"/>
        <v/>
      </c>
      <c r="E773" s="534"/>
      <c r="F773" s="534"/>
    </row>
    <row r="774" spans="1:6" ht="15" customHeight="1">
      <c r="A774" s="51"/>
      <c r="B774" s="52" t="str">
        <f t="shared" si="66"/>
        <v/>
      </c>
      <c r="C774" t="str">
        <f t="shared" si="68"/>
        <v/>
      </c>
      <c r="D774" s="245" t="str">
        <f t="shared" si="67"/>
        <v/>
      </c>
      <c r="E774" s="534"/>
      <c r="F774" s="534"/>
    </row>
    <row r="775" spans="1:6" ht="15" customHeight="1">
      <c r="A775" s="51"/>
      <c r="B775" s="52" t="str">
        <f t="shared" si="66"/>
        <v/>
      </c>
      <c r="C775" t="str">
        <f t="shared" si="68"/>
        <v/>
      </c>
      <c r="D775" s="245" t="str">
        <f t="shared" si="67"/>
        <v/>
      </c>
      <c r="E775" s="534"/>
      <c r="F775" s="534"/>
    </row>
    <row r="776" spans="1:6" ht="15" customHeight="1">
      <c r="A776" s="51"/>
      <c r="B776" s="52" t="str">
        <f t="shared" ref="B776:B839" si="69">IF(A776="","",TEXT(A776,"DDDD"))</f>
        <v/>
      </c>
      <c r="C776" t="str">
        <f t="shared" si="68"/>
        <v/>
      </c>
      <c r="D776" s="245" t="str">
        <f t="shared" si="67"/>
        <v/>
      </c>
      <c r="E776" s="534"/>
      <c r="F776" s="534"/>
    </row>
    <row r="777" spans="1:6" ht="15" customHeight="1">
      <c r="A777" s="51"/>
      <c r="B777" s="52" t="str">
        <f t="shared" si="69"/>
        <v/>
      </c>
      <c r="C777" t="str">
        <f t="shared" si="68"/>
        <v/>
      </c>
      <c r="D777" s="245" t="str">
        <f t="shared" ref="D777:D840" si="70">IF(A777&lt;&gt;"",PROPER(TEXT(A777,"Mmmm")),"")</f>
        <v/>
      </c>
      <c r="E777" s="534"/>
      <c r="F777" s="534"/>
    </row>
    <row r="778" spans="1:6" ht="15" customHeight="1">
      <c r="A778" s="51"/>
      <c r="B778" s="52" t="str">
        <f t="shared" si="69"/>
        <v/>
      </c>
      <c r="C778" t="str">
        <f t="shared" si="68"/>
        <v/>
      </c>
      <c r="D778" s="245" t="str">
        <f t="shared" si="70"/>
        <v/>
      </c>
      <c r="E778" s="534"/>
      <c r="F778" s="534"/>
    </row>
    <row r="779" spans="1:6" ht="15" customHeight="1">
      <c r="A779" s="51"/>
      <c r="B779" s="52" t="str">
        <f t="shared" si="69"/>
        <v/>
      </c>
      <c r="C779" t="str">
        <f t="shared" si="68"/>
        <v/>
      </c>
      <c r="D779" s="245" t="str">
        <f t="shared" si="70"/>
        <v/>
      </c>
      <c r="E779" s="534"/>
      <c r="F779" s="534"/>
    </row>
    <row r="780" spans="1:6" ht="15" customHeight="1">
      <c r="A780" s="51"/>
      <c r="B780" s="52" t="str">
        <f t="shared" si="69"/>
        <v/>
      </c>
      <c r="C780" t="str">
        <f t="shared" si="68"/>
        <v/>
      </c>
      <c r="D780" s="245" t="str">
        <f t="shared" si="70"/>
        <v/>
      </c>
      <c r="E780" s="534"/>
      <c r="F780" s="534"/>
    </row>
    <row r="781" spans="1:6" ht="15" customHeight="1">
      <c r="A781" s="51"/>
      <c r="B781" s="52" t="str">
        <f t="shared" si="69"/>
        <v/>
      </c>
      <c r="C781" t="str">
        <f t="shared" si="68"/>
        <v/>
      </c>
      <c r="D781" s="245" t="str">
        <f t="shared" si="70"/>
        <v/>
      </c>
      <c r="E781" s="534"/>
      <c r="F781" s="534"/>
    </row>
    <row r="782" spans="1:6" ht="15" customHeight="1">
      <c r="A782" s="51"/>
      <c r="B782" s="52" t="str">
        <f t="shared" si="69"/>
        <v/>
      </c>
      <c r="C782" t="str">
        <f t="shared" si="68"/>
        <v/>
      </c>
      <c r="D782" s="245" t="str">
        <f t="shared" si="70"/>
        <v/>
      </c>
      <c r="E782" s="534"/>
      <c r="F782" s="534"/>
    </row>
    <row r="783" spans="1:6" ht="15" customHeight="1">
      <c r="A783" s="51"/>
      <c r="B783" s="52" t="str">
        <f t="shared" si="69"/>
        <v/>
      </c>
      <c r="C783" t="str">
        <f t="shared" si="68"/>
        <v/>
      </c>
      <c r="D783" s="245" t="str">
        <f t="shared" si="70"/>
        <v/>
      </c>
      <c r="E783" s="534"/>
      <c r="F783" s="534"/>
    </row>
    <row r="784" spans="1:6" ht="15" customHeight="1">
      <c r="A784" s="51"/>
      <c r="B784" s="52" t="str">
        <f t="shared" si="69"/>
        <v/>
      </c>
      <c r="C784" t="str">
        <f t="shared" si="68"/>
        <v/>
      </c>
      <c r="D784" s="245" t="str">
        <f t="shared" si="70"/>
        <v/>
      </c>
      <c r="E784" s="534"/>
      <c r="F784" s="534"/>
    </row>
    <row r="785" spans="1:6" ht="15" customHeight="1">
      <c r="A785" s="51"/>
      <c r="B785" s="52" t="str">
        <f t="shared" si="69"/>
        <v/>
      </c>
      <c r="C785" t="str">
        <f t="shared" si="68"/>
        <v/>
      </c>
      <c r="D785" s="245" t="str">
        <f t="shared" si="70"/>
        <v/>
      </c>
      <c r="E785" s="534"/>
      <c r="F785" s="534"/>
    </row>
    <row r="786" spans="1:6" ht="15" customHeight="1">
      <c r="A786" s="51"/>
      <c r="B786" s="52" t="str">
        <f t="shared" si="69"/>
        <v/>
      </c>
      <c r="C786" t="str">
        <f t="shared" si="68"/>
        <v/>
      </c>
      <c r="D786" s="245" t="str">
        <f t="shared" si="70"/>
        <v/>
      </c>
      <c r="E786" s="534"/>
      <c r="F786" s="534"/>
    </row>
    <row r="787" spans="1:6" ht="15" customHeight="1">
      <c r="A787" s="51"/>
      <c r="B787" s="52" t="str">
        <f t="shared" si="69"/>
        <v/>
      </c>
      <c r="C787" t="str">
        <f t="shared" si="68"/>
        <v/>
      </c>
      <c r="D787" s="245" t="str">
        <f t="shared" si="70"/>
        <v/>
      </c>
      <c r="E787" s="534"/>
      <c r="F787" s="534"/>
    </row>
    <row r="788" spans="1:6" ht="15" customHeight="1">
      <c r="A788" s="51"/>
      <c r="B788" s="52" t="str">
        <f t="shared" si="69"/>
        <v/>
      </c>
      <c r="C788" t="str">
        <f t="shared" si="68"/>
        <v/>
      </c>
      <c r="D788" s="245" t="str">
        <f t="shared" si="70"/>
        <v/>
      </c>
      <c r="E788" s="534"/>
      <c r="F788" s="534"/>
    </row>
    <row r="789" spans="1:6" ht="15" customHeight="1">
      <c r="A789" s="51"/>
      <c r="B789" s="52" t="str">
        <f t="shared" si="69"/>
        <v/>
      </c>
      <c r="C789" t="str">
        <f t="shared" si="68"/>
        <v/>
      </c>
      <c r="D789" s="245" t="str">
        <f t="shared" si="70"/>
        <v/>
      </c>
      <c r="E789" s="534"/>
      <c r="F789" s="534"/>
    </row>
    <row r="790" spans="1:6" ht="15" customHeight="1">
      <c r="A790" s="51"/>
      <c r="B790" s="52" t="str">
        <f t="shared" si="69"/>
        <v/>
      </c>
      <c r="C790" t="str">
        <f t="shared" si="68"/>
        <v/>
      </c>
      <c r="D790" s="245" t="str">
        <f t="shared" si="70"/>
        <v/>
      </c>
      <c r="E790" s="534"/>
      <c r="F790" s="534"/>
    </row>
    <row r="791" spans="1:6" ht="15" customHeight="1">
      <c r="A791" s="51"/>
      <c r="B791" s="52" t="str">
        <f t="shared" si="69"/>
        <v/>
      </c>
      <c r="C791" t="str">
        <f t="shared" si="68"/>
        <v/>
      </c>
      <c r="D791" s="245" t="str">
        <f t="shared" si="70"/>
        <v/>
      </c>
      <c r="E791" s="534"/>
      <c r="F791" s="534"/>
    </row>
    <row r="792" spans="1:6" ht="15" customHeight="1">
      <c r="A792" s="51"/>
      <c r="B792" s="52" t="str">
        <f t="shared" si="69"/>
        <v/>
      </c>
      <c r="C792" t="str">
        <f t="shared" si="68"/>
        <v/>
      </c>
      <c r="D792" s="245" t="str">
        <f t="shared" si="70"/>
        <v/>
      </c>
      <c r="E792" s="534"/>
      <c r="F792" s="534"/>
    </row>
    <row r="793" spans="1:6" ht="15" customHeight="1">
      <c r="A793" s="51"/>
      <c r="B793" s="52" t="str">
        <f t="shared" si="69"/>
        <v/>
      </c>
      <c r="C793" t="str">
        <f t="shared" si="68"/>
        <v/>
      </c>
      <c r="D793" s="245" t="str">
        <f t="shared" si="70"/>
        <v/>
      </c>
      <c r="E793" s="534"/>
      <c r="F793" s="534"/>
    </row>
    <row r="794" spans="1:6" ht="15" customHeight="1">
      <c r="A794" s="51"/>
      <c r="B794" s="52" t="str">
        <f t="shared" si="69"/>
        <v/>
      </c>
      <c r="C794" t="str">
        <f t="shared" si="68"/>
        <v/>
      </c>
      <c r="D794" s="245" t="str">
        <f t="shared" si="70"/>
        <v/>
      </c>
      <c r="E794" s="534"/>
      <c r="F794" s="534"/>
    </row>
    <row r="795" spans="1:6" ht="15" customHeight="1">
      <c r="A795" s="51"/>
      <c r="B795" s="52" t="str">
        <f t="shared" si="69"/>
        <v/>
      </c>
      <c r="C795" t="str">
        <f t="shared" si="68"/>
        <v/>
      </c>
      <c r="D795" s="245" t="str">
        <f t="shared" si="70"/>
        <v/>
      </c>
      <c r="E795" s="534"/>
      <c r="F795" s="534"/>
    </row>
    <row r="796" spans="1:6" ht="15" customHeight="1">
      <c r="A796" s="51"/>
      <c r="B796" s="52" t="str">
        <f t="shared" si="69"/>
        <v/>
      </c>
      <c r="C796" t="str">
        <f t="shared" si="68"/>
        <v/>
      </c>
      <c r="D796" s="245" t="str">
        <f t="shared" si="70"/>
        <v/>
      </c>
      <c r="E796" s="534"/>
      <c r="F796" s="534"/>
    </row>
    <row r="797" spans="1:6" ht="15" customHeight="1">
      <c r="A797" s="51"/>
      <c r="B797" s="52" t="str">
        <f t="shared" si="69"/>
        <v/>
      </c>
      <c r="C797" t="str">
        <f t="shared" si="68"/>
        <v/>
      </c>
      <c r="D797" s="245" t="str">
        <f t="shared" si="70"/>
        <v/>
      </c>
      <c r="E797" s="534"/>
      <c r="F797" s="534"/>
    </row>
    <row r="798" spans="1:6" ht="15" customHeight="1">
      <c r="A798" s="51"/>
      <c r="B798" s="52" t="str">
        <f t="shared" si="69"/>
        <v/>
      </c>
      <c r="C798" t="str">
        <f t="shared" si="68"/>
        <v/>
      </c>
      <c r="D798" s="245" t="str">
        <f t="shared" si="70"/>
        <v/>
      </c>
      <c r="E798" s="534"/>
      <c r="F798" s="534"/>
    </row>
    <row r="799" spans="1:6" ht="15" customHeight="1">
      <c r="A799" s="51"/>
      <c r="B799" s="52" t="str">
        <f t="shared" si="69"/>
        <v/>
      </c>
      <c r="C799" t="str">
        <f t="shared" si="68"/>
        <v/>
      </c>
      <c r="D799" s="245" t="str">
        <f t="shared" si="70"/>
        <v/>
      </c>
      <c r="E799" s="534"/>
      <c r="F799" s="534"/>
    </row>
    <row r="800" spans="1:6" ht="15" customHeight="1">
      <c r="A800" s="51"/>
      <c r="B800" s="52" t="str">
        <f t="shared" si="69"/>
        <v/>
      </c>
      <c r="C800" t="str">
        <f t="shared" si="68"/>
        <v/>
      </c>
      <c r="D800" s="245" t="str">
        <f t="shared" si="70"/>
        <v/>
      </c>
      <c r="E800" s="534"/>
      <c r="F800" s="534"/>
    </row>
    <row r="801" spans="1:6" ht="15" customHeight="1">
      <c r="A801" s="51"/>
      <c r="B801" s="52" t="str">
        <f t="shared" si="69"/>
        <v/>
      </c>
      <c r="C801" t="str">
        <f t="shared" si="68"/>
        <v/>
      </c>
      <c r="D801" s="245" t="str">
        <f t="shared" si="70"/>
        <v/>
      </c>
      <c r="E801" s="534"/>
      <c r="F801" s="534"/>
    </row>
    <row r="802" spans="1:6" ht="15" customHeight="1">
      <c r="A802" s="51"/>
      <c r="B802" s="52" t="str">
        <f t="shared" si="69"/>
        <v/>
      </c>
      <c r="C802" t="str">
        <f t="shared" si="68"/>
        <v/>
      </c>
      <c r="D802" s="245" t="str">
        <f t="shared" si="70"/>
        <v/>
      </c>
      <c r="E802" s="534"/>
      <c r="F802" s="534"/>
    </row>
    <row r="803" spans="1:6" ht="15" customHeight="1">
      <c r="A803" s="51"/>
      <c r="B803" s="52" t="str">
        <f t="shared" si="69"/>
        <v/>
      </c>
      <c r="C803" t="str">
        <f t="shared" si="68"/>
        <v/>
      </c>
      <c r="D803" s="245" t="str">
        <f t="shared" si="70"/>
        <v/>
      </c>
      <c r="E803" s="534"/>
      <c r="F803" s="534"/>
    </row>
    <row r="804" spans="1:6" ht="15" customHeight="1">
      <c r="A804" s="51"/>
      <c r="B804" s="52" t="str">
        <f t="shared" si="69"/>
        <v/>
      </c>
      <c r="C804" t="str">
        <f t="shared" si="68"/>
        <v/>
      </c>
      <c r="D804" s="245" t="str">
        <f t="shared" si="70"/>
        <v/>
      </c>
      <c r="E804" s="534"/>
      <c r="F804" s="534"/>
    </row>
    <row r="805" spans="1:6" ht="15" customHeight="1">
      <c r="A805" s="51"/>
      <c r="B805" s="52" t="str">
        <f t="shared" si="69"/>
        <v/>
      </c>
      <c r="C805" t="str">
        <f t="shared" si="68"/>
        <v/>
      </c>
      <c r="D805" s="245" t="str">
        <f t="shared" si="70"/>
        <v/>
      </c>
      <c r="E805" s="534"/>
      <c r="F805" s="534"/>
    </row>
    <row r="806" spans="1:6" ht="15" customHeight="1">
      <c r="A806" s="51"/>
      <c r="B806" s="52" t="str">
        <f t="shared" si="69"/>
        <v/>
      </c>
      <c r="C806" t="str">
        <f t="shared" si="68"/>
        <v/>
      </c>
      <c r="D806" s="245" t="str">
        <f t="shared" si="70"/>
        <v/>
      </c>
      <c r="E806" s="534"/>
      <c r="F806" s="534"/>
    </row>
    <row r="807" spans="1:6" ht="15" customHeight="1">
      <c r="A807" s="51"/>
      <c r="B807" s="52" t="str">
        <f t="shared" si="69"/>
        <v/>
      </c>
      <c r="C807" t="str">
        <f t="shared" si="68"/>
        <v/>
      </c>
      <c r="D807" s="245" t="str">
        <f t="shared" si="70"/>
        <v/>
      </c>
      <c r="E807" s="534"/>
      <c r="F807" s="534"/>
    </row>
    <row r="808" spans="1:6" ht="15" customHeight="1">
      <c r="A808" s="51"/>
      <c r="B808" s="52" t="str">
        <f t="shared" si="69"/>
        <v/>
      </c>
      <c r="C808" t="str">
        <f t="shared" si="68"/>
        <v/>
      </c>
      <c r="D808" s="245" t="str">
        <f t="shared" si="70"/>
        <v/>
      </c>
      <c r="E808" s="534"/>
      <c r="F808" s="534"/>
    </row>
    <row r="809" spans="1:6" ht="15" customHeight="1">
      <c r="A809" s="51"/>
      <c r="B809" s="52" t="str">
        <f t="shared" si="69"/>
        <v/>
      </c>
      <c r="C809" t="str">
        <f t="shared" si="68"/>
        <v/>
      </c>
      <c r="D809" s="245" t="str">
        <f t="shared" si="70"/>
        <v/>
      </c>
      <c r="E809" s="534"/>
      <c r="F809" s="534"/>
    </row>
    <row r="810" spans="1:6" ht="15" customHeight="1">
      <c r="A810" s="51"/>
      <c r="B810" s="52" t="str">
        <f t="shared" si="69"/>
        <v/>
      </c>
      <c r="C810" t="str">
        <f t="shared" si="68"/>
        <v/>
      </c>
      <c r="D810" s="245" t="str">
        <f t="shared" si="70"/>
        <v/>
      </c>
      <c r="E810" s="534"/>
      <c r="F810" s="534"/>
    </row>
    <row r="811" spans="1:6" ht="15" customHeight="1">
      <c r="A811" s="51"/>
      <c r="B811" s="52" t="str">
        <f t="shared" si="69"/>
        <v/>
      </c>
      <c r="C811" t="str">
        <f t="shared" si="68"/>
        <v/>
      </c>
      <c r="D811" s="245" t="str">
        <f t="shared" si="70"/>
        <v/>
      </c>
      <c r="E811" s="534"/>
      <c r="F811" s="534"/>
    </row>
    <row r="812" spans="1:6" ht="15" customHeight="1">
      <c r="A812" s="51"/>
      <c r="B812" s="52" t="str">
        <f t="shared" si="69"/>
        <v/>
      </c>
      <c r="C812" t="str">
        <f t="shared" si="68"/>
        <v/>
      </c>
      <c r="D812" s="245" t="str">
        <f t="shared" si="70"/>
        <v/>
      </c>
      <c r="E812" s="534"/>
      <c r="F812" s="534"/>
    </row>
    <row r="813" spans="1:6" ht="15" customHeight="1">
      <c r="A813" s="51"/>
      <c r="B813" s="52" t="str">
        <f t="shared" si="69"/>
        <v/>
      </c>
      <c r="C813" t="str">
        <f t="shared" si="68"/>
        <v/>
      </c>
      <c r="D813" s="245" t="str">
        <f t="shared" si="70"/>
        <v/>
      </c>
      <c r="E813" s="534"/>
      <c r="F813" s="534"/>
    </row>
    <row r="814" spans="1:6" ht="15" customHeight="1">
      <c r="A814" s="51"/>
      <c r="B814" s="52" t="str">
        <f t="shared" si="69"/>
        <v/>
      </c>
      <c r="C814" t="str">
        <f t="shared" si="68"/>
        <v/>
      </c>
      <c r="D814" s="245" t="str">
        <f t="shared" si="70"/>
        <v/>
      </c>
      <c r="E814" s="534"/>
      <c r="F814" s="534"/>
    </row>
    <row r="815" spans="1:6" ht="15" customHeight="1">
      <c r="A815" s="51"/>
      <c r="B815" s="52" t="str">
        <f t="shared" si="69"/>
        <v/>
      </c>
      <c r="C815" t="str">
        <f t="shared" si="68"/>
        <v/>
      </c>
      <c r="D815" s="245" t="str">
        <f t="shared" si="70"/>
        <v/>
      </c>
      <c r="E815" s="534"/>
      <c r="F815" s="534"/>
    </row>
    <row r="816" spans="1:6" ht="15" customHeight="1">
      <c r="A816" s="51"/>
      <c r="B816" s="52" t="str">
        <f t="shared" si="69"/>
        <v/>
      </c>
      <c r="C816" t="str">
        <f t="shared" si="68"/>
        <v/>
      </c>
      <c r="D816" s="245" t="str">
        <f t="shared" si="70"/>
        <v/>
      </c>
      <c r="E816" s="534"/>
      <c r="F816" s="534"/>
    </row>
    <row r="817" spans="1:6" ht="15" customHeight="1">
      <c r="A817" s="51"/>
      <c r="B817" s="52" t="str">
        <f t="shared" si="69"/>
        <v/>
      </c>
      <c r="C817" t="str">
        <f t="shared" si="68"/>
        <v/>
      </c>
      <c r="D817" s="245" t="str">
        <f t="shared" si="70"/>
        <v/>
      </c>
      <c r="E817" s="534"/>
      <c r="F817" s="534"/>
    </row>
    <row r="818" spans="1:6" ht="15" customHeight="1">
      <c r="A818" s="51"/>
      <c r="B818" s="52" t="str">
        <f t="shared" si="69"/>
        <v/>
      </c>
      <c r="C818" t="str">
        <f t="shared" si="68"/>
        <v/>
      </c>
      <c r="D818" s="245" t="str">
        <f t="shared" si="70"/>
        <v/>
      </c>
      <c r="E818" s="534"/>
      <c r="F818" s="534"/>
    </row>
    <row r="819" spans="1:6" ht="15" customHeight="1">
      <c r="A819" s="51"/>
      <c r="B819" s="52" t="str">
        <f t="shared" si="69"/>
        <v/>
      </c>
      <c r="C819" t="str">
        <f t="shared" si="68"/>
        <v/>
      </c>
      <c r="D819" s="245" t="str">
        <f t="shared" si="70"/>
        <v/>
      </c>
      <c r="E819" s="534"/>
      <c r="F819" s="534"/>
    </row>
    <row r="820" spans="1:6" ht="15" customHeight="1">
      <c r="A820" s="51"/>
      <c r="B820" s="52" t="str">
        <f t="shared" si="69"/>
        <v/>
      </c>
      <c r="C820" t="str">
        <f t="shared" si="68"/>
        <v/>
      </c>
      <c r="D820" s="245" t="str">
        <f t="shared" si="70"/>
        <v/>
      </c>
      <c r="E820" s="534"/>
      <c r="F820" s="534"/>
    </row>
    <row r="821" spans="1:6" ht="15" customHeight="1">
      <c r="A821" s="51"/>
      <c r="B821" s="52" t="str">
        <f t="shared" si="69"/>
        <v/>
      </c>
      <c r="C821" t="str">
        <f t="shared" si="68"/>
        <v/>
      </c>
      <c r="D821" s="245" t="str">
        <f t="shared" si="70"/>
        <v/>
      </c>
      <c r="E821" s="534"/>
      <c r="F821" s="534"/>
    </row>
    <row r="822" spans="1:6" ht="15" customHeight="1">
      <c r="A822" s="51"/>
      <c r="B822" s="52" t="str">
        <f t="shared" si="69"/>
        <v/>
      </c>
      <c r="C822" t="str">
        <f t="shared" si="68"/>
        <v/>
      </c>
      <c r="D822" s="245" t="str">
        <f t="shared" si="70"/>
        <v/>
      </c>
      <c r="E822" s="534"/>
      <c r="F822" s="534"/>
    </row>
    <row r="823" spans="1:6" ht="15" customHeight="1">
      <c r="A823" s="51"/>
      <c r="B823" s="52" t="str">
        <f t="shared" si="69"/>
        <v/>
      </c>
      <c r="C823" t="str">
        <f t="shared" si="68"/>
        <v/>
      </c>
      <c r="D823" s="245" t="str">
        <f t="shared" si="70"/>
        <v/>
      </c>
      <c r="E823" s="534"/>
      <c r="F823" s="534"/>
    </row>
    <row r="824" spans="1:6" ht="15" customHeight="1">
      <c r="A824" s="51"/>
      <c r="B824" s="52" t="str">
        <f t="shared" si="69"/>
        <v/>
      </c>
      <c r="C824" t="str">
        <f t="shared" si="68"/>
        <v/>
      </c>
      <c r="D824" s="245" t="str">
        <f t="shared" si="70"/>
        <v/>
      </c>
      <c r="E824" s="534"/>
      <c r="F824" s="534"/>
    </row>
    <row r="825" spans="1:6" ht="15" customHeight="1">
      <c r="A825" s="51"/>
      <c r="B825" s="52" t="str">
        <f t="shared" si="69"/>
        <v/>
      </c>
      <c r="C825" t="str">
        <f t="shared" si="68"/>
        <v/>
      </c>
      <c r="D825" s="245" t="str">
        <f t="shared" si="70"/>
        <v/>
      </c>
      <c r="E825" s="534"/>
      <c r="F825" s="534"/>
    </row>
    <row r="826" spans="1:6" ht="15" customHeight="1">
      <c r="A826" s="51"/>
      <c r="B826" s="52" t="str">
        <f t="shared" si="69"/>
        <v/>
      </c>
      <c r="C826" t="str">
        <f t="shared" si="68"/>
        <v/>
      </c>
      <c r="D826" s="245" t="str">
        <f t="shared" si="70"/>
        <v/>
      </c>
      <c r="E826" s="534"/>
      <c r="F826" s="534"/>
    </row>
    <row r="827" spans="1:6" ht="15" customHeight="1">
      <c r="A827" s="51"/>
      <c r="B827" s="52" t="str">
        <f t="shared" si="69"/>
        <v/>
      </c>
      <c r="C827" t="str">
        <f t="shared" si="68"/>
        <v/>
      </c>
      <c r="D827" s="245" t="str">
        <f t="shared" si="70"/>
        <v/>
      </c>
      <c r="E827" s="534"/>
      <c r="F827" s="534"/>
    </row>
    <row r="828" spans="1:6" ht="15" customHeight="1">
      <c r="A828" s="51"/>
      <c r="B828" s="52" t="str">
        <f t="shared" si="69"/>
        <v/>
      </c>
      <c r="C828" t="str">
        <f t="shared" si="68"/>
        <v/>
      </c>
      <c r="D828" s="245" t="str">
        <f t="shared" si="70"/>
        <v/>
      </c>
      <c r="E828" s="534"/>
      <c r="F828" s="534"/>
    </row>
    <row r="829" spans="1:6" ht="15" customHeight="1">
      <c r="A829" s="51"/>
      <c r="B829" s="52" t="str">
        <f t="shared" si="69"/>
        <v/>
      </c>
      <c r="C829" t="str">
        <f t="shared" si="68"/>
        <v/>
      </c>
      <c r="D829" s="245" t="str">
        <f t="shared" si="70"/>
        <v/>
      </c>
      <c r="E829" s="534"/>
      <c r="F829" s="534"/>
    </row>
    <row r="830" spans="1:6" ht="15" customHeight="1">
      <c r="A830" s="51"/>
      <c r="B830" s="52" t="str">
        <f t="shared" si="69"/>
        <v/>
      </c>
      <c r="C830" t="str">
        <f t="shared" si="68"/>
        <v/>
      </c>
      <c r="D830" s="245" t="str">
        <f t="shared" si="70"/>
        <v/>
      </c>
      <c r="E830" s="534"/>
      <c r="F830" s="534"/>
    </row>
    <row r="831" spans="1:6" ht="15" customHeight="1">
      <c r="A831" s="51"/>
      <c r="B831" s="52" t="str">
        <f t="shared" si="69"/>
        <v/>
      </c>
      <c r="C831" t="str">
        <f t="shared" si="68"/>
        <v/>
      </c>
      <c r="D831" s="245" t="str">
        <f t="shared" si="70"/>
        <v/>
      </c>
      <c r="E831" s="534"/>
      <c r="F831" s="534"/>
    </row>
    <row r="832" spans="1:6" ht="15" customHeight="1">
      <c r="A832" s="51"/>
      <c r="B832" s="52" t="str">
        <f t="shared" si="69"/>
        <v/>
      </c>
      <c r="C832" t="str">
        <f t="shared" si="68"/>
        <v/>
      </c>
      <c r="D832" s="245" t="str">
        <f t="shared" si="70"/>
        <v/>
      </c>
      <c r="E832" s="534"/>
      <c r="F832" s="534"/>
    </row>
    <row r="833" spans="1:6" ht="15" customHeight="1">
      <c r="A833" s="51"/>
      <c r="B833" s="52" t="str">
        <f t="shared" si="69"/>
        <v/>
      </c>
      <c r="C833" t="str">
        <f t="shared" si="68"/>
        <v/>
      </c>
      <c r="D833" s="245" t="str">
        <f t="shared" si="70"/>
        <v/>
      </c>
      <c r="E833" s="534"/>
      <c r="F833" s="534"/>
    </row>
    <row r="834" spans="1:6" ht="15" customHeight="1">
      <c r="A834" s="51"/>
      <c r="B834" s="52" t="str">
        <f t="shared" si="69"/>
        <v/>
      </c>
      <c r="C834" t="str">
        <f t="shared" ref="C834:C897" si="71">IF(A834&lt;&gt;"",TEXT(A834,"aaaa"),"")</f>
        <v/>
      </c>
      <c r="D834" s="245" t="str">
        <f t="shared" si="70"/>
        <v/>
      </c>
      <c r="E834" s="534"/>
      <c r="F834" s="534"/>
    </row>
    <row r="835" spans="1:6" ht="15" customHeight="1">
      <c r="A835" s="51"/>
      <c r="B835" s="52" t="str">
        <f t="shared" si="69"/>
        <v/>
      </c>
      <c r="C835" t="str">
        <f t="shared" si="71"/>
        <v/>
      </c>
      <c r="D835" s="245" t="str">
        <f t="shared" si="70"/>
        <v/>
      </c>
      <c r="E835" s="534"/>
      <c r="F835" s="534"/>
    </row>
    <row r="836" spans="1:6" ht="15" customHeight="1">
      <c r="A836" s="51"/>
      <c r="B836" s="52" t="str">
        <f t="shared" si="69"/>
        <v/>
      </c>
      <c r="C836" t="str">
        <f t="shared" si="71"/>
        <v/>
      </c>
      <c r="D836" s="245" t="str">
        <f t="shared" si="70"/>
        <v/>
      </c>
      <c r="E836" s="534"/>
      <c r="F836" s="534"/>
    </row>
    <row r="837" spans="1:6" ht="15" customHeight="1">
      <c r="A837" s="51"/>
      <c r="B837" s="52" t="str">
        <f t="shared" si="69"/>
        <v/>
      </c>
      <c r="C837" t="str">
        <f t="shared" si="71"/>
        <v/>
      </c>
      <c r="D837" s="245" t="str">
        <f t="shared" si="70"/>
        <v/>
      </c>
      <c r="E837" s="534"/>
      <c r="F837" s="534"/>
    </row>
    <row r="838" spans="1:6" ht="15" customHeight="1">
      <c r="A838" s="51"/>
      <c r="B838" s="52" t="str">
        <f t="shared" si="69"/>
        <v/>
      </c>
      <c r="C838" t="str">
        <f t="shared" si="71"/>
        <v/>
      </c>
      <c r="D838" s="245" t="str">
        <f t="shared" si="70"/>
        <v/>
      </c>
      <c r="E838" s="534"/>
      <c r="F838" s="534"/>
    </row>
    <row r="839" spans="1:6" ht="15" customHeight="1">
      <c r="A839" s="51"/>
      <c r="B839" s="52" t="str">
        <f t="shared" si="69"/>
        <v/>
      </c>
      <c r="C839" t="str">
        <f t="shared" si="71"/>
        <v/>
      </c>
      <c r="D839" s="245" t="str">
        <f t="shared" si="70"/>
        <v/>
      </c>
      <c r="E839" s="534"/>
      <c r="F839" s="534"/>
    </row>
    <row r="840" spans="1:6" ht="15" customHeight="1">
      <c r="A840" s="51"/>
      <c r="B840" s="52" t="str">
        <f t="shared" ref="B840:B903" si="72">IF(A840="","",TEXT(A840,"DDDD"))</f>
        <v/>
      </c>
      <c r="C840" t="str">
        <f t="shared" si="71"/>
        <v/>
      </c>
      <c r="D840" s="245" t="str">
        <f t="shared" si="70"/>
        <v/>
      </c>
      <c r="E840" s="534"/>
      <c r="F840" s="534"/>
    </row>
    <row r="841" spans="1:6" ht="15" customHeight="1">
      <c r="A841" s="51"/>
      <c r="B841" s="52" t="str">
        <f t="shared" si="72"/>
        <v/>
      </c>
      <c r="C841" t="str">
        <f t="shared" si="71"/>
        <v/>
      </c>
      <c r="D841" s="245" t="str">
        <f t="shared" ref="D841:D904" si="73">IF(A841&lt;&gt;"",PROPER(TEXT(A841,"Mmmm")),"")</f>
        <v/>
      </c>
      <c r="E841" s="534"/>
      <c r="F841" s="534"/>
    </row>
    <row r="842" spans="1:6" ht="15" customHeight="1">
      <c r="A842" s="51"/>
      <c r="B842" s="52" t="str">
        <f t="shared" si="72"/>
        <v/>
      </c>
      <c r="C842" t="str">
        <f t="shared" si="71"/>
        <v/>
      </c>
      <c r="D842" s="245" t="str">
        <f t="shared" si="73"/>
        <v/>
      </c>
      <c r="E842" s="534"/>
      <c r="F842" s="534"/>
    </row>
    <row r="843" spans="1:6" ht="15" customHeight="1">
      <c r="A843" s="51"/>
      <c r="B843" s="52" t="str">
        <f t="shared" si="72"/>
        <v/>
      </c>
      <c r="C843" t="str">
        <f t="shared" si="71"/>
        <v/>
      </c>
      <c r="D843" s="245" t="str">
        <f t="shared" si="73"/>
        <v/>
      </c>
      <c r="E843" s="534"/>
      <c r="F843" s="534"/>
    </row>
    <row r="844" spans="1:6" ht="15" customHeight="1">
      <c r="A844" s="51"/>
      <c r="B844" s="52" t="str">
        <f t="shared" si="72"/>
        <v/>
      </c>
      <c r="C844" t="str">
        <f t="shared" si="71"/>
        <v/>
      </c>
      <c r="D844" s="245" t="str">
        <f t="shared" si="73"/>
        <v/>
      </c>
      <c r="E844" s="534"/>
      <c r="F844" s="534"/>
    </row>
    <row r="845" spans="1:6" ht="15" customHeight="1">
      <c r="A845" s="51"/>
      <c r="B845" s="52" t="str">
        <f t="shared" si="72"/>
        <v/>
      </c>
      <c r="C845" t="str">
        <f t="shared" si="71"/>
        <v/>
      </c>
      <c r="D845" s="245" t="str">
        <f t="shared" si="73"/>
        <v/>
      </c>
      <c r="E845" s="534"/>
      <c r="F845" s="534"/>
    </row>
    <row r="846" spans="1:6" ht="15" customHeight="1">
      <c r="A846" s="51"/>
      <c r="B846" s="52" t="str">
        <f t="shared" si="72"/>
        <v/>
      </c>
      <c r="C846" t="str">
        <f t="shared" si="71"/>
        <v/>
      </c>
      <c r="D846" s="245" t="str">
        <f t="shared" si="73"/>
        <v/>
      </c>
      <c r="E846" s="534"/>
      <c r="F846" s="534"/>
    </row>
    <row r="847" spans="1:6" ht="15" customHeight="1">
      <c r="A847" s="51"/>
      <c r="B847" s="52" t="str">
        <f t="shared" si="72"/>
        <v/>
      </c>
      <c r="C847" t="str">
        <f t="shared" si="71"/>
        <v/>
      </c>
      <c r="D847" s="245" t="str">
        <f t="shared" si="73"/>
        <v/>
      </c>
      <c r="E847" s="534"/>
      <c r="F847" s="534"/>
    </row>
    <row r="848" spans="1:6" ht="15" customHeight="1">
      <c r="A848" s="51"/>
      <c r="B848" s="52" t="str">
        <f t="shared" si="72"/>
        <v/>
      </c>
      <c r="C848" t="str">
        <f t="shared" si="71"/>
        <v/>
      </c>
      <c r="D848" s="245" t="str">
        <f t="shared" si="73"/>
        <v/>
      </c>
      <c r="E848" s="534"/>
      <c r="F848" s="534"/>
    </row>
    <row r="849" spans="1:6" ht="15" customHeight="1">
      <c r="A849" s="51"/>
      <c r="B849" s="52" t="str">
        <f t="shared" si="72"/>
        <v/>
      </c>
      <c r="C849" t="str">
        <f t="shared" si="71"/>
        <v/>
      </c>
      <c r="D849" s="245" t="str">
        <f t="shared" si="73"/>
        <v/>
      </c>
      <c r="E849" s="534"/>
      <c r="F849" s="534"/>
    </row>
    <row r="850" spans="1:6" ht="15" customHeight="1">
      <c r="A850" s="51"/>
      <c r="B850" s="52" t="str">
        <f t="shared" si="72"/>
        <v/>
      </c>
      <c r="C850" t="str">
        <f t="shared" si="71"/>
        <v/>
      </c>
      <c r="D850" s="245" t="str">
        <f t="shared" si="73"/>
        <v/>
      </c>
      <c r="E850" s="534"/>
      <c r="F850" s="534"/>
    </row>
    <row r="851" spans="1:6" ht="15" customHeight="1">
      <c r="A851" s="51"/>
      <c r="B851" s="52" t="str">
        <f t="shared" si="72"/>
        <v/>
      </c>
      <c r="C851" t="str">
        <f t="shared" si="71"/>
        <v/>
      </c>
      <c r="D851" s="245" t="str">
        <f t="shared" si="73"/>
        <v/>
      </c>
      <c r="E851" s="534"/>
      <c r="F851" s="534"/>
    </row>
    <row r="852" spans="1:6" ht="15" customHeight="1">
      <c r="A852" s="51"/>
      <c r="B852" s="52" t="str">
        <f t="shared" si="72"/>
        <v/>
      </c>
      <c r="C852" t="str">
        <f t="shared" si="71"/>
        <v/>
      </c>
      <c r="D852" s="245" t="str">
        <f t="shared" si="73"/>
        <v/>
      </c>
      <c r="E852" s="534"/>
      <c r="F852" s="534"/>
    </row>
    <row r="853" spans="1:6" ht="15" customHeight="1">
      <c r="A853" s="51"/>
      <c r="B853" s="52" t="str">
        <f t="shared" si="72"/>
        <v/>
      </c>
      <c r="C853" t="str">
        <f t="shared" si="71"/>
        <v/>
      </c>
      <c r="D853" s="245" t="str">
        <f t="shared" si="73"/>
        <v/>
      </c>
      <c r="E853" s="534"/>
      <c r="F853" s="534"/>
    </row>
    <row r="854" spans="1:6" ht="15" customHeight="1">
      <c r="A854" s="51"/>
      <c r="B854" s="52" t="str">
        <f t="shared" si="72"/>
        <v/>
      </c>
      <c r="C854" t="str">
        <f t="shared" si="71"/>
        <v/>
      </c>
      <c r="D854" s="245" t="str">
        <f t="shared" si="73"/>
        <v/>
      </c>
      <c r="E854" s="534"/>
      <c r="F854" s="534"/>
    </row>
    <row r="855" spans="1:6" ht="15" customHeight="1">
      <c r="A855" s="51"/>
      <c r="B855" s="52" t="str">
        <f t="shared" si="72"/>
        <v/>
      </c>
      <c r="C855" t="str">
        <f t="shared" si="71"/>
        <v/>
      </c>
      <c r="D855" s="245" t="str">
        <f t="shared" si="73"/>
        <v/>
      </c>
      <c r="E855" s="534"/>
      <c r="F855" s="534"/>
    </row>
    <row r="856" spans="1:6" ht="15" customHeight="1">
      <c r="A856" s="51"/>
      <c r="B856" s="52" t="str">
        <f t="shared" si="72"/>
        <v/>
      </c>
      <c r="C856" t="str">
        <f t="shared" si="71"/>
        <v/>
      </c>
      <c r="D856" s="245" t="str">
        <f t="shared" si="73"/>
        <v/>
      </c>
      <c r="E856" s="534"/>
      <c r="F856" s="534"/>
    </row>
    <row r="857" spans="1:6" ht="15" customHeight="1">
      <c r="A857" s="51"/>
      <c r="B857" s="52" t="str">
        <f t="shared" si="72"/>
        <v/>
      </c>
      <c r="C857" t="str">
        <f t="shared" si="71"/>
        <v/>
      </c>
      <c r="D857" s="245" t="str">
        <f t="shared" si="73"/>
        <v/>
      </c>
      <c r="E857" s="534"/>
      <c r="F857" s="534"/>
    </row>
    <row r="858" spans="1:6" ht="15" customHeight="1">
      <c r="A858" s="51"/>
      <c r="B858" s="52" t="str">
        <f t="shared" si="72"/>
        <v/>
      </c>
      <c r="C858" t="str">
        <f t="shared" si="71"/>
        <v/>
      </c>
      <c r="D858" s="245" t="str">
        <f t="shared" si="73"/>
        <v/>
      </c>
      <c r="E858" s="534"/>
      <c r="F858" s="534"/>
    </row>
    <row r="859" spans="1:6" ht="15" customHeight="1">
      <c r="A859" s="51"/>
      <c r="B859" s="52" t="str">
        <f t="shared" si="72"/>
        <v/>
      </c>
      <c r="C859" t="str">
        <f t="shared" si="71"/>
        <v/>
      </c>
      <c r="D859" s="245" t="str">
        <f t="shared" si="73"/>
        <v/>
      </c>
      <c r="E859" s="534"/>
      <c r="F859" s="534"/>
    </row>
    <row r="860" spans="1:6" ht="15" customHeight="1">
      <c r="A860" s="51"/>
      <c r="B860" s="52" t="str">
        <f t="shared" si="72"/>
        <v/>
      </c>
      <c r="C860" t="str">
        <f t="shared" si="71"/>
        <v/>
      </c>
      <c r="D860" s="245" t="str">
        <f t="shared" si="73"/>
        <v/>
      </c>
      <c r="E860" s="534"/>
      <c r="F860" s="534"/>
    </row>
    <row r="861" spans="1:6" ht="15" customHeight="1">
      <c r="A861" s="51"/>
      <c r="B861" s="52" t="str">
        <f t="shared" si="72"/>
        <v/>
      </c>
      <c r="C861" t="str">
        <f t="shared" si="71"/>
        <v/>
      </c>
      <c r="D861" s="245" t="str">
        <f t="shared" si="73"/>
        <v/>
      </c>
      <c r="E861" s="534"/>
      <c r="F861" s="534"/>
    </row>
    <row r="862" spans="1:6" ht="15" customHeight="1">
      <c r="A862" s="51"/>
      <c r="B862" s="52" t="str">
        <f t="shared" si="72"/>
        <v/>
      </c>
      <c r="C862" t="str">
        <f t="shared" si="71"/>
        <v/>
      </c>
      <c r="D862" s="245" t="str">
        <f t="shared" si="73"/>
        <v/>
      </c>
      <c r="E862" s="534"/>
      <c r="F862" s="534"/>
    </row>
    <row r="863" spans="1:6" ht="15" customHeight="1">
      <c r="A863" s="51"/>
      <c r="B863" s="52" t="str">
        <f t="shared" si="72"/>
        <v/>
      </c>
      <c r="C863" t="str">
        <f t="shared" si="71"/>
        <v/>
      </c>
      <c r="D863" s="245" t="str">
        <f t="shared" si="73"/>
        <v/>
      </c>
      <c r="E863" s="534"/>
      <c r="F863" s="534"/>
    </row>
    <row r="864" spans="1:6" ht="15" customHeight="1">
      <c r="A864" s="51"/>
      <c r="B864" s="52" t="str">
        <f t="shared" si="72"/>
        <v/>
      </c>
      <c r="C864" t="str">
        <f t="shared" si="71"/>
        <v/>
      </c>
      <c r="D864" s="245" t="str">
        <f t="shared" si="73"/>
        <v/>
      </c>
      <c r="E864" s="534"/>
      <c r="F864" s="534"/>
    </row>
    <row r="865" spans="1:6" ht="15" customHeight="1">
      <c r="A865" s="51"/>
      <c r="B865" s="52" t="str">
        <f t="shared" si="72"/>
        <v/>
      </c>
      <c r="C865" t="str">
        <f t="shared" si="71"/>
        <v/>
      </c>
      <c r="D865" s="245" t="str">
        <f t="shared" si="73"/>
        <v/>
      </c>
      <c r="E865" s="534"/>
      <c r="F865" s="534"/>
    </row>
    <row r="866" spans="1:6" ht="15" customHeight="1">
      <c r="A866" s="51"/>
      <c r="B866" s="52" t="str">
        <f t="shared" si="72"/>
        <v/>
      </c>
      <c r="C866" t="str">
        <f t="shared" si="71"/>
        <v/>
      </c>
      <c r="D866" s="245" t="str">
        <f t="shared" si="73"/>
        <v/>
      </c>
      <c r="E866" s="534"/>
      <c r="F866" s="534"/>
    </row>
    <row r="867" spans="1:6" ht="15" customHeight="1">
      <c r="A867" s="51"/>
      <c r="B867" s="52" t="str">
        <f t="shared" si="72"/>
        <v/>
      </c>
      <c r="C867" t="str">
        <f t="shared" si="71"/>
        <v/>
      </c>
      <c r="D867" s="245" t="str">
        <f t="shared" si="73"/>
        <v/>
      </c>
      <c r="E867" s="534"/>
      <c r="F867" s="534"/>
    </row>
    <row r="868" spans="1:6" ht="15" customHeight="1">
      <c r="A868" s="51"/>
      <c r="B868" s="52" t="str">
        <f t="shared" si="72"/>
        <v/>
      </c>
      <c r="C868" t="str">
        <f t="shared" si="71"/>
        <v/>
      </c>
      <c r="D868" s="245" t="str">
        <f t="shared" si="73"/>
        <v/>
      </c>
      <c r="E868" s="534"/>
      <c r="F868" s="534"/>
    </row>
    <row r="869" spans="1:6" ht="15" customHeight="1">
      <c r="A869" s="51"/>
      <c r="B869" s="52" t="str">
        <f t="shared" si="72"/>
        <v/>
      </c>
      <c r="C869" t="str">
        <f t="shared" si="71"/>
        <v/>
      </c>
      <c r="D869" s="245" t="str">
        <f t="shared" si="73"/>
        <v/>
      </c>
      <c r="E869" s="534"/>
      <c r="F869" s="534"/>
    </row>
    <row r="870" spans="1:6" ht="15" customHeight="1">
      <c r="A870" s="51"/>
      <c r="B870" s="52" t="str">
        <f t="shared" si="72"/>
        <v/>
      </c>
      <c r="C870" t="str">
        <f t="shared" si="71"/>
        <v/>
      </c>
      <c r="D870" s="245" t="str">
        <f t="shared" si="73"/>
        <v/>
      </c>
      <c r="E870" s="534"/>
      <c r="F870" s="534"/>
    </row>
    <row r="871" spans="1:6" ht="15" customHeight="1">
      <c r="A871" s="51"/>
      <c r="B871" s="52" t="str">
        <f t="shared" si="72"/>
        <v/>
      </c>
      <c r="C871" t="str">
        <f t="shared" si="71"/>
        <v/>
      </c>
      <c r="D871" s="245" t="str">
        <f t="shared" si="73"/>
        <v/>
      </c>
      <c r="E871" s="534"/>
      <c r="F871" s="534"/>
    </row>
    <row r="872" spans="1:6" ht="15" customHeight="1">
      <c r="A872" s="51"/>
      <c r="B872" s="52" t="str">
        <f t="shared" si="72"/>
        <v/>
      </c>
      <c r="C872" t="str">
        <f t="shared" si="71"/>
        <v/>
      </c>
      <c r="D872" s="245" t="str">
        <f t="shared" si="73"/>
        <v/>
      </c>
      <c r="E872" s="534"/>
      <c r="F872" s="534"/>
    </row>
    <row r="873" spans="1:6" ht="15" customHeight="1">
      <c r="A873" s="51"/>
      <c r="B873" s="52" t="str">
        <f t="shared" si="72"/>
        <v/>
      </c>
      <c r="C873" t="str">
        <f t="shared" si="71"/>
        <v/>
      </c>
      <c r="D873" s="245" t="str">
        <f t="shared" si="73"/>
        <v/>
      </c>
      <c r="E873" s="534"/>
      <c r="F873" s="534"/>
    </row>
    <row r="874" spans="1:6" ht="15" customHeight="1">
      <c r="A874" s="51"/>
      <c r="B874" s="52" t="str">
        <f t="shared" si="72"/>
        <v/>
      </c>
      <c r="C874" t="str">
        <f t="shared" si="71"/>
        <v/>
      </c>
      <c r="D874" s="245" t="str">
        <f t="shared" si="73"/>
        <v/>
      </c>
      <c r="E874" s="534"/>
      <c r="F874" s="534"/>
    </row>
    <row r="875" spans="1:6" ht="15" customHeight="1">
      <c r="A875" s="51"/>
      <c r="B875" s="52" t="str">
        <f t="shared" si="72"/>
        <v/>
      </c>
      <c r="C875" t="str">
        <f t="shared" si="71"/>
        <v/>
      </c>
      <c r="D875" s="245" t="str">
        <f t="shared" si="73"/>
        <v/>
      </c>
      <c r="E875" s="534"/>
      <c r="F875" s="534"/>
    </row>
    <row r="876" spans="1:6" ht="15" customHeight="1">
      <c r="A876" s="51"/>
      <c r="B876" s="52" t="str">
        <f t="shared" si="72"/>
        <v/>
      </c>
      <c r="C876" t="str">
        <f t="shared" si="71"/>
        <v/>
      </c>
      <c r="D876" s="245" t="str">
        <f t="shared" si="73"/>
        <v/>
      </c>
      <c r="E876" s="534"/>
      <c r="F876" s="534"/>
    </row>
    <row r="877" spans="1:6" ht="15" customHeight="1">
      <c r="A877" s="51"/>
      <c r="B877" s="52" t="str">
        <f t="shared" si="72"/>
        <v/>
      </c>
      <c r="C877" t="str">
        <f t="shared" si="71"/>
        <v/>
      </c>
      <c r="D877" s="245" t="str">
        <f t="shared" si="73"/>
        <v/>
      </c>
      <c r="E877" s="534"/>
      <c r="F877" s="534"/>
    </row>
    <row r="878" spans="1:6" ht="15" customHeight="1">
      <c r="A878" s="51"/>
      <c r="B878" s="52" t="str">
        <f t="shared" si="72"/>
        <v/>
      </c>
      <c r="C878" t="str">
        <f t="shared" si="71"/>
        <v/>
      </c>
      <c r="D878" s="245" t="str">
        <f t="shared" si="73"/>
        <v/>
      </c>
      <c r="E878" s="534"/>
      <c r="F878" s="534"/>
    </row>
    <row r="879" spans="1:6" ht="15" customHeight="1">
      <c r="A879" s="51"/>
      <c r="B879" s="52" t="str">
        <f t="shared" si="72"/>
        <v/>
      </c>
      <c r="C879" t="str">
        <f t="shared" si="71"/>
        <v/>
      </c>
      <c r="D879" s="245" t="str">
        <f t="shared" si="73"/>
        <v/>
      </c>
      <c r="E879" s="534"/>
      <c r="F879" s="534"/>
    </row>
    <row r="880" spans="1:6" ht="15" customHeight="1">
      <c r="A880" s="51"/>
      <c r="B880" s="52" t="str">
        <f t="shared" si="72"/>
        <v/>
      </c>
      <c r="C880" t="str">
        <f t="shared" si="71"/>
        <v/>
      </c>
      <c r="D880" s="245" t="str">
        <f t="shared" si="73"/>
        <v/>
      </c>
      <c r="E880" s="534"/>
      <c r="F880" s="534"/>
    </row>
    <row r="881" spans="1:6" ht="15" customHeight="1">
      <c r="A881" s="51"/>
      <c r="B881" s="52" t="str">
        <f t="shared" si="72"/>
        <v/>
      </c>
      <c r="C881" t="str">
        <f t="shared" si="71"/>
        <v/>
      </c>
      <c r="D881" s="245" t="str">
        <f t="shared" si="73"/>
        <v/>
      </c>
      <c r="E881" s="534"/>
      <c r="F881" s="534"/>
    </row>
    <row r="882" spans="1:6" ht="15" customHeight="1">
      <c r="A882" s="51"/>
      <c r="B882" s="52" t="str">
        <f t="shared" si="72"/>
        <v/>
      </c>
      <c r="C882" t="str">
        <f t="shared" si="71"/>
        <v/>
      </c>
      <c r="D882" s="245" t="str">
        <f t="shared" si="73"/>
        <v/>
      </c>
      <c r="E882" s="534"/>
      <c r="F882" s="534"/>
    </row>
    <row r="883" spans="1:6" ht="15" customHeight="1">
      <c r="A883" s="51"/>
      <c r="B883" s="52" t="str">
        <f t="shared" si="72"/>
        <v/>
      </c>
      <c r="C883" t="str">
        <f t="shared" si="71"/>
        <v/>
      </c>
      <c r="D883" s="245" t="str">
        <f t="shared" si="73"/>
        <v/>
      </c>
      <c r="E883" s="534"/>
      <c r="F883" s="534"/>
    </row>
    <row r="884" spans="1:6" ht="15" customHeight="1">
      <c r="A884" s="51"/>
      <c r="B884" s="52" t="str">
        <f t="shared" si="72"/>
        <v/>
      </c>
      <c r="C884" t="str">
        <f t="shared" si="71"/>
        <v/>
      </c>
      <c r="D884" s="245" t="str">
        <f t="shared" si="73"/>
        <v/>
      </c>
      <c r="E884" s="534"/>
      <c r="F884" s="534"/>
    </row>
    <row r="885" spans="1:6" ht="15" customHeight="1">
      <c r="A885" s="51"/>
      <c r="B885" s="52" t="str">
        <f t="shared" si="72"/>
        <v/>
      </c>
      <c r="C885" t="str">
        <f t="shared" si="71"/>
        <v/>
      </c>
      <c r="D885" s="245" t="str">
        <f t="shared" si="73"/>
        <v/>
      </c>
      <c r="E885" s="534"/>
      <c r="F885" s="534"/>
    </row>
    <row r="886" spans="1:6" ht="15" customHeight="1">
      <c r="A886" s="51"/>
      <c r="B886" s="52" t="str">
        <f t="shared" si="72"/>
        <v/>
      </c>
      <c r="C886" t="str">
        <f t="shared" si="71"/>
        <v/>
      </c>
      <c r="D886" s="245" t="str">
        <f t="shared" si="73"/>
        <v/>
      </c>
      <c r="E886" s="534"/>
      <c r="F886" s="534"/>
    </row>
    <row r="887" spans="1:6" ht="15" customHeight="1">
      <c r="A887" s="51"/>
      <c r="B887" s="52" t="str">
        <f t="shared" si="72"/>
        <v/>
      </c>
      <c r="C887" t="str">
        <f t="shared" si="71"/>
        <v/>
      </c>
      <c r="D887" s="245" t="str">
        <f t="shared" si="73"/>
        <v/>
      </c>
      <c r="E887" s="534"/>
      <c r="F887" s="534"/>
    </row>
    <row r="888" spans="1:6" ht="15" customHeight="1">
      <c r="A888" s="51"/>
      <c r="B888" s="52" t="str">
        <f t="shared" si="72"/>
        <v/>
      </c>
      <c r="C888" t="str">
        <f t="shared" si="71"/>
        <v/>
      </c>
      <c r="D888" s="245" t="str">
        <f t="shared" si="73"/>
        <v/>
      </c>
      <c r="E888" s="534"/>
      <c r="F888" s="534"/>
    </row>
    <row r="889" spans="1:6" ht="15" customHeight="1">
      <c r="A889" s="51"/>
      <c r="B889" s="52" t="str">
        <f t="shared" si="72"/>
        <v/>
      </c>
      <c r="C889" t="str">
        <f t="shared" si="71"/>
        <v/>
      </c>
      <c r="D889" s="245" t="str">
        <f t="shared" si="73"/>
        <v/>
      </c>
      <c r="E889" s="534"/>
      <c r="F889" s="534"/>
    </row>
    <row r="890" spans="1:6" ht="15" customHeight="1">
      <c r="A890" s="51"/>
      <c r="B890" s="52" t="str">
        <f t="shared" si="72"/>
        <v/>
      </c>
      <c r="C890" t="str">
        <f t="shared" si="71"/>
        <v/>
      </c>
      <c r="D890" s="245" t="str">
        <f t="shared" si="73"/>
        <v/>
      </c>
      <c r="E890" s="534"/>
      <c r="F890" s="534"/>
    </row>
    <row r="891" spans="1:6" ht="15" customHeight="1">
      <c r="A891" s="51"/>
      <c r="B891" s="52" t="str">
        <f t="shared" si="72"/>
        <v/>
      </c>
      <c r="C891" t="str">
        <f t="shared" si="71"/>
        <v/>
      </c>
      <c r="D891" s="245" t="str">
        <f t="shared" si="73"/>
        <v/>
      </c>
      <c r="E891" s="534"/>
      <c r="F891" s="534"/>
    </row>
    <row r="892" spans="1:6" ht="15" customHeight="1">
      <c r="A892" s="51"/>
      <c r="B892" s="52" t="str">
        <f t="shared" si="72"/>
        <v/>
      </c>
      <c r="C892" t="str">
        <f t="shared" si="71"/>
        <v/>
      </c>
      <c r="D892" s="245" t="str">
        <f t="shared" si="73"/>
        <v/>
      </c>
      <c r="E892" s="534"/>
      <c r="F892" s="534"/>
    </row>
    <row r="893" spans="1:6" ht="15" customHeight="1">
      <c r="A893" s="51"/>
      <c r="B893" s="52" t="str">
        <f t="shared" si="72"/>
        <v/>
      </c>
      <c r="C893" t="str">
        <f t="shared" si="71"/>
        <v/>
      </c>
      <c r="D893" s="245" t="str">
        <f t="shared" si="73"/>
        <v/>
      </c>
      <c r="E893" s="534"/>
      <c r="F893" s="534"/>
    </row>
    <row r="894" spans="1:6" ht="15" customHeight="1">
      <c r="A894" s="51"/>
      <c r="B894" s="52" t="str">
        <f t="shared" si="72"/>
        <v/>
      </c>
      <c r="C894" t="str">
        <f t="shared" si="71"/>
        <v/>
      </c>
      <c r="D894" s="245" t="str">
        <f t="shared" si="73"/>
        <v/>
      </c>
      <c r="E894" s="534"/>
      <c r="F894" s="534"/>
    </row>
    <row r="895" spans="1:6" ht="15" customHeight="1">
      <c r="A895" s="51"/>
      <c r="B895" s="52" t="str">
        <f t="shared" si="72"/>
        <v/>
      </c>
      <c r="C895" t="str">
        <f t="shared" si="71"/>
        <v/>
      </c>
      <c r="D895" s="245" t="str">
        <f t="shared" si="73"/>
        <v/>
      </c>
      <c r="E895" s="534"/>
      <c r="F895" s="534"/>
    </row>
    <row r="896" spans="1:6" ht="15" customHeight="1">
      <c r="A896" s="51"/>
      <c r="B896" s="52" t="str">
        <f t="shared" si="72"/>
        <v/>
      </c>
      <c r="C896" t="str">
        <f t="shared" si="71"/>
        <v/>
      </c>
      <c r="D896" s="245" t="str">
        <f t="shared" si="73"/>
        <v/>
      </c>
      <c r="E896" s="534"/>
      <c r="F896" s="534"/>
    </row>
    <row r="897" spans="1:6" ht="15" customHeight="1">
      <c r="A897" s="51"/>
      <c r="B897" s="52" t="str">
        <f t="shared" si="72"/>
        <v/>
      </c>
      <c r="C897" t="str">
        <f t="shared" si="71"/>
        <v/>
      </c>
      <c r="D897" s="245" t="str">
        <f t="shared" si="73"/>
        <v/>
      </c>
      <c r="E897" s="534"/>
      <c r="F897" s="534"/>
    </row>
    <row r="898" spans="1:6" ht="15" customHeight="1">
      <c r="A898" s="51"/>
      <c r="B898" s="52" t="str">
        <f t="shared" si="72"/>
        <v/>
      </c>
      <c r="C898" t="str">
        <f t="shared" ref="C898:C961" si="74">IF(A898&lt;&gt;"",TEXT(A898,"aaaa"),"")</f>
        <v/>
      </c>
      <c r="D898" s="245" t="str">
        <f t="shared" si="73"/>
        <v/>
      </c>
      <c r="E898" s="534"/>
      <c r="F898" s="534"/>
    </row>
    <row r="899" spans="1:6" ht="15" customHeight="1">
      <c r="A899" s="51"/>
      <c r="B899" s="52" t="str">
        <f t="shared" si="72"/>
        <v/>
      </c>
      <c r="C899" t="str">
        <f t="shared" si="74"/>
        <v/>
      </c>
      <c r="D899" s="245" t="str">
        <f t="shared" si="73"/>
        <v/>
      </c>
      <c r="E899" s="534"/>
      <c r="F899" s="534"/>
    </row>
    <row r="900" spans="1:6" ht="15" customHeight="1">
      <c r="A900" s="51"/>
      <c r="B900" s="52" t="str">
        <f t="shared" si="72"/>
        <v/>
      </c>
      <c r="C900" t="str">
        <f t="shared" si="74"/>
        <v/>
      </c>
      <c r="D900" s="245" t="str">
        <f t="shared" si="73"/>
        <v/>
      </c>
      <c r="E900" s="534"/>
      <c r="F900" s="534"/>
    </row>
    <row r="901" spans="1:6" ht="15" customHeight="1">
      <c r="A901" s="51"/>
      <c r="B901" s="52" t="str">
        <f t="shared" si="72"/>
        <v/>
      </c>
      <c r="C901" t="str">
        <f t="shared" si="74"/>
        <v/>
      </c>
      <c r="D901" s="245" t="str">
        <f t="shared" si="73"/>
        <v/>
      </c>
      <c r="E901" s="534"/>
      <c r="F901" s="534"/>
    </row>
    <row r="902" spans="1:6" ht="15" customHeight="1">
      <c r="A902" s="51"/>
      <c r="B902" s="52" t="str">
        <f t="shared" si="72"/>
        <v/>
      </c>
      <c r="C902" t="str">
        <f t="shared" si="74"/>
        <v/>
      </c>
      <c r="D902" s="245" t="str">
        <f t="shared" si="73"/>
        <v/>
      </c>
      <c r="E902" s="534"/>
      <c r="F902" s="534"/>
    </row>
    <row r="903" spans="1:6" ht="15" customHeight="1">
      <c r="A903" s="51"/>
      <c r="B903" s="52" t="str">
        <f t="shared" si="72"/>
        <v/>
      </c>
      <c r="C903" t="str">
        <f t="shared" si="74"/>
        <v/>
      </c>
      <c r="D903" s="245" t="str">
        <f t="shared" si="73"/>
        <v/>
      </c>
      <c r="E903" s="534"/>
      <c r="F903" s="534"/>
    </row>
    <row r="904" spans="1:6" ht="15" customHeight="1">
      <c r="A904" s="51"/>
      <c r="B904" s="52" t="str">
        <f t="shared" ref="B904:B967" si="75">IF(A904="","",TEXT(A904,"DDDD"))</f>
        <v/>
      </c>
      <c r="C904" t="str">
        <f t="shared" si="74"/>
        <v/>
      </c>
      <c r="D904" s="245" t="str">
        <f t="shared" si="73"/>
        <v/>
      </c>
      <c r="E904" s="534"/>
      <c r="F904" s="534"/>
    </row>
    <row r="905" spans="1:6" ht="15" customHeight="1">
      <c r="A905" s="51"/>
      <c r="B905" s="52" t="str">
        <f t="shared" si="75"/>
        <v/>
      </c>
      <c r="C905" t="str">
        <f t="shared" si="74"/>
        <v/>
      </c>
      <c r="D905" s="245" t="str">
        <f t="shared" ref="D905:D968" si="76">IF(A905&lt;&gt;"",PROPER(TEXT(A905,"Mmmm")),"")</f>
        <v/>
      </c>
      <c r="E905" s="534"/>
      <c r="F905" s="534"/>
    </row>
    <row r="906" spans="1:6" ht="15" customHeight="1">
      <c r="A906" s="51"/>
      <c r="B906" s="52" t="str">
        <f t="shared" si="75"/>
        <v/>
      </c>
      <c r="C906" t="str">
        <f t="shared" si="74"/>
        <v/>
      </c>
      <c r="D906" s="245" t="str">
        <f t="shared" si="76"/>
        <v/>
      </c>
      <c r="E906" s="534"/>
      <c r="F906" s="534"/>
    </row>
    <row r="907" spans="1:6" ht="15" customHeight="1">
      <c r="A907" s="51"/>
      <c r="B907" s="52" t="str">
        <f t="shared" si="75"/>
        <v/>
      </c>
      <c r="C907" t="str">
        <f t="shared" si="74"/>
        <v/>
      </c>
      <c r="D907" s="245" t="str">
        <f t="shared" si="76"/>
        <v/>
      </c>
      <c r="E907" s="534"/>
      <c r="F907" s="534"/>
    </row>
    <row r="908" spans="1:6" ht="15" customHeight="1">
      <c r="A908" s="51"/>
      <c r="B908" s="52" t="str">
        <f t="shared" si="75"/>
        <v/>
      </c>
      <c r="C908" t="str">
        <f t="shared" si="74"/>
        <v/>
      </c>
      <c r="D908" s="245" t="str">
        <f t="shared" si="76"/>
        <v/>
      </c>
      <c r="E908" s="534"/>
      <c r="F908" s="534"/>
    </row>
    <row r="909" spans="1:6" ht="15" customHeight="1">
      <c r="A909" s="51"/>
      <c r="B909" s="52" t="str">
        <f t="shared" si="75"/>
        <v/>
      </c>
      <c r="C909" t="str">
        <f t="shared" si="74"/>
        <v/>
      </c>
      <c r="D909" s="245" t="str">
        <f t="shared" si="76"/>
        <v/>
      </c>
      <c r="E909" s="534"/>
      <c r="F909" s="534"/>
    </row>
    <row r="910" spans="1:6" ht="15" customHeight="1">
      <c r="A910" s="51"/>
      <c r="B910" s="52" t="str">
        <f t="shared" si="75"/>
        <v/>
      </c>
      <c r="C910" t="str">
        <f t="shared" si="74"/>
        <v/>
      </c>
      <c r="D910" s="245" t="str">
        <f t="shared" si="76"/>
        <v/>
      </c>
      <c r="E910" s="534"/>
      <c r="F910" s="534"/>
    </row>
    <row r="911" spans="1:6" ht="15" customHeight="1">
      <c r="A911" s="51"/>
      <c r="B911" s="52" t="str">
        <f t="shared" si="75"/>
        <v/>
      </c>
      <c r="C911" t="str">
        <f t="shared" si="74"/>
        <v/>
      </c>
      <c r="D911" s="245" t="str">
        <f t="shared" si="76"/>
        <v/>
      </c>
      <c r="E911" s="534"/>
      <c r="F911" s="534"/>
    </row>
    <row r="912" spans="1:6" ht="15" customHeight="1">
      <c r="A912" s="51"/>
      <c r="B912" s="52" t="str">
        <f t="shared" si="75"/>
        <v/>
      </c>
      <c r="C912" t="str">
        <f t="shared" si="74"/>
        <v/>
      </c>
      <c r="D912" s="245" t="str">
        <f t="shared" si="76"/>
        <v/>
      </c>
      <c r="E912" s="534"/>
      <c r="F912" s="534"/>
    </row>
    <row r="913" spans="1:6" ht="15" customHeight="1">
      <c r="A913" s="51"/>
      <c r="B913" s="52" t="str">
        <f t="shared" si="75"/>
        <v/>
      </c>
      <c r="C913" t="str">
        <f t="shared" si="74"/>
        <v/>
      </c>
      <c r="D913" s="245" t="str">
        <f t="shared" si="76"/>
        <v/>
      </c>
      <c r="E913" s="534"/>
      <c r="F913" s="534"/>
    </row>
    <row r="914" spans="1:6" ht="15" customHeight="1">
      <c r="A914" s="51"/>
      <c r="B914" s="52" t="str">
        <f t="shared" si="75"/>
        <v/>
      </c>
      <c r="C914" t="str">
        <f t="shared" si="74"/>
        <v/>
      </c>
      <c r="D914" s="245" t="str">
        <f t="shared" si="76"/>
        <v/>
      </c>
      <c r="E914" s="534"/>
      <c r="F914" s="534"/>
    </row>
    <row r="915" spans="1:6" ht="15" customHeight="1">
      <c r="A915" s="51"/>
      <c r="B915" s="52" t="str">
        <f t="shared" si="75"/>
        <v/>
      </c>
      <c r="C915" t="str">
        <f t="shared" si="74"/>
        <v/>
      </c>
      <c r="D915" s="245" t="str">
        <f t="shared" si="76"/>
        <v/>
      </c>
      <c r="E915" s="534"/>
      <c r="F915" s="534"/>
    </row>
    <row r="916" spans="1:6" ht="15" customHeight="1">
      <c r="A916" s="51"/>
      <c r="B916" s="52" t="str">
        <f t="shared" si="75"/>
        <v/>
      </c>
      <c r="C916" t="str">
        <f t="shared" si="74"/>
        <v/>
      </c>
      <c r="D916" s="245" t="str">
        <f t="shared" si="76"/>
        <v/>
      </c>
      <c r="E916" s="534"/>
      <c r="F916" s="534"/>
    </row>
    <row r="917" spans="1:6" ht="15" customHeight="1">
      <c r="A917" s="51"/>
      <c r="B917" s="52" t="str">
        <f t="shared" si="75"/>
        <v/>
      </c>
      <c r="C917" t="str">
        <f t="shared" si="74"/>
        <v/>
      </c>
      <c r="D917" s="245" t="str">
        <f t="shared" si="76"/>
        <v/>
      </c>
      <c r="E917" s="534"/>
      <c r="F917" s="534"/>
    </row>
    <row r="918" spans="1:6" ht="15" customHeight="1">
      <c r="A918" s="51"/>
      <c r="B918" s="52" t="str">
        <f t="shared" si="75"/>
        <v/>
      </c>
      <c r="C918" t="str">
        <f t="shared" si="74"/>
        <v/>
      </c>
      <c r="D918" s="245" t="str">
        <f t="shared" si="76"/>
        <v/>
      </c>
      <c r="E918" s="534"/>
      <c r="F918" s="534"/>
    </row>
    <row r="919" spans="1:6" ht="15" customHeight="1">
      <c r="A919" s="51"/>
      <c r="B919" s="52" t="str">
        <f t="shared" si="75"/>
        <v/>
      </c>
      <c r="C919" t="str">
        <f t="shared" si="74"/>
        <v/>
      </c>
      <c r="D919" s="245" t="str">
        <f t="shared" si="76"/>
        <v/>
      </c>
      <c r="E919" s="534"/>
      <c r="F919" s="534"/>
    </row>
    <row r="920" spans="1:6" ht="15" customHeight="1">
      <c r="A920" s="51"/>
      <c r="B920" s="52" t="str">
        <f t="shared" si="75"/>
        <v/>
      </c>
      <c r="C920" t="str">
        <f t="shared" si="74"/>
        <v/>
      </c>
      <c r="D920" s="245" t="str">
        <f t="shared" si="76"/>
        <v/>
      </c>
      <c r="E920" s="534"/>
      <c r="F920" s="534"/>
    </row>
    <row r="921" spans="1:6" ht="15" customHeight="1">
      <c r="A921" s="51"/>
      <c r="B921" s="52" t="str">
        <f t="shared" si="75"/>
        <v/>
      </c>
      <c r="C921" t="str">
        <f t="shared" si="74"/>
        <v/>
      </c>
      <c r="D921" s="245" t="str">
        <f t="shared" si="76"/>
        <v/>
      </c>
      <c r="E921" s="534"/>
      <c r="F921" s="534"/>
    </row>
    <row r="922" spans="1:6" ht="15" customHeight="1">
      <c r="A922" s="51"/>
      <c r="B922" s="52" t="str">
        <f t="shared" si="75"/>
        <v/>
      </c>
      <c r="C922" t="str">
        <f t="shared" si="74"/>
        <v/>
      </c>
      <c r="D922" s="245" t="str">
        <f t="shared" si="76"/>
        <v/>
      </c>
      <c r="E922" s="534"/>
      <c r="F922" s="534"/>
    </row>
    <row r="923" spans="1:6" ht="15" customHeight="1">
      <c r="A923" s="51"/>
      <c r="B923" s="52" t="str">
        <f t="shared" si="75"/>
        <v/>
      </c>
      <c r="C923" t="str">
        <f t="shared" si="74"/>
        <v/>
      </c>
      <c r="D923" s="245" t="str">
        <f t="shared" si="76"/>
        <v/>
      </c>
      <c r="E923" s="534"/>
      <c r="F923" s="534"/>
    </row>
    <row r="924" spans="1:6" ht="15" customHeight="1">
      <c r="A924" s="51"/>
      <c r="B924" s="52" t="str">
        <f t="shared" si="75"/>
        <v/>
      </c>
      <c r="C924" t="str">
        <f t="shared" si="74"/>
        <v/>
      </c>
      <c r="D924" s="245" t="str">
        <f t="shared" si="76"/>
        <v/>
      </c>
      <c r="E924" s="534"/>
      <c r="F924" s="534"/>
    </row>
    <row r="925" spans="1:6" ht="15" customHeight="1">
      <c r="A925" s="51"/>
      <c r="B925" s="52" t="str">
        <f t="shared" si="75"/>
        <v/>
      </c>
      <c r="C925" t="str">
        <f t="shared" si="74"/>
        <v/>
      </c>
      <c r="D925" s="245" t="str">
        <f t="shared" si="76"/>
        <v/>
      </c>
      <c r="E925" s="534"/>
      <c r="F925" s="534"/>
    </row>
    <row r="926" spans="1:6" ht="15" customHeight="1">
      <c r="A926" s="51"/>
      <c r="B926" s="52" t="str">
        <f t="shared" si="75"/>
        <v/>
      </c>
      <c r="C926" t="str">
        <f t="shared" si="74"/>
        <v/>
      </c>
      <c r="D926" s="245" t="str">
        <f t="shared" si="76"/>
        <v/>
      </c>
      <c r="E926" s="534"/>
      <c r="F926" s="534"/>
    </row>
    <row r="927" spans="1:6" ht="15" customHeight="1">
      <c r="A927" s="51"/>
      <c r="B927" s="52" t="str">
        <f t="shared" si="75"/>
        <v/>
      </c>
      <c r="C927" t="str">
        <f t="shared" si="74"/>
        <v/>
      </c>
      <c r="D927" s="245" t="str">
        <f t="shared" si="76"/>
        <v/>
      </c>
      <c r="E927" s="534"/>
      <c r="F927" s="534"/>
    </row>
    <row r="928" spans="1:6" ht="15" customHeight="1">
      <c r="A928" s="51"/>
      <c r="B928" s="52" t="str">
        <f t="shared" si="75"/>
        <v/>
      </c>
      <c r="C928" t="str">
        <f t="shared" si="74"/>
        <v/>
      </c>
      <c r="D928" s="245" t="str">
        <f t="shared" si="76"/>
        <v/>
      </c>
      <c r="E928" s="534"/>
      <c r="F928" s="534"/>
    </row>
    <row r="929" spans="1:6" ht="15" customHeight="1">
      <c r="A929" s="51"/>
      <c r="B929" s="52" t="str">
        <f t="shared" si="75"/>
        <v/>
      </c>
      <c r="C929" t="str">
        <f t="shared" si="74"/>
        <v/>
      </c>
      <c r="D929" s="245" t="str">
        <f t="shared" si="76"/>
        <v/>
      </c>
      <c r="E929" s="534"/>
      <c r="F929" s="534"/>
    </row>
    <row r="930" spans="1:6" ht="15" customHeight="1">
      <c r="A930" s="51"/>
      <c r="B930" s="52" t="str">
        <f t="shared" si="75"/>
        <v/>
      </c>
      <c r="C930" t="str">
        <f t="shared" si="74"/>
        <v/>
      </c>
      <c r="D930" s="245" t="str">
        <f t="shared" si="76"/>
        <v/>
      </c>
      <c r="E930" s="534"/>
      <c r="F930" s="534"/>
    </row>
    <row r="931" spans="1:6" ht="15" customHeight="1">
      <c r="A931" s="51"/>
      <c r="B931" s="52" t="str">
        <f t="shared" si="75"/>
        <v/>
      </c>
      <c r="C931" t="str">
        <f t="shared" si="74"/>
        <v/>
      </c>
      <c r="D931" s="245" t="str">
        <f t="shared" si="76"/>
        <v/>
      </c>
      <c r="E931" s="534"/>
      <c r="F931" s="534"/>
    </row>
    <row r="932" spans="1:6" ht="15" customHeight="1">
      <c r="A932" s="51"/>
      <c r="B932" s="52" t="str">
        <f t="shared" si="75"/>
        <v/>
      </c>
      <c r="C932" t="str">
        <f t="shared" si="74"/>
        <v/>
      </c>
      <c r="D932" s="245" t="str">
        <f t="shared" si="76"/>
        <v/>
      </c>
      <c r="E932" s="534"/>
      <c r="F932" s="534"/>
    </row>
    <row r="933" spans="1:6" ht="15" customHeight="1">
      <c r="A933" s="51"/>
      <c r="B933" s="52" t="str">
        <f t="shared" si="75"/>
        <v/>
      </c>
      <c r="C933" t="str">
        <f t="shared" si="74"/>
        <v/>
      </c>
      <c r="D933" s="245" t="str">
        <f t="shared" si="76"/>
        <v/>
      </c>
      <c r="E933" s="534"/>
      <c r="F933" s="534"/>
    </row>
    <row r="934" spans="1:6" ht="15" customHeight="1">
      <c r="A934" s="51"/>
      <c r="B934" s="52" t="str">
        <f t="shared" si="75"/>
        <v/>
      </c>
      <c r="C934" t="str">
        <f t="shared" si="74"/>
        <v/>
      </c>
      <c r="D934" s="245" t="str">
        <f t="shared" si="76"/>
        <v/>
      </c>
      <c r="E934" s="534"/>
      <c r="F934" s="534"/>
    </row>
    <row r="935" spans="1:6" ht="15" customHeight="1">
      <c r="A935" s="51"/>
      <c r="B935" s="52" t="str">
        <f t="shared" si="75"/>
        <v/>
      </c>
      <c r="C935" t="str">
        <f t="shared" si="74"/>
        <v/>
      </c>
      <c r="D935" s="245" t="str">
        <f t="shared" si="76"/>
        <v/>
      </c>
      <c r="E935" s="534"/>
      <c r="F935" s="534"/>
    </row>
    <row r="936" spans="1:6" ht="15" customHeight="1">
      <c r="A936" s="51"/>
      <c r="B936" s="52" t="str">
        <f t="shared" si="75"/>
        <v/>
      </c>
      <c r="C936" t="str">
        <f t="shared" si="74"/>
        <v/>
      </c>
      <c r="D936" s="245" t="str">
        <f t="shared" si="76"/>
        <v/>
      </c>
      <c r="E936" s="534"/>
      <c r="F936" s="534"/>
    </row>
    <row r="937" spans="1:6" ht="15" customHeight="1">
      <c r="A937" s="51"/>
      <c r="B937" s="52" t="str">
        <f t="shared" si="75"/>
        <v/>
      </c>
      <c r="C937" t="str">
        <f t="shared" si="74"/>
        <v/>
      </c>
      <c r="D937" s="245" t="str">
        <f t="shared" si="76"/>
        <v/>
      </c>
      <c r="E937" s="534"/>
      <c r="F937" s="534"/>
    </row>
    <row r="938" spans="1:6" ht="15" customHeight="1">
      <c r="A938" s="51"/>
      <c r="B938" s="52" t="str">
        <f t="shared" si="75"/>
        <v/>
      </c>
      <c r="C938" t="str">
        <f t="shared" si="74"/>
        <v/>
      </c>
      <c r="D938" s="245" t="str">
        <f t="shared" si="76"/>
        <v/>
      </c>
      <c r="E938" s="534"/>
      <c r="F938" s="534"/>
    </row>
    <row r="939" spans="1:6" ht="15" customHeight="1">
      <c r="A939" s="51"/>
      <c r="B939" s="52" t="str">
        <f t="shared" si="75"/>
        <v/>
      </c>
      <c r="C939" t="str">
        <f t="shared" si="74"/>
        <v/>
      </c>
      <c r="D939" s="245" t="str">
        <f t="shared" si="76"/>
        <v/>
      </c>
      <c r="E939" s="534"/>
      <c r="F939" s="534"/>
    </row>
    <row r="940" spans="1:6" ht="15" customHeight="1">
      <c r="A940" s="51"/>
      <c r="B940" s="52" t="str">
        <f t="shared" si="75"/>
        <v/>
      </c>
      <c r="C940" t="str">
        <f t="shared" si="74"/>
        <v/>
      </c>
      <c r="D940" s="245" t="str">
        <f t="shared" si="76"/>
        <v/>
      </c>
      <c r="E940" s="534"/>
      <c r="F940" s="534"/>
    </row>
    <row r="941" spans="1:6" ht="15" customHeight="1">
      <c r="A941" s="51"/>
      <c r="B941" s="52" t="str">
        <f t="shared" si="75"/>
        <v/>
      </c>
      <c r="C941" t="str">
        <f t="shared" si="74"/>
        <v/>
      </c>
      <c r="D941" s="245" t="str">
        <f t="shared" si="76"/>
        <v/>
      </c>
      <c r="E941" s="534"/>
      <c r="F941" s="534"/>
    </row>
    <row r="942" spans="1:6" ht="15" customHeight="1">
      <c r="A942" s="51"/>
      <c r="B942" s="52" t="str">
        <f t="shared" si="75"/>
        <v/>
      </c>
      <c r="C942" t="str">
        <f t="shared" si="74"/>
        <v/>
      </c>
      <c r="D942" s="245" t="str">
        <f t="shared" si="76"/>
        <v/>
      </c>
      <c r="E942" s="534"/>
      <c r="F942" s="534"/>
    </row>
    <row r="943" spans="1:6" ht="15" customHeight="1">
      <c r="A943" s="51"/>
      <c r="B943" s="52" t="str">
        <f t="shared" si="75"/>
        <v/>
      </c>
      <c r="C943" t="str">
        <f t="shared" si="74"/>
        <v/>
      </c>
      <c r="D943" s="245" t="str">
        <f t="shared" si="76"/>
        <v/>
      </c>
      <c r="E943" s="534"/>
      <c r="F943" s="534"/>
    </row>
    <row r="944" spans="1:6" ht="15" customHeight="1">
      <c r="A944" s="51"/>
      <c r="B944" s="52" t="str">
        <f t="shared" si="75"/>
        <v/>
      </c>
      <c r="C944" t="str">
        <f t="shared" si="74"/>
        <v/>
      </c>
      <c r="D944" s="245" t="str">
        <f t="shared" si="76"/>
        <v/>
      </c>
      <c r="E944" s="534"/>
      <c r="F944" s="534"/>
    </row>
    <row r="945" spans="1:6" ht="15" customHeight="1">
      <c r="A945" s="51"/>
      <c r="B945" s="52" t="str">
        <f t="shared" si="75"/>
        <v/>
      </c>
      <c r="C945" t="str">
        <f t="shared" si="74"/>
        <v/>
      </c>
      <c r="D945" s="245" t="str">
        <f t="shared" si="76"/>
        <v/>
      </c>
      <c r="E945" s="534"/>
      <c r="F945" s="534"/>
    </row>
    <row r="946" spans="1:6" ht="15" customHeight="1">
      <c r="A946" s="51"/>
      <c r="B946" s="52" t="str">
        <f t="shared" si="75"/>
        <v/>
      </c>
      <c r="C946" t="str">
        <f t="shared" si="74"/>
        <v/>
      </c>
      <c r="D946" s="245" t="str">
        <f t="shared" si="76"/>
        <v/>
      </c>
      <c r="E946" s="534"/>
      <c r="F946" s="534"/>
    </row>
    <row r="947" spans="1:6" ht="15" customHeight="1">
      <c r="A947" s="51"/>
      <c r="B947" s="52" t="str">
        <f t="shared" si="75"/>
        <v/>
      </c>
      <c r="C947" t="str">
        <f t="shared" si="74"/>
        <v/>
      </c>
      <c r="D947" s="245" t="str">
        <f t="shared" si="76"/>
        <v/>
      </c>
      <c r="E947" s="534"/>
      <c r="F947" s="534"/>
    </row>
    <row r="948" spans="1:6" ht="15" customHeight="1">
      <c r="A948" s="51"/>
      <c r="B948" s="52" t="str">
        <f t="shared" si="75"/>
        <v/>
      </c>
      <c r="C948" t="str">
        <f t="shared" si="74"/>
        <v/>
      </c>
      <c r="D948" s="245" t="str">
        <f t="shared" si="76"/>
        <v/>
      </c>
      <c r="E948" s="534"/>
      <c r="F948" s="534"/>
    </row>
    <row r="949" spans="1:6" ht="15" customHeight="1">
      <c r="A949" s="51"/>
      <c r="B949" s="52" t="str">
        <f t="shared" si="75"/>
        <v/>
      </c>
      <c r="C949" t="str">
        <f t="shared" si="74"/>
        <v/>
      </c>
      <c r="D949" s="245" t="str">
        <f t="shared" si="76"/>
        <v/>
      </c>
      <c r="E949" s="534"/>
      <c r="F949" s="534"/>
    </row>
    <row r="950" spans="1:6" ht="15" customHeight="1">
      <c r="A950" s="51"/>
      <c r="B950" s="52" t="str">
        <f t="shared" si="75"/>
        <v/>
      </c>
      <c r="C950" t="str">
        <f t="shared" si="74"/>
        <v/>
      </c>
      <c r="D950" s="245" t="str">
        <f t="shared" si="76"/>
        <v/>
      </c>
      <c r="E950" s="534"/>
      <c r="F950" s="534"/>
    </row>
    <row r="951" spans="1:6" ht="15" customHeight="1">
      <c r="A951" s="51"/>
      <c r="B951" s="52" t="str">
        <f t="shared" si="75"/>
        <v/>
      </c>
      <c r="C951" t="str">
        <f t="shared" si="74"/>
        <v/>
      </c>
      <c r="D951" s="245" t="str">
        <f t="shared" si="76"/>
        <v/>
      </c>
      <c r="E951" s="534"/>
      <c r="F951" s="534"/>
    </row>
    <row r="952" spans="1:6" ht="15" customHeight="1">
      <c r="A952" s="51"/>
      <c r="B952" s="52" t="str">
        <f t="shared" si="75"/>
        <v/>
      </c>
      <c r="C952" t="str">
        <f t="shared" si="74"/>
        <v/>
      </c>
      <c r="D952" s="245" t="str">
        <f t="shared" si="76"/>
        <v/>
      </c>
      <c r="E952" s="534"/>
      <c r="F952" s="534"/>
    </row>
    <row r="953" spans="1:6" ht="15" customHeight="1">
      <c r="A953" s="51"/>
      <c r="B953" s="52" t="str">
        <f t="shared" si="75"/>
        <v/>
      </c>
      <c r="C953" t="str">
        <f t="shared" si="74"/>
        <v/>
      </c>
      <c r="D953" s="245" t="str">
        <f t="shared" si="76"/>
        <v/>
      </c>
      <c r="E953" s="534"/>
      <c r="F953" s="534"/>
    </row>
    <row r="954" spans="1:6" ht="15" customHeight="1">
      <c r="A954" s="51"/>
      <c r="B954" s="52" t="str">
        <f t="shared" si="75"/>
        <v/>
      </c>
      <c r="C954" t="str">
        <f t="shared" si="74"/>
        <v/>
      </c>
      <c r="D954" s="245" t="str">
        <f t="shared" si="76"/>
        <v/>
      </c>
      <c r="E954" s="534"/>
      <c r="F954" s="534"/>
    </row>
    <row r="955" spans="1:6" ht="15" customHeight="1">
      <c r="A955" s="51"/>
      <c r="B955" s="52" t="str">
        <f t="shared" si="75"/>
        <v/>
      </c>
      <c r="C955" t="str">
        <f t="shared" si="74"/>
        <v/>
      </c>
      <c r="D955" s="245" t="str">
        <f t="shared" si="76"/>
        <v/>
      </c>
      <c r="E955" s="534"/>
      <c r="F955" s="534"/>
    </row>
    <row r="956" spans="1:6" ht="15" customHeight="1">
      <c r="A956" s="51"/>
      <c r="B956" s="52" t="str">
        <f t="shared" si="75"/>
        <v/>
      </c>
      <c r="C956" t="str">
        <f t="shared" si="74"/>
        <v/>
      </c>
      <c r="D956" s="245" t="str">
        <f t="shared" si="76"/>
        <v/>
      </c>
      <c r="E956" s="534"/>
      <c r="F956" s="534"/>
    </row>
    <row r="957" spans="1:6" ht="15" customHeight="1">
      <c r="A957" s="51"/>
      <c r="B957" s="52" t="str">
        <f t="shared" si="75"/>
        <v/>
      </c>
      <c r="C957" t="str">
        <f t="shared" si="74"/>
        <v/>
      </c>
      <c r="D957" s="245" t="str">
        <f t="shared" si="76"/>
        <v/>
      </c>
      <c r="E957" s="534"/>
      <c r="F957" s="534"/>
    </row>
    <row r="958" spans="1:6" ht="15" customHeight="1">
      <c r="A958" s="51"/>
      <c r="B958" s="52" t="str">
        <f t="shared" si="75"/>
        <v/>
      </c>
      <c r="C958" t="str">
        <f t="shared" si="74"/>
        <v/>
      </c>
      <c r="D958" s="245" t="str">
        <f t="shared" si="76"/>
        <v/>
      </c>
      <c r="E958" s="534"/>
      <c r="F958" s="534"/>
    </row>
    <row r="959" spans="1:6" ht="15" customHeight="1">
      <c r="A959" s="51"/>
      <c r="B959" s="52" t="str">
        <f t="shared" si="75"/>
        <v/>
      </c>
      <c r="C959" t="str">
        <f t="shared" si="74"/>
        <v/>
      </c>
      <c r="D959" s="245" t="str">
        <f t="shared" si="76"/>
        <v/>
      </c>
      <c r="E959" s="534"/>
      <c r="F959" s="534"/>
    </row>
    <row r="960" spans="1:6" ht="15" customHeight="1">
      <c r="A960" s="51"/>
      <c r="B960" s="52" t="str">
        <f t="shared" si="75"/>
        <v/>
      </c>
      <c r="C960" t="str">
        <f t="shared" si="74"/>
        <v/>
      </c>
      <c r="D960" s="245" t="str">
        <f t="shared" si="76"/>
        <v/>
      </c>
      <c r="E960" s="534"/>
      <c r="F960" s="534"/>
    </row>
    <row r="961" spans="1:6" ht="15" customHeight="1">
      <c r="A961" s="51"/>
      <c r="B961" s="52" t="str">
        <f t="shared" si="75"/>
        <v/>
      </c>
      <c r="C961" t="str">
        <f t="shared" si="74"/>
        <v/>
      </c>
      <c r="D961" s="245" t="str">
        <f t="shared" si="76"/>
        <v/>
      </c>
      <c r="E961" s="534"/>
      <c r="F961" s="534"/>
    </row>
    <row r="962" spans="1:6" ht="15" customHeight="1">
      <c r="A962" s="51"/>
      <c r="B962" s="52" t="str">
        <f t="shared" si="75"/>
        <v/>
      </c>
      <c r="C962" t="str">
        <f t="shared" ref="C962:C1025" si="77">IF(A962&lt;&gt;"",TEXT(A962,"aaaa"),"")</f>
        <v/>
      </c>
      <c r="D962" s="245" t="str">
        <f t="shared" si="76"/>
        <v/>
      </c>
      <c r="E962" s="534"/>
      <c r="F962" s="534"/>
    </row>
    <row r="963" spans="1:6" ht="15" customHeight="1">
      <c r="A963" s="51"/>
      <c r="B963" s="52" t="str">
        <f t="shared" si="75"/>
        <v/>
      </c>
      <c r="C963" t="str">
        <f t="shared" si="77"/>
        <v/>
      </c>
      <c r="D963" s="245" t="str">
        <f t="shared" si="76"/>
        <v/>
      </c>
      <c r="E963" s="534"/>
      <c r="F963" s="534"/>
    </row>
    <row r="964" spans="1:6" ht="15" customHeight="1">
      <c r="A964" s="51"/>
      <c r="B964" s="52" t="str">
        <f t="shared" si="75"/>
        <v/>
      </c>
      <c r="C964" t="str">
        <f t="shared" si="77"/>
        <v/>
      </c>
      <c r="D964" s="245" t="str">
        <f t="shared" si="76"/>
        <v/>
      </c>
      <c r="E964" s="534"/>
      <c r="F964" s="534"/>
    </row>
    <row r="965" spans="1:6" ht="15" customHeight="1">
      <c r="A965" s="51"/>
      <c r="B965" s="52" t="str">
        <f t="shared" si="75"/>
        <v/>
      </c>
      <c r="C965" t="str">
        <f t="shared" si="77"/>
        <v/>
      </c>
      <c r="D965" s="245" t="str">
        <f t="shared" si="76"/>
        <v/>
      </c>
      <c r="E965" s="534"/>
      <c r="F965" s="534"/>
    </row>
    <row r="966" spans="1:6" ht="15" customHeight="1">
      <c r="A966" s="51"/>
      <c r="B966" s="52" t="str">
        <f t="shared" si="75"/>
        <v/>
      </c>
      <c r="C966" t="str">
        <f t="shared" si="77"/>
        <v/>
      </c>
      <c r="D966" s="245" t="str">
        <f t="shared" si="76"/>
        <v/>
      </c>
      <c r="E966" s="534"/>
      <c r="F966" s="534"/>
    </row>
    <row r="967" spans="1:6" ht="15" customHeight="1">
      <c r="A967" s="51"/>
      <c r="B967" s="52" t="str">
        <f t="shared" si="75"/>
        <v/>
      </c>
      <c r="C967" t="str">
        <f t="shared" si="77"/>
        <v/>
      </c>
      <c r="D967" s="245" t="str">
        <f t="shared" si="76"/>
        <v/>
      </c>
      <c r="E967" s="534"/>
      <c r="F967" s="534"/>
    </row>
    <row r="968" spans="1:6" ht="15" customHeight="1">
      <c r="A968" s="51"/>
      <c r="B968" s="52" t="str">
        <f t="shared" ref="B968:B1031" si="78">IF(A968="","",TEXT(A968,"DDDD"))</f>
        <v/>
      </c>
      <c r="C968" t="str">
        <f t="shared" si="77"/>
        <v/>
      </c>
      <c r="D968" s="245" t="str">
        <f t="shared" si="76"/>
        <v/>
      </c>
      <c r="E968" s="534"/>
      <c r="F968" s="534"/>
    </row>
    <row r="969" spans="1:6" ht="15" customHeight="1">
      <c r="A969" s="51"/>
      <c r="B969" s="52" t="str">
        <f t="shared" si="78"/>
        <v/>
      </c>
      <c r="C969" t="str">
        <f t="shared" si="77"/>
        <v/>
      </c>
      <c r="D969" s="245" t="str">
        <f t="shared" ref="D969:D1032" si="79">IF(A969&lt;&gt;"",PROPER(TEXT(A969,"Mmmm")),"")</f>
        <v/>
      </c>
      <c r="E969" s="534"/>
      <c r="F969" s="534"/>
    </row>
    <row r="970" spans="1:6" ht="15" customHeight="1">
      <c r="A970" s="51"/>
      <c r="B970" s="52" t="str">
        <f t="shared" si="78"/>
        <v/>
      </c>
      <c r="C970" t="str">
        <f t="shared" si="77"/>
        <v/>
      </c>
      <c r="D970" s="245" t="str">
        <f t="shared" si="79"/>
        <v/>
      </c>
      <c r="E970" s="534"/>
      <c r="F970" s="534"/>
    </row>
    <row r="971" spans="1:6" ht="15" customHeight="1">
      <c r="A971" s="51"/>
      <c r="B971" s="52" t="str">
        <f t="shared" si="78"/>
        <v/>
      </c>
      <c r="C971" t="str">
        <f t="shared" si="77"/>
        <v/>
      </c>
      <c r="D971" s="245" t="str">
        <f t="shared" si="79"/>
        <v/>
      </c>
      <c r="E971" s="534"/>
      <c r="F971" s="534"/>
    </row>
    <row r="972" spans="1:6" ht="15" customHeight="1">
      <c r="A972" s="51"/>
      <c r="B972" s="52" t="str">
        <f t="shared" si="78"/>
        <v/>
      </c>
      <c r="C972" t="str">
        <f t="shared" si="77"/>
        <v/>
      </c>
      <c r="D972" s="245" t="str">
        <f t="shared" si="79"/>
        <v/>
      </c>
      <c r="E972" s="534"/>
      <c r="F972" s="534"/>
    </row>
    <row r="973" spans="1:6" ht="15" customHeight="1">
      <c r="A973" s="51"/>
      <c r="B973" s="52" t="str">
        <f t="shared" si="78"/>
        <v/>
      </c>
      <c r="C973" t="str">
        <f t="shared" si="77"/>
        <v/>
      </c>
      <c r="D973" s="245" t="str">
        <f t="shared" si="79"/>
        <v/>
      </c>
      <c r="E973" s="534"/>
      <c r="F973" s="534"/>
    </row>
    <row r="974" spans="1:6" ht="15" customHeight="1">
      <c r="A974" s="51"/>
      <c r="B974" s="52" t="str">
        <f t="shared" si="78"/>
        <v/>
      </c>
      <c r="C974" t="str">
        <f t="shared" si="77"/>
        <v/>
      </c>
      <c r="D974" s="245" t="str">
        <f t="shared" si="79"/>
        <v/>
      </c>
      <c r="E974" s="534"/>
      <c r="F974" s="534"/>
    </row>
    <row r="975" spans="1:6" ht="15" customHeight="1">
      <c r="A975" s="51"/>
      <c r="B975" s="52" t="str">
        <f t="shared" si="78"/>
        <v/>
      </c>
      <c r="C975" t="str">
        <f t="shared" si="77"/>
        <v/>
      </c>
      <c r="D975" s="245" t="str">
        <f t="shared" si="79"/>
        <v/>
      </c>
      <c r="E975" s="534"/>
      <c r="F975" s="534"/>
    </row>
    <row r="976" spans="1:6" ht="15" customHeight="1">
      <c r="A976" s="51"/>
      <c r="B976" s="52" t="str">
        <f t="shared" si="78"/>
        <v/>
      </c>
      <c r="C976" t="str">
        <f t="shared" si="77"/>
        <v/>
      </c>
      <c r="D976" s="245" t="str">
        <f t="shared" si="79"/>
        <v/>
      </c>
      <c r="E976" s="534"/>
      <c r="F976" s="534"/>
    </row>
    <row r="977" spans="1:6" ht="15" customHeight="1">
      <c r="A977" s="51"/>
      <c r="B977" s="52" t="str">
        <f t="shared" si="78"/>
        <v/>
      </c>
      <c r="C977" t="str">
        <f t="shared" si="77"/>
        <v/>
      </c>
      <c r="D977" s="245" t="str">
        <f t="shared" si="79"/>
        <v/>
      </c>
      <c r="E977" s="534"/>
      <c r="F977" s="534"/>
    </row>
    <row r="978" spans="1:6" ht="15" customHeight="1">
      <c r="A978" s="51"/>
      <c r="B978" s="52" t="str">
        <f t="shared" si="78"/>
        <v/>
      </c>
      <c r="C978" t="str">
        <f t="shared" si="77"/>
        <v/>
      </c>
      <c r="D978" s="245" t="str">
        <f t="shared" si="79"/>
        <v/>
      </c>
      <c r="E978" s="534"/>
      <c r="F978" s="534"/>
    </row>
    <row r="979" spans="1:6" ht="15" customHeight="1">
      <c r="A979" s="51"/>
      <c r="B979" s="52" t="str">
        <f t="shared" si="78"/>
        <v/>
      </c>
      <c r="C979" t="str">
        <f t="shared" si="77"/>
        <v/>
      </c>
      <c r="D979" s="245" t="str">
        <f t="shared" si="79"/>
        <v/>
      </c>
      <c r="E979" s="534"/>
      <c r="F979" s="534"/>
    </row>
    <row r="980" spans="1:6" ht="15" customHeight="1">
      <c r="A980" s="51"/>
      <c r="B980" s="52" t="str">
        <f t="shared" si="78"/>
        <v/>
      </c>
      <c r="C980" t="str">
        <f t="shared" si="77"/>
        <v/>
      </c>
      <c r="D980" s="245" t="str">
        <f t="shared" si="79"/>
        <v/>
      </c>
      <c r="E980" s="534"/>
      <c r="F980" s="534"/>
    </row>
    <row r="981" spans="1:6" ht="15" customHeight="1">
      <c r="A981" s="51"/>
      <c r="B981" s="52" t="str">
        <f t="shared" si="78"/>
        <v/>
      </c>
      <c r="C981" t="str">
        <f t="shared" si="77"/>
        <v/>
      </c>
      <c r="D981" s="245" t="str">
        <f t="shared" si="79"/>
        <v/>
      </c>
      <c r="E981" s="534"/>
      <c r="F981" s="534"/>
    </row>
    <row r="982" spans="1:6" ht="15" customHeight="1">
      <c r="A982" s="51"/>
      <c r="B982" s="52" t="str">
        <f t="shared" si="78"/>
        <v/>
      </c>
      <c r="C982" t="str">
        <f t="shared" si="77"/>
        <v/>
      </c>
      <c r="D982" s="245" t="str">
        <f t="shared" si="79"/>
        <v/>
      </c>
      <c r="E982" s="534"/>
      <c r="F982" s="534"/>
    </row>
    <row r="983" spans="1:6" ht="15" customHeight="1">
      <c r="A983" s="51"/>
      <c r="B983" s="52" t="str">
        <f t="shared" si="78"/>
        <v/>
      </c>
      <c r="C983" t="str">
        <f t="shared" si="77"/>
        <v/>
      </c>
      <c r="D983" s="245" t="str">
        <f t="shared" si="79"/>
        <v/>
      </c>
      <c r="E983" s="534"/>
      <c r="F983" s="534"/>
    </row>
    <row r="984" spans="1:6" ht="15" customHeight="1">
      <c r="A984" s="51"/>
      <c r="B984" s="52" t="str">
        <f t="shared" si="78"/>
        <v/>
      </c>
      <c r="C984" t="str">
        <f t="shared" si="77"/>
        <v/>
      </c>
      <c r="D984" s="245" t="str">
        <f t="shared" si="79"/>
        <v/>
      </c>
      <c r="E984" s="534"/>
      <c r="F984" s="534"/>
    </row>
    <row r="985" spans="1:6" ht="15" customHeight="1">
      <c r="A985" s="51"/>
      <c r="B985" s="52" t="str">
        <f t="shared" si="78"/>
        <v/>
      </c>
      <c r="C985" t="str">
        <f t="shared" si="77"/>
        <v/>
      </c>
      <c r="D985" s="245" t="str">
        <f t="shared" si="79"/>
        <v/>
      </c>
      <c r="E985" s="534"/>
      <c r="F985" s="534"/>
    </row>
    <row r="986" spans="1:6" ht="15" customHeight="1">
      <c r="A986" s="51"/>
      <c r="B986" s="52" t="str">
        <f t="shared" si="78"/>
        <v/>
      </c>
      <c r="C986" t="str">
        <f t="shared" si="77"/>
        <v/>
      </c>
      <c r="D986" s="245" t="str">
        <f t="shared" si="79"/>
        <v/>
      </c>
      <c r="E986" s="534"/>
      <c r="F986" s="534"/>
    </row>
    <row r="987" spans="1:6" ht="15" customHeight="1">
      <c r="A987" s="51"/>
      <c r="B987" s="52" t="str">
        <f t="shared" si="78"/>
        <v/>
      </c>
      <c r="C987" t="str">
        <f t="shared" si="77"/>
        <v/>
      </c>
      <c r="D987" s="245" t="str">
        <f t="shared" si="79"/>
        <v/>
      </c>
      <c r="E987" s="534"/>
      <c r="F987" s="534"/>
    </row>
    <row r="988" spans="1:6" ht="15" customHeight="1">
      <c r="A988" s="51"/>
      <c r="B988" s="52" t="str">
        <f t="shared" si="78"/>
        <v/>
      </c>
      <c r="C988" t="str">
        <f t="shared" si="77"/>
        <v/>
      </c>
      <c r="D988" s="245" t="str">
        <f t="shared" si="79"/>
        <v/>
      </c>
      <c r="E988" s="534"/>
      <c r="F988" s="534"/>
    </row>
    <row r="989" spans="1:6" ht="15" customHeight="1">
      <c r="A989" s="51"/>
      <c r="B989" s="52" t="str">
        <f t="shared" si="78"/>
        <v/>
      </c>
      <c r="C989" t="str">
        <f t="shared" si="77"/>
        <v/>
      </c>
      <c r="D989" s="245" t="str">
        <f t="shared" si="79"/>
        <v/>
      </c>
      <c r="E989" s="534"/>
      <c r="F989" s="534"/>
    </row>
    <row r="990" spans="1:6" ht="15" customHeight="1">
      <c r="A990" s="51"/>
      <c r="B990" s="52" t="str">
        <f t="shared" si="78"/>
        <v/>
      </c>
      <c r="C990" t="str">
        <f t="shared" si="77"/>
        <v/>
      </c>
      <c r="D990" s="245" t="str">
        <f t="shared" si="79"/>
        <v/>
      </c>
      <c r="E990" s="534"/>
      <c r="F990" s="534"/>
    </row>
    <row r="991" spans="1:6" ht="15" customHeight="1">
      <c r="A991" s="51"/>
      <c r="B991" s="52" t="str">
        <f t="shared" si="78"/>
        <v/>
      </c>
      <c r="C991" t="str">
        <f t="shared" si="77"/>
        <v/>
      </c>
      <c r="D991" s="245" t="str">
        <f t="shared" si="79"/>
        <v/>
      </c>
      <c r="E991" s="534"/>
      <c r="F991" s="534"/>
    </row>
    <row r="992" spans="1:6" ht="15" customHeight="1">
      <c r="A992" s="51"/>
      <c r="B992" s="52" t="str">
        <f t="shared" si="78"/>
        <v/>
      </c>
      <c r="C992" t="str">
        <f t="shared" si="77"/>
        <v/>
      </c>
      <c r="D992" s="245" t="str">
        <f t="shared" si="79"/>
        <v/>
      </c>
      <c r="E992" s="534"/>
      <c r="F992" s="534"/>
    </row>
    <row r="993" spans="1:6" ht="15" customHeight="1">
      <c r="A993" s="51"/>
      <c r="B993" s="52" t="str">
        <f t="shared" si="78"/>
        <v/>
      </c>
      <c r="C993" t="str">
        <f t="shared" si="77"/>
        <v/>
      </c>
      <c r="D993" s="245" t="str">
        <f t="shared" si="79"/>
        <v/>
      </c>
      <c r="E993" s="534"/>
      <c r="F993" s="534"/>
    </row>
    <row r="994" spans="1:6" ht="15" customHeight="1">
      <c r="A994" s="51"/>
      <c r="B994" s="52" t="str">
        <f t="shared" si="78"/>
        <v/>
      </c>
      <c r="C994" t="str">
        <f t="shared" si="77"/>
        <v/>
      </c>
      <c r="D994" s="245" t="str">
        <f t="shared" si="79"/>
        <v/>
      </c>
      <c r="E994" s="534"/>
      <c r="F994" s="534"/>
    </row>
    <row r="995" spans="1:6" ht="15" customHeight="1">
      <c r="A995" s="51"/>
      <c r="B995" s="52" t="str">
        <f t="shared" si="78"/>
        <v/>
      </c>
      <c r="C995" t="str">
        <f t="shared" si="77"/>
        <v/>
      </c>
      <c r="D995" s="245" t="str">
        <f t="shared" si="79"/>
        <v/>
      </c>
      <c r="E995" s="534"/>
      <c r="F995" s="534"/>
    </row>
    <row r="996" spans="1:6" ht="15" customHeight="1">
      <c r="A996" s="51"/>
      <c r="B996" s="52" t="str">
        <f t="shared" si="78"/>
        <v/>
      </c>
      <c r="C996" t="str">
        <f t="shared" si="77"/>
        <v/>
      </c>
      <c r="D996" s="245" t="str">
        <f t="shared" si="79"/>
        <v/>
      </c>
      <c r="E996" s="534"/>
      <c r="F996" s="534"/>
    </row>
    <row r="997" spans="1:6" ht="15" customHeight="1">
      <c r="A997" s="51"/>
      <c r="B997" s="52" t="str">
        <f t="shared" si="78"/>
        <v/>
      </c>
      <c r="C997" t="str">
        <f t="shared" si="77"/>
        <v/>
      </c>
      <c r="D997" s="245" t="str">
        <f t="shared" si="79"/>
        <v/>
      </c>
      <c r="E997" s="534"/>
      <c r="F997" s="534"/>
    </row>
    <row r="998" spans="1:6" ht="15" customHeight="1">
      <c r="A998" s="51"/>
      <c r="B998" s="52" t="str">
        <f t="shared" si="78"/>
        <v/>
      </c>
      <c r="C998" t="str">
        <f t="shared" si="77"/>
        <v/>
      </c>
      <c r="D998" s="245" t="str">
        <f t="shared" si="79"/>
        <v/>
      </c>
      <c r="E998" s="534"/>
      <c r="F998" s="534"/>
    </row>
    <row r="999" spans="1:6" ht="15" customHeight="1">
      <c r="A999" s="51"/>
      <c r="B999" s="52" t="str">
        <f t="shared" si="78"/>
        <v/>
      </c>
      <c r="C999" t="str">
        <f t="shared" si="77"/>
        <v/>
      </c>
      <c r="D999" s="245" t="str">
        <f t="shared" si="79"/>
        <v/>
      </c>
      <c r="E999" s="534"/>
      <c r="F999" s="534"/>
    </row>
    <row r="1000" spans="1:6" ht="15" customHeight="1">
      <c r="A1000" s="51"/>
      <c r="B1000" s="52" t="str">
        <f t="shared" si="78"/>
        <v/>
      </c>
      <c r="C1000" t="str">
        <f t="shared" si="77"/>
        <v/>
      </c>
      <c r="D1000" s="245" t="str">
        <f t="shared" si="79"/>
        <v/>
      </c>
      <c r="E1000" s="534"/>
      <c r="F1000" s="534"/>
    </row>
    <row r="1001" spans="1:6" ht="15" customHeight="1">
      <c r="A1001" s="51"/>
      <c r="B1001" s="52" t="str">
        <f t="shared" si="78"/>
        <v/>
      </c>
      <c r="C1001" t="str">
        <f t="shared" si="77"/>
        <v/>
      </c>
      <c r="D1001" s="245" t="str">
        <f t="shared" si="79"/>
        <v/>
      </c>
      <c r="E1001" s="534"/>
      <c r="F1001" s="534"/>
    </row>
    <row r="1002" spans="1:6" ht="15" customHeight="1">
      <c r="A1002" s="51"/>
      <c r="B1002" s="52" t="str">
        <f t="shared" si="78"/>
        <v/>
      </c>
      <c r="C1002" t="str">
        <f t="shared" si="77"/>
        <v/>
      </c>
      <c r="D1002" s="245" t="str">
        <f t="shared" si="79"/>
        <v/>
      </c>
      <c r="E1002" s="534"/>
      <c r="F1002" s="534"/>
    </row>
    <row r="1003" spans="1:6" ht="15" customHeight="1">
      <c r="A1003" s="51"/>
      <c r="B1003" s="52" t="str">
        <f t="shared" si="78"/>
        <v/>
      </c>
      <c r="C1003" t="str">
        <f t="shared" si="77"/>
        <v/>
      </c>
      <c r="D1003" s="245" t="str">
        <f t="shared" si="79"/>
        <v/>
      </c>
      <c r="E1003" s="534"/>
      <c r="F1003" s="534"/>
    </row>
    <row r="1004" spans="1:6" ht="15" customHeight="1">
      <c r="A1004" s="51"/>
      <c r="B1004" s="52" t="str">
        <f t="shared" si="78"/>
        <v/>
      </c>
      <c r="C1004" t="str">
        <f t="shared" si="77"/>
        <v/>
      </c>
      <c r="D1004" s="245" t="str">
        <f t="shared" si="79"/>
        <v/>
      </c>
      <c r="E1004" s="534"/>
      <c r="F1004" s="534"/>
    </row>
    <row r="1005" spans="1:6" ht="15" customHeight="1">
      <c r="A1005" s="51"/>
      <c r="B1005" s="52" t="str">
        <f t="shared" si="78"/>
        <v/>
      </c>
      <c r="C1005" t="str">
        <f t="shared" si="77"/>
        <v/>
      </c>
      <c r="D1005" s="245" t="str">
        <f t="shared" si="79"/>
        <v/>
      </c>
      <c r="E1005" s="534"/>
      <c r="F1005" s="534"/>
    </row>
    <row r="1006" spans="1:6" ht="15" customHeight="1">
      <c r="A1006" s="51"/>
      <c r="B1006" s="52" t="str">
        <f t="shared" si="78"/>
        <v/>
      </c>
      <c r="C1006" t="str">
        <f t="shared" si="77"/>
        <v/>
      </c>
      <c r="D1006" s="245" t="str">
        <f t="shared" si="79"/>
        <v/>
      </c>
      <c r="E1006" s="534"/>
      <c r="F1006" s="534"/>
    </row>
    <row r="1007" spans="1:6" ht="15" customHeight="1">
      <c r="A1007" s="51"/>
      <c r="B1007" s="52" t="str">
        <f t="shared" si="78"/>
        <v/>
      </c>
      <c r="C1007" t="str">
        <f t="shared" si="77"/>
        <v/>
      </c>
      <c r="D1007" s="245" t="str">
        <f t="shared" si="79"/>
        <v/>
      </c>
      <c r="E1007" s="534"/>
      <c r="F1007" s="534"/>
    </row>
    <row r="1008" spans="1:6" ht="15" customHeight="1">
      <c r="A1008" s="51"/>
      <c r="B1008" s="52" t="str">
        <f t="shared" si="78"/>
        <v/>
      </c>
      <c r="C1008" t="str">
        <f t="shared" si="77"/>
        <v/>
      </c>
      <c r="D1008" s="245" t="str">
        <f t="shared" si="79"/>
        <v/>
      </c>
      <c r="E1008" s="534"/>
      <c r="F1008" s="534"/>
    </row>
    <row r="1009" spans="1:6" ht="15" customHeight="1">
      <c r="A1009" s="51"/>
      <c r="B1009" s="52" t="str">
        <f t="shared" si="78"/>
        <v/>
      </c>
      <c r="C1009" t="str">
        <f t="shared" si="77"/>
        <v/>
      </c>
      <c r="D1009" s="245" t="str">
        <f t="shared" si="79"/>
        <v/>
      </c>
      <c r="E1009" s="534"/>
      <c r="F1009" s="534"/>
    </row>
    <row r="1010" spans="1:6" ht="15" customHeight="1">
      <c r="A1010" s="51"/>
      <c r="B1010" s="52" t="str">
        <f t="shared" si="78"/>
        <v/>
      </c>
      <c r="C1010" t="str">
        <f t="shared" si="77"/>
        <v/>
      </c>
      <c r="D1010" s="245" t="str">
        <f t="shared" si="79"/>
        <v/>
      </c>
      <c r="E1010" s="534"/>
      <c r="F1010" s="534"/>
    </row>
    <row r="1011" spans="1:6" ht="15" customHeight="1">
      <c r="A1011" s="51"/>
      <c r="B1011" s="52" t="str">
        <f t="shared" si="78"/>
        <v/>
      </c>
      <c r="C1011" t="str">
        <f t="shared" si="77"/>
        <v/>
      </c>
      <c r="D1011" s="245" t="str">
        <f t="shared" si="79"/>
        <v/>
      </c>
      <c r="E1011" s="534"/>
      <c r="F1011" s="534"/>
    </row>
    <row r="1012" spans="1:6" ht="15" customHeight="1">
      <c r="A1012" s="51"/>
      <c r="B1012" s="52" t="str">
        <f t="shared" si="78"/>
        <v/>
      </c>
      <c r="C1012" t="str">
        <f t="shared" si="77"/>
        <v/>
      </c>
      <c r="D1012" s="245" t="str">
        <f t="shared" si="79"/>
        <v/>
      </c>
      <c r="E1012" s="534"/>
      <c r="F1012" s="534"/>
    </row>
    <row r="1013" spans="1:6" ht="15" customHeight="1">
      <c r="A1013" s="51"/>
      <c r="B1013" s="52" t="str">
        <f t="shared" si="78"/>
        <v/>
      </c>
      <c r="C1013" t="str">
        <f t="shared" si="77"/>
        <v/>
      </c>
      <c r="D1013" s="245" t="str">
        <f t="shared" si="79"/>
        <v/>
      </c>
      <c r="E1013" s="534"/>
      <c r="F1013" s="534"/>
    </row>
    <row r="1014" spans="1:6" ht="15" customHeight="1">
      <c r="A1014" s="51"/>
      <c r="B1014" s="52" t="str">
        <f t="shared" si="78"/>
        <v/>
      </c>
      <c r="C1014" t="str">
        <f t="shared" si="77"/>
        <v/>
      </c>
      <c r="D1014" s="245" t="str">
        <f t="shared" si="79"/>
        <v/>
      </c>
      <c r="E1014" s="534"/>
      <c r="F1014" s="534"/>
    </row>
    <row r="1015" spans="1:6" ht="15" customHeight="1">
      <c r="A1015" s="51"/>
      <c r="B1015" s="52" t="str">
        <f t="shared" si="78"/>
        <v/>
      </c>
      <c r="C1015" t="str">
        <f t="shared" si="77"/>
        <v/>
      </c>
      <c r="D1015" s="245" t="str">
        <f t="shared" si="79"/>
        <v/>
      </c>
      <c r="E1015" s="534"/>
      <c r="F1015" s="534"/>
    </row>
    <row r="1016" spans="1:6" ht="15" customHeight="1">
      <c r="A1016" s="51"/>
      <c r="B1016" s="52" t="str">
        <f t="shared" si="78"/>
        <v/>
      </c>
      <c r="C1016" t="str">
        <f t="shared" si="77"/>
        <v/>
      </c>
      <c r="D1016" s="245" t="str">
        <f t="shared" si="79"/>
        <v/>
      </c>
      <c r="E1016" s="534"/>
      <c r="F1016" s="534"/>
    </row>
    <row r="1017" spans="1:6" ht="15" customHeight="1">
      <c r="A1017" s="51"/>
      <c r="B1017" s="52" t="str">
        <f t="shared" si="78"/>
        <v/>
      </c>
      <c r="C1017" t="str">
        <f t="shared" si="77"/>
        <v/>
      </c>
      <c r="D1017" s="245" t="str">
        <f t="shared" si="79"/>
        <v/>
      </c>
      <c r="E1017" s="534"/>
      <c r="F1017" s="534"/>
    </row>
    <row r="1018" spans="1:6" ht="15" customHeight="1">
      <c r="A1018" s="51"/>
      <c r="B1018" s="52" t="str">
        <f t="shared" si="78"/>
        <v/>
      </c>
      <c r="C1018" t="str">
        <f t="shared" si="77"/>
        <v/>
      </c>
      <c r="D1018" s="245" t="str">
        <f t="shared" si="79"/>
        <v/>
      </c>
      <c r="E1018" s="534"/>
      <c r="F1018" s="534"/>
    </row>
    <row r="1019" spans="1:6" ht="15" customHeight="1">
      <c r="A1019" s="51"/>
      <c r="B1019" s="52" t="str">
        <f t="shared" si="78"/>
        <v/>
      </c>
      <c r="C1019" t="str">
        <f t="shared" si="77"/>
        <v/>
      </c>
      <c r="D1019" s="245" t="str">
        <f t="shared" si="79"/>
        <v/>
      </c>
      <c r="E1019" s="534"/>
      <c r="F1019" s="534"/>
    </row>
    <row r="1020" spans="1:6" ht="15" customHeight="1">
      <c r="A1020" s="51"/>
      <c r="B1020" s="52" t="str">
        <f t="shared" si="78"/>
        <v/>
      </c>
      <c r="C1020" t="str">
        <f t="shared" si="77"/>
        <v/>
      </c>
      <c r="D1020" s="245" t="str">
        <f t="shared" si="79"/>
        <v/>
      </c>
      <c r="E1020" s="534"/>
      <c r="F1020" s="534"/>
    </row>
    <row r="1021" spans="1:6" ht="15" customHeight="1">
      <c r="A1021" s="51"/>
      <c r="B1021" s="52" t="str">
        <f t="shared" si="78"/>
        <v/>
      </c>
      <c r="C1021" t="str">
        <f t="shared" si="77"/>
        <v/>
      </c>
      <c r="D1021" s="245" t="str">
        <f t="shared" si="79"/>
        <v/>
      </c>
      <c r="E1021" s="534"/>
      <c r="F1021" s="534"/>
    </row>
    <row r="1022" spans="1:6" ht="15" customHeight="1">
      <c r="A1022" s="51"/>
      <c r="B1022" s="52" t="str">
        <f t="shared" si="78"/>
        <v/>
      </c>
      <c r="C1022" t="str">
        <f t="shared" si="77"/>
        <v/>
      </c>
      <c r="D1022" s="245" t="str">
        <f t="shared" si="79"/>
        <v/>
      </c>
      <c r="E1022" s="534"/>
      <c r="F1022" s="534"/>
    </row>
    <row r="1023" spans="1:6" ht="15" customHeight="1">
      <c r="A1023" s="51"/>
      <c r="B1023" s="52" t="str">
        <f t="shared" si="78"/>
        <v/>
      </c>
      <c r="C1023" t="str">
        <f t="shared" si="77"/>
        <v/>
      </c>
      <c r="D1023" s="245" t="str">
        <f t="shared" si="79"/>
        <v/>
      </c>
      <c r="E1023" s="534"/>
      <c r="F1023" s="534"/>
    </row>
    <row r="1024" spans="1:6" ht="15" customHeight="1">
      <c r="A1024" s="51"/>
      <c r="B1024" s="52" t="str">
        <f t="shared" si="78"/>
        <v/>
      </c>
      <c r="C1024" t="str">
        <f t="shared" si="77"/>
        <v/>
      </c>
      <c r="D1024" s="245" t="str">
        <f t="shared" si="79"/>
        <v/>
      </c>
      <c r="E1024" s="534"/>
      <c r="F1024" s="534"/>
    </row>
    <row r="1025" spans="1:6" ht="15" customHeight="1">
      <c r="A1025" s="51"/>
      <c r="B1025" s="52" t="str">
        <f t="shared" si="78"/>
        <v/>
      </c>
      <c r="C1025" t="str">
        <f t="shared" si="77"/>
        <v/>
      </c>
      <c r="D1025" s="245" t="str">
        <f t="shared" si="79"/>
        <v/>
      </c>
      <c r="E1025" s="534"/>
      <c r="F1025" s="534"/>
    </row>
    <row r="1026" spans="1:6" ht="15" customHeight="1">
      <c r="A1026" s="51"/>
      <c r="B1026" s="52" t="str">
        <f t="shared" si="78"/>
        <v/>
      </c>
      <c r="C1026" t="str">
        <f t="shared" ref="C1026:C1089" si="80">IF(A1026&lt;&gt;"",TEXT(A1026,"aaaa"),"")</f>
        <v/>
      </c>
      <c r="D1026" s="245" t="str">
        <f t="shared" si="79"/>
        <v/>
      </c>
      <c r="E1026" s="534"/>
      <c r="F1026" s="534"/>
    </row>
    <row r="1027" spans="1:6" ht="15" customHeight="1">
      <c r="A1027" s="51"/>
      <c r="B1027" s="52" t="str">
        <f t="shared" si="78"/>
        <v/>
      </c>
      <c r="C1027" t="str">
        <f t="shared" si="80"/>
        <v/>
      </c>
      <c r="D1027" s="245" t="str">
        <f t="shared" si="79"/>
        <v/>
      </c>
      <c r="E1027" s="534"/>
      <c r="F1027" s="534"/>
    </row>
    <row r="1028" spans="1:6" ht="15" customHeight="1">
      <c r="A1028" s="51"/>
      <c r="B1028" s="52" t="str">
        <f t="shared" si="78"/>
        <v/>
      </c>
      <c r="C1028" t="str">
        <f t="shared" si="80"/>
        <v/>
      </c>
      <c r="D1028" s="245" t="str">
        <f t="shared" si="79"/>
        <v/>
      </c>
      <c r="E1028" s="534"/>
      <c r="F1028" s="534"/>
    </row>
    <row r="1029" spans="1:6" ht="15" customHeight="1">
      <c r="A1029" s="51"/>
      <c r="B1029" s="52" t="str">
        <f t="shared" si="78"/>
        <v/>
      </c>
      <c r="C1029" t="str">
        <f t="shared" si="80"/>
        <v/>
      </c>
      <c r="D1029" s="245" t="str">
        <f t="shared" si="79"/>
        <v/>
      </c>
      <c r="E1029" s="534"/>
      <c r="F1029" s="534"/>
    </row>
    <row r="1030" spans="1:6" ht="15" customHeight="1">
      <c r="A1030" s="51"/>
      <c r="B1030" s="52" t="str">
        <f t="shared" si="78"/>
        <v/>
      </c>
      <c r="C1030" t="str">
        <f t="shared" si="80"/>
        <v/>
      </c>
      <c r="D1030" s="245" t="str">
        <f t="shared" si="79"/>
        <v/>
      </c>
      <c r="E1030" s="534"/>
      <c r="F1030" s="534"/>
    </row>
    <row r="1031" spans="1:6" ht="15" customHeight="1">
      <c r="A1031" s="51"/>
      <c r="B1031" s="52" t="str">
        <f t="shared" si="78"/>
        <v/>
      </c>
      <c r="C1031" t="str">
        <f t="shared" si="80"/>
        <v/>
      </c>
      <c r="D1031" s="245" t="str">
        <f t="shared" si="79"/>
        <v/>
      </c>
      <c r="E1031" s="534"/>
      <c r="F1031" s="534"/>
    </row>
    <row r="1032" spans="1:6" ht="15" customHeight="1">
      <c r="A1032" s="51"/>
      <c r="B1032" s="52" t="str">
        <f t="shared" ref="B1032:B1095" si="81">IF(A1032="","",TEXT(A1032,"DDDD"))</f>
        <v/>
      </c>
      <c r="C1032" t="str">
        <f t="shared" si="80"/>
        <v/>
      </c>
      <c r="D1032" s="245" t="str">
        <f t="shared" si="79"/>
        <v/>
      </c>
      <c r="E1032" s="534"/>
      <c r="F1032" s="534"/>
    </row>
    <row r="1033" spans="1:6" ht="15" customHeight="1">
      <c r="A1033" s="51"/>
      <c r="B1033" s="52" t="str">
        <f t="shared" si="81"/>
        <v/>
      </c>
      <c r="C1033" t="str">
        <f t="shared" si="80"/>
        <v/>
      </c>
      <c r="D1033" s="245" t="str">
        <f t="shared" ref="D1033:D1096" si="82">IF(A1033&lt;&gt;"",PROPER(TEXT(A1033,"Mmmm")),"")</f>
        <v/>
      </c>
      <c r="E1033" s="534"/>
      <c r="F1033" s="534"/>
    </row>
    <row r="1034" spans="1:6" ht="15" customHeight="1">
      <c r="A1034" s="51"/>
      <c r="B1034" s="52" t="str">
        <f t="shared" si="81"/>
        <v/>
      </c>
      <c r="C1034" t="str">
        <f t="shared" si="80"/>
        <v/>
      </c>
      <c r="D1034" s="245" t="str">
        <f t="shared" si="82"/>
        <v/>
      </c>
      <c r="E1034" s="534"/>
      <c r="F1034" s="534"/>
    </row>
    <row r="1035" spans="1:6" ht="15" customHeight="1">
      <c r="A1035" s="51"/>
      <c r="B1035" s="52" t="str">
        <f t="shared" si="81"/>
        <v/>
      </c>
      <c r="C1035" t="str">
        <f t="shared" si="80"/>
        <v/>
      </c>
      <c r="D1035" s="245" t="str">
        <f t="shared" si="82"/>
        <v/>
      </c>
      <c r="E1035" s="534"/>
      <c r="F1035" s="534"/>
    </row>
    <row r="1036" spans="1:6" ht="15" customHeight="1">
      <c r="A1036" s="51"/>
      <c r="B1036" s="52" t="str">
        <f t="shared" si="81"/>
        <v/>
      </c>
      <c r="C1036" t="str">
        <f t="shared" si="80"/>
        <v/>
      </c>
      <c r="D1036" s="245" t="str">
        <f t="shared" si="82"/>
        <v/>
      </c>
      <c r="E1036" s="534"/>
      <c r="F1036" s="534"/>
    </row>
    <row r="1037" spans="1:6" ht="15" customHeight="1">
      <c r="A1037" s="51"/>
      <c r="B1037" s="52" t="str">
        <f t="shared" si="81"/>
        <v/>
      </c>
      <c r="C1037" t="str">
        <f t="shared" si="80"/>
        <v/>
      </c>
      <c r="D1037" s="245" t="str">
        <f t="shared" si="82"/>
        <v/>
      </c>
      <c r="E1037" s="534"/>
      <c r="F1037" s="534"/>
    </row>
    <row r="1038" spans="1:6" ht="15" customHeight="1">
      <c r="A1038" s="51"/>
      <c r="B1038" s="52" t="str">
        <f t="shared" si="81"/>
        <v/>
      </c>
      <c r="C1038" t="str">
        <f t="shared" si="80"/>
        <v/>
      </c>
      <c r="D1038" s="245" t="str">
        <f t="shared" si="82"/>
        <v/>
      </c>
      <c r="E1038" s="534"/>
      <c r="F1038" s="534"/>
    </row>
    <row r="1039" spans="1:6" ht="15" customHeight="1">
      <c r="A1039" s="51"/>
      <c r="B1039" s="52" t="str">
        <f t="shared" si="81"/>
        <v/>
      </c>
      <c r="C1039" t="str">
        <f t="shared" si="80"/>
        <v/>
      </c>
      <c r="D1039" s="245" t="str">
        <f t="shared" si="82"/>
        <v/>
      </c>
      <c r="E1039" s="534"/>
      <c r="F1039" s="534"/>
    </row>
    <row r="1040" spans="1:6" ht="15" customHeight="1">
      <c r="A1040" s="51"/>
      <c r="B1040" s="52" t="str">
        <f t="shared" si="81"/>
        <v/>
      </c>
      <c r="C1040" t="str">
        <f t="shared" si="80"/>
        <v/>
      </c>
      <c r="D1040" s="245" t="str">
        <f t="shared" si="82"/>
        <v/>
      </c>
      <c r="E1040" s="534"/>
      <c r="F1040" s="534"/>
    </row>
    <row r="1041" spans="1:6" ht="15" customHeight="1">
      <c r="A1041" s="51"/>
      <c r="B1041" s="52" t="str">
        <f t="shared" si="81"/>
        <v/>
      </c>
      <c r="C1041" t="str">
        <f t="shared" si="80"/>
        <v/>
      </c>
      <c r="D1041" s="245" t="str">
        <f t="shared" si="82"/>
        <v/>
      </c>
      <c r="E1041" s="534"/>
      <c r="F1041" s="534"/>
    </row>
    <row r="1042" spans="1:6" ht="15" customHeight="1">
      <c r="A1042" s="51"/>
      <c r="B1042" s="52" t="str">
        <f t="shared" si="81"/>
        <v/>
      </c>
      <c r="C1042" t="str">
        <f t="shared" si="80"/>
        <v/>
      </c>
      <c r="D1042" s="245" t="str">
        <f t="shared" si="82"/>
        <v/>
      </c>
      <c r="E1042" s="534"/>
      <c r="F1042" s="534"/>
    </row>
    <row r="1043" spans="1:6" ht="15" customHeight="1">
      <c r="A1043" s="51"/>
      <c r="B1043" s="52" t="str">
        <f t="shared" si="81"/>
        <v/>
      </c>
      <c r="C1043" t="str">
        <f t="shared" si="80"/>
        <v/>
      </c>
      <c r="D1043" s="245" t="str">
        <f t="shared" si="82"/>
        <v/>
      </c>
      <c r="E1043" s="534"/>
      <c r="F1043" s="534"/>
    </row>
    <row r="1044" spans="1:6" ht="15" customHeight="1">
      <c r="A1044" s="51"/>
      <c r="B1044" s="52" t="str">
        <f t="shared" si="81"/>
        <v/>
      </c>
      <c r="C1044" t="str">
        <f t="shared" si="80"/>
        <v/>
      </c>
      <c r="D1044" s="245" t="str">
        <f t="shared" si="82"/>
        <v/>
      </c>
      <c r="E1044" s="534"/>
      <c r="F1044" s="534"/>
    </row>
    <row r="1045" spans="1:6" ht="15" customHeight="1">
      <c r="A1045" s="51"/>
      <c r="B1045" s="52" t="str">
        <f t="shared" si="81"/>
        <v/>
      </c>
      <c r="C1045" t="str">
        <f t="shared" si="80"/>
        <v/>
      </c>
      <c r="D1045" s="245" t="str">
        <f t="shared" si="82"/>
        <v/>
      </c>
      <c r="E1045" s="534"/>
      <c r="F1045" s="534"/>
    </row>
    <row r="1046" spans="1:6" ht="15" customHeight="1">
      <c r="A1046" s="51"/>
      <c r="B1046" s="52" t="str">
        <f t="shared" si="81"/>
        <v/>
      </c>
      <c r="C1046" t="str">
        <f t="shared" si="80"/>
        <v/>
      </c>
      <c r="D1046" s="245" t="str">
        <f t="shared" si="82"/>
        <v/>
      </c>
      <c r="E1046" s="534"/>
      <c r="F1046" s="534"/>
    </row>
    <row r="1047" spans="1:6" ht="15" customHeight="1">
      <c r="A1047" s="51"/>
      <c r="B1047" s="52" t="str">
        <f t="shared" si="81"/>
        <v/>
      </c>
      <c r="C1047" t="str">
        <f t="shared" si="80"/>
        <v/>
      </c>
      <c r="D1047" s="245" t="str">
        <f t="shared" si="82"/>
        <v/>
      </c>
      <c r="E1047" s="534"/>
      <c r="F1047" s="534"/>
    </row>
    <row r="1048" spans="1:6" ht="15" customHeight="1">
      <c r="A1048" s="51"/>
      <c r="B1048" s="52" t="str">
        <f t="shared" si="81"/>
        <v/>
      </c>
      <c r="C1048" t="str">
        <f t="shared" si="80"/>
        <v/>
      </c>
      <c r="D1048" s="245" t="str">
        <f t="shared" si="82"/>
        <v/>
      </c>
      <c r="E1048" s="534"/>
      <c r="F1048" s="534"/>
    </row>
    <row r="1049" spans="1:6" ht="15" customHeight="1">
      <c r="A1049" s="51"/>
      <c r="B1049" s="52" t="str">
        <f t="shared" si="81"/>
        <v/>
      </c>
      <c r="C1049" t="str">
        <f t="shared" si="80"/>
        <v/>
      </c>
      <c r="D1049" s="245" t="str">
        <f t="shared" si="82"/>
        <v/>
      </c>
      <c r="E1049" s="534"/>
      <c r="F1049" s="534"/>
    </row>
    <row r="1050" spans="1:6" ht="15" customHeight="1">
      <c r="A1050" s="51"/>
      <c r="B1050" s="52" t="str">
        <f t="shared" si="81"/>
        <v/>
      </c>
      <c r="C1050" t="str">
        <f t="shared" si="80"/>
        <v/>
      </c>
      <c r="D1050" s="245" t="str">
        <f t="shared" si="82"/>
        <v/>
      </c>
      <c r="E1050" s="534"/>
      <c r="F1050" s="534"/>
    </row>
    <row r="1051" spans="1:6" ht="15" customHeight="1">
      <c r="A1051" s="51"/>
      <c r="B1051" s="52" t="str">
        <f t="shared" si="81"/>
        <v/>
      </c>
      <c r="C1051" t="str">
        <f t="shared" si="80"/>
        <v/>
      </c>
      <c r="D1051" s="245" t="str">
        <f t="shared" si="82"/>
        <v/>
      </c>
      <c r="E1051" s="534"/>
      <c r="F1051" s="534"/>
    </row>
    <row r="1052" spans="1:6" ht="15" customHeight="1">
      <c r="A1052" s="51"/>
      <c r="B1052" s="52" t="str">
        <f t="shared" si="81"/>
        <v/>
      </c>
      <c r="C1052" t="str">
        <f t="shared" si="80"/>
        <v/>
      </c>
      <c r="D1052" s="245" t="str">
        <f t="shared" si="82"/>
        <v/>
      </c>
      <c r="E1052" s="534"/>
      <c r="F1052" s="534"/>
    </row>
    <row r="1053" spans="1:6" ht="15" customHeight="1">
      <c r="A1053" s="51"/>
      <c r="B1053" s="52" t="str">
        <f t="shared" si="81"/>
        <v/>
      </c>
      <c r="C1053" t="str">
        <f t="shared" si="80"/>
        <v/>
      </c>
      <c r="D1053" s="245" t="str">
        <f t="shared" si="82"/>
        <v/>
      </c>
      <c r="E1053" s="534"/>
      <c r="F1053" s="534"/>
    </row>
    <row r="1054" spans="1:6" ht="15" customHeight="1">
      <c r="A1054" s="51"/>
      <c r="B1054" s="52" t="str">
        <f t="shared" si="81"/>
        <v/>
      </c>
      <c r="C1054" t="str">
        <f t="shared" si="80"/>
        <v/>
      </c>
      <c r="D1054" s="245" t="str">
        <f t="shared" si="82"/>
        <v/>
      </c>
      <c r="E1054" s="534"/>
      <c r="F1054" s="534"/>
    </row>
    <row r="1055" spans="1:6" ht="15" customHeight="1">
      <c r="A1055" s="51"/>
      <c r="B1055" s="52" t="str">
        <f t="shared" si="81"/>
        <v/>
      </c>
      <c r="C1055" t="str">
        <f t="shared" si="80"/>
        <v/>
      </c>
      <c r="D1055" s="245" t="str">
        <f t="shared" si="82"/>
        <v/>
      </c>
      <c r="E1055" s="534"/>
      <c r="F1055" s="534"/>
    </row>
    <row r="1056" spans="1:6" ht="15" customHeight="1">
      <c r="A1056" s="51"/>
      <c r="B1056" s="52" t="str">
        <f t="shared" si="81"/>
        <v/>
      </c>
      <c r="C1056" t="str">
        <f t="shared" si="80"/>
        <v/>
      </c>
      <c r="D1056" s="245" t="str">
        <f t="shared" si="82"/>
        <v/>
      </c>
      <c r="E1056" s="534"/>
      <c r="F1056" s="534"/>
    </row>
    <row r="1057" spans="1:6" ht="15" customHeight="1">
      <c r="A1057" s="51"/>
      <c r="B1057" s="52" t="str">
        <f t="shared" si="81"/>
        <v/>
      </c>
      <c r="C1057" t="str">
        <f t="shared" si="80"/>
        <v/>
      </c>
      <c r="D1057" s="245" t="str">
        <f t="shared" si="82"/>
        <v/>
      </c>
      <c r="E1057" s="534"/>
      <c r="F1057" s="534"/>
    </row>
    <row r="1058" spans="1:6" ht="15" customHeight="1">
      <c r="A1058" s="51"/>
      <c r="B1058" s="52" t="str">
        <f t="shared" si="81"/>
        <v/>
      </c>
      <c r="C1058" t="str">
        <f t="shared" si="80"/>
        <v/>
      </c>
      <c r="D1058" s="245" t="str">
        <f t="shared" si="82"/>
        <v/>
      </c>
      <c r="E1058" s="534"/>
      <c r="F1058" s="534"/>
    </row>
    <row r="1059" spans="1:6" ht="15" customHeight="1">
      <c r="A1059" s="51"/>
      <c r="B1059" s="52" t="str">
        <f t="shared" si="81"/>
        <v/>
      </c>
      <c r="C1059" t="str">
        <f t="shared" si="80"/>
        <v/>
      </c>
      <c r="D1059" s="245" t="str">
        <f t="shared" si="82"/>
        <v/>
      </c>
      <c r="E1059" s="534"/>
      <c r="F1059" s="534"/>
    </row>
    <row r="1060" spans="1:6" ht="15" customHeight="1">
      <c r="A1060" s="51"/>
      <c r="B1060" s="52" t="str">
        <f t="shared" si="81"/>
        <v/>
      </c>
      <c r="C1060" t="str">
        <f t="shared" si="80"/>
        <v/>
      </c>
      <c r="D1060" s="245" t="str">
        <f t="shared" si="82"/>
        <v/>
      </c>
      <c r="E1060" s="534"/>
      <c r="F1060" s="534"/>
    </row>
    <row r="1061" spans="1:6" ht="15" customHeight="1">
      <c r="A1061" s="51"/>
      <c r="B1061" s="52" t="str">
        <f t="shared" si="81"/>
        <v/>
      </c>
      <c r="C1061" t="str">
        <f t="shared" si="80"/>
        <v/>
      </c>
      <c r="D1061" s="245" t="str">
        <f t="shared" si="82"/>
        <v/>
      </c>
      <c r="E1061" s="534"/>
      <c r="F1061" s="534"/>
    </row>
    <row r="1062" spans="1:6" ht="15" customHeight="1">
      <c r="A1062" s="51"/>
      <c r="B1062" s="52" t="str">
        <f t="shared" si="81"/>
        <v/>
      </c>
      <c r="C1062" t="str">
        <f t="shared" si="80"/>
        <v/>
      </c>
      <c r="D1062" s="245" t="str">
        <f t="shared" si="82"/>
        <v/>
      </c>
      <c r="E1062" s="534"/>
      <c r="F1062" s="534"/>
    </row>
    <row r="1063" spans="1:6" ht="15" customHeight="1">
      <c r="A1063" s="51"/>
      <c r="B1063" s="52" t="str">
        <f t="shared" si="81"/>
        <v/>
      </c>
      <c r="C1063" t="str">
        <f t="shared" si="80"/>
        <v/>
      </c>
      <c r="D1063" s="245" t="str">
        <f t="shared" si="82"/>
        <v/>
      </c>
      <c r="E1063" s="534"/>
      <c r="F1063" s="534"/>
    </row>
    <row r="1064" spans="1:6" ht="15" customHeight="1">
      <c r="A1064" s="51"/>
      <c r="B1064" s="52" t="str">
        <f t="shared" si="81"/>
        <v/>
      </c>
      <c r="C1064" t="str">
        <f t="shared" si="80"/>
        <v/>
      </c>
      <c r="D1064" s="245" t="str">
        <f t="shared" si="82"/>
        <v/>
      </c>
      <c r="E1064" s="534"/>
      <c r="F1064" s="534"/>
    </row>
    <row r="1065" spans="1:6" ht="15" customHeight="1">
      <c r="A1065" s="51"/>
      <c r="B1065" s="52" t="str">
        <f t="shared" si="81"/>
        <v/>
      </c>
      <c r="C1065" t="str">
        <f t="shared" si="80"/>
        <v/>
      </c>
      <c r="D1065" s="245" t="str">
        <f t="shared" si="82"/>
        <v/>
      </c>
      <c r="E1065" s="534"/>
      <c r="F1065" s="534"/>
    </row>
    <row r="1066" spans="1:6" ht="15" customHeight="1">
      <c r="A1066" s="51"/>
      <c r="B1066" s="52" t="str">
        <f t="shared" si="81"/>
        <v/>
      </c>
      <c r="C1066" t="str">
        <f t="shared" si="80"/>
        <v/>
      </c>
      <c r="D1066" s="245" t="str">
        <f t="shared" si="82"/>
        <v/>
      </c>
      <c r="E1066" s="534"/>
      <c r="F1066" s="534"/>
    </row>
    <row r="1067" spans="1:6" ht="15" customHeight="1">
      <c r="A1067" s="51"/>
      <c r="B1067" s="52" t="str">
        <f t="shared" si="81"/>
        <v/>
      </c>
      <c r="C1067" t="str">
        <f t="shared" si="80"/>
        <v/>
      </c>
      <c r="D1067" s="245" t="str">
        <f t="shared" si="82"/>
        <v/>
      </c>
      <c r="E1067" s="534"/>
      <c r="F1067" s="534"/>
    </row>
    <row r="1068" spans="1:6" ht="15" customHeight="1">
      <c r="A1068" s="51"/>
      <c r="B1068" s="52" t="str">
        <f t="shared" si="81"/>
        <v/>
      </c>
      <c r="C1068" t="str">
        <f t="shared" si="80"/>
        <v/>
      </c>
      <c r="D1068" s="245" t="str">
        <f t="shared" si="82"/>
        <v/>
      </c>
      <c r="E1068" s="534"/>
      <c r="F1068" s="534"/>
    </row>
    <row r="1069" spans="1:6" ht="15" customHeight="1">
      <c r="A1069" s="51"/>
      <c r="B1069" s="52" t="str">
        <f t="shared" si="81"/>
        <v/>
      </c>
      <c r="C1069" t="str">
        <f t="shared" si="80"/>
        <v/>
      </c>
      <c r="D1069" s="245" t="str">
        <f t="shared" si="82"/>
        <v/>
      </c>
      <c r="E1069" s="534"/>
      <c r="F1069" s="534"/>
    </row>
    <row r="1070" spans="1:6" ht="15" customHeight="1">
      <c r="A1070" s="51"/>
      <c r="B1070" s="52" t="str">
        <f t="shared" si="81"/>
        <v/>
      </c>
      <c r="C1070" t="str">
        <f t="shared" si="80"/>
        <v/>
      </c>
      <c r="D1070" s="245" t="str">
        <f t="shared" si="82"/>
        <v/>
      </c>
      <c r="E1070" s="534"/>
      <c r="F1070" s="534"/>
    </row>
    <row r="1071" spans="1:6" ht="15" customHeight="1">
      <c r="A1071" s="51"/>
      <c r="B1071" s="52" t="str">
        <f t="shared" si="81"/>
        <v/>
      </c>
      <c r="C1071" t="str">
        <f t="shared" si="80"/>
        <v/>
      </c>
      <c r="D1071" s="245" t="str">
        <f t="shared" si="82"/>
        <v/>
      </c>
      <c r="E1071" s="534"/>
      <c r="F1071" s="534"/>
    </row>
    <row r="1072" spans="1:6" ht="15" customHeight="1">
      <c r="A1072" s="51"/>
      <c r="B1072" s="52" t="str">
        <f t="shared" si="81"/>
        <v/>
      </c>
      <c r="C1072" t="str">
        <f t="shared" si="80"/>
        <v/>
      </c>
      <c r="D1072" s="245" t="str">
        <f t="shared" si="82"/>
        <v/>
      </c>
      <c r="E1072" s="534"/>
      <c r="F1072" s="534"/>
    </row>
    <row r="1073" spans="1:6" ht="15" customHeight="1">
      <c r="A1073" s="51"/>
      <c r="B1073" s="52" t="str">
        <f t="shared" si="81"/>
        <v/>
      </c>
      <c r="C1073" t="str">
        <f t="shared" si="80"/>
        <v/>
      </c>
      <c r="D1073" s="245" t="str">
        <f t="shared" si="82"/>
        <v/>
      </c>
      <c r="E1073" s="534"/>
      <c r="F1073" s="534"/>
    </row>
    <row r="1074" spans="1:6" ht="15" customHeight="1">
      <c r="A1074" s="51"/>
      <c r="B1074" s="52" t="str">
        <f t="shared" si="81"/>
        <v/>
      </c>
      <c r="C1074" t="str">
        <f t="shared" si="80"/>
        <v/>
      </c>
      <c r="D1074" s="245" t="str">
        <f t="shared" si="82"/>
        <v/>
      </c>
      <c r="E1074" s="534"/>
      <c r="F1074" s="534"/>
    </row>
    <row r="1075" spans="1:6" ht="15" customHeight="1">
      <c r="A1075" s="51"/>
      <c r="B1075" s="52" t="str">
        <f t="shared" si="81"/>
        <v/>
      </c>
      <c r="C1075" t="str">
        <f t="shared" si="80"/>
        <v/>
      </c>
      <c r="D1075" s="245" t="str">
        <f t="shared" si="82"/>
        <v/>
      </c>
      <c r="E1075" s="534"/>
      <c r="F1075" s="534"/>
    </row>
    <row r="1076" spans="1:6" ht="15" customHeight="1">
      <c r="A1076" s="51"/>
      <c r="B1076" s="52" t="str">
        <f t="shared" si="81"/>
        <v/>
      </c>
      <c r="C1076" t="str">
        <f t="shared" si="80"/>
        <v/>
      </c>
      <c r="D1076" s="245" t="str">
        <f t="shared" si="82"/>
        <v/>
      </c>
      <c r="E1076" s="534"/>
      <c r="F1076" s="534"/>
    </row>
    <row r="1077" spans="1:6" ht="15" customHeight="1">
      <c r="A1077" s="51"/>
      <c r="B1077" s="52" t="str">
        <f t="shared" si="81"/>
        <v/>
      </c>
      <c r="C1077" t="str">
        <f t="shared" si="80"/>
        <v/>
      </c>
      <c r="D1077" s="245" t="str">
        <f t="shared" si="82"/>
        <v/>
      </c>
      <c r="E1077" s="534"/>
      <c r="F1077" s="534"/>
    </row>
    <row r="1078" spans="1:6" ht="15" customHeight="1">
      <c r="A1078" s="51"/>
      <c r="B1078" s="52" t="str">
        <f t="shared" si="81"/>
        <v/>
      </c>
      <c r="C1078" t="str">
        <f t="shared" si="80"/>
        <v/>
      </c>
      <c r="D1078" s="245" t="str">
        <f t="shared" si="82"/>
        <v/>
      </c>
      <c r="E1078" s="534"/>
      <c r="F1078" s="534"/>
    </row>
    <row r="1079" spans="1:6" ht="15" customHeight="1">
      <c r="A1079" s="51"/>
      <c r="B1079" s="52" t="str">
        <f t="shared" si="81"/>
        <v/>
      </c>
      <c r="C1079" t="str">
        <f t="shared" si="80"/>
        <v/>
      </c>
      <c r="D1079" s="245" t="str">
        <f t="shared" si="82"/>
        <v/>
      </c>
      <c r="E1079" s="534"/>
      <c r="F1079" s="534"/>
    </row>
    <row r="1080" spans="1:6" ht="15" customHeight="1">
      <c r="A1080" s="51"/>
      <c r="B1080" s="52" t="str">
        <f t="shared" si="81"/>
        <v/>
      </c>
      <c r="C1080" t="str">
        <f t="shared" si="80"/>
        <v/>
      </c>
      <c r="D1080" s="245" t="str">
        <f t="shared" si="82"/>
        <v/>
      </c>
      <c r="E1080" s="534"/>
      <c r="F1080" s="534"/>
    </row>
    <row r="1081" spans="1:6" ht="15" customHeight="1">
      <c r="A1081" s="51"/>
      <c r="B1081" s="52" t="str">
        <f t="shared" si="81"/>
        <v/>
      </c>
      <c r="C1081" t="str">
        <f t="shared" si="80"/>
        <v/>
      </c>
      <c r="D1081" s="245" t="str">
        <f t="shared" si="82"/>
        <v/>
      </c>
      <c r="E1081" s="534"/>
      <c r="F1081" s="534"/>
    </row>
    <row r="1082" spans="1:6" ht="15" customHeight="1">
      <c r="A1082" s="51"/>
      <c r="B1082" s="52" t="str">
        <f t="shared" si="81"/>
        <v/>
      </c>
      <c r="C1082" t="str">
        <f t="shared" si="80"/>
        <v/>
      </c>
      <c r="D1082" s="245" t="str">
        <f t="shared" si="82"/>
        <v/>
      </c>
      <c r="E1082" s="534"/>
      <c r="F1082" s="534"/>
    </row>
    <row r="1083" spans="1:6" ht="15" customHeight="1">
      <c r="A1083" s="51"/>
      <c r="B1083" s="52" t="str">
        <f t="shared" si="81"/>
        <v/>
      </c>
      <c r="C1083" t="str">
        <f t="shared" si="80"/>
        <v/>
      </c>
      <c r="D1083" s="245" t="str">
        <f t="shared" si="82"/>
        <v/>
      </c>
      <c r="E1083" s="534"/>
      <c r="F1083" s="534"/>
    </row>
    <row r="1084" spans="1:6" ht="15" customHeight="1">
      <c r="A1084" s="51"/>
      <c r="B1084" s="52" t="str">
        <f t="shared" si="81"/>
        <v/>
      </c>
      <c r="C1084" t="str">
        <f t="shared" si="80"/>
        <v/>
      </c>
      <c r="D1084" s="245" t="str">
        <f t="shared" si="82"/>
        <v/>
      </c>
      <c r="E1084" s="534"/>
      <c r="F1084" s="534"/>
    </row>
    <row r="1085" spans="1:6" ht="15" customHeight="1">
      <c r="A1085" s="51"/>
      <c r="B1085" s="52" t="str">
        <f t="shared" si="81"/>
        <v/>
      </c>
      <c r="C1085" t="str">
        <f t="shared" si="80"/>
        <v/>
      </c>
      <c r="D1085" s="245" t="str">
        <f t="shared" si="82"/>
        <v/>
      </c>
      <c r="E1085" s="534"/>
      <c r="F1085" s="534"/>
    </row>
    <row r="1086" spans="1:6" ht="15" customHeight="1">
      <c r="A1086" s="51"/>
      <c r="B1086" s="52" t="str">
        <f t="shared" si="81"/>
        <v/>
      </c>
      <c r="C1086" t="str">
        <f t="shared" si="80"/>
        <v/>
      </c>
      <c r="D1086" s="245" t="str">
        <f t="shared" si="82"/>
        <v/>
      </c>
      <c r="E1086" s="534"/>
      <c r="F1086" s="534"/>
    </row>
    <row r="1087" spans="1:6" ht="15" customHeight="1">
      <c r="A1087" s="51"/>
      <c r="B1087" s="52" t="str">
        <f t="shared" si="81"/>
        <v/>
      </c>
      <c r="C1087" t="str">
        <f t="shared" si="80"/>
        <v/>
      </c>
      <c r="D1087" s="245" t="str">
        <f t="shared" si="82"/>
        <v/>
      </c>
      <c r="E1087" s="534"/>
      <c r="F1087" s="534"/>
    </row>
    <row r="1088" spans="1:6" ht="15" customHeight="1">
      <c r="A1088" s="51"/>
      <c r="B1088" s="52" t="str">
        <f t="shared" si="81"/>
        <v/>
      </c>
      <c r="C1088" t="str">
        <f t="shared" si="80"/>
        <v/>
      </c>
      <c r="D1088" s="245" t="str">
        <f t="shared" si="82"/>
        <v/>
      </c>
      <c r="E1088" s="534"/>
      <c r="F1088" s="534"/>
    </row>
    <row r="1089" spans="1:6" ht="15" customHeight="1">
      <c r="A1089" s="51"/>
      <c r="B1089" s="52" t="str">
        <f t="shared" si="81"/>
        <v/>
      </c>
      <c r="C1089" t="str">
        <f t="shared" si="80"/>
        <v/>
      </c>
      <c r="D1089" s="245" t="str">
        <f t="shared" si="82"/>
        <v/>
      </c>
      <c r="E1089" s="534"/>
      <c r="F1089" s="534"/>
    </row>
    <row r="1090" spans="1:6" ht="15" customHeight="1">
      <c r="A1090" s="51"/>
      <c r="B1090" s="52" t="str">
        <f t="shared" si="81"/>
        <v/>
      </c>
      <c r="C1090" t="str">
        <f t="shared" ref="C1090:C1153" si="83">IF(A1090&lt;&gt;"",TEXT(A1090,"aaaa"),"")</f>
        <v/>
      </c>
      <c r="D1090" s="245" t="str">
        <f t="shared" si="82"/>
        <v/>
      </c>
      <c r="E1090" s="534"/>
      <c r="F1090" s="534"/>
    </row>
    <row r="1091" spans="1:6" ht="15" customHeight="1">
      <c r="A1091" s="51"/>
      <c r="B1091" s="52" t="str">
        <f t="shared" si="81"/>
        <v/>
      </c>
      <c r="C1091" t="str">
        <f t="shared" si="83"/>
        <v/>
      </c>
      <c r="D1091" s="245" t="str">
        <f t="shared" si="82"/>
        <v/>
      </c>
      <c r="E1091" s="534"/>
      <c r="F1091" s="534"/>
    </row>
    <row r="1092" spans="1:6" ht="15" customHeight="1">
      <c r="A1092" s="51"/>
      <c r="B1092" s="52" t="str">
        <f t="shared" si="81"/>
        <v/>
      </c>
      <c r="C1092" t="str">
        <f t="shared" si="83"/>
        <v/>
      </c>
      <c r="D1092" s="245" t="str">
        <f t="shared" si="82"/>
        <v/>
      </c>
      <c r="E1092" s="534"/>
      <c r="F1092" s="534"/>
    </row>
    <row r="1093" spans="1:6" ht="15" customHeight="1">
      <c r="A1093" s="51"/>
      <c r="B1093" s="52" t="str">
        <f t="shared" si="81"/>
        <v/>
      </c>
      <c r="C1093" t="str">
        <f t="shared" si="83"/>
        <v/>
      </c>
      <c r="D1093" s="245" t="str">
        <f t="shared" si="82"/>
        <v/>
      </c>
      <c r="E1093" s="534"/>
      <c r="F1093" s="534"/>
    </row>
    <row r="1094" spans="1:6" ht="15" customHeight="1">
      <c r="A1094" s="51"/>
      <c r="B1094" s="52" t="str">
        <f t="shared" si="81"/>
        <v/>
      </c>
      <c r="C1094" t="str">
        <f t="shared" si="83"/>
        <v/>
      </c>
      <c r="D1094" s="245" t="str">
        <f t="shared" si="82"/>
        <v/>
      </c>
      <c r="E1094" s="534"/>
      <c r="F1094" s="534"/>
    </row>
    <row r="1095" spans="1:6" ht="15" customHeight="1">
      <c r="A1095" s="51"/>
      <c r="B1095" s="52" t="str">
        <f t="shared" si="81"/>
        <v/>
      </c>
      <c r="C1095" t="str">
        <f t="shared" si="83"/>
        <v/>
      </c>
      <c r="D1095" s="245" t="str">
        <f t="shared" si="82"/>
        <v/>
      </c>
      <c r="E1095" s="534"/>
      <c r="F1095" s="534"/>
    </row>
    <row r="1096" spans="1:6" ht="15" customHeight="1">
      <c r="A1096" s="51"/>
      <c r="B1096" s="52" t="str">
        <f t="shared" ref="B1096:B1159" si="84">IF(A1096="","",TEXT(A1096,"DDDD"))</f>
        <v/>
      </c>
      <c r="C1096" t="str">
        <f t="shared" si="83"/>
        <v/>
      </c>
      <c r="D1096" s="245" t="str">
        <f t="shared" si="82"/>
        <v/>
      </c>
      <c r="E1096" s="534"/>
      <c r="F1096" s="534"/>
    </row>
    <row r="1097" spans="1:6" ht="15" customHeight="1">
      <c r="A1097" s="51"/>
      <c r="B1097" s="52" t="str">
        <f t="shared" si="84"/>
        <v/>
      </c>
      <c r="C1097" t="str">
        <f t="shared" si="83"/>
        <v/>
      </c>
      <c r="D1097" s="245" t="str">
        <f t="shared" ref="D1097:D1160" si="85">IF(A1097&lt;&gt;"",PROPER(TEXT(A1097,"Mmmm")),"")</f>
        <v/>
      </c>
      <c r="E1097" s="534"/>
      <c r="F1097" s="534"/>
    </row>
    <row r="1098" spans="1:6" ht="15" customHeight="1">
      <c r="A1098" s="51"/>
      <c r="B1098" s="52" t="str">
        <f t="shared" si="84"/>
        <v/>
      </c>
      <c r="C1098" t="str">
        <f t="shared" si="83"/>
        <v/>
      </c>
      <c r="D1098" s="245" t="str">
        <f t="shared" si="85"/>
        <v/>
      </c>
      <c r="E1098" s="534"/>
      <c r="F1098" s="534"/>
    </row>
    <row r="1099" spans="1:6" ht="15" customHeight="1">
      <c r="A1099" s="51"/>
      <c r="B1099" s="52" t="str">
        <f t="shared" si="84"/>
        <v/>
      </c>
      <c r="C1099" t="str">
        <f t="shared" si="83"/>
        <v/>
      </c>
      <c r="D1099" s="245" t="str">
        <f t="shared" si="85"/>
        <v/>
      </c>
      <c r="E1099" s="534"/>
      <c r="F1099" s="534"/>
    </row>
    <row r="1100" spans="1:6" ht="15" customHeight="1">
      <c r="A1100" s="51"/>
      <c r="B1100" s="52" t="str">
        <f t="shared" si="84"/>
        <v/>
      </c>
      <c r="C1100" t="str">
        <f t="shared" si="83"/>
        <v/>
      </c>
      <c r="D1100" s="245" t="str">
        <f t="shared" si="85"/>
        <v/>
      </c>
      <c r="E1100" s="534"/>
      <c r="F1100" s="534"/>
    </row>
    <row r="1101" spans="1:6" ht="15" customHeight="1">
      <c r="A1101" s="51"/>
      <c r="B1101" s="52" t="str">
        <f t="shared" si="84"/>
        <v/>
      </c>
      <c r="C1101" t="str">
        <f t="shared" si="83"/>
        <v/>
      </c>
      <c r="D1101" s="245" t="str">
        <f t="shared" si="85"/>
        <v/>
      </c>
      <c r="E1101" s="534"/>
      <c r="F1101" s="534"/>
    </row>
    <row r="1102" spans="1:6" ht="15" customHeight="1">
      <c r="A1102" s="51"/>
      <c r="B1102" s="52" t="str">
        <f t="shared" si="84"/>
        <v/>
      </c>
      <c r="C1102" t="str">
        <f t="shared" si="83"/>
        <v/>
      </c>
      <c r="D1102" s="245" t="str">
        <f t="shared" si="85"/>
        <v/>
      </c>
      <c r="E1102" s="534"/>
      <c r="F1102" s="534"/>
    </row>
    <row r="1103" spans="1:6" ht="15" customHeight="1">
      <c r="A1103" s="51"/>
      <c r="B1103" s="52" t="str">
        <f t="shared" si="84"/>
        <v/>
      </c>
      <c r="C1103" t="str">
        <f t="shared" si="83"/>
        <v/>
      </c>
      <c r="D1103" s="245" t="str">
        <f t="shared" si="85"/>
        <v/>
      </c>
      <c r="E1103" s="534"/>
      <c r="F1103" s="534"/>
    </row>
    <row r="1104" spans="1:6" ht="15" customHeight="1">
      <c r="A1104" s="51"/>
      <c r="B1104" s="52" t="str">
        <f t="shared" si="84"/>
        <v/>
      </c>
      <c r="C1104" t="str">
        <f t="shared" si="83"/>
        <v/>
      </c>
      <c r="D1104" s="245" t="str">
        <f t="shared" si="85"/>
        <v/>
      </c>
      <c r="E1104" s="534"/>
      <c r="F1104" s="534"/>
    </row>
    <row r="1105" spans="1:6" ht="15" customHeight="1">
      <c r="A1105" s="51"/>
      <c r="B1105" s="52" t="str">
        <f t="shared" si="84"/>
        <v/>
      </c>
      <c r="C1105" t="str">
        <f t="shared" si="83"/>
        <v/>
      </c>
      <c r="D1105" s="245" t="str">
        <f t="shared" si="85"/>
        <v/>
      </c>
      <c r="E1105" s="534"/>
      <c r="F1105" s="534"/>
    </row>
    <row r="1106" spans="1:6" ht="15" customHeight="1">
      <c r="A1106" s="51"/>
      <c r="B1106" s="52" t="str">
        <f t="shared" si="84"/>
        <v/>
      </c>
      <c r="C1106" t="str">
        <f t="shared" si="83"/>
        <v/>
      </c>
      <c r="D1106" s="245" t="str">
        <f t="shared" si="85"/>
        <v/>
      </c>
      <c r="E1106" s="534"/>
      <c r="F1106" s="534"/>
    </row>
    <row r="1107" spans="1:6" ht="15" customHeight="1">
      <c r="A1107" s="51"/>
      <c r="B1107" s="52" t="str">
        <f t="shared" si="84"/>
        <v/>
      </c>
      <c r="C1107" t="str">
        <f t="shared" si="83"/>
        <v/>
      </c>
      <c r="D1107" s="245" t="str">
        <f t="shared" si="85"/>
        <v/>
      </c>
      <c r="E1107" s="534"/>
      <c r="F1107" s="534"/>
    </row>
    <row r="1108" spans="1:6" ht="15" customHeight="1">
      <c r="A1108" s="51"/>
      <c r="B1108" s="52" t="str">
        <f t="shared" si="84"/>
        <v/>
      </c>
      <c r="C1108" t="str">
        <f t="shared" si="83"/>
        <v/>
      </c>
      <c r="D1108" s="245" t="str">
        <f t="shared" si="85"/>
        <v/>
      </c>
      <c r="E1108" s="534"/>
      <c r="F1108" s="534"/>
    </row>
    <row r="1109" spans="1:6" ht="15" customHeight="1">
      <c r="A1109" s="51"/>
      <c r="B1109" s="52" t="str">
        <f t="shared" si="84"/>
        <v/>
      </c>
      <c r="C1109" t="str">
        <f t="shared" si="83"/>
        <v/>
      </c>
      <c r="D1109" s="245" t="str">
        <f t="shared" si="85"/>
        <v/>
      </c>
      <c r="E1109" s="534"/>
      <c r="F1109" s="534"/>
    </row>
    <row r="1110" spans="1:6" ht="15" customHeight="1">
      <c r="A1110" s="51"/>
      <c r="B1110" s="52" t="str">
        <f t="shared" si="84"/>
        <v/>
      </c>
      <c r="C1110" t="str">
        <f t="shared" si="83"/>
        <v/>
      </c>
      <c r="D1110" s="245" t="str">
        <f t="shared" si="85"/>
        <v/>
      </c>
      <c r="E1110" s="534"/>
      <c r="F1110" s="534"/>
    </row>
    <row r="1111" spans="1:6" ht="15" customHeight="1">
      <c r="A1111" s="51"/>
      <c r="B1111" s="52" t="str">
        <f t="shared" si="84"/>
        <v/>
      </c>
      <c r="C1111" t="str">
        <f t="shared" si="83"/>
        <v/>
      </c>
      <c r="D1111" s="245" t="str">
        <f t="shared" si="85"/>
        <v/>
      </c>
      <c r="E1111" s="534"/>
      <c r="F1111" s="534"/>
    </row>
    <row r="1112" spans="1:6" ht="15" customHeight="1">
      <c r="A1112" s="51"/>
      <c r="B1112" s="52" t="str">
        <f t="shared" si="84"/>
        <v/>
      </c>
      <c r="C1112" t="str">
        <f t="shared" si="83"/>
        <v/>
      </c>
      <c r="D1112" s="245" t="str">
        <f t="shared" si="85"/>
        <v/>
      </c>
      <c r="E1112" s="534"/>
      <c r="F1112" s="534"/>
    </row>
    <row r="1113" spans="1:6" ht="15" customHeight="1">
      <c r="A1113" s="51"/>
      <c r="B1113" s="52" t="str">
        <f t="shared" si="84"/>
        <v/>
      </c>
      <c r="C1113" t="str">
        <f t="shared" si="83"/>
        <v/>
      </c>
      <c r="D1113" s="245" t="str">
        <f t="shared" si="85"/>
        <v/>
      </c>
      <c r="E1113" s="534"/>
      <c r="F1113" s="534"/>
    </row>
    <row r="1114" spans="1:6" ht="15" customHeight="1">
      <c r="A1114" s="51"/>
      <c r="B1114" s="52" t="str">
        <f t="shared" si="84"/>
        <v/>
      </c>
      <c r="C1114" t="str">
        <f t="shared" si="83"/>
        <v/>
      </c>
      <c r="D1114" s="245" t="str">
        <f t="shared" si="85"/>
        <v/>
      </c>
      <c r="E1114" s="534"/>
      <c r="F1114" s="534"/>
    </row>
    <row r="1115" spans="1:6" ht="15" customHeight="1">
      <c r="A1115" s="51"/>
      <c r="B1115" s="52" t="str">
        <f t="shared" si="84"/>
        <v/>
      </c>
      <c r="C1115" t="str">
        <f t="shared" si="83"/>
        <v/>
      </c>
      <c r="D1115" s="245" t="str">
        <f t="shared" si="85"/>
        <v/>
      </c>
      <c r="E1115" s="534"/>
      <c r="F1115" s="534"/>
    </row>
    <row r="1116" spans="1:6" ht="15" customHeight="1">
      <c r="A1116" s="51"/>
      <c r="B1116" s="52" t="str">
        <f t="shared" si="84"/>
        <v/>
      </c>
      <c r="C1116" t="str">
        <f t="shared" si="83"/>
        <v/>
      </c>
      <c r="D1116" s="245" t="str">
        <f t="shared" si="85"/>
        <v/>
      </c>
      <c r="E1116" s="534"/>
      <c r="F1116" s="534"/>
    </row>
    <row r="1117" spans="1:6" ht="15" customHeight="1">
      <c r="A1117" s="51"/>
      <c r="B1117" s="52" t="str">
        <f t="shared" si="84"/>
        <v/>
      </c>
      <c r="C1117" t="str">
        <f t="shared" si="83"/>
        <v/>
      </c>
      <c r="D1117" s="245" t="str">
        <f t="shared" si="85"/>
        <v/>
      </c>
      <c r="E1117" s="534"/>
      <c r="F1117" s="534"/>
    </row>
    <row r="1118" spans="1:6" ht="15" customHeight="1">
      <c r="A1118" s="51"/>
      <c r="B1118" s="52" t="str">
        <f t="shared" si="84"/>
        <v/>
      </c>
      <c r="C1118" t="str">
        <f t="shared" si="83"/>
        <v/>
      </c>
      <c r="D1118" s="245" t="str">
        <f t="shared" si="85"/>
        <v/>
      </c>
      <c r="E1118" s="534"/>
      <c r="F1118" s="534"/>
    </row>
    <row r="1119" spans="1:6" ht="15" customHeight="1">
      <c r="A1119" s="51"/>
      <c r="B1119" s="52" t="str">
        <f t="shared" si="84"/>
        <v/>
      </c>
      <c r="C1119" t="str">
        <f t="shared" si="83"/>
        <v/>
      </c>
      <c r="D1119" s="245" t="str">
        <f t="shared" si="85"/>
        <v/>
      </c>
      <c r="E1119" s="534"/>
      <c r="F1119" s="534"/>
    </row>
    <row r="1120" spans="1:6" ht="15" customHeight="1">
      <c r="A1120" s="51"/>
      <c r="B1120" s="52" t="str">
        <f t="shared" si="84"/>
        <v/>
      </c>
      <c r="C1120" t="str">
        <f t="shared" si="83"/>
        <v/>
      </c>
      <c r="D1120" s="245" t="str">
        <f t="shared" si="85"/>
        <v/>
      </c>
      <c r="E1120" s="534"/>
      <c r="F1120" s="534"/>
    </row>
    <row r="1121" spans="1:6" ht="15" customHeight="1">
      <c r="A1121" s="51"/>
      <c r="B1121" s="52" t="str">
        <f t="shared" si="84"/>
        <v/>
      </c>
      <c r="C1121" t="str">
        <f t="shared" si="83"/>
        <v/>
      </c>
      <c r="D1121" s="245" t="str">
        <f t="shared" si="85"/>
        <v/>
      </c>
      <c r="E1121" s="534"/>
      <c r="F1121" s="534"/>
    </row>
    <row r="1122" spans="1:6" ht="15" customHeight="1">
      <c r="A1122" s="51"/>
      <c r="B1122" s="52" t="str">
        <f t="shared" si="84"/>
        <v/>
      </c>
      <c r="C1122" t="str">
        <f t="shared" si="83"/>
        <v/>
      </c>
      <c r="D1122" s="245" t="str">
        <f t="shared" si="85"/>
        <v/>
      </c>
      <c r="E1122" s="534"/>
      <c r="F1122" s="534"/>
    </row>
    <row r="1123" spans="1:6" ht="15" customHeight="1">
      <c r="A1123" s="51"/>
      <c r="B1123" s="52" t="str">
        <f t="shared" si="84"/>
        <v/>
      </c>
      <c r="C1123" t="str">
        <f t="shared" si="83"/>
        <v/>
      </c>
      <c r="D1123" s="245" t="str">
        <f t="shared" si="85"/>
        <v/>
      </c>
      <c r="E1123" s="534"/>
      <c r="F1123" s="534"/>
    </row>
    <row r="1124" spans="1:6" ht="15" customHeight="1">
      <c r="A1124" s="51"/>
      <c r="B1124" s="52" t="str">
        <f t="shared" si="84"/>
        <v/>
      </c>
      <c r="C1124" t="str">
        <f t="shared" si="83"/>
        <v/>
      </c>
      <c r="D1124" s="245" t="str">
        <f t="shared" si="85"/>
        <v/>
      </c>
      <c r="E1124" s="534"/>
      <c r="F1124" s="534"/>
    </row>
    <row r="1125" spans="1:6" ht="15" customHeight="1">
      <c r="A1125" s="51"/>
      <c r="B1125" s="52" t="str">
        <f t="shared" si="84"/>
        <v/>
      </c>
      <c r="C1125" t="str">
        <f t="shared" si="83"/>
        <v/>
      </c>
      <c r="D1125" s="245" t="str">
        <f t="shared" si="85"/>
        <v/>
      </c>
      <c r="E1125" s="534"/>
      <c r="F1125" s="534"/>
    </row>
    <row r="1126" spans="1:6" ht="15" customHeight="1">
      <c r="A1126" s="51"/>
      <c r="B1126" s="52" t="str">
        <f t="shared" si="84"/>
        <v/>
      </c>
      <c r="C1126" t="str">
        <f t="shared" si="83"/>
        <v/>
      </c>
      <c r="D1126" s="245" t="str">
        <f t="shared" si="85"/>
        <v/>
      </c>
      <c r="E1126" s="534"/>
      <c r="F1126" s="534"/>
    </row>
    <row r="1127" spans="1:6" ht="15" customHeight="1">
      <c r="A1127" s="51"/>
      <c r="B1127" s="52" t="str">
        <f t="shared" si="84"/>
        <v/>
      </c>
      <c r="C1127" t="str">
        <f t="shared" si="83"/>
        <v/>
      </c>
      <c r="D1127" s="245" t="str">
        <f t="shared" si="85"/>
        <v/>
      </c>
      <c r="E1127" s="534"/>
      <c r="F1127" s="534"/>
    </row>
    <row r="1128" spans="1:6" ht="15" customHeight="1">
      <c r="A1128" s="51"/>
      <c r="B1128" s="52" t="str">
        <f t="shared" si="84"/>
        <v/>
      </c>
      <c r="C1128" t="str">
        <f t="shared" si="83"/>
        <v/>
      </c>
      <c r="D1128" s="245" t="str">
        <f t="shared" si="85"/>
        <v/>
      </c>
      <c r="E1128" s="534"/>
      <c r="F1128" s="534"/>
    </row>
    <row r="1129" spans="1:6" ht="15" customHeight="1">
      <c r="A1129" s="51"/>
      <c r="B1129" s="52" t="str">
        <f t="shared" si="84"/>
        <v/>
      </c>
      <c r="C1129" t="str">
        <f t="shared" si="83"/>
        <v/>
      </c>
      <c r="D1129" s="245" t="str">
        <f t="shared" si="85"/>
        <v/>
      </c>
      <c r="E1129" s="534"/>
      <c r="F1129" s="534"/>
    </row>
    <row r="1130" spans="1:6" ht="15" customHeight="1">
      <c r="A1130" s="51"/>
      <c r="B1130" s="52" t="str">
        <f t="shared" si="84"/>
        <v/>
      </c>
      <c r="C1130" t="str">
        <f t="shared" si="83"/>
        <v/>
      </c>
      <c r="D1130" s="245" t="str">
        <f t="shared" si="85"/>
        <v/>
      </c>
      <c r="E1130" s="534"/>
      <c r="F1130" s="534"/>
    </row>
    <row r="1131" spans="1:6" ht="15" customHeight="1">
      <c r="A1131" s="51"/>
      <c r="B1131" s="52" t="str">
        <f t="shared" si="84"/>
        <v/>
      </c>
      <c r="C1131" t="str">
        <f t="shared" si="83"/>
        <v/>
      </c>
      <c r="D1131" s="245" t="str">
        <f t="shared" si="85"/>
        <v/>
      </c>
      <c r="E1131" s="534"/>
      <c r="F1131" s="534"/>
    </row>
    <row r="1132" spans="1:6" ht="15" customHeight="1">
      <c r="A1132" s="51"/>
      <c r="B1132" s="52" t="str">
        <f t="shared" si="84"/>
        <v/>
      </c>
      <c r="C1132" t="str">
        <f t="shared" si="83"/>
        <v/>
      </c>
      <c r="D1132" s="245" t="str">
        <f t="shared" si="85"/>
        <v/>
      </c>
      <c r="E1132" s="534"/>
      <c r="F1132" s="534"/>
    </row>
    <row r="1133" spans="1:6" ht="15" customHeight="1">
      <c r="A1133" s="51"/>
      <c r="B1133" s="52" t="str">
        <f t="shared" si="84"/>
        <v/>
      </c>
      <c r="C1133" t="str">
        <f t="shared" si="83"/>
        <v/>
      </c>
      <c r="D1133" s="245" t="str">
        <f t="shared" si="85"/>
        <v/>
      </c>
      <c r="E1133" s="534"/>
      <c r="F1133" s="534"/>
    </row>
    <row r="1134" spans="1:6" ht="15" customHeight="1">
      <c r="A1134" s="51"/>
      <c r="B1134" s="52" t="str">
        <f t="shared" si="84"/>
        <v/>
      </c>
      <c r="C1134" t="str">
        <f t="shared" si="83"/>
        <v/>
      </c>
      <c r="D1134" s="245" t="str">
        <f t="shared" si="85"/>
        <v/>
      </c>
      <c r="E1134" s="534"/>
      <c r="F1134" s="534"/>
    </row>
    <row r="1135" spans="1:6" ht="15" customHeight="1">
      <c r="A1135" s="51"/>
      <c r="B1135" s="52" t="str">
        <f t="shared" si="84"/>
        <v/>
      </c>
      <c r="C1135" t="str">
        <f t="shared" si="83"/>
        <v/>
      </c>
      <c r="D1135" s="245" t="str">
        <f t="shared" si="85"/>
        <v/>
      </c>
      <c r="E1135" s="534"/>
      <c r="F1135" s="534"/>
    </row>
    <row r="1136" spans="1:6" ht="15" customHeight="1">
      <c r="A1136" s="51"/>
      <c r="B1136" s="52" t="str">
        <f t="shared" si="84"/>
        <v/>
      </c>
      <c r="C1136" t="str">
        <f t="shared" si="83"/>
        <v/>
      </c>
      <c r="D1136" s="245" t="str">
        <f t="shared" si="85"/>
        <v/>
      </c>
      <c r="E1136" s="534"/>
      <c r="F1136" s="534"/>
    </row>
    <row r="1137" spans="1:6" ht="15" customHeight="1">
      <c r="A1137" s="51"/>
      <c r="B1137" s="52" t="str">
        <f t="shared" si="84"/>
        <v/>
      </c>
      <c r="C1137" t="str">
        <f t="shared" si="83"/>
        <v/>
      </c>
      <c r="D1137" s="245" t="str">
        <f t="shared" si="85"/>
        <v/>
      </c>
      <c r="E1137" s="534"/>
      <c r="F1137" s="534"/>
    </row>
    <row r="1138" spans="1:6" ht="15" customHeight="1">
      <c r="A1138" s="51"/>
      <c r="B1138" s="52" t="str">
        <f t="shared" si="84"/>
        <v/>
      </c>
      <c r="C1138" t="str">
        <f t="shared" si="83"/>
        <v/>
      </c>
      <c r="D1138" s="245" t="str">
        <f t="shared" si="85"/>
        <v/>
      </c>
      <c r="E1138" s="534"/>
      <c r="F1138" s="534"/>
    </row>
    <row r="1139" spans="1:6" ht="15" customHeight="1">
      <c r="A1139" s="51"/>
      <c r="B1139" s="52" t="str">
        <f t="shared" si="84"/>
        <v/>
      </c>
      <c r="C1139" t="str">
        <f t="shared" si="83"/>
        <v/>
      </c>
      <c r="D1139" s="245" t="str">
        <f t="shared" si="85"/>
        <v/>
      </c>
      <c r="E1139" s="534"/>
      <c r="F1139" s="534"/>
    </row>
    <row r="1140" spans="1:6" ht="15" customHeight="1">
      <c r="A1140" s="51"/>
      <c r="B1140" s="52" t="str">
        <f t="shared" si="84"/>
        <v/>
      </c>
      <c r="C1140" t="str">
        <f t="shared" si="83"/>
        <v/>
      </c>
      <c r="D1140" s="245" t="str">
        <f t="shared" si="85"/>
        <v/>
      </c>
      <c r="E1140" s="534"/>
      <c r="F1140" s="534"/>
    </row>
    <row r="1141" spans="1:6" ht="15" customHeight="1">
      <c r="A1141" s="51"/>
      <c r="B1141" s="52" t="str">
        <f t="shared" si="84"/>
        <v/>
      </c>
      <c r="C1141" t="str">
        <f t="shared" si="83"/>
        <v/>
      </c>
      <c r="D1141" s="245" t="str">
        <f t="shared" si="85"/>
        <v/>
      </c>
      <c r="E1141" s="534"/>
      <c r="F1141" s="534"/>
    </row>
    <row r="1142" spans="1:6" ht="15" customHeight="1">
      <c r="A1142" s="51"/>
      <c r="B1142" s="52" t="str">
        <f t="shared" si="84"/>
        <v/>
      </c>
      <c r="C1142" t="str">
        <f t="shared" si="83"/>
        <v/>
      </c>
      <c r="D1142" s="245" t="str">
        <f t="shared" si="85"/>
        <v/>
      </c>
      <c r="E1142" s="534"/>
      <c r="F1142" s="534"/>
    </row>
    <row r="1143" spans="1:6" ht="15" customHeight="1">
      <c r="A1143" s="51"/>
      <c r="B1143" s="52" t="str">
        <f t="shared" si="84"/>
        <v/>
      </c>
      <c r="C1143" t="str">
        <f t="shared" si="83"/>
        <v/>
      </c>
      <c r="D1143" s="245" t="str">
        <f t="shared" si="85"/>
        <v/>
      </c>
      <c r="E1143" s="534"/>
      <c r="F1143" s="534"/>
    </row>
    <row r="1144" spans="1:6" ht="15" customHeight="1">
      <c r="A1144" s="51"/>
      <c r="B1144" s="52" t="str">
        <f t="shared" si="84"/>
        <v/>
      </c>
      <c r="C1144" t="str">
        <f t="shared" si="83"/>
        <v/>
      </c>
      <c r="D1144" s="245" t="str">
        <f t="shared" si="85"/>
        <v/>
      </c>
      <c r="E1144" s="534"/>
      <c r="F1144" s="534"/>
    </row>
    <row r="1145" spans="1:6" ht="15" customHeight="1">
      <c r="A1145" s="51"/>
      <c r="B1145" s="52" t="str">
        <f t="shared" si="84"/>
        <v/>
      </c>
      <c r="C1145" t="str">
        <f t="shared" si="83"/>
        <v/>
      </c>
      <c r="D1145" s="245" t="str">
        <f t="shared" si="85"/>
        <v/>
      </c>
      <c r="E1145" s="534"/>
      <c r="F1145" s="534"/>
    </row>
    <row r="1146" spans="1:6" ht="15" customHeight="1">
      <c r="A1146" s="51"/>
      <c r="B1146" s="52" t="str">
        <f t="shared" si="84"/>
        <v/>
      </c>
      <c r="C1146" t="str">
        <f t="shared" si="83"/>
        <v/>
      </c>
      <c r="D1146" s="245" t="str">
        <f t="shared" si="85"/>
        <v/>
      </c>
      <c r="E1146" s="534"/>
      <c r="F1146" s="534"/>
    </row>
    <row r="1147" spans="1:6" ht="15" customHeight="1">
      <c r="A1147" s="51"/>
      <c r="B1147" s="52" t="str">
        <f t="shared" si="84"/>
        <v/>
      </c>
      <c r="C1147" t="str">
        <f t="shared" si="83"/>
        <v/>
      </c>
      <c r="D1147" s="245" t="str">
        <f t="shared" si="85"/>
        <v/>
      </c>
      <c r="E1147" s="534"/>
      <c r="F1147" s="534"/>
    </row>
    <row r="1148" spans="1:6" ht="15" customHeight="1">
      <c r="A1148" s="51"/>
      <c r="B1148" s="52" t="str">
        <f t="shared" si="84"/>
        <v/>
      </c>
      <c r="C1148" t="str">
        <f t="shared" si="83"/>
        <v/>
      </c>
      <c r="D1148" s="245" t="str">
        <f t="shared" si="85"/>
        <v/>
      </c>
      <c r="E1148" s="534"/>
      <c r="F1148" s="534"/>
    </row>
    <row r="1149" spans="1:6" ht="15" customHeight="1">
      <c r="A1149" s="51"/>
      <c r="B1149" s="52" t="str">
        <f t="shared" si="84"/>
        <v/>
      </c>
      <c r="C1149" t="str">
        <f t="shared" si="83"/>
        <v/>
      </c>
      <c r="D1149" s="245" t="str">
        <f t="shared" si="85"/>
        <v/>
      </c>
      <c r="E1149" s="534"/>
      <c r="F1149" s="534"/>
    </row>
    <row r="1150" spans="1:6" ht="15" customHeight="1">
      <c r="A1150" s="51"/>
      <c r="B1150" s="52" t="str">
        <f t="shared" si="84"/>
        <v/>
      </c>
      <c r="C1150" t="str">
        <f t="shared" si="83"/>
        <v/>
      </c>
      <c r="D1150" s="245" t="str">
        <f t="shared" si="85"/>
        <v/>
      </c>
      <c r="E1150" s="534"/>
      <c r="F1150" s="534"/>
    </row>
    <row r="1151" spans="1:6" ht="15" customHeight="1">
      <c r="A1151" s="51"/>
      <c r="B1151" s="52" t="str">
        <f t="shared" si="84"/>
        <v/>
      </c>
      <c r="C1151" t="str">
        <f t="shared" si="83"/>
        <v/>
      </c>
      <c r="D1151" s="245" t="str">
        <f t="shared" si="85"/>
        <v/>
      </c>
      <c r="E1151" s="534"/>
      <c r="F1151" s="534"/>
    </row>
    <row r="1152" spans="1:6" ht="15" customHeight="1">
      <c r="A1152" s="51"/>
      <c r="B1152" s="52" t="str">
        <f t="shared" si="84"/>
        <v/>
      </c>
      <c r="C1152" t="str">
        <f t="shared" si="83"/>
        <v/>
      </c>
      <c r="D1152" s="245" t="str">
        <f t="shared" si="85"/>
        <v/>
      </c>
      <c r="E1152" s="534"/>
      <c r="F1152" s="534"/>
    </row>
    <row r="1153" spans="1:6" ht="15" customHeight="1">
      <c r="A1153" s="51"/>
      <c r="B1153" s="52" t="str">
        <f t="shared" si="84"/>
        <v/>
      </c>
      <c r="C1153" t="str">
        <f t="shared" si="83"/>
        <v/>
      </c>
      <c r="D1153" s="245" t="str">
        <f t="shared" si="85"/>
        <v/>
      </c>
      <c r="E1153" s="534"/>
      <c r="F1153" s="534"/>
    </row>
    <row r="1154" spans="1:6" ht="15" customHeight="1">
      <c r="A1154" s="51"/>
      <c r="B1154" s="52" t="str">
        <f t="shared" si="84"/>
        <v/>
      </c>
      <c r="C1154" t="str">
        <f t="shared" ref="C1154:C1217" si="86">IF(A1154&lt;&gt;"",TEXT(A1154,"aaaa"),"")</f>
        <v/>
      </c>
      <c r="D1154" s="245" t="str">
        <f t="shared" si="85"/>
        <v/>
      </c>
      <c r="E1154" s="534"/>
      <c r="F1154" s="534"/>
    </row>
    <row r="1155" spans="1:6" ht="15" customHeight="1">
      <c r="A1155" s="51"/>
      <c r="B1155" s="52" t="str">
        <f t="shared" si="84"/>
        <v/>
      </c>
      <c r="C1155" t="str">
        <f t="shared" si="86"/>
        <v/>
      </c>
      <c r="D1155" s="245" t="str">
        <f t="shared" si="85"/>
        <v/>
      </c>
      <c r="E1155" s="534"/>
      <c r="F1155" s="534"/>
    </row>
    <row r="1156" spans="1:6" ht="15" customHeight="1">
      <c r="A1156" s="51"/>
      <c r="B1156" s="52" t="str">
        <f t="shared" si="84"/>
        <v/>
      </c>
      <c r="C1156" t="str">
        <f t="shared" si="86"/>
        <v/>
      </c>
      <c r="D1156" s="245" t="str">
        <f t="shared" si="85"/>
        <v/>
      </c>
      <c r="E1156" s="534"/>
      <c r="F1156" s="534"/>
    </row>
    <row r="1157" spans="1:6" ht="15" customHeight="1">
      <c r="A1157" s="51"/>
      <c r="B1157" s="52" t="str">
        <f t="shared" si="84"/>
        <v/>
      </c>
      <c r="C1157" t="str">
        <f t="shared" si="86"/>
        <v/>
      </c>
      <c r="D1157" s="245" t="str">
        <f t="shared" si="85"/>
        <v/>
      </c>
      <c r="E1157" s="534"/>
      <c r="F1157" s="534"/>
    </row>
    <row r="1158" spans="1:6" ht="15" customHeight="1">
      <c r="A1158" s="51"/>
      <c r="B1158" s="52" t="str">
        <f t="shared" si="84"/>
        <v/>
      </c>
      <c r="C1158" t="str">
        <f t="shared" si="86"/>
        <v/>
      </c>
      <c r="D1158" s="245" t="str">
        <f t="shared" si="85"/>
        <v/>
      </c>
      <c r="E1158" s="534"/>
      <c r="F1158" s="534"/>
    </row>
    <row r="1159" spans="1:6" ht="15" customHeight="1">
      <c r="A1159" s="51"/>
      <c r="B1159" s="52" t="str">
        <f t="shared" si="84"/>
        <v/>
      </c>
      <c r="C1159" t="str">
        <f t="shared" si="86"/>
        <v/>
      </c>
      <c r="D1159" s="245" t="str">
        <f t="shared" si="85"/>
        <v/>
      </c>
      <c r="E1159" s="534"/>
      <c r="F1159" s="534"/>
    </row>
    <row r="1160" spans="1:6" ht="15" customHeight="1">
      <c r="A1160" s="51"/>
      <c r="B1160" s="52" t="str">
        <f t="shared" ref="B1160:B1223" si="87">IF(A1160="","",TEXT(A1160,"DDDD"))</f>
        <v/>
      </c>
      <c r="C1160" t="str">
        <f t="shared" si="86"/>
        <v/>
      </c>
      <c r="D1160" s="245" t="str">
        <f t="shared" si="85"/>
        <v/>
      </c>
      <c r="E1160" s="534"/>
      <c r="F1160" s="534"/>
    </row>
    <row r="1161" spans="1:6" ht="15" customHeight="1">
      <c r="A1161" s="51"/>
      <c r="B1161" s="52" t="str">
        <f t="shared" si="87"/>
        <v/>
      </c>
      <c r="C1161" t="str">
        <f t="shared" si="86"/>
        <v/>
      </c>
      <c r="D1161" s="245" t="str">
        <f t="shared" ref="D1161:D1224" si="88">IF(A1161&lt;&gt;"",PROPER(TEXT(A1161,"Mmmm")),"")</f>
        <v/>
      </c>
      <c r="E1161" s="534"/>
      <c r="F1161" s="534"/>
    </row>
    <row r="1162" spans="1:6" ht="15" customHeight="1">
      <c r="A1162" s="51"/>
      <c r="B1162" s="52" t="str">
        <f t="shared" si="87"/>
        <v/>
      </c>
      <c r="C1162" t="str">
        <f t="shared" si="86"/>
        <v/>
      </c>
      <c r="D1162" s="245" t="str">
        <f t="shared" si="88"/>
        <v/>
      </c>
      <c r="E1162" s="534"/>
      <c r="F1162" s="534"/>
    </row>
    <row r="1163" spans="1:6" ht="15" customHeight="1">
      <c r="A1163" s="51"/>
      <c r="B1163" s="52" t="str">
        <f t="shared" si="87"/>
        <v/>
      </c>
      <c r="C1163" t="str">
        <f t="shared" si="86"/>
        <v/>
      </c>
      <c r="D1163" s="245" t="str">
        <f t="shared" si="88"/>
        <v/>
      </c>
      <c r="E1163" s="534"/>
      <c r="F1163" s="534"/>
    </row>
    <row r="1164" spans="1:6" ht="15" customHeight="1">
      <c r="A1164" s="51"/>
      <c r="B1164" s="52" t="str">
        <f t="shared" si="87"/>
        <v/>
      </c>
      <c r="C1164" t="str">
        <f t="shared" si="86"/>
        <v/>
      </c>
      <c r="D1164" s="245" t="str">
        <f t="shared" si="88"/>
        <v/>
      </c>
      <c r="E1164" s="534"/>
      <c r="F1164" s="534"/>
    </row>
    <row r="1165" spans="1:6" ht="15" customHeight="1">
      <c r="A1165" s="51"/>
      <c r="B1165" s="52" t="str">
        <f t="shared" si="87"/>
        <v/>
      </c>
      <c r="C1165" t="str">
        <f t="shared" si="86"/>
        <v/>
      </c>
      <c r="D1165" s="245" t="str">
        <f t="shared" si="88"/>
        <v/>
      </c>
      <c r="E1165" s="534"/>
      <c r="F1165" s="534"/>
    </row>
    <row r="1166" spans="1:6" ht="15" customHeight="1">
      <c r="A1166" s="51"/>
      <c r="B1166" s="52" t="str">
        <f t="shared" si="87"/>
        <v/>
      </c>
      <c r="C1166" t="str">
        <f t="shared" si="86"/>
        <v/>
      </c>
      <c r="D1166" s="245" t="str">
        <f t="shared" si="88"/>
        <v/>
      </c>
      <c r="E1166" s="534"/>
      <c r="F1166" s="534"/>
    </row>
    <row r="1167" spans="1:6" ht="15" customHeight="1">
      <c r="A1167" s="51"/>
      <c r="B1167" s="52" t="str">
        <f t="shared" si="87"/>
        <v/>
      </c>
      <c r="C1167" t="str">
        <f t="shared" si="86"/>
        <v/>
      </c>
      <c r="D1167" s="245" t="str">
        <f t="shared" si="88"/>
        <v/>
      </c>
      <c r="E1167" s="534"/>
      <c r="F1167" s="534"/>
    </row>
    <row r="1168" spans="1:6" ht="15" customHeight="1">
      <c r="A1168" s="51"/>
      <c r="B1168" s="52" t="str">
        <f t="shared" si="87"/>
        <v/>
      </c>
      <c r="C1168" t="str">
        <f t="shared" si="86"/>
        <v/>
      </c>
      <c r="D1168" s="245" t="str">
        <f t="shared" si="88"/>
        <v/>
      </c>
      <c r="E1168" s="534"/>
      <c r="F1168" s="534"/>
    </row>
    <row r="1169" spans="1:6" ht="15" customHeight="1">
      <c r="A1169" s="51"/>
      <c r="B1169" s="52" t="str">
        <f t="shared" si="87"/>
        <v/>
      </c>
      <c r="C1169" t="str">
        <f t="shared" si="86"/>
        <v/>
      </c>
      <c r="D1169" s="245" t="str">
        <f t="shared" si="88"/>
        <v/>
      </c>
      <c r="E1169" s="534"/>
      <c r="F1169" s="534"/>
    </row>
    <row r="1170" spans="1:6" ht="15" customHeight="1">
      <c r="A1170" s="51"/>
      <c r="B1170" s="52" t="str">
        <f t="shared" si="87"/>
        <v/>
      </c>
      <c r="C1170" t="str">
        <f t="shared" si="86"/>
        <v/>
      </c>
      <c r="D1170" s="245" t="str">
        <f t="shared" si="88"/>
        <v/>
      </c>
      <c r="E1170" s="534"/>
      <c r="F1170" s="534"/>
    </row>
    <row r="1171" spans="1:6" ht="15" customHeight="1">
      <c r="A1171" s="51"/>
      <c r="B1171" s="52" t="str">
        <f t="shared" si="87"/>
        <v/>
      </c>
      <c r="C1171" t="str">
        <f t="shared" si="86"/>
        <v/>
      </c>
      <c r="D1171" s="245" t="str">
        <f t="shared" si="88"/>
        <v/>
      </c>
      <c r="E1171" s="534"/>
      <c r="F1171" s="534"/>
    </row>
    <row r="1172" spans="1:6" ht="15" customHeight="1">
      <c r="A1172" s="51"/>
      <c r="B1172" s="52" t="str">
        <f t="shared" si="87"/>
        <v/>
      </c>
      <c r="C1172" t="str">
        <f t="shared" si="86"/>
        <v/>
      </c>
      <c r="D1172" s="245" t="str">
        <f t="shared" si="88"/>
        <v/>
      </c>
      <c r="E1172" s="534"/>
      <c r="F1172" s="534"/>
    </row>
    <row r="1173" spans="1:6" ht="15" customHeight="1">
      <c r="A1173" s="51"/>
      <c r="B1173" s="52" t="str">
        <f t="shared" si="87"/>
        <v/>
      </c>
      <c r="C1173" t="str">
        <f t="shared" si="86"/>
        <v/>
      </c>
      <c r="D1173" s="245" t="str">
        <f t="shared" si="88"/>
        <v/>
      </c>
      <c r="E1173" s="534"/>
      <c r="F1173" s="534"/>
    </row>
    <row r="1174" spans="1:6" ht="15" customHeight="1">
      <c r="A1174" s="51"/>
      <c r="B1174" s="52" t="str">
        <f t="shared" si="87"/>
        <v/>
      </c>
      <c r="C1174" t="str">
        <f t="shared" si="86"/>
        <v/>
      </c>
      <c r="D1174" s="245" t="str">
        <f t="shared" si="88"/>
        <v/>
      </c>
      <c r="E1174" s="534"/>
      <c r="F1174" s="534"/>
    </row>
    <row r="1175" spans="1:6" ht="15" customHeight="1">
      <c r="A1175" s="51"/>
      <c r="B1175" s="52" t="str">
        <f t="shared" si="87"/>
        <v/>
      </c>
      <c r="C1175" t="str">
        <f t="shared" si="86"/>
        <v/>
      </c>
      <c r="D1175" s="245" t="str">
        <f t="shared" si="88"/>
        <v/>
      </c>
      <c r="E1175" s="534"/>
      <c r="F1175" s="534"/>
    </row>
    <row r="1176" spans="1:6" ht="15" customHeight="1">
      <c r="A1176" s="51"/>
      <c r="B1176" s="52" t="str">
        <f t="shared" si="87"/>
        <v/>
      </c>
      <c r="C1176" t="str">
        <f t="shared" si="86"/>
        <v/>
      </c>
      <c r="D1176" s="245" t="str">
        <f t="shared" si="88"/>
        <v/>
      </c>
      <c r="E1176" s="534"/>
      <c r="F1176" s="534"/>
    </row>
    <row r="1177" spans="1:6" ht="15" customHeight="1">
      <c r="A1177" s="51"/>
      <c r="B1177" s="52" t="str">
        <f t="shared" si="87"/>
        <v/>
      </c>
      <c r="C1177" t="str">
        <f t="shared" si="86"/>
        <v/>
      </c>
      <c r="D1177" s="245" t="str">
        <f t="shared" si="88"/>
        <v/>
      </c>
      <c r="E1177" s="534"/>
      <c r="F1177" s="534"/>
    </row>
    <row r="1178" spans="1:6" ht="15" customHeight="1">
      <c r="A1178" s="51"/>
      <c r="B1178" s="52" t="str">
        <f t="shared" si="87"/>
        <v/>
      </c>
      <c r="C1178" t="str">
        <f t="shared" si="86"/>
        <v/>
      </c>
      <c r="D1178" s="245" t="str">
        <f t="shared" si="88"/>
        <v/>
      </c>
      <c r="E1178" s="534"/>
      <c r="F1178" s="534"/>
    </row>
    <row r="1179" spans="1:6" ht="15" customHeight="1">
      <c r="A1179" s="51"/>
      <c r="B1179" s="52" t="str">
        <f t="shared" si="87"/>
        <v/>
      </c>
      <c r="C1179" t="str">
        <f t="shared" si="86"/>
        <v/>
      </c>
      <c r="D1179" s="245" t="str">
        <f t="shared" si="88"/>
        <v/>
      </c>
      <c r="E1179" s="534"/>
      <c r="F1179" s="534"/>
    </row>
    <row r="1180" spans="1:6" ht="15" customHeight="1">
      <c r="A1180" s="51"/>
      <c r="B1180" s="52" t="str">
        <f t="shared" si="87"/>
        <v/>
      </c>
      <c r="C1180" t="str">
        <f t="shared" si="86"/>
        <v/>
      </c>
      <c r="D1180" s="245" t="str">
        <f t="shared" si="88"/>
        <v/>
      </c>
      <c r="E1180" s="534"/>
      <c r="F1180" s="534"/>
    </row>
    <row r="1181" spans="1:6" ht="15" customHeight="1">
      <c r="A1181" s="51"/>
      <c r="B1181" s="52" t="str">
        <f t="shared" si="87"/>
        <v/>
      </c>
      <c r="C1181" t="str">
        <f t="shared" si="86"/>
        <v/>
      </c>
      <c r="D1181" s="245" t="str">
        <f t="shared" si="88"/>
        <v/>
      </c>
      <c r="E1181" s="534"/>
      <c r="F1181" s="534"/>
    </row>
    <row r="1182" spans="1:6" ht="15" customHeight="1">
      <c r="A1182" s="51"/>
      <c r="B1182" s="52" t="str">
        <f t="shared" si="87"/>
        <v/>
      </c>
      <c r="C1182" t="str">
        <f t="shared" si="86"/>
        <v/>
      </c>
      <c r="D1182" s="245" t="str">
        <f t="shared" si="88"/>
        <v/>
      </c>
      <c r="E1182" s="534"/>
      <c r="F1182" s="534"/>
    </row>
    <row r="1183" spans="1:6" ht="15" customHeight="1">
      <c r="A1183" s="51"/>
      <c r="B1183" s="52" t="str">
        <f t="shared" si="87"/>
        <v/>
      </c>
      <c r="C1183" t="str">
        <f t="shared" si="86"/>
        <v/>
      </c>
      <c r="D1183" s="245" t="str">
        <f t="shared" si="88"/>
        <v/>
      </c>
      <c r="E1183" s="534"/>
      <c r="F1183" s="534"/>
    </row>
    <row r="1184" spans="1:6" ht="15" customHeight="1">
      <c r="A1184" s="51"/>
      <c r="B1184" s="52" t="str">
        <f t="shared" si="87"/>
        <v/>
      </c>
      <c r="C1184" t="str">
        <f t="shared" si="86"/>
        <v/>
      </c>
      <c r="D1184" s="245" t="str">
        <f t="shared" si="88"/>
        <v/>
      </c>
      <c r="E1184" s="534"/>
      <c r="F1184" s="534"/>
    </row>
    <row r="1185" spans="1:6" ht="15" customHeight="1">
      <c r="A1185" s="51"/>
      <c r="B1185" s="52" t="str">
        <f t="shared" si="87"/>
        <v/>
      </c>
      <c r="C1185" t="str">
        <f t="shared" si="86"/>
        <v/>
      </c>
      <c r="D1185" s="245" t="str">
        <f t="shared" si="88"/>
        <v/>
      </c>
      <c r="E1185" s="534"/>
      <c r="F1185" s="534"/>
    </row>
    <row r="1186" spans="1:6" ht="15" customHeight="1">
      <c r="A1186" s="51"/>
      <c r="B1186" s="52" t="str">
        <f t="shared" si="87"/>
        <v/>
      </c>
      <c r="C1186" t="str">
        <f t="shared" si="86"/>
        <v/>
      </c>
      <c r="D1186" s="245" t="str">
        <f t="shared" si="88"/>
        <v/>
      </c>
      <c r="E1186" s="534"/>
      <c r="F1186" s="534"/>
    </row>
    <row r="1187" spans="1:6" ht="15" customHeight="1">
      <c r="A1187" s="51"/>
      <c r="B1187" s="52" t="str">
        <f t="shared" si="87"/>
        <v/>
      </c>
      <c r="C1187" t="str">
        <f t="shared" si="86"/>
        <v/>
      </c>
      <c r="D1187" s="245" t="str">
        <f t="shared" si="88"/>
        <v/>
      </c>
      <c r="E1187" s="534"/>
      <c r="F1187" s="534"/>
    </row>
    <row r="1188" spans="1:6" ht="15" customHeight="1">
      <c r="A1188" s="51"/>
      <c r="B1188" s="52" t="str">
        <f t="shared" si="87"/>
        <v/>
      </c>
      <c r="C1188" t="str">
        <f t="shared" si="86"/>
        <v/>
      </c>
      <c r="D1188" s="245" t="str">
        <f t="shared" si="88"/>
        <v/>
      </c>
      <c r="E1188" s="534"/>
      <c r="F1188" s="534"/>
    </row>
    <row r="1189" spans="1:6" ht="15" customHeight="1">
      <c r="A1189" s="51"/>
      <c r="B1189" s="52" t="str">
        <f t="shared" si="87"/>
        <v/>
      </c>
      <c r="C1189" t="str">
        <f t="shared" si="86"/>
        <v/>
      </c>
      <c r="D1189" s="245" t="str">
        <f t="shared" si="88"/>
        <v/>
      </c>
      <c r="E1189" s="534"/>
      <c r="F1189" s="534"/>
    </row>
    <row r="1190" spans="1:6" ht="15" customHeight="1">
      <c r="A1190" s="51"/>
      <c r="B1190" s="52" t="str">
        <f t="shared" si="87"/>
        <v/>
      </c>
      <c r="C1190" t="str">
        <f t="shared" si="86"/>
        <v/>
      </c>
      <c r="D1190" s="245" t="str">
        <f t="shared" si="88"/>
        <v/>
      </c>
      <c r="E1190" s="534"/>
      <c r="F1190" s="534"/>
    </row>
    <row r="1191" spans="1:6" ht="15" customHeight="1">
      <c r="A1191" s="51"/>
      <c r="B1191" s="52" t="str">
        <f t="shared" si="87"/>
        <v/>
      </c>
      <c r="C1191" t="str">
        <f t="shared" si="86"/>
        <v/>
      </c>
      <c r="D1191" s="245" t="str">
        <f t="shared" si="88"/>
        <v/>
      </c>
      <c r="E1191" s="534"/>
      <c r="F1191" s="534"/>
    </row>
    <row r="1192" spans="1:6" ht="15" customHeight="1">
      <c r="A1192" s="51"/>
      <c r="B1192" s="52" t="str">
        <f t="shared" si="87"/>
        <v/>
      </c>
      <c r="C1192" t="str">
        <f t="shared" si="86"/>
        <v/>
      </c>
      <c r="D1192" s="245" t="str">
        <f t="shared" si="88"/>
        <v/>
      </c>
      <c r="E1192" s="534"/>
      <c r="F1192" s="534"/>
    </row>
    <row r="1193" spans="1:6" ht="15" customHeight="1">
      <c r="A1193" s="51"/>
      <c r="B1193" s="52" t="str">
        <f t="shared" si="87"/>
        <v/>
      </c>
      <c r="C1193" t="str">
        <f t="shared" si="86"/>
        <v/>
      </c>
      <c r="D1193" s="245" t="str">
        <f t="shared" si="88"/>
        <v/>
      </c>
      <c r="E1193" s="534"/>
      <c r="F1193" s="534"/>
    </row>
    <row r="1194" spans="1:6" ht="15" customHeight="1">
      <c r="A1194" s="51"/>
      <c r="B1194" s="52" t="str">
        <f t="shared" si="87"/>
        <v/>
      </c>
      <c r="C1194" t="str">
        <f t="shared" si="86"/>
        <v/>
      </c>
      <c r="D1194" s="245" t="str">
        <f t="shared" si="88"/>
        <v/>
      </c>
      <c r="E1194" s="534"/>
      <c r="F1194" s="534"/>
    </row>
    <row r="1195" spans="1:6" ht="15" customHeight="1">
      <c r="A1195" s="51"/>
      <c r="B1195" s="52" t="str">
        <f t="shared" si="87"/>
        <v/>
      </c>
      <c r="C1195" t="str">
        <f t="shared" si="86"/>
        <v/>
      </c>
      <c r="D1195" s="245" t="str">
        <f t="shared" si="88"/>
        <v/>
      </c>
      <c r="E1195" s="534"/>
      <c r="F1195" s="534"/>
    </row>
    <row r="1196" spans="1:6" ht="15" customHeight="1">
      <c r="A1196" s="51"/>
      <c r="B1196" s="52" t="str">
        <f t="shared" si="87"/>
        <v/>
      </c>
      <c r="C1196" t="str">
        <f t="shared" si="86"/>
        <v/>
      </c>
      <c r="D1196" s="245" t="str">
        <f t="shared" si="88"/>
        <v/>
      </c>
      <c r="E1196" s="534"/>
      <c r="F1196" s="534"/>
    </row>
    <row r="1197" spans="1:6" ht="15" customHeight="1">
      <c r="A1197" s="51"/>
      <c r="B1197" s="52" t="str">
        <f t="shared" si="87"/>
        <v/>
      </c>
      <c r="C1197" t="str">
        <f t="shared" si="86"/>
        <v/>
      </c>
      <c r="D1197" s="245" t="str">
        <f t="shared" si="88"/>
        <v/>
      </c>
      <c r="E1197" s="534"/>
      <c r="F1197" s="534"/>
    </row>
    <row r="1198" spans="1:6" ht="15" customHeight="1">
      <c r="A1198" s="51"/>
      <c r="B1198" s="52" t="str">
        <f t="shared" si="87"/>
        <v/>
      </c>
      <c r="C1198" t="str">
        <f t="shared" si="86"/>
        <v/>
      </c>
      <c r="D1198" s="245" t="str">
        <f t="shared" si="88"/>
        <v/>
      </c>
      <c r="E1198" s="534"/>
      <c r="F1198" s="534"/>
    </row>
    <row r="1199" spans="1:6" ht="15" customHeight="1">
      <c r="A1199" s="51"/>
      <c r="B1199" s="52" t="str">
        <f t="shared" si="87"/>
        <v/>
      </c>
      <c r="C1199" t="str">
        <f t="shared" si="86"/>
        <v/>
      </c>
      <c r="D1199" s="245" t="str">
        <f t="shared" si="88"/>
        <v/>
      </c>
      <c r="E1199" s="534"/>
      <c r="F1199" s="534"/>
    </row>
    <row r="1200" spans="1:6" ht="15" customHeight="1">
      <c r="A1200" s="51"/>
      <c r="B1200" s="52" t="str">
        <f t="shared" si="87"/>
        <v/>
      </c>
      <c r="C1200" t="str">
        <f t="shared" si="86"/>
        <v/>
      </c>
      <c r="D1200" s="245" t="str">
        <f t="shared" si="88"/>
        <v/>
      </c>
      <c r="E1200" s="534"/>
      <c r="F1200" s="534"/>
    </row>
    <row r="1201" spans="1:6" ht="15" customHeight="1">
      <c r="A1201" s="51"/>
      <c r="B1201" s="52" t="str">
        <f t="shared" si="87"/>
        <v/>
      </c>
      <c r="C1201" t="str">
        <f t="shared" si="86"/>
        <v/>
      </c>
      <c r="D1201" s="245" t="str">
        <f t="shared" si="88"/>
        <v/>
      </c>
      <c r="E1201" s="534"/>
      <c r="F1201" s="534"/>
    </row>
    <row r="1202" spans="1:6" ht="15" customHeight="1">
      <c r="A1202" s="51"/>
      <c r="B1202" s="52" t="str">
        <f t="shared" si="87"/>
        <v/>
      </c>
      <c r="C1202" t="str">
        <f t="shared" si="86"/>
        <v/>
      </c>
      <c r="D1202" s="245" t="str">
        <f t="shared" si="88"/>
        <v/>
      </c>
      <c r="E1202" s="534"/>
      <c r="F1202" s="534"/>
    </row>
    <row r="1203" spans="1:6" ht="15" customHeight="1">
      <c r="A1203" s="51"/>
      <c r="B1203" s="52" t="str">
        <f t="shared" si="87"/>
        <v/>
      </c>
      <c r="C1203" t="str">
        <f t="shared" si="86"/>
        <v/>
      </c>
      <c r="D1203" s="245" t="str">
        <f t="shared" si="88"/>
        <v/>
      </c>
      <c r="E1203" s="534"/>
      <c r="F1203" s="534"/>
    </row>
    <row r="1204" spans="1:6" ht="15" customHeight="1">
      <c r="A1204" s="51"/>
      <c r="B1204" s="52" t="str">
        <f t="shared" si="87"/>
        <v/>
      </c>
      <c r="C1204" t="str">
        <f t="shared" si="86"/>
        <v/>
      </c>
      <c r="D1204" s="245" t="str">
        <f t="shared" si="88"/>
        <v/>
      </c>
      <c r="E1204" s="534"/>
      <c r="F1204" s="534"/>
    </row>
    <row r="1205" spans="1:6" ht="15" customHeight="1">
      <c r="A1205" s="51"/>
      <c r="B1205" s="52" t="str">
        <f t="shared" si="87"/>
        <v/>
      </c>
      <c r="C1205" t="str">
        <f t="shared" si="86"/>
        <v/>
      </c>
      <c r="D1205" s="245" t="str">
        <f t="shared" si="88"/>
        <v/>
      </c>
      <c r="E1205" s="534"/>
      <c r="F1205" s="534"/>
    </row>
    <row r="1206" spans="1:6" ht="15" customHeight="1">
      <c r="A1206" s="51"/>
      <c r="B1206" s="52" t="str">
        <f t="shared" si="87"/>
        <v/>
      </c>
      <c r="C1206" t="str">
        <f t="shared" si="86"/>
        <v/>
      </c>
      <c r="D1206" s="245" t="str">
        <f t="shared" si="88"/>
        <v/>
      </c>
      <c r="E1206" s="534"/>
      <c r="F1206" s="534"/>
    </row>
    <row r="1207" spans="1:6" ht="15" customHeight="1">
      <c r="A1207" s="51"/>
      <c r="B1207" s="52" t="str">
        <f t="shared" si="87"/>
        <v/>
      </c>
      <c r="C1207" t="str">
        <f t="shared" si="86"/>
        <v/>
      </c>
      <c r="D1207" s="245" t="str">
        <f t="shared" si="88"/>
        <v/>
      </c>
      <c r="E1207" s="534"/>
      <c r="F1207" s="534"/>
    </row>
    <row r="1208" spans="1:6" ht="15" customHeight="1">
      <c r="A1208" s="51"/>
      <c r="B1208" s="52" t="str">
        <f t="shared" si="87"/>
        <v/>
      </c>
      <c r="C1208" t="str">
        <f t="shared" si="86"/>
        <v/>
      </c>
      <c r="D1208" s="245" t="str">
        <f t="shared" si="88"/>
        <v/>
      </c>
      <c r="E1208" s="534"/>
      <c r="F1208" s="534"/>
    </row>
    <row r="1209" spans="1:6" ht="15" customHeight="1">
      <c r="A1209" s="51"/>
      <c r="B1209" s="52" t="str">
        <f t="shared" si="87"/>
        <v/>
      </c>
      <c r="C1209" t="str">
        <f t="shared" si="86"/>
        <v/>
      </c>
      <c r="D1209" s="245" t="str">
        <f t="shared" si="88"/>
        <v/>
      </c>
      <c r="E1209" s="534"/>
      <c r="F1209" s="534"/>
    </row>
    <row r="1210" spans="1:6" ht="15" customHeight="1">
      <c r="A1210" s="51"/>
      <c r="B1210" s="52" t="str">
        <f t="shared" si="87"/>
        <v/>
      </c>
      <c r="C1210" t="str">
        <f t="shared" si="86"/>
        <v/>
      </c>
      <c r="D1210" s="245" t="str">
        <f t="shared" si="88"/>
        <v/>
      </c>
      <c r="E1210" s="534"/>
      <c r="F1210" s="534"/>
    </row>
    <row r="1211" spans="1:6" ht="15" customHeight="1">
      <c r="A1211" s="51"/>
      <c r="B1211" s="52" t="str">
        <f t="shared" si="87"/>
        <v/>
      </c>
      <c r="C1211" t="str">
        <f t="shared" si="86"/>
        <v/>
      </c>
      <c r="D1211" s="245" t="str">
        <f t="shared" si="88"/>
        <v/>
      </c>
      <c r="E1211" s="534"/>
      <c r="F1211" s="534"/>
    </row>
    <row r="1212" spans="1:6" ht="15" customHeight="1">
      <c r="A1212" s="51"/>
      <c r="B1212" s="52" t="str">
        <f t="shared" si="87"/>
        <v/>
      </c>
      <c r="C1212" t="str">
        <f t="shared" si="86"/>
        <v/>
      </c>
      <c r="D1212" s="245" t="str">
        <f t="shared" si="88"/>
        <v/>
      </c>
      <c r="E1212" s="534"/>
      <c r="F1212" s="534"/>
    </row>
    <row r="1213" spans="1:6" ht="15" customHeight="1">
      <c r="A1213" s="51"/>
      <c r="B1213" s="52" t="str">
        <f t="shared" si="87"/>
        <v/>
      </c>
      <c r="C1213" t="str">
        <f t="shared" si="86"/>
        <v/>
      </c>
      <c r="D1213" s="245" t="str">
        <f t="shared" si="88"/>
        <v/>
      </c>
      <c r="E1213" s="534"/>
      <c r="F1213" s="534"/>
    </row>
    <row r="1214" spans="1:6" ht="15" customHeight="1">
      <c r="A1214" s="51"/>
      <c r="B1214" s="52" t="str">
        <f t="shared" si="87"/>
        <v/>
      </c>
      <c r="C1214" t="str">
        <f t="shared" si="86"/>
        <v/>
      </c>
      <c r="D1214" s="245" t="str">
        <f t="shared" si="88"/>
        <v/>
      </c>
      <c r="E1214" s="534"/>
      <c r="F1214" s="534"/>
    </row>
    <row r="1215" spans="1:6" ht="15" customHeight="1">
      <c r="A1215" s="51"/>
      <c r="B1215" s="52" t="str">
        <f t="shared" si="87"/>
        <v/>
      </c>
      <c r="C1215" t="str">
        <f t="shared" si="86"/>
        <v/>
      </c>
      <c r="D1215" s="245" t="str">
        <f t="shared" si="88"/>
        <v/>
      </c>
      <c r="E1215" s="534"/>
      <c r="F1215" s="534"/>
    </row>
    <row r="1216" spans="1:6" ht="15" customHeight="1">
      <c r="A1216" s="51"/>
      <c r="B1216" s="52" t="str">
        <f t="shared" si="87"/>
        <v/>
      </c>
      <c r="C1216" t="str">
        <f t="shared" si="86"/>
        <v/>
      </c>
      <c r="D1216" s="245" t="str">
        <f t="shared" si="88"/>
        <v/>
      </c>
      <c r="E1216" s="534"/>
      <c r="F1216" s="534"/>
    </row>
    <row r="1217" spans="1:6" ht="15" customHeight="1">
      <c r="A1217" s="51"/>
      <c r="B1217" s="52" t="str">
        <f t="shared" si="87"/>
        <v/>
      </c>
      <c r="C1217" t="str">
        <f t="shared" si="86"/>
        <v/>
      </c>
      <c r="D1217" s="245" t="str">
        <f t="shared" si="88"/>
        <v/>
      </c>
      <c r="E1217" s="534"/>
      <c r="F1217" s="534"/>
    </row>
    <row r="1218" spans="1:6" ht="15" customHeight="1">
      <c r="A1218" s="51"/>
      <c r="B1218" s="52" t="str">
        <f t="shared" si="87"/>
        <v/>
      </c>
      <c r="C1218" t="str">
        <f t="shared" ref="C1218:C1281" si="89">IF(A1218&lt;&gt;"",TEXT(A1218,"aaaa"),"")</f>
        <v/>
      </c>
      <c r="D1218" s="245" t="str">
        <f t="shared" si="88"/>
        <v/>
      </c>
      <c r="E1218" s="534"/>
      <c r="F1218" s="534"/>
    </row>
    <row r="1219" spans="1:6" ht="15" customHeight="1">
      <c r="A1219" s="51"/>
      <c r="B1219" s="52" t="str">
        <f t="shared" si="87"/>
        <v/>
      </c>
      <c r="C1219" t="str">
        <f t="shared" si="89"/>
        <v/>
      </c>
      <c r="D1219" s="245" t="str">
        <f t="shared" si="88"/>
        <v/>
      </c>
      <c r="E1219" s="534"/>
      <c r="F1219" s="534"/>
    </row>
    <row r="1220" spans="1:6" ht="15" customHeight="1">
      <c r="A1220" s="51"/>
      <c r="B1220" s="52" t="str">
        <f t="shared" si="87"/>
        <v/>
      </c>
      <c r="C1220" t="str">
        <f t="shared" si="89"/>
        <v/>
      </c>
      <c r="D1220" s="245" t="str">
        <f t="shared" si="88"/>
        <v/>
      </c>
      <c r="E1220" s="534"/>
      <c r="F1220" s="534"/>
    </row>
    <row r="1221" spans="1:6" ht="15" customHeight="1">
      <c r="A1221" s="51"/>
      <c r="B1221" s="52" t="str">
        <f t="shared" si="87"/>
        <v/>
      </c>
      <c r="C1221" t="str">
        <f t="shared" si="89"/>
        <v/>
      </c>
      <c r="D1221" s="245" t="str">
        <f t="shared" si="88"/>
        <v/>
      </c>
      <c r="E1221" s="534"/>
      <c r="F1221" s="534"/>
    </row>
    <row r="1222" spans="1:6" ht="15" customHeight="1">
      <c r="A1222" s="51"/>
      <c r="B1222" s="52" t="str">
        <f t="shared" si="87"/>
        <v/>
      </c>
      <c r="C1222" t="str">
        <f t="shared" si="89"/>
        <v/>
      </c>
      <c r="D1222" s="245" t="str">
        <f t="shared" si="88"/>
        <v/>
      </c>
      <c r="E1222" s="534"/>
      <c r="F1222" s="534"/>
    </row>
    <row r="1223" spans="1:6" ht="15" customHeight="1">
      <c r="A1223" s="51"/>
      <c r="B1223" s="52" t="str">
        <f t="shared" si="87"/>
        <v/>
      </c>
      <c r="C1223" t="str">
        <f t="shared" si="89"/>
        <v/>
      </c>
      <c r="D1223" s="245" t="str">
        <f t="shared" si="88"/>
        <v/>
      </c>
      <c r="E1223" s="534"/>
      <c r="F1223" s="534"/>
    </row>
    <row r="1224" spans="1:6" ht="15" customHeight="1">
      <c r="A1224" s="51"/>
      <c r="B1224" s="52" t="str">
        <f t="shared" ref="B1224:B1287" si="90">IF(A1224="","",TEXT(A1224,"DDDD"))</f>
        <v/>
      </c>
      <c r="C1224" t="str">
        <f t="shared" si="89"/>
        <v/>
      </c>
      <c r="D1224" s="245" t="str">
        <f t="shared" si="88"/>
        <v/>
      </c>
      <c r="E1224" s="534"/>
      <c r="F1224" s="534"/>
    </row>
    <row r="1225" spans="1:6" ht="15" customHeight="1">
      <c r="A1225" s="51"/>
      <c r="B1225" s="52" t="str">
        <f t="shared" si="90"/>
        <v/>
      </c>
      <c r="C1225" t="str">
        <f t="shared" si="89"/>
        <v/>
      </c>
      <c r="D1225" s="245" t="str">
        <f t="shared" ref="D1225:D1288" si="91">IF(A1225&lt;&gt;"",PROPER(TEXT(A1225,"Mmmm")),"")</f>
        <v/>
      </c>
      <c r="E1225" s="534"/>
      <c r="F1225" s="534"/>
    </row>
    <row r="1226" spans="1:6" ht="15" customHeight="1">
      <c r="A1226" s="51"/>
      <c r="B1226" s="52" t="str">
        <f t="shared" si="90"/>
        <v/>
      </c>
      <c r="C1226" t="str">
        <f t="shared" si="89"/>
        <v/>
      </c>
      <c r="D1226" s="245" t="str">
        <f t="shared" si="91"/>
        <v/>
      </c>
      <c r="E1226" s="534"/>
      <c r="F1226" s="534"/>
    </row>
    <row r="1227" spans="1:6" ht="15" customHeight="1">
      <c r="A1227" s="51"/>
      <c r="B1227" s="52" t="str">
        <f t="shared" si="90"/>
        <v/>
      </c>
      <c r="C1227" t="str">
        <f t="shared" si="89"/>
        <v/>
      </c>
      <c r="D1227" s="245" t="str">
        <f t="shared" si="91"/>
        <v/>
      </c>
      <c r="E1227" s="534"/>
      <c r="F1227" s="534"/>
    </row>
    <row r="1228" spans="1:6" ht="15" customHeight="1">
      <c r="A1228" s="51"/>
      <c r="B1228" s="52" t="str">
        <f t="shared" si="90"/>
        <v/>
      </c>
      <c r="C1228" t="str">
        <f t="shared" si="89"/>
        <v/>
      </c>
      <c r="D1228" s="245" t="str">
        <f t="shared" si="91"/>
        <v/>
      </c>
      <c r="E1228" s="534"/>
      <c r="F1228" s="534"/>
    </row>
    <row r="1229" spans="1:6" ht="15" customHeight="1">
      <c r="A1229" s="51"/>
      <c r="B1229" s="52" t="str">
        <f t="shared" si="90"/>
        <v/>
      </c>
      <c r="C1229" t="str">
        <f t="shared" si="89"/>
        <v/>
      </c>
      <c r="D1229" s="245" t="str">
        <f t="shared" si="91"/>
        <v/>
      </c>
      <c r="E1229" s="534"/>
      <c r="F1229" s="534"/>
    </row>
    <row r="1230" spans="1:6" ht="15" customHeight="1">
      <c r="A1230" s="51"/>
      <c r="B1230" s="52" t="str">
        <f t="shared" si="90"/>
        <v/>
      </c>
      <c r="C1230" t="str">
        <f t="shared" si="89"/>
        <v/>
      </c>
      <c r="D1230" s="245" t="str">
        <f t="shared" si="91"/>
        <v/>
      </c>
      <c r="E1230" s="534"/>
      <c r="F1230" s="534"/>
    </row>
    <row r="1231" spans="1:6" ht="15" customHeight="1">
      <c r="A1231" s="51"/>
      <c r="B1231" s="52" t="str">
        <f t="shared" si="90"/>
        <v/>
      </c>
      <c r="C1231" t="str">
        <f t="shared" si="89"/>
        <v/>
      </c>
      <c r="D1231" s="245" t="str">
        <f t="shared" si="91"/>
        <v/>
      </c>
      <c r="E1231" s="534"/>
      <c r="F1231" s="534"/>
    </row>
    <row r="1232" spans="1:6" ht="15" customHeight="1">
      <c r="A1232" s="51"/>
      <c r="B1232" s="52" t="str">
        <f t="shared" si="90"/>
        <v/>
      </c>
      <c r="C1232" t="str">
        <f t="shared" si="89"/>
        <v/>
      </c>
      <c r="D1232" s="245" t="str">
        <f t="shared" si="91"/>
        <v/>
      </c>
      <c r="E1232" s="534"/>
      <c r="F1232" s="534"/>
    </row>
    <row r="1233" spans="1:6" ht="15" customHeight="1">
      <c r="A1233" s="51"/>
      <c r="B1233" s="52" t="str">
        <f t="shared" si="90"/>
        <v/>
      </c>
      <c r="C1233" t="str">
        <f t="shared" si="89"/>
        <v/>
      </c>
      <c r="D1233" s="245" t="str">
        <f t="shared" si="91"/>
        <v/>
      </c>
      <c r="E1233" s="534"/>
      <c r="F1233" s="534"/>
    </row>
    <row r="1234" spans="1:6" ht="15" customHeight="1">
      <c r="A1234" s="51"/>
      <c r="B1234" s="52" t="str">
        <f t="shared" si="90"/>
        <v/>
      </c>
      <c r="C1234" t="str">
        <f t="shared" si="89"/>
        <v/>
      </c>
      <c r="D1234" s="245" t="str">
        <f t="shared" si="91"/>
        <v/>
      </c>
      <c r="E1234" s="534"/>
      <c r="F1234" s="534"/>
    </row>
    <row r="1235" spans="1:6" ht="15" customHeight="1">
      <c r="A1235" s="51"/>
      <c r="B1235" s="52" t="str">
        <f t="shared" si="90"/>
        <v/>
      </c>
      <c r="C1235" t="str">
        <f t="shared" si="89"/>
        <v/>
      </c>
      <c r="D1235" s="245" t="str">
        <f t="shared" si="91"/>
        <v/>
      </c>
      <c r="E1235" s="534"/>
      <c r="F1235" s="534"/>
    </row>
    <row r="1236" spans="1:6" ht="15" customHeight="1">
      <c r="A1236" s="51"/>
      <c r="B1236" s="52" t="str">
        <f t="shared" si="90"/>
        <v/>
      </c>
      <c r="C1236" t="str">
        <f t="shared" si="89"/>
        <v/>
      </c>
      <c r="D1236" s="245" t="str">
        <f t="shared" si="91"/>
        <v/>
      </c>
      <c r="E1236" s="534"/>
      <c r="F1236" s="534"/>
    </row>
    <row r="1237" spans="1:6" ht="15" customHeight="1">
      <c r="A1237" s="51"/>
      <c r="B1237" s="52" t="str">
        <f t="shared" si="90"/>
        <v/>
      </c>
      <c r="C1237" t="str">
        <f t="shared" si="89"/>
        <v/>
      </c>
      <c r="D1237" s="245" t="str">
        <f t="shared" si="91"/>
        <v/>
      </c>
      <c r="E1237" s="534"/>
      <c r="F1237" s="534"/>
    </row>
    <row r="1238" spans="1:6" ht="15" customHeight="1">
      <c r="A1238" s="51"/>
      <c r="B1238" s="52" t="str">
        <f t="shared" si="90"/>
        <v/>
      </c>
      <c r="C1238" t="str">
        <f t="shared" si="89"/>
        <v/>
      </c>
      <c r="D1238" s="245" t="str">
        <f t="shared" si="91"/>
        <v/>
      </c>
      <c r="E1238" s="534"/>
      <c r="F1238" s="534"/>
    </row>
    <row r="1239" spans="1:6" ht="15" customHeight="1">
      <c r="A1239" s="51"/>
      <c r="B1239" s="52" t="str">
        <f t="shared" si="90"/>
        <v/>
      </c>
      <c r="C1239" t="str">
        <f t="shared" si="89"/>
        <v/>
      </c>
      <c r="D1239" s="245" t="str">
        <f t="shared" si="91"/>
        <v/>
      </c>
      <c r="E1239" s="534"/>
      <c r="F1239" s="534"/>
    </row>
    <row r="1240" spans="1:6" ht="15" customHeight="1">
      <c r="A1240" s="51"/>
      <c r="B1240" s="52" t="str">
        <f t="shared" si="90"/>
        <v/>
      </c>
      <c r="C1240" t="str">
        <f t="shared" si="89"/>
        <v/>
      </c>
      <c r="D1240" s="245" t="str">
        <f t="shared" si="91"/>
        <v/>
      </c>
      <c r="E1240" s="534"/>
      <c r="F1240" s="534"/>
    </row>
    <row r="1241" spans="1:6" ht="15" customHeight="1">
      <c r="A1241" s="51"/>
      <c r="B1241" s="52" t="str">
        <f t="shared" si="90"/>
        <v/>
      </c>
      <c r="C1241" t="str">
        <f t="shared" si="89"/>
        <v/>
      </c>
      <c r="D1241" s="245" t="str">
        <f t="shared" si="91"/>
        <v/>
      </c>
      <c r="E1241" s="534"/>
      <c r="F1241" s="534"/>
    </row>
    <row r="1242" spans="1:6" ht="15" customHeight="1">
      <c r="A1242" s="51"/>
      <c r="B1242" s="52" t="str">
        <f t="shared" si="90"/>
        <v/>
      </c>
      <c r="C1242" t="str">
        <f t="shared" si="89"/>
        <v/>
      </c>
      <c r="D1242" s="245" t="str">
        <f t="shared" si="91"/>
        <v/>
      </c>
      <c r="E1242" s="534"/>
      <c r="F1242" s="534"/>
    </row>
    <row r="1243" spans="1:6" ht="15" customHeight="1">
      <c r="A1243" s="51"/>
      <c r="B1243" s="52" t="str">
        <f t="shared" si="90"/>
        <v/>
      </c>
      <c r="C1243" t="str">
        <f t="shared" si="89"/>
        <v/>
      </c>
      <c r="D1243" s="245" t="str">
        <f t="shared" si="91"/>
        <v/>
      </c>
      <c r="E1243" s="534"/>
      <c r="F1243" s="534"/>
    </row>
    <row r="1244" spans="1:6" ht="15" customHeight="1">
      <c r="A1244" s="51"/>
      <c r="B1244" s="52" t="str">
        <f t="shared" si="90"/>
        <v/>
      </c>
      <c r="C1244" t="str">
        <f t="shared" si="89"/>
        <v/>
      </c>
      <c r="D1244" s="245" t="str">
        <f t="shared" si="91"/>
        <v/>
      </c>
      <c r="E1244" s="534"/>
      <c r="F1244" s="534"/>
    </row>
    <row r="1245" spans="1:6" ht="15" customHeight="1">
      <c r="A1245" s="51"/>
      <c r="B1245" s="52" t="str">
        <f t="shared" si="90"/>
        <v/>
      </c>
      <c r="C1245" t="str">
        <f t="shared" si="89"/>
        <v/>
      </c>
      <c r="D1245" s="245" t="str">
        <f t="shared" si="91"/>
        <v/>
      </c>
      <c r="E1245" s="534"/>
      <c r="F1245" s="534"/>
    </row>
    <row r="1246" spans="1:6" ht="15" customHeight="1">
      <c r="A1246" s="51"/>
      <c r="B1246" s="52" t="str">
        <f t="shared" si="90"/>
        <v/>
      </c>
      <c r="C1246" t="str">
        <f t="shared" si="89"/>
        <v/>
      </c>
      <c r="D1246" s="245" t="str">
        <f t="shared" si="91"/>
        <v/>
      </c>
      <c r="E1246" s="534"/>
      <c r="F1246" s="534"/>
    </row>
    <row r="1247" spans="1:6" ht="15" customHeight="1">
      <c r="A1247" s="51"/>
      <c r="B1247" s="52" t="str">
        <f t="shared" si="90"/>
        <v/>
      </c>
      <c r="C1247" t="str">
        <f t="shared" si="89"/>
        <v/>
      </c>
      <c r="D1247" s="245" t="str">
        <f t="shared" si="91"/>
        <v/>
      </c>
      <c r="E1247" s="534"/>
      <c r="F1247" s="534"/>
    </row>
    <row r="1248" spans="1:6" ht="15" customHeight="1">
      <c r="A1248" s="51"/>
      <c r="B1248" s="52" t="str">
        <f t="shared" si="90"/>
        <v/>
      </c>
      <c r="C1248" t="str">
        <f t="shared" si="89"/>
        <v/>
      </c>
      <c r="D1248" s="245" t="str">
        <f t="shared" si="91"/>
        <v/>
      </c>
      <c r="E1248" s="534"/>
      <c r="F1248" s="534"/>
    </row>
    <row r="1249" spans="1:6" ht="15" customHeight="1">
      <c r="A1249" s="51"/>
      <c r="B1249" s="52" t="str">
        <f t="shared" si="90"/>
        <v/>
      </c>
      <c r="C1249" t="str">
        <f t="shared" si="89"/>
        <v/>
      </c>
      <c r="D1249" s="245" t="str">
        <f t="shared" si="91"/>
        <v/>
      </c>
      <c r="E1249" s="534"/>
      <c r="F1249" s="534"/>
    </row>
    <row r="1250" spans="1:6" ht="15" customHeight="1">
      <c r="A1250" s="51"/>
      <c r="B1250" s="52" t="str">
        <f t="shared" si="90"/>
        <v/>
      </c>
      <c r="C1250" t="str">
        <f t="shared" si="89"/>
        <v/>
      </c>
      <c r="D1250" s="245" t="str">
        <f t="shared" si="91"/>
        <v/>
      </c>
      <c r="E1250" s="534"/>
      <c r="F1250" s="534"/>
    </row>
    <row r="1251" spans="1:6" ht="15" customHeight="1">
      <c r="A1251" s="51"/>
      <c r="B1251" s="52" t="str">
        <f t="shared" si="90"/>
        <v/>
      </c>
      <c r="C1251" t="str">
        <f t="shared" si="89"/>
        <v/>
      </c>
      <c r="D1251" s="245" t="str">
        <f t="shared" si="91"/>
        <v/>
      </c>
      <c r="E1251" s="534"/>
      <c r="F1251" s="534"/>
    </row>
    <row r="1252" spans="1:6" ht="15" customHeight="1">
      <c r="A1252" s="51"/>
      <c r="B1252" s="52" t="str">
        <f t="shared" si="90"/>
        <v/>
      </c>
      <c r="C1252" t="str">
        <f t="shared" si="89"/>
        <v/>
      </c>
      <c r="D1252" s="245" t="str">
        <f t="shared" si="91"/>
        <v/>
      </c>
      <c r="E1252" s="534"/>
      <c r="F1252" s="534"/>
    </row>
    <row r="1253" spans="1:6" ht="15" customHeight="1">
      <c r="A1253" s="51"/>
      <c r="B1253" s="52" t="str">
        <f t="shared" si="90"/>
        <v/>
      </c>
      <c r="C1253" t="str">
        <f t="shared" si="89"/>
        <v/>
      </c>
      <c r="D1253" s="245" t="str">
        <f t="shared" si="91"/>
        <v/>
      </c>
      <c r="E1253" s="534"/>
      <c r="F1253" s="534"/>
    </row>
    <row r="1254" spans="1:6" ht="15" customHeight="1">
      <c r="A1254" s="51"/>
      <c r="B1254" s="52" t="str">
        <f t="shared" si="90"/>
        <v/>
      </c>
      <c r="C1254" t="str">
        <f t="shared" si="89"/>
        <v/>
      </c>
      <c r="D1254" s="245" t="str">
        <f t="shared" si="91"/>
        <v/>
      </c>
      <c r="E1254" s="534"/>
      <c r="F1254" s="534"/>
    </row>
    <row r="1255" spans="1:6" ht="15" customHeight="1">
      <c r="A1255" s="51"/>
      <c r="B1255" s="52" t="str">
        <f t="shared" si="90"/>
        <v/>
      </c>
      <c r="C1255" t="str">
        <f t="shared" si="89"/>
        <v/>
      </c>
      <c r="D1255" s="245" t="str">
        <f t="shared" si="91"/>
        <v/>
      </c>
      <c r="E1255" s="534"/>
      <c r="F1255" s="534"/>
    </row>
    <row r="1256" spans="1:6" ht="15" customHeight="1">
      <c r="A1256" s="51"/>
      <c r="B1256" s="52" t="str">
        <f t="shared" si="90"/>
        <v/>
      </c>
      <c r="C1256" t="str">
        <f t="shared" si="89"/>
        <v/>
      </c>
      <c r="D1256" s="245" t="str">
        <f t="shared" si="91"/>
        <v/>
      </c>
      <c r="E1256" s="534"/>
      <c r="F1256" s="534"/>
    </row>
    <row r="1257" spans="1:6" ht="15" customHeight="1">
      <c r="A1257" s="51"/>
      <c r="B1257" s="52" t="str">
        <f t="shared" si="90"/>
        <v/>
      </c>
      <c r="C1257" t="str">
        <f t="shared" si="89"/>
        <v/>
      </c>
      <c r="D1257" s="245" t="str">
        <f t="shared" si="91"/>
        <v/>
      </c>
      <c r="E1257" s="534"/>
      <c r="F1257" s="534"/>
    </row>
    <row r="1258" spans="1:6" ht="15" customHeight="1">
      <c r="A1258" s="51"/>
      <c r="B1258" s="52" t="str">
        <f t="shared" si="90"/>
        <v/>
      </c>
      <c r="C1258" t="str">
        <f t="shared" si="89"/>
        <v/>
      </c>
      <c r="D1258" s="245" t="str">
        <f t="shared" si="91"/>
        <v/>
      </c>
      <c r="E1258" s="534"/>
      <c r="F1258" s="534"/>
    </row>
    <row r="1259" spans="1:6" ht="15" customHeight="1">
      <c r="A1259" s="51"/>
      <c r="B1259" s="52" t="str">
        <f t="shared" si="90"/>
        <v/>
      </c>
      <c r="C1259" t="str">
        <f t="shared" si="89"/>
        <v/>
      </c>
      <c r="D1259" s="245" t="str">
        <f t="shared" si="91"/>
        <v/>
      </c>
      <c r="E1259" s="534"/>
      <c r="F1259" s="534"/>
    </row>
    <row r="1260" spans="1:6" ht="15" customHeight="1">
      <c r="A1260" s="51"/>
      <c r="B1260" s="52" t="str">
        <f t="shared" si="90"/>
        <v/>
      </c>
      <c r="C1260" t="str">
        <f t="shared" si="89"/>
        <v/>
      </c>
      <c r="D1260" s="245" t="str">
        <f t="shared" si="91"/>
        <v/>
      </c>
      <c r="E1260" s="534"/>
      <c r="F1260" s="534"/>
    </row>
    <row r="1261" spans="1:6" ht="15" customHeight="1">
      <c r="A1261" s="51"/>
      <c r="B1261" s="52" t="str">
        <f t="shared" si="90"/>
        <v/>
      </c>
      <c r="C1261" t="str">
        <f t="shared" si="89"/>
        <v/>
      </c>
      <c r="D1261" s="245" t="str">
        <f t="shared" si="91"/>
        <v/>
      </c>
      <c r="E1261" s="534"/>
      <c r="F1261" s="534"/>
    </row>
    <row r="1262" spans="1:6" ht="15" customHeight="1">
      <c r="A1262" s="51"/>
      <c r="B1262" s="52" t="str">
        <f t="shared" si="90"/>
        <v/>
      </c>
      <c r="C1262" t="str">
        <f t="shared" si="89"/>
        <v/>
      </c>
      <c r="D1262" s="245" t="str">
        <f t="shared" si="91"/>
        <v/>
      </c>
      <c r="E1262" s="534"/>
      <c r="F1262" s="534"/>
    </row>
    <row r="1263" spans="1:6" ht="15" customHeight="1">
      <c r="A1263" s="51"/>
      <c r="B1263" s="52" t="str">
        <f t="shared" si="90"/>
        <v/>
      </c>
      <c r="C1263" t="str">
        <f t="shared" si="89"/>
        <v/>
      </c>
      <c r="D1263" s="245" t="str">
        <f t="shared" si="91"/>
        <v/>
      </c>
      <c r="E1263" s="534"/>
      <c r="F1263" s="534"/>
    </row>
    <row r="1264" spans="1:6" ht="15" customHeight="1">
      <c r="A1264" s="51"/>
      <c r="B1264" s="52" t="str">
        <f t="shared" si="90"/>
        <v/>
      </c>
      <c r="C1264" t="str">
        <f t="shared" si="89"/>
        <v/>
      </c>
      <c r="D1264" s="245" t="str">
        <f t="shared" si="91"/>
        <v/>
      </c>
      <c r="E1264" s="534"/>
      <c r="F1264" s="534"/>
    </row>
    <row r="1265" spans="1:6" ht="15" customHeight="1">
      <c r="A1265" s="51"/>
      <c r="B1265" s="52" t="str">
        <f t="shared" si="90"/>
        <v/>
      </c>
      <c r="C1265" t="str">
        <f t="shared" si="89"/>
        <v/>
      </c>
      <c r="D1265" s="245" t="str">
        <f t="shared" si="91"/>
        <v/>
      </c>
      <c r="E1265" s="534"/>
      <c r="F1265" s="534"/>
    </row>
    <row r="1266" spans="1:6" ht="15" customHeight="1">
      <c r="A1266" s="51"/>
      <c r="B1266" s="52" t="str">
        <f t="shared" si="90"/>
        <v/>
      </c>
      <c r="C1266" t="str">
        <f t="shared" si="89"/>
        <v/>
      </c>
      <c r="D1266" s="245" t="str">
        <f t="shared" si="91"/>
        <v/>
      </c>
      <c r="E1266" s="534"/>
      <c r="F1266" s="534"/>
    </row>
    <row r="1267" spans="1:6" ht="15" customHeight="1">
      <c r="A1267" s="51"/>
      <c r="B1267" s="52" t="str">
        <f t="shared" si="90"/>
        <v/>
      </c>
      <c r="C1267" t="str">
        <f t="shared" si="89"/>
        <v/>
      </c>
      <c r="D1267" s="245" t="str">
        <f t="shared" si="91"/>
        <v/>
      </c>
      <c r="E1267" s="534"/>
      <c r="F1267" s="534"/>
    </row>
    <row r="1268" spans="1:6" ht="15" customHeight="1">
      <c r="A1268" s="51"/>
      <c r="B1268" s="52" t="str">
        <f t="shared" si="90"/>
        <v/>
      </c>
      <c r="C1268" t="str">
        <f t="shared" si="89"/>
        <v/>
      </c>
      <c r="D1268" s="245" t="str">
        <f t="shared" si="91"/>
        <v/>
      </c>
      <c r="E1268" s="534"/>
      <c r="F1268" s="534"/>
    </row>
    <row r="1269" spans="1:6" ht="15" customHeight="1">
      <c r="A1269" s="51"/>
      <c r="B1269" s="52" t="str">
        <f t="shared" si="90"/>
        <v/>
      </c>
      <c r="C1269" t="str">
        <f t="shared" si="89"/>
        <v/>
      </c>
      <c r="D1269" s="245" t="str">
        <f t="shared" si="91"/>
        <v/>
      </c>
      <c r="E1269" s="534"/>
      <c r="F1269" s="534"/>
    </row>
    <row r="1270" spans="1:6" ht="15" customHeight="1">
      <c r="A1270" s="51"/>
      <c r="B1270" s="52" t="str">
        <f t="shared" si="90"/>
        <v/>
      </c>
      <c r="C1270" t="str">
        <f t="shared" si="89"/>
        <v/>
      </c>
      <c r="D1270" s="245" t="str">
        <f t="shared" si="91"/>
        <v/>
      </c>
      <c r="E1270" s="534"/>
      <c r="F1270" s="534"/>
    </row>
    <row r="1271" spans="1:6" ht="15" customHeight="1">
      <c r="A1271" s="51"/>
      <c r="B1271" s="52" t="str">
        <f t="shared" si="90"/>
        <v/>
      </c>
      <c r="C1271" t="str">
        <f t="shared" si="89"/>
        <v/>
      </c>
      <c r="D1271" s="245" t="str">
        <f t="shared" si="91"/>
        <v/>
      </c>
      <c r="E1271" s="534"/>
      <c r="F1271" s="534"/>
    </row>
    <row r="1272" spans="1:6" ht="15" customHeight="1">
      <c r="A1272" s="51"/>
      <c r="B1272" s="52" t="str">
        <f t="shared" si="90"/>
        <v/>
      </c>
      <c r="C1272" t="str">
        <f t="shared" si="89"/>
        <v/>
      </c>
      <c r="D1272" s="245" t="str">
        <f t="shared" si="91"/>
        <v/>
      </c>
      <c r="E1272" s="534"/>
      <c r="F1272" s="534"/>
    </row>
    <row r="1273" spans="1:6" ht="15" customHeight="1">
      <c r="A1273" s="51"/>
      <c r="B1273" s="52" t="str">
        <f t="shared" si="90"/>
        <v/>
      </c>
      <c r="C1273" t="str">
        <f t="shared" si="89"/>
        <v/>
      </c>
      <c r="D1273" s="245" t="str">
        <f t="shared" si="91"/>
        <v/>
      </c>
      <c r="E1273" s="534"/>
      <c r="F1273" s="534"/>
    </row>
    <row r="1274" spans="1:6" ht="15" customHeight="1">
      <c r="A1274" s="51"/>
      <c r="B1274" s="52" t="str">
        <f t="shared" si="90"/>
        <v/>
      </c>
      <c r="C1274" t="str">
        <f t="shared" si="89"/>
        <v/>
      </c>
      <c r="D1274" s="245" t="str">
        <f t="shared" si="91"/>
        <v/>
      </c>
      <c r="E1274" s="534"/>
      <c r="F1274" s="534"/>
    </row>
    <row r="1275" spans="1:6" ht="15" customHeight="1">
      <c r="A1275" s="51"/>
      <c r="B1275" s="52" t="str">
        <f t="shared" si="90"/>
        <v/>
      </c>
      <c r="C1275" t="str">
        <f t="shared" si="89"/>
        <v/>
      </c>
      <c r="D1275" s="245" t="str">
        <f t="shared" si="91"/>
        <v/>
      </c>
      <c r="E1275" s="534"/>
      <c r="F1275" s="534"/>
    </row>
    <row r="1276" spans="1:6" ht="15" customHeight="1">
      <c r="A1276" s="51"/>
      <c r="B1276" s="52" t="str">
        <f t="shared" si="90"/>
        <v/>
      </c>
      <c r="C1276" t="str">
        <f t="shared" si="89"/>
        <v/>
      </c>
      <c r="D1276" s="245" t="str">
        <f t="shared" si="91"/>
        <v/>
      </c>
      <c r="E1276" s="534"/>
      <c r="F1276" s="534"/>
    </row>
    <row r="1277" spans="1:6" ht="15" customHeight="1">
      <c r="A1277" s="51"/>
      <c r="B1277" s="52" t="str">
        <f t="shared" si="90"/>
        <v/>
      </c>
      <c r="C1277" t="str">
        <f t="shared" si="89"/>
        <v/>
      </c>
      <c r="D1277" s="245" t="str">
        <f t="shared" si="91"/>
        <v/>
      </c>
      <c r="E1277" s="534"/>
      <c r="F1277" s="534"/>
    </row>
    <row r="1278" spans="1:6" ht="15" customHeight="1">
      <c r="A1278" s="51"/>
      <c r="B1278" s="52" t="str">
        <f t="shared" si="90"/>
        <v/>
      </c>
      <c r="C1278" t="str">
        <f t="shared" si="89"/>
        <v/>
      </c>
      <c r="D1278" s="245" t="str">
        <f t="shared" si="91"/>
        <v/>
      </c>
      <c r="E1278" s="534"/>
      <c r="F1278" s="534"/>
    </row>
    <row r="1279" spans="1:6" ht="15" customHeight="1">
      <c r="A1279" s="51"/>
      <c r="B1279" s="52" t="str">
        <f t="shared" si="90"/>
        <v/>
      </c>
      <c r="C1279" t="str">
        <f t="shared" si="89"/>
        <v/>
      </c>
      <c r="D1279" s="245" t="str">
        <f t="shared" si="91"/>
        <v/>
      </c>
      <c r="E1279" s="534"/>
      <c r="F1279" s="534"/>
    </row>
    <row r="1280" spans="1:6" ht="15" customHeight="1">
      <c r="A1280" s="51"/>
      <c r="B1280" s="52" t="str">
        <f t="shared" si="90"/>
        <v/>
      </c>
      <c r="C1280" t="str">
        <f t="shared" si="89"/>
        <v/>
      </c>
      <c r="D1280" s="245" t="str">
        <f t="shared" si="91"/>
        <v/>
      </c>
      <c r="E1280" s="534"/>
      <c r="F1280" s="534"/>
    </row>
    <row r="1281" spans="1:6" ht="15" customHeight="1">
      <c r="A1281" s="51"/>
      <c r="B1281" s="52" t="str">
        <f t="shared" si="90"/>
        <v/>
      </c>
      <c r="C1281" t="str">
        <f t="shared" si="89"/>
        <v/>
      </c>
      <c r="D1281" s="245" t="str">
        <f t="shared" si="91"/>
        <v/>
      </c>
      <c r="E1281" s="534"/>
      <c r="F1281" s="534"/>
    </row>
    <row r="1282" spans="1:6" ht="15" customHeight="1">
      <c r="A1282" s="51"/>
      <c r="B1282" s="52" t="str">
        <f t="shared" si="90"/>
        <v/>
      </c>
      <c r="C1282" t="str">
        <f t="shared" ref="C1282:C1345" si="92">IF(A1282&lt;&gt;"",TEXT(A1282,"aaaa"),"")</f>
        <v/>
      </c>
      <c r="D1282" s="245" t="str">
        <f t="shared" si="91"/>
        <v/>
      </c>
      <c r="E1282" s="534"/>
      <c r="F1282" s="534"/>
    </row>
    <row r="1283" spans="1:6" ht="15" customHeight="1">
      <c r="A1283" s="51"/>
      <c r="B1283" s="52" t="str">
        <f t="shared" si="90"/>
        <v/>
      </c>
      <c r="C1283" t="str">
        <f t="shared" si="92"/>
        <v/>
      </c>
      <c r="D1283" s="245" t="str">
        <f t="shared" si="91"/>
        <v/>
      </c>
      <c r="E1283" s="534"/>
      <c r="F1283" s="534"/>
    </row>
    <row r="1284" spans="1:6" ht="15" customHeight="1">
      <c r="A1284" s="51"/>
      <c r="B1284" s="52" t="str">
        <f t="shared" si="90"/>
        <v/>
      </c>
      <c r="C1284" t="str">
        <f t="shared" si="92"/>
        <v/>
      </c>
      <c r="D1284" s="245" t="str">
        <f t="shared" si="91"/>
        <v/>
      </c>
      <c r="E1284" s="534"/>
      <c r="F1284" s="534"/>
    </row>
    <row r="1285" spans="1:6" ht="15" customHeight="1">
      <c r="A1285" s="51"/>
      <c r="B1285" s="52" t="str">
        <f t="shared" si="90"/>
        <v/>
      </c>
      <c r="C1285" t="str">
        <f t="shared" si="92"/>
        <v/>
      </c>
      <c r="D1285" s="245" t="str">
        <f t="shared" si="91"/>
        <v/>
      </c>
      <c r="E1285" s="534"/>
      <c r="F1285" s="534"/>
    </row>
    <row r="1286" spans="1:6" ht="15" customHeight="1">
      <c r="A1286" s="51"/>
      <c r="B1286" s="52" t="str">
        <f t="shared" si="90"/>
        <v/>
      </c>
      <c r="C1286" t="str">
        <f t="shared" si="92"/>
        <v/>
      </c>
      <c r="D1286" s="245" t="str">
        <f t="shared" si="91"/>
        <v/>
      </c>
      <c r="E1286" s="534"/>
      <c r="F1286" s="534"/>
    </row>
    <row r="1287" spans="1:6" ht="15" customHeight="1">
      <c r="A1287" s="51"/>
      <c r="B1287" s="52" t="str">
        <f t="shared" si="90"/>
        <v/>
      </c>
      <c r="C1287" t="str">
        <f t="shared" si="92"/>
        <v/>
      </c>
      <c r="D1287" s="245" t="str">
        <f t="shared" si="91"/>
        <v/>
      </c>
      <c r="E1287" s="534"/>
      <c r="F1287" s="534"/>
    </row>
    <row r="1288" spans="1:6" ht="15" customHeight="1">
      <c r="A1288" s="51"/>
      <c r="B1288" s="52" t="str">
        <f t="shared" ref="B1288:B1351" si="93">IF(A1288="","",TEXT(A1288,"DDDD"))</f>
        <v/>
      </c>
      <c r="C1288" t="str">
        <f t="shared" si="92"/>
        <v/>
      </c>
      <c r="D1288" s="245" t="str">
        <f t="shared" si="91"/>
        <v/>
      </c>
      <c r="E1288" s="534"/>
      <c r="F1288" s="534"/>
    </row>
    <row r="1289" spans="1:6" ht="15" customHeight="1">
      <c r="A1289" s="51"/>
      <c r="B1289" s="52" t="str">
        <f t="shared" si="93"/>
        <v/>
      </c>
      <c r="C1289" t="str">
        <f t="shared" si="92"/>
        <v/>
      </c>
      <c r="D1289" s="245" t="str">
        <f t="shared" ref="D1289:D1352" si="94">IF(A1289&lt;&gt;"",PROPER(TEXT(A1289,"Mmmm")),"")</f>
        <v/>
      </c>
      <c r="E1289" s="534"/>
      <c r="F1289" s="534"/>
    </row>
    <row r="1290" spans="1:6" ht="15" customHeight="1">
      <c r="A1290" s="51"/>
      <c r="B1290" s="52" t="str">
        <f t="shared" si="93"/>
        <v/>
      </c>
      <c r="C1290" t="str">
        <f t="shared" si="92"/>
        <v/>
      </c>
      <c r="D1290" s="245" t="str">
        <f t="shared" si="94"/>
        <v/>
      </c>
      <c r="E1290" s="534"/>
      <c r="F1290" s="534"/>
    </row>
    <row r="1291" spans="1:6" ht="15" customHeight="1">
      <c r="A1291" s="51"/>
      <c r="B1291" s="52" t="str">
        <f t="shared" si="93"/>
        <v/>
      </c>
      <c r="C1291" t="str">
        <f t="shared" si="92"/>
        <v/>
      </c>
      <c r="D1291" s="245" t="str">
        <f t="shared" si="94"/>
        <v/>
      </c>
      <c r="E1291" s="534"/>
      <c r="F1291" s="534"/>
    </row>
    <row r="1292" spans="1:6" ht="15" customHeight="1">
      <c r="A1292" s="51"/>
      <c r="B1292" s="52" t="str">
        <f t="shared" si="93"/>
        <v/>
      </c>
      <c r="C1292" t="str">
        <f t="shared" si="92"/>
        <v/>
      </c>
      <c r="D1292" s="245" t="str">
        <f t="shared" si="94"/>
        <v/>
      </c>
      <c r="E1292" s="534"/>
      <c r="F1292" s="534"/>
    </row>
    <row r="1293" spans="1:6" ht="15" customHeight="1">
      <c r="A1293" s="51"/>
      <c r="B1293" s="52" t="str">
        <f t="shared" si="93"/>
        <v/>
      </c>
      <c r="C1293" t="str">
        <f t="shared" si="92"/>
        <v/>
      </c>
      <c r="D1293" s="245" t="str">
        <f t="shared" si="94"/>
        <v/>
      </c>
      <c r="E1293" s="534"/>
      <c r="F1293" s="534"/>
    </row>
    <row r="1294" spans="1:6" ht="15" customHeight="1">
      <c r="A1294" s="51"/>
      <c r="B1294" s="52" t="str">
        <f t="shared" si="93"/>
        <v/>
      </c>
      <c r="C1294" t="str">
        <f t="shared" si="92"/>
        <v/>
      </c>
      <c r="D1294" s="245" t="str">
        <f t="shared" si="94"/>
        <v/>
      </c>
      <c r="E1294" s="534"/>
      <c r="F1294" s="534"/>
    </row>
    <row r="1295" spans="1:6" ht="15" customHeight="1">
      <c r="A1295" s="51"/>
      <c r="B1295" s="52" t="str">
        <f t="shared" si="93"/>
        <v/>
      </c>
      <c r="C1295" t="str">
        <f t="shared" si="92"/>
        <v/>
      </c>
      <c r="D1295" s="245" t="str">
        <f t="shared" si="94"/>
        <v/>
      </c>
      <c r="E1295" s="534"/>
      <c r="F1295" s="534"/>
    </row>
    <row r="1296" spans="1:6" ht="15" customHeight="1">
      <c r="A1296" s="51"/>
      <c r="B1296" s="52" t="str">
        <f t="shared" si="93"/>
        <v/>
      </c>
      <c r="C1296" t="str">
        <f t="shared" si="92"/>
        <v/>
      </c>
      <c r="D1296" s="245" t="str">
        <f t="shared" si="94"/>
        <v/>
      </c>
      <c r="E1296" s="534"/>
      <c r="F1296" s="534"/>
    </row>
    <row r="1297" spans="1:6" ht="15" customHeight="1">
      <c r="A1297" s="51"/>
      <c r="B1297" s="52" t="str">
        <f t="shared" si="93"/>
        <v/>
      </c>
      <c r="C1297" t="str">
        <f t="shared" si="92"/>
        <v/>
      </c>
      <c r="D1297" s="245" t="str">
        <f t="shared" si="94"/>
        <v/>
      </c>
      <c r="E1297" s="534"/>
      <c r="F1297" s="534"/>
    </row>
    <row r="1298" spans="1:6" ht="15" customHeight="1">
      <c r="A1298" s="51"/>
      <c r="B1298" s="52" t="str">
        <f t="shared" si="93"/>
        <v/>
      </c>
      <c r="C1298" t="str">
        <f t="shared" si="92"/>
        <v/>
      </c>
      <c r="D1298" s="245" t="str">
        <f t="shared" si="94"/>
        <v/>
      </c>
      <c r="E1298" s="534"/>
      <c r="F1298" s="534"/>
    </row>
    <row r="1299" spans="1:6" ht="15" customHeight="1">
      <c r="A1299" s="51"/>
      <c r="B1299" s="52" t="str">
        <f t="shared" si="93"/>
        <v/>
      </c>
      <c r="C1299" t="str">
        <f t="shared" si="92"/>
        <v/>
      </c>
      <c r="D1299" s="245" t="str">
        <f t="shared" si="94"/>
        <v/>
      </c>
      <c r="E1299" s="534"/>
      <c r="F1299" s="534"/>
    </row>
    <row r="1300" spans="1:6" ht="15" customHeight="1">
      <c r="A1300" s="51"/>
      <c r="B1300" s="52" t="str">
        <f t="shared" si="93"/>
        <v/>
      </c>
      <c r="C1300" t="str">
        <f t="shared" si="92"/>
        <v/>
      </c>
      <c r="D1300" s="245" t="str">
        <f t="shared" si="94"/>
        <v/>
      </c>
      <c r="E1300" s="534"/>
      <c r="F1300" s="534"/>
    </row>
    <row r="1301" spans="1:6" ht="15" customHeight="1">
      <c r="A1301" s="51"/>
      <c r="B1301" s="52" t="str">
        <f t="shared" si="93"/>
        <v/>
      </c>
      <c r="C1301" t="str">
        <f t="shared" si="92"/>
        <v/>
      </c>
      <c r="D1301" s="245" t="str">
        <f t="shared" si="94"/>
        <v/>
      </c>
      <c r="E1301" s="534"/>
      <c r="F1301" s="534"/>
    </row>
    <row r="1302" spans="1:6" ht="15" customHeight="1">
      <c r="A1302" s="51"/>
      <c r="B1302" s="52" t="str">
        <f t="shared" si="93"/>
        <v/>
      </c>
      <c r="C1302" t="str">
        <f t="shared" si="92"/>
        <v/>
      </c>
      <c r="D1302" s="245" t="str">
        <f t="shared" si="94"/>
        <v/>
      </c>
      <c r="E1302" s="534"/>
      <c r="F1302" s="534"/>
    </row>
    <row r="1303" spans="1:6" ht="15" customHeight="1">
      <c r="A1303" s="51"/>
      <c r="B1303" s="52" t="str">
        <f t="shared" si="93"/>
        <v/>
      </c>
      <c r="C1303" t="str">
        <f t="shared" si="92"/>
        <v/>
      </c>
      <c r="D1303" s="245" t="str">
        <f t="shared" si="94"/>
        <v/>
      </c>
      <c r="E1303" s="534"/>
      <c r="F1303" s="534"/>
    </row>
    <row r="1304" spans="1:6" ht="15" customHeight="1">
      <c r="A1304" s="51"/>
      <c r="B1304" s="52" t="str">
        <f t="shared" si="93"/>
        <v/>
      </c>
      <c r="C1304" t="str">
        <f t="shared" si="92"/>
        <v/>
      </c>
      <c r="D1304" s="245" t="str">
        <f t="shared" si="94"/>
        <v/>
      </c>
      <c r="E1304" s="534"/>
      <c r="F1304" s="534"/>
    </row>
    <row r="1305" spans="1:6" ht="15" customHeight="1">
      <c r="A1305" s="51"/>
      <c r="B1305" s="52" t="str">
        <f t="shared" si="93"/>
        <v/>
      </c>
      <c r="C1305" t="str">
        <f t="shared" si="92"/>
        <v/>
      </c>
      <c r="D1305" s="245" t="str">
        <f t="shared" si="94"/>
        <v/>
      </c>
      <c r="E1305" s="534"/>
      <c r="F1305" s="534"/>
    </row>
    <row r="1306" spans="1:6" ht="15" customHeight="1">
      <c r="A1306" s="51"/>
      <c r="B1306" s="52" t="str">
        <f t="shared" si="93"/>
        <v/>
      </c>
      <c r="C1306" t="str">
        <f t="shared" si="92"/>
        <v/>
      </c>
      <c r="D1306" s="245" t="str">
        <f t="shared" si="94"/>
        <v/>
      </c>
      <c r="E1306" s="534"/>
      <c r="F1306" s="534"/>
    </row>
    <row r="1307" spans="1:6" ht="15" customHeight="1">
      <c r="A1307" s="51"/>
      <c r="B1307" s="52" t="str">
        <f t="shared" si="93"/>
        <v/>
      </c>
      <c r="C1307" t="str">
        <f t="shared" si="92"/>
        <v/>
      </c>
      <c r="D1307" s="245" t="str">
        <f t="shared" si="94"/>
        <v/>
      </c>
      <c r="E1307" s="534"/>
      <c r="F1307" s="534"/>
    </row>
    <row r="1308" spans="1:6" ht="15" customHeight="1">
      <c r="A1308" s="51"/>
      <c r="B1308" s="52" t="str">
        <f t="shared" si="93"/>
        <v/>
      </c>
      <c r="C1308" t="str">
        <f t="shared" si="92"/>
        <v/>
      </c>
      <c r="D1308" s="245" t="str">
        <f t="shared" si="94"/>
        <v/>
      </c>
      <c r="E1308" s="534"/>
      <c r="F1308" s="534"/>
    </row>
    <row r="1309" spans="1:6" ht="15" customHeight="1">
      <c r="A1309" s="51"/>
      <c r="B1309" s="52" t="str">
        <f t="shared" si="93"/>
        <v/>
      </c>
      <c r="C1309" t="str">
        <f t="shared" si="92"/>
        <v/>
      </c>
      <c r="D1309" s="245" t="str">
        <f t="shared" si="94"/>
        <v/>
      </c>
      <c r="E1309" s="534"/>
      <c r="F1309" s="534"/>
    </row>
    <row r="1310" spans="1:6" ht="15" customHeight="1">
      <c r="A1310" s="51"/>
      <c r="B1310" s="52" t="str">
        <f t="shared" si="93"/>
        <v/>
      </c>
      <c r="C1310" t="str">
        <f t="shared" si="92"/>
        <v/>
      </c>
      <c r="D1310" s="245" t="str">
        <f t="shared" si="94"/>
        <v/>
      </c>
      <c r="E1310" s="534"/>
      <c r="F1310" s="534"/>
    </row>
    <row r="1311" spans="1:6" ht="15" customHeight="1">
      <c r="A1311" s="51"/>
      <c r="B1311" s="52" t="str">
        <f t="shared" si="93"/>
        <v/>
      </c>
      <c r="C1311" t="str">
        <f t="shared" si="92"/>
        <v/>
      </c>
      <c r="D1311" s="245" t="str">
        <f t="shared" si="94"/>
        <v/>
      </c>
      <c r="E1311" s="534"/>
      <c r="F1311" s="534"/>
    </row>
    <row r="1312" spans="1:6" ht="15" customHeight="1">
      <c r="A1312" s="51"/>
      <c r="B1312" s="52" t="str">
        <f t="shared" si="93"/>
        <v/>
      </c>
      <c r="C1312" t="str">
        <f t="shared" si="92"/>
        <v/>
      </c>
      <c r="D1312" s="245" t="str">
        <f t="shared" si="94"/>
        <v/>
      </c>
      <c r="E1312" s="534"/>
      <c r="F1312" s="534"/>
    </row>
    <row r="1313" spans="1:6" ht="15" customHeight="1">
      <c r="A1313" s="51"/>
      <c r="B1313" s="52" t="str">
        <f t="shared" si="93"/>
        <v/>
      </c>
      <c r="C1313" t="str">
        <f t="shared" si="92"/>
        <v/>
      </c>
      <c r="D1313" s="245" t="str">
        <f t="shared" si="94"/>
        <v/>
      </c>
      <c r="E1313" s="534"/>
      <c r="F1313" s="534"/>
    </row>
    <row r="1314" spans="1:6" ht="15" customHeight="1">
      <c r="A1314" s="51"/>
      <c r="B1314" s="52" t="str">
        <f t="shared" si="93"/>
        <v/>
      </c>
      <c r="C1314" t="str">
        <f t="shared" si="92"/>
        <v/>
      </c>
      <c r="D1314" s="245" t="str">
        <f t="shared" si="94"/>
        <v/>
      </c>
      <c r="E1314" s="534"/>
      <c r="F1314" s="534"/>
    </row>
    <row r="1315" spans="1:6" ht="15" customHeight="1">
      <c r="A1315" s="51"/>
      <c r="B1315" s="52" t="str">
        <f t="shared" si="93"/>
        <v/>
      </c>
      <c r="C1315" t="str">
        <f t="shared" si="92"/>
        <v/>
      </c>
      <c r="D1315" s="245" t="str">
        <f t="shared" si="94"/>
        <v/>
      </c>
      <c r="E1315" s="534"/>
      <c r="F1315" s="534"/>
    </row>
    <row r="1316" spans="1:6" ht="15" customHeight="1">
      <c r="A1316" s="51"/>
      <c r="B1316" s="52" t="str">
        <f t="shared" si="93"/>
        <v/>
      </c>
      <c r="C1316" t="str">
        <f t="shared" si="92"/>
        <v/>
      </c>
      <c r="D1316" s="245" t="str">
        <f t="shared" si="94"/>
        <v/>
      </c>
      <c r="E1316" s="534"/>
      <c r="F1316" s="534"/>
    </row>
    <row r="1317" spans="1:6" ht="15" customHeight="1">
      <c r="A1317" s="51"/>
      <c r="B1317" s="52" t="str">
        <f t="shared" si="93"/>
        <v/>
      </c>
      <c r="C1317" t="str">
        <f t="shared" si="92"/>
        <v/>
      </c>
      <c r="D1317" s="245" t="str">
        <f t="shared" si="94"/>
        <v/>
      </c>
      <c r="E1317" s="534"/>
      <c r="F1317" s="534"/>
    </row>
    <row r="1318" spans="1:6" ht="15" customHeight="1">
      <c r="A1318" s="51"/>
      <c r="B1318" s="52" t="str">
        <f t="shared" si="93"/>
        <v/>
      </c>
      <c r="C1318" t="str">
        <f t="shared" si="92"/>
        <v/>
      </c>
      <c r="D1318" s="245" t="str">
        <f t="shared" si="94"/>
        <v/>
      </c>
      <c r="E1318" s="534"/>
      <c r="F1318" s="534"/>
    </row>
    <row r="1319" spans="1:6" ht="15" customHeight="1">
      <c r="A1319" s="51"/>
      <c r="B1319" s="52" t="str">
        <f t="shared" si="93"/>
        <v/>
      </c>
      <c r="C1319" t="str">
        <f t="shared" si="92"/>
        <v/>
      </c>
      <c r="D1319" s="245" t="str">
        <f t="shared" si="94"/>
        <v/>
      </c>
      <c r="E1319" s="534"/>
      <c r="F1319" s="534"/>
    </row>
    <row r="1320" spans="1:6" ht="15" customHeight="1">
      <c r="A1320" s="51"/>
      <c r="B1320" s="52" t="str">
        <f t="shared" si="93"/>
        <v/>
      </c>
      <c r="C1320" t="str">
        <f t="shared" si="92"/>
        <v/>
      </c>
      <c r="D1320" s="245" t="str">
        <f t="shared" si="94"/>
        <v/>
      </c>
      <c r="E1320" s="534"/>
      <c r="F1320" s="534"/>
    </row>
    <row r="1321" spans="1:6" ht="15" customHeight="1">
      <c r="A1321" s="51"/>
      <c r="B1321" s="52" t="str">
        <f t="shared" si="93"/>
        <v/>
      </c>
      <c r="C1321" t="str">
        <f t="shared" si="92"/>
        <v/>
      </c>
      <c r="D1321" s="245" t="str">
        <f t="shared" si="94"/>
        <v/>
      </c>
      <c r="E1321" s="534"/>
      <c r="F1321" s="534"/>
    </row>
    <row r="1322" spans="1:6" ht="15" customHeight="1">
      <c r="A1322" s="51"/>
      <c r="B1322" s="52" t="str">
        <f t="shared" si="93"/>
        <v/>
      </c>
      <c r="C1322" t="str">
        <f t="shared" si="92"/>
        <v/>
      </c>
      <c r="D1322" s="245" t="str">
        <f t="shared" si="94"/>
        <v/>
      </c>
      <c r="E1322" s="534"/>
      <c r="F1322" s="534"/>
    </row>
    <row r="1323" spans="1:6" ht="15" customHeight="1">
      <c r="A1323" s="51"/>
      <c r="B1323" s="52" t="str">
        <f t="shared" si="93"/>
        <v/>
      </c>
      <c r="C1323" t="str">
        <f t="shared" si="92"/>
        <v/>
      </c>
      <c r="D1323" s="245" t="str">
        <f t="shared" si="94"/>
        <v/>
      </c>
      <c r="E1323" s="534"/>
      <c r="F1323" s="534"/>
    </row>
    <row r="1324" spans="1:6" ht="15" customHeight="1">
      <c r="A1324" s="51"/>
      <c r="B1324" s="52" t="str">
        <f t="shared" si="93"/>
        <v/>
      </c>
      <c r="C1324" t="str">
        <f t="shared" si="92"/>
        <v/>
      </c>
      <c r="D1324" s="245" t="str">
        <f t="shared" si="94"/>
        <v/>
      </c>
      <c r="E1324" s="534"/>
      <c r="F1324" s="534"/>
    </row>
    <row r="1325" spans="1:6" ht="15" customHeight="1">
      <c r="A1325" s="51"/>
      <c r="B1325" s="52" t="str">
        <f t="shared" si="93"/>
        <v/>
      </c>
      <c r="C1325" t="str">
        <f t="shared" si="92"/>
        <v/>
      </c>
      <c r="D1325" s="245" t="str">
        <f t="shared" si="94"/>
        <v/>
      </c>
      <c r="E1325" s="534"/>
      <c r="F1325" s="534"/>
    </row>
    <row r="1326" spans="1:6" ht="15" customHeight="1">
      <c r="A1326" s="51"/>
      <c r="B1326" s="52" t="str">
        <f t="shared" si="93"/>
        <v/>
      </c>
      <c r="C1326" t="str">
        <f t="shared" si="92"/>
        <v/>
      </c>
      <c r="D1326" s="245" t="str">
        <f t="shared" si="94"/>
        <v/>
      </c>
      <c r="E1326" s="534"/>
      <c r="F1326" s="534"/>
    </row>
    <row r="1327" spans="1:6" ht="15" customHeight="1">
      <c r="A1327" s="51"/>
      <c r="B1327" s="52" t="str">
        <f t="shared" si="93"/>
        <v/>
      </c>
      <c r="C1327" t="str">
        <f t="shared" si="92"/>
        <v/>
      </c>
      <c r="D1327" s="245" t="str">
        <f t="shared" si="94"/>
        <v/>
      </c>
      <c r="E1327" s="534"/>
      <c r="F1327" s="534"/>
    </row>
    <row r="1328" spans="1:6" ht="15" customHeight="1">
      <c r="A1328" s="51"/>
      <c r="B1328" s="52" t="str">
        <f t="shared" si="93"/>
        <v/>
      </c>
      <c r="C1328" t="str">
        <f t="shared" si="92"/>
        <v/>
      </c>
      <c r="D1328" s="245" t="str">
        <f t="shared" si="94"/>
        <v/>
      </c>
      <c r="E1328" s="534"/>
      <c r="F1328" s="534"/>
    </row>
    <row r="1329" spans="1:6" ht="15" customHeight="1">
      <c r="A1329" s="51"/>
      <c r="B1329" s="52" t="str">
        <f t="shared" si="93"/>
        <v/>
      </c>
      <c r="C1329" t="str">
        <f t="shared" si="92"/>
        <v/>
      </c>
      <c r="D1329" s="245" t="str">
        <f t="shared" si="94"/>
        <v/>
      </c>
      <c r="E1329" s="534"/>
      <c r="F1329" s="534"/>
    </row>
    <row r="1330" spans="1:6" ht="15" customHeight="1">
      <c r="A1330" s="51"/>
      <c r="B1330" s="52" t="str">
        <f t="shared" si="93"/>
        <v/>
      </c>
      <c r="C1330" t="str">
        <f t="shared" si="92"/>
        <v/>
      </c>
      <c r="D1330" s="245" t="str">
        <f t="shared" si="94"/>
        <v/>
      </c>
      <c r="E1330" s="534"/>
      <c r="F1330" s="534"/>
    </row>
    <row r="1331" spans="1:6" ht="15" customHeight="1">
      <c r="A1331" s="51"/>
      <c r="B1331" s="52" t="str">
        <f t="shared" si="93"/>
        <v/>
      </c>
      <c r="C1331" t="str">
        <f t="shared" si="92"/>
        <v/>
      </c>
      <c r="D1331" s="245" t="str">
        <f t="shared" si="94"/>
        <v/>
      </c>
      <c r="E1331" s="534"/>
      <c r="F1331" s="534"/>
    </row>
    <row r="1332" spans="1:6" ht="15" customHeight="1">
      <c r="A1332" s="51"/>
      <c r="B1332" s="52" t="str">
        <f t="shared" si="93"/>
        <v/>
      </c>
      <c r="C1332" t="str">
        <f t="shared" si="92"/>
        <v/>
      </c>
      <c r="D1332" s="245" t="str">
        <f t="shared" si="94"/>
        <v/>
      </c>
      <c r="E1332" s="534"/>
      <c r="F1332" s="534"/>
    </row>
    <row r="1333" spans="1:6" ht="15" customHeight="1">
      <c r="A1333" s="51"/>
      <c r="B1333" s="52" t="str">
        <f t="shared" si="93"/>
        <v/>
      </c>
      <c r="C1333" t="str">
        <f t="shared" si="92"/>
        <v/>
      </c>
      <c r="D1333" s="245" t="str">
        <f t="shared" si="94"/>
        <v/>
      </c>
      <c r="E1333" s="534"/>
      <c r="F1333" s="534"/>
    </row>
    <row r="1334" spans="1:6" ht="15" customHeight="1">
      <c r="A1334" s="51"/>
      <c r="B1334" s="52" t="str">
        <f t="shared" si="93"/>
        <v/>
      </c>
      <c r="C1334" t="str">
        <f t="shared" si="92"/>
        <v/>
      </c>
      <c r="D1334" s="245" t="str">
        <f t="shared" si="94"/>
        <v/>
      </c>
      <c r="E1334" s="534"/>
      <c r="F1334" s="534"/>
    </row>
    <row r="1335" spans="1:6" ht="15" customHeight="1">
      <c r="A1335" s="51"/>
      <c r="B1335" s="52" t="str">
        <f t="shared" si="93"/>
        <v/>
      </c>
      <c r="C1335" t="str">
        <f t="shared" si="92"/>
        <v/>
      </c>
      <c r="D1335" s="245" t="str">
        <f t="shared" si="94"/>
        <v/>
      </c>
      <c r="E1335" s="534"/>
      <c r="F1335" s="534"/>
    </row>
    <row r="1336" spans="1:6" ht="15" customHeight="1">
      <c r="A1336" s="51"/>
      <c r="B1336" s="52" t="str">
        <f t="shared" si="93"/>
        <v/>
      </c>
      <c r="C1336" t="str">
        <f t="shared" si="92"/>
        <v/>
      </c>
      <c r="D1336" s="245" t="str">
        <f t="shared" si="94"/>
        <v/>
      </c>
      <c r="E1336" s="534"/>
      <c r="F1336" s="534"/>
    </row>
    <row r="1337" spans="1:6" ht="15" customHeight="1">
      <c r="A1337" s="51"/>
      <c r="B1337" s="52" t="str">
        <f t="shared" si="93"/>
        <v/>
      </c>
      <c r="C1337" t="str">
        <f t="shared" si="92"/>
        <v/>
      </c>
      <c r="D1337" s="245" t="str">
        <f t="shared" si="94"/>
        <v/>
      </c>
      <c r="E1337" s="534"/>
      <c r="F1337" s="534"/>
    </row>
    <row r="1338" spans="1:6" ht="15" customHeight="1">
      <c r="A1338" s="51"/>
      <c r="B1338" s="52" t="str">
        <f t="shared" si="93"/>
        <v/>
      </c>
      <c r="C1338" t="str">
        <f t="shared" si="92"/>
        <v/>
      </c>
      <c r="D1338" s="245" t="str">
        <f t="shared" si="94"/>
        <v/>
      </c>
      <c r="E1338" s="534"/>
      <c r="F1338" s="534"/>
    </row>
    <row r="1339" spans="1:6" ht="15" customHeight="1">
      <c r="A1339" s="51"/>
      <c r="B1339" s="52" t="str">
        <f t="shared" si="93"/>
        <v/>
      </c>
      <c r="C1339" t="str">
        <f t="shared" si="92"/>
        <v/>
      </c>
      <c r="D1339" s="245" t="str">
        <f t="shared" si="94"/>
        <v/>
      </c>
      <c r="E1339" s="534"/>
      <c r="F1339" s="534"/>
    </row>
    <row r="1340" spans="1:6" ht="15" customHeight="1">
      <c r="A1340" s="51"/>
      <c r="B1340" s="52" t="str">
        <f t="shared" si="93"/>
        <v/>
      </c>
      <c r="C1340" t="str">
        <f t="shared" si="92"/>
        <v/>
      </c>
      <c r="D1340" s="245" t="str">
        <f t="shared" si="94"/>
        <v/>
      </c>
      <c r="E1340" s="534"/>
      <c r="F1340" s="534"/>
    </row>
    <row r="1341" spans="1:6" ht="15" customHeight="1">
      <c r="A1341" s="51"/>
      <c r="B1341" s="52" t="str">
        <f t="shared" si="93"/>
        <v/>
      </c>
      <c r="C1341" t="str">
        <f t="shared" si="92"/>
        <v/>
      </c>
      <c r="D1341" s="245" t="str">
        <f t="shared" si="94"/>
        <v/>
      </c>
      <c r="E1341" s="534"/>
      <c r="F1341" s="534"/>
    </row>
    <row r="1342" spans="1:6" ht="15" customHeight="1">
      <c r="A1342" s="51"/>
      <c r="B1342" s="52" t="str">
        <f t="shared" si="93"/>
        <v/>
      </c>
      <c r="C1342" t="str">
        <f t="shared" si="92"/>
        <v/>
      </c>
      <c r="D1342" s="245" t="str">
        <f t="shared" si="94"/>
        <v/>
      </c>
      <c r="E1342" s="534"/>
      <c r="F1342" s="534"/>
    </row>
    <row r="1343" spans="1:6" ht="15" customHeight="1">
      <c r="A1343" s="51"/>
      <c r="B1343" s="52" t="str">
        <f t="shared" si="93"/>
        <v/>
      </c>
      <c r="C1343" t="str">
        <f t="shared" si="92"/>
        <v/>
      </c>
      <c r="D1343" s="245" t="str">
        <f t="shared" si="94"/>
        <v/>
      </c>
      <c r="E1343" s="534"/>
      <c r="F1343" s="534"/>
    </row>
    <row r="1344" spans="1:6" ht="15" customHeight="1">
      <c r="A1344" s="51"/>
      <c r="B1344" s="52" t="str">
        <f t="shared" si="93"/>
        <v/>
      </c>
      <c r="C1344" t="str">
        <f t="shared" si="92"/>
        <v/>
      </c>
      <c r="D1344" s="245" t="str">
        <f t="shared" si="94"/>
        <v/>
      </c>
      <c r="E1344" s="534"/>
      <c r="F1344" s="534"/>
    </row>
    <row r="1345" spans="1:6" ht="15" customHeight="1">
      <c r="A1345" s="51"/>
      <c r="B1345" s="52" t="str">
        <f t="shared" si="93"/>
        <v/>
      </c>
      <c r="C1345" t="str">
        <f t="shared" si="92"/>
        <v/>
      </c>
      <c r="D1345" s="245" t="str">
        <f t="shared" si="94"/>
        <v/>
      </c>
      <c r="E1345" s="534"/>
      <c r="F1345" s="534"/>
    </row>
    <row r="1346" spans="1:6" ht="15" customHeight="1">
      <c r="A1346" s="51"/>
      <c r="B1346" s="52" t="str">
        <f t="shared" si="93"/>
        <v/>
      </c>
      <c r="C1346" t="str">
        <f t="shared" ref="C1346:C1409" si="95">IF(A1346&lt;&gt;"",TEXT(A1346,"aaaa"),"")</f>
        <v/>
      </c>
      <c r="D1346" s="245" t="str">
        <f t="shared" si="94"/>
        <v/>
      </c>
      <c r="E1346" s="534"/>
      <c r="F1346" s="534"/>
    </row>
    <row r="1347" spans="1:6" ht="15" customHeight="1">
      <c r="A1347" s="51"/>
      <c r="B1347" s="52" t="str">
        <f t="shared" si="93"/>
        <v/>
      </c>
      <c r="C1347" t="str">
        <f t="shared" si="95"/>
        <v/>
      </c>
      <c r="D1347" s="245" t="str">
        <f t="shared" si="94"/>
        <v/>
      </c>
      <c r="E1347" s="534"/>
      <c r="F1347" s="534"/>
    </row>
    <row r="1348" spans="1:6" ht="15" customHeight="1">
      <c r="A1348" s="51"/>
      <c r="B1348" s="52" t="str">
        <f t="shared" si="93"/>
        <v/>
      </c>
      <c r="C1348" t="str">
        <f t="shared" si="95"/>
        <v/>
      </c>
      <c r="D1348" s="245" t="str">
        <f t="shared" si="94"/>
        <v/>
      </c>
      <c r="E1348" s="534"/>
      <c r="F1348" s="534"/>
    </row>
    <row r="1349" spans="1:6" ht="15" customHeight="1">
      <c r="A1349" s="51"/>
      <c r="B1349" s="52" t="str">
        <f t="shared" si="93"/>
        <v/>
      </c>
      <c r="C1349" t="str">
        <f t="shared" si="95"/>
        <v/>
      </c>
      <c r="D1349" s="245" t="str">
        <f t="shared" si="94"/>
        <v/>
      </c>
      <c r="E1349" s="534"/>
      <c r="F1349" s="534"/>
    </row>
    <row r="1350" spans="1:6" ht="15" customHeight="1">
      <c r="A1350" s="51"/>
      <c r="B1350" s="52" t="str">
        <f t="shared" si="93"/>
        <v/>
      </c>
      <c r="C1350" t="str">
        <f t="shared" si="95"/>
        <v/>
      </c>
      <c r="D1350" s="245" t="str">
        <f t="shared" si="94"/>
        <v/>
      </c>
      <c r="E1350" s="534"/>
      <c r="F1350" s="534"/>
    </row>
    <row r="1351" spans="1:6" ht="15" customHeight="1">
      <c r="A1351" s="51"/>
      <c r="B1351" s="52" t="str">
        <f t="shared" si="93"/>
        <v/>
      </c>
      <c r="C1351" t="str">
        <f t="shared" si="95"/>
        <v/>
      </c>
      <c r="D1351" s="245" t="str">
        <f t="shared" si="94"/>
        <v/>
      </c>
      <c r="E1351" s="534"/>
      <c r="F1351" s="534"/>
    </row>
    <row r="1352" spans="1:6" ht="15" customHeight="1">
      <c r="A1352" s="51"/>
      <c r="B1352" s="52" t="str">
        <f t="shared" ref="B1352:B1415" si="96">IF(A1352="","",TEXT(A1352,"DDDD"))</f>
        <v/>
      </c>
      <c r="C1352" t="str">
        <f t="shared" si="95"/>
        <v/>
      </c>
      <c r="D1352" s="245" t="str">
        <f t="shared" si="94"/>
        <v/>
      </c>
      <c r="E1352" s="534"/>
      <c r="F1352" s="534"/>
    </row>
    <row r="1353" spans="1:6" ht="15" customHeight="1">
      <c r="A1353" s="51"/>
      <c r="B1353" s="52" t="str">
        <f t="shared" si="96"/>
        <v/>
      </c>
      <c r="C1353" t="str">
        <f t="shared" si="95"/>
        <v/>
      </c>
      <c r="D1353" s="245" t="str">
        <f t="shared" ref="D1353:D1416" si="97">IF(A1353&lt;&gt;"",PROPER(TEXT(A1353,"Mmmm")),"")</f>
        <v/>
      </c>
      <c r="E1353" s="534"/>
      <c r="F1353" s="534"/>
    </row>
    <row r="1354" spans="1:6" ht="15" customHeight="1">
      <c r="A1354" s="51"/>
      <c r="B1354" s="52" t="str">
        <f t="shared" si="96"/>
        <v/>
      </c>
      <c r="C1354" t="str">
        <f t="shared" si="95"/>
        <v/>
      </c>
      <c r="D1354" s="245" t="str">
        <f t="shared" si="97"/>
        <v/>
      </c>
      <c r="E1354" s="534"/>
      <c r="F1354" s="534"/>
    </row>
    <row r="1355" spans="1:6" ht="15" customHeight="1">
      <c r="A1355" s="51"/>
      <c r="B1355" s="52" t="str">
        <f t="shared" si="96"/>
        <v/>
      </c>
      <c r="C1355" t="str">
        <f t="shared" si="95"/>
        <v/>
      </c>
      <c r="D1355" s="245" t="str">
        <f t="shared" si="97"/>
        <v/>
      </c>
      <c r="E1355" s="534"/>
      <c r="F1355" s="534"/>
    </row>
    <row r="1356" spans="1:6" ht="15" customHeight="1">
      <c r="A1356" s="51"/>
      <c r="B1356" s="52" t="str">
        <f t="shared" si="96"/>
        <v/>
      </c>
      <c r="C1356" t="str">
        <f t="shared" si="95"/>
        <v/>
      </c>
      <c r="D1356" s="245" t="str">
        <f t="shared" si="97"/>
        <v/>
      </c>
      <c r="E1356" s="534"/>
      <c r="F1356" s="534"/>
    </row>
    <row r="1357" spans="1:6" ht="15" customHeight="1">
      <c r="A1357" s="51"/>
      <c r="B1357" s="52" t="str">
        <f t="shared" si="96"/>
        <v/>
      </c>
      <c r="C1357" t="str">
        <f t="shared" si="95"/>
        <v/>
      </c>
      <c r="D1357" s="245" t="str">
        <f t="shared" si="97"/>
        <v/>
      </c>
      <c r="E1357" s="534"/>
      <c r="F1357" s="534"/>
    </row>
    <row r="1358" spans="1:6" ht="15" customHeight="1">
      <c r="A1358" s="51"/>
      <c r="B1358" s="52" t="str">
        <f t="shared" si="96"/>
        <v/>
      </c>
      <c r="C1358" t="str">
        <f t="shared" si="95"/>
        <v/>
      </c>
      <c r="D1358" s="245" t="str">
        <f t="shared" si="97"/>
        <v/>
      </c>
      <c r="E1358" s="534"/>
      <c r="F1358" s="534"/>
    </row>
    <row r="1359" spans="1:6" ht="15" customHeight="1">
      <c r="A1359" s="51"/>
      <c r="B1359" s="52" t="str">
        <f t="shared" si="96"/>
        <v/>
      </c>
      <c r="C1359" t="str">
        <f t="shared" si="95"/>
        <v/>
      </c>
      <c r="D1359" s="245" t="str">
        <f t="shared" si="97"/>
        <v/>
      </c>
      <c r="E1359" s="534"/>
      <c r="F1359" s="534"/>
    </row>
    <row r="1360" spans="1:6" ht="15" customHeight="1">
      <c r="A1360" s="51"/>
      <c r="B1360" s="52" t="str">
        <f t="shared" si="96"/>
        <v/>
      </c>
      <c r="C1360" t="str">
        <f t="shared" si="95"/>
        <v/>
      </c>
      <c r="D1360" s="245" t="str">
        <f t="shared" si="97"/>
        <v/>
      </c>
      <c r="E1360" s="534"/>
      <c r="F1360" s="534"/>
    </row>
    <row r="1361" spans="1:6" ht="15" customHeight="1">
      <c r="A1361" s="51"/>
      <c r="B1361" s="52" t="str">
        <f t="shared" si="96"/>
        <v/>
      </c>
      <c r="C1361" t="str">
        <f t="shared" si="95"/>
        <v/>
      </c>
      <c r="D1361" s="245" t="str">
        <f t="shared" si="97"/>
        <v/>
      </c>
      <c r="E1361" s="534"/>
      <c r="F1361" s="534"/>
    </row>
    <row r="1362" spans="1:6" ht="15" customHeight="1">
      <c r="A1362" s="51"/>
      <c r="B1362" s="52" t="str">
        <f t="shared" si="96"/>
        <v/>
      </c>
      <c r="C1362" t="str">
        <f t="shared" si="95"/>
        <v/>
      </c>
      <c r="D1362" s="245" t="str">
        <f t="shared" si="97"/>
        <v/>
      </c>
      <c r="E1362" s="534"/>
      <c r="F1362" s="534"/>
    </row>
    <row r="1363" spans="1:6" ht="15" customHeight="1">
      <c r="A1363" s="51"/>
      <c r="B1363" s="52" t="str">
        <f t="shared" si="96"/>
        <v/>
      </c>
      <c r="C1363" t="str">
        <f t="shared" si="95"/>
        <v/>
      </c>
      <c r="D1363" s="245" t="str">
        <f t="shared" si="97"/>
        <v/>
      </c>
      <c r="E1363" s="534"/>
      <c r="F1363" s="534"/>
    </row>
    <row r="1364" spans="1:6" ht="15" customHeight="1">
      <c r="A1364" s="51"/>
      <c r="B1364" s="52" t="str">
        <f t="shared" si="96"/>
        <v/>
      </c>
      <c r="C1364" t="str">
        <f t="shared" si="95"/>
        <v/>
      </c>
      <c r="D1364" s="245" t="str">
        <f t="shared" si="97"/>
        <v/>
      </c>
      <c r="E1364" s="534"/>
      <c r="F1364" s="534"/>
    </row>
    <row r="1365" spans="1:6" ht="15" customHeight="1">
      <c r="A1365" s="51"/>
      <c r="B1365" s="52" t="str">
        <f t="shared" si="96"/>
        <v/>
      </c>
      <c r="C1365" t="str">
        <f t="shared" si="95"/>
        <v/>
      </c>
      <c r="D1365" s="245" t="str">
        <f t="shared" si="97"/>
        <v/>
      </c>
      <c r="E1365" s="534"/>
      <c r="F1365" s="534"/>
    </row>
    <row r="1366" spans="1:6" ht="15" customHeight="1">
      <c r="A1366" s="51"/>
      <c r="B1366" s="52" t="str">
        <f t="shared" si="96"/>
        <v/>
      </c>
      <c r="C1366" t="str">
        <f t="shared" si="95"/>
        <v/>
      </c>
      <c r="D1366" s="245" t="str">
        <f t="shared" si="97"/>
        <v/>
      </c>
      <c r="E1366" s="534"/>
      <c r="F1366" s="534"/>
    </row>
    <row r="1367" spans="1:6" ht="15" customHeight="1">
      <c r="A1367" s="51"/>
      <c r="B1367" s="52" t="str">
        <f t="shared" si="96"/>
        <v/>
      </c>
      <c r="C1367" t="str">
        <f t="shared" si="95"/>
        <v/>
      </c>
      <c r="D1367" s="245" t="str">
        <f t="shared" si="97"/>
        <v/>
      </c>
      <c r="E1367" s="534"/>
      <c r="F1367" s="534"/>
    </row>
    <row r="1368" spans="1:6" ht="15" customHeight="1">
      <c r="A1368" s="51"/>
      <c r="B1368" s="52" t="str">
        <f t="shared" si="96"/>
        <v/>
      </c>
      <c r="C1368" t="str">
        <f t="shared" si="95"/>
        <v/>
      </c>
      <c r="D1368" s="245" t="str">
        <f t="shared" si="97"/>
        <v/>
      </c>
      <c r="E1368" s="534"/>
      <c r="F1368" s="534"/>
    </row>
    <row r="1369" spans="1:6" ht="15" customHeight="1">
      <c r="A1369" s="51"/>
      <c r="B1369" s="52" t="str">
        <f t="shared" si="96"/>
        <v/>
      </c>
      <c r="C1369" t="str">
        <f t="shared" si="95"/>
        <v/>
      </c>
      <c r="D1369" s="245" t="str">
        <f t="shared" si="97"/>
        <v/>
      </c>
      <c r="E1369" s="534"/>
      <c r="F1369" s="534"/>
    </row>
    <row r="1370" spans="1:6" ht="15" customHeight="1">
      <c r="A1370" s="51"/>
      <c r="B1370" s="52" t="str">
        <f t="shared" si="96"/>
        <v/>
      </c>
      <c r="C1370" t="str">
        <f t="shared" si="95"/>
        <v/>
      </c>
      <c r="D1370" s="245" t="str">
        <f t="shared" si="97"/>
        <v/>
      </c>
      <c r="E1370" s="534"/>
      <c r="F1370" s="534"/>
    </row>
    <row r="1371" spans="1:6" ht="15" customHeight="1">
      <c r="A1371" s="51"/>
      <c r="B1371" s="52" t="str">
        <f t="shared" si="96"/>
        <v/>
      </c>
      <c r="C1371" t="str">
        <f t="shared" si="95"/>
        <v/>
      </c>
      <c r="D1371" s="245" t="str">
        <f t="shared" si="97"/>
        <v/>
      </c>
      <c r="E1371" s="534"/>
      <c r="F1371" s="534"/>
    </row>
    <row r="1372" spans="1:6" ht="15" customHeight="1">
      <c r="A1372" s="51"/>
      <c r="B1372" s="52" t="str">
        <f t="shared" si="96"/>
        <v/>
      </c>
      <c r="C1372" t="str">
        <f t="shared" si="95"/>
        <v/>
      </c>
      <c r="D1372" s="245" t="str">
        <f t="shared" si="97"/>
        <v/>
      </c>
      <c r="E1372" s="534"/>
      <c r="F1372" s="534"/>
    </row>
    <row r="1373" spans="1:6" ht="15" customHeight="1">
      <c r="A1373" s="51"/>
      <c r="B1373" s="52" t="str">
        <f t="shared" si="96"/>
        <v/>
      </c>
      <c r="C1373" t="str">
        <f t="shared" si="95"/>
        <v/>
      </c>
      <c r="D1373" s="245" t="str">
        <f t="shared" si="97"/>
        <v/>
      </c>
      <c r="E1373" s="534"/>
      <c r="F1373" s="534"/>
    </row>
    <row r="1374" spans="1:6" ht="15" customHeight="1">
      <c r="A1374" s="51"/>
      <c r="B1374" s="52" t="str">
        <f t="shared" si="96"/>
        <v/>
      </c>
      <c r="C1374" t="str">
        <f t="shared" si="95"/>
        <v/>
      </c>
      <c r="D1374" s="245" t="str">
        <f t="shared" si="97"/>
        <v/>
      </c>
      <c r="E1374" s="534"/>
      <c r="F1374" s="534"/>
    </row>
    <row r="1375" spans="1:6" ht="15" customHeight="1">
      <c r="A1375" s="51"/>
      <c r="B1375" s="52" t="str">
        <f t="shared" si="96"/>
        <v/>
      </c>
      <c r="C1375" t="str">
        <f t="shared" si="95"/>
        <v/>
      </c>
      <c r="D1375" s="245" t="str">
        <f t="shared" si="97"/>
        <v/>
      </c>
      <c r="E1375" s="534"/>
      <c r="F1375" s="534"/>
    </row>
    <row r="1376" spans="1:6" ht="15" customHeight="1">
      <c r="A1376" s="51"/>
      <c r="B1376" s="52" t="str">
        <f t="shared" si="96"/>
        <v/>
      </c>
      <c r="C1376" t="str">
        <f t="shared" si="95"/>
        <v/>
      </c>
      <c r="D1376" s="245" t="str">
        <f t="shared" si="97"/>
        <v/>
      </c>
      <c r="E1376" s="534"/>
      <c r="F1376" s="534"/>
    </row>
    <row r="1377" spans="1:6" ht="15" customHeight="1">
      <c r="A1377" s="51"/>
      <c r="B1377" s="52" t="str">
        <f t="shared" si="96"/>
        <v/>
      </c>
      <c r="C1377" t="str">
        <f t="shared" si="95"/>
        <v/>
      </c>
      <c r="D1377" s="245" t="str">
        <f t="shared" si="97"/>
        <v/>
      </c>
      <c r="E1377" s="534"/>
      <c r="F1377" s="534"/>
    </row>
    <row r="1378" spans="1:6" ht="15" customHeight="1">
      <c r="A1378" s="51"/>
      <c r="B1378" s="52" t="str">
        <f t="shared" si="96"/>
        <v/>
      </c>
      <c r="C1378" t="str">
        <f t="shared" si="95"/>
        <v/>
      </c>
      <c r="D1378" s="245" t="str">
        <f t="shared" si="97"/>
        <v/>
      </c>
      <c r="E1378" s="534"/>
      <c r="F1378" s="534"/>
    </row>
    <row r="1379" spans="1:6" ht="15" customHeight="1">
      <c r="A1379" s="51"/>
      <c r="B1379" s="52" t="str">
        <f t="shared" si="96"/>
        <v/>
      </c>
      <c r="C1379" t="str">
        <f t="shared" si="95"/>
        <v/>
      </c>
      <c r="D1379" s="245" t="str">
        <f t="shared" si="97"/>
        <v/>
      </c>
      <c r="E1379" s="534"/>
      <c r="F1379" s="534"/>
    </row>
    <row r="1380" spans="1:6" ht="15" customHeight="1">
      <c r="A1380" s="51"/>
      <c r="B1380" s="52" t="str">
        <f t="shared" si="96"/>
        <v/>
      </c>
      <c r="C1380" t="str">
        <f t="shared" si="95"/>
        <v/>
      </c>
      <c r="D1380" s="245" t="str">
        <f t="shared" si="97"/>
        <v/>
      </c>
      <c r="E1380" s="534"/>
      <c r="F1380" s="534"/>
    </row>
    <row r="1381" spans="1:6" ht="15" customHeight="1">
      <c r="A1381" s="51"/>
      <c r="B1381" s="52" t="str">
        <f t="shared" si="96"/>
        <v/>
      </c>
      <c r="C1381" t="str">
        <f t="shared" si="95"/>
        <v/>
      </c>
      <c r="D1381" s="245" t="str">
        <f t="shared" si="97"/>
        <v/>
      </c>
      <c r="E1381" s="534"/>
      <c r="F1381" s="534"/>
    </row>
    <row r="1382" spans="1:6" ht="15" customHeight="1">
      <c r="A1382" s="51"/>
      <c r="B1382" s="52" t="str">
        <f t="shared" si="96"/>
        <v/>
      </c>
      <c r="C1382" t="str">
        <f t="shared" si="95"/>
        <v/>
      </c>
      <c r="D1382" s="245" t="str">
        <f t="shared" si="97"/>
        <v/>
      </c>
      <c r="E1382" s="534"/>
      <c r="F1382" s="534"/>
    </row>
    <row r="1383" spans="1:6" ht="15" customHeight="1">
      <c r="A1383" s="51"/>
      <c r="B1383" s="52" t="str">
        <f t="shared" si="96"/>
        <v/>
      </c>
      <c r="C1383" t="str">
        <f t="shared" si="95"/>
        <v/>
      </c>
      <c r="D1383" s="245" t="str">
        <f t="shared" si="97"/>
        <v/>
      </c>
      <c r="E1383" s="534"/>
      <c r="F1383" s="534"/>
    </row>
    <row r="1384" spans="1:6" ht="15" customHeight="1">
      <c r="A1384" s="51"/>
      <c r="B1384" s="52" t="str">
        <f t="shared" si="96"/>
        <v/>
      </c>
      <c r="C1384" t="str">
        <f t="shared" si="95"/>
        <v/>
      </c>
      <c r="D1384" s="245" t="str">
        <f t="shared" si="97"/>
        <v/>
      </c>
      <c r="E1384" s="534"/>
      <c r="F1384" s="534"/>
    </row>
    <row r="1385" spans="1:6" ht="15" customHeight="1">
      <c r="A1385" s="51"/>
      <c r="B1385" s="52" t="str">
        <f t="shared" si="96"/>
        <v/>
      </c>
      <c r="C1385" t="str">
        <f t="shared" si="95"/>
        <v/>
      </c>
      <c r="D1385" s="245" t="str">
        <f t="shared" si="97"/>
        <v/>
      </c>
      <c r="E1385" s="534"/>
      <c r="F1385" s="534"/>
    </row>
    <row r="1386" spans="1:6" ht="15" customHeight="1">
      <c r="A1386" s="51"/>
      <c r="B1386" s="52" t="str">
        <f t="shared" si="96"/>
        <v/>
      </c>
      <c r="C1386" t="str">
        <f t="shared" si="95"/>
        <v/>
      </c>
      <c r="D1386" s="245" t="str">
        <f t="shared" si="97"/>
        <v/>
      </c>
      <c r="E1386" s="534"/>
      <c r="F1386" s="534"/>
    </row>
    <row r="1387" spans="1:6" ht="15" customHeight="1">
      <c r="A1387" s="51"/>
      <c r="B1387" s="52" t="str">
        <f t="shared" si="96"/>
        <v/>
      </c>
      <c r="C1387" t="str">
        <f t="shared" si="95"/>
        <v/>
      </c>
      <c r="D1387" s="245" t="str">
        <f t="shared" si="97"/>
        <v/>
      </c>
      <c r="E1387" s="534"/>
      <c r="F1387" s="534"/>
    </row>
    <row r="1388" spans="1:6" ht="15" customHeight="1">
      <c r="A1388" s="51"/>
      <c r="B1388" s="52" t="str">
        <f t="shared" si="96"/>
        <v/>
      </c>
      <c r="C1388" t="str">
        <f t="shared" si="95"/>
        <v/>
      </c>
      <c r="D1388" s="245" t="str">
        <f t="shared" si="97"/>
        <v/>
      </c>
      <c r="E1388" s="534"/>
      <c r="F1388" s="534"/>
    </row>
    <row r="1389" spans="1:6" ht="15" customHeight="1">
      <c r="A1389" s="51"/>
      <c r="B1389" s="52" t="str">
        <f t="shared" si="96"/>
        <v/>
      </c>
      <c r="C1389" t="str">
        <f t="shared" si="95"/>
        <v/>
      </c>
      <c r="D1389" s="245" t="str">
        <f t="shared" si="97"/>
        <v/>
      </c>
      <c r="E1389" s="534"/>
      <c r="F1389" s="534"/>
    </row>
    <row r="1390" spans="1:6" ht="15" customHeight="1">
      <c r="A1390" s="51"/>
      <c r="B1390" s="52" t="str">
        <f t="shared" si="96"/>
        <v/>
      </c>
      <c r="C1390" t="str">
        <f t="shared" si="95"/>
        <v/>
      </c>
      <c r="D1390" s="245" t="str">
        <f t="shared" si="97"/>
        <v/>
      </c>
      <c r="E1390" s="534"/>
      <c r="F1390" s="534"/>
    </row>
    <row r="1391" spans="1:6" ht="15" customHeight="1">
      <c r="A1391" s="51"/>
      <c r="B1391" s="52" t="str">
        <f t="shared" si="96"/>
        <v/>
      </c>
      <c r="C1391" t="str">
        <f t="shared" si="95"/>
        <v/>
      </c>
      <c r="D1391" s="245" t="str">
        <f t="shared" si="97"/>
        <v/>
      </c>
      <c r="E1391" s="534"/>
      <c r="F1391" s="534"/>
    </row>
    <row r="1392" spans="1:6" ht="15" customHeight="1">
      <c r="A1392" s="51"/>
      <c r="B1392" s="52" t="str">
        <f t="shared" si="96"/>
        <v/>
      </c>
      <c r="C1392" t="str">
        <f t="shared" si="95"/>
        <v/>
      </c>
      <c r="D1392" s="245" t="str">
        <f t="shared" si="97"/>
        <v/>
      </c>
      <c r="E1392" s="534"/>
      <c r="F1392" s="534"/>
    </row>
    <row r="1393" spans="1:6" ht="15" customHeight="1">
      <c r="A1393" s="51"/>
      <c r="B1393" s="52" t="str">
        <f t="shared" si="96"/>
        <v/>
      </c>
      <c r="C1393" t="str">
        <f t="shared" si="95"/>
        <v/>
      </c>
      <c r="D1393" s="245" t="str">
        <f t="shared" si="97"/>
        <v/>
      </c>
      <c r="E1393" s="534"/>
      <c r="F1393" s="534"/>
    </row>
    <row r="1394" spans="1:6" ht="15" customHeight="1">
      <c r="A1394" s="51"/>
      <c r="B1394" s="52" t="str">
        <f t="shared" si="96"/>
        <v/>
      </c>
      <c r="C1394" t="str">
        <f t="shared" si="95"/>
        <v/>
      </c>
      <c r="D1394" s="245" t="str">
        <f t="shared" si="97"/>
        <v/>
      </c>
      <c r="E1394" s="534"/>
      <c r="F1394" s="534"/>
    </row>
    <row r="1395" spans="1:6" ht="15" customHeight="1">
      <c r="A1395" s="51"/>
      <c r="B1395" s="52" t="str">
        <f t="shared" si="96"/>
        <v/>
      </c>
      <c r="C1395" t="str">
        <f t="shared" si="95"/>
        <v/>
      </c>
      <c r="D1395" s="245" t="str">
        <f t="shared" si="97"/>
        <v/>
      </c>
      <c r="E1395" s="534"/>
      <c r="F1395" s="534"/>
    </row>
    <row r="1396" spans="1:6" ht="15" customHeight="1">
      <c r="A1396" s="51"/>
      <c r="B1396" s="52" t="str">
        <f t="shared" si="96"/>
        <v/>
      </c>
      <c r="C1396" t="str">
        <f t="shared" si="95"/>
        <v/>
      </c>
      <c r="D1396" s="245" t="str">
        <f t="shared" si="97"/>
        <v/>
      </c>
      <c r="E1396" s="534"/>
      <c r="F1396" s="534"/>
    </row>
    <row r="1397" spans="1:6" ht="15" customHeight="1">
      <c r="A1397" s="51"/>
      <c r="B1397" s="52" t="str">
        <f t="shared" si="96"/>
        <v/>
      </c>
      <c r="C1397" t="str">
        <f t="shared" si="95"/>
        <v/>
      </c>
      <c r="D1397" s="245" t="str">
        <f t="shared" si="97"/>
        <v/>
      </c>
      <c r="E1397" s="534"/>
      <c r="F1397" s="534"/>
    </row>
    <row r="1398" spans="1:6" ht="15" customHeight="1">
      <c r="A1398" s="51"/>
      <c r="B1398" s="52" t="str">
        <f t="shared" si="96"/>
        <v/>
      </c>
      <c r="C1398" t="str">
        <f t="shared" si="95"/>
        <v/>
      </c>
      <c r="D1398" s="245" t="str">
        <f t="shared" si="97"/>
        <v/>
      </c>
      <c r="E1398" s="534"/>
      <c r="F1398" s="534"/>
    </row>
    <row r="1399" spans="1:6" ht="15" customHeight="1">
      <c r="A1399" s="51"/>
      <c r="B1399" s="52" t="str">
        <f t="shared" si="96"/>
        <v/>
      </c>
      <c r="C1399" t="str">
        <f t="shared" si="95"/>
        <v/>
      </c>
      <c r="D1399" s="245" t="str">
        <f t="shared" si="97"/>
        <v/>
      </c>
      <c r="E1399" s="534"/>
      <c r="F1399" s="534"/>
    </row>
    <row r="1400" spans="1:6" ht="15" customHeight="1">
      <c r="A1400" s="51"/>
      <c r="B1400" s="52" t="str">
        <f t="shared" si="96"/>
        <v/>
      </c>
      <c r="C1400" t="str">
        <f t="shared" si="95"/>
        <v/>
      </c>
      <c r="D1400" s="245" t="str">
        <f t="shared" si="97"/>
        <v/>
      </c>
      <c r="E1400" s="534"/>
      <c r="F1400" s="534"/>
    </row>
    <row r="1401" spans="1:6" ht="15" customHeight="1">
      <c r="A1401" s="51"/>
      <c r="B1401" s="52" t="str">
        <f t="shared" si="96"/>
        <v/>
      </c>
      <c r="C1401" t="str">
        <f t="shared" si="95"/>
        <v/>
      </c>
      <c r="D1401" s="245" t="str">
        <f t="shared" si="97"/>
        <v/>
      </c>
      <c r="E1401" s="534"/>
      <c r="F1401" s="534"/>
    </row>
    <row r="1402" spans="1:6" ht="15" customHeight="1">
      <c r="A1402" s="51"/>
      <c r="B1402" s="52" t="str">
        <f t="shared" si="96"/>
        <v/>
      </c>
      <c r="C1402" t="str">
        <f t="shared" si="95"/>
        <v/>
      </c>
      <c r="D1402" s="245" t="str">
        <f t="shared" si="97"/>
        <v/>
      </c>
      <c r="E1402" s="534"/>
      <c r="F1402" s="534"/>
    </row>
    <row r="1403" spans="1:6" ht="15" customHeight="1">
      <c r="A1403" s="51"/>
      <c r="B1403" s="52" t="str">
        <f t="shared" si="96"/>
        <v/>
      </c>
      <c r="C1403" t="str">
        <f t="shared" si="95"/>
        <v/>
      </c>
      <c r="D1403" s="245" t="str">
        <f t="shared" si="97"/>
        <v/>
      </c>
      <c r="E1403" s="534"/>
      <c r="F1403" s="534"/>
    </row>
    <row r="1404" spans="1:6" ht="15" customHeight="1">
      <c r="A1404" s="51"/>
      <c r="B1404" s="52" t="str">
        <f t="shared" si="96"/>
        <v/>
      </c>
      <c r="C1404" t="str">
        <f t="shared" si="95"/>
        <v/>
      </c>
      <c r="D1404" s="245" t="str">
        <f t="shared" si="97"/>
        <v/>
      </c>
      <c r="E1404" s="534"/>
      <c r="F1404" s="534"/>
    </row>
    <row r="1405" spans="1:6" ht="15" customHeight="1">
      <c r="A1405" s="51"/>
      <c r="B1405" s="52" t="str">
        <f t="shared" si="96"/>
        <v/>
      </c>
      <c r="C1405" t="str">
        <f t="shared" si="95"/>
        <v/>
      </c>
      <c r="D1405" s="245" t="str">
        <f t="shared" si="97"/>
        <v/>
      </c>
      <c r="E1405" s="534"/>
      <c r="F1405" s="534"/>
    </row>
    <row r="1406" spans="1:6" ht="15" customHeight="1">
      <c r="A1406" s="51"/>
      <c r="B1406" s="52" t="str">
        <f t="shared" si="96"/>
        <v/>
      </c>
      <c r="C1406" t="str">
        <f t="shared" si="95"/>
        <v/>
      </c>
      <c r="D1406" s="245" t="str">
        <f t="shared" si="97"/>
        <v/>
      </c>
      <c r="E1406" s="534"/>
      <c r="F1406" s="534"/>
    </row>
    <row r="1407" spans="1:6" ht="15" customHeight="1">
      <c r="A1407" s="51"/>
      <c r="B1407" s="52" t="str">
        <f t="shared" si="96"/>
        <v/>
      </c>
      <c r="C1407" t="str">
        <f t="shared" si="95"/>
        <v/>
      </c>
      <c r="D1407" s="245" t="str">
        <f t="shared" si="97"/>
        <v/>
      </c>
      <c r="E1407" s="534"/>
      <c r="F1407" s="534"/>
    </row>
    <row r="1408" spans="1:6" ht="15" customHeight="1">
      <c r="A1408" s="51"/>
      <c r="B1408" s="52" t="str">
        <f t="shared" si="96"/>
        <v/>
      </c>
      <c r="C1408" t="str">
        <f t="shared" si="95"/>
        <v/>
      </c>
      <c r="D1408" s="245" t="str">
        <f t="shared" si="97"/>
        <v/>
      </c>
      <c r="E1408" s="534"/>
      <c r="F1408" s="534"/>
    </row>
    <row r="1409" spans="1:6" ht="15" customHeight="1">
      <c r="A1409" s="51"/>
      <c r="B1409" s="52" t="str">
        <f t="shared" si="96"/>
        <v/>
      </c>
      <c r="C1409" t="str">
        <f t="shared" si="95"/>
        <v/>
      </c>
      <c r="D1409" s="245" t="str">
        <f t="shared" si="97"/>
        <v/>
      </c>
      <c r="E1409" s="534"/>
      <c r="F1409" s="534"/>
    </row>
    <row r="1410" spans="1:6" ht="15" customHeight="1">
      <c r="A1410" s="51"/>
      <c r="B1410" s="52" t="str">
        <f t="shared" si="96"/>
        <v/>
      </c>
      <c r="C1410" t="str">
        <f t="shared" ref="C1410:C1473" si="98">IF(A1410&lt;&gt;"",TEXT(A1410,"aaaa"),"")</f>
        <v/>
      </c>
      <c r="D1410" s="245" t="str">
        <f t="shared" si="97"/>
        <v/>
      </c>
      <c r="E1410" s="534"/>
      <c r="F1410" s="534"/>
    </row>
    <row r="1411" spans="1:6" ht="15" customHeight="1">
      <c r="A1411" s="51"/>
      <c r="B1411" s="52" t="str">
        <f t="shared" si="96"/>
        <v/>
      </c>
      <c r="C1411" t="str">
        <f t="shared" si="98"/>
        <v/>
      </c>
      <c r="D1411" s="245" t="str">
        <f t="shared" si="97"/>
        <v/>
      </c>
      <c r="E1411" s="534"/>
      <c r="F1411" s="534"/>
    </row>
    <row r="1412" spans="1:6" ht="15" customHeight="1">
      <c r="A1412" s="51"/>
      <c r="B1412" s="52" t="str">
        <f t="shared" si="96"/>
        <v/>
      </c>
      <c r="C1412" t="str">
        <f t="shared" si="98"/>
        <v/>
      </c>
      <c r="D1412" s="245" t="str">
        <f t="shared" si="97"/>
        <v/>
      </c>
      <c r="E1412" s="534"/>
      <c r="F1412" s="534"/>
    </row>
    <row r="1413" spans="1:6" ht="15" customHeight="1">
      <c r="A1413" s="51"/>
      <c r="B1413" s="52" t="str">
        <f t="shared" si="96"/>
        <v/>
      </c>
      <c r="C1413" t="str">
        <f t="shared" si="98"/>
        <v/>
      </c>
      <c r="D1413" s="245" t="str">
        <f t="shared" si="97"/>
        <v/>
      </c>
      <c r="E1413" s="534"/>
      <c r="F1413" s="534"/>
    </row>
    <row r="1414" spans="1:6" ht="15" customHeight="1">
      <c r="A1414" s="51"/>
      <c r="B1414" s="52" t="str">
        <f t="shared" si="96"/>
        <v/>
      </c>
      <c r="C1414" t="str">
        <f t="shared" si="98"/>
        <v/>
      </c>
      <c r="D1414" s="245" t="str">
        <f t="shared" si="97"/>
        <v/>
      </c>
      <c r="E1414" s="534"/>
      <c r="F1414" s="534"/>
    </row>
    <row r="1415" spans="1:6" ht="15" customHeight="1">
      <c r="A1415" s="51"/>
      <c r="B1415" s="52" t="str">
        <f t="shared" si="96"/>
        <v/>
      </c>
      <c r="C1415" t="str">
        <f t="shared" si="98"/>
        <v/>
      </c>
      <c r="D1415" s="245" t="str">
        <f t="shared" si="97"/>
        <v/>
      </c>
      <c r="E1415" s="534"/>
      <c r="F1415" s="534"/>
    </row>
    <row r="1416" spans="1:6" ht="15" customHeight="1">
      <c r="A1416" s="51"/>
      <c r="B1416" s="52" t="str">
        <f t="shared" ref="B1416:B1479" si="99">IF(A1416="","",TEXT(A1416,"DDDD"))</f>
        <v/>
      </c>
      <c r="C1416" t="str">
        <f t="shared" si="98"/>
        <v/>
      </c>
      <c r="D1416" s="245" t="str">
        <f t="shared" si="97"/>
        <v/>
      </c>
      <c r="E1416" s="534"/>
      <c r="F1416" s="534"/>
    </row>
    <row r="1417" spans="1:6" ht="15" customHeight="1">
      <c r="A1417" s="51"/>
      <c r="B1417" s="52" t="str">
        <f t="shared" si="99"/>
        <v/>
      </c>
      <c r="C1417" t="str">
        <f t="shared" si="98"/>
        <v/>
      </c>
      <c r="D1417" s="245" t="str">
        <f t="shared" ref="D1417:D1480" si="100">IF(A1417&lt;&gt;"",PROPER(TEXT(A1417,"Mmmm")),"")</f>
        <v/>
      </c>
      <c r="E1417" s="534"/>
      <c r="F1417" s="534"/>
    </row>
    <row r="1418" spans="1:6" ht="15" customHeight="1">
      <c r="A1418" s="51"/>
      <c r="B1418" s="52" t="str">
        <f t="shared" si="99"/>
        <v/>
      </c>
      <c r="C1418" t="str">
        <f t="shared" si="98"/>
        <v/>
      </c>
      <c r="D1418" s="245" t="str">
        <f t="shared" si="100"/>
        <v/>
      </c>
      <c r="E1418" s="534"/>
      <c r="F1418" s="534"/>
    </row>
    <row r="1419" spans="1:6" ht="15" customHeight="1">
      <c r="A1419" s="51"/>
      <c r="B1419" s="52" t="str">
        <f t="shared" si="99"/>
        <v/>
      </c>
      <c r="C1419" t="str">
        <f t="shared" si="98"/>
        <v/>
      </c>
      <c r="D1419" s="245" t="str">
        <f t="shared" si="100"/>
        <v/>
      </c>
      <c r="E1419" s="534"/>
      <c r="F1419" s="534"/>
    </row>
    <row r="1420" spans="1:6" ht="15" customHeight="1">
      <c r="A1420" s="51"/>
      <c r="B1420" s="52" t="str">
        <f t="shared" si="99"/>
        <v/>
      </c>
      <c r="C1420" t="str">
        <f t="shared" si="98"/>
        <v/>
      </c>
      <c r="D1420" s="245" t="str">
        <f t="shared" si="100"/>
        <v/>
      </c>
      <c r="E1420" s="534"/>
      <c r="F1420" s="534"/>
    </row>
    <row r="1421" spans="1:6" ht="15" customHeight="1">
      <c r="A1421" s="51"/>
      <c r="B1421" s="52" t="str">
        <f t="shared" si="99"/>
        <v/>
      </c>
      <c r="C1421" t="str">
        <f t="shared" si="98"/>
        <v/>
      </c>
      <c r="D1421" s="245" t="str">
        <f t="shared" si="100"/>
        <v/>
      </c>
      <c r="E1421" s="534"/>
      <c r="F1421" s="534"/>
    </row>
    <row r="1422" spans="1:6" ht="15" customHeight="1">
      <c r="A1422" s="51"/>
      <c r="B1422" s="52" t="str">
        <f t="shared" si="99"/>
        <v/>
      </c>
      <c r="C1422" t="str">
        <f t="shared" si="98"/>
        <v/>
      </c>
      <c r="D1422" s="245" t="str">
        <f t="shared" si="100"/>
        <v/>
      </c>
      <c r="E1422" s="534"/>
      <c r="F1422" s="534"/>
    </row>
    <row r="1423" spans="1:6" ht="15" customHeight="1">
      <c r="A1423" s="51"/>
      <c r="B1423" s="52" t="str">
        <f t="shared" si="99"/>
        <v/>
      </c>
      <c r="C1423" t="str">
        <f t="shared" si="98"/>
        <v/>
      </c>
      <c r="D1423" s="245" t="str">
        <f t="shared" si="100"/>
        <v/>
      </c>
      <c r="E1423" s="534"/>
      <c r="F1423" s="534"/>
    </row>
    <row r="1424" spans="1:6" ht="15" customHeight="1">
      <c r="A1424" s="51"/>
      <c r="B1424" s="52" t="str">
        <f t="shared" si="99"/>
        <v/>
      </c>
      <c r="C1424" t="str">
        <f t="shared" si="98"/>
        <v/>
      </c>
      <c r="D1424" s="245" t="str">
        <f t="shared" si="100"/>
        <v/>
      </c>
      <c r="E1424" s="534"/>
      <c r="F1424" s="534"/>
    </row>
    <row r="1425" spans="1:6" ht="15" customHeight="1">
      <c r="A1425" s="51"/>
      <c r="B1425" s="52" t="str">
        <f t="shared" si="99"/>
        <v/>
      </c>
      <c r="C1425" t="str">
        <f t="shared" si="98"/>
        <v/>
      </c>
      <c r="D1425" s="245" t="str">
        <f t="shared" si="100"/>
        <v/>
      </c>
      <c r="E1425" s="534"/>
      <c r="F1425" s="534"/>
    </row>
    <row r="1426" spans="1:6" ht="15" customHeight="1">
      <c r="A1426" s="51"/>
      <c r="B1426" s="52" t="str">
        <f t="shared" si="99"/>
        <v/>
      </c>
      <c r="C1426" t="str">
        <f t="shared" si="98"/>
        <v/>
      </c>
      <c r="D1426" s="245" t="str">
        <f t="shared" si="100"/>
        <v/>
      </c>
      <c r="E1426" s="534"/>
      <c r="F1426" s="534"/>
    </row>
    <row r="1427" spans="1:6" ht="15" customHeight="1">
      <c r="A1427" s="51"/>
      <c r="B1427" s="52" t="str">
        <f t="shared" si="99"/>
        <v/>
      </c>
      <c r="C1427" t="str">
        <f t="shared" si="98"/>
        <v/>
      </c>
      <c r="D1427" s="245" t="str">
        <f t="shared" si="100"/>
        <v/>
      </c>
      <c r="E1427" s="534"/>
      <c r="F1427" s="534"/>
    </row>
    <row r="1428" spans="1:6" ht="15" customHeight="1">
      <c r="A1428" s="51"/>
      <c r="B1428" s="52" t="str">
        <f t="shared" si="99"/>
        <v/>
      </c>
      <c r="C1428" t="str">
        <f t="shared" si="98"/>
        <v/>
      </c>
      <c r="D1428" s="245" t="str">
        <f t="shared" si="100"/>
        <v/>
      </c>
      <c r="E1428" s="534"/>
      <c r="F1428" s="534"/>
    </row>
    <row r="1429" spans="1:6" ht="15" customHeight="1">
      <c r="A1429" s="51"/>
      <c r="B1429" s="52" t="str">
        <f t="shared" si="99"/>
        <v/>
      </c>
      <c r="C1429" t="str">
        <f t="shared" si="98"/>
        <v/>
      </c>
      <c r="D1429" s="245" t="str">
        <f t="shared" si="100"/>
        <v/>
      </c>
      <c r="E1429" s="534"/>
      <c r="F1429" s="534"/>
    </row>
    <row r="1430" spans="1:6" ht="15" customHeight="1">
      <c r="A1430" s="51"/>
      <c r="B1430" s="52" t="str">
        <f t="shared" si="99"/>
        <v/>
      </c>
      <c r="C1430" t="str">
        <f t="shared" si="98"/>
        <v/>
      </c>
      <c r="D1430" s="245" t="str">
        <f t="shared" si="100"/>
        <v/>
      </c>
      <c r="E1430" s="534"/>
      <c r="F1430" s="534"/>
    </row>
    <row r="1431" spans="1:6" ht="15" customHeight="1">
      <c r="A1431" s="51"/>
      <c r="B1431" s="52" t="str">
        <f t="shared" si="99"/>
        <v/>
      </c>
      <c r="C1431" t="str">
        <f t="shared" si="98"/>
        <v/>
      </c>
      <c r="D1431" s="245" t="str">
        <f t="shared" si="100"/>
        <v/>
      </c>
      <c r="E1431" s="534"/>
      <c r="F1431" s="534"/>
    </row>
    <row r="1432" spans="1:6" ht="15" customHeight="1">
      <c r="A1432" s="51"/>
      <c r="B1432" s="52" t="str">
        <f t="shared" si="99"/>
        <v/>
      </c>
      <c r="C1432" t="str">
        <f t="shared" si="98"/>
        <v/>
      </c>
      <c r="D1432" s="245" t="str">
        <f t="shared" si="100"/>
        <v/>
      </c>
      <c r="E1432" s="534"/>
      <c r="F1432" s="534"/>
    </row>
    <row r="1433" spans="1:6" ht="15" customHeight="1">
      <c r="A1433" s="51"/>
      <c r="B1433" s="52" t="str">
        <f t="shared" si="99"/>
        <v/>
      </c>
      <c r="C1433" t="str">
        <f t="shared" si="98"/>
        <v/>
      </c>
      <c r="D1433" s="245" t="str">
        <f t="shared" si="100"/>
        <v/>
      </c>
      <c r="E1433" s="534"/>
      <c r="F1433" s="534"/>
    </row>
    <row r="1434" spans="1:6" ht="15" customHeight="1">
      <c r="A1434" s="51"/>
      <c r="B1434" s="52" t="str">
        <f t="shared" si="99"/>
        <v/>
      </c>
      <c r="C1434" t="str">
        <f t="shared" si="98"/>
        <v/>
      </c>
      <c r="D1434" s="245" t="str">
        <f t="shared" si="100"/>
        <v/>
      </c>
      <c r="E1434" s="534"/>
      <c r="F1434" s="534"/>
    </row>
    <row r="1435" spans="1:6" ht="15" customHeight="1">
      <c r="A1435" s="51"/>
      <c r="B1435" s="52" t="str">
        <f t="shared" si="99"/>
        <v/>
      </c>
      <c r="C1435" t="str">
        <f t="shared" si="98"/>
        <v/>
      </c>
      <c r="D1435" s="245" t="str">
        <f t="shared" si="100"/>
        <v/>
      </c>
      <c r="E1435" s="534"/>
      <c r="F1435" s="534"/>
    </row>
    <row r="1436" spans="1:6" ht="15" customHeight="1">
      <c r="A1436" s="51"/>
      <c r="B1436" s="52" t="str">
        <f t="shared" si="99"/>
        <v/>
      </c>
      <c r="C1436" t="str">
        <f t="shared" si="98"/>
        <v/>
      </c>
      <c r="D1436" s="245" t="str">
        <f t="shared" si="100"/>
        <v/>
      </c>
      <c r="E1436" s="534"/>
      <c r="F1436" s="534"/>
    </row>
    <row r="1437" spans="1:6" ht="15" customHeight="1">
      <c r="A1437" s="51"/>
      <c r="B1437" s="52" t="str">
        <f t="shared" si="99"/>
        <v/>
      </c>
      <c r="C1437" t="str">
        <f t="shared" si="98"/>
        <v/>
      </c>
      <c r="D1437" s="245" t="str">
        <f t="shared" si="100"/>
        <v/>
      </c>
      <c r="E1437" s="534"/>
      <c r="F1437" s="534"/>
    </row>
    <row r="1438" spans="1:6" ht="15" customHeight="1">
      <c r="A1438" s="51"/>
      <c r="B1438" s="52" t="str">
        <f t="shared" si="99"/>
        <v/>
      </c>
      <c r="C1438" t="str">
        <f t="shared" si="98"/>
        <v/>
      </c>
      <c r="D1438" s="245" t="str">
        <f t="shared" si="100"/>
        <v/>
      </c>
      <c r="E1438" s="534"/>
      <c r="F1438" s="534"/>
    </row>
    <row r="1439" spans="1:6" ht="15" customHeight="1">
      <c r="A1439" s="51"/>
      <c r="B1439" s="52" t="str">
        <f t="shared" si="99"/>
        <v/>
      </c>
      <c r="C1439" t="str">
        <f t="shared" si="98"/>
        <v/>
      </c>
      <c r="D1439" s="245" t="str">
        <f t="shared" si="100"/>
        <v/>
      </c>
      <c r="E1439" s="534"/>
      <c r="F1439" s="534"/>
    </row>
    <row r="1440" spans="1:6" ht="15" customHeight="1">
      <c r="A1440" s="51"/>
      <c r="B1440" s="52" t="str">
        <f t="shared" si="99"/>
        <v/>
      </c>
      <c r="C1440" t="str">
        <f t="shared" si="98"/>
        <v/>
      </c>
      <c r="D1440" s="245" t="str">
        <f t="shared" si="100"/>
        <v/>
      </c>
      <c r="E1440" s="534"/>
      <c r="F1440" s="534"/>
    </row>
    <row r="1441" spans="1:6" ht="15" customHeight="1">
      <c r="A1441" s="51"/>
      <c r="B1441" s="52" t="str">
        <f t="shared" si="99"/>
        <v/>
      </c>
      <c r="C1441" t="str">
        <f t="shared" si="98"/>
        <v/>
      </c>
      <c r="D1441" s="245" t="str">
        <f t="shared" si="100"/>
        <v/>
      </c>
      <c r="E1441" s="534"/>
      <c r="F1441" s="534"/>
    </row>
    <row r="1442" spans="1:6" ht="15" customHeight="1">
      <c r="A1442" s="51"/>
      <c r="B1442" s="52" t="str">
        <f t="shared" si="99"/>
        <v/>
      </c>
      <c r="C1442" t="str">
        <f t="shared" si="98"/>
        <v/>
      </c>
      <c r="D1442" s="245" t="str">
        <f t="shared" si="100"/>
        <v/>
      </c>
      <c r="E1442" s="534"/>
      <c r="F1442" s="534"/>
    </row>
    <row r="1443" spans="1:6" ht="15" customHeight="1">
      <c r="A1443" s="51"/>
      <c r="B1443" s="52" t="str">
        <f t="shared" si="99"/>
        <v/>
      </c>
      <c r="C1443" t="str">
        <f t="shared" si="98"/>
        <v/>
      </c>
      <c r="D1443" s="245" t="str">
        <f t="shared" si="100"/>
        <v/>
      </c>
      <c r="E1443" s="534"/>
      <c r="F1443" s="534"/>
    </row>
    <row r="1444" spans="1:6" ht="15" customHeight="1">
      <c r="A1444" s="51"/>
      <c r="B1444" s="52" t="str">
        <f t="shared" si="99"/>
        <v/>
      </c>
      <c r="C1444" t="str">
        <f t="shared" si="98"/>
        <v/>
      </c>
      <c r="D1444" s="245" t="str">
        <f t="shared" si="100"/>
        <v/>
      </c>
      <c r="E1444" s="534"/>
      <c r="F1444" s="534"/>
    </row>
    <row r="1445" spans="1:6" ht="15" customHeight="1">
      <c r="A1445" s="51"/>
      <c r="B1445" s="52" t="str">
        <f t="shared" si="99"/>
        <v/>
      </c>
      <c r="C1445" t="str">
        <f t="shared" si="98"/>
        <v/>
      </c>
      <c r="D1445" s="245" t="str">
        <f t="shared" si="100"/>
        <v/>
      </c>
      <c r="E1445" s="534"/>
      <c r="F1445" s="534"/>
    </row>
    <row r="1446" spans="1:6" ht="15" customHeight="1">
      <c r="A1446" s="51"/>
      <c r="B1446" s="52" t="str">
        <f t="shared" si="99"/>
        <v/>
      </c>
      <c r="C1446" t="str">
        <f t="shared" si="98"/>
        <v/>
      </c>
      <c r="D1446" s="245" t="str">
        <f t="shared" si="100"/>
        <v/>
      </c>
      <c r="E1446" s="534"/>
      <c r="F1446" s="534"/>
    </row>
    <row r="1447" spans="1:6" ht="15" customHeight="1">
      <c r="A1447" s="51"/>
      <c r="B1447" s="52" t="str">
        <f t="shared" si="99"/>
        <v/>
      </c>
      <c r="C1447" t="str">
        <f t="shared" si="98"/>
        <v/>
      </c>
      <c r="D1447" s="245" t="str">
        <f t="shared" si="100"/>
        <v/>
      </c>
      <c r="E1447" s="534"/>
      <c r="F1447" s="534"/>
    </row>
    <row r="1448" spans="1:6" ht="15" customHeight="1">
      <c r="A1448" s="51"/>
      <c r="B1448" s="52" t="str">
        <f t="shared" si="99"/>
        <v/>
      </c>
      <c r="C1448" t="str">
        <f t="shared" si="98"/>
        <v/>
      </c>
      <c r="D1448" s="245" t="str">
        <f t="shared" si="100"/>
        <v/>
      </c>
      <c r="E1448" s="534"/>
      <c r="F1448" s="534"/>
    </row>
    <row r="1449" spans="1:6" ht="15" customHeight="1">
      <c r="A1449" s="51"/>
      <c r="B1449" s="52" t="str">
        <f t="shared" si="99"/>
        <v/>
      </c>
      <c r="C1449" t="str">
        <f t="shared" si="98"/>
        <v/>
      </c>
      <c r="D1449" s="245" t="str">
        <f t="shared" si="100"/>
        <v/>
      </c>
      <c r="E1449" s="534"/>
      <c r="F1449" s="534"/>
    </row>
    <row r="1450" spans="1:6" ht="15" customHeight="1">
      <c r="A1450" s="51"/>
      <c r="B1450" s="52" t="str">
        <f t="shared" si="99"/>
        <v/>
      </c>
      <c r="C1450" t="str">
        <f t="shared" si="98"/>
        <v/>
      </c>
      <c r="D1450" s="245" t="str">
        <f t="shared" si="100"/>
        <v/>
      </c>
      <c r="E1450" s="534"/>
      <c r="F1450" s="534"/>
    </row>
    <row r="1451" spans="1:6" ht="15" customHeight="1">
      <c r="A1451" s="51"/>
      <c r="B1451" s="52" t="str">
        <f t="shared" si="99"/>
        <v/>
      </c>
      <c r="C1451" t="str">
        <f t="shared" si="98"/>
        <v/>
      </c>
      <c r="D1451" s="245" t="str">
        <f t="shared" si="100"/>
        <v/>
      </c>
      <c r="E1451" s="534"/>
      <c r="F1451" s="534"/>
    </row>
    <row r="1452" spans="1:6" ht="15" customHeight="1">
      <c r="A1452" s="51"/>
      <c r="B1452" s="52" t="str">
        <f t="shared" si="99"/>
        <v/>
      </c>
      <c r="C1452" t="str">
        <f t="shared" si="98"/>
        <v/>
      </c>
      <c r="D1452" s="245" t="str">
        <f t="shared" si="100"/>
        <v/>
      </c>
      <c r="E1452" s="534"/>
      <c r="F1452" s="534"/>
    </row>
    <row r="1453" spans="1:6" ht="15" customHeight="1">
      <c r="A1453" s="51"/>
      <c r="B1453" s="52" t="str">
        <f t="shared" si="99"/>
        <v/>
      </c>
      <c r="C1453" t="str">
        <f t="shared" si="98"/>
        <v/>
      </c>
      <c r="D1453" s="245" t="str">
        <f t="shared" si="100"/>
        <v/>
      </c>
      <c r="E1453" s="534"/>
      <c r="F1453" s="534"/>
    </row>
    <row r="1454" spans="1:6" ht="15" customHeight="1">
      <c r="A1454" s="51"/>
      <c r="B1454" s="52" t="str">
        <f t="shared" si="99"/>
        <v/>
      </c>
      <c r="C1454" t="str">
        <f t="shared" si="98"/>
        <v/>
      </c>
      <c r="D1454" s="245" t="str">
        <f t="shared" si="100"/>
        <v/>
      </c>
      <c r="E1454" s="534"/>
      <c r="F1454" s="534"/>
    </row>
    <row r="1455" spans="1:6" ht="15" customHeight="1">
      <c r="A1455" s="51"/>
      <c r="B1455" s="52" t="str">
        <f t="shared" si="99"/>
        <v/>
      </c>
      <c r="C1455" t="str">
        <f t="shared" si="98"/>
        <v/>
      </c>
      <c r="D1455" s="245" t="str">
        <f t="shared" si="100"/>
        <v/>
      </c>
      <c r="E1455" s="534"/>
      <c r="F1455" s="534"/>
    </row>
    <row r="1456" spans="1:6" ht="15" customHeight="1">
      <c r="A1456" s="51"/>
      <c r="B1456" s="52" t="str">
        <f t="shared" si="99"/>
        <v/>
      </c>
      <c r="C1456" t="str">
        <f t="shared" si="98"/>
        <v/>
      </c>
      <c r="D1456" s="245" t="str">
        <f t="shared" si="100"/>
        <v/>
      </c>
      <c r="E1456" s="534"/>
      <c r="F1456" s="534"/>
    </row>
    <row r="1457" spans="1:6" ht="15" customHeight="1">
      <c r="A1457" s="51"/>
      <c r="B1457" s="52" t="str">
        <f t="shared" si="99"/>
        <v/>
      </c>
      <c r="C1457" t="str">
        <f t="shared" si="98"/>
        <v/>
      </c>
      <c r="D1457" s="245" t="str">
        <f t="shared" si="100"/>
        <v/>
      </c>
      <c r="E1457" s="534"/>
      <c r="F1457" s="534"/>
    </row>
    <row r="1458" spans="1:6" ht="15" customHeight="1">
      <c r="A1458" s="51"/>
      <c r="B1458" s="52" t="str">
        <f t="shared" si="99"/>
        <v/>
      </c>
      <c r="C1458" t="str">
        <f t="shared" si="98"/>
        <v/>
      </c>
      <c r="D1458" s="245" t="str">
        <f t="shared" si="100"/>
        <v/>
      </c>
      <c r="E1458" s="534"/>
      <c r="F1458" s="534"/>
    </row>
    <row r="1459" spans="1:6" ht="15" customHeight="1">
      <c r="A1459" s="51"/>
      <c r="B1459" s="52" t="str">
        <f t="shared" si="99"/>
        <v/>
      </c>
      <c r="C1459" t="str">
        <f t="shared" si="98"/>
        <v/>
      </c>
      <c r="D1459" s="245" t="str">
        <f t="shared" si="100"/>
        <v/>
      </c>
      <c r="E1459" s="534"/>
      <c r="F1459" s="534"/>
    </row>
    <row r="1460" spans="1:6" ht="15" customHeight="1">
      <c r="A1460" s="51"/>
      <c r="B1460" s="52" t="str">
        <f t="shared" si="99"/>
        <v/>
      </c>
      <c r="C1460" t="str">
        <f t="shared" si="98"/>
        <v/>
      </c>
      <c r="D1460" s="245" t="str">
        <f t="shared" si="100"/>
        <v/>
      </c>
      <c r="E1460" s="534"/>
      <c r="F1460" s="534"/>
    </row>
    <row r="1461" spans="1:6" ht="15" customHeight="1">
      <c r="A1461" s="51"/>
      <c r="B1461" s="52" t="str">
        <f t="shared" si="99"/>
        <v/>
      </c>
      <c r="C1461" t="str">
        <f t="shared" si="98"/>
        <v/>
      </c>
      <c r="D1461" s="245" t="str">
        <f t="shared" si="100"/>
        <v/>
      </c>
      <c r="E1461" s="534"/>
      <c r="F1461" s="534"/>
    </row>
    <row r="1462" spans="1:6" ht="15" customHeight="1">
      <c r="A1462" s="51"/>
      <c r="B1462" s="52" t="str">
        <f t="shared" si="99"/>
        <v/>
      </c>
      <c r="C1462" t="str">
        <f t="shared" si="98"/>
        <v/>
      </c>
      <c r="D1462" s="245" t="str">
        <f t="shared" si="100"/>
        <v/>
      </c>
      <c r="E1462" s="534"/>
      <c r="F1462" s="534"/>
    </row>
    <row r="1463" spans="1:6" ht="15" customHeight="1">
      <c r="A1463" s="51"/>
      <c r="B1463" s="52" t="str">
        <f t="shared" si="99"/>
        <v/>
      </c>
      <c r="C1463" t="str">
        <f t="shared" si="98"/>
        <v/>
      </c>
      <c r="D1463" s="245" t="str">
        <f t="shared" si="100"/>
        <v/>
      </c>
      <c r="E1463" s="534"/>
      <c r="F1463" s="534"/>
    </row>
    <row r="1464" spans="1:6" ht="15" customHeight="1">
      <c r="A1464" s="51"/>
      <c r="B1464" s="52" t="str">
        <f t="shared" si="99"/>
        <v/>
      </c>
      <c r="C1464" t="str">
        <f t="shared" si="98"/>
        <v/>
      </c>
      <c r="D1464" s="245" t="str">
        <f t="shared" si="100"/>
        <v/>
      </c>
      <c r="E1464" s="534"/>
      <c r="F1464" s="534"/>
    </row>
    <row r="1465" spans="1:6" ht="15" customHeight="1">
      <c r="A1465" s="51"/>
      <c r="B1465" s="52" t="str">
        <f t="shared" si="99"/>
        <v/>
      </c>
      <c r="C1465" t="str">
        <f t="shared" si="98"/>
        <v/>
      </c>
      <c r="D1465" s="245" t="str">
        <f t="shared" si="100"/>
        <v/>
      </c>
      <c r="E1465" s="534"/>
      <c r="F1465" s="534"/>
    </row>
    <row r="1466" spans="1:6" ht="15" customHeight="1">
      <c r="A1466" s="51"/>
      <c r="B1466" s="52" t="str">
        <f t="shared" si="99"/>
        <v/>
      </c>
      <c r="C1466" t="str">
        <f t="shared" si="98"/>
        <v/>
      </c>
      <c r="D1466" s="245" t="str">
        <f t="shared" si="100"/>
        <v/>
      </c>
      <c r="E1466" s="534"/>
      <c r="F1466" s="534"/>
    </row>
    <row r="1467" spans="1:6" ht="15" customHeight="1">
      <c r="A1467" s="51"/>
      <c r="B1467" s="52" t="str">
        <f t="shared" si="99"/>
        <v/>
      </c>
      <c r="C1467" t="str">
        <f t="shared" si="98"/>
        <v/>
      </c>
      <c r="D1467" s="245" t="str">
        <f t="shared" si="100"/>
        <v/>
      </c>
      <c r="E1467" s="534"/>
      <c r="F1467" s="534"/>
    </row>
    <row r="1468" spans="1:6" ht="15" customHeight="1">
      <c r="A1468" s="51"/>
      <c r="B1468" s="52" t="str">
        <f t="shared" si="99"/>
        <v/>
      </c>
      <c r="C1468" t="str">
        <f t="shared" si="98"/>
        <v/>
      </c>
      <c r="D1468" s="245" t="str">
        <f t="shared" si="100"/>
        <v/>
      </c>
      <c r="E1468" s="534"/>
      <c r="F1468" s="534"/>
    </row>
    <row r="1469" spans="1:6" ht="15" customHeight="1">
      <c r="A1469" s="51"/>
      <c r="B1469" s="52" t="str">
        <f t="shared" si="99"/>
        <v/>
      </c>
      <c r="C1469" t="str">
        <f t="shared" si="98"/>
        <v/>
      </c>
      <c r="D1469" s="245" t="str">
        <f t="shared" si="100"/>
        <v/>
      </c>
      <c r="E1469" s="534"/>
      <c r="F1469" s="534"/>
    </row>
    <row r="1470" spans="1:6" ht="15" customHeight="1">
      <c r="A1470" s="51"/>
      <c r="B1470" s="52" t="str">
        <f t="shared" si="99"/>
        <v/>
      </c>
      <c r="C1470" t="str">
        <f t="shared" si="98"/>
        <v/>
      </c>
      <c r="D1470" s="245" t="str">
        <f t="shared" si="100"/>
        <v/>
      </c>
      <c r="E1470" s="534"/>
      <c r="F1470" s="534"/>
    </row>
    <row r="1471" spans="1:6" ht="15" customHeight="1">
      <c r="A1471" s="51"/>
      <c r="B1471" s="52" t="str">
        <f t="shared" si="99"/>
        <v/>
      </c>
      <c r="C1471" t="str">
        <f t="shared" si="98"/>
        <v/>
      </c>
      <c r="D1471" s="245" t="str">
        <f t="shared" si="100"/>
        <v/>
      </c>
      <c r="E1471" s="534"/>
      <c r="F1471" s="534"/>
    </row>
    <row r="1472" spans="1:6" ht="15" customHeight="1">
      <c r="A1472" s="51"/>
      <c r="B1472" s="52" t="str">
        <f t="shared" si="99"/>
        <v/>
      </c>
      <c r="C1472" t="str">
        <f t="shared" si="98"/>
        <v/>
      </c>
      <c r="D1472" s="245" t="str">
        <f t="shared" si="100"/>
        <v/>
      </c>
      <c r="E1472" s="534"/>
      <c r="F1472" s="534"/>
    </row>
    <row r="1473" spans="1:6" ht="15" customHeight="1">
      <c r="A1473" s="51"/>
      <c r="B1473" s="52" t="str">
        <f t="shared" si="99"/>
        <v/>
      </c>
      <c r="C1473" t="str">
        <f t="shared" si="98"/>
        <v/>
      </c>
      <c r="D1473" s="245" t="str">
        <f t="shared" si="100"/>
        <v/>
      </c>
      <c r="E1473" s="534"/>
      <c r="F1473" s="534"/>
    </row>
    <row r="1474" spans="1:6" ht="15" customHeight="1">
      <c r="A1474" s="51"/>
      <c r="B1474" s="52" t="str">
        <f t="shared" si="99"/>
        <v/>
      </c>
      <c r="C1474" t="str">
        <f t="shared" ref="C1474:C1537" si="101">IF(A1474&lt;&gt;"",TEXT(A1474,"aaaa"),"")</f>
        <v/>
      </c>
      <c r="D1474" s="245" t="str">
        <f t="shared" si="100"/>
        <v/>
      </c>
      <c r="E1474" s="534"/>
      <c r="F1474" s="534"/>
    </row>
    <row r="1475" spans="1:6" ht="15" customHeight="1">
      <c r="A1475" s="51"/>
      <c r="B1475" s="52" t="str">
        <f t="shared" si="99"/>
        <v/>
      </c>
      <c r="C1475" t="str">
        <f t="shared" si="101"/>
        <v/>
      </c>
      <c r="D1475" s="245" t="str">
        <f t="shared" si="100"/>
        <v/>
      </c>
      <c r="E1475" s="534"/>
      <c r="F1475" s="534"/>
    </row>
    <row r="1476" spans="1:6" ht="15" customHeight="1">
      <c r="A1476" s="51"/>
      <c r="B1476" s="52" t="str">
        <f t="shared" si="99"/>
        <v/>
      </c>
      <c r="C1476" t="str">
        <f t="shared" si="101"/>
        <v/>
      </c>
      <c r="D1476" s="245" t="str">
        <f t="shared" si="100"/>
        <v/>
      </c>
      <c r="E1476" s="534"/>
      <c r="F1476" s="534"/>
    </row>
    <row r="1477" spans="1:6" ht="15" customHeight="1">
      <c r="A1477" s="51"/>
      <c r="B1477" s="52" t="str">
        <f t="shared" si="99"/>
        <v/>
      </c>
      <c r="C1477" t="str">
        <f t="shared" si="101"/>
        <v/>
      </c>
      <c r="D1477" s="245" t="str">
        <f t="shared" si="100"/>
        <v/>
      </c>
      <c r="E1477" s="534"/>
      <c r="F1477" s="534"/>
    </row>
    <row r="1478" spans="1:6" ht="15" customHeight="1">
      <c r="A1478" s="51"/>
      <c r="B1478" s="52" t="str">
        <f t="shared" si="99"/>
        <v/>
      </c>
      <c r="C1478" t="str">
        <f t="shared" si="101"/>
        <v/>
      </c>
      <c r="D1478" s="245" t="str">
        <f t="shared" si="100"/>
        <v/>
      </c>
      <c r="E1478" s="534"/>
      <c r="F1478" s="534"/>
    </row>
    <row r="1479" spans="1:6" ht="15" customHeight="1">
      <c r="A1479" s="51"/>
      <c r="B1479" s="52" t="str">
        <f t="shared" si="99"/>
        <v/>
      </c>
      <c r="C1479" t="str">
        <f t="shared" si="101"/>
        <v/>
      </c>
      <c r="D1479" s="245" t="str">
        <f t="shared" si="100"/>
        <v/>
      </c>
      <c r="E1479" s="534"/>
      <c r="F1479" s="534"/>
    </row>
    <row r="1480" spans="1:6" ht="15" customHeight="1">
      <c r="A1480" s="51"/>
      <c r="B1480" s="52" t="str">
        <f t="shared" ref="B1480:B1543" si="102">IF(A1480="","",TEXT(A1480,"DDDD"))</f>
        <v/>
      </c>
      <c r="C1480" t="str">
        <f t="shared" si="101"/>
        <v/>
      </c>
      <c r="D1480" s="245" t="str">
        <f t="shared" si="100"/>
        <v/>
      </c>
      <c r="E1480" s="534"/>
      <c r="F1480" s="534"/>
    </row>
    <row r="1481" spans="1:6" ht="15" customHeight="1">
      <c r="A1481" s="51"/>
      <c r="B1481" s="52" t="str">
        <f t="shared" si="102"/>
        <v/>
      </c>
      <c r="C1481" t="str">
        <f t="shared" si="101"/>
        <v/>
      </c>
      <c r="D1481" s="245" t="str">
        <f t="shared" ref="D1481:D1544" si="103">IF(A1481&lt;&gt;"",PROPER(TEXT(A1481,"Mmmm")),"")</f>
        <v/>
      </c>
      <c r="E1481" s="534"/>
      <c r="F1481" s="534"/>
    </row>
    <row r="1482" spans="1:6" ht="15" customHeight="1">
      <c r="A1482" s="51"/>
      <c r="B1482" s="52" t="str">
        <f t="shared" si="102"/>
        <v/>
      </c>
      <c r="C1482" t="str">
        <f t="shared" si="101"/>
        <v/>
      </c>
      <c r="D1482" s="245" t="str">
        <f t="shared" si="103"/>
        <v/>
      </c>
      <c r="E1482" s="534"/>
      <c r="F1482" s="534"/>
    </row>
    <row r="1483" spans="1:6" ht="15" customHeight="1">
      <c r="A1483" s="51"/>
      <c r="B1483" s="52" t="str">
        <f t="shared" si="102"/>
        <v/>
      </c>
      <c r="C1483" t="str">
        <f t="shared" si="101"/>
        <v/>
      </c>
      <c r="D1483" s="245" t="str">
        <f t="shared" si="103"/>
        <v/>
      </c>
      <c r="E1483" s="534"/>
      <c r="F1483" s="534"/>
    </row>
    <row r="1484" spans="1:6" ht="15" customHeight="1">
      <c r="A1484" s="51"/>
      <c r="B1484" s="52" t="str">
        <f t="shared" si="102"/>
        <v/>
      </c>
      <c r="C1484" t="str">
        <f t="shared" si="101"/>
        <v/>
      </c>
      <c r="D1484" s="245" t="str">
        <f t="shared" si="103"/>
        <v/>
      </c>
      <c r="E1484" s="534"/>
      <c r="F1484" s="534"/>
    </row>
    <row r="1485" spans="1:6" ht="15" customHeight="1">
      <c r="A1485" s="51"/>
      <c r="B1485" s="52" t="str">
        <f t="shared" si="102"/>
        <v/>
      </c>
      <c r="C1485" t="str">
        <f t="shared" si="101"/>
        <v/>
      </c>
      <c r="D1485" s="245" t="str">
        <f t="shared" si="103"/>
        <v/>
      </c>
      <c r="E1485" s="534"/>
      <c r="F1485" s="534"/>
    </row>
    <row r="1486" spans="1:6" ht="15" customHeight="1">
      <c r="A1486" s="51"/>
      <c r="B1486" s="52" t="str">
        <f t="shared" si="102"/>
        <v/>
      </c>
      <c r="C1486" t="str">
        <f t="shared" si="101"/>
        <v/>
      </c>
      <c r="D1486" s="245" t="str">
        <f t="shared" si="103"/>
        <v/>
      </c>
      <c r="E1486" s="534"/>
      <c r="F1486" s="534"/>
    </row>
    <row r="1487" spans="1:6" ht="15" customHeight="1">
      <c r="A1487" s="51"/>
      <c r="B1487" s="52" t="str">
        <f t="shared" si="102"/>
        <v/>
      </c>
      <c r="C1487" t="str">
        <f t="shared" si="101"/>
        <v/>
      </c>
      <c r="D1487" s="245" t="str">
        <f t="shared" si="103"/>
        <v/>
      </c>
      <c r="E1487" s="534"/>
      <c r="F1487" s="534"/>
    </row>
    <row r="1488" spans="1:6" ht="15" customHeight="1">
      <c r="A1488" s="51"/>
      <c r="B1488" s="52" t="str">
        <f t="shared" si="102"/>
        <v/>
      </c>
      <c r="C1488" t="str">
        <f t="shared" si="101"/>
        <v/>
      </c>
      <c r="D1488" s="245" t="str">
        <f t="shared" si="103"/>
        <v/>
      </c>
      <c r="E1488" s="534"/>
      <c r="F1488" s="534"/>
    </row>
    <row r="1489" spans="1:6" ht="15" customHeight="1">
      <c r="A1489" s="51"/>
      <c r="B1489" s="52" t="str">
        <f t="shared" si="102"/>
        <v/>
      </c>
      <c r="C1489" t="str">
        <f t="shared" si="101"/>
        <v/>
      </c>
      <c r="D1489" s="245" t="str">
        <f t="shared" si="103"/>
        <v/>
      </c>
      <c r="E1489" s="534"/>
      <c r="F1489" s="534"/>
    </row>
    <row r="1490" spans="1:6" ht="15" customHeight="1">
      <c r="A1490" s="51"/>
      <c r="B1490" s="52" t="str">
        <f t="shared" si="102"/>
        <v/>
      </c>
      <c r="C1490" t="str">
        <f t="shared" si="101"/>
        <v/>
      </c>
      <c r="D1490" s="245" t="str">
        <f t="shared" si="103"/>
        <v/>
      </c>
      <c r="E1490" s="534"/>
      <c r="F1490" s="534"/>
    </row>
    <row r="1491" spans="1:6" ht="15" customHeight="1">
      <c r="A1491" s="51"/>
      <c r="B1491" s="52" t="str">
        <f t="shared" si="102"/>
        <v/>
      </c>
      <c r="C1491" t="str">
        <f t="shared" si="101"/>
        <v/>
      </c>
      <c r="D1491" s="245" t="str">
        <f t="shared" si="103"/>
        <v/>
      </c>
      <c r="E1491" s="534"/>
      <c r="F1491" s="534"/>
    </row>
    <row r="1492" spans="1:6" ht="15" customHeight="1">
      <c r="A1492" s="51"/>
      <c r="B1492" s="52" t="str">
        <f t="shared" si="102"/>
        <v/>
      </c>
      <c r="C1492" t="str">
        <f t="shared" si="101"/>
        <v/>
      </c>
      <c r="D1492" s="245" t="str">
        <f t="shared" si="103"/>
        <v/>
      </c>
      <c r="E1492" s="534"/>
      <c r="F1492" s="534"/>
    </row>
    <row r="1493" spans="1:6" ht="15" customHeight="1">
      <c r="A1493" s="51"/>
      <c r="B1493" s="52" t="str">
        <f t="shared" si="102"/>
        <v/>
      </c>
      <c r="C1493" t="str">
        <f t="shared" si="101"/>
        <v/>
      </c>
      <c r="D1493" s="245" t="str">
        <f t="shared" si="103"/>
        <v/>
      </c>
      <c r="E1493" s="534"/>
      <c r="F1493" s="534"/>
    </row>
    <row r="1494" spans="1:6" ht="15" customHeight="1">
      <c r="A1494" s="51"/>
      <c r="B1494" s="52" t="str">
        <f t="shared" si="102"/>
        <v/>
      </c>
      <c r="C1494" t="str">
        <f t="shared" si="101"/>
        <v/>
      </c>
      <c r="D1494" s="245" t="str">
        <f t="shared" si="103"/>
        <v/>
      </c>
      <c r="E1494" s="534"/>
      <c r="F1494" s="534"/>
    </row>
    <row r="1495" spans="1:6" ht="15" customHeight="1">
      <c r="A1495" s="51"/>
      <c r="B1495" s="52" t="str">
        <f t="shared" si="102"/>
        <v/>
      </c>
      <c r="C1495" t="str">
        <f t="shared" si="101"/>
        <v/>
      </c>
      <c r="D1495" s="245" t="str">
        <f t="shared" si="103"/>
        <v/>
      </c>
      <c r="E1495" s="534"/>
      <c r="F1495" s="534"/>
    </row>
    <row r="1496" spans="1:6" ht="15" customHeight="1">
      <c r="A1496" s="51"/>
      <c r="B1496" s="52" t="str">
        <f t="shared" si="102"/>
        <v/>
      </c>
      <c r="C1496" t="str">
        <f t="shared" si="101"/>
        <v/>
      </c>
      <c r="D1496" s="245" t="str">
        <f t="shared" si="103"/>
        <v/>
      </c>
      <c r="E1496" s="534"/>
      <c r="F1496" s="534"/>
    </row>
    <row r="1497" spans="1:6" ht="15" customHeight="1">
      <c r="A1497" s="51"/>
      <c r="B1497" s="52" t="str">
        <f t="shared" si="102"/>
        <v/>
      </c>
      <c r="C1497" t="str">
        <f t="shared" si="101"/>
        <v/>
      </c>
      <c r="D1497" s="245" t="str">
        <f t="shared" si="103"/>
        <v/>
      </c>
      <c r="E1497" s="534"/>
      <c r="F1497" s="534"/>
    </row>
    <row r="1498" spans="1:6" ht="15" customHeight="1">
      <c r="A1498" s="51"/>
      <c r="B1498" s="52" t="str">
        <f t="shared" si="102"/>
        <v/>
      </c>
      <c r="C1498" t="str">
        <f t="shared" si="101"/>
        <v/>
      </c>
      <c r="D1498" s="245" t="str">
        <f t="shared" si="103"/>
        <v/>
      </c>
      <c r="E1498" s="534"/>
      <c r="F1498" s="534"/>
    </row>
    <row r="1499" spans="1:6" ht="15" customHeight="1">
      <c r="A1499" s="51"/>
      <c r="B1499" s="52" t="str">
        <f t="shared" si="102"/>
        <v/>
      </c>
      <c r="C1499" t="str">
        <f t="shared" si="101"/>
        <v/>
      </c>
      <c r="D1499" s="245" t="str">
        <f t="shared" si="103"/>
        <v/>
      </c>
      <c r="E1499" s="534"/>
      <c r="F1499" s="534"/>
    </row>
    <row r="1500" spans="1:6" ht="15" customHeight="1">
      <c r="A1500" s="51"/>
      <c r="B1500" s="52" t="str">
        <f t="shared" si="102"/>
        <v/>
      </c>
      <c r="C1500" t="str">
        <f t="shared" si="101"/>
        <v/>
      </c>
      <c r="D1500" s="245" t="str">
        <f t="shared" si="103"/>
        <v/>
      </c>
      <c r="E1500" s="534"/>
      <c r="F1500" s="534"/>
    </row>
    <row r="1501" spans="1:6" ht="15" customHeight="1">
      <c r="A1501" s="51"/>
      <c r="B1501" s="52" t="str">
        <f t="shared" si="102"/>
        <v/>
      </c>
      <c r="C1501" t="str">
        <f t="shared" si="101"/>
        <v/>
      </c>
      <c r="D1501" s="245" t="str">
        <f t="shared" si="103"/>
        <v/>
      </c>
      <c r="E1501" s="534"/>
      <c r="F1501" s="534"/>
    </row>
    <row r="1502" spans="1:6" ht="15" customHeight="1">
      <c r="A1502" s="51"/>
      <c r="B1502" s="52" t="str">
        <f t="shared" si="102"/>
        <v/>
      </c>
      <c r="C1502" t="str">
        <f t="shared" si="101"/>
        <v/>
      </c>
      <c r="D1502" s="245" t="str">
        <f t="shared" si="103"/>
        <v/>
      </c>
      <c r="E1502" s="534"/>
      <c r="F1502" s="534"/>
    </row>
    <row r="1503" spans="1:6" ht="15" customHeight="1">
      <c r="A1503" s="51"/>
      <c r="B1503" s="52" t="str">
        <f t="shared" si="102"/>
        <v/>
      </c>
      <c r="C1503" t="str">
        <f t="shared" si="101"/>
        <v/>
      </c>
      <c r="D1503" s="245" t="str">
        <f t="shared" si="103"/>
        <v/>
      </c>
      <c r="E1503" s="534"/>
      <c r="F1503" s="534"/>
    </row>
    <row r="1504" spans="1:6" ht="15" customHeight="1">
      <c r="A1504" s="51"/>
      <c r="B1504" s="52" t="str">
        <f t="shared" si="102"/>
        <v/>
      </c>
      <c r="C1504" t="str">
        <f t="shared" si="101"/>
        <v/>
      </c>
      <c r="D1504" s="245" t="str">
        <f t="shared" si="103"/>
        <v/>
      </c>
      <c r="E1504" s="534"/>
      <c r="F1504" s="534"/>
    </row>
    <row r="1505" spans="1:6" ht="15" customHeight="1">
      <c r="A1505" s="51"/>
      <c r="B1505" s="52" t="str">
        <f t="shared" si="102"/>
        <v/>
      </c>
      <c r="C1505" t="str">
        <f t="shared" si="101"/>
        <v/>
      </c>
      <c r="D1505" s="245" t="str">
        <f t="shared" si="103"/>
        <v/>
      </c>
      <c r="E1505" s="534"/>
      <c r="F1505" s="534"/>
    </row>
    <row r="1506" spans="1:6" ht="15" customHeight="1">
      <c r="A1506" s="51"/>
      <c r="B1506" s="52" t="str">
        <f t="shared" si="102"/>
        <v/>
      </c>
      <c r="C1506" t="str">
        <f t="shared" si="101"/>
        <v/>
      </c>
      <c r="D1506" s="245" t="str">
        <f t="shared" si="103"/>
        <v/>
      </c>
      <c r="E1506" s="534"/>
      <c r="F1506" s="534"/>
    </row>
    <row r="1507" spans="1:6" ht="15" customHeight="1">
      <c r="A1507" s="51"/>
      <c r="B1507" s="52" t="str">
        <f t="shared" si="102"/>
        <v/>
      </c>
      <c r="C1507" t="str">
        <f t="shared" si="101"/>
        <v/>
      </c>
      <c r="D1507" s="245" t="str">
        <f t="shared" si="103"/>
        <v/>
      </c>
      <c r="E1507" s="534"/>
      <c r="F1507" s="534"/>
    </row>
    <row r="1508" spans="1:6" ht="15" customHeight="1">
      <c r="A1508" s="51"/>
      <c r="B1508" s="52" t="str">
        <f t="shared" si="102"/>
        <v/>
      </c>
      <c r="C1508" t="str">
        <f t="shared" si="101"/>
        <v/>
      </c>
      <c r="D1508" s="245" t="str">
        <f t="shared" si="103"/>
        <v/>
      </c>
      <c r="E1508" s="534"/>
      <c r="F1508" s="534"/>
    </row>
    <row r="1509" spans="1:6" ht="15" customHeight="1">
      <c r="A1509" s="51"/>
      <c r="B1509" s="52" t="str">
        <f t="shared" si="102"/>
        <v/>
      </c>
      <c r="C1509" t="str">
        <f t="shared" si="101"/>
        <v/>
      </c>
      <c r="D1509" s="245" t="str">
        <f t="shared" si="103"/>
        <v/>
      </c>
      <c r="E1509" s="534"/>
      <c r="F1509" s="534"/>
    </row>
    <row r="1510" spans="1:6" ht="15" customHeight="1">
      <c r="A1510" s="51"/>
      <c r="B1510" s="52" t="str">
        <f t="shared" si="102"/>
        <v/>
      </c>
      <c r="C1510" t="str">
        <f t="shared" si="101"/>
        <v/>
      </c>
      <c r="D1510" s="245" t="str">
        <f t="shared" si="103"/>
        <v/>
      </c>
      <c r="E1510" s="534"/>
      <c r="F1510" s="534"/>
    </row>
    <row r="1511" spans="1:6" ht="15" customHeight="1">
      <c r="A1511" s="51"/>
      <c r="B1511" s="52" t="str">
        <f t="shared" si="102"/>
        <v/>
      </c>
      <c r="C1511" t="str">
        <f t="shared" si="101"/>
        <v/>
      </c>
      <c r="D1511" s="245" t="str">
        <f t="shared" si="103"/>
        <v/>
      </c>
      <c r="E1511" s="534"/>
      <c r="F1511" s="534"/>
    </row>
    <row r="1512" spans="1:6" ht="15" customHeight="1">
      <c r="A1512" s="51"/>
      <c r="B1512" s="52" t="str">
        <f t="shared" si="102"/>
        <v/>
      </c>
      <c r="C1512" t="str">
        <f t="shared" si="101"/>
        <v/>
      </c>
      <c r="D1512" s="245" t="str">
        <f t="shared" si="103"/>
        <v/>
      </c>
      <c r="E1512" s="534"/>
      <c r="F1512" s="534"/>
    </row>
    <row r="1513" spans="1:6" ht="15" customHeight="1">
      <c r="A1513" s="51"/>
      <c r="B1513" s="52" t="str">
        <f t="shared" si="102"/>
        <v/>
      </c>
      <c r="C1513" t="str">
        <f t="shared" si="101"/>
        <v/>
      </c>
      <c r="D1513" s="245" t="str">
        <f t="shared" si="103"/>
        <v/>
      </c>
      <c r="E1513" s="534"/>
      <c r="F1513" s="534"/>
    </row>
    <row r="1514" spans="1:6" ht="15" customHeight="1">
      <c r="A1514" s="51"/>
      <c r="B1514" s="52" t="str">
        <f t="shared" si="102"/>
        <v/>
      </c>
      <c r="C1514" t="str">
        <f t="shared" si="101"/>
        <v/>
      </c>
      <c r="D1514" s="245" t="str">
        <f t="shared" si="103"/>
        <v/>
      </c>
      <c r="E1514" s="534"/>
      <c r="F1514" s="534"/>
    </row>
    <row r="1515" spans="1:6" ht="15" customHeight="1">
      <c r="A1515" s="51"/>
      <c r="B1515" s="52" t="str">
        <f t="shared" si="102"/>
        <v/>
      </c>
      <c r="C1515" t="str">
        <f t="shared" si="101"/>
        <v/>
      </c>
      <c r="D1515" s="245" t="str">
        <f t="shared" si="103"/>
        <v/>
      </c>
      <c r="E1515" s="534"/>
      <c r="F1515" s="534"/>
    </row>
    <row r="1516" spans="1:6" ht="15" customHeight="1">
      <c r="A1516" s="51"/>
      <c r="B1516" s="52" t="str">
        <f t="shared" si="102"/>
        <v/>
      </c>
      <c r="C1516" t="str">
        <f t="shared" si="101"/>
        <v/>
      </c>
      <c r="D1516" s="245" t="str">
        <f t="shared" si="103"/>
        <v/>
      </c>
      <c r="E1516" s="534"/>
      <c r="F1516" s="534"/>
    </row>
    <row r="1517" spans="1:6" ht="15" customHeight="1">
      <c r="A1517" s="51"/>
      <c r="B1517" s="52" t="str">
        <f t="shared" si="102"/>
        <v/>
      </c>
      <c r="C1517" t="str">
        <f t="shared" si="101"/>
        <v/>
      </c>
      <c r="D1517" s="245" t="str">
        <f t="shared" si="103"/>
        <v/>
      </c>
      <c r="E1517" s="534"/>
      <c r="F1517" s="534"/>
    </row>
    <row r="1518" spans="1:6" ht="15" customHeight="1">
      <c r="A1518" s="51"/>
      <c r="B1518" s="52" t="str">
        <f t="shared" si="102"/>
        <v/>
      </c>
      <c r="C1518" t="str">
        <f t="shared" si="101"/>
        <v/>
      </c>
      <c r="D1518" s="245" t="str">
        <f t="shared" si="103"/>
        <v/>
      </c>
      <c r="E1518" s="534"/>
      <c r="F1518" s="534"/>
    </row>
    <row r="1519" spans="1:6" ht="15" customHeight="1">
      <c r="A1519" s="51"/>
      <c r="B1519" s="52" t="str">
        <f t="shared" si="102"/>
        <v/>
      </c>
      <c r="C1519" t="str">
        <f t="shared" si="101"/>
        <v/>
      </c>
      <c r="D1519" s="245" t="str">
        <f t="shared" si="103"/>
        <v/>
      </c>
      <c r="E1519" s="534"/>
      <c r="F1519" s="534"/>
    </row>
    <row r="1520" spans="1:6" ht="15" customHeight="1">
      <c r="A1520" s="51"/>
      <c r="B1520" s="52" t="str">
        <f t="shared" si="102"/>
        <v/>
      </c>
      <c r="C1520" t="str">
        <f t="shared" si="101"/>
        <v/>
      </c>
      <c r="D1520" s="245" t="str">
        <f t="shared" si="103"/>
        <v/>
      </c>
      <c r="E1520" s="534"/>
      <c r="F1520" s="534"/>
    </row>
    <row r="1521" spans="1:6" ht="15" customHeight="1">
      <c r="A1521" s="51"/>
      <c r="B1521" s="52" t="str">
        <f t="shared" si="102"/>
        <v/>
      </c>
      <c r="C1521" t="str">
        <f t="shared" si="101"/>
        <v/>
      </c>
      <c r="D1521" s="245" t="str">
        <f t="shared" si="103"/>
        <v/>
      </c>
      <c r="E1521" s="534"/>
      <c r="F1521" s="534"/>
    </row>
    <row r="1522" spans="1:6" ht="15" customHeight="1">
      <c r="A1522" s="51"/>
      <c r="B1522" s="52" t="str">
        <f t="shared" si="102"/>
        <v/>
      </c>
      <c r="C1522" t="str">
        <f t="shared" si="101"/>
        <v/>
      </c>
      <c r="D1522" s="245" t="str">
        <f t="shared" si="103"/>
        <v/>
      </c>
      <c r="E1522" s="534"/>
      <c r="F1522" s="534"/>
    </row>
    <row r="1523" spans="1:6" ht="15" customHeight="1">
      <c r="A1523" s="51"/>
      <c r="B1523" s="52" t="str">
        <f t="shared" si="102"/>
        <v/>
      </c>
      <c r="C1523" t="str">
        <f t="shared" si="101"/>
        <v/>
      </c>
      <c r="D1523" s="245" t="str">
        <f t="shared" si="103"/>
        <v/>
      </c>
      <c r="E1523" s="534"/>
      <c r="F1523" s="534"/>
    </row>
    <row r="1524" spans="1:6" ht="15" customHeight="1">
      <c r="A1524" s="51"/>
      <c r="B1524" s="52" t="str">
        <f t="shared" si="102"/>
        <v/>
      </c>
      <c r="C1524" t="str">
        <f t="shared" si="101"/>
        <v/>
      </c>
      <c r="D1524" s="245" t="str">
        <f t="shared" si="103"/>
        <v/>
      </c>
      <c r="E1524" s="534"/>
      <c r="F1524" s="534"/>
    </row>
    <row r="1525" spans="1:6" ht="15" customHeight="1">
      <c r="A1525" s="51"/>
      <c r="B1525" s="52" t="str">
        <f t="shared" si="102"/>
        <v/>
      </c>
      <c r="C1525" t="str">
        <f t="shared" si="101"/>
        <v/>
      </c>
      <c r="D1525" s="245" t="str">
        <f t="shared" si="103"/>
        <v/>
      </c>
      <c r="E1525" s="534"/>
      <c r="F1525" s="534"/>
    </row>
    <row r="1526" spans="1:6" ht="15" customHeight="1">
      <c r="A1526" s="51"/>
      <c r="B1526" s="52" t="str">
        <f t="shared" si="102"/>
        <v/>
      </c>
      <c r="C1526" t="str">
        <f t="shared" si="101"/>
        <v/>
      </c>
      <c r="D1526" s="245" t="str">
        <f t="shared" si="103"/>
        <v/>
      </c>
      <c r="E1526" s="534"/>
      <c r="F1526" s="534"/>
    </row>
    <row r="1527" spans="1:6" ht="15" customHeight="1">
      <c r="A1527" s="51"/>
      <c r="B1527" s="52" t="str">
        <f t="shared" si="102"/>
        <v/>
      </c>
      <c r="C1527" t="str">
        <f t="shared" si="101"/>
        <v/>
      </c>
      <c r="D1527" s="245" t="str">
        <f t="shared" si="103"/>
        <v/>
      </c>
      <c r="E1527" s="534"/>
      <c r="F1527" s="534"/>
    </row>
    <row r="1528" spans="1:6" ht="15" customHeight="1">
      <c r="A1528" s="51"/>
      <c r="B1528" s="52" t="str">
        <f t="shared" si="102"/>
        <v/>
      </c>
      <c r="C1528" t="str">
        <f t="shared" si="101"/>
        <v/>
      </c>
      <c r="D1528" s="245" t="str">
        <f t="shared" si="103"/>
        <v/>
      </c>
      <c r="E1528" s="534"/>
      <c r="F1528" s="534"/>
    </row>
    <row r="1529" spans="1:6" ht="15" customHeight="1">
      <c r="A1529" s="51"/>
      <c r="B1529" s="52" t="str">
        <f t="shared" si="102"/>
        <v/>
      </c>
      <c r="C1529" t="str">
        <f t="shared" si="101"/>
        <v/>
      </c>
      <c r="D1529" s="245" t="str">
        <f t="shared" si="103"/>
        <v/>
      </c>
      <c r="E1529" s="534"/>
      <c r="F1529" s="534"/>
    </row>
    <row r="1530" spans="1:6" ht="15" customHeight="1">
      <c r="A1530" s="51"/>
      <c r="B1530" s="52" t="str">
        <f t="shared" si="102"/>
        <v/>
      </c>
      <c r="C1530" t="str">
        <f t="shared" si="101"/>
        <v/>
      </c>
      <c r="D1530" s="245" t="str">
        <f t="shared" si="103"/>
        <v/>
      </c>
      <c r="E1530" s="534"/>
      <c r="F1530" s="534"/>
    </row>
    <row r="1531" spans="1:6" ht="15" customHeight="1">
      <c r="A1531" s="51"/>
      <c r="B1531" s="52" t="str">
        <f t="shared" si="102"/>
        <v/>
      </c>
      <c r="C1531" t="str">
        <f t="shared" si="101"/>
        <v/>
      </c>
      <c r="D1531" s="245" t="str">
        <f t="shared" si="103"/>
        <v/>
      </c>
      <c r="E1531" s="534"/>
      <c r="F1531" s="534"/>
    </row>
    <row r="1532" spans="1:6" ht="15" customHeight="1">
      <c r="A1532" s="51"/>
      <c r="B1532" s="52" t="str">
        <f t="shared" si="102"/>
        <v/>
      </c>
      <c r="C1532" t="str">
        <f t="shared" si="101"/>
        <v/>
      </c>
      <c r="D1532" s="245" t="str">
        <f t="shared" si="103"/>
        <v/>
      </c>
      <c r="E1532" s="534"/>
      <c r="F1532" s="534"/>
    </row>
    <row r="1533" spans="1:6" ht="15" customHeight="1">
      <c r="A1533" s="51"/>
      <c r="B1533" s="52" t="str">
        <f t="shared" si="102"/>
        <v/>
      </c>
      <c r="C1533" t="str">
        <f t="shared" si="101"/>
        <v/>
      </c>
      <c r="D1533" s="245" t="str">
        <f t="shared" si="103"/>
        <v/>
      </c>
      <c r="E1533" s="534"/>
      <c r="F1533" s="534"/>
    </row>
    <row r="1534" spans="1:6" ht="15" customHeight="1">
      <c r="A1534" s="51"/>
      <c r="B1534" s="52" t="str">
        <f t="shared" si="102"/>
        <v/>
      </c>
      <c r="C1534" t="str">
        <f t="shared" si="101"/>
        <v/>
      </c>
      <c r="D1534" s="245" t="str">
        <f t="shared" si="103"/>
        <v/>
      </c>
      <c r="E1534" s="534"/>
      <c r="F1534" s="534"/>
    </row>
    <row r="1535" spans="1:6" ht="15" customHeight="1">
      <c r="A1535" s="51"/>
      <c r="B1535" s="52" t="str">
        <f t="shared" si="102"/>
        <v/>
      </c>
      <c r="C1535" t="str">
        <f t="shared" si="101"/>
        <v/>
      </c>
      <c r="D1535" s="245" t="str">
        <f t="shared" si="103"/>
        <v/>
      </c>
      <c r="E1535" s="534"/>
      <c r="F1535" s="534"/>
    </row>
    <row r="1536" spans="1:6" ht="15" customHeight="1">
      <c r="A1536" s="51"/>
      <c r="B1536" s="52" t="str">
        <f t="shared" si="102"/>
        <v/>
      </c>
      <c r="C1536" t="str">
        <f t="shared" si="101"/>
        <v/>
      </c>
      <c r="D1536" s="245" t="str">
        <f t="shared" si="103"/>
        <v/>
      </c>
      <c r="E1536" s="534"/>
      <c r="F1536" s="534"/>
    </row>
    <row r="1537" spans="1:6" ht="15" customHeight="1">
      <c r="A1537" s="51"/>
      <c r="B1537" s="52" t="str">
        <f t="shared" si="102"/>
        <v/>
      </c>
      <c r="C1537" t="str">
        <f t="shared" si="101"/>
        <v/>
      </c>
      <c r="D1537" s="245" t="str">
        <f t="shared" si="103"/>
        <v/>
      </c>
      <c r="E1537" s="534"/>
      <c r="F1537" s="534"/>
    </row>
    <row r="1538" spans="1:6" ht="15" customHeight="1">
      <c r="A1538" s="51"/>
      <c r="B1538" s="52" t="str">
        <f t="shared" si="102"/>
        <v/>
      </c>
      <c r="C1538" t="str">
        <f t="shared" ref="C1538:C1601" si="104">IF(A1538&lt;&gt;"",TEXT(A1538,"aaaa"),"")</f>
        <v/>
      </c>
      <c r="D1538" s="245" t="str">
        <f t="shared" si="103"/>
        <v/>
      </c>
      <c r="E1538" s="534"/>
      <c r="F1538" s="534"/>
    </row>
    <row r="1539" spans="1:6" ht="15" customHeight="1">
      <c r="A1539" s="51"/>
      <c r="B1539" s="52" t="str">
        <f t="shared" si="102"/>
        <v/>
      </c>
      <c r="C1539" t="str">
        <f t="shared" si="104"/>
        <v/>
      </c>
      <c r="D1539" s="245" t="str">
        <f t="shared" si="103"/>
        <v/>
      </c>
      <c r="E1539" s="534"/>
      <c r="F1539" s="534"/>
    </row>
    <row r="1540" spans="1:6" ht="15" customHeight="1">
      <c r="A1540" s="51"/>
      <c r="B1540" s="52" t="str">
        <f t="shared" si="102"/>
        <v/>
      </c>
      <c r="C1540" t="str">
        <f t="shared" si="104"/>
        <v/>
      </c>
      <c r="D1540" s="245" t="str">
        <f t="shared" si="103"/>
        <v/>
      </c>
      <c r="E1540" s="534"/>
      <c r="F1540" s="534"/>
    </row>
    <row r="1541" spans="1:6" ht="15" customHeight="1">
      <c r="A1541" s="51"/>
      <c r="B1541" s="52" t="str">
        <f t="shared" si="102"/>
        <v/>
      </c>
      <c r="C1541" t="str">
        <f t="shared" si="104"/>
        <v/>
      </c>
      <c r="D1541" s="245" t="str">
        <f t="shared" si="103"/>
        <v/>
      </c>
      <c r="E1541" s="534"/>
      <c r="F1541" s="534"/>
    </row>
    <row r="1542" spans="1:6" ht="15" customHeight="1">
      <c r="A1542" s="51"/>
      <c r="B1542" s="52" t="str">
        <f t="shared" si="102"/>
        <v/>
      </c>
      <c r="C1542" t="str">
        <f t="shared" si="104"/>
        <v/>
      </c>
      <c r="D1542" s="245" t="str">
        <f t="shared" si="103"/>
        <v/>
      </c>
      <c r="E1542" s="534"/>
      <c r="F1542" s="534"/>
    </row>
    <row r="1543" spans="1:6" ht="15" customHeight="1">
      <c r="A1543" s="51"/>
      <c r="B1543" s="52" t="str">
        <f t="shared" si="102"/>
        <v/>
      </c>
      <c r="C1543" t="str">
        <f t="shared" si="104"/>
        <v/>
      </c>
      <c r="D1543" s="245" t="str">
        <f t="shared" si="103"/>
        <v/>
      </c>
      <c r="E1543" s="534"/>
      <c r="F1543" s="534"/>
    </row>
    <row r="1544" spans="1:6" ht="15" customHeight="1">
      <c r="A1544" s="51"/>
      <c r="B1544" s="52" t="str">
        <f t="shared" ref="B1544:B1607" si="105">IF(A1544="","",TEXT(A1544,"DDDD"))</f>
        <v/>
      </c>
      <c r="C1544" t="str">
        <f t="shared" si="104"/>
        <v/>
      </c>
      <c r="D1544" s="245" t="str">
        <f t="shared" si="103"/>
        <v/>
      </c>
      <c r="E1544" s="534"/>
      <c r="F1544" s="534"/>
    </row>
    <row r="1545" spans="1:6" ht="15" customHeight="1">
      <c r="A1545" s="51"/>
      <c r="B1545" s="52" t="str">
        <f t="shared" si="105"/>
        <v/>
      </c>
      <c r="C1545" t="str">
        <f t="shared" si="104"/>
        <v/>
      </c>
      <c r="D1545" s="245" t="str">
        <f t="shared" ref="D1545:D1608" si="106">IF(A1545&lt;&gt;"",PROPER(TEXT(A1545,"Mmmm")),"")</f>
        <v/>
      </c>
      <c r="E1545" s="534"/>
      <c r="F1545" s="534"/>
    </row>
    <row r="1546" spans="1:6" ht="15" customHeight="1">
      <c r="A1546" s="51"/>
      <c r="B1546" s="52" t="str">
        <f t="shared" si="105"/>
        <v/>
      </c>
      <c r="C1546" t="str">
        <f t="shared" si="104"/>
        <v/>
      </c>
      <c r="D1546" s="245" t="str">
        <f t="shared" si="106"/>
        <v/>
      </c>
      <c r="E1546" s="534"/>
      <c r="F1546" s="534"/>
    </row>
    <row r="1547" spans="1:6" ht="15" customHeight="1">
      <c r="A1547" s="51"/>
      <c r="B1547" s="52" t="str">
        <f t="shared" si="105"/>
        <v/>
      </c>
      <c r="C1547" t="str">
        <f t="shared" si="104"/>
        <v/>
      </c>
      <c r="D1547" s="245" t="str">
        <f t="shared" si="106"/>
        <v/>
      </c>
      <c r="E1547" s="534"/>
      <c r="F1547" s="534"/>
    </row>
    <row r="1548" spans="1:6" ht="15" customHeight="1">
      <c r="A1548" s="51"/>
      <c r="B1548" s="52" t="str">
        <f t="shared" si="105"/>
        <v/>
      </c>
      <c r="C1548" t="str">
        <f t="shared" si="104"/>
        <v/>
      </c>
      <c r="D1548" s="245" t="str">
        <f t="shared" si="106"/>
        <v/>
      </c>
      <c r="E1548" s="534"/>
      <c r="F1548" s="534"/>
    </row>
    <row r="1549" spans="1:6" ht="15" customHeight="1">
      <c r="A1549" s="51"/>
      <c r="B1549" s="52" t="str">
        <f t="shared" si="105"/>
        <v/>
      </c>
      <c r="C1549" t="str">
        <f t="shared" si="104"/>
        <v/>
      </c>
      <c r="D1549" s="245" t="str">
        <f t="shared" si="106"/>
        <v/>
      </c>
      <c r="E1549" s="534"/>
      <c r="F1549" s="534"/>
    </row>
    <row r="1550" spans="1:6" ht="15" customHeight="1">
      <c r="A1550" s="51"/>
      <c r="B1550" s="52" t="str">
        <f t="shared" si="105"/>
        <v/>
      </c>
      <c r="C1550" t="str">
        <f t="shared" si="104"/>
        <v/>
      </c>
      <c r="D1550" s="245" t="str">
        <f t="shared" si="106"/>
        <v/>
      </c>
      <c r="E1550" s="534"/>
      <c r="F1550" s="534"/>
    </row>
    <row r="1551" spans="1:6" ht="15" customHeight="1">
      <c r="A1551" s="51"/>
      <c r="B1551" s="52" t="str">
        <f t="shared" si="105"/>
        <v/>
      </c>
      <c r="C1551" t="str">
        <f t="shared" si="104"/>
        <v/>
      </c>
      <c r="D1551" s="245" t="str">
        <f t="shared" si="106"/>
        <v/>
      </c>
      <c r="E1551" s="534"/>
      <c r="F1551" s="534"/>
    </row>
    <row r="1552" spans="1:6" ht="15" customHeight="1">
      <c r="A1552" s="51"/>
      <c r="B1552" s="52" t="str">
        <f t="shared" si="105"/>
        <v/>
      </c>
      <c r="C1552" t="str">
        <f t="shared" si="104"/>
        <v/>
      </c>
      <c r="D1552" s="245" t="str">
        <f t="shared" si="106"/>
        <v/>
      </c>
      <c r="E1552" s="534"/>
      <c r="F1552" s="534"/>
    </row>
    <row r="1553" spans="1:6" ht="15" customHeight="1">
      <c r="A1553" s="51"/>
      <c r="B1553" s="52" t="str">
        <f t="shared" si="105"/>
        <v/>
      </c>
      <c r="C1553" t="str">
        <f t="shared" si="104"/>
        <v/>
      </c>
      <c r="D1553" s="245" t="str">
        <f t="shared" si="106"/>
        <v/>
      </c>
      <c r="E1553" s="534"/>
      <c r="F1553" s="534"/>
    </row>
    <row r="1554" spans="1:6" ht="15" customHeight="1">
      <c r="A1554" s="51"/>
      <c r="B1554" s="52" t="str">
        <f t="shared" si="105"/>
        <v/>
      </c>
      <c r="C1554" t="str">
        <f t="shared" si="104"/>
        <v/>
      </c>
      <c r="D1554" s="245" t="str">
        <f t="shared" si="106"/>
        <v/>
      </c>
      <c r="E1554" s="534"/>
      <c r="F1554" s="534"/>
    </row>
    <row r="1555" spans="1:6" ht="15" customHeight="1">
      <c r="A1555" s="51"/>
      <c r="B1555" s="52" t="str">
        <f t="shared" si="105"/>
        <v/>
      </c>
      <c r="C1555" t="str">
        <f t="shared" si="104"/>
        <v/>
      </c>
      <c r="D1555" s="245" t="str">
        <f t="shared" si="106"/>
        <v/>
      </c>
      <c r="E1555" s="534"/>
      <c r="F1555" s="534"/>
    </row>
    <row r="1556" spans="1:6" ht="15" customHeight="1">
      <c r="A1556" s="51"/>
      <c r="B1556" s="52" t="str">
        <f t="shared" si="105"/>
        <v/>
      </c>
      <c r="C1556" t="str">
        <f t="shared" si="104"/>
        <v/>
      </c>
      <c r="D1556" s="245" t="str">
        <f t="shared" si="106"/>
        <v/>
      </c>
      <c r="E1556" s="534"/>
      <c r="F1556" s="534"/>
    </row>
    <row r="1557" spans="1:6" ht="15" customHeight="1">
      <c r="A1557" s="51"/>
      <c r="B1557" s="52" t="str">
        <f t="shared" si="105"/>
        <v/>
      </c>
      <c r="C1557" t="str">
        <f t="shared" si="104"/>
        <v/>
      </c>
      <c r="D1557" s="245" t="str">
        <f t="shared" si="106"/>
        <v/>
      </c>
      <c r="E1557" s="534"/>
      <c r="F1557" s="534"/>
    </row>
    <row r="1558" spans="1:6" ht="15" customHeight="1">
      <c r="A1558" s="51"/>
      <c r="B1558" s="52" t="str">
        <f t="shared" si="105"/>
        <v/>
      </c>
      <c r="C1558" t="str">
        <f t="shared" si="104"/>
        <v/>
      </c>
      <c r="D1558" s="245" t="str">
        <f t="shared" si="106"/>
        <v/>
      </c>
      <c r="E1558" s="534"/>
      <c r="F1558" s="534"/>
    </row>
    <row r="1559" spans="1:6" ht="15" customHeight="1">
      <c r="A1559" s="51"/>
      <c r="B1559" s="52" t="str">
        <f t="shared" si="105"/>
        <v/>
      </c>
      <c r="C1559" t="str">
        <f t="shared" si="104"/>
        <v/>
      </c>
      <c r="D1559" s="245" t="str">
        <f t="shared" si="106"/>
        <v/>
      </c>
      <c r="E1559" s="534"/>
      <c r="F1559" s="534"/>
    </row>
    <row r="1560" spans="1:6" ht="15" customHeight="1">
      <c r="A1560" s="51"/>
      <c r="B1560" s="52" t="str">
        <f t="shared" si="105"/>
        <v/>
      </c>
      <c r="C1560" t="str">
        <f t="shared" si="104"/>
        <v/>
      </c>
      <c r="D1560" s="245" t="str">
        <f t="shared" si="106"/>
        <v/>
      </c>
      <c r="E1560" s="534"/>
      <c r="F1560" s="534"/>
    </row>
    <row r="1561" spans="1:6" ht="15" customHeight="1">
      <c r="A1561" s="51"/>
      <c r="B1561" s="52" t="str">
        <f t="shared" si="105"/>
        <v/>
      </c>
      <c r="C1561" t="str">
        <f t="shared" si="104"/>
        <v/>
      </c>
      <c r="D1561" s="245" t="str">
        <f t="shared" si="106"/>
        <v/>
      </c>
      <c r="E1561" s="534"/>
      <c r="F1561" s="534"/>
    </row>
    <row r="1562" spans="1:6" ht="15" customHeight="1">
      <c r="A1562" s="51"/>
      <c r="B1562" s="52" t="str">
        <f t="shared" si="105"/>
        <v/>
      </c>
      <c r="C1562" t="str">
        <f t="shared" si="104"/>
        <v/>
      </c>
      <c r="D1562" s="245" t="str">
        <f t="shared" si="106"/>
        <v/>
      </c>
      <c r="E1562" s="534"/>
      <c r="F1562" s="534"/>
    </row>
    <row r="1563" spans="1:6" ht="15" customHeight="1">
      <c r="A1563" s="51"/>
      <c r="B1563" s="52" t="str">
        <f t="shared" si="105"/>
        <v/>
      </c>
      <c r="C1563" t="str">
        <f t="shared" si="104"/>
        <v/>
      </c>
      <c r="D1563" s="245" t="str">
        <f t="shared" si="106"/>
        <v/>
      </c>
      <c r="E1563" s="534"/>
      <c r="F1563" s="534"/>
    </row>
    <row r="1564" spans="1:6" ht="15" customHeight="1">
      <c r="A1564" s="51"/>
      <c r="B1564" s="52" t="str">
        <f t="shared" si="105"/>
        <v/>
      </c>
      <c r="C1564" t="str">
        <f t="shared" si="104"/>
        <v/>
      </c>
      <c r="D1564" s="245" t="str">
        <f t="shared" si="106"/>
        <v/>
      </c>
      <c r="E1564" s="534"/>
      <c r="F1564" s="534"/>
    </row>
    <row r="1565" spans="1:6" ht="15" customHeight="1">
      <c r="A1565" s="51"/>
      <c r="B1565" s="52" t="str">
        <f t="shared" si="105"/>
        <v/>
      </c>
      <c r="C1565" t="str">
        <f t="shared" si="104"/>
        <v/>
      </c>
      <c r="D1565" s="245" t="str">
        <f t="shared" si="106"/>
        <v/>
      </c>
      <c r="E1565" s="534"/>
      <c r="F1565" s="534"/>
    </row>
    <row r="1566" spans="1:6" ht="15" customHeight="1">
      <c r="A1566" s="51"/>
      <c r="B1566" s="52" t="str">
        <f t="shared" si="105"/>
        <v/>
      </c>
      <c r="C1566" t="str">
        <f t="shared" si="104"/>
        <v/>
      </c>
      <c r="D1566" s="245" t="str">
        <f t="shared" si="106"/>
        <v/>
      </c>
      <c r="E1566" s="534"/>
      <c r="F1566" s="534"/>
    </row>
    <row r="1567" spans="1:6" ht="15" customHeight="1">
      <c r="A1567" s="51"/>
      <c r="B1567" s="52" t="str">
        <f t="shared" si="105"/>
        <v/>
      </c>
      <c r="C1567" t="str">
        <f t="shared" si="104"/>
        <v/>
      </c>
      <c r="D1567" s="245" t="str">
        <f t="shared" si="106"/>
        <v/>
      </c>
      <c r="E1567" s="534"/>
      <c r="F1567" s="534"/>
    </row>
    <row r="1568" spans="1:6" ht="15" customHeight="1">
      <c r="A1568" s="51"/>
      <c r="B1568" s="52" t="str">
        <f t="shared" si="105"/>
        <v/>
      </c>
      <c r="C1568" t="str">
        <f t="shared" si="104"/>
        <v/>
      </c>
      <c r="D1568" s="245" t="str">
        <f t="shared" si="106"/>
        <v/>
      </c>
      <c r="E1568" s="534"/>
      <c r="F1568" s="534"/>
    </row>
    <row r="1569" spans="1:6" ht="15" customHeight="1">
      <c r="A1569" s="51"/>
      <c r="B1569" s="52" t="str">
        <f t="shared" si="105"/>
        <v/>
      </c>
      <c r="C1569" t="str">
        <f t="shared" si="104"/>
        <v/>
      </c>
      <c r="D1569" s="245" t="str">
        <f t="shared" si="106"/>
        <v/>
      </c>
      <c r="E1569" s="534"/>
      <c r="F1569" s="534"/>
    </row>
    <row r="1570" spans="1:6" ht="15" customHeight="1">
      <c r="A1570" s="51"/>
      <c r="B1570" s="52" t="str">
        <f t="shared" si="105"/>
        <v/>
      </c>
      <c r="C1570" t="str">
        <f t="shared" si="104"/>
        <v/>
      </c>
      <c r="D1570" s="245" t="str">
        <f t="shared" si="106"/>
        <v/>
      </c>
      <c r="E1570" s="534"/>
      <c r="F1570" s="534"/>
    </row>
    <row r="1571" spans="1:6" ht="15" customHeight="1">
      <c r="A1571" s="51"/>
      <c r="B1571" s="52" t="str">
        <f t="shared" si="105"/>
        <v/>
      </c>
      <c r="C1571" t="str">
        <f t="shared" si="104"/>
        <v/>
      </c>
      <c r="D1571" s="245" t="str">
        <f t="shared" si="106"/>
        <v/>
      </c>
      <c r="E1571" s="534"/>
      <c r="F1571" s="534"/>
    </row>
    <row r="1572" spans="1:6" ht="15" customHeight="1">
      <c r="A1572" s="51"/>
      <c r="B1572" s="52" t="str">
        <f t="shared" si="105"/>
        <v/>
      </c>
      <c r="C1572" t="str">
        <f t="shared" si="104"/>
        <v/>
      </c>
      <c r="D1572" s="245" t="str">
        <f t="shared" si="106"/>
        <v/>
      </c>
      <c r="E1572" s="534"/>
      <c r="F1572" s="534"/>
    </row>
    <row r="1573" spans="1:6" ht="15" customHeight="1">
      <c r="A1573" s="51"/>
      <c r="B1573" s="52" t="str">
        <f t="shared" si="105"/>
        <v/>
      </c>
      <c r="C1573" t="str">
        <f t="shared" si="104"/>
        <v/>
      </c>
      <c r="D1573" s="245" t="str">
        <f t="shared" si="106"/>
        <v/>
      </c>
      <c r="E1573" s="534"/>
      <c r="F1573" s="534"/>
    </row>
    <row r="1574" spans="1:6" ht="15" customHeight="1">
      <c r="A1574" s="51"/>
      <c r="B1574" s="52" t="str">
        <f t="shared" si="105"/>
        <v/>
      </c>
      <c r="C1574" t="str">
        <f t="shared" si="104"/>
        <v/>
      </c>
      <c r="D1574" s="245" t="str">
        <f t="shared" si="106"/>
        <v/>
      </c>
      <c r="E1574" s="534"/>
      <c r="F1574" s="534"/>
    </row>
    <row r="1575" spans="1:6" ht="15" customHeight="1">
      <c r="A1575" s="51"/>
      <c r="B1575" s="52" t="str">
        <f t="shared" si="105"/>
        <v/>
      </c>
      <c r="C1575" t="str">
        <f t="shared" si="104"/>
        <v/>
      </c>
      <c r="D1575" s="245" t="str">
        <f t="shared" si="106"/>
        <v/>
      </c>
      <c r="E1575" s="534"/>
      <c r="F1575" s="534"/>
    </row>
    <row r="1576" spans="1:6" ht="15" customHeight="1">
      <c r="A1576" s="51"/>
      <c r="B1576" s="52" t="str">
        <f t="shared" si="105"/>
        <v/>
      </c>
      <c r="C1576" t="str">
        <f t="shared" si="104"/>
        <v/>
      </c>
      <c r="D1576" s="245" t="str">
        <f t="shared" si="106"/>
        <v/>
      </c>
      <c r="E1576" s="534"/>
      <c r="F1576" s="534"/>
    </row>
    <row r="1577" spans="1:6" ht="15" customHeight="1">
      <c r="A1577" s="51"/>
      <c r="B1577" s="52" t="str">
        <f t="shared" si="105"/>
        <v/>
      </c>
      <c r="C1577" t="str">
        <f t="shared" si="104"/>
        <v/>
      </c>
      <c r="D1577" s="245" t="str">
        <f t="shared" si="106"/>
        <v/>
      </c>
      <c r="E1577" s="534"/>
      <c r="F1577" s="534"/>
    </row>
    <row r="1578" spans="1:6" ht="15" customHeight="1">
      <c r="A1578" s="51"/>
      <c r="B1578" s="52" t="str">
        <f t="shared" si="105"/>
        <v/>
      </c>
      <c r="C1578" t="str">
        <f t="shared" si="104"/>
        <v/>
      </c>
      <c r="D1578" s="245" t="str">
        <f t="shared" si="106"/>
        <v/>
      </c>
      <c r="E1578" s="534"/>
      <c r="F1578" s="534"/>
    </row>
    <row r="1579" spans="1:6" ht="15" customHeight="1">
      <c r="A1579" s="51"/>
      <c r="B1579" s="52" t="str">
        <f t="shared" si="105"/>
        <v/>
      </c>
      <c r="C1579" t="str">
        <f t="shared" si="104"/>
        <v/>
      </c>
      <c r="D1579" s="245" t="str">
        <f t="shared" si="106"/>
        <v/>
      </c>
      <c r="E1579" s="534"/>
      <c r="F1579" s="534"/>
    </row>
    <row r="1580" spans="1:6" ht="15" customHeight="1">
      <c r="A1580" s="51"/>
      <c r="B1580" s="52" t="str">
        <f t="shared" si="105"/>
        <v/>
      </c>
      <c r="C1580" t="str">
        <f t="shared" si="104"/>
        <v/>
      </c>
      <c r="D1580" s="245" t="str">
        <f t="shared" si="106"/>
        <v/>
      </c>
      <c r="E1580" s="534"/>
      <c r="F1580" s="534"/>
    </row>
    <row r="1581" spans="1:6" ht="15" customHeight="1">
      <c r="A1581" s="51"/>
      <c r="B1581" s="52" t="str">
        <f t="shared" si="105"/>
        <v/>
      </c>
      <c r="C1581" t="str">
        <f t="shared" si="104"/>
        <v/>
      </c>
      <c r="D1581" s="245" t="str">
        <f t="shared" si="106"/>
        <v/>
      </c>
      <c r="E1581" s="534"/>
      <c r="F1581" s="534"/>
    </row>
    <row r="1582" spans="1:6" ht="15" customHeight="1">
      <c r="A1582" s="51"/>
      <c r="B1582" s="52" t="str">
        <f t="shared" si="105"/>
        <v/>
      </c>
      <c r="C1582" t="str">
        <f t="shared" si="104"/>
        <v/>
      </c>
      <c r="D1582" s="245" t="str">
        <f t="shared" si="106"/>
        <v/>
      </c>
      <c r="E1582" s="534"/>
      <c r="F1582" s="534"/>
    </row>
    <row r="1583" spans="1:6" ht="15" customHeight="1">
      <c r="A1583" s="51"/>
      <c r="B1583" s="52" t="str">
        <f t="shared" si="105"/>
        <v/>
      </c>
      <c r="C1583" t="str">
        <f t="shared" si="104"/>
        <v/>
      </c>
      <c r="D1583" s="245" t="str">
        <f t="shared" si="106"/>
        <v/>
      </c>
      <c r="E1583" s="534"/>
      <c r="F1583" s="534"/>
    </row>
    <row r="1584" spans="1:6" ht="15" customHeight="1">
      <c r="A1584" s="51"/>
      <c r="B1584" s="52" t="str">
        <f t="shared" si="105"/>
        <v/>
      </c>
      <c r="C1584" t="str">
        <f t="shared" si="104"/>
        <v/>
      </c>
      <c r="D1584" s="245" t="str">
        <f t="shared" si="106"/>
        <v/>
      </c>
      <c r="E1584" s="534"/>
      <c r="F1584" s="534"/>
    </row>
    <row r="1585" spans="1:6" ht="15" customHeight="1">
      <c r="A1585" s="51"/>
      <c r="B1585" s="52" t="str">
        <f t="shared" si="105"/>
        <v/>
      </c>
      <c r="C1585" t="str">
        <f t="shared" si="104"/>
        <v/>
      </c>
      <c r="D1585" s="245" t="str">
        <f t="shared" si="106"/>
        <v/>
      </c>
      <c r="E1585" s="534"/>
      <c r="F1585" s="534"/>
    </row>
    <row r="1586" spans="1:6" ht="15" customHeight="1">
      <c r="A1586" s="51"/>
      <c r="B1586" s="52" t="str">
        <f t="shared" si="105"/>
        <v/>
      </c>
      <c r="C1586" t="str">
        <f t="shared" si="104"/>
        <v/>
      </c>
      <c r="D1586" s="245" t="str">
        <f t="shared" si="106"/>
        <v/>
      </c>
      <c r="E1586" s="534"/>
      <c r="F1586" s="534"/>
    </row>
    <row r="1587" spans="1:6" ht="15" customHeight="1">
      <c r="A1587" s="51"/>
      <c r="B1587" s="52" t="str">
        <f t="shared" si="105"/>
        <v/>
      </c>
      <c r="C1587" t="str">
        <f t="shared" si="104"/>
        <v/>
      </c>
      <c r="D1587" s="245" t="str">
        <f t="shared" si="106"/>
        <v/>
      </c>
      <c r="E1587" s="534"/>
      <c r="F1587" s="534"/>
    </row>
    <row r="1588" spans="1:6" ht="15" customHeight="1">
      <c r="A1588" s="51"/>
      <c r="B1588" s="52" t="str">
        <f t="shared" si="105"/>
        <v/>
      </c>
      <c r="C1588" t="str">
        <f t="shared" si="104"/>
        <v/>
      </c>
      <c r="D1588" s="245" t="str">
        <f t="shared" si="106"/>
        <v/>
      </c>
      <c r="E1588" s="534"/>
      <c r="F1588" s="534"/>
    </row>
    <row r="1589" spans="1:6" ht="15" customHeight="1">
      <c r="A1589" s="51"/>
      <c r="B1589" s="52" t="str">
        <f t="shared" si="105"/>
        <v/>
      </c>
      <c r="C1589" t="str">
        <f t="shared" si="104"/>
        <v/>
      </c>
      <c r="D1589" s="245" t="str">
        <f t="shared" si="106"/>
        <v/>
      </c>
      <c r="E1589" s="534"/>
      <c r="F1589" s="534"/>
    </row>
    <row r="1590" spans="1:6" ht="15" customHeight="1">
      <c r="A1590" s="51"/>
      <c r="B1590" s="52" t="str">
        <f t="shared" si="105"/>
        <v/>
      </c>
      <c r="C1590" t="str">
        <f t="shared" si="104"/>
        <v/>
      </c>
      <c r="D1590" s="245" t="str">
        <f t="shared" si="106"/>
        <v/>
      </c>
      <c r="E1590" s="534"/>
      <c r="F1590" s="534"/>
    </row>
    <row r="1591" spans="1:6" ht="15" customHeight="1">
      <c r="A1591" s="51"/>
      <c r="B1591" s="52" t="str">
        <f t="shared" si="105"/>
        <v/>
      </c>
      <c r="C1591" t="str">
        <f t="shared" si="104"/>
        <v/>
      </c>
      <c r="D1591" s="245" t="str">
        <f t="shared" si="106"/>
        <v/>
      </c>
      <c r="E1591" s="534"/>
      <c r="F1591" s="534"/>
    </row>
    <row r="1592" spans="1:6" ht="15" customHeight="1">
      <c r="A1592" s="51"/>
      <c r="B1592" s="52" t="str">
        <f t="shared" si="105"/>
        <v/>
      </c>
      <c r="C1592" t="str">
        <f t="shared" si="104"/>
        <v/>
      </c>
      <c r="D1592" s="245" t="str">
        <f t="shared" si="106"/>
        <v/>
      </c>
      <c r="E1592" s="534"/>
      <c r="F1592" s="534"/>
    </row>
    <row r="1593" spans="1:6" ht="15" customHeight="1">
      <c r="A1593" s="51"/>
      <c r="B1593" s="52" t="str">
        <f t="shared" si="105"/>
        <v/>
      </c>
      <c r="C1593" t="str">
        <f t="shared" si="104"/>
        <v/>
      </c>
      <c r="D1593" s="245" t="str">
        <f t="shared" si="106"/>
        <v/>
      </c>
      <c r="E1593" s="534"/>
      <c r="F1593" s="534"/>
    </row>
    <row r="1594" spans="1:6" ht="15" customHeight="1">
      <c r="A1594" s="51"/>
      <c r="B1594" s="52" t="str">
        <f t="shared" si="105"/>
        <v/>
      </c>
      <c r="C1594" t="str">
        <f t="shared" si="104"/>
        <v/>
      </c>
      <c r="D1594" s="245" t="str">
        <f t="shared" si="106"/>
        <v/>
      </c>
      <c r="E1594" s="534"/>
      <c r="F1594" s="534"/>
    </row>
    <row r="1595" spans="1:6" ht="15" customHeight="1">
      <c r="A1595" s="51"/>
      <c r="B1595" s="52" t="str">
        <f t="shared" si="105"/>
        <v/>
      </c>
      <c r="C1595" t="str">
        <f t="shared" si="104"/>
        <v/>
      </c>
      <c r="D1595" s="245" t="str">
        <f t="shared" si="106"/>
        <v/>
      </c>
      <c r="E1595" s="534"/>
      <c r="F1595" s="534"/>
    </row>
    <row r="1596" spans="1:6" ht="15" customHeight="1">
      <c r="A1596" s="51"/>
      <c r="B1596" s="52" t="str">
        <f t="shared" si="105"/>
        <v/>
      </c>
      <c r="C1596" t="str">
        <f t="shared" si="104"/>
        <v/>
      </c>
      <c r="D1596" s="245" t="str">
        <f t="shared" si="106"/>
        <v/>
      </c>
      <c r="E1596" s="534"/>
      <c r="F1596" s="534"/>
    </row>
    <row r="1597" spans="1:6" ht="15" customHeight="1">
      <c r="A1597" s="51"/>
      <c r="B1597" s="52" t="str">
        <f t="shared" si="105"/>
        <v/>
      </c>
      <c r="C1597" t="str">
        <f t="shared" si="104"/>
        <v/>
      </c>
      <c r="D1597" s="245" t="str">
        <f t="shared" si="106"/>
        <v/>
      </c>
      <c r="E1597" s="534"/>
      <c r="F1597" s="534"/>
    </row>
    <row r="1598" spans="1:6" ht="15" customHeight="1">
      <c r="A1598" s="51"/>
      <c r="B1598" s="52" t="str">
        <f t="shared" si="105"/>
        <v/>
      </c>
      <c r="C1598" t="str">
        <f t="shared" si="104"/>
        <v/>
      </c>
      <c r="D1598" s="245" t="str">
        <f t="shared" si="106"/>
        <v/>
      </c>
      <c r="E1598" s="534"/>
      <c r="F1598" s="534"/>
    </row>
    <row r="1599" spans="1:6" ht="15" customHeight="1">
      <c r="A1599" s="51"/>
      <c r="B1599" s="52" t="str">
        <f t="shared" si="105"/>
        <v/>
      </c>
      <c r="C1599" t="str">
        <f t="shared" si="104"/>
        <v/>
      </c>
      <c r="D1599" s="245" t="str">
        <f t="shared" si="106"/>
        <v/>
      </c>
      <c r="E1599" s="534"/>
      <c r="F1599" s="534"/>
    </row>
    <row r="1600" spans="1:6" ht="15" customHeight="1">
      <c r="A1600" s="51"/>
      <c r="B1600" s="52" t="str">
        <f t="shared" si="105"/>
        <v/>
      </c>
      <c r="C1600" t="str">
        <f t="shared" si="104"/>
        <v/>
      </c>
      <c r="D1600" s="245" t="str">
        <f t="shared" si="106"/>
        <v/>
      </c>
      <c r="E1600" s="534"/>
      <c r="F1600" s="534"/>
    </row>
    <row r="1601" spans="1:6" ht="15" customHeight="1">
      <c r="A1601" s="51"/>
      <c r="B1601" s="52" t="str">
        <f t="shared" si="105"/>
        <v/>
      </c>
      <c r="C1601" t="str">
        <f t="shared" si="104"/>
        <v/>
      </c>
      <c r="D1601" s="245" t="str">
        <f t="shared" si="106"/>
        <v/>
      </c>
      <c r="E1601" s="534"/>
      <c r="F1601" s="534"/>
    </row>
    <row r="1602" spans="1:6" ht="15" customHeight="1">
      <c r="A1602" s="51"/>
      <c r="B1602" s="52" t="str">
        <f t="shared" si="105"/>
        <v/>
      </c>
      <c r="C1602" t="str">
        <f t="shared" ref="C1602:C1665" si="107">IF(A1602&lt;&gt;"",TEXT(A1602,"aaaa"),"")</f>
        <v/>
      </c>
      <c r="D1602" s="245" t="str">
        <f t="shared" si="106"/>
        <v/>
      </c>
      <c r="E1602" s="534"/>
      <c r="F1602" s="534"/>
    </row>
    <row r="1603" spans="1:6" ht="15" customHeight="1">
      <c r="A1603" s="51"/>
      <c r="B1603" s="52" t="str">
        <f t="shared" si="105"/>
        <v/>
      </c>
      <c r="C1603" t="str">
        <f t="shared" si="107"/>
        <v/>
      </c>
      <c r="D1603" s="245" t="str">
        <f t="shared" si="106"/>
        <v/>
      </c>
      <c r="E1603" s="534"/>
      <c r="F1603" s="534"/>
    </row>
    <row r="1604" spans="1:6" ht="15" customHeight="1">
      <c r="A1604" s="51"/>
      <c r="B1604" s="52" t="str">
        <f t="shared" si="105"/>
        <v/>
      </c>
      <c r="C1604" t="str">
        <f t="shared" si="107"/>
        <v/>
      </c>
      <c r="D1604" s="245" t="str">
        <f t="shared" si="106"/>
        <v/>
      </c>
      <c r="E1604" s="534"/>
      <c r="F1604" s="534"/>
    </row>
    <row r="1605" spans="1:6" ht="15" customHeight="1">
      <c r="A1605" s="51"/>
      <c r="B1605" s="52" t="str">
        <f t="shared" si="105"/>
        <v/>
      </c>
      <c r="C1605" t="str">
        <f t="shared" si="107"/>
        <v/>
      </c>
      <c r="D1605" s="245" t="str">
        <f t="shared" si="106"/>
        <v/>
      </c>
      <c r="E1605" s="534"/>
      <c r="F1605" s="534"/>
    </row>
    <row r="1606" spans="1:6" ht="15" customHeight="1">
      <c r="A1606" s="51"/>
      <c r="B1606" s="52" t="str">
        <f t="shared" si="105"/>
        <v/>
      </c>
      <c r="C1606" t="str">
        <f t="shared" si="107"/>
        <v/>
      </c>
      <c r="D1606" s="245" t="str">
        <f t="shared" si="106"/>
        <v/>
      </c>
      <c r="E1606" s="534"/>
      <c r="F1606" s="534"/>
    </row>
    <row r="1607" spans="1:6" ht="15" customHeight="1">
      <c r="A1607" s="51"/>
      <c r="B1607" s="52" t="str">
        <f t="shared" si="105"/>
        <v/>
      </c>
      <c r="C1607" t="str">
        <f t="shared" si="107"/>
        <v/>
      </c>
      <c r="D1607" s="245" t="str">
        <f t="shared" si="106"/>
        <v/>
      </c>
      <c r="E1607" s="534"/>
      <c r="F1607" s="534"/>
    </row>
    <row r="1608" spans="1:6" ht="15" customHeight="1">
      <c r="A1608" s="51"/>
      <c r="B1608" s="52" t="str">
        <f t="shared" ref="B1608:B1671" si="108">IF(A1608="","",TEXT(A1608,"DDDD"))</f>
        <v/>
      </c>
      <c r="C1608" t="str">
        <f t="shared" si="107"/>
        <v/>
      </c>
      <c r="D1608" s="245" t="str">
        <f t="shared" si="106"/>
        <v/>
      </c>
      <c r="E1608" s="534"/>
      <c r="F1608" s="534"/>
    </row>
    <row r="1609" spans="1:6" ht="15" customHeight="1">
      <c r="A1609" s="51"/>
      <c r="B1609" s="52" t="str">
        <f t="shared" si="108"/>
        <v/>
      </c>
      <c r="C1609" t="str">
        <f t="shared" si="107"/>
        <v/>
      </c>
      <c r="D1609" s="245" t="str">
        <f t="shared" ref="D1609:D1672" si="109">IF(A1609&lt;&gt;"",PROPER(TEXT(A1609,"Mmmm")),"")</f>
        <v/>
      </c>
      <c r="E1609" s="534"/>
      <c r="F1609" s="534"/>
    </row>
    <row r="1610" spans="1:6" ht="15" customHeight="1">
      <c r="A1610" s="51"/>
      <c r="B1610" s="52" t="str">
        <f t="shared" si="108"/>
        <v/>
      </c>
      <c r="C1610" t="str">
        <f t="shared" si="107"/>
        <v/>
      </c>
      <c r="D1610" s="245" t="str">
        <f t="shared" si="109"/>
        <v/>
      </c>
      <c r="E1610" s="534"/>
      <c r="F1610" s="534"/>
    </row>
    <row r="1611" spans="1:6" ht="15" customHeight="1">
      <c r="A1611" s="51"/>
      <c r="B1611" s="52" t="str">
        <f t="shared" si="108"/>
        <v/>
      </c>
      <c r="C1611" t="str">
        <f t="shared" si="107"/>
        <v/>
      </c>
      <c r="D1611" s="245" t="str">
        <f t="shared" si="109"/>
        <v/>
      </c>
      <c r="E1611" s="534"/>
      <c r="F1611" s="534"/>
    </row>
    <row r="1612" spans="1:6" ht="15" customHeight="1">
      <c r="A1612" s="51"/>
      <c r="B1612" s="52" t="str">
        <f t="shared" si="108"/>
        <v/>
      </c>
      <c r="C1612" t="str">
        <f t="shared" si="107"/>
        <v/>
      </c>
      <c r="D1612" s="245" t="str">
        <f t="shared" si="109"/>
        <v/>
      </c>
      <c r="E1612" s="534"/>
      <c r="F1612" s="534"/>
    </row>
    <row r="1613" spans="1:6" ht="15" customHeight="1">
      <c r="A1613" s="51"/>
      <c r="B1613" s="52" t="str">
        <f t="shared" si="108"/>
        <v/>
      </c>
      <c r="C1613" t="str">
        <f t="shared" si="107"/>
        <v/>
      </c>
      <c r="D1613" s="245" t="str">
        <f t="shared" si="109"/>
        <v/>
      </c>
      <c r="E1613" s="534"/>
      <c r="F1613" s="534"/>
    </row>
    <row r="1614" spans="1:6" ht="15" customHeight="1">
      <c r="A1614" s="51"/>
      <c r="B1614" s="52" t="str">
        <f t="shared" si="108"/>
        <v/>
      </c>
      <c r="C1614" t="str">
        <f t="shared" si="107"/>
        <v/>
      </c>
      <c r="D1614" s="245" t="str">
        <f t="shared" si="109"/>
        <v/>
      </c>
      <c r="E1614" s="534"/>
      <c r="F1614" s="534"/>
    </row>
    <row r="1615" spans="1:6" ht="15" customHeight="1">
      <c r="A1615" s="51"/>
      <c r="B1615" s="52" t="str">
        <f t="shared" si="108"/>
        <v/>
      </c>
      <c r="C1615" t="str">
        <f t="shared" si="107"/>
        <v/>
      </c>
      <c r="D1615" s="245" t="str">
        <f t="shared" si="109"/>
        <v/>
      </c>
      <c r="E1615" s="534"/>
      <c r="F1615" s="534"/>
    </row>
    <row r="1616" spans="1:6" ht="15" customHeight="1">
      <c r="A1616" s="51"/>
      <c r="B1616" s="52" t="str">
        <f t="shared" si="108"/>
        <v/>
      </c>
      <c r="C1616" t="str">
        <f t="shared" si="107"/>
        <v/>
      </c>
      <c r="D1616" s="245" t="str">
        <f t="shared" si="109"/>
        <v/>
      </c>
      <c r="E1616" s="534"/>
      <c r="F1616" s="534"/>
    </row>
    <row r="1617" spans="1:6" ht="15" customHeight="1">
      <c r="A1617" s="51"/>
      <c r="B1617" s="52" t="str">
        <f t="shared" si="108"/>
        <v/>
      </c>
      <c r="C1617" t="str">
        <f t="shared" si="107"/>
        <v/>
      </c>
      <c r="D1617" s="245" t="str">
        <f t="shared" si="109"/>
        <v/>
      </c>
      <c r="E1617" s="534"/>
      <c r="F1617" s="534"/>
    </row>
    <row r="1618" spans="1:6" ht="15" customHeight="1">
      <c r="A1618" s="51"/>
      <c r="B1618" s="52" t="str">
        <f t="shared" si="108"/>
        <v/>
      </c>
      <c r="C1618" t="str">
        <f t="shared" si="107"/>
        <v/>
      </c>
      <c r="D1618" s="245" t="str">
        <f t="shared" si="109"/>
        <v/>
      </c>
      <c r="E1618" s="534"/>
      <c r="F1618" s="534"/>
    </row>
    <row r="1619" spans="1:6" ht="15" customHeight="1">
      <c r="A1619" s="51"/>
      <c r="B1619" s="52" t="str">
        <f t="shared" si="108"/>
        <v/>
      </c>
      <c r="C1619" t="str">
        <f t="shared" si="107"/>
        <v/>
      </c>
      <c r="D1619" s="245" t="str">
        <f t="shared" si="109"/>
        <v/>
      </c>
      <c r="E1619" s="534"/>
      <c r="F1619" s="534"/>
    </row>
    <row r="1620" spans="1:6" ht="15" customHeight="1">
      <c r="A1620" s="51"/>
      <c r="B1620" s="52" t="str">
        <f t="shared" si="108"/>
        <v/>
      </c>
      <c r="C1620" t="str">
        <f t="shared" si="107"/>
        <v/>
      </c>
      <c r="D1620" s="245" t="str">
        <f t="shared" si="109"/>
        <v/>
      </c>
      <c r="E1620" s="534"/>
      <c r="F1620" s="534"/>
    </row>
    <row r="1621" spans="1:6" ht="15" customHeight="1">
      <c r="A1621" s="51"/>
      <c r="B1621" s="52" t="str">
        <f t="shared" si="108"/>
        <v/>
      </c>
      <c r="C1621" t="str">
        <f t="shared" si="107"/>
        <v/>
      </c>
      <c r="D1621" s="245" t="str">
        <f t="shared" si="109"/>
        <v/>
      </c>
      <c r="E1621" s="534"/>
      <c r="F1621" s="534"/>
    </row>
    <row r="1622" spans="1:6" ht="15" customHeight="1">
      <c r="A1622" s="51"/>
      <c r="B1622" s="52" t="str">
        <f t="shared" si="108"/>
        <v/>
      </c>
      <c r="C1622" t="str">
        <f t="shared" si="107"/>
        <v/>
      </c>
      <c r="D1622" s="245" t="str">
        <f t="shared" si="109"/>
        <v/>
      </c>
      <c r="E1622" s="534"/>
      <c r="F1622" s="534"/>
    </row>
    <row r="1623" spans="1:6" ht="15" customHeight="1">
      <c r="A1623" s="51"/>
      <c r="B1623" s="52" t="str">
        <f t="shared" si="108"/>
        <v/>
      </c>
      <c r="C1623" t="str">
        <f t="shared" si="107"/>
        <v/>
      </c>
      <c r="D1623" s="245" t="str">
        <f t="shared" si="109"/>
        <v/>
      </c>
      <c r="E1623" s="534"/>
      <c r="F1623" s="534"/>
    </row>
    <row r="1624" spans="1:6" ht="15" customHeight="1">
      <c r="A1624" s="51"/>
      <c r="B1624" s="52" t="str">
        <f t="shared" si="108"/>
        <v/>
      </c>
      <c r="C1624" t="str">
        <f t="shared" si="107"/>
        <v/>
      </c>
      <c r="D1624" s="245" t="str">
        <f t="shared" si="109"/>
        <v/>
      </c>
      <c r="E1624" s="534"/>
      <c r="F1624" s="534"/>
    </row>
    <row r="1625" spans="1:6" ht="15" customHeight="1">
      <c r="A1625" s="51"/>
      <c r="B1625" s="52" t="str">
        <f t="shared" si="108"/>
        <v/>
      </c>
      <c r="C1625" t="str">
        <f t="shared" si="107"/>
        <v/>
      </c>
      <c r="D1625" s="245" t="str">
        <f t="shared" si="109"/>
        <v/>
      </c>
      <c r="E1625" s="534"/>
      <c r="F1625" s="534"/>
    </row>
    <row r="1626" spans="1:6" ht="15" customHeight="1">
      <c r="A1626" s="51"/>
      <c r="B1626" s="52" t="str">
        <f t="shared" si="108"/>
        <v/>
      </c>
      <c r="C1626" t="str">
        <f t="shared" si="107"/>
        <v/>
      </c>
      <c r="D1626" s="245" t="str">
        <f t="shared" si="109"/>
        <v/>
      </c>
      <c r="E1626" s="534"/>
      <c r="F1626" s="534"/>
    </row>
    <row r="1627" spans="1:6" ht="15" customHeight="1">
      <c r="A1627" s="51"/>
      <c r="B1627" s="52" t="str">
        <f t="shared" si="108"/>
        <v/>
      </c>
      <c r="C1627" t="str">
        <f t="shared" si="107"/>
        <v/>
      </c>
      <c r="D1627" s="245" t="str">
        <f t="shared" si="109"/>
        <v/>
      </c>
      <c r="E1627" s="534"/>
      <c r="F1627" s="534"/>
    </row>
    <row r="1628" spans="1:6" ht="15" customHeight="1">
      <c r="A1628" s="51"/>
      <c r="B1628" s="52" t="str">
        <f t="shared" si="108"/>
        <v/>
      </c>
      <c r="C1628" t="str">
        <f t="shared" si="107"/>
        <v/>
      </c>
      <c r="D1628" s="245" t="str">
        <f t="shared" si="109"/>
        <v/>
      </c>
      <c r="E1628" s="534"/>
      <c r="F1628" s="534"/>
    </row>
    <row r="1629" spans="1:6" ht="15" customHeight="1">
      <c r="A1629" s="51"/>
      <c r="B1629" s="52" t="str">
        <f t="shared" si="108"/>
        <v/>
      </c>
      <c r="C1629" t="str">
        <f t="shared" si="107"/>
        <v/>
      </c>
      <c r="D1629" s="245" t="str">
        <f t="shared" si="109"/>
        <v/>
      </c>
      <c r="E1629" s="534"/>
      <c r="F1629" s="534"/>
    </row>
    <row r="1630" spans="1:6" ht="15" customHeight="1">
      <c r="A1630" s="51"/>
      <c r="B1630" s="52" t="str">
        <f t="shared" si="108"/>
        <v/>
      </c>
      <c r="C1630" t="str">
        <f t="shared" si="107"/>
        <v/>
      </c>
      <c r="D1630" s="245" t="str">
        <f t="shared" si="109"/>
        <v/>
      </c>
      <c r="E1630" s="534"/>
      <c r="F1630" s="534"/>
    </row>
    <row r="1631" spans="1:6" ht="15" customHeight="1">
      <c r="A1631" s="51"/>
      <c r="B1631" s="52" t="str">
        <f t="shared" si="108"/>
        <v/>
      </c>
      <c r="C1631" t="str">
        <f t="shared" si="107"/>
        <v/>
      </c>
      <c r="D1631" s="245" t="str">
        <f t="shared" si="109"/>
        <v/>
      </c>
      <c r="E1631" s="534"/>
      <c r="F1631" s="534"/>
    </row>
    <row r="1632" spans="1:6" ht="15" customHeight="1">
      <c r="A1632" s="51"/>
      <c r="B1632" s="52" t="str">
        <f t="shared" si="108"/>
        <v/>
      </c>
      <c r="C1632" t="str">
        <f t="shared" si="107"/>
        <v/>
      </c>
      <c r="D1632" s="245" t="str">
        <f t="shared" si="109"/>
        <v/>
      </c>
      <c r="E1632" s="534"/>
      <c r="F1632" s="534"/>
    </row>
    <row r="1633" spans="1:6" ht="15" customHeight="1">
      <c r="A1633" s="51"/>
      <c r="B1633" s="52" t="str">
        <f t="shared" si="108"/>
        <v/>
      </c>
      <c r="C1633" t="str">
        <f t="shared" si="107"/>
        <v/>
      </c>
      <c r="D1633" s="245" t="str">
        <f t="shared" si="109"/>
        <v/>
      </c>
      <c r="E1633" s="534"/>
      <c r="F1633" s="534"/>
    </row>
    <row r="1634" spans="1:6" ht="15" customHeight="1">
      <c r="A1634" s="51"/>
      <c r="B1634" s="52" t="str">
        <f t="shared" si="108"/>
        <v/>
      </c>
      <c r="C1634" t="str">
        <f t="shared" si="107"/>
        <v/>
      </c>
      <c r="D1634" s="245" t="str">
        <f t="shared" si="109"/>
        <v/>
      </c>
      <c r="E1634" s="534"/>
      <c r="F1634" s="534"/>
    </row>
    <row r="1635" spans="1:6" ht="15" customHeight="1">
      <c r="A1635" s="51"/>
      <c r="B1635" s="52" t="str">
        <f t="shared" si="108"/>
        <v/>
      </c>
      <c r="C1635" t="str">
        <f t="shared" si="107"/>
        <v/>
      </c>
      <c r="D1635" s="245" t="str">
        <f t="shared" si="109"/>
        <v/>
      </c>
      <c r="E1635" s="534"/>
      <c r="F1635" s="534"/>
    </row>
    <row r="1636" spans="1:6" ht="15" customHeight="1">
      <c r="A1636" s="51"/>
      <c r="B1636" s="52" t="str">
        <f t="shared" si="108"/>
        <v/>
      </c>
      <c r="C1636" t="str">
        <f t="shared" si="107"/>
        <v/>
      </c>
      <c r="D1636" s="245" t="str">
        <f t="shared" si="109"/>
        <v/>
      </c>
      <c r="E1636" s="534"/>
      <c r="F1636" s="534"/>
    </row>
    <row r="1637" spans="1:6" ht="15" customHeight="1">
      <c r="A1637" s="51"/>
      <c r="B1637" s="52" t="str">
        <f t="shared" si="108"/>
        <v/>
      </c>
      <c r="C1637" t="str">
        <f t="shared" si="107"/>
        <v/>
      </c>
      <c r="D1637" s="245" t="str">
        <f t="shared" si="109"/>
        <v/>
      </c>
      <c r="E1637" s="534"/>
      <c r="F1637" s="534"/>
    </row>
    <row r="1638" spans="1:6" ht="15" customHeight="1">
      <c r="A1638" s="51"/>
      <c r="B1638" s="52" t="str">
        <f t="shared" si="108"/>
        <v/>
      </c>
      <c r="C1638" t="str">
        <f t="shared" si="107"/>
        <v/>
      </c>
      <c r="D1638" s="245" t="str">
        <f t="shared" si="109"/>
        <v/>
      </c>
      <c r="E1638" s="534"/>
      <c r="F1638" s="534"/>
    </row>
    <row r="1639" spans="1:6" ht="15" customHeight="1">
      <c r="A1639" s="51"/>
      <c r="B1639" s="52" t="str">
        <f t="shared" si="108"/>
        <v/>
      </c>
      <c r="C1639" t="str">
        <f t="shared" si="107"/>
        <v/>
      </c>
      <c r="D1639" s="245" t="str">
        <f t="shared" si="109"/>
        <v/>
      </c>
      <c r="E1639" s="534"/>
      <c r="F1639" s="534"/>
    </row>
    <row r="1640" spans="1:6" ht="15" customHeight="1">
      <c r="A1640" s="51"/>
      <c r="B1640" s="52" t="str">
        <f t="shared" si="108"/>
        <v/>
      </c>
      <c r="C1640" t="str">
        <f t="shared" si="107"/>
        <v/>
      </c>
      <c r="D1640" s="245" t="str">
        <f t="shared" si="109"/>
        <v/>
      </c>
      <c r="E1640" s="534"/>
      <c r="F1640" s="534"/>
    </row>
    <row r="1641" spans="1:6" ht="15" customHeight="1">
      <c r="A1641" s="51"/>
      <c r="B1641" s="52" t="str">
        <f t="shared" si="108"/>
        <v/>
      </c>
      <c r="C1641" t="str">
        <f t="shared" si="107"/>
        <v/>
      </c>
      <c r="D1641" s="245" t="str">
        <f t="shared" si="109"/>
        <v/>
      </c>
      <c r="E1641" s="534"/>
      <c r="F1641" s="534"/>
    </row>
    <row r="1642" spans="1:6" ht="15" customHeight="1">
      <c r="A1642" s="51"/>
      <c r="B1642" s="52" t="str">
        <f t="shared" si="108"/>
        <v/>
      </c>
      <c r="C1642" t="str">
        <f t="shared" si="107"/>
        <v/>
      </c>
      <c r="D1642" s="245" t="str">
        <f t="shared" si="109"/>
        <v/>
      </c>
      <c r="E1642" s="534"/>
      <c r="F1642" s="534"/>
    </row>
    <row r="1643" spans="1:6" ht="15" customHeight="1">
      <c r="A1643" s="51"/>
      <c r="B1643" s="52" t="str">
        <f t="shared" si="108"/>
        <v/>
      </c>
      <c r="C1643" t="str">
        <f t="shared" si="107"/>
        <v/>
      </c>
      <c r="D1643" s="245" t="str">
        <f t="shared" si="109"/>
        <v/>
      </c>
      <c r="E1643" s="534"/>
      <c r="F1643" s="534"/>
    </row>
    <row r="1644" spans="1:6" ht="15" customHeight="1">
      <c r="A1644" s="51"/>
      <c r="B1644" s="52" t="str">
        <f t="shared" si="108"/>
        <v/>
      </c>
      <c r="C1644" t="str">
        <f t="shared" si="107"/>
        <v/>
      </c>
      <c r="D1644" s="245" t="str">
        <f t="shared" si="109"/>
        <v/>
      </c>
      <c r="E1644" s="534"/>
      <c r="F1644" s="534"/>
    </row>
    <row r="1645" spans="1:6" ht="15" customHeight="1">
      <c r="A1645" s="51"/>
      <c r="B1645" s="52" t="str">
        <f t="shared" si="108"/>
        <v/>
      </c>
      <c r="C1645" t="str">
        <f t="shared" si="107"/>
        <v/>
      </c>
      <c r="D1645" s="245" t="str">
        <f t="shared" si="109"/>
        <v/>
      </c>
      <c r="E1645" s="534"/>
      <c r="F1645" s="534"/>
    </row>
    <row r="1646" spans="1:6" ht="15" customHeight="1">
      <c r="A1646" s="51"/>
      <c r="B1646" s="52" t="str">
        <f t="shared" si="108"/>
        <v/>
      </c>
      <c r="C1646" t="str">
        <f t="shared" si="107"/>
        <v/>
      </c>
      <c r="D1646" s="245" t="str">
        <f t="shared" si="109"/>
        <v/>
      </c>
      <c r="E1646" s="534"/>
      <c r="F1646" s="534"/>
    </row>
    <row r="1647" spans="1:6" ht="15" customHeight="1">
      <c r="A1647" s="51"/>
      <c r="B1647" s="52" t="str">
        <f t="shared" si="108"/>
        <v/>
      </c>
      <c r="C1647" t="str">
        <f t="shared" si="107"/>
        <v/>
      </c>
      <c r="D1647" s="245" t="str">
        <f t="shared" si="109"/>
        <v/>
      </c>
      <c r="E1647" s="534"/>
      <c r="F1647" s="534"/>
    </row>
    <row r="1648" spans="1:6" ht="15" customHeight="1">
      <c r="A1648" s="51"/>
      <c r="B1648" s="52" t="str">
        <f t="shared" si="108"/>
        <v/>
      </c>
      <c r="C1648" t="str">
        <f t="shared" si="107"/>
        <v/>
      </c>
      <c r="D1648" s="245" t="str">
        <f t="shared" si="109"/>
        <v/>
      </c>
      <c r="E1648" s="534"/>
      <c r="F1648" s="534"/>
    </row>
    <row r="1649" spans="1:6" ht="15" customHeight="1">
      <c r="A1649" s="51"/>
      <c r="B1649" s="52" t="str">
        <f t="shared" si="108"/>
        <v/>
      </c>
      <c r="C1649" t="str">
        <f t="shared" si="107"/>
        <v/>
      </c>
      <c r="D1649" s="245" t="str">
        <f t="shared" si="109"/>
        <v/>
      </c>
      <c r="E1649" s="534"/>
      <c r="F1649" s="534"/>
    </row>
    <row r="1650" spans="1:6" ht="15" customHeight="1">
      <c r="A1650" s="51"/>
      <c r="B1650" s="52" t="str">
        <f t="shared" si="108"/>
        <v/>
      </c>
      <c r="C1650" t="str">
        <f t="shared" si="107"/>
        <v/>
      </c>
      <c r="D1650" s="245" t="str">
        <f t="shared" si="109"/>
        <v/>
      </c>
      <c r="E1650" s="534"/>
      <c r="F1650" s="534"/>
    </row>
    <row r="1651" spans="1:6" ht="15" customHeight="1">
      <c r="A1651" s="51"/>
      <c r="B1651" s="52" t="str">
        <f t="shared" si="108"/>
        <v/>
      </c>
      <c r="C1651" t="str">
        <f t="shared" si="107"/>
        <v/>
      </c>
      <c r="D1651" s="245" t="str">
        <f t="shared" si="109"/>
        <v/>
      </c>
      <c r="E1651" s="534"/>
      <c r="F1651" s="534"/>
    </row>
    <row r="1652" spans="1:6" ht="15" customHeight="1">
      <c r="A1652" s="51"/>
      <c r="B1652" s="52" t="str">
        <f t="shared" si="108"/>
        <v/>
      </c>
      <c r="C1652" t="str">
        <f t="shared" si="107"/>
        <v/>
      </c>
      <c r="D1652" s="245" t="str">
        <f t="shared" si="109"/>
        <v/>
      </c>
      <c r="E1652" s="534"/>
      <c r="F1652" s="534"/>
    </row>
    <row r="1653" spans="1:6" ht="15" customHeight="1">
      <c r="A1653" s="51"/>
      <c r="B1653" s="52" t="str">
        <f t="shared" si="108"/>
        <v/>
      </c>
      <c r="C1653" t="str">
        <f t="shared" si="107"/>
        <v/>
      </c>
      <c r="D1653" s="245" t="str">
        <f t="shared" si="109"/>
        <v/>
      </c>
      <c r="E1653" s="534"/>
      <c r="F1653" s="534"/>
    </row>
    <row r="1654" spans="1:6" ht="15" customHeight="1">
      <c r="A1654" s="51"/>
      <c r="B1654" s="52" t="str">
        <f t="shared" si="108"/>
        <v/>
      </c>
      <c r="C1654" t="str">
        <f t="shared" si="107"/>
        <v/>
      </c>
      <c r="D1654" s="245" t="str">
        <f t="shared" si="109"/>
        <v/>
      </c>
      <c r="E1654" s="534"/>
      <c r="F1654" s="534"/>
    </row>
    <row r="1655" spans="1:6" ht="15" customHeight="1">
      <c r="A1655" s="51"/>
      <c r="B1655" s="52" t="str">
        <f t="shared" si="108"/>
        <v/>
      </c>
      <c r="C1655" t="str">
        <f t="shared" si="107"/>
        <v/>
      </c>
      <c r="D1655" s="245" t="str">
        <f t="shared" si="109"/>
        <v/>
      </c>
      <c r="E1655" s="534"/>
      <c r="F1655" s="534"/>
    </row>
    <row r="1656" spans="1:6" ht="15" customHeight="1">
      <c r="A1656" s="51"/>
      <c r="B1656" s="52" t="str">
        <f t="shared" si="108"/>
        <v/>
      </c>
      <c r="C1656" t="str">
        <f t="shared" si="107"/>
        <v/>
      </c>
      <c r="D1656" s="245" t="str">
        <f t="shared" si="109"/>
        <v/>
      </c>
      <c r="E1656" s="534"/>
      <c r="F1656" s="534"/>
    </row>
    <row r="1657" spans="1:6" ht="15" customHeight="1">
      <c r="A1657" s="51"/>
      <c r="B1657" s="52" t="str">
        <f t="shared" si="108"/>
        <v/>
      </c>
      <c r="C1657" t="str">
        <f t="shared" si="107"/>
        <v/>
      </c>
      <c r="D1657" s="245" t="str">
        <f t="shared" si="109"/>
        <v/>
      </c>
      <c r="E1657" s="534"/>
      <c r="F1657" s="534"/>
    </row>
    <row r="1658" spans="1:6" ht="15" customHeight="1">
      <c r="A1658" s="51"/>
      <c r="B1658" s="52" t="str">
        <f t="shared" si="108"/>
        <v/>
      </c>
      <c r="C1658" t="str">
        <f t="shared" si="107"/>
        <v/>
      </c>
      <c r="D1658" s="245" t="str">
        <f t="shared" si="109"/>
        <v/>
      </c>
      <c r="E1658" s="534"/>
      <c r="F1658" s="534"/>
    </row>
    <row r="1659" spans="1:6" ht="15" customHeight="1">
      <c r="A1659" s="51"/>
      <c r="B1659" s="52" t="str">
        <f t="shared" si="108"/>
        <v/>
      </c>
      <c r="C1659" t="str">
        <f t="shared" si="107"/>
        <v/>
      </c>
      <c r="D1659" s="245" t="str">
        <f t="shared" si="109"/>
        <v/>
      </c>
      <c r="E1659" s="534"/>
      <c r="F1659" s="534"/>
    </row>
    <row r="1660" spans="1:6" ht="15" customHeight="1">
      <c r="A1660" s="51"/>
      <c r="B1660" s="52" t="str">
        <f t="shared" si="108"/>
        <v/>
      </c>
      <c r="C1660" t="str">
        <f t="shared" si="107"/>
        <v/>
      </c>
      <c r="D1660" s="245" t="str">
        <f t="shared" si="109"/>
        <v/>
      </c>
      <c r="E1660" s="534"/>
      <c r="F1660" s="534"/>
    </row>
    <row r="1661" spans="1:6" ht="15" customHeight="1">
      <c r="A1661" s="51"/>
      <c r="B1661" s="52" t="str">
        <f t="shared" si="108"/>
        <v/>
      </c>
      <c r="C1661" t="str">
        <f t="shared" si="107"/>
        <v/>
      </c>
      <c r="D1661" s="245" t="str">
        <f t="shared" si="109"/>
        <v/>
      </c>
      <c r="E1661" s="534"/>
      <c r="F1661" s="534"/>
    </row>
    <row r="1662" spans="1:6" ht="15" customHeight="1">
      <c r="A1662" s="51"/>
      <c r="B1662" s="52" t="str">
        <f t="shared" si="108"/>
        <v/>
      </c>
      <c r="C1662" t="str">
        <f t="shared" si="107"/>
        <v/>
      </c>
      <c r="D1662" s="245" t="str">
        <f t="shared" si="109"/>
        <v/>
      </c>
      <c r="E1662" s="534"/>
      <c r="F1662" s="534"/>
    </row>
    <row r="1663" spans="1:6" ht="15" customHeight="1">
      <c r="A1663" s="51"/>
      <c r="B1663" s="52" t="str">
        <f t="shared" si="108"/>
        <v/>
      </c>
      <c r="C1663" t="str">
        <f t="shared" si="107"/>
        <v/>
      </c>
      <c r="D1663" s="245" t="str">
        <f t="shared" si="109"/>
        <v/>
      </c>
      <c r="E1663" s="534"/>
      <c r="F1663" s="534"/>
    </row>
    <row r="1664" spans="1:6" ht="15" customHeight="1">
      <c r="A1664" s="51"/>
      <c r="B1664" s="52" t="str">
        <f t="shared" si="108"/>
        <v/>
      </c>
      <c r="C1664" t="str">
        <f t="shared" si="107"/>
        <v/>
      </c>
      <c r="D1664" s="245" t="str">
        <f t="shared" si="109"/>
        <v/>
      </c>
      <c r="E1664" s="534"/>
      <c r="F1664" s="534"/>
    </row>
    <row r="1665" spans="1:6" ht="15" customHeight="1">
      <c r="A1665" s="51"/>
      <c r="B1665" s="52" t="str">
        <f t="shared" si="108"/>
        <v/>
      </c>
      <c r="C1665" t="str">
        <f t="shared" si="107"/>
        <v/>
      </c>
      <c r="D1665" s="245" t="str">
        <f t="shared" si="109"/>
        <v/>
      </c>
      <c r="E1665" s="534"/>
      <c r="F1665" s="534"/>
    </row>
    <row r="1666" spans="1:6" ht="15" customHeight="1">
      <c r="A1666" s="51"/>
      <c r="B1666" s="52" t="str">
        <f t="shared" si="108"/>
        <v/>
      </c>
      <c r="C1666" t="str">
        <f t="shared" ref="C1666:C1729" si="110">IF(A1666&lt;&gt;"",TEXT(A1666,"aaaa"),"")</f>
        <v/>
      </c>
      <c r="D1666" s="245" t="str">
        <f t="shared" si="109"/>
        <v/>
      </c>
      <c r="E1666" s="534"/>
      <c r="F1666" s="534"/>
    </row>
    <row r="1667" spans="1:6" ht="15" customHeight="1">
      <c r="A1667" s="51"/>
      <c r="B1667" s="52" t="str">
        <f t="shared" si="108"/>
        <v/>
      </c>
      <c r="C1667" t="str">
        <f t="shared" si="110"/>
        <v/>
      </c>
      <c r="D1667" s="245" t="str">
        <f t="shared" si="109"/>
        <v/>
      </c>
      <c r="E1667" s="534"/>
      <c r="F1667" s="534"/>
    </row>
    <row r="1668" spans="1:6" ht="15" customHeight="1">
      <c r="A1668" s="51"/>
      <c r="B1668" s="52" t="str">
        <f t="shared" si="108"/>
        <v/>
      </c>
      <c r="C1668" t="str">
        <f t="shared" si="110"/>
        <v/>
      </c>
      <c r="D1668" s="245" t="str">
        <f t="shared" si="109"/>
        <v/>
      </c>
      <c r="E1668" s="534"/>
      <c r="F1668" s="534"/>
    </row>
    <row r="1669" spans="1:6" ht="15" customHeight="1">
      <c r="A1669" s="51"/>
      <c r="B1669" s="52" t="str">
        <f t="shared" si="108"/>
        <v/>
      </c>
      <c r="C1669" t="str">
        <f t="shared" si="110"/>
        <v/>
      </c>
      <c r="D1669" s="245" t="str">
        <f t="shared" si="109"/>
        <v/>
      </c>
      <c r="E1669" s="534"/>
      <c r="F1669" s="534"/>
    </row>
    <row r="1670" spans="1:6" ht="15" customHeight="1">
      <c r="A1670" s="51"/>
      <c r="B1670" s="52" t="str">
        <f t="shared" si="108"/>
        <v/>
      </c>
      <c r="C1670" t="str">
        <f t="shared" si="110"/>
        <v/>
      </c>
      <c r="D1670" s="245" t="str">
        <f t="shared" si="109"/>
        <v/>
      </c>
      <c r="E1670" s="534"/>
      <c r="F1670" s="534"/>
    </row>
    <row r="1671" spans="1:6" ht="15" customHeight="1">
      <c r="A1671" s="51"/>
      <c r="B1671" s="52" t="str">
        <f t="shared" si="108"/>
        <v/>
      </c>
      <c r="C1671" t="str">
        <f t="shared" si="110"/>
        <v/>
      </c>
      <c r="D1671" s="245" t="str">
        <f t="shared" si="109"/>
        <v/>
      </c>
      <c r="E1671" s="534"/>
      <c r="F1671" s="534"/>
    </row>
    <row r="1672" spans="1:6" ht="15" customHeight="1">
      <c r="A1672" s="51"/>
      <c r="B1672" s="52" t="str">
        <f t="shared" ref="B1672:B1735" si="111">IF(A1672="","",TEXT(A1672,"DDDD"))</f>
        <v/>
      </c>
      <c r="C1672" t="str">
        <f t="shared" si="110"/>
        <v/>
      </c>
      <c r="D1672" s="245" t="str">
        <f t="shared" si="109"/>
        <v/>
      </c>
      <c r="E1672" s="534"/>
      <c r="F1672" s="534"/>
    </row>
    <row r="1673" spans="1:6" ht="15" customHeight="1">
      <c r="A1673" s="51"/>
      <c r="B1673" s="52" t="str">
        <f t="shared" si="111"/>
        <v/>
      </c>
      <c r="C1673" t="str">
        <f t="shared" si="110"/>
        <v/>
      </c>
      <c r="D1673" s="245" t="str">
        <f t="shared" ref="D1673:D1736" si="112">IF(A1673&lt;&gt;"",PROPER(TEXT(A1673,"Mmmm")),"")</f>
        <v/>
      </c>
      <c r="E1673" s="534"/>
      <c r="F1673" s="534"/>
    </row>
    <row r="1674" spans="1:6" ht="15" customHeight="1">
      <c r="A1674" s="51"/>
      <c r="B1674" s="52" t="str">
        <f t="shared" si="111"/>
        <v/>
      </c>
      <c r="C1674" t="str">
        <f t="shared" si="110"/>
        <v/>
      </c>
      <c r="D1674" s="245" t="str">
        <f t="shared" si="112"/>
        <v/>
      </c>
      <c r="E1674" s="534"/>
      <c r="F1674" s="534"/>
    </row>
    <row r="1675" spans="1:6" ht="15" customHeight="1">
      <c r="A1675" s="51"/>
      <c r="B1675" s="52" t="str">
        <f t="shared" si="111"/>
        <v/>
      </c>
      <c r="C1675" t="str">
        <f t="shared" si="110"/>
        <v/>
      </c>
      <c r="D1675" s="245" t="str">
        <f t="shared" si="112"/>
        <v/>
      </c>
      <c r="E1675" s="534"/>
      <c r="F1675" s="534"/>
    </row>
    <row r="1676" spans="1:6" ht="15" customHeight="1">
      <c r="A1676" s="51"/>
      <c r="B1676" s="52" t="str">
        <f t="shared" si="111"/>
        <v/>
      </c>
      <c r="C1676" t="str">
        <f t="shared" si="110"/>
        <v/>
      </c>
      <c r="D1676" s="245" t="str">
        <f t="shared" si="112"/>
        <v/>
      </c>
      <c r="E1676" s="534"/>
      <c r="F1676" s="534"/>
    </row>
    <row r="1677" spans="1:6" ht="15" customHeight="1">
      <c r="A1677" s="51"/>
      <c r="B1677" s="52" t="str">
        <f t="shared" si="111"/>
        <v/>
      </c>
      <c r="C1677" t="str">
        <f t="shared" si="110"/>
        <v/>
      </c>
      <c r="D1677" s="245" t="str">
        <f t="shared" si="112"/>
        <v/>
      </c>
      <c r="E1677" s="534"/>
      <c r="F1677" s="534"/>
    </row>
    <row r="1678" spans="1:6" ht="15" customHeight="1">
      <c r="A1678" s="51"/>
      <c r="B1678" s="52" t="str">
        <f t="shared" si="111"/>
        <v/>
      </c>
      <c r="C1678" t="str">
        <f t="shared" si="110"/>
        <v/>
      </c>
      <c r="D1678" s="245" t="str">
        <f t="shared" si="112"/>
        <v/>
      </c>
      <c r="E1678" s="534"/>
      <c r="F1678" s="534"/>
    </row>
    <row r="1679" spans="1:6" ht="15" customHeight="1">
      <c r="A1679" s="51"/>
      <c r="B1679" s="52" t="str">
        <f t="shared" si="111"/>
        <v/>
      </c>
      <c r="C1679" t="str">
        <f t="shared" si="110"/>
        <v/>
      </c>
      <c r="D1679" s="245" t="str">
        <f t="shared" si="112"/>
        <v/>
      </c>
      <c r="E1679" s="534"/>
      <c r="F1679" s="534"/>
    </row>
    <row r="1680" spans="1:6" ht="15" customHeight="1">
      <c r="A1680" s="51"/>
      <c r="B1680" s="52" t="str">
        <f t="shared" si="111"/>
        <v/>
      </c>
      <c r="C1680" t="str">
        <f t="shared" si="110"/>
        <v/>
      </c>
      <c r="D1680" s="245" t="str">
        <f t="shared" si="112"/>
        <v/>
      </c>
      <c r="E1680" s="534"/>
      <c r="F1680" s="534"/>
    </row>
    <row r="1681" spans="1:6" ht="15" customHeight="1">
      <c r="A1681" s="51"/>
      <c r="B1681" s="52" t="str">
        <f t="shared" si="111"/>
        <v/>
      </c>
      <c r="C1681" t="str">
        <f t="shared" si="110"/>
        <v/>
      </c>
      <c r="D1681" s="245" t="str">
        <f t="shared" si="112"/>
        <v/>
      </c>
      <c r="E1681" s="534"/>
      <c r="F1681" s="534"/>
    </row>
    <row r="1682" spans="1:6" ht="15" customHeight="1">
      <c r="A1682" s="51"/>
      <c r="B1682" s="52" t="str">
        <f t="shared" si="111"/>
        <v/>
      </c>
      <c r="C1682" t="str">
        <f t="shared" si="110"/>
        <v/>
      </c>
      <c r="D1682" s="245" t="str">
        <f t="shared" si="112"/>
        <v/>
      </c>
      <c r="E1682" s="534"/>
      <c r="F1682" s="534"/>
    </row>
    <row r="1683" spans="1:6" ht="15" customHeight="1">
      <c r="A1683" s="51"/>
      <c r="B1683" s="52" t="str">
        <f t="shared" si="111"/>
        <v/>
      </c>
      <c r="C1683" t="str">
        <f t="shared" si="110"/>
        <v/>
      </c>
      <c r="D1683" s="245" t="str">
        <f t="shared" si="112"/>
        <v/>
      </c>
      <c r="E1683" s="534"/>
      <c r="F1683" s="534"/>
    </row>
    <row r="1684" spans="1:6" ht="15" customHeight="1">
      <c r="A1684" s="51"/>
      <c r="B1684" s="52" t="str">
        <f t="shared" si="111"/>
        <v/>
      </c>
      <c r="C1684" t="str">
        <f t="shared" si="110"/>
        <v/>
      </c>
      <c r="D1684" s="245" t="str">
        <f t="shared" si="112"/>
        <v/>
      </c>
      <c r="E1684" s="534"/>
      <c r="F1684" s="534"/>
    </row>
    <row r="1685" spans="1:6" ht="15" customHeight="1">
      <c r="A1685" s="51"/>
      <c r="B1685" s="52" t="str">
        <f t="shared" si="111"/>
        <v/>
      </c>
      <c r="C1685" t="str">
        <f t="shared" si="110"/>
        <v/>
      </c>
      <c r="D1685" s="245" t="str">
        <f t="shared" si="112"/>
        <v/>
      </c>
      <c r="E1685" s="534"/>
      <c r="F1685" s="534"/>
    </row>
    <row r="1686" spans="1:6" ht="15" customHeight="1">
      <c r="A1686" s="51"/>
      <c r="B1686" s="52" t="str">
        <f t="shared" si="111"/>
        <v/>
      </c>
      <c r="C1686" t="str">
        <f t="shared" si="110"/>
        <v/>
      </c>
      <c r="D1686" s="245" t="str">
        <f t="shared" si="112"/>
        <v/>
      </c>
      <c r="E1686" s="534"/>
      <c r="F1686" s="534"/>
    </row>
    <row r="1687" spans="1:6" ht="15" customHeight="1">
      <c r="A1687" s="51"/>
      <c r="B1687" s="52" t="str">
        <f t="shared" si="111"/>
        <v/>
      </c>
      <c r="C1687" t="str">
        <f t="shared" si="110"/>
        <v/>
      </c>
      <c r="D1687" s="245" t="str">
        <f t="shared" si="112"/>
        <v/>
      </c>
      <c r="E1687" s="534"/>
      <c r="F1687" s="534"/>
    </row>
    <row r="1688" spans="1:6" ht="15" customHeight="1">
      <c r="A1688" s="51"/>
      <c r="B1688" s="52" t="str">
        <f t="shared" si="111"/>
        <v/>
      </c>
      <c r="C1688" t="str">
        <f t="shared" si="110"/>
        <v/>
      </c>
      <c r="D1688" s="245" t="str">
        <f t="shared" si="112"/>
        <v/>
      </c>
      <c r="E1688" s="534"/>
      <c r="F1688" s="534"/>
    </row>
    <row r="1689" spans="1:6" ht="15" customHeight="1">
      <c r="A1689" s="51"/>
      <c r="B1689" s="52" t="str">
        <f t="shared" si="111"/>
        <v/>
      </c>
      <c r="C1689" t="str">
        <f t="shared" si="110"/>
        <v/>
      </c>
      <c r="D1689" s="245" t="str">
        <f t="shared" si="112"/>
        <v/>
      </c>
      <c r="E1689" s="534"/>
      <c r="F1689" s="534"/>
    </row>
    <row r="1690" spans="1:6" ht="15" customHeight="1">
      <c r="A1690" s="51"/>
      <c r="B1690" s="52" t="str">
        <f t="shared" si="111"/>
        <v/>
      </c>
      <c r="C1690" t="str">
        <f t="shared" si="110"/>
        <v/>
      </c>
      <c r="D1690" s="245" t="str">
        <f t="shared" si="112"/>
        <v/>
      </c>
      <c r="E1690" s="534"/>
      <c r="F1690" s="534"/>
    </row>
    <row r="1691" spans="1:6" ht="15" customHeight="1">
      <c r="A1691" s="51"/>
      <c r="B1691" s="52" t="str">
        <f t="shared" si="111"/>
        <v/>
      </c>
      <c r="C1691" t="str">
        <f t="shared" si="110"/>
        <v/>
      </c>
      <c r="D1691" s="245" t="str">
        <f t="shared" si="112"/>
        <v/>
      </c>
      <c r="E1691" s="534"/>
      <c r="F1691" s="534"/>
    </row>
    <row r="1692" spans="1:6" ht="15" customHeight="1">
      <c r="A1692" s="51"/>
      <c r="B1692" s="52" t="str">
        <f t="shared" si="111"/>
        <v/>
      </c>
      <c r="C1692" t="str">
        <f t="shared" si="110"/>
        <v/>
      </c>
      <c r="D1692" s="245" t="str">
        <f t="shared" si="112"/>
        <v/>
      </c>
      <c r="E1692" s="534"/>
      <c r="F1692" s="534"/>
    </row>
    <row r="1693" spans="1:6" ht="15" customHeight="1">
      <c r="A1693" s="51"/>
      <c r="B1693" s="52" t="str">
        <f t="shared" si="111"/>
        <v/>
      </c>
      <c r="C1693" t="str">
        <f t="shared" si="110"/>
        <v/>
      </c>
      <c r="D1693" s="245" t="str">
        <f t="shared" si="112"/>
        <v/>
      </c>
      <c r="E1693" s="534"/>
      <c r="F1693" s="534"/>
    </row>
    <row r="1694" spans="1:6" ht="15" customHeight="1">
      <c r="A1694" s="51"/>
      <c r="B1694" s="52" t="str">
        <f t="shared" si="111"/>
        <v/>
      </c>
      <c r="C1694" t="str">
        <f t="shared" si="110"/>
        <v/>
      </c>
      <c r="D1694" s="245" t="str">
        <f t="shared" si="112"/>
        <v/>
      </c>
      <c r="E1694" s="534"/>
      <c r="F1694" s="534"/>
    </row>
    <row r="1695" spans="1:6" ht="15" customHeight="1">
      <c r="A1695" s="51"/>
      <c r="B1695" s="52" t="str">
        <f t="shared" si="111"/>
        <v/>
      </c>
      <c r="C1695" t="str">
        <f t="shared" si="110"/>
        <v/>
      </c>
      <c r="D1695" s="245" t="str">
        <f t="shared" si="112"/>
        <v/>
      </c>
      <c r="E1695" s="534"/>
      <c r="F1695" s="534"/>
    </row>
    <row r="1696" spans="1:6" ht="15" customHeight="1">
      <c r="A1696" s="51"/>
      <c r="B1696" s="52" t="str">
        <f t="shared" si="111"/>
        <v/>
      </c>
      <c r="C1696" t="str">
        <f t="shared" si="110"/>
        <v/>
      </c>
      <c r="D1696" s="245" t="str">
        <f t="shared" si="112"/>
        <v/>
      </c>
      <c r="E1696" s="534"/>
      <c r="F1696" s="534"/>
    </row>
    <row r="1697" spans="1:6" ht="15" customHeight="1">
      <c r="A1697" s="51"/>
      <c r="B1697" s="52" t="str">
        <f t="shared" si="111"/>
        <v/>
      </c>
      <c r="C1697" t="str">
        <f t="shared" si="110"/>
        <v/>
      </c>
      <c r="D1697" s="245" t="str">
        <f t="shared" si="112"/>
        <v/>
      </c>
      <c r="E1697" s="534"/>
      <c r="F1697" s="534"/>
    </row>
    <row r="1698" spans="1:6" ht="15" customHeight="1">
      <c r="A1698" s="51"/>
      <c r="B1698" s="52" t="str">
        <f t="shared" si="111"/>
        <v/>
      </c>
      <c r="C1698" t="str">
        <f t="shared" si="110"/>
        <v/>
      </c>
      <c r="D1698" s="245" t="str">
        <f t="shared" si="112"/>
        <v/>
      </c>
      <c r="E1698" s="534"/>
      <c r="F1698" s="534"/>
    </row>
    <row r="1699" spans="1:6" ht="15" customHeight="1">
      <c r="A1699" s="51"/>
      <c r="B1699" s="52" t="str">
        <f t="shared" si="111"/>
        <v/>
      </c>
      <c r="C1699" t="str">
        <f t="shared" si="110"/>
        <v/>
      </c>
      <c r="D1699" s="245" t="str">
        <f t="shared" si="112"/>
        <v/>
      </c>
      <c r="E1699" s="534"/>
      <c r="F1699" s="534"/>
    </row>
    <row r="1700" spans="1:6" ht="15" customHeight="1">
      <c r="A1700" s="51"/>
      <c r="B1700" s="52" t="str">
        <f t="shared" si="111"/>
        <v/>
      </c>
      <c r="C1700" t="str">
        <f t="shared" si="110"/>
        <v/>
      </c>
      <c r="D1700" s="245" t="str">
        <f t="shared" si="112"/>
        <v/>
      </c>
      <c r="E1700" s="534"/>
      <c r="F1700" s="534"/>
    </row>
    <row r="1701" spans="1:6" ht="15" customHeight="1">
      <c r="A1701" s="51"/>
      <c r="B1701" s="52" t="str">
        <f t="shared" si="111"/>
        <v/>
      </c>
      <c r="C1701" t="str">
        <f t="shared" si="110"/>
        <v/>
      </c>
      <c r="D1701" s="245" t="str">
        <f t="shared" si="112"/>
        <v/>
      </c>
      <c r="E1701" s="534"/>
      <c r="F1701" s="534"/>
    </row>
    <row r="1702" spans="1:6" ht="15" customHeight="1">
      <c r="A1702" s="51"/>
      <c r="B1702" s="52" t="str">
        <f t="shared" si="111"/>
        <v/>
      </c>
      <c r="C1702" t="str">
        <f t="shared" si="110"/>
        <v/>
      </c>
      <c r="D1702" s="245" t="str">
        <f t="shared" si="112"/>
        <v/>
      </c>
      <c r="E1702" s="534"/>
      <c r="F1702" s="534"/>
    </row>
    <row r="1703" spans="1:6" ht="15" customHeight="1">
      <c r="A1703" s="51"/>
      <c r="B1703" s="52" t="str">
        <f t="shared" si="111"/>
        <v/>
      </c>
      <c r="C1703" t="str">
        <f t="shared" si="110"/>
        <v/>
      </c>
      <c r="D1703" s="245" t="str">
        <f t="shared" si="112"/>
        <v/>
      </c>
      <c r="E1703" s="534"/>
      <c r="F1703" s="534"/>
    </row>
    <row r="1704" spans="1:6" ht="15" customHeight="1">
      <c r="A1704" s="51"/>
      <c r="B1704" s="52" t="str">
        <f t="shared" si="111"/>
        <v/>
      </c>
      <c r="C1704" t="str">
        <f t="shared" si="110"/>
        <v/>
      </c>
      <c r="D1704" s="245" t="str">
        <f t="shared" si="112"/>
        <v/>
      </c>
      <c r="E1704" s="534"/>
      <c r="F1704" s="534"/>
    </row>
    <row r="1705" spans="1:6" ht="15" customHeight="1">
      <c r="A1705" s="51"/>
      <c r="B1705" s="52" t="str">
        <f t="shared" si="111"/>
        <v/>
      </c>
      <c r="C1705" t="str">
        <f t="shared" si="110"/>
        <v/>
      </c>
      <c r="D1705" s="245" t="str">
        <f t="shared" si="112"/>
        <v/>
      </c>
      <c r="E1705" s="534"/>
      <c r="F1705" s="534"/>
    </row>
    <row r="1706" spans="1:6" ht="15" customHeight="1">
      <c r="A1706" s="51"/>
      <c r="B1706" s="52" t="str">
        <f t="shared" si="111"/>
        <v/>
      </c>
      <c r="C1706" t="str">
        <f t="shared" si="110"/>
        <v/>
      </c>
      <c r="D1706" s="245" t="str">
        <f t="shared" si="112"/>
        <v/>
      </c>
      <c r="E1706" s="534"/>
      <c r="F1706" s="534"/>
    </row>
    <row r="1707" spans="1:6" ht="15" customHeight="1">
      <c r="A1707" s="51"/>
      <c r="B1707" s="52" t="str">
        <f t="shared" si="111"/>
        <v/>
      </c>
      <c r="C1707" t="str">
        <f t="shared" si="110"/>
        <v/>
      </c>
      <c r="D1707" s="245" t="str">
        <f t="shared" si="112"/>
        <v/>
      </c>
      <c r="E1707" s="534"/>
      <c r="F1707" s="534"/>
    </row>
    <row r="1708" spans="1:6" ht="15" customHeight="1">
      <c r="A1708" s="51"/>
      <c r="B1708" s="52" t="str">
        <f t="shared" si="111"/>
        <v/>
      </c>
      <c r="C1708" t="str">
        <f t="shared" si="110"/>
        <v/>
      </c>
      <c r="D1708" s="245" t="str">
        <f t="shared" si="112"/>
        <v/>
      </c>
      <c r="E1708" s="534"/>
      <c r="F1708" s="534"/>
    </row>
    <row r="1709" spans="1:6" ht="15" customHeight="1">
      <c r="A1709" s="51"/>
      <c r="B1709" s="52" t="str">
        <f t="shared" si="111"/>
        <v/>
      </c>
      <c r="C1709" t="str">
        <f t="shared" si="110"/>
        <v/>
      </c>
      <c r="D1709" s="245" t="str">
        <f t="shared" si="112"/>
        <v/>
      </c>
      <c r="E1709" s="534"/>
      <c r="F1709" s="534"/>
    </row>
    <row r="1710" spans="1:6" ht="15" customHeight="1">
      <c r="A1710" s="51"/>
      <c r="B1710" s="52" t="str">
        <f t="shared" si="111"/>
        <v/>
      </c>
      <c r="C1710" t="str">
        <f t="shared" si="110"/>
        <v/>
      </c>
      <c r="D1710" s="245" t="str">
        <f t="shared" si="112"/>
        <v/>
      </c>
      <c r="E1710" s="534"/>
      <c r="F1710" s="534"/>
    </row>
    <row r="1711" spans="1:6" ht="15" customHeight="1">
      <c r="A1711" s="51"/>
      <c r="B1711" s="52" t="str">
        <f t="shared" si="111"/>
        <v/>
      </c>
      <c r="C1711" t="str">
        <f t="shared" si="110"/>
        <v/>
      </c>
      <c r="D1711" s="245" t="str">
        <f t="shared" si="112"/>
        <v/>
      </c>
      <c r="E1711" s="534"/>
      <c r="F1711" s="534"/>
    </row>
    <row r="1712" spans="1:6" ht="15" customHeight="1">
      <c r="A1712" s="51"/>
      <c r="B1712" s="52" t="str">
        <f t="shared" si="111"/>
        <v/>
      </c>
      <c r="C1712" t="str">
        <f t="shared" si="110"/>
        <v/>
      </c>
      <c r="D1712" s="245" t="str">
        <f t="shared" si="112"/>
        <v/>
      </c>
      <c r="E1712" s="534"/>
      <c r="F1712" s="534"/>
    </row>
    <row r="1713" spans="1:6" ht="15" customHeight="1">
      <c r="A1713" s="51"/>
      <c r="B1713" s="52" t="str">
        <f t="shared" si="111"/>
        <v/>
      </c>
      <c r="C1713" t="str">
        <f t="shared" si="110"/>
        <v/>
      </c>
      <c r="D1713" s="245" t="str">
        <f t="shared" si="112"/>
        <v/>
      </c>
      <c r="E1713" s="534"/>
      <c r="F1713" s="534"/>
    </row>
    <row r="1714" spans="1:6" ht="15" customHeight="1">
      <c r="A1714" s="51"/>
      <c r="B1714" s="52" t="str">
        <f t="shared" si="111"/>
        <v/>
      </c>
      <c r="C1714" t="str">
        <f t="shared" si="110"/>
        <v/>
      </c>
      <c r="D1714" s="245" t="str">
        <f t="shared" si="112"/>
        <v/>
      </c>
      <c r="E1714" s="534"/>
      <c r="F1714" s="534"/>
    </row>
    <row r="1715" spans="1:6" ht="15" customHeight="1">
      <c r="A1715" s="51"/>
      <c r="B1715" s="52" t="str">
        <f t="shared" si="111"/>
        <v/>
      </c>
      <c r="C1715" t="str">
        <f t="shared" si="110"/>
        <v/>
      </c>
      <c r="D1715" s="245" t="str">
        <f t="shared" si="112"/>
        <v/>
      </c>
      <c r="E1715" s="534"/>
      <c r="F1715" s="534"/>
    </row>
    <row r="1716" spans="1:6" ht="15" customHeight="1">
      <c r="A1716" s="51"/>
      <c r="B1716" s="52" t="str">
        <f t="shared" si="111"/>
        <v/>
      </c>
      <c r="C1716" t="str">
        <f t="shared" si="110"/>
        <v/>
      </c>
      <c r="D1716" s="245" t="str">
        <f t="shared" si="112"/>
        <v/>
      </c>
      <c r="E1716" s="534"/>
      <c r="F1716" s="534"/>
    </row>
    <row r="1717" spans="1:6" ht="15" customHeight="1">
      <c r="A1717" s="51"/>
      <c r="B1717" s="52" t="str">
        <f t="shared" si="111"/>
        <v/>
      </c>
      <c r="C1717" t="str">
        <f t="shared" si="110"/>
        <v/>
      </c>
      <c r="D1717" s="245" t="str">
        <f t="shared" si="112"/>
        <v/>
      </c>
      <c r="E1717" s="534"/>
      <c r="F1717" s="534"/>
    </row>
    <row r="1718" spans="1:6" ht="15" customHeight="1">
      <c r="A1718" s="51"/>
      <c r="B1718" s="52" t="str">
        <f t="shared" si="111"/>
        <v/>
      </c>
      <c r="C1718" t="str">
        <f t="shared" si="110"/>
        <v/>
      </c>
      <c r="D1718" s="245" t="str">
        <f t="shared" si="112"/>
        <v/>
      </c>
      <c r="E1718" s="534"/>
      <c r="F1718" s="534"/>
    </row>
    <row r="1719" spans="1:6" ht="15" customHeight="1">
      <c r="A1719" s="51"/>
      <c r="B1719" s="52" t="str">
        <f t="shared" si="111"/>
        <v/>
      </c>
      <c r="C1719" t="str">
        <f t="shared" si="110"/>
        <v/>
      </c>
      <c r="D1719" s="245" t="str">
        <f t="shared" si="112"/>
        <v/>
      </c>
      <c r="E1719" s="534"/>
      <c r="F1719" s="534"/>
    </row>
    <row r="1720" spans="1:6" ht="15" customHeight="1">
      <c r="A1720" s="51"/>
      <c r="B1720" s="52" t="str">
        <f t="shared" si="111"/>
        <v/>
      </c>
      <c r="C1720" t="str">
        <f t="shared" si="110"/>
        <v/>
      </c>
      <c r="D1720" s="245" t="str">
        <f t="shared" si="112"/>
        <v/>
      </c>
      <c r="E1720" s="534"/>
      <c r="F1720" s="534"/>
    </row>
    <row r="1721" spans="1:6" ht="15" customHeight="1">
      <c r="A1721" s="51"/>
      <c r="B1721" s="52" t="str">
        <f t="shared" si="111"/>
        <v/>
      </c>
      <c r="C1721" t="str">
        <f t="shared" si="110"/>
        <v/>
      </c>
      <c r="D1721" s="245" t="str">
        <f t="shared" si="112"/>
        <v/>
      </c>
      <c r="E1721" s="534"/>
      <c r="F1721" s="534"/>
    </row>
    <row r="1722" spans="1:6" ht="15" customHeight="1">
      <c r="A1722" s="51"/>
      <c r="B1722" s="52" t="str">
        <f t="shared" si="111"/>
        <v/>
      </c>
      <c r="C1722" t="str">
        <f t="shared" si="110"/>
        <v/>
      </c>
      <c r="D1722" s="245" t="str">
        <f t="shared" si="112"/>
        <v/>
      </c>
      <c r="E1722" s="534"/>
      <c r="F1722" s="534"/>
    </row>
    <row r="1723" spans="1:6" ht="15" customHeight="1">
      <c r="A1723" s="51"/>
      <c r="B1723" s="52" t="str">
        <f t="shared" si="111"/>
        <v/>
      </c>
      <c r="C1723" t="str">
        <f t="shared" si="110"/>
        <v/>
      </c>
      <c r="D1723" s="245" t="str">
        <f t="shared" si="112"/>
        <v/>
      </c>
      <c r="E1723" s="534"/>
      <c r="F1723" s="534"/>
    </row>
    <row r="1724" spans="1:6" ht="15" customHeight="1">
      <c r="A1724" s="51"/>
      <c r="B1724" s="52" t="str">
        <f t="shared" si="111"/>
        <v/>
      </c>
      <c r="C1724" t="str">
        <f t="shared" si="110"/>
        <v/>
      </c>
      <c r="D1724" s="245" t="str">
        <f t="shared" si="112"/>
        <v/>
      </c>
      <c r="E1724" s="534"/>
      <c r="F1724" s="534"/>
    </row>
    <row r="1725" spans="1:6" ht="15" customHeight="1">
      <c r="A1725" s="51"/>
      <c r="B1725" s="52" t="str">
        <f t="shared" si="111"/>
        <v/>
      </c>
      <c r="C1725" t="str">
        <f t="shared" si="110"/>
        <v/>
      </c>
      <c r="D1725" s="245" t="str">
        <f t="shared" si="112"/>
        <v/>
      </c>
      <c r="E1725" s="534"/>
      <c r="F1725" s="534"/>
    </row>
    <row r="1726" spans="1:6" ht="15" customHeight="1">
      <c r="A1726" s="51"/>
      <c r="B1726" s="52" t="str">
        <f t="shared" si="111"/>
        <v/>
      </c>
      <c r="C1726" t="str">
        <f t="shared" si="110"/>
        <v/>
      </c>
      <c r="D1726" s="245" t="str">
        <f t="shared" si="112"/>
        <v/>
      </c>
      <c r="E1726" s="534"/>
      <c r="F1726" s="534"/>
    </row>
    <row r="1727" spans="1:6" ht="15" customHeight="1">
      <c r="A1727" s="51"/>
      <c r="B1727" s="52" t="str">
        <f t="shared" si="111"/>
        <v/>
      </c>
      <c r="C1727" t="str">
        <f t="shared" si="110"/>
        <v/>
      </c>
      <c r="D1727" s="245" t="str">
        <f t="shared" si="112"/>
        <v/>
      </c>
      <c r="E1727" s="534"/>
      <c r="F1727" s="534"/>
    </row>
    <row r="1728" spans="1:6" ht="15" customHeight="1">
      <c r="A1728" s="51"/>
      <c r="B1728" s="52" t="str">
        <f t="shared" si="111"/>
        <v/>
      </c>
      <c r="C1728" t="str">
        <f t="shared" si="110"/>
        <v/>
      </c>
      <c r="D1728" s="245" t="str">
        <f t="shared" si="112"/>
        <v/>
      </c>
      <c r="E1728" s="534"/>
      <c r="F1728" s="534"/>
    </row>
    <row r="1729" spans="1:6" ht="15" customHeight="1">
      <c r="A1729" s="51"/>
      <c r="B1729" s="52" t="str">
        <f t="shared" si="111"/>
        <v/>
      </c>
      <c r="C1729" t="str">
        <f t="shared" si="110"/>
        <v/>
      </c>
      <c r="D1729" s="245" t="str">
        <f t="shared" si="112"/>
        <v/>
      </c>
      <c r="E1729" s="534"/>
      <c r="F1729" s="534"/>
    </row>
    <row r="1730" spans="1:6" ht="15" customHeight="1">
      <c r="A1730" s="51"/>
      <c r="B1730" s="52" t="str">
        <f t="shared" si="111"/>
        <v/>
      </c>
      <c r="C1730" t="str">
        <f t="shared" ref="C1730:C1793" si="113">IF(A1730&lt;&gt;"",TEXT(A1730,"aaaa"),"")</f>
        <v/>
      </c>
      <c r="D1730" s="245" t="str">
        <f t="shared" si="112"/>
        <v/>
      </c>
      <c r="E1730" s="534"/>
      <c r="F1730" s="534"/>
    </row>
    <row r="1731" spans="1:6" ht="15" customHeight="1">
      <c r="A1731" s="51"/>
      <c r="B1731" s="52" t="str">
        <f t="shared" si="111"/>
        <v/>
      </c>
      <c r="C1731" t="str">
        <f t="shared" si="113"/>
        <v/>
      </c>
      <c r="D1731" s="245" t="str">
        <f t="shared" si="112"/>
        <v/>
      </c>
      <c r="E1731" s="534"/>
      <c r="F1731" s="534"/>
    </row>
    <row r="1732" spans="1:6" ht="15" customHeight="1">
      <c r="A1732" s="51"/>
      <c r="B1732" s="52" t="str">
        <f t="shared" si="111"/>
        <v/>
      </c>
      <c r="C1732" t="str">
        <f t="shared" si="113"/>
        <v/>
      </c>
      <c r="D1732" s="245" t="str">
        <f t="shared" si="112"/>
        <v/>
      </c>
      <c r="E1732" s="534"/>
      <c r="F1732" s="534"/>
    </row>
    <row r="1733" spans="1:6" ht="15" customHeight="1">
      <c r="A1733" s="51"/>
      <c r="B1733" s="52" t="str">
        <f t="shared" si="111"/>
        <v/>
      </c>
      <c r="C1733" t="str">
        <f t="shared" si="113"/>
        <v/>
      </c>
      <c r="D1733" s="245" t="str">
        <f t="shared" si="112"/>
        <v/>
      </c>
      <c r="E1733" s="534"/>
      <c r="F1733" s="534"/>
    </row>
    <row r="1734" spans="1:6" ht="15" customHeight="1">
      <c r="A1734" s="51"/>
      <c r="B1734" s="52" t="str">
        <f t="shared" si="111"/>
        <v/>
      </c>
      <c r="C1734" t="str">
        <f t="shared" si="113"/>
        <v/>
      </c>
      <c r="D1734" s="245" t="str">
        <f t="shared" si="112"/>
        <v/>
      </c>
      <c r="E1734" s="534"/>
      <c r="F1734" s="534"/>
    </row>
    <row r="1735" spans="1:6" ht="15" customHeight="1">
      <c r="A1735" s="51"/>
      <c r="B1735" s="52" t="str">
        <f t="shared" si="111"/>
        <v/>
      </c>
      <c r="C1735" t="str">
        <f t="shared" si="113"/>
        <v/>
      </c>
      <c r="D1735" s="245" t="str">
        <f t="shared" si="112"/>
        <v/>
      </c>
      <c r="E1735" s="534"/>
      <c r="F1735" s="534"/>
    </row>
    <row r="1736" spans="1:6" ht="15" customHeight="1">
      <c r="A1736" s="51"/>
      <c r="B1736" s="52" t="str">
        <f t="shared" ref="B1736:B1799" si="114">IF(A1736="","",TEXT(A1736,"DDDD"))</f>
        <v/>
      </c>
      <c r="C1736" t="str">
        <f t="shared" si="113"/>
        <v/>
      </c>
      <c r="D1736" s="245" t="str">
        <f t="shared" si="112"/>
        <v/>
      </c>
      <c r="E1736" s="534"/>
      <c r="F1736" s="534"/>
    </row>
    <row r="1737" spans="1:6" ht="15" customHeight="1">
      <c r="A1737" s="51"/>
      <c r="B1737" s="52" t="str">
        <f t="shared" si="114"/>
        <v/>
      </c>
      <c r="C1737" t="str">
        <f t="shared" si="113"/>
        <v/>
      </c>
      <c r="D1737" s="245" t="str">
        <f t="shared" ref="D1737:D1800" si="115">IF(A1737&lt;&gt;"",PROPER(TEXT(A1737,"Mmmm")),"")</f>
        <v/>
      </c>
      <c r="E1737" s="534"/>
      <c r="F1737" s="534"/>
    </row>
    <row r="1738" spans="1:6" ht="15" customHeight="1">
      <c r="A1738" s="51"/>
      <c r="B1738" s="52" t="str">
        <f t="shared" si="114"/>
        <v/>
      </c>
      <c r="C1738" t="str">
        <f t="shared" si="113"/>
        <v/>
      </c>
      <c r="D1738" s="245" t="str">
        <f t="shared" si="115"/>
        <v/>
      </c>
      <c r="E1738" s="534"/>
      <c r="F1738" s="534"/>
    </row>
    <row r="1739" spans="1:6" ht="15" customHeight="1">
      <c r="A1739" s="51"/>
      <c r="B1739" s="52" t="str">
        <f t="shared" si="114"/>
        <v/>
      </c>
      <c r="C1739" t="str">
        <f t="shared" si="113"/>
        <v/>
      </c>
      <c r="D1739" s="245" t="str">
        <f t="shared" si="115"/>
        <v/>
      </c>
      <c r="E1739" s="534"/>
      <c r="F1739" s="534"/>
    </row>
    <row r="1740" spans="1:6" ht="15" customHeight="1">
      <c r="A1740" s="51"/>
      <c r="B1740" s="52" t="str">
        <f t="shared" si="114"/>
        <v/>
      </c>
      <c r="C1740" t="str">
        <f t="shared" si="113"/>
        <v/>
      </c>
      <c r="D1740" s="245" t="str">
        <f t="shared" si="115"/>
        <v/>
      </c>
      <c r="E1740" s="534"/>
      <c r="F1740" s="534"/>
    </row>
    <row r="1741" spans="1:6" ht="15" customHeight="1">
      <c r="A1741" s="51"/>
      <c r="B1741" s="52" t="str">
        <f t="shared" si="114"/>
        <v/>
      </c>
      <c r="C1741" t="str">
        <f t="shared" si="113"/>
        <v/>
      </c>
      <c r="D1741" s="245" t="str">
        <f t="shared" si="115"/>
        <v/>
      </c>
      <c r="E1741" s="534"/>
      <c r="F1741" s="534"/>
    </row>
    <row r="1742" spans="1:6" ht="15" customHeight="1">
      <c r="A1742" s="51"/>
      <c r="B1742" s="52" t="str">
        <f t="shared" si="114"/>
        <v/>
      </c>
      <c r="C1742" t="str">
        <f t="shared" si="113"/>
        <v/>
      </c>
      <c r="D1742" s="245" t="str">
        <f t="shared" si="115"/>
        <v/>
      </c>
      <c r="E1742" s="534"/>
      <c r="F1742" s="534"/>
    </row>
    <row r="1743" spans="1:6" ht="15" customHeight="1">
      <c r="A1743" s="51"/>
      <c r="B1743" s="52" t="str">
        <f t="shared" si="114"/>
        <v/>
      </c>
      <c r="C1743" t="str">
        <f t="shared" si="113"/>
        <v/>
      </c>
      <c r="D1743" s="245" t="str">
        <f t="shared" si="115"/>
        <v/>
      </c>
      <c r="E1743" s="534"/>
      <c r="F1743" s="534"/>
    </row>
    <row r="1744" spans="1:6" ht="15" customHeight="1">
      <c r="A1744" s="51"/>
      <c r="B1744" s="52" t="str">
        <f t="shared" si="114"/>
        <v/>
      </c>
      <c r="C1744" t="str">
        <f t="shared" si="113"/>
        <v/>
      </c>
      <c r="D1744" s="245" t="str">
        <f t="shared" si="115"/>
        <v/>
      </c>
      <c r="E1744" s="534"/>
      <c r="F1744" s="534"/>
    </row>
    <row r="1745" spans="1:6" ht="15" customHeight="1">
      <c r="A1745" s="51"/>
      <c r="B1745" s="52" t="str">
        <f t="shared" si="114"/>
        <v/>
      </c>
      <c r="C1745" t="str">
        <f t="shared" si="113"/>
        <v/>
      </c>
      <c r="D1745" s="245" t="str">
        <f t="shared" si="115"/>
        <v/>
      </c>
      <c r="E1745" s="534"/>
      <c r="F1745" s="534"/>
    </row>
    <row r="1746" spans="1:6" ht="15" customHeight="1">
      <c r="A1746" s="51"/>
      <c r="B1746" s="52" t="str">
        <f t="shared" si="114"/>
        <v/>
      </c>
      <c r="C1746" t="str">
        <f t="shared" si="113"/>
        <v/>
      </c>
      <c r="D1746" s="245" t="str">
        <f t="shared" si="115"/>
        <v/>
      </c>
      <c r="E1746" s="534"/>
      <c r="F1746" s="534"/>
    </row>
    <row r="1747" spans="1:6" ht="15" customHeight="1">
      <c r="A1747" s="51"/>
      <c r="B1747" s="52" t="str">
        <f t="shared" si="114"/>
        <v/>
      </c>
      <c r="C1747" t="str">
        <f t="shared" si="113"/>
        <v/>
      </c>
      <c r="D1747" s="245" t="str">
        <f t="shared" si="115"/>
        <v/>
      </c>
      <c r="E1747" s="534"/>
      <c r="F1747" s="534"/>
    </row>
    <row r="1748" spans="1:6" ht="15" customHeight="1">
      <c r="A1748" s="51"/>
      <c r="B1748" s="52" t="str">
        <f t="shared" si="114"/>
        <v/>
      </c>
      <c r="C1748" t="str">
        <f t="shared" si="113"/>
        <v/>
      </c>
      <c r="D1748" s="245" t="str">
        <f t="shared" si="115"/>
        <v/>
      </c>
      <c r="E1748" s="534"/>
      <c r="F1748" s="534"/>
    </row>
    <row r="1749" spans="1:6" ht="15" customHeight="1">
      <c r="A1749" s="51"/>
      <c r="B1749" s="52" t="str">
        <f t="shared" si="114"/>
        <v/>
      </c>
      <c r="C1749" t="str">
        <f t="shared" si="113"/>
        <v/>
      </c>
      <c r="D1749" s="245" t="str">
        <f t="shared" si="115"/>
        <v/>
      </c>
      <c r="E1749" s="534"/>
      <c r="F1749" s="534"/>
    </row>
    <row r="1750" spans="1:6" ht="15" customHeight="1">
      <c r="A1750" s="51"/>
      <c r="B1750" s="52" t="str">
        <f t="shared" si="114"/>
        <v/>
      </c>
      <c r="C1750" t="str">
        <f t="shared" si="113"/>
        <v/>
      </c>
      <c r="D1750" s="245" t="str">
        <f t="shared" si="115"/>
        <v/>
      </c>
      <c r="E1750" s="534"/>
      <c r="F1750" s="534"/>
    </row>
    <row r="1751" spans="1:6" ht="15" customHeight="1">
      <c r="A1751" s="51"/>
      <c r="B1751" s="52" t="str">
        <f t="shared" si="114"/>
        <v/>
      </c>
      <c r="C1751" t="str">
        <f t="shared" si="113"/>
        <v/>
      </c>
      <c r="D1751" s="245" t="str">
        <f t="shared" si="115"/>
        <v/>
      </c>
      <c r="E1751" s="534"/>
      <c r="F1751" s="534"/>
    </row>
    <row r="1752" spans="1:6" ht="15" customHeight="1">
      <c r="A1752" s="51"/>
      <c r="B1752" s="52" t="str">
        <f t="shared" si="114"/>
        <v/>
      </c>
      <c r="C1752" t="str">
        <f t="shared" si="113"/>
        <v/>
      </c>
      <c r="D1752" s="245" t="str">
        <f t="shared" si="115"/>
        <v/>
      </c>
      <c r="E1752" s="534"/>
      <c r="F1752" s="534"/>
    </row>
    <row r="1753" spans="1:6" ht="15" customHeight="1">
      <c r="A1753" s="51"/>
      <c r="B1753" s="52" t="str">
        <f t="shared" si="114"/>
        <v/>
      </c>
      <c r="C1753" t="str">
        <f t="shared" si="113"/>
        <v/>
      </c>
      <c r="D1753" s="245" t="str">
        <f t="shared" si="115"/>
        <v/>
      </c>
      <c r="E1753" s="534"/>
      <c r="F1753" s="534"/>
    </row>
    <row r="1754" spans="1:6" ht="15" customHeight="1">
      <c r="A1754" s="51"/>
      <c r="B1754" s="52" t="str">
        <f t="shared" si="114"/>
        <v/>
      </c>
      <c r="C1754" t="str">
        <f t="shared" si="113"/>
        <v/>
      </c>
      <c r="D1754" s="245" t="str">
        <f t="shared" si="115"/>
        <v/>
      </c>
      <c r="E1754" s="534"/>
      <c r="F1754" s="534"/>
    </row>
    <row r="1755" spans="1:6" ht="15" customHeight="1">
      <c r="A1755" s="51"/>
      <c r="B1755" s="52" t="str">
        <f t="shared" si="114"/>
        <v/>
      </c>
      <c r="C1755" t="str">
        <f t="shared" si="113"/>
        <v/>
      </c>
      <c r="D1755" s="245" t="str">
        <f t="shared" si="115"/>
        <v/>
      </c>
      <c r="E1755" s="534"/>
      <c r="F1755" s="534"/>
    </row>
    <row r="1756" spans="1:6" ht="15" customHeight="1">
      <c r="A1756" s="51"/>
      <c r="B1756" s="52" t="str">
        <f t="shared" si="114"/>
        <v/>
      </c>
      <c r="C1756" t="str">
        <f t="shared" si="113"/>
        <v/>
      </c>
      <c r="D1756" s="245" t="str">
        <f t="shared" si="115"/>
        <v/>
      </c>
      <c r="E1756" s="534"/>
      <c r="F1756" s="534"/>
    </row>
    <row r="1757" spans="1:6" ht="15" customHeight="1">
      <c r="A1757" s="51"/>
      <c r="B1757" s="52" t="str">
        <f t="shared" si="114"/>
        <v/>
      </c>
      <c r="C1757" t="str">
        <f t="shared" si="113"/>
        <v/>
      </c>
      <c r="D1757" s="245" t="str">
        <f t="shared" si="115"/>
        <v/>
      </c>
      <c r="E1757" s="534"/>
      <c r="F1757" s="534"/>
    </row>
    <row r="1758" spans="1:6" ht="15" customHeight="1">
      <c r="A1758" s="51"/>
      <c r="B1758" s="52" t="str">
        <f t="shared" si="114"/>
        <v/>
      </c>
      <c r="C1758" t="str">
        <f t="shared" si="113"/>
        <v/>
      </c>
      <c r="D1758" s="245" t="str">
        <f t="shared" si="115"/>
        <v/>
      </c>
      <c r="E1758" s="534"/>
      <c r="F1758" s="534"/>
    </row>
    <row r="1759" spans="1:6" ht="15" customHeight="1">
      <c r="A1759" s="51"/>
      <c r="B1759" s="52" t="str">
        <f t="shared" si="114"/>
        <v/>
      </c>
      <c r="C1759" t="str">
        <f t="shared" si="113"/>
        <v/>
      </c>
      <c r="D1759" s="245" t="str">
        <f t="shared" si="115"/>
        <v/>
      </c>
      <c r="E1759" s="534"/>
      <c r="F1759" s="534"/>
    </row>
    <row r="1760" spans="1:6" ht="15" customHeight="1">
      <c r="A1760" s="51"/>
      <c r="B1760" s="52" t="str">
        <f t="shared" si="114"/>
        <v/>
      </c>
      <c r="C1760" t="str">
        <f t="shared" si="113"/>
        <v/>
      </c>
      <c r="D1760" s="245" t="str">
        <f t="shared" si="115"/>
        <v/>
      </c>
      <c r="E1760" s="534"/>
      <c r="F1760" s="534"/>
    </row>
    <row r="1761" spans="1:6" ht="15" customHeight="1">
      <c r="A1761" s="51"/>
      <c r="B1761" s="52" t="str">
        <f t="shared" si="114"/>
        <v/>
      </c>
      <c r="C1761" t="str">
        <f t="shared" si="113"/>
        <v/>
      </c>
      <c r="D1761" s="245" t="str">
        <f t="shared" si="115"/>
        <v/>
      </c>
      <c r="E1761" s="534"/>
      <c r="F1761" s="534"/>
    </row>
    <row r="1762" spans="1:6" ht="15" customHeight="1">
      <c r="A1762" s="51"/>
      <c r="B1762" s="52" t="str">
        <f t="shared" si="114"/>
        <v/>
      </c>
      <c r="C1762" t="str">
        <f t="shared" si="113"/>
        <v/>
      </c>
      <c r="D1762" s="245" t="str">
        <f t="shared" si="115"/>
        <v/>
      </c>
      <c r="E1762" s="534"/>
      <c r="F1762" s="534"/>
    </row>
    <row r="1763" spans="1:6" ht="15" customHeight="1">
      <c r="A1763" s="51"/>
      <c r="B1763" s="52" t="str">
        <f t="shared" si="114"/>
        <v/>
      </c>
      <c r="C1763" t="str">
        <f t="shared" si="113"/>
        <v/>
      </c>
      <c r="D1763" s="245" t="str">
        <f t="shared" si="115"/>
        <v/>
      </c>
      <c r="E1763" s="534"/>
      <c r="F1763" s="534"/>
    </row>
    <row r="1764" spans="1:6" ht="15" customHeight="1">
      <c r="A1764" s="51"/>
      <c r="B1764" s="52" t="str">
        <f t="shared" si="114"/>
        <v/>
      </c>
      <c r="C1764" t="str">
        <f t="shared" si="113"/>
        <v/>
      </c>
      <c r="D1764" s="245" t="str">
        <f t="shared" si="115"/>
        <v/>
      </c>
      <c r="E1764" s="534"/>
      <c r="F1764" s="534"/>
    </row>
    <row r="1765" spans="1:6" ht="15" customHeight="1">
      <c r="A1765" s="51"/>
      <c r="B1765" s="52" t="str">
        <f t="shared" si="114"/>
        <v/>
      </c>
      <c r="C1765" t="str">
        <f t="shared" si="113"/>
        <v/>
      </c>
      <c r="D1765" s="245" t="str">
        <f t="shared" si="115"/>
        <v/>
      </c>
      <c r="E1765" s="534"/>
      <c r="F1765" s="534"/>
    </row>
    <row r="1766" spans="1:6" ht="15" customHeight="1">
      <c r="A1766" s="51"/>
      <c r="B1766" s="52" t="str">
        <f t="shared" si="114"/>
        <v/>
      </c>
      <c r="C1766" t="str">
        <f t="shared" si="113"/>
        <v/>
      </c>
      <c r="D1766" s="245" t="str">
        <f t="shared" si="115"/>
        <v/>
      </c>
      <c r="E1766" s="534"/>
      <c r="F1766" s="534"/>
    </row>
    <row r="1767" spans="1:6" ht="15" customHeight="1">
      <c r="A1767" s="51"/>
      <c r="B1767" s="52" t="str">
        <f t="shared" si="114"/>
        <v/>
      </c>
      <c r="C1767" t="str">
        <f t="shared" si="113"/>
        <v/>
      </c>
      <c r="D1767" s="245" t="str">
        <f t="shared" si="115"/>
        <v/>
      </c>
      <c r="E1767" s="534"/>
      <c r="F1767" s="534"/>
    </row>
    <row r="1768" spans="1:6" ht="15" customHeight="1">
      <c r="A1768" s="51"/>
      <c r="B1768" s="52" t="str">
        <f t="shared" si="114"/>
        <v/>
      </c>
      <c r="C1768" t="str">
        <f t="shared" si="113"/>
        <v/>
      </c>
      <c r="D1768" s="245" t="str">
        <f t="shared" si="115"/>
        <v/>
      </c>
      <c r="E1768" s="534"/>
      <c r="F1768" s="534"/>
    </row>
    <row r="1769" spans="1:6" ht="15" customHeight="1">
      <c r="A1769" s="51"/>
      <c r="B1769" s="52" t="str">
        <f t="shared" si="114"/>
        <v/>
      </c>
      <c r="C1769" t="str">
        <f t="shared" si="113"/>
        <v/>
      </c>
      <c r="D1769" s="245" t="str">
        <f t="shared" si="115"/>
        <v/>
      </c>
      <c r="E1769" s="534"/>
      <c r="F1769" s="534"/>
    </row>
    <row r="1770" spans="1:6" ht="15" customHeight="1">
      <c r="A1770" s="51"/>
      <c r="B1770" s="52" t="str">
        <f t="shared" si="114"/>
        <v/>
      </c>
      <c r="C1770" t="str">
        <f t="shared" si="113"/>
        <v/>
      </c>
      <c r="D1770" s="245" t="str">
        <f t="shared" si="115"/>
        <v/>
      </c>
      <c r="E1770" s="534"/>
      <c r="F1770" s="534"/>
    </row>
    <row r="1771" spans="1:6" ht="15" customHeight="1">
      <c r="A1771" s="51"/>
      <c r="B1771" s="52" t="str">
        <f t="shared" si="114"/>
        <v/>
      </c>
      <c r="C1771" t="str">
        <f t="shared" si="113"/>
        <v/>
      </c>
      <c r="D1771" s="245" t="str">
        <f t="shared" si="115"/>
        <v/>
      </c>
      <c r="E1771" s="534"/>
      <c r="F1771" s="534"/>
    </row>
    <row r="1772" spans="1:6" ht="15" customHeight="1">
      <c r="A1772" s="51"/>
      <c r="B1772" s="52" t="str">
        <f t="shared" si="114"/>
        <v/>
      </c>
      <c r="C1772" t="str">
        <f t="shared" si="113"/>
        <v/>
      </c>
      <c r="D1772" s="245" t="str">
        <f t="shared" si="115"/>
        <v/>
      </c>
      <c r="E1772" s="534"/>
      <c r="F1772" s="534"/>
    </row>
    <row r="1773" spans="1:6" ht="15" customHeight="1">
      <c r="A1773" s="51"/>
      <c r="B1773" s="52" t="str">
        <f t="shared" si="114"/>
        <v/>
      </c>
      <c r="C1773" t="str">
        <f t="shared" si="113"/>
        <v/>
      </c>
      <c r="D1773" s="245" t="str">
        <f t="shared" si="115"/>
        <v/>
      </c>
      <c r="E1773" s="534"/>
      <c r="F1773" s="534"/>
    </row>
    <row r="1774" spans="1:6" ht="15" customHeight="1">
      <c r="A1774" s="51"/>
      <c r="B1774" s="52" t="str">
        <f t="shared" si="114"/>
        <v/>
      </c>
      <c r="C1774" t="str">
        <f t="shared" si="113"/>
        <v/>
      </c>
      <c r="D1774" s="245" t="str">
        <f t="shared" si="115"/>
        <v/>
      </c>
      <c r="E1774" s="534"/>
      <c r="F1774" s="534"/>
    </row>
    <row r="1775" spans="1:6" ht="15" customHeight="1">
      <c r="A1775" s="51"/>
      <c r="B1775" s="52" t="str">
        <f t="shared" si="114"/>
        <v/>
      </c>
      <c r="C1775" t="str">
        <f t="shared" si="113"/>
        <v/>
      </c>
      <c r="D1775" s="245" t="str">
        <f t="shared" si="115"/>
        <v/>
      </c>
      <c r="E1775" s="534"/>
      <c r="F1775" s="534"/>
    </row>
    <row r="1776" spans="1:6" ht="15" customHeight="1">
      <c r="A1776" s="51"/>
      <c r="B1776" s="52" t="str">
        <f t="shared" si="114"/>
        <v/>
      </c>
      <c r="C1776" t="str">
        <f t="shared" si="113"/>
        <v/>
      </c>
      <c r="D1776" s="245" t="str">
        <f t="shared" si="115"/>
        <v/>
      </c>
      <c r="E1776" s="534"/>
      <c r="F1776" s="534"/>
    </row>
    <row r="1777" spans="1:6" ht="15" customHeight="1">
      <c r="A1777" s="51"/>
      <c r="B1777" s="52" t="str">
        <f t="shared" si="114"/>
        <v/>
      </c>
      <c r="C1777" t="str">
        <f t="shared" si="113"/>
        <v/>
      </c>
      <c r="D1777" s="245" t="str">
        <f t="shared" si="115"/>
        <v/>
      </c>
      <c r="E1777" s="534"/>
      <c r="F1777" s="534"/>
    </row>
    <row r="1778" spans="1:6" ht="15" customHeight="1">
      <c r="A1778" s="51"/>
      <c r="B1778" s="52" t="str">
        <f t="shared" si="114"/>
        <v/>
      </c>
      <c r="C1778" t="str">
        <f t="shared" si="113"/>
        <v/>
      </c>
      <c r="D1778" s="245" t="str">
        <f t="shared" si="115"/>
        <v/>
      </c>
      <c r="E1778" s="534"/>
      <c r="F1778" s="534"/>
    </row>
    <row r="1779" spans="1:6" ht="15" customHeight="1">
      <c r="A1779" s="51"/>
      <c r="B1779" s="52" t="str">
        <f t="shared" si="114"/>
        <v/>
      </c>
      <c r="C1779" t="str">
        <f t="shared" si="113"/>
        <v/>
      </c>
      <c r="D1779" s="245" t="str">
        <f t="shared" si="115"/>
        <v/>
      </c>
      <c r="E1779" s="534"/>
      <c r="F1779" s="534"/>
    </row>
    <row r="1780" spans="1:6" ht="15" customHeight="1">
      <c r="A1780" s="51"/>
      <c r="B1780" s="52" t="str">
        <f t="shared" si="114"/>
        <v/>
      </c>
      <c r="C1780" t="str">
        <f t="shared" si="113"/>
        <v/>
      </c>
      <c r="D1780" s="245" t="str">
        <f t="shared" si="115"/>
        <v/>
      </c>
      <c r="E1780" s="534"/>
      <c r="F1780" s="534"/>
    </row>
    <row r="1781" spans="1:6" ht="15" customHeight="1">
      <c r="A1781" s="51"/>
      <c r="B1781" s="52" t="str">
        <f t="shared" si="114"/>
        <v/>
      </c>
      <c r="C1781" t="str">
        <f t="shared" si="113"/>
        <v/>
      </c>
      <c r="D1781" s="245" t="str">
        <f t="shared" si="115"/>
        <v/>
      </c>
      <c r="E1781" s="534"/>
      <c r="F1781" s="534"/>
    </row>
    <row r="1782" spans="1:6" ht="15" customHeight="1">
      <c r="A1782" s="51"/>
      <c r="B1782" s="52" t="str">
        <f t="shared" si="114"/>
        <v/>
      </c>
      <c r="C1782" t="str">
        <f t="shared" si="113"/>
        <v/>
      </c>
      <c r="D1782" s="245" t="str">
        <f t="shared" si="115"/>
        <v/>
      </c>
      <c r="E1782" s="534"/>
      <c r="F1782" s="534"/>
    </row>
    <row r="1783" spans="1:6" ht="15" customHeight="1">
      <c r="A1783" s="51"/>
      <c r="B1783" s="52" t="str">
        <f t="shared" si="114"/>
        <v/>
      </c>
      <c r="C1783" t="str">
        <f t="shared" si="113"/>
        <v/>
      </c>
      <c r="D1783" s="245" t="str">
        <f t="shared" si="115"/>
        <v/>
      </c>
      <c r="E1783" s="534"/>
      <c r="F1783" s="534"/>
    </row>
    <row r="1784" spans="1:6" ht="15" customHeight="1">
      <c r="A1784" s="51"/>
      <c r="B1784" s="52" t="str">
        <f t="shared" si="114"/>
        <v/>
      </c>
      <c r="C1784" t="str">
        <f t="shared" si="113"/>
        <v/>
      </c>
      <c r="D1784" s="245" t="str">
        <f t="shared" si="115"/>
        <v/>
      </c>
      <c r="E1784" s="534"/>
      <c r="F1784" s="534"/>
    </row>
    <row r="1785" spans="1:6" ht="15" customHeight="1">
      <c r="A1785" s="51"/>
      <c r="B1785" s="52" t="str">
        <f t="shared" si="114"/>
        <v/>
      </c>
      <c r="C1785" t="str">
        <f t="shared" si="113"/>
        <v/>
      </c>
      <c r="D1785" s="245" t="str">
        <f t="shared" si="115"/>
        <v/>
      </c>
      <c r="E1785" s="534"/>
      <c r="F1785" s="534"/>
    </row>
    <row r="1786" spans="1:6" ht="15" customHeight="1">
      <c r="A1786" s="51"/>
      <c r="B1786" s="52" t="str">
        <f t="shared" si="114"/>
        <v/>
      </c>
      <c r="C1786" t="str">
        <f t="shared" si="113"/>
        <v/>
      </c>
      <c r="D1786" s="245" t="str">
        <f t="shared" si="115"/>
        <v/>
      </c>
      <c r="E1786" s="534"/>
      <c r="F1786" s="534"/>
    </row>
    <row r="1787" spans="1:6" ht="15" customHeight="1">
      <c r="A1787" s="51"/>
      <c r="B1787" s="52" t="str">
        <f t="shared" si="114"/>
        <v/>
      </c>
      <c r="C1787" t="str">
        <f t="shared" si="113"/>
        <v/>
      </c>
      <c r="D1787" s="245" t="str">
        <f t="shared" si="115"/>
        <v/>
      </c>
      <c r="E1787" s="534"/>
      <c r="F1787" s="534"/>
    </row>
    <row r="1788" spans="1:6" ht="15" customHeight="1">
      <c r="A1788" s="51"/>
      <c r="B1788" s="52" t="str">
        <f t="shared" si="114"/>
        <v/>
      </c>
      <c r="C1788" t="str">
        <f t="shared" si="113"/>
        <v/>
      </c>
      <c r="D1788" s="245" t="str">
        <f t="shared" si="115"/>
        <v/>
      </c>
      <c r="E1788" s="534"/>
      <c r="F1788" s="534"/>
    </row>
    <row r="1789" spans="1:6" ht="15" customHeight="1">
      <c r="A1789" s="51"/>
      <c r="B1789" s="52" t="str">
        <f t="shared" si="114"/>
        <v/>
      </c>
      <c r="C1789" t="str">
        <f t="shared" si="113"/>
        <v/>
      </c>
      <c r="D1789" s="245" t="str">
        <f t="shared" si="115"/>
        <v/>
      </c>
      <c r="E1789" s="534"/>
      <c r="F1789" s="534"/>
    </row>
    <row r="1790" spans="1:6" ht="15" customHeight="1">
      <c r="A1790" s="51"/>
      <c r="B1790" s="52" t="str">
        <f t="shared" si="114"/>
        <v/>
      </c>
      <c r="C1790" t="str">
        <f t="shared" si="113"/>
        <v/>
      </c>
      <c r="D1790" s="245" t="str">
        <f t="shared" si="115"/>
        <v/>
      </c>
      <c r="E1790" s="534"/>
      <c r="F1790" s="534"/>
    </row>
    <row r="1791" spans="1:6" ht="15" customHeight="1">
      <c r="A1791" s="51"/>
      <c r="B1791" s="52" t="str">
        <f t="shared" si="114"/>
        <v/>
      </c>
      <c r="C1791" t="str">
        <f t="shared" si="113"/>
        <v/>
      </c>
      <c r="D1791" s="245" t="str">
        <f t="shared" si="115"/>
        <v/>
      </c>
      <c r="E1791" s="534"/>
      <c r="F1791" s="534"/>
    </row>
    <row r="1792" spans="1:6" ht="15" customHeight="1">
      <c r="A1792" s="51"/>
      <c r="B1792" s="52" t="str">
        <f t="shared" si="114"/>
        <v/>
      </c>
      <c r="C1792" t="str">
        <f t="shared" si="113"/>
        <v/>
      </c>
      <c r="D1792" s="245" t="str">
        <f t="shared" si="115"/>
        <v/>
      </c>
      <c r="E1792" s="534"/>
      <c r="F1792" s="534"/>
    </row>
    <row r="1793" spans="1:6" ht="15" customHeight="1">
      <c r="A1793" s="51"/>
      <c r="B1793" s="52" t="str">
        <f t="shared" si="114"/>
        <v/>
      </c>
      <c r="C1793" t="str">
        <f t="shared" si="113"/>
        <v/>
      </c>
      <c r="D1793" s="245" t="str">
        <f t="shared" si="115"/>
        <v/>
      </c>
      <c r="E1793" s="534"/>
      <c r="F1793" s="534"/>
    </row>
    <row r="1794" spans="1:6" ht="15" customHeight="1">
      <c r="A1794" s="51"/>
      <c r="B1794" s="52" t="str">
        <f t="shared" si="114"/>
        <v/>
      </c>
      <c r="C1794" t="str">
        <f t="shared" ref="C1794:C1857" si="116">IF(A1794&lt;&gt;"",TEXT(A1794,"aaaa"),"")</f>
        <v/>
      </c>
      <c r="D1794" s="245" t="str">
        <f t="shared" si="115"/>
        <v/>
      </c>
      <c r="E1794" s="534"/>
      <c r="F1794" s="534"/>
    </row>
    <row r="1795" spans="1:6" ht="15" customHeight="1">
      <c r="A1795" s="51"/>
      <c r="B1795" s="52" t="str">
        <f t="shared" si="114"/>
        <v/>
      </c>
      <c r="C1795" t="str">
        <f t="shared" si="116"/>
        <v/>
      </c>
      <c r="D1795" s="245" t="str">
        <f t="shared" si="115"/>
        <v/>
      </c>
      <c r="E1795" s="534"/>
      <c r="F1795" s="534"/>
    </row>
    <row r="1796" spans="1:6" ht="15" customHeight="1">
      <c r="A1796" s="51"/>
      <c r="B1796" s="52" t="str">
        <f t="shared" si="114"/>
        <v/>
      </c>
      <c r="C1796" t="str">
        <f t="shared" si="116"/>
        <v/>
      </c>
      <c r="D1796" s="245" t="str">
        <f t="shared" si="115"/>
        <v/>
      </c>
      <c r="E1796" s="534"/>
      <c r="F1796" s="534"/>
    </row>
    <row r="1797" spans="1:6" ht="15" customHeight="1">
      <c r="A1797" s="51"/>
      <c r="B1797" s="52" t="str">
        <f t="shared" si="114"/>
        <v/>
      </c>
      <c r="C1797" t="str">
        <f t="shared" si="116"/>
        <v/>
      </c>
      <c r="D1797" s="245" t="str">
        <f t="shared" si="115"/>
        <v/>
      </c>
      <c r="E1797" s="534"/>
      <c r="F1797" s="534"/>
    </row>
    <row r="1798" spans="1:6" ht="15" customHeight="1">
      <c r="A1798" s="51"/>
      <c r="B1798" s="52" t="str">
        <f t="shared" si="114"/>
        <v/>
      </c>
      <c r="C1798" t="str">
        <f t="shared" si="116"/>
        <v/>
      </c>
      <c r="D1798" s="245" t="str">
        <f t="shared" si="115"/>
        <v/>
      </c>
      <c r="E1798" s="534"/>
      <c r="F1798" s="534"/>
    </row>
    <row r="1799" spans="1:6" ht="15" customHeight="1">
      <c r="A1799" s="51"/>
      <c r="B1799" s="52" t="str">
        <f t="shared" si="114"/>
        <v/>
      </c>
      <c r="C1799" t="str">
        <f t="shared" si="116"/>
        <v/>
      </c>
      <c r="D1799" s="245" t="str">
        <f t="shared" si="115"/>
        <v/>
      </c>
      <c r="E1799" s="534"/>
      <c r="F1799" s="534"/>
    </row>
    <row r="1800" spans="1:6" ht="15" customHeight="1">
      <c r="A1800" s="51"/>
      <c r="B1800" s="52" t="str">
        <f t="shared" ref="B1800:B1863" si="117">IF(A1800="","",TEXT(A1800,"DDDD"))</f>
        <v/>
      </c>
      <c r="C1800" t="str">
        <f t="shared" si="116"/>
        <v/>
      </c>
      <c r="D1800" s="245" t="str">
        <f t="shared" si="115"/>
        <v/>
      </c>
      <c r="E1800" s="534"/>
      <c r="F1800" s="534"/>
    </row>
    <row r="1801" spans="1:6" ht="15" customHeight="1">
      <c r="A1801" s="51"/>
      <c r="B1801" s="52" t="str">
        <f t="shared" si="117"/>
        <v/>
      </c>
      <c r="C1801" t="str">
        <f t="shared" si="116"/>
        <v/>
      </c>
      <c r="D1801" s="245" t="str">
        <f t="shared" ref="D1801:D1864" si="118">IF(A1801&lt;&gt;"",PROPER(TEXT(A1801,"Mmmm")),"")</f>
        <v/>
      </c>
      <c r="E1801" s="534"/>
      <c r="F1801" s="534"/>
    </row>
    <row r="1802" spans="1:6" ht="15" customHeight="1">
      <c r="A1802" s="51"/>
      <c r="B1802" s="52" t="str">
        <f t="shared" si="117"/>
        <v/>
      </c>
      <c r="C1802" t="str">
        <f t="shared" si="116"/>
        <v/>
      </c>
      <c r="D1802" s="245" t="str">
        <f t="shared" si="118"/>
        <v/>
      </c>
      <c r="E1802" s="534"/>
      <c r="F1802" s="534"/>
    </row>
    <row r="1803" spans="1:6" ht="15" customHeight="1">
      <c r="A1803" s="51"/>
      <c r="B1803" s="52" t="str">
        <f t="shared" si="117"/>
        <v/>
      </c>
      <c r="C1803" t="str">
        <f t="shared" si="116"/>
        <v/>
      </c>
      <c r="D1803" s="245" t="str">
        <f t="shared" si="118"/>
        <v/>
      </c>
      <c r="E1803" s="534"/>
      <c r="F1803" s="534"/>
    </row>
    <row r="1804" spans="1:6" ht="15" customHeight="1">
      <c r="A1804" s="51"/>
      <c r="B1804" s="52" t="str">
        <f t="shared" si="117"/>
        <v/>
      </c>
      <c r="C1804" t="str">
        <f t="shared" si="116"/>
        <v/>
      </c>
      <c r="D1804" s="245" t="str">
        <f t="shared" si="118"/>
        <v/>
      </c>
      <c r="E1804" s="534"/>
      <c r="F1804" s="534"/>
    </row>
    <row r="1805" spans="1:6" ht="15" customHeight="1">
      <c r="A1805" s="51"/>
      <c r="B1805" s="52" t="str">
        <f t="shared" si="117"/>
        <v/>
      </c>
      <c r="C1805" t="str">
        <f t="shared" si="116"/>
        <v/>
      </c>
      <c r="D1805" s="245" t="str">
        <f t="shared" si="118"/>
        <v/>
      </c>
      <c r="E1805" s="534"/>
      <c r="F1805" s="534"/>
    </row>
    <row r="1806" spans="1:6" ht="15" customHeight="1">
      <c r="A1806" s="51"/>
      <c r="B1806" s="52" t="str">
        <f t="shared" si="117"/>
        <v/>
      </c>
      <c r="C1806" t="str">
        <f t="shared" si="116"/>
        <v/>
      </c>
      <c r="D1806" s="245" t="str">
        <f t="shared" si="118"/>
        <v/>
      </c>
      <c r="E1806" s="534"/>
      <c r="F1806" s="534"/>
    </row>
    <row r="1807" spans="1:6" ht="15" customHeight="1">
      <c r="A1807" s="51"/>
      <c r="B1807" s="52" t="str">
        <f t="shared" si="117"/>
        <v/>
      </c>
      <c r="C1807" t="str">
        <f t="shared" si="116"/>
        <v/>
      </c>
      <c r="D1807" s="245" t="str">
        <f t="shared" si="118"/>
        <v/>
      </c>
      <c r="E1807" s="534"/>
      <c r="F1807" s="534"/>
    </row>
    <row r="1808" spans="1:6" ht="15" customHeight="1">
      <c r="A1808" s="51"/>
      <c r="B1808" s="52" t="str">
        <f t="shared" si="117"/>
        <v/>
      </c>
      <c r="C1808" t="str">
        <f t="shared" si="116"/>
        <v/>
      </c>
      <c r="D1808" s="245" t="str">
        <f t="shared" si="118"/>
        <v/>
      </c>
      <c r="E1808" s="534"/>
      <c r="F1808" s="534"/>
    </row>
    <row r="1809" spans="1:6" ht="15" customHeight="1">
      <c r="A1809" s="51"/>
      <c r="B1809" s="52" t="str">
        <f t="shared" si="117"/>
        <v/>
      </c>
      <c r="C1809" t="str">
        <f t="shared" si="116"/>
        <v/>
      </c>
      <c r="D1809" s="245" t="str">
        <f t="shared" si="118"/>
        <v/>
      </c>
      <c r="E1809" s="534"/>
      <c r="F1809" s="534"/>
    </row>
    <row r="1810" spans="1:6" ht="15" customHeight="1">
      <c r="A1810" s="51"/>
      <c r="B1810" s="52" t="str">
        <f t="shared" si="117"/>
        <v/>
      </c>
      <c r="C1810" t="str">
        <f t="shared" si="116"/>
        <v/>
      </c>
      <c r="D1810" s="245" t="str">
        <f t="shared" si="118"/>
        <v/>
      </c>
      <c r="E1810" s="534"/>
      <c r="F1810" s="534"/>
    </row>
    <row r="1811" spans="1:6" ht="15" customHeight="1">
      <c r="A1811" s="51"/>
      <c r="B1811" s="52" t="str">
        <f t="shared" si="117"/>
        <v/>
      </c>
      <c r="C1811" t="str">
        <f t="shared" si="116"/>
        <v/>
      </c>
      <c r="D1811" s="245" t="str">
        <f t="shared" si="118"/>
        <v/>
      </c>
      <c r="E1811" s="534"/>
      <c r="F1811" s="534"/>
    </row>
    <row r="1812" spans="1:6" ht="15" customHeight="1">
      <c r="A1812" s="51"/>
      <c r="B1812" s="52" t="str">
        <f t="shared" si="117"/>
        <v/>
      </c>
      <c r="C1812" t="str">
        <f t="shared" si="116"/>
        <v/>
      </c>
      <c r="D1812" s="245" t="str">
        <f t="shared" si="118"/>
        <v/>
      </c>
      <c r="E1812" s="534"/>
      <c r="F1812" s="534"/>
    </row>
    <row r="1813" spans="1:6" ht="15" customHeight="1">
      <c r="A1813" s="51"/>
      <c r="B1813" s="52" t="str">
        <f t="shared" si="117"/>
        <v/>
      </c>
      <c r="C1813" t="str">
        <f t="shared" si="116"/>
        <v/>
      </c>
      <c r="D1813" s="245" t="str">
        <f t="shared" si="118"/>
        <v/>
      </c>
      <c r="E1813" s="534"/>
      <c r="F1813" s="534"/>
    </row>
    <row r="1814" spans="1:6" ht="15" customHeight="1">
      <c r="A1814" s="51"/>
      <c r="B1814" s="52" t="str">
        <f t="shared" si="117"/>
        <v/>
      </c>
      <c r="C1814" t="str">
        <f t="shared" si="116"/>
        <v/>
      </c>
      <c r="D1814" s="245" t="str">
        <f t="shared" si="118"/>
        <v/>
      </c>
      <c r="E1814" s="534"/>
      <c r="F1814" s="534"/>
    </row>
    <row r="1815" spans="1:6" ht="15" customHeight="1">
      <c r="A1815" s="51"/>
      <c r="B1815" s="52" t="str">
        <f t="shared" si="117"/>
        <v/>
      </c>
      <c r="C1815" t="str">
        <f t="shared" si="116"/>
        <v/>
      </c>
      <c r="D1815" s="245" t="str">
        <f t="shared" si="118"/>
        <v/>
      </c>
      <c r="E1815" s="534"/>
      <c r="F1815" s="534"/>
    </row>
    <row r="1816" spans="1:6" ht="15" customHeight="1">
      <c r="A1816" s="51"/>
      <c r="B1816" s="52" t="str">
        <f t="shared" si="117"/>
        <v/>
      </c>
      <c r="C1816" t="str">
        <f t="shared" si="116"/>
        <v/>
      </c>
      <c r="D1816" s="245" t="str">
        <f t="shared" si="118"/>
        <v/>
      </c>
      <c r="E1816" s="534"/>
      <c r="F1816" s="534"/>
    </row>
    <row r="1817" spans="1:6" ht="15" customHeight="1">
      <c r="A1817" s="51"/>
      <c r="B1817" s="52" t="str">
        <f t="shared" si="117"/>
        <v/>
      </c>
      <c r="C1817" t="str">
        <f t="shared" si="116"/>
        <v/>
      </c>
      <c r="D1817" s="245" t="str">
        <f t="shared" si="118"/>
        <v/>
      </c>
      <c r="E1817" s="534"/>
      <c r="F1817" s="534"/>
    </row>
    <row r="1818" spans="1:6" ht="15" customHeight="1">
      <c r="A1818" s="51"/>
      <c r="B1818" s="52" t="str">
        <f t="shared" si="117"/>
        <v/>
      </c>
      <c r="C1818" t="str">
        <f t="shared" si="116"/>
        <v/>
      </c>
      <c r="D1818" s="245" t="str">
        <f t="shared" si="118"/>
        <v/>
      </c>
      <c r="E1818" s="534"/>
      <c r="F1818" s="534"/>
    </row>
    <row r="1819" spans="1:6" ht="15" customHeight="1">
      <c r="A1819" s="51"/>
      <c r="B1819" s="52" t="str">
        <f t="shared" si="117"/>
        <v/>
      </c>
      <c r="C1819" t="str">
        <f t="shared" si="116"/>
        <v/>
      </c>
      <c r="D1819" s="245" t="str">
        <f t="shared" si="118"/>
        <v/>
      </c>
      <c r="E1819" s="534"/>
      <c r="F1819" s="534"/>
    </row>
    <row r="1820" spans="1:6" ht="15" customHeight="1">
      <c r="A1820" s="51"/>
      <c r="B1820" s="52" t="str">
        <f t="shared" si="117"/>
        <v/>
      </c>
      <c r="C1820" t="str">
        <f t="shared" si="116"/>
        <v/>
      </c>
      <c r="D1820" s="245" t="str">
        <f t="shared" si="118"/>
        <v/>
      </c>
      <c r="E1820" s="534"/>
      <c r="F1820" s="534"/>
    </row>
    <row r="1821" spans="1:6" ht="15" customHeight="1">
      <c r="A1821" s="51"/>
      <c r="B1821" s="52" t="str">
        <f t="shared" si="117"/>
        <v/>
      </c>
      <c r="C1821" t="str">
        <f t="shared" si="116"/>
        <v/>
      </c>
      <c r="D1821" s="245" t="str">
        <f t="shared" si="118"/>
        <v/>
      </c>
      <c r="E1821" s="534"/>
      <c r="F1821" s="534"/>
    </row>
    <row r="1822" spans="1:6" ht="15" customHeight="1">
      <c r="A1822" s="51"/>
      <c r="B1822" s="52" t="str">
        <f t="shared" si="117"/>
        <v/>
      </c>
      <c r="C1822" t="str">
        <f t="shared" si="116"/>
        <v/>
      </c>
      <c r="D1822" s="245" t="str">
        <f t="shared" si="118"/>
        <v/>
      </c>
      <c r="E1822" s="534"/>
      <c r="F1822" s="534"/>
    </row>
    <row r="1823" spans="1:6" ht="15" customHeight="1">
      <c r="A1823" s="51"/>
      <c r="B1823" s="52" t="str">
        <f t="shared" si="117"/>
        <v/>
      </c>
      <c r="C1823" t="str">
        <f t="shared" si="116"/>
        <v/>
      </c>
      <c r="D1823" s="245" t="str">
        <f t="shared" si="118"/>
        <v/>
      </c>
      <c r="E1823" s="534"/>
      <c r="F1823" s="534"/>
    </row>
    <row r="1824" spans="1:6" ht="15" customHeight="1">
      <c r="A1824" s="51"/>
      <c r="B1824" s="52" t="str">
        <f t="shared" si="117"/>
        <v/>
      </c>
      <c r="C1824" t="str">
        <f t="shared" si="116"/>
        <v/>
      </c>
      <c r="D1824" s="245" t="str">
        <f t="shared" si="118"/>
        <v/>
      </c>
      <c r="E1824" s="534"/>
      <c r="F1824" s="534"/>
    </row>
    <row r="1825" spans="1:6" ht="15" customHeight="1">
      <c r="A1825" s="51"/>
      <c r="B1825" s="52" t="str">
        <f t="shared" si="117"/>
        <v/>
      </c>
      <c r="C1825" t="str">
        <f t="shared" si="116"/>
        <v/>
      </c>
      <c r="D1825" s="245" t="str">
        <f t="shared" si="118"/>
        <v/>
      </c>
      <c r="E1825" s="534"/>
      <c r="F1825" s="534"/>
    </row>
    <row r="1826" spans="1:6" ht="15" customHeight="1">
      <c r="A1826" s="51"/>
      <c r="B1826" s="52" t="str">
        <f t="shared" si="117"/>
        <v/>
      </c>
      <c r="C1826" t="str">
        <f t="shared" si="116"/>
        <v/>
      </c>
      <c r="D1826" s="245" t="str">
        <f t="shared" si="118"/>
        <v/>
      </c>
      <c r="E1826" s="534"/>
      <c r="F1826" s="534"/>
    </row>
    <row r="1827" spans="1:6" ht="15" customHeight="1">
      <c r="A1827" s="51"/>
      <c r="B1827" s="52" t="str">
        <f t="shared" si="117"/>
        <v/>
      </c>
      <c r="C1827" t="str">
        <f t="shared" si="116"/>
        <v/>
      </c>
      <c r="D1827" s="245" t="str">
        <f t="shared" si="118"/>
        <v/>
      </c>
      <c r="E1827" s="534"/>
      <c r="F1827" s="534"/>
    </row>
    <row r="1828" spans="1:6" ht="15" customHeight="1">
      <c r="A1828" s="51"/>
      <c r="B1828" s="52" t="str">
        <f t="shared" si="117"/>
        <v/>
      </c>
      <c r="C1828" t="str">
        <f t="shared" si="116"/>
        <v/>
      </c>
      <c r="D1828" s="245" t="str">
        <f t="shared" si="118"/>
        <v/>
      </c>
      <c r="E1828" s="534"/>
      <c r="F1828" s="534"/>
    </row>
    <row r="1829" spans="1:6" ht="15" customHeight="1">
      <c r="A1829" s="51"/>
      <c r="B1829" s="52" t="str">
        <f t="shared" si="117"/>
        <v/>
      </c>
      <c r="C1829" t="str">
        <f t="shared" si="116"/>
        <v/>
      </c>
      <c r="D1829" s="245" t="str">
        <f t="shared" si="118"/>
        <v/>
      </c>
      <c r="E1829" s="534"/>
      <c r="F1829" s="534"/>
    </row>
    <row r="1830" spans="1:6" ht="15" customHeight="1">
      <c r="A1830" s="51"/>
      <c r="B1830" s="52" t="str">
        <f t="shared" si="117"/>
        <v/>
      </c>
      <c r="C1830" t="str">
        <f t="shared" si="116"/>
        <v/>
      </c>
      <c r="D1830" s="245" t="str">
        <f t="shared" si="118"/>
        <v/>
      </c>
      <c r="E1830" s="534"/>
      <c r="F1830" s="534"/>
    </row>
    <row r="1831" spans="1:6" ht="15" customHeight="1">
      <c r="A1831" s="51"/>
      <c r="B1831" s="52" t="str">
        <f t="shared" si="117"/>
        <v/>
      </c>
      <c r="C1831" t="str">
        <f t="shared" si="116"/>
        <v/>
      </c>
      <c r="D1831" s="245" t="str">
        <f t="shared" si="118"/>
        <v/>
      </c>
      <c r="E1831" s="534"/>
      <c r="F1831" s="534"/>
    </row>
    <row r="1832" spans="1:6" ht="15" customHeight="1">
      <c r="A1832" s="51"/>
      <c r="B1832" s="52" t="str">
        <f t="shared" si="117"/>
        <v/>
      </c>
      <c r="C1832" t="str">
        <f t="shared" si="116"/>
        <v/>
      </c>
      <c r="D1832" s="245" t="str">
        <f t="shared" si="118"/>
        <v/>
      </c>
      <c r="E1832" s="534"/>
      <c r="F1832" s="534"/>
    </row>
    <row r="1833" spans="1:6" ht="15" customHeight="1">
      <c r="A1833" s="51"/>
      <c r="B1833" s="52" t="str">
        <f t="shared" si="117"/>
        <v/>
      </c>
      <c r="C1833" t="str">
        <f t="shared" si="116"/>
        <v/>
      </c>
      <c r="D1833" s="245" t="str">
        <f t="shared" si="118"/>
        <v/>
      </c>
      <c r="E1833" s="534"/>
      <c r="F1833" s="534"/>
    </row>
    <row r="1834" spans="1:6" ht="15" customHeight="1">
      <c r="A1834" s="51"/>
      <c r="B1834" s="52" t="str">
        <f t="shared" si="117"/>
        <v/>
      </c>
      <c r="C1834" t="str">
        <f t="shared" si="116"/>
        <v/>
      </c>
      <c r="D1834" s="245" t="str">
        <f t="shared" si="118"/>
        <v/>
      </c>
      <c r="E1834" s="534"/>
      <c r="F1834" s="534"/>
    </row>
    <row r="1835" spans="1:6" ht="15" customHeight="1">
      <c r="A1835" s="51"/>
      <c r="B1835" s="52" t="str">
        <f t="shared" si="117"/>
        <v/>
      </c>
      <c r="C1835" t="str">
        <f t="shared" si="116"/>
        <v/>
      </c>
      <c r="D1835" s="245" t="str">
        <f t="shared" si="118"/>
        <v/>
      </c>
      <c r="E1835" s="534"/>
      <c r="F1835" s="534"/>
    </row>
    <row r="1836" spans="1:6" ht="15" customHeight="1">
      <c r="A1836" s="51"/>
      <c r="B1836" s="52" t="str">
        <f t="shared" si="117"/>
        <v/>
      </c>
      <c r="C1836" t="str">
        <f t="shared" si="116"/>
        <v/>
      </c>
      <c r="D1836" s="245" t="str">
        <f t="shared" si="118"/>
        <v/>
      </c>
      <c r="E1836" s="534"/>
      <c r="F1836" s="534"/>
    </row>
    <row r="1837" spans="1:6" ht="15" customHeight="1">
      <c r="A1837" s="51"/>
      <c r="B1837" s="52" t="str">
        <f t="shared" si="117"/>
        <v/>
      </c>
      <c r="C1837" t="str">
        <f t="shared" si="116"/>
        <v/>
      </c>
      <c r="D1837" s="245" t="str">
        <f t="shared" si="118"/>
        <v/>
      </c>
      <c r="E1837" s="534"/>
      <c r="F1837" s="534"/>
    </row>
    <row r="1838" spans="1:6" ht="15" customHeight="1">
      <c r="A1838" s="51"/>
      <c r="B1838" s="52" t="str">
        <f t="shared" si="117"/>
        <v/>
      </c>
      <c r="C1838" t="str">
        <f t="shared" si="116"/>
        <v/>
      </c>
      <c r="D1838" s="245" t="str">
        <f t="shared" si="118"/>
        <v/>
      </c>
      <c r="E1838" s="534"/>
      <c r="F1838" s="534"/>
    </row>
    <row r="1839" spans="1:6" ht="15" customHeight="1">
      <c r="A1839" s="51"/>
      <c r="B1839" s="52" t="str">
        <f t="shared" si="117"/>
        <v/>
      </c>
      <c r="C1839" t="str">
        <f t="shared" si="116"/>
        <v/>
      </c>
      <c r="D1839" s="245" t="str">
        <f t="shared" si="118"/>
        <v/>
      </c>
      <c r="E1839" s="534"/>
      <c r="F1839" s="534"/>
    </row>
    <row r="1840" spans="1:6" ht="15" customHeight="1">
      <c r="A1840" s="51"/>
      <c r="B1840" s="52" t="str">
        <f t="shared" si="117"/>
        <v/>
      </c>
      <c r="C1840" t="str">
        <f t="shared" si="116"/>
        <v/>
      </c>
      <c r="D1840" s="245" t="str">
        <f t="shared" si="118"/>
        <v/>
      </c>
      <c r="E1840" s="534"/>
      <c r="F1840" s="534"/>
    </row>
    <row r="1841" spans="1:6" ht="15" customHeight="1">
      <c r="A1841" s="51"/>
      <c r="B1841" s="52" t="str">
        <f t="shared" si="117"/>
        <v/>
      </c>
      <c r="C1841" t="str">
        <f t="shared" si="116"/>
        <v/>
      </c>
      <c r="D1841" s="245" t="str">
        <f t="shared" si="118"/>
        <v/>
      </c>
      <c r="E1841" s="534"/>
      <c r="F1841" s="534"/>
    </row>
    <row r="1842" spans="1:6" ht="15" customHeight="1">
      <c r="A1842" s="51"/>
      <c r="B1842" s="52" t="str">
        <f t="shared" si="117"/>
        <v/>
      </c>
      <c r="C1842" t="str">
        <f t="shared" si="116"/>
        <v/>
      </c>
      <c r="D1842" s="245" t="str">
        <f t="shared" si="118"/>
        <v/>
      </c>
      <c r="E1842" s="534"/>
      <c r="F1842" s="534"/>
    </row>
    <row r="1843" spans="1:6" ht="15" customHeight="1">
      <c r="A1843" s="51"/>
      <c r="B1843" s="52" t="str">
        <f t="shared" si="117"/>
        <v/>
      </c>
      <c r="C1843" t="str">
        <f t="shared" si="116"/>
        <v/>
      </c>
      <c r="D1843" s="245" t="str">
        <f t="shared" si="118"/>
        <v/>
      </c>
      <c r="E1843" s="534"/>
      <c r="F1843" s="534"/>
    </row>
    <row r="1844" spans="1:6" ht="15" customHeight="1">
      <c r="A1844" s="51"/>
      <c r="B1844" s="52" t="str">
        <f t="shared" si="117"/>
        <v/>
      </c>
      <c r="C1844" t="str">
        <f t="shared" si="116"/>
        <v/>
      </c>
      <c r="D1844" s="245" t="str">
        <f t="shared" si="118"/>
        <v/>
      </c>
      <c r="E1844" s="534"/>
      <c r="F1844" s="534"/>
    </row>
    <row r="1845" spans="1:6" ht="15" customHeight="1">
      <c r="A1845" s="51"/>
      <c r="B1845" s="52" t="str">
        <f t="shared" si="117"/>
        <v/>
      </c>
      <c r="C1845" t="str">
        <f t="shared" si="116"/>
        <v/>
      </c>
      <c r="D1845" s="245" t="str">
        <f t="shared" si="118"/>
        <v/>
      </c>
      <c r="E1845" s="534"/>
      <c r="F1845" s="534"/>
    </row>
    <row r="1846" spans="1:6" ht="15" customHeight="1">
      <c r="A1846" s="51"/>
      <c r="B1846" s="52" t="str">
        <f t="shared" si="117"/>
        <v/>
      </c>
      <c r="C1846" t="str">
        <f t="shared" si="116"/>
        <v/>
      </c>
      <c r="D1846" s="245" t="str">
        <f t="shared" si="118"/>
        <v/>
      </c>
      <c r="E1846" s="534"/>
      <c r="F1846" s="534"/>
    </row>
    <row r="1847" spans="1:6" ht="15" customHeight="1">
      <c r="A1847" s="51"/>
      <c r="B1847" s="52" t="str">
        <f t="shared" si="117"/>
        <v/>
      </c>
      <c r="C1847" t="str">
        <f t="shared" si="116"/>
        <v/>
      </c>
      <c r="D1847" s="245" t="str">
        <f t="shared" si="118"/>
        <v/>
      </c>
      <c r="E1847" s="534"/>
      <c r="F1847" s="534"/>
    </row>
    <row r="1848" spans="1:6" ht="15" customHeight="1">
      <c r="A1848" s="51"/>
      <c r="B1848" s="52" t="str">
        <f t="shared" si="117"/>
        <v/>
      </c>
      <c r="C1848" t="str">
        <f t="shared" si="116"/>
        <v/>
      </c>
      <c r="D1848" s="245" t="str">
        <f t="shared" si="118"/>
        <v/>
      </c>
      <c r="E1848" s="534"/>
      <c r="F1848" s="534"/>
    </row>
    <row r="1849" spans="1:6" ht="15" customHeight="1">
      <c r="A1849" s="51"/>
      <c r="B1849" s="52" t="str">
        <f t="shared" si="117"/>
        <v/>
      </c>
      <c r="C1849" t="str">
        <f t="shared" si="116"/>
        <v/>
      </c>
      <c r="D1849" s="245" t="str">
        <f t="shared" si="118"/>
        <v/>
      </c>
      <c r="E1849" s="534"/>
      <c r="F1849" s="534"/>
    </row>
    <row r="1850" spans="1:6" ht="15" customHeight="1">
      <c r="A1850" s="51"/>
      <c r="B1850" s="52" t="str">
        <f t="shared" si="117"/>
        <v/>
      </c>
      <c r="C1850" t="str">
        <f t="shared" si="116"/>
        <v/>
      </c>
      <c r="D1850" s="245" t="str">
        <f t="shared" si="118"/>
        <v/>
      </c>
      <c r="E1850" s="534"/>
      <c r="F1850" s="534"/>
    </row>
    <row r="1851" spans="1:6" ht="15" customHeight="1">
      <c r="A1851" s="51"/>
      <c r="B1851" s="52" t="str">
        <f t="shared" si="117"/>
        <v/>
      </c>
      <c r="C1851" t="str">
        <f t="shared" si="116"/>
        <v/>
      </c>
      <c r="D1851" s="245" t="str">
        <f t="shared" si="118"/>
        <v/>
      </c>
      <c r="E1851" s="534"/>
      <c r="F1851" s="534"/>
    </row>
    <row r="1852" spans="1:6" ht="15" customHeight="1">
      <c r="A1852" s="51"/>
      <c r="B1852" s="52" t="str">
        <f t="shared" si="117"/>
        <v/>
      </c>
      <c r="C1852" t="str">
        <f t="shared" si="116"/>
        <v/>
      </c>
      <c r="D1852" s="245" t="str">
        <f t="shared" si="118"/>
        <v/>
      </c>
      <c r="E1852" s="534"/>
      <c r="F1852" s="534"/>
    </row>
    <row r="1853" spans="1:6" ht="15" customHeight="1">
      <c r="A1853" s="51"/>
      <c r="B1853" s="52" t="str">
        <f t="shared" si="117"/>
        <v/>
      </c>
      <c r="C1853" t="str">
        <f t="shared" si="116"/>
        <v/>
      </c>
      <c r="D1853" s="245" t="str">
        <f t="shared" si="118"/>
        <v/>
      </c>
      <c r="E1853" s="534"/>
      <c r="F1853" s="534"/>
    </row>
    <row r="1854" spans="1:6" ht="15" customHeight="1">
      <c r="A1854" s="51"/>
      <c r="B1854" s="52" t="str">
        <f t="shared" si="117"/>
        <v/>
      </c>
      <c r="C1854" t="str">
        <f t="shared" si="116"/>
        <v/>
      </c>
      <c r="D1854" s="245" t="str">
        <f t="shared" si="118"/>
        <v/>
      </c>
      <c r="E1854" s="534"/>
      <c r="F1854" s="534"/>
    </row>
    <row r="1855" spans="1:6" ht="15" customHeight="1">
      <c r="A1855" s="51"/>
      <c r="B1855" s="52" t="str">
        <f t="shared" si="117"/>
        <v/>
      </c>
      <c r="C1855" t="str">
        <f t="shared" si="116"/>
        <v/>
      </c>
      <c r="D1855" s="245" t="str">
        <f t="shared" si="118"/>
        <v/>
      </c>
      <c r="E1855" s="534"/>
      <c r="F1855" s="534"/>
    </row>
    <row r="1856" spans="1:6" ht="15" customHeight="1">
      <c r="A1856" s="51"/>
      <c r="B1856" s="52" t="str">
        <f t="shared" si="117"/>
        <v/>
      </c>
      <c r="C1856" t="str">
        <f t="shared" si="116"/>
        <v/>
      </c>
      <c r="D1856" s="245" t="str">
        <f t="shared" si="118"/>
        <v/>
      </c>
      <c r="E1856" s="534"/>
      <c r="F1856" s="534"/>
    </row>
    <row r="1857" spans="1:6" ht="15" customHeight="1">
      <c r="A1857" s="51"/>
      <c r="B1857" s="52" t="str">
        <f t="shared" si="117"/>
        <v/>
      </c>
      <c r="C1857" t="str">
        <f t="shared" si="116"/>
        <v/>
      </c>
      <c r="D1857" s="245" t="str">
        <f t="shared" si="118"/>
        <v/>
      </c>
      <c r="E1857" s="534"/>
      <c r="F1857" s="534"/>
    </row>
    <row r="1858" spans="1:6" ht="15" customHeight="1">
      <c r="A1858" s="51"/>
      <c r="B1858" s="52" t="str">
        <f t="shared" si="117"/>
        <v/>
      </c>
      <c r="C1858" t="str">
        <f t="shared" ref="C1858:C1921" si="119">IF(A1858&lt;&gt;"",TEXT(A1858,"aaaa"),"")</f>
        <v/>
      </c>
      <c r="D1858" s="245" t="str">
        <f t="shared" si="118"/>
        <v/>
      </c>
      <c r="E1858" s="534"/>
      <c r="F1858" s="534"/>
    </row>
    <row r="1859" spans="1:6" ht="15" customHeight="1">
      <c r="A1859" s="51"/>
      <c r="B1859" s="52" t="str">
        <f t="shared" si="117"/>
        <v/>
      </c>
      <c r="C1859" t="str">
        <f t="shared" si="119"/>
        <v/>
      </c>
      <c r="D1859" s="245" t="str">
        <f t="shared" si="118"/>
        <v/>
      </c>
      <c r="E1859" s="534"/>
      <c r="F1859" s="534"/>
    </row>
    <row r="1860" spans="1:6" ht="15" customHeight="1">
      <c r="A1860" s="51"/>
      <c r="B1860" s="52" t="str">
        <f t="shared" si="117"/>
        <v/>
      </c>
      <c r="C1860" t="str">
        <f t="shared" si="119"/>
        <v/>
      </c>
      <c r="D1860" s="245" t="str">
        <f t="shared" si="118"/>
        <v/>
      </c>
      <c r="E1860" s="534"/>
      <c r="F1860" s="534"/>
    </row>
    <row r="1861" spans="1:6" ht="15" customHeight="1">
      <c r="A1861" s="51"/>
      <c r="B1861" s="52" t="str">
        <f t="shared" si="117"/>
        <v/>
      </c>
      <c r="C1861" t="str">
        <f t="shared" si="119"/>
        <v/>
      </c>
      <c r="D1861" s="245" t="str">
        <f t="shared" si="118"/>
        <v/>
      </c>
      <c r="E1861" s="534"/>
      <c r="F1861" s="534"/>
    </row>
    <row r="1862" spans="1:6" ht="15" customHeight="1">
      <c r="A1862" s="51"/>
      <c r="B1862" s="52" t="str">
        <f t="shared" si="117"/>
        <v/>
      </c>
      <c r="C1862" t="str">
        <f t="shared" si="119"/>
        <v/>
      </c>
      <c r="D1862" s="245" t="str">
        <f t="shared" si="118"/>
        <v/>
      </c>
      <c r="E1862" s="534"/>
      <c r="F1862" s="534"/>
    </row>
    <row r="1863" spans="1:6" ht="15" customHeight="1">
      <c r="A1863" s="51"/>
      <c r="B1863" s="52" t="str">
        <f t="shared" si="117"/>
        <v/>
      </c>
      <c r="C1863" t="str">
        <f t="shared" si="119"/>
        <v/>
      </c>
      <c r="D1863" s="245" t="str">
        <f t="shared" si="118"/>
        <v/>
      </c>
      <c r="E1863" s="534"/>
      <c r="F1863" s="534"/>
    </row>
    <row r="1864" spans="1:6" ht="15" customHeight="1">
      <c r="A1864" s="51"/>
      <c r="B1864" s="52" t="str">
        <f t="shared" ref="B1864:B1927" si="120">IF(A1864="","",TEXT(A1864,"DDDD"))</f>
        <v/>
      </c>
      <c r="C1864" t="str">
        <f t="shared" si="119"/>
        <v/>
      </c>
      <c r="D1864" s="245" t="str">
        <f t="shared" si="118"/>
        <v/>
      </c>
      <c r="E1864" s="534"/>
      <c r="F1864" s="534"/>
    </row>
    <row r="1865" spans="1:6" ht="15" customHeight="1">
      <c r="A1865" s="51"/>
      <c r="B1865" s="52" t="str">
        <f t="shared" si="120"/>
        <v/>
      </c>
      <c r="C1865" t="str">
        <f t="shared" si="119"/>
        <v/>
      </c>
      <c r="D1865" s="245" t="str">
        <f t="shared" ref="D1865:D1928" si="121">IF(A1865&lt;&gt;"",PROPER(TEXT(A1865,"Mmmm")),"")</f>
        <v/>
      </c>
      <c r="E1865" s="534"/>
      <c r="F1865" s="534"/>
    </row>
    <row r="1866" spans="1:6" ht="15" customHeight="1">
      <c r="A1866" s="51"/>
      <c r="B1866" s="52" t="str">
        <f t="shared" si="120"/>
        <v/>
      </c>
      <c r="C1866" t="str">
        <f t="shared" si="119"/>
        <v/>
      </c>
      <c r="D1866" s="245" t="str">
        <f t="shared" si="121"/>
        <v/>
      </c>
      <c r="E1866" s="534"/>
      <c r="F1866" s="534"/>
    </row>
    <row r="1867" spans="1:6" ht="15" customHeight="1">
      <c r="A1867" s="51"/>
      <c r="B1867" s="52" t="str">
        <f t="shared" si="120"/>
        <v/>
      </c>
      <c r="C1867" t="str">
        <f t="shared" si="119"/>
        <v/>
      </c>
      <c r="D1867" s="245" t="str">
        <f t="shared" si="121"/>
        <v/>
      </c>
      <c r="E1867" s="534"/>
      <c r="F1867" s="534"/>
    </row>
    <row r="1868" spans="1:6" ht="15" customHeight="1">
      <c r="A1868" s="51"/>
      <c r="B1868" s="52" t="str">
        <f t="shared" si="120"/>
        <v/>
      </c>
      <c r="C1868" t="str">
        <f t="shared" si="119"/>
        <v/>
      </c>
      <c r="D1868" s="245" t="str">
        <f t="shared" si="121"/>
        <v/>
      </c>
      <c r="E1868" s="534"/>
      <c r="F1868" s="534"/>
    </row>
    <row r="1869" spans="1:6" ht="15" customHeight="1">
      <c r="A1869" s="51"/>
      <c r="B1869" s="52" t="str">
        <f t="shared" si="120"/>
        <v/>
      </c>
      <c r="C1869" t="str">
        <f t="shared" si="119"/>
        <v/>
      </c>
      <c r="D1869" s="245" t="str">
        <f t="shared" si="121"/>
        <v/>
      </c>
      <c r="E1869" s="534"/>
      <c r="F1869" s="534"/>
    </row>
    <row r="1870" spans="1:6" ht="15" customHeight="1">
      <c r="A1870" s="51"/>
      <c r="B1870" s="52" t="str">
        <f t="shared" si="120"/>
        <v/>
      </c>
      <c r="C1870" t="str">
        <f t="shared" si="119"/>
        <v/>
      </c>
      <c r="D1870" s="245" t="str">
        <f t="shared" si="121"/>
        <v/>
      </c>
      <c r="E1870" s="534"/>
      <c r="F1870" s="534"/>
    </row>
    <row r="1871" spans="1:6" ht="15" customHeight="1">
      <c r="A1871" s="51"/>
      <c r="B1871" s="52" t="str">
        <f t="shared" si="120"/>
        <v/>
      </c>
      <c r="C1871" t="str">
        <f t="shared" si="119"/>
        <v/>
      </c>
      <c r="D1871" s="245" t="str">
        <f t="shared" si="121"/>
        <v/>
      </c>
      <c r="E1871" s="534"/>
      <c r="F1871" s="534"/>
    </row>
    <row r="1872" spans="1:6" ht="15" customHeight="1">
      <c r="A1872" s="51"/>
      <c r="B1872" s="52" t="str">
        <f t="shared" si="120"/>
        <v/>
      </c>
      <c r="C1872" t="str">
        <f t="shared" si="119"/>
        <v/>
      </c>
      <c r="D1872" s="245" t="str">
        <f t="shared" si="121"/>
        <v/>
      </c>
      <c r="E1872" s="534"/>
      <c r="F1872" s="534"/>
    </row>
    <row r="1873" spans="1:6" ht="15" customHeight="1">
      <c r="A1873" s="51"/>
      <c r="B1873" s="52" t="str">
        <f t="shared" si="120"/>
        <v/>
      </c>
      <c r="C1873" t="str">
        <f t="shared" si="119"/>
        <v/>
      </c>
      <c r="D1873" s="245" t="str">
        <f t="shared" si="121"/>
        <v/>
      </c>
      <c r="E1873" s="534"/>
      <c r="F1873" s="534"/>
    </row>
    <row r="1874" spans="1:6" ht="15" customHeight="1">
      <c r="A1874" s="51"/>
      <c r="B1874" s="52" t="str">
        <f t="shared" si="120"/>
        <v/>
      </c>
      <c r="C1874" t="str">
        <f t="shared" si="119"/>
        <v/>
      </c>
      <c r="D1874" s="245" t="str">
        <f t="shared" si="121"/>
        <v/>
      </c>
      <c r="E1874" s="534"/>
      <c r="F1874" s="534"/>
    </row>
    <row r="1875" spans="1:6" ht="15" customHeight="1">
      <c r="A1875" s="51"/>
      <c r="B1875" s="52" t="str">
        <f t="shared" si="120"/>
        <v/>
      </c>
      <c r="C1875" t="str">
        <f t="shared" si="119"/>
        <v/>
      </c>
      <c r="D1875" s="245" t="str">
        <f t="shared" si="121"/>
        <v/>
      </c>
      <c r="E1875" s="534"/>
      <c r="F1875" s="534"/>
    </row>
    <row r="1876" spans="1:6" ht="15" customHeight="1">
      <c r="A1876" s="51"/>
      <c r="B1876" s="52" t="str">
        <f t="shared" si="120"/>
        <v/>
      </c>
      <c r="C1876" t="str">
        <f t="shared" si="119"/>
        <v/>
      </c>
      <c r="D1876" s="245" t="str">
        <f t="shared" si="121"/>
        <v/>
      </c>
      <c r="E1876" s="534"/>
      <c r="F1876" s="534"/>
    </row>
    <row r="1877" spans="1:6" ht="15" customHeight="1">
      <c r="A1877" s="51"/>
      <c r="B1877" s="52" t="str">
        <f t="shared" si="120"/>
        <v/>
      </c>
      <c r="C1877" t="str">
        <f t="shared" si="119"/>
        <v/>
      </c>
      <c r="D1877" s="245" t="str">
        <f t="shared" si="121"/>
        <v/>
      </c>
      <c r="E1877" s="534"/>
      <c r="F1877" s="534"/>
    </row>
    <row r="1878" spans="1:6" ht="15" customHeight="1">
      <c r="A1878" s="51"/>
      <c r="B1878" s="52" t="str">
        <f t="shared" si="120"/>
        <v/>
      </c>
      <c r="C1878" t="str">
        <f t="shared" si="119"/>
        <v/>
      </c>
      <c r="D1878" s="245" t="str">
        <f t="shared" si="121"/>
        <v/>
      </c>
      <c r="E1878" s="534"/>
      <c r="F1878" s="534"/>
    </row>
    <row r="1879" spans="1:6" ht="15" customHeight="1">
      <c r="A1879" s="51"/>
      <c r="B1879" s="52" t="str">
        <f t="shared" si="120"/>
        <v/>
      </c>
      <c r="C1879" t="str">
        <f t="shared" si="119"/>
        <v/>
      </c>
      <c r="D1879" s="245" t="str">
        <f t="shared" si="121"/>
        <v/>
      </c>
      <c r="E1879" s="534"/>
      <c r="F1879" s="534"/>
    </row>
    <row r="1880" spans="1:6" ht="15" customHeight="1">
      <c r="A1880" s="51"/>
      <c r="B1880" s="52" t="str">
        <f t="shared" si="120"/>
        <v/>
      </c>
      <c r="C1880" t="str">
        <f t="shared" si="119"/>
        <v/>
      </c>
      <c r="D1880" s="245" t="str">
        <f t="shared" si="121"/>
        <v/>
      </c>
      <c r="E1880" s="534"/>
      <c r="F1880" s="534"/>
    </row>
    <row r="1881" spans="1:6" ht="15" customHeight="1">
      <c r="A1881" s="51"/>
      <c r="B1881" s="52" t="str">
        <f t="shared" si="120"/>
        <v/>
      </c>
      <c r="C1881" t="str">
        <f t="shared" si="119"/>
        <v/>
      </c>
      <c r="D1881" s="245" t="str">
        <f t="shared" si="121"/>
        <v/>
      </c>
      <c r="E1881" s="534"/>
      <c r="F1881" s="534"/>
    </row>
    <row r="1882" spans="1:6" ht="15" customHeight="1">
      <c r="A1882" s="51"/>
      <c r="B1882" s="52" t="str">
        <f t="shared" si="120"/>
        <v/>
      </c>
      <c r="C1882" t="str">
        <f t="shared" si="119"/>
        <v/>
      </c>
      <c r="D1882" s="245" t="str">
        <f t="shared" si="121"/>
        <v/>
      </c>
      <c r="E1882" s="534"/>
      <c r="F1882" s="534"/>
    </row>
    <row r="1883" spans="1:6" ht="15" customHeight="1">
      <c r="A1883" s="51"/>
      <c r="B1883" s="52" t="str">
        <f t="shared" si="120"/>
        <v/>
      </c>
      <c r="C1883" t="str">
        <f t="shared" si="119"/>
        <v/>
      </c>
      <c r="D1883" s="245" t="str">
        <f t="shared" si="121"/>
        <v/>
      </c>
      <c r="E1883" s="534"/>
      <c r="F1883" s="534"/>
    </row>
    <row r="1884" spans="1:6" ht="15" customHeight="1">
      <c r="A1884" s="51"/>
      <c r="B1884" s="52" t="str">
        <f t="shared" si="120"/>
        <v/>
      </c>
      <c r="C1884" t="str">
        <f t="shared" si="119"/>
        <v/>
      </c>
      <c r="D1884" s="245" t="str">
        <f t="shared" si="121"/>
        <v/>
      </c>
      <c r="E1884" s="534"/>
      <c r="F1884" s="534"/>
    </row>
    <row r="1885" spans="1:6" ht="15" customHeight="1">
      <c r="A1885" s="51"/>
      <c r="B1885" s="52" t="str">
        <f t="shared" si="120"/>
        <v/>
      </c>
      <c r="C1885" t="str">
        <f t="shared" si="119"/>
        <v/>
      </c>
      <c r="D1885" s="245" t="str">
        <f t="shared" si="121"/>
        <v/>
      </c>
      <c r="E1885" s="534"/>
      <c r="F1885" s="534"/>
    </row>
    <row r="1886" spans="1:6" ht="15" customHeight="1">
      <c r="A1886" s="51"/>
      <c r="B1886" s="52" t="str">
        <f t="shared" si="120"/>
        <v/>
      </c>
      <c r="C1886" t="str">
        <f t="shared" si="119"/>
        <v/>
      </c>
      <c r="D1886" s="245" t="str">
        <f t="shared" si="121"/>
        <v/>
      </c>
      <c r="E1886" s="534"/>
      <c r="F1886" s="534"/>
    </row>
    <row r="1887" spans="1:6" ht="15" customHeight="1">
      <c r="A1887" s="51"/>
      <c r="B1887" s="52" t="str">
        <f t="shared" si="120"/>
        <v/>
      </c>
      <c r="C1887" t="str">
        <f t="shared" si="119"/>
        <v/>
      </c>
      <c r="D1887" s="245" t="str">
        <f t="shared" si="121"/>
        <v/>
      </c>
      <c r="E1887" s="534"/>
      <c r="F1887" s="534"/>
    </row>
    <row r="1888" spans="1:6" ht="15" customHeight="1">
      <c r="A1888" s="51"/>
      <c r="B1888" s="52" t="str">
        <f t="shared" si="120"/>
        <v/>
      </c>
      <c r="C1888" t="str">
        <f t="shared" si="119"/>
        <v/>
      </c>
      <c r="D1888" s="245" t="str">
        <f t="shared" si="121"/>
        <v/>
      </c>
      <c r="E1888" s="534"/>
      <c r="F1888" s="534"/>
    </row>
    <row r="1889" spans="1:6" ht="15" customHeight="1">
      <c r="A1889" s="51"/>
      <c r="B1889" s="52" t="str">
        <f t="shared" si="120"/>
        <v/>
      </c>
      <c r="C1889" t="str">
        <f t="shared" si="119"/>
        <v/>
      </c>
      <c r="D1889" s="245" t="str">
        <f t="shared" si="121"/>
        <v/>
      </c>
      <c r="E1889" s="534"/>
      <c r="F1889" s="534"/>
    </row>
    <row r="1890" spans="1:6" ht="15" customHeight="1">
      <c r="A1890" s="51"/>
      <c r="B1890" s="52" t="str">
        <f t="shared" si="120"/>
        <v/>
      </c>
      <c r="C1890" t="str">
        <f t="shared" si="119"/>
        <v/>
      </c>
      <c r="D1890" s="245" t="str">
        <f t="shared" si="121"/>
        <v/>
      </c>
      <c r="E1890" s="534"/>
      <c r="F1890" s="534"/>
    </row>
    <row r="1891" spans="1:6" ht="15" customHeight="1">
      <c r="A1891" s="51"/>
      <c r="B1891" s="52" t="str">
        <f t="shared" si="120"/>
        <v/>
      </c>
      <c r="C1891" t="str">
        <f t="shared" si="119"/>
        <v/>
      </c>
      <c r="D1891" s="245" t="str">
        <f t="shared" si="121"/>
        <v/>
      </c>
      <c r="E1891" s="534"/>
      <c r="F1891" s="534"/>
    </row>
    <row r="1892" spans="1:6" ht="15" customHeight="1">
      <c r="A1892" s="51"/>
      <c r="B1892" s="52" t="str">
        <f t="shared" si="120"/>
        <v/>
      </c>
      <c r="C1892" t="str">
        <f t="shared" si="119"/>
        <v/>
      </c>
      <c r="D1892" s="245" t="str">
        <f t="shared" si="121"/>
        <v/>
      </c>
      <c r="E1892" s="534"/>
      <c r="F1892" s="534"/>
    </row>
    <row r="1893" spans="1:6" ht="15" customHeight="1">
      <c r="A1893" s="51"/>
      <c r="B1893" s="52" t="str">
        <f t="shared" si="120"/>
        <v/>
      </c>
      <c r="C1893" t="str">
        <f t="shared" si="119"/>
        <v/>
      </c>
      <c r="D1893" s="245" t="str">
        <f t="shared" si="121"/>
        <v/>
      </c>
      <c r="E1893" s="534"/>
      <c r="F1893" s="534"/>
    </row>
    <row r="1894" spans="1:6" ht="15" customHeight="1">
      <c r="A1894" s="51"/>
      <c r="B1894" s="52" t="str">
        <f t="shared" si="120"/>
        <v/>
      </c>
      <c r="C1894" t="str">
        <f t="shared" si="119"/>
        <v/>
      </c>
      <c r="D1894" s="245" t="str">
        <f t="shared" si="121"/>
        <v/>
      </c>
      <c r="E1894" s="534"/>
      <c r="F1894" s="534"/>
    </row>
    <row r="1895" spans="1:6" ht="15" customHeight="1">
      <c r="A1895" s="51"/>
      <c r="B1895" s="52" t="str">
        <f t="shared" si="120"/>
        <v/>
      </c>
      <c r="C1895" t="str">
        <f t="shared" si="119"/>
        <v/>
      </c>
      <c r="D1895" s="245" t="str">
        <f t="shared" si="121"/>
        <v/>
      </c>
      <c r="E1895" s="534"/>
      <c r="F1895" s="534"/>
    </row>
    <row r="1896" spans="1:6" ht="15" customHeight="1">
      <c r="A1896" s="51"/>
      <c r="B1896" s="52" t="str">
        <f t="shared" si="120"/>
        <v/>
      </c>
      <c r="C1896" t="str">
        <f t="shared" si="119"/>
        <v/>
      </c>
      <c r="D1896" s="245" t="str">
        <f t="shared" si="121"/>
        <v/>
      </c>
      <c r="E1896" s="534"/>
      <c r="F1896" s="534"/>
    </row>
    <row r="1897" spans="1:6" ht="15" customHeight="1">
      <c r="A1897" s="51"/>
      <c r="B1897" s="52" t="str">
        <f t="shared" si="120"/>
        <v/>
      </c>
      <c r="C1897" t="str">
        <f t="shared" si="119"/>
        <v/>
      </c>
      <c r="D1897" s="245" t="str">
        <f t="shared" si="121"/>
        <v/>
      </c>
      <c r="E1897" s="534"/>
      <c r="F1897" s="534"/>
    </row>
    <row r="1898" spans="1:6" ht="15" customHeight="1">
      <c r="A1898" s="51"/>
      <c r="B1898" s="52" t="str">
        <f t="shared" si="120"/>
        <v/>
      </c>
      <c r="C1898" t="str">
        <f t="shared" si="119"/>
        <v/>
      </c>
      <c r="D1898" s="245" t="str">
        <f t="shared" si="121"/>
        <v/>
      </c>
      <c r="E1898" s="534"/>
      <c r="F1898" s="534"/>
    </row>
    <row r="1899" spans="1:6" ht="15" customHeight="1">
      <c r="A1899" s="51"/>
      <c r="B1899" s="52" t="str">
        <f t="shared" si="120"/>
        <v/>
      </c>
      <c r="C1899" t="str">
        <f t="shared" si="119"/>
        <v/>
      </c>
      <c r="D1899" s="245" t="str">
        <f t="shared" si="121"/>
        <v/>
      </c>
      <c r="E1899" s="534"/>
      <c r="F1899" s="534"/>
    </row>
    <row r="1900" spans="1:6" ht="15" customHeight="1">
      <c r="A1900" s="51"/>
      <c r="B1900" s="52" t="str">
        <f t="shared" si="120"/>
        <v/>
      </c>
      <c r="C1900" t="str">
        <f t="shared" si="119"/>
        <v/>
      </c>
      <c r="D1900" s="245" t="str">
        <f t="shared" si="121"/>
        <v/>
      </c>
      <c r="E1900" s="534"/>
      <c r="F1900" s="534"/>
    </row>
    <row r="1901" spans="1:6" ht="15" customHeight="1">
      <c r="A1901" s="51"/>
      <c r="B1901" s="52" t="str">
        <f t="shared" si="120"/>
        <v/>
      </c>
      <c r="C1901" t="str">
        <f t="shared" si="119"/>
        <v/>
      </c>
      <c r="D1901" s="245" t="str">
        <f t="shared" si="121"/>
        <v/>
      </c>
      <c r="E1901" s="534"/>
      <c r="F1901" s="534"/>
    </row>
    <row r="1902" spans="1:6" ht="15" customHeight="1">
      <c r="A1902" s="51"/>
      <c r="B1902" s="52" t="str">
        <f t="shared" si="120"/>
        <v/>
      </c>
      <c r="C1902" t="str">
        <f t="shared" si="119"/>
        <v/>
      </c>
      <c r="D1902" s="245" t="str">
        <f t="shared" si="121"/>
        <v/>
      </c>
      <c r="E1902" s="534"/>
      <c r="F1902" s="534"/>
    </row>
    <row r="1903" spans="1:6" ht="15" customHeight="1">
      <c r="A1903" s="51"/>
      <c r="B1903" s="52" t="str">
        <f t="shared" si="120"/>
        <v/>
      </c>
      <c r="C1903" t="str">
        <f t="shared" si="119"/>
        <v/>
      </c>
      <c r="D1903" s="245" t="str">
        <f t="shared" si="121"/>
        <v/>
      </c>
      <c r="E1903" s="534"/>
      <c r="F1903" s="534"/>
    </row>
    <row r="1904" spans="1:6" ht="15" customHeight="1">
      <c r="A1904" s="51"/>
      <c r="B1904" s="52" t="str">
        <f t="shared" si="120"/>
        <v/>
      </c>
      <c r="C1904" t="str">
        <f t="shared" si="119"/>
        <v/>
      </c>
      <c r="D1904" s="245" t="str">
        <f t="shared" si="121"/>
        <v/>
      </c>
      <c r="E1904" s="534"/>
      <c r="F1904" s="534"/>
    </row>
    <row r="1905" spans="1:6" ht="15" customHeight="1">
      <c r="A1905" s="51"/>
      <c r="B1905" s="52" t="str">
        <f t="shared" si="120"/>
        <v/>
      </c>
      <c r="C1905" t="str">
        <f t="shared" si="119"/>
        <v/>
      </c>
      <c r="D1905" s="245" t="str">
        <f t="shared" si="121"/>
        <v/>
      </c>
      <c r="E1905" s="534"/>
      <c r="F1905" s="534"/>
    </row>
    <row r="1906" spans="1:6" ht="15" customHeight="1">
      <c r="A1906" s="51"/>
      <c r="B1906" s="52" t="str">
        <f t="shared" si="120"/>
        <v/>
      </c>
      <c r="C1906" t="str">
        <f t="shared" si="119"/>
        <v/>
      </c>
      <c r="D1906" s="245" t="str">
        <f t="shared" si="121"/>
        <v/>
      </c>
      <c r="E1906" s="534"/>
      <c r="F1906" s="534"/>
    </row>
    <row r="1907" spans="1:6" ht="15" customHeight="1">
      <c r="A1907" s="51"/>
      <c r="B1907" s="52" t="str">
        <f t="shared" si="120"/>
        <v/>
      </c>
      <c r="C1907" t="str">
        <f t="shared" si="119"/>
        <v/>
      </c>
      <c r="D1907" s="245" t="str">
        <f t="shared" si="121"/>
        <v/>
      </c>
      <c r="E1907" s="534"/>
      <c r="F1907" s="534"/>
    </row>
    <row r="1908" spans="1:6" ht="15" customHeight="1">
      <c r="A1908" s="51"/>
      <c r="B1908" s="52" t="str">
        <f t="shared" si="120"/>
        <v/>
      </c>
      <c r="C1908" t="str">
        <f t="shared" si="119"/>
        <v/>
      </c>
      <c r="D1908" s="245" t="str">
        <f t="shared" si="121"/>
        <v/>
      </c>
      <c r="E1908" s="534"/>
      <c r="F1908" s="534"/>
    </row>
    <row r="1909" spans="1:6" ht="15" customHeight="1">
      <c r="A1909" s="51"/>
      <c r="B1909" s="52" t="str">
        <f t="shared" si="120"/>
        <v/>
      </c>
      <c r="C1909" t="str">
        <f t="shared" si="119"/>
        <v/>
      </c>
      <c r="D1909" s="245" t="str">
        <f t="shared" si="121"/>
        <v/>
      </c>
      <c r="E1909" s="534"/>
      <c r="F1909" s="534"/>
    </row>
    <row r="1910" spans="1:6" ht="15" customHeight="1">
      <c r="A1910" s="51"/>
      <c r="B1910" s="52" t="str">
        <f t="shared" si="120"/>
        <v/>
      </c>
      <c r="C1910" t="str">
        <f t="shared" si="119"/>
        <v/>
      </c>
      <c r="D1910" s="245" t="str">
        <f t="shared" si="121"/>
        <v/>
      </c>
      <c r="E1910" s="534"/>
      <c r="F1910" s="534"/>
    </row>
    <row r="1911" spans="1:6" ht="15" customHeight="1">
      <c r="A1911" s="51"/>
      <c r="B1911" s="52" t="str">
        <f t="shared" si="120"/>
        <v/>
      </c>
      <c r="C1911" t="str">
        <f t="shared" si="119"/>
        <v/>
      </c>
      <c r="D1911" s="245" t="str">
        <f t="shared" si="121"/>
        <v/>
      </c>
      <c r="E1911" s="534"/>
      <c r="F1911" s="534"/>
    </row>
    <row r="1912" spans="1:6" ht="15" customHeight="1">
      <c r="A1912" s="51"/>
      <c r="B1912" s="52" t="str">
        <f t="shared" si="120"/>
        <v/>
      </c>
      <c r="C1912" t="str">
        <f t="shared" si="119"/>
        <v/>
      </c>
      <c r="D1912" s="245" t="str">
        <f t="shared" si="121"/>
        <v/>
      </c>
      <c r="E1912" s="534"/>
      <c r="F1912" s="534"/>
    </row>
    <row r="1913" spans="1:6" ht="15" customHeight="1">
      <c r="A1913" s="51"/>
      <c r="B1913" s="52" t="str">
        <f t="shared" si="120"/>
        <v/>
      </c>
      <c r="C1913" t="str">
        <f t="shared" si="119"/>
        <v/>
      </c>
      <c r="D1913" s="245" t="str">
        <f t="shared" si="121"/>
        <v/>
      </c>
      <c r="E1913" s="534"/>
      <c r="F1913" s="534"/>
    </row>
    <row r="1914" spans="1:6" ht="15" customHeight="1">
      <c r="A1914" s="51"/>
      <c r="B1914" s="52" t="str">
        <f t="shared" si="120"/>
        <v/>
      </c>
      <c r="C1914" t="str">
        <f t="shared" si="119"/>
        <v/>
      </c>
      <c r="D1914" s="245" t="str">
        <f t="shared" si="121"/>
        <v/>
      </c>
      <c r="E1914" s="534"/>
      <c r="F1914" s="534"/>
    </row>
    <row r="1915" spans="1:6" ht="15" customHeight="1">
      <c r="A1915" s="51"/>
      <c r="B1915" s="52" t="str">
        <f t="shared" si="120"/>
        <v/>
      </c>
      <c r="C1915" t="str">
        <f t="shared" si="119"/>
        <v/>
      </c>
      <c r="D1915" s="245" t="str">
        <f t="shared" si="121"/>
        <v/>
      </c>
      <c r="E1915" s="534"/>
      <c r="F1915" s="534"/>
    </row>
    <row r="1916" spans="1:6" ht="15" customHeight="1">
      <c r="A1916" s="51"/>
      <c r="B1916" s="52" t="str">
        <f t="shared" si="120"/>
        <v/>
      </c>
      <c r="C1916" t="str">
        <f t="shared" si="119"/>
        <v/>
      </c>
      <c r="D1916" s="245" t="str">
        <f t="shared" si="121"/>
        <v/>
      </c>
      <c r="E1916" s="534"/>
      <c r="F1916" s="534"/>
    </row>
    <row r="1917" spans="1:6" ht="15" customHeight="1">
      <c r="A1917" s="51"/>
      <c r="B1917" s="52" t="str">
        <f t="shared" si="120"/>
        <v/>
      </c>
      <c r="C1917" t="str">
        <f t="shared" si="119"/>
        <v/>
      </c>
      <c r="D1917" s="245" t="str">
        <f t="shared" si="121"/>
        <v/>
      </c>
      <c r="E1917" s="534"/>
      <c r="F1917" s="534"/>
    </row>
    <row r="1918" spans="1:6" ht="15" customHeight="1">
      <c r="A1918" s="51"/>
      <c r="B1918" s="52" t="str">
        <f t="shared" si="120"/>
        <v/>
      </c>
      <c r="C1918" t="str">
        <f t="shared" si="119"/>
        <v/>
      </c>
      <c r="D1918" s="245" t="str">
        <f t="shared" si="121"/>
        <v/>
      </c>
      <c r="E1918" s="534"/>
      <c r="F1918" s="534"/>
    </row>
    <row r="1919" spans="1:6" ht="15" customHeight="1">
      <c r="A1919" s="51"/>
      <c r="B1919" s="52" t="str">
        <f t="shared" si="120"/>
        <v/>
      </c>
      <c r="C1919" t="str">
        <f t="shared" si="119"/>
        <v/>
      </c>
      <c r="D1919" s="245" t="str">
        <f t="shared" si="121"/>
        <v/>
      </c>
      <c r="E1919" s="534"/>
      <c r="F1919" s="534"/>
    </row>
    <row r="1920" spans="1:6" ht="15" customHeight="1">
      <c r="A1920" s="51"/>
      <c r="B1920" s="52" t="str">
        <f t="shared" si="120"/>
        <v/>
      </c>
      <c r="C1920" t="str">
        <f t="shared" si="119"/>
        <v/>
      </c>
      <c r="D1920" s="245" t="str">
        <f t="shared" si="121"/>
        <v/>
      </c>
      <c r="E1920" s="534"/>
      <c r="F1920" s="534"/>
    </row>
    <row r="1921" spans="1:6" ht="15" customHeight="1">
      <c r="A1921" s="51"/>
      <c r="B1921" s="52" t="str">
        <f t="shared" si="120"/>
        <v/>
      </c>
      <c r="C1921" t="str">
        <f t="shared" si="119"/>
        <v/>
      </c>
      <c r="D1921" s="245" t="str">
        <f t="shared" si="121"/>
        <v/>
      </c>
      <c r="E1921" s="534"/>
      <c r="F1921" s="534"/>
    </row>
    <row r="1922" spans="1:6" ht="15" customHeight="1">
      <c r="A1922" s="51"/>
      <c r="B1922" s="52" t="str">
        <f t="shared" si="120"/>
        <v/>
      </c>
      <c r="C1922" t="str">
        <f t="shared" ref="C1922:C1985" si="122">IF(A1922&lt;&gt;"",TEXT(A1922,"aaaa"),"")</f>
        <v/>
      </c>
      <c r="D1922" s="245" t="str">
        <f t="shared" si="121"/>
        <v/>
      </c>
      <c r="E1922" s="534"/>
      <c r="F1922" s="534"/>
    </row>
    <row r="1923" spans="1:6" ht="15" customHeight="1">
      <c r="A1923" s="51"/>
      <c r="B1923" s="52" t="str">
        <f t="shared" si="120"/>
        <v/>
      </c>
      <c r="C1923" t="str">
        <f t="shared" si="122"/>
        <v/>
      </c>
      <c r="D1923" s="245" t="str">
        <f t="shared" si="121"/>
        <v/>
      </c>
      <c r="E1923" s="534"/>
      <c r="F1923" s="534"/>
    </row>
    <row r="1924" spans="1:6" ht="15" customHeight="1">
      <c r="A1924" s="51"/>
      <c r="B1924" s="52" t="str">
        <f t="shared" si="120"/>
        <v/>
      </c>
      <c r="C1924" t="str">
        <f t="shared" si="122"/>
        <v/>
      </c>
      <c r="D1924" s="245" t="str">
        <f t="shared" si="121"/>
        <v/>
      </c>
      <c r="E1924" s="534"/>
      <c r="F1924" s="534"/>
    </row>
    <row r="1925" spans="1:6" ht="15" customHeight="1">
      <c r="A1925" s="51"/>
      <c r="B1925" s="52" t="str">
        <f t="shared" si="120"/>
        <v/>
      </c>
      <c r="C1925" t="str">
        <f t="shared" si="122"/>
        <v/>
      </c>
      <c r="D1925" s="245" t="str">
        <f t="shared" si="121"/>
        <v/>
      </c>
      <c r="E1925" s="534"/>
      <c r="F1925" s="534"/>
    </row>
    <row r="1926" spans="1:6" ht="15" customHeight="1">
      <c r="A1926" s="51"/>
      <c r="B1926" s="52" t="str">
        <f t="shared" si="120"/>
        <v/>
      </c>
      <c r="C1926" t="str">
        <f t="shared" si="122"/>
        <v/>
      </c>
      <c r="D1926" s="245" t="str">
        <f t="shared" si="121"/>
        <v/>
      </c>
      <c r="E1926" s="534"/>
      <c r="F1926" s="534"/>
    </row>
    <row r="1927" spans="1:6" ht="15" customHeight="1">
      <c r="A1927" s="51"/>
      <c r="B1927" s="52" t="str">
        <f t="shared" si="120"/>
        <v/>
      </c>
      <c r="C1927" t="str">
        <f t="shared" si="122"/>
        <v/>
      </c>
      <c r="D1927" s="245" t="str">
        <f t="shared" si="121"/>
        <v/>
      </c>
      <c r="E1927" s="534"/>
      <c r="F1927" s="534"/>
    </row>
    <row r="1928" spans="1:6" ht="15" customHeight="1">
      <c r="A1928" s="51"/>
      <c r="B1928" s="52" t="str">
        <f t="shared" ref="B1928:B1991" si="123">IF(A1928="","",TEXT(A1928,"DDDD"))</f>
        <v/>
      </c>
      <c r="C1928" t="str">
        <f t="shared" si="122"/>
        <v/>
      </c>
      <c r="D1928" s="245" t="str">
        <f t="shared" si="121"/>
        <v/>
      </c>
      <c r="E1928" s="534"/>
      <c r="F1928" s="534"/>
    </row>
    <row r="1929" spans="1:6" ht="15" customHeight="1">
      <c r="A1929" s="51"/>
      <c r="B1929" s="52" t="str">
        <f t="shared" si="123"/>
        <v/>
      </c>
      <c r="C1929" t="str">
        <f t="shared" si="122"/>
        <v/>
      </c>
      <c r="D1929" s="245" t="str">
        <f t="shared" ref="D1929:D1992" si="124">IF(A1929&lt;&gt;"",PROPER(TEXT(A1929,"Mmmm")),"")</f>
        <v/>
      </c>
      <c r="E1929" s="534"/>
      <c r="F1929" s="534"/>
    </row>
    <row r="1930" spans="1:6" ht="15" customHeight="1">
      <c r="A1930" s="51"/>
      <c r="B1930" s="52" t="str">
        <f t="shared" si="123"/>
        <v/>
      </c>
      <c r="C1930" t="str">
        <f t="shared" si="122"/>
        <v/>
      </c>
      <c r="D1930" s="245" t="str">
        <f t="shared" si="124"/>
        <v/>
      </c>
      <c r="E1930" s="534"/>
      <c r="F1930" s="534"/>
    </row>
    <row r="1931" spans="1:6" ht="15" customHeight="1">
      <c r="A1931" s="51"/>
      <c r="B1931" s="52" t="str">
        <f t="shared" si="123"/>
        <v/>
      </c>
      <c r="C1931" t="str">
        <f t="shared" si="122"/>
        <v/>
      </c>
      <c r="D1931" s="245" t="str">
        <f t="shared" si="124"/>
        <v/>
      </c>
      <c r="E1931" s="534"/>
      <c r="F1931" s="534"/>
    </row>
    <row r="1932" spans="1:6" ht="15" customHeight="1">
      <c r="A1932" s="51"/>
      <c r="B1932" s="52" t="str">
        <f t="shared" si="123"/>
        <v/>
      </c>
      <c r="C1932" t="str">
        <f t="shared" si="122"/>
        <v/>
      </c>
      <c r="D1932" s="245" t="str">
        <f t="shared" si="124"/>
        <v/>
      </c>
      <c r="E1932" s="534"/>
      <c r="F1932" s="534"/>
    </row>
    <row r="1933" spans="1:6" ht="15" customHeight="1">
      <c r="A1933" s="51"/>
      <c r="B1933" s="52" t="str">
        <f t="shared" si="123"/>
        <v/>
      </c>
      <c r="C1933" t="str">
        <f t="shared" si="122"/>
        <v/>
      </c>
      <c r="D1933" s="245" t="str">
        <f t="shared" si="124"/>
        <v/>
      </c>
      <c r="E1933" s="534"/>
      <c r="F1933" s="534"/>
    </row>
    <row r="1934" spans="1:6" ht="15" customHeight="1">
      <c r="A1934" s="51"/>
      <c r="B1934" s="52" t="str">
        <f t="shared" si="123"/>
        <v/>
      </c>
      <c r="C1934" t="str">
        <f t="shared" si="122"/>
        <v/>
      </c>
      <c r="D1934" s="245" t="str">
        <f t="shared" si="124"/>
        <v/>
      </c>
      <c r="E1934" s="534"/>
      <c r="F1934" s="534"/>
    </row>
    <row r="1935" spans="1:6" ht="15" customHeight="1">
      <c r="A1935" s="51"/>
      <c r="B1935" s="52" t="str">
        <f t="shared" si="123"/>
        <v/>
      </c>
      <c r="C1935" t="str">
        <f t="shared" si="122"/>
        <v/>
      </c>
      <c r="D1935" s="245" t="str">
        <f t="shared" si="124"/>
        <v/>
      </c>
      <c r="E1935" s="534"/>
      <c r="F1935" s="534"/>
    </row>
    <row r="1936" spans="1:6" ht="15" customHeight="1">
      <c r="A1936" s="51"/>
      <c r="B1936" s="52" t="str">
        <f t="shared" si="123"/>
        <v/>
      </c>
      <c r="C1936" t="str">
        <f t="shared" si="122"/>
        <v/>
      </c>
      <c r="D1936" s="245" t="str">
        <f t="shared" si="124"/>
        <v/>
      </c>
      <c r="E1936" s="534"/>
      <c r="F1936" s="534"/>
    </row>
    <row r="1937" spans="1:6" ht="15" customHeight="1">
      <c r="A1937" s="51"/>
      <c r="B1937" s="52" t="str">
        <f t="shared" si="123"/>
        <v/>
      </c>
      <c r="C1937" t="str">
        <f t="shared" si="122"/>
        <v/>
      </c>
      <c r="D1937" s="245" t="str">
        <f t="shared" si="124"/>
        <v/>
      </c>
      <c r="E1937" s="534"/>
      <c r="F1937" s="534"/>
    </row>
    <row r="1938" spans="1:6" ht="15" customHeight="1">
      <c r="A1938" s="51"/>
      <c r="B1938" s="52" t="str">
        <f t="shared" si="123"/>
        <v/>
      </c>
      <c r="C1938" t="str">
        <f t="shared" si="122"/>
        <v/>
      </c>
      <c r="D1938" s="245" t="str">
        <f t="shared" si="124"/>
        <v/>
      </c>
      <c r="E1938" s="534"/>
      <c r="F1938" s="534"/>
    </row>
    <row r="1939" spans="1:6" ht="15" customHeight="1">
      <c r="A1939" s="51"/>
      <c r="B1939" s="52" t="str">
        <f t="shared" si="123"/>
        <v/>
      </c>
      <c r="C1939" t="str">
        <f t="shared" si="122"/>
        <v/>
      </c>
      <c r="D1939" s="245" t="str">
        <f t="shared" si="124"/>
        <v/>
      </c>
      <c r="E1939" s="534"/>
      <c r="F1939" s="534"/>
    </row>
    <row r="1940" spans="1:6" ht="15" customHeight="1">
      <c r="A1940" s="51"/>
      <c r="B1940" s="52" t="str">
        <f t="shared" si="123"/>
        <v/>
      </c>
      <c r="C1940" t="str">
        <f t="shared" si="122"/>
        <v/>
      </c>
      <c r="D1940" s="245" t="str">
        <f t="shared" si="124"/>
        <v/>
      </c>
      <c r="E1940" s="534"/>
      <c r="F1940" s="534"/>
    </row>
    <row r="1941" spans="1:6" ht="15" customHeight="1">
      <c r="A1941" s="51"/>
      <c r="B1941" s="52" t="str">
        <f t="shared" si="123"/>
        <v/>
      </c>
      <c r="C1941" t="str">
        <f t="shared" si="122"/>
        <v/>
      </c>
      <c r="D1941" s="245" t="str">
        <f t="shared" si="124"/>
        <v/>
      </c>
      <c r="E1941" s="534"/>
      <c r="F1941" s="534"/>
    </row>
    <row r="1942" spans="1:6" ht="15" customHeight="1">
      <c r="A1942" s="51"/>
      <c r="B1942" s="52" t="str">
        <f t="shared" si="123"/>
        <v/>
      </c>
      <c r="C1942" t="str">
        <f t="shared" si="122"/>
        <v/>
      </c>
      <c r="D1942" s="245" t="str">
        <f t="shared" si="124"/>
        <v/>
      </c>
      <c r="E1942" s="534"/>
      <c r="F1942" s="534"/>
    </row>
    <row r="1943" spans="1:6" ht="15" customHeight="1">
      <c r="A1943" s="51"/>
      <c r="B1943" s="52" t="str">
        <f t="shared" si="123"/>
        <v/>
      </c>
      <c r="C1943" t="str">
        <f t="shared" si="122"/>
        <v/>
      </c>
      <c r="D1943" s="245" t="str">
        <f t="shared" si="124"/>
        <v/>
      </c>
      <c r="E1943" s="534"/>
      <c r="F1943" s="534"/>
    </row>
    <row r="1944" spans="1:6" ht="15" customHeight="1">
      <c r="A1944" s="51"/>
      <c r="B1944" s="52" t="str">
        <f t="shared" si="123"/>
        <v/>
      </c>
      <c r="C1944" t="str">
        <f t="shared" si="122"/>
        <v/>
      </c>
      <c r="D1944" s="245" t="str">
        <f t="shared" si="124"/>
        <v/>
      </c>
      <c r="E1944" s="534"/>
      <c r="F1944" s="534"/>
    </row>
    <row r="1945" spans="1:6" ht="15" customHeight="1">
      <c r="A1945" s="51"/>
      <c r="B1945" s="52" t="str">
        <f t="shared" si="123"/>
        <v/>
      </c>
      <c r="C1945" t="str">
        <f t="shared" si="122"/>
        <v/>
      </c>
      <c r="D1945" s="245" t="str">
        <f t="shared" si="124"/>
        <v/>
      </c>
      <c r="E1945" s="534"/>
      <c r="F1945" s="534"/>
    </row>
    <row r="1946" spans="1:6" ht="15" customHeight="1">
      <c r="A1946" s="51"/>
      <c r="B1946" s="52" t="str">
        <f t="shared" si="123"/>
        <v/>
      </c>
      <c r="C1946" t="str">
        <f t="shared" si="122"/>
        <v/>
      </c>
      <c r="D1946" s="245" t="str">
        <f t="shared" si="124"/>
        <v/>
      </c>
      <c r="E1946" s="534"/>
      <c r="F1946" s="534"/>
    </row>
    <row r="1947" spans="1:6" ht="15" customHeight="1">
      <c r="A1947" s="51"/>
      <c r="B1947" s="52" t="str">
        <f t="shared" si="123"/>
        <v/>
      </c>
      <c r="C1947" t="str">
        <f t="shared" si="122"/>
        <v/>
      </c>
      <c r="D1947" s="245" t="str">
        <f t="shared" si="124"/>
        <v/>
      </c>
      <c r="E1947" s="534"/>
      <c r="F1947" s="534"/>
    </row>
    <row r="1948" spans="1:6" ht="15" customHeight="1">
      <c r="A1948" s="51"/>
      <c r="B1948" s="52" t="str">
        <f t="shared" si="123"/>
        <v/>
      </c>
      <c r="C1948" t="str">
        <f t="shared" si="122"/>
        <v/>
      </c>
      <c r="D1948" s="245" t="str">
        <f t="shared" si="124"/>
        <v/>
      </c>
      <c r="E1948" s="534"/>
      <c r="F1948" s="534"/>
    </row>
    <row r="1949" spans="1:6" ht="15" customHeight="1">
      <c r="A1949" s="51"/>
      <c r="B1949" s="52" t="str">
        <f t="shared" si="123"/>
        <v/>
      </c>
      <c r="C1949" t="str">
        <f t="shared" si="122"/>
        <v/>
      </c>
      <c r="D1949" s="245" t="str">
        <f t="shared" si="124"/>
        <v/>
      </c>
      <c r="E1949" s="534"/>
      <c r="F1949" s="534"/>
    </row>
    <row r="1950" spans="1:6" ht="15" customHeight="1">
      <c r="A1950" s="51"/>
      <c r="B1950" s="52" t="str">
        <f t="shared" si="123"/>
        <v/>
      </c>
      <c r="C1950" t="str">
        <f t="shared" si="122"/>
        <v/>
      </c>
      <c r="D1950" s="245" t="str">
        <f t="shared" si="124"/>
        <v/>
      </c>
      <c r="E1950" s="534"/>
      <c r="F1950" s="534"/>
    </row>
    <row r="1951" spans="1:6" ht="15" customHeight="1">
      <c r="A1951" s="51"/>
      <c r="B1951" s="52" t="str">
        <f t="shared" si="123"/>
        <v/>
      </c>
      <c r="C1951" t="str">
        <f t="shared" si="122"/>
        <v/>
      </c>
      <c r="D1951" s="245" t="str">
        <f t="shared" si="124"/>
        <v/>
      </c>
      <c r="E1951" s="534"/>
      <c r="F1951" s="534"/>
    </row>
    <row r="1952" spans="1:6" ht="15" customHeight="1">
      <c r="A1952" s="51"/>
      <c r="B1952" s="52" t="str">
        <f t="shared" si="123"/>
        <v/>
      </c>
      <c r="C1952" t="str">
        <f t="shared" si="122"/>
        <v/>
      </c>
      <c r="D1952" s="245" t="str">
        <f t="shared" si="124"/>
        <v/>
      </c>
      <c r="E1952" s="534"/>
      <c r="F1952" s="534"/>
    </row>
    <row r="1953" spans="1:6" ht="15" customHeight="1">
      <c r="A1953" s="51"/>
      <c r="B1953" s="52" t="str">
        <f t="shared" si="123"/>
        <v/>
      </c>
      <c r="C1953" t="str">
        <f t="shared" si="122"/>
        <v/>
      </c>
      <c r="D1953" s="245" t="str">
        <f t="shared" si="124"/>
        <v/>
      </c>
      <c r="E1953" s="534"/>
      <c r="F1953" s="534"/>
    </row>
    <row r="1954" spans="1:6" ht="15" customHeight="1">
      <c r="A1954" s="51"/>
      <c r="B1954" s="52" t="str">
        <f t="shared" si="123"/>
        <v/>
      </c>
      <c r="C1954" t="str">
        <f t="shared" si="122"/>
        <v/>
      </c>
      <c r="D1954" s="245" t="str">
        <f t="shared" si="124"/>
        <v/>
      </c>
      <c r="E1954" s="534"/>
      <c r="F1954" s="534"/>
    </row>
    <row r="1955" spans="1:6" ht="15" customHeight="1">
      <c r="A1955" s="51"/>
      <c r="B1955" s="52" t="str">
        <f t="shared" si="123"/>
        <v/>
      </c>
      <c r="C1955" t="str">
        <f t="shared" si="122"/>
        <v/>
      </c>
      <c r="D1955" s="245" t="str">
        <f t="shared" si="124"/>
        <v/>
      </c>
      <c r="E1955" s="534"/>
      <c r="F1955" s="534"/>
    </row>
    <row r="1956" spans="1:6" ht="15" customHeight="1">
      <c r="A1956" s="51"/>
      <c r="B1956" s="52" t="str">
        <f t="shared" si="123"/>
        <v/>
      </c>
      <c r="C1956" t="str">
        <f t="shared" si="122"/>
        <v/>
      </c>
      <c r="D1956" s="245" t="str">
        <f t="shared" si="124"/>
        <v/>
      </c>
      <c r="E1956" s="534"/>
      <c r="F1956" s="534"/>
    </row>
    <row r="1957" spans="1:6" ht="15" customHeight="1">
      <c r="A1957" s="51"/>
      <c r="B1957" s="52" t="str">
        <f t="shared" si="123"/>
        <v/>
      </c>
      <c r="C1957" t="str">
        <f t="shared" si="122"/>
        <v/>
      </c>
      <c r="D1957" s="245" t="str">
        <f t="shared" si="124"/>
        <v/>
      </c>
      <c r="E1957" s="534"/>
      <c r="F1957" s="534"/>
    </row>
    <row r="1958" spans="1:6" ht="15" customHeight="1">
      <c r="A1958" s="51"/>
      <c r="B1958" s="52" t="str">
        <f t="shared" si="123"/>
        <v/>
      </c>
      <c r="C1958" t="str">
        <f t="shared" si="122"/>
        <v/>
      </c>
      <c r="D1958" s="245" t="str">
        <f t="shared" si="124"/>
        <v/>
      </c>
      <c r="E1958" s="534"/>
      <c r="F1958" s="534"/>
    </row>
    <row r="1959" spans="1:6" ht="15" customHeight="1">
      <c r="A1959" s="51"/>
      <c r="B1959" s="52" t="str">
        <f t="shared" si="123"/>
        <v/>
      </c>
      <c r="C1959" t="str">
        <f t="shared" si="122"/>
        <v/>
      </c>
      <c r="D1959" s="245" t="str">
        <f t="shared" si="124"/>
        <v/>
      </c>
      <c r="E1959" s="534"/>
      <c r="F1959" s="534"/>
    </row>
    <row r="1960" spans="1:6" ht="15" customHeight="1">
      <c r="A1960" s="51"/>
      <c r="B1960" s="52" t="str">
        <f t="shared" si="123"/>
        <v/>
      </c>
      <c r="C1960" t="str">
        <f t="shared" si="122"/>
        <v/>
      </c>
      <c r="D1960" s="245" t="str">
        <f t="shared" si="124"/>
        <v/>
      </c>
      <c r="E1960" s="534"/>
      <c r="F1960" s="534"/>
    </row>
    <row r="1961" spans="1:6" ht="15" customHeight="1">
      <c r="A1961" s="51"/>
      <c r="B1961" s="52" t="str">
        <f t="shared" si="123"/>
        <v/>
      </c>
      <c r="C1961" t="str">
        <f t="shared" si="122"/>
        <v/>
      </c>
      <c r="D1961" s="245" t="str">
        <f t="shared" si="124"/>
        <v/>
      </c>
      <c r="E1961" s="534"/>
      <c r="F1961" s="534"/>
    </row>
    <row r="1962" spans="1:6" ht="15" customHeight="1">
      <c r="A1962" s="51"/>
      <c r="B1962" s="52" t="str">
        <f t="shared" si="123"/>
        <v/>
      </c>
      <c r="C1962" t="str">
        <f t="shared" si="122"/>
        <v/>
      </c>
      <c r="D1962" s="245" t="str">
        <f t="shared" si="124"/>
        <v/>
      </c>
      <c r="E1962" s="534"/>
      <c r="F1962" s="534"/>
    </row>
    <row r="1963" spans="1:6" ht="15" customHeight="1">
      <c r="A1963" s="51"/>
      <c r="B1963" s="52" t="str">
        <f t="shared" si="123"/>
        <v/>
      </c>
      <c r="C1963" t="str">
        <f t="shared" si="122"/>
        <v/>
      </c>
      <c r="D1963" s="245" t="str">
        <f t="shared" si="124"/>
        <v/>
      </c>
      <c r="E1963" s="534"/>
      <c r="F1963" s="534"/>
    </row>
    <row r="1964" spans="1:6" ht="15" customHeight="1">
      <c r="A1964" s="51"/>
      <c r="B1964" s="52" t="str">
        <f t="shared" si="123"/>
        <v/>
      </c>
      <c r="C1964" t="str">
        <f t="shared" si="122"/>
        <v/>
      </c>
      <c r="D1964" s="245" t="str">
        <f t="shared" si="124"/>
        <v/>
      </c>
      <c r="E1964" s="534"/>
      <c r="F1964" s="534"/>
    </row>
    <row r="1965" spans="1:6" ht="15" customHeight="1">
      <c r="A1965" s="51"/>
      <c r="B1965" s="52" t="str">
        <f t="shared" si="123"/>
        <v/>
      </c>
      <c r="C1965" t="str">
        <f t="shared" si="122"/>
        <v/>
      </c>
      <c r="D1965" s="245" t="str">
        <f t="shared" si="124"/>
        <v/>
      </c>
      <c r="E1965" s="534"/>
      <c r="F1965" s="534"/>
    </row>
    <row r="1966" spans="1:6" ht="15" customHeight="1">
      <c r="A1966" s="51"/>
      <c r="B1966" s="52" t="str">
        <f t="shared" si="123"/>
        <v/>
      </c>
      <c r="C1966" t="str">
        <f t="shared" si="122"/>
        <v/>
      </c>
      <c r="D1966" s="245" t="str">
        <f t="shared" si="124"/>
        <v/>
      </c>
      <c r="E1966" s="534"/>
      <c r="F1966" s="534"/>
    </row>
    <row r="1967" spans="1:6" ht="15" customHeight="1">
      <c r="A1967" s="51"/>
      <c r="B1967" s="52" t="str">
        <f t="shared" si="123"/>
        <v/>
      </c>
      <c r="C1967" t="str">
        <f t="shared" si="122"/>
        <v/>
      </c>
      <c r="D1967" s="245" t="str">
        <f t="shared" si="124"/>
        <v/>
      </c>
      <c r="E1967" s="534"/>
      <c r="F1967" s="534"/>
    </row>
    <row r="1968" spans="1:6" ht="15" customHeight="1">
      <c r="A1968" s="51"/>
      <c r="B1968" s="52" t="str">
        <f t="shared" si="123"/>
        <v/>
      </c>
      <c r="C1968" t="str">
        <f t="shared" si="122"/>
        <v/>
      </c>
      <c r="D1968" s="245" t="str">
        <f t="shared" si="124"/>
        <v/>
      </c>
      <c r="E1968" s="534"/>
      <c r="F1968" s="534"/>
    </row>
    <row r="1969" spans="1:6" ht="15" customHeight="1">
      <c r="A1969" s="51"/>
      <c r="B1969" s="52" t="str">
        <f t="shared" si="123"/>
        <v/>
      </c>
      <c r="C1969" t="str">
        <f t="shared" si="122"/>
        <v/>
      </c>
      <c r="D1969" s="245" t="str">
        <f t="shared" si="124"/>
        <v/>
      </c>
      <c r="E1969" s="534"/>
      <c r="F1969" s="534"/>
    </row>
    <row r="1970" spans="1:6" ht="15" customHeight="1">
      <c r="A1970" s="51"/>
      <c r="B1970" s="52" t="str">
        <f t="shared" si="123"/>
        <v/>
      </c>
      <c r="C1970" t="str">
        <f t="shared" si="122"/>
        <v/>
      </c>
      <c r="D1970" s="245" t="str">
        <f t="shared" si="124"/>
        <v/>
      </c>
      <c r="E1970" s="534"/>
      <c r="F1970" s="534"/>
    </row>
    <row r="1971" spans="1:6" ht="15" customHeight="1">
      <c r="A1971" s="51"/>
      <c r="B1971" s="52" t="str">
        <f t="shared" si="123"/>
        <v/>
      </c>
      <c r="C1971" t="str">
        <f t="shared" si="122"/>
        <v/>
      </c>
      <c r="D1971" s="245" t="str">
        <f t="shared" si="124"/>
        <v/>
      </c>
      <c r="E1971" s="534"/>
      <c r="F1971" s="534"/>
    </row>
    <row r="1972" spans="1:6" ht="15" customHeight="1">
      <c r="A1972" s="51"/>
      <c r="B1972" s="52" t="str">
        <f t="shared" si="123"/>
        <v/>
      </c>
      <c r="C1972" t="str">
        <f t="shared" si="122"/>
        <v/>
      </c>
      <c r="D1972" s="245" t="str">
        <f t="shared" si="124"/>
        <v/>
      </c>
      <c r="E1972" s="534"/>
      <c r="F1972" s="534"/>
    </row>
    <row r="1973" spans="1:6" ht="15" customHeight="1">
      <c r="A1973" s="51"/>
      <c r="B1973" s="52" t="str">
        <f t="shared" si="123"/>
        <v/>
      </c>
      <c r="C1973" t="str">
        <f t="shared" si="122"/>
        <v/>
      </c>
      <c r="D1973" s="245" t="str">
        <f t="shared" si="124"/>
        <v/>
      </c>
      <c r="E1973" s="534"/>
      <c r="F1973" s="534"/>
    </row>
    <row r="1974" spans="1:6" ht="15" customHeight="1">
      <c r="A1974" s="51"/>
      <c r="B1974" s="52" t="str">
        <f t="shared" si="123"/>
        <v/>
      </c>
      <c r="C1974" t="str">
        <f t="shared" si="122"/>
        <v/>
      </c>
      <c r="D1974" s="245" t="str">
        <f t="shared" si="124"/>
        <v/>
      </c>
      <c r="E1974" s="534"/>
      <c r="F1974" s="534"/>
    </row>
    <row r="1975" spans="1:6" ht="15" customHeight="1">
      <c r="A1975" s="51"/>
      <c r="B1975" s="52" t="str">
        <f t="shared" si="123"/>
        <v/>
      </c>
      <c r="C1975" t="str">
        <f t="shared" si="122"/>
        <v/>
      </c>
      <c r="D1975" s="245" t="str">
        <f t="shared" si="124"/>
        <v/>
      </c>
      <c r="E1975" s="534"/>
      <c r="F1975" s="534"/>
    </row>
    <row r="1976" spans="1:6" ht="15" customHeight="1">
      <c r="A1976" s="51"/>
      <c r="B1976" s="52" t="str">
        <f t="shared" si="123"/>
        <v/>
      </c>
      <c r="C1976" t="str">
        <f t="shared" si="122"/>
        <v/>
      </c>
      <c r="D1976" s="245" t="str">
        <f t="shared" si="124"/>
        <v/>
      </c>
      <c r="E1976" s="534"/>
      <c r="F1976" s="534"/>
    </row>
    <row r="1977" spans="1:6" ht="15" customHeight="1">
      <c r="A1977" s="51"/>
      <c r="B1977" s="52" t="str">
        <f t="shared" si="123"/>
        <v/>
      </c>
      <c r="C1977" t="str">
        <f t="shared" si="122"/>
        <v/>
      </c>
      <c r="D1977" s="245" t="str">
        <f t="shared" si="124"/>
        <v/>
      </c>
      <c r="E1977" s="534"/>
      <c r="F1977" s="534"/>
    </row>
    <row r="1978" spans="1:6" ht="15" customHeight="1">
      <c r="A1978" s="51"/>
      <c r="B1978" s="52" t="str">
        <f t="shared" si="123"/>
        <v/>
      </c>
      <c r="C1978" t="str">
        <f t="shared" si="122"/>
        <v/>
      </c>
      <c r="D1978" s="245" t="str">
        <f t="shared" si="124"/>
        <v/>
      </c>
      <c r="E1978" s="534"/>
      <c r="F1978" s="534"/>
    </row>
    <row r="1979" spans="1:6" ht="15" customHeight="1">
      <c r="A1979" s="51"/>
      <c r="B1979" s="52" t="str">
        <f t="shared" si="123"/>
        <v/>
      </c>
      <c r="C1979" t="str">
        <f t="shared" si="122"/>
        <v/>
      </c>
      <c r="D1979" s="245" t="str">
        <f t="shared" si="124"/>
        <v/>
      </c>
      <c r="E1979" s="534"/>
      <c r="F1979" s="534"/>
    </row>
    <row r="1980" spans="1:6" ht="15" customHeight="1">
      <c r="A1980" s="51"/>
      <c r="B1980" s="52" t="str">
        <f t="shared" si="123"/>
        <v/>
      </c>
      <c r="C1980" t="str">
        <f t="shared" si="122"/>
        <v/>
      </c>
      <c r="D1980" s="245" t="str">
        <f t="shared" si="124"/>
        <v/>
      </c>
      <c r="E1980" s="534"/>
      <c r="F1980" s="534"/>
    </row>
    <row r="1981" spans="1:6" ht="15" customHeight="1">
      <c r="A1981" s="51"/>
      <c r="B1981" s="52" t="str">
        <f t="shared" si="123"/>
        <v/>
      </c>
      <c r="C1981" t="str">
        <f t="shared" si="122"/>
        <v/>
      </c>
      <c r="D1981" s="245" t="str">
        <f t="shared" si="124"/>
        <v/>
      </c>
      <c r="E1981" s="534"/>
      <c r="F1981" s="534"/>
    </row>
    <row r="1982" spans="1:6" ht="15" customHeight="1">
      <c r="A1982" s="51"/>
      <c r="B1982" s="52" t="str">
        <f t="shared" si="123"/>
        <v/>
      </c>
      <c r="C1982" t="str">
        <f t="shared" si="122"/>
        <v/>
      </c>
      <c r="D1982" s="245" t="str">
        <f t="shared" si="124"/>
        <v/>
      </c>
      <c r="E1982" s="534"/>
      <c r="F1982" s="534"/>
    </row>
    <row r="1983" spans="1:6" ht="15" customHeight="1">
      <c r="A1983" s="51"/>
      <c r="B1983" s="52" t="str">
        <f t="shared" si="123"/>
        <v/>
      </c>
      <c r="C1983" t="str">
        <f t="shared" si="122"/>
        <v/>
      </c>
      <c r="D1983" s="245" t="str">
        <f t="shared" si="124"/>
        <v/>
      </c>
      <c r="E1983" s="534"/>
      <c r="F1983" s="534"/>
    </row>
    <row r="1984" spans="1:6" ht="15" customHeight="1">
      <c r="A1984" s="51"/>
      <c r="B1984" s="52" t="str">
        <f t="shared" si="123"/>
        <v/>
      </c>
      <c r="C1984" t="str">
        <f t="shared" si="122"/>
        <v/>
      </c>
      <c r="D1984" s="245" t="str">
        <f t="shared" si="124"/>
        <v/>
      </c>
      <c r="E1984" s="534"/>
      <c r="F1984" s="534"/>
    </row>
    <row r="1985" spans="1:6" ht="15" customHeight="1">
      <c r="A1985" s="51"/>
      <c r="B1985" s="52" t="str">
        <f t="shared" si="123"/>
        <v/>
      </c>
      <c r="C1985" t="str">
        <f t="shared" si="122"/>
        <v/>
      </c>
      <c r="D1985" s="245" t="str">
        <f t="shared" si="124"/>
        <v/>
      </c>
      <c r="E1985" s="534"/>
      <c r="F1985" s="534"/>
    </row>
    <row r="1986" spans="1:6" ht="15" customHeight="1">
      <c r="A1986" s="51"/>
      <c r="B1986" s="52" t="str">
        <f t="shared" si="123"/>
        <v/>
      </c>
      <c r="C1986" t="str">
        <f t="shared" ref="C1986:C2049" si="125">IF(A1986&lt;&gt;"",TEXT(A1986,"aaaa"),"")</f>
        <v/>
      </c>
      <c r="D1986" s="245" t="str">
        <f t="shared" si="124"/>
        <v/>
      </c>
      <c r="E1986" s="534"/>
      <c r="F1986" s="534"/>
    </row>
    <row r="1987" spans="1:6" ht="15" customHeight="1">
      <c r="A1987" s="51"/>
      <c r="B1987" s="52" t="str">
        <f t="shared" si="123"/>
        <v/>
      </c>
      <c r="C1987" t="str">
        <f t="shared" si="125"/>
        <v/>
      </c>
      <c r="D1987" s="245" t="str">
        <f t="shared" si="124"/>
        <v/>
      </c>
      <c r="E1987" s="534"/>
      <c r="F1987" s="534"/>
    </row>
    <row r="1988" spans="1:6" ht="15" customHeight="1">
      <c r="A1988" s="51"/>
      <c r="B1988" s="52" t="str">
        <f t="shared" si="123"/>
        <v/>
      </c>
      <c r="C1988" t="str">
        <f t="shared" si="125"/>
        <v/>
      </c>
      <c r="D1988" s="245" t="str">
        <f t="shared" si="124"/>
        <v/>
      </c>
      <c r="E1988" s="534"/>
      <c r="F1988" s="534"/>
    </row>
    <row r="1989" spans="1:6" ht="15" customHeight="1">
      <c r="A1989" s="51"/>
      <c r="B1989" s="52" t="str">
        <f t="shared" si="123"/>
        <v/>
      </c>
      <c r="C1989" t="str">
        <f t="shared" si="125"/>
        <v/>
      </c>
      <c r="D1989" s="245" t="str">
        <f t="shared" si="124"/>
        <v/>
      </c>
      <c r="E1989" s="534"/>
      <c r="F1989" s="534"/>
    </row>
    <row r="1990" spans="1:6" ht="15" customHeight="1">
      <c r="A1990" s="51"/>
      <c r="B1990" s="52" t="str">
        <f t="shared" si="123"/>
        <v/>
      </c>
      <c r="C1990" t="str">
        <f t="shared" si="125"/>
        <v/>
      </c>
      <c r="D1990" s="245" t="str">
        <f t="shared" si="124"/>
        <v/>
      </c>
      <c r="E1990" s="534"/>
      <c r="F1990" s="534"/>
    </row>
    <row r="1991" spans="1:6" ht="15" customHeight="1">
      <c r="A1991" s="51"/>
      <c r="B1991" s="52" t="str">
        <f t="shared" si="123"/>
        <v/>
      </c>
      <c r="C1991" t="str">
        <f t="shared" si="125"/>
        <v/>
      </c>
      <c r="D1991" s="245" t="str">
        <f t="shared" si="124"/>
        <v/>
      </c>
      <c r="E1991" s="534"/>
      <c r="F1991" s="534"/>
    </row>
    <row r="1992" spans="1:6" ht="15" customHeight="1">
      <c r="A1992" s="51"/>
      <c r="B1992" s="52" t="str">
        <f t="shared" ref="B1992:B2055" si="126">IF(A1992="","",TEXT(A1992,"DDDD"))</f>
        <v/>
      </c>
      <c r="C1992" t="str">
        <f t="shared" si="125"/>
        <v/>
      </c>
      <c r="D1992" s="245" t="str">
        <f t="shared" si="124"/>
        <v/>
      </c>
      <c r="E1992" s="534"/>
      <c r="F1992" s="534"/>
    </row>
    <row r="1993" spans="1:6" ht="15" customHeight="1">
      <c r="A1993" s="51"/>
      <c r="B1993" s="52" t="str">
        <f t="shared" si="126"/>
        <v/>
      </c>
      <c r="C1993" t="str">
        <f t="shared" si="125"/>
        <v/>
      </c>
      <c r="D1993" s="245" t="str">
        <f t="shared" ref="D1993:D2056" si="127">IF(A1993&lt;&gt;"",PROPER(TEXT(A1993,"Mmmm")),"")</f>
        <v/>
      </c>
      <c r="E1993" s="534"/>
      <c r="F1993" s="534"/>
    </row>
    <row r="1994" spans="1:6" ht="15" customHeight="1">
      <c r="A1994" s="51"/>
      <c r="B1994" s="52" t="str">
        <f t="shared" si="126"/>
        <v/>
      </c>
      <c r="C1994" t="str">
        <f t="shared" si="125"/>
        <v/>
      </c>
      <c r="D1994" s="245" t="str">
        <f t="shared" si="127"/>
        <v/>
      </c>
      <c r="E1994" s="534"/>
      <c r="F1994" s="534"/>
    </row>
    <row r="1995" spans="1:6" ht="15" customHeight="1">
      <c r="A1995" s="51"/>
      <c r="B1995" s="52" t="str">
        <f t="shared" si="126"/>
        <v/>
      </c>
      <c r="C1995" t="str">
        <f t="shared" si="125"/>
        <v/>
      </c>
      <c r="D1995" s="245" t="str">
        <f t="shared" si="127"/>
        <v/>
      </c>
      <c r="E1995" s="534"/>
      <c r="F1995" s="534"/>
    </row>
    <row r="1996" spans="1:6" ht="15" customHeight="1">
      <c r="A1996" s="51"/>
      <c r="B1996" s="52" t="str">
        <f t="shared" si="126"/>
        <v/>
      </c>
      <c r="C1996" t="str">
        <f t="shared" si="125"/>
        <v/>
      </c>
      <c r="D1996" s="245" t="str">
        <f t="shared" si="127"/>
        <v/>
      </c>
      <c r="E1996" s="534"/>
      <c r="F1996" s="534"/>
    </row>
    <row r="1997" spans="1:6" ht="15" customHeight="1">
      <c r="A1997" s="51"/>
      <c r="B1997" s="52" t="str">
        <f t="shared" si="126"/>
        <v/>
      </c>
      <c r="C1997" t="str">
        <f t="shared" si="125"/>
        <v/>
      </c>
      <c r="D1997" s="245" t="str">
        <f t="shared" si="127"/>
        <v/>
      </c>
      <c r="E1997" s="534"/>
      <c r="F1997" s="534"/>
    </row>
    <row r="1998" spans="1:6" ht="15" customHeight="1">
      <c r="A1998" s="51"/>
      <c r="B1998" s="52" t="str">
        <f t="shared" si="126"/>
        <v/>
      </c>
      <c r="C1998" t="str">
        <f t="shared" si="125"/>
        <v/>
      </c>
      <c r="D1998" s="245" t="str">
        <f t="shared" si="127"/>
        <v/>
      </c>
      <c r="E1998" s="534"/>
      <c r="F1998" s="534"/>
    </row>
    <row r="1999" spans="1:6" ht="15" customHeight="1">
      <c r="A1999" s="51"/>
      <c r="B1999" s="52" t="str">
        <f t="shared" si="126"/>
        <v/>
      </c>
      <c r="C1999" t="str">
        <f t="shared" si="125"/>
        <v/>
      </c>
      <c r="D1999" s="245" t="str">
        <f t="shared" si="127"/>
        <v/>
      </c>
      <c r="E1999" s="534"/>
      <c r="F1999" s="534"/>
    </row>
    <row r="2000" spans="1:6" ht="15" customHeight="1">
      <c r="A2000" s="51"/>
      <c r="B2000" s="52" t="str">
        <f t="shared" si="126"/>
        <v/>
      </c>
      <c r="C2000" t="str">
        <f t="shared" si="125"/>
        <v/>
      </c>
      <c r="D2000" s="245" t="str">
        <f t="shared" si="127"/>
        <v/>
      </c>
      <c r="E2000" s="534"/>
      <c r="F2000" s="534"/>
    </row>
    <row r="2001" spans="1:6" ht="15" customHeight="1">
      <c r="A2001" s="51"/>
      <c r="B2001" s="52" t="str">
        <f t="shared" si="126"/>
        <v/>
      </c>
      <c r="C2001" t="str">
        <f t="shared" si="125"/>
        <v/>
      </c>
      <c r="D2001" s="245" t="str">
        <f t="shared" si="127"/>
        <v/>
      </c>
      <c r="E2001" s="534"/>
      <c r="F2001" s="534"/>
    </row>
    <row r="2002" spans="1:6" ht="15" customHeight="1">
      <c r="A2002" s="51"/>
      <c r="B2002" s="52" t="str">
        <f t="shared" si="126"/>
        <v/>
      </c>
      <c r="C2002" t="str">
        <f t="shared" si="125"/>
        <v/>
      </c>
      <c r="D2002" s="245" t="str">
        <f t="shared" si="127"/>
        <v/>
      </c>
      <c r="E2002" s="534"/>
      <c r="F2002" s="534"/>
    </row>
    <row r="2003" spans="1:6" ht="15" customHeight="1">
      <c r="A2003" s="51"/>
      <c r="B2003" s="52" t="str">
        <f t="shared" si="126"/>
        <v/>
      </c>
      <c r="C2003" t="str">
        <f t="shared" si="125"/>
        <v/>
      </c>
      <c r="D2003" s="245" t="str">
        <f t="shared" si="127"/>
        <v/>
      </c>
      <c r="E2003" s="534"/>
      <c r="F2003" s="534"/>
    </row>
    <row r="2004" spans="1:6" ht="15" customHeight="1">
      <c r="A2004" s="51"/>
      <c r="B2004" s="52" t="str">
        <f t="shared" si="126"/>
        <v/>
      </c>
      <c r="C2004" t="str">
        <f t="shared" si="125"/>
        <v/>
      </c>
      <c r="D2004" s="245" t="str">
        <f t="shared" si="127"/>
        <v/>
      </c>
      <c r="E2004" s="534"/>
      <c r="F2004" s="534"/>
    </row>
    <row r="2005" spans="1:6" ht="15" customHeight="1">
      <c r="A2005" s="51"/>
      <c r="B2005" s="52" t="str">
        <f t="shared" si="126"/>
        <v/>
      </c>
      <c r="C2005" t="str">
        <f t="shared" si="125"/>
        <v/>
      </c>
      <c r="D2005" s="245" t="str">
        <f t="shared" si="127"/>
        <v/>
      </c>
      <c r="E2005" s="534"/>
      <c r="F2005" s="534"/>
    </row>
    <row r="2006" spans="1:6" ht="15" customHeight="1">
      <c r="A2006" s="51"/>
      <c r="B2006" s="52" t="str">
        <f t="shared" si="126"/>
        <v/>
      </c>
      <c r="C2006" t="str">
        <f t="shared" si="125"/>
        <v/>
      </c>
      <c r="D2006" s="245" t="str">
        <f t="shared" si="127"/>
        <v/>
      </c>
      <c r="E2006" s="534"/>
      <c r="F2006" s="534"/>
    </row>
    <row r="2007" spans="1:6" ht="15" customHeight="1">
      <c r="A2007" s="51"/>
      <c r="B2007" s="52" t="str">
        <f t="shared" si="126"/>
        <v/>
      </c>
      <c r="C2007" t="str">
        <f t="shared" si="125"/>
        <v/>
      </c>
      <c r="D2007" s="245" t="str">
        <f t="shared" si="127"/>
        <v/>
      </c>
      <c r="E2007" s="534"/>
      <c r="F2007" s="534"/>
    </row>
    <row r="2008" spans="1:6" ht="15" customHeight="1">
      <c r="A2008" s="51"/>
      <c r="B2008" s="52" t="str">
        <f t="shared" si="126"/>
        <v/>
      </c>
      <c r="C2008" t="str">
        <f t="shared" si="125"/>
        <v/>
      </c>
      <c r="D2008" s="245" t="str">
        <f t="shared" si="127"/>
        <v/>
      </c>
      <c r="E2008" s="534"/>
      <c r="F2008" s="534"/>
    </row>
    <row r="2009" spans="1:6" ht="15" customHeight="1">
      <c r="A2009" s="51"/>
      <c r="B2009" s="52" t="str">
        <f t="shared" si="126"/>
        <v/>
      </c>
      <c r="C2009" t="str">
        <f t="shared" si="125"/>
        <v/>
      </c>
      <c r="D2009" s="245" t="str">
        <f t="shared" si="127"/>
        <v/>
      </c>
      <c r="E2009" s="534"/>
      <c r="F2009" s="534"/>
    </row>
    <row r="2010" spans="1:6" ht="15" customHeight="1">
      <c r="A2010" s="51"/>
      <c r="B2010" s="52" t="str">
        <f t="shared" si="126"/>
        <v/>
      </c>
      <c r="C2010" t="str">
        <f t="shared" si="125"/>
        <v/>
      </c>
      <c r="D2010" s="245" t="str">
        <f t="shared" si="127"/>
        <v/>
      </c>
      <c r="E2010" s="534"/>
      <c r="F2010" s="534"/>
    </row>
    <row r="2011" spans="1:6" ht="15" customHeight="1">
      <c r="A2011" s="51"/>
      <c r="B2011" s="52" t="str">
        <f t="shared" si="126"/>
        <v/>
      </c>
      <c r="C2011" t="str">
        <f t="shared" si="125"/>
        <v/>
      </c>
      <c r="D2011" s="245" t="str">
        <f t="shared" si="127"/>
        <v/>
      </c>
      <c r="E2011" s="534"/>
      <c r="F2011" s="534"/>
    </row>
    <row r="2012" spans="1:6" ht="15" customHeight="1">
      <c r="A2012" s="51"/>
      <c r="B2012" s="52" t="str">
        <f t="shared" si="126"/>
        <v/>
      </c>
      <c r="C2012" t="str">
        <f t="shared" si="125"/>
        <v/>
      </c>
      <c r="D2012" s="245" t="str">
        <f t="shared" si="127"/>
        <v/>
      </c>
      <c r="E2012" s="534"/>
      <c r="F2012" s="534"/>
    </row>
    <row r="2013" spans="1:6" ht="15" customHeight="1">
      <c r="A2013" s="51"/>
      <c r="B2013" s="52" t="str">
        <f t="shared" si="126"/>
        <v/>
      </c>
      <c r="C2013" t="str">
        <f t="shared" si="125"/>
        <v/>
      </c>
      <c r="D2013" s="245" t="str">
        <f t="shared" si="127"/>
        <v/>
      </c>
      <c r="E2013" s="534"/>
      <c r="F2013" s="534"/>
    </row>
    <row r="2014" spans="1:6" ht="15" customHeight="1">
      <c r="A2014" s="51"/>
      <c r="B2014" s="52" t="str">
        <f t="shared" si="126"/>
        <v/>
      </c>
      <c r="C2014" t="str">
        <f t="shared" si="125"/>
        <v/>
      </c>
      <c r="D2014" s="245" t="str">
        <f t="shared" si="127"/>
        <v/>
      </c>
      <c r="E2014" s="534"/>
      <c r="F2014" s="534"/>
    </row>
    <row r="2015" spans="1:6" ht="15" customHeight="1">
      <c r="A2015" s="51"/>
      <c r="B2015" s="52" t="str">
        <f t="shared" si="126"/>
        <v/>
      </c>
      <c r="C2015" t="str">
        <f t="shared" si="125"/>
        <v/>
      </c>
      <c r="D2015" s="245" t="str">
        <f t="shared" si="127"/>
        <v/>
      </c>
      <c r="E2015" s="534"/>
      <c r="F2015" s="534"/>
    </row>
    <row r="2016" spans="1:6" ht="15" customHeight="1">
      <c r="A2016" s="51"/>
      <c r="B2016" s="52" t="str">
        <f t="shared" si="126"/>
        <v/>
      </c>
      <c r="C2016" t="str">
        <f t="shared" si="125"/>
        <v/>
      </c>
      <c r="D2016" s="245" t="str">
        <f t="shared" si="127"/>
        <v/>
      </c>
      <c r="E2016" s="534"/>
      <c r="F2016" s="534"/>
    </row>
    <row r="2017" spans="1:6" ht="15" customHeight="1">
      <c r="A2017" s="51"/>
      <c r="B2017" s="52" t="str">
        <f t="shared" si="126"/>
        <v/>
      </c>
      <c r="C2017" t="str">
        <f t="shared" si="125"/>
        <v/>
      </c>
      <c r="D2017" s="245" t="str">
        <f t="shared" si="127"/>
        <v/>
      </c>
      <c r="E2017" s="534"/>
      <c r="F2017" s="534"/>
    </row>
    <row r="2018" spans="1:6" ht="15" customHeight="1">
      <c r="A2018" s="51"/>
      <c r="B2018" s="52" t="str">
        <f t="shared" si="126"/>
        <v/>
      </c>
      <c r="C2018" t="str">
        <f t="shared" si="125"/>
        <v/>
      </c>
      <c r="D2018" s="245" t="str">
        <f t="shared" si="127"/>
        <v/>
      </c>
      <c r="E2018" s="534"/>
      <c r="F2018" s="534"/>
    </row>
    <row r="2019" spans="1:6" ht="15" customHeight="1">
      <c r="A2019" s="51"/>
      <c r="B2019" s="52" t="str">
        <f t="shared" si="126"/>
        <v/>
      </c>
      <c r="C2019" t="str">
        <f t="shared" si="125"/>
        <v/>
      </c>
      <c r="D2019" s="245" t="str">
        <f t="shared" si="127"/>
        <v/>
      </c>
      <c r="E2019" s="534"/>
      <c r="F2019" s="534"/>
    </row>
    <row r="2020" spans="1:6" ht="15" customHeight="1">
      <c r="A2020" s="51"/>
      <c r="B2020" s="52" t="str">
        <f t="shared" si="126"/>
        <v/>
      </c>
      <c r="C2020" t="str">
        <f t="shared" si="125"/>
        <v/>
      </c>
      <c r="D2020" s="245" t="str">
        <f t="shared" si="127"/>
        <v/>
      </c>
      <c r="E2020" s="534"/>
      <c r="F2020" s="534"/>
    </row>
    <row r="2021" spans="1:6" ht="15" customHeight="1">
      <c r="A2021" s="51"/>
      <c r="B2021" s="52" t="str">
        <f t="shared" si="126"/>
        <v/>
      </c>
      <c r="C2021" t="str">
        <f t="shared" si="125"/>
        <v/>
      </c>
      <c r="D2021" s="245" t="str">
        <f t="shared" si="127"/>
        <v/>
      </c>
      <c r="E2021" s="534"/>
      <c r="F2021" s="534"/>
    </row>
    <row r="2022" spans="1:6" ht="15" customHeight="1">
      <c r="A2022" s="51"/>
      <c r="B2022" s="52" t="str">
        <f t="shared" si="126"/>
        <v/>
      </c>
      <c r="C2022" t="str">
        <f t="shared" si="125"/>
        <v/>
      </c>
      <c r="D2022" s="245" t="str">
        <f t="shared" si="127"/>
        <v/>
      </c>
      <c r="E2022" s="534"/>
      <c r="F2022" s="534"/>
    </row>
    <row r="2023" spans="1:6" ht="15" customHeight="1">
      <c r="A2023" s="51"/>
      <c r="B2023" s="52" t="str">
        <f t="shared" si="126"/>
        <v/>
      </c>
      <c r="C2023" t="str">
        <f t="shared" si="125"/>
        <v/>
      </c>
      <c r="D2023" s="245" t="str">
        <f t="shared" si="127"/>
        <v/>
      </c>
      <c r="E2023" s="534"/>
      <c r="F2023" s="534"/>
    </row>
    <row r="2024" spans="1:6" ht="15" customHeight="1">
      <c r="A2024" s="51"/>
      <c r="B2024" s="52" t="str">
        <f t="shared" si="126"/>
        <v/>
      </c>
      <c r="C2024" t="str">
        <f t="shared" si="125"/>
        <v/>
      </c>
      <c r="D2024" s="245" t="str">
        <f t="shared" si="127"/>
        <v/>
      </c>
      <c r="E2024" s="534"/>
      <c r="F2024" s="534"/>
    </row>
    <row r="2025" spans="1:6" ht="15" customHeight="1">
      <c r="A2025" s="51"/>
      <c r="B2025" s="52" t="str">
        <f t="shared" si="126"/>
        <v/>
      </c>
      <c r="C2025" t="str">
        <f t="shared" si="125"/>
        <v/>
      </c>
      <c r="D2025" s="245" t="str">
        <f t="shared" si="127"/>
        <v/>
      </c>
      <c r="E2025" s="534"/>
      <c r="F2025" s="534"/>
    </row>
    <row r="2026" spans="1:6" ht="15" customHeight="1">
      <c r="A2026" s="51"/>
      <c r="B2026" s="52" t="str">
        <f t="shared" si="126"/>
        <v/>
      </c>
      <c r="C2026" t="str">
        <f t="shared" si="125"/>
        <v/>
      </c>
      <c r="D2026" s="245" t="str">
        <f t="shared" si="127"/>
        <v/>
      </c>
      <c r="E2026" s="534"/>
      <c r="F2026" s="534"/>
    </row>
    <row r="2027" spans="1:6" ht="15" customHeight="1">
      <c r="A2027" s="51"/>
      <c r="B2027" s="52" t="str">
        <f t="shared" si="126"/>
        <v/>
      </c>
      <c r="C2027" t="str">
        <f t="shared" si="125"/>
        <v/>
      </c>
      <c r="D2027" s="245" t="str">
        <f t="shared" si="127"/>
        <v/>
      </c>
      <c r="E2027" s="534"/>
      <c r="F2027" s="534"/>
    </row>
    <row r="2028" spans="1:6" ht="15" customHeight="1">
      <c r="A2028" s="51"/>
      <c r="B2028" s="52" t="str">
        <f t="shared" si="126"/>
        <v/>
      </c>
      <c r="C2028" t="str">
        <f t="shared" si="125"/>
        <v/>
      </c>
      <c r="D2028" s="245" t="str">
        <f t="shared" si="127"/>
        <v/>
      </c>
      <c r="E2028" s="534"/>
      <c r="F2028" s="534"/>
    </row>
    <row r="2029" spans="1:6" ht="15" customHeight="1">
      <c r="A2029" s="51"/>
      <c r="B2029" s="52" t="str">
        <f t="shared" si="126"/>
        <v/>
      </c>
      <c r="C2029" t="str">
        <f t="shared" si="125"/>
        <v/>
      </c>
      <c r="D2029" s="245" t="str">
        <f t="shared" si="127"/>
        <v/>
      </c>
      <c r="E2029" s="534"/>
      <c r="F2029" s="534"/>
    </row>
    <row r="2030" spans="1:6" ht="15" customHeight="1">
      <c r="A2030" s="51"/>
      <c r="B2030" s="52" t="str">
        <f t="shared" si="126"/>
        <v/>
      </c>
      <c r="C2030" t="str">
        <f t="shared" si="125"/>
        <v/>
      </c>
      <c r="D2030" s="245" t="str">
        <f t="shared" si="127"/>
        <v/>
      </c>
      <c r="E2030" s="534"/>
      <c r="F2030" s="534"/>
    </row>
    <row r="2031" spans="1:6" ht="15" customHeight="1">
      <c r="A2031" s="51"/>
      <c r="B2031" s="52" t="str">
        <f t="shared" si="126"/>
        <v/>
      </c>
      <c r="C2031" t="str">
        <f t="shared" si="125"/>
        <v/>
      </c>
      <c r="D2031" s="245" t="str">
        <f t="shared" si="127"/>
        <v/>
      </c>
      <c r="E2031" s="534"/>
      <c r="F2031" s="534"/>
    </row>
    <row r="2032" spans="1:6" ht="15" customHeight="1">
      <c r="A2032" s="51"/>
      <c r="B2032" s="52" t="str">
        <f t="shared" si="126"/>
        <v/>
      </c>
      <c r="C2032" t="str">
        <f t="shared" si="125"/>
        <v/>
      </c>
      <c r="D2032" s="245" t="str">
        <f t="shared" si="127"/>
        <v/>
      </c>
      <c r="E2032" s="534"/>
      <c r="F2032" s="534"/>
    </row>
    <row r="2033" spans="1:6" ht="15" customHeight="1">
      <c r="A2033" s="51"/>
      <c r="B2033" s="52" t="str">
        <f t="shared" si="126"/>
        <v/>
      </c>
      <c r="C2033" t="str">
        <f t="shared" si="125"/>
        <v/>
      </c>
      <c r="D2033" s="245" t="str">
        <f t="shared" si="127"/>
        <v/>
      </c>
      <c r="E2033" s="534"/>
      <c r="F2033" s="534"/>
    </row>
    <row r="2034" spans="1:6" ht="15" customHeight="1">
      <c r="A2034" s="51"/>
      <c r="B2034" s="52" t="str">
        <f t="shared" si="126"/>
        <v/>
      </c>
      <c r="C2034" t="str">
        <f t="shared" si="125"/>
        <v/>
      </c>
      <c r="D2034" s="245" t="str">
        <f t="shared" si="127"/>
        <v/>
      </c>
      <c r="E2034" s="534"/>
      <c r="F2034" s="534"/>
    </row>
    <row r="2035" spans="1:6" ht="15" customHeight="1">
      <c r="A2035" s="51"/>
      <c r="B2035" s="52" t="str">
        <f t="shared" si="126"/>
        <v/>
      </c>
      <c r="C2035" t="str">
        <f t="shared" si="125"/>
        <v/>
      </c>
      <c r="D2035" s="245" t="str">
        <f t="shared" si="127"/>
        <v/>
      </c>
      <c r="E2035" s="534"/>
      <c r="F2035" s="534"/>
    </row>
    <row r="2036" spans="1:6" ht="15" customHeight="1">
      <c r="A2036" s="51"/>
      <c r="B2036" s="52" t="str">
        <f t="shared" si="126"/>
        <v/>
      </c>
      <c r="C2036" t="str">
        <f t="shared" si="125"/>
        <v/>
      </c>
      <c r="D2036" s="245" t="str">
        <f t="shared" si="127"/>
        <v/>
      </c>
      <c r="E2036" s="534"/>
      <c r="F2036" s="534"/>
    </row>
    <row r="2037" spans="1:6" ht="15" customHeight="1">
      <c r="A2037" s="51"/>
      <c r="B2037" s="52" t="str">
        <f t="shared" si="126"/>
        <v/>
      </c>
      <c r="C2037" t="str">
        <f t="shared" si="125"/>
        <v/>
      </c>
      <c r="D2037" s="245" t="str">
        <f t="shared" si="127"/>
        <v/>
      </c>
      <c r="E2037" s="534"/>
      <c r="F2037" s="534"/>
    </row>
    <row r="2038" spans="1:6" ht="15" customHeight="1">
      <c r="A2038" s="51"/>
      <c r="B2038" s="52" t="str">
        <f t="shared" si="126"/>
        <v/>
      </c>
      <c r="C2038" t="str">
        <f t="shared" si="125"/>
        <v/>
      </c>
      <c r="D2038" s="245" t="str">
        <f t="shared" si="127"/>
        <v/>
      </c>
      <c r="E2038" s="534"/>
      <c r="F2038" s="534"/>
    </row>
    <row r="2039" spans="1:6" ht="15" customHeight="1">
      <c r="A2039" s="51"/>
      <c r="B2039" s="52" t="str">
        <f t="shared" si="126"/>
        <v/>
      </c>
      <c r="C2039" t="str">
        <f t="shared" si="125"/>
        <v/>
      </c>
      <c r="D2039" s="245" t="str">
        <f t="shared" si="127"/>
        <v/>
      </c>
      <c r="E2039" s="534"/>
      <c r="F2039" s="534"/>
    </row>
    <row r="2040" spans="1:6" ht="15" customHeight="1">
      <c r="A2040" s="51"/>
      <c r="B2040" s="52" t="str">
        <f t="shared" si="126"/>
        <v/>
      </c>
      <c r="C2040" t="str">
        <f t="shared" si="125"/>
        <v/>
      </c>
      <c r="D2040" s="245" t="str">
        <f t="shared" si="127"/>
        <v/>
      </c>
      <c r="E2040" s="534"/>
      <c r="F2040" s="534"/>
    </row>
    <row r="2041" spans="1:6" ht="15" customHeight="1">
      <c r="A2041" s="51"/>
      <c r="B2041" s="52" t="str">
        <f t="shared" si="126"/>
        <v/>
      </c>
      <c r="C2041" t="str">
        <f t="shared" si="125"/>
        <v/>
      </c>
      <c r="D2041" s="245" t="str">
        <f t="shared" si="127"/>
        <v/>
      </c>
      <c r="E2041" s="534"/>
      <c r="F2041" s="534"/>
    </row>
    <row r="2042" spans="1:6" ht="15" customHeight="1">
      <c r="A2042" s="51"/>
      <c r="B2042" s="52" t="str">
        <f t="shared" si="126"/>
        <v/>
      </c>
      <c r="C2042" t="str">
        <f t="shared" si="125"/>
        <v/>
      </c>
      <c r="D2042" s="245" t="str">
        <f t="shared" si="127"/>
        <v/>
      </c>
      <c r="E2042" s="534"/>
      <c r="F2042" s="534"/>
    </row>
    <row r="2043" spans="1:6" ht="15" customHeight="1">
      <c r="A2043" s="51"/>
      <c r="B2043" s="52" t="str">
        <f t="shared" si="126"/>
        <v/>
      </c>
      <c r="C2043" t="str">
        <f t="shared" si="125"/>
        <v/>
      </c>
      <c r="D2043" s="245" t="str">
        <f t="shared" si="127"/>
        <v/>
      </c>
      <c r="E2043" s="534"/>
      <c r="F2043" s="534"/>
    </row>
    <row r="2044" spans="1:6" ht="15" customHeight="1">
      <c r="A2044" s="51"/>
      <c r="B2044" s="52" t="str">
        <f t="shared" si="126"/>
        <v/>
      </c>
      <c r="C2044" t="str">
        <f t="shared" si="125"/>
        <v/>
      </c>
      <c r="D2044" s="245" t="str">
        <f t="shared" si="127"/>
        <v/>
      </c>
      <c r="E2044" s="534"/>
      <c r="F2044" s="534"/>
    </row>
    <row r="2045" spans="1:6" ht="15" customHeight="1">
      <c r="A2045" s="51"/>
      <c r="B2045" s="52" t="str">
        <f t="shared" si="126"/>
        <v/>
      </c>
      <c r="C2045" t="str">
        <f t="shared" si="125"/>
        <v/>
      </c>
      <c r="D2045" s="245" t="str">
        <f t="shared" si="127"/>
        <v/>
      </c>
      <c r="E2045" s="534"/>
      <c r="F2045" s="534"/>
    </row>
    <row r="2046" spans="1:6" ht="15" customHeight="1">
      <c r="A2046" s="51"/>
      <c r="B2046" s="52" t="str">
        <f t="shared" si="126"/>
        <v/>
      </c>
      <c r="C2046" t="str">
        <f t="shared" si="125"/>
        <v/>
      </c>
      <c r="D2046" s="245" t="str">
        <f t="shared" si="127"/>
        <v/>
      </c>
      <c r="E2046" s="534"/>
      <c r="F2046" s="534"/>
    </row>
    <row r="2047" spans="1:6" ht="15" customHeight="1">
      <c r="A2047" s="51"/>
      <c r="B2047" s="52" t="str">
        <f t="shared" si="126"/>
        <v/>
      </c>
      <c r="C2047" t="str">
        <f t="shared" si="125"/>
        <v/>
      </c>
      <c r="D2047" s="245" t="str">
        <f t="shared" si="127"/>
        <v/>
      </c>
      <c r="E2047" s="534"/>
      <c r="F2047" s="534"/>
    </row>
    <row r="2048" spans="1:6" ht="15" customHeight="1">
      <c r="A2048" s="51"/>
      <c r="B2048" s="52" t="str">
        <f t="shared" si="126"/>
        <v/>
      </c>
      <c r="C2048" t="str">
        <f t="shared" si="125"/>
        <v/>
      </c>
      <c r="D2048" s="245" t="str">
        <f t="shared" si="127"/>
        <v/>
      </c>
      <c r="E2048" s="534"/>
      <c r="F2048" s="534"/>
    </row>
    <row r="2049" spans="1:6" ht="15" customHeight="1">
      <c r="A2049" s="51"/>
      <c r="B2049" s="52" t="str">
        <f t="shared" si="126"/>
        <v/>
      </c>
      <c r="C2049" t="str">
        <f t="shared" si="125"/>
        <v/>
      </c>
      <c r="D2049" s="245" t="str">
        <f t="shared" si="127"/>
        <v/>
      </c>
      <c r="E2049" s="534"/>
      <c r="F2049" s="534"/>
    </row>
    <row r="2050" spans="1:6" ht="15" customHeight="1">
      <c r="A2050" s="51"/>
      <c r="B2050" s="52" t="str">
        <f t="shared" si="126"/>
        <v/>
      </c>
      <c r="C2050" t="str">
        <f t="shared" ref="C2050:C2113" si="128">IF(A2050&lt;&gt;"",TEXT(A2050,"aaaa"),"")</f>
        <v/>
      </c>
      <c r="D2050" s="245" t="str">
        <f t="shared" si="127"/>
        <v/>
      </c>
      <c r="E2050" s="534"/>
      <c r="F2050" s="534"/>
    </row>
    <row r="2051" spans="1:6" ht="15" customHeight="1">
      <c r="A2051" s="51"/>
      <c r="B2051" s="52" t="str">
        <f t="shared" si="126"/>
        <v/>
      </c>
      <c r="C2051" t="str">
        <f t="shared" si="128"/>
        <v/>
      </c>
      <c r="D2051" s="245" t="str">
        <f t="shared" si="127"/>
        <v/>
      </c>
      <c r="E2051" s="534"/>
      <c r="F2051" s="534"/>
    </row>
    <row r="2052" spans="1:6" ht="15" customHeight="1">
      <c r="A2052" s="51"/>
      <c r="B2052" s="52" t="str">
        <f t="shared" si="126"/>
        <v/>
      </c>
      <c r="C2052" t="str">
        <f t="shared" si="128"/>
        <v/>
      </c>
      <c r="D2052" s="245" t="str">
        <f t="shared" si="127"/>
        <v/>
      </c>
      <c r="E2052" s="534"/>
      <c r="F2052" s="534"/>
    </row>
    <row r="2053" spans="1:6" ht="15" customHeight="1">
      <c r="A2053" s="51"/>
      <c r="B2053" s="52" t="str">
        <f t="shared" si="126"/>
        <v/>
      </c>
      <c r="C2053" t="str">
        <f t="shared" si="128"/>
        <v/>
      </c>
      <c r="D2053" s="245" t="str">
        <f t="shared" si="127"/>
        <v/>
      </c>
      <c r="E2053" s="534"/>
      <c r="F2053" s="534"/>
    </row>
    <row r="2054" spans="1:6" ht="15" customHeight="1">
      <c r="A2054" s="51"/>
      <c r="B2054" s="52" t="str">
        <f t="shared" si="126"/>
        <v/>
      </c>
      <c r="C2054" t="str">
        <f t="shared" si="128"/>
        <v/>
      </c>
      <c r="D2054" s="245" t="str">
        <f t="shared" si="127"/>
        <v/>
      </c>
      <c r="E2054" s="534"/>
      <c r="F2054" s="534"/>
    </row>
    <row r="2055" spans="1:6" ht="15" customHeight="1">
      <c r="A2055" s="51"/>
      <c r="B2055" s="52" t="str">
        <f t="shared" si="126"/>
        <v/>
      </c>
      <c r="C2055" t="str">
        <f t="shared" si="128"/>
        <v/>
      </c>
      <c r="D2055" s="245" t="str">
        <f t="shared" si="127"/>
        <v/>
      </c>
      <c r="E2055" s="534"/>
      <c r="F2055" s="534"/>
    </row>
    <row r="2056" spans="1:6" ht="15" customHeight="1">
      <c r="A2056" s="51"/>
      <c r="B2056" s="52" t="str">
        <f t="shared" ref="B2056:B2119" si="129">IF(A2056="","",TEXT(A2056,"DDDD"))</f>
        <v/>
      </c>
      <c r="C2056" t="str">
        <f t="shared" si="128"/>
        <v/>
      </c>
      <c r="D2056" s="245" t="str">
        <f t="shared" si="127"/>
        <v/>
      </c>
      <c r="E2056" s="534"/>
      <c r="F2056" s="534"/>
    </row>
    <row r="2057" spans="1:6" ht="15" customHeight="1">
      <c r="A2057" s="51"/>
      <c r="B2057" s="52" t="str">
        <f t="shared" si="129"/>
        <v/>
      </c>
      <c r="C2057" t="str">
        <f t="shared" si="128"/>
        <v/>
      </c>
      <c r="D2057" s="245" t="str">
        <f t="shared" ref="D2057:D2120" si="130">IF(A2057&lt;&gt;"",PROPER(TEXT(A2057,"Mmmm")),"")</f>
        <v/>
      </c>
      <c r="E2057" s="534"/>
      <c r="F2057" s="534"/>
    </row>
    <row r="2058" spans="1:6" ht="15" customHeight="1">
      <c r="A2058" s="51"/>
      <c r="B2058" s="52" t="str">
        <f t="shared" si="129"/>
        <v/>
      </c>
      <c r="C2058" t="str">
        <f t="shared" si="128"/>
        <v/>
      </c>
      <c r="D2058" s="245" t="str">
        <f t="shared" si="130"/>
        <v/>
      </c>
      <c r="E2058" s="534"/>
      <c r="F2058" s="534"/>
    </row>
    <row r="2059" spans="1:6" ht="15" customHeight="1">
      <c r="A2059" s="51"/>
      <c r="B2059" s="52" t="str">
        <f t="shared" si="129"/>
        <v/>
      </c>
      <c r="C2059" t="str">
        <f t="shared" si="128"/>
        <v/>
      </c>
      <c r="D2059" s="245" t="str">
        <f t="shared" si="130"/>
        <v/>
      </c>
      <c r="E2059" s="534"/>
      <c r="F2059" s="534"/>
    </row>
    <row r="2060" spans="1:6" ht="15" customHeight="1">
      <c r="A2060" s="51"/>
      <c r="B2060" s="52" t="str">
        <f t="shared" si="129"/>
        <v/>
      </c>
      <c r="C2060" t="str">
        <f t="shared" si="128"/>
        <v/>
      </c>
      <c r="D2060" s="245" t="str">
        <f t="shared" si="130"/>
        <v/>
      </c>
      <c r="E2060" s="534"/>
      <c r="F2060" s="534"/>
    </row>
    <row r="2061" spans="1:6" ht="15" customHeight="1">
      <c r="A2061" s="51"/>
      <c r="B2061" s="52" t="str">
        <f t="shared" si="129"/>
        <v/>
      </c>
      <c r="C2061" t="str">
        <f t="shared" si="128"/>
        <v/>
      </c>
      <c r="D2061" s="245" t="str">
        <f t="shared" si="130"/>
        <v/>
      </c>
      <c r="E2061" s="534"/>
      <c r="F2061" s="534"/>
    </row>
    <row r="2062" spans="1:6" ht="15" customHeight="1">
      <c r="A2062" s="51"/>
      <c r="B2062" s="52" t="str">
        <f t="shared" si="129"/>
        <v/>
      </c>
      <c r="C2062" t="str">
        <f t="shared" si="128"/>
        <v/>
      </c>
      <c r="D2062" s="245" t="str">
        <f t="shared" si="130"/>
        <v/>
      </c>
      <c r="E2062" s="534"/>
      <c r="F2062" s="534"/>
    </row>
    <row r="2063" spans="1:6" ht="15" customHeight="1">
      <c r="A2063" s="51"/>
      <c r="B2063" s="52" t="str">
        <f t="shared" si="129"/>
        <v/>
      </c>
      <c r="C2063" t="str">
        <f t="shared" si="128"/>
        <v/>
      </c>
      <c r="D2063" s="245" t="str">
        <f t="shared" si="130"/>
        <v/>
      </c>
      <c r="E2063" s="534"/>
      <c r="F2063" s="534"/>
    </row>
    <row r="2064" spans="1:6" ht="15" customHeight="1">
      <c r="A2064" s="51"/>
      <c r="B2064" s="52" t="str">
        <f t="shared" si="129"/>
        <v/>
      </c>
      <c r="C2064" t="str">
        <f t="shared" si="128"/>
        <v/>
      </c>
      <c r="D2064" s="245" t="str">
        <f t="shared" si="130"/>
        <v/>
      </c>
      <c r="E2064" s="534"/>
      <c r="F2064" s="534"/>
    </row>
    <row r="2065" spans="1:6" ht="15" customHeight="1">
      <c r="A2065" s="51"/>
      <c r="B2065" s="52" t="str">
        <f t="shared" si="129"/>
        <v/>
      </c>
      <c r="C2065" t="str">
        <f t="shared" si="128"/>
        <v/>
      </c>
      <c r="D2065" s="245" t="str">
        <f t="shared" si="130"/>
        <v/>
      </c>
      <c r="E2065" s="534"/>
      <c r="F2065" s="534"/>
    </row>
    <row r="2066" spans="1:6" ht="15" customHeight="1">
      <c r="A2066" s="51"/>
      <c r="B2066" s="52" t="str">
        <f t="shared" si="129"/>
        <v/>
      </c>
      <c r="C2066" t="str">
        <f t="shared" si="128"/>
        <v/>
      </c>
      <c r="D2066" s="245" t="str">
        <f t="shared" si="130"/>
        <v/>
      </c>
      <c r="E2066" s="534"/>
      <c r="F2066" s="534"/>
    </row>
    <row r="2067" spans="1:6" ht="15" customHeight="1">
      <c r="A2067" s="51"/>
      <c r="B2067" s="52" t="str">
        <f t="shared" si="129"/>
        <v/>
      </c>
      <c r="C2067" t="str">
        <f t="shared" si="128"/>
        <v/>
      </c>
      <c r="D2067" s="245" t="str">
        <f t="shared" si="130"/>
        <v/>
      </c>
      <c r="E2067" s="534"/>
      <c r="F2067" s="534"/>
    </row>
    <row r="2068" spans="1:6" ht="15" customHeight="1">
      <c r="A2068" s="51"/>
      <c r="B2068" s="52" t="str">
        <f t="shared" si="129"/>
        <v/>
      </c>
      <c r="C2068" t="str">
        <f t="shared" si="128"/>
        <v/>
      </c>
      <c r="D2068" s="245" t="str">
        <f t="shared" si="130"/>
        <v/>
      </c>
      <c r="E2068" s="534"/>
      <c r="F2068" s="534"/>
    </row>
    <row r="2069" spans="1:6" ht="15" customHeight="1">
      <c r="A2069" s="51"/>
      <c r="B2069" s="52" t="str">
        <f t="shared" si="129"/>
        <v/>
      </c>
      <c r="C2069" t="str">
        <f t="shared" si="128"/>
        <v/>
      </c>
      <c r="D2069" s="245" t="str">
        <f t="shared" si="130"/>
        <v/>
      </c>
      <c r="E2069" s="534"/>
      <c r="F2069" s="534"/>
    </row>
    <row r="2070" spans="1:6" ht="15" customHeight="1">
      <c r="A2070" s="51"/>
      <c r="B2070" s="52" t="str">
        <f t="shared" si="129"/>
        <v/>
      </c>
      <c r="C2070" t="str">
        <f t="shared" si="128"/>
        <v/>
      </c>
      <c r="D2070" s="245" t="str">
        <f t="shared" si="130"/>
        <v/>
      </c>
      <c r="E2070" s="534"/>
      <c r="F2070" s="534"/>
    </row>
    <row r="2071" spans="1:6" ht="15" customHeight="1">
      <c r="A2071" s="51"/>
      <c r="B2071" s="52" t="str">
        <f t="shared" si="129"/>
        <v/>
      </c>
      <c r="C2071" t="str">
        <f t="shared" si="128"/>
        <v/>
      </c>
      <c r="D2071" s="245" t="str">
        <f t="shared" si="130"/>
        <v/>
      </c>
      <c r="E2071" s="534"/>
      <c r="F2071" s="534"/>
    </row>
    <row r="2072" spans="1:6" ht="15" customHeight="1">
      <c r="A2072" s="51"/>
      <c r="B2072" s="52" t="str">
        <f t="shared" si="129"/>
        <v/>
      </c>
      <c r="C2072" t="str">
        <f t="shared" si="128"/>
        <v/>
      </c>
      <c r="D2072" s="245" t="str">
        <f t="shared" si="130"/>
        <v/>
      </c>
      <c r="E2072" s="534"/>
      <c r="F2072" s="534"/>
    </row>
    <row r="2073" spans="1:6" ht="15" customHeight="1">
      <c r="A2073" s="51"/>
      <c r="B2073" s="52" t="str">
        <f t="shared" si="129"/>
        <v/>
      </c>
      <c r="C2073" t="str">
        <f t="shared" si="128"/>
        <v/>
      </c>
      <c r="D2073" s="245" t="str">
        <f t="shared" si="130"/>
        <v/>
      </c>
      <c r="E2073" s="534"/>
      <c r="F2073" s="534"/>
    </row>
    <row r="2074" spans="1:6" ht="15" customHeight="1">
      <c r="A2074" s="51"/>
      <c r="B2074" s="52" t="str">
        <f t="shared" si="129"/>
        <v/>
      </c>
      <c r="C2074" t="str">
        <f t="shared" si="128"/>
        <v/>
      </c>
      <c r="D2074" s="245" t="str">
        <f t="shared" si="130"/>
        <v/>
      </c>
      <c r="E2074" s="534"/>
      <c r="F2074" s="534"/>
    </row>
    <row r="2075" spans="1:6" ht="15" customHeight="1">
      <c r="A2075" s="51"/>
      <c r="B2075" s="52" t="str">
        <f t="shared" si="129"/>
        <v/>
      </c>
      <c r="C2075" t="str">
        <f t="shared" si="128"/>
        <v/>
      </c>
      <c r="D2075" s="245" t="str">
        <f t="shared" si="130"/>
        <v/>
      </c>
      <c r="E2075" s="534"/>
      <c r="F2075" s="534"/>
    </row>
    <row r="2076" spans="1:6" ht="15" customHeight="1">
      <c r="A2076" s="51"/>
      <c r="B2076" s="52" t="str">
        <f t="shared" si="129"/>
        <v/>
      </c>
      <c r="C2076" t="str">
        <f t="shared" si="128"/>
        <v/>
      </c>
      <c r="D2076" s="245" t="str">
        <f t="shared" si="130"/>
        <v/>
      </c>
      <c r="E2076" s="534"/>
      <c r="F2076" s="534"/>
    </row>
    <row r="2077" spans="1:6" ht="15" customHeight="1">
      <c r="A2077" s="51"/>
      <c r="B2077" s="52" t="str">
        <f t="shared" si="129"/>
        <v/>
      </c>
      <c r="C2077" t="str">
        <f t="shared" si="128"/>
        <v/>
      </c>
      <c r="D2077" s="245" t="str">
        <f t="shared" si="130"/>
        <v/>
      </c>
      <c r="E2077" s="534"/>
      <c r="F2077" s="534"/>
    </row>
    <row r="2078" spans="1:6" ht="15" customHeight="1">
      <c r="A2078" s="51"/>
      <c r="B2078" s="52" t="str">
        <f t="shared" si="129"/>
        <v/>
      </c>
      <c r="C2078" t="str">
        <f t="shared" si="128"/>
        <v/>
      </c>
      <c r="D2078" s="245" t="str">
        <f t="shared" si="130"/>
        <v/>
      </c>
      <c r="E2078" s="534"/>
      <c r="F2078" s="534"/>
    </row>
    <row r="2079" spans="1:6" ht="15" customHeight="1">
      <c r="A2079" s="51"/>
      <c r="B2079" s="52" t="str">
        <f t="shared" si="129"/>
        <v/>
      </c>
      <c r="C2079" t="str">
        <f t="shared" si="128"/>
        <v/>
      </c>
      <c r="D2079" s="245" t="str">
        <f t="shared" si="130"/>
        <v/>
      </c>
      <c r="E2079" s="534"/>
      <c r="F2079" s="534"/>
    </row>
    <row r="2080" spans="1:6" ht="15" customHeight="1">
      <c r="A2080" s="51"/>
      <c r="B2080" s="52" t="str">
        <f t="shared" si="129"/>
        <v/>
      </c>
      <c r="C2080" t="str">
        <f t="shared" si="128"/>
        <v/>
      </c>
      <c r="D2080" s="245" t="str">
        <f t="shared" si="130"/>
        <v/>
      </c>
      <c r="E2080" s="534"/>
      <c r="F2080" s="534"/>
    </row>
    <row r="2081" spans="1:6" ht="15" customHeight="1">
      <c r="A2081" s="51"/>
      <c r="B2081" s="52" t="str">
        <f t="shared" si="129"/>
        <v/>
      </c>
      <c r="C2081" t="str">
        <f t="shared" si="128"/>
        <v/>
      </c>
      <c r="D2081" s="245" t="str">
        <f t="shared" si="130"/>
        <v/>
      </c>
      <c r="E2081" s="534"/>
      <c r="F2081" s="534"/>
    </row>
    <row r="2082" spans="1:6" ht="15" customHeight="1">
      <c r="A2082" s="51"/>
      <c r="B2082" s="52" t="str">
        <f t="shared" si="129"/>
        <v/>
      </c>
      <c r="C2082" t="str">
        <f t="shared" si="128"/>
        <v/>
      </c>
      <c r="D2082" s="245" t="str">
        <f t="shared" si="130"/>
        <v/>
      </c>
      <c r="E2082" s="534"/>
      <c r="F2082" s="534"/>
    </row>
    <row r="2083" spans="1:6" ht="15" customHeight="1">
      <c r="A2083" s="51"/>
      <c r="B2083" s="52" t="str">
        <f t="shared" si="129"/>
        <v/>
      </c>
      <c r="C2083" t="str">
        <f t="shared" si="128"/>
        <v/>
      </c>
      <c r="D2083" s="245" t="str">
        <f t="shared" si="130"/>
        <v/>
      </c>
      <c r="E2083" s="534"/>
      <c r="F2083" s="534"/>
    </row>
    <row r="2084" spans="1:6" ht="15" customHeight="1">
      <c r="A2084" s="51"/>
      <c r="B2084" s="52" t="str">
        <f t="shared" si="129"/>
        <v/>
      </c>
      <c r="C2084" t="str">
        <f t="shared" si="128"/>
        <v/>
      </c>
      <c r="D2084" s="245" t="str">
        <f t="shared" si="130"/>
        <v/>
      </c>
      <c r="E2084" s="534"/>
      <c r="F2084" s="534"/>
    </row>
    <row r="2085" spans="1:6" ht="15" customHeight="1">
      <c r="A2085" s="51"/>
      <c r="B2085" s="52" t="str">
        <f t="shared" si="129"/>
        <v/>
      </c>
      <c r="C2085" t="str">
        <f t="shared" si="128"/>
        <v/>
      </c>
      <c r="D2085" s="245" t="str">
        <f t="shared" si="130"/>
        <v/>
      </c>
      <c r="E2085" s="534"/>
      <c r="F2085" s="534"/>
    </row>
    <row r="2086" spans="1:6" ht="15" customHeight="1">
      <c r="A2086" s="51"/>
      <c r="B2086" s="52" t="str">
        <f t="shared" si="129"/>
        <v/>
      </c>
      <c r="C2086" t="str">
        <f t="shared" si="128"/>
        <v/>
      </c>
      <c r="D2086" s="245" t="str">
        <f t="shared" si="130"/>
        <v/>
      </c>
      <c r="E2086" s="534"/>
      <c r="F2086" s="534"/>
    </row>
    <row r="2087" spans="1:6" ht="15" customHeight="1">
      <c r="A2087" s="51"/>
      <c r="B2087" s="52" t="str">
        <f t="shared" si="129"/>
        <v/>
      </c>
      <c r="C2087" t="str">
        <f t="shared" si="128"/>
        <v/>
      </c>
      <c r="D2087" s="245" t="str">
        <f t="shared" si="130"/>
        <v/>
      </c>
      <c r="E2087" s="534"/>
      <c r="F2087" s="534"/>
    </row>
    <row r="2088" spans="1:6" ht="15" customHeight="1">
      <c r="A2088" s="51"/>
      <c r="B2088" s="52" t="str">
        <f t="shared" si="129"/>
        <v/>
      </c>
      <c r="C2088" t="str">
        <f t="shared" si="128"/>
        <v/>
      </c>
      <c r="D2088" s="245" t="str">
        <f t="shared" si="130"/>
        <v/>
      </c>
      <c r="E2088" s="534"/>
      <c r="F2088" s="534"/>
    </row>
    <row r="2089" spans="1:6" ht="15" customHeight="1">
      <c r="A2089" s="51"/>
      <c r="B2089" s="52" t="str">
        <f t="shared" si="129"/>
        <v/>
      </c>
      <c r="C2089" t="str">
        <f t="shared" si="128"/>
        <v/>
      </c>
      <c r="D2089" s="245" t="str">
        <f t="shared" si="130"/>
        <v/>
      </c>
      <c r="E2089" s="534"/>
      <c r="F2089" s="534"/>
    </row>
    <row r="2090" spans="1:6" ht="15" customHeight="1">
      <c r="A2090" s="51"/>
      <c r="B2090" s="52" t="str">
        <f t="shared" si="129"/>
        <v/>
      </c>
      <c r="C2090" t="str">
        <f t="shared" si="128"/>
        <v/>
      </c>
      <c r="D2090" s="245" t="str">
        <f t="shared" si="130"/>
        <v/>
      </c>
      <c r="E2090" s="534"/>
      <c r="F2090" s="534"/>
    </row>
    <row r="2091" spans="1:6" ht="15" customHeight="1">
      <c r="A2091" s="51"/>
      <c r="B2091" s="52" t="str">
        <f t="shared" si="129"/>
        <v/>
      </c>
      <c r="C2091" t="str">
        <f t="shared" si="128"/>
        <v/>
      </c>
      <c r="D2091" s="245" t="str">
        <f t="shared" si="130"/>
        <v/>
      </c>
      <c r="E2091" s="534"/>
      <c r="F2091" s="534"/>
    </row>
    <row r="2092" spans="1:6" ht="15" customHeight="1">
      <c r="A2092" s="51"/>
      <c r="B2092" s="52" t="str">
        <f t="shared" si="129"/>
        <v/>
      </c>
      <c r="C2092" t="str">
        <f t="shared" si="128"/>
        <v/>
      </c>
      <c r="D2092" s="245" t="str">
        <f t="shared" si="130"/>
        <v/>
      </c>
      <c r="E2092" s="534"/>
      <c r="F2092" s="534"/>
    </row>
    <row r="2093" spans="1:6" ht="15" customHeight="1">
      <c r="A2093" s="51"/>
      <c r="B2093" s="52" t="str">
        <f t="shared" si="129"/>
        <v/>
      </c>
      <c r="C2093" t="str">
        <f t="shared" si="128"/>
        <v/>
      </c>
      <c r="D2093" s="245" t="str">
        <f t="shared" si="130"/>
        <v/>
      </c>
      <c r="E2093" s="534"/>
      <c r="F2093" s="534"/>
    </row>
    <row r="2094" spans="1:6" ht="15" customHeight="1">
      <c r="A2094" s="51"/>
      <c r="B2094" s="52" t="str">
        <f t="shared" si="129"/>
        <v/>
      </c>
      <c r="C2094" t="str">
        <f t="shared" si="128"/>
        <v/>
      </c>
      <c r="D2094" s="245" t="str">
        <f t="shared" si="130"/>
        <v/>
      </c>
      <c r="E2094" s="534"/>
      <c r="F2094" s="534"/>
    </row>
    <row r="2095" spans="1:6" ht="15" customHeight="1">
      <c r="A2095" s="51"/>
      <c r="B2095" s="52" t="str">
        <f t="shared" si="129"/>
        <v/>
      </c>
      <c r="C2095" t="str">
        <f t="shared" si="128"/>
        <v/>
      </c>
      <c r="D2095" s="245" t="str">
        <f t="shared" si="130"/>
        <v/>
      </c>
      <c r="E2095" s="534"/>
      <c r="F2095" s="534"/>
    </row>
    <row r="2096" spans="1:6" ht="15" customHeight="1">
      <c r="A2096" s="51"/>
      <c r="B2096" s="52" t="str">
        <f t="shared" si="129"/>
        <v/>
      </c>
      <c r="C2096" t="str">
        <f t="shared" si="128"/>
        <v/>
      </c>
      <c r="D2096" s="245" t="str">
        <f t="shared" si="130"/>
        <v/>
      </c>
      <c r="E2096" s="534"/>
      <c r="F2096" s="534"/>
    </row>
    <row r="2097" spans="1:6" ht="15" customHeight="1">
      <c r="A2097" s="51"/>
      <c r="B2097" s="52" t="str">
        <f t="shared" si="129"/>
        <v/>
      </c>
      <c r="C2097" t="str">
        <f t="shared" si="128"/>
        <v/>
      </c>
      <c r="D2097" s="245" t="str">
        <f t="shared" si="130"/>
        <v/>
      </c>
      <c r="E2097" s="534"/>
      <c r="F2097" s="534"/>
    </row>
    <row r="2098" spans="1:6" ht="15" customHeight="1">
      <c r="A2098" s="51"/>
      <c r="B2098" s="52" t="str">
        <f t="shared" si="129"/>
        <v/>
      </c>
      <c r="C2098" t="str">
        <f t="shared" si="128"/>
        <v/>
      </c>
      <c r="D2098" s="245" t="str">
        <f t="shared" si="130"/>
        <v/>
      </c>
      <c r="E2098" s="534"/>
      <c r="F2098" s="534"/>
    </row>
    <row r="2099" spans="1:6" ht="15" customHeight="1">
      <c r="A2099" s="51"/>
      <c r="B2099" s="52" t="str">
        <f t="shared" si="129"/>
        <v/>
      </c>
      <c r="C2099" t="str">
        <f t="shared" si="128"/>
        <v/>
      </c>
      <c r="D2099" s="245" t="str">
        <f t="shared" si="130"/>
        <v/>
      </c>
      <c r="E2099" s="534"/>
      <c r="F2099" s="534"/>
    </row>
    <row r="2100" spans="1:6" ht="15" customHeight="1">
      <c r="A2100" s="51"/>
      <c r="B2100" s="52" t="str">
        <f t="shared" si="129"/>
        <v/>
      </c>
      <c r="C2100" t="str">
        <f t="shared" si="128"/>
        <v/>
      </c>
      <c r="D2100" s="245" t="str">
        <f t="shared" si="130"/>
        <v/>
      </c>
      <c r="E2100" s="534"/>
      <c r="F2100" s="534"/>
    </row>
    <row r="2101" spans="1:6" ht="15" customHeight="1">
      <c r="A2101" s="51"/>
      <c r="B2101" s="52" t="str">
        <f t="shared" si="129"/>
        <v/>
      </c>
      <c r="C2101" t="str">
        <f t="shared" si="128"/>
        <v/>
      </c>
      <c r="D2101" s="245" t="str">
        <f t="shared" si="130"/>
        <v/>
      </c>
      <c r="E2101" s="534"/>
      <c r="F2101" s="534"/>
    </row>
    <row r="2102" spans="1:6" ht="15" customHeight="1">
      <c r="A2102" s="51"/>
      <c r="B2102" s="52" t="str">
        <f t="shared" si="129"/>
        <v/>
      </c>
      <c r="C2102" t="str">
        <f t="shared" si="128"/>
        <v/>
      </c>
      <c r="D2102" s="245" t="str">
        <f t="shared" si="130"/>
        <v/>
      </c>
      <c r="E2102" s="534"/>
      <c r="F2102" s="534"/>
    </row>
    <row r="2103" spans="1:6" ht="15" customHeight="1">
      <c r="A2103" s="51"/>
      <c r="B2103" s="52" t="str">
        <f t="shared" si="129"/>
        <v/>
      </c>
      <c r="C2103" t="str">
        <f t="shared" si="128"/>
        <v/>
      </c>
      <c r="D2103" s="245" t="str">
        <f t="shared" si="130"/>
        <v/>
      </c>
      <c r="E2103" s="534"/>
      <c r="F2103" s="534"/>
    </row>
    <row r="2104" spans="1:6" ht="15" customHeight="1">
      <c r="A2104" s="51"/>
      <c r="B2104" s="52" t="str">
        <f t="shared" si="129"/>
        <v/>
      </c>
      <c r="C2104" t="str">
        <f t="shared" si="128"/>
        <v/>
      </c>
      <c r="D2104" s="245" t="str">
        <f t="shared" si="130"/>
        <v/>
      </c>
      <c r="E2104" s="534"/>
      <c r="F2104" s="534"/>
    </row>
    <row r="2105" spans="1:6" ht="15" customHeight="1">
      <c r="A2105" s="51"/>
      <c r="B2105" s="52" t="str">
        <f t="shared" si="129"/>
        <v/>
      </c>
      <c r="C2105" t="str">
        <f t="shared" si="128"/>
        <v/>
      </c>
      <c r="D2105" s="245" t="str">
        <f t="shared" si="130"/>
        <v/>
      </c>
      <c r="E2105" s="534"/>
      <c r="F2105" s="534"/>
    </row>
    <row r="2106" spans="1:6" ht="15" customHeight="1">
      <c r="A2106" s="51"/>
      <c r="B2106" s="52" t="str">
        <f t="shared" si="129"/>
        <v/>
      </c>
      <c r="C2106" t="str">
        <f t="shared" si="128"/>
        <v/>
      </c>
      <c r="D2106" s="245" t="str">
        <f t="shared" si="130"/>
        <v/>
      </c>
      <c r="E2106" s="534"/>
      <c r="F2106" s="534"/>
    </row>
    <row r="2107" spans="1:6" ht="15" customHeight="1">
      <c r="A2107" s="51"/>
      <c r="B2107" s="52" t="str">
        <f t="shared" si="129"/>
        <v/>
      </c>
      <c r="C2107" t="str">
        <f t="shared" si="128"/>
        <v/>
      </c>
      <c r="D2107" s="245" t="str">
        <f t="shared" si="130"/>
        <v/>
      </c>
      <c r="E2107" s="534"/>
      <c r="F2107" s="534"/>
    </row>
    <row r="2108" spans="1:6" ht="15" customHeight="1">
      <c r="A2108" s="51"/>
      <c r="B2108" s="52" t="str">
        <f t="shared" si="129"/>
        <v/>
      </c>
      <c r="C2108" t="str">
        <f t="shared" si="128"/>
        <v/>
      </c>
      <c r="D2108" s="245" t="str">
        <f t="shared" si="130"/>
        <v/>
      </c>
      <c r="E2108" s="534"/>
      <c r="F2108" s="534"/>
    </row>
    <row r="2109" spans="1:6" ht="15" customHeight="1">
      <c r="A2109" s="51"/>
      <c r="B2109" s="52" t="str">
        <f t="shared" si="129"/>
        <v/>
      </c>
      <c r="C2109" t="str">
        <f t="shared" si="128"/>
        <v/>
      </c>
      <c r="D2109" s="245" t="str">
        <f t="shared" si="130"/>
        <v/>
      </c>
      <c r="E2109" s="534"/>
      <c r="F2109" s="534"/>
    </row>
    <row r="2110" spans="1:6" ht="15" customHeight="1">
      <c r="A2110" s="51"/>
      <c r="B2110" s="52" t="str">
        <f t="shared" si="129"/>
        <v/>
      </c>
      <c r="C2110" t="str">
        <f t="shared" si="128"/>
        <v/>
      </c>
      <c r="D2110" s="245" t="str">
        <f t="shared" si="130"/>
        <v/>
      </c>
      <c r="E2110" s="534"/>
      <c r="F2110" s="534"/>
    </row>
    <row r="2111" spans="1:6" ht="15" customHeight="1">
      <c r="A2111" s="51"/>
      <c r="B2111" s="52" t="str">
        <f t="shared" si="129"/>
        <v/>
      </c>
      <c r="C2111" t="str">
        <f t="shared" si="128"/>
        <v/>
      </c>
      <c r="D2111" s="245" t="str">
        <f t="shared" si="130"/>
        <v/>
      </c>
      <c r="E2111" s="534"/>
      <c r="F2111" s="534"/>
    </row>
    <row r="2112" spans="1:6" ht="15" customHeight="1">
      <c r="A2112" s="51"/>
      <c r="B2112" s="52" t="str">
        <f t="shared" si="129"/>
        <v/>
      </c>
      <c r="C2112" t="str">
        <f t="shared" si="128"/>
        <v/>
      </c>
      <c r="D2112" s="245" t="str">
        <f t="shared" si="130"/>
        <v/>
      </c>
      <c r="E2112" s="534"/>
      <c r="F2112" s="534"/>
    </row>
    <row r="2113" spans="1:6" ht="15" customHeight="1">
      <c r="A2113" s="51"/>
      <c r="B2113" s="52" t="str">
        <f t="shared" si="129"/>
        <v/>
      </c>
      <c r="C2113" t="str">
        <f t="shared" si="128"/>
        <v/>
      </c>
      <c r="D2113" s="245" t="str">
        <f t="shared" si="130"/>
        <v/>
      </c>
      <c r="E2113" s="534"/>
      <c r="F2113" s="534"/>
    </row>
    <row r="2114" spans="1:6" ht="15" customHeight="1">
      <c r="A2114" s="51"/>
      <c r="B2114" s="52" t="str">
        <f t="shared" si="129"/>
        <v/>
      </c>
      <c r="C2114" t="str">
        <f t="shared" ref="C2114:C2177" si="131">IF(A2114&lt;&gt;"",TEXT(A2114,"aaaa"),"")</f>
        <v/>
      </c>
      <c r="D2114" s="245" t="str">
        <f t="shared" si="130"/>
        <v/>
      </c>
      <c r="E2114" s="534"/>
      <c r="F2114" s="534"/>
    </row>
    <row r="2115" spans="1:6" ht="15" customHeight="1">
      <c r="A2115" s="51"/>
      <c r="B2115" s="52" t="str">
        <f t="shared" si="129"/>
        <v/>
      </c>
      <c r="C2115" t="str">
        <f t="shared" si="131"/>
        <v/>
      </c>
      <c r="D2115" s="245" t="str">
        <f t="shared" si="130"/>
        <v/>
      </c>
      <c r="E2115" s="534"/>
      <c r="F2115" s="534"/>
    </row>
    <row r="2116" spans="1:6" ht="15" customHeight="1">
      <c r="A2116" s="51"/>
      <c r="B2116" s="52" t="str">
        <f t="shared" si="129"/>
        <v/>
      </c>
      <c r="C2116" t="str">
        <f t="shared" si="131"/>
        <v/>
      </c>
      <c r="D2116" s="245" t="str">
        <f t="shared" si="130"/>
        <v/>
      </c>
      <c r="E2116" s="534"/>
      <c r="F2116" s="534"/>
    </row>
    <row r="2117" spans="1:6" ht="15" customHeight="1">
      <c r="A2117" s="51"/>
      <c r="B2117" s="52" t="str">
        <f t="shared" si="129"/>
        <v/>
      </c>
      <c r="C2117" t="str">
        <f t="shared" si="131"/>
        <v/>
      </c>
      <c r="D2117" s="245" t="str">
        <f t="shared" si="130"/>
        <v/>
      </c>
      <c r="E2117" s="534"/>
      <c r="F2117" s="534"/>
    </row>
    <row r="2118" spans="1:6" ht="15" customHeight="1">
      <c r="A2118" s="51"/>
      <c r="B2118" s="52" t="str">
        <f t="shared" si="129"/>
        <v/>
      </c>
      <c r="C2118" t="str">
        <f t="shared" si="131"/>
        <v/>
      </c>
      <c r="D2118" s="245" t="str">
        <f t="shared" si="130"/>
        <v/>
      </c>
      <c r="E2118" s="534"/>
      <c r="F2118" s="534"/>
    </row>
    <row r="2119" spans="1:6" ht="15" customHeight="1">
      <c r="A2119" s="51"/>
      <c r="B2119" s="52" t="str">
        <f t="shared" si="129"/>
        <v/>
      </c>
      <c r="C2119" t="str">
        <f t="shared" si="131"/>
        <v/>
      </c>
      <c r="D2119" s="245" t="str">
        <f t="shared" si="130"/>
        <v/>
      </c>
      <c r="E2119" s="534"/>
      <c r="F2119" s="534"/>
    </row>
    <row r="2120" spans="1:6" ht="15" customHeight="1">
      <c r="A2120" s="51"/>
      <c r="B2120" s="52" t="str">
        <f t="shared" ref="B2120:B2183" si="132">IF(A2120="","",TEXT(A2120,"DDDD"))</f>
        <v/>
      </c>
      <c r="C2120" t="str">
        <f t="shared" si="131"/>
        <v/>
      </c>
      <c r="D2120" s="245" t="str">
        <f t="shared" si="130"/>
        <v/>
      </c>
      <c r="E2120" s="534"/>
      <c r="F2120" s="534"/>
    </row>
    <row r="2121" spans="1:6" ht="15" customHeight="1">
      <c r="A2121" s="51"/>
      <c r="B2121" s="52" t="str">
        <f t="shared" si="132"/>
        <v/>
      </c>
      <c r="C2121" t="str">
        <f t="shared" si="131"/>
        <v/>
      </c>
      <c r="D2121" s="245" t="str">
        <f t="shared" ref="D2121:D2184" si="133">IF(A2121&lt;&gt;"",PROPER(TEXT(A2121,"Mmmm")),"")</f>
        <v/>
      </c>
      <c r="E2121" s="534"/>
      <c r="F2121" s="534"/>
    </row>
    <row r="2122" spans="1:6" ht="15" customHeight="1">
      <c r="A2122" s="51"/>
      <c r="B2122" s="52" t="str">
        <f t="shared" si="132"/>
        <v/>
      </c>
      <c r="C2122" t="str">
        <f t="shared" si="131"/>
        <v/>
      </c>
      <c r="D2122" s="245" t="str">
        <f t="shared" si="133"/>
        <v/>
      </c>
      <c r="E2122" s="534"/>
      <c r="F2122" s="534"/>
    </row>
    <row r="2123" spans="1:6" ht="15" customHeight="1">
      <c r="A2123" s="51"/>
      <c r="B2123" s="52" t="str">
        <f t="shared" si="132"/>
        <v/>
      </c>
      <c r="C2123" t="str">
        <f t="shared" si="131"/>
        <v/>
      </c>
      <c r="D2123" s="245" t="str">
        <f t="shared" si="133"/>
        <v/>
      </c>
      <c r="E2123" s="534"/>
      <c r="F2123" s="534"/>
    </row>
    <row r="2124" spans="1:6" ht="15" customHeight="1">
      <c r="A2124" s="51"/>
      <c r="B2124" s="52" t="str">
        <f t="shared" si="132"/>
        <v/>
      </c>
      <c r="C2124" t="str">
        <f t="shared" si="131"/>
        <v/>
      </c>
      <c r="D2124" s="245" t="str">
        <f t="shared" si="133"/>
        <v/>
      </c>
      <c r="E2124" s="534"/>
      <c r="F2124" s="534"/>
    </row>
    <row r="2125" spans="1:6" ht="15" customHeight="1">
      <c r="A2125" s="51"/>
      <c r="B2125" s="52" t="str">
        <f t="shared" si="132"/>
        <v/>
      </c>
      <c r="C2125" t="str">
        <f t="shared" si="131"/>
        <v/>
      </c>
      <c r="D2125" s="245" t="str">
        <f t="shared" si="133"/>
        <v/>
      </c>
      <c r="E2125" s="534"/>
      <c r="F2125" s="534"/>
    </row>
    <row r="2126" spans="1:6" ht="15" customHeight="1">
      <c r="A2126" s="51"/>
      <c r="B2126" s="52" t="str">
        <f t="shared" si="132"/>
        <v/>
      </c>
      <c r="C2126" t="str">
        <f t="shared" si="131"/>
        <v/>
      </c>
      <c r="D2126" s="245" t="str">
        <f t="shared" si="133"/>
        <v/>
      </c>
      <c r="E2126" s="534"/>
      <c r="F2126" s="534"/>
    </row>
    <row r="2127" spans="1:6" ht="15" customHeight="1">
      <c r="A2127" s="51"/>
      <c r="B2127" s="52" t="str">
        <f t="shared" si="132"/>
        <v/>
      </c>
      <c r="C2127" t="str">
        <f t="shared" si="131"/>
        <v/>
      </c>
      <c r="D2127" s="245" t="str">
        <f t="shared" si="133"/>
        <v/>
      </c>
      <c r="E2127" s="534"/>
      <c r="F2127" s="534"/>
    </row>
    <row r="2128" spans="1:6" ht="15" customHeight="1">
      <c r="A2128" s="51"/>
      <c r="B2128" s="52" t="str">
        <f t="shared" si="132"/>
        <v/>
      </c>
      <c r="C2128" t="str">
        <f t="shared" si="131"/>
        <v/>
      </c>
      <c r="D2128" s="245" t="str">
        <f t="shared" si="133"/>
        <v/>
      </c>
      <c r="E2128" s="534"/>
      <c r="F2128" s="534"/>
    </row>
    <row r="2129" spans="1:6" ht="15" customHeight="1">
      <c r="A2129" s="51"/>
      <c r="B2129" s="52" t="str">
        <f t="shared" si="132"/>
        <v/>
      </c>
      <c r="C2129" t="str">
        <f t="shared" si="131"/>
        <v/>
      </c>
      <c r="D2129" s="245" t="str">
        <f t="shared" si="133"/>
        <v/>
      </c>
      <c r="E2129" s="534"/>
      <c r="F2129" s="534"/>
    </row>
    <row r="2130" spans="1:6" ht="15" customHeight="1">
      <c r="A2130" s="51"/>
      <c r="B2130" s="52" t="str">
        <f t="shared" si="132"/>
        <v/>
      </c>
      <c r="C2130" t="str">
        <f t="shared" si="131"/>
        <v/>
      </c>
      <c r="D2130" s="245" t="str">
        <f t="shared" si="133"/>
        <v/>
      </c>
      <c r="E2130" s="534"/>
      <c r="F2130" s="534"/>
    </row>
    <row r="2131" spans="1:6" ht="15" customHeight="1">
      <c r="A2131" s="51"/>
      <c r="B2131" s="52" t="str">
        <f t="shared" si="132"/>
        <v/>
      </c>
      <c r="C2131" t="str">
        <f t="shared" si="131"/>
        <v/>
      </c>
      <c r="D2131" s="245" t="str">
        <f t="shared" si="133"/>
        <v/>
      </c>
      <c r="E2131" s="534"/>
      <c r="F2131" s="534"/>
    </row>
    <row r="2132" spans="1:6" ht="15" customHeight="1">
      <c r="A2132" s="51"/>
      <c r="B2132" s="52" t="str">
        <f t="shared" si="132"/>
        <v/>
      </c>
      <c r="C2132" t="str">
        <f t="shared" si="131"/>
        <v/>
      </c>
      <c r="D2132" s="245" t="str">
        <f t="shared" si="133"/>
        <v/>
      </c>
      <c r="E2132" s="534"/>
      <c r="F2132" s="534"/>
    </row>
    <row r="2133" spans="1:6" ht="15" customHeight="1">
      <c r="A2133" s="51"/>
      <c r="B2133" s="52" t="str">
        <f t="shared" si="132"/>
        <v/>
      </c>
      <c r="C2133" t="str">
        <f t="shared" si="131"/>
        <v/>
      </c>
      <c r="D2133" s="245" t="str">
        <f t="shared" si="133"/>
        <v/>
      </c>
      <c r="E2133" s="534"/>
      <c r="F2133" s="534"/>
    </row>
    <row r="2134" spans="1:6" ht="15" customHeight="1">
      <c r="A2134" s="51"/>
      <c r="B2134" s="52" t="str">
        <f t="shared" si="132"/>
        <v/>
      </c>
      <c r="C2134" t="str">
        <f t="shared" si="131"/>
        <v/>
      </c>
      <c r="D2134" s="245" t="str">
        <f t="shared" si="133"/>
        <v/>
      </c>
      <c r="E2134" s="534"/>
      <c r="F2134" s="534"/>
    </row>
    <row r="2135" spans="1:6" ht="15" customHeight="1">
      <c r="A2135" s="51"/>
      <c r="B2135" s="52" t="str">
        <f t="shared" si="132"/>
        <v/>
      </c>
      <c r="C2135" t="str">
        <f t="shared" si="131"/>
        <v/>
      </c>
      <c r="D2135" s="245" t="str">
        <f t="shared" si="133"/>
        <v/>
      </c>
      <c r="E2135" s="534"/>
      <c r="F2135" s="534"/>
    </row>
    <row r="2136" spans="1:6" ht="15" customHeight="1">
      <c r="A2136" s="51"/>
      <c r="B2136" s="52" t="str">
        <f t="shared" si="132"/>
        <v/>
      </c>
      <c r="C2136" t="str">
        <f t="shared" si="131"/>
        <v/>
      </c>
      <c r="D2136" s="245" t="str">
        <f t="shared" si="133"/>
        <v/>
      </c>
      <c r="E2136" s="534"/>
      <c r="F2136" s="534"/>
    </row>
    <row r="2137" spans="1:6" ht="15" customHeight="1">
      <c r="A2137" s="51"/>
      <c r="B2137" s="52" t="str">
        <f t="shared" si="132"/>
        <v/>
      </c>
      <c r="C2137" t="str">
        <f t="shared" si="131"/>
        <v/>
      </c>
      <c r="D2137" s="245" t="str">
        <f t="shared" si="133"/>
        <v/>
      </c>
      <c r="E2137" s="534"/>
      <c r="F2137" s="534"/>
    </row>
    <row r="2138" spans="1:6" ht="15" customHeight="1">
      <c r="A2138" s="51"/>
      <c r="B2138" s="52" t="str">
        <f t="shared" si="132"/>
        <v/>
      </c>
      <c r="C2138" t="str">
        <f t="shared" si="131"/>
        <v/>
      </c>
      <c r="D2138" s="245" t="str">
        <f t="shared" si="133"/>
        <v/>
      </c>
      <c r="E2138" s="534"/>
      <c r="F2138" s="534"/>
    </row>
    <row r="2139" spans="1:6" ht="15" customHeight="1">
      <c r="A2139" s="51"/>
      <c r="B2139" s="52" t="str">
        <f t="shared" si="132"/>
        <v/>
      </c>
      <c r="C2139" t="str">
        <f t="shared" si="131"/>
        <v/>
      </c>
      <c r="D2139" s="245" t="str">
        <f t="shared" si="133"/>
        <v/>
      </c>
      <c r="E2139" s="534"/>
      <c r="F2139" s="534"/>
    </row>
    <row r="2140" spans="1:6" ht="15" customHeight="1">
      <c r="A2140" s="51"/>
      <c r="B2140" s="52" t="str">
        <f t="shared" si="132"/>
        <v/>
      </c>
      <c r="C2140" t="str">
        <f t="shared" si="131"/>
        <v/>
      </c>
      <c r="D2140" s="245" t="str">
        <f t="shared" si="133"/>
        <v/>
      </c>
      <c r="E2140" s="534"/>
      <c r="F2140" s="534"/>
    </row>
    <row r="2141" spans="1:6" ht="15" customHeight="1">
      <c r="A2141" s="51"/>
      <c r="B2141" s="52" t="str">
        <f t="shared" si="132"/>
        <v/>
      </c>
      <c r="C2141" t="str">
        <f t="shared" si="131"/>
        <v/>
      </c>
      <c r="D2141" s="245" t="str">
        <f t="shared" si="133"/>
        <v/>
      </c>
      <c r="E2141" s="534"/>
      <c r="F2141" s="534"/>
    </row>
    <row r="2142" spans="1:6" ht="15" customHeight="1">
      <c r="A2142" s="51"/>
      <c r="B2142" s="52" t="str">
        <f t="shared" si="132"/>
        <v/>
      </c>
      <c r="C2142" t="str">
        <f t="shared" si="131"/>
        <v/>
      </c>
      <c r="D2142" s="245" t="str">
        <f t="shared" si="133"/>
        <v/>
      </c>
      <c r="E2142" s="534"/>
      <c r="F2142" s="534"/>
    </row>
    <row r="2143" spans="1:6" ht="15" customHeight="1">
      <c r="A2143" s="51"/>
      <c r="B2143" s="52" t="str">
        <f t="shared" si="132"/>
        <v/>
      </c>
      <c r="C2143" t="str">
        <f t="shared" si="131"/>
        <v/>
      </c>
      <c r="D2143" s="245" t="str">
        <f t="shared" si="133"/>
        <v/>
      </c>
      <c r="E2143" s="534"/>
      <c r="F2143" s="534"/>
    </row>
    <row r="2144" spans="1:6" ht="15" customHeight="1">
      <c r="A2144" s="51"/>
      <c r="B2144" s="52" t="str">
        <f t="shared" si="132"/>
        <v/>
      </c>
      <c r="C2144" t="str">
        <f t="shared" si="131"/>
        <v/>
      </c>
      <c r="D2144" s="245" t="str">
        <f t="shared" si="133"/>
        <v/>
      </c>
      <c r="E2144" s="534"/>
      <c r="F2144" s="534"/>
    </row>
    <row r="2145" spans="1:6" ht="15" customHeight="1">
      <c r="A2145" s="51"/>
      <c r="B2145" s="52" t="str">
        <f t="shared" si="132"/>
        <v/>
      </c>
      <c r="C2145" t="str">
        <f t="shared" si="131"/>
        <v/>
      </c>
      <c r="D2145" s="245" t="str">
        <f t="shared" si="133"/>
        <v/>
      </c>
      <c r="E2145" s="534"/>
      <c r="F2145" s="534"/>
    </row>
    <row r="2146" spans="1:6" ht="15" customHeight="1">
      <c r="A2146" s="51"/>
      <c r="B2146" s="52" t="str">
        <f t="shared" si="132"/>
        <v/>
      </c>
      <c r="C2146" t="str">
        <f t="shared" si="131"/>
        <v/>
      </c>
      <c r="D2146" s="245" t="str">
        <f t="shared" si="133"/>
        <v/>
      </c>
      <c r="E2146" s="534"/>
      <c r="F2146" s="534"/>
    </row>
    <row r="2147" spans="1:6" ht="15" customHeight="1">
      <c r="A2147" s="51"/>
      <c r="B2147" s="52" t="str">
        <f t="shared" si="132"/>
        <v/>
      </c>
      <c r="C2147" t="str">
        <f t="shared" si="131"/>
        <v/>
      </c>
      <c r="D2147" s="245" t="str">
        <f t="shared" si="133"/>
        <v/>
      </c>
      <c r="E2147" s="534"/>
      <c r="F2147" s="534"/>
    </row>
    <row r="2148" spans="1:6" ht="15" customHeight="1">
      <c r="A2148" s="51"/>
      <c r="B2148" s="52" t="str">
        <f t="shared" si="132"/>
        <v/>
      </c>
      <c r="C2148" t="str">
        <f t="shared" si="131"/>
        <v/>
      </c>
      <c r="D2148" s="245" t="str">
        <f t="shared" si="133"/>
        <v/>
      </c>
      <c r="E2148" s="534"/>
      <c r="F2148" s="534"/>
    </row>
    <row r="2149" spans="1:6" ht="15" customHeight="1">
      <c r="A2149" s="51"/>
      <c r="B2149" s="52" t="str">
        <f t="shared" si="132"/>
        <v/>
      </c>
      <c r="C2149" t="str">
        <f t="shared" si="131"/>
        <v/>
      </c>
      <c r="D2149" s="245" t="str">
        <f t="shared" si="133"/>
        <v/>
      </c>
      <c r="E2149" s="534"/>
      <c r="F2149" s="534"/>
    </row>
    <row r="2150" spans="1:6" ht="15" customHeight="1">
      <c r="A2150" s="51"/>
      <c r="B2150" s="52" t="str">
        <f t="shared" si="132"/>
        <v/>
      </c>
      <c r="C2150" t="str">
        <f t="shared" si="131"/>
        <v/>
      </c>
      <c r="D2150" s="245" t="str">
        <f t="shared" si="133"/>
        <v/>
      </c>
      <c r="E2150" s="534"/>
      <c r="F2150" s="534"/>
    </row>
    <row r="2151" spans="1:6" ht="15" customHeight="1">
      <c r="A2151" s="51"/>
      <c r="B2151" s="52" t="str">
        <f t="shared" si="132"/>
        <v/>
      </c>
      <c r="C2151" t="str">
        <f t="shared" si="131"/>
        <v/>
      </c>
      <c r="D2151" s="245" t="str">
        <f t="shared" si="133"/>
        <v/>
      </c>
      <c r="E2151" s="534"/>
      <c r="F2151" s="534"/>
    </row>
    <row r="2152" spans="1:6" ht="15" customHeight="1">
      <c r="A2152" s="51"/>
      <c r="B2152" s="52" t="str">
        <f t="shared" si="132"/>
        <v/>
      </c>
      <c r="C2152" t="str">
        <f t="shared" si="131"/>
        <v/>
      </c>
      <c r="D2152" s="245" t="str">
        <f t="shared" si="133"/>
        <v/>
      </c>
      <c r="E2152" s="534"/>
      <c r="F2152" s="534"/>
    </row>
    <row r="2153" spans="1:6" ht="15" customHeight="1">
      <c r="A2153" s="51"/>
      <c r="B2153" s="52" t="str">
        <f t="shared" si="132"/>
        <v/>
      </c>
      <c r="C2153" t="str">
        <f t="shared" si="131"/>
        <v/>
      </c>
      <c r="D2153" s="245" t="str">
        <f t="shared" si="133"/>
        <v/>
      </c>
      <c r="E2153" s="534"/>
      <c r="F2153" s="534"/>
    </row>
    <row r="2154" spans="1:6" ht="15" customHeight="1">
      <c r="A2154" s="51"/>
      <c r="B2154" s="52" t="str">
        <f t="shared" si="132"/>
        <v/>
      </c>
      <c r="C2154" t="str">
        <f t="shared" si="131"/>
        <v/>
      </c>
      <c r="D2154" s="245" t="str">
        <f t="shared" si="133"/>
        <v/>
      </c>
      <c r="E2154" s="534"/>
      <c r="F2154" s="534"/>
    </row>
    <row r="2155" spans="1:6" ht="15" customHeight="1">
      <c r="A2155" s="51"/>
      <c r="B2155" s="52" t="str">
        <f t="shared" si="132"/>
        <v/>
      </c>
      <c r="C2155" t="str">
        <f t="shared" si="131"/>
        <v/>
      </c>
      <c r="D2155" s="245" t="str">
        <f t="shared" si="133"/>
        <v/>
      </c>
      <c r="E2155" s="534"/>
      <c r="F2155" s="534"/>
    </row>
    <row r="2156" spans="1:6" ht="15" customHeight="1">
      <c r="A2156" s="51"/>
      <c r="B2156" s="52" t="str">
        <f t="shared" si="132"/>
        <v/>
      </c>
      <c r="C2156" t="str">
        <f t="shared" si="131"/>
        <v/>
      </c>
      <c r="D2156" s="245" t="str">
        <f t="shared" si="133"/>
        <v/>
      </c>
      <c r="E2156" s="534"/>
      <c r="F2156" s="534"/>
    </row>
    <row r="2157" spans="1:6" ht="15" customHeight="1">
      <c r="A2157" s="51"/>
      <c r="B2157" s="52" t="str">
        <f t="shared" si="132"/>
        <v/>
      </c>
      <c r="C2157" t="str">
        <f t="shared" si="131"/>
        <v/>
      </c>
      <c r="D2157" s="245" t="str">
        <f t="shared" si="133"/>
        <v/>
      </c>
      <c r="E2157" s="534"/>
      <c r="F2157" s="534"/>
    </row>
    <row r="2158" spans="1:6" ht="15" customHeight="1">
      <c r="A2158" s="51"/>
      <c r="B2158" s="52" t="str">
        <f t="shared" si="132"/>
        <v/>
      </c>
      <c r="C2158" t="str">
        <f t="shared" si="131"/>
        <v/>
      </c>
      <c r="D2158" s="245" t="str">
        <f t="shared" si="133"/>
        <v/>
      </c>
      <c r="E2158" s="534"/>
      <c r="F2158" s="534"/>
    </row>
    <row r="2159" spans="1:6" ht="15" customHeight="1">
      <c r="A2159" s="51"/>
      <c r="B2159" s="52" t="str">
        <f t="shared" si="132"/>
        <v/>
      </c>
      <c r="C2159" t="str">
        <f t="shared" si="131"/>
        <v/>
      </c>
      <c r="D2159" s="245" t="str">
        <f t="shared" si="133"/>
        <v/>
      </c>
      <c r="E2159" s="534"/>
      <c r="F2159" s="534"/>
    </row>
    <row r="2160" spans="1:6" ht="15" customHeight="1">
      <c r="A2160" s="51"/>
      <c r="B2160" s="52" t="str">
        <f t="shared" si="132"/>
        <v/>
      </c>
      <c r="C2160" t="str">
        <f t="shared" si="131"/>
        <v/>
      </c>
      <c r="D2160" s="245" t="str">
        <f t="shared" si="133"/>
        <v/>
      </c>
      <c r="E2160" s="534"/>
      <c r="F2160" s="534"/>
    </row>
    <row r="2161" spans="1:6" ht="15" customHeight="1">
      <c r="A2161" s="51"/>
      <c r="B2161" s="52" t="str">
        <f t="shared" si="132"/>
        <v/>
      </c>
      <c r="C2161" t="str">
        <f t="shared" si="131"/>
        <v/>
      </c>
      <c r="D2161" s="245" t="str">
        <f t="shared" si="133"/>
        <v/>
      </c>
      <c r="E2161" s="534"/>
      <c r="F2161" s="534"/>
    </row>
    <row r="2162" spans="1:6" ht="15" customHeight="1">
      <c r="A2162" s="51"/>
      <c r="B2162" s="52" t="str">
        <f t="shared" si="132"/>
        <v/>
      </c>
      <c r="C2162" t="str">
        <f t="shared" si="131"/>
        <v/>
      </c>
      <c r="D2162" s="245" t="str">
        <f t="shared" si="133"/>
        <v/>
      </c>
      <c r="E2162" s="534"/>
      <c r="F2162" s="534"/>
    </row>
    <row r="2163" spans="1:6" ht="15" customHeight="1">
      <c r="A2163" s="51"/>
      <c r="B2163" s="52" t="str">
        <f t="shared" si="132"/>
        <v/>
      </c>
      <c r="C2163" t="str">
        <f t="shared" si="131"/>
        <v/>
      </c>
      <c r="D2163" s="245" t="str">
        <f t="shared" si="133"/>
        <v/>
      </c>
      <c r="E2163" s="534"/>
      <c r="F2163" s="534"/>
    </row>
    <row r="2164" spans="1:6" ht="15" customHeight="1">
      <c r="A2164" s="51"/>
      <c r="B2164" s="52" t="str">
        <f t="shared" si="132"/>
        <v/>
      </c>
      <c r="C2164" t="str">
        <f t="shared" si="131"/>
        <v/>
      </c>
      <c r="D2164" s="245" t="str">
        <f t="shared" si="133"/>
        <v/>
      </c>
      <c r="E2164" s="534"/>
      <c r="F2164" s="534"/>
    </row>
    <row r="2165" spans="1:6" ht="15" customHeight="1">
      <c r="A2165" s="51"/>
      <c r="B2165" s="52" t="str">
        <f t="shared" si="132"/>
        <v/>
      </c>
      <c r="C2165" t="str">
        <f t="shared" si="131"/>
        <v/>
      </c>
      <c r="D2165" s="245" t="str">
        <f t="shared" si="133"/>
        <v/>
      </c>
      <c r="E2165" s="534"/>
      <c r="F2165" s="534"/>
    </row>
    <row r="2166" spans="1:6" ht="15" customHeight="1">
      <c r="A2166" s="51"/>
      <c r="B2166" s="52" t="str">
        <f t="shared" si="132"/>
        <v/>
      </c>
      <c r="C2166" t="str">
        <f t="shared" si="131"/>
        <v/>
      </c>
      <c r="D2166" s="245" t="str">
        <f t="shared" si="133"/>
        <v/>
      </c>
      <c r="E2166" s="534"/>
      <c r="F2166" s="534"/>
    </row>
    <row r="2167" spans="1:6" ht="15" customHeight="1">
      <c r="A2167" s="51"/>
      <c r="B2167" s="52" t="str">
        <f t="shared" si="132"/>
        <v/>
      </c>
      <c r="C2167" t="str">
        <f t="shared" si="131"/>
        <v/>
      </c>
      <c r="D2167" s="245" t="str">
        <f t="shared" si="133"/>
        <v/>
      </c>
      <c r="E2167" s="534"/>
      <c r="F2167" s="534"/>
    </row>
    <row r="2168" spans="1:6" ht="15" customHeight="1">
      <c r="A2168" s="51"/>
      <c r="B2168" s="52" t="str">
        <f t="shared" si="132"/>
        <v/>
      </c>
      <c r="C2168" t="str">
        <f t="shared" si="131"/>
        <v/>
      </c>
      <c r="D2168" s="245" t="str">
        <f t="shared" si="133"/>
        <v/>
      </c>
      <c r="E2168" s="534"/>
      <c r="F2168" s="534"/>
    </row>
    <row r="2169" spans="1:6" ht="15" customHeight="1">
      <c r="A2169" s="51"/>
      <c r="B2169" s="52" t="str">
        <f t="shared" si="132"/>
        <v/>
      </c>
      <c r="C2169" t="str">
        <f t="shared" si="131"/>
        <v/>
      </c>
      <c r="D2169" s="245" t="str">
        <f t="shared" si="133"/>
        <v/>
      </c>
      <c r="E2169" s="534"/>
      <c r="F2169" s="534"/>
    </row>
    <row r="2170" spans="1:6" ht="15" customHeight="1">
      <c r="A2170" s="51"/>
      <c r="B2170" s="52" t="str">
        <f t="shared" si="132"/>
        <v/>
      </c>
      <c r="C2170" t="str">
        <f t="shared" si="131"/>
        <v/>
      </c>
      <c r="D2170" s="245" t="str">
        <f t="shared" si="133"/>
        <v/>
      </c>
      <c r="E2170" s="534"/>
      <c r="F2170" s="534"/>
    </row>
    <row r="2171" spans="1:6" ht="15" customHeight="1">
      <c r="A2171" s="51"/>
      <c r="B2171" s="52" t="str">
        <f t="shared" si="132"/>
        <v/>
      </c>
      <c r="C2171" t="str">
        <f t="shared" si="131"/>
        <v/>
      </c>
      <c r="D2171" s="245" t="str">
        <f t="shared" si="133"/>
        <v/>
      </c>
      <c r="E2171" s="534"/>
      <c r="F2171" s="534"/>
    </row>
    <row r="2172" spans="1:6" ht="15" customHeight="1">
      <c r="A2172" s="51"/>
      <c r="B2172" s="52" t="str">
        <f t="shared" si="132"/>
        <v/>
      </c>
      <c r="C2172" t="str">
        <f t="shared" si="131"/>
        <v/>
      </c>
      <c r="D2172" s="245" t="str">
        <f t="shared" si="133"/>
        <v/>
      </c>
      <c r="E2172" s="534"/>
      <c r="F2172" s="534"/>
    </row>
    <row r="2173" spans="1:6" ht="15" customHeight="1">
      <c r="A2173" s="51"/>
      <c r="B2173" s="52" t="str">
        <f t="shared" si="132"/>
        <v/>
      </c>
      <c r="C2173" t="str">
        <f t="shared" si="131"/>
        <v/>
      </c>
      <c r="D2173" s="245" t="str">
        <f t="shared" si="133"/>
        <v/>
      </c>
      <c r="E2173" s="534"/>
      <c r="F2173" s="534"/>
    </row>
    <row r="2174" spans="1:6" ht="15" customHeight="1">
      <c r="A2174" s="51"/>
      <c r="B2174" s="52" t="str">
        <f t="shared" si="132"/>
        <v/>
      </c>
      <c r="C2174" t="str">
        <f t="shared" si="131"/>
        <v/>
      </c>
      <c r="D2174" s="245" t="str">
        <f t="shared" si="133"/>
        <v/>
      </c>
      <c r="E2174" s="534"/>
      <c r="F2174" s="534"/>
    </row>
    <row r="2175" spans="1:6" ht="15" customHeight="1">
      <c r="A2175" s="51"/>
      <c r="B2175" s="52" t="str">
        <f t="shared" si="132"/>
        <v/>
      </c>
      <c r="C2175" t="str">
        <f t="shared" si="131"/>
        <v/>
      </c>
      <c r="D2175" s="245" t="str">
        <f t="shared" si="133"/>
        <v/>
      </c>
      <c r="E2175" s="534"/>
      <c r="F2175" s="534"/>
    </row>
    <row r="2176" spans="1:6" ht="15" customHeight="1">
      <c r="A2176" s="51"/>
      <c r="B2176" s="52" t="str">
        <f t="shared" si="132"/>
        <v/>
      </c>
      <c r="C2176" t="str">
        <f t="shared" si="131"/>
        <v/>
      </c>
      <c r="D2176" s="245" t="str">
        <f t="shared" si="133"/>
        <v/>
      </c>
      <c r="E2176" s="534"/>
      <c r="F2176" s="534"/>
    </row>
    <row r="2177" spans="1:6" ht="15" customHeight="1">
      <c r="A2177" s="51"/>
      <c r="B2177" s="52" t="str">
        <f t="shared" si="132"/>
        <v/>
      </c>
      <c r="C2177" t="str">
        <f t="shared" si="131"/>
        <v/>
      </c>
      <c r="D2177" s="245" t="str">
        <f t="shared" si="133"/>
        <v/>
      </c>
      <c r="E2177" s="534"/>
      <c r="F2177" s="534"/>
    </row>
    <row r="2178" spans="1:6" ht="15" customHeight="1">
      <c r="A2178" s="51"/>
      <c r="B2178" s="52" t="str">
        <f t="shared" si="132"/>
        <v/>
      </c>
      <c r="C2178" t="str">
        <f t="shared" ref="C2178:C2241" si="134">IF(A2178&lt;&gt;"",TEXT(A2178,"aaaa"),"")</f>
        <v/>
      </c>
      <c r="D2178" s="245" t="str">
        <f t="shared" si="133"/>
        <v/>
      </c>
      <c r="E2178" s="534"/>
      <c r="F2178" s="534"/>
    </row>
    <row r="2179" spans="1:6" ht="15" customHeight="1">
      <c r="A2179" s="51"/>
      <c r="B2179" s="52" t="str">
        <f t="shared" si="132"/>
        <v/>
      </c>
      <c r="C2179" t="str">
        <f t="shared" si="134"/>
        <v/>
      </c>
      <c r="D2179" s="245" t="str">
        <f t="shared" si="133"/>
        <v/>
      </c>
      <c r="E2179" s="534"/>
      <c r="F2179" s="534"/>
    </row>
    <row r="2180" spans="1:6" ht="15" customHeight="1">
      <c r="A2180" s="51"/>
      <c r="B2180" s="52" t="str">
        <f t="shared" si="132"/>
        <v/>
      </c>
      <c r="C2180" t="str">
        <f t="shared" si="134"/>
        <v/>
      </c>
      <c r="D2180" s="245" t="str">
        <f t="shared" si="133"/>
        <v/>
      </c>
      <c r="E2180" s="534"/>
      <c r="F2180" s="534"/>
    </row>
    <row r="2181" spans="1:6" ht="15" customHeight="1">
      <c r="A2181" s="51"/>
      <c r="B2181" s="52" t="str">
        <f t="shared" si="132"/>
        <v/>
      </c>
      <c r="C2181" t="str">
        <f t="shared" si="134"/>
        <v/>
      </c>
      <c r="D2181" s="245" t="str">
        <f t="shared" si="133"/>
        <v/>
      </c>
      <c r="E2181" s="534"/>
      <c r="F2181" s="534"/>
    </row>
    <row r="2182" spans="1:6" ht="15" customHeight="1">
      <c r="A2182" s="51"/>
      <c r="B2182" s="52" t="str">
        <f t="shared" si="132"/>
        <v/>
      </c>
      <c r="C2182" t="str">
        <f t="shared" si="134"/>
        <v/>
      </c>
      <c r="D2182" s="245" t="str">
        <f t="shared" si="133"/>
        <v/>
      </c>
      <c r="E2182" s="534"/>
      <c r="F2182" s="534"/>
    </row>
    <row r="2183" spans="1:6" ht="15" customHeight="1">
      <c r="A2183" s="51"/>
      <c r="B2183" s="52" t="str">
        <f t="shared" si="132"/>
        <v/>
      </c>
      <c r="C2183" t="str">
        <f t="shared" si="134"/>
        <v/>
      </c>
      <c r="D2183" s="245" t="str">
        <f t="shared" si="133"/>
        <v/>
      </c>
      <c r="E2183" s="534"/>
      <c r="F2183" s="534"/>
    </row>
    <row r="2184" spans="1:6" ht="15" customHeight="1">
      <c r="A2184" s="51"/>
      <c r="B2184" s="52" t="str">
        <f t="shared" ref="B2184:B2247" si="135">IF(A2184="","",TEXT(A2184,"DDDD"))</f>
        <v/>
      </c>
      <c r="C2184" t="str">
        <f t="shared" si="134"/>
        <v/>
      </c>
      <c r="D2184" s="245" t="str">
        <f t="shared" si="133"/>
        <v/>
      </c>
      <c r="E2184" s="534"/>
      <c r="F2184" s="534"/>
    </row>
    <row r="2185" spans="1:6" ht="15" customHeight="1">
      <c r="A2185" s="51"/>
      <c r="B2185" s="52" t="str">
        <f t="shared" si="135"/>
        <v/>
      </c>
      <c r="C2185" t="str">
        <f t="shared" si="134"/>
        <v/>
      </c>
      <c r="D2185" s="245" t="str">
        <f t="shared" ref="D2185:D2248" si="136">IF(A2185&lt;&gt;"",PROPER(TEXT(A2185,"Mmmm")),"")</f>
        <v/>
      </c>
      <c r="E2185" s="534"/>
      <c r="F2185" s="534"/>
    </row>
    <row r="2186" spans="1:6" ht="15" customHeight="1">
      <c r="A2186" s="51"/>
      <c r="B2186" s="52" t="str">
        <f t="shared" si="135"/>
        <v/>
      </c>
      <c r="C2186" t="str">
        <f t="shared" si="134"/>
        <v/>
      </c>
      <c r="D2186" s="245" t="str">
        <f t="shared" si="136"/>
        <v/>
      </c>
      <c r="E2186" s="534"/>
      <c r="F2186" s="534"/>
    </row>
    <row r="2187" spans="1:6" ht="15" customHeight="1">
      <c r="A2187" s="51"/>
      <c r="B2187" s="52" t="str">
        <f t="shared" si="135"/>
        <v/>
      </c>
      <c r="C2187" t="str">
        <f t="shared" si="134"/>
        <v/>
      </c>
      <c r="D2187" s="245" t="str">
        <f t="shared" si="136"/>
        <v/>
      </c>
      <c r="E2187" s="534"/>
      <c r="F2187" s="534"/>
    </row>
    <row r="2188" spans="1:6" ht="15" customHeight="1">
      <c r="A2188" s="51"/>
      <c r="B2188" s="52" t="str">
        <f t="shared" si="135"/>
        <v/>
      </c>
      <c r="C2188" t="str">
        <f t="shared" si="134"/>
        <v/>
      </c>
      <c r="D2188" s="245" t="str">
        <f t="shared" si="136"/>
        <v/>
      </c>
      <c r="E2188" s="534"/>
      <c r="F2188" s="534"/>
    </row>
    <row r="2189" spans="1:6" ht="15" customHeight="1">
      <c r="A2189" s="51"/>
      <c r="B2189" s="52" t="str">
        <f t="shared" si="135"/>
        <v/>
      </c>
      <c r="C2189" t="str">
        <f t="shared" si="134"/>
        <v/>
      </c>
      <c r="D2189" s="245" t="str">
        <f t="shared" si="136"/>
        <v/>
      </c>
      <c r="E2189" s="534"/>
      <c r="F2189" s="534"/>
    </row>
    <row r="2190" spans="1:6" ht="15" customHeight="1">
      <c r="A2190" s="51"/>
      <c r="B2190" s="52" t="str">
        <f t="shared" si="135"/>
        <v/>
      </c>
      <c r="C2190" t="str">
        <f t="shared" si="134"/>
        <v/>
      </c>
      <c r="D2190" s="245" t="str">
        <f t="shared" si="136"/>
        <v/>
      </c>
      <c r="E2190" s="534"/>
      <c r="F2190" s="534"/>
    </row>
    <row r="2191" spans="1:6" ht="15" customHeight="1">
      <c r="A2191" s="51"/>
      <c r="B2191" s="52" t="str">
        <f t="shared" si="135"/>
        <v/>
      </c>
      <c r="C2191" t="str">
        <f t="shared" si="134"/>
        <v/>
      </c>
      <c r="D2191" s="245" t="str">
        <f t="shared" si="136"/>
        <v/>
      </c>
      <c r="E2191" s="534"/>
      <c r="F2191" s="534"/>
    </row>
    <row r="2192" spans="1:6" ht="15" customHeight="1">
      <c r="A2192" s="51"/>
      <c r="B2192" s="52" t="str">
        <f t="shared" si="135"/>
        <v/>
      </c>
      <c r="C2192" t="str">
        <f t="shared" si="134"/>
        <v/>
      </c>
      <c r="D2192" s="245" t="str">
        <f t="shared" si="136"/>
        <v/>
      </c>
      <c r="E2192" s="534"/>
      <c r="F2192" s="534"/>
    </row>
    <row r="2193" spans="1:6" ht="15" customHeight="1">
      <c r="A2193" s="51"/>
      <c r="B2193" s="52" t="str">
        <f t="shared" si="135"/>
        <v/>
      </c>
      <c r="C2193" t="str">
        <f t="shared" si="134"/>
        <v/>
      </c>
      <c r="D2193" s="245" t="str">
        <f t="shared" si="136"/>
        <v/>
      </c>
      <c r="E2193" s="534"/>
      <c r="F2193" s="534"/>
    </row>
    <row r="2194" spans="1:6" ht="15" customHeight="1">
      <c r="A2194" s="51"/>
      <c r="B2194" s="52" t="str">
        <f t="shared" si="135"/>
        <v/>
      </c>
      <c r="C2194" t="str">
        <f t="shared" si="134"/>
        <v/>
      </c>
      <c r="D2194" s="245" t="str">
        <f t="shared" si="136"/>
        <v/>
      </c>
      <c r="E2194" s="534"/>
      <c r="F2194" s="534"/>
    </row>
    <row r="2195" spans="1:6" ht="15" customHeight="1">
      <c r="A2195" s="51"/>
      <c r="B2195" s="52" t="str">
        <f t="shared" si="135"/>
        <v/>
      </c>
      <c r="C2195" t="str">
        <f t="shared" si="134"/>
        <v/>
      </c>
      <c r="D2195" s="245" t="str">
        <f t="shared" si="136"/>
        <v/>
      </c>
      <c r="E2195" s="534"/>
      <c r="F2195" s="534"/>
    </row>
    <row r="2196" spans="1:6" ht="15" customHeight="1">
      <c r="A2196" s="51"/>
      <c r="B2196" s="52" t="str">
        <f t="shared" si="135"/>
        <v/>
      </c>
      <c r="C2196" t="str">
        <f t="shared" si="134"/>
        <v/>
      </c>
      <c r="D2196" s="245" t="str">
        <f t="shared" si="136"/>
        <v/>
      </c>
      <c r="E2196" s="534"/>
      <c r="F2196" s="534"/>
    </row>
    <row r="2197" spans="1:6" ht="15" customHeight="1">
      <c r="A2197" s="51"/>
      <c r="B2197" s="52" t="str">
        <f t="shared" si="135"/>
        <v/>
      </c>
      <c r="C2197" t="str">
        <f t="shared" si="134"/>
        <v/>
      </c>
      <c r="D2197" s="245" t="str">
        <f t="shared" si="136"/>
        <v/>
      </c>
      <c r="E2197" s="534"/>
      <c r="F2197" s="534"/>
    </row>
    <row r="2198" spans="1:6" ht="15" customHeight="1">
      <c r="A2198" s="51"/>
      <c r="B2198" s="52" t="str">
        <f t="shared" si="135"/>
        <v/>
      </c>
      <c r="C2198" t="str">
        <f t="shared" si="134"/>
        <v/>
      </c>
      <c r="D2198" s="245" t="str">
        <f t="shared" si="136"/>
        <v/>
      </c>
      <c r="E2198" s="534"/>
      <c r="F2198" s="534"/>
    </row>
    <row r="2199" spans="1:6" ht="15" customHeight="1">
      <c r="A2199" s="51"/>
      <c r="B2199" s="52" t="str">
        <f t="shared" si="135"/>
        <v/>
      </c>
      <c r="C2199" t="str">
        <f t="shared" si="134"/>
        <v/>
      </c>
      <c r="D2199" s="245" t="str">
        <f t="shared" si="136"/>
        <v/>
      </c>
      <c r="E2199" s="534"/>
      <c r="F2199" s="534"/>
    </row>
    <row r="2200" spans="1:6" ht="15" customHeight="1">
      <c r="A2200" s="51"/>
      <c r="B2200" s="52" t="str">
        <f t="shared" si="135"/>
        <v/>
      </c>
      <c r="C2200" t="str">
        <f t="shared" si="134"/>
        <v/>
      </c>
      <c r="D2200" s="245" t="str">
        <f t="shared" si="136"/>
        <v/>
      </c>
      <c r="E2200" s="534"/>
      <c r="F2200" s="534"/>
    </row>
    <row r="2201" spans="1:6" ht="15" customHeight="1">
      <c r="A2201" s="51"/>
      <c r="B2201" s="52" t="str">
        <f t="shared" si="135"/>
        <v/>
      </c>
      <c r="C2201" t="str">
        <f t="shared" si="134"/>
        <v/>
      </c>
      <c r="D2201" s="245" t="str">
        <f t="shared" si="136"/>
        <v/>
      </c>
      <c r="E2201" s="534"/>
      <c r="F2201" s="534"/>
    </row>
    <row r="2202" spans="1:6" ht="15" customHeight="1">
      <c r="A2202" s="51"/>
      <c r="B2202" s="52" t="str">
        <f t="shared" si="135"/>
        <v/>
      </c>
      <c r="C2202" t="str">
        <f t="shared" si="134"/>
        <v/>
      </c>
      <c r="D2202" s="245" t="str">
        <f t="shared" si="136"/>
        <v/>
      </c>
      <c r="E2202" s="534"/>
      <c r="F2202" s="534"/>
    </row>
    <row r="2203" spans="1:6" ht="15" customHeight="1">
      <c r="A2203" s="51"/>
      <c r="B2203" s="52" t="str">
        <f t="shared" si="135"/>
        <v/>
      </c>
      <c r="C2203" t="str">
        <f t="shared" si="134"/>
        <v/>
      </c>
      <c r="D2203" s="245" t="str">
        <f t="shared" si="136"/>
        <v/>
      </c>
      <c r="E2203" s="534"/>
      <c r="F2203" s="534"/>
    </row>
    <row r="2204" spans="1:6" ht="15" customHeight="1">
      <c r="A2204" s="51"/>
      <c r="B2204" s="52" t="str">
        <f t="shared" si="135"/>
        <v/>
      </c>
      <c r="C2204" t="str">
        <f t="shared" si="134"/>
        <v/>
      </c>
      <c r="D2204" s="245" t="str">
        <f t="shared" si="136"/>
        <v/>
      </c>
      <c r="E2204" s="534"/>
      <c r="F2204" s="534"/>
    </row>
    <row r="2205" spans="1:6" ht="15" customHeight="1">
      <c r="A2205" s="51"/>
      <c r="B2205" s="52" t="str">
        <f t="shared" si="135"/>
        <v/>
      </c>
      <c r="C2205" t="str">
        <f t="shared" si="134"/>
        <v/>
      </c>
      <c r="D2205" s="245" t="str">
        <f t="shared" si="136"/>
        <v/>
      </c>
      <c r="E2205" s="534"/>
      <c r="F2205" s="534"/>
    </row>
    <row r="2206" spans="1:6" ht="15" customHeight="1">
      <c r="A2206" s="51"/>
      <c r="B2206" s="52" t="str">
        <f t="shared" si="135"/>
        <v/>
      </c>
      <c r="C2206" t="str">
        <f t="shared" si="134"/>
        <v/>
      </c>
      <c r="D2206" s="245" t="str">
        <f t="shared" si="136"/>
        <v/>
      </c>
      <c r="E2206" s="534"/>
      <c r="F2206" s="534"/>
    </row>
    <row r="2207" spans="1:6" ht="15" customHeight="1">
      <c r="A2207" s="51"/>
      <c r="B2207" s="52" t="str">
        <f t="shared" si="135"/>
        <v/>
      </c>
      <c r="C2207" t="str">
        <f t="shared" si="134"/>
        <v/>
      </c>
      <c r="D2207" s="245" t="str">
        <f t="shared" si="136"/>
        <v/>
      </c>
      <c r="E2207" s="534"/>
      <c r="F2207" s="534"/>
    </row>
    <row r="2208" spans="1:6" ht="15" customHeight="1">
      <c r="A2208" s="51"/>
      <c r="B2208" s="52" t="str">
        <f t="shared" si="135"/>
        <v/>
      </c>
      <c r="C2208" t="str">
        <f t="shared" si="134"/>
        <v/>
      </c>
      <c r="D2208" s="245" t="str">
        <f t="shared" si="136"/>
        <v/>
      </c>
      <c r="E2208" s="534"/>
      <c r="F2208" s="534"/>
    </row>
    <row r="2209" spans="1:6" ht="15" customHeight="1">
      <c r="A2209" s="51"/>
      <c r="B2209" s="52" t="str">
        <f t="shared" si="135"/>
        <v/>
      </c>
      <c r="C2209" t="str">
        <f t="shared" si="134"/>
        <v/>
      </c>
      <c r="D2209" s="245" t="str">
        <f t="shared" si="136"/>
        <v/>
      </c>
      <c r="E2209" s="534"/>
      <c r="F2209" s="534"/>
    </row>
    <row r="2210" spans="1:6" ht="15" customHeight="1">
      <c r="A2210" s="51"/>
      <c r="B2210" s="52" t="str">
        <f t="shared" si="135"/>
        <v/>
      </c>
      <c r="C2210" t="str">
        <f t="shared" si="134"/>
        <v/>
      </c>
      <c r="D2210" s="245" t="str">
        <f t="shared" si="136"/>
        <v/>
      </c>
      <c r="E2210" s="534"/>
      <c r="F2210" s="534"/>
    </row>
    <row r="2211" spans="1:6" ht="15" customHeight="1">
      <c r="A2211" s="51"/>
      <c r="B2211" s="52" t="str">
        <f t="shared" si="135"/>
        <v/>
      </c>
      <c r="C2211" t="str">
        <f t="shared" si="134"/>
        <v/>
      </c>
      <c r="D2211" s="245" t="str">
        <f t="shared" si="136"/>
        <v/>
      </c>
      <c r="E2211" s="534"/>
      <c r="F2211" s="534"/>
    </row>
    <row r="2212" spans="1:6" ht="15" customHeight="1">
      <c r="A2212" s="51"/>
      <c r="B2212" s="52" t="str">
        <f t="shared" si="135"/>
        <v/>
      </c>
      <c r="C2212" t="str">
        <f t="shared" si="134"/>
        <v/>
      </c>
      <c r="D2212" s="245" t="str">
        <f t="shared" si="136"/>
        <v/>
      </c>
      <c r="E2212" s="534"/>
      <c r="F2212" s="534"/>
    </row>
    <row r="2213" spans="1:6" ht="15" customHeight="1">
      <c r="A2213" s="51"/>
      <c r="B2213" s="52" t="str">
        <f t="shared" si="135"/>
        <v/>
      </c>
      <c r="C2213" t="str">
        <f t="shared" si="134"/>
        <v/>
      </c>
      <c r="D2213" s="245" t="str">
        <f t="shared" si="136"/>
        <v/>
      </c>
      <c r="E2213" s="534"/>
      <c r="F2213" s="534"/>
    </row>
    <row r="2214" spans="1:6" ht="15" customHeight="1">
      <c r="A2214" s="51"/>
      <c r="B2214" s="52" t="str">
        <f t="shared" si="135"/>
        <v/>
      </c>
      <c r="C2214" t="str">
        <f t="shared" si="134"/>
        <v/>
      </c>
      <c r="D2214" s="245" t="str">
        <f t="shared" si="136"/>
        <v/>
      </c>
      <c r="E2214" s="534"/>
      <c r="F2214" s="534"/>
    </row>
    <row r="2215" spans="1:6" ht="15" customHeight="1">
      <c r="A2215" s="51"/>
      <c r="B2215" s="52" t="str">
        <f t="shared" si="135"/>
        <v/>
      </c>
      <c r="C2215" t="str">
        <f t="shared" si="134"/>
        <v/>
      </c>
      <c r="D2215" s="245" t="str">
        <f t="shared" si="136"/>
        <v/>
      </c>
      <c r="E2215" s="534"/>
      <c r="F2215" s="534"/>
    </row>
    <row r="2216" spans="1:6" ht="15" customHeight="1">
      <c r="A2216" s="51"/>
      <c r="B2216" s="52" t="str">
        <f t="shared" si="135"/>
        <v/>
      </c>
      <c r="C2216" t="str">
        <f t="shared" si="134"/>
        <v/>
      </c>
      <c r="D2216" s="245" t="str">
        <f t="shared" si="136"/>
        <v/>
      </c>
      <c r="E2216" s="534"/>
      <c r="F2216" s="534"/>
    </row>
    <row r="2217" spans="1:6" ht="15" customHeight="1">
      <c r="A2217" s="51"/>
      <c r="B2217" s="52" t="str">
        <f t="shared" si="135"/>
        <v/>
      </c>
      <c r="C2217" t="str">
        <f t="shared" si="134"/>
        <v/>
      </c>
      <c r="D2217" s="245" t="str">
        <f t="shared" si="136"/>
        <v/>
      </c>
      <c r="E2217" s="534"/>
      <c r="F2217" s="534"/>
    </row>
    <row r="2218" spans="1:6" ht="15" customHeight="1">
      <c r="A2218" s="51"/>
      <c r="B2218" s="52" t="str">
        <f t="shared" si="135"/>
        <v/>
      </c>
      <c r="C2218" t="str">
        <f t="shared" si="134"/>
        <v/>
      </c>
      <c r="D2218" s="245" t="str">
        <f t="shared" si="136"/>
        <v/>
      </c>
      <c r="E2218" s="534"/>
      <c r="F2218" s="534"/>
    </row>
    <row r="2219" spans="1:6" ht="15" customHeight="1">
      <c r="A2219" s="51"/>
      <c r="B2219" s="52" t="str">
        <f t="shared" si="135"/>
        <v/>
      </c>
      <c r="C2219" t="str">
        <f t="shared" si="134"/>
        <v/>
      </c>
      <c r="D2219" s="245" t="str">
        <f t="shared" si="136"/>
        <v/>
      </c>
      <c r="E2219" s="534"/>
      <c r="F2219" s="534"/>
    </row>
    <row r="2220" spans="1:6" ht="15" customHeight="1">
      <c r="A2220" s="51"/>
      <c r="B2220" s="52" t="str">
        <f t="shared" si="135"/>
        <v/>
      </c>
      <c r="C2220" t="str">
        <f t="shared" si="134"/>
        <v/>
      </c>
      <c r="D2220" s="245" t="str">
        <f t="shared" si="136"/>
        <v/>
      </c>
      <c r="E2220" s="534"/>
      <c r="F2220" s="534"/>
    </row>
    <row r="2221" spans="1:6" ht="15" customHeight="1">
      <c r="A2221" s="51"/>
      <c r="B2221" s="52" t="str">
        <f t="shared" si="135"/>
        <v/>
      </c>
      <c r="C2221" t="str">
        <f t="shared" si="134"/>
        <v/>
      </c>
      <c r="D2221" s="245" t="str">
        <f t="shared" si="136"/>
        <v/>
      </c>
      <c r="E2221" s="534"/>
      <c r="F2221" s="534"/>
    </row>
    <row r="2222" spans="1:6" ht="15" customHeight="1">
      <c r="A2222" s="51"/>
      <c r="B2222" s="52" t="str">
        <f t="shared" si="135"/>
        <v/>
      </c>
      <c r="C2222" t="str">
        <f t="shared" si="134"/>
        <v/>
      </c>
      <c r="D2222" s="245" t="str">
        <f t="shared" si="136"/>
        <v/>
      </c>
      <c r="E2222" s="534"/>
      <c r="F2222" s="534"/>
    </row>
    <row r="2223" spans="1:6" ht="15" customHeight="1">
      <c r="A2223" s="51"/>
      <c r="B2223" s="52" t="str">
        <f t="shared" si="135"/>
        <v/>
      </c>
      <c r="C2223" t="str">
        <f t="shared" si="134"/>
        <v/>
      </c>
      <c r="D2223" s="245" t="str">
        <f t="shared" si="136"/>
        <v/>
      </c>
      <c r="E2223" s="534"/>
      <c r="F2223" s="534"/>
    </row>
    <row r="2224" spans="1:6" ht="15" customHeight="1">
      <c r="A2224" s="51"/>
      <c r="B2224" s="52" t="str">
        <f t="shared" si="135"/>
        <v/>
      </c>
      <c r="C2224" t="str">
        <f t="shared" si="134"/>
        <v/>
      </c>
      <c r="D2224" s="245" t="str">
        <f t="shared" si="136"/>
        <v/>
      </c>
      <c r="E2224" s="534"/>
      <c r="F2224" s="534"/>
    </row>
    <row r="2225" spans="1:6" ht="15" customHeight="1">
      <c r="A2225" s="51"/>
      <c r="B2225" s="52" t="str">
        <f t="shared" si="135"/>
        <v/>
      </c>
      <c r="C2225" t="str">
        <f t="shared" si="134"/>
        <v/>
      </c>
      <c r="D2225" s="245" t="str">
        <f t="shared" si="136"/>
        <v/>
      </c>
      <c r="E2225" s="534"/>
      <c r="F2225" s="534"/>
    </row>
    <row r="2226" spans="1:6" ht="15" customHeight="1">
      <c r="A2226" s="51"/>
      <c r="B2226" s="52" t="str">
        <f t="shared" si="135"/>
        <v/>
      </c>
      <c r="C2226" t="str">
        <f t="shared" si="134"/>
        <v/>
      </c>
      <c r="D2226" s="245" t="str">
        <f t="shared" si="136"/>
        <v/>
      </c>
      <c r="E2226" s="534"/>
      <c r="F2226" s="534"/>
    </row>
    <row r="2227" spans="1:6" ht="15" customHeight="1">
      <c r="A2227" s="51"/>
      <c r="B2227" s="52" t="str">
        <f t="shared" si="135"/>
        <v/>
      </c>
      <c r="C2227" t="str">
        <f t="shared" si="134"/>
        <v/>
      </c>
      <c r="D2227" s="245" t="str">
        <f t="shared" si="136"/>
        <v/>
      </c>
      <c r="E2227" s="534"/>
      <c r="F2227" s="534"/>
    </row>
    <row r="2228" spans="1:6" ht="15" customHeight="1">
      <c r="A2228" s="51"/>
      <c r="B2228" s="52" t="str">
        <f t="shared" si="135"/>
        <v/>
      </c>
      <c r="C2228" t="str">
        <f t="shared" si="134"/>
        <v/>
      </c>
      <c r="D2228" s="245" t="str">
        <f t="shared" si="136"/>
        <v/>
      </c>
      <c r="E2228" s="534"/>
      <c r="F2228" s="534"/>
    </row>
    <row r="2229" spans="1:6" ht="15" customHeight="1">
      <c r="A2229" s="51"/>
      <c r="B2229" s="52" t="str">
        <f t="shared" si="135"/>
        <v/>
      </c>
      <c r="C2229" t="str">
        <f t="shared" si="134"/>
        <v/>
      </c>
      <c r="D2229" s="245" t="str">
        <f t="shared" si="136"/>
        <v/>
      </c>
      <c r="E2229" s="534"/>
      <c r="F2229" s="534"/>
    </row>
    <row r="2230" spans="1:6" ht="15" customHeight="1">
      <c r="A2230" s="51"/>
      <c r="B2230" s="52" t="str">
        <f t="shared" si="135"/>
        <v/>
      </c>
      <c r="C2230" t="str">
        <f t="shared" si="134"/>
        <v/>
      </c>
      <c r="D2230" s="245" t="str">
        <f t="shared" si="136"/>
        <v/>
      </c>
      <c r="E2230" s="534"/>
      <c r="F2230" s="534"/>
    </row>
    <row r="2231" spans="1:6" ht="15" customHeight="1">
      <c r="A2231" s="51"/>
      <c r="B2231" s="52" t="str">
        <f t="shared" si="135"/>
        <v/>
      </c>
      <c r="C2231" t="str">
        <f t="shared" si="134"/>
        <v/>
      </c>
      <c r="D2231" s="245" t="str">
        <f t="shared" si="136"/>
        <v/>
      </c>
      <c r="E2231" s="534"/>
      <c r="F2231" s="534"/>
    </row>
    <row r="2232" spans="1:6" ht="15" customHeight="1">
      <c r="A2232" s="51"/>
      <c r="B2232" s="52" t="str">
        <f t="shared" si="135"/>
        <v/>
      </c>
      <c r="C2232" t="str">
        <f t="shared" si="134"/>
        <v/>
      </c>
      <c r="D2232" s="245" t="str">
        <f t="shared" si="136"/>
        <v/>
      </c>
      <c r="E2232" s="534"/>
      <c r="F2232" s="534"/>
    </row>
    <row r="2233" spans="1:6" ht="15" customHeight="1">
      <c r="A2233" s="51"/>
      <c r="B2233" s="52" t="str">
        <f t="shared" si="135"/>
        <v/>
      </c>
      <c r="C2233" t="str">
        <f t="shared" si="134"/>
        <v/>
      </c>
      <c r="D2233" s="245" t="str">
        <f t="shared" si="136"/>
        <v/>
      </c>
      <c r="E2233" s="534"/>
      <c r="F2233" s="534"/>
    </row>
    <row r="2234" spans="1:6" ht="15" customHeight="1">
      <c r="A2234" s="51"/>
      <c r="B2234" s="52" t="str">
        <f t="shared" si="135"/>
        <v/>
      </c>
      <c r="C2234" t="str">
        <f t="shared" si="134"/>
        <v/>
      </c>
      <c r="D2234" s="245" t="str">
        <f t="shared" si="136"/>
        <v/>
      </c>
      <c r="E2234" s="534"/>
      <c r="F2234" s="534"/>
    </row>
    <row r="2235" spans="1:6" ht="15" customHeight="1">
      <c r="A2235" s="51"/>
      <c r="B2235" s="52" t="str">
        <f t="shared" si="135"/>
        <v/>
      </c>
      <c r="C2235" t="str">
        <f t="shared" si="134"/>
        <v/>
      </c>
      <c r="D2235" s="245" t="str">
        <f t="shared" si="136"/>
        <v/>
      </c>
      <c r="E2235" s="534"/>
      <c r="F2235" s="534"/>
    </row>
    <row r="2236" spans="1:6" ht="15" customHeight="1">
      <c r="A2236" s="51"/>
      <c r="B2236" s="52" t="str">
        <f t="shared" si="135"/>
        <v/>
      </c>
      <c r="C2236" t="str">
        <f t="shared" si="134"/>
        <v/>
      </c>
      <c r="D2236" s="245" t="str">
        <f t="shared" si="136"/>
        <v/>
      </c>
      <c r="E2236" s="534"/>
      <c r="F2236" s="534"/>
    </row>
    <row r="2237" spans="1:6" ht="15" customHeight="1">
      <c r="A2237" s="51"/>
      <c r="B2237" s="52" t="str">
        <f t="shared" si="135"/>
        <v/>
      </c>
      <c r="C2237" t="str">
        <f t="shared" si="134"/>
        <v/>
      </c>
      <c r="D2237" s="245" t="str">
        <f t="shared" si="136"/>
        <v/>
      </c>
      <c r="E2237" s="534"/>
      <c r="F2237" s="534"/>
    </row>
    <row r="2238" spans="1:6" ht="15" customHeight="1">
      <c r="A2238" s="51"/>
      <c r="B2238" s="52" t="str">
        <f t="shared" si="135"/>
        <v/>
      </c>
      <c r="C2238" t="str">
        <f t="shared" si="134"/>
        <v/>
      </c>
      <c r="D2238" s="245" t="str">
        <f t="shared" si="136"/>
        <v/>
      </c>
      <c r="E2238" s="534"/>
      <c r="F2238" s="534"/>
    </row>
    <row r="2239" spans="1:6" ht="15" customHeight="1">
      <c r="A2239" s="51"/>
      <c r="B2239" s="52" t="str">
        <f t="shared" si="135"/>
        <v/>
      </c>
      <c r="C2239" t="str">
        <f t="shared" si="134"/>
        <v/>
      </c>
      <c r="D2239" s="245" t="str">
        <f t="shared" si="136"/>
        <v/>
      </c>
      <c r="E2239" s="534"/>
      <c r="F2239" s="534"/>
    </row>
    <row r="2240" spans="1:6" ht="15" customHeight="1">
      <c r="A2240" s="51"/>
      <c r="B2240" s="52" t="str">
        <f t="shared" si="135"/>
        <v/>
      </c>
      <c r="C2240" t="str">
        <f t="shared" si="134"/>
        <v/>
      </c>
      <c r="D2240" s="245" t="str">
        <f t="shared" si="136"/>
        <v/>
      </c>
      <c r="E2240" s="534"/>
      <c r="F2240" s="534"/>
    </row>
    <row r="2241" spans="1:6" ht="15" customHeight="1">
      <c r="A2241" s="51"/>
      <c r="B2241" s="52" t="str">
        <f t="shared" si="135"/>
        <v/>
      </c>
      <c r="C2241" t="str">
        <f t="shared" si="134"/>
        <v/>
      </c>
      <c r="D2241" s="245" t="str">
        <f t="shared" si="136"/>
        <v/>
      </c>
      <c r="E2241" s="534"/>
      <c r="F2241" s="534"/>
    </row>
    <row r="2242" spans="1:6" ht="15" customHeight="1">
      <c r="A2242" s="51"/>
      <c r="B2242" s="52" t="str">
        <f t="shared" si="135"/>
        <v/>
      </c>
      <c r="C2242" t="str">
        <f t="shared" ref="C2242:C2305" si="137">IF(A2242&lt;&gt;"",TEXT(A2242,"aaaa"),"")</f>
        <v/>
      </c>
      <c r="D2242" s="245" t="str">
        <f t="shared" si="136"/>
        <v/>
      </c>
      <c r="E2242" s="534"/>
      <c r="F2242" s="534"/>
    </row>
    <row r="2243" spans="1:6" ht="15" customHeight="1">
      <c r="A2243" s="51"/>
      <c r="B2243" s="52" t="str">
        <f t="shared" si="135"/>
        <v/>
      </c>
      <c r="C2243" t="str">
        <f t="shared" si="137"/>
        <v/>
      </c>
      <c r="D2243" s="245" t="str">
        <f t="shared" si="136"/>
        <v/>
      </c>
      <c r="E2243" s="534"/>
      <c r="F2243" s="534"/>
    </row>
    <row r="2244" spans="1:6" ht="15" customHeight="1">
      <c r="A2244" s="51"/>
      <c r="B2244" s="52" t="str">
        <f t="shared" si="135"/>
        <v/>
      </c>
      <c r="C2244" t="str">
        <f t="shared" si="137"/>
        <v/>
      </c>
      <c r="D2244" s="245" t="str">
        <f t="shared" si="136"/>
        <v/>
      </c>
      <c r="E2244" s="534"/>
      <c r="F2244" s="534"/>
    </row>
    <row r="2245" spans="1:6" ht="15" customHeight="1">
      <c r="A2245" s="51"/>
      <c r="B2245" s="52" t="str">
        <f t="shared" si="135"/>
        <v/>
      </c>
      <c r="C2245" t="str">
        <f t="shared" si="137"/>
        <v/>
      </c>
      <c r="D2245" s="245" t="str">
        <f t="shared" si="136"/>
        <v/>
      </c>
      <c r="E2245" s="534"/>
      <c r="F2245" s="534"/>
    </row>
    <row r="2246" spans="1:6" ht="15" customHeight="1">
      <c r="A2246" s="51"/>
      <c r="B2246" s="52" t="str">
        <f t="shared" si="135"/>
        <v/>
      </c>
      <c r="C2246" t="str">
        <f t="shared" si="137"/>
        <v/>
      </c>
      <c r="D2246" s="245" t="str">
        <f t="shared" si="136"/>
        <v/>
      </c>
      <c r="E2246" s="534"/>
      <c r="F2246" s="534"/>
    </row>
    <row r="2247" spans="1:6" ht="15" customHeight="1">
      <c r="A2247" s="51"/>
      <c r="B2247" s="52" t="str">
        <f t="shared" si="135"/>
        <v/>
      </c>
      <c r="C2247" t="str">
        <f t="shared" si="137"/>
        <v/>
      </c>
      <c r="D2247" s="245" t="str">
        <f t="shared" si="136"/>
        <v/>
      </c>
      <c r="E2247" s="534"/>
      <c r="F2247" s="534"/>
    </row>
    <row r="2248" spans="1:6" ht="15" customHeight="1">
      <c r="A2248" s="51"/>
      <c r="B2248" s="52" t="str">
        <f t="shared" ref="B2248:B2311" si="138">IF(A2248="","",TEXT(A2248,"DDDD"))</f>
        <v/>
      </c>
      <c r="C2248" t="str">
        <f t="shared" si="137"/>
        <v/>
      </c>
      <c r="D2248" s="245" t="str">
        <f t="shared" si="136"/>
        <v/>
      </c>
      <c r="E2248" s="534"/>
      <c r="F2248" s="534"/>
    </row>
    <row r="2249" spans="1:6" ht="15" customHeight="1">
      <c r="A2249" s="51"/>
      <c r="B2249" s="52" t="str">
        <f t="shared" si="138"/>
        <v/>
      </c>
      <c r="C2249" t="str">
        <f t="shared" si="137"/>
        <v/>
      </c>
      <c r="D2249" s="245" t="str">
        <f t="shared" ref="D2249:D2312" si="139">IF(A2249&lt;&gt;"",PROPER(TEXT(A2249,"Mmmm")),"")</f>
        <v/>
      </c>
      <c r="E2249" s="534"/>
      <c r="F2249" s="534"/>
    </row>
    <row r="2250" spans="1:6" ht="15" customHeight="1">
      <c r="A2250" s="51"/>
      <c r="B2250" s="52" t="str">
        <f t="shared" si="138"/>
        <v/>
      </c>
      <c r="C2250" t="str">
        <f t="shared" si="137"/>
        <v/>
      </c>
      <c r="D2250" s="245" t="str">
        <f t="shared" si="139"/>
        <v/>
      </c>
      <c r="E2250" s="534"/>
      <c r="F2250" s="534"/>
    </row>
    <row r="2251" spans="1:6" ht="15" customHeight="1">
      <c r="A2251" s="51"/>
      <c r="B2251" s="52" t="str">
        <f t="shared" si="138"/>
        <v/>
      </c>
      <c r="C2251" t="str">
        <f t="shared" si="137"/>
        <v/>
      </c>
      <c r="D2251" s="245" t="str">
        <f t="shared" si="139"/>
        <v/>
      </c>
      <c r="E2251" s="534"/>
      <c r="F2251" s="534"/>
    </row>
    <row r="2252" spans="1:6" ht="15" customHeight="1">
      <c r="A2252" s="51"/>
      <c r="B2252" s="52" t="str">
        <f t="shared" si="138"/>
        <v/>
      </c>
      <c r="C2252" t="str">
        <f t="shared" si="137"/>
        <v/>
      </c>
      <c r="D2252" s="245" t="str">
        <f t="shared" si="139"/>
        <v/>
      </c>
      <c r="E2252" s="534"/>
      <c r="F2252" s="534"/>
    </row>
    <row r="2253" spans="1:6" ht="15" customHeight="1">
      <c r="A2253" s="51"/>
      <c r="B2253" s="52" t="str">
        <f t="shared" si="138"/>
        <v/>
      </c>
      <c r="C2253" t="str">
        <f t="shared" si="137"/>
        <v/>
      </c>
      <c r="D2253" s="245" t="str">
        <f t="shared" si="139"/>
        <v/>
      </c>
      <c r="E2253" s="534"/>
      <c r="F2253" s="534"/>
    </row>
    <row r="2254" spans="1:6" ht="15" customHeight="1">
      <c r="A2254" s="51"/>
      <c r="B2254" s="52" t="str">
        <f t="shared" si="138"/>
        <v/>
      </c>
      <c r="C2254" t="str">
        <f t="shared" si="137"/>
        <v/>
      </c>
      <c r="D2254" s="245" t="str">
        <f t="shared" si="139"/>
        <v/>
      </c>
      <c r="E2254" s="534"/>
      <c r="F2254" s="534"/>
    </row>
    <row r="2255" spans="1:6" ht="15" customHeight="1">
      <c r="A2255" s="51"/>
      <c r="B2255" s="52" t="str">
        <f t="shared" si="138"/>
        <v/>
      </c>
      <c r="C2255" t="str">
        <f t="shared" si="137"/>
        <v/>
      </c>
      <c r="D2255" s="245" t="str">
        <f t="shared" si="139"/>
        <v/>
      </c>
      <c r="E2255" s="534"/>
      <c r="F2255" s="534"/>
    </row>
    <row r="2256" spans="1:6" ht="15" customHeight="1">
      <c r="A2256" s="51"/>
      <c r="B2256" s="52" t="str">
        <f t="shared" si="138"/>
        <v/>
      </c>
      <c r="C2256" t="str">
        <f t="shared" si="137"/>
        <v/>
      </c>
      <c r="D2256" s="245" t="str">
        <f t="shared" si="139"/>
        <v/>
      </c>
      <c r="E2256" s="534"/>
      <c r="F2256" s="534"/>
    </row>
    <row r="2257" spans="1:6" ht="15" customHeight="1">
      <c r="A2257" s="51"/>
      <c r="B2257" s="52" t="str">
        <f t="shared" si="138"/>
        <v/>
      </c>
      <c r="C2257" t="str">
        <f t="shared" si="137"/>
        <v/>
      </c>
      <c r="D2257" s="245" t="str">
        <f t="shared" si="139"/>
        <v/>
      </c>
      <c r="E2257" s="534"/>
      <c r="F2257" s="534"/>
    </row>
    <row r="2258" spans="1:6" ht="15" customHeight="1">
      <c r="A2258" s="51"/>
      <c r="B2258" s="52" t="str">
        <f t="shared" si="138"/>
        <v/>
      </c>
      <c r="C2258" t="str">
        <f t="shared" si="137"/>
        <v/>
      </c>
      <c r="D2258" s="245" t="str">
        <f t="shared" si="139"/>
        <v/>
      </c>
      <c r="E2258" s="534"/>
      <c r="F2258" s="534"/>
    </row>
    <row r="2259" spans="1:6" ht="15" customHeight="1">
      <c r="A2259" s="51"/>
      <c r="B2259" s="52" t="str">
        <f t="shared" si="138"/>
        <v/>
      </c>
      <c r="C2259" t="str">
        <f t="shared" si="137"/>
        <v/>
      </c>
      <c r="D2259" s="245" t="str">
        <f t="shared" si="139"/>
        <v/>
      </c>
      <c r="E2259" s="534"/>
      <c r="F2259" s="534"/>
    </row>
    <row r="2260" spans="1:6" ht="15" customHeight="1">
      <c r="A2260" s="51"/>
      <c r="B2260" s="52" t="str">
        <f t="shared" si="138"/>
        <v/>
      </c>
      <c r="C2260" t="str">
        <f t="shared" si="137"/>
        <v/>
      </c>
      <c r="D2260" s="245" t="str">
        <f t="shared" si="139"/>
        <v/>
      </c>
      <c r="E2260" s="534"/>
      <c r="F2260" s="534"/>
    </row>
    <row r="2261" spans="1:6" ht="15" customHeight="1">
      <c r="A2261" s="51"/>
      <c r="B2261" s="52" t="str">
        <f t="shared" si="138"/>
        <v/>
      </c>
      <c r="C2261" t="str">
        <f t="shared" si="137"/>
        <v/>
      </c>
      <c r="D2261" s="245" t="str">
        <f t="shared" si="139"/>
        <v/>
      </c>
      <c r="E2261" s="534"/>
      <c r="F2261" s="534"/>
    </row>
    <row r="2262" spans="1:6" ht="15" customHeight="1">
      <c r="A2262" s="51"/>
      <c r="B2262" s="52" t="str">
        <f t="shared" si="138"/>
        <v/>
      </c>
      <c r="C2262" t="str">
        <f t="shared" si="137"/>
        <v/>
      </c>
      <c r="D2262" s="245" t="str">
        <f t="shared" si="139"/>
        <v/>
      </c>
      <c r="E2262" s="534"/>
      <c r="F2262" s="534"/>
    </row>
    <row r="2263" spans="1:6" ht="15" customHeight="1">
      <c r="A2263" s="51"/>
      <c r="B2263" s="52" t="str">
        <f t="shared" si="138"/>
        <v/>
      </c>
      <c r="C2263" t="str">
        <f t="shared" si="137"/>
        <v/>
      </c>
      <c r="D2263" s="245" t="str">
        <f t="shared" si="139"/>
        <v/>
      </c>
      <c r="E2263" s="534"/>
      <c r="F2263" s="534"/>
    </row>
    <row r="2264" spans="1:6" ht="15" customHeight="1">
      <c r="A2264" s="51"/>
      <c r="B2264" s="52" t="str">
        <f t="shared" si="138"/>
        <v/>
      </c>
      <c r="C2264" t="str">
        <f t="shared" si="137"/>
        <v/>
      </c>
      <c r="D2264" s="245" t="str">
        <f t="shared" si="139"/>
        <v/>
      </c>
      <c r="E2264" s="534"/>
      <c r="F2264" s="534"/>
    </row>
    <row r="2265" spans="1:6" ht="15" customHeight="1">
      <c r="A2265" s="51"/>
      <c r="B2265" s="52" t="str">
        <f t="shared" si="138"/>
        <v/>
      </c>
      <c r="C2265" t="str">
        <f t="shared" si="137"/>
        <v/>
      </c>
      <c r="D2265" s="245" t="str">
        <f t="shared" si="139"/>
        <v/>
      </c>
      <c r="E2265" s="534"/>
      <c r="F2265" s="534"/>
    </row>
    <row r="2266" spans="1:6" ht="15" customHeight="1">
      <c r="A2266" s="51"/>
      <c r="B2266" s="52" t="str">
        <f t="shared" si="138"/>
        <v/>
      </c>
      <c r="C2266" t="str">
        <f t="shared" si="137"/>
        <v/>
      </c>
      <c r="D2266" s="245" t="str">
        <f t="shared" si="139"/>
        <v/>
      </c>
      <c r="E2266" s="534"/>
      <c r="F2266" s="534"/>
    </row>
    <row r="2267" spans="1:6" ht="15" customHeight="1">
      <c r="A2267" s="51"/>
      <c r="B2267" s="52" t="str">
        <f t="shared" si="138"/>
        <v/>
      </c>
      <c r="C2267" t="str">
        <f t="shared" si="137"/>
        <v/>
      </c>
      <c r="D2267" s="245" t="str">
        <f t="shared" si="139"/>
        <v/>
      </c>
      <c r="E2267" s="534"/>
      <c r="F2267" s="534"/>
    </row>
    <row r="2268" spans="1:6" ht="15" customHeight="1">
      <c r="A2268" s="51"/>
      <c r="B2268" s="52" t="str">
        <f t="shared" si="138"/>
        <v/>
      </c>
      <c r="C2268" t="str">
        <f t="shared" si="137"/>
        <v/>
      </c>
      <c r="D2268" s="245" t="str">
        <f t="shared" si="139"/>
        <v/>
      </c>
      <c r="E2268" s="534"/>
      <c r="F2268" s="534"/>
    </row>
    <row r="2269" spans="1:6" ht="15" customHeight="1">
      <c r="A2269" s="51"/>
      <c r="B2269" s="52" t="str">
        <f t="shared" si="138"/>
        <v/>
      </c>
      <c r="C2269" t="str">
        <f t="shared" si="137"/>
        <v/>
      </c>
      <c r="D2269" s="245" t="str">
        <f t="shared" si="139"/>
        <v/>
      </c>
      <c r="E2269" s="534"/>
      <c r="F2269" s="534"/>
    </row>
    <row r="2270" spans="1:6" ht="15" customHeight="1">
      <c r="A2270" s="51"/>
      <c r="B2270" s="52" t="str">
        <f t="shared" si="138"/>
        <v/>
      </c>
      <c r="C2270" t="str">
        <f t="shared" si="137"/>
        <v/>
      </c>
      <c r="D2270" s="245" t="str">
        <f t="shared" si="139"/>
        <v/>
      </c>
      <c r="E2270" s="534"/>
      <c r="F2270" s="534"/>
    </row>
    <row r="2271" spans="1:6" ht="15" customHeight="1">
      <c r="A2271" s="51"/>
      <c r="B2271" s="52" t="str">
        <f t="shared" si="138"/>
        <v/>
      </c>
      <c r="C2271" t="str">
        <f t="shared" si="137"/>
        <v/>
      </c>
      <c r="D2271" s="245" t="str">
        <f t="shared" si="139"/>
        <v/>
      </c>
      <c r="E2271" s="534"/>
      <c r="F2271" s="534"/>
    </row>
    <row r="2272" spans="1:6" ht="15" customHeight="1">
      <c r="A2272" s="51"/>
      <c r="B2272" s="52" t="str">
        <f t="shared" si="138"/>
        <v/>
      </c>
      <c r="C2272" t="str">
        <f t="shared" si="137"/>
        <v/>
      </c>
      <c r="D2272" s="245" t="str">
        <f t="shared" si="139"/>
        <v/>
      </c>
      <c r="E2272" s="534"/>
      <c r="F2272" s="534"/>
    </row>
    <row r="2273" spans="1:6" ht="15" customHeight="1">
      <c r="A2273" s="51"/>
      <c r="B2273" s="52" t="str">
        <f t="shared" si="138"/>
        <v/>
      </c>
      <c r="C2273" t="str">
        <f t="shared" si="137"/>
        <v/>
      </c>
      <c r="D2273" s="245" t="str">
        <f t="shared" si="139"/>
        <v/>
      </c>
      <c r="E2273" s="534"/>
      <c r="F2273" s="534"/>
    </row>
    <row r="2274" spans="1:6" ht="15" customHeight="1">
      <c r="A2274" s="51"/>
      <c r="B2274" s="52" t="str">
        <f t="shared" si="138"/>
        <v/>
      </c>
      <c r="C2274" t="str">
        <f t="shared" si="137"/>
        <v/>
      </c>
      <c r="D2274" s="245" t="str">
        <f t="shared" si="139"/>
        <v/>
      </c>
      <c r="E2274" s="534"/>
      <c r="F2274" s="534"/>
    </row>
    <row r="2275" spans="1:6" ht="15" customHeight="1">
      <c r="A2275" s="51"/>
      <c r="B2275" s="52" t="str">
        <f t="shared" si="138"/>
        <v/>
      </c>
      <c r="C2275" t="str">
        <f t="shared" si="137"/>
        <v/>
      </c>
      <c r="D2275" s="245" t="str">
        <f t="shared" si="139"/>
        <v/>
      </c>
      <c r="E2275" s="534"/>
      <c r="F2275" s="534"/>
    </row>
    <row r="2276" spans="1:6" ht="15" customHeight="1">
      <c r="A2276" s="51"/>
      <c r="B2276" s="52" t="str">
        <f t="shared" si="138"/>
        <v/>
      </c>
      <c r="C2276" t="str">
        <f t="shared" si="137"/>
        <v/>
      </c>
      <c r="D2276" s="245" t="str">
        <f t="shared" si="139"/>
        <v/>
      </c>
      <c r="E2276" s="534"/>
      <c r="F2276" s="534"/>
    </row>
    <row r="2277" spans="1:6" ht="15" customHeight="1">
      <c r="A2277" s="51"/>
      <c r="B2277" s="52" t="str">
        <f t="shared" si="138"/>
        <v/>
      </c>
      <c r="C2277" t="str">
        <f t="shared" si="137"/>
        <v/>
      </c>
      <c r="D2277" s="245" t="str">
        <f t="shared" si="139"/>
        <v/>
      </c>
      <c r="E2277" s="534"/>
      <c r="F2277" s="534"/>
    </row>
    <row r="2278" spans="1:6" ht="15" customHeight="1">
      <c r="A2278" s="51"/>
      <c r="B2278" s="52" t="str">
        <f t="shared" si="138"/>
        <v/>
      </c>
      <c r="C2278" t="str">
        <f t="shared" si="137"/>
        <v/>
      </c>
      <c r="D2278" s="245" t="str">
        <f t="shared" si="139"/>
        <v/>
      </c>
      <c r="E2278" s="534"/>
      <c r="F2278" s="534"/>
    </row>
    <row r="2279" spans="1:6" ht="15" customHeight="1">
      <c r="A2279" s="51"/>
      <c r="B2279" s="52" t="str">
        <f t="shared" si="138"/>
        <v/>
      </c>
      <c r="C2279" t="str">
        <f t="shared" si="137"/>
        <v/>
      </c>
      <c r="D2279" s="245" t="str">
        <f t="shared" si="139"/>
        <v/>
      </c>
      <c r="E2279" s="534"/>
      <c r="F2279" s="534"/>
    </row>
    <row r="2280" spans="1:6" ht="15" customHeight="1">
      <c r="A2280" s="51"/>
      <c r="B2280" s="52" t="str">
        <f t="shared" si="138"/>
        <v/>
      </c>
      <c r="C2280" t="str">
        <f t="shared" si="137"/>
        <v/>
      </c>
      <c r="D2280" s="245" t="str">
        <f t="shared" si="139"/>
        <v/>
      </c>
      <c r="E2280" s="534"/>
      <c r="F2280" s="534"/>
    </row>
    <row r="2281" spans="1:6" ht="15" customHeight="1">
      <c r="A2281" s="51"/>
      <c r="B2281" s="52" t="str">
        <f t="shared" si="138"/>
        <v/>
      </c>
      <c r="C2281" t="str">
        <f t="shared" si="137"/>
        <v/>
      </c>
      <c r="D2281" s="245" t="str">
        <f t="shared" si="139"/>
        <v/>
      </c>
      <c r="E2281" s="534"/>
      <c r="F2281" s="534"/>
    </row>
    <row r="2282" spans="1:6" ht="15" customHeight="1">
      <c r="A2282" s="51"/>
      <c r="B2282" s="52" t="str">
        <f t="shared" si="138"/>
        <v/>
      </c>
      <c r="C2282" t="str">
        <f t="shared" si="137"/>
        <v/>
      </c>
      <c r="D2282" s="245" t="str">
        <f t="shared" si="139"/>
        <v/>
      </c>
      <c r="E2282" s="534"/>
      <c r="F2282" s="534"/>
    </row>
    <row r="2283" spans="1:6" ht="15" customHeight="1">
      <c r="A2283" s="51"/>
      <c r="B2283" s="52" t="str">
        <f t="shared" si="138"/>
        <v/>
      </c>
      <c r="C2283" t="str">
        <f t="shared" si="137"/>
        <v/>
      </c>
      <c r="D2283" s="245" t="str">
        <f t="shared" si="139"/>
        <v/>
      </c>
      <c r="E2283" s="534"/>
      <c r="F2283" s="534"/>
    </row>
    <row r="2284" spans="1:6" ht="15" customHeight="1">
      <c r="A2284" s="51"/>
      <c r="B2284" s="52" t="str">
        <f t="shared" si="138"/>
        <v/>
      </c>
      <c r="C2284" t="str">
        <f t="shared" si="137"/>
        <v/>
      </c>
      <c r="D2284" s="245" t="str">
        <f t="shared" si="139"/>
        <v/>
      </c>
      <c r="E2284" s="534"/>
      <c r="F2284" s="534"/>
    </row>
    <row r="2285" spans="1:6" ht="15" customHeight="1">
      <c r="A2285" s="51"/>
      <c r="B2285" s="52" t="str">
        <f t="shared" si="138"/>
        <v/>
      </c>
      <c r="C2285" t="str">
        <f t="shared" si="137"/>
        <v/>
      </c>
      <c r="D2285" s="245" t="str">
        <f t="shared" si="139"/>
        <v/>
      </c>
      <c r="E2285" s="534"/>
      <c r="F2285" s="534"/>
    </row>
    <row r="2286" spans="1:6" ht="15" customHeight="1">
      <c r="A2286" s="51"/>
      <c r="B2286" s="52" t="str">
        <f t="shared" si="138"/>
        <v/>
      </c>
      <c r="C2286" t="str">
        <f t="shared" si="137"/>
        <v/>
      </c>
      <c r="D2286" s="245" t="str">
        <f t="shared" si="139"/>
        <v/>
      </c>
      <c r="E2286" s="534"/>
      <c r="F2286" s="534"/>
    </row>
    <row r="2287" spans="1:6" ht="15" customHeight="1">
      <c r="A2287" s="51"/>
      <c r="B2287" s="52" t="str">
        <f t="shared" si="138"/>
        <v/>
      </c>
      <c r="C2287" t="str">
        <f t="shared" si="137"/>
        <v/>
      </c>
      <c r="D2287" s="245" t="str">
        <f t="shared" si="139"/>
        <v/>
      </c>
      <c r="E2287" s="534"/>
      <c r="F2287" s="534"/>
    </row>
    <row r="2288" spans="1:6" ht="15" customHeight="1">
      <c r="A2288" s="51"/>
      <c r="B2288" s="52" t="str">
        <f t="shared" si="138"/>
        <v/>
      </c>
      <c r="C2288" t="str">
        <f t="shared" si="137"/>
        <v/>
      </c>
      <c r="D2288" s="245" t="str">
        <f t="shared" si="139"/>
        <v/>
      </c>
      <c r="E2288" s="534"/>
      <c r="F2288" s="534"/>
    </row>
    <row r="2289" spans="1:6" ht="15" customHeight="1">
      <c r="A2289" s="51"/>
      <c r="B2289" s="52" t="str">
        <f t="shared" si="138"/>
        <v/>
      </c>
      <c r="C2289" t="str">
        <f t="shared" si="137"/>
        <v/>
      </c>
      <c r="D2289" s="245" t="str">
        <f t="shared" si="139"/>
        <v/>
      </c>
      <c r="E2289" s="534"/>
      <c r="F2289" s="534"/>
    </row>
    <row r="2290" spans="1:6" ht="15" customHeight="1">
      <c r="A2290" s="51"/>
      <c r="B2290" s="52" t="str">
        <f t="shared" si="138"/>
        <v/>
      </c>
      <c r="C2290" t="str">
        <f t="shared" si="137"/>
        <v/>
      </c>
      <c r="D2290" s="245" t="str">
        <f t="shared" si="139"/>
        <v/>
      </c>
      <c r="E2290" s="534"/>
      <c r="F2290" s="534"/>
    </row>
    <row r="2291" spans="1:6" ht="15" customHeight="1">
      <c r="A2291" s="51"/>
      <c r="B2291" s="52" t="str">
        <f t="shared" si="138"/>
        <v/>
      </c>
      <c r="C2291" t="str">
        <f t="shared" si="137"/>
        <v/>
      </c>
      <c r="D2291" s="245" t="str">
        <f t="shared" si="139"/>
        <v/>
      </c>
      <c r="E2291" s="534"/>
      <c r="F2291" s="534"/>
    </row>
    <row r="2292" spans="1:6" ht="15" customHeight="1">
      <c r="A2292" s="51"/>
      <c r="B2292" s="52" t="str">
        <f t="shared" si="138"/>
        <v/>
      </c>
      <c r="C2292" t="str">
        <f t="shared" si="137"/>
        <v/>
      </c>
      <c r="D2292" s="245" t="str">
        <f t="shared" si="139"/>
        <v/>
      </c>
      <c r="E2292" s="534"/>
      <c r="F2292" s="534"/>
    </row>
    <row r="2293" spans="1:6" ht="15" customHeight="1">
      <c r="A2293" s="51"/>
      <c r="B2293" s="52" t="str">
        <f t="shared" si="138"/>
        <v/>
      </c>
      <c r="C2293" t="str">
        <f t="shared" si="137"/>
        <v/>
      </c>
      <c r="D2293" s="245" t="str">
        <f t="shared" si="139"/>
        <v/>
      </c>
      <c r="E2293" s="534"/>
      <c r="F2293" s="534"/>
    </row>
    <row r="2294" spans="1:6" ht="15" customHeight="1">
      <c r="A2294" s="51"/>
      <c r="B2294" s="52" t="str">
        <f t="shared" si="138"/>
        <v/>
      </c>
      <c r="C2294" t="str">
        <f t="shared" si="137"/>
        <v/>
      </c>
      <c r="D2294" s="245" t="str">
        <f t="shared" si="139"/>
        <v/>
      </c>
      <c r="E2294" s="534"/>
      <c r="F2294" s="534"/>
    </row>
    <row r="2295" spans="1:6" ht="15" customHeight="1">
      <c r="A2295" s="51"/>
      <c r="B2295" s="52" t="str">
        <f t="shared" si="138"/>
        <v/>
      </c>
      <c r="C2295" t="str">
        <f t="shared" si="137"/>
        <v/>
      </c>
      <c r="D2295" s="245" t="str">
        <f t="shared" si="139"/>
        <v/>
      </c>
      <c r="E2295" s="534"/>
      <c r="F2295" s="534"/>
    </row>
    <row r="2296" spans="1:6" ht="15" customHeight="1">
      <c r="A2296" s="51"/>
      <c r="B2296" s="52" t="str">
        <f t="shared" si="138"/>
        <v/>
      </c>
      <c r="C2296" t="str">
        <f t="shared" si="137"/>
        <v/>
      </c>
      <c r="D2296" s="245" t="str">
        <f t="shared" si="139"/>
        <v/>
      </c>
      <c r="E2296" s="534"/>
      <c r="F2296" s="534"/>
    </row>
    <row r="2297" spans="1:6" ht="15" customHeight="1">
      <c r="A2297" s="51"/>
      <c r="B2297" s="52" t="str">
        <f t="shared" si="138"/>
        <v/>
      </c>
      <c r="C2297" t="str">
        <f t="shared" si="137"/>
        <v/>
      </c>
      <c r="D2297" s="245" t="str">
        <f t="shared" si="139"/>
        <v/>
      </c>
      <c r="E2297" s="534"/>
      <c r="F2297" s="534"/>
    </row>
    <row r="2298" spans="1:6" ht="15" customHeight="1">
      <c r="A2298" s="51"/>
      <c r="B2298" s="52" t="str">
        <f t="shared" si="138"/>
        <v/>
      </c>
      <c r="C2298" t="str">
        <f t="shared" si="137"/>
        <v/>
      </c>
      <c r="D2298" s="245" t="str">
        <f t="shared" si="139"/>
        <v/>
      </c>
      <c r="E2298" s="534"/>
      <c r="F2298" s="534"/>
    </row>
    <row r="2299" spans="1:6" ht="15" customHeight="1">
      <c r="A2299" s="51"/>
      <c r="B2299" s="52" t="str">
        <f t="shared" si="138"/>
        <v/>
      </c>
      <c r="C2299" t="str">
        <f t="shared" si="137"/>
        <v/>
      </c>
      <c r="D2299" s="245" t="str">
        <f t="shared" si="139"/>
        <v/>
      </c>
      <c r="E2299" s="534"/>
      <c r="F2299" s="534"/>
    </row>
    <row r="2300" spans="1:6" ht="15" customHeight="1">
      <c r="A2300" s="51"/>
      <c r="B2300" s="52" t="str">
        <f t="shared" si="138"/>
        <v/>
      </c>
      <c r="C2300" t="str">
        <f t="shared" si="137"/>
        <v/>
      </c>
      <c r="D2300" s="245" t="str">
        <f t="shared" si="139"/>
        <v/>
      </c>
      <c r="E2300" s="534"/>
      <c r="F2300" s="534"/>
    </row>
    <row r="2301" spans="1:6" ht="15" customHeight="1">
      <c r="A2301" s="51"/>
      <c r="B2301" s="52" t="str">
        <f t="shared" si="138"/>
        <v/>
      </c>
      <c r="C2301" t="str">
        <f t="shared" si="137"/>
        <v/>
      </c>
      <c r="D2301" s="245" t="str">
        <f t="shared" si="139"/>
        <v/>
      </c>
      <c r="E2301" s="534"/>
      <c r="F2301" s="534"/>
    </row>
    <row r="2302" spans="1:6" ht="15" customHeight="1">
      <c r="A2302" s="51"/>
      <c r="B2302" s="52" t="str">
        <f t="shared" si="138"/>
        <v/>
      </c>
      <c r="C2302" t="str">
        <f t="shared" si="137"/>
        <v/>
      </c>
      <c r="D2302" s="245" t="str">
        <f t="shared" si="139"/>
        <v/>
      </c>
      <c r="E2302" s="534"/>
      <c r="F2302" s="534"/>
    </row>
    <row r="2303" spans="1:6" ht="15" customHeight="1">
      <c r="A2303" s="51"/>
      <c r="B2303" s="52" t="str">
        <f t="shared" si="138"/>
        <v/>
      </c>
      <c r="C2303" t="str">
        <f t="shared" si="137"/>
        <v/>
      </c>
      <c r="D2303" s="245" t="str">
        <f t="shared" si="139"/>
        <v/>
      </c>
      <c r="E2303" s="534"/>
      <c r="F2303" s="534"/>
    </row>
    <row r="2304" spans="1:6" ht="15" customHeight="1">
      <c r="A2304" s="51"/>
      <c r="B2304" s="52" t="str">
        <f t="shared" si="138"/>
        <v/>
      </c>
      <c r="C2304" t="str">
        <f t="shared" si="137"/>
        <v/>
      </c>
      <c r="D2304" s="245" t="str">
        <f t="shared" si="139"/>
        <v/>
      </c>
      <c r="E2304" s="534"/>
      <c r="F2304" s="534"/>
    </row>
    <row r="2305" spans="1:6" ht="15" customHeight="1">
      <c r="A2305" s="51"/>
      <c r="B2305" s="52" t="str">
        <f t="shared" si="138"/>
        <v/>
      </c>
      <c r="C2305" t="str">
        <f t="shared" si="137"/>
        <v/>
      </c>
      <c r="D2305" s="245" t="str">
        <f t="shared" si="139"/>
        <v/>
      </c>
      <c r="E2305" s="534"/>
      <c r="F2305" s="534"/>
    </row>
    <row r="2306" spans="1:6" ht="15" customHeight="1">
      <c r="A2306" s="51"/>
      <c r="B2306" s="52" t="str">
        <f t="shared" si="138"/>
        <v/>
      </c>
      <c r="C2306" t="str">
        <f t="shared" ref="C2306:C2369" si="140">IF(A2306&lt;&gt;"",TEXT(A2306,"aaaa"),"")</f>
        <v/>
      </c>
      <c r="D2306" s="245" t="str">
        <f t="shared" si="139"/>
        <v/>
      </c>
      <c r="E2306" s="534"/>
      <c r="F2306" s="534"/>
    </row>
    <row r="2307" spans="1:6" ht="15" customHeight="1">
      <c r="A2307" s="51"/>
      <c r="B2307" s="52" t="str">
        <f t="shared" si="138"/>
        <v/>
      </c>
      <c r="C2307" t="str">
        <f t="shared" si="140"/>
        <v/>
      </c>
      <c r="D2307" s="245" t="str">
        <f t="shared" si="139"/>
        <v/>
      </c>
      <c r="E2307" s="534"/>
      <c r="F2307" s="534"/>
    </row>
    <row r="2308" spans="1:6" ht="15" customHeight="1">
      <c r="A2308" s="51"/>
      <c r="B2308" s="52" t="str">
        <f t="shared" si="138"/>
        <v/>
      </c>
      <c r="C2308" t="str">
        <f t="shared" si="140"/>
        <v/>
      </c>
      <c r="D2308" s="245" t="str">
        <f t="shared" si="139"/>
        <v/>
      </c>
      <c r="E2308" s="534"/>
      <c r="F2308" s="534"/>
    </row>
    <row r="2309" spans="1:6" ht="15" customHeight="1">
      <c r="A2309" s="51"/>
      <c r="B2309" s="52" t="str">
        <f t="shared" si="138"/>
        <v/>
      </c>
      <c r="C2309" t="str">
        <f t="shared" si="140"/>
        <v/>
      </c>
      <c r="D2309" s="245" t="str">
        <f t="shared" si="139"/>
        <v/>
      </c>
      <c r="E2309" s="534"/>
      <c r="F2309" s="534"/>
    </row>
    <row r="2310" spans="1:6" ht="15" customHeight="1">
      <c r="A2310" s="51"/>
      <c r="B2310" s="52" t="str">
        <f t="shared" si="138"/>
        <v/>
      </c>
      <c r="C2310" t="str">
        <f t="shared" si="140"/>
        <v/>
      </c>
      <c r="D2310" s="245" t="str">
        <f t="shared" si="139"/>
        <v/>
      </c>
      <c r="E2310" s="534"/>
      <c r="F2310" s="534"/>
    </row>
    <row r="2311" spans="1:6" ht="15" customHeight="1">
      <c r="A2311" s="51"/>
      <c r="B2311" s="52" t="str">
        <f t="shared" si="138"/>
        <v/>
      </c>
      <c r="C2311" t="str">
        <f t="shared" si="140"/>
        <v/>
      </c>
      <c r="D2311" s="245" t="str">
        <f t="shared" si="139"/>
        <v/>
      </c>
      <c r="E2311" s="534"/>
      <c r="F2311" s="534"/>
    </row>
    <row r="2312" spans="1:6" ht="15" customHeight="1">
      <c r="A2312" s="51"/>
      <c r="B2312" s="52" t="str">
        <f t="shared" ref="B2312:B2375" si="141">IF(A2312="","",TEXT(A2312,"DDDD"))</f>
        <v/>
      </c>
      <c r="C2312" t="str">
        <f t="shared" si="140"/>
        <v/>
      </c>
      <c r="D2312" s="245" t="str">
        <f t="shared" si="139"/>
        <v/>
      </c>
      <c r="E2312" s="534"/>
      <c r="F2312" s="534"/>
    </row>
    <row r="2313" spans="1:6" ht="15" customHeight="1">
      <c r="A2313" s="51"/>
      <c r="B2313" s="52" t="str">
        <f t="shared" si="141"/>
        <v/>
      </c>
      <c r="C2313" t="str">
        <f t="shared" si="140"/>
        <v/>
      </c>
      <c r="D2313" s="245" t="str">
        <f t="shared" ref="D2313:D2376" si="142">IF(A2313&lt;&gt;"",PROPER(TEXT(A2313,"Mmmm")),"")</f>
        <v/>
      </c>
      <c r="E2313" s="534"/>
      <c r="F2313" s="534"/>
    </row>
    <row r="2314" spans="1:6" ht="15" customHeight="1">
      <c r="A2314" s="51"/>
      <c r="B2314" s="52" t="str">
        <f t="shared" si="141"/>
        <v/>
      </c>
      <c r="C2314" t="str">
        <f t="shared" si="140"/>
        <v/>
      </c>
      <c r="D2314" s="245" t="str">
        <f t="shared" si="142"/>
        <v/>
      </c>
      <c r="E2314" s="534"/>
      <c r="F2314" s="534"/>
    </row>
    <row r="2315" spans="1:6" ht="15" customHeight="1">
      <c r="A2315" s="51"/>
      <c r="B2315" s="52" t="str">
        <f t="shared" si="141"/>
        <v/>
      </c>
      <c r="C2315" t="str">
        <f t="shared" si="140"/>
        <v/>
      </c>
      <c r="D2315" s="245" t="str">
        <f t="shared" si="142"/>
        <v/>
      </c>
      <c r="E2315" s="534"/>
      <c r="F2315" s="534"/>
    </row>
    <row r="2316" spans="1:6" ht="15" customHeight="1">
      <c r="A2316" s="51"/>
      <c r="B2316" s="52" t="str">
        <f t="shared" si="141"/>
        <v/>
      </c>
      <c r="C2316" t="str">
        <f t="shared" si="140"/>
        <v/>
      </c>
      <c r="D2316" s="245" t="str">
        <f t="shared" si="142"/>
        <v/>
      </c>
      <c r="E2316" s="534"/>
      <c r="F2316" s="534"/>
    </row>
    <row r="2317" spans="1:6" ht="15" customHeight="1">
      <c r="A2317" s="51"/>
      <c r="B2317" s="52" t="str">
        <f t="shared" si="141"/>
        <v/>
      </c>
      <c r="C2317" t="str">
        <f t="shared" si="140"/>
        <v/>
      </c>
      <c r="D2317" s="245" t="str">
        <f t="shared" si="142"/>
        <v/>
      </c>
      <c r="E2317" s="534"/>
      <c r="F2317" s="534"/>
    </row>
    <row r="2318" spans="1:6" ht="15" customHeight="1">
      <c r="A2318" s="51"/>
      <c r="B2318" s="52" t="str">
        <f t="shared" si="141"/>
        <v/>
      </c>
      <c r="C2318" t="str">
        <f t="shared" si="140"/>
        <v/>
      </c>
      <c r="D2318" s="245" t="str">
        <f t="shared" si="142"/>
        <v/>
      </c>
      <c r="E2318" s="534"/>
      <c r="F2318" s="534"/>
    </row>
    <row r="2319" spans="1:6" ht="15" customHeight="1">
      <c r="A2319" s="51"/>
      <c r="B2319" s="52" t="str">
        <f t="shared" si="141"/>
        <v/>
      </c>
      <c r="C2319" t="str">
        <f t="shared" si="140"/>
        <v/>
      </c>
      <c r="D2319" s="245" t="str">
        <f t="shared" si="142"/>
        <v/>
      </c>
      <c r="E2319" s="534"/>
      <c r="F2319" s="534"/>
    </row>
    <row r="2320" spans="1:6" ht="15" customHeight="1">
      <c r="A2320" s="51"/>
      <c r="B2320" s="52" t="str">
        <f t="shared" si="141"/>
        <v/>
      </c>
      <c r="C2320" t="str">
        <f t="shared" si="140"/>
        <v/>
      </c>
      <c r="D2320" s="245" t="str">
        <f t="shared" si="142"/>
        <v/>
      </c>
      <c r="E2320" s="534"/>
      <c r="F2320" s="534"/>
    </row>
    <row r="2321" spans="1:6" ht="15" customHeight="1">
      <c r="A2321" s="51"/>
      <c r="B2321" s="52" t="str">
        <f t="shared" si="141"/>
        <v/>
      </c>
      <c r="C2321" t="str">
        <f t="shared" si="140"/>
        <v/>
      </c>
      <c r="D2321" s="245" t="str">
        <f t="shared" si="142"/>
        <v/>
      </c>
      <c r="E2321" s="534"/>
      <c r="F2321" s="534"/>
    </row>
    <row r="2322" spans="1:6" ht="15" customHeight="1">
      <c r="A2322" s="51"/>
      <c r="B2322" s="52" t="str">
        <f t="shared" si="141"/>
        <v/>
      </c>
      <c r="C2322" t="str">
        <f t="shared" si="140"/>
        <v/>
      </c>
      <c r="D2322" s="245" t="str">
        <f t="shared" si="142"/>
        <v/>
      </c>
      <c r="E2322" s="534"/>
      <c r="F2322" s="534"/>
    </row>
    <row r="2323" spans="1:6" ht="15" customHeight="1">
      <c r="A2323" s="51"/>
      <c r="B2323" s="52" t="str">
        <f t="shared" si="141"/>
        <v/>
      </c>
      <c r="C2323" t="str">
        <f t="shared" si="140"/>
        <v/>
      </c>
      <c r="D2323" s="245" t="str">
        <f t="shared" si="142"/>
        <v/>
      </c>
      <c r="E2323" s="534"/>
      <c r="F2323" s="534"/>
    </row>
    <row r="2324" spans="1:6" ht="15" customHeight="1">
      <c r="A2324" s="51"/>
      <c r="B2324" s="52" t="str">
        <f t="shared" si="141"/>
        <v/>
      </c>
      <c r="C2324" t="str">
        <f t="shared" si="140"/>
        <v/>
      </c>
      <c r="D2324" s="245" t="str">
        <f t="shared" si="142"/>
        <v/>
      </c>
      <c r="E2324" s="534"/>
      <c r="F2324" s="534"/>
    </row>
    <row r="2325" spans="1:6" ht="15" customHeight="1">
      <c r="A2325" s="51"/>
      <c r="B2325" s="52" t="str">
        <f t="shared" si="141"/>
        <v/>
      </c>
      <c r="C2325" t="str">
        <f t="shared" si="140"/>
        <v/>
      </c>
      <c r="D2325" s="245" t="str">
        <f t="shared" si="142"/>
        <v/>
      </c>
      <c r="E2325" s="534"/>
      <c r="F2325" s="534"/>
    </row>
    <row r="2326" spans="1:6" ht="15" customHeight="1">
      <c r="A2326" s="51"/>
      <c r="B2326" s="52" t="str">
        <f t="shared" si="141"/>
        <v/>
      </c>
      <c r="C2326" t="str">
        <f t="shared" si="140"/>
        <v/>
      </c>
      <c r="D2326" s="245" t="str">
        <f t="shared" si="142"/>
        <v/>
      </c>
      <c r="E2326" s="534"/>
      <c r="F2326" s="534"/>
    </row>
    <row r="2327" spans="1:6" ht="15" customHeight="1">
      <c r="A2327" s="51"/>
      <c r="B2327" s="52" t="str">
        <f t="shared" si="141"/>
        <v/>
      </c>
      <c r="C2327" t="str">
        <f t="shared" si="140"/>
        <v/>
      </c>
      <c r="D2327" s="245" t="str">
        <f t="shared" si="142"/>
        <v/>
      </c>
      <c r="E2327" s="534"/>
      <c r="F2327" s="534"/>
    </row>
    <row r="2328" spans="1:6" ht="15" customHeight="1">
      <c r="A2328" s="51"/>
      <c r="B2328" s="52" t="str">
        <f t="shared" si="141"/>
        <v/>
      </c>
      <c r="C2328" t="str">
        <f t="shared" si="140"/>
        <v/>
      </c>
      <c r="D2328" s="245" t="str">
        <f t="shared" si="142"/>
        <v/>
      </c>
      <c r="E2328" s="534"/>
      <c r="F2328" s="534"/>
    </row>
    <row r="2329" spans="1:6" ht="15" customHeight="1">
      <c r="A2329" s="51"/>
      <c r="B2329" s="52" t="str">
        <f t="shared" si="141"/>
        <v/>
      </c>
      <c r="C2329" t="str">
        <f t="shared" si="140"/>
        <v/>
      </c>
      <c r="D2329" s="245" t="str">
        <f t="shared" si="142"/>
        <v/>
      </c>
      <c r="E2329" s="534"/>
      <c r="F2329" s="534"/>
    </row>
    <row r="2330" spans="1:6" ht="15" customHeight="1">
      <c r="A2330" s="51"/>
      <c r="B2330" s="52" t="str">
        <f t="shared" si="141"/>
        <v/>
      </c>
      <c r="C2330" t="str">
        <f t="shared" si="140"/>
        <v/>
      </c>
      <c r="D2330" s="245" t="str">
        <f t="shared" si="142"/>
        <v/>
      </c>
      <c r="E2330" s="534"/>
      <c r="F2330" s="534"/>
    </row>
    <row r="2331" spans="1:6" ht="15" customHeight="1">
      <c r="A2331" s="51"/>
      <c r="B2331" s="52" t="str">
        <f t="shared" si="141"/>
        <v/>
      </c>
      <c r="C2331" t="str">
        <f t="shared" si="140"/>
        <v/>
      </c>
      <c r="D2331" s="245" t="str">
        <f t="shared" si="142"/>
        <v/>
      </c>
      <c r="E2331" s="534"/>
      <c r="F2331" s="534"/>
    </row>
    <row r="2332" spans="1:6" ht="15" customHeight="1">
      <c r="A2332" s="51"/>
      <c r="B2332" s="52" t="str">
        <f t="shared" si="141"/>
        <v/>
      </c>
      <c r="C2332" t="str">
        <f t="shared" si="140"/>
        <v/>
      </c>
      <c r="D2332" s="245" t="str">
        <f t="shared" si="142"/>
        <v/>
      </c>
      <c r="E2332" s="534"/>
      <c r="F2332" s="534"/>
    </row>
    <row r="2333" spans="1:6" ht="15" customHeight="1">
      <c r="A2333" s="51"/>
      <c r="B2333" s="52" t="str">
        <f t="shared" si="141"/>
        <v/>
      </c>
      <c r="C2333" t="str">
        <f t="shared" si="140"/>
        <v/>
      </c>
      <c r="D2333" s="245" t="str">
        <f t="shared" si="142"/>
        <v/>
      </c>
      <c r="E2333" s="534"/>
      <c r="F2333" s="534"/>
    </row>
    <row r="2334" spans="1:6" ht="15" customHeight="1">
      <c r="A2334" s="51"/>
      <c r="B2334" s="52" t="str">
        <f t="shared" si="141"/>
        <v/>
      </c>
      <c r="C2334" t="str">
        <f t="shared" si="140"/>
        <v/>
      </c>
      <c r="D2334" s="245" t="str">
        <f t="shared" si="142"/>
        <v/>
      </c>
      <c r="E2334" s="534"/>
      <c r="F2334" s="534"/>
    </row>
    <row r="2335" spans="1:6" ht="15" customHeight="1">
      <c r="A2335" s="51"/>
      <c r="B2335" s="52" t="str">
        <f t="shared" si="141"/>
        <v/>
      </c>
      <c r="C2335" t="str">
        <f t="shared" si="140"/>
        <v/>
      </c>
      <c r="D2335" s="245" t="str">
        <f t="shared" si="142"/>
        <v/>
      </c>
      <c r="E2335" s="534"/>
      <c r="F2335" s="534"/>
    </row>
    <row r="2336" spans="1:6" ht="15" customHeight="1">
      <c r="A2336" s="51"/>
      <c r="B2336" s="52" t="str">
        <f t="shared" si="141"/>
        <v/>
      </c>
      <c r="C2336" t="str">
        <f t="shared" si="140"/>
        <v/>
      </c>
      <c r="D2336" s="245" t="str">
        <f t="shared" si="142"/>
        <v/>
      </c>
      <c r="E2336" s="534"/>
      <c r="F2336" s="534"/>
    </row>
    <row r="2337" spans="1:6" ht="15" customHeight="1">
      <c r="A2337" s="51"/>
      <c r="B2337" s="52" t="str">
        <f t="shared" si="141"/>
        <v/>
      </c>
      <c r="C2337" t="str">
        <f t="shared" si="140"/>
        <v/>
      </c>
      <c r="D2337" s="245" t="str">
        <f t="shared" si="142"/>
        <v/>
      </c>
      <c r="E2337" s="534"/>
      <c r="F2337" s="534"/>
    </row>
    <row r="2338" spans="1:6" ht="15" customHeight="1">
      <c r="A2338" s="51"/>
      <c r="B2338" s="52" t="str">
        <f t="shared" si="141"/>
        <v/>
      </c>
      <c r="C2338" t="str">
        <f t="shared" si="140"/>
        <v/>
      </c>
      <c r="D2338" s="245" t="str">
        <f t="shared" si="142"/>
        <v/>
      </c>
      <c r="E2338" s="534"/>
      <c r="F2338" s="534"/>
    </row>
    <row r="2339" spans="1:6" ht="15" customHeight="1">
      <c r="A2339" s="51"/>
      <c r="B2339" s="52" t="str">
        <f t="shared" si="141"/>
        <v/>
      </c>
      <c r="C2339" t="str">
        <f t="shared" si="140"/>
        <v/>
      </c>
      <c r="D2339" s="245" t="str">
        <f t="shared" si="142"/>
        <v/>
      </c>
      <c r="E2339" s="534"/>
      <c r="F2339" s="534"/>
    </row>
    <row r="2340" spans="1:6" ht="15" customHeight="1">
      <c r="A2340" s="51"/>
      <c r="B2340" s="52" t="str">
        <f t="shared" si="141"/>
        <v/>
      </c>
      <c r="C2340" t="str">
        <f t="shared" si="140"/>
        <v/>
      </c>
      <c r="D2340" s="245" t="str">
        <f t="shared" si="142"/>
        <v/>
      </c>
      <c r="E2340" s="534"/>
      <c r="F2340" s="534"/>
    </row>
    <row r="2341" spans="1:6" ht="15" customHeight="1">
      <c r="A2341" s="51"/>
      <c r="B2341" s="52" t="str">
        <f t="shared" si="141"/>
        <v/>
      </c>
      <c r="C2341" t="str">
        <f t="shared" si="140"/>
        <v/>
      </c>
      <c r="D2341" s="245" t="str">
        <f t="shared" si="142"/>
        <v/>
      </c>
      <c r="E2341" s="534"/>
      <c r="F2341" s="534"/>
    </row>
    <row r="2342" spans="1:6" ht="15" customHeight="1">
      <c r="A2342" s="51"/>
      <c r="B2342" s="52" t="str">
        <f t="shared" si="141"/>
        <v/>
      </c>
      <c r="C2342" t="str">
        <f t="shared" si="140"/>
        <v/>
      </c>
      <c r="D2342" s="245" t="str">
        <f t="shared" si="142"/>
        <v/>
      </c>
      <c r="E2342" s="534"/>
      <c r="F2342" s="534"/>
    </row>
    <row r="2343" spans="1:6" ht="15" customHeight="1">
      <c r="A2343" s="51"/>
      <c r="B2343" s="52" t="str">
        <f t="shared" si="141"/>
        <v/>
      </c>
      <c r="C2343" t="str">
        <f t="shared" si="140"/>
        <v/>
      </c>
      <c r="D2343" s="245" t="str">
        <f t="shared" si="142"/>
        <v/>
      </c>
      <c r="E2343" s="534"/>
      <c r="F2343" s="534"/>
    </row>
    <row r="2344" spans="1:6" ht="15" customHeight="1">
      <c r="A2344" s="51"/>
      <c r="B2344" s="52" t="str">
        <f t="shared" si="141"/>
        <v/>
      </c>
      <c r="C2344" t="str">
        <f t="shared" si="140"/>
        <v/>
      </c>
      <c r="D2344" s="245" t="str">
        <f t="shared" si="142"/>
        <v/>
      </c>
      <c r="E2344" s="534"/>
      <c r="F2344" s="534"/>
    </row>
    <row r="2345" spans="1:6" ht="15" customHeight="1">
      <c r="A2345" s="51"/>
      <c r="B2345" s="52" t="str">
        <f t="shared" si="141"/>
        <v/>
      </c>
      <c r="C2345" t="str">
        <f t="shared" si="140"/>
        <v/>
      </c>
      <c r="D2345" s="245" t="str">
        <f t="shared" si="142"/>
        <v/>
      </c>
      <c r="E2345" s="534"/>
      <c r="F2345" s="534"/>
    </row>
    <row r="2346" spans="1:6" ht="15" customHeight="1">
      <c r="A2346" s="51"/>
      <c r="B2346" s="52" t="str">
        <f t="shared" si="141"/>
        <v/>
      </c>
      <c r="C2346" t="str">
        <f t="shared" si="140"/>
        <v/>
      </c>
      <c r="D2346" s="245" t="str">
        <f t="shared" si="142"/>
        <v/>
      </c>
      <c r="E2346" s="534"/>
      <c r="F2346" s="534"/>
    </row>
    <row r="2347" spans="1:6" ht="15" customHeight="1">
      <c r="A2347" s="51"/>
      <c r="B2347" s="52" t="str">
        <f t="shared" si="141"/>
        <v/>
      </c>
      <c r="C2347" t="str">
        <f t="shared" si="140"/>
        <v/>
      </c>
      <c r="D2347" s="245" t="str">
        <f t="shared" si="142"/>
        <v/>
      </c>
      <c r="E2347" s="534"/>
      <c r="F2347" s="534"/>
    </row>
    <row r="2348" spans="1:6" ht="15" customHeight="1">
      <c r="A2348" s="51"/>
      <c r="B2348" s="52" t="str">
        <f t="shared" si="141"/>
        <v/>
      </c>
      <c r="C2348" t="str">
        <f t="shared" si="140"/>
        <v/>
      </c>
      <c r="D2348" s="245" t="str">
        <f t="shared" si="142"/>
        <v/>
      </c>
      <c r="E2348" s="534"/>
      <c r="F2348" s="534"/>
    </row>
    <row r="2349" spans="1:6" ht="15" customHeight="1">
      <c r="A2349" s="51"/>
      <c r="B2349" s="52" t="str">
        <f t="shared" si="141"/>
        <v/>
      </c>
      <c r="C2349" t="str">
        <f t="shared" si="140"/>
        <v/>
      </c>
      <c r="D2349" s="245" t="str">
        <f t="shared" si="142"/>
        <v/>
      </c>
      <c r="E2349" s="534"/>
      <c r="F2349" s="534"/>
    </row>
    <row r="2350" spans="1:6" ht="15" customHeight="1">
      <c r="A2350" s="51"/>
      <c r="B2350" s="52" t="str">
        <f t="shared" si="141"/>
        <v/>
      </c>
      <c r="C2350" t="str">
        <f t="shared" si="140"/>
        <v/>
      </c>
      <c r="D2350" s="245" t="str">
        <f t="shared" si="142"/>
        <v/>
      </c>
      <c r="E2350" s="534"/>
      <c r="F2350" s="534"/>
    </row>
    <row r="2351" spans="1:6" ht="15" customHeight="1">
      <c r="A2351" s="51"/>
      <c r="B2351" s="52" t="str">
        <f t="shared" si="141"/>
        <v/>
      </c>
      <c r="C2351" t="str">
        <f t="shared" si="140"/>
        <v/>
      </c>
      <c r="D2351" s="245" t="str">
        <f t="shared" si="142"/>
        <v/>
      </c>
      <c r="E2351" s="534"/>
      <c r="F2351" s="534"/>
    </row>
    <row r="2352" spans="1:6" ht="15" customHeight="1">
      <c r="A2352" s="51"/>
      <c r="B2352" s="52" t="str">
        <f t="shared" si="141"/>
        <v/>
      </c>
      <c r="C2352" t="str">
        <f t="shared" si="140"/>
        <v/>
      </c>
      <c r="D2352" s="245" t="str">
        <f t="shared" si="142"/>
        <v/>
      </c>
      <c r="E2352" s="534"/>
      <c r="F2352" s="534"/>
    </row>
    <row r="2353" spans="1:6" ht="15" customHeight="1">
      <c r="A2353" s="51"/>
      <c r="B2353" s="52" t="str">
        <f t="shared" si="141"/>
        <v/>
      </c>
      <c r="C2353" t="str">
        <f t="shared" si="140"/>
        <v/>
      </c>
      <c r="D2353" s="245" t="str">
        <f t="shared" si="142"/>
        <v/>
      </c>
      <c r="E2353" s="534"/>
      <c r="F2353" s="534"/>
    </row>
    <row r="2354" spans="1:6" ht="15" customHeight="1">
      <c r="A2354" s="51"/>
      <c r="B2354" s="52" t="str">
        <f t="shared" si="141"/>
        <v/>
      </c>
      <c r="C2354" t="str">
        <f t="shared" si="140"/>
        <v/>
      </c>
      <c r="D2354" s="245" t="str">
        <f t="shared" si="142"/>
        <v/>
      </c>
      <c r="E2354" s="534"/>
      <c r="F2354" s="534"/>
    </row>
    <row r="2355" spans="1:6" ht="15" customHeight="1">
      <c r="A2355" s="51"/>
      <c r="B2355" s="52" t="str">
        <f t="shared" si="141"/>
        <v/>
      </c>
      <c r="C2355" t="str">
        <f t="shared" si="140"/>
        <v/>
      </c>
      <c r="D2355" s="245" t="str">
        <f t="shared" si="142"/>
        <v/>
      </c>
      <c r="E2355" s="534"/>
      <c r="F2355" s="534"/>
    </row>
    <row r="2356" spans="1:6" ht="15" customHeight="1">
      <c r="A2356" s="51"/>
      <c r="B2356" s="52" t="str">
        <f t="shared" si="141"/>
        <v/>
      </c>
      <c r="C2356" t="str">
        <f t="shared" si="140"/>
        <v/>
      </c>
      <c r="D2356" s="245" t="str">
        <f t="shared" si="142"/>
        <v/>
      </c>
      <c r="E2356" s="534"/>
      <c r="F2356" s="534"/>
    </row>
    <row r="2357" spans="1:6" ht="15" customHeight="1">
      <c r="A2357" s="51"/>
      <c r="B2357" s="52" t="str">
        <f t="shared" si="141"/>
        <v/>
      </c>
      <c r="C2357" t="str">
        <f t="shared" si="140"/>
        <v/>
      </c>
      <c r="D2357" s="245" t="str">
        <f t="shared" si="142"/>
        <v/>
      </c>
      <c r="E2357" s="534"/>
      <c r="F2357" s="534"/>
    </row>
    <row r="2358" spans="1:6" ht="15" customHeight="1">
      <c r="A2358" s="51"/>
      <c r="B2358" s="52" t="str">
        <f t="shared" si="141"/>
        <v/>
      </c>
      <c r="C2358" t="str">
        <f t="shared" si="140"/>
        <v/>
      </c>
      <c r="D2358" s="245" t="str">
        <f t="shared" si="142"/>
        <v/>
      </c>
      <c r="E2358" s="534"/>
      <c r="F2358" s="534"/>
    </row>
    <row r="2359" spans="1:6" ht="15" customHeight="1">
      <c r="A2359" s="51"/>
      <c r="B2359" s="52" t="str">
        <f t="shared" si="141"/>
        <v/>
      </c>
      <c r="C2359" t="str">
        <f t="shared" si="140"/>
        <v/>
      </c>
      <c r="D2359" s="245" t="str">
        <f t="shared" si="142"/>
        <v/>
      </c>
      <c r="E2359" s="534"/>
      <c r="F2359" s="534"/>
    </row>
    <row r="2360" spans="1:6" ht="15" customHeight="1">
      <c r="A2360" s="51"/>
      <c r="B2360" s="52" t="str">
        <f t="shared" si="141"/>
        <v/>
      </c>
      <c r="C2360" t="str">
        <f t="shared" si="140"/>
        <v/>
      </c>
      <c r="D2360" s="245" t="str">
        <f t="shared" si="142"/>
        <v/>
      </c>
      <c r="E2360" s="534"/>
      <c r="F2360" s="534"/>
    </row>
    <row r="2361" spans="1:6" ht="15" customHeight="1">
      <c r="A2361" s="51"/>
      <c r="B2361" s="52" t="str">
        <f t="shared" si="141"/>
        <v/>
      </c>
      <c r="C2361" t="str">
        <f t="shared" si="140"/>
        <v/>
      </c>
      <c r="D2361" s="245" t="str">
        <f t="shared" si="142"/>
        <v/>
      </c>
      <c r="E2361" s="534"/>
      <c r="F2361" s="534"/>
    </row>
    <row r="2362" spans="1:6" ht="15" customHeight="1">
      <c r="A2362" s="51"/>
      <c r="B2362" s="52" t="str">
        <f t="shared" si="141"/>
        <v/>
      </c>
      <c r="C2362" t="str">
        <f t="shared" si="140"/>
        <v/>
      </c>
      <c r="D2362" s="245" t="str">
        <f t="shared" si="142"/>
        <v/>
      </c>
      <c r="E2362" s="534"/>
      <c r="F2362" s="534"/>
    </row>
    <row r="2363" spans="1:6" ht="15" customHeight="1">
      <c r="A2363" s="51"/>
      <c r="B2363" s="52" t="str">
        <f t="shared" si="141"/>
        <v/>
      </c>
      <c r="C2363" t="str">
        <f t="shared" si="140"/>
        <v/>
      </c>
      <c r="D2363" s="245" t="str">
        <f t="shared" si="142"/>
        <v/>
      </c>
      <c r="E2363" s="534"/>
      <c r="F2363" s="534"/>
    </row>
    <row r="2364" spans="1:6" ht="15" customHeight="1">
      <c r="A2364" s="51"/>
      <c r="B2364" s="52" t="str">
        <f t="shared" si="141"/>
        <v/>
      </c>
      <c r="C2364" t="str">
        <f t="shared" si="140"/>
        <v/>
      </c>
      <c r="D2364" s="245" t="str">
        <f t="shared" si="142"/>
        <v/>
      </c>
      <c r="E2364" s="534"/>
      <c r="F2364" s="534"/>
    </row>
    <row r="2365" spans="1:6" ht="15" customHeight="1">
      <c r="A2365" s="51"/>
      <c r="B2365" s="52" t="str">
        <f t="shared" si="141"/>
        <v/>
      </c>
      <c r="C2365" t="str">
        <f t="shared" si="140"/>
        <v/>
      </c>
      <c r="D2365" s="245" t="str">
        <f t="shared" si="142"/>
        <v/>
      </c>
      <c r="E2365" s="534"/>
      <c r="F2365" s="534"/>
    </row>
    <row r="2366" spans="1:6" ht="15" customHeight="1">
      <c r="A2366" s="51"/>
      <c r="B2366" s="52" t="str">
        <f t="shared" si="141"/>
        <v/>
      </c>
      <c r="C2366" t="str">
        <f t="shared" si="140"/>
        <v/>
      </c>
      <c r="D2366" s="245" t="str">
        <f t="shared" si="142"/>
        <v/>
      </c>
      <c r="E2366" s="534"/>
      <c r="F2366" s="534"/>
    </row>
    <row r="2367" spans="1:6" ht="15" customHeight="1">
      <c r="A2367" s="51"/>
      <c r="B2367" s="52" t="str">
        <f t="shared" si="141"/>
        <v/>
      </c>
      <c r="C2367" t="str">
        <f t="shared" si="140"/>
        <v/>
      </c>
      <c r="D2367" s="245" t="str">
        <f t="shared" si="142"/>
        <v/>
      </c>
      <c r="E2367" s="534"/>
      <c r="F2367" s="534"/>
    </row>
    <row r="2368" spans="1:6" ht="15" customHeight="1">
      <c r="A2368" s="51"/>
      <c r="B2368" s="52" t="str">
        <f t="shared" si="141"/>
        <v/>
      </c>
      <c r="C2368" t="str">
        <f t="shared" si="140"/>
        <v/>
      </c>
      <c r="D2368" s="245" t="str">
        <f t="shared" si="142"/>
        <v/>
      </c>
      <c r="E2368" s="534"/>
      <c r="F2368" s="534"/>
    </row>
    <row r="2369" spans="1:6" ht="15" customHeight="1">
      <c r="A2369" s="51"/>
      <c r="B2369" s="52" t="str">
        <f t="shared" si="141"/>
        <v/>
      </c>
      <c r="C2369" t="str">
        <f t="shared" si="140"/>
        <v/>
      </c>
      <c r="D2369" s="245" t="str">
        <f t="shared" si="142"/>
        <v/>
      </c>
      <c r="E2369" s="534"/>
      <c r="F2369" s="534"/>
    </row>
    <row r="2370" spans="1:6" ht="15" customHeight="1">
      <c r="A2370" s="51"/>
      <c r="B2370" s="52" t="str">
        <f t="shared" si="141"/>
        <v/>
      </c>
      <c r="C2370" t="str">
        <f t="shared" ref="C2370:C2433" si="143">IF(A2370&lt;&gt;"",TEXT(A2370,"aaaa"),"")</f>
        <v/>
      </c>
      <c r="D2370" s="245" t="str">
        <f t="shared" si="142"/>
        <v/>
      </c>
      <c r="E2370" s="534"/>
      <c r="F2370" s="534"/>
    </row>
    <row r="2371" spans="1:6" ht="15" customHeight="1">
      <c r="A2371" s="51"/>
      <c r="B2371" s="52" t="str">
        <f t="shared" si="141"/>
        <v/>
      </c>
      <c r="C2371" t="str">
        <f t="shared" si="143"/>
        <v/>
      </c>
      <c r="D2371" s="245" t="str">
        <f t="shared" si="142"/>
        <v/>
      </c>
      <c r="E2371" s="534"/>
      <c r="F2371" s="534"/>
    </row>
    <row r="2372" spans="1:6" ht="15" customHeight="1">
      <c r="A2372" s="51"/>
      <c r="B2372" s="52" t="str">
        <f t="shared" si="141"/>
        <v/>
      </c>
      <c r="C2372" t="str">
        <f t="shared" si="143"/>
        <v/>
      </c>
      <c r="D2372" s="245" t="str">
        <f t="shared" si="142"/>
        <v/>
      </c>
      <c r="E2372" s="534"/>
      <c r="F2372" s="534"/>
    </row>
    <row r="2373" spans="1:6" ht="15" customHeight="1">
      <c r="A2373" s="51"/>
      <c r="B2373" s="52" t="str">
        <f t="shared" si="141"/>
        <v/>
      </c>
      <c r="C2373" t="str">
        <f t="shared" si="143"/>
        <v/>
      </c>
      <c r="D2373" s="245" t="str">
        <f t="shared" si="142"/>
        <v/>
      </c>
      <c r="E2373" s="534"/>
      <c r="F2373" s="534"/>
    </row>
    <row r="2374" spans="1:6" ht="15" customHeight="1">
      <c r="A2374" s="51"/>
      <c r="B2374" s="52" t="str">
        <f t="shared" si="141"/>
        <v/>
      </c>
      <c r="C2374" t="str">
        <f t="shared" si="143"/>
        <v/>
      </c>
      <c r="D2374" s="245" t="str">
        <f t="shared" si="142"/>
        <v/>
      </c>
      <c r="E2374" s="534"/>
      <c r="F2374" s="534"/>
    </row>
    <row r="2375" spans="1:6" ht="15" customHeight="1">
      <c r="A2375" s="51"/>
      <c r="B2375" s="52" t="str">
        <f t="shared" si="141"/>
        <v/>
      </c>
      <c r="C2375" t="str">
        <f t="shared" si="143"/>
        <v/>
      </c>
      <c r="D2375" s="245" t="str">
        <f t="shared" si="142"/>
        <v/>
      </c>
      <c r="E2375" s="534"/>
      <c r="F2375" s="534"/>
    </row>
    <row r="2376" spans="1:6" ht="15" customHeight="1">
      <c r="A2376" s="51"/>
      <c r="B2376" s="52" t="str">
        <f t="shared" ref="B2376:B2439" si="144">IF(A2376="","",TEXT(A2376,"DDDD"))</f>
        <v/>
      </c>
      <c r="C2376" t="str">
        <f t="shared" si="143"/>
        <v/>
      </c>
      <c r="D2376" s="245" t="str">
        <f t="shared" si="142"/>
        <v/>
      </c>
      <c r="E2376" s="534"/>
      <c r="F2376" s="534"/>
    </row>
    <row r="2377" spans="1:6" ht="15" customHeight="1">
      <c r="A2377" s="51"/>
      <c r="B2377" s="52" t="str">
        <f t="shared" si="144"/>
        <v/>
      </c>
      <c r="C2377" t="str">
        <f t="shared" si="143"/>
        <v/>
      </c>
      <c r="D2377" s="245" t="str">
        <f t="shared" ref="D2377:D2440" si="145">IF(A2377&lt;&gt;"",PROPER(TEXT(A2377,"Mmmm")),"")</f>
        <v/>
      </c>
      <c r="E2377" s="534"/>
      <c r="F2377" s="534"/>
    </row>
    <row r="2378" spans="1:6" ht="15" customHeight="1">
      <c r="A2378" s="51"/>
      <c r="B2378" s="52" t="str">
        <f t="shared" si="144"/>
        <v/>
      </c>
      <c r="C2378" t="str">
        <f t="shared" si="143"/>
        <v/>
      </c>
      <c r="D2378" s="245" t="str">
        <f t="shared" si="145"/>
        <v/>
      </c>
      <c r="E2378" s="534"/>
      <c r="F2378" s="534"/>
    </row>
    <row r="2379" spans="1:6" ht="15" customHeight="1">
      <c r="A2379" s="51"/>
      <c r="B2379" s="52" t="str">
        <f t="shared" si="144"/>
        <v/>
      </c>
      <c r="C2379" t="str">
        <f t="shared" si="143"/>
        <v/>
      </c>
      <c r="D2379" s="245" t="str">
        <f t="shared" si="145"/>
        <v/>
      </c>
      <c r="E2379" s="534"/>
      <c r="F2379" s="534"/>
    </row>
    <row r="2380" spans="1:6" ht="15" customHeight="1">
      <c r="A2380" s="51"/>
      <c r="B2380" s="52" t="str">
        <f t="shared" si="144"/>
        <v/>
      </c>
      <c r="C2380" t="str">
        <f t="shared" si="143"/>
        <v/>
      </c>
      <c r="D2380" s="245" t="str">
        <f t="shared" si="145"/>
        <v/>
      </c>
      <c r="E2380" s="534"/>
      <c r="F2380" s="534"/>
    </row>
    <row r="2381" spans="1:6" ht="15" customHeight="1">
      <c r="A2381" s="51"/>
      <c r="B2381" s="52" t="str">
        <f t="shared" si="144"/>
        <v/>
      </c>
      <c r="C2381" t="str">
        <f t="shared" si="143"/>
        <v/>
      </c>
      <c r="D2381" s="245" t="str">
        <f t="shared" si="145"/>
        <v/>
      </c>
      <c r="E2381" s="534"/>
      <c r="F2381" s="534"/>
    </row>
    <row r="2382" spans="1:6" ht="15" customHeight="1">
      <c r="A2382" s="51"/>
      <c r="B2382" s="52" t="str">
        <f t="shared" si="144"/>
        <v/>
      </c>
      <c r="C2382" t="str">
        <f t="shared" si="143"/>
        <v/>
      </c>
      <c r="D2382" s="245" t="str">
        <f t="shared" si="145"/>
        <v/>
      </c>
      <c r="E2382" s="534"/>
      <c r="F2382" s="534"/>
    </row>
    <row r="2383" spans="1:6" ht="15" customHeight="1">
      <c r="A2383" s="51"/>
      <c r="B2383" s="52" t="str">
        <f t="shared" si="144"/>
        <v/>
      </c>
      <c r="C2383" t="str">
        <f t="shared" si="143"/>
        <v/>
      </c>
      <c r="D2383" s="245" t="str">
        <f t="shared" si="145"/>
        <v/>
      </c>
      <c r="E2383" s="534"/>
      <c r="F2383" s="534"/>
    </row>
    <row r="2384" spans="1:6" ht="15" customHeight="1">
      <c r="A2384" s="51"/>
      <c r="B2384" s="52" t="str">
        <f t="shared" si="144"/>
        <v/>
      </c>
      <c r="C2384" t="str">
        <f t="shared" si="143"/>
        <v/>
      </c>
      <c r="D2384" s="245" t="str">
        <f t="shared" si="145"/>
        <v/>
      </c>
      <c r="E2384" s="534"/>
      <c r="F2384" s="534"/>
    </row>
    <row r="2385" spans="1:6" ht="15" customHeight="1">
      <c r="A2385" s="51"/>
      <c r="B2385" s="52" t="str">
        <f t="shared" si="144"/>
        <v/>
      </c>
      <c r="C2385" t="str">
        <f t="shared" si="143"/>
        <v/>
      </c>
      <c r="D2385" s="245" t="str">
        <f t="shared" si="145"/>
        <v/>
      </c>
      <c r="E2385" s="534"/>
      <c r="F2385" s="534"/>
    </row>
    <row r="2386" spans="1:6" ht="15" customHeight="1">
      <c r="A2386" s="51"/>
      <c r="B2386" s="52" t="str">
        <f t="shared" si="144"/>
        <v/>
      </c>
      <c r="C2386" t="str">
        <f t="shared" si="143"/>
        <v/>
      </c>
      <c r="D2386" s="245" t="str">
        <f t="shared" si="145"/>
        <v/>
      </c>
      <c r="E2386" s="534"/>
      <c r="F2386" s="534"/>
    </row>
    <row r="2387" spans="1:6" ht="15" customHeight="1">
      <c r="A2387" s="51"/>
      <c r="B2387" s="52" t="str">
        <f t="shared" si="144"/>
        <v/>
      </c>
      <c r="C2387" t="str">
        <f t="shared" si="143"/>
        <v/>
      </c>
      <c r="D2387" s="245" t="str">
        <f t="shared" si="145"/>
        <v/>
      </c>
      <c r="E2387" s="534"/>
      <c r="F2387" s="534"/>
    </row>
    <row r="2388" spans="1:6" ht="15" customHeight="1">
      <c r="A2388" s="51"/>
      <c r="B2388" s="52" t="str">
        <f t="shared" si="144"/>
        <v/>
      </c>
      <c r="C2388" t="str">
        <f t="shared" si="143"/>
        <v/>
      </c>
      <c r="D2388" s="245" t="str">
        <f t="shared" si="145"/>
        <v/>
      </c>
      <c r="E2388" s="534"/>
      <c r="F2388" s="534"/>
    </row>
    <row r="2389" spans="1:6" ht="15" customHeight="1">
      <c r="A2389" s="51"/>
      <c r="B2389" s="52" t="str">
        <f t="shared" si="144"/>
        <v/>
      </c>
      <c r="C2389" t="str">
        <f t="shared" si="143"/>
        <v/>
      </c>
      <c r="D2389" s="245" t="str">
        <f t="shared" si="145"/>
        <v/>
      </c>
      <c r="E2389" s="534"/>
      <c r="F2389" s="534"/>
    </row>
    <row r="2390" spans="1:6" ht="15" customHeight="1">
      <c r="A2390" s="51"/>
      <c r="B2390" s="52" t="str">
        <f t="shared" si="144"/>
        <v/>
      </c>
      <c r="C2390" t="str">
        <f t="shared" si="143"/>
        <v/>
      </c>
      <c r="D2390" s="245" t="str">
        <f t="shared" si="145"/>
        <v/>
      </c>
      <c r="E2390" s="534"/>
      <c r="F2390" s="534"/>
    </row>
    <row r="2391" spans="1:6" ht="15" customHeight="1">
      <c r="A2391" s="51"/>
      <c r="B2391" s="52" t="str">
        <f t="shared" si="144"/>
        <v/>
      </c>
      <c r="C2391" t="str">
        <f t="shared" si="143"/>
        <v/>
      </c>
      <c r="D2391" s="245" t="str">
        <f t="shared" si="145"/>
        <v/>
      </c>
      <c r="E2391" s="534"/>
      <c r="F2391" s="534"/>
    </row>
    <row r="2392" spans="1:6" ht="15" customHeight="1">
      <c r="A2392" s="51"/>
      <c r="B2392" s="52" t="str">
        <f t="shared" si="144"/>
        <v/>
      </c>
      <c r="C2392" t="str">
        <f t="shared" si="143"/>
        <v/>
      </c>
      <c r="D2392" s="245" t="str">
        <f t="shared" si="145"/>
        <v/>
      </c>
      <c r="E2392" s="534"/>
      <c r="F2392" s="534"/>
    </row>
    <row r="2393" spans="1:6" ht="15" customHeight="1">
      <c r="A2393" s="51"/>
      <c r="B2393" s="52" t="str">
        <f t="shared" si="144"/>
        <v/>
      </c>
      <c r="C2393" t="str">
        <f t="shared" si="143"/>
        <v/>
      </c>
      <c r="D2393" s="245" t="str">
        <f t="shared" si="145"/>
        <v/>
      </c>
      <c r="E2393" s="534"/>
      <c r="F2393" s="534"/>
    </row>
    <row r="2394" spans="1:6" ht="15" customHeight="1">
      <c r="A2394" s="51"/>
      <c r="B2394" s="52" t="str">
        <f t="shared" si="144"/>
        <v/>
      </c>
      <c r="C2394" t="str">
        <f t="shared" si="143"/>
        <v/>
      </c>
      <c r="D2394" s="245" t="str">
        <f t="shared" si="145"/>
        <v/>
      </c>
      <c r="E2394" s="534"/>
      <c r="F2394" s="534"/>
    </row>
    <row r="2395" spans="1:6" ht="15" customHeight="1">
      <c r="A2395" s="51"/>
      <c r="B2395" s="52" t="str">
        <f t="shared" si="144"/>
        <v/>
      </c>
      <c r="C2395" t="str">
        <f t="shared" si="143"/>
        <v/>
      </c>
      <c r="D2395" s="245" t="str">
        <f t="shared" si="145"/>
        <v/>
      </c>
      <c r="E2395" s="534"/>
      <c r="F2395" s="534"/>
    </row>
    <row r="2396" spans="1:6" ht="15" customHeight="1">
      <c r="A2396" s="51"/>
      <c r="B2396" s="52" t="str">
        <f t="shared" si="144"/>
        <v/>
      </c>
      <c r="C2396" t="str">
        <f t="shared" si="143"/>
        <v/>
      </c>
      <c r="D2396" s="245" t="str">
        <f t="shared" si="145"/>
        <v/>
      </c>
      <c r="E2396" s="534"/>
      <c r="F2396" s="534"/>
    </row>
    <row r="2397" spans="1:6" ht="15" customHeight="1">
      <c r="A2397" s="51"/>
      <c r="B2397" s="52" t="str">
        <f t="shared" si="144"/>
        <v/>
      </c>
      <c r="C2397" t="str">
        <f t="shared" si="143"/>
        <v/>
      </c>
      <c r="D2397" s="245" t="str">
        <f t="shared" si="145"/>
        <v/>
      </c>
      <c r="E2397" s="534"/>
      <c r="F2397" s="534"/>
    </row>
    <row r="2398" spans="1:6" ht="15" customHeight="1">
      <c r="A2398" s="51"/>
      <c r="B2398" s="52" t="str">
        <f t="shared" si="144"/>
        <v/>
      </c>
      <c r="C2398" t="str">
        <f t="shared" si="143"/>
        <v/>
      </c>
      <c r="D2398" s="245" t="str">
        <f t="shared" si="145"/>
        <v/>
      </c>
      <c r="E2398" s="534"/>
      <c r="F2398" s="534"/>
    </row>
    <row r="2399" spans="1:6" ht="15" customHeight="1">
      <c r="A2399" s="51"/>
      <c r="B2399" s="52" t="str">
        <f t="shared" si="144"/>
        <v/>
      </c>
      <c r="C2399" t="str">
        <f t="shared" si="143"/>
        <v/>
      </c>
      <c r="D2399" s="245" t="str">
        <f t="shared" si="145"/>
        <v/>
      </c>
      <c r="E2399" s="534"/>
      <c r="F2399" s="534"/>
    </row>
    <row r="2400" spans="1:6" ht="15" customHeight="1">
      <c r="A2400" s="51"/>
      <c r="B2400" s="52" t="str">
        <f t="shared" si="144"/>
        <v/>
      </c>
      <c r="C2400" t="str">
        <f t="shared" si="143"/>
        <v/>
      </c>
      <c r="D2400" s="245" t="str">
        <f t="shared" si="145"/>
        <v/>
      </c>
      <c r="E2400" s="534"/>
      <c r="F2400" s="534"/>
    </row>
    <row r="2401" spans="1:6" ht="15" customHeight="1">
      <c r="A2401" s="51"/>
      <c r="B2401" s="52" t="str">
        <f t="shared" si="144"/>
        <v/>
      </c>
      <c r="C2401" t="str">
        <f t="shared" si="143"/>
        <v/>
      </c>
      <c r="D2401" s="245" t="str">
        <f t="shared" si="145"/>
        <v/>
      </c>
      <c r="E2401" s="534"/>
      <c r="F2401" s="534"/>
    </row>
    <row r="2402" spans="1:6" ht="15" customHeight="1">
      <c r="A2402" s="51"/>
      <c r="B2402" s="52" t="str">
        <f t="shared" si="144"/>
        <v/>
      </c>
      <c r="C2402" t="str">
        <f t="shared" si="143"/>
        <v/>
      </c>
      <c r="D2402" s="245" t="str">
        <f t="shared" si="145"/>
        <v/>
      </c>
      <c r="E2402" s="534"/>
      <c r="F2402" s="534"/>
    </row>
    <row r="2403" spans="1:6" ht="15" customHeight="1">
      <c r="A2403" s="51"/>
      <c r="B2403" s="52" t="str">
        <f t="shared" si="144"/>
        <v/>
      </c>
      <c r="C2403" t="str">
        <f t="shared" si="143"/>
        <v/>
      </c>
      <c r="D2403" s="245" t="str">
        <f t="shared" si="145"/>
        <v/>
      </c>
      <c r="E2403" s="534"/>
      <c r="F2403" s="534"/>
    </row>
    <row r="2404" spans="1:6" ht="15" customHeight="1">
      <c r="A2404" s="51"/>
      <c r="B2404" s="52" t="str">
        <f t="shared" si="144"/>
        <v/>
      </c>
      <c r="C2404" t="str">
        <f t="shared" si="143"/>
        <v/>
      </c>
      <c r="D2404" s="245" t="str">
        <f t="shared" si="145"/>
        <v/>
      </c>
      <c r="E2404" s="534"/>
      <c r="F2404" s="534"/>
    </row>
    <row r="2405" spans="1:6" ht="15" customHeight="1">
      <c r="A2405" s="51"/>
      <c r="B2405" s="52" t="str">
        <f t="shared" si="144"/>
        <v/>
      </c>
      <c r="C2405" t="str">
        <f t="shared" si="143"/>
        <v/>
      </c>
      <c r="D2405" s="245" t="str">
        <f t="shared" si="145"/>
        <v/>
      </c>
      <c r="E2405" s="534"/>
      <c r="F2405" s="534"/>
    </row>
    <row r="2406" spans="1:6" ht="15" customHeight="1">
      <c r="A2406" s="51"/>
      <c r="B2406" s="52" t="str">
        <f t="shared" si="144"/>
        <v/>
      </c>
      <c r="C2406" t="str">
        <f t="shared" si="143"/>
        <v/>
      </c>
      <c r="D2406" s="245" t="str">
        <f t="shared" si="145"/>
        <v/>
      </c>
      <c r="E2406" s="534"/>
      <c r="F2406" s="534"/>
    </row>
    <row r="2407" spans="1:6" ht="15" customHeight="1">
      <c r="A2407" s="51"/>
      <c r="B2407" s="52" t="str">
        <f t="shared" si="144"/>
        <v/>
      </c>
      <c r="C2407" t="str">
        <f t="shared" si="143"/>
        <v/>
      </c>
      <c r="D2407" s="245" t="str">
        <f t="shared" si="145"/>
        <v/>
      </c>
      <c r="E2407" s="534"/>
      <c r="F2407" s="534"/>
    </row>
    <row r="2408" spans="1:6" ht="15" customHeight="1">
      <c r="A2408" s="51"/>
      <c r="B2408" s="52" t="str">
        <f t="shared" si="144"/>
        <v/>
      </c>
      <c r="C2408" t="str">
        <f t="shared" si="143"/>
        <v/>
      </c>
      <c r="D2408" s="245" t="str">
        <f t="shared" si="145"/>
        <v/>
      </c>
      <c r="E2408" s="534"/>
      <c r="F2408" s="534"/>
    </row>
    <row r="2409" spans="1:6" ht="15" customHeight="1">
      <c r="A2409" s="51"/>
      <c r="B2409" s="52" t="str">
        <f t="shared" si="144"/>
        <v/>
      </c>
      <c r="C2409" t="str">
        <f t="shared" si="143"/>
        <v/>
      </c>
      <c r="D2409" s="245" t="str">
        <f t="shared" si="145"/>
        <v/>
      </c>
      <c r="E2409" s="534"/>
      <c r="F2409" s="534"/>
    </row>
    <row r="2410" spans="1:6" ht="15" customHeight="1">
      <c r="A2410" s="51"/>
      <c r="B2410" s="52" t="str">
        <f t="shared" si="144"/>
        <v/>
      </c>
      <c r="C2410" t="str">
        <f t="shared" si="143"/>
        <v/>
      </c>
      <c r="D2410" s="245" t="str">
        <f t="shared" si="145"/>
        <v/>
      </c>
      <c r="E2410" s="534"/>
      <c r="F2410" s="534"/>
    </row>
    <row r="2411" spans="1:6" ht="15" customHeight="1">
      <c r="A2411" s="51"/>
      <c r="B2411" s="52" t="str">
        <f t="shared" si="144"/>
        <v/>
      </c>
      <c r="C2411" t="str">
        <f t="shared" si="143"/>
        <v/>
      </c>
      <c r="D2411" s="245" t="str">
        <f t="shared" si="145"/>
        <v/>
      </c>
      <c r="E2411" s="534"/>
      <c r="F2411" s="534"/>
    </row>
    <row r="2412" spans="1:6" ht="15" customHeight="1">
      <c r="A2412" s="51"/>
      <c r="B2412" s="52" t="str">
        <f t="shared" si="144"/>
        <v/>
      </c>
      <c r="C2412" t="str">
        <f t="shared" si="143"/>
        <v/>
      </c>
      <c r="D2412" s="245" t="str">
        <f t="shared" si="145"/>
        <v/>
      </c>
      <c r="E2412" s="534"/>
      <c r="F2412" s="534"/>
    </row>
    <row r="2413" spans="1:6" ht="15" customHeight="1">
      <c r="A2413" s="51"/>
      <c r="B2413" s="52" t="str">
        <f t="shared" si="144"/>
        <v/>
      </c>
      <c r="C2413" t="str">
        <f t="shared" si="143"/>
        <v/>
      </c>
      <c r="D2413" s="245" t="str">
        <f t="shared" si="145"/>
        <v/>
      </c>
      <c r="E2413" s="534"/>
      <c r="F2413" s="534"/>
    </row>
    <row r="2414" spans="1:6" ht="15" customHeight="1">
      <c r="A2414" s="51"/>
      <c r="B2414" s="52" t="str">
        <f t="shared" si="144"/>
        <v/>
      </c>
      <c r="C2414" t="str">
        <f t="shared" si="143"/>
        <v/>
      </c>
      <c r="D2414" s="245" t="str">
        <f t="shared" si="145"/>
        <v/>
      </c>
      <c r="E2414" s="534"/>
      <c r="F2414" s="534"/>
    </row>
    <row r="2415" spans="1:6" ht="15" customHeight="1">
      <c r="A2415" s="51"/>
      <c r="B2415" s="52" t="str">
        <f t="shared" si="144"/>
        <v/>
      </c>
      <c r="C2415" t="str">
        <f t="shared" si="143"/>
        <v/>
      </c>
      <c r="D2415" s="245" t="str">
        <f t="shared" si="145"/>
        <v/>
      </c>
      <c r="E2415" s="534"/>
      <c r="F2415" s="534"/>
    </row>
    <row r="2416" spans="1:6" ht="15" customHeight="1">
      <c r="A2416" s="51"/>
      <c r="B2416" s="52" t="str">
        <f t="shared" si="144"/>
        <v/>
      </c>
      <c r="C2416" t="str">
        <f t="shared" si="143"/>
        <v/>
      </c>
      <c r="D2416" s="245" t="str">
        <f t="shared" si="145"/>
        <v/>
      </c>
      <c r="E2416" s="534"/>
      <c r="F2416" s="534"/>
    </row>
    <row r="2417" spans="1:6" ht="15" customHeight="1">
      <c r="A2417" s="51"/>
      <c r="B2417" s="52" t="str">
        <f t="shared" si="144"/>
        <v/>
      </c>
      <c r="C2417" t="str">
        <f t="shared" si="143"/>
        <v/>
      </c>
      <c r="D2417" s="245" t="str">
        <f t="shared" si="145"/>
        <v/>
      </c>
      <c r="E2417" s="534"/>
      <c r="F2417" s="534"/>
    </row>
    <row r="2418" spans="1:6" ht="15" customHeight="1">
      <c r="A2418" s="51"/>
      <c r="B2418" s="52" t="str">
        <f t="shared" si="144"/>
        <v/>
      </c>
      <c r="C2418" t="str">
        <f t="shared" si="143"/>
        <v/>
      </c>
      <c r="D2418" s="245" t="str">
        <f t="shared" si="145"/>
        <v/>
      </c>
      <c r="E2418" s="534"/>
      <c r="F2418" s="534"/>
    </row>
    <row r="2419" spans="1:6" ht="15" customHeight="1">
      <c r="A2419" s="51"/>
      <c r="B2419" s="52" t="str">
        <f t="shared" si="144"/>
        <v/>
      </c>
      <c r="C2419" t="str">
        <f t="shared" si="143"/>
        <v/>
      </c>
      <c r="D2419" s="245" t="str">
        <f t="shared" si="145"/>
        <v/>
      </c>
      <c r="E2419" s="534"/>
      <c r="F2419" s="534"/>
    </row>
    <row r="2420" spans="1:6" ht="15" customHeight="1">
      <c r="A2420" s="51"/>
      <c r="B2420" s="52" t="str">
        <f t="shared" si="144"/>
        <v/>
      </c>
      <c r="C2420" t="str">
        <f t="shared" si="143"/>
        <v/>
      </c>
      <c r="D2420" s="245" t="str">
        <f t="shared" si="145"/>
        <v/>
      </c>
      <c r="E2420" s="534"/>
      <c r="F2420" s="534"/>
    </row>
    <row r="2421" spans="1:6" ht="15" customHeight="1">
      <c r="A2421" s="51"/>
      <c r="B2421" s="52" t="str">
        <f t="shared" si="144"/>
        <v/>
      </c>
      <c r="C2421" t="str">
        <f t="shared" si="143"/>
        <v/>
      </c>
      <c r="D2421" s="245" t="str">
        <f t="shared" si="145"/>
        <v/>
      </c>
      <c r="E2421" s="534"/>
      <c r="F2421" s="534"/>
    </row>
    <row r="2422" spans="1:6" ht="15" customHeight="1">
      <c r="A2422" s="51"/>
      <c r="B2422" s="52" t="str">
        <f t="shared" si="144"/>
        <v/>
      </c>
      <c r="C2422" t="str">
        <f t="shared" si="143"/>
        <v/>
      </c>
      <c r="D2422" s="245" t="str">
        <f t="shared" si="145"/>
        <v/>
      </c>
      <c r="E2422" s="534"/>
      <c r="F2422" s="534"/>
    </row>
    <row r="2423" spans="1:6" ht="15" customHeight="1">
      <c r="A2423" s="51"/>
      <c r="B2423" s="52" t="str">
        <f t="shared" si="144"/>
        <v/>
      </c>
      <c r="C2423" t="str">
        <f t="shared" si="143"/>
        <v/>
      </c>
      <c r="D2423" s="245" t="str">
        <f t="shared" si="145"/>
        <v/>
      </c>
      <c r="E2423" s="534"/>
      <c r="F2423" s="534"/>
    </row>
    <row r="2424" spans="1:6" ht="15" customHeight="1">
      <c r="A2424" s="51"/>
      <c r="B2424" s="52" t="str">
        <f t="shared" si="144"/>
        <v/>
      </c>
      <c r="C2424" t="str">
        <f t="shared" si="143"/>
        <v/>
      </c>
      <c r="D2424" s="245" t="str">
        <f t="shared" si="145"/>
        <v/>
      </c>
      <c r="E2424" s="534"/>
      <c r="F2424" s="534"/>
    </row>
    <row r="2425" spans="1:6" ht="15" customHeight="1">
      <c r="A2425" s="51"/>
      <c r="B2425" s="52" t="str">
        <f t="shared" si="144"/>
        <v/>
      </c>
      <c r="C2425" t="str">
        <f t="shared" si="143"/>
        <v/>
      </c>
      <c r="D2425" s="245" t="str">
        <f t="shared" si="145"/>
        <v/>
      </c>
      <c r="E2425" s="534"/>
      <c r="F2425" s="534"/>
    </row>
    <row r="2426" spans="1:6" ht="15" customHeight="1">
      <c r="A2426" s="51"/>
      <c r="B2426" s="52" t="str">
        <f t="shared" si="144"/>
        <v/>
      </c>
      <c r="C2426" t="str">
        <f t="shared" si="143"/>
        <v/>
      </c>
      <c r="D2426" s="245" t="str">
        <f t="shared" si="145"/>
        <v/>
      </c>
      <c r="E2426" s="534"/>
      <c r="F2426" s="534"/>
    </row>
    <row r="2427" spans="1:6" ht="15" customHeight="1">
      <c r="A2427" s="51"/>
      <c r="B2427" s="52" t="str">
        <f t="shared" si="144"/>
        <v/>
      </c>
      <c r="C2427" t="str">
        <f t="shared" si="143"/>
        <v/>
      </c>
      <c r="D2427" s="245" t="str">
        <f t="shared" si="145"/>
        <v/>
      </c>
      <c r="E2427" s="534"/>
      <c r="F2427" s="534"/>
    </row>
    <row r="2428" spans="1:6" ht="15" customHeight="1">
      <c r="A2428" s="51"/>
      <c r="B2428" s="52" t="str">
        <f t="shared" si="144"/>
        <v/>
      </c>
      <c r="C2428" t="str">
        <f t="shared" si="143"/>
        <v/>
      </c>
      <c r="D2428" s="245" t="str">
        <f t="shared" si="145"/>
        <v/>
      </c>
      <c r="E2428" s="534"/>
      <c r="F2428" s="534"/>
    </row>
    <row r="2429" spans="1:6" ht="15" customHeight="1">
      <c r="A2429" s="51"/>
      <c r="B2429" s="52" t="str">
        <f t="shared" si="144"/>
        <v/>
      </c>
      <c r="C2429" t="str">
        <f t="shared" si="143"/>
        <v/>
      </c>
      <c r="D2429" s="245" t="str">
        <f t="shared" si="145"/>
        <v/>
      </c>
      <c r="E2429" s="534"/>
      <c r="F2429" s="534"/>
    </row>
    <row r="2430" spans="1:6" ht="15" customHeight="1">
      <c r="A2430" s="51"/>
      <c r="B2430" s="52" t="str">
        <f t="shared" si="144"/>
        <v/>
      </c>
      <c r="C2430" t="str">
        <f t="shared" si="143"/>
        <v/>
      </c>
      <c r="D2430" s="245" t="str">
        <f t="shared" si="145"/>
        <v/>
      </c>
      <c r="E2430" s="534"/>
      <c r="F2430" s="534"/>
    </row>
    <row r="2431" spans="1:6" ht="15" customHeight="1">
      <c r="A2431" s="51"/>
      <c r="B2431" s="52" t="str">
        <f t="shared" si="144"/>
        <v/>
      </c>
      <c r="C2431" t="str">
        <f t="shared" si="143"/>
        <v/>
      </c>
      <c r="D2431" s="245" t="str">
        <f t="shared" si="145"/>
        <v/>
      </c>
      <c r="E2431" s="534"/>
      <c r="F2431" s="534"/>
    </row>
    <row r="2432" spans="1:6" ht="15" customHeight="1">
      <c r="A2432" s="51"/>
      <c r="B2432" s="52" t="str">
        <f t="shared" si="144"/>
        <v/>
      </c>
      <c r="C2432" t="str">
        <f t="shared" si="143"/>
        <v/>
      </c>
      <c r="D2432" s="245" t="str">
        <f t="shared" si="145"/>
        <v/>
      </c>
      <c r="E2432" s="534"/>
      <c r="F2432" s="534"/>
    </row>
    <row r="2433" spans="1:6" ht="15" customHeight="1">
      <c r="A2433" s="51"/>
      <c r="B2433" s="52" t="str">
        <f t="shared" si="144"/>
        <v/>
      </c>
      <c r="C2433" t="str">
        <f t="shared" si="143"/>
        <v/>
      </c>
      <c r="D2433" s="245" t="str">
        <f t="shared" si="145"/>
        <v/>
      </c>
      <c r="E2433" s="534"/>
      <c r="F2433" s="534"/>
    </row>
    <row r="2434" spans="1:6" ht="15" customHeight="1">
      <c r="A2434" s="51"/>
      <c r="B2434" s="52" t="str">
        <f t="shared" si="144"/>
        <v/>
      </c>
      <c r="C2434" t="str">
        <f t="shared" ref="C2434:C2497" si="146">IF(A2434&lt;&gt;"",TEXT(A2434,"aaaa"),"")</f>
        <v/>
      </c>
      <c r="D2434" s="245" t="str">
        <f t="shared" si="145"/>
        <v/>
      </c>
      <c r="E2434" s="534"/>
      <c r="F2434" s="534"/>
    </row>
    <row r="2435" spans="1:6" ht="15" customHeight="1">
      <c r="A2435" s="51"/>
      <c r="B2435" s="52" t="str">
        <f t="shared" si="144"/>
        <v/>
      </c>
      <c r="C2435" t="str">
        <f t="shared" si="146"/>
        <v/>
      </c>
      <c r="D2435" s="245" t="str">
        <f t="shared" si="145"/>
        <v/>
      </c>
      <c r="E2435" s="534"/>
      <c r="F2435" s="534"/>
    </row>
    <row r="2436" spans="1:6" ht="15" customHeight="1">
      <c r="A2436" s="51"/>
      <c r="B2436" s="52" t="str">
        <f t="shared" si="144"/>
        <v/>
      </c>
      <c r="C2436" t="str">
        <f t="shared" si="146"/>
        <v/>
      </c>
      <c r="D2436" s="245" t="str">
        <f t="shared" si="145"/>
        <v/>
      </c>
      <c r="E2436" s="534"/>
      <c r="F2436" s="534"/>
    </row>
    <row r="2437" spans="1:6" ht="15" customHeight="1">
      <c r="A2437" s="51"/>
      <c r="B2437" s="52" t="str">
        <f t="shared" si="144"/>
        <v/>
      </c>
      <c r="C2437" t="str">
        <f t="shared" si="146"/>
        <v/>
      </c>
      <c r="D2437" s="245" t="str">
        <f t="shared" si="145"/>
        <v/>
      </c>
      <c r="E2437" s="534"/>
      <c r="F2437" s="534"/>
    </row>
    <row r="2438" spans="1:6" ht="15" customHeight="1">
      <c r="A2438" s="51"/>
      <c r="B2438" s="52" t="str">
        <f t="shared" si="144"/>
        <v/>
      </c>
      <c r="C2438" t="str">
        <f t="shared" si="146"/>
        <v/>
      </c>
      <c r="D2438" s="245" t="str">
        <f t="shared" si="145"/>
        <v/>
      </c>
      <c r="E2438" s="534"/>
      <c r="F2438" s="534"/>
    </row>
    <row r="2439" spans="1:6" ht="15" customHeight="1">
      <c r="A2439" s="51"/>
      <c r="B2439" s="52" t="str">
        <f t="shared" si="144"/>
        <v/>
      </c>
      <c r="C2439" t="str">
        <f t="shared" si="146"/>
        <v/>
      </c>
      <c r="D2439" s="245" t="str">
        <f t="shared" si="145"/>
        <v/>
      </c>
      <c r="E2439" s="534"/>
      <c r="F2439" s="534"/>
    </row>
    <row r="2440" spans="1:6" ht="15" customHeight="1">
      <c r="A2440" s="51"/>
      <c r="B2440" s="52" t="str">
        <f t="shared" ref="B2440:B2503" si="147">IF(A2440="","",TEXT(A2440,"DDDD"))</f>
        <v/>
      </c>
      <c r="C2440" t="str">
        <f t="shared" si="146"/>
        <v/>
      </c>
      <c r="D2440" s="245" t="str">
        <f t="shared" si="145"/>
        <v/>
      </c>
      <c r="E2440" s="534"/>
      <c r="F2440" s="534"/>
    </row>
    <row r="2441" spans="1:6" ht="15" customHeight="1">
      <c r="A2441" s="51"/>
      <c r="B2441" s="52" t="str">
        <f t="shared" si="147"/>
        <v/>
      </c>
      <c r="C2441" t="str">
        <f t="shared" si="146"/>
        <v/>
      </c>
      <c r="D2441" s="245" t="str">
        <f t="shared" ref="D2441:D2504" si="148">IF(A2441&lt;&gt;"",PROPER(TEXT(A2441,"Mmmm")),"")</f>
        <v/>
      </c>
      <c r="E2441" s="534"/>
      <c r="F2441" s="534"/>
    </row>
    <row r="2442" spans="1:6" ht="15" customHeight="1">
      <c r="A2442" s="51"/>
      <c r="B2442" s="52" t="str">
        <f t="shared" si="147"/>
        <v/>
      </c>
      <c r="C2442" t="str">
        <f t="shared" si="146"/>
        <v/>
      </c>
      <c r="D2442" s="245" t="str">
        <f t="shared" si="148"/>
        <v/>
      </c>
      <c r="E2442" s="534"/>
      <c r="F2442" s="534"/>
    </row>
    <row r="2443" spans="1:6" ht="15" customHeight="1">
      <c r="A2443" s="51"/>
      <c r="B2443" s="52" t="str">
        <f t="shared" si="147"/>
        <v/>
      </c>
      <c r="C2443" t="str">
        <f t="shared" si="146"/>
        <v/>
      </c>
      <c r="D2443" s="245" t="str">
        <f t="shared" si="148"/>
        <v/>
      </c>
      <c r="E2443" s="534"/>
      <c r="F2443" s="534"/>
    </row>
    <row r="2444" spans="1:6" ht="15" customHeight="1">
      <c r="A2444" s="51"/>
      <c r="B2444" s="52" t="str">
        <f t="shared" si="147"/>
        <v/>
      </c>
      <c r="C2444" t="str">
        <f t="shared" si="146"/>
        <v/>
      </c>
      <c r="D2444" s="245" t="str">
        <f t="shared" si="148"/>
        <v/>
      </c>
      <c r="E2444" s="534"/>
      <c r="F2444" s="534"/>
    </row>
    <row r="2445" spans="1:6" ht="15" customHeight="1">
      <c r="A2445" s="51"/>
      <c r="B2445" s="52" t="str">
        <f t="shared" si="147"/>
        <v/>
      </c>
      <c r="C2445" t="str">
        <f t="shared" si="146"/>
        <v/>
      </c>
      <c r="D2445" s="245" t="str">
        <f t="shared" si="148"/>
        <v/>
      </c>
      <c r="E2445" s="534"/>
      <c r="F2445" s="534"/>
    </row>
    <row r="2446" spans="1:6" ht="15" customHeight="1">
      <c r="A2446" s="51"/>
      <c r="B2446" s="52" t="str">
        <f t="shared" si="147"/>
        <v/>
      </c>
      <c r="C2446" t="str">
        <f t="shared" si="146"/>
        <v/>
      </c>
      <c r="D2446" s="245" t="str">
        <f t="shared" si="148"/>
        <v/>
      </c>
      <c r="E2446" s="534"/>
      <c r="F2446" s="534"/>
    </row>
    <row r="2447" spans="1:6" ht="15" customHeight="1">
      <c r="A2447" s="51"/>
      <c r="B2447" s="52" t="str">
        <f t="shared" si="147"/>
        <v/>
      </c>
      <c r="C2447" t="str">
        <f t="shared" si="146"/>
        <v/>
      </c>
      <c r="D2447" s="245" t="str">
        <f t="shared" si="148"/>
        <v/>
      </c>
      <c r="E2447" s="534"/>
      <c r="F2447" s="534"/>
    </row>
    <row r="2448" spans="1:6" ht="15" customHeight="1">
      <c r="A2448" s="51"/>
      <c r="B2448" s="52" t="str">
        <f t="shared" si="147"/>
        <v/>
      </c>
      <c r="C2448" t="str">
        <f t="shared" si="146"/>
        <v/>
      </c>
      <c r="D2448" s="245" t="str">
        <f t="shared" si="148"/>
        <v/>
      </c>
      <c r="E2448" s="534"/>
      <c r="F2448" s="534"/>
    </row>
    <row r="2449" spans="1:6" ht="15" customHeight="1">
      <c r="A2449" s="51"/>
      <c r="B2449" s="52" t="str">
        <f t="shared" si="147"/>
        <v/>
      </c>
      <c r="C2449" t="str">
        <f t="shared" si="146"/>
        <v/>
      </c>
      <c r="D2449" s="245" t="str">
        <f t="shared" si="148"/>
        <v/>
      </c>
      <c r="E2449" s="534"/>
      <c r="F2449" s="534"/>
    </row>
    <row r="2450" spans="1:6" ht="15" customHeight="1">
      <c r="A2450" s="51"/>
      <c r="B2450" s="52" t="str">
        <f t="shared" si="147"/>
        <v/>
      </c>
      <c r="C2450" t="str">
        <f t="shared" si="146"/>
        <v/>
      </c>
      <c r="D2450" s="245" t="str">
        <f t="shared" si="148"/>
        <v/>
      </c>
      <c r="E2450" s="534"/>
      <c r="F2450" s="534"/>
    </row>
    <row r="2451" spans="1:6" ht="15" customHeight="1">
      <c r="A2451" s="51"/>
      <c r="B2451" s="52" t="str">
        <f t="shared" si="147"/>
        <v/>
      </c>
      <c r="C2451" t="str">
        <f t="shared" si="146"/>
        <v/>
      </c>
      <c r="D2451" s="245" t="str">
        <f t="shared" si="148"/>
        <v/>
      </c>
      <c r="E2451" s="534"/>
      <c r="F2451" s="534"/>
    </row>
    <row r="2452" spans="1:6" ht="15" customHeight="1">
      <c r="A2452" s="51"/>
      <c r="B2452" s="52" t="str">
        <f t="shared" si="147"/>
        <v/>
      </c>
      <c r="C2452" t="str">
        <f t="shared" si="146"/>
        <v/>
      </c>
      <c r="D2452" s="245" t="str">
        <f t="shared" si="148"/>
        <v/>
      </c>
      <c r="E2452" s="534"/>
      <c r="F2452" s="534"/>
    </row>
    <row r="2453" spans="1:6" ht="15" customHeight="1">
      <c r="A2453" s="51"/>
      <c r="B2453" s="52" t="str">
        <f t="shared" si="147"/>
        <v/>
      </c>
      <c r="C2453" t="str">
        <f t="shared" si="146"/>
        <v/>
      </c>
      <c r="D2453" s="245" t="str">
        <f t="shared" si="148"/>
        <v/>
      </c>
      <c r="E2453" s="534"/>
      <c r="F2453" s="534"/>
    </row>
    <row r="2454" spans="1:6" ht="15" customHeight="1">
      <c r="A2454" s="51"/>
      <c r="B2454" s="52" t="str">
        <f t="shared" si="147"/>
        <v/>
      </c>
      <c r="C2454" t="str">
        <f t="shared" si="146"/>
        <v/>
      </c>
      <c r="D2454" s="245" t="str">
        <f t="shared" si="148"/>
        <v/>
      </c>
      <c r="E2454" s="534"/>
      <c r="F2454" s="534"/>
    </row>
    <row r="2455" spans="1:6" ht="15" customHeight="1">
      <c r="A2455" s="51"/>
      <c r="B2455" s="52" t="str">
        <f t="shared" si="147"/>
        <v/>
      </c>
      <c r="C2455" t="str">
        <f t="shared" si="146"/>
        <v/>
      </c>
      <c r="D2455" s="245" t="str">
        <f t="shared" si="148"/>
        <v/>
      </c>
      <c r="E2455" s="534"/>
      <c r="F2455" s="534"/>
    </row>
    <row r="2456" spans="1:6" ht="15" customHeight="1">
      <c r="A2456" s="51"/>
      <c r="B2456" s="52" t="str">
        <f t="shared" si="147"/>
        <v/>
      </c>
      <c r="C2456" t="str">
        <f t="shared" si="146"/>
        <v/>
      </c>
      <c r="D2456" s="245" t="str">
        <f t="shared" si="148"/>
        <v/>
      </c>
      <c r="E2456" s="534"/>
      <c r="F2456" s="534"/>
    </row>
    <row r="2457" spans="1:6" ht="15" customHeight="1">
      <c r="A2457" s="51"/>
      <c r="B2457" s="52" t="str">
        <f t="shared" si="147"/>
        <v/>
      </c>
      <c r="C2457" t="str">
        <f t="shared" si="146"/>
        <v/>
      </c>
      <c r="D2457" s="245" t="str">
        <f t="shared" si="148"/>
        <v/>
      </c>
      <c r="E2457" s="534"/>
      <c r="F2457" s="534"/>
    </row>
    <row r="2458" spans="1:6" ht="15" customHeight="1">
      <c r="A2458" s="51"/>
      <c r="B2458" s="52" t="str">
        <f t="shared" si="147"/>
        <v/>
      </c>
      <c r="C2458" t="str">
        <f t="shared" si="146"/>
        <v/>
      </c>
      <c r="D2458" s="245" t="str">
        <f t="shared" si="148"/>
        <v/>
      </c>
      <c r="E2458" s="534"/>
      <c r="F2458" s="534"/>
    </row>
    <row r="2459" spans="1:6" ht="15" customHeight="1">
      <c r="A2459" s="51"/>
      <c r="B2459" s="52" t="str">
        <f t="shared" si="147"/>
        <v/>
      </c>
      <c r="C2459" t="str">
        <f t="shared" si="146"/>
        <v/>
      </c>
      <c r="D2459" s="245" t="str">
        <f t="shared" si="148"/>
        <v/>
      </c>
      <c r="E2459" s="534"/>
      <c r="F2459" s="534"/>
    </row>
    <row r="2460" spans="1:6" ht="15" customHeight="1">
      <c r="A2460" s="51"/>
      <c r="B2460" s="52" t="str">
        <f t="shared" si="147"/>
        <v/>
      </c>
      <c r="C2460" t="str">
        <f t="shared" si="146"/>
        <v/>
      </c>
      <c r="D2460" s="245" t="str">
        <f t="shared" si="148"/>
        <v/>
      </c>
      <c r="E2460" s="534"/>
      <c r="F2460" s="534"/>
    </row>
    <row r="2461" spans="1:6" ht="15" customHeight="1">
      <c r="A2461" s="51"/>
      <c r="B2461" s="52" t="str">
        <f t="shared" si="147"/>
        <v/>
      </c>
      <c r="C2461" t="str">
        <f t="shared" si="146"/>
        <v/>
      </c>
      <c r="D2461" s="245" t="str">
        <f t="shared" si="148"/>
        <v/>
      </c>
      <c r="E2461" s="534"/>
      <c r="F2461" s="534"/>
    </row>
    <row r="2462" spans="1:6" ht="15" customHeight="1">
      <c r="A2462" s="51"/>
      <c r="B2462" s="52" t="str">
        <f t="shared" si="147"/>
        <v/>
      </c>
      <c r="C2462" t="str">
        <f t="shared" si="146"/>
        <v/>
      </c>
      <c r="D2462" s="245" t="str">
        <f t="shared" si="148"/>
        <v/>
      </c>
      <c r="E2462" s="534"/>
      <c r="F2462" s="534"/>
    </row>
    <row r="2463" spans="1:6" ht="15" customHeight="1">
      <c r="A2463" s="51"/>
      <c r="B2463" s="52" t="str">
        <f t="shared" si="147"/>
        <v/>
      </c>
      <c r="C2463" t="str">
        <f t="shared" si="146"/>
        <v/>
      </c>
      <c r="D2463" s="245" t="str">
        <f t="shared" si="148"/>
        <v/>
      </c>
      <c r="E2463" s="534"/>
      <c r="F2463" s="534"/>
    </row>
    <row r="2464" spans="1:6" ht="15" customHeight="1">
      <c r="A2464" s="51"/>
      <c r="B2464" s="52" t="str">
        <f t="shared" si="147"/>
        <v/>
      </c>
      <c r="C2464" t="str">
        <f t="shared" si="146"/>
        <v/>
      </c>
      <c r="D2464" s="245" t="str">
        <f t="shared" si="148"/>
        <v/>
      </c>
      <c r="E2464" s="534"/>
      <c r="F2464" s="534"/>
    </row>
    <row r="2465" spans="1:6" ht="15" customHeight="1">
      <c r="A2465" s="51"/>
      <c r="B2465" s="52" t="str">
        <f t="shared" si="147"/>
        <v/>
      </c>
      <c r="C2465" t="str">
        <f t="shared" si="146"/>
        <v/>
      </c>
      <c r="D2465" s="245" t="str">
        <f t="shared" si="148"/>
        <v/>
      </c>
      <c r="E2465" s="534"/>
      <c r="F2465" s="534"/>
    </row>
    <row r="2466" spans="1:6" ht="15" customHeight="1">
      <c r="A2466" s="51"/>
      <c r="B2466" s="52" t="str">
        <f t="shared" si="147"/>
        <v/>
      </c>
      <c r="C2466" t="str">
        <f t="shared" si="146"/>
        <v/>
      </c>
      <c r="D2466" s="245" t="str">
        <f t="shared" si="148"/>
        <v/>
      </c>
      <c r="E2466" s="534"/>
      <c r="F2466" s="534"/>
    </row>
    <row r="2467" spans="1:6" ht="15" customHeight="1">
      <c r="A2467" s="51"/>
      <c r="B2467" s="52" t="str">
        <f t="shared" si="147"/>
        <v/>
      </c>
      <c r="C2467" t="str">
        <f t="shared" si="146"/>
        <v/>
      </c>
      <c r="D2467" s="245" t="str">
        <f t="shared" si="148"/>
        <v/>
      </c>
      <c r="E2467" s="534"/>
      <c r="F2467" s="534"/>
    </row>
    <row r="2468" spans="1:6" ht="15" customHeight="1">
      <c r="A2468" s="51"/>
      <c r="B2468" s="52" t="str">
        <f t="shared" si="147"/>
        <v/>
      </c>
      <c r="C2468" t="str">
        <f t="shared" si="146"/>
        <v/>
      </c>
      <c r="D2468" s="245" t="str">
        <f t="shared" si="148"/>
        <v/>
      </c>
      <c r="E2468" s="534"/>
      <c r="F2468" s="534"/>
    </row>
    <row r="2469" spans="1:6" ht="15" customHeight="1">
      <c r="A2469" s="51"/>
      <c r="B2469" s="52" t="str">
        <f t="shared" si="147"/>
        <v/>
      </c>
      <c r="C2469" t="str">
        <f t="shared" si="146"/>
        <v/>
      </c>
      <c r="D2469" s="245" t="str">
        <f t="shared" si="148"/>
        <v/>
      </c>
      <c r="E2469" s="534"/>
      <c r="F2469" s="534"/>
    </row>
    <row r="2470" spans="1:6" ht="15" customHeight="1">
      <c r="A2470" s="51"/>
      <c r="B2470" s="52" t="str">
        <f t="shared" si="147"/>
        <v/>
      </c>
      <c r="C2470" t="str">
        <f t="shared" si="146"/>
        <v/>
      </c>
      <c r="D2470" s="245" t="str">
        <f t="shared" si="148"/>
        <v/>
      </c>
      <c r="E2470" s="534"/>
      <c r="F2470" s="534"/>
    </row>
    <row r="2471" spans="1:6" ht="15" customHeight="1">
      <c r="A2471" s="51"/>
      <c r="B2471" s="52" t="str">
        <f t="shared" si="147"/>
        <v/>
      </c>
      <c r="C2471" t="str">
        <f t="shared" si="146"/>
        <v/>
      </c>
      <c r="D2471" s="245" t="str">
        <f t="shared" si="148"/>
        <v/>
      </c>
      <c r="E2471" s="534"/>
      <c r="F2471" s="534"/>
    </row>
    <row r="2472" spans="1:6" ht="15" customHeight="1">
      <c r="A2472" s="51"/>
      <c r="B2472" s="52" t="str">
        <f t="shared" si="147"/>
        <v/>
      </c>
      <c r="C2472" t="str">
        <f t="shared" si="146"/>
        <v/>
      </c>
      <c r="D2472" s="245" t="str">
        <f t="shared" si="148"/>
        <v/>
      </c>
      <c r="E2472" s="534"/>
      <c r="F2472" s="534"/>
    </row>
    <row r="2473" spans="1:6" ht="15" customHeight="1">
      <c r="A2473" s="51"/>
      <c r="B2473" s="52" t="str">
        <f t="shared" si="147"/>
        <v/>
      </c>
      <c r="C2473" t="str">
        <f t="shared" si="146"/>
        <v/>
      </c>
      <c r="D2473" s="245" t="str">
        <f t="shared" si="148"/>
        <v/>
      </c>
      <c r="E2473" s="534"/>
      <c r="F2473" s="534"/>
    </row>
    <row r="2474" spans="1:6" ht="15" customHeight="1">
      <c r="A2474" s="51"/>
      <c r="B2474" s="52" t="str">
        <f t="shared" si="147"/>
        <v/>
      </c>
      <c r="C2474" t="str">
        <f t="shared" si="146"/>
        <v/>
      </c>
      <c r="D2474" s="245" t="str">
        <f t="shared" si="148"/>
        <v/>
      </c>
      <c r="E2474" s="534"/>
      <c r="F2474" s="534"/>
    </row>
    <row r="2475" spans="1:6" ht="15" customHeight="1">
      <c r="A2475" s="51"/>
      <c r="B2475" s="52" t="str">
        <f t="shared" si="147"/>
        <v/>
      </c>
      <c r="C2475" t="str">
        <f t="shared" si="146"/>
        <v/>
      </c>
      <c r="D2475" s="245" t="str">
        <f t="shared" si="148"/>
        <v/>
      </c>
      <c r="E2475" s="534"/>
      <c r="F2475" s="534"/>
    </row>
    <row r="2476" spans="1:6" ht="15" customHeight="1">
      <c r="A2476" s="51"/>
      <c r="B2476" s="52" t="str">
        <f t="shared" si="147"/>
        <v/>
      </c>
      <c r="C2476" t="str">
        <f t="shared" si="146"/>
        <v/>
      </c>
      <c r="D2476" s="245" t="str">
        <f t="shared" si="148"/>
        <v/>
      </c>
      <c r="E2476" s="534"/>
      <c r="F2476" s="534"/>
    </row>
    <row r="2477" spans="1:6" ht="15" customHeight="1">
      <c r="A2477" s="51"/>
      <c r="B2477" s="52" t="str">
        <f t="shared" si="147"/>
        <v/>
      </c>
      <c r="C2477" t="str">
        <f t="shared" si="146"/>
        <v/>
      </c>
      <c r="D2477" s="245" t="str">
        <f t="shared" si="148"/>
        <v/>
      </c>
      <c r="E2477" s="534"/>
      <c r="F2477" s="534"/>
    </row>
    <row r="2478" spans="1:6" ht="15" customHeight="1">
      <c r="A2478" s="51"/>
      <c r="B2478" s="52" t="str">
        <f t="shared" si="147"/>
        <v/>
      </c>
      <c r="C2478" t="str">
        <f t="shared" si="146"/>
        <v/>
      </c>
      <c r="D2478" s="245" t="str">
        <f t="shared" si="148"/>
        <v/>
      </c>
      <c r="E2478" s="534"/>
      <c r="F2478" s="534"/>
    </row>
    <row r="2479" spans="1:6" ht="15" customHeight="1">
      <c r="A2479" s="51"/>
      <c r="B2479" s="52" t="str">
        <f t="shared" si="147"/>
        <v/>
      </c>
      <c r="C2479" t="str">
        <f t="shared" si="146"/>
        <v/>
      </c>
      <c r="D2479" s="245" t="str">
        <f t="shared" si="148"/>
        <v/>
      </c>
      <c r="E2479" s="534"/>
      <c r="F2479" s="534"/>
    </row>
    <row r="2480" spans="1:6" ht="15" customHeight="1">
      <c r="A2480" s="51"/>
      <c r="B2480" s="52" t="str">
        <f t="shared" si="147"/>
        <v/>
      </c>
      <c r="C2480" t="str">
        <f t="shared" si="146"/>
        <v/>
      </c>
      <c r="D2480" s="245" t="str">
        <f t="shared" si="148"/>
        <v/>
      </c>
      <c r="E2480" s="534"/>
      <c r="F2480" s="534"/>
    </row>
    <row r="2481" spans="1:6" ht="15" customHeight="1">
      <c r="A2481" s="51"/>
      <c r="B2481" s="52" t="str">
        <f t="shared" si="147"/>
        <v/>
      </c>
      <c r="C2481" t="str">
        <f t="shared" si="146"/>
        <v/>
      </c>
      <c r="D2481" s="245" t="str">
        <f t="shared" si="148"/>
        <v/>
      </c>
      <c r="E2481" s="534"/>
      <c r="F2481" s="534"/>
    </row>
    <row r="2482" spans="1:6" ht="15" customHeight="1">
      <c r="A2482" s="51"/>
      <c r="B2482" s="52" t="str">
        <f t="shared" si="147"/>
        <v/>
      </c>
      <c r="C2482" t="str">
        <f t="shared" si="146"/>
        <v/>
      </c>
      <c r="D2482" s="245" t="str">
        <f t="shared" si="148"/>
        <v/>
      </c>
      <c r="E2482" s="534"/>
      <c r="F2482" s="534"/>
    </row>
    <row r="2483" spans="1:6" ht="15" customHeight="1">
      <c r="A2483" s="51"/>
      <c r="B2483" s="52" t="str">
        <f t="shared" si="147"/>
        <v/>
      </c>
      <c r="C2483" t="str">
        <f t="shared" si="146"/>
        <v/>
      </c>
      <c r="D2483" s="245" t="str">
        <f t="shared" si="148"/>
        <v/>
      </c>
      <c r="E2483" s="534"/>
      <c r="F2483" s="534"/>
    </row>
    <row r="2484" spans="1:6" ht="15" customHeight="1">
      <c r="A2484" s="51"/>
      <c r="B2484" s="52" t="str">
        <f t="shared" si="147"/>
        <v/>
      </c>
      <c r="C2484" t="str">
        <f t="shared" si="146"/>
        <v/>
      </c>
      <c r="D2484" s="245" t="str">
        <f t="shared" si="148"/>
        <v/>
      </c>
      <c r="E2484" s="534"/>
      <c r="F2484" s="534"/>
    </row>
    <row r="2485" spans="1:6" ht="15" customHeight="1">
      <c r="A2485" s="51"/>
      <c r="B2485" s="52" t="str">
        <f t="shared" si="147"/>
        <v/>
      </c>
      <c r="C2485" t="str">
        <f t="shared" si="146"/>
        <v/>
      </c>
      <c r="D2485" s="245" t="str">
        <f t="shared" si="148"/>
        <v/>
      </c>
      <c r="E2485" s="534"/>
      <c r="F2485" s="534"/>
    </row>
    <row r="2486" spans="1:6" ht="15" customHeight="1">
      <c r="A2486" s="51"/>
      <c r="B2486" s="52" t="str">
        <f t="shared" si="147"/>
        <v/>
      </c>
      <c r="C2486" t="str">
        <f t="shared" si="146"/>
        <v/>
      </c>
      <c r="D2486" s="245" t="str">
        <f t="shared" si="148"/>
        <v/>
      </c>
      <c r="E2486" s="534"/>
      <c r="F2486" s="534"/>
    </row>
    <row r="2487" spans="1:6" ht="15" customHeight="1">
      <c r="A2487" s="51"/>
      <c r="B2487" s="52" t="str">
        <f t="shared" si="147"/>
        <v/>
      </c>
      <c r="C2487" t="str">
        <f t="shared" si="146"/>
        <v/>
      </c>
      <c r="D2487" s="245" t="str">
        <f t="shared" si="148"/>
        <v/>
      </c>
      <c r="E2487" s="534"/>
      <c r="F2487" s="534"/>
    </row>
    <row r="2488" spans="1:6" ht="15" customHeight="1">
      <c r="A2488" s="51"/>
      <c r="B2488" s="52" t="str">
        <f t="shared" si="147"/>
        <v/>
      </c>
      <c r="C2488" t="str">
        <f t="shared" si="146"/>
        <v/>
      </c>
      <c r="D2488" s="245" t="str">
        <f t="shared" si="148"/>
        <v/>
      </c>
      <c r="E2488" s="534"/>
      <c r="F2488" s="534"/>
    </row>
    <row r="2489" spans="1:6" ht="15" customHeight="1">
      <c r="A2489" s="51"/>
      <c r="B2489" s="52" t="str">
        <f t="shared" si="147"/>
        <v/>
      </c>
      <c r="C2489" t="str">
        <f t="shared" si="146"/>
        <v/>
      </c>
      <c r="D2489" s="245" t="str">
        <f t="shared" si="148"/>
        <v/>
      </c>
      <c r="E2489" s="534"/>
      <c r="F2489" s="534"/>
    </row>
    <row r="2490" spans="1:6" ht="15" customHeight="1">
      <c r="A2490" s="51"/>
      <c r="B2490" s="52" t="str">
        <f t="shared" si="147"/>
        <v/>
      </c>
      <c r="C2490" t="str">
        <f t="shared" si="146"/>
        <v/>
      </c>
      <c r="D2490" s="245" t="str">
        <f t="shared" si="148"/>
        <v/>
      </c>
      <c r="E2490" s="534"/>
      <c r="F2490" s="534"/>
    </row>
    <row r="2491" spans="1:6" ht="15" customHeight="1">
      <c r="A2491" s="51"/>
      <c r="B2491" s="52" t="str">
        <f t="shared" si="147"/>
        <v/>
      </c>
      <c r="C2491" t="str">
        <f t="shared" si="146"/>
        <v/>
      </c>
      <c r="D2491" s="245" t="str">
        <f t="shared" si="148"/>
        <v/>
      </c>
      <c r="E2491" s="534"/>
      <c r="F2491" s="534"/>
    </row>
    <row r="2492" spans="1:6" ht="15" customHeight="1">
      <c r="A2492" s="51"/>
      <c r="B2492" s="52" t="str">
        <f t="shared" si="147"/>
        <v/>
      </c>
      <c r="C2492" t="str">
        <f t="shared" si="146"/>
        <v/>
      </c>
      <c r="D2492" s="245" t="str">
        <f t="shared" si="148"/>
        <v/>
      </c>
      <c r="E2492" s="534"/>
      <c r="F2492" s="534"/>
    </row>
    <row r="2493" spans="1:6" ht="15" customHeight="1">
      <c r="A2493" s="51"/>
      <c r="B2493" s="52" t="str">
        <f t="shared" si="147"/>
        <v/>
      </c>
      <c r="C2493" t="str">
        <f t="shared" si="146"/>
        <v/>
      </c>
      <c r="D2493" s="245" t="str">
        <f t="shared" si="148"/>
        <v/>
      </c>
      <c r="E2493" s="534"/>
      <c r="F2493" s="534"/>
    </row>
    <row r="2494" spans="1:6" ht="15" customHeight="1">
      <c r="A2494" s="51"/>
      <c r="B2494" s="52" t="str">
        <f t="shared" si="147"/>
        <v/>
      </c>
      <c r="C2494" t="str">
        <f t="shared" si="146"/>
        <v/>
      </c>
      <c r="D2494" s="245" t="str">
        <f t="shared" si="148"/>
        <v/>
      </c>
      <c r="E2494" s="534"/>
      <c r="F2494" s="534"/>
    </row>
    <row r="2495" spans="1:6" ht="15" customHeight="1">
      <c r="A2495" s="51"/>
      <c r="B2495" s="52" t="str">
        <f t="shared" si="147"/>
        <v/>
      </c>
      <c r="C2495" t="str">
        <f t="shared" si="146"/>
        <v/>
      </c>
      <c r="D2495" s="245" t="str">
        <f t="shared" si="148"/>
        <v/>
      </c>
      <c r="E2495" s="534"/>
      <c r="F2495" s="534"/>
    </row>
    <row r="2496" spans="1:6" ht="15" customHeight="1">
      <c r="A2496" s="51"/>
      <c r="B2496" s="52" t="str">
        <f t="shared" si="147"/>
        <v/>
      </c>
      <c r="C2496" t="str">
        <f t="shared" si="146"/>
        <v/>
      </c>
      <c r="D2496" s="245" t="str">
        <f t="shared" si="148"/>
        <v/>
      </c>
      <c r="E2496" s="534"/>
      <c r="F2496" s="534"/>
    </row>
    <row r="2497" spans="1:6" ht="15" customHeight="1">
      <c r="A2497" s="51"/>
      <c r="B2497" s="52" t="str">
        <f t="shared" si="147"/>
        <v/>
      </c>
      <c r="C2497" t="str">
        <f t="shared" si="146"/>
        <v/>
      </c>
      <c r="D2497" s="245" t="str">
        <f t="shared" si="148"/>
        <v/>
      </c>
      <c r="E2497" s="534"/>
      <c r="F2497" s="534"/>
    </row>
    <row r="2498" spans="1:6" ht="15" customHeight="1">
      <c r="A2498" s="51"/>
      <c r="B2498" s="52" t="str">
        <f t="shared" si="147"/>
        <v/>
      </c>
      <c r="C2498" t="str">
        <f t="shared" ref="C2498:C2561" si="149">IF(A2498&lt;&gt;"",TEXT(A2498,"aaaa"),"")</f>
        <v/>
      </c>
      <c r="D2498" s="245" t="str">
        <f t="shared" si="148"/>
        <v/>
      </c>
      <c r="E2498" s="534"/>
      <c r="F2498" s="534"/>
    </row>
    <row r="2499" spans="1:6" ht="15" customHeight="1">
      <c r="A2499" s="51"/>
      <c r="B2499" s="52" t="str">
        <f t="shared" si="147"/>
        <v/>
      </c>
      <c r="C2499" t="str">
        <f t="shared" si="149"/>
        <v/>
      </c>
      <c r="D2499" s="245" t="str">
        <f t="shared" si="148"/>
        <v/>
      </c>
      <c r="E2499" s="534"/>
      <c r="F2499" s="534"/>
    </row>
    <row r="2500" spans="1:6" ht="15" customHeight="1">
      <c r="A2500" s="51"/>
      <c r="B2500" s="52" t="str">
        <f t="shared" si="147"/>
        <v/>
      </c>
      <c r="C2500" t="str">
        <f t="shared" si="149"/>
        <v/>
      </c>
      <c r="D2500" s="245" t="str">
        <f t="shared" si="148"/>
        <v/>
      </c>
      <c r="E2500" s="534"/>
      <c r="F2500" s="534"/>
    </row>
    <row r="2501" spans="1:6" ht="15" customHeight="1">
      <c r="A2501" s="51"/>
      <c r="B2501" s="52" t="str">
        <f t="shared" si="147"/>
        <v/>
      </c>
      <c r="C2501" t="str">
        <f t="shared" si="149"/>
        <v/>
      </c>
      <c r="D2501" s="245" t="str">
        <f t="shared" si="148"/>
        <v/>
      </c>
      <c r="E2501" s="534"/>
      <c r="F2501" s="534"/>
    </row>
    <row r="2502" spans="1:6" ht="15" customHeight="1">
      <c r="A2502" s="51"/>
      <c r="B2502" s="52" t="str">
        <f t="shared" si="147"/>
        <v/>
      </c>
      <c r="C2502" t="str">
        <f t="shared" si="149"/>
        <v/>
      </c>
      <c r="D2502" s="245" t="str">
        <f t="shared" si="148"/>
        <v/>
      </c>
      <c r="E2502" s="534"/>
      <c r="F2502" s="534"/>
    </row>
    <row r="2503" spans="1:6" ht="15" customHeight="1">
      <c r="A2503" s="51"/>
      <c r="B2503" s="52" t="str">
        <f t="shared" si="147"/>
        <v/>
      </c>
      <c r="C2503" t="str">
        <f t="shared" si="149"/>
        <v/>
      </c>
      <c r="D2503" s="245" t="str">
        <f t="shared" si="148"/>
        <v/>
      </c>
      <c r="E2503" s="534"/>
      <c r="F2503" s="534"/>
    </row>
    <row r="2504" spans="1:6" ht="15" customHeight="1">
      <c r="A2504" s="51"/>
      <c r="B2504" s="52" t="str">
        <f t="shared" ref="B2504:B2567" si="150">IF(A2504="","",TEXT(A2504,"DDDD"))</f>
        <v/>
      </c>
      <c r="C2504" t="str">
        <f t="shared" si="149"/>
        <v/>
      </c>
      <c r="D2504" s="245" t="str">
        <f t="shared" si="148"/>
        <v/>
      </c>
      <c r="E2504" s="534"/>
      <c r="F2504" s="534"/>
    </row>
    <row r="2505" spans="1:6" ht="15" customHeight="1">
      <c r="A2505" s="51"/>
      <c r="B2505" s="52" t="str">
        <f t="shared" si="150"/>
        <v/>
      </c>
      <c r="C2505" t="str">
        <f t="shared" si="149"/>
        <v/>
      </c>
      <c r="D2505" s="245" t="str">
        <f t="shared" ref="D2505:D2568" si="151">IF(A2505&lt;&gt;"",PROPER(TEXT(A2505,"Mmmm")),"")</f>
        <v/>
      </c>
      <c r="E2505" s="534"/>
      <c r="F2505" s="534"/>
    </row>
    <row r="2506" spans="1:6" ht="15" customHeight="1">
      <c r="A2506" s="51"/>
      <c r="B2506" s="52" t="str">
        <f t="shared" si="150"/>
        <v/>
      </c>
      <c r="C2506" t="str">
        <f t="shared" si="149"/>
        <v/>
      </c>
      <c r="D2506" s="245" t="str">
        <f t="shared" si="151"/>
        <v/>
      </c>
      <c r="E2506" s="534"/>
      <c r="F2506" s="534"/>
    </row>
    <row r="2507" spans="1:6" ht="15" customHeight="1">
      <c r="A2507" s="51"/>
      <c r="B2507" s="52" t="str">
        <f t="shared" si="150"/>
        <v/>
      </c>
      <c r="C2507" t="str">
        <f t="shared" si="149"/>
        <v/>
      </c>
      <c r="D2507" s="245" t="str">
        <f t="shared" si="151"/>
        <v/>
      </c>
      <c r="E2507" s="534"/>
      <c r="F2507" s="534"/>
    </row>
    <row r="2508" spans="1:6" ht="15" customHeight="1">
      <c r="A2508" s="51"/>
      <c r="B2508" s="52" t="str">
        <f t="shared" si="150"/>
        <v/>
      </c>
      <c r="C2508" t="str">
        <f t="shared" si="149"/>
        <v/>
      </c>
      <c r="D2508" s="245" t="str">
        <f t="shared" si="151"/>
        <v/>
      </c>
      <c r="E2508" s="534"/>
      <c r="F2508" s="534"/>
    </row>
    <row r="2509" spans="1:6" ht="15" customHeight="1">
      <c r="A2509" s="51"/>
      <c r="B2509" s="52" t="str">
        <f t="shared" si="150"/>
        <v/>
      </c>
      <c r="C2509" t="str">
        <f t="shared" si="149"/>
        <v/>
      </c>
      <c r="D2509" s="245" t="str">
        <f t="shared" si="151"/>
        <v/>
      </c>
      <c r="E2509" s="534"/>
      <c r="F2509" s="534"/>
    </row>
    <row r="2510" spans="1:6" ht="15" customHeight="1">
      <c r="A2510" s="51"/>
      <c r="B2510" s="52" t="str">
        <f t="shared" si="150"/>
        <v/>
      </c>
      <c r="C2510" t="str">
        <f t="shared" si="149"/>
        <v/>
      </c>
      <c r="D2510" s="245" t="str">
        <f t="shared" si="151"/>
        <v/>
      </c>
      <c r="E2510" s="534"/>
      <c r="F2510" s="534"/>
    </row>
    <row r="2511" spans="1:6" ht="15" customHeight="1">
      <c r="A2511" s="51"/>
      <c r="B2511" s="52" t="str">
        <f t="shared" si="150"/>
        <v/>
      </c>
      <c r="C2511" t="str">
        <f t="shared" si="149"/>
        <v/>
      </c>
      <c r="D2511" s="245" t="str">
        <f t="shared" si="151"/>
        <v/>
      </c>
      <c r="E2511" s="534"/>
      <c r="F2511" s="534"/>
    </row>
    <row r="2512" spans="1:6" ht="15" customHeight="1">
      <c r="A2512" s="51"/>
      <c r="B2512" s="52" t="str">
        <f t="shared" si="150"/>
        <v/>
      </c>
      <c r="C2512" t="str">
        <f t="shared" si="149"/>
        <v/>
      </c>
      <c r="D2512" s="245" t="str">
        <f t="shared" si="151"/>
        <v/>
      </c>
      <c r="E2512" s="534"/>
      <c r="F2512" s="534"/>
    </row>
    <row r="2513" spans="1:6" ht="15" customHeight="1">
      <c r="A2513" s="51"/>
      <c r="B2513" s="52" t="str">
        <f t="shared" si="150"/>
        <v/>
      </c>
      <c r="C2513" t="str">
        <f t="shared" si="149"/>
        <v/>
      </c>
      <c r="D2513" s="245" t="str">
        <f t="shared" si="151"/>
        <v/>
      </c>
      <c r="E2513" s="534"/>
      <c r="F2513" s="534"/>
    </row>
    <row r="2514" spans="1:6" ht="15" customHeight="1">
      <c r="A2514" s="51"/>
      <c r="B2514" s="52" t="str">
        <f t="shared" si="150"/>
        <v/>
      </c>
      <c r="C2514" t="str">
        <f t="shared" si="149"/>
        <v/>
      </c>
      <c r="D2514" s="245" t="str">
        <f t="shared" si="151"/>
        <v/>
      </c>
      <c r="E2514" s="534"/>
      <c r="F2514" s="534"/>
    </row>
    <row r="2515" spans="1:6" ht="15" customHeight="1">
      <c r="A2515" s="51"/>
      <c r="B2515" s="52" t="str">
        <f t="shared" si="150"/>
        <v/>
      </c>
      <c r="C2515" t="str">
        <f t="shared" si="149"/>
        <v/>
      </c>
      <c r="D2515" s="245" t="str">
        <f t="shared" si="151"/>
        <v/>
      </c>
      <c r="E2515" s="534"/>
      <c r="F2515" s="534"/>
    </row>
    <row r="2516" spans="1:6" ht="15" customHeight="1">
      <c r="A2516" s="51"/>
      <c r="B2516" s="52" t="str">
        <f t="shared" si="150"/>
        <v/>
      </c>
      <c r="C2516" t="str">
        <f t="shared" si="149"/>
        <v/>
      </c>
      <c r="D2516" s="245" t="str">
        <f t="shared" si="151"/>
        <v/>
      </c>
      <c r="E2516" s="534"/>
      <c r="F2516" s="534"/>
    </row>
    <row r="2517" spans="1:6" ht="15" customHeight="1">
      <c r="A2517" s="51"/>
      <c r="B2517" s="52" t="str">
        <f t="shared" si="150"/>
        <v/>
      </c>
      <c r="C2517" t="str">
        <f t="shared" si="149"/>
        <v/>
      </c>
      <c r="D2517" s="245" t="str">
        <f t="shared" si="151"/>
        <v/>
      </c>
      <c r="E2517" s="534"/>
      <c r="F2517" s="534"/>
    </row>
    <row r="2518" spans="1:6" ht="15" customHeight="1">
      <c r="A2518" s="51"/>
      <c r="B2518" s="52" t="str">
        <f t="shared" si="150"/>
        <v/>
      </c>
      <c r="C2518" t="str">
        <f t="shared" si="149"/>
        <v/>
      </c>
      <c r="D2518" s="245" t="str">
        <f t="shared" si="151"/>
        <v/>
      </c>
      <c r="E2518" s="534"/>
      <c r="F2518" s="534"/>
    </row>
    <row r="2519" spans="1:6" ht="15" customHeight="1">
      <c r="A2519" s="51"/>
      <c r="B2519" s="52" t="str">
        <f t="shared" si="150"/>
        <v/>
      </c>
      <c r="C2519" t="str">
        <f t="shared" si="149"/>
        <v/>
      </c>
      <c r="D2519" s="245" t="str">
        <f t="shared" si="151"/>
        <v/>
      </c>
      <c r="E2519" s="534"/>
      <c r="F2519" s="534"/>
    </row>
    <row r="2520" spans="1:6" ht="15" customHeight="1">
      <c r="A2520" s="51"/>
      <c r="B2520" s="52" t="str">
        <f t="shared" si="150"/>
        <v/>
      </c>
      <c r="C2520" t="str">
        <f t="shared" si="149"/>
        <v/>
      </c>
      <c r="D2520" s="245" t="str">
        <f t="shared" si="151"/>
        <v/>
      </c>
      <c r="E2520" s="534"/>
      <c r="F2520" s="534"/>
    </row>
    <row r="2521" spans="1:6" ht="15" customHeight="1">
      <c r="A2521" s="51"/>
      <c r="B2521" s="52" t="str">
        <f t="shared" si="150"/>
        <v/>
      </c>
      <c r="C2521" t="str">
        <f t="shared" si="149"/>
        <v/>
      </c>
      <c r="D2521" s="245" t="str">
        <f t="shared" si="151"/>
        <v/>
      </c>
      <c r="E2521" s="534"/>
      <c r="F2521" s="534"/>
    </row>
    <row r="2522" spans="1:6" ht="15" customHeight="1">
      <c r="A2522" s="51"/>
      <c r="B2522" s="52" t="str">
        <f t="shared" si="150"/>
        <v/>
      </c>
      <c r="C2522" t="str">
        <f t="shared" si="149"/>
        <v/>
      </c>
      <c r="D2522" s="245" t="str">
        <f t="shared" si="151"/>
        <v/>
      </c>
      <c r="E2522" s="534"/>
      <c r="F2522" s="534"/>
    </row>
    <row r="2523" spans="1:6" ht="15" customHeight="1">
      <c r="A2523" s="51"/>
      <c r="B2523" s="52" t="str">
        <f t="shared" si="150"/>
        <v/>
      </c>
      <c r="C2523" t="str">
        <f t="shared" si="149"/>
        <v/>
      </c>
      <c r="D2523" s="245" t="str">
        <f t="shared" si="151"/>
        <v/>
      </c>
      <c r="E2523" s="534"/>
      <c r="F2523" s="534"/>
    </row>
    <row r="2524" spans="1:6" ht="15" customHeight="1">
      <c r="A2524" s="51"/>
      <c r="B2524" s="52" t="str">
        <f t="shared" si="150"/>
        <v/>
      </c>
      <c r="C2524" t="str">
        <f t="shared" si="149"/>
        <v/>
      </c>
      <c r="D2524" s="245" t="str">
        <f t="shared" si="151"/>
        <v/>
      </c>
      <c r="E2524" s="534"/>
      <c r="F2524" s="534"/>
    </row>
    <row r="2525" spans="1:6" ht="15" customHeight="1">
      <c r="A2525" s="51"/>
      <c r="B2525" s="52" t="str">
        <f t="shared" si="150"/>
        <v/>
      </c>
      <c r="C2525" t="str">
        <f t="shared" si="149"/>
        <v/>
      </c>
      <c r="D2525" s="245" t="str">
        <f t="shared" si="151"/>
        <v/>
      </c>
      <c r="E2525" s="534"/>
      <c r="F2525" s="534"/>
    </row>
    <row r="2526" spans="1:6" ht="15" customHeight="1">
      <c r="A2526" s="51"/>
      <c r="B2526" s="52" t="str">
        <f t="shared" si="150"/>
        <v/>
      </c>
      <c r="C2526" t="str">
        <f t="shared" si="149"/>
        <v/>
      </c>
      <c r="D2526" s="245" t="str">
        <f t="shared" si="151"/>
        <v/>
      </c>
      <c r="E2526" s="534"/>
      <c r="F2526" s="534"/>
    </row>
    <row r="2527" spans="1:6" ht="15" customHeight="1">
      <c r="A2527" s="51"/>
      <c r="B2527" s="52" t="str">
        <f t="shared" si="150"/>
        <v/>
      </c>
      <c r="C2527" t="str">
        <f t="shared" si="149"/>
        <v/>
      </c>
      <c r="D2527" s="245" t="str">
        <f t="shared" si="151"/>
        <v/>
      </c>
      <c r="E2527" s="534"/>
      <c r="F2527" s="534"/>
    </row>
    <row r="2528" spans="1:6" ht="15" customHeight="1">
      <c r="A2528" s="51"/>
      <c r="B2528" s="52" t="str">
        <f t="shared" si="150"/>
        <v/>
      </c>
      <c r="C2528" t="str">
        <f t="shared" si="149"/>
        <v/>
      </c>
      <c r="D2528" s="245" t="str">
        <f t="shared" si="151"/>
        <v/>
      </c>
      <c r="E2528" s="534"/>
      <c r="F2528" s="534"/>
    </row>
    <row r="2529" spans="1:6" ht="15" customHeight="1">
      <c r="A2529" s="51"/>
      <c r="B2529" s="52" t="str">
        <f t="shared" si="150"/>
        <v/>
      </c>
      <c r="C2529" t="str">
        <f t="shared" si="149"/>
        <v/>
      </c>
      <c r="D2529" s="245" t="str">
        <f t="shared" si="151"/>
        <v/>
      </c>
      <c r="E2529" s="534"/>
      <c r="F2529" s="534"/>
    </row>
    <row r="2530" spans="1:6" ht="15" customHeight="1">
      <c r="A2530" s="51"/>
      <c r="B2530" s="52" t="str">
        <f t="shared" si="150"/>
        <v/>
      </c>
      <c r="C2530" t="str">
        <f t="shared" si="149"/>
        <v/>
      </c>
      <c r="D2530" s="245" t="str">
        <f t="shared" si="151"/>
        <v/>
      </c>
      <c r="E2530" s="534"/>
      <c r="F2530" s="534"/>
    </row>
    <row r="2531" spans="1:6" ht="15" customHeight="1">
      <c r="A2531" s="51"/>
      <c r="B2531" s="52" t="str">
        <f t="shared" si="150"/>
        <v/>
      </c>
      <c r="C2531" t="str">
        <f t="shared" si="149"/>
        <v/>
      </c>
      <c r="D2531" s="245" t="str">
        <f t="shared" si="151"/>
        <v/>
      </c>
      <c r="E2531" s="534"/>
      <c r="F2531" s="534"/>
    </row>
    <row r="2532" spans="1:6" ht="15" customHeight="1">
      <c r="A2532" s="51"/>
      <c r="B2532" s="52" t="str">
        <f t="shared" si="150"/>
        <v/>
      </c>
      <c r="C2532" t="str">
        <f t="shared" si="149"/>
        <v/>
      </c>
      <c r="D2532" s="245" t="str">
        <f t="shared" si="151"/>
        <v/>
      </c>
      <c r="E2532" s="534"/>
      <c r="F2532" s="534"/>
    </row>
    <row r="2533" spans="1:6" ht="15" customHeight="1">
      <c r="A2533" s="51"/>
      <c r="B2533" s="52" t="str">
        <f t="shared" si="150"/>
        <v/>
      </c>
      <c r="C2533" t="str">
        <f t="shared" si="149"/>
        <v/>
      </c>
      <c r="D2533" s="245" t="str">
        <f t="shared" si="151"/>
        <v/>
      </c>
      <c r="E2533" s="534"/>
      <c r="F2533" s="534"/>
    </row>
    <row r="2534" spans="1:6" ht="15" customHeight="1">
      <c r="A2534" s="51"/>
      <c r="B2534" s="52" t="str">
        <f t="shared" si="150"/>
        <v/>
      </c>
      <c r="C2534" t="str">
        <f t="shared" si="149"/>
        <v/>
      </c>
      <c r="D2534" s="245" t="str">
        <f t="shared" si="151"/>
        <v/>
      </c>
      <c r="E2534" s="534"/>
      <c r="F2534" s="534"/>
    </row>
    <row r="2535" spans="1:6" ht="15" customHeight="1">
      <c r="A2535" s="51"/>
      <c r="B2535" s="52" t="str">
        <f t="shared" si="150"/>
        <v/>
      </c>
      <c r="C2535" t="str">
        <f t="shared" si="149"/>
        <v/>
      </c>
      <c r="D2535" s="245" t="str">
        <f t="shared" si="151"/>
        <v/>
      </c>
      <c r="E2535" s="534"/>
      <c r="F2535" s="534"/>
    </row>
    <row r="2536" spans="1:6" ht="15" customHeight="1">
      <c r="A2536" s="51"/>
      <c r="B2536" s="52" t="str">
        <f t="shared" si="150"/>
        <v/>
      </c>
      <c r="C2536" t="str">
        <f t="shared" si="149"/>
        <v/>
      </c>
      <c r="D2536" s="245" t="str">
        <f t="shared" si="151"/>
        <v/>
      </c>
      <c r="E2536" s="534"/>
      <c r="F2536" s="534"/>
    </row>
    <row r="2537" spans="1:6" ht="15" customHeight="1">
      <c r="A2537" s="51"/>
      <c r="B2537" s="52" t="str">
        <f t="shared" si="150"/>
        <v/>
      </c>
      <c r="C2537" t="str">
        <f t="shared" si="149"/>
        <v/>
      </c>
      <c r="D2537" s="245" t="str">
        <f t="shared" si="151"/>
        <v/>
      </c>
      <c r="E2537" s="534"/>
      <c r="F2537" s="534"/>
    </row>
    <row r="2538" spans="1:6" ht="15" customHeight="1">
      <c r="A2538" s="51"/>
      <c r="B2538" s="52" t="str">
        <f t="shared" si="150"/>
        <v/>
      </c>
      <c r="C2538" t="str">
        <f t="shared" si="149"/>
        <v/>
      </c>
      <c r="D2538" s="245" t="str">
        <f t="shared" si="151"/>
        <v/>
      </c>
      <c r="E2538" s="534"/>
      <c r="F2538" s="534"/>
    </row>
    <row r="2539" spans="1:6" ht="15" customHeight="1">
      <c r="A2539" s="51"/>
      <c r="B2539" s="52" t="str">
        <f t="shared" si="150"/>
        <v/>
      </c>
      <c r="C2539" t="str">
        <f t="shared" si="149"/>
        <v/>
      </c>
      <c r="D2539" s="245" t="str">
        <f t="shared" si="151"/>
        <v/>
      </c>
      <c r="E2539" s="534"/>
      <c r="F2539" s="534"/>
    </row>
    <row r="2540" spans="1:6" ht="15" customHeight="1">
      <c r="A2540" s="51"/>
      <c r="B2540" s="52" t="str">
        <f t="shared" si="150"/>
        <v/>
      </c>
      <c r="C2540" t="str">
        <f t="shared" si="149"/>
        <v/>
      </c>
      <c r="D2540" s="245" t="str">
        <f t="shared" si="151"/>
        <v/>
      </c>
      <c r="E2540" s="534"/>
      <c r="F2540" s="534"/>
    </row>
    <row r="2541" spans="1:6" ht="15" customHeight="1">
      <c r="A2541" s="51"/>
      <c r="B2541" s="52" t="str">
        <f t="shared" si="150"/>
        <v/>
      </c>
      <c r="C2541" t="str">
        <f t="shared" si="149"/>
        <v/>
      </c>
      <c r="D2541" s="245" t="str">
        <f t="shared" si="151"/>
        <v/>
      </c>
      <c r="E2541" s="534"/>
      <c r="F2541" s="534"/>
    </row>
    <row r="2542" spans="1:6" ht="15" customHeight="1">
      <c r="A2542" s="51"/>
      <c r="B2542" s="52" t="str">
        <f t="shared" si="150"/>
        <v/>
      </c>
      <c r="C2542" t="str">
        <f t="shared" si="149"/>
        <v/>
      </c>
      <c r="D2542" s="245" t="str">
        <f t="shared" si="151"/>
        <v/>
      </c>
      <c r="E2542" s="534"/>
      <c r="F2542" s="534"/>
    </row>
    <row r="2543" spans="1:6" ht="15" customHeight="1">
      <c r="A2543" s="51"/>
      <c r="B2543" s="52" t="str">
        <f t="shared" si="150"/>
        <v/>
      </c>
      <c r="C2543" t="str">
        <f t="shared" si="149"/>
        <v/>
      </c>
      <c r="D2543" s="245" t="str">
        <f t="shared" si="151"/>
        <v/>
      </c>
      <c r="E2543" s="534"/>
      <c r="F2543" s="534"/>
    </row>
    <row r="2544" spans="1:6" ht="15" customHeight="1">
      <c r="A2544" s="51"/>
      <c r="B2544" s="52" t="str">
        <f t="shared" si="150"/>
        <v/>
      </c>
      <c r="C2544" t="str">
        <f t="shared" si="149"/>
        <v/>
      </c>
      <c r="D2544" s="245" t="str">
        <f t="shared" si="151"/>
        <v/>
      </c>
      <c r="E2544" s="534"/>
      <c r="F2544" s="534"/>
    </row>
    <row r="2545" spans="1:6" ht="15" customHeight="1">
      <c r="A2545" s="51"/>
      <c r="B2545" s="52" t="str">
        <f t="shared" si="150"/>
        <v/>
      </c>
      <c r="C2545" t="str">
        <f t="shared" si="149"/>
        <v/>
      </c>
      <c r="D2545" s="245" t="str">
        <f t="shared" si="151"/>
        <v/>
      </c>
      <c r="E2545" s="534"/>
      <c r="F2545" s="534"/>
    </row>
    <row r="2546" spans="1:6" ht="15" customHeight="1">
      <c r="A2546" s="51"/>
      <c r="B2546" s="52" t="str">
        <f t="shared" si="150"/>
        <v/>
      </c>
      <c r="C2546" t="str">
        <f t="shared" si="149"/>
        <v/>
      </c>
      <c r="D2546" s="245" t="str">
        <f t="shared" si="151"/>
        <v/>
      </c>
      <c r="E2546" s="534"/>
      <c r="F2546" s="534"/>
    </row>
    <row r="2547" spans="1:6" ht="15" customHeight="1">
      <c r="A2547" s="51"/>
      <c r="B2547" s="52" t="str">
        <f t="shared" si="150"/>
        <v/>
      </c>
      <c r="C2547" t="str">
        <f t="shared" si="149"/>
        <v/>
      </c>
      <c r="D2547" s="245" t="str">
        <f t="shared" si="151"/>
        <v/>
      </c>
      <c r="E2547" s="534"/>
      <c r="F2547" s="534"/>
    </row>
    <row r="2548" spans="1:6" ht="15" customHeight="1">
      <c r="A2548" s="51"/>
      <c r="B2548" s="52" t="str">
        <f t="shared" si="150"/>
        <v/>
      </c>
      <c r="C2548" t="str">
        <f t="shared" si="149"/>
        <v/>
      </c>
      <c r="D2548" s="245" t="str">
        <f t="shared" si="151"/>
        <v/>
      </c>
      <c r="E2548" s="534"/>
      <c r="F2548" s="534"/>
    </row>
    <row r="2549" spans="1:6" ht="15" customHeight="1">
      <c r="A2549" s="51"/>
      <c r="B2549" s="52" t="str">
        <f t="shared" si="150"/>
        <v/>
      </c>
      <c r="C2549" t="str">
        <f t="shared" si="149"/>
        <v/>
      </c>
      <c r="D2549" s="245" t="str">
        <f t="shared" si="151"/>
        <v/>
      </c>
      <c r="E2549" s="534"/>
      <c r="F2549" s="534"/>
    </row>
    <row r="2550" spans="1:6" ht="15" customHeight="1">
      <c r="A2550" s="51"/>
      <c r="B2550" s="52" t="str">
        <f t="shared" si="150"/>
        <v/>
      </c>
      <c r="C2550" t="str">
        <f t="shared" si="149"/>
        <v/>
      </c>
      <c r="D2550" s="245" t="str">
        <f t="shared" si="151"/>
        <v/>
      </c>
      <c r="E2550" s="534"/>
      <c r="F2550" s="534"/>
    </row>
    <row r="2551" spans="1:6" ht="15" customHeight="1">
      <c r="A2551" s="51"/>
      <c r="B2551" s="52" t="str">
        <f t="shared" si="150"/>
        <v/>
      </c>
      <c r="C2551" t="str">
        <f t="shared" si="149"/>
        <v/>
      </c>
      <c r="D2551" s="245" t="str">
        <f t="shared" si="151"/>
        <v/>
      </c>
      <c r="E2551" s="534"/>
      <c r="F2551" s="534"/>
    </row>
    <row r="2552" spans="1:6" ht="15" customHeight="1">
      <c r="A2552" s="51"/>
      <c r="B2552" s="52" t="str">
        <f t="shared" si="150"/>
        <v/>
      </c>
      <c r="C2552" t="str">
        <f t="shared" si="149"/>
        <v/>
      </c>
      <c r="D2552" s="245" t="str">
        <f t="shared" si="151"/>
        <v/>
      </c>
      <c r="E2552" s="534"/>
      <c r="F2552" s="534"/>
    </row>
    <row r="2553" spans="1:6" ht="15" customHeight="1">
      <c r="A2553" s="51"/>
      <c r="B2553" s="52" t="str">
        <f t="shared" si="150"/>
        <v/>
      </c>
      <c r="C2553" t="str">
        <f t="shared" si="149"/>
        <v/>
      </c>
      <c r="D2553" s="245" t="str">
        <f t="shared" si="151"/>
        <v/>
      </c>
      <c r="E2553" s="534"/>
      <c r="F2553" s="534"/>
    </row>
    <row r="2554" spans="1:6" ht="15" customHeight="1">
      <c r="A2554" s="51"/>
      <c r="B2554" s="52" t="str">
        <f t="shared" si="150"/>
        <v/>
      </c>
      <c r="C2554" t="str">
        <f t="shared" si="149"/>
        <v/>
      </c>
      <c r="D2554" s="245" t="str">
        <f t="shared" si="151"/>
        <v/>
      </c>
      <c r="E2554" s="534"/>
      <c r="F2554" s="534"/>
    </row>
    <row r="2555" spans="1:6" ht="15" customHeight="1">
      <c r="A2555" s="51"/>
      <c r="B2555" s="52" t="str">
        <f t="shared" si="150"/>
        <v/>
      </c>
      <c r="C2555" t="str">
        <f t="shared" si="149"/>
        <v/>
      </c>
      <c r="D2555" s="245" t="str">
        <f t="shared" si="151"/>
        <v/>
      </c>
      <c r="E2555" s="534"/>
      <c r="F2555" s="534"/>
    </row>
    <row r="2556" spans="1:6" ht="15" customHeight="1">
      <c r="A2556" s="51"/>
      <c r="B2556" s="52" t="str">
        <f t="shared" si="150"/>
        <v/>
      </c>
      <c r="C2556" t="str">
        <f t="shared" si="149"/>
        <v/>
      </c>
      <c r="D2556" s="245" t="str">
        <f t="shared" si="151"/>
        <v/>
      </c>
      <c r="E2556" s="534"/>
      <c r="F2556" s="534"/>
    </row>
    <row r="2557" spans="1:6" ht="15" customHeight="1">
      <c r="A2557" s="51"/>
      <c r="B2557" s="52" t="str">
        <f t="shared" si="150"/>
        <v/>
      </c>
      <c r="C2557" t="str">
        <f t="shared" si="149"/>
        <v/>
      </c>
      <c r="D2557" s="245" t="str">
        <f t="shared" si="151"/>
        <v/>
      </c>
      <c r="E2557" s="534"/>
      <c r="F2557" s="534"/>
    </row>
    <row r="2558" spans="1:6" ht="15" customHeight="1">
      <c r="A2558" s="51"/>
      <c r="B2558" s="52" t="str">
        <f t="shared" si="150"/>
        <v/>
      </c>
      <c r="C2558" t="str">
        <f t="shared" si="149"/>
        <v/>
      </c>
      <c r="D2558" s="245" t="str">
        <f t="shared" si="151"/>
        <v/>
      </c>
      <c r="E2558" s="534"/>
      <c r="F2558" s="534"/>
    </row>
    <row r="2559" spans="1:6" ht="15" customHeight="1">
      <c r="A2559" s="51"/>
      <c r="B2559" s="52" t="str">
        <f t="shared" si="150"/>
        <v/>
      </c>
      <c r="C2559" t="str">
        <f t="shared" si="149"/>
        <v/>
      </c>
      <c r="D2559" s="245" t="str">
        <f t="shared" si="151"/>
        <v/>
      </c>
      <c r="E2559" s="534"/>
      <c r="F2559" s="534"/>
    </row>
    <row r="2560" spans="1:6" ht="15" customHeight="1">
      <c r="A2560" s="51"/>
      <c r="B2560" s="52" t="str">
        <f t="shared" si="150"/>
        <v/>
      </c>
      <c r="C2560" t="str">
        <f t="shared" si="149"/>
        <v/>
      </c>
      <c r="D2560" s="245" t="str">
        <f t="shared" si="151"/>
        <v/>
      </c>
      <c r="E2560" s="534"/>
      <c r="F2560" s="534"/>
    </row>
    <row r="2561" spans="1:6" ht="15" customHeight="1">
      <c r="A2561" s="51"/>
      <c r="B2561" s="52" t="str">
        <f t="shared" si="150"/>
        <v/>
      </c>
      <c r="C2561" t="str">
        <f t="shared" si="149"/>
        <v/>
      </c>
      <c r="D2561" s="245" t="str">
        <f t="shared" si="151"/>
        <v/>
      </c>
      <c r="E2561" s="534"/>
      <c r="F2561" s="534"/>
    </row>
    <row r="2562" spans="1:6" ht="15" customHeight="1">
      <c r="A2562" s="51"/>
      <c r="B2562" s="52" t="str">
        <f t="shared" si="150"/>
        <v/>
      </c>
      <c r="C2562" t="str">
        <f t="shared" ref="C2562:C2625" si="152">IF(A2562&lt;&gt;"",TEXT(A2562,"aaaa"),"")</f>
        <v/>
      </c>
      <c r="D2562" s="245" t="str">
        <f t="shared" si="151"/>
        <v/>
      </c>
      <c r="E2562" s="534"/>
      <c r="F2562" s="534"/>
    </row>
    <row r="2563" spans="1:6" ht="15" customHeight="1">
      <c r="A2563" s="51"/>
      <c r="B2563" s="52" t="str">
        <f t="shared" si="150"/>
        <v/>
      </c>
      <c r="C2563" t="str">
        <f t="shared" si="152"/>
        <v/>
      </c>
      <c r="D2563" s="245" t="str">
        <f t="shared" si="151"/>
        <v/>
      </c>
      <c r="E2563" s="534"/>
      <c r="F2563" s="534"/>
    </row>
    <row r="2564" spans="1:6" ht="15" customHeight="1">
      <c r="A2564" s="51"/>
      <c r="B2564" s="52" t="str">
        <f t="shared" si="150"/>
        <v/>
      </c>
      <c r="C2564" t="str">
        <f t="shared" si="152"/>
        <v/>
      </c>
      <c r="D2564" s="245" t="str">
        <f t="shared" si="151"/>
        <v/>
      </c>
      <c r="E2564" s="534"/>
      <c r="F2564" s="534"/>
    </row>
    <row r="2565" spans="1:6" ht="15" customHeight="1">
      <c r="A2565" s="51"/>
      <c r="B2565" s="52" t="str">
        <f t="shared" si="150"/>
        <v/>
      </c>
      <c r="C2565" t="str">
        <f t="shared" si="152"/>
        <v/>
      </c>
      <c r="D2565" s="245" t="str">
        <f t="shared" si="151"/>
        <v/>
      </c>
      <c r="E2565" s="534"/>
      <c r="F2565" s="534"/>
    </row>
    <row r="2566" spans="1:6" ht="15" customHeight="1">
      <c r="A2566" s="51"/>
      <c r="B2566" s="52" t="str">
        <f t="shared" si="150"/>
        <v/>
      </c>
      <c r="C2566" t="str">
        <f t="shared" si="152"/>
        <v/>
      </c>
      <c r="D2566" s="245" t="str">
        <f t="shared" si="151"/>
        <v/>
      </c>
      <c r="E2566" s="534"/>
      <c r="F2566" s="534"/>
    </row>
    <row r="2567" spans="1:6" ht="15" customHeight="1">
      <c r="A2567" s="51"/>
      <c r="B2567" s="52" t="str">
        <f t="shared" si="150"/>
        <v/>
      </c>
      <c r="C2567" t="str">
        <f t="shared" si="152"/>
        <v/>
      </c>
      <c r="D2567" s="245" t="str">
        <f t="shared" si="151"/>
        <v/>
      </c>
      <c r="E2567" s="534"/>
      <c r="F2567" s="534"/>
    </row>
    <row r="2568" spans="1:6" ht="15" customHeight="1">
      <c r="A2568" s="51"/>
      <c r="B2568" s="52" t="str">
        <f t="shared" ref="B2568:B2631" si="153">IF(A2568="","",TEXT(A2568,"DDDD"))</f>
        <v/>
      </c>
      <c r="C2568" t="str">
        <f t="shared" si="152"/>
        <v/>
      </c>
      <c r="D2568" s="245" t="str">
        <f t="shared" si="151"/>
        <v/>
      </c>
      <c r="E2568" s="534"/>
      <c r="F2568" s="534"/>
    </row>
    <row r="2569" spans="1:6" ht="15" customHeight="1">
      <c r="A2569" s="51"/>
      <c r="B2569" s="52" t="str">
        <f t="shared" si="153"/>
        <v/>
      </c>
      <c r="C2569" t="str">
        <f t="shared" si="152"/>
        <v/>
      </c>
      <c r="D2569" s="245" t="str">
        <f t="shared" ref="D2569:D2632" si="154">IF(A2569&lt;&gt;"",PROPER(TEXT(A2569,"Mmmm")),"")</f>
        <v/>
      </c>
      <c r="E2569" s="534"/>
      <c r="F2569" s="534"/>
    </row>
    <row r="2570" spans="1:6" ht="15" customHeight="1">
      <c r="A2570" s="51"/>
      <c r="B2570" s="52" t="str">
        <f t="shared" si="153"/>
        <v/>
      </c>
      <c r="C2570" t="str">
        <f t="shared" si="152"/>
        <v/>
      </c>
      <c r="D2570" s="245" t="str">
        <f t="shared" si="154"/>
        <v/>
      </c>
      <c r="E2570" s="534"/>
      <c r="F2570" s="534"/>
    </row>
    <row r="2571" spans="1:6" ht="15" customHeight="1">
      <c r="A2571" s="51"/>
      <c r="B2571" s="52" t="str">
        <f t="shared" si="153"/>
        <v/>
      </c>
      <c r="C2571" t="str">
        <f t="shared" si="152"/>
        <v/>
      </c>
      <c r="D2571" s="245" t="str">
        <f t="shared" si="154"/>
        <v/>
      </c>
      <c r="E2571" s="534"/>
      <c r="F2571" s="534"/>
    </row>
    <row r="2572" spans="1:6" ht="15" customHeight="1">
      <c r="A2572" s="51"/>
      <c r="B2572" s="52" t="str">
        <f t="shared" si="153"/>
        <v/>
      </c>
      <c r="C2572" t="str">
        <f t="shared" si="152"/>
        <v/>
      </c>
      <c r="D2572" s="245" t="str">
        <f t="shared" si="154"/>
        <v/>
      </c>
      <c r="E2572" s="534"/>
      <c r="F2572" s="534"/>
    </row>
    <row r="2573" spans="1:6" ht="15" customHeight="1">
      <c r="A2573" s="51"/>
      <c r="B2573" s="52" t="str">
        <f t="shared" si="153"/>
        <v/>
      </c>
      <c r="C2573" t="str">
        <f t="shared" si="152"/>
        <v/>
      </c>
      <c r="D2573" s="245" t="str">
        <f t="shared" si="154"/>
        <v/>
      </c>
      <c r="E2573" s="534"/>
      <c r="F2573" s="534"/>
    </row>
    <row r="2574" spans="1:6" ht="15" customHeight="1">
      <c r="A2574" s="51"/>
      <c r="B2574" s="52" t="str">
        <f t="shared" si="153"/>
        <v/>
      </c>
      <c r="C2574" t="str">
        <f t="shared" si="152"/>
        <v/>
      </c>
      <c r="D2574" s="245" t="str">
        <f t="shared" si="154"/>
        <v/>
      </c>
      <c r="E2574" s="534"/>
      <c r="F2574" s="534"/>
    </row>
    <row r="2575" spans="1:6" ht="15" customHeight="1">
      <c r="A2575" s="51"/>
      <c r="B2575" s="52" t="str">
        <f t="shared" si="153"/>
        <v/>
      </c>
      <c r="C2575" t="str">
        <f t="shared" si="152"/>
        <v/>
      </c>
      <c r="D2575" s="245" t="str">
        <f t="shared" si="154"/>
        <v/>
      </c>
      <c r="E2575" s="534"/>
      <c r="F2575" s="534"/>
    </row>
    <row r="2576" spans="1:6" ht="15" customHeight="1">
      <c r="A2576" s="51"/>
      <c r="B2576" s="52" t="str">
        <f t="shared" si="153"/>
        <v/>
      </c>
      <c r="C2576" t="str">
        <f t="shared" si="152"/>
        <v/>
      </c>
      <c r="D2576" s="245" t="str">
        <f t="shared" si="154"/>
        <v/>
      </c>
      <c r="E2576" s="534"/>
      <c r="F2576" s="534"/>
    </row>
    <row r="2577" spans="1:6" ht="15" customHeight="1">
      <c r="A2577" s="51"/>
      <c r="B2577" s="52" t="str">
        <f t="shared" si="153"/>
        <v/>
      </c>
      <c r="C2577" t="str">
        <f t="shared" si="152"/>
        <v/>
      </c>
      <c r="D2577" s="245" t="str">
        <f t="shared" si="154"/>
        <v/>
      </c>
      <c r="E2577" s="534"/>
      <c r="F2577" s="534"/>
    </row>
    <row r="2578" spans="1:6" ht="15" customHeight="1">
      <c r="A2578" s="51"/>
      <c r="B2578" s="52" t="str">
        <f t="shared" si="153"/>
        <v/>
      </c>
      <c r="C2578" t="str">
        <f t="shared" si="152"/>
        <v/>
      </c>
      <c r="D2578" s="245" t="str">
        <f t="shared" si="154"/>
        <v/>
      </c>
      <c r="E2578" s="534"/>
      <c r="F2578" s="534"/>
    </row>
    <row r="2579" spans="1:6" ht="15" customHeight="1">
      <c r="A2579" s="51"/>
      <c r="B2579" s="52" t="str">
        <f t="shared" si="153"/>
        <v/>
      </c>
      <c r="C2579" t="str">
        <f t="shared" si="152"/>
        <v/>
      </c>
      <c r="D2579" s="245" t="str">
        <f t="shared" si="154"/>
        <v/>
      </c>
      <c r="E2579" s="534"/>
      <c r="F2579" s="534"/>
    </row>
    <row r="2580" spans="1:6" ht="15" customHeight="1">
      <c r="A2580" s="51"/>
      <c r="B2580" s="52" t="str">
        <f t="shared" si="153"/>
        <v/>
      </c>
      <c r="C2580" t="str">
        <f t="shared" si="152"/>
        <v/>
      </c>
      <c r="D2580" s="245" t="str">
        <f t="shared" si="154"/>
        <v/>
      </c>
      <c r="E2580" s="534"/>
      <c r="F2580" s="534"/>
    </row>
    <row r="2581" spans="1:6" ht="15" customHeight="1">
      <c r="A2581" s="51"/>
      <c r="B2581" s="52" t="str">
        <f t="shared" si="153"/>
        <v/>
      </c>
      <c r="C2581" t="str">
        <f t="shared" si="152"/>
        <v/>
      </c>
      <c r="D2581" s="245" t="str">
        <f t="shared" si="154"/>
        <v/>
      </c>
      <c r="E2581" s="534"/>
      <c r="F2581" s="534"/>
    </row>
    <row r="2582" spans="1:6" ht="15" customHeight="1">
      <c r="A2582" s="51"/>
      <c r="B2582" s="52" t="str">
        <f t="shared" si="153"/>
        <v/>
      </c>
      <c r="C2582" t="str">
        <f t="shared" si="152"/>
        <v/>
      </c>
      <c r="D2582" s="245" t="str">
        <f t="shared" si="154"/>
        <v/>
      </c>
      <c r="E2582" s="534"/>
      <c r="F2582" s="534"/>
    </row>
    <row r="2583" spans="1:6" ht="15" customHeight="1">
      <c r="A2583" s="51"/>
      <c r="B2583" s="52" t="str">
        <f t="shared" si="153"/>
        <v/>
      </c>
      <c r="C2583" t="str">
        <f t="shared" si="152"/>
        <v/>
      </c>
      <c r="D2583" s="245" t="str">
        <f t="shared" si="154"/>
        <v/>
      </c>
      <c r="E2583" s="534"/>
      <c r="F2583" s="534"/>
    </row>
    <row r="2584" spans="1:6" ht="15" customHeight="1">
      <c r="A2584" s="51"/>
      <c r="B2584" s="52" t="str">
        <f t="shared" si="153"/>
        <v/>
      </c>
      <c r="C2584" t="str">
        <f t="shared" si="152"/>
        <v/>
      </c>
      <c r="D2584" s="245" t="str">
        <f t="shared" si="154"/>
        <v/>
      </c>
      <c r="E2584" s="534"/>
      <c r="F2584" s="534"/>
    </row>
    <row r="2585" spans="1:6" ht="15" customHeight="1">
      <c r="A2585" s="51"/>
      <c r="B2585" s="52" t="str">
        <f t="shared" si="153"/>
        <v/>
      </c>
      <c r="C2585" t="str">
        <f t="shared" si="152"/>
        <v/>
      </c>
      <c r="D2585" s="245" t="str">
        <f t="shared" si="154"/>
        <v/>
      </c>
      <c r="E2585" s="534"/>
      <c r="F2585" s="534"/>
    </row>
    <row r="2586" spans="1:6" ht="15" customHeight="1">
      <c r="A2586" s="51"/>
      <c r="B2586" s="52" t="str">
        <f t="shared" si="153"/>
        <v/>
      </c>
      <c r="C2586" t="str">
        <f t="shared" si="152"/>
        <v/>
      </c>
      <c r="D2586" s="245" t="str">
        <f t="shared" si="154"/>
        <v/>
      </c>
      <c r="E2586" s="534"/>
      <c r="F2586" s="534"/>
    </row>
    <row r="2587" spans="1:6" ht="15" customHeight="1">
      <c r="A2587" s="51"/>
      <c r="B2587" s="52" t="str">
        <f t="shared" si="153"/>
        <v/>
      </c>
      <c r="C2587" t="str">
        <f t="shared" si="152"/>
        <v/>
      </c>
      <c r="D2587" s="245" t="str">
        <f t="shared" si="154"/>
        <v/>
      </c>
      <c r="E2587" s="534"/>
      <c r="F2587" s="534"/>
    </row>
    <row r="2588" spans="1:6" ht="15" customHeight="1">
      <c r="A2588" s="51"/>
      <c r="B2588" s="52" t="str">
        <f t="shared" si="153"/>
        <v/>
      </c>
      <c r="C2588" t="str">
        <f t="shared" si="152"/>
        <v/>
      </c>
      <c r="D2588" s="245" t="str">
        <f t="shared" si="154"/>
        <v/>
      </c>
      <c r="E2588" s="534"/>
      <c r="F2588" s="534"/>
    </row>
    <row r="2589" spans="1:6" ht="15" customHeight="1">
      <c r="A2589" s="51"/>
      <c r="B2589" s="52" t="str">
        <f t="shared" si="153"/>
        <v/>
      </c>
      <c r="C2589" t="str">
        <f t="shared" si="152"/>
        <v/>
      </c>
      <c r="D2589" s="245" t="str">
        <f t="shared" si="154"/>
        <v/>
      </c>
      <c r="E2589" s="534"/>
      <c r="F2589" s="534"/>
    </row>
    <row r="2590" spans="1:6" ht="15" customHeight="1">
      <c r="A2590" s="51"/>
      <c r="B2590" s="52" t="str">
        <f t="shared" si="153"/>
        <v/>
      </c>
      <c r="C2590" t="str">
        <f t="shared" si="152"/>
        <v/>
      </c>
      <c r="D2590" s="245" t="str">
        <f t="shared" si="154"/>
        <v/>
      </c>
      <c r="E2590" s="534"/>
      <c r="F2590" s="534"/>
    </row>
    <row r="2591" spans="1:6" ht="15" customHeight="1">
      <c r="A2591" s="51"/>
      <c r="B2591" s="52" t="str">
        <f t="shared" si="153"/>
        <v/>
      </c>
      <c r="C2591" t="str">
        <f t="shared" si="152"/>
        <v/>
      </c>
      <c r="D2591" s="245" t="str">
        <f t="shared" si="154"/>
        <v/>
      </c>
      <c r="E2591" s="534"/>
      <c r="F2591" s="534"/>
    </row>
    <row r="2592" spans="1:6" ht="15" customHeight="1">
      <c r="A2592" s="51"/>
      <c r="B2592" s="52" t="str">
        <f t="shared" si="153"/>
        <v/>
      </c>
      <c r="C2592" t="str">
        <f t="shared" si="152"/>
        <v/>
      </c>
      <c r="D2592" s="245" t="str">
        <f t="shared" si="154"/>
        <v/>
      </c>
      <c r="E2592" s="534"/>
      <c r="F2592" s="534"/>
    </row>
    <row r="2593" spans="1:6" ht="15" customHeight="1">
      <c r="A2593" s="51"/>
      <c r="B2593" s="52" t="str">
        <f t="shared" si="153"/>
        <v/>
      </c>
      <c r="C2593" t="str">
        <f t="shared" si="152"/>
        <v/>
      </c>
      <c r="D2593" s="245" t="str">
        <f t="shared" si="154"/>
        <v/>
      </c>
      <c r="E2593" s="534"/>
      <c r="F2593" s="534"/>
    </row>
    <row r="2594" spans="1:6" ht="15" customHeight="1">
      <c r="A2594" s="51"/>
      <c r="B2594" s="52" t="str">
        <f t="shared" si="153"/>
        <v/>
      </c>
      <c r="C2594" t="str">
        <f t="shared" si="152"/>
        <v/>
      </c>
      <c r="D2594" s="245" t="str">
        <f t="shared" si="154"/>
        <v/>
      </c>
      <c r="E2594" s="534"/>
      <c r="F2594" s="534"/>
    </row>
    <row r="2595" spans="1:6" ht="15" customHeight="1">
      <c r="A2595" s="51"/>
      <c r="B2595" s="52" t="str">
        <f t="shared" si="153"/>
        <v/>
      </c>
      <c r="C2595" t="str">
        <f t="shared" si="152"/>
        <v/>
      </c>
      <c r="D2595" s="245" t="str">
        <f t="shared" si="154"/>
        <v/>
      </c>
      <c r="E2595" s="534"/>
      <c r="F2595" s="534"/>
    </row>
    <row r="2596" spans="1:6" ht="15" customHeight="1">
      <c r="A2596" s="51"/>
      <c r="B2596" s="52" t="str">
        <f t="shared" si="153"/>
        <v/>
      </c>
      <c r="C2596" t="str">
        <f t="shared" si="152"/>
        <v/>
      </c>
      <c r="D2596" s="245" t="str">
        <f t="shared" si="154"/>
        <v/>
      </c>
      <c r="E2596" s="534"/>
      <c r="F2596" s="534"/>
    </row>
    <row r="2597" spans="1:6" ht="15" customHeight="1">
      <c r="A2597" s="51"/>
      <c r="B2597" s="52" t="str">
        <f t="shared" si="153"/>
        <v/>
      </c>
      <c r="C2597" t="str">
        <f t="shared" si="152"/>
        <v/>
      </c>
      <c r="D2597" s="245" t="str">
        <f t="shared" si="154"/>
        <v/>
      </c>
      <c r="E2597" s="534"/>
      <c r="F2597" s="534"/>
    </row>
    <row r="2598" spans="1:6" ht="15" customHeight="1">
      <c r="A2598" s="51"/>
      <c r="B2598" s="52" t="str">
        <f t="shared" si="153"/>
        <v/>
      </c>
      <c r="C2598" t="str">
        <f t="shared" si="152"/>
        <v/>
      </c>
      <c r="D2598" s="245" t="str">
        <f t="shared" si="154"/>
        <v/>
      </c>
      <c r="E2598" s="534"/>
      <c r="F2598" s="534"/>
    </row>
    <row r="2599" spans="1:6" ht="15" customHeight="1">
      <c r="A2599" s="51"/>
      <c r="B2599" s="52" t="str">
        <f t="shared" si="153"/>
        <v/>
      </c>
      <c r="C2599" t="str">
        <f t="shared" si="152"/>
        <v/>
      </c>
      <c r="D2599" s="245" t="str">
        <f t="shared" si="154"/>
        <v/>
      </c>
      <c r="E2599" s="534"/>
      <c r="F2599" s="534"/>
    </row>
    <row r="2600" spans="1:6" ht="15" customHeight="1">
      <c r="A2600" s="51"/>
      <c r="B2600" s="52" t="str">
        <f t="shared" si="153"/>
        <v/>
      </c>
      <c r="C2600" t="str">
        <f t="shared" si="152"/>
        <v/>
      </c>
      <c r="D2600" s="245" t="str">
        <f t="shared" si="154"/>
        <v/>
      </c>
      <c r="E2600" s="534"/>
      <c r="F2600" s="534"/>
    </row>
    <row r="2601" spans="1:6" ht="15" customHeight="1">
      <c r="A2601" s="51"/>
      <c r="B2601" s="52" t="str">
        <f t="shared" si="153"/>
        <v/>
      </c>
      <c r="C2601" t="str">
        <f t="shared" si="152"/>
        <v/>
      </c>
      <c r="D2601" s="245" t="str">
        <f t="shared" si="154"/>
        <v/>
      </c>
      <c r="E2601" s="534"/>
      <c r="F2601" s="534"/>
    </row>
    <row r="2602" spans="1:6" ht="15" customHeight="1">
      <c r="A2602" s="51"/>
      <c r="B2602" s="52" t="str">
        <f t="shared" si="153"/>
        <v/>
      </c>
      <c r="C2602" t="str">
        <f t="shared" si="152"/>
        <v/>
      </c>
      <c r="D2602" s="245" t="str">
        <f t="shared" si="154"/>
        <v/>
      </c>
      <c r="E2602" s="534"/>
      <c r="F2602" s="534"/>
    </row>
    <row r="2603" spans="1:6" ht="15" customHeight="1">
      <c r="A2603" s="51"/>
      <c r="B2603" s="52" t="str">
        <f t="shared" si="153"/>
        <v/>
      </c>
      <c r="C2603" t="str">
        <f t="shared" si="152"/>
        <v/>
      </c>
      <c r="D2603" s="245" t="str">
        <f t="shared" si="154"/>
        <v/>
      </c>
      <c r="E2603" s="534"/>
      <c r="F2603" s="534"/>
    </row>
    <row r="2604" spans="1:6" ht="15" customHeight="1">
      <c r="A2604" s="51"/>
      <c r="B2604" s="52" t="str">
        <f t="shared" si="153"/>
        <v/>
      </c>
      <c r="C2604" t="str">
        <f t="shared" si="152"/>
        <v/>
      </c>
      <c r="D2604" s="245" t="str">
        <f t="shared" si="154"/>
        <v/>
      </c>
      <c r="E2604" s="534"/>
      <c r="F2604" s="534"/>
    </row>
    <row r="2605" spans="1:6" ht="15" customHeight="1">
      <c r="A2605" s="51"/>
      <c r="B2605" s="52" t="str">
        <f t="shared" si="153"/>
        <v/>
      </c>
      <c r="C2605" t="str">
        <f t="shared" si="152"/>
        <v/>
      </c>
      <c r="D2605" s="245" t="str">
        <f t="shared" si="154"/>
        <v/>
      </c>
      <c r="E2605" s="534"/>
      <c r="F2605" s="534"/>
    </row>
    <row r="2606" spans="1:6" ht="15" customHeight="1">
      <c r="A2606" s="51"/>
      <c r="B2606" s="52" t="str">
        <f t="shared" si="153"/>
        <v/>
      </c>
      <c r="C2606" t="str">
        <f t="shared" si="152"/>
        <v/>
      </c>
      <c r="D2606" s="245" t="str">
        <f t="shared" si="154"/>
        <v/>
      </c>
      <c r="E2606" s="534"/>
      <c r="F2606" s="534"/>
    </row>
    <row r="2607" spans="1:6" ht="15" customHeight="1">
      <c r="A2607" s="51"/>
      <c r="B2607" s="52" t="str">
        <f t="shared" si="153"/>
        <v/>
      </c>
      <c r="C2607" t="str">
        <f t="shared" si="152"/>
        <v/>
      </c>
      <c r="D2607" s="245" t="str">
        <f t="shared" si="154"/>
        <v/>
      </c>
      <c r="E2607" s="534"/>
      <c r="F2607" s="534"/>
    </row>
    <row r="2608" spans="1:6" ht="15" customHeight="1">
      <c r="A2608" s="51"/>
      <c r="B2608" s="52" t="str">
        <f t="shared" si="153"/>
        <v/>
      </c>
      <c r="C2608" t="str">
        <f t="shared" si="152"/>
        <v/>
      </c>
      <c r="D2608" s="245" t="str">
        <f t="shared" si="154"/>
        <v/>
      </c>
      <c r="E2608" s="534"/>
      <c r="F2608" s="534"/>
    </row>
    <row r="2609" spans="1:6" ht="15" customHeight="1">
      <c r="A2609" s="51"/>
      <c r="B2609" s="52" t="str">
        <f t="shared" si="153"/>
        <v/>
      </c>
      <c r="C2609" t="str">
        <f t="shared" si="152"/>
        <v/>
      </c>
      <c r="D2609" s="245" t="str">
        <f t="shared" si="154"/>
        <v/>
      </c>
      <c r="E2609" s="534"/>
      <c r="F2609" s="534"/>
    </row>
    <row r="2610" spans="1:6" ht="15" customHeight="1">
      <c r="A2610" s="51"/>
      <c r="B2610" s="52" t="str">
        <f t="shared" si="153"/>
        <v/>
      </c>
      <c r="C2610" t="str">
        <f t="shared" si="152"/>
        <v/>
      </c>
      <c r="D2610" s="245" t="str">
        <f t="shared" si="154"/>
        <v/>
      </c>
      <c r="E2610" s="534"/>
      <c r="F2610" s="534"/>
    </row>
    <row r="2611" spans="1:6" ht="15" customHeight="1">
      <c r="A2611" s="51"/>
      <c r="B2611" s="52" t="str">
        <f t="shared" si="153"/>
        <v/>
      </c>
      <c r="C2611" t="str">
        <f t="shared" si="152"/>
        <v/>
      </c>
      <c r="D2611" s="245" t="str">
        <f t="shared" si="154"/>
        <v/>
      </c>
      <c r="E2611" s="534"/>
      <c r="F2611" s="534"/>
    </row>
    <row r="2612" spans="1:6" ht="15" customHeight="1">
      <c r="A2612" s="51"/>
      <c r="B2612" s="52" t="str">
        <f t="shared" si="153"/>
        <v/>
      </c>
      <c r="C2612" t="str">
        <f t="shared" si="152"/>
        <v/>
      </c>
      <c r="D2612" s="245" t="str">
        <f t="shared" si="154"/>
        <v/>
      </c>
      <c r="E2612" s="534"/>
      <c r="F2612" s="534"/>
    </row>
    <row r="2613" spans="1:6" ht="15" customHeight="1">
      <c r="A2613" s="51"/>
      <c r="B2613" s="52" t="str">
        <f t="shared" si="153"/>
        <v/>
      </c>
      <c r="C2613" t="str">
        <f t="shared" si="152"/>
        <v/>
      </c>
      <c r="D2613" s="245" t="str">
        <f t="shared" si="154"/>
        <v/>
      </c>
      <c r="E2613" s="534"/>
      <c r="F2613" s="534"/>
    </row>
    <row r="2614" spans="1:6" ht="15" customHeight="1">
      <c r="A2614" s="51"/>
      <c r="B2614" s="52" t="str">
        <f t="shared" si="153"/>
        <v/>
      </c>
      <c r="C2614" t="str">
        <f t="shared" si="152"/>
        <v/>
      </c>
      <c r="D2614" s="245" t="str">
        <f t="shared" si="154"/>
        <v/>
      </c>
      <c r="E2614" s="534"/>
      <c r="F2614" s="534"/>
    </row>
    <row r="2615" spans="1:6" ht="15" customHeight="1">
      <c r="A2615" s="51"/>
      <c r="B2615" s="52" t="str">
        <f t="shared" si="153"/>
        <v/>
      </c>
      <c r="C2615" t="str">
        <f t="shared" si="152"/>
        <v/>
      </c>
      <c r="D2615" s="245" t="str">
        <f t="shared" si="154"/>
        <v/>
      </c>
      <c r="E2615" s="534"/>
      <c r="F2615" s="534"/>
    </row>
    <row r="2616" spans="1:6" ht="15" customHeight="1">
      <c r="A2616" s="51"/>
      <c r="B2616" s="52" t="str">
        <f t="shared" si="153"/>
        <v/>
      </c>
      <c r="C2616" t="str">
        <f t="shared" si="152"/>
        <v/>
      </c>
      <c r="D2616" s="245" t="str">
        <f t="shared" si="154"/>
        <v/>
      </c>
      <c r="E2616" s="534"/>
      <c r="F2616" s="534"/>
    </row>
    <row r="2617" spans="1:6" ht="15" customHeight="1">
      <c r="A2617" s="51"/>
      <c r="B2617" s="52" t="str">
        <f t="shared" si="153"/>
        <v/>
      </c>
      <c r="C2617" t="str">
        <f t="shared" si="152"/>
        <v/>
      </c>
      <c r="D2617" s="245" t="str">
        <f t="shared" si="154"/>
        <v/>
      </c>
      <c r="E2617" s="534"/>
      <c r="F2617" s="534"/>
    </row>
    <row r="2618" spans="1:6" ht="15" customHeight="1">
      <c r="A2618" s="51"/>
      <c r="B2618" s="52" t="str">
        <f t="shared" si="153"/>
        <v/>
      </c>
      <c r="C2618" t="str">
        <f t="shared" si="152"/>
        <v/>
      </c>
      <c r="D2618" s="245" t="str">
        <f t="shared" si="154"/>
        <v/>
      </c>
      <c r="E2618" s="534"/>
      <c r="F2618" s="534"/>
    </row>
    <row r="2619" spans="1:6" ht="15" customHeight="1">
      <c r="A2619" s="51"/>
      <c r="B2619" s="52" t="str">
        <f t="shared" si="153"/>
        <v/>
      </c>
      <c r="C2619" t="str">
        <f t="shared" si="152"/>
        <v/>
      </c>
      <c r="D2619" s="245" t="str">
        <f t="shared" si="154"/>
        <v/>
      </c>
      <c r="E2619" s="534"/>
      <c r="F2619" s="534"/>
    </row>
    <row r="2620" spans="1:6" ht="15" customHeight="1">
      <c r="A2620" s="51"/>
      <c r="B2620" s="52" t="str">
        <f t="shared" si="153"/>
        <v/>
      </c>
      <c r="C2620" t="str">
        <f t="shared" si="152"/>
        <v/>
      </c>
      <c r="D2620" s="245" t="str">
        <f t="shared" si="154"/>
        <v/>
      </c>
      <c r="E2620" s="534"/>
      <c r="F2620" s="534"/>
    </row>
    <row r="2621" spans="1:6" ht="15" customHeight="1">
      <c r="A2621" s="51"/>
      <c r="B2621" s="52" t="str">
        <f t="shared" si="153"/>
        <v/>
      </c>
      <c r="C2621" t="str">
        <f t="shared" si="152"/>
        <v/>
      </c>
      <c r="D2621" s="245" t="str">
        <f t="shared" si="154"/>
        <v/>
      </c>
      <c r="E2621" s="534"/>
      <c r="F2621" s="534"/>
    </row>
    <row r="2622" spans="1:6" ht="15" customHeight="1">
      <c r="A2622" s="51"/>
      <c r="B2622" s="52" t="str">
        <f t="shared" si="153"/>
        <v/>
      </c>
      <c r="C2622" t="str">
        <f t="shared" si="152"/>
        <v/>
      </c>
      <c r="D2622" s="245" t="str">
        <f t="shared" si="154"/>
        <v/>
      </c>
      <c r="E2622" s="534"/>
      <c r="F2622" s="534"/>
    </row>
    <row r="2623" spans="1:6" ht="15" customHeight="1">
      <c r="A2623" s="51"/>
      <c r="B2623" s="52" t="str">
        <f t="shared" si="153"/>
        <v/>
      </c>
      <c r="C2623" t="str">
        <f t="shared" si="152"/>
        <v/>
      </c>
      <c r="D2623" s="245" t="str">
        <f t="shared" si="154"/>
        <v/>
      </c>
      <c r="E2623" s="534"/>
      <c r="F2623" s="534"/>
    </row>
    <row r="2624" spans="1:6" ht="15" customHeight="1">
      <c r="A2624" s="51"/>
      <c r="B2624" s="52" t="str">
        <f t="shared" si="153"/>
        <v/>
      </c>
      <c r="C2624" t="str">
        <f t="shared" si="152"/>
        <v/>
      </c>
      <c r="D2624" s="245" t="str">
        <f t="shared" si="154"/>
        <v/>
      </c>
      <c r="E2624" s="534"/>
      <c r="F2624" s="534"/>
    </row>
    <row r="2625" spans="1:6" ht="15" customHeight="1">
      <c r="A2625" s="51"/>
      <c r="B2625" s="52" t="str">
        <f t="shared" si="153"/>
        <v/>
      </c>
      <c r="C2625" t="str">
        <f t="shared" si="152"/>
        <v/>
      </c>
      <c r="D2625" s="245" t="str">
        <f t="shared" si="154"/>
        <v/>
      </c>
      <c r="E2625" s="534"/>
      <c r="F2625" s="534"/>
    </row>
    <row r="2626" spans="1:6" ht="15" customHeight="1">
      <c r="A2626" s="51"/>
      <c r="B2626" s="52" t="str">
        <f t="shared" si="153"/>
        <v/>
      </c>
      <c r="C2626" t="str">
        <f t="shared" ref="C2626:C2689" si="155">IF(A2626&lt;&gt;"",TEXT(A2626,"aaaa"),"")</f>
        <v/>
      </c>
      <c r="D2626" s="245" t="str">
        <f t="shared" si="154"/>
        <v/>
      </c>
      <c r="E2626" s="534"/>
      <c r="F2626" s="534"/>
    </row>
    <row r="2627" spans="1:6" ht="15" customHeight="1">
      <c r="A2627" s="51"/>
      <c r="B2627" s="52" t="str">
        <f t="shared" si="153"/>
        <v/>
      </c>
      <c r="C2627" t="str">
        <f t="shared" si="155"/>
        <v/>
      </c>
      <c r="D2627" s="245" t="str">
        <f t="shared" si="154"/>
        <v/>
      </c>
      <c r="E2627" s="534"/>
      <c r="F2627" s="534"/>
    </row>
    <row r="2628" spans="1:6" ht="15" customHeight="1">
      <c r="A2628" s="51"/>
      <c r="B2628" s="52" t="str">
        <f t="shared" si="153"/>
        <v/>
      </c>
      <c r="C2628" t="str">
        <f t="shared" si="155"/>
        <v/>
      </c>
      <c r="D2628" s="245" t="str">
        <f t="shared" si="154"/>
        <v/>
      </c>
      <c r="E2628" s="534"/>
      <c r="F2628" s="534"/>
    </row>
    <row r="2629" spans="1:6" ht="15" customHeight="1">
      <c r="A2629" s="51"/>
      <c r="B2629" s="52" t="str">
        <f t="shared" si="153"/>
        <v/>
      </c>
      <c r="C2629" t="str">
        <f t="shared" si="155"/>
        <v/>
      </c>
      <c r="D2629" s="245" t="str">
        <f t="shared" si="154"/>
        <v/>
      </c>
      <c r="E2629" s="534"/>
      <c r="F2629" s="534"/>
    </row>
    <row r="2630" spans="1:6" ht="15" customHeight="1">
      <c r="A2630" s="51"/>
      <c r="B2630" s="52" t="str">
        <f t="shared" si="153"/>
        <v/>
      </c>
      <c r="C2630" t="str">
        <f t="shared" si="155"/>
        <v/>
      </c>
      <c r="D2630" s="245" t="str">
        <f t="shared" si="154"/>
        <v/>
      </c>
      <c r="E2630" s="534"/>
      <c r="F2630" s="534"/>
    </row>
    <row r="2631" spans="1:6" ht="15" customHeight="1">
      <c r="A2631" s="51"/>
      <c r="B2631" s="52" t="str">
        <f t="shared" si="153"/>
        <v/>
      </c>
      <c r="C2631" t="str">
        <f t="shared" si="155"/>
        <v/>
      </c>
      <c r="D2631" s="245" t="str">
        <f t="shared" si="154"/>
        <v/>
      </c>
      <c r="E2631" s="534"/>
      <c r="F2631" s="534"/>
    </row>
    <row r="2632" spans="1:6" ht="15" customHeight="1">
      <c r="A2632" s="51"/>
      <c r="B2632" s="52" t="str">
        <f t="shared" ref="B2632:B2695" si="156">IF(A2632="","",TEXT(A2632,"DDDD"))</f>
        <v/>
      </c>
      <c r="C2632" t="str">
        <f t="shared" si="155"/>
        <v/>
      </c>
      <c r="D2632" s="245" t="str">
        <f t="shared" si="154"/>
        <v/>
      </c>
      <c r="E2632" s="534"/>
      <c r="F2632" s="534"/>
    </row>
    <row r="2633" spans="1:6" ht="15" customHeight="1">
      <c r="A2633" s="51"/>
      <c r="B2633" s="52" t="str">
        <f t="shared" si="156"/>
        <v/>
      </c>
      <c r="C2633" t="str">
        <f t="shared" si="155"/>
        <v/>
      </c>
      <c r="D2633" s="245" t="str">
        <f t="shared" ref="D2633:D2696" si="157">IF(A2633&lt;&gt;"",PROPER(TEXT(A2633,"Mmmm")),"")</f>
        <v/>
      </c>
      <c r="E2633" s="534"/>
      <c r="F2633" s="534"/>
    </row>
    <row r="2634" spans="1:6" ht="15" customHeight="1">
      <c r="A2634" s="51"/>
      <c r="B2634" s="52" t="str">
        <f t="shared" si="156"/>
        <v/>
      </c>
      <c r="C2634" t="str">
        <f t="shared" si="155"/>
        <v/>
      </c>
      <c r="D2634" s="245" t="str">
        <f t="shared" si="157"/>
        <v/>
      </c>
      <c r="E2634" s="534"/>
      <c r="F2634" s="534"/>
    </row>
    <row r="2635" spans="1:6" ht="15" customHeight="1">
      <c r="A2635" s="51"/>
      <c r="B2635" s="52" t="str">
        <f t="shared" si="156"/>
        <v/>
      </c>
      <c r="C2635" t="str">
        <f t="shared" si="155"/>
        <v/>
      </c>
      <c r="D2635" s="245" t="str">
        <f t="shared" si="157"/>
        <v/>
      </c>
      <c r="E2635" s="534"/>
      <c r="F2635" s="534"/>
    </row>
    <row r="2636" spans="1:6" ht="15" customHeight="1">
      <c r="A2636" s="51"/>
      <c r="B2636" s="52" t="str">
        <f t="shared" si="156"/>
        <v/>
      </c>
      <c r="C2636" t="str">
        <f t="shared" si="155"/>
        <v/>
      </c>
      <c r="D2636" s="245" t="str">
        <f t="shared" si="157"/>
        <v/>
      </c>
      <c r="E2636" s="534"/>
      <c r="F2636" s="534"/>
    </row>
    <row r="2637" spans="1:6" ht="15" customHeight="1">
      <c r="A2637" s="51"/>
      <c r="B2637" s="52" t="str">
        <f t="shared" si="156"/>
        <v/>
      </c>
      <c r="C2637" t="str">
        <f t="shared" si="155"/>
        <v/>
      </c>
      <c r="D2637" s="245" t="str">
        <f t="shared" si="157"/>
        <v/>
      </c>
      <c r="E2637" s="534"/>
      <c r="F2637" s="534"/>
    </row>
    <row r="2638" spans="1:6" ht="15" customHeight="1">
      <c r="A2638" s="51"/>
      <c r="B2638" s="52" t="str">
        <f t="shared" si="156"/>
        <v/>
      </c>
      <c r="C2638" t="str">
        <f t="shared" si="155"/>
        <v/>
      </c>
      <c r="D2638" s="245" t="str">
        <f t="shared" si="157"/>
        <v/>
      </c>
      <c r="E2638" s="534"/>
      <c r="F2638" s="534"/>
    </row>
    <row r="2639" spans="1:6" ht="15" customHeight="1">
      <c r="A2639" s="51"/>
      <c r="B2639" s="52" t="str">
        <f t="shared" si="156"/>
        <v/>
      </c>
      <c r="C2639" t="str">
        <f t="shared" si="155"/>
        <v/>
      </c>
      <c r="D2639" s="245" t="str">
        <f t="shared" si="157"/>
        <v/>
      </c>
      <c r="E2639" s="534"/>
      <c r="F2639" s="534"/>
    </row>
    <row r="2640" spans="1:6" ht="15" customHeight="1">
      <c r="A2640" s="51"/>
      <c r="B2640" s="52" t="str">
        <f t="shared" si="156"/>
        <v/>
      </c>
      <c r="C2640" t="str">
        <f t="shared" si="155"/>
        <v/>
      </c>
      <c r="D2640" s="245" t="str">
        <f t="shared" si="157"/>
        <v/>
      </c>
      <c r="E2640" s="534"/>
      <c r="F2640" s="534"/>
    </row>
    <row r="2641" spans="1:6" ht="15" customHeight="1">
      <c r="A2641" s="51"/>
      <c r="B2641" s="52" t="str">
        <f t="shared" si="156"/>
        <v/>
      </c>
      <c r="C2641" t="str">
        <f t="shared" si="155"/>
        <v/>
      </c>
      <c r="D2641" s="245" t="str">
        <f t="shared" si="157"/>
        <v/>
      </c>
      <c r="E2641" s="534"/>
      <c r="F2641" s="534"/>
    </row>
    <row r="2642" spans="1:6" ht="15" customHeight="1">
      <c r="A2642" s="51"/>
      <c r="B2642" s="52" t="str">
        <f t="shared" si="156"/>
        <v/>
      </c>
      <c r="C2642" t="str">
        <f t="shared" si="155"/>
        <v/>
      </c>
      <c r="D2642" s="245" t="str">
        <f t="shared" si="157"/>
        <v/>
      </c>
      <c r="E2642" s="534"/>
      <c r="F2642" s="534"/>
    </row>
    <row r="2643" spans="1:6" ht="15" customHeight="1">
      <c r="A2643" s="51"/>
      <c r="B2643" s="52" t="str">
        <f t="shared" si="156"/>
        <v/>
      </c>
      <c r="C2643" t="str">
        <f t="shared" si="155"/>
        <v/>
      </c>
      <c r="D2643" s="245" t="str">
        <f t="shared" si="157"/>
        <v/>
      </c>
      <c r="E2643" s="534"/>
      <c r="F2643" s="534"/>
    </row>
    <row r="2644" spans="1:6" ht="15" customHeight="1">
      <c r="A2644" s="51"/>
      <c r="B2644" s="52" t="str">
        <f t="shared" si="156"/>
        <v/>
      </c>
      <c r="C2644" t="str">
        <f t="shared" si="155"/>
        <v/>
      </c>
      <c r="D2644" s="245" t="str">
        <f t="shared" si="157"/>
        <v/>
      </c>
      <c r="E2644" s="534"/>
      <c r="F2644" s="534"/>
    </row>
    <row r="2645" spans="1:6" ht="15" customHeight="1">
      <c r="A2645" s="51"/>
      <c r="B2645" s="52" t="str">
        <f t="shared" si="156"/>
        <v/>
      </c>
      <c r="C2645" t="str">
        <f t="shared" si="155"/>
        <v/>
      </c>
      <c r="D2645" s="245" t="str">
        <f t="shared" si="157"/>
        <v/>
      </c>
      <c r="E2645" s="534"/>
      <c r="F2645" s="534"/>
    </row>
    <row r="2646" spans="1:6" ht="15" customHeight="1">
      <c r="A2646" s="51"/>
      <c r="B2646" s="52" t="str">
        <f t="shared" si="156"/>
        <v/>
      </c>
      <c r="C2646" t="str">
        <f t="shared" si="155"/>
        <v/>
      </c>
      <c r="D2646" s="245" t="str">
        <f t="shared" si="157"/>
        <v/>
      </c>
      <c r="E2646" s="534"/>
      <c r="F2646" s="534"/>
    </row>
    <row r="2647" spans="1:6" ht="15" customHeight="1">
      <c r="A2647" s="51"/>
      <c r="B2647" s="52" t="str">
        <f t="shared" si="156"/>
        <v/>
      </c>
      <c r="C2647" t="str">
        <f t="shared" si="155"/>
        <v/>
      </c>
      <c r="D2647" s="245" t="str">
        <f t="shared" si="157"/>
        <v/>
      </c>
      <c r="E2647" s="534"/>
      <c r="F2647" s="534"/>
    </row>
    <row r="2648" spans="1:6" ht="15" customHeight="1">
      <c r="A2648" s="51"/>
      <c r="B2648" s="52" t="str">
        <f t="shared" si="156"/>
        <v/>
      </c>
      <c r="C2648" t="str">
        <f t="shared" si="155"/>
        <v/>
      </c>
      <c r="D2648" s="245" t="str">
        <f t="shared" si="157"/>
        <v/>
      </c>
      <c r="E2648" s="534"/>
      <c r="F2648" s="534"/>
    </row>
    <row r="2649" spans="1:6" ht="15" customHeight="1">
      <c r="A2649" s="51"/>
      <c r="B2649" s="52" t="str">
        <f t="shared" si="156"/>
        <v/>
      </c>
      <c r="C2649" t="str">
        <f t="shared" si="155"/>
        <v/>
      </c>
      <c r="D2649" s="245" t="str">
        <f t="shared" si="157"/>
        <v/>
      </c>
      <c r="E2649" s="534"/>
      <c r="F2649" s="534"/>
    </row>
    <row r="2650" spans="1:6" ht="15" customHeight="1">
      <c r="A2650" s="51"/>
      <c r="B2650" s="52" t="str">
        <f t="shared" si="156"/>
        <v/>
      </c>
      <c r="C2650" t="str">
        <f t="shared" si="155"/>
        <v/>
      </c>
      <c r="D2650" s="245" t="str">
        <f t="shared" si="157"/>
        <v/>
      </c>
      <c r="E2650" s="534"/>
      <c r="F2650" s="534"/>
    </row>
    <row r="2651" spans="1:6" ht="15" customHeight="1">
      <c r="A2651" s="51"/>
      <c r="B2651" s="52" t="str">
        <f t="shared" si="156"/>
        <v/>
      </c>
      <c r="C2651" t="str">
        <f t="shared" si="155"/>
        <v/>
      </c>
      <c r="D2651" s="245" t="str">
        <f t="shared" si="157"/>
        <v/>
      </c>
      <c r="E2651" s="534"/>
      <c r="F2651" s="534"/>
    </row>
    <row r="2652" spans="1:6" ht="15" customHeight="1">
      <c r="A2652" s="51"/>
      <c r="B2652" s="52" t="str">
        <f t="shared" si="156"/>
        <v/>
      </c>
      <c r="C2652" t="str">
        <f t="shared" si="155"/>
        <v/>
      </c>
      <c r="D2652" s="245" t="str">
        <f t="shared" si="157"/>
        <v/>
      </c>
      <c r="E2652" s="534"/>
      <c r="F2652" s="534"/>
    </row>
    <row r="2653" spans="1:6" ht="15" customHeight="1">
      <c r="A2653" s="51"/>
      <c r="B2653" s="52" t="str">
        <f t="shared" si="156"/>
        <v/>
      </c>
      <c r="C2653" t="str">
        <f t="shared" si="155"/>
        <v/>
      </c>
      <c r="D2653" s="245" t="str">
        <f t="shared" si="157"/>
        <v/>
      </c>
      <c r="E2653" s="534"/>
      <c r="F2653" s="534"/>
    </row>
    <row r="2654" spans="1:6" ht="15" customHeight="1">
      <c r="A2654" s="51"/>
      <c r="B2654" s="52" t="str">
        <f t="shared" si="156"/>
        <v/>
      </c>
      <c r="C2654" t="str">
        <f t="shared" si="155"/>
        <v/>
      </c>
      <c r="D2654" s="245" t="str">
        <f t="shared" si="157"/>
        <v/>
      </c>
      <c r="E2654" s="534"/>
      <c r="F2654" s="534"/>
    </row>
    <row r="2655" spans="1:6" ht="15" customHeight="1">
      <c r="A2655" s="51"/>
      <c r="B2655" s="52" t="str">
        <f t="shared" si="156"/>
        <v/>
      </c>
      <c r="C2655" t="str">
        <f t="shared" si="155"/>
        <v/>
      </c>
      <c r="D2655" s="245" t="str">
        <f t="shared" si="157"/>
        <v/>
      </c>
      <c r="E2655" s="534"/>
      <c r="F2655" s="534"/>
    </row>
    <row r="2656" spans="1:6" ht="15" customHeight="1">
      <c r="A2656" s="51"/>
      <c r="B2656" s="52" t="str">
        <f t="shared" si="156"/>
        <v/>
      </c>
      <c r="C2656" t="str">
        <f t="shared" si="155"/>
        <v/>
      </c>
      <c r="D2656" s="245" t="str">
        <f t="shared" si="157"/>
        <v/>
      </c>
      <c r="E2656" s="534"/>
      <c r="F2656" s="534"/>
    </row>
    <row r="2657" spans="1:6" ht="15" customHeight="1">
      <c r="A2657" s="51"/>
      <c r="B2657" s="52" t="str">
        <f t="shared" si="156"/>
        <v/>
      </c>
      <c r="C2657" t="str">
        <f t="shared" si="155"/>
        <v/>
      </c>
      <c r="D2657" s="245" t="str">
        <f t="shared" si="157"/>
        <v/>
      </c>
      <c r="E2657" s="534"/>
      <c r="F2657" s="534"/>
    </row>
    <row r="2658" spans="1:6" ht="15" customHeight="1">
      <c r="A2658" s="51"/>
      <c r="B2658" s="52" t="str">
        <f t="shared" si="156"/>
        <v/>
      </c>
      <c r="C2658" t="str">
        <f t="shared" si="155"/>
        <v/>
      </c>
      <c r="D2658" s="245" t="str">
        <f t="shared" si="157"/>
        <v/>
      </c>
      <c r="E2658" s="534"/>
      <c r="F2658" s="534"/>
    </row>
    <row r="2659" spans="1:6" ht="15" customHeight="1">
      <c r="A2659" s="51"/>
      <c r="B2659" s="52" t="str">
        <f t="shared" si="156"/>
        <v/>
      </c>
      <c r="C2659" t="str">
        <f t="shared" si="155"/>
        <v/>
      </c>
      <c r="D2659" s="245" t="str">
        <f t="shared" si="157"/>
        <v/>
      </c>
      <c r="E2659" s="534"/>
      <c r="F2659" s="534"/>
    </row>
    <row r="2660" spans="1:6" ht="15" customHeight="1">
      <c r="A2660" s="51"/>
      <c r="B2660" s="52" t="str">
        <f t="shared" si="156"/>
        <v/>
      </c>
      <c r="C2660" t="str">
        <f t="shared" si="155"/>
        <v/>
      </c>
      <c r="D2660" s="245" t="str">
        <f t="shared" si="157"/>
        <v/>
      </c>
      <c r="E2660" s="534"/>
      <c r="F2660" s="534"/>
    </row>
    <row r="2661" spans="1:6" ht="15" customHeight="1">
      <c r="A2661" s="51"/>
      <c r="B2661" s="52" t="str">
        <f t="shared" si="156"/>
        <v/>
      </c>
      <c r="C2661" t="str">
        <f t="shared" si="155"/>
        <v/>
      </c>
      <c r="D2661" s="245" t="str">
        <f t="shared" si="157"/>
        <v/>
      </c>
      <c r="E2661" s="534"/>
      <c r="F2661" s="534"/>
    </row>
    <row r="2662" spans="1:6" ht="15" customHeight="1">
      <c r="A2662" s="51"/>
      <c r="B2662" s="52" t="str">
        <f t="shared" si="156"/>
        <v/>
      </c>
      <c r="C2662" t="str">
        <f t="shared" si="155"/>
        <v/>
      </c>
      <c r="D2662" s="245" t="str">
        <f t="shared" si="157"/>
        <v/>
      </c>
      <c r="E2662" s="534"/>
      <c r="F2662" s="534"/>
    </row>
    <row r="2663" spans="1:6" ht="15" customHeight="1">
      <c r="A2663" s="51"/>
      <c r="B2663" s="52" t="str">
        <f t="shared" si="156"/>
        <v/>
      </c>
      <c r="C2663" t="str">
        <f t="shared" si="155"/>
        <v/>
      </c>
      <c r="D2663" s="245" t="str">
        <f t="shared" si="157"/>
        <v/>
      </c>
      <c r="E2663" s="534"/>
      <c r="F2663" s="534"/>
    </row>
    <row r="2664" spans="1:6" ht="15" customHeight="1">
      <c r="A2664" s="51"/>
      <c r="B2664" s="52" t="str">
        <f t="shared" si="156"/>
        <v/>
      </c>
      <c r="C2664" t="str">
        <f t="shared" si="155"/>
        <v/>
      </c>
      <c r="D2664" s="245" t="str">
        <f t="shared" si="157"/>
        <v/>
      </c>
      <c r="E2664" s="534"/>
      <c r="F2664" s="534"/>
    </row>
    <row r="2665" spans="1:6" ht="15" customHeight="1">
      <c r="A2665" s="51"/>
      <c r="B2665" s="52" t="str">
        <f t="shared" si="156"/>
        <v/>
      </c>
      <c r="C2665" t="str">
        <f t="shared" si="155"/>
        <v/>
      </c>
      <c r="D2665" s="245" t="str">
        <f t="shared" si="157"/>
        <v/>
      </c>
      <c r="E2665" s="534"/>
      <c r="F2665" s="534"/>
    </row>
    <row r="2666" spans="1:6" ht="15" customHeight="1">
      <c r="A2666" s="51"/>
      <c r="B2666" s="52" t="str">
        <f t="shared" si="156"/>
        <v/>
      </c>
      <c r="C2666" t="str">
        <f t="shared" si="155"/>
        <v/>
      </c>
      <c r="D2666" s="245" t="str">
        <f t="shared" si="157"/>
        <v/>
      </c>
      <c r="E2666" s="534"/>
      <c r="F2666" s="534"/>
    </row>
    <row r="2667" spans="1:6" ht="15" customHeight="1">
      <c r="A2667" s="51"/>
      <c r="B2667" s="52" t="str">
        <f t="shared" si="156"/>
        <v/>
      </c>
      <c r="C2667" t="str">
        <f t="shared" si="155"/>
        <v/>
      </c>
      <c r="D2667" s="245" t="str">
        <f t="shared" si="157"/>
        <v/>
      </c>
      <c r="E2667" s="534"/>
      <c r="F2667" s="534"/>
    </row>
    <row r="2668" spans="1:6" ht="15" customHeight="1">
      <c r="A2668" s="51"/>
      <c r="B2668" s="52" t="str">
        <f t="shared" si="156"/>
        <v/>
      </c>
      <c r="C2668" t="str">
        <f t="shared" si="155"/>
        <v/>
      </c>
      <c r="D2668" s="245" t="str">
        <f t="shared" si="157"/>
        <v/>
      </c>
      <c r="E2668" s="534"/>
      <c r="F2668" s="534"/>
    </row>
    <row r="2669" spans="1:6" ht="15" customHeight="1">
      <c r="A2669" s="51"/>
      <c r="B2669" s="52" t="str">
        <f t="shared" si="156"/>
        <v/>
      </c>
      <c r="C2669" t="str">
        <f t="shared" si="155"/>
        <v/>
      </c>
      <c r="D2669" s="245" t="str">
        <f t="shared" si="157"/>
        <v/>
      </c>
      <c r="E2669" s="534"/>
      <c r="F2669" s="534"/>
    </row>
    <row r="2670" spans="1:6" ht="15" customHeight="1">
      <c r="A2670" s="51"/>
      <c r="B2670" s="52" t="str">
        <f t="shared" si="156"/>
        <v/>
      </c>
      <c r="C2670" t="str">
        <f t="shared" si="155"/>
        <v/>
      </c>
      <c r="D2670" s="245" t="str">
        <f t="shared" si="157"/>
        <v/>
      </c>
      <c r="E2670" s="534"/>
      <c r="F2670" s="534"/>
    </row>
    <row r="2671" spans="1:6" ht="15" customHeight="1">
      <c r="A2671" s="51"/>
      <c r="B2671" s="52" t="str">
        <f t="shared" si="156"/>
        <v/>
      </c>
      <c r="C2671" t="str">
        <f t="shared" si="155"/>
        <v/>
      </c>
      <c r="D2671" s="245" t="str">
        <f t="shared" si="157"/>
        <v/>
      </c>
      <c r="E2671" s="534"/>
      <c r="F2671" s="534"/>
    </row>
    <row r="2672" spans="1:6" ht="15" customHeight="1">
      <c r="A2672" s="51"/>
      <c r="B2672" s="52" t="str">
        <f t="shared" si="156"/>
        <v/>
      </c>
      <c r="C2672" t="str">
        <f t="shared" si="155"/>
        <v/>
      </c>
      <c r="D2672" s="245" t="str">
        <f t="shared" si="157"/>
        <v/>
      </c>
      <c r="E2672" s="534"/>
      <c r="F2672" s="534"/>
    </row>
    <row r="2673" spans="1:6" ht="15" customHeight="1">
      <c r="A2673" s="51"/>
      <c r="B2673" s="52" t="str">
        <f t="shared" si="156"/>
        <v/>
      </c>
      <c r="C2673" t="str">
        <f t="shared" si="155"/>
        <v/>
      </c>
      <c r="D2673" s="245" t="str">
        <f t="shared" si="157"/>
        <v/>
      </c>
      <c r="E2673" s="534"/>
      <c r="F2673" s="534"/>
    </row>
    <row r="2674" spans="1:6" ht="15" customHeight="1">
      <c r="A2674" s="51"/>
      <c r="B2674" s="52" t="str">
        <f t="shared" si="156"/>
        <v/>
      </c>
      <c r="C2674" t="str">
        <f t="shared" si="155"/>
        <v/>
      </c>
      <c r="D2674" s="245" t="str">
        <f t="shared" si="157"/>
        <v/>
      </c>
      <c r="E2674" s="534"/>
      <c r="F2674" s="534"/>
    </row>
    <row r="2675" spans="1:6" ht="15" customHeight="1">
      <c r="A2675" s="51"/>
      <c r="B2675" s="52" t="str">
        <f t="shared" si="156"/>
        <v/>
      </c>
      <c r="C2675" t="str">
        <f t="shared" si="155"/>
        <v/>
      </c>
      <c r="D2675" s="245" t="str">
        <f t="shared" si="157"/>
        <v/>
      </c>
      <c r="E2675" s="534"/>
      <c r="F2675" s="534"/>
    </row>
    <row r="2676" spans="1:6" ht="15" customHeight="1">
      <c r="A2676" s="51"/>
      <c r="B2676" s="52" t="str">
        <f t="shared" si="156"/>
        <v/>
      </c>
      <c r="C2676" t="str">
        <f t="shared" si="155"/>
        <v/>
      </c>
      <c r="D2676" s="245" t="str">
        <f t="shared" si="157"/>
        <v/>
      </c>
      <c r="E2676" s="534"/>
      <c r="F2676" s="534"/>
    </row>
    <row r="2677" spans="1:6" ht="15" customHeight="1">
      <c r="A2677" s="51"/>
      <c r="B2677" s="52" t="str">
        <f t="shared" si="156"/>
        <v/>
      </c>
      <c r="C2677" t="str">
        <f t="shared" si="155"/>
        <v/>
      </c>
      <c r="D2677" s="245" t="str">
        <f t="shared" si="157"/>
        <v/>
      </c>
      <c r="E2677" s="534"/>
      <c r="F2677" s="534"/>
    </row>
    <row r="2678" spans="1:6" ht="15" customHeight="1">
      <c r="A2678" s="51"/>
      <c r="B2678" s="52" t="str">
        <f t="shared" si="156"/>
        <v/>
      </c>
      <c r="C2678" t="str">
        <f t="shared" si="155"/>
        <v/>
      </c>
      <c r="D2678" s="245" t="str">
        <f t="shared" si="157"/>
        <v/>
      </c>
      <c r="E2678" s="534"/>
      <c r="F2678" s="534"/>
    </row>
    <row r="2679" spans="1:6" ht="15" customHeight="1">
      <c r="A2679" s="51"/>
      <c r="B2679" s="52" t="str">
        <f t="shared" si="156"/>
        <v/>
      </c>
      <c r="C2679" t="str">
        <f t="shared" si="155"/>
        <v/>
      </c>
      <c r="D2679" s="245" t="str">
        <f t="shared" si="157"/>
        <v/>
      </c>
      <c r="E2679" s="534"/>
      <c r="F2679" s="534"/>
    </row>
    <row r="2680" spans="1:6" ht="15" customHeight="1">
      <c r="A2680" s="51"/>
      <c r="B2680" s="52" t="str">
        <f t="shared" si="156"/>
        <v/>
      </c>
      <c r="C2680" t="str">
        <f t="shared" si="155"/>
        <v/>
      </c>
      <c r="D2680" s="245" t="str">
        <f t="shared" si="157"/>
        <v/>
      </c>
      <c r="E2680" s="534"/>
      <c r="F2680" s="534"/>
    </row>
    <row r="2681" spans="1:6" ht="15" customHeight="1">
      <c r="A2681" s="51"/>
      <c r="B2681" s="52" t="str">
        <f t="shared" si="156"/>
        <v/>
      </c>
      <c r="C2681" t="str">
        <f t="shared" si="155"/>
        <v/>
      </c>
      <c r="D2681" s="245" t="str">
        <f t="shared" si="157"/>
        <v/>
      </c>
      <c r="E2681" s="534"/>
      <c r="F2681" s="534"/>
    </row>
    <row r="2682" spans="1:6" ht="15" customHeight="1">
      <c r="A2682" s="51"/>
      <c r="B2682" s="52" t="str">
        <f t="shared" si="156"/>
        <v/>
      </c>
      <c r="C2682" t="str">
        <f t="shared" si="155"/>
        <v/>
      </c>
      <c r="D2682" s="245" t="str">
        <f t="shared" si="157"/>
        <v/>
      </c>
      <c r="E2682" s="534"/>
      <c r="F2682" s="534"/>
    </row>
    <row r="2683" spans="1:6" ht="15" customHeight="1">
      <c r="A2683" s="51"/>
      <c r="B2683" s="52" t="str">
        <f t="shared" si="156"/>
        <v/>
      </c>
      <c r="C2683" t="str">
        <f t="shared" si="155"/>
        <v/>
      </c>
      <c r="D2683" s="245" t="str">
        <f t="shared" si="157"/>
        <v/>
      </c>
      <c r="E2683" s="534"/>
      <c r="F2683" s="534"/>
    </row>
    <row r="2684" spans="1:6" ht="15" customHeight="1">
      <c r="A2684" s="51"/>
      <c r="B2684" s="52" t="str">
        <f t="shared" si="156"/>
        <v/>
      </c>
      <c r="C2684" t="str">
        <f t="shared" si="155"/>
        <v/>
      </c>
      <c r="D2684" s="245" t="str">
        <f t="shared" si="157"/>
        <v/>
      </c>
      <c r="E2684" s="534"/>
      <c r="F2684" s="534"/>
    </row>
    <row r="2685" spans="1:6" ht="15" customHeight="1">
      <c r="A2685" s="51"/>
      <c r="B2685" s="52" t="str">
        <f t="shared" si="156"/>
        <v/>
      </c>
      <c r="C2685" t="str">
        <f t="shared" si="155"/>
        <v/>
      </c>
      <c r="D2685" s="245" t="str">
        <f t="shared" si="157"/>
        <v/>
      </c>
      <c r="E2685" s="534"/>
      <c r="F2685" s="534"/>
    </row>
    <row r="2686" spans="1:6" ht="15" customHeight="1">
      <c r="A2686" s="51"/>
      <c r="B2686" s="52" t="str">
        <f t="shared" si="156"/>
        <v/>
      </c>
      <c r="C2686" t="str">
        <f t="shared" si="155"/>
        <v/>
      </c>
      <c r="D2686" s="245" t="str">
        <f t="shared" si="157"/>
        <v/>
      </c>
      <c r="E2686" s="534"/>
      <c r="F2686" s="534"/>
    </row>
    <row r="2687" spans="1:6" ht="15" customHeight="1">
      <c r="A2687" s="51"/>
      <c r="B2687" s="52" t="str">
        <f t="shared" si="156"/>
        <v/>
      </c>
      <c r="C2687" t="str">
        <f t="shared" si="155"/>
        <v/>
      </c>
      <c r="D2687" s="245" t="str">
        <f t="shared" si="157"/>
        <v/>
      </c>
      <c r="E2687" s="534"/>
      <c r="F2687" s="534"/>
    </row>
    <row r="2688" spans="1:6" ht="15" customHeight="1">
      <c r="A2688" s="51"/>
      <c r="B2688" s="52" t="str">
        <f t="shared" si="156"/>
        <v/>
      </c>
      <c r="C2688" t="str">
        <f t="shared" si="155"/>
        <v/>
      </c>
      <c r="D2688" s="245" t="str">
        <f t="shared" si="157"/>
        <v/>
      </c>
      <c r="E2688" s="534"/>
      <c r="F2688" s="534"/>
    </row>
    <row r="2689" spans="1:6" ht="15" customHeight="1">
      <c r="A2689" s="51"/>
      <c r="B2689" s="52" t="str">
        <f t="shared" si="156"/>
        <v/>
      </c>
      <c r="C2689" t="str">
        <f t="shared" si="155"/>
        <v/>
      </c>
      <c r="D2689" s="245" t="str">
        <f t="shared" si="157"/>
        <v/>
      </c>
      <c r="E2689" s="534"/>
      <c r="F2689" s="534"/>
    </row>
    <row r="2690" spans="1:6" ht="15" customHeight="1">
      <c r="A2690" s="51"/>
      <c r="B2690" s="52" t="str">
        <f t="shared" si="156"/>
        <v/>
      </c>
      <c r="C2690" t="str">
        <f t="shared" ref="C2690:C2753" si="158">IF(A2690&lt;&gt;"",TEXT(A2690,"aaaa"),"")</f>
        <v/>
      </c>
      <c r="D2690" s="245" t="str">
        <f t="shared" si="157"/>
        <v/>
      </c>
      <c r="E2690" s="534"/>
      <c r="F2690" s="534"/>
    </row>
    <row r="2691" spans="1:6" ht="15" customHeight="1">
      <c r="A2691" s="51"/>
      <c r="B2691" s="52" t="str">
        <f t="shared" si="156"/>
        <v/>
      </c>
      <c r="C2691" t="str">
        <f t="shared" si="158"/>
        <v/>
      </c>
      <c r="D2691" s="245" t="str">
        <f t="shared" si="157"/>
        <v/>
      </c>
      <c r="E2691" s="534"/>
      <c r="F2691" s="534"/>
    </row>
    <row r="2692" spans="1:6" ht="15" customHeight="1">
      <c r="A2692" s="51"/>
      <c r="B2692" s="52" t="str">
        <f t="shared" si="156"/>
        <v/>
      </c>
      <c r="C2692" t="str">
        <f t="shared" si="158"/>
        <v/>
      </c>
      <c r="D2692" s="245" t="str">
        <f t="shared" si="157"/>
        <v/>
      </c>
      <c r="E2692" s="534"/>
      <c r="F2692" s="534"/>
    </row>
    <row r="2693" spans="1:6" ht="15" customHeight="1">
      <c r="A2693" s="51"/>
      <c r="B2693" s="52" t="str">
        <f t="shared" si="156"/>
        <v/>
      </c>
      <c r="C2693" t="str">
        <f t="shared" si="158"/>
        <v/>
      </c>
      <c r="D2693" s="245" t="str">
        <f t="shared" si="157"/>
        <v/>
      </c>
      <c r="E2693" s="534"/>
      <c r="F2693" s="534"/>
    </row>
    <row r="2694" spans="1:6" ht="15" customHeight="1">
      <c r="A2694" s="51"/>
      <c r="B2694" s="52" t="str">
        <f t="shared" si="156"/>
        <v/>
      </c>
      <c r="C2694" t="str">
        <f t="shared" si="158"/>
        <v/>
      </c>
      <c r="D2694" s="245" t="str">
        <f t="shared" si="157"/>
        <v/>
      </c>
      <c r="E2694" s="534"/>
      <c r="F2694" s="534"/>
    </row>
    <row r="2695" spans="1:6" ht="15" customHeight="1">
      <c r="A2695" s="51"/>
      <c r="B2695" s="52" t="str">
        <f t="shared" si="156"/>
        <v/>
      </c>
      <c r="C2695" t="str">
        <f t="shared" si="158"/>
        <v/>
      </c>
      <c r="D2695" s="245" t="str">
        <f t="shared" si="157"/>
        <v/>
      </c>
      <c r="E2695" s="534"/>
      <c r="F2695" s="534"/>
    </row>
    <row r="2696" spans="1:6" ht="15" customHeight="1">
      <c r="A2696" s="51"/>
      <c r="B2696" s="52" t="str">
        <f t="shared" ref="B2696:B2759" si="159">IF(A2696="","",TEXT(A2696,"DDDD"))</f>
        <v/>
      </c>
      <c r="C2696" t="str">
        <f t="shared" si="158"/>
        <v/>
      </c>
      <c r="D2696" s="245" t="str">
        <f t="shared" si="157"/>
        <v/>
      </c>
      <c r="E2696" s="534"/>
      <c r="F2696" s="534"/>
    </row>
    <row r="2697" spans="1:6" ht="15" customHeight="1">
      <c r="A2697" s="51"/>
      <c r="B2697" s="52" t="str">
        <f t="shared" si="159"/>
        <v/>
      </c>
      <c r="C2697" t="str">
        <f t="shared" si="158"/>
        <v/>
      </c>
      <c r="D2697" s="245" t="str">
        <f t="shared" ref="D2697:D2760" si="160">IF(A2697&lt;&gt;"",PROPER(TEXT(A2697,"Mmmm")),"")</f>
        <v/>
      </c>
      <c r="E2697" s="534"/>
      <c r="F2697" s="534"/>
    </row>
    <row r="2698" spans="1:6" ht="15" customHeight="1">
      <c r="A2698" s="51"/>
      <c r="B2698" s="52" t="str">
        <f t="shared" si="159"/>
        <v/>
      </c>
      <c r="C2698" t="str">
        <f t="shared" si="158"/>
        <v/>
      </c>
      <c r="D2698" s="245" t="str">
        <f t="shared" si="160"/>
        <v/>
      </c>
      <c r="E2698" s="534"/>
      <c r="F2698" s="534"/>
    </row>
    <row r="2699" spans="1:6" ht="15" customHeight="1">
      <c r="A2699" s="51"/>
      <c r="B2699" s="52" t="str">
        <f t="shared" si="159"/>
        <v/>
      </c>
      <c r="C2699" t="str">
        <f t="shared" si="158"/>
        <v/>
      </c>
      <c r="D2699" s="245" t="str">
        <f t="shared" si="160"/>
        <v/>
      </c>
      <c r="E2699" s="534"/>
      <c r="F2699" s="534"/>
    </row>
    <row r="2700" spans="1:6" ht="15" customHeight="1">
      <c r="A2700" s="51"/>
      <c r="B2700" s="52" t="str">
        <f t="shared" si="159"/>
        <v/>
      </c>
      <c r="C2700" t="str">
        <f t="shared" si="158"/>
        <v/>
      </c>
      <c r="D2700" s="245" t="str">
        <f t="shared" si="160"/>
        <v/>
      </c>
      <c r="E2700" s="534"/>
      <c r="F2700" s="534"/>
    </row>
    <row r="2701" spans="1:6" ht="15" customHeight="1">
      <c r="A2701" s="51"/>
      <c r="B2701" s="52" t="str">
        <f t="shared" si="159"/>
        <v/>
      </c>
      <c r="C2701" t="str">
        <f t="shared" si="158"/>
        <v/>
      </c>
      <c r="D2701" s="245" t="str">
        <f t="shared" si="160"/>
        <v/>
      </c>
      <c r="E2701" s="534"/>
      <c r="F2701" s="534"/>
    </row>
    <row r="2702" spans="1:6" ht="15" customHeight="1">
      <c r="A2702" s="51"/>
      <c r="B2702" s="52" t="str">
        <f t="shared" si="159"/>
        <v/>
      </c>
      <c r="C2702" t="str">
        <f t="shared" si="158"/>
        <v/>
      </c>
      <c r="D2702" s="245" t="str">
        <f t="shared" si="160"/>
        <v/>
      </c>
      <c r="E2702" s="534"/>
      <c r="F2702" s="534"/>
    </row>
    <row r="2703" spans="1:6" ht="15" customHeight="1">
      <c r="A2703" s="51"/>
      <c r="B2703" s="52" t="str">
        <f t="shared" si="159"/>
        <v/>
      </c>
      <c r="C2703" t="str">
        <f t="shared" si="158"/>
        <v/>
      </c>
      <c r="D2703" s="245" t="str">
        <f t="shared" si="160"/>
        <v/>
      </c>
      <c r="E2703" s="534"/>
      <c r="F2703" s="534"/>
    </row>
    <row r="2704" spans="1:6" ht="15" customHeight="1">
      <c r="A2704" s="51"/>
      <c r="B2704" s="52" t="str">
        <f t="shared" si="159"/>
        <v/>
      </c>
      <c r="C2704" t="str">
        <f t="shared" si="158"/>
        <v/>
      </c>
      <c r="D2704" s="245" t="str">
        <f t="shared" si="160"/>
        <v/>
      </c>
      <c r="E2704" s="534"/>
      <c r="F2704" s="534"/>
    </row>
    <row r="2705" spans="1:6" ht="15" customHeight="1">
      <c r="A2705" s="51"/>
      <c r="B2705" s="52" t="str">
        <f t="shared" si="159"/>
        <v/>
      </c>
      <c r="C2705" t="str">
        <f t="shared" si="158"/>
        <v/>
      </c>
      <c r="D2705" s="245" t="str">
        <f t="shared" si="160"/>
        <v/>
      </c>
      <c r="E2705" s="534"/>
      <c r="F2705" s="534"/>
    </row>
    <row r="2706" spans="1:6" ht="15" customHeight="1">
      <c r="A2706" s="51"/>
      <c r="B2706" s="52" t="str">
        <f t="shared" si="159"/>
        <v/>
      </c>
      <c r="C2706" t="str">
        <f t="shared" si="158"/>
        <v/>
      </c>
      <c r="D2706" s="245" t="str">
        <f t="shared" si="160"/>
        <v/>
      </c>
      <c r="E2706" s="534"/>
      <c r="F2706" s="534"/>
    </row>
    <row r="2707" spans="1:6" ht="15" customHeight="1">
      <c r="A2707" s="51"/>
      <c r="B2707" s="52" t="str">
        <f t="shared" si="159"/>
        <v/>
      </c>
      <c r="C2707" t="str">
        <f t="shared" si="158"/>
        <v/>
      </c>
      <c r="D2707" s="245" t="str">
        <f t="shared" si="160"/>
        <v/>
      </c>
      <c r="E2707" s="534"/>
      <c r="F2707" s="534"/>
    </row>
    <row r="2708" spans="1:6" ht="15" customHeight="1">
      <c r="A2708" s="51"/>
      <c r="B2708" s="52" t="str">
        <f t="shared" si="159"/>
        <v/>
      </c>
      <c r="C2708" t="str">
        <f t="shared" si="158"/>
        <v/>
      </c>
      <c r="D2708" s="245" t="str">
        <f t="shared" si="160"/>
        <v/>
      </c>
      <c r="E2708" s="534"/>
      <c r="F2708" s="534"/>
    </row>
    <row r="2709" spans="1:6" ht="15" customHeight="1">
      <c r="A2709" s="51"/>
      <c r="B2709" s="52" t="str">
        <f t="shared" si="159"/>
        <v/>
      </c>
      <c r="C2709" t="str">
        <f t="shared" si="158"/>
        <v/>
      </c>
      <c r="D2709" s="245" t="str">
        <f t="shared" si="160"/>
        <v/>
      </c>
      <c r="E2709" s="534"/>
      <c r="F2709" s="534"/>
    </row>
    <row r="2710" spans="1:6" ht="15" customHeight="1">
      <c r="A2710" s="51"/>
      <c r="B2710" s="52" t="str">
        <f t="shared" si="159"/>
        <v/>
      </c>
      <c r="C2710" t="str">
        <f t="shared" si="158"/>
        <v/>
      </c>
      <c r="D2710" s="245" t="str">
        <f t="shared" si="160"/>
        <v/>
      </c>
      <c r="E2710" s="534"/>
      <c r="F2710" s="534"/>
    </row>
    <row r="2711" spans="1:6" ht="15" customHeight="1">
      <c r="A2711" s="51"/>
      <c r="B2711" s="52" t="str">
        <f t="shared" si="159"/>
        <v/>
      </c>
      <c r="C2711" t="str">
        <f t="shared" si="158"/>
        <v/>
      </c>
      <c r="D2711" s="245" t="str">
        <f t="shared" si="160"/>
        <v/>
      </c>
      <c r="E2711" s="534"/>
      <c r="F2711" s="534"/>
    </row>
    <row r="2712" spans="1:6" ht="15" customHeight="1">
      <c r="A2712" s="51"/>
      <c r="B2712" s="52" t="str">
        <f t="shared" si="159"/>
        <v/>
      </c>
      <c r="C2712" t="str">
        <f t="shared" si="158"/>
        <v/>
      </c>
      <c r="D2712" s="245" t="str">
        <f t="shared" si="160"/>
        <v/>
      </c>
      <c r="E2712" s="534"/>
      <c r="F2712" s="534"/>
    </row>
    <row r="2713" spans="1:6" ht="15" customHeight="1">
      <c r="A2713" s="51"/>
      <c r="B2713" s="52" t="str">
        <f t="shared" si="159"/>
        <v/>
      </c>
      <c r="C2713" t="str">
        <f t="shared" si="158"/>
        <v/>
      </c>
      <c r="D2713" s="245" t="str">
        <f t="shared" si="160"/>
        <v/>
      </c>
      <c r="E2713" s="534"/>
      <c r="F2713" s="534"/>
    </row>
    <row r="2714" spans="1:6" ht="15" customHeight="1">
      <c r="A2714" s="51"/>
      <c r="B2714" s="52" t="str">
        <f t="shared" si="159"/>
        <v/>
      </c>
      <c r="C2714" t="str">
        <f t="shared" si="158"/>
        <v/>
      </c>
      <c r="D2714" s="245" t="str">
        <f t="shared" si="160"/>
        <v/>
      </c>
      <c r="E2714" s="534"/>
      <c r="F2714" s="534"/>
    </row>
    <row r="2715" spans="1:6" ht="15" customHeight="1">
      <c r="A2715" s="51"/>
      <c r="B2715" s="52" t="str">
        <f t="shared" si="159"/>
        <v/>
      </c>
      <c r="C2715" t="str">
        <f t="shared" si="158"/>
        <v/>
      </c>
      <c r="D2715" s="245" t="str">
        <f t="shared" si="160"/>
        <v/>
      </c>
      <c r="E2715" s="534"/>
      <c r="F2715" s="534"/>
    </row>
    <row r="2716" spans="1:6" ht="15" customHeight="1">
      <c r="A2716" s="51"/>
      <c r="B2716" s="52" t="str">
        <f t="shared" si="159"/>
        <v/>
      </c>
      <c r="C2716" t="str">
        <f t="shared" si="158"/>
        <v/>
      </c>
      <c r="D2716" s="245" t="str">
        <f t="shared" si="160"/>
        <v/>
      </c>
      <c r="E2716" s="534"/>
      <c r="F2716" s="534"/>
    </row>
    <row r="2717" spans="1:6" ht="15" customHeight="1">
      <c r="A2717" s="51"/>
      <c r="B2717" s="52" t="str">
        <f t="shared" si="159"/>
        <v/>
      </c>
      <c r="C2717" t="str">
        <f t="shared" si="158"/>
        <v/>
      </c>
      <c r="D2717" s="245" t="str">
        <f t="shared" si="160"/>
        <v/>
      </c>
      <c r="E2717" s="534"/>
      <c r="F2717" s="534"/>
    </row>
    <row r="2718" spans="1:6" ht="15" customHeight="1">
      <c r="A2718" s="51"/>
      <c r="B2718" s="52" t="str">
        <f t="shared" si="159"/>
        <v/>
      </c>
      <c r="C2718" t="str">
        <f t="shared" si="158"/>
        <v/>
      </c>
      <c r="D2718" s="245" t="str">
        <f t="shared" si="160"/>
        <v/>
      </c>
      <c r="E2718" s="534"/>
      <c r="F2718" s="534"/>
    </row>
    <row r="2719" spans="1:6" ht="15" customHeight="1">
      <c r="A2719" s="51"/>
      <c r="B2719" s="52" t="str">
        <f t="shared" si="159"/>
        <v/>
      </c>
      <c r="C2719" t="str">
        <f t="shared" si="158"/>
        <v/>
      </c>
      <c r="D2719" s="245" t="str">
        <f t="shared" si="160"/>
        <v/>
      </c>
      <c r="E2719" s="534"/>
      <c r="F2719" s="534"/>
    </row>
    <row r="2720" spans="1:6" ht="15" customHeight="1">
      <c r="A2720" s="51"/>
      <c r="B2720" s="52" t="str">
        <f t="shared" si="159"/>
        <v/>
      </c>
      <c r="C2720" t="str">
        <f t="shared" si="158"/>
        <v/>
      </c>
      <c r="D2720" s="245" t="str">
        <f t="shared" si="160"/>
        <v/>
      </c>
      <c r="E2720" s="534"/>
      <c r="F2720" s="534"/>
    </row>
    <row r="2721" spans="1:6" ht="15" customHeight="1">
      <c r="A2721" s="51"/>
      <c r="B2721" s="52" t="str">
        <f t="shared" si="159"/>
        <v/>
      </c>
      <c r="C2721" t="str">
        <f t="shared" si="158"/>
        <v/>
      </c>
      <c r="D2721" s="245" t="str">
        <f t="shared" si="160"/>
        <v/>
      </c>
      <c r="E2721" s="534"/>
      <c r="F2721" s="534"/>
    </row>
    <row r="2722" spans="1:6" ht="15" customHeight="1">
      <c r="A2722" s="51"/>
      <c r="B2722" s="52" t="str">
        <f t="shared" si="159"/>
        <v/>
      </c>
      <c r="C2722" t="str">
        <f t="shared" si="158"/>
        <v/>
      </c>
      <c r="D2722" s="245" t="str">
        <f t="shared" si="160"/>
        <v/>
      </c>
      <c r="E2722" s="534"/>
      <c r="F2722" s="534"/>
    </row>
    <row r="2723" spans="1:6" ht="15" customHeight="1">
      <c r="A2723" s="51"/>
      <c r="B2723" s="52" t="str">
        <f t="shared" si="159"/>
        <v/>
      </c>
      <c r="C2723" t="str">
        <f t="shared" si="158"/>
        <v/>
      </c>
      <c r="D2723" s="245" t="str">
        <f t="shared" si="160"/>
        <v/>
      </c>
      <c r="E2723" s="534"/>
      <c r="F2723" s="534"/>
    </row>
    <row r="2724" spans="1:6" ht="15" customHeight="1">
      <c r="A2724" s="51"/>
      <c r="B2724" s="52" t="str">
        <f t="shared" si="159"/>
        <v/>
      </c>
      <c r="C2724" t="str">
        <f t="shared" si="158"/>
        <v/>
      </c>
      <c r="D2724" s="245" t="str">
        <f t="shared" si="160"/>
        <v/>
      </c>
      <c r="E2724" s="534"/>
      <c r="F2724" s="534"/>
    </row>
    <row r="2725" spans="1:6" ht="15" customHeight="1">
      <c r="A2725" s="51"/>
      <c r="B2725" s="52" t="str">
        <f t="shared" si="159"/>
        <v/>
      </c>
      <c r="C2725" t="str">
        <f t="shared" si="158"/>
        <v/>
      </c>
      <c r="D2725" s="245" t="str">
        <f t="shared" si="160"/>
        <v/>
      </c>
      <c r="E2725" s="534"/>
      <c r="F2725" s="534"/>
    </row>
    <row r="2726" spans="1:6" ht="15" customHeight="1">
      <c r="A2726" s="51"/>
      <c r="B2726" s="52" t="str">
        <f t="shared" si="159"/>
        <v/>
      </c>
      <c r="C2726" t="str">
        <f t="shared" si="158"/>
        <v/>
      </c>
      <c r="D2726" s="245" t="str">
        <f t="shared" si="160"/>
        <v/>
      </c>
      <c r="E2726" s="534"/>
      <c r="F2726" s="534"/>
    </row>
    <row r="2727" spans="1:6" ht="15" customHeight="1">
      <c r="A2727" s="51"/>
      <c r="B2727" s="52" t="str">
        <f t="shared" si="159"/>
        <v/>
      </c>
      <c r="C2727" t="str">
        <f t="shared" si="158"/>
        <v/>
      </c>
      <c r="D2727" s="245" t="str">
        <f t="shared" si="160"/>
        <v/>
      </c>
      <c r="E2727" s="534"/>
      <c r="F2727" s="534"/>
    </row>
    <row r="2728" spans="1:6" ht="15" customHeight="1">
      <c r="A2728" s="51"/>
      <c r="B2728" s="52" t="str">
        <f t="shared" si="159"/>
        <v/>
      </c>
      <c r="C2728" t="str">
        <f t="shared" si="158"/>
        <v/>
      </c>
      <c r="D2728" s="245" t="str">
        <f t="shared" si="160"/>
        <v/>
      </c>
      <c r="E2728" s="534"/>
      <c r="F2728" s="534"/>
    </row>
    <row r="2729" spans="1:6" ht="15" customHeight="1">
      <c r="A2729" s="51"/>
      <c r="B2729" s="52" t="str">
        <f t="shared" si="159"/>
        <v/>
      </c>
      <c r="C2729" t="str">
        <f t="shared" si="158"/>
        <v/>
      </c>
      <c r="D2729" s="245" t="str">
        <f t="shared" si="160"/>
        <v/>
      </c>
      <c r="E2729" s="534"/>
      <c r="F2729" s="534"/>
    </row>
    <row r="2730" spans="1:6" ht="15" customHeight="1">
      <c r="A2730" s="51"/>
      <c r="B2730" s="52" t="str">
        <f t="shared" si="159"/>
        <v/>
      </c>
      <c r="C2730" t="str">
        <f t="shared" si="158"/>
        <v/>
      </c>
      <c r="D2730" s="245" t="str">
        <f t="shared" si="160"/>
        <v/>
      </c>
      <c r="E2730" s="534"/>
      <c r="F2730" s="534"/>
    </row>
    <row r="2731" spans="1:6" ht="15" customHeight="1">
      <c r="A2731" s="51"/>
      <c r="B2731" s="52" t="str">
        <f t="shared" si="159"/>
        <v/>
      </c>
      <c r="C2731" t="str">
        <f t="shared" si="158"/>
        <v/>
      </c>
      <c r="D2731" s="245" t="str">
        <f t="shared" si="160"/>
        <v/>
      </c>
      <c r="E2731" s="534"/>
      <c r="F2731" s="534"/>
    </row>
    <row r="2732" spans="1:6" ht="15" customHeight="1">
      <c r="A2732" s="51"/>
      <c r="B2732" s="52" t="str">
        <f t="shared" si="159"/>
        <v/>
      </c>
      <c r="C2732" t="str">
        <f t="shared" si="158"/>
        <v/>
      </c>
      <c r="D2732" s="245" t="str">
        <f t="shared" si="160"/>
        <v/>
      </c>
      <c r="E2732" s="534"/>
      <c r="F2732" s="534"/>
    </row>
    <row r="2733" spans="1:6" ht="15" customHeight="1">
      <c r="A2733" s="51"/>
      <c r="B2733" s="52" t="str">
        <f t="shared" si="159"/>
        <v/>
      </c>
      <c r="C2733" t="str">
        <f t="shared" si="158"/>
        <v/>
      </c>
      <c r="D2733" s="245" t="str">
        <f t="shared" si="160"/>
        <v/>
      </c>
      <c r="E2733" s="534"/>
      <c r="F2733" s="534"/>
    </row>
    <row r="2734" spans="1:6" ht="15" customHeight="1">
      <c r="A2734" s="51"/>
      <c r="B2734" s="52" t="str">
        <f t="shared" si="159"/>
        <v/>
      </c>
      <c r="C2734" t="str">
        <f t="shared" si="158"/>
        <v/>
      </c>
      <c r="D2734" s="245" t="str">
        <f t="shared" si="160"/>
        <v/>
      </c>
      <c r="E2734" s="534"/>
      <c r="F2734" s="534"/>
    </row>
    <row r="2735" spans="1:6" ht="15" customHeight="1">
      <c r="A2735" s="51"/>
      <c r="B2735" s="52" t="str">
        <f t="shared" si="159"/>
        <v/>
      </c>
      <c r="C2735" t="str">
        <f t="shared" si="158"/>
        <v/>
      </c>
      <c r="D2735" s="245" t="str">
        <f t="shared" si="160"/>
        <v/>
      </c>
      <c r="E2735" s="534"/>
      <c r="F2735" s="534"/>
    </row>
    <row r="2736" spans="1:6" ht="15" customHeight="1">
      <c r="A2736" s="51"/>
      <c r="B2736" s="52" t="str">
        <f t="shared" si="159"/>
        <v/>
      </c>
      <c r="C2736" t="str">
        <f t="shared" si="158"/>
        <v/>
      </c>
      <c r="D2736" s="245" t="str">
        <f t="shared" si="160"/>
        <v/>
      </c>
      <c r="E2736" s="534"/>
      <c r="F2736" s="534"/>
    </row>
    <row r="2737" spans="1:6" ht="15" customHeight="1">
      <c r="A2737" s="51"/>
      <c r="B2737" s="52" t="str">
        <f t="shared" si="159"/>
        <v/>
      </c>
      <c r="C2737" t="str">
        <f t="shared" si="158"/>
        <v/>
      </c>
      <c r="D2737" s="245" t="str">
        <f t="shared" si="160"/>
        <v/>
      </c>
      <c r="E2737" s="534"/>
      <c r="F2737" s="534"/>
    </row>
    <row r="2738" spans="1:6" ht="15" customHeight="1">
      <c r="A2738" s="51"/>
      <c r="B2738" s="52" t="str">
        <f t="shared" si="159"/>
        <v/>
      </c>
      <c r="C2738" t="str">
        <f t="shared" si="158"/>
        <v/>
      </c>
      <c r="D2738" s="245" t="str">
        <f t="shared" si="160"/>
        <v/>
      </c>
      <c r="E2738" s="534"/>
      <c r="F2738" s="534"/>
    </row>
    <row r="2739" spans="1:6" ht="15" customHeight="1">
      <c r="A2739" s="51"/>
      <c r="B2739" s="52" t="str">
        <f t="shared" si="159"/>
        <v/>
      </c>
      <c r="C2739" t="str">
        <f t="shared" si="158"/>
        <v/>
      </c>
      <c r="D2739" s="245" t="str">
        <f t="shared" si="160"/>
        <v/>
      </c>
      <c r="E2739" s="534"/>
      <c r="F2739" s="534"/>
    </row>
    <row r="2740" spans="1:6" ht="15" customHeight="1">
      <c r="A2740" s="51"/>
      <c r="B2740" s="52" t="str">
        <f t="shared" si="159"/>
        <v/>
      </c>
      <c r="C2740" t="str">
        <f t="shared" si="158"/>
        <v/>
      </c>
      <c r="D2740" s="245" t="str">
        <f t="shared" si="160"/>
        <v/>
      </c>
      <c r="E2740" s="534"/>
      <c r="F2740" s="534"/>
    </row>
    <row r="2741" spans="1:6" ht="15" customHeight="1">
      <c r="A2741" s="51"/>
      <c r="B2741" s="52" t="str">
        <f t="shared" si="159"/>
        <v/>
      </c>
      <c r="C2741" t="str">
        <f t="shared" si="158"/>
        <v/>
      </c>
      <c r="D2741" s="245" t="str">
        <f t="shared" si="160"/>
        <v/>
      </c>
      <c r="E2741" s="534"/>
      <c r="F2741" s="534"/>
    </row>
    <row r="2742" spans="1:6" ht="15" customHeight="1">
      <c r="A2742" s="51"/>
      <c r="B2742" s="52" t="str">
        <f t="shared" si="159"/>
        <v/>
      </c>
      <c r="C2742" t="str">
        <f t="shared" si="158"/>
        <v/>
      </c>
      <c r="D2742" s="245" t="str">
        <f t="shared" si="160"/>
        <v/>
      </c>
      <c r="E2742" s="534"/>
      <c r="F2742" s="534"/>
    </row>
    <row r="2743" spans="1:6" ht="15" customHeight="1">
      <c r="A2743" s="51"/>
      <c r="B2743" s="52" t="str">
        <f t="shared" si="159"/>
        <v/>
      </c>
      <c r="C2743" t="str">
        <f t="shared" si="158"/>
        <v/>
      </c>
      <c r="D2743" s="245" t="str">
        <f t="shared" si="160"/>
        <v/>
      </c>
      <c r="E2743" s="534"/>
      <c r="F2743" s="534"/>
    </row>
    <row r="2744" spans="1:6" ht="15" customHeight="1">
      <c r="A2744" s="51"/>
      <c r="B2744" s="52" t="str">
        <f t="shared" si="159"/>
        <v/>
      </c>
      <c r="C2744" t="str">
        <f t="shared" si="158"/>
        <v/>
      </c>
      <c r="D2744" s="245" t="str">
        <f t="shared" si="160"/>
        <v/>
      </c>
      <c r="E2744" s="534"/>
      <c r="F2744" s="534"/>
    </row>
    <row r="2745" spans="1:6" ht="15" customHeight="1">
      <c r="A2745" s="51"/>
      <c r="B2745" s="52" t="str">
        <f t="shared" si="159"/>
        <v/>
      </c>
      <c r="C2745" t="str">
        <f t="shared" si="158"/>
        <v/>
      </c>
      <c r="D2745" s="245" t="str">
        <f t="shared" si="160"/>
        <v/>
      </c>
      <c r="E2745" s="534"/>
      <c r="F2745" s="534"/>
    </row>
    <row r="2746" spans="1:6" ht="15" customHeight="1">
      <c r="A2746" s="51"/>
      <c r="B2746" s="52" t="str">
        <f t="shared" si="159"/>
        <v/>
      </c>
      <c r="C2746" t="str">
        <f t="shared" si="158"/>
        <v/>
      </c>
      <c r="D2746" s="245" t="str">
        <f t="shared" si="160"/>
        <v/>
      </c>
      <c r="E2746" s="534"/>
      <c r="F2746" s="534"/>
    </row>
    <row r="2747" spans="1:6" ht="15" customHeight="1">
      <c r="A2747" s="51"/>
      <c r="B2747" s="52" t="str">
        <f t="shared" si="159"/>
        <v/>
      </c>
      <c r="C2747" t="str">
        <f t="shared" si="158"/>
        <v/>
      </c>
      <c r="D2747" s="245" t="str">
        <f t="shared" si="160"/>
        <v/>
      </c>
      <c r="E2747" s="534"/>
      <c r="F2747" s="534"/>
    </row>
    <row r="2748" spans="1:6" ht="15" customHeight="1">
      <c r="A2748" s="51"/>
      <c r="B2748" s="52" t="str">
        <f t="shared" si="159"/>
        <v/>
      </c>
      <c r="C2748" t="str">
        <f t="shared" si="158"/>
        <v/>
      </c>
      <c r="D2748" s="245" t="str">
        <f t="shared" si="160"/>
        <v/>
      </c>
      <c r="E2748" s="534"/>
      <c r="F2748" s="534"/>
    </row>
    <row r="2749" spans="1:6" ht="15" customHeight="1">
      <c r="A2749" s="51"/>
      <c r="B2749" s="52" t="str">
        <f t="shared" si="159"/>
        <v/>
      </c>
      <c r="C2749" t="str">
        <f t="shared" si="158"/>
        <v/>
      </c>
      <c r="D2749" s="245" t="str">
        <f t="shared" si="160"/>
        <v/>
      </c>
      <c r="E2749" s="534"/>
      <c r="F2749" s="534"/>
    </row>
    <row r="2750" spans="1:6" ht="15" customHeight="1">
      <c r="A2750" s="51"/>
      <c r="B2750" s="52" t="str">
        <f t="shared" si="159"/>
        <v/>
      </c>
      <c r="C2750" t="str">
        <f t="shared" si="158"/>
        <v/>
      </c>
      <c r="D2750" s="245" t="str">
        <f t="shared" si="160"/>
        <v/>
      </c>
      <c r="E2750" s="534"/>
      <c r="F2750" s="534"/>
    </row>
    <row r="2751" spans="1:6" ht="15" customHeight="1">
      <c r="A2751" s="51"/>
      <c r="B2751" s="52" t="str">
        <f t="shared" si="159"/>
        <v/>
      </c>
      <c r="C2751" t="str">
        <f t="shared" si="158"/>
        <v/>
      </c>
      <c r="D2751" s="245" t="str">
        <f t="shared" si="160"/>
        <v/>
      </c>
      <c r="E2751" s="534"/>
      <c r="F2751" s="534"/>
    </row>
    <row r="2752" spans="1:6" ht="15" customHeight="1">
      <c r="A2752" s="51"/>
      <c r="B2752" s="52" t="str">
        <f t="shared" si="159"/>
        <v/>
      </c>
      <c r="C2752" t="str">
        <f t="shared" si="158"/>
        <v/>
      </c>
      <c r="D2752" s="245" t="str">
        <f t="shared" si="160"/>
        <v/>
      </c>
      <c r="E2752" s="534"/>
      <c r="F2752" s="534"/>
    </row>
    <row r="2753" spans="1:6" ht="15" customHeight="1">
      <c r="A2753" s="51"/>
      <c r="B2753" s="52" t="str">
        <f t="shared" si="159"/>
        <v/>
      </c>
      <c r="C2753" t="str">
        <f t="shared" si="158"/>
        <v/>
      </c>
      <c r="D2753" s="245" t="str">
        <f t="shared" si="160"/>
        <v/>
      </c>
      <c r="E2753" s="534"/>
      <c r="F2753" s="534"/>
    </row>
    <row r="2754" spans="1:6" ht="15" customHeight="1">
      <c r="A2754" s="51"/>
      <c r="B2754" s="52" t="str">
        <f t="shared" si="159"/>
        <v/>
      </c>
      <c r="C2754" t="str">
        <f t="shared" ref="C2754:C2817" si="161">IF(A2754&lt;&gt;"",TEXT(A2754,"aaaa"),"")</f>
        <v/>
      </c>
      <c r="D2754" s="245" t="str">
        <f t="shared" si="160"/>
        <v/>
      </c>
      <c r="E2754" s="534"/>
      <c r="F2754" s="534"/>
    </row>
    <row r="2755" spans="1:6" ht="15" customHeight="1">
      <c r="A2755" s="51"/>
      <c r="B2755" s="52" t="str">
        <f t="shared" si="159"/>
        <v/>
      </c>
      <c r="C2755" t="str">
        <f t="shared" si="161"/>
        <v/>
      </c>
      <c r="D2755" s="245" t="str">
        <f t="shared" si="160"/>
        <v/>
      </c>
      <c r="E2755" s="534"/>
      <c r="F2755" s="534"/>
    </row>
    <row r="2756" spans="1:6" ht="15" customHeight="1">
      <c r="A2756" s="51"/>
      <c r="B2756" s="52" t="str">
        <f t="shared" si="159"/>
        <v/>
      </c>
      <c r="C2756" t="str">
        <f t="shared" si="161"/>
        <v/>
      </c>
      <c r="D2756" s="245" t="str">
        <f t="shared" si="160"/>
        <v/>
      </c>
      <c r="E2756" s="534"/>
      <c r="F2756" s="534"/>
    </row>
    <row r="2757" spans="1:6" ht="15" customHeight="1">
      <c r="A2757" s="51"/>
      <c r="B2757" s="52" t="str">
        <f t="shared" si="159"/>
        <v/>
      </c>
      <c r="C2757" t="str">
        <f t="shared" si="161"/>
        <v/>
      </c>
      <c r="D2757" s="245" t="str">
        <f t="shared" si="160"/>
        <v/>
      </c>
      <c r="E2757" s="534"/>
      <c r="F2757" s="534"/>
    </row>
    <row r="2758" spans="1:6" ht="15" customHeight="1">
      <c r="A2758" s="51"/>
      <c r="B2758" s="52" t="str">
        <f t="shared" si="159"/>
        <v/>
      </c>
      <c r="C2758" t="str">
        <f t="shared" si="161"/>
        <v/>
      </c>
      <c r="D2758" s="245" t="str">
        <f t="shared" si="160"/>
        <v/>
      </c>
      <c r="E2758" s="534"/>
      <c r="F2758" s="534"/>
    </row>
    <row r="2759" spans="1:6" ht="15" customHeight="1">
      <c r="A2759" s="51"/>
      <c r="B2759" s="52" t="str">
        <f t="shared" si="159"/>
        <v/>
      </c>
      <c r="C2759" t="str">
        <f t="shared" si="161"/>
        <v/>
      </c>
      <c r="D2759" s="245" t="str">
        <f t="shared" si="160"/>
        <v/>
      </c>
      <c r="E2759" s="534"/>
      <c r="F2759" s="534"/>
    </row>
    <row r="2760" spans="1:6" ht="15" customHeight="1">
      <c r="A2760" s="51"/>
      <c r="B2760" s="52" t="str">
        <f t="shared" ref="B2760:B2823" si="162">IF(A2760="","",TEXT(A2760,"DDDD"))</f>
        <v/>
      </c>
      <c r="C2760" t="str">
        <f t="shared" si="161"/>
        <v/>
      </c>
      <c r="D2760" s="245" t="str">
        <f t="shared" si="160"/>
        <v/>
      </c>
      <c r="E2760" s="534"/>
      <c r="F2760" s="534"/>
    </row>
    <row r="2761" spans="1:6" ht="15" customHeight="1">
      <c r="A2761" s="51"/>
      <c r="B2761" s="52" t="str">
        <f t="shared" si="162"/>
        <v/>
      </c>
      <c r="C2761" t="str">
        <f t="shared" si="161"/>
        <v/>
      </c>
      <c r="D2761" s="245" t="str">
        <f t="shared" ref="D2761:D2824" si="163">IF(A2761&lt;&gt;"",PROPER(TEXT(A2761,"Mmmm")),"")</f>
        <v/>
      </c>
      <c r="E2761" s="534"/>
      <c r="F2761" s="534"/>
    </row>
    <row r="2762" spans="1:6" ht="15" customHeight="1">
      <c r="A2762" s="51"/>
      <c r="B2762" s="52" t="str">
        <f t="shared" si="162"/>
        <v/>
      </c>
      <c r="C2762" t="str">
        <f t="shared" si="161"/>
        <v/>
      </c>
      <c r="D2762" s="245" t="str">
        <f t="shared" si="163"/>
        <v/>
      </c>
      <c r="E2762" s="534"/>
      <c r="F2762" s="534"/>
    </row>
    <row r="2763" spans="1:6" ht="15" customHeight="1">
      <c r="A2763" s="51"/>
      <c r="B2763" s="52" t="str">
        <f t="shared" si="162"/>
        <v/>
      </c>
      <c r="C2763" t="str">
        <f t="shared" si="161"/>
        <v/>
      </c>
      <c r="D2763" s="245" t="str">
        <f t="shared" si="163"/>
        <v/>
      </c>
      <c r="E2763" s="534"/>
      <c r="F2763" s="534"/>
    </row>
    <row r="2764" spans="1:6" ht="15" customHeight="1">
      <c r="A2764" s="51"/>
      <c r="B2764" s="52" t="str">
        <f t="shared" si="162"/>
        <v/>
      </c>
      <c r="C2764" t="str">
        <f t="shared" si="161"/>
        <v/>
      </c>
      <c r="D2764" s="245" t="str">
        <f t="shared" si="163"/>
        <v/>
      </c>
      <c r="E2764" s="534"/>
      <c r="F2764" s="534"/>
    </row>
    <row r="2765" spans="1:6" ht="15" customHeight="1">
      <c r="A2765" s="51"/>
      <c r="B2765" s="52" t="str">
        <f t="shared" si="162"/>
        <v/>
      </c>
      <c r="C2765" t="str">
        <f t="shared" si="161"/>
        <v/>
      </c>
      <c r="D2765" s="245" t="str">
        <f t="shared" si="163"/>
        <v/>
      </c>
      <c r="E2765" s="534"/>
      <c r="F2765" s="534"/>
    </row>
    <row r="2766" spans="1:6" ht="15" customHeight="1">
      <c r="A2766" s="51"/>
      <c r="B2766" s="52" t="str">
        <f t="shared" si="162"/>
        <v/>
      </c>
      <c r="C2766" t="str">
        <f t="shared" si="161"/>
        <v/>
      </c>
      <c r="D2766" s="245" t="str">
        <f t="shared" si="163"/>
        <v/>
      </c>
      <c r="E2766" s="534"/>
      <c r="F2766" s="534"/>
    </row>
    <row r="2767" spans="1:6" ht="15" customHeight="1">
      <c r="A2767" s="51"/>
      <c r="B2767" s="52" t="str">
        <f t="shared" si="162"/>
        <v/>
      </c>
      <c r="C2767" t="str">
        <f t="shared" si="161"/>
        <v/>
      </c>
      <c r="D2767" s="245" t="str">
        <f t="shared" si="163"/>
        <v/>
      </c>
      <c r="E2767" s="534"/>
      <c r="F2767" s="534"/>
    </row>
    <row r="2768" spans="1:6" ht="15" customHeight="1">
      <c r="A2768" s="51"/>
      <c r="B2768" s="52" t="str">
        <f t="shared" si="162"/>
        <v/>
      </c>
      <c r="C2768" t="str">
        <f t="shared" si="161"/>
        <v/>
      </c>
      <c r="D2768" s="245" t="str">
        <f t="shared" si="163"/>
        <v/>
      </c>
      <c r="E2768" s="534"/>
      <c r="F2768" s="534"/>
    </row>
    <row r="2769" spans="1:6" ht="15" customHeight="1">
      <c r="A2769" s="51"/>
      <c r="B2769" s="52" t="str">
        <f t="shared" si="162"/>
        <v/>
      </c>
      <c r="C2769" t="str">
        <f t="shared" si="161"/>
        <v/>
      </c>
      <c r="D2769" s="245" t="str">
        <f t="shared" si="163"/>
        <v/>
      </c>
      <c r="E2769" s="534"/>
      <c r="F2769" s="534"/>
    </row>
    <row r="2770" spans="1:6" ht="15" customHeight="1">
      <c r="A2770" s="51"/>
      <c r="B2770" s="52" t="str">
        <f t="shared" si="162"/>
        <v/>
      </c>
      <c r="C2770" t="str">
        <f t="shared" si="161"/>
        <v/>
      </c>
      <c r="D2770" s="245" t="str">
        <f t="shared" si="163"/>
        <v/>
      </c>
      <c r="E2770" s="534"/>
      <c r="F2770" s="534"/>
    </row>
    <row r="2771" spans="1:6" ht="15" customHeight="1">
      <c r="A2771" s="51"/>
      <c r="B2771" s="52" t="str">
        <f t="shared" si="162"/>
        <v/>
      </c>
      <c r="C2771" t="str">
        <f t="shared" si="161"/>
        <v/>
      </c>
      <c r="D2771" s="245" t="str">
        <f t="shared" si="163"/>
        <v/>
      </c>
      <c r="E2771" s="534"/>
      <c r="F2771" s="534"/>
    </row>
    <row r="2772" spans="1:6" ht="15" customHeight="1">
      <c r="A2772" s="51"/>
      <c r="B2772" s="52" t="str">
        <f t="shared" si="162"/>
        <v/>
      </c>
      <c r="C2772" t="str">
        <f t="shared" si="161"/>
        <v/>
      </c>
      <c r="D2772" s="245" t="str">
        <f t="shared" si="163"/>
        <v/>
      </c>
      <c r="E2772" s="534"/>
      <c r="F2772" s="534"/>
    </row>
    <row r="2773" spans="1:6" ht="15" customHeight="1">
      <c r="A2773" s="51"/>
      <c r="B2773" s="52" t="str">
        <f t="shared" si="162"/>
        <v/>
      </c>
      <c r="C2773" t="str">
        <f t="shared" si="161"/>
        <v/>
      </c>
      <c r="D2773" s="245" t="str">
        <f t="shared" si="163"/>
        <v/>
      </c>
      <c r="E2773" s="534"/>
      <c r="F2773" s="534"/>
    </row>
    <row r="2774" spans="1:6" ht="15" customHeight="1">
      <c r="A2774" s="51"/>
      <c r="B2774" s="52" t="str">
        <f t="shared" si="162"/>
        <v/>
      </c>
      <c r="C2774" t="str">
        <f t="shared" si="161"/>
        <v/>
      </c>
      <c r="D2774" s="245" t="str">
        <f t="shared" si="163"/>
        <v/>
      </c>
      <c r="E2774" s="534"/>
      <c r="F2774" s="534"/>
    </row>
    <row r="2775" spans="1:6" ht="15" customHeight="1">
      <c r="A2775" s="51"/>
      <c r="B2775" s="52" t="str">
        <f t="shared" si="162"/>
        <v/>
      </c>
      <c r="C2775" t="str">
        <f t="shared" si="161"/>
        <v/>
      </c>
      <c r="D2775" s="245" t="str">
        <f t="shared" si="163"/>
        <v/>
      </c>
      <c r="E2775" s="534"/>
      <c r="F2775" s="534"/>
    </row>
    <row r="2776" spans="1:6" ht="15" customHeight="1">
      <c r="A2776" s="51"/>
      <c r="B2776" s="52" t="str">
        <f t="shared" si="162"/>
        <v/>
      </c>
      <c r="C2776" t="str">
        <f t="shared" si="161"/>
        <v/>
      </c>
      <c r="D2776" s="245" t="str">
        <f t="shared" si="163"/>
        <v/>
      </c>
      <c r="E2776" s="534"/>
      <c r="F2776" s="534"/>
    </row>
    <row r="2777" spans="1:6" ht="15" customHeight="1">
      <c r="A2777" s="51"/>
      <c r="B2777" s="52" t="str">
        <f t="shared" si="162"/>
        <v/>
      </c>
      <c r="C2777" t="str">
        <f t="shared" si="161"/>
        <v/>
      </c>
      <c r="D2777" s="245" t="str">
        <f t="shared" si="163"/>
        <v/>
      </c>
      <c r="E2777" s="534"/>
      <c r="F2777" s="534"/>
    </row>
    <row r="2778" spans="1:6" ht="15" customHeight="1">
      <c r="A2778" s="51"/>
      <c r="B2778" s="52" t="str">
        <f t="shared" si="162"/>
        <v/>
      </c>
      <c r="C2778" t="str">
        <f t="shared" si="161"/>
        <v/>
      </c>
      <c r="D2778" s="245" t="str">
        <f t="shared" si="163"/>
        <v/>
      </c>
      <c r="E2778" s="534"/>
      <c r="F2778" s="534"/>
    </row>
    <row r="2779" spans="1:6" ht="15" customHeight="1">
      <c r="A2779" s="51"/>
      <c r="B2779" s="52" t="str">
        <f t="shared" si="162"/>
        <v/>
      </c>
      <c r="C2779" t="str">
        <f t="shared" si="161"/>
        <v/>
      </c>
      <c r="D2779" s="245" t="str">
        <f t="shared" si="163"/>
        <v/>
      </c>
      <c r="E2779" s="534"/>
      <c r="F2779" s="534"/>
    </row>
    <row r="2780" spans="1:6" ht="15" customHeight="1">
      <c r="A2780" s="51"/>
      <c r="B2780" s="52" t="str">
        <f t="shared" si="162"/>
        <v/>
      </c>
      <c r="C2780" t="str">
        <f t="shared" si="161"/>
        <v/>
      </c>
      <c r="D2780" s="245" t="str">
        <f t="shared" si="163"/>
        <v/>
      </c>
      <c r="E2780" s="534"/>
      <c r="F2780" s="534"/>
    </row>
    <row r="2781" spans="1:6" ht="15" customHeight="1">
      <c r="A2781" s="51"/>
      <c r="B2781" s="52" t="str">
        <f t="shared" si="162"/>
        <v/>
      </c>
      <c r="C2781" t="str">
        <f t="shared" si="161"/>
        <v/>
      </c>
      <c r="D2781" s="245" t="str">
        <f t="shared" si="163"/>
        <v/>
      </c>
      <c r="E2781" s="534"/>
      <c r="F2781" s="534"/>
    </row>
    <row r="2782" spans="1:6" ht="15" customHeight="1">
      <c r="A2782" s="51"/>
      <c r="B2782" s="52" t="str">
        <f t="shared" si="162"/>
        <v/>
      </c>
      <c r="C2782" t="str">
        <f t="shared" si="161"/>
        <v/>
      </c>
      <c r="D2782" s="245" t="str">
        <f t="shared" si="163"/>
        <v/>
      </c>
      <c r="E2782" s="534"/>
      <c r="F2782" s="534"/>
    </row>
    <row r="2783" spans="1:6" ht="15" customHeight="1">
      <c r="A2783" s="51"/>
      <c r="B2783" s="52" t="str">
        <f t="shared" si="162"/>
        <v/>
      </c>
      <c r="C2783" t="str">
        <f t="shared" si="161"/>
        <v/>
      </c>
      <c r="D2783" s="245" t="str">
        <f t="shared" si="163"/>
        <v/>
      </c>
      <c r="E2783" s="534"/>
      <c r="F2783" s="534"/>
    </row>
    <row r="2784" spans="1:6" ht="15" customHeight="1">
      <c r="A2784" s="51"/>
      <c r="B2784" s="52" t="str">
        <f t="shared" si="162"/>
        <v/>
      </c>
      <c r="C2784" t="str">
        <f t="shared" si="161"/>
        <v/>
      </c>
      <c r="D2784" s="245" t="str">
        <f t="shared" si="163"/>
        <v/>
      </c>
      <c r="E2784" s="534"/>
      <c r="F2784" s="534"/>
    </row>
    <row r="2785" spans="1:6" ht="15" customHeight="1">
      <c r="A2785" s="51"/>
      <c r="B2785" s="52" t="str">
        <f t="shared" si="162"/>
        <v/>
      </c>
      <c r="C2785" t="str">
        <f t="shared" si="161"/>
        <v/>
      </c>
      <c r="D2785" s="245" t="str">
        <f t="shared" si="163"/>
        <v/>
      </c>
      <c r="E2785" s="534"/>
      <c r="F2785" s="534"/>
    </row>
    <row r="2786" spans="1:6" ht="15" customHeight="1">
      <c r="A2786" s="51"/>
      <c r="B2786" s="52" t="str">
        <f t="shared" si="162"/>
        <v/>
      </c>
      <c r="C2786" t="str">
        <f t="shared" si="161"/>
        <v/>
      </c>
      <c r="D2786" s="245" t="str">
        <f t="shared" si="163"/>
        <v/>
      </c>
      <c r="E2786" s="534"/>
      <c r="F2786" s="534"/>
    </row>
    <row r="2787" spans="1:6" ht="15" customHeight="1">
      <c r="A2787" s="51"/>
      <c r="B2787" s="52" t="str">
        <f t="shared" si="162"/>
        <v/>
      </c>
      <c r="C2787" t="str">
        <f t="shared" si="161"/>
        <v/>
      </c>
      <c r="D2787" s="245" t="str">
        <f t="shared" si="163"/>
        <v/>
      </c>
      <c r="E2787" s="534"/>
      <c r="F2787" s="534"/>
    </row>
    <row r="2788" spans="1:6" ht="15" customHeight="1">
      <c r="A2788" s="51"/>
      <c r="B2788" s="52" t="str">
        <f t="shared" si="162"/>
        <v/>
      </c>
      <c r="C2788" t="str">
        <f t="shared" si="161"/>
        <v/>
      </c>
      <c r="D2788" s="245" t="str">
        <f t="shared" si="163"/>
        <v/>
      </c>
      <c r="E2788" s="534"/>
      <c r="F2788" s="534"/>
    </row>
    <row r="2789" spans="1:6" ht="15" customHeight="1">
      <c r="A2789" s="51"/>
      <c r="B2789" s="52" t="str">
        <f t="shared" si="162"/>
        <v/>
      </c>
      <c r="C2789" t="str">
        <f t="shared" si="161"/>
        <v/>
      </c>
      <c r="D2789" s="245" t="str">
        <f t="shared" si="163"/>
        <v/>
      </c>
      <c r="E2789" s="534"/>
      <c r="F2789" s="534"/>
    </row>
    <row r="2790" spans="1:6" ht="15" customHeight="1">
      <c r="A2790" s="51"/>
      <c r="B2790" s="52" t="str">
        <f t="shared" si="162"/>
        <v/>
      </c>
      <c r="C2790" t="str">
        <f t="shared" si="161"/>
        <v/>
      </c>
      <c r="D2790" s="245" t="str">
        <f t="shared" si="163"/>
        <v/>
      </c>
      <c r="E2790" s="534"/>
      <c r="F2790" s="534"/>
    </row>
    <row r="2791" spans="1:6" ht="15" customHeight="1">
      <c r="A2791" s="51"/>
      <c r="B2791" s="52" t="str">
        <f t="shared" si="162"/>
        <v/>
      </c>
      <c r="C2791" t="str">
        <f t="shared" si="161"/>
        <v/>
      </c>
      <c r="D2791" s="245" t="str">
        <f t="shared" si="163"/>
        <v/>
      </c>
      <c r="E2791" s="534"/>
      <c r="F2791" s="534"/>
    </row>
    <row r="2792" spans="1:6" ht="15" customHeight="1">
      <c r="A2792" s="51"/>
      <c r="B2792" s="52" t="str">
        <f t="shared" si="162"/>
        <v/>
      </c>
      <c r="C2792" t="str">
        <f t="shared" si="161"/>
        <v/>
      </c>
      <c r="D2792" s="245" t="str">
        <f t="shared" si="163"/>
        <v/>
      </c>
      <c r="E2792" s="534"/>
      <c r="F2792" s="534"/>
    </row>
    <row r="2793" spans="1:6" ht="15" customHeight="1">
      <c r="A2793" s="51"/>
      <c r="B2793" s="52" t="str">
        <f t="shared" si="162"/>
        <v/>
      </c>
      <c r="C2793" t="str">
        <f t="shared" si="161"/>
        <v/>
      </c>
      <c r="D2793" s="245" t="str">
        <f t="shared" si="163"/>
        <v/>
      </c>
      <c r="E2793" s="534"/>
      <c r="F2793" s="534"/>
    </row>
    <row r="2794" spans="1:6" ht="15" customHeight="1">
      <c r="A2794" s="51"/>
      <c r="B2794" s="52" t="str">
        <f t="shared" si="162"/>
        <v/>
      </c>
      <c r="C2794" t="str">
        <f t="shared" si="161"/>
        <v/>
      </c>
      <c r="D2794" s="245" t="str">
        <f t="shared" si="163"/>
        <v/>
      </c>
      <c r="E2794" s="534"/>
      <c r="F2794" s="534"/>
    </row>
    <row r="2795" spans="1:6" ht="15" customHeight="1">
      <c r="A2795" s="51"/>
      <c r="B2795" s="52" t="str">
        <f t="shared" si="162"/>
        <v/>
      </c>
      <c r="C2795" t="str">
        <f t="shared" si="161"/>
        <v/>
      </c>
      <c r="D2795" s="245" t="str">
        <f t="shared" si="163"/>
        <v/>
      </c>
      <c r="E2795" s="534"/>
      <c r="F2795" s="534"/>
    </row>
    <row r="2796" spans="1:6" ht="15" customHeight="1">
      <c r="A2796" s="51"/>
      <c r="B2796" s="52" t="str">
        <f t="shared" si="162"/>
        <v/>
      </c>
      <c r="C2796" t="str">
        <f t="shared" si="161"/>
        <v/>
      </c>
      <c r="D2796" s="245" t="str">
        <f t="shared" si="163"/>
        <v/>
      </c>
      <c r="E2796" s="534"/>
      <c r="F2796" s="534"/>
    </row>
    <row r="2797" spans="1:6" ht="15" customHeight="1">
      <c r="A2797" s="51"/>
      <c r="B2797" s="52" t="str">
        <f t="shared" si="162"/>
        <v/>
      </c>
      <c r="C2797" t="str">
        <f t="shared" si="161"/>
        <v/>
      </c>
      <c r="D2797" s="245" t="str">
        <f t="shared" si="163"/>
        <v/>
      </c>
      <c r="E2797" s="534"/>
      <c r="F2797" s="534"/>
    </row>
    <row r="2798" spans="1:6" ht="15" customHeight="1">
      <c r="A2798" s="51"/>
      <c r="B2798" s="52" t="str">
        <f t="shared" si="162"/>
        <v/>
      </c>
      <c r="C2798" t="str">
        <f t="shared" si="161"/>
        <v/>
      </c>
      <c r="D2798" s="245" t="str">
        <f t="shared" si="163"/>
        <v/>
      </c>
      <c r="E2798" s="534"/>
      <c r="F2798" s="534"/>
    </row>
    <row r="2799" spans="1:6" ht="15" customHeight="1">
      <c r="A2799" s="51"/>
      <c r="B2799" s="52" t="str">
        <f t="shared" si="162"/>
        <v/>
      </c>
      <c r="C2799" t="str">
        <f t="shared" si="161"/>
        <v/>
      </c>
      <c r="D2799" s="245" t="str">
        <f t="shared" si="163"/>
        <v/>
      </c>
      <c r="E2799" s="534"/>
      <c r="F2799" s="534"/>
    </row>
    <row r="2800" spans="1:6" ht="15" customHeight="1">
      <c r="A2800" s="51"/>
      <c r="B2800" s="52" t="str">
        <f t="shared" si="162"/>
        <v/>
      </c>
      <c r="C2800" t="str">
        <f t="shared" si="161"/>
        <v/>
      </c>
      <c r="D2800" s="245" t="str">
        <f t="shared" si="163"/>
        <v/>
      </c>
      <c r="E2800" s="534"/>
      <c r="F2800" s="534"/>
    </row>
    <row r="2801" spans="1:6" ht="15" customHeight="1">
      <c r="A2801" s="51"/>
      <c r="B2801" s="52" t="str">
        <f t="shared" si="162"/>
        <v/>
      </c>
      <c r="C2801" t="str">
        <f t="shared" si="161"/>
        <v/>
      </c>
      <c r="D2801" s="245" t="str">
        <f t="shared" si="163"/>
        <v/>
      </c>
      <c r="E2801" s="534"/>
      <c r="F2801" s="534"/>
    </row>
    <row r="2802" spans="1:6" ht="15" customHeight="1">
      <c r="A2802" s="51"/>
      <c r="B2802" s="52" t="str">
        <f t="shared" si="162"/>
        <v/>
      </c>
      <c r="C2802" t="str">
        <f t="shared" si="161"/>
        <v/>
      </c>
      <c r="D2802" s="245" t="str">
        <f t="shared" si="163"/>
        <v/>
      </c>
      <c r="E2802" s="534"/>
      <c r="F2802" s="534"/>
    </row>
    <row r="2803" spans="1:6" ht="15" customHeight="1">
      <c r="A2803" s="51"/>
      <c r="B2803" s="52" t="str">
        <f t="shared" si="162"/>
        <v/>
      </c>
      <c r="C2803" t="str">
        <f t="shared" si="161"/>
        <v/>
      </c>
      <c r="D2803" s="245" t="str">
        <f t="shared" si="163"/>
        <v/>
      </c>
      <c r="E2803" s="534"/>
      <c r="F2803" s="534"/>
    </row>
    <row r="2804" spans="1:6" ht="15" customHeight="1">
      <c r="A2804" s="51"/>
      <c r="B2804" s="52" t="str">
        <f t="shared" si="162"/>
        <v/>
      </c>
      <c r="C2804" t="str">
        <f t="shared" si="161"/>
        <v/>
      </c>
      <c r="D2804" s="245" t="str">
        <f t="shared" si="163"/>
        <v/>
      </c>
      <c r="E2804" s="534"/>
      <c r="F2804" s="534"/>
    </row>
    <row r="2805" spans="1:6" ht="15" customHeight="1">
      <c r="A2805" s="51"/>
      <c r="B2805" s="52" t="str">
        <f t="shared" si="162"/>
        <v/>
      </c>
      <c r="C2805" t="str">
        <f t="shared" si="161"/>
        <v/>
      </c>
      <c r="D2805" s="245" t="str">
        <f t="shared" si="163"/>
        <v/>
      </c>
      <c r="E2805" s="534"/>
      <c r="F2805" s="534"/>
    </row>
    <row r="2806" spans="1:6" ht="15" customHeight="1">
      <c r="A2806" s="51"/>
      <c r="B2806" s="52" t="str">
        <f t="shared" si="162"/>
        <v/>
      </c>
      <c r="C2806" t="str">
        <f t="shared" si="161"/>
        <v/>
      </c>
      <c r="D2806" s="245" t="str">
        <f t="shared" si="163"/>
        <v/>
      </c>
      <c r="E2806" s="534"/>
      <c r="F2806" s="534"/>
    </row>
    <row r="2807" spans="1:6" ht="15" customHeight="1">
      <c r="A2807" s="51"/>
      <c r="B2807" s="52" t="str">
        <f t="shared" si="162"/>
        <v/>
      </c>
      <c r="C2807" t="str">
        <f t="shared" si="161"/>
        <v/>
      </c>
      <c r="D2807" s="245" t="str">
        <f t="shared" si="163"/>
        <v/>
      </c>
      <c r="E2807" s="534"/>
      <c r="F2807" s="534"/>
    </row>
    <row r="2808" spans="1:6" ht="15" customHeight="1">
      <c r="A2808" s="51"/>
      <c r="B2808" s="52" t="str">
        <f t="shared" si="162"/>
        <v/>
      </c>
      <c r="C2808" t="str">
        <f t="shared" si="161"/>
        <v/>
      </c>
      <c r="D2808" s="245" t="str">
        <f t="shared" si="163"/>
        <v/>
      </c>
      <c r="E2808" s="534"/>
      <c r="F2808" s="534"/>
    </row>
    <row r="2809" spans="1:6" ht="15" customHeight="1">
      <c r="A2809" s="51"/>
      <c r="B2809" s="52" t="str">
        <f t="shared" si="162"/>
        <v/>
      </c>
      <c r="C2809" t="str">
        <f t="shared" si="161"/>
        <v/>
      </c>
      <c r="D2809" s="245" t="str">
        <f t="shared" si="163"/>
        <v/>
      </c>
      <c r="E2809" s="534"/>
      <c r="F2809" s="534"/>
    </row>
    <row r="2810" spans="1:6" ht="15" customHeight="1">
      <c r="A2810" s="51"/>
      <c r="B2810" s="52" t="str">
        <f t="shared" si="162"/>
        <v/>
      </c>
      <c r="C2810" t="str">
        <f t="shared" si="161"/>
        <v/>
      </c>
      <c r="D2810" s="245" t="str">
        <f t="shared" si="163"/>
        <v/>
      </c>
      <c r="E2810" s="534"/>
      <c r="F2810" s="534"/>
    </row>
    <row r="2811" spans="1:6" ht="15" customHeight="1">
      <c r="A2811" s="51"/>
      <c r="B2811" s="52" t="str">
        <f t="shared" si="162"/>
        <v/>
      </c>
      <c r="C2811" t="str">
        <f t="shared" si="161"/>
        <v/>
      </c>
      <c r="D2811" s="245" t="str">
        <f t="shared" si="163"/>
        <v/>
      </c>
      <c r="E2811" s="534"/>
      <c r="F2811" s="534"/>
    </row>
    <row r="2812" spans="1:6" ht="15" customHeight="1">
      <c r="A2812" s="51"/>
      <c r="B2812" s="52" t="str">
        <f t="shared" si="162"/>
        <v/>
      </c>
      <c r="C2812" t="str">
        <f t="shared" si="161"/>
        <v/>
      </c>
      <c r="D2812" s="245" t="str">
        <f t="shared" si="163"/>
        <v/>
      </c>
      <c r="E2812" s="534"/>
      <c r="F2812" s="534"/>
    </row>
    <row r="2813" spans="1:6" ht="15" customHeight="1">
      <c r="A2813" s="51"/>
      <c r="B2813" s="52" t="str">
        <f t="shared" si="162"/>
        <v/>
      </c>
      <c r="C2813" t="str">
        <f t="shared" si="161"/>
        <v/>
      </c>
      <c r="D2813" s="245" t="str">
        <f t="shared" si="163"/>
        <v/>
      </c>
      <c r="E2813" s="534"/>
      <c r="F2813" s="534"/>
    </row>
    <row r="2814" spans="1:6" ht="15" customHeight="1">
      <c r="A2814" s="51"/>
      <c r="B2814" s="52" t="str">
        <f t="shared" si="162"/>
        <v/>
      </c>
      <c r="C2814" t="str">
        <f t="shared" si="161"/>
        <v/>
      </c>
      <c r="D2814" s="245" t="str">
        <f t="shared" si="163"/>
        <v/>
      </c>
      <c r="E2814" s="534"/>
      <c r="F2814" s="534"/>
    </row>
    <row r="2815" spans="1:6" ht="15" customHeight="1">
      <c r="A2815" s="51"/>
      <c r="B2815" s="52" t="str">
        <f t="shared" si="162"/>
        <v/>
      </c>
      <c r="C2815" t="str">
        <f t="shared" si="161"/>
        <v/>
      </c>
      <c r="D2815" s="245" t="str">
        <f t="shared" si="163"/>
        <v/>
      </c>
      <c r="E2815" s="534"/>
      <c r="F2815" s="534"/>
    </row>
    <row r="2816" spans="1:6" ht="15" customHeight="1">
      <c r="A2816" s="51"/>
      <c r="B2816" s="52" t="str">
        <f t="shared" si="162"/>
        <v/>
      </c>
      <c r="C2816" t="str">
        <f t="shared" si="161"/>
        <v/>
      </c>
      <c r="D2816" s="245" t="str">
        <f t="shared" si="163"/>
        <v/>
      </c>
      <c r="E2816" s="534"/>
      <c r="F2816" s="534"/>
    </row>
    <row r="2817" spans="1:6" ht="15" customHeight="1">
      <c r="A2817" s="51"/>
      <c r="B2817" s="52" t="str">
        <f t="shared" si="162"/>
        <v/>
      </c>
      <c r="C2817" t="str">
        <f t="shared" si="161"/>
        <v/>
      </c>
      <c r="D2817" s="245" t="str">
        <f t="shared" si="163"/>
        <v/>
      </c>
      <c r="E2817" s="534"/>
      <c r="F2817" s="534"/>
    </row>
    <row r="2818" spans="1:6" ht="15" customHeight="1">
      <c r="A2818" s="51"/>
      <c r="B2818" s="52" t="str">
        <f t="shared" si="162"/>
        <v/>
      </c>
      <c r="C2818" t="str">
        <f t="shared" ref="C2818:C2881" si="164">IF(A2818&lt;&gt;"",TEXT(A2818,"aaaa"),"")</f>
        <v/>
      </c>
      <c r="D2818" s="245" t="str">
        <f t="shared" si="163"/>
        <v/>
      </c>
      <c r="E2818" s="534"/>
      <c r="F2818" s="534"/>
    </row>
    <row r="2819" spans="1:6" ht="15" customHeight="1">
      <c r="A2819" s="51"/>
      <c r="B2819" s="52" t="str">
        <f t="shared" si="162"/>
        <v/>
      </c>
      <c r="C2819" t="str">
        <f t="shared" si="164"/>
        <v/>
      </c>
      <c r="D2819" s="245" t="str">
        <f t="shared" si="163"/>
        <v/>
      </c>
      <c r="E2819" s="534"/>
      <c r="F2819" s="534"/>
    </row>
    <row r="2820" spans="1:6" ht="15" customHeight="1">
      <c r="A2820" s="51"/>
      <c r="B2820" s="52" t="str">
        <f t="shared" si="162"/>
        <v/>
      </c>
      <c r="C2820" t="str">
        <f t="shared" si="164"/>
        <v/>
      </c>
      <c r="D2820" s="245" t="str">
        <f t="shared" si="163"/>
        <v/>
      </c>
      <c r="E2820" s="534"/>
      <c r="F2820" s="534"/>
    </row>
    <row r="2821" spans="1:6" ht="15" customHeight="1">
      <c r="A2821" s="51"/>
      <c r="B2821" s="52" t="str">
        <f t="shared" si="162"/>
        <v/>
      </c>
      <c r="C2821" t="str">
        <f t="shared" si="164"/>
        <v/>
      </c>
      <c r="D2821" s="245" t="str">
        <f t="shared" si="163"/>
        <v/>
      </c>
      <c r="E2821" s="534"/>
      <c r="F2821" s="534"/>
    </row>
    <row r="2822" spans="1:6" ht="15" customHeight="1">
      <c r="A2822" s="51"/>
      <c r="B2822" s="52" t="str">
        <f t="shared" si="162"/>
        <v/>
      </c>
      <c r="C2822" t="str">
        <f t="shared" si="164"/>
        <v/>
      </c>
      <c r="D2822" s="245" t="str">
        <f t="shared" si="163"/>
        <v/>
      </c>
      <c r="E2822" s="534"/>
      <c r="F2822" s="534"/>
    </row>
    <row r="2823" spans="1:6" ht="15" customHeight="1">
      <c r="A2823" s="51"/>
      <c r="B2823" s="52" t="str">
        <f t="shared" si="162"/>
        <v/>
      </c>
      <c r="C2823" t="str">
        <f t="shared" si="164"/>
        <v/>
      </c>
      <c r="D2823" s="245" t="str">
        <f t="shared" si="163"/>
        <v/>
      </c>
      <c r="E2823" s="534"/>
      <c r="F2823" s="534"/>
    </row>
    <row r="2824" spans="1:6" ht="15" customHeight="1">
      <c r="A2824" s="51"/>
      <c r="B2824" s="52" t="str">
        <f t="shared" ref="B2824:B2887" si="165">IF(A2824="","",TEXT(A2824,"DDDD"))</f>
        <v/>
      </c>
      <c r="C2824" t="str">
        <f t="shared" si="164"/>
        <v/>
      </c>
      <c r="D2824" s="245" t="str">
        <f t="shared" si="163"/>
        <v/>
      </c>
      <c r="E2824" s="534"/>
      <c r="F2824" s="534"/>
    </row>
    <row r="2825" spans="1:6" ht="15" customHeight="1">
      <c r="A2825" s="51"/>
      <c r="B2825" s="52" t="str">
        <f t="shared" si="165"/>
        <v/>
      </c>
      <c r="C2825" t="str">
        <f t="shared" si="164"/>
        <v/>
      </c>
      <c r="D2825" s="245" t="str">
        <f t="shared" ref="D2825:D2888" si="166">IF(A2825&lt;&gt;"",PROPER(TEXT(A2825,"Mmmm")),"")</f>
        <v/>
      </c>
      <c r="E2825" s="534"/>
      <c r="F2825" s="534"/>
    </row>
    <row r="2826" spans="1:6" ht="15" customHeight="1">
      <c r="A2826" s="51"/>
      <c r="B2826" s="52" t="str">
        <f t="shared" si="165"/>
        <v/>
      </c>
      <c r="C2826" t="str">
        <f t="shared" si="164"/>
        <v/>
      </c>
      <c r="D2826" s="245" t="str">
        <f t="shared" si="166"/>
        <v/>
      </c>
      <c r="E2826" s="534"/>
      <c r="F2826" s="534"/>
    </row>
    <row r="2827" spans="1:6" ht="15" customHeight="1">
      <c r="A2827" s="51"/>
      <c r="B2827" s="52" t="str">
        <f t="shared" si="165"/>
        <v/>
      </c>
      <c r="C2827" t="str">
        <f t="shared" si="164"/>
        <v/>
      </c>
      <c r="D2827" s="245" t="str">
        <f t="shared" si="166"/>
        <v/>
      </c>
      <c r="E2827" s="534"/>
      <c r="F2827" s="534"/>
    </row>
    <row r="2828" spans="1:6" ht="15" customHeight="1">
      <c r="A2828" s="51"/>
      <c r="B2828" s="52" t="str">
        <f t="shared" si="165"/>
        <v/>
      </c>
      <c r="C2828" t="str">
        <f t="shared" si="164"/>
        <v/>
      </c>
      <c r="D2828" s="245" t="str">
        <f t="shared" si="166"/>
        <v/>
      </c>
      <c r="E2828" s="534"/>
      <c r="F2828" s="534"/>
    </row>
    <row r="2829" spans="1:6" ht="15" customHeight="1">
      <c r="A2829" s="51"/>
      <c r="B2829" s="52" t="str">
        <f t="shared" si="165"/>
        <v/>
      </c>
      <c r="C2829" t="str">
        <f t="shared" si="164"/>
        <v/>
      </c>
      <c r="D2829" s="245" t="str">
        <f t="shared" si="166"/>
        <v/>
      </c>
      <c r="E2829" s="534"/>
      <c r="F2829" s="534"/>
    </row>
    <row r="2830" spans="1:6" ht="15" customHeight="1">
      <c r="A2830" s="51"/>
      <c r="B2830" s="52" t="str">
        <f t="shared" si="165"/>
        <v/>
      </c>
      <c r="C2830" t="str">
        <f t="shared" si="164"/>
        <v/>
      </c>
      <c r="D2830" s="245" t="str">
        <f t="shared" si="166"/>
        <v/>
      </c>
      <c r="E2830" s="534"/>
      <c r="F2830" s="534"/>
    </row>
    <row r="2831" spans="1:6" ht="15" customHeight="1">
      <c r="A2831" s="51"/>
      <c r="B2831" s="52" t="str">
        <f t="shared" si="165"/>
        <v/>
      </c>
      <c r="C2831" t="str">
        <f t="shared" si="164"/>
        <v/>
      </c>
      <c r="D2831" s="245" t="str">
        <f t="shared" si="166"/>
        <v/>
      </c>
      <c r="E2831" s="534"/>
      <c r="F2831" s="534"/>
    </row>
    <row r="2832" spans="1:6" ht="15" customHeight="1">
      <c r="A2832" s="51"/>
      <c r="B2832" s="52" t="str">
        <f t="shared" si="165"/>
        <v/>
      </c>
      <c r="C2832" t="str">
        <f t="shared" si="164"/>
        <v/>
      </c>
      <c r="D2832" s="245" t="str">
        <f t="shared" si="166"/>
        <v/>
      </c>
      <c r="E2832" s="534"/>
      <c r="F2832" s="534"/>
    </row>
    <row r="2833" spans="1:6" ht="15" customHeight="1">
      <c r="A2833" s="51"/>
      <c r="B2833" s="52" t="str">
        <f t="shared" si="165"/>
        <v/>
      </c>
      <c r="C2833" t="str">
        <f t="shared" si="164"/>
        <v/>
      </c>
      <c r="D2833" s="245" t="str">
        <f t="shared" si="166"/>
        <v/>
      </c>
      <c r="E2833" s="534"/>
      <c r="F2833" s="534"/>
    </row>
    <row r="2834" spans="1:6" ht="15" customHeight="1">
      <c r="A2834" s="51"/>
      <c r="B2834" s="52" t="str">
        <f t="shared" si="165"/>
        <v/>
      </c>
      <c r="C2834" t="str">
        <f t="shared" si="164"/>
        <v/>
      </c>
      <c r="D2834" s="245" t="str">
        <f t="shared" si="166"/>
        <v/>
      </c>
      <c r="E2834" s="534"/>
      <c r="F2834" s="534"/>
    </row>
    <row r="2835" spans="1:6" ht="15" customHeight="1">
      <c r="A2835" s="51"/>
      <c r="B2835" s="52" t="str">
        <f t="shared" si="165"/>
        <v/>
      </c>
      <c r="C2835" t="str">
        <f t="shared" si="164"/>
        <v/>
      </c>
      <c r="D2835" s="245" t="str">
        <f t="shared" si="166"/>
        <v/>
      </c>
      <c r="E2835" s="534"/>
      <c r="F2835" s="534"/>
    </row>
    <row r="2836" spans="1:6" ht="15" customHeight="1">
      <c r="A2836" s="51"/>
      <c r="B2836" s="52" t="str">
        <f t="shared" si="165"/>
        <v/>
      </c>
      <c r="C2836" t="str">
        <f t="shared" si="164"/>
        <v/>
      </c>
      <c r="D2836" s="245" t="str">
        <f t="shared" si="166"/>
        <v/>
      </c>
      <c r="E2836" s="534"/>
      <c r="F2836" s="534"/>
    </row>
    <row r="2837" spans="1:6" ht="15" customHeight="1">
      <c r="A2837" s="51"/>
      <c r="B2837" s="52" t="str">
        <f t="shared" si="165"/>
        <v/>
      </c>
      <c r="C2837" t="str">
        <f t="shared" si="164"/>
        <v/>
      </c>
      <c r="D2837" s="245" t="str">
        <f t="shared" si="166"/>
        <v/>
      </c>
      <c r="E2837" s="534"/>
      <c r="F2837" s="534"/>
    </row>
    <row r="2838" spans="1:6" ht="15" customHeight="1">
      <c r="A2838" s="51"/>
      <c r="B2838" s="52" t="str">
        <f t="shared" si="165"/>
        <v/>
      </c>
      <c r="C2838" t="str">
        <f t="shared" si="164"/>
        <v/>
      </c>
      <c r="D2838" s="245" t="str">
        <f t="shared" si="166"/>
        <v/>
      </c>
      <c r="E2838" s="534"/>
      <c r="F2838" s="534"/>
    </row>
    <row r="2839" spans="1:6" ht="15" customHeight="1">
      <c r="A2839" s="51"/>
      <c r="B2839" s="52" t="str">
        <f t="shared" si="165"/>
        <v/>
      </c>
      <c r="C2839" t="str">
        <f t="shared" si="164"/>
        <v/>
      </c>
      <c r="D2839" s="245" t="str">
        <f t="shared" si="166"/>
        <v/>
      </c>
      <c r="E2839" s="534"/>
      <c r="F2839" s="534"/>
    </row>
    <row r="2840" spans="1:6" ht="15" customHeight="1">
      <c r="A2840" s="51"/>
      <c r="B2840" s="52" t="str">
        <f t="shared" si="165"/>
        <v/>
      </c>
      <c r="C2840" t="str">
        <f t="shared" si="164"/>
        <v/>
      </c>
      <c r="D2840" s="245" t="str">
        <f t="shared" si="166"/>
        <v/>
      </c>
      <c r="E2840" s="534"/>
      <c r="F2840" s="534"/>
    </row>
    <row r="2841" spans="1:6" ht="15" customHeight="1">
      <c r="A2841" s="51"/>
      <c r="B2841" s="52" t="str">
        <f t="shared" si="165"/>
        <v/>
      </c>
      <c r="C2841" t="str">
        <f t="shared" si="164"/>
        <v/>
      </c>
      <c r="D2841" s="245" t="str">
        <f t="shared" si="166"/>
        <v/>
      </c>
      <c r="E2841" s="534"/>
      <c r="F2841" s="534"/>
    </row>
    <row r="2842" spans="1:6" ht="15" customHeight="1">
      <c r="A2842" s="51"/>
      <c r="B2842" s="52" t="str">
        <f t="shared" si="165"/>
        <v/>
      </c>
      <c r="C2842" t="str">
        <f t="shared" si="164"/>
        <v/>
      </c>
      <c r="D2842" s="245" t="str">
        <f t="shared" si="166"/>
        <v/>
      </c>
      <c r="E2842" s="534"/>
      <c r="F2842" s="534"/>
    </row>
    <row r="2843" spans="1:6" ht="15" customHeight="1">
      <c r="A2843" s="51"/>
      <c r="B2843" s="52" t="str">
        <f t="shared" si="165"/>
        <v/>
      </c>
      <c r="C2843" t="str">
        <f t="shared" si="164"/>
        <v/>
      </c>
      <c r="D2843" s="245" t="str">
        <f t="shared" si="166"/>
        <v/>
      </c>
      <c r="E2843" s="534"/>
      <c r="F2843" s="534"/>
    </row>
    <row r="2844" spans="1:6" ht="15" customHeight="1">
      <c r="A2844" s="51"/>
      <c r="B2844" s="52" t="str">
        <f t="shared" si="165"/>
        <v/>
      </c>
      <c r="C2844" t="str">
        <f t="shared" si="164"/>
        <v/>
      </c>
      <c r="D2844" s="245" t="str">
        <f t="shared" si="166"/>
        <v/>
      </c>
      <c r="E2844" s="534"/>
      <c r="F2844" s="534"/>
    </row>
    <row r="2845" spans="1:6" ht="15" customHeight="1">
      <c r="A2845" s="51"/>
      <c r="B2845" s="52" t="str">
        <f t="shared" si="165"/>
        <v/>
      </c>
      <c r="C2845" t="str">
        <f t="shared" si="164"/>
        <v/>
      </c>
      <c r="D2845" s="245" t="str">
        <f t="shared" si="166"/>
        <v/>
      </c>
      <c r="E2845" s="534"/>
      <c r="F2845" s="534"/>
    </row>
    <row r="2846" spans="1:6" ht="15" customHeight="1">
      <c r="A2846" s="51"/>
      <c r="B2846" s="52" t="str">
        <f t="shared" si="165"/>
        <v/>
      </c>
      <c r="C2846" t="str">
        <f t="shared" si="164"/>
        <v/>
      </c>
      <c r="D2846" s="245" t="str">
        <f t="shared" si="166"/>
        <v/>
      </c>
      <c r="E2846" s="534"/>
      <c r="F2846" s="534"/>
    </row>
    <row r="2847" spans="1:6" ht="15" customHeight="1">
      <c r="A2847" s="51"/>
      <c r="B2847" s="52" t="str">
        <f t="shared" si="165"/>
        <v/>
      </c>
      <c r="C2847" t="str">
        <f t="shared" si="164"/>
        <v/>
      </c>
      <c r="D2847" s="245" t="str">
        <f t="shared" si="166"/>
        <v/>
      </c>
      <c r="E2847" s="534"/>
      <c r="F2847" s="534"/>
    </row>
    <row r="2848" spans="1:6" ht="15" customHeight="1">
      <c r="A2848" s="51"/>
      <c r="B2848" s="52" t="str">
        <f t="shared" si="165"/>
        <v/>
      </c>
      <c r="C2848" t="str">
        <f t="shared" si="164"/>
        <v/>
      </c>
      <c r="D2848" s="245" t="str">
        <f t="shared" si="166"/>
        <v/>
      </c>
      <c r="E2848" s="534"/>
      <c r="F2848" s="534"/>
    </row>
    <row r="2849" spans="1:6" ht="15" customHeight="1">
      <c r="A2849" s="51"/>
      <c r="B2849" s="52" t="str">
        <f t="shared" si="165"/>
        <v/>
      </c>
      <c r="C2849" t="str">
        <f t="shared" si="164"/>
        <v/>
      </c>
      <c r="D2849" s="245" t="str">
        <f t="shared" si="166"/>
        <v/>
      </c>
      <c r="E2849" s="534"/>
      <c r="F2849" s="534"/>
    </row>
    <row r="2850" spans="1:6" ht="15" customHeight="1">
      <c r="A2850" s="51"/>
      <c r="B2850" s="52" t="str">
        <f t="shared" si="165"/>
        <v/>
      </c>
      <c r="C2850" t="str">
        <f t="shared" si="164"/>
        <v/>
      </c>
      <c r="D2850" s="245" t="str">
        <f t="shared" si="166"/>
        <v/>
      </c>
      <c r="E2850" s="534"/>
      <c r="F2850" s="534"/>
    </row>
    <row r="2851" spans="1:6" ht="15" customHeight="1">
      <c r="A2851" s="51"/>
      <c r="B2851" s="52" t="str">
        <f t="shared" si="165"/>
        <v/>
      </c>
      <c r="C2851" t="str">
        <f t="shared" si="164"/>
        <v/>
      </c>
      <c r="D2851" s="245" t="str">
        <f t="shared" si="166"/>
        <v/>
      </c>
      <c r="E2851" s="534"/>
      <c r="F2851" s="534"/>
    </row>
    <row r="2852" spans="1:6" ht="15" customHeight="1">
      <c r="A2852" s="51"/>
      <c r="B2852" s="52" t="str">
        <f t="shared" si="165"/>
        <v/>
      </c>
      <c r="C2852" t="str">
        <f t="shared" si="164"/>
        <v/>
      </c>
      <c r="D2852" s="245" t="str">
        <f t="shared" si="166"/>
        <v/>
      </c>
      <c r="E2852" s="534"/>
      <c r="F2852" s="534"/>
    </row>
    <row r="2853" spans="1:6" ht="15" customHeight="1">
      <c r="A2853" s="51"/>
      <c r="B2853" s="52" t="str">
        <f t="shared" si="165"/>
        <v/>
      </c>
      <c r="C2853" t="str">
        <f t="shared" si="164"/>
        <v/>
      </c>
      <c r="D2853" s="245" t="str">
        <f t="shared" si="166"/>
        <v/>
      </c>
      <c r="E2853" s="534"/>
      <c r="F2853" s="534"/>
    </row>
    <row r="2854" spans="1:6" ht="15" customHeight="1">
      <c r="A2854" s="51"/>
      <c r="B2854" s="52" t="str">
        <f t="shared" si="165"/>
        <v/>
      </c>
      <c r="C2854" t="str">
        <f t="shared" si="164"/>
        <v/>
      </c>
      <c r="D2854" s="245" t="str">
        <f t="shared" si="166"/>
        <v/>
      </c>
      <c r="E2854" s="534"/>
      <c r="F2854" s="534"/>
    </row>
    <row r="2855" spans="1:6" ht="15" customHeight="1">
      <c r="A2855" s="51"/>
      <c r="B2855" s="52" t="str">
        <f t="shared" si="165"/>
        <v/>
      </c>
      <c r="C2855" t="str">
        <f t="shared" si="164"/>
        <v/>
      </c>
      <c r="D2855" s="245" t="str">
        <f t="shared" si="166"/>
        <v/>
      </c>
      <c r="E2855" s="534"/>
      <c r="F2855" s="534"/>
    </row>
    <row r="2856" spans="1:6" ht="15" customHeight="1">
      <c r="A2856" s="51"/>
      <c r="B2856" s="52" t="str">
        <f t="shared" si="165"/>
        <v/>
      </c>
      <c r="C2856" t="str">
        <f t="shared" si="164"/>
        <v/>
      </c>
      <c r="D2856" s="245" t="str">
        <f t="shared" si="166"/>
        <v/>
      </c>
      <c r="E2856" s="534"/>
      <c r="F2856" s="534"/>
    </row>
    <row r="2857" spans="1:6" ht="15" customHeight="1">
      <c r="A2857" s="51"/>
      <c r="B2857" s="52" t="str">
        <f t="shared" si="165"/>
        <v/>
      </c>
      <c r="C2857" t="str">
        <f t="shared" si="164"/>
        <v/>
      </c>
      <c r="D2857" s="245" t="str">
        <f t="shared" si="166"/>
        <v/>
      </c>
      <c r="E2857" s="534"/>
      <c r="F2857" s="534"/>
    </row>
    <row r="2858" spans="1:6" ht="15" customHeight="1">
      <c r="A2858" s="51"/>
      <c r="B2858" s="52" t="str">
        <f t="shared" si="165"/>
        <v/>
      </c>
      <c r="C2858" t="str">
        <f t="shared" si="164"/>
        <v/>
      </c>
      <c r="D2858" s="245" t="str">
        <f t="shared" si="166"/>
        <v/>
      </c>
      <c r="E2858" s="534"/>
      <c r="F2858" s="534"/>
    </row>
    <row r="2859" spans="1:6" ht="15" customHeight="1">
      <c r="A2859" s="51"/>
      <c r="B2859" s="52" t="str">
        <f t="shared" si="165"/>
        <v/>
      </c>
      <c r="C2859" t="str">
        <f t="shared" si="164"/>
        <v/>
      </c>
      <c r="D2859" s="245" t="str">
        <f t="shared" si="166"/>
        <v/>
      </c>
      <c r="E2859" s="534"/>
      <c r="F2859" s="534"/>
    </row>
    <row r="2860" spans="1:6" ht="15" customHeight="1">
      <c r="A2860" s="51"/>
      <c r="B2860" s="52" t="str">
        <f t="shared" si="165"/>
        <v/>
      </c>
      <c r="C2860" t="str">
        <f t="shared" si="164"/>
        <v/>
      </c>
      <c r="D2860" s="245" t="str">
        <f t="shared" si="166"/>
        <v/>
      </c>
      <c r="E2860" s="534"/>
      <c r="F2860" s="534"/>
    </row>
    <row r="2861" spans="1:6" ht="15" customHeight="1">
      <c r="A2861" s="51"/>
      <c r="B2861" s="52" t="str">
        <f t="shared" si="165"/>
        <v/>
      </c>
      <c r="C2861" t="str">
        <f t="shared" si="164"/>
        <v/>
      </c>
      <c r="D2861" s="245" t="str">
        <f t="shared" si="166"/>
        <v/>
      </c>
      <c r="E2861" s="534"/>
      <c r="F2861" s="534"/>
    </row>
    <row r="2862" spans="1:6" ht="15" customHeight="1">
      <c r="A2862" s="51"/>
      <c r="B2862" s="52" t="str">
        <f t="shared" si="165"/>
        <v/>
      </c>
      <c r="C2862" t="str">
        <f t="shared" si="164"/>
        <v/>
      </c>
      <c r="D2862" s="245" t="str">
        <f t="shared" si="166"/>
        <v/>
      </c>
      <c r="E2862" s="534"/>
      <c r="F2862" s="534"/>
    </row>
    <row r="2863" spans="1:6" ht="15" customHeight="1">
      <c r="A2863" s="51"/>
      <c r="B2863" s="52" t="str">
        <f t="shared" si="165"/>
        <v/>
      </c>
      <c r="C2863" t="str">
        <f t="shared" si="164"/>
        <v/>
      </c>
      <c r="D2863" s="245" t="str">
        <f t="shared" si="166"/>
        <v/>
      </c>
      <c r="E2863" s="534"/>
      <c r="F2863" s="534"/>
    </row>
    <row r="2864" spans="1:6" ht="15" customHeight="1">
      <c r="A2864" s="51"/>
      <c r="B2864" s="52" t="str">
        <f t="shared" si="165"/>
        <v/>
      </c>
      <c r="C2864" t="str">
        <f t="shared" si="164"/>
        <v/>
      </c>
      <c r="D2864" s="245" t="str">
        <f t="shared" si="166"/>
        <v/>
      </c>
      <c r="E2864" s="534"/>
      <c r="F2864" s="534"/>
    </row>
    <row r="2865" spans="1:6" ht="15" customHeight="1">
      <c r="A2865" s="51"/>
      <c r="B2865" s="52" t="str">
        <f t="shared" si="165"/>
        <v/>
      </c>
      <c r="C2865" t="str">
        <f t="shared" si="164"/>
        <v/>
      </c>
      <c r="D2865" s="245" t="str">
        <f t="shared" si="166"/>
        <v/>
      </c>
      <c r="E2865" s="534"/>
      <c r="F2865" s="534"/>
    </row>
    <row r="2866" spans="1:6" ht="15" customHeight="1">
      <c r="A2866" s="51"/>
      <c r="B2866" s="52" t="str">
        <f t="shared" si="165"/>
        <v/>
      </c>
      <c r="C2866" t="str">
        <f t="shared" si="164"/>
        <v/>
      </c>
      <c r="D2866" s="245" t="str">
        <f t="shared" si="166"/>
        <v/>
      </c>
      <c r="E2866" s="534"/>
      <c r="F2866" s="534"/>
    </row>
    <row r="2867" spans="1:6" ht="15" customHeight="1">
      <c r="A2867" s="51"/>
      <c r="B2867" s="52" t="str">
        <f t="shared" si="165"/>
        <v/>
      </c>
      <c r="C2867" t="str">
        <f t="shared" si="164"/>
        <v/>
      </c>
      <c r="D2867" s="245" t="str">
        <f t="shared" si="166"/>
        <v/>
      </c>
      <c r="E2867" s="534"/>
      <c r="F2867" s="534"/>
    </row>
    <row r="2868" spans="1:6" ht="15" customHeight="1">
      <c r="A2868" s="51"/>
      <c r="B2868" s="52" t="str">
        <f t="shared" si="165"/>
        <v/>
      </c>
      <c r="C2868" t="str">
        <f t="shared" si="164"/>
        <v/>
      </c>
      <c r="D2868" s="245" t="str">
        <f t="shared" si="166"/>
        <v/>
      </c>
      <c r="E2868" s="534"/>
      <c r="F2868" s="534"/>
    </row>
    <row r="2869" spans="1:6" ht="15" customHeight="1">
      <c r="A2869" s="51"/>
      <c r="B2869" s="52" t="str">
        <f t="shared" si="165"/>
        <v/>
      </c>
      <c r="C2869" t="str">
        <f t="shared" si="164"/>
        <v/>
      </c>
      <c r="D2869" s="245" t="str">
        <f t="shared" si="166"/>
        <v/>
      </c>
      <c r="E2869" s="534"/>
      <c r="F2869" s="534"/>
    </row>
    <row r="2870" spans="1:6" ht="15" customHeight="1">
      <c r="A2870" s="51"/>
      <c r="B2870" s="52" t="str">
        <f t="shared" si="165"/>
        <v/>
      </c>
      <c r="C2870" t="str">
        <f t="shared" si="164"/>
        <v/>
      </c>
      <c r="D2870" s="245" t="str">
        <f t="shared" si="166"/>
        <v/>
      </c>
      <c r="E2870" s="534"/>
      <c r="F2870" s="534"/>
    </row>
    <row r="2871" spans="1:6" ht="15" customHeight="1">
      <c r="A2871" s="51"/>
      <c r="B2871" s="52" t="str">
        <f t="shared" si="165"/>
        <v/>
      </c>
      <c r="C2871" t="str">
        <f t="shared" si="164"/>
        <v/>
      </c>
      <c r="D2871" s="245" t="str">
        <f t="shared" si="166"/>
        <v/>
      </c>
      <c r="E2871" s="534"/>
      <c r="F2871" s="534"/>
    </row>
    <row r="2872" spans="1:6" ht="15" customHeight="1">
      <c r="A2872" s="51"/>
      <c r="B2872" s="52" t="str">
        <f t="shared" si="165"/>
        <v/>
      </c>
      <c r="C2872" t="str">
        <f t="shared" si="164"/>
        <v/>
      </c>
      <c r="D2872" s="245" t="str">
        <f t="shared" si="166"/>
        <v/>
      </c>
      <c r="E2872" s="534"/>
      <c r="F2872" s="534"/>
    </row>
    <row r="2873" spans="1:6" ht="15" customHeight="1">
      <c r="A2873" s="51"/>
      <c r="B2873" s="52" t="str">
        <f t="shared" si="165"/>
        <v/>
      </c>
      <c r="C2873" t="str">
        <f t="shared" si="164"/>
        <v/>
      </c>
      <c r="D2873" s="245" t="str">
        <f t="shared" si="166"/>
        <v/>
      </c>
      <c r="E2873" s="534"/>
      <c r="F2873" s="534"/>
    </row>
    <row r="2874" spans="1:6" ht="15" customHeight="1">
      <c r="A2874" s="51"/>
      <c r="B2874" s="52" t="str">
        <f t="shared" si="165"/>
        <v/>
      </c>
      <c r="C2874" t="str">
        <f t="shared" si="164"/>
        <v/>
      </c>
      <c r="D2874" s="245" t="str">
        <f t="shared" si="166"/>
        <v/>
      </c>
      <c r="E2874" s="534"/>
      <c r="F2874" s="534"/>
    </row>
    <row r="2875" spans="1:6" ht="15" customHeight="1">
      <c r="A2875" s="51"/>
      <c r="B2875" s="52" t="str">
        <f t="shared" si="165"/>
        <v/>
      </c>
      <c r="C2875" t="str">
        <f t="shared" si="164"/>
        <v/>
      </c>
      <c r="D2875" s="245" t="str">
        <f t="shared" si="166"/>
        <v/>
      </c>
      <c r="E2875" s="534"/>
      <c r="F2875" s="534"/>
    </row>
    <row r="2876" spans="1:6" ht="15" customHeight="1">
      <c r="A2876" s="51"/>
      <c r="B2876" s="52" t="str">
        <f t="shared" si="165"/>
        <v/>
      </c>
      <c r="C2876" t="str">
        <f t="shared" si="164"/>
        <v/>
      </c>
      <c r="D2876" s="245" t="str">
        <f t="shared" si="166"/>
        <v/>
      </c>
      <c r="E2876" s="534"/>
      <c r="F2876" s="534"/>
    </row>
    <row r="2877" spans="1:6" ht="15" customHeight="1">
      <c r="A2877" s="51"/>
      <c r="B2877" s="52" t="str">
        <f t="shared" si="165"/>
        <v/>
      </c>
      <c r="C2877" t="str">
        <f t="shared" si="164"/>
        <v/>
      </c>
      <c r="D2877" s="245" t="str">
        <f t="shared" si="166"/>
        <v/>
      </c>
      <c r="E2877" s="534"/>
      <c r="F2877" s="534"/>
    </row>
    <row r="2878" spans="1:6" ht="15" customHeight="1">
      <c r="A2878" s="51"/>
      <c r="B2878" s="52" t="str">
        <f t="shared" si="165"/>
        <v/>
      </c>
      <c r="C2878" t="str">
        <f t="shared" si="164"/>
        <v/>
      </c>
      <c r="D2878" s="245" t="str">
        <f t="shared" si="166"/>
        <v/>
      </c>
      <c r="E2878" s="534"/>
      <c r="F2878" s="534"/>
    </row>
    <row r="2879" spans="1:6" ht="15" customHeight="1">
      <c r="A2879" s="51"/>
      <c r="B2879" s="52" t="str">
        <f t="shared" si="165"/>
        <v/>
      </c>
      <c r="C2879" t="str">
        <f t="shared" si="164"/>
        <v/>
      </c>
      <c r="D2879" s="245" t="str">
        <f t="shared" si="166"/>
        <v/>
      </c>
      <c r="E2879" s="534"/>
      <c r="F2879" s="534"/>
    </row>
    <row r="2880" spans="1:6" ht="15" customHeight="1">
      <c r="A2880" s="51"/>
      <c r="B2880" s="52" t="str">
        <f t="shared" si="165"/>
        <v/>
      </c>
      <c r="C2880" t="str">
        <f t="shared" si="164"/>
        <v/>
      </c>
      <c r="D2880" s="245" t="str">
        <f t="shared" si="166"/>
        <v/>
      </c>
      <c r="E2880" s="534"/>
      <c r="F2880" s="534"/>
    </row>
    <row r="2881" spans="1:6" ht="15" customHeight="1">
      <c r="A2881" s="51"/>
      <c r="B2881" s="52" t="str">
        <f t="shared" si="165"/>
        <v/>
      </c>
      <c r="C2881" t="str">
        <f t="shared" si="164"/>
        <v/>
      </c>
      <c r="D2881" s="245" t="str">
        <f t="shared" si="166"/>
        <v/>
      </c>
      <c r="E2881" s="534"/>
      <c r="F2881" s="534"/>
    </row>
    <row r="2882" spans="1:6" ht="15" customHeight="1">
      <c r="A2882" s="51"/>
      <c r="B2882" s="52" t="str">
        <f t="shared" si="165"/>
        <v/>
      </c>
      <c r="C2882" t="str">
        <f t="shared" ref="C2882:C2945" si="167">IF(A2882&lt;&gt;"",TEXT(A2882,"aaaa"),"")</f>
        <v/>
      </c>
      <c r="D2882" s="245" t="str">
        <f t="shared" si="166"/>
        <v/>
      </c>
      <c r="E2882" s="534"/>
      <c r="F2882" s="534"/>
    </row>
    <row r="2883" spans="1:6" ht="15" customHeight="1">
      <c r="A2883" s="51"/>
      <c r="B2883" s="52" t="str">
        <f t="shared" si="165"/>
        <v/>
      </c>
      <c r="C2883" t="str">
        <f t="shared" si="167"/>
        <v/>
      </c>
      <c r="D2883" s="245" t="str">
        <f t="shared" si="166"/>
        <v/>
      </c>
      <c r="E2883" s="534"/>
      <c r="F2883" s="534"/>
    </row>
    <row r="2884" spans="1:6" ht="15" customHeight="1">
      <c r="A2884" s="51"/>
      <c r="B2884" s="52" t="str">
        <f t="shared" si="165"/>
        <v/>
      </c>
      <c r="C2884" t="str">
        <f t="shared" si="167"/>
        <v/>
      </c>
      <c r="D2884" s="245" t="str">
        <f t="shared" si="166"/>
        <v/>
      </c>
      <c r="E2884" s="534"/>
      <c r="F2884" s="534"/>
    </row>
    <row r="2885" spans="1:6" ht="15" customHeight="1">
      <c r="A2885" s="51"/>
      <c r="B2885" s="52" t="str">
        <f t="shared" si="165"/>
        <v/>
      </c>
      <c r="C2885" t="str">
        <f t="shared" si="167"/>
        <v/>
      </c>
      <c r="D2885" s="245" t="str">
        <f t="shared" si="166"/>
        <v/>
      </c>
      <c r="E2885" s="534"/>
      <c r="F2885" s="534"/>
    </row>
    <row r="2886" spans="1:6" ht="15" customHeight="1">
      <c r="A2886" s="51"/>
      <c r="B2886" s="52" t="str">
        <f t="shared" si="165"/>
        <v/>
      </c>
      <c r="C2886" t="str">
        <f t="shared" si="167"/>
        <v/>
      </c>
      <c r="D2886" s="245" t="str">
        <f t="shared" si="166"/>
        <v/>
      </c>
      <c r="E2886" s="534"/>
      <c r="F2886" s="534"/>
    </row>
    <row r="2887" spans="1:6" ht="15" customHeight="1">
      <c r="A2887" s="51"/>
      <c r="B2887" s="52" t="str">
        <f t="shared" si="165"/>
        <v/>
      </c>
      <c r="C2887" t="str">
        <f t="shared" si="167"/>
        <v/>
      </c>
      <c r="D2887" s="245" t="str">
        <f t="shared" si="166"/>
        <v/>
      </c>
      <c r="E2887" s="534"/>
      <c r="F2887" s="534"/>
    </row>
    <row r="2888" spans="1:6" ht="15" customHeight="1">
      <c r="A2888" s="51"/>
      <c r="B2888" s="52" t="str">
        <f t="shared" ref="B2888:B2951" si="168">IF(A2888="","",TEXT(A2888,"DDDD"))</f>
        <v/>
      </c>
      <c r="C2888" t="str">
        <f t="shared" si="167"/>
        <v/>
      </c>
      <c r="D2888" s="245" t="str">
        <f t="shared" si="166"/>
        <v/>
      </c>
      <c r="E2888" s="534"/>
      <c r="F2888" s="534"/>
    </row>
    <row r="2889" spans="1:6" ht="15" customHeight="1">
      <c r="A2889" s="51"/>
      <c r="B2889" s="52" t="str">
        <f t="shared" si="168"/>
        <v/>
      </c>
      <c r="C2889" t="str">
        <f t="shared" si="167"/>
        <v/>
      </c>
      <c r="D2889" s="245" t="str">
        <f t="shared" ref="D2889:D2952" si="169">IF(A2889&lt;&gt;"",PROPER(TEXT(A2889,"Mmmm")),"")</f>
        <v/>
      </c>
      <c r="E2889" s="534"/>
      <c r="F2889" s="534"/>
    </row>
    <row r="2890" spans="1:6" ht="15" customHeight="1">
      <c r="A2890" s="51"/>
      <c r="B2890" s="52" t="str">
        <f t="shared" si="168"/>
        <v/>
      </c>
      <c r="C2890" t="str">
        <f t="shared" si="167"/>
        <v/>
      </c>
      <c r="D2890" s="245" t="str">
        <f t="shared" si="169"/>
        <v/>
      </c>
      <c r="E2890" s="534"/>
      <c r="F2890" s="534"/>
    </row>
    <row r="2891" spans="1:6" ht="15" customHeight="1">
      <c r="A2891" s="51"/>
      <c r="B2891" s="52" t="str">
        <f t="shared" si="168"/>
        <v/>
      </c>
      <c r="C2891" t="str">
        <f t="shared" si="167"/>
        <v/>
      </c>
      <c r="D2891" s="245" t="str">
        <f t="shared" si="169"/>
        <v/>
      </c>
      <c r="E2891" s="534"/>
      <c r="F2891" s="534"/>
    </row>
    <row r="2892" spans="1:6" ht="15" customHeight="1">
      <c r="A2892" s="51"/>
      <c r="B2892" s="52" t="str">
        <f t="shared" si="168"/>
        <v/>
      </c>
      <c r="C2892" t="str">
        <f t="shared" si="167"/>
        <v/>
      </c>
      <c r="D2892" s="245" t="str">
        <f t="shared" si="169"/>
        <v/>
      </c>
      <c r="E2892" s="534"/>
      <c r="F2892" s="534"/>
    </row>
    <row r="2893" spans="1:6" ht="15" customHeight="1">
      <c r="A2893" s="51"/>
      <c r="B2893" s="52" t="str">
        <f t="shared" si="168"/>
        <v/>
      </c>
      <c r="C2893" t="str">
        <f t="shared" si="167"/>
        <v/>
      </c>
      <c r="D2893" s="245" t="str">
        <f t="shared" si="169"/>
        <v/>
      </c>
      <c r="E2893" s="534"/>
      <c r="F2893" s="534"/>
    </row>
    <row r="2894" spans="1:6" ht="15" customHeight="1">
      <c r="A2894" s="51"/>
      <c r="B2894" s="52" t="str">
        <f t="shared" si="168"/>
        <v/>
      </c>
      <c r="C2894" t="str">
        <f t="shared" si="167"/>
        <v/>
      </c>
      <c r="D2894" s="245" t="str">
        <f t="shared" si="169"/>
        <v/>
      </c>
      <c r="E2894" s="534"/>
      <c r="F2894" s="534"/>
    </row>
    <row r="2895" spans="1:6" ht="15" customHeight="1">
      <c r="A2895" s="51"/>
      <c r="B2895" s="52" t="str">
        <f t="shared" si="168"/>
        <v/>
      </c>
      <c r="C2895" t="str">
        <f t="shared" si="167"/>
        <v/>
      </c>
      <c r="D2895" s="245" t="str">
        <f t="shared" si="169"/>
        <v/>
      </c>
      <c r="E2895" s="534"/>
      <c r="F2895" s="534"/>
    </row>
    <row r="2896" spans="1:6" ht="15" customHeight="1">
      <c r="A2896" s="51"/>
      <c r="B2896" s="52" t="str">
        <f t="shared" si="168"/>
        <v/>
      </c>
      <c r="C2896" t="str">
        <f t="shared" si="167"/>
        <v/>
      </c>
      <c r="D2896" s="245" t="str">
        <f t="shared" si="169"/>
        <v/>
      </c>
      <c r="E2896" s="534"/>
      <c r="F2896" s="534"/>
    </row>
    <row r="2897" spans="1:6" ht="15" customHeight="1">
      <c r="A2897" s="51"/>
      <c r="B2897" s="52" t="str">
        <f t="shared" si="168"/>
        <v/>
      </c>
      <c r="C2897" t="str">
        <f t="shared" si="167"/>
        <v/>
      </c>
      <c r="D2897" s="245" t="str">
        <f t="shared" si="169"/>
        <v/>
      </c>
      <c r="E2897" s="534"/>
      <c r="F2897" s="534"/>
    </row>
    <row r="2898" spans="1:6" ht="15" customHeight="1">
      <c r="A2898" s="51"/>
      <c r="B2898" s="52" t="str">
        <f t="shared" si="168"/>
        <v/>
      </c>
      <c r="C2898" t="str">
        <f t="shared" si="167"/>
        <v/>
      </c>
      <c r="D2898" s="245" t="str">
        <f t="shared" si="169"/>
        <v/>
      </c>
      <c r="E2898" s="534"/>
      <c r="F2898" s="534"/>
    </row>
    <row r="2899" spans="1:6" ht="15" customHeight="1">
      <c r="A2899" s="51"/>
      <c r="B2899" s="52" t="str">
        <f t="shared" si="168"/>
        <v/>
      </c>
      <c r="C2899" t="str">
        <f t="shared" si="167"/>
        <v/>
      </c>
      <c r="D2899" s="245" t="str">
        <f t="shared" si="169"/>
        <v/>
      </c>
      <c r="E2899" s="534"/>
      <c r="F2899" s="534"/>
    </row>
    <row r="2900" spans="1:6" ht="15" customHeight="1">
      <c r="A2900" s="51"/>
      <c r="B2900" s="52" t="str">
        <f t="shared" si="168"/>
        <v/>
      </c>
      <c r="C2900" t="str">
        <f t="shared" si="167"/>
        <v/>
      </c>
      <c r="D2900" s="245" t="str">
        <f t="shared" si="169"/>
        <v/>
      </c>
      <c r="E2900" s="534"/>
      <c r="F2900" s="534"/>
    </row>
    <row r="2901" spans="1:6" ht="15" customHeight="1">
      <c r="A2901" s="51"/>
      <c r="B2901" s="52" t="str">
        <f t="shared" si="168"/>
        <v/>
      </c>
      <c r="C2901" t="str">
        <f t="shared" si="167"/>
        <v/>
      </c>
      <c r="D2901" s="245" t="str">
        <f t="shared" si="169"/>
        <v/>
      </c>
      <c r="E2901" s="534"/>
      <c r="F2901" s="534"/>
    </row>
    <row r="2902" spans="1:6" ht="15" customHeight="1">
      <c r="A2902" s="51"/>
      <c r="B2902" s="52" t="str">
        <f t="shared" si="168"/>
        <v/>
      </c>
      <c r="C2902" t="str">
        <f t="shared" si="167"/>
        <v/>
      </c>
      <c r="D2902" s="245" t="str">
        <f t="shared" si="169"/>
        <v/>
      </c>
      <c r="E2902" s="534"/>
      <c r="F2902" s="534"/>
    </row>
    <row r="2903" spans="1:6" ht="15" customHeight="1">
      <c r="A2903" s="51"/>
      <c r="B2903" s="52" t="str">
        <f t="shared" si="168"/>
        <v/>
      </c>
      <c r="C2903" t="str">
        <f t="shared" si="167"/>
        <v/>
      </c>
      <c r="D2903" s="245" t="str">
        <f t="shared" si="169"/>
        <v/>
      </c>
      <c r="E2903" s="534"/>
      <c r="F2903" s="534"/>
    </row>
    <row r="2904" spans="1:6" ht="15" customHeight="1">
      <c r="A2904" s="51"/>
      <c r="B2904" s="52" t="str">
        <f t="shared" si="168"/>
        <v/>
      </c>
      <c r="C2904" t="str">
        <f t="shared" si="167"/>
        <v/>
      </c>
      <c r="D2904" s="245" t="str">
        <f t="shared" si="169"/>
        <v/>
      </c>
      <c r="E2904" s="534"/>
      <c r="F2904" s="534"/>
    </row>
    <row r="2905" spans="1:6" ht="15" customHeight="1">
      <c r="A2905" s="51"/>
      <c r="B2905" s="52" t="str">
        <f t="shared" si="168"/>
        <v/>
      </c>
      <c r="C2905" t="str">
        <f t="shared" si="167"/>
        <v/>
      </c>
      <c r="D2905" s="245" t="str">
        <f t="shared" si="169"/>
        <v/>
      </c>
      <c r="E2905" s="534"/>
      <c r="F2905" s="534"/>
    </row>
    <row r="2906" spans="1:6" ht="15" customHeight="1">
      <c r="A2906" s="51"/>
      <c r="B2906" s="52" t="str">
        <f t="shared" si="168"/>
        <v/>
      </c>
      <c r="C2906" t="str">
        <f t="shared" si="167"/>
        <v/>
      </c>
      <c r="D2906" s="245" t="str">
        <f t="shared" si="169"/>
        <v/>
      </c>
      <c r="E2906" s="534"/>
      <c r="F2906" s="534"/>
    </row>
    <row r="2907" spans="1:6" ht="15" customHeight="1">
      <c r="A2907" s="51"/>
      <c r="B2907" s="52" t="str">
        <f t="shared" si="168"/>
        <v/>
      </c>
      <c r="C2907" t="str">
        <f t="shared" si="167"/>
        <v/>
      </c>
      <c r="D2907" s="245" t="str">
        <f t="shared" si="169"/>
        <v/>
      </c>
      <c r="E2907" s="534"/>
      <c r="F2907" s="534"/>
    </row>
    <row r="2908" spans="1:6" ht="15" customHeight="1">
      <c r="A2908" s="51"/>
      <c r="B2908" s="52" t="str">
        <f t="shared" si="168"/>
        <v/>
      </c>
      <c r="C2908" t="str">
        <f t="shared" si="167"/>
        <v/>
      </c>
      <c r="D2908" s="245" t="str">
        <f t="shared" si="169"/>
        <v/>
      </c>
      <c r="E2908" s="534"/>
      <c r="F2908" s="534"/>
    </row>
    <row r="2909" spans="1:6" ht="15" customHeight="1">
      <c r="A2909" s="51"/>
      <c r="B2909" s="52" t="str">
        <f t="shared" si="168"/>
        <v/>
      </c>
      <c r="C2909" t="str">
        <f t="shared" si="167"/>
        <v/>
      </c>
      <c r="D2909" s="245" t="str">
        <f t="shared" si="169"/>
        <v/>
      </c>
      <c r="E2909" s="534"/>
      <c r="F2909" s="534"/>
    </row>
    <row r="2910" spans="1:6" ht="15" customHeight="1">
      <c r="A2910" s="51"/>
      <c r="B2910" s="52" t="str">
        <f t="shared" si="168"/>
        <v/>
      </c>
      <c r="C2910" t="str">
        <f t="shared" si="167"/>
        <v/>
      </c>
      <c r="D2910" s="245" t="str">
        <f t="shared" si="169"/>
        <v/>
      </c>
      <c r="E2910" s="534"/>
      <c r="F2910" s="534"/>
    </row>
    <row r="2911" spans="1:6" ht="15" customHeight="1">
      <c r="A2911" s="51"/>
      <c r="B2911" s="52" t="str">
        <f t="shared" si="168"/>
        <v/>
      </c>
      <c r="C2911" t="str">
        <f t="shared" si="167"/>
        <v/>
      </c>
      <c r="D2911" s="245" t="str">
        <f t="shared" si="169"/>
        <v/>
      </c>
      <c r="E2911" s="534"/>
      <c r="F2911" s="534"/>
    </row>
    <row r="2912" spans="1:6" ht="15" customHeight="1">
      <c r="A2912" s="51"/>
      <c r="B2912" s="52" t="str">
        <f t="shared" si="168"/>
        <v/>
      </c>
      <c r="C2912" t="str">
        <f t="shared" si="167"/>
        <v/>
      </c>
      <c r="D2912" s="245" t="str">
        <f t="shared" si="169"/>
        <v/>
      </c>
      <c r="E2912" s="534"/>
      <c r="F2912" s="534"/>
    </row>
    <row r="2913" spans="1:6" ht="15" customHeight="1">
      <c r="A2913" s="51"/>
      <c r="B2913" s="52" t="str">
        <f t="shared" si="168"/>
        <v/>
      </c>
      <c r="C2913" t="str">
        <f t="shared" si="167"/>
        <v/>
      </c>
      <c r="D2913" s="245" t="str">
        <f t="shared" si="169"/>
        <v/>
      </c>
      <c r="E2913" s="534"/>
      <c r="F2913" s="534"/>
    </row>
    <row r="2914" spans="1:6" ht="15" customHeight="1">
      <c r="A2914" s="51"/>
      <c r="B2914" s="52" t="str">
        <f t="shared" si="168"/>
        <v/>
      </c>
      <c r="C2914" t="str">
        <f t="shared" si="167"/>
        <v/>
      </c>
      <c r="D2914" s="245" t="str">
        <f t="shared" si="169"/>
        <v/>
      </c>
      <c r="E2914" s="534"/>
      <c r="F2914" s="534"/>
    </row>
    <row r="2915" spans="1:6" ht="15" customHeight="1">
      <c r="A2915" s="51"/>
      <c r="B2915" s="52" t="str">
        <f t="shared" si="168"/>
        <v/>
      </c>
      <c r="C2915" t="str">
        <f t="shared" si="167"/>
        <v/>
      </c>
      <c r="D2915" s="245" t="str">
        <f t="shared" si="169"/>
        <v/>
      </c>
      <c r="E2915" s="534"/>
      <c r="F2915" s="534"/>
    </row>
    <row r="2916" spans="1:6" ht="15" customHeight="1">
      <c r="A2916" s="51"/>
      <c r="B2916" s="52" t="str">
        <f t="shared" si="168"/>
        <v/>
      </c>
      <c r="C2916" t="str">
        <f t="shared" si="167"/>
        <v/>
      </c>
      <c r="D2916" s="245" t="str">
        <f t="shared" si="169"/>
        <v/>
      </c>
      <c r="E2916" s="534"/>
      <c r="F2916" s="534"/>
    </row>
    <row r="2917" spans="1:6" ht="15" customHeight="1">
      <c r="A2917" s="51"/>
      <c r="B2917" s="52" t="str">
        <f t="shared" si="168"/>
        <v/>
      </c>
      <c r="C2917" t="str">
        <f t="shared" si="167"/>
        <v/>
      </c>
      <c r="D2917" s="245" t="str">
        <f t="shared" si="169"/>
        <v/>
      </c>
      <c r="E2917" s="534"/>
      <c r="F2917" s="534"/>
    </row>
    <row r="2918" spans="1:6" ht="15" customHeight="1">
      <c r="A2918" s="51"/>
      <c r="B2918" s="52" t="str">
        <f t="shared" si="168"/>
        <v/>
      </c>
      <c r="C2918" t="str">
        <f t="shared" si="167"/>
        <v/>
      </c>
      <c r="D2918" s="245" t="str">
        <f t="shared" si="169"/>
        <v/>
      </c>
      <c r="E2918" s="534"/>
      <c r="F2918" s="534"/>
    </row>
    <row r="2919" spans="1:6" ht="15" customHeight="1">
      <c r="A2919" s="51"/>
      <c r="B2919" s="52" t="str">
        <f t="shared" si="168"/>
        <v/>
      </c>
      <c r="C2919" t="str">
        <f t="shared" si="167"/>
        <v/>
      </c>
      <c r="D2919" s="245" t="str">
        <f t="shared" si="169"/>
        <v/>
      </c>
      <c r="E2919" s="534"/>
      <c r="F2919" s="534"/>
    </row>
    <row r="2920" spans="1:6" ht="15" customHeight="1">
      <c r="A2920" s="51"/>
      <c r="B2920" s="52" t="str">
        <f t="shared" si="168"/>
        <v/>
      </c>
      <c r="C2920" t="str">
        <f t="shared" si="167"/>
        <v/>
      </c>
      <c r="D2920" s="245" t="str">
        <f t="shared" si="169"/>
        <v/>
      </c>
      <c r="E2920" s="534"/>
      <c r="F2920" s="534"/>
    </row>
    <row r="2921" spans="1:6" ht="15" customHeight="1">
      <c r="A2921" s="51"/>
      <c r="B2921" s="52" t="str">
        <f t="shared" si="168"/>
        <v/>
      </c>
      <c r="C2921" t="str">
        <f t="shared" si="167"/>
        <v/>
      </c>
      <c r="D2921" s="245" t="str">
        <f t="shared" si="169"/>
        <v/>
      </c>
      <c r="E2921" s="534"/>
      <c r="F2921" s="534"/>
    </row>
    <row r="2922" spans="1:6" ht="15" customHeight="1">
      <c r="A2922" s="51"/>
      <c r="B2922" s="52" t="str">
        <f t="shared" si="168"/>
        <v/>
      </c>
      <c r="C2922" t="str">
        <f t="shared" si="167"/>
        <v/>
      </c>
      <c r="D2922" s="245" t="str">
        <f t="shared" si="169"/>
        <v/>
      </c>
      <c r="E2922" s="534"/>
      <c r="F2922" s="534"/>
    </row>
    <row r="2923" spans="1:6" ht="15" customHeight="1">
      <c r="A2923" s="51"/>
      <c r="B2923" s="52" t="str">
        <f t="shared" si="168"/>
        <v/>
      </c>
      <c r="C2923" t="str">
        <f t="shared" si="167"/>
        <v/>
      </c>
      <c r="D2923" s="245" t="str">
        <f t="shared" si="169"/>
        <v/>
      </c>
      <c r="E2923" s="534"/>
      <c r="F2923" s="534"/>
    </row>
    <row r="2924" spans="1:6" ht="15" customHeight="1">
      <c r="A2924" s="51"/>
      <c r="B2924" s="52" t="str">
        <f t="shared" si="168"/>
        <v/>
      </c>
      <c r="C2924" t="str">
        <f t="shared" si="167"/>
        <v/>
      </c>
      <c r="D2924" s="245" t="str">
        <f t="shared" si="169"/>
        <v/>
      </c>
      <c r="E2924" s="534"/>
      <c r="F2924" s="534"/>
    </row>
    <row r="2925" spans="1:6" ht="15" customHeight="1">
      <c r="A2925" s="51"/>
      <c r="B2925" s="52" t="str">
        <f t="shared" si="168"/>
        <v/>
      </c>
      <c r="C2925" t="str">
        <f t="shared" si="167"/>
        <v/>
      </c>
      <c r="D2925" s="245" t="str">
        <f t="shared" si="169"/>
        <v/>
      </c>
      <c r="E2925" s="534"/>
      <c r="F2925" s="534"/>
    </row>
    <row r="2926" spans="1:6" ht="15" customHeight="1">
      <c r="A2926" s="51"/>
      <c r="B2926" s="52" t="str">
        <f t="shared" si="168"/>
        <v/>
      </c>
      <c r="C2926" t="str">
        <f t="shared" si="167"/>
        <v/>
      </c>
      <c r="D2926" s="245" t="str">
        <f t="shared" si="169"/>
        <v/>
      </c>
      <c r="E2926" s="534"/>
      <c r="F2926" s="534"/>
    </row>
    <row r="2927" spans="1:6" ht="15" customHeight="1">
      <c r="A2927" s="51"/>
      <c r="B2927" s="52" t="str">
        <f t="shared" si="168"/>
        <v/>
      </c>
      <c r="C2927" t="str">
        <f t="shared" si="167"/>
        <v/>
      </c>
      <c r="D2927" s="245" t="str">
        <f t="shared" si="169"/>
        <v/>
      </c>
      <c r="E2927" s="534"/>
      <c r="F2927" s="534"/>
    </row>
    <row r="2928" spans="1:6" ht="15" customHeight="1">
      <c r="A2928" s="51"/>
      <c r="B2928" s="52" t="str">
        <f t="shared" si="168"/>
        <v/>
      </c>
      <c r="C2928" t="str">
        <f t="shared" si="167"/>
        <v/>
      </c>
      <c r="D2928" s="245" t="str">
        <f t="shared" si="169"/>
        <v/>
      </c>
      <c r="E2928" s="534"/>
      <c r="F2928" s="534"/>
    </row>
    <row r="2929" spans="1:6" ht="15" customHeight="1">
      <c r="A2929" s="51"/>
      <c r="B2929" s="52" t="str">
        <f t="shared" si="168"/>
        <v/>
      </c>
      <c r="C2929" t="str">
        <f t="shared" si="167"/>
        <v/>
      </c>
      <c r="D2929" s="245" t="str">
        <f t="shared" si="169"/>
        <v/>
      </c>
      <c r="E2929" s="534"/>
      <c r="F2929" s="534"/>
    </row>
    <row r="2930" spans="1:6" ht="15" customHeight="1">
      <c r="A2930" s="51"/>
      <c r="B2930" s="52" t="str">
        <f t="shared" si="168"/>
        <v/>
      </c>
      <c r="C2930" t="str">
        <f t="shared" si="167"/>
        <v/>
      </c>
      <c r="D2930" s="245" t="str">
        <f t="shared" si="169"/>
        <v/>
      </c>
      <c r="E2930" s="534"/>
      <c r="F2930" s="534"/>
    </row>
    <row r="2931" spans="1:6" ht="15" customHeight="1">
      <c r="A2931" s="51"/>
      <c r="B2931" s="52" t="str">
        <f t="shared" si="168"/>
        <v/>
      </c>
      <c r="C2931" t="str">
        <f t="shared" si="167"/>
        <v/>
      </c>
      <c r="D2931" s="245" t="str">
        <f t="shared" si="169"/>
        <v/>
      </c>
      <c r="E2931" s="534"/>
      <c r="F2931" s="534"/>
    </row>
    <row r="2932" spans="1:6" ht="15" customHeight="1">
      <c r="A2932" s="51"/>
      <c r="B2932" s="52" t="str">
        <f t="shared" si="168"/>
        <v/>
      </c>
      <c r="C2932" t="str">
        <f t="shared" si="167"/>
        <v/>
      </c>
      <c r="D2932" s="245" t="str">
        <f t="shared" si="169"/>
        <v/>
      </c>
      <c r="E2932" s="534"/>
      <c r="F2932" s="534"/>
    </row>
    <row r="2933" spans="1:6" ht="15" customHeight="1">
      <c r="A2933" s="51"/>
      <c r="B2933" s="52" t="str">
        <f t="shared" si="168"/>
        <v/>
      </c>
      <c r="C2933" t="str">
        <f t="shared" si="167"/>
        <v/>
      </c>
      <c r="D2933" s="245" t="str">
        <f t="shared" si="169"/>
        <v/>
      </c>
      <c r="E2933" s="534"/>
      <c r="F2933" s="534"/>
    </row>
    <row r="2934" spans="1:6" ht="15" customHeight="1">
      <c r="A2934" s="51"/>
      <c r="B2934" s="52" t="str">
        <f t="shared" si="168"/>
        <v/>
      </c>
      <c r="C2934" t="str">
        <f t="shared" si="167"/>
        <v/>
      </c>
      <c r="D2934" s="245" t="str">
        <f t="shared" si="169"/>
        <v/>
      </c>
      <c r="E2934" s="534"/>
      <c r="F2934" s="534"/>
    </row>
    <row r="2935" spans="1:6" ht="15" customHeight="1">
      <c r="A2935" s="51"/>
      <c r="B2935" s="52" t="str">
        <f t="shared" si="168"/>
        <v/>
      </c>
      <c r="C2935" t="str">
        <f t="shared" si="167"/>
        <v/>
      </c>
      <c r="D2935" s="245" t="str">
        <f t="shared" si="169"/>
        <v/>
      </c>
      <c r="E2935" s="534"/>
      <c r="F2935" s="534"/>
    </row>
    <row r="2936" spans="1:6" ht="15" customHeight="1">
      <c r="A2936" s="51"/>
      <c r="B2936" s="52" t="str">
        <f t="shared" si="168"/>
        <v/>
      </c>
      <c r="C2936" t="str">
        <f t="shared" si="167"/>
        <v/>
      </c>
      <c r="D2936" s="245" t="str">
        <f t="shared" si="169"/>
        <v/>
      </c>
      <c r="E2936" s="534"/>
      <c r="F2936" s="534"/>
    </row>
    <row r="2937" spans="1:6" ht="15" customHeight="1">
      <c r="A2937" s="51"/>
      <c r="B2937" s="52" t="str">
        <f t="shared" si="168"/>
        <v/>
      </c>
      <c r="C2937" t="str">
        <f t="shared" si="167"/>
        <v/>
      </c>
      <c r="D2937" s="245" t="str">
        <f t="shared" si="169"/>
        <v/>
      </c>
      <c r="E2937" s="534"/>
      <c r="F2937" s="534"/>
    </row>
    <row r="2938" spans="1:6" ht="15" customHeight="1">
      <c r="A2938" s="51"/>
      <c r="B2938" s="52" t="str">
        <f t="shared" si="168"/>
        <v/>
      </c>
      <c r="C2938" t="str">
        <f t="shared" si="167"/>
        <v/>
      </c>
      <c r="D2938" s="245" t="str">
        <f t="shared" si="169"/>
        <v/>
      </c>
      <c r="E2938" s="534"/>
      <c r="F2938" s="534"/>
    </row>
    <row r="2939" spans="1:6" ht="15" customHeight="1">
      <c r="A2939" s="51"/>
      <c r="B2939" s="52" t="str">
        <f t="shared" si="168"/>
        <v/>
      </c>
      <c r="C2939" t="str">
        <f t="shared" si="167"/>
        <v/>
      </c>
      <c r="D2939" s="245" t="str">
        <f t="shared" si="169"/>
        <v/>
      </c>
      <c r="E2939" s="534"/>
      <c r="F2939" s="534"/>
    </row>
    <row r="2940" spans="1:6" ht="15" customHeight="1">
      <c r="A2940" s="51"/>
      <c r="B2940" s="52" t="str">
        <f t="shared" si="168"/>
        <v/>
      </c>
      <c r="C2940" t="str">
        <f t="shared" si="167"/>
        <v/>
      </c>
      <c r="D2940" s="245" t="str">
        <f t="shared" si="169"/>
        <v/>
      </c>
      <c r="E2940" s="534"/>
      <c r="F2940" s="534"/>
    </row>
    <row r="2941" spans="1:6" ht="15" customHeight="1">
      <c r="A2941" s="51"/>
      <c r="B2941" s="52" t="str">
        <f t="shared" si="168"/>
        <v/>
      </c>
      <c r="C2941" t="str">
        <f t="shared" si="167"/>
        <v/>
      </c>
      <c r="D2941" s="245" t="str">
        <f t="shared" si="169"/>
        <v/>
      </c>
      <c r="E2941" s="534"/>
      <c r="F2941" s="534"/>
    </row>
    <row r="2942" spans="1:6" ht="15" customHeight="1">
      <c r="A2942" s="51"/>
      <c r="B2942" s="52" t="str">
        <f t="shared" si="168"/>
        <v/>
      </c>
      <c r="C2942" t="str">
        <f t="shared" si="167"/>
        <v/>
      </c>
      <c r="D2942" s="245" t="str">
        <f t="shared" si="169"/>
        <v/>
      </c>
      <c r="E2942" s="534"/>
      <c r="F2942" s="534"/>
    </row>
    <row r="2943" spans="1:6" ht="15" customHeight="1">
      <c r="A2943" s="51"/>
      <c r="B2943" s="52" t="str">
        <f t="shared" si="168"/>
        <v/>
      </c>
      <c r="C2943" t="str">
        <f t="shared" si="167"/>
        <v/>
      </c>
      <c r="D2943" s="245" t="str">
        <f t="shared" si="169"/>
        <v/>
      </c>
      <c r="E2943" s="534"/>
      <c r="F2943" s="534"/>
    </row>
    <row r="2944" spans="1:6" ht="15" customHeight="1">
      <c r="A2944" s="51"/>
      <c r="B2944" s="52" t="str">
        <f t="shared" si="168"/>
        <v/>
      </c>
      <c r="C2944" t="str">
        <f t="shared" si="167"/>
        <v/>
      </c>
      <c r="D2944" s="245" t="str">
        <f t="shared" si="169"/>
        <v/>
      </c>
      <c r="E2944" s="534"/>
      <c r="F2944" s="534"/>
    </row>
    <row r="2945" spans="1:6" ht="15" customHeight="1">
      <c r="A2945" s="51"/>
      <c r="B2945" s="52" t="str">
        <f t="shared" si="168"/>
        <v/>
      </c>
      <c r="C2945" t="str">
        <f t="shared" si="167"/>
        <v/>
      </c>
      <c r="D2945" s="245" t="str">
        <f t="shared" si="169"/>
        <v/>
      </c>
      <c r="E2945" s="534"/>
      <c r="F2945" s="534"/>
    </row>
    <row r="2946" spans="1:6" ht="15" customHeight="1">
      <c r="A2946" s="51"/>
      <c r="B2946" s="52" t="str">
        <f t="shared" si="168"/>
        <v/>
      </c>
      <c r="C2946" t="str">
        <f t="shared" ref="C2946:C3009" si="170">IF(A2946&lt;&gt;"",TEXT(A2946,"aaaa"),"")</f>
        <v/>
      </c>
      <c r="D2946" s="245" t="str">
        <f t="shared" si="169"/>
        <v/>
      </c>
      <c r="E2946" s="534"/>
      <c r="F2946" s="534"/>
    </row>
    <row r="2947" spans="1:6" ht="15" customHeight="1">
      <c r="A2947" s="51"/>
      <c r="B2947" s="52" t="str">
        <f t="shared" si="168"/>
        <v/>
      </c>
      <c r="C2947" t="str">
        <f t="shared" si="170"/>
        <v/>
      </c>
      <c r="D2947" s="245" t="str">
        <f t="shared" si="169"/>
        <v/>
      </c>
      <c r="E2947" s="534"/>
      <c r="F2947" s="534"/>
    </row>
    <row r="2948" spans="1:6" ht="15" customHeight="1">
      <c r="A2948" s="51"/>
      <c r="B2948" s="52" t="str">
        <f t="shared" si="168"/>
        <v/>
      </c>
      <c r="C2948" t="str">
        <f t="shared" si="170"/>
        <v/>
      </c>
      <c r="D2948" s="245" t="str">
        <f t="shared" si="169"/>
        <v/>
      </c>
      <c r="E2948" s="534"/>
      <c r="F2948" s="534"/>
    </row>
    <row r="2949" spans="1:6" ht="15" customHeight="1">
      <c r="A2949" s="51"/>
      <c r="B2949" s="52" t="str">
        <f t="shared" si="168"/>
        <v/>
      </c>
      <c r="C2949" t="str">
        <f t="shared" si="170"/>
        <v/>
      </c>
      <c r="D2949" s="245" t="str">
        <f t="shared" si="169"/>
        <v/>
      </c>
      <c r="E2949" s="534"/>
      <c r="F2949" s="534"/>
    </row>
    <row r="2950" spans="1:6" ht="15" customHeight="1">
      <c r="A2950" s="51"/>
      <c r="B2950" s="52" t="str">
        <f t="shared" si="168"/>
        <v/>
      </c>
      <c r="C2950" t="str">
        <f t="shared" si="170"/>
        <v/>
      </c>
      <c r="D2950" s="245" t="str">
        <f t="shared" si="169"/>
        <v/>
      </c>
      <c r="E2950" s="534"/>
      <c r="F2950" s="534"/>
    </row>
    <row r="2951" spans="1:6" ht="15" customHeight="1">
      <c r="A2951" s="51"/>
      <c r="B2951" s="52" t="str">
        <f t="shared" si="168"/>
        <v/>
      </c>
      <c r="C2951" t="str">
        <f t="shared" si="170"/>
        <v/>
      </c>
      <c r="D2951" s="245" t="str">
        <f t="shared" si="169"/>
        <v/>
      </c>
      <c r="E2951" s="534"/>
      <c r="F2951" s="534"/>
    </row>
    <row r="2952" spans="1:6" ht="15" customHeight="1">
      <c r="A2952" s="51"/>
      <c r="B2952" s="52" t="str">
        <f t="shared" ref="B2952:B3015" si="171">IF(A2952="","",TEXT(A2952,"DDDD"))</f>
        <v/>
      </c>
      <c r="C2952" t="str">
        <f t="shared" si="170"/>
        <v/>
      </c>
      <c r="D2952" s="245" t="str">
        <f t="shared" si="169"/>
        <v/>
      </c>
      <c r="E2952" s="534"/>
      <c r="F2952" s="534"/>
    </row>
    <row r="2953" spans="1:6" ht="15" customHeight="1">
      <c r="A2953" s="51"/>
      <c r="B2953" s="52" t="str">
        <f t="shared" si="171"/>
        <v/>
      </c>
      <c r="C2953" t="str">
        <f t="shared" si="170"/>
        <v/>
      </c>
      <c r="D2953" s="245" t="str">
        <f t="shared" ref="D2953:D3016" si="172">IF(A2953&lt;&gt;"",PROPER(TEXT(A2953,"Mmmm")),"")</f>
        <v/>
      </c>
      <c r="E2953" s="534"/>
      <c r="F2953" s="534"/>
    </row>
    <row r="2954" spans="1:6" ht="15" customHeight="1">
      <c r="A2954" s="51"/>
      <c r="B2954" s="52" t="str">
        <f t="shared" si="171"/>
        <v/>
      </c>
      <c r="C2954" t="str">
        <f t="shared" si="170"/>
        <v/>
      </c>
      <c r="D2954" s="245" t="str">
        <f t="shared" si="172"/>
        <v/>
      </c>
      <c r="E2954" s="534"/>
      <c r="F2954" s="534"/>
    </row>
    <row r="2955" spans="1:6" ht="15" customHeight="1">
      <c r="A2955" s="51"/>
      <c r="B2955" s="52" t="str">
        <f t="shared" si="171"/>
        <v/>
      </c>
      <c r="C2955" t="str">
        <f t="shared" si="170"/>
        <v/>
      </c>
      <c r="D2955" s="245" t="str">
        <f t="shared" si="172"/>
        <v/>
      </c>
      <c r="E2955" s="534"/>
      <c r="F2955" s="534"/>
    </row>
    <row r="2956" spans="1:6" ht="15" customHeight="1">
      <c r="A2956" s="51"/>
      <c r="B2956" s="52" t="str">
        <f t="shared" si="171"/>
        <v/>
      </c>
      <c r="C2956" t="str">
        <f t="shared" si="170"/>
        <v/>
      </c>
      <c r="D2956" s="245" t="str">
        <f t="shared" si="172"/>
        <v/>
      </c>
      <c r="E2956" s="534"/>
      <c r="F2956" s="534"/>
    </row>
    <row r="2957" spans="1:6" ht="15" customHeight="1">
      <c r="A2957" s="51"/>
      <c r="B2957" s="52" t="str">
        <f t="shared" si="171"/>
        <v/>
      </c>
      <c r="C2957" t="str">
        <f t="shared" si="170"/>
        <v/>
      </c>
      <c r="D2957" s="245" t="str">
        <f t="shared" si="172"/>
        <v/>
      </c>
      <c r="E2957" s="534"/>
      <c r="F2957" s="534"/>
    </row>
    <row r="2958" spans="1:6" ht="15" customHeight="1">
      <c r="A2958" s="51"/>
      <c r="B2958" s="52" t="str">
        <f t="shared" si="171"/>
        <v/>
      </c>
      <c r="C2958" t="str">
        <f t="shared" si="170"/>
        <v/>
      </c>
      <c r="D2958" s="245" t="str">
        <f t="shared" si="172"/>
        <v/>
      </c>
      <c r="E2958" s="534"/>
      <c r="F2958" s="534"/>
    </row>
    <row r="2959" spans="1:6" ht="15" customHeight="1">
      <c r="A2959" s="51"/>
      <c r="B2959" s="52" t="str">
        <f t="shared" si="171"/>
        <v/>
      </c>
      <c r="C2959" t="str">
        <f t="shared" si="170"/>
        <v/>
      </c>
      <c r="D2959" s="245" t="str">
        <f t="shared" si="172"/>
        <v/>
      </c>
      <c r="E2959" s="534"/>
      <c r="F2959" s="534"/>
    </row>
    <row r="2960" spans="1:6" ht="15" customHeight="1">
      <c r="A2960" s="51"/>
      <c r="B2960" s="52" t="str">
        <f t="shared" si="171"/>
        <v/>
      </c>
      <c r="C2960" t="str">
        <f t="shared" si="170"/>
        <v/>
      </c>
      <c r="D2960" s="245" t="str">
        <f t="shared" si="172"/>
        <v/>
      </c>
      <c r="E2960" s="534"/>
      <c r="F2960" s="534"/>
    </row>
    <row r="2961" spans="1:6" ht="15" customHeight="1">
      <c r="A2961" s="51"/>
      <c r="B2961" s="52" t="str">
        <f t="shared" si="171"/>
        <v/>
      </c>
      <c r="C2961" t="str">
        <f t="shared" si="170"/>
        <v/>
      </c>
      <c r="D2961" s="245" t="str">
        <f t="shared" si="172"/>
        <v/>
      </c>
      <c r="E2961" s="534"/>
      <c r="F2961" s="534"/>
    </row>
    <row r="2962" spans="1:6" ht="15" customHeight="1">
      <c r="A2962" s="51"/>
      <c r="B2962" s="52" t="str">
        <f t="shared" si="171"/>
        <v/>
      </c>
      <c r="C2962" t="str">
        <f t="shared" si="170"/>
        <v/>
      </c>
      <c r="D2962" s="245" t="str">
        <f t="shared" si="172"/>
        <v/>
      </c>
      <c r="E2962" s="534"/>
      <c r="F2962" s="534"/>
    </row>
    <row r="2963" spans="1:6" ht="15" customHeight="1">
      <c r="A2963" s="51"/>
      <c r="B2963" s="52" t="str">
        <f t="shared" si="171"/>
        <v/>
      </c>
      <c r="C2963" t="str">
        <f t="shared" si="170"/>
        <v/>
      </c>
      <c r="D2963" s="245" t="str">
        <f t="shared" si="172"/>
        <v/>
      </c>
      <c r="E2963" s="534"/>
      <c r="F2963" s="534"/>
    </row>
    <row r="2964" spans="1:6" ht="15" customHeight="1">
      <c r="A2964" s="51"/>
      <c r="B2964" s="52" t="str">
        <f t="shared" si="171"/>
        <v/>
      </c>
      <c r="C2964" t="str">
        <f t="shared" si="170"/>
        <v/>
      </c>
      <c r="D2964" s="245" t="str">
        <f t="shared" si="172"/>
        <v/>
      </c>
      <c r="E2964" s="534"/>
      <c r="F2964" s="534"/>
    </row>
    <row r="2965" spans="1:6" ht="15" customHeight="1">
      <c r="A2965" s="51"/>
      <c r="B2965" s="52" t="str">
        <f t="shared" si="171"/>
        <v/>
      </c>
      <c r="C2965" t="str">
        <f t="shared" si="170"/>
        <v/>
      </c>
      <c r="D2965" s="245" t="str">
        <f t="shared" si="172"/>
        <v/>
      </c>
      <c r="E2965" s="534"/>
      <c r="F2965" s="534"/>
    </row>
    <row r="2966" spans="1:6" ht="15" customHeight="1">
      <c r="A2966" s="51"/>
      <c r="B2966" s="52" t="str">
        <f t="shared" si="171"/>
        <v/>
      </c>
      <c r="C2966" t="str">
        <f t="shared" si="170"/>
        <v/>
      </c>
      <c r="D2966" s="245" t="str">
        <f t="shared" si="172"/>
        <v/>
      </c>
      <c r="E2966" s="534"/>
      <c r="F2966" s="534"/>
    </row>
    <row r="2967" spans="1:6" ht="15" customHeight="1">
      <c r="A2967" s="51"/>
      <c r="B2967" s="52" t="str">
        <f t="shared" si="171"/>
        <v/>
      </c>
      <c r="C2967" t="str">
        <f t="shared" si="170"/>
        <v/>
      </c>
      <c r="D2967" s="245" t="str">
        <f t="shared" si="172"/>
        <v/>
      </c>
      <c r="E2967" s="534"/>
      <c r="F2967" s="534"/>
    </row>
    <row r="2968" spans="1:6" ht="15" customHeight="1">
      <c r="A2968" s="51"/>
      <c r="B2968" s="52" t="str">
        <f t="shared" si="171"/>
        <v/>
      </c>
      <c r="C2968" t="str">
        <f t="shared" si="170"/>
        <v/>
      </c>
      <c r="D2968" s="245" t="str">
        <f t="shared" si="172"/>
        <v/>
      </c>
      <c r="E2968" s="534"/>
      <c r="F2968" s="534"/>
    </row>
    <row r="2969" spans="1:6" ht="15" customHeight="1">
      <c r="A2969" s="51"/>
      <c r="B2969" s="52" t="str">
        <f t="shared" si="171"/>
        <v/>
      </c>
      <c r="C2969" t="str">
        <f t="shared" si="170"/>
        <v/>
      </c>
      <c r="D2969" s="245" t="str">
        <f t="shared" si="172"/>
        <v/>
      </c>
      <c r="E2969" s="534"/>
      <c r="F2969" s="534"/>
    </row>
    <row r="2970" spans="1:6" ht="15" customHeight="1">
      <c r="A2970" s="51"/>
      <c r="B2970" s="52" t="str">
        <f t="shared" si="171"/>
        <v/>
      </c>
      <c r="C2970" t="str">
        <f t="shared" si="170"/>
        <v/>
      </c>
      <c r="D2970" s="245" t="str">
        <f t="shared" si="172"/>
        <v/>
      </c>
      <c r="E2970" s="534"/>
      <c r="F2970" s="534"/>
    </row>
    <row r="2971" spans="1:6" ht="15" customHeight="1">
      <c r="A2971" s="51"/>
      <c r="B2971" s="52" t="str">
        <f t="shared" si="171"/>
        <v/>
      </c>
      <c r="C2971" t="str">
        <f t="shared" si="170"/>
        <v/>
      </c>
      <c r="D2971" s="245" t="str">
        <f t="shared" si="172"/>
        <v/>
      </c>
      <c r="E2971" s="534"/>
      <c r="F2971" s="534"/>
    </row>
    <row r="2972" spans="1:6" ht="15" customHeight="1">
      <c r="A2972" s="51"/>
      <c r="B2972" s="52" t="str">
        <f t="shared" si="171"/>
        <v/>
      </c>
      <c r="C2972" t="str">
        <f t="shared" si="170"/>
        <v/>
      </c>
      <c r="D2972" s="245" t="str">
        <f t="shared" si="172"/>
        <v/>
      </c>
      <c r="E2972" s="534"/>
      <c r="F2972" s="534"/>
    </row>
    <row r="2973" spans="1:6" ht="15" customHeight="1">
      <c r="A2973" s="51"/>
      <c r="B2973" s="52" t="str">
        <f t="shared" si="171"/>
        <v/>
      </c>
      <c r="C2973" t="str">
        <f t="shared" si="170"/>
        <v/>
      </c>
      <c r="D2973" s="245" t="str">
        <f t="shared" si="172"/>
        <v/>
      </c>
      <c r="E2973" s="534"/>
      <c r="F2973" s="534"/>
    </row>
    <row r="2974" spans="1:6" ht="15" customHeight="1">
      <c r="A2974" s="51"/>
      <c r="B2974" s="52" t="str">
        <f t="shared" si="171"/>
        <v/>
      </c>
      <c r="C2974" t="str">
        <f t="shared" si="170"/>
        <v/>
      </c>
      <c r="D2974" s="245" t="str">
        <f t="shared" si="172"/>
        <v/>
      </c>
      <c r="E2974" s="534"/>
      <c r="F2974" s="534"/>
    </row>
    <row r="2975" spans="1:6" ht="15" customHeight="1">
      <c r="A2975" s="51"/>
      <c r="B2975" s="52" t="str">
        <f t="shared" si="171"/>
        <v/>
      </c>
      <c r="C2975" t="str">
        <f t="shared" si="170"/>
        <v/>
      </c>
      <c r="D2975" s="245" t="str">
        <f t="shared" si="172"/>
        <v/>
      </c>
      <c r="E2975" s="534"/>
      <c r="F2975" s="534"/>
    </row>
    <row r="2976" spans="1:6" ht="15" customHeight="1">
      <c r="A2976" s="51"/>
      <c r="B2976" s="52" t="str">
        <f t="shared" si="171"/>
        <v/>
      </c>
      <c r="C2976" t="str">
        <f t="shared" si="170"/>
        <v/>
      </c>
      <c r="D2976" s="245" t="str">
        <f t="shared" si="172"/>
        <v/>
      </c>
      <c r="E2976" s="534"/>
      <c r="F2976" s="534"/>
    </row>
    <row r="2977" spans="1:6" ht="15" customHeight="1">
      <c r="A2977" s="51"/>
      <c r="B2977" s="52" t="str">
        <f t="shared" si="171"/>
        <v/>
      </c>
      <c r="C2977" t="str">
        <f t="shared" si="170"/>
        <v/>
      </c>
      <c r="D2977" s="245" t="str">
        <f t="shared" si="172"/>
        <v/>
      </c>
      <c r="E2977" s="534"/>
      <c r="F2977" s="534"/>
    </row>
    <row r="2978" spans="1:6" ht="15" customHeight="1">
      <c r="A2978" s="51"/>
      <c r="B2978" s="52" t="str">
        <f t="shared" si="171"/>
        <v/>
      </c>
      <c r="C2978" t="str">
        <f t="shared" si="170"/>
        <v/>
      </c>
      <c r="D2978" s="245" t="str">
        <f t="shared" si="172"/>
        <v/>
      </c>
      <c r="E2978" s="534"/>
      <c r="F2978" s="534"/>
    </row>
    <row r="2979" spans="1:6" ht="15" customHeight="1">
      <c r="A2979" s="51"/>
      <c r="B2979" s="52" t="str">
        <f t="shared" si="171"/>
        <v/>
      </c>
      <c r="C2979" t="str">
        <f t="shared" si="170"/>
        <v/>
      </c>
      <c r="D2979" s="245" t="str">
        <f t="shared" si="172"/>
        <v/>
      </c>
      <c r="E2979" s="534"/>
      <c r="F2979" s="534"/>
    </row>
    <row r="2980" spans="1:6" ht="15" customHeight="1">
      <c r="A2980" s="51"/>
      <c r="B2980" s="52" t="str">
        <f t="shared" si="171"/>
        <v/>
      </c>
      <c r="C2980" t="str">
        <f t="shared" si="170"/>
        <v/>
      </c>
      <c r="D2980" s="245" t="str">
        <f t="shared" si="172"/>
        <v/>
      </c>
      <c r="E2980" s="534"/>
      <c r="F2980" s="534"/>
    </row>
    <row r="2981" spans="1:6" ht="15" customHeight="1">
      <c r="A2981" s="51"/>
      <c r="B2981" s="52" t="str">
        <f t="shared" si="171"/>
        <v/>
      </c>
      <c r="C2981" t="str">
        <f t="shared" si="170"/>
        <v/>
      </c>
      <c r="D2981" s="245" t="str">
        <f t="shared" si="172"/>
        <v/>
      </c>
      <c r="E2981" s="534"/>
      <c r="F2981" s="534"/>
    </row>
    <row r="2982" spans="1:6" ht="15" customHeight="1">
      <c r="A2982" s="51"/>
      <c r="B2982" s="52" t="str">
        <f t="shared" si="171"/>
        <v/>
      </c>
      <c r="C2982" t="str">
        <f t="shared" si="170"/>
        <v/>
      </c>
      <c r="D2982" s="245" t="str">
        <f t="shared" si="172"/>
        <v/>
      </c>
      <c r="E2982" s="534"/>
      <c r="F2982" s="534"/>
    </row>
    <row r="2983" spans="1:6" ht="15" customHeight="1">
      <c r="A2983" s="51"/>
      <c r="B2983" s="52" t="str">
        <f t="shared" si="171"/>
        <v/>
      </c>
      <c r="C2983" t="str">
        <f t="shared" si="170"/>
        <v/>
      </c>
      <c r="D2983" s="245" t="str">
        <f t="shared" si="172"/>
        <v/>
      </c>
      <c r="E2983" s="534"/>
      <c r="F2983" s="534"/>
    </row>
    <row r="2984" spans="1:6" ht="15" customHeight="1">
      <c r="A2984" s="51"/>
      <c r="B2984" s="52" t="str">
        <f t="shared" si="171"/>
        <v/>
      </c>
      <c r="C2984" t="str">
        <f t="shared" si="170"/>
        <v/>
      </c>
      <c r="D2984" s="245" t="str">
        <f t="shared" si="172"/>
        <v/>
      </c>
      <c r="E2984" s="534"/>
      <c r="F2984" s="534"/>
    </row>
    <row r="2985" spans="1:6" ht="15" customHeight="1">
      <c r="A2985" s="51"/>
      <c r="B2985" s="52" t="str">
        <f t="shared" si="171"/>
        <v/>
      </c>
      <c r="C2985" t="str">
        <f t="shared" si="170"/>
        <v/>
      </c>
      <c r="D2985" s="245" t="str">
        <f t="shared" si="172"/>
        <v/>
      </c>
      <c r="E2985" s="534"/>
      <c r="F2985" s="534"/>
    </row>
    <row r="2986" spans="1:6" ht="15" customHeight="1">
      <c r="A2986" s="51"/>
      <c r="B2986" s="52" t="str">
        <f t="shared" si="171"/>
        <v/>
      </c>
      <c r="C2986" t="str">
        <f t="shared" si="170"/>
        <v/>
      </c>
      <c r="D2986" s="245" t="str">
        <f t="shared" si="172"/>
        <v/>
      </c>
      <c r="E2986" s="534"/>
      <c r="F2986" s="534"/>
    </row>
    <row r="2987" spans="1:6" ht="15" customHeight="1">
      <c r="A2987" s="51"/>
      <c r="B2987" s="52" t="str">
        <f t="shared" si="171"/>
        <v/>
      </c>
      <c r="C2987" t="str">
        <f t="shared" si="170"/>
        <v/>
      </c>
      <c r="D2987" s="245" t="str">
        <f t="shared" si="172"/>
        <v/>
      </c>
      <c r="E2987" s="534"/>
      <c r="F2987" s="534"/>
    </row>
    <row r="2988" spans="1:6" ht="15" customHeight="1">
      <c r="A2988" s="51"/>
      <c r="B2988" s="52" t="str">
        <f t="shared" si="171"/>
        <v/>
      </c>
      <c r="C2988" t="str">
        <f t="shared" si="170"/>
        <v/>
      </c>
      <c r="D2988" s="245" t="str">
        <f t="shared" si="172"/>
        <v/>
      </c>
      <c r="E2988" s="534"/>
      <c r="F2988" s="534"/>
    </row>
    <row r="2989" spans="1:6" ht="15" customHeight="1">
      <c r="A2989" s="51"/>
      <c r="B2989" s="52" t="str">
        <f t="shared" si="171"/>
        <v/>
      </c>
      <c r="C2989" t="str">
        <f t="shared" si="170"/>
        <v/>
      </c>
      <c r="D2989" s="245" t="str">
        <f t="shared" si="172"/>
        <v/>
      </c>
      <c r="E2989" s="534"/>
      <c r="F2989" s="534"/>
    </row>
    <row r="2990" spans="1:6" ht="15" customHeight="1">
      <c r="A2990" s="51"/>
      <c r="B2990" s="52" t="str">
        <f t="shared" si="171"/>
        <v/>
      </c>
      <c r="C2990" t="str">
        <f t="shared" si="170"/>
        <v/>
      </c>
      <c r="D2990" s="245" t="str">
        <f t="shared" si="172"/>
        <v/>
      </c>
      <c r="E2990" s="534"/>
      <c r="F2990" s="534"/>
    </row>
    <row r="2991" spans="1:6" ht="15" customHeight="1">
      <c r="A2991" s="51"/>
      <c r="B2991" s="52" t="str">
        <f t="shared" si="171"/>
        <v/>
      </c>
      <c r="C2991" t="str">
        <f t="shared" si="170"/>
        <v/>
      </c>
      <c r="D2991" s="245" t="str">
        <f t="shared" si="172"/>
        <v/>
      </c>
      <c r="E2991" s="534"/>
      <c r="F2991" s="534"/>
    </row>
    <row r="2992" spans="1:6" ht="15" customHeight="1">
      <c r="A2992" s="51"/>
      <c r="B2992" s="52" t="str">
        <f t="shared" si="171"/>
        <v/>
      </c>
      <c r="C2992" t="str">
        <f t="shared" si="170"/>
        <v/>
      </c>
      <c r="D2992" s="245" t="str">
        <f t="shared" si="172"/>
        <v/>
      </c>
      <c r="E2992" s="534"/>
      <c r="F2992" s="534"/>
    </row>
    <row r="2993" spans="1:6" ht="15" customHeight="1">
      <c r="A2993" s="51"/>
      <c r="B2993" s="52" t="str">
        <f t="shared" si="171"/>
        <v/>
      </c>
      <c r="C2993" t="str">
        <f t="shared" si="170"/>
        <v/>
      </c>
      <c r="D2993" s="245" t="str">
        <f t="shared" si="172"/>
        <v/>
      </c>
      <c r="E2993" s="534"/>
      <c r="F2993" s="534"/>
    </row>
    <row r="2994" spans="1:6" ht="15" customHeight="1">
      <c r="A2994" s="51"/>
      <c r="B2994" s="52" t="str">
        <f t="shared" si="171"/>
        <v/>
      </c>
      <c r="C2994" t="str">
        <f t="shared" si="170"/>
        <v/>
      </c>
      <c r="D2994" s="245" t="str">
        <f t="shared" si="172"/>
        <v/>
      </c>
      <c r="E2994" s="534"/>
      <c r="F2994" s="534"/>
    </row>
    <row r="2995" spans="1:6" ht="15" customHeight="1">
      <c r="A2995" s="51"/>
      <c r="B2995" s="52" t="str">
        <f t="shared" si="171"/>
        <v/>
      </c>
      <c r="C2995" t="str">
        <f t="shared" si="170"/>
        <v/>
      </c>
      <c r="D2995" s="245" t="str">
        <f t="shared" si="172"/>
        <v/>
      </c>
      <c r="E2995" s="534"/>
      <c r="F2995" s="534"/>
    </row>
    <row r="2996" spans="1:6" ht="15" customHeight="1">
      <c r="A2996" s="51"/>
      <c r="B2996" s="52" t="str">
        <f t="shared" si="171"/>
        <v/>
      </c>
      <c r="C2996" t="str">
        <f t="shared" si="170"/>
        <v/>
      </c>
      <c r="D2996" s="245" t="str">
        <f t="shared" si="172"/>
        <v/>
      </c>
      <c r="E2996" s="534"/>
      <c r="F2996" s="534"/>
    </row>
    <row r="2997" spans="1:6" ht="15" customHeight="1">
      <c r="A2997" s="51"/>
      <c r="B2997" s="52" t="str">
        <f t="shared" si="171"/>
        <v/>
      </c>
      <c r="C2997" t="str">
        <f t="shared" si="170"/>
        <v/>
      </c>
      <c r="D2997" s="245" t="str">
        <f t="shared" si="172"/>
        <v/>
      </c>
      <c r="E2997" s="534"/>
      <c r="F2997" s="534"/>
    </row>
    <row r="2998" spans="1:6" ht="15" customHeight="1">
      <c r="A2998" s="51"/>
      <c r="B2998" s="52" t="str">
        <f t="shared" si="171"/>
        <v/>
      </c>
      <c r="C2998" t="str">
        <f t="shared" si="170"/>
        <v/>
      </c>
      <c r="D2998" s="245" t="str">
        <f t="shared" si="172"/>
        <v/>
      </c>
      <c r="E2998" s="534"/>
      <c r="F2998" s="534"/>
    </row>
    <row r="2999" spans="1:6" ht="15" customHeight="1">
      <c r="A2999" s="51"/>
      <c r="B2999" s="52" t="str">
        <f t="shared" si="171"/>
        <v/>
      </c>
      <c r="C2999" t="str">
        <f t="shared" si="170"/>
        <v/>
      </c>
      <c r="D2999" s="245" t="str">
        <f t="shared" si="172"/>
        <v/>
      </c>
      <c r="E2999" s="534"/>
      <c r="F2999" s="534"/>
    </row>
    <row r="3000" spans="1:6" ht="15" customHeight="1">
      <c r="A3000" s="51"/>
      <c r="B3000" s="52" t="str">
        <f t="shared" si="171"/>
        <v/>
      </c>
      <c r="C3000" t="str">
        <f t="shared" si="170"/>
        <v/>
      </c>
      <c r="D3000" s="245" t="str">
        <f t="shared" si="172"/>
        <v/>
      </c>
      <c r="E3000" s="534"/>
      <c r="F3000" s="534"/>
    </row>
    <row r="3001" spans="1:6" ht="15" customHeight="1">
      <c r="A3001" s="51"/>
      <c r="B3001" s="52" t="str">
        <f t="shared" si="171"/>
        <v/>
      </c>
      <c r="C3001" t="str">
        <f t="shared" si="170"/>
        <v/>
      </c>
      <c r="D3001" s="245" t="str">
        <f t="shared" si="172"/>
        <v/>
      </c>
      <c r="E3001" s="534"/>
      <c r="F3001" s="534"/>
    </row>
    <row r="3002" spans="1:6" ht="15" customHeight="1">
      <c r="A3002" s="51"/>
      <c r="B3002" s="52" t="str">
        <f t="shared" si="171"/>
        <v/>
      </c>
      <c r="C3002" t="str">
        <f t="shared" si="170"/>
        <v/>
      </c>
      <c r="D3002" s="245" t="str">
        <f t="shared" si="172"/>
        <v/>
      </c>
      <c r="E3002" s="534"/>
      <c r="F3002" s="534"/>
    </row>
    <row r="3003" spans="1:6" ht="15" customHeight="1">
      <c r="A3003" s="51"/>
      <c r="B3003" s="52" t="str">
        <f t="shared" si="171"/>
        <v/>
      </c>
      <c r="C3003" t="str">
        <f t="shared" si="170"/>
        <v/>
      </c>
      <c r="D3003" s="245" t="str">
        <f t="shared" si="172"/>
        <v/>
      </c>
      <c r="E3003" s="534"/>
      <c r="F3003" s="534"/>
    </row>
    <row r="3004" spans="1:6" ht="15" customHeight="1">
      <c r="A3004" s="51"/>
      <c r="B3004" s="52" t="str">
        <f t="shared" si="171"/>
        <v/>
      </c>
      <c r="C3004" t="str">
        <f t="shared" si="170"/>
        <v/>
      </c>
      <c r="D3004" s="245" t="str">
        <f t="shared" si="172"/>
        <v/>
      </c>
      <c r="E3004" s="534"/>
      <c r="F3004" s="534"/>
    </row>
    <row r="3005" spans="1:6" ht="15" customHeight="1">
      <c r="A3005" s="51"/>
      <c r="B3005" s="52" t="str">
        <f t="shared" si="171"/>
        <v/>
      </c>
      <c r="C3005" t="str">
        <f t="shared" si="170"/>
        <v/>
      </c>
      <c r="D3005" s="245" t="str">
        <f t="shared" si="172"/>
        <v/>
      </c>
      <c r="E3005" s="534"/>
      <c r="F3005" s="534"/>
    </row>
    <row r="3006" spans="1:6" ht="15" customHeight="1">
      <c r="A3006" s="51"/>
      <c r="B3006" s="52" t="str">
        <f t="shared" si="171"/>
        <v/>
      </c>
      <c r="C3006" t="str">
        <f t="shared" si="170"/>
        <v/>
      </c>
      <c r="D3006" s="245" t="str">
        <f t="shared" si="172"/>
        <v/>
      </c>
      <c r="E3006" s="534"/>
      <c r="F3006" s="534"/>
    </row>
    <row r="3007" spans="1:6" ht="15" customHeight="1">
      <c r="A3007" s="51"/>
      <c r="B3007" s="52" t="str">
        <f t="shared" si="171"/>
        <v/>
      </c>
      <c r="C3007" t="str">
        <f t="shared" si="170"/>
        <v/>
      </c>
      <c r="D3007" s="245" t="str">
        <f t="shared" si="172"/>
        <v/>
      </c>
      <c r="E3007" s="534"/>
      <c r="F3007" s="534"/>
    </row>
    <row r="3008" spans="1:6" ht="15" customHeight="1">
      <c r="A3008" s="51"/>
      <c r="B3008" s="52" t="str">
        <f t="shared" si="171"/>
        <v/>
      </c>
      <c r="C3008" t="str">
        <f t="shared" si="170"/>
        <v/>
      </c>
      <c r="D3008" s="245" t="str">
        <f t="shared" si="172"/>
        <v/>
      </c>
      <c r="E3008" s="534"/>
      <c r="F3008" s="534"/>
    </row>
    <row r="3009" spans="1:6" ht="15" customHeight="1">
      <c r="A3009" s="51"/>
      <c r="B3009" s="52" t="str">
        <f t="shared" si="171"/>
        <v/>
      </c>
      <c r="C3009" t="str">
        <f t="shared" si="170"/>
        <v/>
      </c>
      <c r="D3009" s="245" t="str">
        <f t="shared" si="172"/>
        <v/>
      </c>
      <c r="E3009" s="534"/>
      <c r="F3009" s="534"/>
    </row>
    <row r="3010" spans="1:6" ht="15" customHeight="1">
      <c r="A3010" s="51"/>
      <c r="B3010" s="52" t="str">
        <f t="shared" si="171"/>
        <v/>
      </c>
      <c r="C3010" t="str">
        <f t="shared" ref="C3010:C3073" si="173">IF(A3010&lt;&gt;"",TEXT(A3010,"aaaa"),"")</f>
        <v/>
      </c>
      <c r="D3010" s="245" t="str">
        <f t="shared" si="172"/>
        <v/>
      </c>
      <c r="E3010" s="534"/>
      <c r="F3010" s="534"/>
    </row>
    <row r="3011" spans="1:6" ht="15" customHeight="1">
      <c r="A3011" s="51"/>
      <c r="B3011" s="52" t="str">
        <f t="shared" si="171"/>
        <v/>
      </c>
      <c r="C3011" t="str">
        <f t="shared" si="173"/>
        <v/>
      </c>
      <c r="D3011" s="245" t="str">
        <f t="shared" si="172"/>
        <v/>
      </c>
      <c r="E3011" s="534"/>
      <c r="F3011" s="534"/>
    </row>
    <row r="3012" spans="1:6" ht="15" customHeight="1">
      <c r="A3012" s="51"/>
      <c r="B3012" s="52" t="str">
        <f t="shared" si="171"/>
        <v/>
      </c>
      <c r="C3012" t="str">
        <f t="shared" si="173"/>
        <v/>
      </c>
      <c r="D3012" s="245" t="str">
        <f t="shared" si="172"/>
        <v/>
      </c>
      <c r="E3012" s="534"/>
      <c r="F3012" s="534"/>
    </row>
    <row r="3013" spans="1:6" ht="15" customHeight="1">
      <c r="A3013" s="51"/>
      <c r="B3013" s="52" t="str">
        <f t="shared" si="171"/>
        <v/>
      </c>
      <c r="C3013" t="str">
        <f t="shared" si="173"/>
        <v/>
      </c>
      <c r="D3013" s="245" t="str">
        <f t="shared" si="172"/>
        <v/>
      </c>
      <c r="E3013" s="534"/>
      <c r="F3013" s="534"/>
    </row>
    <row r="3014" spans="1:6" ht="15" customHeight="1">
      <c r="A3014" s="51"/>
      <c r="B3014" s="52" t="str">
        <f t="shared" si="171"/>
        <v/>
      </c>
      <c r="C3014" t="str">
        <f t="shared" si="173"/>
        <v/>
      </c>
      <c r="D3014" s="245" t="str">
        <f t="shared" si="172"/>
        <v/>
      </c>
      <c r="E3014" s="534"/>
      <c r="F3014" s="534"/>
    </row>
    <row r="3015" spans="1:6" ht="15" customHeight="1">
      <c r="A3015" s="51"/>
      <c r="B3015" s="52" t="str">
        <f t="shared" si="171"/>
        <v/>
      </c>
      <c r="C3015" t="str">
        <f t="shared" si="173"/>
        <v/>
      </c>
      <c r="D3015" s="245" t="str">
        <f t="shared" si="172"/>
        <v/>
      </c>
      <c r="E3015" s="534"/>
      <c r="F3015" s="534"/>
    </row>
    <row r="3016" spans="1:6" ht="15" customHeight="1">
      <c r="A3016" s="51"/>
      <c r="B3016" s="52" t="str">
        <f t="shared" ref="B3016:B3079" si="174">IF(A3016="","",TEXT(A3016,"DDDD"))</f>
        <v/>
      </c>
      <c r="C3016" t="str">
        <f t="shared" si="173"/>
        <v/>
      </c>
      <c r="D3016" s="245" t="str">
        <f t="shared" si="172"/>
        <v/>
      </c>
      <c r="E3016" s="534"/>
      <c r="F3016" s="534"/>
    </row>
    <row r="3017" spans="1:6" ht="15" customHeight="1">
      <c r="A3017" s="51"/>
      <c r="B3017" s="52" t="str">
        <f t="shared" si="174"/>
        <v/>
      </c>
      <c r="C3017" t="str">
        <f t="shared" si="173"/>
        <v/>
      </c>
      <c r="D3017" s="245" t="str">
        <f t="shared" ref="D3017:D3080" si="175">IF(A3017&lt;&gt;"",PROPER(TEXT(A3017,"Mmmm")),"")</f>
        <v/>
      </c>
      <c r="E3017" s="534"/>
      <c r="F3017" s="534"/>
    </row>
    <row r="3018" spans="1:6" ht="15" customHeight="1">
      <c r="A3018" s="51"/>
      <c r="B3018" s="52" t="str">
        <f t="shared" si="174"/>
        <v/>
      </c>
      <c r="C3018" t="str">
        <f t="shared" si="173"/>
        <v/>
      </c>
      <c r="D3018" s="245" t="str">
        <f t="shared" si="175"/>
        <v/>
      </c>
      <c r="E3018" s="534"/>
      <c r="F3018" s="534"/>
    </row>
    <row r="3019" spans="1:6" ht="15" customHeight="1">
      <c r="A3019" s="51"/>
      <c r="B3019" s="52" t="str">
        <f t="shared" si="174"/>
        <v/>
      </c>
      <c r="C3019" t="str">
        <f t="shared" si="173"/>
        <v/>
      </c>
      <c r="D3019" s="245" t="str">
        <f t="shared" si="175"/>
        <v/>
      </c>
      <c r="E3019" s="534"/>
      <c r="F3019" s="534"/>
    </row>
    <row r="3020" spans="1:6" ht="15" customHeight="1">
      <c r="A3020" s="51"/>
      <c r="B3020" s="52" t="str">
        <f t="shared" si="174"/>
        <v/>
      </c>
      <c r="C3020" t="str">
        <f t="shared" si="173"/>
        <v/>
      </c>
      <c r="D3020" s="245" t="str">
        <f t="shared" si="175"/>
        <v/>
      </c>
      <c r="E3020" s="534"/>
      <c r="F3020" s="534"/>
    </row>
    <row r="3021" spans="1:6" ht="15" customHeight="1">
      <c r="A3021" s="51"/>
      <c r="B3021" s="52" t="str">
        <f t="shared" si="174"/>
        <v/>
      </c>
      <c r="C3021" t="str">
        <f t="shared" si="173"/>
        <v/>
      </c>
      <c r="D3021" s="245" t="str">
        <f t="shared" si="175"/>
        <v/>
      </c>
      <c r="E3021" s="534"/>
      <c r="F3021" s="534"/>
    </row>
    <row r="3022" spans="1:6" ht="15" customHeight="1">
      <c r="A3022" s="51"/>
      <c r="B3022" s="52" t="str">
        <f t="shared" si="174"/>
        <v/>
      </c>
      <c r="C3022" t="str">
        <f t="shared" si="173"/>
        <v/>
      </c>
      <c r="D3022" s="245" t="str">
        <f t="shared" si="175"/>
        <v/>
      </c>
      <c r="E3022" s="534"/>
      <c r="F3022" s="534"/>
    </row>
    <row r="3023" spans="1:6" ht="15" customHeight="1">
      <c r="A3023" s="51"/>
      <c r="B3023" s="52" t="str">
        <f t="shared" si="174"/>
        <v/>
      </c>
      <c r="C3023" t="str">
        <f t="shared" si="173"/>
        <v/>
      </c>
      <c r="D3023" s="245" t="str">
        <f t="shared" si="175"/>
        <v/>
      </c>
      <c r="E3023" s="534"/>
      <c r="F3023" s="534"/>
    </row>
    <row r="3024" spans="1:6" ht="15" customHeight="1">
      <c r="A3024" s="51"/>
      <c r="B3024" s="52" t="str">
        <f t="shared" si="174"/>
        <v/>
      </c>
      <c r="C3024" t="str">
        <f t="shared" si="173"/>
        <v/>
      </c>
      <c r="D3024" s="245" t="str">
        <f t="shared" si="175"/>
        <v/>
      </c>
      <c r="E3024" s="534"/>
      <c r="F3024" s="534"/>
    </row>
    <row r="3025" spans="1:6" ht="15" customHeight="1">
      <c r="A3025" s="51"/>
      <c r="B3025" s="52" t="str">
        <f t="shared" si="174"/>
        <v/>
      </c>
      <c r="C3025" t="str">
        <f t="shared" si="173"/>
        <v/>
      </c>
      <c r="D3025" s="245" t="str">
        <f t="shared" si="175"/>
        <v/>
      </c>
      <c r="E3025" s="534"/>
      <c r="F3025" s="534"/>
    </row>
    <row r="3026" spans="1:6" ht="15" customHeight="1">
      <c r="A3026" s="51"/>
      <c r="B3026" s="52" t="str">
        <f t="shared" si="174"/>
        <v/>
      </c>
      <c r="C3026" t="str">
        <f t="shared" si="173"/>
        <v/>
      </c>
      <c r="D3026" s="245" t="str">
        <f t="shared" si="175"/>
        <v/>
      </c>
      <c r="E3026" s="534"/>
      <c r="F3026" s="534"/>
    </row>
    <row r="3027" spans="1:6" ht="15" customHeight="1">
      <c r="A3027" s="51"/>
      <c r="B3027" s="52" t="str">
        <f t="shared" si="174"/>
        <v/>
      </c>
      <c r="C3027" t="str">
        <f t="shared" si="173"/>
        <v/>
      </c>
      <c r="D3027" s="245" t="str">
        <f t="shared" si="175"/>
        <v/>
      </c>
      <c r="E3027" s="534"/>
      <c r="F3027" s="534"/>
    </row>
    <row r="3028" spans="1:6" ht="15" customHeight="1">
      <c r="A3028" s="51"/>
      <c r="B3028" s="52" t="str">
        <f t="shared" si="174"/>
        <v/>
      </c>
      <c r="C3028" t="str">
        <f t="shared" si="173"/>
        <v/>
      </c>
      <c r="D3028" s="245" t="str">
        <f t="shared" si="175"/>
        <v/>
      </c>
      <c r="E3028" s="534"/>
      <c r="F3028" s="534"/>
    </row>
    <row r="3029" spans="1:6" ht="15" customHeight="1">
      <c r="A3029" s="51"/>
      <c r="B3029" s="52" t="str">
        <f t="shared" si="174"/>
        <v/>
      </c>
      <c r="C3029" t="str">
        <f t="shared" si="173"/>
        <v/>
      </c>
      <c r="D3029" s="245" t="str">
        <f t="shared" si="175"/>
        <v/>
      </c>
      <c r="E3029" s="534"/>
      <c r="F3029" s="534"/>
    </row>
    <row r="3030" spans="1:6" ht="15" customHeight="1">
      <c r="A3030" s="51"/>
      <c r="B3030" s="52" t="str">
        <f t="shared" si="174"/>
        <v/>
      </c>
      <c r="C3030" t="str">
        <f t="shared" si="173"/>
        <v/>
      </c>
      <c r="D3030" s="245" t="str">
        <f t="shared" si="175"/>
        <v/>
      </c>
      <c r="E3030" s="534"/>
      <c r="F3030" s="534"/>
    </row>
    <row r="3031" spans="1:6" ht="15" customHeight="1">
      <c r="A3031" s="51"/>
      <c r="B3031" s="52" t="str">
        <f t="shared" si="174"/>
        <v/>
      </c>
      <c r="C3031" t="str">
        <f t="shared" si="173"/>
        <v/>
      </c>
      <c r="D3031" s="245" t="str">
        <f t="shared" si="175"/>
        <v/>
      </c>
      <c r="E3031" s="534"/>
      <c r="F3031" s="534"/>
    </row>
    <row r="3032" spans="1:6" ht="15" customHeight="1">
      <c r="A3032" s="51"/>
      <c r="B3032" s="52" t="str">
        <f t="shared" si="174"/>
        <v/>
      </c>
      <c r="C3032" t="str">
        <f t="shared" si="173"/>
        <v/>
      </c>
      <c r="D3032" s="245" t="str">
        <f t="shared" si="175"/>
        <v/>
      </c>
      <c r="E3032" s="534"/>
      <c r="F3032" s="534"/>
    </row>
    <row r="3033" spans="1:6" ht="15" customHeight="1">
      <c r="A3033" s="51"/>
      <c r="B3033" s="52" t="str">
        <f t="shared" si="174"/>
        <v/>
      </c>
      <c r="C3033" t="str">
        <f t="shared" si="173"/>
        <v/>
      </c>
      <c r="D3033" s="245" t="str">
        <f t="shared" si="175"/>
        <v/>
      </c>
      <c r="E3033" s="534"/>
      <c r="F3033" s="534"/>
    </row>
    <row r="3034" spans="1:6" ht="15" customHeight="1">
      <c r="A3034" s="51"/>
      <c r="B3034" s="52" t="str">
        <f t="shared" si="174"/>
        <v/>
      </c>
      <c r="C3034" t="str">
        <f t="shared" si="173"/>
        <v/>
      </c>
      <c r="D3034" s="245" t="str">
        <f t="shared" si="175"/>
        <v/>
      </c>
      <c r="E3034" s="534"/>
      <c r="F3034" s="534"/>
    </row>
    <row r="3035" spans="1:6" ht="15" customHeight="1">
      <c r="A3035" s="51"/>
      <c r="B3035" s="52" t="str">
        <f t="shared" si="174"/>
        <v/>
      </c>
      <c r="C3035" t="str">
        <f t="shared" si="173"/>
        <v/>
      </c>
      <c r="D3035" s="245" t="str">
        <f t="shared" si="175"/>
        <v/>
      </c>
      <c r="E3035" s="534"/>
      <c r="F3035" s="534"/>
    </row>
    <row r="3036" spans="1:6" ht="15" customHeight="1">
      <c r="A3036" s="51"/>
      <c r="B3036" s="52" t="str">
        <f t="shared" si="174"/>
        <v/>
      </c>
      <c r="C3036" t="str">
        <f t="shared" si="173"/>
        <v/>
      </c>
      <c r="D3036" s="245" t="str">
        <f t="shared" si="175"/>
        <v/>
      </c>
      <c r="E3036" s="534"/>
      <c r="F3036" s="534"/>
    </row>
    <row r="3037" spans="1:6" ht="15" customHeight="1">
      <c r="A3037" s="51"/>
      <c r="B3037" s="52" t="str">
        <f t="shared" si="174"/>
        <v/>
      </c>
      <c r="C3037" t="str">
        <f t="shared" si="173"/>
        <v/>
      </c>
      <c r="D3037" s="245" t="str">
        <f t="shared" si="175"/>
        <v/>
      </c>
      <c r="E3037" s="534"/>
      <c r="F3037" s="534"/>
    </row>
    <row r="3038" spans="1:6" ht="15" customHeight="1">
      <c r="A3038" s="51"/>
      <c r="B3038" s="52" t="str">
        <f t="shared" si="174"/>
        <v/>
      </c>
      <c r="C3038" t="str">
        <f t="shared" si="173"/>
        <v/>
      </c>
      <c r="D3038" s="245" t="str">
        <f t="shared" si="175"/>
        <v/>
      </c>
      <c r="E3038" s="534"/>
      <c r="F3038" s="534"/>
    </row>
    <row r="3039" spans="1:6" ht="15" customHeight="1">
      <c r="A3039" s="51"/>
      <c r="B3039" s="52" t="str">
        <f t="shared" si="174"/>
        <v/>
      </c>
      <c r="C3039" t="str">
        <f t="shared" si="173"/>
        <v/>
      </c>
      <c r="D3039" s="245" t="str">
        <f t="shared" si="175"/>
        <v/>
      </c>
      <c r="E3039" s="534"/>
      <c r="F3039" s="534"/>
    </row>
    <row r="3040" spans="1:6" ht="15" customHeight="1">
      <c r="A3040" s="51"/>
      <c r="B3040" s="52" t="str">
        <f t="shared" si="174"/>
        <v/>
      </c>
      <c r="C3040" t="str">
        <f t="shared" si="173"/>
        <v/>
      </c>
      <c r="D3040" s="245" t="str">
        <f t="shared" si="175"/>
        <v/>
      </c>
      <c r="E3040" s="534"/>
      <c r="F3040" s="534"/>
    </row>
    <row r="3041" spans="1:6" ht="15" customHeight="1">
      <c r="A3041" s="51"/>
      <c r="B3041" s="52" t="str">
        <f t="shared" si="174"/>
        <v/>
      </c>
      <c r="C3041" t="str">
        <f t="shared" si="173"/>
        <v/>
      </c>
      <c r="D3041" s="245" t="str">
        <f t="shared" si="175"/>
        <v/>
      </c>
      <c r="E3041" s="534"/>
      <c r="F3041" s="534"/>
    </row>
    <row r="3042" spans="1:6" ht="15" customHeight="1">
      <c r="A3042" s="51"/>
      <c r="B3042" s="52" t="str">
        <f t="shared" si="174"/>
        <v/>
      </c>
      <c r="C3042" t="str">
        <f t="shared" si="173"/>
        <v/>
      </c>
      <c r="D3042" s="245" t="str">
        <f t="shared" si="175"/>
        <v/>
      </c>
      <c r="E3042" s="534"/>
      <c r="F3042" s="534"/>
    </row>
    <row r="3043" spans="1:6" ht="15" customHeight="1">
      <c r="A3043" s="51"/>
      <c r="B3043" s="52" t="str">
        <f t="shared" si="174"/>
        <v/>
      </c>
      <c r="C3043" t="str">
        <f t="shared" si="173"/>
        <v/>
      </c>
      <c r="D3043" s="245" t="str">
        <f t="shared" si="175"/>
        <v/>
      </c>
      <c r="E3043" s="534"/>
      <c r="F3043" s="534"/>
    </row>
    <row r="3044" spans="1:6" ht="15" customHeight="1">
      <c r="A3044" s="51"/>
      <c r="B3044" s="52" t="str">
        <f t="shared" si="174"/>
        <v/>
      </c>
      <c r="C3044" t="str">
        <f t="shared" si="173"/>
        <v/>
      </c>
      <c r="D3044" s="245" t="str">
        <f t="shared" si="175"/>
        <v/>
      </c>
      <c r="E3044" s="534"/>
      <c r="F3044" s="534"/>
    </row>
    <row r="3045" spans="1:6" ht="15" customHeight="1">
      <c r="A3045" s="51"/>
      <c r="B3045" s="52" t="str">
        <f t="shared" si="174"/>
        <v/>
      </c>
      <c r="C3045" t="str">
        <f t="shared" si="173"/>
        <v/>
      </c>
      <c r="D3045" s="245" t="str">
        <f t="shared" si="175"/>
        <v/>
      </c>
      <c r="E3045" s="534"/>
      <c r="F3045" s="534"/>
    </row>
    <row r="3046" spans="1:6" ht="15" customHeight="1">
      <c r="A3046" s="51"/>
      <c r="B3046" s="52" t="str">
        <f t="shared" si="174"/>
        <v/>
      </c>
      <c r="C3046" t="str">
        <f t="shared" si="173"/>
        <v/>
      </c>
      <c r="D3046" s="245" t="str">
        <f t="shared" si="175"/>
        <v/>
      </c>
      <c r="E3046" s="534"/>
      <c r="F3046" s="534"/>
    </row>
    <row r="3047" spans="1:6" ht="15" customHeight="1">
      <c r="A3047" s="51"/>
      <c r="B3047" s="52" t="str">
        <f t="shared" si="174"/>
        <v/>
      </c>
      <c r="C3047" t="str">
        <f t="shared" si="173"/>
        <v/>
      </c>
      <c r="D3047" s="245" t="str">
        <f t="shared" si="175"/>
        <v/>
      </c>
      <c r="E3047" s="534"/>
      <c r="F3047" s="534"/>
    </row>
    <row r="3048" spans="1:6" ht="15" customHeight="1">
      <c r="A3048" s="51"/>
      <c r="B3048" s="52" t="str">
        <f t="shared" si="174"/>
        <v/>
      </c>
      <c r="C3048" t="str">
        <f t="shared" si="173"/>
        <v/>
      </c>
      <c r="D3048" s="245" t="str">
        <f t="shared" si="175"/>
        <v/>
      </c>
      <c r="E3048" s="534"/>
      <c r="F3048" s="534"/>
    </row>
    <row r="3049" spans="1:6" ht="15" customHeight="1">
      <c r="A3049" s="51"/>
      <c r="B3049" s="52" t="str">
        <f t="shared" si="174"/>
        <v/>
      </c>
      <c r="C3049" t="str">
        <f t="shared" si="173"/>
        <v/>
      </c>
      <c r="D3049" s="245" t="str">
        <f t="shared" si="175"/>
        <v/>
      </c>
      <c r="E3049" s="534"/>
      <c r="F3049" s="534"/>
    </row>
    <row r="3050" spans="1:6" ht="15" customHeight="1">
      <c r="A3050" s="51"/>
      <c r="B3050" s="52" t="str">
        <f t="shared" si="174"/>
        <v/>
      </c>
      <c r="C3050" t="str">
        <f t="shared" si="173"/>
        <v/>
      </c>
      <c r="D3050" s="245" t="str">
        <f t="shared" si="175"/>
        <v/>
      </c>
      <c r="E3050" s="534"/>
      <c r="F3050" s="534"/>
    </row>
    <row r="3051" spans="1:6" ht="15" customHeight="1">
      <c r="A3051" s="51"/>
      <c r="B3051" s="52" t="str">
        <f t="shared" si="174"/>
        <v/>
      </c>
      <c r="C3051" t="str">
        <f t="shared" si="173"/>
        <v/>
      </c>
      <c r="D3051" s="245" t="str">
        <f t="shared" si="175"/>
        <v/>
      </c>
      <c r="E3051" s="534"/>
      <c r="F3051" s="534"/>
    </row>
    <row r="3052" spans="1:6" ht="15" customHeight="1">
      <c r="A3052" s="51"/>
      <c r="B3052" s="52" t="str">
        <f t="shared" si="174"/>
        <v/>
      </c>
      <c r="C3052" t="str">
        <f t="shared" si="173"/>
        <v/>
      </c>
      <c r="D3052" s="245" t="str">
        <f t="shared" si="175"/>
        <v/>
      </c>
      <c r="E3052" s="534"/>
      <c r="F3052" s="534"/>
    </row>
    <row r="3053" spans="1:6" ht="15" customHeight="1">
      <c r="A3053" s="51"/>
      <c r="B3053" s="52" t="str">
        <f t="shared" si="174"/>
        <v/>
      </c>
      <c r="C3053" t="str">
        <f t="shared" si="173"/>
        <v/>
      </c>
      <c r="D3053" s="245" t="str">
        <f t="shared" si="175"/>
        <v/>
      </c>
      <c r="E3053" s="534"/>
      <c r="F3053" s="534"/>
    </row>
    <row r="3054" spans="1:6" ht="15" customHeight="1">
      <c r="A3054" s="51"/>
      <c r="B3054" s="52" t="str">
        <f t="shared" si="174"/>
        <v/>
      </c>
      <c r="C3054" t="str">
        <f t="shared" si="173"/>
        <v/>
      </c>
      <c r="D3054" s="245" t="str">
        <f t="shared" si="175"/>
        <v/>
      </c>
      <c r="E3054" s="534"/>
      <c r="F3054" s="534"/>
    </row>
    <row r="3055" spans="1:6" ht="15" customHeight="1">
      <c r="A3055" s="51"/>
      <c r="B3055" s="52" t="str">
        <f t="shared" si="174"/>
        <v/>
      </c>
      <c r="C3055" t="str">
        <f t="shared" si="173"/>
        <v/>
      </c>
      <c r="D3055" s="245" t="str">
        <f t="shared" si="175"/>
        <v/>
      </c>
      <c r="E3055" s="534"/>
      <c r="F3055" s="534"/>
    </row>
    <row r="3056" spans="1:6" ht="15" customHeight="1">
      <c r="A3056" s="51"/>
      <c r="B3056" s="52" t="str">
        <f t="shared" si="174"/>
        <v/>
      </c>
      <c r="C3056" t="str">
        <f t="shared" si="173"/>
        <v/>
      </c>
      <c r="D3056" s="245" t="str">
        <f t="shared" si="175"/>
        <v/>
      </c>
      <c r="E3056" s="534"/>
      <c r="F3056" s="534"/>
    </row>
    <row r="3057" spans="1:6" ht="15" customHeight="1">
      <c r="A3057" s="51"/>
      <c r="B3057" s="52" t="str">
        <f t="shared" si="174"/>
        <v/>
      </c>
      <c r="C3057" t="str">
        <f t="shared" si="173"/>
        <v/>
      </c>
      <c r="D3057" s="245" t="str">
        <f t="shared" si="175"/>
        <v/>
      </c>
      <c r="E3057" s="534"/>
      <c r="F3057" s="534"/>
    </row>
    <row r="3058" spans="1:6" ht="15" customHeight="1">
      <c r="A3058" s="51"/>
      <c r="B3058" s="52" t="str">
        <f t="shared" si="174"/>
        <v/>
      </c>
      <c r="C3058" t="str">
        <f t="shared" si="173"/>
        <v/>
      </c>
      <c r="D3058" s="245" t="str">
        <f t="shared" si="175"/>
        <v/>
      </c>
      <c r="E3058" s="534"/>
      <c r="F3058" s="534"/>
    </row>
    <row r="3059" spans="1:6" ht="15" customHeight="1">
      <c r="A3059" s="51"/>
      <c r="B3059" s="52" t="str">
        <f t="shared" si="174"/>
        <v/>
      </c>
      <c r="C3059" t="str">
        <f t="shared" si="173"/>
        <v/>
      </c>
      <c r="D3059" s="245" t="str">
        <f t="shared" si="175"/>
        <v/>
      </c>
      <c r="E3059" s="534"/>
      <c r="F3059" s="534"/>
    </row>
    <row r="3060" spans="1:6" ht="15" customHeight="1">
      <c r="A3060" s="51"/>
      <c r="B3060" s="52" t="str">
        <f t="shared" si="174"/>
        <v/>
      </c>
      <c r="C3060" t="str">
        <f t="shared" si="173"/>
        <v/>
      </c>
      <c r="D3060" s="245" t="str">
        <f t="shared" si="175"/>
        <v/>
      </c>
      <c r="E3060" s="534"/>
      <c r="F3060" s="534"/>
    </row>
    <row r="3061" spans="1:6" ht="15" customHeight="1">
      <c r="A3061" s="51"/>
      <c r="B3061" s="52" t="str">
        <f t="shared" si="174"/>
        <v/>
      </c>
      <c r="C3061" t="str">
        <f t="shared" si="173"/>
        <v/>
      </c>
      <c r="D3061" s="245" t="str">
        <f t="shared" si="175"/>
        <v/>
      </c>
      <c r="E3061" s="534"/>
      <c r="F3061" s="534"/>
    </row>
    <row r="3062" spans="1:6" ht="15" customHeight="1">
      <c r="A3062" s="51"/>
      <c r="B3062" s="52" t="str">
        <f t="shared" si="174"/>
        <v/>
      </c>
      <c r="C3062" t="str">
        <f t="shared" si="173"/>
        <v/>
      </c>
      <c r="D3062" s="245" t="str">
        <f t="shared" si="175"/>
        <v/>
      </c>
      <c r="E3062" s="534"/>
      <c r="F3062" s="534"/>
    </row>
    <row r="3063" spans="1:6" ht="15" customHeight="1">
      <c r="A3063" s="51"/>
      <c r="B3063" s="52" t="str">
        <f t="shared" si="174"/>
        <v/>
      </c>
      <c r="C3063" t="str">
        <f t="shared" si="173"/>
        <v/>
      </c>
      <c r="D3063" s="245" t="str">
        <f t="shared" si="175"/>
        <v/>
      </c>
      <c r="E3063" s="534"/>
      <c r="F3063" s="534"/>
    </row>
    <row r="3064" spans="1:6" ht="15" customHeight="1">
      <c r="A3064" s="51"/>
      <c r="B3064" s="52" t="str">
        <f t="shared" si="174"/>
        <v/>
      </c>
      <c r="C3064" t="str">
        <f t="shared" si="173"/>
        <v/>
      </c>
      <c r="D3064" s="245" t="str">
        <f t="shared" si="175"/>
        <v/>
      </c>
      <c r="E3064" s="534"/>
      <c r="F3064" s="534"/>
    </row>
    <row r="3065" spans="1:6" ht="15" customHeight="1">
      <c r="A3065" s="51"/>
      <c r="B3065" s="52" t="str">
        <f t="shared" si="174"/>
        <v/>
      </c>
      <c r="C3065" t="str">
        <f t="shared" si="173"/>
        <v/>
      </c>
      <c r="D3065" s="245" t="str">
        <f t="shared" si="175"/>
        <v/>
      </c>
      <c r="E3065" s="534"/>
      <c r="F3065" s="534"/>
    </row>
    <row r="3066" spans="1:6" ht="15" customHeight="1">
      <c r="A3066" s="51"/>
      <c r="B3066" s="52" t="str">
        <f t="shared" si="174"/>
        <v/>
      </c>
      <c r="C3066" t="str">
        <f t="shared" si="173"/>
        <v/>
      </c>
      <c r="D3066" s="245" t="str">
        <f t="shared" si="175"/>
        <v/>
      </c>
      <c r="E3066" s="534"/>
      <c r="F3066" s="534"/>
    </row>
    <row r="3067" spans="1:6" ht="15" customHeight="1">
      <c r="A3067" s="51"/>
      <c r="B3067" s="52" t="str">
        <f t="shared" si="174"/>
        <v/>
      </c>
      <c r="C3067" t="str">
        <f t="shared" si="173"/>
        <v/>
      </c>
      <c r="D3067" s="245" t="str">
        <f t="shared" si="175"/>
        <v/>
      </c>
      <c r="E3067" s="534"/>
      <c r="F3067" s="534"/>
    </row>
    <row r="3068" spans="1:6" ht="15" customHeight="1">
      <c r="A3068" s="51"/>
      <c r="B3068" s="52" t="str">
        <f t="shared" si="174"/>
        <v/>
      </c>
      <c r="C3068" t="str">
        <f t="shared" si="173"/>
        <v/>
      </c>
      <c r="D3068" s="245" t="str">
        <f t="shared" si="175"/>
        <v/>
      </c>
      <c r="E3068" s="534"/>
      <c r="F3068" s="534"/>
    </row>
    <row r="3069" spans="1:6" ht="15" customHeight="1">
      <c r="A3069" s="51"/>
      <c r="B3069" s="52" t="str">
        <f t="shared" si="174"/>
        <v/>
      </c>
      <c r="C3069" t="str">
        <f t="shared" si="173"/>
        <v/>
      </c>
      <c r="D3069" s="245" t="str">
        <f t="shared" si="175"/>
        <v/>
      </c>
      <c r="E3069" s="534"/>
      <c r="F3069" s="534"/>
    </row>
    <row r="3070" spans="1:6" ht="15" customHeight="1">
      <c r="A3070" s="51"/>
      <c r="B3070" s="52" t="str">
        <f t="shared" si="174"/>
        <v/>
      </c>
      <c r="C3070" t="str">
        <f t="shared" si="173"/>
        <v/>
      </c>
      <c r="D3070" s="245" t="str">
        <f t="shared" si="175"/>
        <v/>
      </c>
      <c r="E3070" s="534"/>
      <c r="F3070" s="534"/>
    </row>
    <row r="3071" spans="1:6" ht="15" customHeight="1">
      <c r="A3071" s="51"/>
      <c r="B3071" s="52" t="str">
        <f t="shared" si="174"/>
        <v/>
      </c>
      <c r="C3071" t="str">
        <f t="shared" si="173"/>
        <v/>
      </c>
      <c r="D3071" s="245" t="str">
        <f t="shared" si="175"/>
        <v/>
      </c>
      <c r="E3071" s="534"/>
      <c r="F3071" s="534"/>
    </row>
    <row r="3072" spans="1:6" ht="15" customHeight="1">
      <c r="A3072" s="51"/>
      <c r="B3072" s="52" t="str">
        <f t="shared" si="174"/>
        <v/>
      </c>
      <c r="C3072" t="str">
        <f t="shared" si="173"/>
        <v/>
      </c>
      <c r="D3072" s="245" t="str">
        <f t="shared" si="175"/>
        <v/>
      </c>
      <c r="E3072" s="534"/>
      <c r="F3072" s="534"/>
    </row>
    <row r="3073" spans="1:6" ht="15" customHeight="1">
      <c r="A3073" s="51"/>
      <c r="B3073" s="52" t="str">
        <f t="shared" si="174"/>
        <v/>
      </c>
      <c r="C3073" t="str">
        <f t="shared" si="173"/>
        <v/>
      </c>
      <c r="D3073" s="245" t="str">
        <f t="shared" si="175"/>
        <v/>
      </c>
      <c r="E3073" s="534"/>
      <c r="F3073" s="534"/>
    </row>
    <row r="3074" spans="1:6" ht="15" customHeight="1">
      <c r="A3074" s="51"/>
      <c r="B3074" s="52" t="str">
        <f t="shared" si="174"/>
        <v/>
      </c>
      <c r="C3074" t="str">
        <f t="shared" ref="C3074:C3137" si="176">IF(A3074&lt;&gt;"",TEXT(A3074,"aaaa"),"")</f>
        <v/>
      </c>
      <c r="D3074" s="245" t="str">
        <f t="shared" si="175"/>
        <v/>
      </c>
      <c r="E3074" s="534"/>
      <c r="F3074" s="534"/>
    </row>
    <row r="3075" spans="1:6" ht="15" customHeight="1">
      <c r="A3075" s="51"/>
      <c r="B3075" s="52" t="str">
        <f t="shared" si="174"/>
        <v/>
      </c>
      <c r="C3075" t="str">
        <f t="shared" si="176"/>
        <v/>
      </c>
      <c r="D3075" s="245" t="str">
        <f t="shared" si="175"/>
        <v/>
      </c>
      <c r="E3075" s="534"/>
      <c r="F3075" s="534"/>
    </row>
    <row r="3076" spans="1:6" ht="15" customHeight="1">
      <c r="A3076" s="51"/>
      <c r="B3076" s="52" t="str">
        <f t="shared" si="174"/>
        <v/>
      </c>
      <c r="C3076" t="str">
        <f t="shared" si="176"/>
        <v/>
      </c>
      <c r="D3076" s="245" t="str">
        <f t="shared" si="175"/>
        <v/>
      </c>
      <c r="E3076" s="534"/>
      <c r="F3076" s="534"/>
    </row>
    <row r="3077" spans="1:6" ht="15" customHeight="1">
      <c r="A3077" s="51"/>
      <c r="B3077" s="52" t="str">
        <f t="shared" si="174"/>
        <v/>
      </c>
      <c r="C3077" t="str">
        <f t="shared" si="176"/>
        <v/>
      </c>
      <c r="D3077" s="245" t="str">
        <f t="shared" si="175"/>
        <v/>
      </c>
      <c r="E3077" s="534"/>
      <c r="F3077" s="534"/>
    </row>
    <row r="3078" spans="1:6" ht="15" customHeight="1">
      <c r="A3078" s="51"/>
      <c r="B3078" s="52" t="str">
        <f t="shared" si="174"/>
        <v/>
      </c>
      <c r="C3078" t="str">
        <f t="shared" si="176"/>
        <v/>
      </c>
      <c r="D3078" s="245" t="str">
        <f t="shared" si="175"/>
        <v/>
      </c>
      <c r="E3078" s="534"/>
      <c r="F3078" s="534"/>
    </row>
    <row r="3079" spans="1:6" ht="15" customHeight="1">
      <c r="A3079" s="51"/>
      <c r="B3079" s="52" t="str">
        <f t="shared" si="174"/>
        <v/>
      </c>
      <c r="C3079" t="str">
        <f t="shared" si="176"/>
        <v/>
      </c>
      <c r="D3079" s="245" t="str">
        <f t="shared" si="175"/>
        <v/>
      </c>
      <c r="E3079" s="534"/>
      <c r="F3079" s="534"/>
    </row>
    <row r="3080" spans="1:6" ht="15" customHeight="1">
      <c r="A3080" s="51"/>
      <c r="B3080" s="52" t="str">
        <f t="shared" ref="B3080:B3143" si="177">IF(A3080="","",TEXT(A3080,"DDDD"))</f>
        <v/>
      </c>
      <c r="C3080" t="str">
        <f t="shared" si="176"/>
        <v/>
      </c>
      <c r="D3080" s="245" t="str">
        <f t="shared" si="175"/>
        <v/>
      </c>
      <c r="E3080" s="534"/>
      <c r="F3080" s="534"/>
    </row>
    <row r="3081" spans="1:6" ht="15" customHeight="1">
      <c r="A3081" s="51"/>
      <c r="B3081" s="52" t="str">
        <f t="shared" si="177"/>
        <v/>
      </c>
      <c r="C3081" t="str">
        <f t="shared" si="176"/>
        <v/>
      </c>
      <c r="D3081" s="245" t="str">
        <f t="shared" ref="D3081:D3144" si="178">IF(A3081&lt;&gt;"",PROPER(TEXT(A3081,"Mmmm")),"")</f>
        <v/>
      </c>
      <c r="E3081" s="534"/>
      <c r="F3081" s="534"/>
    </row>
    <row r="3082" spans="1:6" ht="15" customHeight="1">
      <c r="A3082" s="51"/>
      <c r="B3082" s="52" t="str">
        <f t="shared" si="177"/>
        <v/>
      </c>
      <c r="C3082" t="str">
        <f t="shared" si="176"/>
        <v/>
      </c>
      <c r="D3082" s="245" t="str">
        <f t="shared" si="178"/>
        <v/>
      </c>
      <c r="E3082" s="534"/>
      <c r="F3082" s="534"/>
    </row>
    <row r="3083" spans="1:6" ht="15" customHeight="1">
      <c r="A3083" s="51"/>
      <c r="B3083" s="52" t="str">
        <f t="shared" si="177"/>
        <v/>
      </c>
      <c r="C3083" t="str">
        <f t="shared" si="176"/>
        <v/>
      </c>
      <c r="D3083" s="245" t="str">
        <f t="shared" si="178"/>
        <v/>
      </c>
      <c r="E3083" s="534"/>
      <c r="F3083" s="534"/>
    </row>
    <row r="3084" spans="1:6" ht="15" customHeight="1">
      <c r="A3084" s="51"/>
      <c r="B3084" s="52" t="str">
        <f t="shared" si="177"/>
        <v/>
      </c>
      <c r="C3084" t="str">
        <f t="shared" si="176"/>
        <v/>
      </c>
      <c r="D3084" s="245" t="str">
        <f t="shared" si="178"/>
        <v/>
      </c>
      <c r="E3084" s="534"/>
      <c r="F3084" s="534"/>
    </row>
    <row r="3085" spans="1:6" ht="15" customHeight="1">
      <c r="A3085" s="51"/>
      <c r="B3085" s="52" t="str">
        <f t="shared" si="177"/>
        <v/>
      </c>
      <c r="C3085" t="str">
        <f t="shared" si="176"/>
        <v/>
      </c>
      <c r="D3085" s="245" t="str">
        <f t="shared" si="178"/>
        <v/>
      </c>
      <c r="E3085" s="534"/>
      <c r="F3085" s="534"/>
    </row>
    <row r="3086" spans="1:6" ht="15" customHeight="1">
      <c r="A3086" s="51"/>
      <c r="B3086" s="52" t="str">
        <f t="shared" si="177"/>
        <v/>
      </c>
      <c r="C3086" t="str">
        <f t="shared" si="176"/>
        <v/>
      </c>
      <c r="D3086" s="245" t="str">
        <f t="shared" si="178"/>
        <v/>
      </c>
      <c r="E3086" s="534"/>
      <c r="F3086" s="534"/>
    </row>
    <row r="3087" spans="1:6" ht="15" customHeight="1">
      <c r="A3087" s="51"/>
      <c r="B3087" s="52" t="str">
        <f t="shared" si="177"/>
        <v/>
      </c>
      <c r="C3087" t="str">
        <f t="shared" si="176"/>
        <v/>
      </c>
      <c r="D3087" s="245" t="str">
        <f t="shared" si="178"/>
        <v/>
      </c>
      <c r="E3087" s="534"/>
      <c r="F3087" s="534"/>
    </row>
    <row r="3088" spans="1:6" ht="15" customHeight="1">
      <c r="A3088" s="51"/>
      <c r="B3088" s="52" t="str">
        <f t="shared" si="177"/>
        <v/>
      </c>
      <c r="C3088" t="str">
        <f t="shared" si="176"/>
        <v/>
      </c>
      <c r="D3088" s="245" t="str">
        <f t="shared" si="178"/>
        <v/>
      </c>
      <c r="E3088" s="534"/>
      <c r="F3088" s="534"/>
    </row>
    <row r="3089" spans="1:6" ht="15" customHeight="1">
      <c r="A3089" s="51"/>
      <c r="B3089" s="52" t="str">
        <f t="shared" si="177"/>
        <v/>
      </c>
      <c r="C3089" t="str">
        <f t="shared" si="176"/>
        <v/>
      </c>
      <c r="D3089" s="245" t="str">
        <f t="shared" si="178"/>
        <v/>
      </c>
      <c r="E3089" s="534"/>
      <c r="F3089" s="534"/>
    </row>
    <row r="3090" spans="1:6" ht="15" customHeight="1">
      <c r="A3090" s="51"/>
      <c r="B3090" s="52" t="str">
        <f t="shared" si="177"/>
        <v/>
      </c>
      <c r="C3090" t="str">
        <f t="shared" si="176"/>
        <v/>
      </c>
      <c r="D3090" s="245" t="str">
        <f t="shared" si="178"/>
        <v/>
      </c>
      <c r="E3090" s="534"/>
      <c r="F3090" s="534"/>
    </row>
    <row r="3091" spans="1:6" ht="15" customHeight="1">
      <c r="A3091" s="51"/>
      <c r="B3091" s="52" t="str">
        <f t="shared" si="177"/>
        <v/>
      </c>
      <c r="C3091" t="str">
        <f t="shared" si="176"/>
        <v/>
      </c>
      <c r="D3091" s="245" t="str">
        <f t="shared" si="178"/>
        <v/>
      </c>
      <c r="E3091" s="534"/>
      <c r="F3091" s="534"/>
    </row>
    <row r="3092" spans="1:6" ht="15" customHeight="1">
      <c r="A3092" s="51"/>
      <c r="B3092" s="52" t="str">
        <f t="shared" si="177"/>
        <v/>
      </c>
      <c r="C3092" t="str">
        <f t="shared" si="176"/>
        <v/>
      </c>
      <c r="D3092" s="245" t="str">
        <f t="shared" si="178"/>
        <v/>
      </c>
      <c r="E3092" s="534"/>
      <c r="F3092" s="534"/>
    </row>
    <row r="3093" spans="1:6" ht="15" customHeight="1">
      <c r="A3093" s="51"/>
      <c r="B3093" s="52" t="str">
        <f t="shared" si="177"/>
        <v/>
      </c>
      <c r="C3093" t="str">
        <f t="shared" si="176"/>
        <v/>
      </c>
      <c r="D3093" s="245" t="str">
        <f t="shared" si="178"/>
        <v/>
      </c>
      <c r="E3093" s="534"/>
      <c r="F3093" s="534"/>
    </row>
    <row r="3094" spans="1:6" ht="15" customHeight="1">
      <c r="A3094" s="51"/>
      <c r="B3094" s="52" t="str">
        <f t="shared" si="177"/>
        <v/>
      </c>
      <c r="C3094" t="str">
        <f t="shared" si="176"/>
        <v/>
      </c>
      <c r="D3094" s="245" t="str">
        <f t="shared" si="178"/>
        <v/>
      </c>
      <c r="E3094" s="534"/>
      <c r="F3094" s="534"/>
    </row>
    <row r="3095" spans="1:6" ht="15" customHeight="1">
      <c r="A3095" s="51"/>
      <c r="B3095" s="52" t="str">
        <f t="shared" si="177"/>
        <v/>
      </c>
      <c r="C3095" t="str">
        <f t="shared" si="176"/>
        <v/>
      </c>
      <c r="D3095" s="245" t="str">
        <f t="shared" si="178"/>
        <v/>
      </c>
      <c r="E3095" s="534"/>
      <c r="F3095" s="534"/>
    </row>
    <row r="3096" spans="1:6" ht="15" customHeight="1">
      <c r="A3096" s="51"/>
      <c r="B3096" s="52" t="str">
        <f t="shared" si="177"/>
        <v/>
      </c>
      <c r="C3096" t="str">
        <f t="shared" si="176"/>
        <v/>
      </c>
      <c r="D3096" s="245" t="str">
        <f t="shared" si="178"/>
        <v/>
      </c>
      <c r="E3096" s="534"/>
      <c r="F3096" s="534"/>
    </row>
    <row r="3097" spans="1:6" ht="15" customHeight="1">
      <c r="A3097" s="51"/>
      <c r="B3097" s="52" t="str">
        <f t="shared" si="177"/>
        <v/>
      </c>
      <c r="C3097" t="str">
        <f t="shared" si="176"/>
        <v/>
      </c>
      <c r="D3097" s="245" t="str">
        <f t="shared" si="178"/>
        <v/>
      </c>
      <c r="E3097" s="534"/>
      <c r="F3097" s="534"/>
    </row>
    <row r="3098" spans="1:6" ht="15" customHeight="1">
      <c r="A3098" s="51"/>
      <c r="B3098" s="52" t="str">
        <f t="shared" si="177"/>
        <v/>
      </c>
      <c r="C3098" t="str">
        <f t="shared" si="176"/>
        <v/>
      </c>
      <c r="D3098" s="245" t="str">
        <f t="shared" si="178"/>
        <v/>
      </c>
      <c r="E3098" s="534"/>
      <c r="F3098" s="534"/>
    </row>
    <row r="3099" spans="1:6" ht="15" customHeight="1">
      <c r="A3099" s="51"/>
      <c r="B3099" s="52" t="str">
        <f t="shared" si="177"/>
        <v/>
      </c>
      <c r="C3099" t="str">
        <f t="shared" si="176"/>
        <v/>
      </c>
      <c r="D3099" s="245" t="str">
        <f t="shared" si="178"/>
        <v/>
      </c>
      <c r="E3099" s="534"/>
      <c r="F3099" s="534"/>
    </row>
    <row r="3100" spans="1:6" ht="15" customHeight="1">
      <c r="A3100" s="51"/>
      <c r="B3100" s="52" t="str">
        <f t="shared" si="177"/>
        <v/>
      </c>
      <c r="C3100" t="str">
        <f t="shared" si="176"/>
        <v/>
      </c>
      <c r="D3100" s="245" t="str">
        <f t="shared" si="178"/>
        <v/>
      </c>
      <c r="E3100" s="534"/>
      <c r="F3100" s="534"/>
    </row>
    <row r="3101" spans="1:6" ht="15" customHeight="1">
      <c r="A3101" s="51"/>
      <c r="B3101" s="52" t="str">
        <f t="shared" si="177"/>
        <v/>
      </c>
      <c r="C3101" t="str">
        <f t="shared" si="176"/>
        <v/>
      </c>
      <c r="D3101" s="245" t="str">
        <f t="shared" si="178"/>
        <v/>
      </c>
      <c r="E3101" s="534"/>
      <c r="F3101" s="534"/>
    </row>
    <row r="3102" spans="1:6" ht="15" customHeight="1">
      <c r="A3102" s="51"/>
      <c r="B3102" s="52" t="str">
        <f t="shared" si="177"/>
        <v/>
      </c>
      <c r="C3102" t="str">
        <f t="shared" si="176"/>
        <v/>
      </c>
      <c r="D3102" s="245" t="str">
        <f t="shared" si="178"/>
        <v/>
      </c>
      <c r="E3102" s="534"/>
      <c r="F3102" s="534"/>
    </row>
    <row r="3103" spans="1:6" ht="15" customHeight="1">
      <c r="A3103" s="51"/>
      <c r="B3103" s="52" t="str">
        <f t="shared" si="177"/>
        <v/>
      </c>
      <c r="C3103" t="str">
        <f t="shared" si="176"/>
        <v/>
      </c>
      <c r="D3103" s="245" t="str">
        <f t="shared" si="178"/>
        <v/>
      </c>
      <c r="E3103" s="534"/>
      <c r="F3103" s="534"/>
    </row>
    <row r="3104" spans="1:6" ht="15" customHeight="1">
      <c r="A3104" s="51"/>
      <c r="B3104" s="52" t="str">
        <f t="shared" si="177"/>
        <v/>
      </c>
      <c r="C3104" t="str">
        <f t="shared" si="176"/>
        <v/>
      </c>
      <c r="D3104" s="245" t="str">
        <f t="shared" si="178"/>
        <v/>
      </c>
      <c r="E3104" s="534"/>
      <c r="F3104" s="534"/>
    </row>
    <row r="3105" spans="1:6" ht="15" customHeight="1">
      <c r="A3105" s="51"/>
      <c r="B3105" s="52" t="str">
        <f t="shared" si="177"/>
        <v/>
      </c>
      <c r="C3105" t="str">
        <f t="shared" si="176"/>
        <v/>
      </c>
      <c r="D3105" s="245" t="str">
        <f t="shared" si="178"/>
        <v/>
      </c>
      <c r="E3105" s="534"/>
      <c r="F3105" s="534"/>
    </row>
    <row r="3106" spans="1:6" ht="15" customHeight="1">
      <c r="A3106" s="51"/>
      <c r="B3106" s="52" t="str">
        <f t="shared" si="177"/>
        <v/>
      </c>
      <c r="C3106" t="str">
        <f t="shared" si="176"/>
        <v/>
      </c>
      <c r="D3106" s="245" t="str">
        <f t="shared" si="178"/>
        <v/>
      </c>
      <c r="E3106" s="534"/>
      <c r="F3106" s="534"/>
    </row>
    <row r="3107" spans="1:6" ht="15" customHeight="1">
      <c r="A3107" s="51"/>
      <c r="B3107" s="52" t="str">
        <f t="shared" si="177"/>
        <v/>
      </c>
      <c r="C3107" t="str">
        <f t="shared" si="176"/>
        <v/>
      </c>
      <c r="D3107" s="245" t="str">
        <f t="shared" si="178"/>
        <v/>
      </c>
      <c r="E3107" s="534"/>
      <c r="F3107" s="534"/>
    </row>
    <row r="3108" spans="1:6" ht="15" customHeight="1">
      <c r="A3108" s="51"/>
      <c r="B3108" s="52" t="str">
        <f t="shared" si="177"/>
        <v/>
      </c>
      <c r="C3108" t="str">
        <f t="shared" si="176"/>
        <v/>
      </c>
      <c r="D3108" s="245" t="str">
        <f t="shared" si="178"/>
        <v/>
      </c>
      <c r="E3108" s="534"/>
      <c r="F3108" s="534"/>
    </row>
    <row r="3109" spans="1:6" ht="15" customHeight="1">
      <c r="A3109" s="51"/>
      <c r="B3109" s="52" t="str">
        <f t="shared" si="177"/>
        <v/>
      </c>
      <c r="C3109" t="str">
        <f t="shared" si="176"/>
        <v/>
      </c>
      <c r="D3109" s="245" t="str">
        <f t="shared" si="178"/>
        <v/>
      </c>
      <c r="E3109" s="534"/>
      <c r="F3109" s="534"/>
    </row>
    <row r="3110" spans="1:6" ht="15" customHeight="1">
      <c r="A3110" s="51"/>
      <c r="B3110" s="52" t="str">
        <f t="shared" si="177"/>
        <v/>
      </c>
      <c r="C3110" t="str">
        <f t="shared" si="176"/>
        <v/>
      </c>
      <c r="D3110" s="245" t="str">
        <f t="shared" si="178"/>
        <v/>
      </c>
      <c r="E3110" s="534"/>
      <c r="F3110" s="534"/>
    </row>
    <row r="3111" spans="1:6" ht="15" customHeight="1">
      <c r="A3111" s="51"/>
      <c r="B3111" s="52" t="str">
        <f t="shared" si="177"/>
        <v/>
      </c>
      <c r="C3111" t="str">
        <f t="shared" si="176"/>
        <v/>
      </c>
      <c r="D3111" s="245" t="str">
        <f t="shared" si="178"/>
        <v/>
      </c>
      <c r="E3111" s="534"/>
      <c r="F3111" s="534"/>
    </row>
    <row r="3112" spans="1:6" ht="15" customHeight="1">
      <c r="A3112" s="51"/>
      <c r="B3112" s="52" t="str">
        <f t="shared" si="177"/>
        <v/>
      </c>
      <c r="C3112" t="str">
        <f t="shared" si="176"/>
        <v/>
      </c>
      <c r="D3112" s="245" t="str">
        <f t="shared" si="178"/>
        <v/>
      </c>
      <c r="E3112" s="534"/>
      <c r="F3112" s="534"/>
    </row>
    <row r="3113" spans="1:6" ht="15" customHeight="1">
      <c r="A3113" s="51"/>
      <c r="B3113" s="52" t="str">
        <f t="shared" si="177"/>
        <v/>
      </c>
      <c r="C3113" t="str">
        <f t="shared" si="176"/>
        <v/>
      </c>
      <c r="D3113" s="245" t="str">
        <f t="shared" si="178"/>
        <v/>
      </c>
      <c r="E3113" s="534"/>
      <c r="F3113" s="534"/>
    </row>
    <row r="3114" spans="1:6" ht="15" customHeight="1">
      <c r="A3114" s="51"/>
      <c r="B3114" s="52" t="str">
        <f t="shared" si="177"/>
        <v/>
      </c>
      <c r="C3114" t="str">
        <f t="shared" si="176"/>
        <v/>
      </c>
      <c r="D3114" s="245" t="str">
        <f t="shared" si="178"/>
        <v/>
      </c>
      <c r="E3114" s="534"/>
      <c r="F3114" s="534"/>
    </row>
    <row r="3115" spans="1:6" ht="15" customHeight="1">
      <c r="A3115" s="51"/>
      <c r="B3115" s="52" t="str">
        <f t="shared" si="177"/>
        <v/>
      </c>
      <c r="C3115" t="str">
        <f t="shared" si="176"/>
        <v/>
      </c>
      <c r="D3115" s="245" t="str">
        <f t="shared" si="178"/>
        <v/>
      </c>
      <c r="E3115" s="534"/>
      <c r="F3115" s="534"/>
    </row>
    <row r="3116" spans="1:6" ht="15" customHeight="1">
      <c r="A3116" s="51"/>
      <c r="B3116" s="52" t="str">
        <f t="shared" si="177"/>
        <v/>
      </c>
      <c r="C3116" t="str">
        <f t="shared" si="176"/>
        <v/>
      </c>
      <c r="D3116" s="245" t="str">
        <f t="shared" si="178"/>
        <v/>
      </c>
      <c r="E3116" s="534"/>
      <c r="F3116" s="534"/>
    </row>
    <row r="3117" spans="1:6" ht="15" customHeight="1">
      <c r="A3117" s="51"/>
      <c r="B3117" s="52" t="str">
        <f t="shared" si="177"/>
        <v/>
      </c>
      <c r="C3117" t="str">
        <f t="shared" si="176"/>
        <v/>
      </c>
      <c r="D3117" s="245" t="str">
        <f t="shared" si="178"/>
        <v/>
      </c>
      <c r="E3117" s="534"/>
      <c r="F3117" s="534"/>
    </row>
    <row r="3118" spans="1:6" ht="15" customHeight="1">
      <c r="A3118" s="51"/>
      <c r="B3118" s="52" t="str">
        <f t="shared" si="177"/>
        <v/>
      </c>
      <c r="C3118" t="str">
        <f t="shared" si="176"/>
        <v/>
      </c>
      <c r="D3118" s="245" t="str">
        <f t="shared" si="178"/>
        <v/>
      </c>
      <c r="E3118" s="534"/>
      <c r="F3118" s="534"/>
    </row>
    <row r="3119" spans="1:6" ht="15" customHeight="1">
      <c r="A3119" s="51"/>
      <c r="B3119" s="52" t="str">
        <f t="shared" si="177"/>
        <v/>
      </c>
      <c r="C3119" t="str">
        <f t="shared" si="176"/>
        <v/>
      </c>
      <c r="D3119" s="245" t="str">
        <f t="shared" si="178"/>
        <v/>
      </c>
      <c r="E3119" s="534"/>
      <c r="F3119" s="534"/>
    </row>
    <row r="3120" spans="1:6" ht="15" customHeight="1">
      <c r="A3120" s="51"/>
      <c r="B3120" s="52" t="str">
        <f t="shared" si="177"/>
        <v/>
      </c>
      <c r="C3120" t="str">
        <f t="shared" si="176"/>
        <v/>
      </c>
      <c r="D3120" s="245" t="str">
        <f t="shared" si="178"/>
        <v/>
      </c>
      <c r="E3120" s="534"/>
      <c r="F3120" s="534"/>
    </row>
    <row r="3121" spans="1:6" ht="15" customHeight="1">
      <c r="A3121" s="51"/>
      <c r="B3121" s="52" t="str">
        <f t="shared" si="177"/>
        <v/>
      </c>
      <c r="C3121" t="str">
        <f t="shared" si="176"/>
        <v/>
      </c>
      <c r="D3121" s="245" t="str">
        <f t="shared" si="178"/>
        <v/>
      </c>
      <c r="E3121" s="534"/>
      <c r="F3121" s="534"/>
    </row>
    <row r="3122" spans="1:6" ht="15" customHeight="1">
      <c r="A3122" s="51"/>
      <c r="B3122" s="52" t="str">
        <f t="shared" si="177"/>
        <v/>
      </c>
      <c r="C3122" t="str">
        <f t="shared" si="176"/>
        <v/>
      </c>
      <c r="D3122" s="245" t="str">
        <f t="shared" si="178"/>
        <v/>
      </c>
      <c r="E3122" s="534"/>
      <c r="F3122" s="534"/>
    </row>
    <row r="3123" spans="1:6" ht="15" customHeight="1">
      <c r="A3123" s="51"/>
      <c r="B3123" s="52" t="str">
        <f t="shared" si="177"/>
        <v/>
      </c>
      <c r="C3123" t="str">
        <f t="shared" si="176"/>
        <v/>
      </c>
      <c r="D3123" s="245" t="str">
        <f t="shared" si="178"/>
        <v/>
      </c>
      <c r="E3123" s="534"/>
      <c r="F3123" s="534"/>
    </row>
    <row r="3124" spans="1:6" ht="15" customHeight="1">
      <c r="A3124" s="51"/>
      <c r="B3124" s="52" t="str">
        <f t="shared" si="177"/>
        <v/>
      </c>
      <c r="C3124" t="str">
        <f t="shared" si="176"/>
        <v/>
      </c>
      <c r="D3124" s="245" t="str">
        <f t="shared" si="178"/>
        <v/>
      </c>
      <c r="E3124" s="534"/>
      <c r="F3124" s="534"/>
    </row>
    <row r="3125" spans="1:6" ht="15" customHeight="1">
      <c r="A3125" s="51"/>
      <c r="B3125" s="52" t="str">
        <f t="shared" si="177"/>
        <v/>
      </c>
      <c r="C3125" t="str">
        <f t="shared" si="176"/>
        <v/>
      </c>
      <c r="D3125" s="245" t="str">
        <f t="shared" si="178"/>
        <v/>
      </c>
      <c r="E3125" s="534"/>
      <c r="F3125" s="534"/>
    </row>
    <row r="3126" spans="1:6" ht="15" customHeight="1">
      <c r="A3126" s="51"/>
      <c r="B3126" s="52" t="str">
        <f t="shared" si="177"/>
        <v/>
      </c>
      <c r="C3126" t="str">
        <f t="shared" si="176"/>
        <v/>
      </c>
      <c r="D3126" s="245" t="str">
        <f t="shared" si="178"/>
        <v/>
      </c>
      <c r="E3126" s="534"/>
      <c r="F3126" s="534"/>
    </row>
    <row r="3127" spans="1:6" ht="15" customHeight="1">
      <c r="A3127" s="51"/>
      <c r="B3127" s="52" t="str">
        <f t="shared" si="177"/>
        <v/>
      </c>
      <c r="C3127" t="str">
        <f t="shared" si="176"/>
        <v/>
      </c>
      <c r="D3127" s="245" t="str">
        <f t="shared" si="178"/>
        <v/>
      </c>
      <c r="E3127" s="534"/>
      <c r="F3127" s="534"/>
    </row>
    <row r="3128" spans="1:6" ht="15" customHeight="1">
      <c r="A3128" s="51"/>
      <c r="B3128" s="52" t="str">
        <f t="shared" si="177"/>
        <v/>
      </c>
      <c r="C3128" t="str">
        <f t="shared" si="176"/>
        <v/>
      </c>
      <c r="D3128" s="245" t="str">
        <f t="shared" si="178"/>
        <v/>
      </c>
      <c r="E3128" s="534"/>
      <c r="F3128" s="534"/>
    </row>
    <row r="3129" spans="1:6" ht="15" customHeight="1">
      <c r="A3129" s="51"/>
      <c r="B3129" s="52" t="str">
        <f t="shared" si="177"/>
        <v/>
      </c>
      <c r="C3129" t="str">
        <f t="shared" si="176"/>
        <v/>
      </c>
      <c r="D3129" s="245" t="str">
        <f t="shared" si="178"/>
        <v/>
      </c>
      <c r="E3129" s="534"/>
      <c r="F3129" s="534"/>
    </row>
    <row r="3130" spans="1:6" ht="15" customHeight="1">
      <c r="A3130" s="51"/>
      <c r="B3130" s="52" t="str">
        <f t="shared" si="177"/>
        <v/>
      </c>
      <c r="C3130" t="str">
        <f t="shared" si="176"/>
        <v/>
      </c>
      <c r="D3130" s="245" t="str">
        <f t="shared" si="178"/>
        <v/>
      </c>
      <c r="E3130" s="534"/>
      <c r="F3130" s="534"/>
    </row>
    <row r="3131" spans="1:6" ht="15" customHeight="1">
      <c r="A3131" s="51"/>
      <c r="B3131" s="52" t="str">
        <f t="shared" si="177"/>
        <v/>
      </c>
      <c r="C3131" t="str">
        <f t="shared" si="176"/>
        <v/>
      </c>
      <c r="D3131" s="245" t="str">
        <f t="shared" si="178"/>
        <v/>
      </c>
      <c r="E3131" s="534"/>
      <c r="F3131" s="534"/>
    </row>
    <row r="3132" spans="1:6" ht="15" customHeight="1">
      <c r="A3132" s="51"/>
      <c r="B3132" s="52" t="str">
        <f t="shared" si="177"/>
        <v/>
      </c>
      <c r="C3132" t="str">
        <f t="shared" si="176"/>
        <v/>
      </c>
      <c r="D3132" s="245" t="str">
        <f t="shared" si="178"/>
        <v/>
      </c>
      <c r="E3132" s="534"/>
      <c r="F3132" s="534"/>
    </row>
    <row r="3133" spans="1:6" ht="15" customHeight="1">
      <c r="A3133" s="51"/>
      <c r="B3133" s="52" t="str">
        <f t="shared" si="177"/>
        <v/>
      </c>
      <c r="C3133" t="str">
        <f t="shared" si="176"/>
        <v/>
      </c>
      <c r="D3133" s="245" t="str">
        <f t="shared" si="178"/>
        <v/>
      </c>
      <c r="E3133" s="534"/>
      <c r="F3133" s="534"/>
    </row>
    <row r="3134" spans="1:6" ht="15" customHeight="1">
      <c r="A3134" s="51"/>
      <c r="B3134" s="52" t="str">
        <f t="shared" si="177"/>
        <v/>
      </c>
      <c r="C3134" t="str">
        <f t="shared" si="176"/>
        <v/>
      </c>
      <c r="D3134" s="245" t="str">
        <f t="shared" si="178"/>
        <v/>
      </c>
      <c r="E3134" s="534"/>
      <c r="F3134" s="534"/>
    </row>
    <row r="3135" spans="1:6" ht="15" customHeight="1">
      <c r="A3135" s="51"/>
      <c r="B3135" s="52" t="str">
        <f t="shared" si="177"/>
        <v/>
      </c>
      <c r="C3135" t="str">
        <f t="shared" si="176"/>
        <v/>
      </c>
      <c r="D3135" s="245" t="str">
        <f t="shared" si="178"/>
        <v/>
      </c>
      <c r="E3135" s="534"/>
      <c r="F3135" s="534"/>
    </row>
    <row r="3136" spans="1:6" ht="15" customHeight="1">
      <c r="A3136" s="51"/>
      <c r="B3136" s="52" t="str">
        <f t="shared" si="177"/>
        <v/>
      </c>
      <c r="C3136" t="str">
        <f t="shared" si="176"/>
        <v/>
      </c>
      <c r="D3136" s="245" t="str">
        <f t="shared" si="178"/>
        <v/>
      </c>
      <c r="E3136" s="534"/>
      <c r="F3136" s="534"/>
    </row>
    <row r="3137" spans="1:6" ht="15" customHeight="1">
      <c r="A3137" s="51"/>
      <c r="B3137" s="52" t="str">
        <f t="shared" si="177"/>
        <v/>
      </c>
      <c r="C3137" t="str">
        <f t="shared" si="176"/>
        <v/>
      </c>
      <c r="D3137" s="245" t="str">
        <f t="shared" si="178"/>
        <v/>
      </c>
      <c r="E3137" s="534"/>
      <c r="F3137" s="534"/>
    </row>
    <row r="3138" spans="1:6" ht="15" customHeight="1">
      <c r="A3138" s="51"/>
      <c r="B3138" s="52" t="str">
        <f t="shared" si="177"/>
        <v/>
      </c>
      <c r="C3138" t="str">
        <f t="shared" ref="C3138:C3201" si="179">IF(A3138&lt;&gt;"",TEXT(A3138,"aaaa"),"")</f>
        <v/>
      </c>
      <c r="D3138" s="245" t="str">
        <f t="shared" si="178"/>
        <v/>
      </c>
      <c r="E3138" s="534"/>
      <c r="F3138" s="534"/>
    </row>
    <row r="3139" spans="1:6" ht="15" customHeight="1">
      <c r="A3139" s="51"/>
      <c r="B3139" s="52" t="str">
        <f t="shared" si="177"/>
        <v/>
      </c>
      <c r="C3139" t="str">
        <f t="shared" si="179"/>
        <v/>
      </c>
      <c r="D3139" s="245" t="str">
        <f t="shared" si="178"/>
        <v/>
      </c>
      <c r="E3139" s="534"/>
      <c r="F3139" s="534"/>
    </row>
    <row r="3140" spans="1:6" ht="15" customHeight="1">
      <c r="A3140" s="51"/>
      <c r="B3140" s="52" t="str">
        <f t="shared" si="177"/>
        <v/>
      </c>
      <c r="C3140" t="str">
        <f t="shared" si="179"/>
        <v/>
      </c>
      <c r="D3140" s="245" t="str">
        <f t="shared" si="178"/>
        <v/>
      </c>
      <c r="E3140" s="534"/>
      <c r="F3140" s="534"/>
    </row>
    <row r="3141" spans="1:6" ht="15" customHeight="1">
      <c r="A3141" s="51"/>
      <c r="B3141" s="52" t="str">
        <f t="shared" si="177"/>
        <v/>
      </c>
      <c r="C3141" t="str">
        <f t="shared" si="179"/>
        <v/>
      </c>
      <c r="D3141" s="245" t="str">
        <f t="shared" si="178"/>
        <v/>
      </c>
      <c r="E3141" s="534"/>
      <c r="F3141" s="534"/>
    </row>
    <row r="3142" spans="1:6" ht="15" customHeight="1">
      <c r="A3142" s="51"/>
      <c r="B3142" s="52" t="str">
        <f t="shared" si="177"/>
        <v/>
      </c>
      <c r="C3142" t="str">
        <f t="shared" si="179"/>
        <v/>
      </c>
      <c r="D3142" s="245" t="str">
        <f t="shared" si="178"/>
        <v/>
      </c>
      <c r="E3142" s="534"/>
      <c r="F3142" s="534"/>
    </row>
    <row r="3143" spans="1:6" ht="15" customHeight="1">
      <c r="A3143" s="51"/>
      <c r="B3143" s="52" t="str">
        <f t="shared" si="177"/>
        <v/>
      </c>
      <c r="C3143" t="str">
        <f t="shared" si="179"/>
        <v/>
      </c>
      <c r="D3143" s="245" t="str">
        <f t="shared" si="178"/>
        <v/>
      </c>
      <c r="E3143" s="534"/>
      <c r="F3143" s="534"/>
    </row>
    <row r="3144" spans="1:6" ht="15" customHeight="1">
      <c r="A3144" s="51"/>
      <c r="B3144" s="52" t="str">
        <f t="shared" ref="B3144:B3207" si="180">IF(A3144="","",TEXT(A3144,"DDDD"))</f>
        <v/>
      </c>
      <c r="C3144" t="str">
        <f t="shared" si="179"/>
        <v/>
      </c>
      <c r="D3144" s="245" t="str">
        <f t="shared" si="178"/>
        <v/>
      </c>
      <c r="E3144" s="534"/>
      <c r="F3144" s="534"/>
    </row>
    <row r="3145" spans="1:6" ht="15" customHeight="1">
      <c r="A3145" s="51"/>
      <c r="B3145" s="52" t="str">
        <f t="shared" si="180"/>
        <v/>
      </c>
      <c r="C3145" t="str">
        <f t="shared" si="179"/>
        <v/>
      </c>
      <c r="D3145" s="245" t="str">
        <f t="shared" ref="D3145:D3208" si="181">IF(A3145&lt;&gt;"",PROPER(TEXT(A3145,"Mmmm")),"")</f>
        <v/>
      </c>
      <c r="E3145" s="534"/>
      <c r="F3145" s="534"/>
    </row>
    <row r="3146" spans="1:6" ht="15" customHeight="1">
      <c r="A3146" s="51"/>
      <c r="B3146" s="52" t="str">
        <f t="shared" si="180"/>
        <v/>
      </c>
      <c r="C3146" t="str">
        <f t="shared" si="179"/>
        <v/>
      </c>
      <c r="D3146" s="245" t="str">
        <f t="shared" si="181"/>
        <v/>
      </c>
      <c r="E3146" s="534"/>
      <c r="F3146" s="534"/>
    </row>
    <row r="3147" spans="1:6" ht="15" customHeight="1">
      <c r="A3147" s="51"/>
      <c r="B3147" s="52" t="str">
        <f t="shared" si="180"/>
        <v/>
      </c>
      <c r="C3147" t="str">
        <f t="shared" si="179"/>
        <v/>
      </c>
      <c r="D3147" s="245" t="str">
        <f t="shared" si="181"/>
        <v/>
      </c>
      <c r="E3147" s="534"/>
      <c r="F3147" s="534"/>
    </row>
    <row r="3148" spans="1:6" ht="15" customHeight="1">
      <c r="A3148" s="51"/>
      <c r="B3148" s="52" t="str">
        <f t="shared" si="180"/>
        <v/>
      </c>
      <c r="C3148" t="str">
        <f t="shared" si="179"/>
        <v/>
      </c>
      <c r="D3148" s="245" t="str">
        <f t="shared" si="181"/>
        <v/>
      </c>
      <c r="E3148" s="534"/>
      <c r="F3148" s="534"/>
    </row>
    <row r="3149" spans="1:6" ht="15" customHeight="1">
      <c r="A3149" s="51"/>
      <c r="B3149" s="52" t="str">
        <f t="shared" si="180"/>
        <v/>
      </c>
      <c r="C3149" t="str">
        <f t="shared" si="179"/>
        <v/>
      </c>
      <c r="D3149" s="245" t="str">
        <f t="shared" si="181"/>
        <v/>
      </c>
      <c r="E3149" s="534"/>
      <c r="F3149" s="534"/>
    </row>
    <row r="3150" spans="1:6" ht="15" customHeight="1">
      <c r="A3150" s="51"/>
      <c r="B3150" s="52" t="str">
        <f t="shared" si="180"/>
        <v/>
      </c>
      <c r="C3150" t="str">
        <f t="shared" si="179"/>
        <v/>
      </c>
      <c r="D3150" s="245" t="str">
        <f t="shared" si="181"/>
        <v/>
      </c>
      <c r="E3150" s="534"/>
      <c r="F3150" s="534"/>
    </row>
    <row r="3151" spans="1:6" ht="15" customHeight="1">
      <c r="A3151" s="51"/>
      <c r="B3151" s="52" t="str">
        <f t="shared" si="180"/>
        <v/>
      </c>
      <c r="C3151" t="str">
        <f t="shared" si="179"/>
        <v/>
      </c>
      <c r="D3151" s="245" t="str">
        <f t="shared" si="181"/>
        <v/>
      </c>
      <c r="E3151" s="534"/>
      <c r="F3151" s="534"/>
    </row>
    <row r="3152" spans="1:6" ht="15" customHeight="1">
      <c r="A3152" s="51"/>
      <c r="B3152" s="52" t="str">
        <f t="shared" si="180"/>
        <v/>
      </c>
      <c r="C3152" t="str">
        <f t="shared" si="179"/>
        <v/>
      </c>
      <c r="D3152" s="245" t="str">
        <f t="shared" si="181"/>
        <v/>
      </c>
      <c r="E3152" s="534"/>
      <c r="F3152" s="534"/>
    </row>
    <row r="3153" spans="1:6" ht="15" customHeight="1">
      <c r="A3153" s="51"/>
      <c r="B3153" s="52" t="str">
        <f t="shared" si="180"/>
        <v/>
      </c>
      <c r="C3153" t="str">
        <f t="shared" si="179"/>
        <v/>
      </c>
      <c r="D3153" s="245" t="str">
        <f t="shared" si="181"/>
        <v/>
      </c>
      <c r="E3153" s="534"/>
      <c r="F3153" s="534"/>
    </row>
    <row r="3154" spans="1:6" ht="15" customHeight="1">
      <c r="A3154" s="51"/>
      <c r="B3154" s="52" t="str">
        <f t="shared" si="180"/>
        <v/>
      </c>
      <c r="C3154" t="str">
        <f t="shared" si="179"/>
        <v/>
      </c>
      <c r="D3154" s="245" t="str">
        <f t="shared" si="181"/>
        <v/>
      </c>
      <c r="E3154" s="534"/>
      <c r="F3154" s="534"/>
    </row>
    <row r="3155" spans="1:6" ht="15" customHeight="1">
      <c r="A3155" s="51"/>
      <c r="B3155" s="52" t="str">
        <f t="shared" si="180"/>
        <v/>
      </c>
      <c r="C3155" t="str">
        <f t="shared" si="179"/>
        <v/>
      </c>
      <c r="D3155" s="245" t="str">
        <f t="shared" si="181"/>
        <v/>
      </c>
      <c r="E3155" s="534"/>
      <c r="F3155" s="534"/>
    </row>
    <row r="3156" spans="1:6" ht="15" customHeight="1">
      <c r="A3156" s="51"/>
      <c r="B3156" s="52" t="str">
        <f t="shared" si="180"/>
        <v/>
      </c>
      <c r="C3156" t="str">
        <f t="shared" si="179"/>
        <v/>
      </c>
      <c r="D3156" s="245" t="str">
        <f t="shared" si="181"/>
        <v/>
      </c>
      <c r="E3156" s="534"/>
      <c r="F3156" s="534"/>
    </row>
    <row r="3157" spans="1:6" ht="15" customHeight="1">
      <c r="A3157" s="51"/>
      <c r="B3157" s="52" t="str">
        <f t="shared" si="180"/>
        <v/>
      </c>
      <c r="C3157" t="str">
        <f t="shared" si="179"/>
        <v/>
      </c>
      <c r="D3157" s="245" t="str">
        <f t="shared" si="181"/>
        <v/>
      </c>
      <c r="E3157" s="534"/>
      <c r="F3157" s="534"/>
    </row>
    <row r="3158" spans="1:6" ht="15" customHeight="1">
      <c r="A3158" s="51"/>
      <c r="B3158" s="52" t="str">
        <f t="shared" si="180"/>
        <v/>
      </c>
      <c r="C3158" t="str">
        <f t="shared" si="179"/>
        <v/>
      </c>
      <c r="D3158" s="245" t="str">
        <f t="shared" si="181"/>
        <v/>
      </c>
      <c r="E3158" s="534"/>
      <c r="F3158" s="534"/>
    </row>
    <row r="3159" spans="1:6" ht="15" customHeight="1">
      <c r="A3159" s="51"/>
      <c r="B3159" s="52" t="str">
        <f t="shared" si="180"/>
        <v/>
      </c>
      <c r="C3159" t="str">
        <f t="shared" si="179"/>
        <v/>
      </c>
      <c r="D3159" s="245" t="str">
        <f t="shared" si="181"/>
        <v/>
      </c>
      <c r="E3159" s="534"/>
      <c r="F3159" s="534"/>
    </row>
    <row r="3160" spans="1:6" ht="15" customHeight="1">
      <c r="A3160" s="51"/>
      <c r="B3160" s="52" t="str">
        <f t="shared" si="180"/>
        <v/>
      </c>
      <c r="C3160" t="str">
        <f t="shared" si="179"/>
        <v/>
      </c>
      <c r="D3160" s="245" t="str">
        <f t="shared" si="181"/>
        <v/>
      </c>
      <c r="E3160" s="534"/>
      <c r="F3160" s="534"/>
    </row>
    <row r="3161" spans="1:6" ht="15" customHeight="1">
      <c r="A3161" s="51"/>
      <c r="B3161" s="52" t="str">
        <f t="shared" si="180"/>
        <v/>
      </c>
      <c r="C3161" t="str">
        <f t="shared" si="179"/>
        <v/>
      </c>
      <c r="D3161" s="245" t="str">
        <f t="shared" si="181"/>
        <v/>
      </c>
      <c r="E3161" s="534"/>
      <c r="F3161" s="534"/>
    </row>
    <row r="3162" spans="1:6" ht="15" customHeight="1">
      <c r="A3162" s="51"/>
      <c r="B3162" s="52" t="str">
        <f t="shared" si="180"/>
        <v/>
      </c>
      <c r="C3162" t="str">
        <f t="shared" si="179"/>
        <v/>
      </c>
      <c r="D3162" s="245" t="str">
        <f t="shared" si="181"/>
        <v/>
      </c>
      <c r="E3162" s="534"/>
      <c r="F3162" s="534"/>
    </row>
    <row r="3163" spans="1:6" ht="15" customHeight="1">
      <c r="A3163" s="51"/>
      <c r="B3163" s="52" t="str">
        <f t="shared" si="180"/>
        <v/>
      </c>
      <c r="C3163" t="str">
        <f t="shared" si="179"/>
        <v/>
      </c>
      <c r="D3163" s="245" t="str">
        <f t="shared" si="181"/>
        <v/>
      </c>
      <c r="E3163" s="534"/>
      <c r="F3163" s="534"/>
    </row>
    <row r="3164" spans="1:6" ht="15" customHeight="1">
      <c r="A3164" s="51"/>
      <c r="B3164" s="52" t="str">
        <f t="shared" si="180"/>
        <v/>
      </c>
      <c r="C3164" t="str">
        <f t="shared" si="179"/>
        <v/>
      </c>
      <c r="D3164" s="245" t="str">
        <f t="shared" si="181"/>
        <v/>
      </c>
      <c r="E3164" s="534"/>
      <c r="F3164" s="534"/>
    </row>
    <row r="3165" spans="1:6" ht="15" customHeight="1">
      <c r="A3165" s="51"/>
      <c r="B3165" s="52" t="str">
        <f t="shared" si="180"/>
        <v/>
      </c>
      <c r="C3165" t="str">
        <f t="shared" si="179"/>
        <v/>
      </c>
      <c r="D3165" s="245" t="str">
        <f t="shared" si="181"/>
        <v/>
      </c>
      <c r="E3165" s="534"/>
      <c r="F3165" s="534"/>
    </row>
    <row r="3166" spans="1:6" ht="15" customHeight="1">
      <c r="A3166" s="51"/>
      <c r="B3166" s="52" t="str">
        <f t="shared" si="180"/>
        <v/>
      </c>
      <c r="C3166" t="str">
        <f t="shared" si="179"/>
        <v/>
      </c>
      <c r="D3166" s="245" t="str">
        <f t="shared" si="181"/>
        <v/>
      </c>
      <c r="E3166" s="534"/>
      <c r="F3166" s="534"/>
    </row>
    <row r="3167" spans="1:6" ht="15" customHeight="1">
      <c r="A3167" s="51"/>
      <c r="B3167" s="52" t="str">
        <f t="shared" si="180"/>
        <v/>
      </c>
      <c r="C3167" t="str">
        <f t="shared" si="179"/>
        <v/>
      </c>
      <c r="D3167" s="245" t="str">
        <f t="shared" si="181"/>
        <v/>
      </c>
      <c r="E3167" s="534"/>
      <c r="F3167" s="534"/>
    </row>
    <row r="3168" spans="1:6" ht="15" customHeight="1">
      <c r="A3168" s="51"/>
      <c r="B3168" s="52" t="str">
        <f t="shared" si="180"/>
        <v/>
      </c>
      <c r="C3168" t="str">
        <f t="shared" si="179"/>
        <v/>
      </c>
      <c r="D3168" s="245" t="str">
        <f t="shared" si="181"/>
        <v/>
      </c>
      <c r="E3168" s="534"/>
      <c r="F3168" s="534"/>
    </row>
    <row r="3169" spans="1:6" ht="15" customHeight="1">
      <c r="A3169" s="51"/>
      <c r="B3169" s="52" t="str">
        <f t="shared" si="180"/>
        <v/>
      </c>
      <c r="C3169" t="str">
        <f t="shared" si="179"/>
        <v/>
      </c>
      <c r="D3169" s="245" t="str">
        <f t="shared" si="181"/>
        <v/>
      </c>
      <c r="E3169" s="534"/>
      <c r="F3169" s="534"/>
    </row>
    <row r="3170" spans="1:6" ht="15" customHeight="1">
      <c r="A3170" s="51"/>
      <c r="B3170" s="52" t="str">
        <f t="shared" si="180"/>
        <v/>
      </c>
      <c r="C3170" t="str">
        <f t="shared" si="179"/>
        <v/>
      </c>
      <c r="D3170" s="245" t="str">
        <f t="shared" si="181"/>
        <v/>
      </c>
      <c r="E3170" s="534"/>
      <c r="F3170" s="534"/>
    </row>
    <row r="3171" spans="1:6" ht="15" customHeight="1">
      <c r="A3171" s="51"/>
      <c r="B3171" s="52" t="str">
        <f t="shared" si="180"/>
        <v/>
      </c>
      <c r="C3171" t="str">
        <f t="shared" si="179"/>
        <v/>
      </c>
      <c r="D3171" s="245" t="str">
        <f t="shared" si="181"/>
        <v/>
      </c>
      <c r="E3171" s="534"/>
      <c r="F3171" s="534"/>
    </row>
    <row r="3172" spans="1:6" ht="15" customHeight="1">
      <c r="A3172" s="51"/>
      <c r="B3172" s="52" t="str">
        <f t="shared" si="180"/>
        <v/>
      </c>
      <c r="C3172" t="str">
        <f t="shared" si="179"/>
        <v/>
      </c>
      <c r="D3172" s="245" t="str">
        <f t="shared" si="181"/>
        <v/>
      </c>
      <c r="E3172" s="534"/>
      <c r="F3172" s="534"/>
    </row>
    <row r="3173" spans="1:6" ht="15" customHeight="1">
      <c r="A3173" s="51"/>
      <c r="B3173" s="52" t="str">
        <f t="shared" si="180"/>
        <v/>
      </c>
      <c r="C3173" t="str">
        <f t="shared" si="179"/>
        <v/>
      </c>
      <c r="D3173" s="245" t="str">
        <f t="shared" si="181"/>
        <v/>
      </c>
      <c r="E3173" s="534"/>
      <c r="F3173" s="534"/>
    </row>
    <row r="3174" spans="1:6" ht="15" customHeight="1">
      <c r="A3174" s="51"/>
      <c r="B3174" s="52" t="str">
        <f t="shared" si="180"/>
        <v/>
      </c>
      <c r="C3174" t="str">
        <f t="shared" si="179"/>
        <v/>
      </c>
      <c r="D3174" s="245" t="str">
        <f t="shared" si="181"/>
        <v/>
      </c>
      <c r="E3174" s="534"/>
      <c r="F3174" s="534"/>
    </row>
    <row r="3175" spans="1:6" ht="15" customHeight="1">
      <c r="A3175" s="51"/>
      <c r="B3175" s="52" t="str">
        <f t="shared" si="180"/>
        <v/>
      </c>
      <c r="C3175" t="str">
        <f t="shared" si="179"/>
        <v/>
      </c>
      <c r="D3175" s="245" t="str">
        <f t="shared" si="181"/>
        <v/>
      </c>
      <c r="E3175" s="534"/>
      <c r="F3175" s="534"/>
    </row>
    <row r="3176" spans="1:6" ht="15" customHeight="1">
      <c r="A3176" s="51"/>
      <c r="B3176" s="52" t="str">
        <f t="shared" si="180"/>
        <v/>
      </c>
      <c r="C3176" t="str">
        <f t="shared" si="179"/>
        <v/>
      </c>
      <c r="D3176" s="245" t="str">
        <f t="shared" si="181"/>
        <v/>
      </c>
      <c r="E3176" s="534"/>
      <c r="F3176" s="534"/>
    </row>
    <row r="3177" spans="1:6" ht="15" customHeight="1">
      <c r="A3177" s="51"/>
      <c r="B3177" s="52" t="str">
        <f t="shared" si="180"/>
        <v/>
      </c>
      <c r="C3177" t="str">
        <f t="shared" si="179"/>
        <v/>
      </c>
      <c r="D3177" s="245" t="str">
        <f t="shared" si="181"/>
        <v/>
      </c>
      <c r="E3177" s="534"/>
      <c r="F3177" s="534"/>
    </row>
    <row r="3178" spans="1:6" ht="15" customHeight="1">
      <c r="A3178" s="51"/>
      <c r="B3178" s="52" t="str">
        <f t="shared" si="180"/>
        <v/>
      </c>
      <c r="C3178" t="str">
        <f t="shared" si="179"/>
        <v/>
      </c>
      <c r="D3178" s="245" t="str">
        <f t="shared" si="181"/>
        <v/>
      </c>
      <c r="E3178" s="534"/>
      <c r="F3178" s="534"/>
    </row>
    <row r="3179" spans="1:6" ht="15" customHeight="1">
      <c r="A3179" s="51"/>
      <c r="B3179" s="52" t="str">
        <f t="shared" si="180"/>
        <v/>
      </c>
      <c r="C3179" t="str">
        <f t="shared" si="179"/>
        <v/>
      </c>
      <c r="D3179" s="245" t="str">
        <f t="shared" si="181"/>
        <v/>
      </c>
      <c r="E3179" s="534"/>
      <c r="F3179" s="534"/>
    </row>
    <row r="3180" spans="1:6" ht="15" customHeight="1">
      <c r="A3180" s="51"/>
      <c r="B3180" s="52" t="str">
        <f t="shared" si="180"/>
        <v/>
      </c>
      <c r="C3180" t="str">
        <f t="shared" si="179"/>
        <v/>
      </c>
      <c r="D3180" s="245" t="str">
        <f t="shared" si="181"/>
        <v/>
      </c>
      <c r="E3180" s="534"/>
      <c r="F3180" s="534"/>
    </row>
    <row r="3181" spans="1:6" ht="15" customHeight="1">
      <c r="A3181" s="51"/>
      <c r="B3181" s="52" t="str">
        <f t="shared" si="180"/>
        <v/>
      </c>
      <c r="C3181" t="str">
        <f t="shared" si="179"/>
        <v/>
      </c>
      <c r="D3181" s="245" t="str">
        <f t="shared" si="181"/>
        <v/>
      </c>
      <c r="E3181" s="534"/>
      <c r="F3181" s="534"/>
    </row>
    <row r="3182" spans="1:6" ht="15" customHeight="1">
      <c r="A3182" s="51"/>
      <c r="B3182" s="52" t="str">
        <f t="shared" si="180"/>
        <v/>
      </c>
      <c r="C3182" t="str">
        <f t="shared" si="179"/>
        <v/>
      </c>
      <c r="D3182" s="245" t="str">
        <f t="shared" si="181"/>
        <v/>
      </c>
      <c r="E3182" s="534"/>
      <c r="F3182" s="534"/>
    </row>
    <row r="3183" spans="1:6" ht="15" customHeight="1">
      <c r="A3183" s="51"/>
      <c r="B3183" s="52" t="str">
        <f t="shared" si="180"/>
        <v/>
      </c>
      <c r="C3183" t="str">
        <f t="shared" si="179"/>
        <v/>
      </c>
      <c r="D3183" s="245" t="str">
        <f t="shared" si="181"/>
        <v/>
      </c>
      <c r="E3183" s="534"/>
      <c r="F3183" s="534"/>
    </row>
    <row r="3184" spans="1:6" ht="15" customHeight="1">
      <c r="A3184" s="51"/>
      <c r="B3184" s="52" t="str">
        <f t="shared" si="180"/>
        <v/>
      </c>
      <c r="C3184" t="str">
        <f t="shared" si="179"/>
        <v/>
      </c>
      <c r="D3184" s="245" t="str">
        <f t="shared" si="181"/>
        <v/>
      </c>
      <c r="E3184" s="534"/>
      <c r="F3184" s="534"/>
    </row>
    <row r="3185" spans="1:6" ht="15" customHeight="1">
      <c r="A3185" s="51"/>
      <c r="B3185" s="52" t="str">
        <f t="shared" si="180"/>
        <v/>
      </c>
      <c r="C3185" t="str">
        <f t="shared" si="179"/>
        <v/>
      </c>
      <c r="D3185" s="245" t="str">
        <f t="shared" si="181"/>
        <v/>
      </c>
      <c r="E3185" s="534"/>
      <c r="F3185" s="534"/>
    </row>
    <row r="3186" spans="1:6" ht="15" customHeight="1">
      <c r="A3186" s="51"/>
      <c r="B3186" s="52" t="str">
        <f t="shared" si="180"/>
        <v/>
      </c>
      <c r="C3186" t="str">
        <f t="shared" si="179"/>
        <v/>
      </c>
      <c r="D3186" s="245" t="str">
        <f t="shared" si="181"/>
        <v/>
      </c>
      <c r="E3186" s="534"/>
      <c r="F3186" s="534"/>
    </row>
    <row r="3187" spans="1:6" ht="15" customHeight="1">
      <c r="A3187" s="51"/>
      <c r="B3187" s="52" t="str">
        <f t="shared" si="180"/>
        <v/>
      </c>
      <c r="C3187" t="str">
        <f t="shared" si="179"/>
        <v/>
      </c>
      <c r="D3187" s="245" t="str">
        <f t="shared" si="181"/>
        <v/>
      </c>
      <c r="E3187" s="534"/>
      <c r="F3187" s="534"/>
    </row>
    <row r="3188" spans="1:6" ht="15" customHeight="1">
      <c r="A3188" s="51"/>
      <c r="B3188" s="52" t="str">
        <f t="shared" si="180"/>
        <v/>
      </c>
      <c r="C3188" t="str">
        <f t="shared" si="179"/>
        <v/>
      </c>
      <c r="D3188" s="245" t="str">
        <f t="shared" si="181"/>
        <v/>
      </c>
      <c r="E3188" s="534"/>
      <c r="F3188" s="534"/>
    </row>
    <row r="3189" spans="1:6" ht="15" customHeight="1">
      <c r="A3189" s="51"/>
      <c r="B3189" s="52" t="str">
        <f t="shared" si="180"/>
        <v/>
      </c>
      <c r="C3189" t="str">
        <f t="shared" si="179"/>
        <v/>
      </c>
      <c r="D3189" s="245" t="str">
        <f t="shared" si="181"/>
        <v/>
      </c>
      <c r="E3189" s="534"/>
      <c r="F3189" s="534"/>
    </row>
    <row r="3190" spans="1:6" ht="15" customHeight="1">
      <c r="A3190" s="51"/>
      <c r="B3190" s="52" t="str">
        <f t="shared" si="180"/>
        <v/>
      </c>
      <c r="C3190" t="str">
        <f t="shared" si="179"/>
        <v/>
      </c>
      <c r="D3190" s="245" t="str">
        <f t="shared" si="181"/>
        <v/>
      </c>
      <c r="E3190" s="534"/>
      <c r="F3190" s="534"/>
    </row>
    <row r="3191" spans="1:6" ht="15" customHeight="1">
      <c r="A3191" s="51"/>
      <c r="B3191" s="52" t="str">
        <f t="shared" si="180"/>
        <v/>
      </c>
      <c r="C3191" t="str">
        <f t="shared" si="179"/>
        <v/>
      </c>
      <c r="D3191" s="245" t="str">
        <f t="shared" si="181"/>
        <v/>
      </c>
      <c r="E3191" s="534"/>
      <c r="F3191" s="534"/>
    </row>
    <row r="3192" spans="1:6" ht="15" customHeight="1">
      <c r="A3192" s="51"/>
      <c r="B3192" s="52" t="str">
        <f t="shared" si="180"/>
        <v/>
      </c>
      <c r="C3192" t="str">
        <f t="shared" si="179"/>
        <v/>
      </c>
      <c r="D3192" s="245" t="str">
        <f t="shared" si="181"/>
        <v/>
      </c>
      <c r="E3192" s="534"/>
      <c r="F3192" s="534"/>
    </row>
    <row r="3193" spans="1:6" ht="15" customHeight="1">
      <c r="A3193" s="51"/>
      <c r="B3193" s="52" t="str">
        <f t="shared" si="180"/>
        <v/>
      </c>
      <c r="C3193" t="str">
        <f t="shared" si="179"/>
        <v/>
      </c>
      <c r="D3193" s="245" t="str">
        <f t="shared" si="181"/>
        <v/>
      </c>
      <c r="E3193" s="534"/>
      <c r="F3193" s="534"/>
    </row>
    <row r="3194" spans="1:6" ht="15" customHeight="1">
      <c r="A3194" s="51"/>
      <c r="B3194" s="52" t="str">
        <f t="shared" si="180"/>
        <v/>
      </c>
      <c r="C3194" t="str">
        <f t="shared" si="179"/>
        <v/>
      </c>
      <c r="D3194" s="245" t="str">
        <f t="shared" si="181"/>
        <v/>
      </c>
      <c r="E3194" s="534"/>
      <c r="F3194" s="534"/>
    </row>
    <row r="3195" spans="1:6" ht="15" customHeight="1">
      <c r="A3195" s="51"/>
      <c r="B3195" s="52" t="str">
        <f t="shared" si="180"/>
        <v/>
      </c>
      <c r="C3195" t="str">
        <f t="shared" si="179"/>
        <v/>
      </c>
      <c r="D3195" s="245" t="str">
        <f t="shared" si="181"/>
        <v/>
      </c>
      <c r="E3195" s="534"/>
      <c r="F3195" s="534"/>
    </row>
    <row r="3196" spans="1:6" ht="15" customHeight="1">
      <c r="A3196" s="51"/>
      <c r="B3196" s="52" t="str">
        <f t="shared" si="180"/>
        <v/>
      </c>
      <c r="C3196" t="str">
        <f t="shared" si="179"/>
        <v/>
      </c>
      <c r="D3196" s="245" t="str">
        <f t="shared" si="181"/>
        <v/>
      </c>
      <c r="E3196" s="534"/>
      <c r="F3196" s="534"/>
    </row>
    <row r="3197" spans="1:6" ht="15" customHeight="1">
      <c r="A3197" s="51"/>
      <c r="B3197" s="52" t="str">
        <f t="shared" si="180"/>
        <v/>
      </c>
      <c r="C3197" t="str">
        <f t="shared" si="179"/>
        <v/>
      </c>
      <c r="D3197" s="245" t="str">
        <f t="shared" si="181"/>
        <v/>
      </c>
      <c r="E3197" s="534"/>
      <c r="F3197" s="534"/>
    </row>
    <row r="3198" spans="1:6" ht="15" customHeight="1">
      <c r="A3198" s="51"/>
      <c r="B3198" s="52" t="str">
        <f t="shared" si="180"/>
        <v/>
      </c>
      <c r="C3198" t="str">
        <f t="shared" si="179"/>
        <v/>
      </c>
      <c r="D3198" s="245" t="str">
        <f t="shared" si="181"/>
        <v/>
      </c>
      <c r="E3198" s="534"/>
      <c r="F3198" s="534"/>
    </row>
    <row r="3199" spans="1:6" ht="15" customHeight="1">
      <c r="A3199" s="51"/>
      <c r="B3199" s="52" t="str">
        <f t="shared" si="180"/>
        <v/>
      </c>
      <c r="C3199" t="str">
        <f t="shared" si="179"/>
        <v/>
      </c>
      <c r="D3199" s="245" t="str">
        <f t="shared" si="181"/>
        <v/>
      </c>
      <c r="E3199" s="534"/>
      <c r="F3199" s="534"/>
    </row>
    <row r="3200" spans="1:6" ht="15" customHeight="1">
      <c r="A3200" s="51"/>
      <c r="B3200" s="52" t="str">
        <f t="shared" si="180"/>
        <v/>
      </c>
      <c r="C3200" t="str">
        <f t="shared" si="179"/>
        <v/>
      </c>
      <c r="D3200" s="245" t="str">
        <f t="shared" si="181"/>
        <v/>
      </c>
      <c r="E3200" s="534"/>
      <c r="F3200" s="534"/>
    </row>
    <row r="3201" spans="1:6" ht="15" customHeight="1">
      <c r="A3201" s="51"/>
      <c r="B3201" s="52" t="str">
        <f t="shared" si="180"/>
        <v/>
      </c>
      <c r="C3201" t="str">
        <f t="shared" si="179"/>
        <v/>
      </c>
      <c r="D3201" s="245" t="str">
        <f t="shared" si="181"/>
        <v/>
      </c>
      <c r="E3201" s="534"/>
      <c r="F3201" s="534"/>
    </row>
    <row r="3202" spans="1:6" ht="15" customHeight="1">
      <c r="A3202" s="51"/>
      <c r="B3202" s="52" t="str">
        <f t="shared" si="180"/>
        <v/>
      </c>
      <c r="C3202" t="str">
        <f t="shared" ref="C3202:C3265" si="182">IF(A3202&lt;&gt;"",TEXT(A3202,"aaaa"),"")</f>
        <v/>
      </c>
      <c r="D3202" s="245" t="str">
        <f t="shared" si="181"/>
        <v/>
      </c>
      <c r="E3202" s="534"/>
      <c r="F3202" s="534"/>
    </row>
    <row r="3203" spans="1:6" ht="15" customHeight="1">
      <c r="A3203" s="51"/>
      <c r="B3203" s="52" t="str">
        <f t="shared" si="180"/>
        <v/>
      </c>
      <c r="C3203" t="str">
        <f t="shared" si="182"/>
        <v/>
      </c>
      <c r="D3203" s="245" t="str">
        <f t="shared" si="181"/>
        <v/>
      </c>
      <c r="E3203" s="534"/>
      <c r="F3203" s="534"/>
    </row>
    <row r="3204" spans="1:6" ht="15" customHeight="1">
      <c r="A3204" s="51"/>
      <c r="B3204" s="52" t="str">
        <f t="shared" si="180"/>
        <v/>
      </c>
      <c r="C3204" t="str">
        <f t="shared" si="182"/>
        <v/>
      </c>
      <c r="D3204" s="245" t="str">
        <f t="shared" si="181"/>
        <v/>
      </c>
      <c r="E3204" s="534"/>
      <c r="F3204" s="534"/>
    </row>
    <row r="3205" spans="1:6" ht="15" customHeight="1">
      <c r="A3205" s="51"/>
      <c r="B3205" s="52" t="str">
        <f t="shared" si="180"/>
        <v/>
      </c>
      <c r="C3205" t="str">
        <f t="shared" si="182"/>
        <v/>
      </c>
      <c r="D3205" s="245" t="str">
        <f t="shared" si="181"/>
        <v/>
      </c>
      <c r="E3205" s="534"/>
      <c r="F3205" s="534"/>
    </row>
    <row r="3206" spans="1:6" ht="15" customHeight="1">
      <c r="A3206" s="51"/>
      <c r="B3206" s="52" t="str">
        <f t="shared" si="180"/>
        <v/>
      </c>
      <c r="C3206" t="str">
        <f t="shared" si="182"/>
        <v/>
      </c>
      <c r="D3206" s="245" t="str">
        <f t="shared" si="181"/>
        <v/>
      </c>
      <c r="E3206" s="534"/>
      <c r="F3206" s="534"/>
    </row>
    <row r="3207" spans="1:6" ht="15" customHeight="1">
      <c r="A3207" s="51"/>
      <c r="B3207" s="52" t="str">
        <f t="shared" si="180"/>
        <v/>
      </c>
      <c r="C3207" t="str">
        <f t="shared" si="182"/>
        <v/>
      </c>
      <c r="D3207" s="245" t="str">
        <f t="shared" si="181"/>
        <v/>
      </c>
      <c r="E3207" s="534"/>
      <c r="F3207" s="534"/>
    </row>
    <row r="3208" spans="1:6" ht="15" customHeight="1">
      <c r="A3208" s="51"/>
      <c r="B3208" s="52" t="str">
        <f t="shared" ref="B3208:B3271" si="183">IF(A3208="","",TEXT(A3208,"DDDD"))</f>
        <v/>
      </c>
      <c r="C3208" t="str">
        <f t="shared" si="182"/>
        <v/>
      </c>
      <c r="D3208" s="245" t="str">
        <f t="shared" si="181"/>
        <v/>
      </c>
      <c r="E3208" s="534"/>
      <c r="F3208" s="534"/>
    </row>
    <row r="3209" spans="1:6" ht="15" customHeight="1">
      <c r="A3209" s="51"/>
      <c r="B3209" s="52" t="str">
        <f t="shared" si="183"/>
        <v/>
      </c>
      <c r="C3209" t="str">
        <f t="shared" si="182"/>
        <v/>
      </c>
      <c r="D3209" s="245" t="str">
        <f t="shared" ref="D3209:D3272" si="184">IF(A3209&lt;&gt;"",PROPER(TEXT(A3209,"Mmmm")),"")</f>
        <v/>
      </c>
      <c r="E3209" s="534"/>
      <c r="F3209" s="534"/>
    </row>
    <row r="3210" spans="1:6" ht="15" customHeight="1">
      <c r="A3210" s="51"/>
      <c r="B3210" s="52" t="str">
        <f t="shared" si="183"/>
        <v/>
      </c>
      <c r="C3210" t="str">
        <f t="shared" si="182"/>
        <v/>
      </c>
      <c r="D3210" s="245" t="str">
        <f t="shared" si="184"/>
        <v/>
      </c>
      <c r="E3210" s="534"/>
      <c r="F3210" s="534"/>
    </row>
    <row r="3211" spans="1:6" ht="15" customHeight="1">
      <c r="A3211" s="51"/>
      <c r="B3211" s="52" t="str">
        <f t="shared" si="183"/>
        <v/>
      </c>
      <c r="C3211" t="str">
        <f t="shared" si="182"/>
        <v/>
      </c>
      <c r="D3211" s="245" t="str">
        <f t="shared" si="184"/>
        <v/>
      </c>
      <c r="E3211" s="534"/>
      <c r="F3211" s="534"/>
    </row>
    <row r="3212" spans="1:6" ht="15" customHeight="1">
      <c r="A3212" s="51"/>
      <c r="B3212" s="52" t="str">
        <f t="shared" si="183"/>
        <v/>
      </c>
      <c r="C3212" t="str">
        <f t="shared" si="182"/>
        <v/>
      </c>
      <c r="D3212" s="245" t="str">
        <f t="shared" si="184"/>
        <v/>
      </c>
      <c r="E3212" s="534"/>
      <c r="F3212" s="534"/>
    </row>
    <row r="3213" spans="1:6" ht="15" customHeight="1">
      <c r="A3213" s="51"/>
      <c r="B3213" s="52" t="str">
        <f t="shared" si="183"/>
        <v/>
      </c>
      <c r="C3213" t="str">
        <f t="shared" si="182"/>
        <v/>
      </c>
      <c r="D3213" s="245" t="str">
        <f t="shared" si="184"/>
        <v/>
      </c>
      <c r="E3213" s="534"/>
      <c r="F3213" s="534"/>
    </row>
    <row r="3214" spans="1:6" ht="15" customHeight="1">
      <c r="A3214" s="51"/>
      <c r="B3214" s="52" t="str">
        <f t="shared" si="183"/>
        <v/>
      </c>
      <c r="C3214" t="str">
        <f t="shared" si="182"/>
        <v/>
      </c>
      <c r="D3214" s="245" t="str">
        <f t="shared" si="184"/>
        <v/>
      </c>
      <c r="E3214" s="534"/>
      <c r="F3214" s="534"/>
    </row>
    <row r="3215" spans="1:6" ht="15" customHeight="1">
      <c r="A3215" s="51"/>
      <c r="B3215" s="52" t="str">
        <f t="shared" si="183"/>
        <v/>
      </c>
      <c r="C3215" t="str">
        <f t="shared" si="182"/>
        <v/>
      </c>
      <c r="D3215" s="245" t="str">
        <f t="shared" si="184"/>
        <v/>
      </c>
      <c r="E3215" s="534"/>
      <c r="F3215" s="534"/>
    </row>
    <row r="3216" spans="1:6" ht="15" customHeight="1">
      <c r="A3216" s="51"/>
      <c r="B3216" s="52" t="str">
        <f t="shared" si="183"/>
        <v/>
      </c>
      <c r="C3216" t="str">
        <f t="shared" si="182"/>
        <v/>
      </c>
      <c r="D3216" s="245" t="str">
        <f t="shared" si="184"/>
        <v/>
      </c>
      <c r="E3216" s="534"/>
      <c r="F3216" s="534"/>
    </row>
    <row r="3217" spans="1:6" ht="15" customHeight="1">
      <c r="A3217" s="51"/>
      <c r="B3217" s="52" t="str">
        <f t="shared" si="183"/>
        <v/>
      </c>
      <c r="C3217" t="str">
        <f t="shared" si="182"/>
        <v/>
      </c>
      <c r="D3217" s="245" t="str">
        <f t="shared" si="184"/>
        <v/>
      </c>
      <c r="E3217" s="534"/>
      <c r="F3217" s="534"/>
    </row>
    <row r="3218" spans="1:6" ht="15" customHeight="1">
      <c r="A3218" s="51"/>
      <c r="B3218" s="52" t="str">
        <f t="shared" si="183"/>
        <v/>
      </c>
      <c r="C3218" t="str">
        <f t="shared" si="182"/>
        <v/>
      </c>
      <c r="D3218" s="245" t="str">
        <f t="shared" si="184"/>
        <v/>
      </c>
      <c r="E3218" s="534"/>
      <c r="F3218" s="534"/>
    </row>
    <row r="3219" spans="1:6" ht="15" customHeight="1">
      <c r="A3219" s="51"/>
      <c r="B3219" s="52" t="str">
        <f t="shared" si="183"/>
        <v/>
      </c>
      <c r="C3219" t="str">
        <f t="shared" si="182"/>
        <v/>
      </c>
      <c r="D3219" s="245" t="str">
        <f t="shared" si="184"/>
        <v/>
      </c>
      <c r="E3219" s="534"/>
      <c r="F3219" s="534"/>
    </row>
    <row r="3220" spans="1:6" ht="15" customHeight="1">
      <c r="A3220" s="51"/>
      <c r="B3220" s="52" t="str">
        <f t="shared" si="183"/>
        <v/>
      </c>
      <c r="C3220" t="str">
        <f t="shared" si="182"/>
        <v/>
      </c>
      <c r="D3220" s="245" t="str">
        <f t="shared" si="184"/>
        <v/>
      </c>
      <c r="E3220" s="534"/>
      <c r="F3220" s="534"/>
    </row>
    <row r="3221" spans="1:6" ht="15" customHeight="1">
      <c r="A3221" s="51"/>
      <c r="B3221" s="52" t="str">
        <f t="shared" si="183"/>
        <v/>
      </c>
      <c r="C3221" t="str">
        <f t="shared" si="182"/>
        <v/>
      </c>
      <c r="D3221" s="245" t="str">
        <f t="shared" si="184"/>
        <v/>
      </c>
      <c r="E3221" s="534"/>
      <c r="F3221" s="534"/>
    </row>
    <row r="3222" spans="1:6" ht="15" customHeight="1">
      <c r="A3222" s="51"/>
      <c r="B3222" s="52" t="str">
        <f t="shared" si="183"/>
        <v/>
      </c>
      <c r="C3222" t="str">
        <f t="shared" si="182"/>
        <v/>
      </c>
      <c r="D3222" s="245" t="str">
        <f t="shared" si="184"/>
        <v/>
      </c>
      <c r="E3222" s="534"/>
      <c r="F3222" s="534"/>
    </row>
    <row r="3223" spans="1:6" ht="15" customHeight="1">
      <c r="A3223" s="51"/>
      <c r="B3223" s="52" t="str">
        <f t="shared" si="183"/>
        <v/>
      </c>
      <c r="C3223" t="str">
        <f t="shared" si="182"/>
        <v/>
      </c>
      <c r="D3223" s="245" t="str">
        <f t="shared" si="184"/>
        <v/>
      </c>
      <c r="E3223" s="534"/>
      <c r="F3223" s="534"/>
    </row>
    <row r="3224" spans="1:6" ht="15" customHeight="1">
      <c r="A3224" s="51"/>
      <c r="B3224" s="52" t="str">
        <f t="shared" si="183"/>
        <v/>
      </c>
      <c r="C3224" t="str">
        <f t="shared" si="182"/>
        <v/>
      </c>
      <c r="D3224" s="245" t="str">
        <f t="shared" si="184"/>
        <v/>
      </c>
      <c r="E3224" s="534"/>
      <c r="F3224" s="534"/>
    </row>
    <row r="3225" spans="1:6" ht="15" customHeight="1">
      <c r="A3225" s="51"/>
      <c r="B3225" s="52" t="str">
        <f t="shared" si="183"/>
        <v/>
      </c>
      <c r="C3225" t="str">
        <f t="shared" si="182"/>
        <v/>
      </c>
      <c r="D3225" s="245" t="str">
        <f t="shared" si="184"/>
        <v/>
      </c>
      <c r="E3225" s="534"/>
      <c r="F3225" s="534"/>
    </row>
    <row r="3226" spans="1:6" ht="15" customHeight="1">
      <c r="A3226" s="51"/>
      <c r="B3226" s="52" t="str">
        <f t="shared" si="183"/>
        <v/>
      </c>
      <c r="C3226" t="str">
        <f t="shared" si="182"/>
        <v/>
      </c>
      <c r="D3226" s="245" t="str">
        <f t="shared" si="184"/>
        <v/>
      </c>
      <c r="E3226" s="534"/>
      <c r="F3226" s="534"/>
    </row>
    <row r="3227" spans="1:6" ht="15" customHeight="1">
      <c r="A3227" s="51"/>
      <c r="B3227" s="52" t="str">
        <f t="shared" si="183"/>
        <v/>
      </c>
      <c r="C3227" t="str">
        <f t="shared" si="182"/>
        <v/>
      </c>
      <c r="D3227" s="245" t="str">
        <f t="shared" si="184"/>
        <v/>
      </c>
      <c r="E3227" s="534"/>
      <c r="F3227" s="534"/>
    </row>
    <row r="3228" spans="1:6" ht="15" customHeight="1">
      <c r="A3228" s="51"/>
      <c r="B3228" s="52" t="str">
        <f t="shared" si="183"/>
        <v/>
      </c>
      <c r="C3228" t="str">
        <f t="shared" si="182"/>
        <v/>
      </c>
      <c r="D3228" s="245" t="str">
        <f t="shared" si="184"/>
        <v/>
      </c>
      <c r="E3228" s="534"/>
      <c r="F3228" s="534"/>
    </row>
    <row r="3229" spans="1:6" ht="15" customHeight="1">
      <c r="A3229" s="51"/>
      <c r="B3229" s="52" t="str">
        <f t="shared" si="183"/>
        <v/>
      </c>
      <c r="C3229" t="str">
        <f t="shared" si="182"/>
        <v/>
      </c>
      <c r="D3229" s="245" t="str">
        <f t="shared" si="184"/>
        <v/>
      </c>
      <c r="E3229" s="534"/>
      <c r="F3229" s="534"/>
    </row>
    <row r="3230" spans="1:6" ht="15" customHeight="1">
      <c r="A3230" s="51"/>
      <c r="B3230" s="52" t="str">
        <f t="shared" si="183"/>
        <v/>
      </c>
      <c r="C3230" t="str">
        <f t="shared" si="182"/>
        <v/>
      </c>
      <c r="D3230" s="245" t="str">
        <f t="shared" si="184"/>
        <v/>
      </c>
      <c r="E3230" s="534"/>
      <c r="F3230" s="534"/>
    </row>
    <row r="3231" spans="1:6" ht="15" customHeight="1">
      <c r="A3231" s="51"/>
      <c r="B3231" s="52" t="str">
        <f t="shared" si="183"/>
        <v/>
      </c>
      <c r="C3231" t="str">
        <f t="shared" si="182"/>
        <v/>
      </c>
      <c r="D3231" s="245" t="str">
        <f t="shared" si="184"/>
        <v/>
      </c>
      <c r="E3231" s="534"/>
      <c r="F3231" s="534"/>
    </row>
    <row r="3232" spans="1:6" ht="15" customHeight="1">
      <c r="A3232" s="51"/>
      <c r="B3232" s="52" t="str">
        <f t="shared" si="183"/>
        <v/>
      </c>
      <c r="C3232" t="str">
        <f t="shared" si="182"/>
        <v/>
      </c>
      <c r="D3232" s="245" t="str">
        <f t="shared" si="184"/>
        <v/>
      </c>
      <c r="E3232" s="534"/>
      <c r="F3232" s="534"/>
    </row>
    <row r="3233" spans="1:6" ht="15" customHeight="1">
      <c r="A3233" s="51"/>
      <c r="B3233" s="52" t="str">
        <f t="shared" si="183"/>
        <v/>
      </c>
      <c r="C3233" t="str">
        <f t="shared" si="182"/>
        <v/>
      </c>
      <c r="D3233" s="245" t="str">
        <f t="shared" si="184"/>
        <v/>
      </c>
      <c r="E3233" s="534"/>
      <c r="F3233" s="534"/>
    </row>
    <row r="3234" spans="1:6" ht="15" customHeight="1">
      <c r="A3234" s="51"/>
      <c r="B3234" s="52" t="str">
        <f t="shared" si="183"/>
        <v/>
      </c>
      <c r="C3234" t="str">
        <f t="shared" si="182"/>
        <v/>
      </c>
      <c r="D3234" s="245" t="str">
        <f t="shared" si="184"/>
        <v/>
      </c>
      <c r="E3234" s="534"/>
      <c r="F3234" s="534"/>
    </row>
    <row r="3235" spans="1:6" ht="15" customHeight="1">
      <c r="A3235" s="51"/>
      <c r="B3235" s="52" t="str">
        <f t="shared" si="183"/>
        <v/>
      </c>
      <c r="C3235" t="str">
        <f t="shared" si="182"/>
        <v/>
      </c>
      <c r="D3235" s="245" t="str">
        <f t="shared" si="184"/>
        <v/>
      </c>
      <c r="E3235" s="534"/>
      <c r="F3235" s="534"/>
    </row>
    <row r="3236" spans="1:6" ht="15" customHeight="1">
      <c r="A3236" s="51"/>
      <c r="B3236" s="52" t="str">
        <f t="shared" si="183"/>
        <v/>
      </c>
      <c r="C3236" t="str">
        <f t="shared" si="182"/>
        <v/>
      </c>
      <c r="D3236" s="245" t="str">
        <f t="shared" si="184"/>
        <v/>
      </c>
      <c r="E3236" s="534"/>
      <c r="F3236" s="534"/>
    </row>
    <row r="3237" spans="1:6" ht="15" customHeight="1">
      <c r="A3237" s="51"/>
      <c r="B3237" s="52" t="str">
        <f t="shared" si="183"/>
        <v/>
      </c>
      <c r="C3237" t="str">
        <f t="shared" si="182"/>
        <v/>
      </c>
      <c r="D3237" s="245" t="str">
        <f t="shared" si="184"/>
        <v/>
      </c>
      <c r="E3237" s="534"/>
      <c r="F3237" s="534"/>
    </row>
    <row r="3238" spans="1:6" ht="15" customHeight="1">
      <c r="A3238" s="51"/>
      <c r="B3238" s="52" t="str">
        <f t="shared" si="183"/>
        <v/>
      </c>
      <c r="C3238" t="str">
        <f t="shared" si="182"/>
        <v/>
      </c>
      <c r="D3238" s="245" t="str">
        <f t="shared" si="184"/>
        <v/>
      </c>
      <c r="E3238" s="534"/>
      <c r="F3238" s="534"/>
    </row>
    <row r="3239" spans="1:6" ht="15" customHeight="1">
      <c r="A3239" s="51"/>
      <c r="B3239" s="52" t="str">
        <f t="shared" si="183"/>
        <v/>
      </c>
      <c r="C3239" t="str">
        <f t="shared" si="182"/>
        <v/>
      </c>
      <c r="D3239" s="245" t="str">
        <f t="shared" si="184"/>
        <v/>
      </c>
      <c r="E3239" s="534"/>
      <c r="F3239" s="534"/>
    </row>
    <row r="3240" spans="1:6" ht="15" customHeight="1">
      <c r="A3240" s="51"/>
      <c r="B3240" s="52" t="str">
        <f t="shared" si="183"/>
        <v/>
      </c>
      <c r="C3240" t="str">
        <f t="shared" si="182"/>
        <v/>
      </c>
      <c r="D3240" s="245" t="str">
        <f t="shared" si="184"/>
        <v/>
      </c>
      <c r="E3240" s="534"/>
      <c r="F3240" s="534"/>
    </row>
    <row r="3241" spans="1:6" ht="15" customHeight="1">
      <c r="A3241" s="51"/>
      <c r="B3241" s="52" t="str">
        <f t="shared" si="183"/>
        <v/>
      </c>
      <c r="C3241" t="str">
        <f t="shared" si="182"/>
        <v/>
      </c>
      <c r="D3241" s="245" t="str">
        <f t="shared" si="184"/>
        <v/>
      </c>
      <c r="E3241" s="534"/>
      <c r="F3241" s="534"/>
    </row>
    <row r="3242" spans="1:6" ht="15" customHeight="1">
      <c r="A3242" s="51"/>
      <c r="B3242" s="52" t="str">
        <f t="shared" si="183"/>
        <v/>
      </c>
      <c r="C3242" t="str">
        <f t="shared" si="182"/>
        <v/>
      </c>
      <c r="D3242" s="245" t="str">
        <f t="shared" si="184"/>
        <v/>
      </c>
      <c r="E3242" s="534"/>
      <c r="F3242" s="534"/>
    </row>
    <row r="3243" spans="1:6" ht="15" customHeight="1">
      <c r="A3243" s="51"/>
      <c r="B3243" s="52" t="str">
        <f t="shared" si="183"/>
        <v/>
      </c>
      <c r="C3243" t="str">
        <f t="shared" si="182"/>
        <v/>
      </c>
      <c r="D3243" s="245" t="str">
        <f t="shared" si="184"/>
        <v/>
      </c>
      <c r="E3243" s="534"/>
      <c r="F3243" s="534"/>
    </row>
    <row r="3244" spans="1:6" ht="15" customHeight="1">
      <c r="A3244" s="51"/>
      <c r="B3244" s="52" t="str">
        <f t="shared" si="183"/>
        <v/>
      </c>
      <c r="C3244" t="str">
        <f t="shared" si="182"/>
        <v/>
      </c>
      <c r="D3244" s="245" t="str">
        <f t="shared" si="184"/>
        <v/>
      </c>
      <c r="E3244" s="534"/>
      <c r="F3244" s="534"/>
    </row>
    <row r="3245" spans="1:6" ht="15" customHeight="1">
      <c r="A3245" s="51"/>
      <c r="B3245" s="52" t="str">
        <f t="shared" si="183"/>
        <v/>
      </c>
      <c r="C3245" t="str">
        <f t="shared" si="182"/>
        <v/>
      </c>
      <c r="D3245" s="245" t="str">
        <f t="shared" si="184"/>
        <v/>
      </c>
      <c r="E3245" s="534"/>
      <c r="F3245" s="534"/>
    </row>
    <row r="3246" spans="1:6" ht="15" customHeight="1">
      <c r="A3246" s="51"/>
      <c r="B3246" s="52" t="str">
        <f t="shared" si="183"/>
        <v/>
      </c>
      <c r="C3246" t="str">
        <f t="shared" si="182"/>
        <v/>
      </c>
      <c r="D3246" s="245" t="str">
        <f t="shared" si="184"/>
        <v/>
      </c>
      <c r="E3246" s="534"/>
      <c r="F3246" s="534"/>
    </row>
    <row r="3247" spans="1:6" ht="15" customHeight="1">
      <c r="A3247" s="51"/>
      <c r="B3247" s="52" t="str">
        <f t="shared" si="183"/>
        <v/>
      </c>
      <c r="C3247" t="str">
        <f t="shared" si="182"/>
        <v/>
      </c>
      <c r="D3247" s="245" t="str">
        <f t="shared" si="184"/>
        <v/>
      </c>
      <c r="E3247" s="534"/>
      <c r="F3247" s="534"/>
    </row>
    <row r="3248" spans="1:6" ht="15" customHeight="1">
      <c r="A3248" s="51"/>
      <c r="B3248" s="52" t="str">
        <f t="shared" si="183"/>
        <v/>
      </c>
      <c r="C3248" t="str">
        <f t="shared" si="182"/>
        <v/>
      </c>
      <c r="D3248" s="245" t="str">
        <f t="shared" si="184"/>
        <v/>
      </c>
      <c r="E3248" s="534"/>
      <c r="F3248" s="534"/>
    </row>
    <row r="3249" spans="1:6" ht="15" customHeight="1">
      <c r="A3249" s="51"/>
      <c r="B3249" s="52" t="str">
        <f t="shared" si="183"/>
        <v/>
      </c>
      <c r="C3249" t="str">
        <f t="shared" si="182"/>
        <v/>
      </c>
      <c r="D3249" s="245" t="str">
        <f t="shared" si="184"/>
        <v/>
      </c>
      <c r="E3249" s="534"/>
      <c r="F3249" s="534"/>
    </row>
    <row r="3250" spans="1:6" ht="15" customHeight="1">
      <c r="A3250" s="51"/>
      <c r="B3250" s="52" t="str">
        <f t="shared" si="183"/>
        <v/>
      </c>
      <c r="C3250" t="str">
        <f t="shared" si="182"/>
        <v/>
      </c>
      <c r="D3250" s="245" t="str">
        <f t="shared" si="184"/>
        <v/>
      </c>
      <c r="E3250" s="534"/>
      <c r="F3250" s="534"/>
    </row>
    <row r="3251" spans="1:6" ht="15" customHeight="1">
      <c r="A3251" s="51"/>
      <c r="B3251" s="52" t="str">
        <f t="shared" si="183"/>
        <v/>
      </c>
      <c r="C3251" t="str">
        <f t="shared" si="182"/>
        <v/>
      </c>
      <c r="D3251" s="245" t="str">
        <f t="shared" si="184"/>
        <v/>
      </c>
      <c r="E3251" s="534"/>
      <c r="F3251" s="534"/>
    </row>
    <row r="3252" spans="1:6" ht="15" customHeight="1">
      <c r="A3252" s="51"/>
      <c r="B3252" s="52" t="str">
        <f t="shared" si="183"/>
        <v/>
      </c>
      <c r="C3252" t="str">
        <f t="shared" si="182"/>
        <v/>
      </c>
      <c r="D3252" s="245" t="str">
        <f t="shared" si="184"/>
        <v/>
      </c>
      <c r="E3252" s="534"/>
      <c r="F3252" s="534"/>
    </row>
    <row r="3253" spans="1:6" ht="15" customHeight="1">
      <c r="A3253" s="51"/>
      <c r="B3253" s="52" t="str">
        <f t="shared" si="183"/>
        <v/>
      </c>
      <c r="C3253" t="str">
        <f t="shared" si="182"/>
        <v/>
      </c>
      <c r="D3253" s="245" t="str">
        <f t="shared" si="184"/>
        <v/>
      </c>
      <c r="E3253" s="534"/>
      <c r="F3253" s="534"/>
    </row>
    <row r="3254" spans="1:6" ht="15" customHeight="1">
      <c r="A3254" s="51"/>
      <c r="B3254" s="52" t="str">
        <f t="shared" si="183"/>
        <v/>
      </c>
      <c r="C3254" t="str">
        <f t="shared" si="182"/>
        <v/>
      </c>
      <c r="D3254" s="245" t="str">
        <f t="shared" si="184"/>
        <v/>
      </c>
      <c r="E3254" s="534"/>
      <c r="F3254" s="534"/>
    </row>
    <row r="3255" spans="1:6" ht="15" customHeight="1">
      <c r="A3255" s="51"/>
      <c r="B3255" s="52" t="str">
        <f t="shared" si="183"/>
        <v/>
      </c>
      <c r="C3255" t="str">
        <f t="shared" si="182"/>
        <v/>
      </c>
      <c r="D3255" s="245" t="str">
        <f t="shared" si="184"/>
        <v/>
      </c>
      <c r="E3255" s="534"/>
      <c r="F3255" s="534"/>
    </row>
    <row r="3256" spans="1:6" ht="15" customHeight="1">
      <c r="A3256" s="51"/>
      <c r="B3256" s="52" t="str">
        <f t="shared" si="183"/>
        <v/>
      </c>
      <c r="C3256" t="str">
        <f t="shared" si="182"/>
        <v/>
      </c>
      <c r="D3256" s="245" t="str">
        <f t="shared" si="184"/>
        <v/>
      </c>
      <c r="E3256" s="534"/>
      <c r="F3256" s="534"/>
    </row>
    <row r="3257" spans="1:6" ht="15" customHeight="1">
      <c r="A3257" s="51"/>
      <c r="B3257" s="52" t="str">
        <f t="shared" si="183"/>
        <v/>
      </c>
      <c r="C3257" t="str">
        <f t="shared" si="182"/>
        <v/>
      </c>
      <c r="D3257" s="245" t="str">
        <f t="shared" si="184"/>
        <v/>
      </c>
      <c r="E3257" s="534"/>
      <c r="F3257" s="534"/>
    </row>
    <row r="3258" spans="1:6" ht="15" customHeight="1">
      <c r="A3258" s="51"/>
      <c r="B3258" s="52" t="str">
        <f t="shared" si="183"/>
        <v/>
      </c>
      <c r="C3258" t="str">
        <f t="shared" si="182"/>
        <v/>
      </c>
      <c r="D3258" s="245" t="str">
        <f t="shared" si="184"/>
        <v/>
      </c>
      <c r="E3258" s="534"/>
      <c r="F3258" s="534"/>
    </row>
    <row r="3259" spans="1:6" ht="15" customHeight="1">
      <c r="A3259" s="51"/>
      <c r="B3259" s="52" t="str">
        <f t="shared" si="183"/>
        <v/>
      </c>
      <c r="C3259" t="str">
        <f t="shared" si="182"/>
        <v/>
      </c>
      <c r="D3259" s="245" t="str">
        <f t="shared" si="184"/>
        <v/>
      </c>
      <c r="E3259" s="534"/>
      <c r="F3259" s="534"/>
    </row>
    <row r="3260" spans="1:6" ht="15" customHeight="1">
      <c r="A3260" s="51"/>
      <c r="B3260" s="52" t="str">
        <f t="shared" si="183"/>
        <v/>
      </c>
      <c r="C3260" t="str">
        <f t="shared" si="182"/>
        <v/>
      </c>
      <c r="D3260" s="245" t="str">
        <f t="shared" si="184"/>
        <v/>
      </c>
      <c r="E3260" s="534"/>
      <c r="F3260" s="534"/>
    </row>
    <row r="3261" spans="1:6" ht="15" customHeight="1">
      <c r="A3261" s="51"/>
      <c r="B3261" s="52" t="str">
        <f t="shared" si="183"/>
        <v/>
      </c>
      <c r="C3261" t="str">
        <f t="shared" si="182"/>
        <v/>
      </c>
      <c r="D3261" s="245" t="str">
        <f t="shared" si="184"/>
        <v/>
      </c>
      <c r="E3261" s="534"/>
      <c r="F3261" s="534"/>
    </row>
    <row r="3262" spans="1:6" ht="15" customHeight="1">
      <c r="A3262" s="51"/>
      <c r="B3262" s="52" t="str">
        <f t="shared" si="183"/>
        <v/>
      </c>
      <c r="C3262" t="str">
        <f t="shared" si="182"/>
        <v/>
      </c>
      <c r="D3262" s="245" t="str">
        <f t="shared" si="184"/>
        <v/>
      </c>
      <c r="E3262" s="534"/>
      <c r="F3262" s="534"/>
    </row>
    <row r="3263" spans="1:6" ht="15" customHeight="1">
      <c r="A3263" s="51"/>
      <c r="B3263" s="52" t="str">
        <f t="shared" si="183"/>
        <v/>
      </c>
      <c r="C3263" t="str">
        <f t="shared" si="182"/>
        <v/>
      </c>
      <c r="D3263" s="245" t="str">
        <f t="shared" si="184"/>
        <v/>
      </c>
      <c r="E3263" s="534"/>
      <c r="F3263" s="534"/>
    </row>
    <row r="3264" spans="1:6" ht="15" customHeight="1">
      <c r="A3264" s="51"/>
      <c r="B3264" s="52" t="str">
        <f t="shared" si="183"/>
        <v/>
      </c>
      <c r="C3264" t="str">
        <f t="shared" si="182"/>
        <v/>
      </c>
      <c r="D3264" s="245" t="str">
        <f t="shared" si="184"/>
        <v/>
      </c>
      <c r="E3264" s="534"/>
      <c r="F3264" s="534"/>
    </row>
    <row r="3265" spans="1:6" ht="15" customHeight="1">
      <c r="A3265" s="51"/>
      <c r="B3265" s="52" t="str">
        <f t="shared" si="183"/>
        <v/>
      </c>
      <c r="C3265" t="str">
        <f t="shared" si="182"/>
        <v/>
      </c>
      <c r="D3265" s="245" t="str">
        <f t="shared" si="184"/>
        <v/>
      </c>
      <c r="E3265" s="534"/>
      <c r="F3265" s="534"/>
    </row>
    <row r="3266" spans="1:6" ht="15" customHeight="1">
      <c r="A3266" s="51"/>
      <c r="B3266" s="52" t="str">
        <f t="shared" si="183"/>
        <v/>
      </c>
      <c r="C3266" t="str">
        <f t="shared" ref="C3266:C3329" si="185">IF(A3266&lt;&gt;"",TEXT(A3266,"aaaa"),"")</f>
        <v/>
      </c>
      <c r="D3266" s="245" t="str">
        <f t="shared" si="184"/>
        <v/>
      </c>
      <c r="E3266" s="534"/>
      <c r="F3266" s="534"/>
    </row>
    <row r="3267" spans="1:6" ht="15" customHeight="1">
      <c r="A3267" s="51"/>
      <c r="B3267" s="52" t="str">
        <f t="shared" si="183"/>
        <v/>
      </c>
      <c r="C3267" t="str">
        <f t="shared" si="185"/>
        <v/>
      </c>
      <c r="D3267" s="245" t="str">
        <f t="shared" si="184"/>
        <v/>
      </c>
      <c r="E3267" s="534"/>
      <c r="F3267" s="534"/>
    </row>
    <row r="3268" spans="1:6" ht="15" customHeight="1">
      <c r="A3268" s="51"/>
      <c r="B3268" s="52" t="str">
        <f t="shared" si="183"/>
        <v/>
      </c>
      <c r="C3268" t="str">
        <f t="shared" si="185"/>
        <v/>
      </c>
      <c r="D3268" s="245" t="str">
        <f t="shared" si="184"/>
        <v/>
      </c>
      <c r="E3268" s="534"/>
      <c r="F3268" s="534"/>
    </row>
    <row r="3269" spans="1:6" ht="15" customHeight="1">
      <c r="A3269" s="51"/>
      <c r="B3269" s="52" t="str">
        <f t="shared" si="183"/>
        <v/>
      </c>
      <c r="C3269" t="str">
        <f t="shared" si="185"/>
        <v/>
      </c>
      <c r="D3269" s="245" t="str">
        <f t="shared" si="184"/>
        <v/>
      </c>
      <c r="E3269" s="534"/>
      <c r="F3269" s="534"/>
    </row>
    <row r="3270" spans="1:6" ht="15" customHeight="1">
      <c r="A3270" s="51"/>
      <c r="B3270" s="52" t="str">
        <f t="shared" si="183"/>
        <v/>
      </c>
      <c r="C3270" t="str">
        <f t="shared" si="185"/>
        <v/>
      </c>
      <c r="D3270" s="245" t="str">
        <f t="shared" si="184"/>
        <v/>
      </c>
      <c r="E3270" s="534"/>
      <c r="F3270" s="534"/>
    </row>
    <row r="3271" spans="1:6" ht="15" customHeight="1">
      <c r="A3271" s="51"/>
      <c r="B3271" s="52" t="str">
        <f t="shared" si="183"/>
        <v/>
      </c>
      <c r="C3271" t="str">
        <f t="shared" si="185"/>
        <v/>
      </c>
      <c r="D3271" s="245" t="str">
        <f t="shared" si="184"/>
        <v/>
      </c>
      <c r="E3271" s="534"/>
      <c r="F3271" s="534"/>
    </row>
    <row r="3272" spans="1:6" ht="15" customHeight="1">
      <c r="A3272" s="51"/>
      <c r="B3272" s="52" t="str">
        <f t="shared" ref="B3272:B3335" si="186">IF(A3272="","",TEXT(A3272,"DDDD"))</f>
        <v/>
      </c>
      <c r="C3272" t="str">
        <f t="shared" si="185"/>
        <v/>
      </c>
      <c r="D3272" s="245" t="str">
        <f t="shared" si="184"/>
        <v/>
      </c>
      <c r="E3272" s="534"/>
      <c r="F3272" s="534"/>
    </row>
    <row r="3273" spans="1:6" ht="15" customHeight="1">
      <c r="A3273" s="51"/>
      <c r="B3273" s="52" t="str">
        <f t="shared" si="186"/>
        <v/>
      </c>
      <c r="C3273" t="str">
        <f t="shared" si="185"/>
        <v/>
      </c>
      <c r="D3273" s="245" t="str">
        <f t="shared" ref="D3273:D3336" si="187">IF(A3273&lt;&gt;"",PROPER(TEXT(A3273,"Mmmm")),"")</f>
        <v/>
      </c>
      <c r="E3273" s="534"/>
      <c r="F3273" s="534"/>
    </row>
    <row r="3274" spans="1:6" ht="15" customHeight="1">
      <c r="A3274" s="51"/>
      <c r="B3274" s="52" t="str">
        <f t="shared" si="186"/>
        <v/>
      </c>
      <c r="C3274" t="str">
        <f t="shared" si="185"/>
        <v/>
      </c>
      <c r="D3274" s="245" t="str">
        <f t="shared" si="187"/>
        <v/>
      </c>
      <c r="E3274" s="534"/>
      <c r="F3274" s="534"/>
    </row>
    <row r="3275" spans="1:6" ht="15" customHeight="1">
      <c r="A3275" s="51"/>
      <c r="B3275" s="52" t="str">
        <f t="shared" si="186"/>
        <v/>
      </c>
      <c r="C3275" t="str">
        <f t="shared" si="185"/>
        <v/>
      </c>
      <c r="D3275" s="245" t="str">
        <f t="shared" si="187"/>
        <v/>
      </c>
      <c r="E3275" s="534"/>
      <c r="F3275" s="534"/>
    </row>
    <row r="3276" spans="1:6" ht="15" customHeight="1">
      <c r="A3276" s="51"/>
      <c r="B3276" s="52" t="str">
        <f t="shared" si="186"/>
        <v/>
      </c>
      <c r="C3276" t="str">
        <f t="shared" si="185"/>
        <v/>
      </c>
      <c r="D3276" s="245" t="str">
        <f t="shared" si="187"/>
        <v/>
      </c>
      <c r="E3276" s="534"/>
      <c r="F3276" s="534"/>
    </row>
    <row r="3277" spans="1:6" ht="15" customHeight="1">
      <c r="A3277" s="51"/>
      <c r="B3277" s="52" t="str">
        <f t="shared" si="186"/>
        <v/>
      </c>
      <c r="C3277" t="str">
        <f t="shared" si="185"/>
        <v/>
      </c>
      <c r="D3277" s="245" t="str">
        <f t="shared" si="187"/>
        <v/>
      </c>
      <c r="E3277" s="534"/>
      <c r="F3277" s="534"/>
    </row>
    <row r="3278" spans="1:6" ht="15" customHeight="1">
      <c r="A3278" s="51"/>
      <c r="B3278" s="52" t="str">
        <f t="shared" si="186"/>
        <v/>
      </c>
      <c r="C3278" t="str">
        <f t="shared" si="185"/>
        <v/>
      </c>
      <c r="D3278" s="245" t="str">
        <f t="shared" si="187"/>
        <v/>
      </c>
      <c r="E3278" s="534"/>
      <c r="F3278" s="534"/>
    </row>
    <row r="3279" spans="1:6" ht="15" customHeight="1">
      <c r="A3279" s="51"/>
      <c r="B3279" s="52" t="str">
        <f t="shared" si="186"/>
        <v/>
      </c>
      <c r="C3279" t="str">
        <f t="shared" si="185"/>
        <v/>
      </c>
      <c r="D3279" s="245" t="str">
        <f t="shared" si="187"/>
        <v/>
      </c>
      <c r="E3279" s="534"/>
      <c r="F3279" s="534"/>
    </row>
    <row r="3280" spans="1:6" ht="15" customHeight="1">
      <c r="A3280" s="51"/>
      <c r="B3280" s="52" t="str">
        <f t="shared" si="186"/>
        <v/>
      </c>
      <c r="C3280" t="str">
        <f t="shared" si="185"/>
        <v/>
      </c>
      <c r="D3280" s="245" t="str">
        <f t="shared" si="187"/>
        <v/>
      </c>
      <c r="E3280" s="534"/>
      <c r="F3280" s="534"/>
    </row>
    <row r="3281" spans="1:6" ht="15" customHeight="1">
      <c r="A3281" s="51"/>
      <c r="B3281" s="52" t="str">
        <f t="shared" si="186"/>
        <v/>
      </c>
      <c r="C3281" t="str">
        <f t="shared" si="185"/>
        <v/>
      </c>
      <c r="D3281" s="245" t="str">
        <f t="shared" si="187"/>
        <v/>
      </c>
      <c r="E3281" s="534"/>
      <c r="F3281" s="534"/>
    </row>
    <row r="3282" spans="1:6" ht="15" customHeight="1">
      <c r="A3282" s="51"/>
      <c r="B3282" s="52" t="str">
        <f t="shared" si="186"/>
        <v/>
      </c>
      <c r="C3282" t="str">
        <f t="shared" si="185"/>
        <v/>
      </c>
      <c r="D3282" s="245" t="str">
        <f t="shared" si="187"/>
        <v/>
      </c>
      <c r="E3282" s="534"/>
      <c r="F3282" s="534"/>
    </row>
    <row r="3283" spans="1:6" ht="15" customHeight="1">
      <c r="A3283" s="51"/>
      <c r="B3283" s="52" t="str">
        <f t="shared" si="186"/>
        <v/>
      </c>
      <c r="C3283" t="str">
        <f t="shared" si="185"/>
        <v/>
      </c>
      <c r="D3283" s="245" t="str">
        <f t="shared" si="187"/>
        <v/>
      </c>
      <c r="E3283" s="534"/>
      <c r="F3283" s="534"/>
    </row>
    <row r="3284" spans="1:6" ht="15" customHeight="1">
      <c r="A3284" s="51"/>
      <c r="B3284" s="52" t="str">
        <f t="shared" si="186"/>
        <v/>
      </c>
      <c r="C3284" t="str">
        <f t="shared" si="185"/>
        <v/>
      </c>
      <c r="D3284" s="245" t="str">
        <f t="shared" si="187"/>
        <v/>
      </c>
      <c r="E3284" s="534"/>
      <c r="F3284" s="534"/>
    </row>
    <row r="3285" spans="1:6" ht="15" customHeight="1">
      <c r="A3285" s="51"/>
      <c r="B3285" s="52" t="str">
        <f t="shared" si="186"/>
        <v/>
      </c>
      <c r="C3285" t="str">
        <f t="shared" si="185"/>
        <v/>
      </c>
      <c r="D3285" s="245" t="str">
        <f t="shared" si="187"/>
        <v/>
      </c>
      <c r="E3285" s="534"/>
      <c r="F3285" s="534"/>
    </row>
    <row r="3286" spans="1:6" ht="15" customHeight="1">
      <c r="A3286" s="51"/>
      <c r="B3286" s="52" t="str">
        <f t="shared" si="186"/>
        <v/>
      </c>
      <c r="C3286" t="str">
        <f t="shared" si="185"/>
        <v/>
      </c>
      <c r="D3286" s="245" t="str">
        <f t="shared" si="187"/>
        <v/>
      </c>
      <c r="E3286" s="534"/>
      <c r="F3286" s="534"/>
    </row>
    <row r="3287" spans="1:6" ht="15" customHeight="1">
      <c r="A3287" s="51"/>
      <c r="B3287" s="52" t="str">
        <f t="shared" si="186"/>
        <v/>
      </c>
      <c r="C3287" t="str">
        <f t="shared" si="185"/>
        <v/>
      </c>
      <c r="D3287" s="245" t="str">
        <f t="shared" si="187"/>
        <v/>
      </c>
      <c r="E3287" s="534"/>
      <c r="F3287" s="534"/>
    </row>
    <row r="3288" spans="1:6" ht="15" customHeight="1">
      <c r="A3288" s="51"/>
      <c r="B3288" s="52" t="str">
        <f t="shared" si="186"/>
        <v/>
      </c>
      <c r="C3288" t="str">
        <f t="shared" si="185"/>
        <v/>
      </c>
      <c r="D3288" s="245" t="str">
        <f t="shared" si="187"/>
        <v/>
      </c>
      <c r="E3288" s="534"/>
      <c r="F3288" s="534"/>
    </row>
    <row r="3289" spans="1:6" ht="15" customHeight="1">
      <c r="A3289" s="51"/>
      <c r="B3289" s="52" t="str">
        <f t="shared" si="186"/>
        <v/>
      </c>
      <c r="C3289" t="str">
        <f t="shared" si="185"/>
        <v/>
      </c>
      <c r="D3289" s="245" t="str">
        <f t="shared" si="187"/>
        <v/>
      </c>
      <c r="E3289" s="534"/>
      <c r="F3289" s="534"/>
    </row>
    <row r="3290" spans="1:6" ht="15" customHeight="1">
      <c r="A3290" s="51"/>
      <c r="B3290" s="52" t="str">
        <f t="shared" si="186"/>
        <v/>
      </c>
      <c r="C3290" t="str">
        <f t="shared" si="185"/>
        <v/>
      </c>
      <c r="D3290" s="245" t="str">
        <f t="shared" si="187"/>
        <v/>
      </c>
      <c r="E3290" s="534"/>
      <c r="F3290" s="534"/>
    </row>
    <row r="3291" spans="1:6" ht="15" customHeight="1">
      <c r="A3291" s="51"/>
      <c r="B3291" s="52" t="str">
        <f t="shared" si="186"/>
        <v/>
      </c>
      <c r="C3291" t="str">
        <f t="shared" si="185"/>
        <v/>
      </c>
      <c r="D3291" s="245" t="str">
        <f t="shared" si="187"/>
        <v/>
      </c>
      <c r="E3291" s="534"/>
      <c r="F3291" s="534"/>
    </row>
    <row r="3292" spans="1:6" ht="15" customHeight="1">
      <c r="A3292" s="51"/>
      <c r="B3292" s="52" t="str">
        <f t="shared" si="186"/>
        <v/>
      </c>
      <c r="C3292" t="str">
        <f t="shared" si="185"/>
        <v/>
      </c>
      <c r="D3292" s="245" t="str">
        <f t="shared" si="187"/>
        <v/>
      </c>
      <c r="E3292" s="534"/>
      <c r="F3292" s="534"/>
    </row>
    <row r="3293" spans="1:6" ht="15" customHeight="1">
      <c r="A3293" s="51"/>
      <c r="B3293" s="52" t="str">
        <f t="shared" si="186"/>
        <v/>
      </c>
      <c r="C3293" t="str">
        <f t="shared" si="185"/>
        <v/>
      </c>
      <c r="D3293" s="245" t="str">
        <f t="shared" si="187"/>
        <v/>
      </c>
      <c r="E3293" s="534"/>
      <c r="F3293" s="534"/>
    </row>
    <row r="3294" spans="1:6" ht="15" customHeight="1">
      <c r="A3294" s="51"/>
      <c r="B3294" s="52" t="str">
        <f t="shared" si="186"/>
        <v/>
      </c>
      <c r="C3294" t="str">
        <f t="shared" si="185"/>
        <v/>
      </c>
      <c r="D3294" s="245" t="str">
        <f t="shared" si="187"/>
        <v/>
      </c>
      <c r="E3294" s="534"/>
      <c r="F3294" s="534"/>
    </row>
    <row r="3295" spans="1:6" ht="15" customHeight="1">
      <c r="A3295" s="51"/>
      <c r="B3295" s="52" t="str">
        <f t="shared" si="186"/>
        <v/>
      </c>
      <c r="C3295" t="str">
        <f t="shared" si="185"/>
        <v/>
      </c>
      <c r="D3295" s="245" t="str">
        <f t="shared" si="187"/>
        <v/>
      </c>
      <c r="E3295" s="534"/>
      <c r="F3295" s="534"/>
    </row>
    <row r="3296" spans="1:6" ht="15" customHeight="1">
      <c r="A3296" s="51"/>
      <c r="B3296" s="52" t="str">
        <f t="shared" si="186"/>
        <v/>
      </c>
      <c r="C3296" t="str">
        <f t="shared" si="185"/>
        <v/>
      </c>
      <c r="D3296" s="245" t="str">
        <f t="shared" si="187"/>
        <v/>
      </c>
      <c r="E3296" s="534"/>
      <c r="F3296" s="534"/>
    </row>
    <row r="3297" spans="1:6" ht="15" customHeight="1">
      <c r="A3297" s="51"/>
      <c r="B3297" s="52" t="str">
        <f t="shared" si="186"/>
        <v/>
      </c>
      <c r="C3297" t="str">
        <f t="shared" si="185"/>
        <v/>
      </c>
      <c r="D3297" s="245" t="str">
        <f t="shared" si="187"/>
        <v/>
      </c>
      <c r="E3297" s="534"/>
      <c r="F3297" s="534"/>
    </row>
    <row r="3298" spans="1:6" ht="15" customHeight="1">
      <c r="A3298" s="51"/>
      <c r="B3298" s="52" t="str">
        <f t="shared" si="186"/>
        <v/>
      </c>
      <c r="C3298" t="str">
        <f t="shared" si="185"/>
        <v/>
      </c>
      <c r="D3298" s="245" t="str">
        <f t="shared" si="187"/>
        <v/>
      </c>
      <c r="E3298" s="534"/>
      <c r="F3298" s="534"/>
    </row>
    <row r="3299" spans="1:6" ht="15" customHeight="1">
      <c r="A3299" s="51"/>
      <c r="B3299" s="52" t="str">
        <f t="shared" si="186"/>
        <v/>
      </c>
      <c r="C3299" t="str">
        <f t="shared" si="185"/>
        <v/>
      </c>
      <c r="D3299" s="245" t="str">
        <f t="shared" si="187"/>
        <v/>
      </c>
      <c r="E3299" s="534"/>
      <c r="F3299" s="534"/>
    </row>
    <row r="3300" spans="1:6" ht="15" customHeight="1">
      <c r="A3300" s="51"/>
      <c r="B3300" s="52" t="str">
        <f t="shared" si="186"/>
        <v/>
      </c>
      <c r="C3300" t="str">
        <f t="shared" si="185"/>
        <v/>
      </c>
      <c r="D3300" s="245" t="str">
        <f t="shared" si="187"/>
        <v/>
      </c>
      <c r="E3300" s="534"/>
      <c r="F3300" s="534"/>
    </row>
    <row r="3301" spans="1:6" ht="15" customHeight="1">
      <c r="A3301" s="51"/>
      <c r="B3301" s="52" t="str">
        <f t="shared" si="186"/>
        <v/>
      </c>
      <c r="C3301" t="str">
        <f t="shared" si="185"/>
        <v/>
      </c>
      <c r="D3301" s="245" t="str">
        <f t="shared" si="187"/>
        <v/>
      </c>
      <c r="E3301" s="534"/>
      <c r="F3301" s="534"/>
    </row>
    <row r="3302" spans="1:6" ht="15" customHeight="1">
      <c r="A3302" s="51"/>
      <c r="B3302" s="52" t="str">
        <f t="shared" si="186"/>
        <v/>
      </c>
      <c r="C3302" t="str">
        <f t="shared" si="185"/>
        <v/>
      </c>
      <c r="D3302" s="245" t="str">
        <f t="shared" si="187"/>
        <v/>
      </c>
      <c r="E3302" s="534"/>
      <c r="F3302" s="534"/>
    </row>
    <row r="3303" spans="1:6" ht="15" customHeight="1">
      <c r="A3303" s="51"/>
      <c r="B3303" s="52" t="str">
        <f t="shared" si="186"/>
        <v/>
      </c>
      <c r="C3303" t="str">
        <f t="shared" si="185"/>
        <v/>
      </c>
      <c r="D3303" s="245" t="str">
        <f t="shared" si="187"/>
        <v/>
      </c>
      <c r="E3303" s="534"/>
      <c r="F3303" s="534"/>
    </row>
    <row r="3304" spans="1:6" ht="15" customHeight="1">
      <c r="A3304" s="51"/>
      <c r="B3304" s="52" t="str">
        <f t="shared" si="186"/>
        <v/>
      </c>
      <c r="C3304" t="str">
        <f t="shared" si="185"/>
        <v/>
      </c>
      <c r="D3304" s="245" t="str">
        <f t="shared" si="187"/>
        <v/>
      </c>
      <c r="E3304" s="534"/>
      <c r="F3304" s="534"/>
    </row>
    <row r="3305" spans="1:6" ht="15" customHeight="1">
      <c r="A3305" s="51"/>
      <c r="B3305" s="52" t="str">
        <f t="shared" si="186"/>
        <v/>
      </c>
      <c r="C3305" t="str">
        <f t="shared" si="185"/>
        <v/>
      </c>
      <c r="D3305" s="245" t="str">
        <f t="shared" si="187"/>
        <v/>
      </c>
      <c r="E3305" s="534"/>
      <c r="F3305" s="534"/>
    </row>
    <row r="3306" spans="1:6" ht="15" customHeight="1">
      <c r="A3306" s="51"/>
      <c r="B3306" s="52" t="str">
        <f t="shared" si="186"/>
        <v/>
      </c>
      <c r="C3306" t="str">
        <f t="shared" si="185"/>
        <v/>
      </c>
      <c r="D3306" s="245" t="str">
        <f t="shared" si="187"/>
        <v/>
      </c>
      <c r="E3306" s="534"/>
      <c r="F3306" s="534"/>
    </row>
    <row r="3307" spans="1:6" ht="15" customHeight="1">
      <c r="A3307" s="51"/>
      <c r="B3307" s="52" t="str">
        <f t="shared" si="186"/>
        <v/>
      </c>
      <c r="C3307" t="str">
        <f t="shared" si="185"/>
        <v/>
      </c>
      <c r="D3307" s="245" t="str">
        <f t="shared" si="187"/>
        <v/>
      </c>
      <c r="E3307" s="534"/>
      <c r="F3307" s="534"/>
    </row>
    <row r="3308" spans="1:6" ht="15" customHeight="1">
      <c r="A3308" s="51"/>
      <c r="B3308" s="52" t="str">
        <f t="shared" si="186"/>
        <v/>
      </c>
      <c r="C3308" t="str">
        <f t="shared" si="185"/>
        <v/>
      </c>
      <c r="D3308" s="245" t="str">
        <f t="shared" si="187"/>
        <v/>
      </c>
      <c r="E3308" s="534"/>
      <c r="F3308" s="534"/>
    </row>
    <row r="3309" spans="1:6" ht="15" customHeight="1">
      <c r="A3309" s="51"/>
      <c r="B3309" s="52" t="str">
        <f t="shared" si="186"/>
        <v/>
      </c>
      <c r="C3309" t="str">
        <f t="shared" si="185"/>
        <v/>
      </c>
      <c r="D3309" s="245" t="str">
        <f t="shared" si="187"/>
        <v/>
      </c>
      <c r="E3309" s="534"/>
      <c r="F3309" s="534"/>
    </row>
    <row r="3310" spans="1:6" ht="15" customHeight="1">
      <c r="A3310" s="51"/>
      <c r="B3310" s="52" t="str">
        <f t="shared" si="186"/>
        <v/>
      </c>
      <c r="C3310" t="str">
        <f t="shared" si="185"/>
        <v/>
      </c>
      <c r="D3310" s="245" t="str">
        <f t="shared" si="187"/>
        <v/>
      </c>
      <c r="E3310" s="534"/>
      <c r="F3310" s="534"/>
    </row>
    <row r="3311" spans="1:6" ht="15" customHeight="1">
      <c r="A3311" s="51"/>
      <c r="B3311" s="52" t="str">
        <f t="shared" si="186"/>
        <v/>
      </c>
      <c r="C3311" t="str">
        <f t="shared" si="185"/>
        <v/>
      </c>
      <c r="D3311" s="245" t="str">
        <f t="shared" si="187"/>
        <v/>
      </c>
      <c r="E3311" s="534"/>
      <c r="F3311" s="534"/>
    </row>
    <row r="3312" spans="1:6" ht="15" customHeight="1">
      <c r="A3312" s="51"/>
      <c r="B3312" s="52" t="str">
        <f t="shared" si="186"/>
        <v/>
      </c>
      <c r="C3312" t="str">
        <f t="shared" si="185"/>
        <v/>
      </c>
      <c r="D3312" s="245" t="str">
        <f t="shared" si="187"/>
        <v/>
      </c>
      <c r="E3312" s="534"/>
      <c r="F3312" s="534"/>
    </row>
    <row r="3313" spans="1:6" ht="15" customHeight="1">
      <c r="A3313" s="51"/>
      <c r="B3313" s="52" t="str">
        <f t="shared" si="186"/>
        <v/>
      </c>
      <c r="C3313" t="str">
        <f t="shared" si="185"/>
        <v/>
      </c>
      <c r="D3313" s="245" t="str">
        <f t="shared" si="187"/>
        <v/>
      </c>
      <c r="E3313" s="534"/>
      <c r="F3313" s="534"/>
    </row>
    <row r="3314" spans="1:6" ht="15" customHeight="1">
      <c r="A3314" s="51"/>
      <c r="B3314" s="52" t="str">
        <f t="shared" si="186"/>
        <v/>
      </c>
      <c r="C3314" t="str">
        <f t="shared" si="185"/>
        <v/>
      </c>
      <c r="D3314" s="245" t="str">
        <f t="shared" si="187"/>
        <v/>
      </c>
      <c r="E3314" s="534"/>
      <c r="F3314" s="534"/>
    </row>
    <row r="3315" spans="1:6" ht="15" customHeight="1">
      <c r="A3315" s="51"/>
      <c r="B3315" s="52" t="str">
        <f t="shared" si="186"/>
        <v/>
      </c>
      <c r="C3315" t="str">
        <f t="shared" si="185"/>
        <v/>
      </c>
      <c r="D3315" s="245" t="str">
        <f t="shared" si="187"/>
        <v/>
      </c>
      <c r="E3315" s="534"/>
      <c r="F3315" s="534"/>
    </row>
    <row r="3316" spans="1:6" ht="15" customHeight="1">
      <c r="A3316" s="51"/>
      <c r="B3316" s="52" t="str">
        <f t="shared" si="186"/>
        <v/>
      </c>
      <c r="C3316" t="str">
        <f t="shared" si="185"/>
        <v/>
      </c>
      <c r="D3316" s="245" t="str">
        <f t="shared" si="187"/>
        <v/>
      </c>
      <c r="E3316" s="534"/>
      <c r="F3316" s="534"/>
    </row>
    <row r="3317" spans="1:6" ht="15" customHeight="1">
      <c r="A3317" s="51"/>
      <c r="B3317" s="52" t="str">
        <f t="shared" si="186"/>
        <v/>
      </c>
      <c r="C3317" t="str">
        <f t="shared" si="185"/>
        <v/>
      </c>
      <c r="D3317" s="245" t="str">
        <f t="shared" si="187"/>
        <v/>
      </c>
      <c r="E3317" s="534"/>
      <c r="F3317" s="534"/>
    </row>
    <row r="3318" spans="1:6" ht="15" customHeight="1">
      <c r="A3318" s="51"/>
      <c r="B3318" s="52" t="str">
        <f t="shared" si="186"/>
        <v/>
      </c>
      <c r="C3318" t="str">
        <f t="shared" si="185"/>
        <v/>
      </c>
      <c r="D3318" s="245" t="str">
        <f t="shared" si="187"/>
        <v/>
      </c>
      <c r="E3318" s="534"/>
      <c r="F3318" s="534"/>
    </row>
    <row r="3319" spans="1:6" ht="15" customHeight="1">
      <c r="A3319" s="51"/>
      <c r="B3319" s="52" t="str">
        <f t="shared" si="186"/>
        <v/>
      </c>
      <c r="C3319" t="str">
        <f t="shared" si="185"/>
        <v/>
      </c>
      <c r="D3319" s="245" t="str">
        <f t="shared" si="187"/>
        <v/>
      </c>
      <c r="E3319" s="534"/>
      <c r="F3319" s="534"/>
    </row>
    <row r="3320" spans="1:6" ht="15" customHeight="1">
      <c r="A3320" s="51"/>
      <c r="B3320" s="52" t="str">
        <f t="shared" si="186"/>
        <v/>
      </c>
      <c r="C3320" t="str">
        <f t="shared" si="185"/>
        <v/>
      </c>
      <c r="D3320" s="245" t="str">
        <f t="shared" si="187"/>
        <v/>
      </c>
      <c r="E3320" s="534"/>
      <c r="F3320" s="534"/>
    </row>
    <row r="3321" spans="1:6" ht="15" customHeight="1">
      <c r="A3321" s="51"/>
      <c r="B3321" s="52" t="str">
        <f t="shared" si="186"/>
        <v/>
      </c>
      <c r="C3321" t="str">
        <f t="shared" si="185"/>
        <v/>
      </c>
      <c r="D3321" s="245" t="str">
        <f t="shared" si="187"/>
        <v/>
      </c>
      <c r="E3321" s="534"/>
      <c r="F3321" s="534"/>
    </row>
    <row r="3322" spans="1:6" ht="15" customHeight="1">
      <c r="A3322" s="51"/>
      <c r="B3322" s="52" t="str">
        <f t="shared" si="186"/>
        <v/>
      </c>
      <c r="C3322" t="str">
        <f t="shared" si="185"/>
        <v/>
      </c>
      <c r="D3322" s="245" t="str">
        <f t="shared" si="187"/>
        <v/>
      </c>
      <c r="E3322" s="534"/>
      <c r="F3322" s="534"/>
    </row>
    <row r="3323" spans="1:6" ht="15" customHeight="1">
      <c r="A3323" s="51"/>
      <c r="B3323" s="52" t="str">
        <f t="shared" si="186"/>
        <v/>
      </c>
      <c r="C3323" t="str">
        <f t="shared" si="185"/>
        <v/>
      </c>
      <c r="D3323" s="245" t="str">
        <f t="shared" si="187"/>
        <v/>
      </c>
      <c r="E3323" s="534"/>
      <c r="F3323" s="534"/>
    </row>
    <row r="3324" spans="1:6" ht="15" customHeight="1">
      <c r="A3324" s="51"/>
      <c r="B3324" s="52" t="str">
        <f t="shared" si="186"/>
        <v/>
      </c>
      <c r="C3324" t="str">
        <f t="shared" si="185"/>
        <v/>
      </c>
      <c r="D3324" s="245" t="str">
        <f t="shared" si="187"/>
        <v/>
      </c>
      <c r="E3324" s="534"/>
      <c r="F3324" s="534"/>
    </row>
    <row r="3325" spans="1:6" ht="15" customHeight="1">
      <c r="A3325" s="51"/>
      <c r="B3325" s="52" t="str">
        <f t="shared" si="186"/>
        <v/>
      </c>
      <c r="C3325" t="str">
        <f t="shared" si="185"/>
        <v/>
      </c>
      <c r="D3325" s="245" t="str">
        <f t="shared" si="187"/>
        <v/>
      </c>
      <c r="E3325" s="534"/>
      <c r="F3325" s="534"/>
    </row>
    <row r="3326" spans="1:6" ht="15" customHeight="1">
      <c r="A3326" s="51"/>
      <c r="B3326" s="52" t="str">
        <f t="shared" si="186"/>
        <v/>
      </c>
      <c r="C3326" t="str">
        <f t="shared" si="185"/>
        <v/>
      </c>
      <c r="D3326" s="245" t="str">
        <f t="shared" si="187"/>
        <v/>
      </c>
      <c r="E3326" s="534"/>
      <c r="F3326" s="534"/>
    </row>
    <row r="3327" spans="1:6" ht="15" customHeight="1">
      <c r="A3327" s="51"/>
      <c r="B3327" s="52" t="str">
        <f t="shared" si="186"/>
        <v/>
      </c>
      <c r="C3327" t="str">
        <f t="shared" si="185"/>
        <v/>
      </c>
      <c r="D3327" s="245" t="str">
        <f t="shared" si="187"/>
        <v/>
      </c>
      <c r="E3327" s="534"/>
      <c r="F3327" s="534"/>
    </row>
    <row r="3328" spans="1:6" ht="15" customHeight="1">
      <c r="A3328" s="51"/>
      <c r="B3328" s="52" t="str">
        <f t="shared" si="186"/>
        <v/>
      </c>
      <c r="C3328" t="str">
        <f t="shared" si="185"/>
        <v/>
      </c>
      <c r="D3328" s="245" t="str">
        <f t="shared" si="187"/>
        <v/>
      </c>
      <c r="E3328" s="534"/>
      <c r="F3328" s="534"/>
    </row>
    <row r="3329" spans="1:6" ht="15" customHeight="1">
      <c r="A3329" s="51"/>
      <c r="B3329" s="52" t="str">
        <f t="shared" si="186"/>
        <v/>
      </c>
      <c r="C3329" t="str">
        <f t="shared" si="185"/>
        <v/>
      </c>
      <c r="D3329" s="245" t="str">
        <f t="shared" si="187"/>
        <v/>
      </c>
      <c r="E3329" s="534"/>
      <c r="F3329" s="534"/>
    </row>
    <row r="3330" spans="1:6" ht="15" customHeight="1">
      <c r="A3330" s="51"/>
      <c r="B3330" s="52" t="str">
        <f t="shared" si="186"/>
        <v/>
      </c>
      <c r="C3330" t="str">
        <f t="shared" ref="C3330:C3393" si="188">IF(A3330&lt;&gt;"",TEXT(A3330,"aaaa"),"")</f>
        <v/>
      </c>
      <c r="D3330" s="245" t="str">
        <f t="shared" si="187"/>
        <v/>
      </c>
      <c r="E3330" s="534"/>
      <c r="F3330" s="534"/>
    </row>
    <row r="3331" spans="1:6" ht="15" customHeight="1">
      <c r="A3331" s="51"/>
      <c r="B3331" s="52" t="str">
        <f t="shared" si="186"/>
        <v/>
      </c>
      <c r="C3331" t="str">
        <f t="shared" si="188"/>
        <v/>
      </c>
      <c r="D3331" s="245" t="str">
        <f t="shared" si="187"/>
        <v/>
      </c>
      <c r="E3331" s="534"/>
      <c r="F3331" s="534"/>
    </row>
    <row r="3332" spans="1:6" ht="15" customHeight="1">
      <c r="A3332" s="51"/>
      <c r="B3332" s="52" t="str">
        <f t="shared" si="186"/>
        <v/>
      </c>
      <c r="C3332" t="str">
        <f t="shared" si="188"/>
        <v/>
      </c>
      <c r="D3332" s="245" t="str">
        <f t="shared" si="187"/>
        <v/>
      </c>
      <c r="E3332" s="534"/>
      <c r="F3332" s="534"/>
    </row>
    <row r="3333" spans="1:6" ht="15" customHeight="1">
      <c r="A3333" s="51"/>
      <c r="B3333" s="52" t="str">
        <f t="shared" si="186"/>
        <v/>
      </c>
      <c r="C3333" t="str">
        <f t="shared" si="188"/>
        <v/>
      </c>
      <c r="D3333" s="245" t="str">
        <f t="shared" si="187"/>
        <v/>
      </c>
      <c r="E3333" s="534"/>
      <c r="F3333" s="534"/>
    </row>
    <row r="3334" spans="1:6" ht="15" customHeight="1">
      <c r="A3334" s="51"/>
      <c r="B3334" s="52" t="str">
        <f t="shared" si="186"/>
        <v/>
      </c>
      <c r="C3334" t="str">
        <f t="shared" si="188"/>
        <v/>
      </c>
      <c r="D3334" s="245" t="str">
        <f t="shared" si="187"/>
        <v/>
      </c>
      <c r="E3334" s="534"/>
      <c r="F3334" s="534"/>
    </row>
    <row r="3335" spans="1:6" ht="15" customHeight="1">
      <c r="A3335" s="51"/>
      <c r="B3335" s="52" t="str">
        <f t="shared" si="186"/>
        <v/>
      </c>
      <c r="C3335" t="str">
        <f t="shared" si="188"/>
        <v/>
      </c>
      <c r="D3335" s="245" t="str">
        <f t="shared" si="187"/>
        <v/>
      </c>
      <c r="E3335" s="534"/>
      <c r="F3335" s="534"/>
    </row>
    <row r="3336" spans="1:6" ht="15" customHeight="1">
      <c r="A3336" s="51"/>
      <c r="B3336" s="52" t="str">
        <f t="shared" ref="B3336:B3399" si="189">IF(A3336="","",TEXT(A3336,"DDDD"))</f>
        <v/>
      </c>
      <c r="C3336" t="str">
        <f t="shared" si="188"/>
        <v/>
      </c>
      <c r="D3336" s="245" t="str">
        <f t="shared" si="187"/>
        <v/>
      </c>
      <c r="E3336" s="534"/>
      <c r="F3336" s="534"/>
    </row>
    <row r="3337" spans="1:6" ht="15" customHeight="1">
      <c r="A3337" s="51"/>
      <c r="B3337" s="52" t="str">
        <f t="shared" si="189"/>
        <v/>
      </c>
      <c r="C3337" t="str">
        <f t="shared" si="188"/>
        <v/>
      </c>
      <c r="D3337" s="245" t="str">
        <f t="shared" ref="D3337:D3400" si="190">IF(A3337&lt;&gt;"",PROPER(TEXT(A3337,"Mmmm")),"")</f>
        <v/>
      </c>
      <c r="E3337" s="534"/>
      <c r="F3337" s="534"/>
    </row>
    <row r="3338" spans="1:6" ht="15" customHeight="1">
      <c r="A3338" s="51"/>
      <c r="B3338" s="52" t="str">
        <f t="shared" si="189"/>
        <v/>
      </c>
      <c r="C3338" t="str">
        <f t="shared" si="188"/>
        <v/>
      </c>
      <c r="D3338" s="245" t="str">
        <f t="shared" si="190"/>
        <v/>
      </c>
      <c r="E3338" s="534"/>
      <c r="F3338" s="534"/>
    </row>
    <row r="3339" spans="1:6" ht="15" customHeight="1">
      <c r="A3339" s="51"/>
      <c r="B3339" s="52" t="str">
        <f t="shared" si="189"/>
        <v/>
      </c>
      <c r="C3339" t="str">
        <f t="shared" si="188"/>
        <v/>
      </c>
      <c r="D3339" s="245" t="str">
        <f t="shared" si="190"/>
        <v/>
      </c>
      <c r="E3339" s="534"/>
      <c r="F3339" s="534"/>
    </row>
    <row r="3340" spans="1:6" ht="15" customHeight="1">
      <c r="A3340" s="51"/>
      <c r="B3340" s="52" t="str">
        <f t="shared" si="189"/>
        <v/>
      </c>
      <c r="C3340" t="str">
        <f t="shared" si="188"/>
        <v/>
      </c>
      <c r="D3340" s="245" t="str">
        <f t="shared" si="190"/>
        <v/>
      </c>
      <c r="E3340" s="534"/>
      <c r="F3340" s="534"/>
    </row>
    <row r="3341" spans="1:6" ht="15" customHeight="1">
      <c r="A3341" s="51"/>
      <c r="B3341" s="52" t="str">
        <f t="shared" si="189"/>
        <v/>
      </c>
      <c r="C3341" t="str">
        <f t="shared" si="188"/>
        <v/>
      </c>
      <c r="D3341" s="245" t="str">
        <f t="shared" si="190"/>
        <v/>
      </c>
      <c r="E3341" s="534"/>
      <c r="F3341" s="534"/>
    </row>
    <row r="3342" spans="1:6" ht="15" customHeight="1">
      <c r="A3342" s="51"/>
      <c r="B3342" s="52" t="str">
        <f t="shared" si="189"/>
        <v/>
      </c>
      <c r="C3342" t="str">
        <f t="shared" si="188"/>
        <v/>
      </c>
      <c r="D3342" s="245" t="str">
        <f t="shared" si="190"/>
        <v/>
      </c>
      <c r="E3342" s="534"/>
      <c r="F3342" s="534"/>
    </row>
    <row r="3343" spans="1:6" ht="15" customHeight="1">
      <c r="A3343" s="51"/>
      <c r="B3343" s="52" t="str">
        <f t="shared" si="189"/>
        <v/>
      </c>
      <c r="C3343" t="str">
        <f t="shared" si="188"/>
        <v/>
      </c>
      <c r="D3343" s="245" t="str">
        <f t="shared" si="190"/>
        <v/>
      </c>
      <c r="E3343" s="534"/>
      <c r="F3343" s="534"/>
    </row>
    <row r="3344" spans="1:6" ht="15" customHeight="1">
      <c r="A3344" s="51"/>
      <c r="B3344" s="52" t="str">
        <f t="shared" si="189"/>
        <v/>
      </c>
      <c r="C3344" t="str">
        <f t="shared" si="188"/>
        <v/>
      </c>
      <c r="D3344" s="245" t="str">
        <f t="shared" si="190"/>
        <v/>
      </c>
      <c r="E3344" s="534"/>
      <c r="F3344" s="534"/>
    </row>
    <row r="3345" spans="1:6" ht="15" customHeight="1">
      <c r="A3345" s="51"/>
      <c r="B3345" s="52" t="str">
        <f t="shared" si="189"/>
        <v/>
      </c>
      <c r="C3345" t="str">
        <f t="shared" si="188"/>
        <v/>
      </c>
      <c r="D3345" s="245" t="str">
        <f t="shared" si="190"/>
        <v/>
      </c>
      <c r="E3345" s="534"/>
      <c r="F3345" s="534"/>
    </row>
    <row r="3346" spans="1:6" ht="15" customHeight="1">
      <c r="A3346" s="51"/>
      <c r="B3346" s="52" t="str">
        <f t="shared" si="189"/>
        <v/>
      </c>
      <c r="C3346" t="str">
        <f t="shared" si="188"/>
        <v/>
      </c>
      <c r="D3346" s="245" t="str">
        <f t="shared" si="190"/>
        <v/>
      </c>
      <c r="E3346" s="534"/>
      <c r="F3346" s="534"/>
    </row>
    <row r="3347" spans="1:6" ht="15" customHeight="1">
      <c r="A3347" s="51"/>
      <c r="B3347" s="52" t="str">
        <f t="shared" si="189"/>
        <v/>
      </c>
      <c r="C3347" t="str">
        <f t="shared" si="188"/>
        <v/>
      </c>
      <c r="D3347" s="245" t="str">
        <f t="shared" si="190"/>
        <v/>
      </c>
      <c r="E3347" s="534"/>
      <c r="F3347" s="534"/>
    </row>
    <row r="3348" spans="1:6" ht="15" customHeight="1">
      <c r="A3348" s="51"/>
      <c r="B3348" s="52" t="str">
        <f t="shared" si="189"/>
        <v/>
      </c>
      <c r="C3348" t="str">
        <f t="shared" si="188"/>
        <v/>
      </c>
      <c r="D3348" s="245" t="str">
        <f t="shared" si="190"/>
        <v/>
      </c>
      <c r="E3348" s="534"/>
      <c r="F3348" s="534"/>
    </row>
    <row r="3349" spans="1:6" ht="15" customHeight="1">
      <c r="A3349" s="51"/>
      <c r="B3349" s="52" t="str">
        <f t="shared" si="189"/>
        <v/>
      </c>
      <c r="C3349" t="str">
        <f t="shared" si="188"/>
        <v/>
      </c>
      <c r="D3349" s="245" t="str">
        <f t="shared" si="190"/>
        <v/>
      </c>
      <c r="E3349" s="534"/>
      <c r="F3349" s="534"/>
    </row>
    <row r="3350" spans="1:6" ht="15" customHeight="1">
      <c r="A3350" s="51"/>
      <c r="B3350" s="52" t="str">
        <f t="shared" si="189"/>
        <v/>
      </c>
      <c r="C3350" t="str">
        <f t="shared" si="188"/>
        <v/>
      </c>
      <c r="D3350" s="245" t="str">
        <f t="shared" si="190"/>
        <v/>
      </c>
      <c r="E3350" s="534"/>
      <c r="F3350" s="534"/>
    </row>
    <row r="3351" spans="1:6" ht="15" customHeight="1">
      <c r="A3351" s="51"/>
      <c r="B3351" s="52" t="str">
        <f t="shared" si="189"/>
        <v/>
      </c>
      <c r="C3351" t="str">
        <f t="shared" si="188"/>
        <v/>
      </c>
      <c r="D3351" s="245" t="str">
        <f t="shared" si="190"/>
        <v/>
      </c>
      <c r="E3351" s="534"/>
      <c r="F3351" s="534"/>
    </row>
    <row r="3352" spans="1:6" ht="15" customHeight="1">
      <c r="A3352" s="51"/>
      <c r="B3352" s="52" t="str">
        <f t="shared" si="189"/>
        <v/>
      </c>
      <c r="C3352" t="str">
        <f t="shared" si="188"/>
        <v/>
      </c>
      <c r="D3352" s="245" t="str">
        <f t="shared" si="190"/>
        <v/>
      </c>
      <c r="E3352" s="534"/>
      <c r="F3352" s="534"/>
    </row>
    <row r="3353" spans="1:6" ht="15" customHeight="1">
      <c r="A3353" s="51"/>
      <c r="B3353" s="52" t="str">
        <f t="shared" si="189"/>
        <v/>
      </c>
      <c r="C3353" t="str">
        <f t="shared" si="188"/>
        <v/>
      </c>
      <c r="D3353" s="245" t="str">
        <f t="shared" si="190"/>
        <v/>
      </c>
      <c r="E3353" s="534"/>
      <c r="F3353" s="534"/>
    </row>
    <row r="3354" spans="1:6" ht="15" customHeight="1">
      <c r="A3354" s="51"/>
      <c r="B3354" s="52" t="str">
        <f t="shared" si="189"/>
        <v/>
      </c>
      <c r="C3354" t="str">
        <f t="shared" si="188"/>
        <v/>
      </c>
      <c r="D3354" s="245" t="str">
        <f t="shared" si="190"/>
        <v/>
      </c>
      <c r="E3354" s="534"/>
      <c r="F3354" s="534"/>
    </row>
    <row r="3355" spans="1:6" ht="15" customHeight="1">
      <c r="A3355" s="51"/>
      <c r="B3355" s="52" t="str">
        <f t="shared" si="189"/>
        <v/>
      </c>
      <c r="C3355" t="str">
        <f t="shared" si="188"/>
        <v/>
      </c>
      <c r="D3355" s="245" t="str">
        <f t="shared" si="190"/>
        <v/>
      </c>
      <c r="E3355" s="534"/>
      <c r="F3355" s="534"/>
    </row>
    <row r="3356" spans="1:6" ht="15" customHeight="1">
      <c r="A3356" s="51"/>
      <c r="B3356" s="52" t="str">
        <f t="shared" si="189"/>
        <v/>
      </c>
      <c r="C3356" t="str">
        <f t="shared" si="188"/>
        <v/>
      </c>
      <c r="D3356" s="245" t="str">
        <f t="shared" si="190"/>
        <v/>
      </c>
      <c r="E3356" s="534"/>
      <c r="F3356" s="534"/>
    </row>
    <row r="3357" spans="1:6" ht="15" customHeight="1">
      <c r="A3357" s="51"/>
      <c r="B3357" s="52" t="str">
        <f t="shared" si="189"/>
        <v/>
      </c>
      <c r="C3357" t="str">
        <f t="shared" si="188"/>
        <v/>
      </c>
      <c r="D3357" s="245" t="str">
        <f t="shared" si="190"/>
        <v/>
      </c>
      <c r="E3357" s="534"/>
      <c r="F3357" s="534"/>
    </row>
    <row r="3358" spans="1:6" ht="15" customHeight="1">
      <c r="A3358" s="51"/>
      <c r="B3358" s="52" t="str">
        <f t="shared" si="189"/>
        <v/>
      </c>
      <c r="C3358" t="str">
        <f t="shared" si="188"/>
        <v/>
      </c>
      <c r="D3358" s="245" t="str">
        <f t="shared" si="190"/>
        <v/>
      </c>
      <c r="E3358" s="534"/>
      <c r="F3358" s="534"/>
    </row>
    <row r="3359" spans="1:6" ht="15" customHeight="1">
      <c r="A3359" s="51"/>
      <c r="B3359" s="52" t="str">
        <f t="shared" si="189"/>
        <v/>
      </c>
      <c r="C3359" t="str">
        <f t="shared" si="188"/>
        <v/>
      </c>
      <c r="D3359" s="245" t="str">
        <f t="shared" si="190"/>
        <v/>
      </c>
      <c r="E3359" s="534"/>
      <c r="F3359" s="534"/>
    </row>
    <row r="3360" spans="1:6" ht="15" customHeight="1">
      <c r="A3360" s="51"/>
      <c r="B3360" s="52" t="str">
        <f t="shared" si="189"/>
        <v/>
      </c>
      <c r="C3360" t="str">
        <f t="shared" si="188"/>
        <v/>
      </c>
      <c r="D3360" s="245" t="str">
        <f t="shared" si="190"/>
        <v/>
      </c>
      <c r="E3360" s="534"/>
      <c r="F3360" s="534"/>
    </row>
    <row r="3361" spans="1:6" ht="15" customHeight="1">
      <c r="A3361" s="51"/>
      <c r="B3361" s="52" t="str">
        <f t="shared" si="189"/>
        <v/>
      </c>
      <c r="C3361" t="str">
        <f t="shared" si="188"/>
        <v/>
      </c>
      <c r="D3361" s="245" t="str">
        <f t="shared" si="190"/>
        <v/>
      </c>
      <c r="E3361" s="534"/>
      <c r="F3361" s="534"/>
    </row>
    <row r="3362" spans="1:6" ht="15" customHeight="1">
      <c r="A3362" s="51"/>
      <c r="B3362" s="52" t="str">
        <f t="shared" si="189"/>
        <v/>
      </c>
      <c r="C3362" t="str">
        <f t="shared" si="188"/>
        <v/>
      </c>
      <c r="D3362" s="245" t="str">
        <f t="shared" si="190"/>
        <v/>
      </c>
      <c r="E3362" s="534"/>
      <c r="F3362" s="534"/>
    </row>
    <row r="3363" spans="1:6" ht="15" customHeight="1">
      <c r="A3363" s="51"/>
      <c r="B3363" s="52" t="str">
        <f t="shared" si="189"/>
        <v/>
      </c>
      <c r="C3363" t="str">
        <f t="shared" si="188"/>
        <v/>
      </c>
      <c r="D3363" s="245" t="str">
        <f t="shared" si="190"/>
        <v/>
      </c>
      <c r="E3363" s="534"/>
      <c r="F3363" s="534"/>
    </row>
    <row r="3364" spans="1:6" ht="15" customHeight="1">
      <c r="A3364" s="51"/>
      <c r="B3364" s="52" t="str">
        <f t="shared" si="189"/>
        <v/>
      </c>
      <c r="C3364" t="str">
        <f t="shared" si="188"/>
        <v/>
      </c>
      <c r="D3364" s="245" t="str">
        <f t="shared" si="190"/>
        <v/>
      </c>
      <c r="E3364" s="534"/>
      <c r="F3364" s="534"/>
    </row>
    <row r="3365" spans="1:6" ht="15" customHeight="1">
      <c r="A3365" s="51"/>
      <c r="B3365" s="52" t="str">
        <f t="shared" si="189"/>
        <v/>
      </c>
      <c r="C3365" t="str">
        <f t="shared" si="188"/>
        <v/>
      </c>
      <c r="D3365" s="245" t="str">
        <f t="shared" si="190"/>
        <v/>
      </c>
      <c r="E3365" s="534"/>
      <c r="F3365" s="534"/>
    </row>
    <row r="3366" spans="1:6" ht="15" customHeight="1">
      <c r="A3366" s="51"/>
      <c r="B3366" s="52" t="str">
        <f t="shared" si="189"/>
        <v/>
      </c>
      <c r="C3366" t="str">
        <f t="shared" si="188"/>
        <v/>
      </c>
      <c r="D3366" s="245" t="str">
        <f t="shared" si="190"/>
        <v/>
      </c>
      <c r="E3366" s="534"/>
      <c r="F3366" s="534"/>
    </row>
    <row r="3367" spans="1:6" ht="15" customHeight="1">
      <c r="A3367" s="51"/>
      <c r="B3367" s="52" t="str">
        <f t="shared" si="189"/>
        <v/>
      </c>
      <c r="C3367" t="str">
        <f t="shared" si="188"/>
        <v/>
      </c>
      <c r="D3367" s="245" t="str">
        <f t="shared" si="190"/>
        <v/>
      </c>
      <c r="E3367" s="534"/>
      <c r="F3367" s="534"/>
    </row>
    <row r="3368" spans="1:6" ht="15" customHeight="1">
      <c r="A3368" s="51"/>
      <c r="B3368" s="52" t="str">
        <f t="shared" si="189"/>
        <v/>
      </c>
      <c r="C3368" t="str">
        <f t="shared" si="188"/>
        <v/>
      </c>
      <c r="D3368" s="245" t="str">
        <f t="shared" si="190"/>
        <v/>
      </c>
      <c r="E3368" s="534"/>
      <c r="F3368" s="534"/>
    </row>
    <row r="3369" spans="1:6" ht="15" customHeight="1">
      <c r="A3369" s="51"/>
      <c r="B3369" s="52" t="str">
        <f t="shared" si="189"/>
        <v/>
      </c>
      <c r="C3369" t="str">
        <f t="shared" si="188"/>
        <v/>
      </c>
      <c r="D3369" s="245" t="str">
        <f t="shared" si="190"/>
        <v/>
      </c>
      <c r="E3369" s="534"/>
      <c r="F3369" s="534"/>
    </row>
    <row r="3370" spans="1:6" ht="15" customHeight="1">
      <c r="A3370" s="51"/>
      <c r="B3370" s="52" t="str">
        <f t="shared" si="189"/>
        <v/>
      </c>
      <c r="C3370" t="str">
        <f t="shared" si="188"/>
        <v/>
      </c>
      <c r="D3370" s="245" t="str">
        <f t="shared" si="190"/>
        <v/>
      </c>
      <c r="E3370" s="534"/>
      <c r="F3370" s="534"/>
    </row>
    <row r="3371" spans="1:6" ht="15" customHeight="1">
      <c r="A3371" s="51"/>
      <c r="B3371" s="52" t="str">
        <f t="shared" si="189"/>
        <v/>
      </c>
      <c r="C3371" t="str">
        <f t="shared" si="188"/>
        <v/>
      </c>
      <c r="D3371" s="245" t="str">
        <f t="shared" si="190"/>
        <v/>
      </c>
      <c r="E3371" s="534"/>
      <c r="F3371" s="534"/>
    </row>
    <row r="3372" spans="1:6" ht="15" customHeight="1">
      <c r="A3372" s="51"/>
      <c r="B3372" s="52" t="str">
        <f t="shared" si="189"/>
        <v/>
      </c>
      <c r="C3372" t="str">
        <f t="shared" si="188"/>
        <v/>
      </c>
      <c r="D3372" s="245" t="str">
        <f t="shared" si="190"/>
        <v/>
      </c>
      <c r="E3372" s="534"/>
      <c r="F3372" s="534"/>
    </row>
    <row r="3373" spans="1:6" ht="15" customHeight="1">
      <c r="A3373" s="51"/>
      <c r="B3373" s="52" t="str">
        <f t="shared" si="189"/>
        <v/>
      </c>
      <c r="C3373" t="str">
        <f t="shared" si="188"/>
        <v/>
      </c>
      <c r="D3373" s="245" t="str">
        <f t="shared" si="190"/>
        <v/>
      </c>
      <c r="E3373" s="534"/>
      <c r="F3373" s="534"/>
    </row>
    <row r="3374" spans="1:6" ht="15" customHeight="1">
      <c r="A3374" s="51"/>
      <c r="B3374" s="52" t="str">
        <f t="shared" si="189"/>
        <v/>
      </c>
      <c r="C3374" t="str">
        <f t="shared" si="188"/>
        <v/>
      </c>
      <c r="D3374" s="245" t="str">
        <f t="shared" si="190"/>
        <v/>
      </c>
      <c r="E3374" s="534"/>
      <c r="F3374" s="534"/>
    </row>
    <row r="3375" spans="1:6" ht="15" customHeight="1">
      <c r="A3375" s="51"/>
      <c r="B3375" s="52" t="str">
        <f t="shared" si="189"/>
        <v/>
      </c>
      <c r="C3375" t="str">
        <f t="shared" si="188"/>
        <v/>
      </c>
      <c r="D3375" s="245" t="str">
        <f t="shared" si="190"/>
        <v/>
      </c>
      <c r="E3375" s="534"/>
      <c r="F3375" s="534"/>
    </row>
    <row r="3376" spans="1:6" ht="15" customHeight="1">
      <c r="A3376" s="51"/>
      <c r="B3376" s="52" t="str">
        <f t="shared" si="189"/>
        <v/>
      </c>
      <c r="C3376" t="str">
        <f t="shared" si="188"/>
        <v/>
      </c>
      <c r="D3376" s="245" t="str">
        <f t="shared" si="190"/>
        <v/>
      </c>
      <c r="E3376" s="534"/>
      <c r="F3376" s="534"/>
    </row>
    <row r="3377" spans="1:6" ht="15" customHeight="1">
      <c r="A3377" s="51"/>
      <c r="B3377" s="52" t="str">
        <f t="shared" si="189"/>
        <v/>
      </c>
      <c r="C3377" t="str">
        <f t="shared" si="188"/>
        <v/>
      </c>
      <c r="D3377" s="245" t="str">
        <f t="shared" si="190"/>
        <v/>
      </c>
      <c r="E3377" s="534"/>
      <c r="F3377" s="534"/>
    </row>
    <row r="3378" spans="1:6" ht="15" customHeight="1">
      <c r="A3378" s="51"/>
      <c r="B3378" s="52" t="str">
        <f t="shared" si="189"/>
        <v/>
      </c>
      <c r="C3378" t="str">
        <f t="shared" si="188"/>
        <v/>
      </c>
      <c r="D3378" s="245" t="str">
        <f t="shared" si="190"/>
        <v/>
      </c>
      <c r="E3378" s="534"/>
      <c r="F3378" s="534"/>
    </row>
    <row r="3379" spans="1:6" ht="15" customHeight="1">
      <c r="A3379" s="51"/>
      <c r="B3379" s="52" t="str">
        <f t="shared" si="189"/>
        <v/>
      </c>
      <c r="C3379" t="str">
        <f t="shared" si="188"/>
        <v/>
      </c>
      <c r="D3379" s="245" t="str">
        <f t="shared" si="190"/>
        <v/>
      </c>
      <c r="E3379" s="534"/>
      <c r="F3379" s="534"/>
    </row>
    <row r="3380" spans="1:6" ht="15" customHeight="1">
      <c r="A3380" s="51"/>
      <c r="B3380" s="52" t="str">
        <f t="shared" si="189"/>
        <v/>
      </c>
      <c r="C3380" t="str">
        <f t="shared" si="188"/>
        <v/>
      </c>
      <c r="D3380" s="245" t="str">
        <f t="shared" si="190"/>
        <v/>
      </c>
      <c r="E3380" s="534"/>
      <c r="F3380" s="534"/>
    </row>
    <row r="3381" spans="1:6" ht="15" customHeight="1">
      <c r="A3381" s="51"/>
      <c r="B3381" s="52" t="str">
        <f t="shared" si="189"/>
        <v/>
      </c>
      <c r="C3381" t="str">
        <f t="shared" si="188"/>
        <v/>
      </c>
      <c r="D3381" s="245" t="str">
        <f t="shared" si="190"/>
        <v/>
      </c>
      <c r="E3381" s="534"/>
      <c r="F3381" s="534"/>
    </row>
    <row r="3382" spans="1:6" ht="15" customHeight="1">
      <c r="A3382" s="51"/>
      <c r="B3382" s="52" t="str">
        <f t="shared" si="189"/>
        <v/>
      </c>
      <c r="C3382" t="str">
        <f t="shared" si="188"/>
        <v/>
      </c>
      <c r="D3382" s="245" t="str">
        <f t="shared" si="190"/>
        <v/>
      </c>
      <c r="E3382" s="534"/>
      <c r="F3382" s="534"/>
    </row>
    <row r="3383" spans="1:6" ht="15" customHeight="1">
      <c r="A3383" s="51"/>
      <c r="B3383" s="52" t="str">
        <f t="shared" si="189"/>
        <v/>
      </c>
      <c r="C3383" t="str">
        <f t="shared" si="188"/>
        <v/>
      </c>
      <c r="D3383" s="245" t="str">
        <f t="shared" si="190"/>
        <v/>
      </c>
      <c r="E3383" s="534"/>
      <c r="F3383" s="534"/>
    </row>
    <row r="3384" spans="1:6" ht="15" customHeight="1">
      <c r="A3384" s="51"/>
      <c r="B3384" s="52" t="str">
        <f t="shared" si="189"/>
        <v/>
      </c>
      <c r="C3384" t="str">
        <f t="shared" si="188"/>
        <v/>
      </c>
      <c r="D3384" s="245" t="str">
        <f t="shared" si="190"/>
        <v/>
      </c>
      <c r="E3384" s="534"/>
      <c r="F3384" s="534"/>
    </row>
    <row r="3385" spans="1:6" ht="15" customHeight="1">
      <c r="A3385" s="51"/>
      <c r="B3385" s="52" t="str">
        <f t="shared" si="189"/>
        <v/>
      </c>
      <c r="C3385" t="str">
        <f t="shared" si="188"/>
        <v/>
      </c>
      <c r="D3385" s="245" t="str">
        <f t="shared" si="190"/>
        <v/>
      </c>
      <c r="E3385" s="534"/>
      <c r="F3385" s="534"/>
    </row>
    <row r="3386" spans="1:6" ht="15" customHeight="1">
      <c r="A3386" s="51"/>
      <c r="B3386" s="52" t="str">
        <f t="shared" si="189"/>
        <v/>
      </c>
      <c r="C3386" t="str">
        <f t="shared" si="188"/>
        <v/>
      </c>
      <c r="D3386" s="245" t="str">
        <f t="shared" si="190"/>
        <v/>
      </c>
      <c r="E3386" s="534"/>
      <c r="F3386" s="534"/>
    </row>
    <row r="3387" spans="1:6" ht="15" customHeight="1">
      <c r="A3387" s="51"/>
      <c r="B3387" s="52" t="str">
        <f t="shared" si="189"/>
        <v/>
      </c>
      <c r="C3387" t="str">
        <f t="shared" si="188"/>
        <v/>
      </c>
      <c r="D3387" s="245" t="str">
        <f t="shared" si="190"/>
        <v/>
      </c>
      <c r="E3387" s="534"/>
      <c r="F3387" s="534"/>
    </row>
    <row r="3388" spans="1:6" ht="15" customHeight="1">
      <c r="A3388" s="51"/>
      <c r="B3388" s="52" t="str">
        <f t="shared" si="189"/>
        <v/>
      </c>
      <c r="C3388" t="str">
        <f t="shared" si="188"/>
        <v/>
      </c>
      <c r="D3388" s="245" t="str">
        <f t="shared" si="190"/>
        <v/>
      </c>
      <c r="E3388" s="534"/>
      <c r="F3388" s="534"/>
    </row>
    <row r="3389" spans="1:6" ht="15" customHeight="1">
      <c r="A3389" s="51"/>
      <c r="B3389" s="52" t="str">
        <f t="shared" si="189"/>
        <v/>
      </c>
      <c r="C3389" t="str">
        <f t="shared" si="188"/>
        <v/>
      </c>
      <c r="D3389" s="245" t="str">
        <f t="shared" si="190"/>
        <v/>
      </c>
      <c r="E3389" s="534"/>
      <c r="F3389" s="534"/>
    </row>
    <row r="3390" spans="1:6" ht="15" customHeight="1">
      <c r="A3390" s="51"/>
      <c r="B3390" s="52" t="str">
        <f t="shared" si="189"/>
        <v/>
      </c>
      <c r="C3390" t="str">
        <f t="shared" si="188"/>
        <v/>
      </c>
      <c r="D3390" s="245" t="str">
        <f t="shared" si="190"/>
        <v/>
      </c>
      <c r="E3390" s="534"/>
      <c r="F3390" s="534"/>
    </row>
    <row r="3391" spans="1:6" ht="15" customHeight="1">
      <c r="A3391" s="51"/>
      <c r="B3391" s="52" t="str">
        <f t="shared" si="189"/>
        <v/>
      </c>
      <c r="C3391" t="str">
        <f t="shared" si="188"/>
        <v/>
      </c>
      <c r="D3391" s="245" t="str">
        <f t="shared" si="190"/>
        <v/>
      </c>
      <c r="E3391" s="534"/>
      <c r="F3391" s="534"/>
    </row>
    <row r="3392" spans="1:6" ht="15" customHeight="1">
      <c r="A3392" s="51"/>
      <c r="B3392" s="52" t="str">
        <f t="shared" si="189"/>
        <v/>
      </c>
      <c r="C3392" t="str">
        <f t="shared" si="188"/>
        <v/>
      </c>
      <c r="D3392" s="245" t="str">
        <f t="shared" si="190"/>
        <v/>
      </c>
      <c r="E3392" s="534"/>
      <c r="F3392" s="534"/>
    </row>
    <row r="3393" spans="1:6" ht="15" customHeight="1">
      <c r="A3393" s="51"/>
      <c r="B3393" s="52" t="str">
        <f t="shared" si="189"/>
        <v/>
      </c>
      <c r="C3393" t="str">
        <f t="shared" si="188"/>
        <v/>
      </c>
      <c r="D3393" s="245" t="str">
        <f t="shared" si="190"/>
        <v/>
      </c>
      <c r="E3393" s="534"/>
      <c r="F3393" s="534"/>
    </row>
    <row r="3394" spans="1:6" ht="15" customHeight="1">
      <c r="A3394" s="51"/>
      <c r="B3394" s="52" t="str">
        <f t="shared" si="189"/>
        <v/>
      </c>
      <c r="C3394" t="str">
        <f t="shared" ref="C3394:C3457" si="191">IF(A3394&lt;&gt;"",TEXT(A3394,"aaaa"),"")</f>
        <v/>
      </c>
      <c r="D3394" s="245" t="str">
        <f t="shared" si="190"/>
        <v/>
      </c>
      <c r="E3394" s="534"/>
      <c r="F3394" s="534"/>
    </row>
    <row r="3395" spans="1:6" ht="15" customHeight="1">
      <c r="A3395" s="51"/>
      <c r="B3395" s="52" t="str">
        <f t="shared" si="189"/>
        <v/>
      </c>
      <c r="C3395" t="str">
        <f t="shared" si="191"/>
        <v/>
      </c>
      <c r="D3395" s="245" t="str">
        <f t="shared" si="190"/>
        <v/>
      </c>
      <c r="E3395" s="534"/>
      <c r="F3395" s="534"/>
    </row>
    <row r="3396" spans="1:6" ht="15" customHeight="1">
      <c r="A3396" s="51"/>
      <c r="B3396" s="52" t="str">
        <f t="shared" si="189"/>
        <v/>
      </c>
      <c r="C3396" t="str">
        <f t="shared" si="191"/>
        <v/>
      </c>
      <c r="D3396" s="245" t="str">
        <f t="shared" si="190"/>
        <v/>
      </c>
      <c r="E3396" s="534"/>
      <c r="F3396" s="534"/>
    </row>
    <row r="3397" spans="1:6" ht="15" customHeight="1">
      <c r="A3397" s="51"/>
      <c r="B3397" s="52" t="str">
        <f t="shared" si="189"/>
        <v/>
      </c>
      <c r="C3397" t="str">
        <f t="shared" si="191"/>
        <v/>
      </c>
      <c r="D3397" s="245" t="str">
        <f t="shared" si="190"/>
        <v/>
      </c>
      <c r="E3397" s="534"/>
      <c r="F3397" s="534"/>
    </row>
    <row r="3398" spans="1:6" ht="15" customHeight="1">
      <c r="A3398" s="51"/>
      <c r="B3398" s="52" t="str">
        <f t="shared" si="189"/>
        <v/>
      </c>
      <c r="C3398" t="str">
        <f t="shared" si="191"/>
        <v/>
      </c>
      <c r="D3398" s="245" t="str">
        <f t="shared" si="190"/>
        <v/>
      </c>
      <c r="E3398" s="534"/>
      <c r="F3398" s="534"/>
    </row>
    <row r="3399" spans="1:6" ht="15" customHeight="1">
      <c r="A3399" s="51"/>
      <c r="B3399" s="52" t="str">
        <f t="shared" si="189"/>
        <v/>
      </c>
      <c r="C3399" t="str">
        <f t="shared" si="191"/>
        <v/>
      </c>
      <c r="D3399" s="245" t="str">
        <f t="shared" si="190"/>
        <v/>
      </c>
      <c r="E3399" s="534"/>
      <c r="F3399" s="534"/>
    </row>
    <row r="3400" spans="1:6" ht="15" customHeight="1">
      <c r="A3400" s="51"/>
      <c r="B3400" s="52" t="str">
        <f t="shared" ref="B3400:B3463" si="192">IF(A3400="","",TEXT(A3400,"DDDD"))</f>
        <v/>
      </c>
      <c r="C3400" t="str">
        <f t="shared" si="191"/>
        <v/>
      </c>
      <c r="D3400" s="245" t="str">
        <f t="shared" si="190"/>
        <v/>
      </c>
      <c r="E3400" s="534"/>
      <c r="F3400" s="534"/>
    </row>
    <row r="3401" spans="1:6" ht="15" customHeight="1">
      <c r="A3401" s="51"/>
      <c r="B3401" s="52" t="str">
        <f t="shared" si="192"/>
        <v/>
      </c>
      <c r="C3401" t="str">
        <f t="shared" si="191"/>
        <v/>
      </c>
      <c r="D3401" s="245" t="str">
        <f t="shared" ref="D3401:D3464" si="193">IF(A3401&lt;&gt;"",PROPER(TEXT(A3401,"Mmmm")),"")</f>
        <v/>
      </c>
      <c r="E3401" s="534"/>
      <c r="F3401" s="534"/>
    </row>
    <row r="3402" spans="1:6" ht="15" customHeight="1">
      <c r="A3402" s="51"/>
      <c r="B3402" s="52" t="str">
        <f t="shared" si="192"/>
        <v/>
      </c>
      <c r="C3402" t="str">
        <f t="shared" si="191"/>
        <v/>
      </c>
      <c r="D3402" s="245" t="str">
        <f t="shared" si="193"/>
        <v/>
      </c>
      <c r="E3402" s="534"/>
      <c r="F3402" s="534"/>
    </row>
    <row r="3403" spans="1:6" ht="15" customHeight="1">
      <c r="A3403" s="51"/>
      <c r="B3403" s="52" t="str">
        <f t="shared" si="192"/>
        <v/>
      </c>
      <c r="C3403" t="str">
        <f t="shared" si="191"/>
        <v/>
      </c>
      <c r="D3403" s="245" t="str">
        <f t="shared" si="193"/>
        <v/>
      </c>
      <c r="E3403" s="534"/>
      <c r="F3403" s="534"/>
    </row>
    <row r="3404" spans="1:6" ht="15" customHeight="1">
      <c r="A3404" s="51"/>
      <c r="B3404" s="52" t="str">
        <f t="shared" si="192"/>
        <v/>
      </c>
      <c r="C3404" t="str">
        <f t="shared" si="191"/>
        <v/>
      </c>
      <c r="D3404" s="245" t="str">
        <f t="shared" si="193"/>
        <v/>
      </c>
      <c r="E3404" s="534"/>
      <c r="F3404" s="534"/>
    </row>
    <row r="3405" spans="1:6" ht="15" customHeight="1">
      <c r="A3405" s="51"/>
      <c r="B3405" s="52" t="str">
        <f t="shared" si="192"/>
        <v/>
      </c>
      <c r="C3405" t="str">
        <f t="shared" si="191"/>
        <v/>
      </c>
      <c r="D3405" s="245" t="str">
        <f t="shared" si="193"/>
        <v/>
      </c>
      <c r="E3405" s="534"/>
      <c r="F3405" s="534"/>
    </row>
    <row r="3406" spans="1:6" ht="15" customHeight="1">
      <c r="A3406" s="51"/>
      <c r="B3406" s="52" t="str">
        <f t="shared" si="192"/>
        <v/>
      </c>
      <c r="C3406" t="str">
        <f t="shared" si="191"/>
        <v/>
      </c>
      <c r="D3406" s="245" t="str">
        <f t="shared" si="193"/>
        <v/>
      </c>
      <c r="E3406" s="534"/>
      <c r="F3406" s="534"/>
    </row>
    <row r="3407" spans="1:6" ht="15" customHeight="1">
      <c r="A3407" s="51"/>
      <c r="B3407" s="52" t="str">
        <f t="shared" si="192"/>
        <v/>
      </c>
      <c r="C3407" t="str">
        <f t="shared" si="191"/>
        <v/>
      </c>
      <c r="D3407" s="245" t="str">
        <f t="shared" si="193"/>
        <v/>
      </c>
      <c r="E3407" s="534"/>
      <c r="F3407" s="534"/>
    </row>
    <row r="3408" spans="1:6" ht="15" customHeight="1">
      <c r="A3408" s="51"/>
      <c r="B3408" s="52" t="str">
        <f t="shared" si="192"/>
        <v/>
      </c>
      <c r="C3408" t="str">
        <f t="shared" si="191"/>
        <v/>
      </c>
      <c r="D3408" s="245" t="str">
        <f t="shared" si="193"/>
        <v/>
      </c>
      <c r="E3408" s="534"/>
      <c r="F3408" s="534"/>
    </row>
    <row r="3409" spans="1:6" ht="15" customHeight="1">
      <c r="A3409" s="51"/>
      <c r="B3409" s="52" t="str">
        <f t="shared" si="192"/>
        <v/>
      </c>
      <c r="C3409" t="str">
        <f t="shared" si="191"/>
        <v/>
      </c>
      <c r="D3409" s="245" t="str">
        <f t="shared" si="193"/>
        <v/>
      </c>
      <c r="E3409" s="534"/>
      <c r="F3409" s="534"/>
    </row>
    <row r="3410" spans="1:6" ht="15" customHeight="1">
      <c r="A3410" s="51"/>
      <c r="B3410" s="52" t="str">
        <f t="shared" si="192"/>
        <v/>
      </c>
      <c r="C3410" t="str">
        <f t="shared" si="191"/>
        <v/>
      </c>
      <c r="D3410" s="245" t="str">
        <f t="shared" si="193"/>
        <v/>
      </c>
      <c r="E3410" s="534"/>
      <c r="F3410" s="534"/>
    </row>
    <row r="3411" spans="1:6" ht="15" customHeight="1">
      <c r="A3411" s="51"/>
      <c r="B3411" s="52" t="str">
        <f t="shared" si="192"/>
        <v/>
      </c>
      <c r="C3411" t="str">
        <f t="shared" si="191"/>
        <v/>
      </c>
      <c r="D3411" s="245" t="str">
        <f t="shared" si="193"/>
        <v/>
      </c>
      <c r="E3411" s="534"/>
      <c r="F3411" s="534"/>
    </row>
    <row r="3412" spans="1:6" ht="15" customHeight="1">
      <c r="A3412" s="51"/>
      <c r="B3412" s="52" t="str">
        <f t="shared" si="192"/>
        <v/>
      </c>
      <c r="C3412" t="str">
        <f t="shared" si="191"/>
        <v/>
      </c>
      <c r="D3412" s="245" t="str">
        <f t="shared" si="193"/>
        <v/>
      </c>
      <c r="E3412" s="534"/>
      <c r="F3412" s="534"/>
    </row>
    <row r="3413" spans="1:6" ht="15" customHeight="1">
      <c r="A3413" s="51"/>
      <c r="B3413" s="52" t="str">
        <f t="shared" si="192"/>
        <v/>
      </c>
      <c r="C3413" t="str">
        <f t="shared" si="191"/>
        <v/>
      </c>
      <c r="D3413" s="245" t="str">
        <f t="shared" si="193"/>
        <v/>
      </c>
      <c r="E3413" s="534"/>
      <c r="F3413" s="534"/>
    </row>
    <row r="3414" spans="1:6" ht="15" customHeight="1">
      <c r="A3414" s="51"/>
      <c r="B3414" s="52" t="str">
        <f t="shared" si="192"/>
        <v/>
      </c>
      <c r="C3414" t="str">
        <f t="shared" si="191"/>
        <v/>
      </c>
      <c r="D3414" s="245" t="str">
        <f t="shared" si="193"/>
        <v/>
      </c>
      <c r="E3414" s="534"/>
      <c r="F3414" s="534"/>
    </row>
    <row r="3415" spans="1:6" ht="15" customHeight="1">
      <c r="A3415" s="51"/>
      <c r="B3415" s="52" t="str">
        <f t="shared" si="192"/>
        <v/>
      </c>
      <c r="C3415" t="str">
        <f t="shared" si="191"/>
        <v/>
      </c>
      <c r="D3415" s="245" t="str">
        <f t="shared" si="193"/>
        <v/>
      </c>
      <c r="E3415" s="534"/>
      <c r="F3415" s="534"/>
    </row>
    <row r="3416" spans="1:6" ht="15" customHeight="1">
      <c r="A3416" s="51"/>
      <c r="B3416" s="52" t="str">
        <f t="shared" si="192"/>
        <v/>
      </c>
      <c r="C3416" t="str">
        <f t="shared" si="191"/>
        <v/>
      </c>
      <c r="D3416" s="245" t="str">
        <f t="shared" si="193"/>
        <v/>
      </c>
      <c r="E3416" s="534"/>
      <c r="F3416" s="534"/>
    </row>
    <row r="3417" spans="1:6" ht="15" customHeight="1">
      <c r="A3417" s="51"/>
      <c r="B3417" s="52" t="str">
        <f t="shared" si="192"/>
        <v/>
      </c>
      <c r="C3417" t="str">
        <f t="shared" si="191"/>
        <v/>
      </c>
      <c r="D3417" s="245" t="str">
        <f t="shared" si="193"/>
        <v/>
      </c>
      <c r="E3417" s="534"/>
      <c r="F3417" s="534"/>
    </row>
    <row r="3418" spans="1:6" ht="15" customHeight="1">
      <c r="A3418" s="51"/>
      <c r="B3418" s="52" t="str">
        <f t="shared" si="192"/>
        <v/>
      </c>
      <c r="C3418" t="str">
        <f t="shared" si="191"/>
        <v/>
      </c>
      <c r="D3418" s="245" t="str">
        <f t="shared" si="193"/>
        <v/>
      </c>
      <c r="E3418" s="534"/>
      <c r="F3418" s="534"/>
    </row>
    <row r="3419" spans="1:6" ht="15" customHeight="1">
      <c r="A3419" s="51"/>
      <c r="B3419" s="52" t="str">
        <f t="shared" si="192"/>
        <v/>
      </c>
      <c r="C3419" t="str">
        <f t="shared" si="191"/>
        <v/>
      </c>
      <c r="D3419" s="245" t="str">
        <f t="shared" si="193"/>
        <v/>
      </c>
      <c r="E3419" s="534"/>
      <c r="F3419" s="534"/>
    </row>
    <row r="3420" spans="1:6" ht="15" customHeight="1">
      <c r="A3420" s="51"/>
      <c r="B3420" s="52" t="str">
        <f t="shared" si="192"/>
        <v/>
      </c>
      <c r="C3420" t="str">
        <f t="shared" si="191"/>
        <v/>
      </c>
      <c r="D3420" s="245" t="str">
        <f t="shared" si="193"/>
        <v/>
      </c>
      <c r="E3420" s="534"/>
      <c r="F3420" s="534"/>
    </row>
    <row r="3421" spans="1:6" ht="15" customHeight="1">
      <c r="A3421" s="51"/>
      <c r="B3421" s="52" t="str">
        <f t="shared" si="192"/>
        <v/>
      </c>
      <c r="C3421" t="str">
        <f t="shared" si="191"/>
        <v/>
      </c>
      <c r="D3421" s="245" t="str">
        <f t="shared" si="193"/>
        <v/>
      </c>
      <c r="E3421" s="534"/>
      <c r="F3421" s="534"/>
    </row>
    <row r="3422" spans="1:6" ht="15" customHeight="1">
      <c r="A3422" s="51"/>
      <c r="B3422" s="52" t="str">
        <f t="shared" si="192"/>
        <v/>
      </c>
      <c r="C3422" t="str">
        <f t="shared" si="191"/>
        <v/>
      </c>
      <c r="D3422" s="245" t="str">
        <f t="shared" si="193"/>
        <v/>
      </c>
      <c r="E3422" s="534"/>
      <c r="F3422" s="534"/>
    </row>
    <row r="3423" spans="1:6" ht="15" customHeight="1">
      <c r="A3423" s="51"/>
      <c r="B3423" s="52" t="str">
        <f t="shared" si="192"/>
        <v/>
      </c>
      <c r="C3423" t="str">
        <f t="shared" si="191"/>
        <v/>
      </c>
      <c r="D3423" s="245" t="str">
        <f t="shared" si="193"/>
        <v/>
      </c>
      <c r="E3423" s="534"/>
      <c r="F3423" s="534"/>
    </row>
    <row r="3424" spans="1:6" ht="15" customHeight="1">
      <c r="A3424" s="51"/>
      <c r="B3424" s="52" t="str">
        <f t="shared" si="192"/>
        <v/>
      </c>
      <c r="C3424" t="str">
        <f t="shared" si="191"/>
        <v/>
      </c>
      <c r="D3424" s="245" t="str">
        <f t="shared" si="193"/>
        <v/>
      </c>
      <c r="E3424" s="534"/>
      <c r="F3424" s="534"/>
    </row>
    <row r="3425" spans="1:6" ht="15" customHeight="1">
      <c r="A3425" s="51"/>
      <c r="B3425" s="52" t="str">
        <f t="shared" si="192"/>
        <v/>
      </c>
      <c r="C3425" t="str">
        <f t="shared" si="191"/>
        <v/>
      </c>
      <c r="D3425" s="245" t="str">
        <f t="shared" si="193"/>
        <v/>
      </c>
      <c r="E3425" s="534"/>
      <c r="F3425" s="534"/>
    </row>
    <row r="3426" spans="1:6" ht="15" customHeight="1">
      <c r="A3426" s="51"/>
      <c r="B3426" s="52" t="str">
        <f t="shared" si="192"/>
        <v/>
      </c>
      <c r="C3426" t="str">
        <f t="shared" si="191"/>
        <v/>
      </c>
      <c r="D3426" s="245" t="str">
        <f t="shared" si="193"/>
        <v/>
      </c>
      <c r="E3426" s="534"/>
      <c r="F3426" s="534"/>
    </row>
    <row r="3427" spans="1:6" ht="15" customHeight="1">
      <c r="A3427" s="51"/>
      <c r="B3427" s="52" t="str">
        <f t="shared" si="192"/>
        <v/>
      </c>
      <c r="C3427" t="str">
        <f t="shared" si="191"/>
        <v/>
      </c>
      <c r="D3427" s="245" t="str">
        <f t="shared" si="193"/>
        <v/>
      </c>
      <c r="E3427" s="534"/>
      <c r="F3427" s="534"/>
    </row>
    <row r="3428" spans="1:6" ht="15" customHeight="1">
      <c r="A3428" s="51"/>
      <c r="B3428" s="52" t="str">
        <f t="shared" si="192"/>
        <v/>
      </c>
      <c r="C3428" t="str">
        <f t="shared" si="191"/>
        <v/>
      </c>
      <c r="D3428" s="245" t="str">
        <f t="shared" si="193"/>
        <v/>
      </c>
      <c r="E3428" s="534"/>
      <c r="F3428" s="534"/>
    </row>
    <row r="3429" spans="1:6" ht="15" customHeight="1">
      <c r="A3429" s="51"/>
      <c r="B3429" s="52" t="str">
        <f t="shared" si="192"/>
        <v/>
      </c>
      <c r="C3429" t="str">
        <f t="shared" si="191"/>
        <v/>
      </c>
      <c r="D3429" s="245" t="str">
        <f t="shared" si="193"/>
        <v/>
      </c>
      <c r="E3429" s="534"/>
      <c r="F3429" s="534"/>
    </row>
    <row r="3430" spans="1:6" ht="15" customHeight="1">
      <c r="A3430" s="51"/>
      <c r="B3430" s="52" t="str">
        <f t="shared" si="192"/>
        <v/>
      </c>
      <c r="C3430" t="str">
        <f t="shared" si="191"/>
        <v/>
      </c>
      <c r="D3430" s="245" t="str">
        <f t="shared" si="193"/>
        <v/>
      </c>
      <c r="E3430" s="534"/>
      <c r="F3430" s="534"/>
    </row>
    <row r="3431" spans="1:6" ht="15" customHeight="1">
      <c r="A3431" s="51"/>
      <c r="B3431" s="52" t="str">
        <f t="shared" si="192"/>
        <v/>
      </c>
      <c r="C3431" t="str">
        <f t="shared" si="191"/>
        <v/>
      </c>
      <c r="D3431" s="245" t="str">
        <f t="shared" si="193"/>
        <v/>
      </c>
      <c r="E3431" s="534"/>
      <c r="F3431" s="534"/>
    </row>
    <row r="3432" spans="1:6" ht="15" customHeight="1">
      <c r="A3432" s="51"/>
      <c r="B3432" s="52" t="str">
        <f t="shared" si="192"/>
        <v/>
      </c>
      <c r="C3432" t="str">
        <f t="shared" si="191"/>
        <v/>
      </c>
      <c r="D3432" s="245" t="str">
        <f t="shared" si="193"/>
        <v/>
      </c>
      <c r="E3432" s="534"/>
      <c r="F3432" s="534"/>
    </row>
    <row r="3433" spans="1:6" ht="15" customHeight="1">
      <c r="A3433" s="51"/>
      <c r="B3433" s="52" t="str">
        <f t="shared" si="192"/>
        <v/>
      </c>
      <c r="C3433" t="str">
        <f t="shared" si="191"/>
        <v/>
      </c>
      <c r="D3433" s="245" t="str">
        <f t="shared" si="193"/>
        <v/>
      </c>
      <c r="E3433" s="534"/>
      <c r="F3433" s="534"/>
    </row>
    <row r="3434" spans="1:6" ht="15" customHeight="1">
      <c r="A3434" s="51"/>
      <c r="B3434" s="52" t="str">
        <f t="shared" si="192"/>
        <v/>
      </c>
      <c r="C3434" t="str">
        <f t="shared" si="191"/>
        <v/>
      </c>
      <c r="D3434" s="245" t="str">
        <f t="shared" si="193"/>
        <v/>
      </c>
      <c r="E3434" s="534"/>
      <c r="F3434" s="534"/>
    </row>
    <row r="3435" spans="1:6" ht="15" customHeight="1">
      <c r="A3435" s="51"/>
      <c r="B3435" s="52" t="str">
        <f t="shared" si="192"/>
        <v/>
      </c>
      <c r="C3435" t="str">
        <f t="shared" si="191"/>
        <v/>
      </c>
      <c r="D3435" s="245" t="str">
        <f t="shared" si="193"/>
        <v/>
      </c>
      <c r="E3435" s="534"/>
      <c r="F3435" s="534"/>
    </row>
    <row r="3436" spans="1:6" ht="15" customHeight="1">
      <c r="A3436" s="51"/>
      <c r="B3436" s="52" t="str">
        <f t="shared" si="192"/>
        <v/>
      </c>
      <c r="C3436" t="str">
        <f t="shared" si="191"/>
        <v/>
      </c>
      <c r="D3436" s="245" t="str">
        <f t="shared" si="193"/>
        <v/>
      </c>
      <c r="E3436" s="534"/>
      <c r="F3436" s="534"/>
    </row>
    <row r="3437" spans="1:6" ht="15" customHeight="1">
      <c r="A3437" s="51"/>
      <c r="B3437" s="52" t="str">
        <f t="shared" si="192"/>
        <v/>
      </c>
      <c r="C3437" t="str">
        <f t="shared" si="191"/>
        <v/>
      </c>
      <c r="D3437" s="245" t="str">
        <f t="shared" si="193"/>
        <v/>
      </c>
      <c r="E3437" s="534"/>
      <c r="F3437" s="534"/>
    </row>
    <row r="3438" spans="1:6" ht="15" customHeight="1">
      <c r="A3438" s="51"/>
      <c r="B3438" s="52" t="str">
        <f t="shared" si="192"/>
        <v/>
      </c>
      <c r="C3438" t="str">
        <f t="shared" si="191"/>
        <v/>
      </c>
      <c r="D3438" s="245" t="str">
        <f t="shared" si="193"/>
        <v/>
      </c>
      <c r="E3438" s="534"/>
      <c r="F3438" s="534"/>
    </row>
    <row r="3439" spans="1:6" ht="15" customHeight="1">
      <c r="A3439" s="51"/>
      <c r="B3439" s="52" t="str">
        <f t="shared" si="192"/>
        <v/>
      </c>
      <c r="C3439" t="str">
        <f t="shared" si="191"/>
        <v/>
      </c>
      <c r="D3439" s="245" t="str">
        <f t="shared" si="193"/>
        <v/>
      </c>
      <c r="E3439" s="534"/>
      <c r="F3439" s="534"/>
    </row>
    <row r="3440" spans="1:6" ht="15" customHeight="1">
      <c r="A3440" s="51"/>
      <c r="B3440" s="52" t="str">
        <f t="shared" si="192"/>
        <v/>
      </c>
      <c r="C3440" t="str">
        <f t="shared" si="191"/>
        <v/>
      </c>
      <c r="D3440" s="245" t="str">
        <f t="shared" si="193"/>
        <v/>
      </c>
      <c r="E3440" s="534"/>
      <c r="F3440" s="534"/>
    </row>
    <row r="3441" spans="1:6" ht="15" customHeight="1">
      <c r="A3441" s="51"/>
      <c r="B3441" s="52" t="str">
        <f t="shared" si="192"/>
        <v/>
      </c>
      <c r="C3441" t="str">
        <f t="shared" si="191"/>
        <v/>
      </c>
      <c r="D3441" s="245" t="str">
        <f t="shared" si="193"/>
        <v/>
      </c>
      <c r="E3441" s="534"/>
      <c r="F3441" s="534"/>
    </row>
    <row r="3442" spans="1:6" ht="15" customHeight="1">
      <c r="A3442" s="51"/>
      <c r="B3442" s="52" t="str">
        <f t="shared" si="192"/>
        <v/>
      </c>
      <c r="C3442" t="str">
        <f t="shared" si="191"/>
        <v/>
      </c>
      <c r="D3442" s="245" t="str">
        <f t="shared" si="193"/>
        <v/>
      </c>
      <c r="E3442" s="534"/>
      <c r="F3442" s="534"/>
    </row>
    <row r="3443" spans="1:6" ht="15" customHeight="1">
      <c r="A3443" s="51"/>
      <c r="B3443" s="52" t="str">
        <f t="shared" si="192"/>
        <v/>
      </c>
      <c r="C3443" t="str">
        <f t="shared" si="191"/>
        <v/>
      </c>
      <c r="D3443" s="245" t="str">
        <f t="shared" si="193"/>
        <v/>
      </c>
      <c r="E3443" s="534"/>
      <c r="F3443" s="534"/>
    </row>
    <row r="3444" spans="1:6" ht="15" customHeight="1">
      <c r="A3444" s="51"/>
      <c r="B3444" s="52" t="str">
        <f t="shared" si="192"/>
        <v/>
      </c>
      <c r="C3444" t="str">
        <f t="shared" si="191"/>
        <v/>
      </c>
      <c r="D3444" s="245" t="str">
        <f t="shared" si="193"/>
        <v/>
      </c>
      <c r="E3444" s="534"/>
      <c r="F3444" s="534"/>
    </row>
    <row r="3445" spans="1:6" ht="15" customHeight="1">
      <c r="A3445" s="51"/>
      <c r="B3445" s="52" t="str">
        <f t="shared" si="192"/>
        <v/>
      </c>
      <c r="C3445" t="str">
        <f t="shared" si="191"/>
        <v/>
      </c>
      <c r="D3445" s="245" t="str">
        <f t="shared" si="193"/>
        <v/>
      </c>
      <c r="E3445" s="534"/>
      <c r="F3445" s="534"/>
    </row>
    <row r="3446" spans="1:6" ht="15" customHeight="1">
      <c r="A3446" s="51"/>
      <c r="B3446" s="52" t="str">
        <f t="shared" si="192"/>
        <v/>
      </c>
      <c r="C3446" t="str">
        <f t="shared" si="191"/>
        <v/>
      </c>
      <c r="D3446" s="245" t="str">
        <f t="shared" si="193"/>
        <v/>
      </c>
      <c r="E3446" s="534"/>
      <c r="F3446" s="534"/>
    </row>
    <row r="3447" spans="1:6" ht="15" customHeight="1">
      <c r="A3447" s="51"/>
      <c r="B3447" s="52" t="str">
        <f t="shared" si="192"/>
        <v/>
      </c>
      <c r="C3447" t="str">
        <f t="shared" si="191"/>
        <v/>
      </c>
      <c r="D3447" s="245" t="str">
        <f t="shared" si="193"/>
        <v/>
      </c>
      <c r="E3447" s="534"/>
      <c r="F3447" s="534"/>
    </row>
    <row r="3448" spans="1:6" ht="15" customHeight="1">
      <c r="A3448" s="51"/>
      <c r="B3448" s="52" t="str">
        <f t="shared" si="192"/>
        <v/>
      </c>
      <c r="C3448" t="str">
        <f t="shared" si="191"/>
        <v/>
      </c>
      <c r="D3448" s="245" t="str">
        <f t="shared" si="193"/>
        <v/>
      </c>
      <c r="E3448" s="534"/>
      <c r="F3448" s="534"/>
    </row>
    <row r="3449" spans="1:6" ht="15" customHeight="1">
      <c r="A3449" s="51"/>
      <c r="B3449" s="52" t="str">
        <f t="shared" si="192"/>
        <v/>
      </c>
      <c r="C3449" t="str">
        <f t="shared" si="191"/>
        <v/>
      </c>
      <c r="D3449" s="245" t="str">
        <f t="shared" si="193"/>
        <v/>
      </c>
      <c r="E3449" s="534"/>
      <c r="F3449" s="534"/>
    </row>
    <row r="3450" spans="1:6" ht="15" customHeight="1">
      <c r="A3450" s="51"/>
      <c r="B3450" s="52" t="str">
        <f t="shared" si="192"/>
        <v/>
      </c>
      <c r="C3450" t="str">
        <f t="shared" si="191"/>
        <v/>
      </c>
      <c r="D3450" s="245" t="str">
        <f t="shared" si="193"/>
        <v/>
      </c>
      <c r="E3450" s="534"/>
      <c r="F3450" s="534"/>
    </row>
    <row r="3451" spans="1:6" ht="15" customHeight="1">
      <c r="A3451" s="51"/>
      <c r="B3451" s="52" t="str">
        <f t="shared" si="192"/>
        <v/>
      </c>
      <c r="C3451" t="str">
        <f t="shared" si="191"/>
        <v/>
      </c>
      <c r="D3451" s="245" t="str">
        <f t="shared" si="193"/>
        <v/>
      </c>
      <c r="E3451" s="534"/>
      <c r="F3451" s="534"/>
    </row>
    <row r="3452" spans="1:6" ht="15" customHeight="1">
      <c r="A3452" s="51"/>
      <c r="B3452" s="52" t="str">
        <f t="shared" si="192"/>
        <v/>
      </c>
      <c r="C3452" t="str">
        <f t="shared" si="191"/>
        <v/>
      </c>
      <c r="D3452" s="245" t="str">
        <f t="shared" si="193"/>
        <v/>
      </c>
      <c r="E3452" s="534"/>
      <c r="F3452" s="534"/>
    </row>
    <row r="3453" spans="1:6" ht="15" customHeight="1">
      <c r="A3453" s="51"/>
      <c r="B3453" s="52" t="str">
        <f t="shared" si="192"/>
        <v/>
      </c>
      <c r="C3453" t="str">
        <f t="shared" si="191"/>
        <v/>
      </c>
      <c r="D3453" s="245" t="str">
        <f t="shared" si="193"/>
        <v/>
      </c>
      <c r="E3453" s="534"/>
      <c r="F3453" s="534"/>
    </row>
    <row r="3454" spans="1:6" ht="15" customHeight="1">
      <c r="A3454" s="51"/>
      <c r="B3454" s="52" t="str">
        <f t="shared" si="192"/>
        <v/>
      </c>
      <c r="C3454" t="str">
        <f t="shared" si="191"/>
        <v/>
      </c>
      <c r="D3454" s="245" t="str">
        <f t="shared" si="193"/>
        <v/>
      </c>
      <c r="E3454" s="534"/>
      <c r="F3454" s="534"/>
    </row>
    <row r="3455" spans="1:6" ht="15" customHeight="1">
      <c r="A3455" s="51"/>
      <c r="B3455" s="52" t="str">
        <f t="shared" si="192"/>
        <v/>
      </c>
      <c r="C3455" t="str">
        <f t="shared" si="191"/>
        <v/>
      </c>
      <c r="D3455" s="245" t="str">
        <f t="shared" si="193"/>
        <v/>
      </c>
      <c r="E3455" s="534"/>
      <c r="F3455" s="534"/>
    </row>
    <row r="3456" spans="1:6" ht="15" customHeight="1">
      <c r="A3456" s="51"/>
      <c r="B3456" s="52" t="str">
        <f t="shared" si="192"/>
        <v/>
      </c>
      <c r="C3456" t="str">
        <f t="shared" si="191"/>
        <v/>
      </c>
      <c r="D3456" s="245" t="str">
        <f t="shared" si="193"/>
        <v/>
      </c>
      <c r="E3456" s="534"/>
      <c r="F3456" s="534"/>
    </row>
    <row r="3457" spans="1:6" ht="15" customHeight="1">
      <c r="A3457" s="51"/>
      <c r="B3457" s="52" t="str">
        <f t="shared" si="192"/>
        <v/>
      </c>
      <c r="C3457" t="str">
        <f t="shared" si="191"/>
        <v/>
      </c>
      <c r="D3457" s="245" t="str">
        <f t="shared" si="193"/>
        <v/>
      </c>
      <c r="E3457" s="534"/>
      <c r="F3457" s="534"/>
    </row>
    <row r="3458" spans="1:6" ht="15" customHeight="1">
      <c r="A3458" s="51"/>
      <c r="B3458" s="52" t="str">
        <f t="shared" si="192"/>
        <v/>
      </c>
      <c r="C3458" t="str">
        <f t="shared" ref="C3458:C3521" si="194">IF(A3458&lt;&gt;"",TEXT(A3458,"aaaa"),"")</f>
        <v/>
      </c>
      <c r="D3458" s="245" t="str">
        <f t="shared" si="193"/>
        <v/>
      </c>
      <c r="E3458" s="534"/>
      <c r="F3458" s="534"/>
    </row>
    <row r="3459" spans="1:6" ht="15" customHeight="1">
      <c r="A3459" s="51"/>
      <c r="B3459" s="52" t="str">
        <f t="shared" si="192"/>
        <v/>
      </c>
      <c r="C3459" t="str">
        <f t="shared" si="194"/>
        <v/>
      </c>
      <c r="D3459" s="245" t="str">
        <f t="shared" si="193"/>
        <v/>
      </c>
      <c r="E3459" s="534"/>
      <c r="F3459" s="534"/>
    </row>
    <row r="3460" spans="1:6" ht="15" customHeight="1">
      <c r="A3460" s="51"/>
      <c r="B3460" s="52" t="str">
        <f t="shared" si="192"/>
        <v/>
      </c>
      <c r="C3460" t="str">
        <f t="shared" si="194"/>
        <v/>
      </c>
      <c r="D3460" s="245" t="str">
        <f t="shared" si="193"/>
        <v/>
      </c>
      <c r="E3460" s="534"/>
      <c r="F3460" s="534"/>
    </row>
    <row r="3461" spans="1:6" ht="15" customHeight="1">
      <c r="A3461" s="51"/>
      <c r="B3461" s="52" t="str">
        <f t="shared" si="192"/>
        <v/>
      </c>
      <c r="C3461" t="str">
        <f t="shared" si="194"/>
        <v/>
      </c>
      <c r="D3461" s="245" t="str">
        <f t="shared" si="193"/>
        <v/>
      </c>
      <c r="E3461" s="534"/>
      <c r="F3461" s="534"/>
    </row>
    <row r="3462" spans="1:6" ht="15" customHeight="1">
      <c r="A3462" s="51"/>
      <c r="B3462" s="52" t="str">
        <f t="shared" si="192"/>
        <v/>
      </c>
      <c r="C3462" t="str">
        <f t="shared" si="194"/>
        <v/>
      </c>
      <c r="D3462" s="245" t="str">
        <f t="shared" si="193"/>
        <v/>
      </c>
      <c r="E3462" s="534"/>
      <c r="F3462" s="534"/>
    </row>
    <row r="3463" spans="1:6" ht="15" customHeight="1">
      <c r="A3463" s="51"/>
      <c r="B3463" s="52" t="str">
        <f t="shared" si="192"/>
        <v/>
      </c>
      <c r="C3463" t="str">
        <f t="shared" si="194"/>
        <v/>
      </c>
      <c r="D3463" s="245" t="str">
        <f t="shared" si="193"/>
        <v/>
      </c>
      <c r="E3463" s="534"/>
      <c r="F3463" s="534"/>
    </row>
    <row r="3464" spans="1:6" ht="15" customHeight="1">
      <c r="A3464" s="51"/>
      <c r="B3464" s="52" t="str">
        <f t="shared" ref="B3464:B3527" si="195">IF(A3464="","",TEXT(A3464,"DDDD"))</f>
        <v/>
      </c>
      <c r="C3464" t="str">
        <f t="shared" si="194"/>
        <v/>
      </c>
      <c r="D3464" s="245" t="str">
        <f t="shared" si="193"/>
        <v/>
      </c>
      <c r="E3464" s="534"/>
      <c r="F3464" s="534"/>
    </row>
    <row r="3465" spans="1:6" ht="15" customHeight="1">
      <c r="A3465" s="51"/>
      <c r="B3465" s="52" t="str">
        <f t="shared" si="195"/>
        <v/>
      </c>
      <c r="C3465" t="str">
        <f t="shared" si="194"/>
        <v/>
      </c>
      <c r="D3465" s="245" t="str">
        <f t="shared" ref="D3465:D3528" si="196">IF(A3465&lt;&gt;"",PROPER(TEXT(A3465,"Mmmm")),"")</f>
        <v/>
      </c>
      <c r="E3465" s="534"/>
      <c r="F3465" s="534"/>
    </row>
    <row r="3466" spans="1:6" ht="15" customHeight="1">
      <c r="A3466" s="51"/>
      <c r="B3466" s="52" t="str">
        <f t="shared" si="195"/>
        <v/>
      </c>
      <c r="C3466" t="str">
        <f t="shared" si="194"/>
        <v/>
      </c>
      <c r="D3466" s="245" t="str">
        <f t="shared" si="196"/>
        <v/>
      </c>
      <c r="E3466" s="534"/>
      <c r="F3466" s="534"/>
    </row>
    <row r="3467" spans="1:6" ht="15" customHeight="1">
      <c r="A3467" s="51"/>
      <c r="B3467" s="52" t="str">
        <f t="shared" si="195"/>
        <v/>
      </c>
      <c r="C3467" t="str">
        <f t="shared" si="194"/>
        <v/>
      </c>
      <c r="D3467" s="245" t="str">
        <f t="shared" si="196"/>
        <v/>
      </c>
      <c r="E3467" s="534"/>
      <c r="F3467" s="534"/>
    </row>
    <row r="3468" spans="1:6" ht="15" customHeight="1">
      <c r="A3468" s="51"/>
      <c r="B3468" s="52" t="str">
        <f t="shared" si="195"/>
        <v/>
      </c>
      <c r="C3468" t="str">
        <f t="shared" si="194"/>
        <v/>
      </c>
      <c r="D3468" s="245" t="str">
        <f t="shared" si="196"/>
        <v/>
      </c>
      <c r="E3468" s="534"/>
      <c r="F3468" s="534"/>
    </row>
    <row r="3469" spans="1:6" ht="15" customHeight="1">
      <c r="A3469" s="51"/>
      <c r="B3469" s="52" t="str">
        <f t="shared" si="195"/>
        <v/>
      </c>
      <c r="C3469" t="str">
        <f t="shared" si="194"/>
        <v/>
      </c>
      <c r="D3469" s="245" t="str">
        <f t="shared" si="196"/>
        <v/>
      </c>
      <c r="E3469" s="534"/>
      <c r="F3469" s="534"/>
    </row>
    <row r="3470" spans="1:6" ht="15" customHeight="1">
      <c r="A3470" s="51"/>
      <c r="B3470" s="52" t="str">
        <f t="shared" si="195"/>
        <v/>
      </c>
      <c r="C3470" t="str">
        <f t="shared" si="194"/>
        <v/>
      </c>
      <c r="D3470" s="245" t="str">
        <f t="shared" si="196"/>
        <v/>
      </c>
      <c r="E3470" s="534"/>
      <c r="F3470" s="534"/>
    </row>
    <row r="3471" spans="1:6" ht="15" customHeight="1">
      <c r="A3471" s="51"/>
      <c r="B3471" s="52" t="str">
        <f t="shared" si="195"/>
        <v/>
      </c>
      <c r="C3471" t="str">
        <f t="shared" si="194"/>
        <v/>
      </c>
      <c r="D3471" s="245" t="str">
        <f t="shared" si="196"/>
        <v/>
      </c>
      <c r="E3471" s="534"/>
      <c r="F3471" s="534"/>
    </row>
    <row r="3472" spans="1:6" ht="15" customHeight="1">
      <c r="A3472" s="51"/>
      <c r="B3472" s="52" t="str">
        <f t="shared" si="195"/>
        <v/>
      </c>
      <c r="C3472" t="str">
        <f t="shared" si="194"/>
        <v/>
      </c>
      <c r="D3472" s="245" t="str">
        <f t="shared" si="196"/>
        <v/>
      </c>
      <c r="E3472" s="534"/>
      <c r="F3472" s="534"/>
    </row>
    <row r="3473" spans="1:6" ht="15" customHeight="1">
      <c r="A3473" s="51"/>
      <c r="B3473" s="52" t="str">
        <f t="shared" si="195"/>
        <v/>
      </c>
      <c r="C3473" t="str">
        <f t="shared" si="194"/>
        <v/>
      </c>
      <c r="D3473" s="245" t="str">
        <f t="shared" si="196"/>
        <v/>
      </c>
      <c r="E3473" s="534"/>
      <c r="F3473" s="534"/>
    </row>
    <row r="3474" spans="1:6" ht="15" customHeight="1">
      <c r="A3474" s="51"/>
      <c r="B3474" s="52" t="str">
        <f t="shared" si="195"/>
        <v/>
      </c>
      <c r="C3474" t="str">
        <f t="shared" si="194"/>
        <v/>
      </c>
      <c r="D3474" s="245" t="str">
        <f t="shared" si="196"/>
        <v/>
      </c>
      <c r="E3474" s="534"/>
      <c r="F3474" s="534"/>
    </row>
    <row r="3475" spans="1:6" ht="15" customHeight="1">
      <c r="A3475" s="51"/>
      <c r="B3475" s="52" t="str">
        <f t="shared" si="195"/>
        <v/>
      </c>
      <c r="C3475" t="str">
        <f t="shared" si="194"/>
        <v/>
      </c>
      <c r="D3475" s="245" t="str">
        <f t="shared" si="196"/>
        <v/>
      </c>
      <c r="E3475" s="534"/>
      <c r="F3475" s="534"/>
    </row>
    <row r="3476" spans="1:6" ht="15" customHeight="1">
      <c r="A3476" s="51"/>
      <c r="B3476" s="52" t="str">
        <f t="shared" si="195"/>
        <v/>
      </c>
      <c r="C3476" t="str">
        <f t="shared" si="194"/>
        <v/>
      </c>
      <c r="D3476" s="245" t="str">
        <f t="shared" si="196"/>
        <v/>
      </c>
      <c r="E3476" s="534"/>
      <c r="F3476" s="534"/>
    </row>
    <row r="3477" spans="1:6" ht="15" customHeight="1">
      <c r="A3477" s="51"/>
      <c r="B3477" s="52" t="str">
        <f t="shared" si="195"/>
        <v/>
      </c>
      <c r="C3477" t="str">
        <f t="shared" si="194"/>
        <v/>
      </c>
      <c r="D3477" s="245" t="str">
        <f t="shared" si="196"/>
        <v/>
      </c>
      <c r="E3477" s="534"/>
      <c r="F3477" s="534"/>
    </row>
    <row r="3478" spans="1:6" ht="15" customHeight="1">
      <c r="A3478" s="51"/>
      <c r="B3478" s="52" t="str">
        <f t="shared" si="195"/>
        <v/>
      </c>
      <c r="C3478" t="str">
        <f t="shared" si="194"/>
        <v/>
      </c>
      <c r="D3478" s="245" t="str">
        <f t="shared" si="196"/>
        <v/>
      </c>
      <c r="E3478" s="534"/>
      <c r="F3478" s="534"/>
    </row>
    <row r="3479" spans="1:6" ht="15" customHeight="1">
      <c r="A3479" s="51"/>
      <c r="B3479" s="52" t="str">
        <f t="shared" si="195"/>
        <v/>
      </c>
      <c r="C3479" t="str">
        <f t="shared" si="194"/>
        <v/>
      </c>
      <c r="D3479" s="245" t="str">
        <f t="shared" si="196"/>
        <v/>
      </c>
      <c r="E3479" s="534"/>
      <c r="F3479" s="534"/>
    </row>
    <row r="3480" spans="1:6" ht="15" customHeight="1">
      <c r="A3480" s="51"/>
      <c r="B3480" s="52" t="str">
        <f t="shared" si="195"/>
        <v/>
      </c>
      <c r="C3480" t="str">
        <f t="shared" si="194"/>
        <v/>
      </c>
      <c r="D3480" s="245" t="str">
        <f t="shared" si="196"/>
        <v/>
      </c>
      <c r="E3480" s="534"/>
      <c r="F3480" s="534"/>
    </row>
    <row r="3481" spans="1:6" ht="15" customHeight="1">
      <c r="A3481" s="51"/>
      <c r="B3481" s="52" t="str">
        <f t="shared" si="195"/>
        <v/>
      </c>
      <c r="C3481" t="str">
        <f t="shared" si="194"/>
        <v/>
      </c>
      <c r="D3481" s="245" t="str">
        <f t="shared" si="196"/>
        <v/>
      </c>
      <c r="E3481" s="534"/>
      <c r="F3481" s="534"/>
    </row>
    <row r="3482" spans="1:6" ht="15" customHeight="1">
      <c r="A3482" s="51"/>
      <c r="B3482" s="52" t="str">
        <f t="shared" si="195"/>
        <v/>
      </c>
      <c r="C3482" t="str">
        <f t="shared" si="194"/>
        <v/>
      </c>
      <c r="D3482" s="245" t="str">
        <f t="shared" si="196"/>
        <v/>
      </c>
      <c r="E3482" s="534"/>
      <c r="F3482" s="534"/>
    </row>
    <row r="3483" spans="1:6" ht="15" customHeight="1">
      <c r="A3483" s="51"/>
      <c r="B3483" s="52" t="str">
        <f t="shared" si="195"/>
        <v/>
      </c>
      <c r="C3483" t="str">
        <f t="shared" si="194"/>
        <v/>
      </c>
      <c r="D3483" s="245" t="str">
        <f t="shared" si="196"/>
        <v/>
      </c>
      <c r="E3483" s="534"/>
      <c r="F3483" s="534"/>
    </row>
    <row r="3484" spans="1:6" ht="15" customHeight="1">
      <c r="A3484" s="51"/>
      <c r="B3484" s="52" t="str">
        <f t="shared" si="195"/>
        <v/>
      </c>
      <c r="C3484" t="str">
        <f t="shared" si="194"/>
        <v/>
      </c>
      <c r="D3484" s="245" t="str">
        <f t="shared" si="196"/>
        <v/>
      </c>
      <c r="E3484" s="534"/>
      <c r="F3484" s="534"/>
    </row>
    <row r="3485" spans="1:6" ht="15" customHeight="1">
      <c r="A3485" s="51"/>
      <c r="B3485" s="52" t="str">
        <f t="shared" si="195"/>
        <v/>
      </c>
      <c r="C3485" t="str">
        <f t="shared" si="194"/>
        <v/>
      </c>
      <c r="D3485" s="245" t="str">
        <f t="shared" si="196"/>
        <v/>
      </c>
      <c r="E3485" s="534"/>
      <c r="F3485" s="534"/>
    </row>
    <row r="3486" spans="1:6" ht="15" customHeight="1">
      <c r="A3486" s="51"/>
      <c r="B3486" s="52" t="str">
        <f t="shared" si="195"/>
        <v/>
      </c>
      <c r="C3486" t="str">
        <f t="shared" si="194"/>
        <v/>
      </c>
      <c r="D3486" s="245" t="str">
        <f t="shared" si="196"/>
        <v/>
      </c>
      <c r="E3486" s="534"/>
      <c r="F3486" s="534"/>
    </row>
    <row r="3487" spans="1:6" ht="15" customHeight="1">
      <c r="A3487" s="51"/>
      <c r="B3487" s="52" t="str">
        <f t="shared" si="195"/>
        <v/>
      </c>
      <c r="C3487" t="str">
        <f t="shared" si="194"/>
        <v/>
      </c>
      <c r="D3487" s="245" t="str">
        <f t="shared" si="196"/>
        <v/>
      </c>
      <c r="E3487" s="534"/>
      <c r="F3487" s="534"/>
    </row>
    <row r="3488" spans="1:6" ht="15" customHeight="1">
      <c r="A3488" s="51"/>
      <c r="B3488" s="52" t="str">
        <f t="shared" si="195"/>
        <v/>
      </c>
      <c r="C3488" t="str">
        <f t="shared" si="194"/>
        <v/>
      </c>
      <c r="D3488" s="245" t="str">
        <f t="shared" si="196"/>
        <v/>
      </c>
      <c r="E3488" s="534"/>
      <c r="F3488" s="534"/>
    </row>
    <row r="3489" spans="1:6" ht="15" customHeight="1">
      <c r="A3489" s="51"/>
      <c r="B3489" s="52" t="str">
        <f t="shared" si="195"/>
        <v/>
      </c>
      <c r="C3489" t="str">
        <f t="shared" si="194"/>
        <v/>
      </c>
      <c r="D3489" s="245" t="str">
        <f t="shared" si="196"/>
        <v/>
      </c>
      <c r="E3489" s="534"/>
      <c r="F3489" s="534"/>
    </row>
    <row r="3490" spans="1:6" ht="15" customHeight="1">
      <c r="A3490" s="51"/>
      <c r="B3490" s="52" t="str">
        <f t="shared" si="195"/>
        <v/>
      </c>
      <c r="C3490" t="str">
        <f t="shared" si="194"/>
        <v/>
      </c>
      <c r="D3490" s="245" t="str">
        <f t="shared" si="196"/>
        <v/>
      </c>
      <c r="E3490" s="534"/>
      <c r="F3490" s="534"/>
    </row>
    <row r="3491" spans="1:6" ht="15" customHeight="1">
      <c r="A3491" s="51"/>
      <c r="B3491" s="52" t="str">
        <f t="shared" si="195"/>
        <v/>
      </c>
      <c r="C3491" t="str">
        <f t="shared" si="194"/>
        <v/>
      </c>
      <c r="D3491" s="245" t="str">
        <f t="shared" si="196"/>
        <v/>
      </c>
      <c r="E3491" s="534"/>
      <c r="F3491" s="534"/>
    </row>
    <row r="3492" spans="1:6" ht="15" customHeight="1">
      <c r="A3492" s="51"/>
      <c r="B3492" s="52" t="str">
        <f t="shared" si="195"/>
        <v/>
      </c>
      <c r="C3492" t="str">
        <f t="shared" si="194"/>
        <v/>
      </c>
      <c r="D3492" s="245" t="str">
        <f t="shared" si="196"/>
        <v/>
      </c>
      <c r="E3492" s="534"/>
      <c r="F3492" s="534"/>
    </row>
    <row r="3493" spans="1:6" ht="15" customHeight="1">
      <c r="A3493" s="51"/>
      <c r="B3493" s="52" t="str">
        <f t="shared" si="195"/>
        <v/>
      </c>
      <c r="C3493" t="str">
        <f t="shared" si="194"/>
        <v/>
      </c>
      <c r="D3493" s="245" t="str">
        <f t="shared" si="196"/>
        <v/>
      </c>
      <c r="E3493" s="534"/>
      <c r="F3493" s="534"/>
    </row>
    <row r="3494" spans="1:6" ht="15" customHeight="1">
      <c r="A3494" s="51"/>
      <c r="B3494" s="52" t="str">
        <f t="shared" si="195"/>
        <v/>
      </c>
      <c r="C3494" t="str">
        <f t="shared" si="194"/>
        <v/>
      </c>
      <c r="D3494" s="245" t="str">
        <f t="shared" si="196"/>
        <v/>
      </c>
      <c r="E3494" s="534"/>
      <c r="F3494" s="534"/>
    </row>
    <row r="3495" spans="1:6" ht="15" customHeight="1">
      <c r="A3495" s="51"/>
      <c r="B3495" s="52" t="str">
        <f t="shared" si="195"/>
        <v/>
      </c>
      <c r="C3495" t="str">
        <f t="shared" si="194"/>
        <v/>
      </c>
      <c r="D3495" s="245" t="str">
        <f t="shared" si="196"/>
        <v/>
      </c>
      <c r="E3495" s="534"/>
      <c r="F3495" s="534"/>
    </row>
    <row r="3496" spans="1:6" ht="15" customHeight="1">
      <c r="A3496" s="51"/>
      <c r="B3496" s="52" t="str">
        <f t="shared" si="195"/>
        <v/>
      </c>
      <c r="C3496" t="str">
        <f t="shared" si="194"/>
        <v/>
      </c>
      <c r="D3496" s="245" t="str">
        <f t="shared" si="196"/>
        <v/>
      </c>
      <c r="E3496" s="534"/>
      <c r="F3496" s="534"/>
    </row>
    <row r="3497" spans="1:6" ht="15" customHeight="1">
      <c r="A3497" s="51"/>
      <c r="B3497" s="52" t="str">
        <f t="shared" si="195"/>
        <v/>
      </c>
      <c r="C3497" t="str">
        <f t="shared" si="194"/>
        <v/>
      </c>
      <c r="D3497" s="245" t="str">
        <f t="shared" si="196"/>
        <v/>
      </c>
      <c r="E3497" s="534"/>
      <c r="F3497" s="534"/>
    </row>
    <row r="3498" spans="1:6" ht="15" customHeight="1">
      <c r="A3498" s="51"/>
      <c r="B3498" s="52" t="str">
        <f t="shared" si="195"/>
        <v/>
      </c>
      <c r="C3498" t="str">
        <f t="shared" si="194"/>
        <v/>
      </c>
      <c r="D3498" s="245" t="str">
        <f t="shared" si="196"/>
        <v/>
      </c>
      <c r="E3498" s="534"/>
      <c r="F3498" s="534"/>
    </row>
    <row r="3499" spans="1:6" ht="15" customHeight="1">
      <c r="A3499" s="51"/>
      <c r="B3499" s="52" t="str">
        <f t="shared" si="195"/>
        <v/>
      </c>
      <c r="C3499" t="str">
        <f t="shared" si="194"/>
        <v/>
      </c>
      <c r="D3499" s="245" t="str">
        <f t="shared" si="196"/>
        <v/>
      </c>
      <c r="E3499" s="534"/>
      <c r="F3499" s="534"/>
    </row>
    <row r="3500" spans="1:6" ht="15" customHeight="1">
      <c r="A3500" s="51"/>
      <c r="B3500" s="52" t="str">
        <f t="shared" si="195"/>
        <v/>
      </c>
      <c r="C3500" t="str">
        <f t="shared" si="194"/>
        <v/>
      </c>
      <c r="D3500" s="245" t="str">
        <f t="shared" si="196"/>
        <v/>
      </c>
      <c r="E3500" s="534"/>
      <c r="F3500" s="534"/>
    </row>
    <row r="3501" spans="1:6" ht="15" customHeight="1">
      <c r="A3501" s="51"/>
      <c r="B3501" s="52" t="str">
        <f t="shared" si="195"/>
        <v/>
      </c>
      <c r="C3501" t="str">
        <f t="shared" si="194"/>
        <v/>
      </c>
      <c r="D3501" s="245" t="str">
        <f t="shared" si="196"/>
        <v/>
      </c>
      <c r="E3501" s="534"/>
      <c r="F3501" s="534"/>
    </row>
    <row r="3502" spans="1:6" ht="15" customHeight="1">
      <c r="A3502" s="51"/>
      <c r="B3502" s="52" t="str">
        <f t="shared" si="195"/>
        <v/>
      </c>
      <c r="C3502" t="str">
        <f t="shared" si="194"/>
        <v/>
      </c>
      <c r="D3502" s="245" t="str">
        <f t="shared" si="196"/>
        <v/>
      </c>
      <c r="E3502" s="534"/>
      <c r="F3502" s="534"/>
    </row>
    <row r="3503" spans="1:6" ht="15" customHeight="1">
      <c r="A3503" s="51"/>
      <c r="B3503" s="52" t="str">
        <f t="shared" si="195"/>
        <v/>
      </c>
      <c r="C3503" t="str">
        <f t="shared" si="194"/>
        <v/>
      </c>
      <c r="D3503" s="245" t="str">
        <f t="shared" si="196"/>
        <v/>
      </c>
      <c r="E3503" s="534"/>
      <c r="F3503" s="534"/>
    </row>
    <row r="3504" spans="1:6" ht="15" customHeight="1">
      <c r="A3504" s="51"/>
      <c r="B3504" s="52" t="str">
        <f t="shared" si="195"/>
        <v/>
      </c>
      <c r="C3504" t="str">
        <f t="shared" si="194"/>
        <v/>
      </c>
      <c r="D3504" s="245" t="str">
        <f t="shared" si="196"/>
        <v/>
      </c>
      <c r="E3504" s="534"/>
      <c r="F3504" s="534"/>
    </row>
    <row r="3505" spans="1:6" ht="15" customHeight="1">
      <c r="A3505" s="51"/>
      <c r="B3505" s="52" t="str">
        <f t="shared" si="195"/>
        <v/>
      </c>
      <c r="C3505" t="str">
        <f t="shared" si="194"/>
        <v/>
      </c>
      <c r="D3505" s="245" t="str">
        <f t="shared" si="196"/>
        <v/>
      </c>
      <c r="E3505" s="534"/>
      <c r="F3505" s="534"/>
    </row>
    <row r="3506" spans="1:6" ht="15" customHeight="1">
      <c r="A3506" s="51"/>
      <c r="B3506" s="52" t="str">
        <f t="shared" si="195"/>
        <v/>
      </c>
      <c r="C3506" t="str">
        <f t="shared" si="194"/>
        <v/>
      </c>
      <c r="D3506" s="245" t="str">
        <f t="shared" si="196"/>
        <v/>
      </c>
      <c r="E3506" s="534"/>
      <c r="F3506" s="534"/>
    </row>
    <row r="3507" spans="1:6" ht="15" customHeight="1">
      <c r="A3507" s="51"/>
      <c r="B3507" s="52" t="str">
        <f t="shared" si="195"/>
        <v/>
      </c>
      <c r="C3507" t="str">
        <f t="shared" si="194"/>
        <v/>
      </c>
      <c r="D3507" s="245" t="str">
        <f t="shared" si="196"/>
        <v/>
      </c>
      <c r="E3507" s="534"/>
      <c r="F3507" s="534"/>
    </row>
    <row r="3508" spans="1:6" ht="15" customHeight="1">
      <c r="A3508" s="51"/>
      <c r="B3508" s="52" t="str">
        <f t="shared" si="195"/>
        <v/>
      </c>
      <c r="C3508" t="str">
        <f t="shared" si="194"/>
        <v/>
      </c>
      <c r="D3508" s="245" t="str">
        <f t="shared" si="196"/>
        <v/>
      </c>
      <c r="E3508" s="534"/>
      <c r="F3508" s="534"/>
    </row>
    <row r="3509" spans="1:6" ht="15" customHeight="1">
      <c r="A3509" s="51"/>
      <c r="B3509" s="52" t="str">
        <f t="shared" si="195"/>
        <v/>
      </c>
      <c r="C3509" t="str">
        <f t="shared" si="194"/>
        <v/>
      </c>
      <c r="D3509" s="245" t="str">
        <f t="shared" si="196"/>
        <v/>
      </c>
      <c r="E3509" s="534"/>
      <c r="F3509" s="534"/>
    </row>
    <row r="3510" spans="1:6" ht="15" customHeight="1">
      <c r="A3510" s="51"/>
      <c r="B3510" s="52" t="str">
        <f t="shared" si="195"/>
        <v/>
      </c>
      <c r="C3510" t="str">
        <f t="shared" si="194"/>
        <v/>
      </c>
      <c r="D3510" s="245" t="str">
        <f t="shared" si="196"/>
        <v/>
      </c>
      <c r="E3510" s="534"/>
      <c r="F3510" s="534"/>
    </row>
    <row r="3511" spans="1:6" ht="15" customHeight="1">
      <c r="A3511" s="51"/>
      <c r="B3511" s="52" t="str">
        <f t="shared" si="195"/>
        <v/>
      </c>
      <c r="C3511" t="str">
        <f t="shared" si="194"/>
        <v/>
      </c>
      <c r="D3511" s="245" t="str">
        <f t="shared" si="196"/>
        <v/>
      </c>
      <c r="E3511" s="534"/>
      <c r="F3511" s="534"/>
    </row>
    <row r="3512" spans="1:6" ht="15" customHeight="1">
      <c r="A3512" s="51"/>
      <c r="B3512" s="52" t="str">
        <f t="shared" si="195"/>
        <v/>
      </c>
      <c r="C3512" t="str">
        <f t="shared" si="194"/>
        <v/>
      </c>
      <c r="D3512" s="245" t="str">
        <f t="shared" si="196"/>
        <v/>
      </c>
      <c r="E3512" s="534"/>
      <c r="F3512" s="534"/>
    </row>
    <row r="3513" spans="1:6" ht="15" customHeight="1">
      <c r="A3513" s="51"/>
      <c r="B3513" s="52" t="str">
        <f t="shared" si="195"/>
        <v/>
      </c>
      <c r="C3513" t="str">
        <f t="shared" si="194"/>
        <v/>
      </c>
      <c r="D3513" s="245" t="str">
        <f t="shared" si="196"/>
        <v/>
      </c>
      <c r="E3513" s="534"/>
      <c r="F3513" s="534"/>
    </row>
    <row r="3514" spans="1:6" ht="15" customHeight="1">
      <c r="A3514" s="51"/>
      <c r="B3514" s="52" t="str">
        <f t="shared" si="195"/>
        <v/>
      </c>
      <c r="C3514" t="str">
        <f t="shared" si="194"/>
        <v/>
      </c>
      <c r="D3514" s="245" t="str">
        <f t="shared" si="196"/>
        <v/>
      </c>
      <c r="E3514" s="534"/>
      <c r="F3514" s="534"/>
    </row>
    <row r="3515" spans="1:6" ht="15" customHeight="1">
      <c r="A3515" s="51"/>
      <c r="B3515" s="52" t="str">
        <f t="shared" si="195"/>
        <v/>
      </c>
      <c r="C3515" t="str">
        <f t="shared" si="194"/>
        <v/>
      </c>
      <c r="D3515" s="245" t="str">
        <f t="shared" si="196"/>
        <v/>
      </c>
      <c r="E3515" s="534"/>
      <c r="F3515" s="534"/>
    </row>
    <row r="3516" spans="1:6" ht="15" customHeight="1">
      <c r="A3516" s="51"/>
      <c r="B3516" s="52" t="str">
        <f t="shared" si="195"/>
        <v/>
      </c>
      <c r="C3516" t="str">
        <f t="shared" si="194"/>
        <v/>
      </c>
      <c r="D3516" s="245" t="str">
        <f t="shared" si="196"/>
        <v/>
      </c>
      <c r="E3516" s="534"/>
      <c r="F3516" s="534"/>
    </row>
    <row r="3517" spans="1:6" ht="15" customHeight="1">
      <c r="A3517" s="51"/>
      <c r="B3517" s="52" t="str">
        <f t="shared" si="195"/>
        <v/>
      </c>
      <c r="C3517" t="str">
        <f t="shared" si="194"/>
        <v/>
      </c>
      <c r="D3517" s="245" t="str">
        <f t="shared" si="196"/>
        <v/>
      </c>
      <c r="E3517" s="534"/>
      <c r="F3517" s="534"/>
    </row>
    <row r="3518" spans="1:6" ht="15" customHeight="1">
      <c r="A3518" s="51"/>
      <c r="B3518" s="52" t="str">
        <f t="shared" si="195"/>
        <v/>
      </c>
      <c r="C3518" t="str">
        <f t="shared" si="194"/>
        <v/>
      </c>
      <c r="D3518" s="245" t="str">
        <f t="shared" si="196"/>
        <v/>
      </c>
      <c r="E3518" s="534"/>
      <c r="F3518" s="534"/>
    </row>
    <row r="3519" spans="1:6" ht="15" customHeight="1">
      <c r="A3519" s="51"/>
      <c r="B3519" s="52" t="str">
        <f t="shared" si="195"/>
        <v/>
      </c>
      <c r="C3519" t="str">
        <f t="shared" si="194"/>
        <v/>
      </c>
      <c r="D3519" s="245" t="str">
        <f t="shared" si="196"/>
        <v/>
      </c>
      <c r="E3519" s="534"/>
      <c r="F3519" s="534"/>
    </row>
    <row r="3520" spans="1:6" ht="15" customHeight="1">
      <c r="A3520" s="51"/>
      <c r="B3520" s="52" t="str">
        <f t="shared" si="195"/>
        <v/>
      </c>
      <c r="C3520" t="str">
        <f t="shared" si="194"/>
        <v/>
      </c>
      <c r="D3520" s="245" t="str">
        <f t="shared" si="196"/>
        <v/>
      </c>
      <c r="E3520" s="534"/>
      <c r="F3520" s="534"/>
    </row>
    <row r="3521" spans="1:6" ht="15" customHeight="1">
      <c r="A3521" s="51"/>
      <c r="B3521" s="52" t="str">
        <f t="shared" si="195"/>
        <v/>
      </c>
      <c r="C3521" t="str">
        <f t="shared" si="194"/>
        <v/>
      </c>
      <c r="D3521" s="245" t="str">
        <f t="shared" si="196"/>
        <v/>
      </c>
      <c r="E3521" s="534"/>
      <c r="F3521" s="534"/>
    </row>
    <row r="3522" spans="1:6" ht="15" customHeight="1">
      <c r="A3522" s="51"/>
      <c r="B3522" s="52" t="str">
        <f t="shared" si="195"/>
        <v/>
      </c>
      <c r="C3522" t="str">
        <f t="shared" ref="C3522:C3585" si="197">IF(A3522&lt;&gt;"",TEXT(A3522,"aaaa"),"")</f>
        <v/>
      </c>
      <c r="D3522" s="245" t="str">
        <f t="shared" si="196"/>
        <v/>
      </c>
      <c r="E3522" s="534"/>
      <c r="F3522" s="534"/>
    </row>
    <row r="3523" spans="1:6" ht="15" customHeight="1">
      <c r="A3523" s="51"/>
      <c r="B3523" s="52" t="str">
        <f t="shared" si="195"/>
        <v/>
      </c>
      <c r="C3523" t="str">
        <f t="shared" si="197"/>
        <v/>
      </c>
      <c r="D3523" s="245" t="str">
        <f t="shared" si="196"/>
        <v/>
      </c>
      <c r="E3523" s="534"/>
      <c r="F3523" s="534"/>
    </row>
    <row r="3524" spans="1:6" ht="15" customHeight="1">
      <c r="A3524" s="51"/>
      <c r="B3524" s="52" t="str">
        <f t="shared" si="195"/>
        <v/>
      </c>
      <c r="C3524" t="str">
        <f t="shared" si="197"/>
        <v/>
      </c>
      <c r="D3524" s="245" t="str">
        <f t="shared" si="196"/>
        <v/>
      </c>
      <c r="E3524" s="534"/>
      <c r="F3524" s="534"/>
    </row>
    <row r="3525" spans="1:6" ht="15" customHeight="1">
      <c r="A3525" s="51"/>
      <c r="B3525" s="52" t="str">
        <f t="shared" si="195"/>
        <v/>
      </c>
      <c r="C3525" t="str">
        <f t="shared" si="197"/>
        <v/>
      </c>
      <c r="D3525" s="245" t="str">
        <f t="shared" si="196"/>
        <v/>
      </c>
      <c r="E3525" s="534"/>
      <c r="F3525" s="534"/>
    </row>
    <row r="3526" spans="1:6" ht="15" customHeight="1">
      <c r="A3526" s="51"/>
      <c r="B3526" s="52" t="str">
        <f t="shared" si="195"/>
        <v/>
      </c>
      <c r="C3526" t="str">
        <f t="shared" si="197"/>
        <v/>
      </c>
      <c r="D3526" s="245" t="str">
        <f t="shared" si="196"/>
        <v/>
      </c>
      <c r="E3526" s="534"/>
      <c r="F3526" s="534"/>
    </row>
    <row r="3527" spans="1:6" ht="15" customHeight="1">
      <c r="A3527" s="51"/>
      <c r="B3527" s="52" t="str">
        <f t="shared" si="195"/>
        <v/>
      </c>
      <c r="C3527" t="str">
        <f t="shared" si="197"/>
        <v/>
      </c>
      <c r="D3527" s="245" t="str">
        <f t="shared" si="196"/>
        <v/>
      </c>
      <c r="E3527" s="534"/>
      <c r="F3527" s="534"/>
    </row>
    <row r="3528" spans="1:6" ht="15" customHeight="1">
      <c r="A3528" s="51"/>
      <c r="B3528" s="52" t="str">
        <f t="shared" ref="B3528:B3591" si="198">IF(A3528="","",TEXT(A3528,"DDDD"))</f>
        <v/>
      </c>
      <c r="C3528" t="str">
        <f t="shared" si="197"/>
        <v/>
      </c>
      <c r="D3528" s="245" t="str">
        <f t="shared" si="196"/>
        <v/>
      </c>
      <c r="E3528" s="534"/>
      <c r="F3528" s="534"/>
    </row>
    <row r="3529" spans="1:6" ht="15" customHeight="1">
      <c r="A3529" s="51"/>
      <c r="B3529" s="52" t="str">
        <f t="shared" si="198"/>
        <v/>
      </c>
      <c r="C3529" t="str">
        <f t="shared" si="197"/>
        <v/>
      </c>
      <c r="D3529" s="245" t="str">
        <f t="shared" ref="D3529:D3592" si="199">IF(A3529&lt;&gt;"",PROPER(TEXT(A3529,"Mmmm")),"")</f>
        <v/>
      </c>
      <c r="E3529" s="534"/>
      <c r="F3529" s="534"/>
    </row>
    <row r="3530" spans="1:6" ht="15" customHeight="1">
      <c r="A3530" s="51"/>
      <c r="B3530" s="52" t="str">
        <f t="shared" si="198"/>
        <v/>
      </c>
      <c r="C3530" t="str">
        <f t="shared" si="197"/>
        <v/>
      </c>
      <c r="D3530" s="245" t="str">
        <f t="shared" si="199"/>
        <v/>
      </c>
      <c r="E3530" s="534"/>
      <c r="F3530" s="534"/>
    </row>
    <row r="3531" spans="1:6" ht="15" customHeight="1">
      <c r="A3531" s="51"/>
      <c r="B3531" s="52" t="str">
        <f t="shared" si="198"/>
        <v/>
      </c>
      <c r="C3531" t="str">
        <f t="shared" si="197"/>
        <v/>
      </c>
      <c r="D3531" s="245" t="str">
        <f t="shared" si="199"/>
        <v/>
      </c>
      <c r="E3531" s="534"/>
      <c r="F3531" s="534"/>
    </row>
    <row r="3532" spans="1:6" ht="15" customHeight="1">
      <c r="A3532" s="51"/>
      <c r="B3532" s="52" t="str">
        <f t="shared" si="198"/>
        <v/>
      </c>
      <c r="C3532" t="str">
        <f t="shared" si="197"/>
        <v/>
      </c>
      <c r="D3532" s="245" t="str">
        <f t="shared" si="199"/>
        <v/>
      </c>
      <c r="E3532" s="534"/>
      <c r="F3532" s="534"/>
    </row>
    <row r="3533" spans="1:6" ht="15" customHeight="1">
      <c r="A3533" s="51"/>
      <c r="B3533" s="52" t="str">
        <f t="shared" si="198"/>
        <v/>
      </c>
      <c r="C3533" t="str">
        <f t="shared" si="197"/>
        <v/>
      </c>
      <c r="D3533" s="245" t="str">
        <f t="shared" si="199"/>
        <v/>
      </c>
      <c r="E3533" s="534"/>
      <c r="F3533" s="534"/>
    </row>
    <row r="3534" spans="1:6" ht="15" customHeight="1">
      <c r="A3534" s="51"/>
      <c r="B3534" s="52" t="str">
        <f t="shared" si="198"/>
        <v/>
      </c>
      <c r="C3534" t="str">
        <f t="shared" si="197"/>
        <v/>
      </c>
      <c r="D3534" s="245" t="str">
        <f t="shared" si="199"/>
        <v/>
      </c>
      <c r="E3534" s="534"/>
      <c r="F3534" s="534"/>
    </row>
    <row r="3535" spans="1:6" ht="15" customHeight="1">
      <c r="A3535" s="51"/>
      <c r="B3535" s="52" t="str">
        <f t="shared" si="198"/>
        <v/>
      </c>
      <c r="C3535" t="str">
        <f t="shared" si="197"/>
        <v/>
      </c>
      <c r="D3535" s="245" t="str">
        <f t="shared" si="199"/>
        <v/>
      </c>
      <c r="E3535" s="534"/>
      <c r="F3535" s="534"/>
    </row>
    <row r="3536" spans="1:6" ht="15" customHeight="1">
      <c r="A3536" s="51"/>
      <c r="B3536" s="52" t="str">
        <f t="shared" si="198"/>
        <v/>
      </c>
      <c r="C3536" t="str">
        <f t="shared" si="197"/>
        <v/>
      </c>
      <c r="D3536" s="245" t="str">
        <f t="shared" si="199"/>
        <v/>
      </c>
      <c r="E3536" s="534"/>
      <c r="F3536" s="534"/>
    </row>
    <row r="3537" spans="1:6" ht="15" customHeight="1">
      <c r="A3537" s="51"/>
      <c r="B3537" s="52" t="str">
        <f t="shared" si="198"/>
        <v/>
      </c>
      <c r="C3537" t="str">
        <f t="shared" si="197"/>
        <v/>
      </c>
      <c r="D3537" s="245" t="str">
        <f t="shared" si="199"/>
        <v/>
      </c>
      <c r="E3537" s="534"/>
      <c r="F3537" s="534"/>
    </row>
    <row r="3538" spans="1:6" ht="15" customHeight="1">
      <c r="A3538" s="51"/>
      <c r="B3538" s="52" t="str">
        <f t="shared" si="198"/>
        <v/>
      </c>
      <c r="C3538" t="str">
        <f t="shared" si="197"/>
        <v/>
      </c>
      <c r="D3538" s="245" t="str">
        <f t="shared" si="199"/>
        <v/>
      </c>
      <c r="E3538" s="534"/>
      <c r="F3538" s="534"/>
    </row>
    <row r="3539" spans="1:6" ht="15" customHeight="1">
      <c r="A3539" s="51"/>
      <c r="B3539" s="52" t="str">
        <f t="shared" si="198"/>
        <v/>
      </c>
      <c r="C3539" t="str">
        <f t="shared" si="197"/>
        <v/>
      </c>
      <c r="D3539" s="245" t="str">
        <f t="shared" si="199"/>
        <v/>
      </c>
      <c r="E3539" s="534"/>
      <c r="F3539" s="534"/>
    </row>
    <row r="3540" spans="1:6" ht="15" customHeight="1">
      <c r="A3540" s="51"/>
      <c r="B3540" s="52" t="str">
        <f t="shared" si="198"/>
        <v/>
      </c>
      <c r="C3540" t="str">
        <f t="shared" si="197"/>
        <v/>
      </c>
      <c r="D3540" s="245" t="str">
        <f t="shared" si="199"/>
        <v/>
      </c>
      <c r="E3540" s="534"/>
      <c r="F3540" s="534"/>
    </row>
    <row r="3541" spans="1:6" ht="15" customHeight="1">
      <c r="A3541" s="51"/>
      <c r="B3541" s="52" t="str">
        <f t="shared" si="198"/>
        <v/>
      </c>
      <c r="C3541" t="str">
        <f t="shared" si="197"/>
        <v/>
      </c>
      <c r="D3541" s="245" t="str">
        <f t="shared" si="199"/>
        <v/>
      </c>
      <c r="E3541" s="534"/>
      <c r="F3541" s="534"/>
    </row>
    <row r="3542" spans="1:6" ht="15" customHeight="1">
      <c r="A3542" s="51"/>
      <c r="B3542" s="52" t="str">
        <f t="shared" si="198"/>
        <v/>
      </c>
      <c r="C3542" t="str">
        <f t="shared" si="197"/>
        <v/>
      </c>
      <c r="D3542" s="245" t="str">
        <f t="shared" si="199"/>
        <v/>
      </c>
      <c r="E3542" s="534"/>
      <c r="F3542" s="534"/>
    </row>
    <row r="3543" spans="1:6" ht="15" customHeight="1">
      <c r="A3543" s="51"/>
      <c r="B3543" s="52" t="str">
        <f t="shared" si="198"/>
        <v/>
      </c>
      <c r="C3543" t="str">
        <f t="shared" si="197"/>
        <v/>
      </c>
      <c r="D3543" s="245" t="str">
        <f t="shared" si="199"/>
        <v/>
      </c>
      <c r="E3543" s="534"/>
      <c r="F3543" s="534"/>
    </row>
    <row r="3544" spans="1:6" ht="15" customHeight="1">
      <c r="A3544" s="51"/>
      <c r="B3544" s="52" t="str">
        <f t="shared" si="198"/>
        <v/>
      </c>
      <c r="C3544" t="str">
        <f t="shared" si="197"/>
        <v/>
      </c>
      <c r="D3544" s="245" t="str">
        <f t="shared" si="199"/>
        <v/>
      </c>
      <c r="E3544" s="534"/>
      <c r="F3544" s="534"/>
    </row>
    <row r="3545" spans="1:6" ht="15" customHeight="1">
      <c r="A3545" s="51"/>
      <c r="B3545" s="52" t="str">
        <f t="shared" si="198"/>
        <v/>
      </c>
      <c r="C3545" t="str">
        <f t="shared" si="197"/>
        <v/>
      </c>
      <c r="D3545" s="245" t="str">
        <f t="shared" si="199"/>
        <v/>
      </c>
      <c r="E3545" s="534"/>
      <c r="F3545" s="534"/>
    </row>
    <row r="3546" spans="1:6" ht="15" customHeight="1">
      <c r="A3546" s="51"/>
      <c r="B3546" s="52" t="str">
        <f t="shared" si="198"/>
        <v/>
      </c>
      <c r="C3546" t="str">
        <f t="shared" si="197"/>
        <v/>
      </c>
      <c r="D3546" s="245" t="str">
        <f t="shared" si="199"/>
        <v/>
      </c>
      <c r="E3546" s="534"/>
      <c r="F3546" s="534"/>
    </row>
    <row r="3547" spans="1:6" ht="15" customHeight="1">
      <c r="A3547" s="51"/>
      <c r="B3547" s="52" t="str">
        <f t="shared" si="198"/>
        <v/>
      </c>
      <c r="C3547" t="str">
        <f t="shared" si="197"/>
        <v/>
      </c>
      <c r="D3547" s="245" t="str">
        <f t="shared" si="199"/>
        <v/>
      </c>
      <c r="E3547" s="534"/>
      <c r="F3547" s="534"/>
    </row>
    <row r="3548" spans="1:6" ht="15" customHeight="1">
      <c r="A3548" s="51"/>
      <c r="B3548" s="52" t="str">
        <f t="shared" si="198"/>
        <v/>
      </c>
      <c r="C3548" t="str">
        <f t="shared" si="197"/>
        <v/>
      </c>
      <c r="D3548" s="245" t="str">
        <f t="shared" si="199"/>
        <v/>
      </c>
      <c r="E3548" s="534"/>
      <c r="F3548" s="534"/>
    </row>
    <row r="3549" spans="1:6" ht="15" customHeight="1">
      <c r="A3549" s="51"/>
      <c r="B3549" s="52" t="str">
        <f t="shared" si="198"/>
        <v/>
      </c>
      <c r="C3549" t="str">
        <f t="shared" si="197"/>
        <v/>
      </c>
      <c r="D3549" s="245" t="str">
        <f t="shared" si="199"/>
        <v/>
      </c>
      <c r="E3549" s="534"/>
      <c r="F3549" s="534"/>
    </row>
    <row r="3550" spans="1:6" ht="15" customHeight="1">
      <c r="A3550" s="51"/>
      <c r="B3550" s="52" t="str">
        <f t="shared" si="198"/>
        <v/>
      </c>
      <c r="C3550" t="str">
        <f t="shared" si="197"/>
        <v/>
      </c>
      <c r="D3550" s="245" t="str">
        <f t="shared" si="199"/>
        <v/>
      </c>
      <c r="E3550" s="534"/>
      <c r="F3550" s="534"/>
    </row>
    <row r="3551" spans="1:6" ht="15" customHeight="1">
      <c r="A3551" s="51"/>
      <c r="B3551" s="52" t="str">
        <f t="shared" si="198"/>
        <v/>
      </c>
      <c r="C3551" t="str">
        <f t="shared" si="197"/>
        <v/>
      </c>
      <c r="D3551" s="245" t="str">
        <f t="shared" si="199"/>
        <v/>
      </c>
      <c r="E3551" s="534"/>
      <c r="F3551" s="534"/>
    </row>
    <row r="3552" spans="1:6" ht="15" customHeight="1">
      <c r="A3552" s="51"/>
      <c r="B3552" s="52" t="str">
        <f t="shared" si="198"/>
        <v/>
      </c>
      <c r="C3552" t="str">
        <f t="shared" si="197"/>
        <v/>
      </c>
      <c r="D3552" s="245" t="str">
        <f t="shared" si="199"/>
        <v/>
      </c>
      <c r="E3552" s="534"/>
      <c r="F3552" s="534"/>
    </row>
    <row r="3553" spans="1:6" ht="15" customHeight="1">
      <c r="A3553" s="51"/>
      <c r="B3553" s="52" t="str">
        <f t="shared" si="198"/>
        <v/>
      </c>
      <c r="C3553" t="str">
        <f t="shared" si="197"/>
        <v/>
      </c>
      <c r="D3553" s="245" t="str">
        <f t="shared" si="199"/>
        <v/>
      </c>
      <c r="E3553" s="534"/>
      <c r="F3553" s="534"/>
    </row>
    <row r="3554" spans="1:6" ht="15" customHeight="1">
      <c r="A3554" s="51"/>
      <c r="B3554" s="52" t="str">
        <f t="shared" si="198"/>
        <v/>
      </c>
      <c r="C3554" t="str">
        <f t="shared" si="197"/>
        <v/>
      </c>
      <c r="D3554" s="245" t="str">
        <f t="shared" si="199"/>
        <v/>
      </c>
      <c r="E3554" s="534"/>
      <c r="F3554" s="534"/>
    </row>
    <row r="3555" spans="1:6" ht="15" customHeight="1">
      <c r="A3555" s="51"/>
      <c r="B3555" s="52" t="str">
        <f t="shared" si="198"/>
        <v/>
      </c>
      <c r="C3555" t="str">
        <f t="shared" si="197"/>
        <v/>
      </c>
      <c r="D3555" s="245" t="str">
        <f t="shared" si="199"/>
        <v/>
      </c>
      <c r="E3555" s="534"/>
      <c r="F3555" s="534"/>
    </row>
    <row r="3556" spans="1:6" ht="15" customHeight="1">
      <c r="A3556" s="51"/>
      <c r="B3556" s="52" t="str">
        <f t="shared" si="198"/>
        <v/>
      </c>
      <c r="C3556" t="str">
        <f t="shared" si="197"/>
        <v/>
      </c>
      <c r="D3556" s="245" t="str">
        <f t="shared" si="199"/>
        <v/>
      </c>
      <c r="E3556" s="534"/>
      <c r="F3556" s="534"/>
    </row>
    <row r="3557" spans="1:6" ht="15" customHeight="1">
      <c r="A3557" s="51"/>
      <c r="B3557" s="52" t="str">
        <f t="shared" si="198"/>
        <v/>
      </c>
      <c r="C3557" t="str">
        <f t="shared" si="197"/>
        <v/>
      </c>
      <c r="D3557" s="245" t="str">
        <f t="shared" si="199"/>
        <v/>
      </c>
      <c r="E3557" s="534"/>
      <c r="F3557" s="534"/>
    </row>
    <row r="3558" spans="1:6" ht="15" customHeight="1">
      <c r="A3558" s="51"/>
      <c r="B3558" s="52" t="str">
        <f t="shared" si="198"/>
        <v/>
      </c>
      <c r="C3558" t="str">
        <f t="shared" si="197"/>
        <v/>
      </c>
      <c r="D3558" s="245" t="str">
        <f t="shared" si="199"/>
        <v/>
      </c>
      <c r="E3558" s="534"/>
      <c r="F3558" s="534"/>
    </row>
    <row r="3559" spans="1:6" ht="15" customHeight="1">
      <c r="A3559" s="51"/>
      <c r="B3559" s="52" t="str">
        <f t="shared" si="198"/>
        <v/>
      </c>
      <c r="C3559" t="str">
        <f t="shared" si="197"/>
        <v/>
      </c>
      <c r="D3559" s="245" t="str">
        <f t="shared" si="199"/>
        <v/>
      </c>
      <c r="E3559" s="534"/>
      <c r="F3559" s="534"/>
    </row>
    <row r="3560" spans="1:6" ht="15" customHeight="1">
      <c r="A3560" s="51"/>
      <c r="B3560" s="52" t="str">
        <f t="shared" si="198"/>
        <v/>
      </c>
      <c r="C3560" t="str">
        <f t="shared" si="197"/>
        <v/>
      </c>
      <c r="D3560" s="245" t="str">
        <f t="shared" si="199"/>
        <v/>
      </c>
      <c r="E3560" s="534"/>
      <c r="F3560" s="534"/>
    </row>
    <row r="3561" spans="1:6" ht="15" customHeight="1">
      <c r="A3561" s="51"/>
      <c r="B3561" s="52" t="str">
        <f t="shared" si="198"/>
        <v/>
      </c>
      <c r="C3561" t="str">
        <f t="shared" si="197"/>
        <v/>
      </c>
      <c r="D3561" s="245" t="str">
        <f t="shared" si="199"/>
        <v/>
      </c>
      <c r="E3561" s="534"/>
      <c r="F3561" s="534"/>
    </row>
    <row r="3562" spans="1:6" ht="15" customHeight="1">
      <c r="A3562" s="51"/>
      <c r="B3562" s="52" t="str">
        <f t="shared" si="198"/>
        <v/>
      </c>
      <c r="C3562" t="str">
        <f t="shared" si="197"/>
        <v/>
      </c>
      <c r="D3562" s="245" t="str">
        <f t="shared" si="199"/>
        <v/>
      </c>
      <c r="E3562" s="534"/>
      <c r="F3562" s="534"/>
    </row>
    <row r="3563" spans="1:6" ht="15" customHeight="1">
      <c r="A3563" s="51"/>
      <c r="B3563" s="52" t="str">
        <f t="shared" si="198"/>
        <v/>
      </c>
      <c r="C3563" t="str">
        <f t="shared" si="197"/>
        <v/>
      </c>
      <c r="D3563" s="245" t="str">
        <f t="shared" si="199"/>
        <v/>
      </c>
      <c r="E3563" s="534"/>
      <c r="F3563" s="534"/>
    </row>
    <row r="3564" spans="1:6" ht="15" customHeight="1">
      <c r="A3564" s="51"/>
      <c r="B3564" s="52" t="str">
        <f t="shared" si="198"/>
        <v/>
      </c>
      <c r="C3564" t="str">
        <f t="shared" si="197"/>
        <v/>
      </c>
      <c r="D3564" s="245" t="str">
        <f t="shared" si="199"/>
        <v/>
      </c>
      <c r="E3564" s="534"/>
      <c r="F3564" s="534"/>
    </row>
    <row r="3565" spans="1:6" ht="15" customHeight="1">
      <c r="A3565" s="51"/>
      <c r="B3565" s="52" t="str">
        <f t="shared" si="198"/>
        <v/>
      </c>
      <c r="C3565" t="str">
        <f t="shared" si="197"/>
        <v/>
      </c>
      <c r="D3565" s="245" t="str">
        <f t="shared" si="199"/>
        <v/>
      </c>
      <c r="E3565" s="534"/>
      <c r="F3565" s="534"/>
    </row>
    <row r="3566" spans="1:6" ht="15" customHeight="1">
      <c r="A3566" s="51"/>
      <c r="B3566" s="52" t="str">
        <f t="shared" si="198"/>
        <v/>
      </c>
      <c r="C3566" t="str">
        <f t="shared" si="197"/>
        <v/>
      </c>
      <c r="D3566" s="245" t="str">
        <f t="shared" si="199"/>
        <v/>
      </c>
      <c r="E3566" s="534"/>
      <c r="F3566" s="534"/>
    </row>
    <row r="3567" spans="1:6" ht="15" customHeight="1">
      <c r="A3567" s="51"/>
      <c r="B3567" s="52" t="str">
        <f t="shared" si="198"/>
        <v/>
      </c>
      <c r="C3567" t="str">
        <f t="shared" si="197"/>
        <v/>
      </c>
      <c r="D3567" s="245" t="str">
        <f t="shared" si="199"/>
        <v/>
      </c>
      <c r="E3567" s="534"/>
      <c r="F3567" s="534"/>
    </row>
    <row r="3568" spans="1:6" ht="15" customHeight="1">
      <c r="A3568" s="51"/>
      <c r="B3568" s="52" t="str">
        <f t="shared" si="198"/>
        <v/>
      </c>
      <c r="C3568" t="str">
        <f t="shared" si="197"/>
        <v/>
      </c>
      <c r="D3568" s="245" t="str">
        <f t="shared" si="199"/>
        <v/>
      </c>
      <c r="E3568" s="534"/>
      <c r="F3568" s="534"/>
    </row>
    <row r="3569" spans="1:6" ht="15" customHeight="1">
      <c r="A3569" s="51"/>
      <c r="B3569" s="52" t="str">
        <f t="shared" si="198"/>
        <v/>
      </c>
      <c r="C3569" t="str">
        <f t="shared" si="197"/>
        <v/>
      </c>
      <c r="D3569" s="245" t="str">
        <f t="shared" si="199"/>
        <v/>
      </c>
      <c r="E3569" s="534"/>
      <c r="F3569" s="534"/>
    </row>
    <row r="3570" spans="1:6" ht="15" customHeight="1">
      <c r="A3570" s="51"/>
      <c r="B3570" s="52" t="str">
        <f t="shared" si="198"/>
        <v/>
      </c>
      <c r="C3570" t="str">
        <f t="shared" si="197"/>
        <v/>
      </c>
      <c r="D3570" s="245" t="str">
        <f t="shared" si="199"/>
        <v/>
      </c>
      <c r="E3570" s="534"/>
      <c r="F3570" s="534"/>
    </row>
    <row r="3571" spans="1:6" ht="15" customHeight="1">
      <c r="A3571" s="51"/>
      <c r="B3571" s="52" t="str">
        <f t="shared" si="198"/>
        <v/>
      </c>
      <c r="C3571" t="str">
        <f t="shared" si="197"/>
        <v/>
      </c>
      <c r="D3571" s="245" t="str">
        <f t="shared" si="199"/>
        <v/>
      </c>
      <c r="E3571" s="534"/>
      <c r="F3571" s="534"/>
    </row>
    <row r="3572" spans="1:6" ht="15" customHeight="1">
      <c r="A3572" s="51"/>
      <c r="B3572" s="52" t="str">
        <f t="shared" si="198"/>
        <v/>
      </c>
      <c r="C3572" t="str">
        <f t="shared" si="197"/>
        <v/>
      </c>
      <c r="D3572" s="245" t="str">
        <f t="shared" si="199"/>
        <v/>
      </c>
      <c r="E3572" s="534"/>
      <c r="F3572" s="534"/>
    </row>
    <row r="3573" spans="1:6" ht="15" customHeight="1">
      <c r="A3573" s="51"/>
      <c r="B3573" s="52" t="str">
        <f t="shared" si="198"/>
        <v/>
      </c>
      <c r="C3573" t="str">
        <f t="shared" si="197"/>
        <v/>
      </c>
      <c r="D3573" s="245" t="str">
        <f t="shared" si="199"/>
        <v/>
      </c>
      <c r="E3573" s="534"/>
      <c r="F3573" s="534"/>
    </row>
    <row r="3574" spans="1:6" ht="15" customHeight="1">
      <c r="A3574" s="51"/>
      <c r="B3574" s="52" t="str">
        <f t="shared" si="198"/>
        <v/>
      </c>
      <c r="C3574" t="str">
        <f t="shared" si="197"/>
        <v/>
      </c>
      <c r="D3574" s="245" t="str">
        <f t="shared" si="199"/>
        <v/>
      </c>
      <c r="E3574" s="534"/>
      <c r="F3574" s="534"/>
    </row>
    <row r="3575" spans="1:6" ht="15" customHeight="1">
      <c r="A3575" s="51"/>
      <c r="B3575" s="52" t="str">
        <f t="shared" si="198"/>
        <v/>
      </c>
      <c r="C3575" t="str">
        <f t="shared" si="197"/>
        <v/>
      </c>
      <c r="D3575" s="245" t="str">
        <f t="shared" si="199"/>
        <v/>
      </c>
      <c r="E3575" s="534"/>
      <c r="F3575" s="534"/>
    </row>
    <row r="3576" spans="1:6" ht="15" customHeight="1">
      <c r="A3576" s="51"/>
      <c r="B3576" s="52" t="str">
        <f t="shared" si="198"/>
        <v/>
      </c>
      <c r="C3576" t="str">
        <f t="shared" si="197"/>
        <v/>
      </c>
      <c r="D3576" s="245" t="str">
        <f t="shared" si="199"/>
        <v/>
      </c>
      <c r="E3576" s="534"/>
      <c r="F3576" s="534"/>
    </row>
    <row r="3577" spans="1:6" ht="15" customHeight="1">
      <c r="A3577" s="51"/>
      <c r="B3577" s="52" t="str">
        <f t="shared" si="198"/>
        <v/>
      </c>
      <c r="C3577" t="str">
        <f t="shared" si="197"/>
        <v/>
      </c>
      <c r="D3577" s="245" t="str">
        <f t="shared" si="199"/>
        <v/>
      </c>
      <c r="E3577" s="534"/>
      <c r="F3577" s="534"/>
    </row>
    <row r="3578" spans="1:6" ht="15" customHeight="1">
      <c r="A3578" s="51"/>
      <c r="B3578" s="52" t="str">
        <f t="shared" si="198"/>
        <v/>
      </c>
      <c r="C3578" t="str">
        <f t="shared" si="197"/>
        <v/>
      </c>
      <c r="D3578" s="245" t="str">
        <f t="shared" si="199"/>
        <v/>
      </c>
      <c r="E3578" s="534"/>
      <c r="F3578" s="534"/>
    </row>
    <row r="3579" spans="1:6" ht="15" customHeight="1">
      <c r="A3579" s="51"/>
      <c r="B3579" s="52" t="str">
        <f t="shared" si="198"/>
        <v/>
      </c>
      <c r="C3579" t="str">
        <f t="shared" si="197"/>
        <v/>
      </c>
      <c r="D3579" s="245" t="str">
        <f t="shared" si="199"/>
        <v/>
      </c>
      <c r="E3579" s="534"/>
      <c r="F3579" s="534"/>
    </row>
    <row r="3580" spans="1:6" ht="15" customHeight="1">
      <c r="A3580" s="51"/>
      <c r="B3580" s="52" t="str">
        <f t="shared" si="198"/>
        <v/>
      </c>
      <c r="C3580" t="str">
        <f t="shared" si="197"/>
        <v/>
      </c>
      <c r="D3580" s="245" t="str">
        <f t="shared" si="199"/>
        <v/>
      </c>
      <c r="E3580" s="534"/>
      <c r="F3580" s="534"/>
    </row>
    <row r="3581" spans="1:6" ht="15" customHeight="1">
      <c r="A3581" s="51"/>
      <c r="B3581" s="52" t="str">
        <f t="shared" si="198"/>
        <v/>
      </c>
      <c r="C3581" t="str">
        <f t="shared" si="197"/>
        <v/>
      </c>
      <c r="D3581" s="245" t="str">
        <f t="shared" si="199"/>
        <v/>
      </c>
      <c r="E3581" s="534"/>
      <c r="F3581" s="534"/>
    </row>
    <row r="3582" spans="1:6" ht="15" customHeight="1">
      <c r="A3582" s="51"/>
      <c r="B3582" s="52" t="str">
        <f t="shared" si="198"/>
        <v/>
      </c>
      <c r="C3582" t="str">
        <f t="shared" si="197"/>
        <v/>
      </c>
      <c r="D3582" s="245" t="str">
        <f t="shared" si="199"/>
        <v/>
      </c>
      <c r="E3582" s="534"/>
      <c r="F3582" s="534"/>
    </row>
    <row r="3583" spans="1:6" ht="15" customHeight="1">
      <c r="A3583" s="51"/>
      <c r="B3583" s="52" t="str">
        <f t="shared" si="198"/>
        <v/>
      </c>
      <c r="C3583" t="str">
        <f t="shared" si="197"/>
        <v/>
      </c>
      <c r="D3583" s="245" t="str">
        <f t="shared" si="199"/>
        <v/>
      </c>
      <c r="E3583" s="534"/>
      <c r="F3583" s="534"/>
    </row>
    <row r="3584" spans="1:6" ht="15" customHeight="1">
      <c r="A3584" s="51"/>
      <c r="B3584" s="52" t="str">
        <f t="shared" si="198"/>
        <v/>
      </c>
      <c r="C3584" t="str">
        <f t="shared" si="197"/>
        <v/>
      </c>
      <c r="D3584" s="245" t="str">
        <f t="shared" si="199"/>
        <v/>
      </c>
      <c r="E3584" s="534"/>
      <c r="F3584" s="534"/>
    </row>
    <row r="3585" spans="1:6" ht="15" customHeight="1">
      <c r="A3585" s="51"/>
      <c r="B3585" s="52" t="str">
        <f t="shared" si="198"/>
        <v/>
      </c>
      <c r="C3585" t="str">
        <f t="shared" si="197"/>
        <v/>
      </c>
      <c r="D3585" s="245" t="str">
        <f t="shared" si="199"/>
        <v/>
      </c>
      <c r="E3585" s="534"/>
      <c r="F3585" s="534"/>
    </row>
    <row r="3586" spans="1:6" ht="15" customHeight="1">
      <c r="A3586" s="51"/>
      <c r="B3586" s="52" t="str">
        <f t="shared" si="198"/>
        <v/>
      </c>
      <c r="C3586" t="str">
        <f t="shared" ref="C3586:C3649" si="200">IF(A3586&lt;&gt;"",TEXT(A3586,"aaaa"),"")</f>
        <v/>
      </c>
      <c r="D3586" s="245" t="str">
        <f t="shared" si="199"/>
        <v/>
      </c>
      <c r="E3586" s="534"/>
      <c r="F3586" s="534"/>
    </row>
    <row r="3587" spans="1:6" ht="15" customHeight="1">
      <c r="A3587" s="51"/>
      <c r="B3587" s="52" t="str">
        <f t="shared" si="198"/>
        <v/>
      </c>
      <c r="C3587" t="str">
        <f t="shared" si="200"/>
        <v/>
      </c>
      <c r="D3587" s="245" t="str">
        <f t="shared" si="199"/>
        <v/>
      </c>
      <c r="E3587" s="534"/>
      <c r="F3587" s="534"/>
    </row>
    <row r="3588" spans="1:6" ht="15" customHeight="1">
      <c r="A3588" s="51"/>
      <c r="B3588" s="52" t="str">
        <f t="shared" si="198"/>
        <v/>
      </c>
      <c r="C3588" t="str">
        <f t="shared" si="200"/>
        <v/>
      </c>
      <c r="D3588" s="245" t="str">
        <f t="shared" si="199"/>
        <v/>
      </c>
      <c r="E3588" s="534"/>
      <c r="F3588" s="534"/>
    </row>
    <row r="3589" spans="1:6" ht="15" customHeight="1">
      <c r="A3589" s="51"/>
      <c r="B3589" s="52" t="str">
        <f t="shared" si="198"/>
        <v/>
      </c>
      <c r="C3589" t="str">
        <f t="shared" si="200"/>
        <v/>
      </c>
      <c r="D3589" s="245" t="str">
        <f t="shared" si="199"/>
        <v/>
      </c>
      <c r="E3589" s="534"/>
      <c r="F3589" s="534"/>
    </row>
    <row r="3590" spans="1:6" ht="15" customHeight="1">
      <c r="A3590" s="51"/>
      <c r="B3590" s="52" t="str">
        <f t="shared" si="198"/>
        <v/>
      </c>
      <c r="C3590" t="str">
        <f t="shared" si="200"/>
        <v/>
      </c>
      <c r="D3590" s="245" t="str">
        <f t="shared" si="199"/>
        <v/>
      </c>
      <c r="E3590" s="534"/>
      <c r="F3590" s="534"/>
    </row>
    <row r="3591" spans="1:6" ht="15" customHeight="1">
      <c r="A3591" s="51"/>
      <c r="B3591" s="52" t="str">
        <f t="shared" si="198"/>
        <v/>
      </c>
      <c r="C3591" t="str">
        <f t="shared" si="200"/>
        <v/>
      </c>
      <c r="D3591" s="245" t="str">
        <f t="shared" si="199"/>
        <v/>
      </c>
      <c r="E3591" s="534"/>
      <c r="F3591" s="534"/>
    </row>
    <row r="3592" spans="1:6" ht="15" customHeight="1">
      <c r="A3592" s="51"/>
      <c r="B3592" s="52" t="str">
        <f t="shared" ref="B3592:B3655" si="201">IF(A3592="","",TEXT(A3592,"DDDD"))</f>
        <v/>
      </c>
      <c r="C3592" t="str">
        <f t="shared" si="200"/>
        <v/>
      </c>
      <c r="D3592" s="245" t="str">
        <f t="shared" si="199"/>
        <v/>
      </c>
      <c r="E3592" s="534"/>
      <c r="F3592" s="534"/>
    </row>
    <row r="3593" spans="1:6" ht="15" customHeight="1">
      <c r="A3593" s="51"/>
      <c r="B3593" s="52" t="str">
        <f t="shared" si="201"/>
        <v/>
      </c>
      <c r="C3593" t="str">
        <f t="shared" si="200"/>
        <v/>
      </c>
      <c r="D3593" s="245" t="str">
        <f t="shared" ref="D3593:D3656" si="202">IF(A3593&lt;&gt;"",PROPER(TEXT(A3593,"Mmmm")),"")</f>
        <v/>
      </c>
      <c r="E3593" s="534"/>
      <c r="F3593" s="534"/>
    </row>
    <row r="3594" spans="1:6" ht="15" customHeight="1">
      <c r="A3594" s="51"/>
      <c r="B3594" s="52" t="str">
        <f t="shared" si="201"/>
        <v/>
      </c>
      <c r="C3594" t="str">
        <f t="shared" si="200"/>
        <v/>
      </c>
      <c r="D3594" s="245" t="str">
        <f t="shared" si="202"/>
        <v/>
      </c>
      <c r="E3594" s="534"/>
      <c r="F3594" s="534"/>
    </row>
    <row r="3595" spans="1:6" ht="15" customHeight="1">
      <c r="A3595" s="51"/>
      <c r="B3595" s="52" t="str">
        <f t="shared" si="201"/>
        <v/>
      </c>
      <c r="C3595" t="str">
        <f t="shared" si="200"/>
        <v/>
      </c>
      <c r="D3595" s="245" t="str">
        <f t="shared" si="202"/>
        <v/>
      </c>
      <c r="E3595" s="534"/>
      <c r="F3595" s="534"/>
    </row>
    <row r="3596" spans="1:6" ht="15" customHeight="1">
      <c r="A3596" s="51"/>
      <c r="B3596" s="52" t="str">
        <f t="shared" si="201"/>
        <v/>
      </c>
      <c r="C3596" t="str">
        <f t="shared" si="200"/>
        <v/>
      </c>
      <c r="D3596" s="245" t="str">
        <f t="shared" si="202"/>
        <v/>
      </c>
      <c r="E3596" s="534"/>
      <c r="F3596" s="534"/>
    </row>
    <row r="3597" spans="1:6" ht="15" customHeight="1">
      <c r="A3597" s="51"/>
      <c r="B3597" s="52" t="str">
        <f t="shared" si="201"/>
        <v/>
      </c>
      <c r="C3597" t="str">
        <f t="shared" si="200"/>
        <v/>
      </c>
      <c r="D3597" s="245" t="str">
        <f t="shared" si="202"/>
        <v/>
      </c>
      <c r="E3597" s="534"/>
      <c r="F3597" s="534"/>
    </row>
    <row r="3598" spans="1:6" ht="15" customHeight="1">
      <c r="A3598" s="51"/>
      <c r="B3598" s="52" t="str">
        <f t="shared" si="201"/>
        <v/>
      </c>
      <c r="C3598" t="str">
        <f t="shared" si="200"/>
        <v/>
      </c>
      <c r="D3598" s="245" t="str">
        <f t="shared" si="202"/>
        <v/>
      </c>
      <c r="E3598" s="534"/>
      <c r="F3598" s="534"/>
    </row>
    <row r="3599" spans="1:6" ht="15" customHeight="1">
      <c r="A3599" s="51"/>
      <c r="B3599" s="52" t="str">
        <f t="shared" si="201"/>
        <v/>
      </c>
      <c r="C3599" t="str">
        <f t="shared" si="200"/>
        <v/>
      </c>
      <c r="D3599" s="245" t="str">
        <f t="shared" si="202"/>
        <v/>
      </c>
      <c r="E3599" s="534"/>
      <c r="F3599" s="534"/>
    </row>
    <row r="3600" spans="1:6" ht="15" customHeight="1">
      <c r="A3600" s="51"/>
      <c r="B3600" s="52" t="str">
        <f t="shared" si="201"/>
        <v/>
      </c>
      <c r="C3600" t="str">
        <f t="shared" si="200"/>
        <v/>
      </c>
      <c r="D3600" s="245" t="str">
        <f t="shared" si="202"/>
        <v/>
      </c>
      <c r="E3600" s="534"/>
      <c r="F3600" s="534"/>
    </row>
    <row r="3601" spans="1:6" ht="15" customHeight="1">
      <c r="A3601" s="51"/>
      <c r="B3601" s="52" t="str">
        <f t="shared" si="201"/>
        <v/>
      </c>
      <c r="C3601" t="str">
        <f t="shared" si="200"/>
        <v/>
      </c>
      <c r="D3601" s="245" t="str">
        <f t="shared" si="202"/>
        <v/>
      </c>
      <c r="E3601" s="534"/>
      <c r="F3601" s="534"/>
    </row>
    <row r="3602" spans="1:6" ht="15" customHeight="1">
      <c r="A3602" s="51"/>
      <c r="B3602" s="52" t="str">
        <f t="shared" si="201"/>
        <v/>
      </c>
      <c r="C3602" t="str">
        <f t="shared" si="200"/>
        <v/>
      </c>
      <c r="D3602" s="245" t="str">
        <f t="shared" si="202"/>
        <v/>
      </c>
      <c r="E3602" s="534"/>
      <c r="F3602" s="534"/>
    </row>
    <row r="3603" spans="1:6" ht="15" customHeight="1">
      <c r="A3603" s="51"/>
      <c r="B3603" s="52" t="str">
        <f t="shared" si="201"/>
        <v/>
      </c>
      <c r="C3603" t="str">
        <f t="shared" si="200"/>
        <v/>
      </c>
      <c r="D3603" s="245" t="str">
        <f t="shared" si="202"/>
        <v/>
      </c>
      <c r="E3603" s="534"/>
      <c r="F3603" s="534"/>
    </row>
    <row r="3604" spans="1:6" ht="15" customHeight="1">
      <c r="A3604" s="51"/>
      <c r="B3604" s="52" t="str">
        <f t="shared" si="201"/>
        <v/>
      </c>
      <c r="C3604" t="str">
        <f t="shared" si="200"/>
        <v/>
      </c>
      <c r="D3604" s="245" t="str">
        <f t="shared" si="202"/>
        <v/>
      </c>
      <c r="E3604" s="534"/>
      <c r="F3604" s="534"/>
    </row>
    <row r="3605" spans="1:6" ht="15" customHeight="1">
      <c r="A3605" s="51"/>
      <c r="B3605" s="52" t="str">
        <f t="shared" si="201"/>
        <v/>
      </c>
      <c r="C3605" t="str">
        <f t="shared" si="200"/>
        <v/>
      </c>
      <c r="D3605" s="245" t="str">
        <f t="shared" si="202"/>
        <v/>
      </c>
      <c r="E3605" s="534"/>
      <c r="F3605" s="534"/>
    </row>
    <row r="3606" spans="1:6" ht="15" customHeight="1">
      <c r="A3606" s="51"/>
      <c r="B3606" s="52" t="str">
        <f t="shared" si="201"/>
        <v/>
      </c>
      <c r="C3606" t="str">
        <f t="shared" si="200"/>
        <v/>
      </c>
      <c r="D3606" s="245" t="str">
        <f t="shared" si="202"/>
        <v/>
      </c>
      <c r="E3606" s="534"/>
      <c r="F3606" s="534"/>
    </row>
    <row r="3607" spans="1:6" ht="15" customHeight="1">
      <c r="A3607" s="51"/>
      <c r="B3607" s="52" t="str">
        <f t="shared" si="201"/>
        <v/>
      </c>
      <c r="C3607" t="str">
        <f t="shared" si="200"/>
        <v/>
      </c>
      <c r="D3607" s="245" t="str">
        <f t="shared" si="202"/>
        <v/>
      </c>
      <c r="E3607" s="534"/>
      <c r="F3607" s="534"/>
    </row>
    <row r="3608" spans="1:6" ht="15" customHeight="1">
      <c r="A3608" s="51"/>
      <c r="B3608" s="52" t="str">
        <f t="shared" si="201"/>
        <v/>
      </c>
      <c r="C3608" t="str">
        <f t="shared" si="200"/>
        <v/>
      </c>
      <c r="D3608" s="245" t="str">
        <f t="shared" si="202"/>
        <v/>
      </c>
      <c r="E3608" s="534"/>
      <c r="F3608" s="534"/>
    </row>
    <row r="3609" spans="1:6" ht="15" customHeight="1">
      <c r="A3609" s="51"/>
      <c r="B3609" s="52" t="str">
        <f t="shared" si="201"/>
        <v/>
      </c>
      <c r="C3609" t="str">
        <f t="shared" si="200"/>
        <v/>
      </c>
      <c r="D3609" s="245" t="str">
        <f t="shared" si="202"/>
        <v/>
      </c>
      <c r="E3609" s="534"/>
      <c r="F3609" s="534"/>
    </row>
    <row r="3610" spans="1:6" ht="15" customHeight="1">
      <c r="A3610" s="51"/>
      <c r="B3610" s="52" t="str">
        <f t="shared" si="201"/>
        <v/>
      </c>
      <c r="C3610" t="str">
        <f t="shared" si="200"/>
        <v/>
      </c>
      <c r="D3610" s="245" t="str">
        <f t="shared" si="202"/>
        <v/>
      </c>
      <c r="E3610" s="534"/>
      <c r="F3610" s="534"/>
    </row>
    <row r="3611" spans="1:6" ht="15" customHeight="1">
      <c r="A3611" s="51"/>
      <c r="B3611" s="52" t="str">
        <f t="shared" si="201"/>
        <v/>
      </c>
      <c r="C3611" t="str">
        <f t="shared" si="200"/>
        <v/>
      </c>
      <c r="D3611" s="245" t="str">
        <f t="shared" si="202"/>
        <v/>
      </c>
      <c r="E3611" s="534"/>
      <c r="F3611" s="534"/>
    </row>
    <row r="3612" spans="1:6" ht="15" customHeight="1">
      <c r="A3612" s="51"/>
      <c r="B3612" s="52" t="str">
        <f t="shared" si="201"/>
        <v/>
      </c>
      <c r="C3612" t="str">
        <f t="shared" si="200"/>
        <v/>
      </c>
      <c r="D3612" s="245" t="str">
        <f t="shared" si="202"/>
        <v/>
      </c>
      <c r="E3612" s="534"/>
      <c r="F3612" s="534"/>
    </row>
    <row r="3613" spans="1:6" ht="15" customHeight="1">
      <c r="A3613" s="51"/>
      <c r="B3613" s="52" t="str">
        <f t="shared" si="201"/>
        <v/>
      </c>
      <c r="C3613" t="str">
        <f t="shared" si="200"/>
        <v/>
      </c>
      <c r="D3613" s="245" t="str">
        <f t="shared" si="202"/>
        <v/>
      </c>
      <c r="E3613" s="534"/>
      <c r="F3613" s="534"/>
    </row>
    <row r="3614" spans="1:6" ht="15" customHeight="1">
      <c r="A3614" s="51"/>
      <c r="B3614" s="52" t="str">
        <f t="shared" si="201"/>
        <v/>
      </c>
      <c r="C3614" t="str">
        <f t="shared" si="200"/>
        <v/>
      </c>
      <c r="D3614" s="245" t="str">
        <f t="shared" si="202"/>
        <v/>
      </c>
      <c r="E3614" s="534"/>
      <c r="F3614" s="534"/>
    </row>
    <row r="3615" spans="1:6" ht="15" customHeight="1">
      <c r="A3615" s="51"/>
      <c r="B3615" s="52" t="str">
        <f t="shared" si="201"/>
        <v/>
      </c>
      <c r="C3615" t="str">
        <f t="shared" si="200"/>
        <v/>
      </c>
      <c r="D3615" s="245" t="str">
        <f t="shared" si="202"/>
        <v/>
      </c>
      <c r="E3615" s="534"/>
      <c r="F3615" s="534"/>
    </row>
    <row r="3616" spans="1:6" ht="15" customHeight="1">
      <c r="A3616" s="51"/>
      <c r="B3616" s="52" t="str">
        <f t="shared" si="201"/>
        <v/>
      </c>
      <c r="C3616" t="str">
        <f t="shared" si="200"/>
        <v/>
      </c>
      <c r="D3616" s="245" t="str">
        <f t="shared" si="202"/>
        <v/>
      </c>
      <c r="E3616" s="534"/>
      <c r="F3616" s="534"/>
    </row>
    <row r="3617" spans="1:6" ht="15" customHeight="1">
      <c r="A3617" s="51"/>
      <c r="B3617" s="52" t="str">
        <f t="shared" si="201"/>
        <v/>
      </c>
      <c r="C3617" t="str">
        <f t="shared" si="200"/>
        <v/>
      </c>
      <c r="D3617" s="245" t="str">
        <f t="shared" si="202"/>
        <v/>
      </c>
      <c r="E3617" s="534"/>
      <c r="F3617" s="534"/>
    </row>
    <row r="3618" spans="1:6" ht="15" customHeight="1">
      <c r="A3618" s="51"/>
      <c r="B3618" s="52" t="str">
        <f t="shared" si="201"/>
        <v/>
      </c>
      <c r="C3618" t="str">
        <f t="shared" si="200"/>
        <v/>
      </c>
      <c r="D3618" s="245" t="str">
        <f t="shared" si="202"/>
        <v/>
      </c>
      <c r="E3618" s="534"/>
      <c r="F3618" s="534"/>
    </row>
    <row r="3619" spans="1:6" ht="15" customHeight="1">
      <c r="A3619" s="51"/>
      <c r="B3619" s="52" t="str">
        <f t="shared" si="201"/>
        <v/>
      </c>
      <c r="C3619" t="str">
        <f t="shared" si="200"/>
        <v/>
      </c>
      <c r="D3619" s="245" t="str">
        <f t="shared" si="202"/>
        <v/>
      </c>
      <c r="E3619" s="534"/>
      <c r="F3619" s="534"/>
    </row>
    <row r="3620" spans="1:6" ht="15" customHeight="1">
      <c r="A3620" s="51"/>
      <c r="B3620" s="52" t="str">
        <f t="shared" si="201"/>
        <v/>
      </c>
      <c r="C3620" t="str">
        <f t="shared" si="200"/>
        <v/>
      </c>
      <c r="D3620" s="245" t="str">
        <f t="shared" si="202"/>
        <v/>
      </c>
      <c r="E3620" s="534"/>
      <c r="F3620" s="534"/>
    </row>
    <row r="3621" spans="1:6" ht="15" customHeight="1">
      <c r="A3621" s="51"/>
      <c r="B3621" s="52" t="str">
        <f t="shared" si="201"/>
        <v/>
      </c>
      <c r="C3621" t="str">
        <f t="shared" si="200"/>
        <v/>
      </c>
      <c r="D3621" s="245" t="str">
        <f t="shared" si="202"/>
        <v/>
      </c>
      <c r="E3621" s="534"/>
      <c r="F3621" s="534"/>
    </row>
    <row r="3622" spans="1:6" ht="15" customHeight="1">
      <c r="A3622" s="51"/>
      <c r="B3622" s="52" t="str">
        <f t="shared" si="201"/>
        <v/>
      </c>
      <c r="C3622" t="str">
        <f t="shared" si="200"/>
        <v/>
      </c>
      <c r="D3622" s="245" t="str">
        <f t="shared" si="202"/>
        <v/>
      </c>
      <c r="E3622" s="534"/>
      <c r="F3622" s="534"/>
    </row>
    <row r="3623" spans="1:6" ht="15" customHeight="1">
      <c r="A3623" s="51"/>
      <c r="B3623" s="52" t="str">
        <f t="shared" si="201"/>
        <v/>
      </c>
      <c r="C3623" t="str">
        <f t="shared" si="200"/>
        <v/>
      </c>
      <c r="D3623" s="245" t="str">
        <f t="shared" si="202"/>
        <v/>
      </c>
      <c r="E3623" s="534"/>
      <c r="F3623" s="534"/>
    </row>
    <row r="3624" spans="1:6" ht="15" customHeight="1">
      <c r="A3624" s="51"/>
      <c r="B3624" s="52" t="str">
        <f t="shared" si="201"/>
        <v/>
      </c>
      <c r="C3624" t="str">
        <f t="shared" si="200"/>
        <v/>
      </c>
      <c r="D3624" s="245" t="str">
        <f t="shared" si="202"/>
        <v/>
      </c>
      <c r="E3624" s="534"/>
      <c r="F3624" s="534"/>
    </row>
    <row r="3625" spans="1:6" ht="15" customHeight="1">
      <c r="A3625" s="51"/>
      <c r="B3625" s="52" t="str">
        <f t="shared" si="201"/>
        <v/>
      </c>
      <c r="C3625" t="str">
        <f t="shared" si="200"/>
        <v/>
      </c>
      <c r="D3625" s="245" t="str">
        <f t="shared" si="202"/>
        <v/>
      </c>
      <c r="E3625" s="534"/>
      <c r="F3625" s="534"/>
    </row>
    <row r="3626" spans="1:6" ht="15" customHeight="1">
      <c r="A3626" s="51"/>
      <c r="B3626" s="52" t="str">
        <f t="shared" si="201"/>
        <v/>
      </c>
      <c r="C3626" t="str">
        <f t="shared" si="200"/>
        <v/>
      </c>
      <c r="D3626" s="245" t="str">
        <f t="shared" si="202"/>
        <v/>
      </c>
      <c r="E3626" s="534"/>
      <c r="F3626" s="534"/>
    </row>
    <row r="3627" spans="1:6" ht="15" customHeight="1">
      <c r="A3627" s="51"/>
      <c r="B3627" s="52" t="str">
        <f t="shared" si="201"/>
        <v/>
      </c>
      <c r="C3627" t="str">
        <f t="shared" si="200"/>
        <v/>
      </c>
      <c r="D3627" s="245" t="str">
        <f t="shared" si="202"/>
        <v/>
      </c>
      <c r="E3627" s="534"/>
      <c r="F3627" s="534"/>
    </row>
    <row r="3628" spans="1:6" ht="15" customHeight="1">
      <c r="A3628" s="51"/>
      <c r="B3628" s="52" t="str">
        <f t="shared" si="201"/>
        <v/>
      </c>
      <c r="C3628" t="str">
        <f t="shared" si="200"/>
        <v/>
      </c>
      <c r="D3628" s="245" t="str">
        <f t="shared" si="202"/>
        <v/>
      </c>
      <c r="E3628" s="534"/>
      <c r="F3628" s="534"/>
    </row>
    <row r="3629" spans="1:6" ht="15" customHeight="1">
      <c r="A3629" s="51"/>
      <c r="B3629" s="52" t="str">
        <f t="shared" si="201"/>
        <v/>
      </c>
      <c r="C3629" t="str">
        <f t="shared" si="200"/>
        <v/>
      </c>
      <c r="D3629" s="245" t="str">
        <f t="shared" si="202"/>
        <v/>
      </c>
      <c r="E3629" s="534"/>
      <c r="F3629" s="534"/>
    </row>
    <row r="3630" spans="1:6" ht="15" customHeight="1">
      <c r="A3630" s="51"/>
      <c r="B3630" s="52" t="str">
        <f t="shared" si="201"/>
        <v/>
      </c>
      <c r="C3630" t="str">
        <f t="shared" si="200"/>
        <v/>
      </c>
      <c r="D3630" s="245" t="str">
        <f t="shared" si="202"/>
        <v/>
      </c>
      <c r="E3630" s="534"/>
      <c r="F3630" s="534"/>
    </row>
    <row r="3631" spans="1:6" ht="15" customHeight="1">
      <c r="A3631" s="51"/>
      <c r="B3631" s="52" t="str">
        <f t="shared" si="201"/>
        <v/>
      </c>
      <c r="C3631" t="str">
        <f t="shared" si="200"/>
        <v/>
      </c>
      <c r="D3631" s="245" t="str">
        <f t="shared" si="202"/>
        <v/>
      </c>
      <c r="E3631" s="534"/>
      <c r="F3631" s="534"/>
    </row>
    <row r="3632" spans="1:6" ht="15" customHeight="1">
      <c r="A3632" s="51"/>
      <c r="B3632" s="52" t="str">
        <f t="shared" si="201"/>
        <v/>
      </c>
      <c r="C3632" t="str">
        <f t="shared" si="200"/>
        <v/>
      </c>
      <c r="D3632" s="245" t="str">
        <f t="shared" si="202"/>
        <v/>
      </c>
      <c r="E3632" s="534"/>
      <c r="F3632" s="534"/>
    </row>
    <row r="3633" spans="1:6" ht="15" customHeight="1">
      <c r="A3633" s="51"/>
      <c r="B3633" s="52" t="str">
        <f t="shared" si="201"/>
        <v/>
      </c>
      <c r="C3633" t="str">
        <f t="shared" si="200"/>
        <v/>
      </c>
      <c r="D3633" s="245" t="str">
        <f t="shared" si="202"/>
        <v/>
      </c>
      <c r="E3633" s="534"/>
      <c r="F3633" s="534"/>
    </row>
    <row r="3634" spans="1:6" ht="15" customHeight="1">
      <c r="A3634" s="51"/>
      <c r="B3634" s="52" t="str">
        <f t="shared" si="201"/>
        <v/>
      </c>
      <c r="C3634" t="str">
        <f t="shared" si="200"/>
        <v/>
      </c>
      <c r="D3634" s="245" t="str">
        <f t="shared" si="202"/>
        <v/>
      </c>
      <c r="E3634" s="534"/>
      <c r="F3634" s="534"/>
    </row>
    <row r="3635" spans="1:6" ht="15" customHeight="1">
      <c r="A3635" s="51"/>
      <c r="B3635" s="52" t="str">
        <f t="shared" si="201"/>
        <v/>
      </c>
      <c r="C3635" t="str">
        <f t="shared" si="200"/>
        <v/>
      </c>
      <c r="D3635" s="245" t="str">
        <f t="shared" si="202"/>
        <v/>
      </c>
      <c r="E3635" s="534"/>
      <c r="F3635" s="534"/>
    </row>
    <row r="3636" spans="1:6" ht="15" customHeight="1">
      <c r="A3636" s="51"/>
      <c r="B3636" s="52" t="str">
        <f t="shared" si="201"/>
        <v/>
      </c>
      <c r="C3636" t="str">
        <f t="shared" si="200"/>
        <v/>
      </c>
      <c r="D3636" s="245" t="str">
        <f t="shared" si="202"/>
        <v/>
      </c>
      <c r="E3636" s="534"/>
      <c r="F3636" s="534"/>
    </row>
    <row r="3637" spans="1:6" ht="15" customHeight="1">
      <c r="A3637" s="51"/>
      <c r="B3637" s="52" t="str">
        <f t="shared" si="201"/>
        <v/>
      </c>
      <c r="C3637" t="str">
        <f t="shared" si="200"/>
        <v/>
      </c>
      <c r="D3637" s="245" t="str">
        <f t="shared" si="202"/>
        <v/>
      </c>
      <c r="E3637" s="534"/>
      <c r="F3637" s="534"/>
    </row>
    <row r="3638" spans="1:6" ht="15" customHeight="1">
      <c r="A3638" s="51"/>
      <c r="B3638" s="52" t="str">
        <f t="shared" si="201"/>
        <v/>
      </c>
      <c r="C3638" t="str">
        <f t="shared" si="200"/>
        <v/>
      </c>
      <c r="D3638" s="245" t="str">
        <f t="shared" si="202"/>
        <v/>
      </c>
      <c r="E3638" s="534"/>
      <c r="F3638" s="534"/>
    </row>
    <row r="3639" spans="1:6" ht="15" customHeight="1">
      <c r="A3639" s="51"/>
      <c r="B3639" s="52" t="str">
        <f t="shared" si="201"/>
        <v/>
      </c>
      <c r="C3639" t="str">
        <f t="shared" si="200"/>
        <v/>
      </c>
      <c r="D3639" s="245" t="str">
        <f t="shared" si="202"/>
        <v/>
      </c>
      <c r="E3639" s="534"/>
      <c r="F3639" s="534"/>
    </row>
    <row r="3640" spans="1:6" ht="15" customHeight="1">
      <c r="A3640" s="51"/>
      <c r="B3640" s="52" t="str">
        <f t="shared" si="201"/>
        <v/>
      </c>
      <c r="C3640" t="str">
        <f t="shared" si="200"/>
        <v/>
      </c>
      <c r="D3640" s="245" t="str">
        <f t="shared" si="202"/>
        <v/>
      </c>
      <c r="E3640" s="534"/>
      <c r="F3640" s="534"/>
    </row>
    <row r="3641" spans="1:6" ht="15" customHeight="1">
      <c r="A3641" s="51"/>
      <c r="B3641" s="52" t="str">
        <f t="shared" si="201"/>
        <v/>
      </c>
      <c r="C3641" t="str">
        <f t="shared" si="200"/>
        <v/>
      </c>
      <c r="D3641" s="245" t="str">
        <f t="shared" si="202"/>
        <v/>
      </c>
      <c r="E3641" s="534"/>
      <c r="F3641" s="534"/>
    </row>
    <row r="3642" spans="1:6" ht="15" customHeight="1">
      <c r="A3642" s="51"/>
      <c r="B3642" s="52" t="str">
        <f t="shared" si="201"/>
        <v/>
      </c>
      <c r="C3642" t="str">
        <f t="shared" si="200"/>
        <v/>
      </c>
      <c r="D3642" s="245" t="str">
        <f t="shared" si="202"/>
        <v/>
      </c>
      <c r="E3642" s="534"/>
      <c r="F3642" s="534"/>
    </row>
    <row r="3643" spans="1:6" ht="15" customHeight="1">
      <c r="A3643" s="51"/>
      <c r="B3643" s="52" t="str">
        <f t="shared" si="201"/>
        <v/>
      </c>
      <c r="C3643" t="str">
        <f t="shared" si="200"/>
        <v/>
      </c>
      <c r="D3643" s="245" t="str">
        <f t="shared" si="202"/>
        <v/>
      </c>
      <c r="E3643" s="534"/>
      <c r="F3643" s="534"/>
    </row>
    <row r="3644" spans="1:6" ht="15" customHeight="1">
      <c r="A3644" s="51"/>
      <c r="B3644" s="52" t="str">
        <f t="shared" si="201"/>
        <v/>
      </c>
      <c r="C3644" t="str">
        <f t="shared" si="200"/>
        <v/>
      </c>
      <c r="D3644" s="245" t="str">
        <f t="shared" si="202"/>
        <v/>
      </c>
      <c r="E3644" s="534"/>
      <c r="F3644" s="534"/>
    </row>
    <row r="3645" spans="1:6" ht="15" customHeight="1">
      <c r="A3645" s="51"/>
      <c r="B3645" s="52" t="str">
        <f t="shared" si="201"/>
        <v/>
      </c>
      <c r="C3645" t="str">
        <f t="shared" si="200"/>
        <v/>
      </c>
      <c r="D3645" s="245" t="str">
        <f t="shared" si="202"/>
        <v/>
      </c>
      <c r="E3645" s="534"/>
      <c r="F3645" s="534"/>
    </row>
    <row r="3646" spans="1:6" ht="15" customHeight="1">
      <c r="A3646" s="51"/>
      <c r="B3646" s="52" t="str">
        <f t="shared" si="201"/>
        <v/>
      </c>
      <c r="C3646" t="str">
        <f t="shared" si="200"/>
        <v/>
      </c>
      <c r="D3646" s="245" t="str">
        <f t="shared" si="202"/>
        <v/>
      </c>
      <c r="E3646" s="534"/>
      <c r="F3646" s="534"/>
    </row>
    <row r="3647" spans="1:6" ht="15" customHeight="1">
      <c r="A3647" s="51"/>
      <c r="B3647" s="52" t="str">
        <f t="shared" si="201"/>
        <v/>
      </c>
      <c r="C3647" t="str">
        <f t="shared" si="200"/>
        <v/>
      </c>
      <c r="D3647" s="245" t="str">
        <f t="shared" si="202"/>
        <v/>
      </c>
      <c r="E3647" s="534"/>
      <c r="F3647" s="534"/>
    </row>
    <row r="3648" spans="1:6" ht="15" customHeight="1">
      <c r="A3648" s="51"/>
      <c r="B3648" s="52" t="str">
        <f t="shared" si="201"/>
        <v/>
      </c>
      <c r="C3648" t="str">
        <f t="shared" si="200"/>
        <v/>
      </c>
      <c r="D3648" s="245" t="str">
        <f t="shared" si="202"/>
        <v/>
      </c>
      <c r="E3648" s="534"/>
      <c r="F3648" s="534"/>
    </row>
    <row r="3649" spans="1:6" ht="15" customHeight="1">
      <c r="A3649" s="51"/>
      <c r="B3649" s="52" t="str">
        <f t="shared" si="201"/>
        <v/>
      </c>
      <c r="C3649" t="str">
        <f t="shared" si="200"/>
        <v/>
      </c>
      <c r="D3649" s="245" t="str">
        <f t="shared" si="202"/>
        <v/>
      </c>
      <c r="E3649" s="534"/>
      <c r="F3649" s="534"/>
    </row>
    <row r="3650" spans="1:6" ht="15" customHeight="1">
      <c r="A3650" s="51"/>
      <c r="B3650" s="52" t="str">
        <f t="shared" si="201"/>
        <v/>
      </c>
      <c r="C3650" t="str">
        <f t="shared" ref="C3650:C3713" si="203">IF(A3650&lt;&gt;"",TEXT(A3650,"aaaa"),"")</f>
        <v/>
      </c>
      <c r="D3650" s="245" t="str">
        <f t="shared" si="202"/>
        <v/>
      </c>
      <c r="E3650" s="534"/>
      <c r="F3650" s="534"/>
    </row>
    <row r="3651" spans="1:6" ht="15" customHeight="1">
      <c r="A3651" s="51"/>
      <c r="B3651" s="52" t="str">
        <f t="shared" si="201"/>
        <v/>
      </c>
      <c r="C3651" t="str">
        <f t="shared" si="203"/>
        <v/>
      </c>
      <c r="D3651" s="245" t="str">
        <f t="shared" si="202"/>
        <v/>
      </c>
      <c r="E3651" s="534"/>
      <c r="F3651" s="534"/>
    </row>
    <row r="3652" spans="1:6" ht="15" customHeight="1">
      <c r="A3652" s="51"/>
      <c r="B3652" s="52" t="str">
        <f t="shared" si="201"/>
        <v/>
      </c>
      <c r="C3652" t="str">
        <f t="shared" si="203"/>
        <v/>
      </c>
      <c r="D3652" s="245" t="str">
        <f t="shared" si="202"/>
        <v/>
      </c>
      <c r="E3652" s="534"/>
      <c r="F3652" s="534"/>
    </row>
    <row r="3653" spans="1:6" ht="15" customHeight="1">
      <c r="A3653" s="51"/>
      <c r="B3653" s="52" t="str">
        <f t="shared" si="201"/>
        <v/>
      </c>
      <c r="C3653" t="str">
        <f t="shared" si="203"/>
        <v/>
      </c>
      <c r="D3653" s="245" t="str">
        <f t="shared" si="202"/>
        <v/>
      </c>
      <c r="E3653" s="534"/>
      <c r="F3653" s="534"/>
    </row>
    <row r="3654" spans="1:6" ht="15" customHeight="1">
      <c r="A3654" s="51"/>
      <c r="B3654" s="52" t="str">
        <f t="shared" si="201"/>
        <v/>
      </c>
      <c r="C3654" t="str">
        <f t="shared" si="203"/>
        <v/>
      </c>
      <c r="D3654" s="245" t="str">
        <f t="shared" si="202"/>
        <v/>
      </c>
      <c r="E3654" s="534"/>
      <c r="F3654" s="534"/>
    </row>
    <row r="3655" spans="1:6" ht="15" customHeight="1">
      <c r="A3655" s="51"/>
      <c r="B3655" s="52" t="str">
        <f t="shared" si="201"/>
        <v/>
      </c>
      <c r="C3655" t="str">
        <f t="shared" si="203"/>
        <v/>
      </c>
      <c r="D3655" s="245" t="str">
        <f t="shared" si="202"/>
        <v/>
      </c>
      <c r="E3655" s="534"/>
      <c r="F3655" s="534"/>
    </row>
    <row r="3656" spans="1:6" ht="15" customHeight="1">
      <c r="A3656" s="51"/>
      <c r="B3656" s="52" t="str">
        <f t="shared" ref="B3656:B3719" si="204">IF(A3656="","",TEXT(A3656,"DDDD"))</f>
        <v/>
      </c>
      <c r="C3656" t="str">
        <f t="shared" si="203"/>
        <v/>
      </c>
      <c r="D3656" s="245" t="str">
        <f t="shared" si="202"/>
        <v/>
      </c>
      <c r="E3656" s="534"/>
      <c r="F3656" s="534"/>
    </row>
    <row r="3657" spans="1:6" ht="15" customHeight="1">
      <c r="A3657" s="51"/>
      <c r="B3657" s="52" t="str">
        <f t="shared" si="204"/>
        <v/>
      </c>
      <c r="C3657" t="str">
        <f t="shared" si="203"/>
        <v/>
      </c>
      <c r="D3657" s="245" t="str">
        <f t="shared" ref="D3657:D3720" si="205">IF(A3657&lt;&gt;"",PROPER(TEXT(A3657,"Mmmm")),"")</f>
        <v/>
      </c>
      <c r="E3657" s="534"/>
      <c r="F3657" s="534"/>
    </row>
    <row r="3658" spans="1:6" ht="15" customHeight="1">
      <c r="A3658" s="51"/>
      <c r="B3658" s="52" t="str">
        <f t="shared" si="204"/>
        <v/>
      </c>
      <c r="C3658" t="str">
        <f t="shared" si="203"/>
        <v/>
      </c>
      <c r="D3658" s="245" t="str">
        <f t="shared" si="205"/>
        <v/>
      </c>
      <c r="E3658" s="534"/>
      <c r="F3658" s="534"/>
    </row>
    <row r="3659" spans="1:6" ht="15" customHeight="1">
      <c r="A3659" s="51"/>
      <c r="B3659" s="52" t="str">
        <f t="shared" si="204"/>
        <v/>
      </c>
      <c r="C3659" t="str">
        <f t="shared" si="203"/>
        <v/>
      </c>
      <c r="D3659" s="245" t="str">
        <f t="shared" si="205"/>
        <v/>
      </c>
      <c r="E3659" s="534"/>
      <c r="F3659" s="534"/>
    </row>
    <row r="3660" spans="1:6" ht="15" customHeight="1">
      <c r="A3660" s="51"/>
      <c r="B3660" s="52" t="str">
        <f t="shared" si="204"/>
        <v/>
      </c>
      <c r="C3660" t="str">
        <f t="shared" si="203"/>
        <v/>
      </c>
      <c r="D3660" s="245" t="str">
        <f t="shared" si="205"/>
        <v/>
      </c>
      <c r="E3660" s="534"/>
      <c r="F3660" s="534"/>
    </row>
    <row r="3661" spans="1:6" ht="15" customHeight="1">
      <c r="A3661" s="51"/>
      <c r="B3661" s="52" t="str">
        <f t="shared" si="204"/>
        <v/>
      </c>
      <c r="C3661" t="str">
        <f t="shared" si="203"/>
        <v/>
      </c>
      <c r="D3661" s="245" t="str">
        <f t="shared" si="205"/>
        <v/>
      </c>
      <c r="E3661" s="534"/>
      <c r="F3661" s="534"/>
    </row>
    <row r="3662" spans="1:6" ht="15" customHeight="1">
      <c r="A3662" s="51"/>
      <c r="B3662" s="52" t="str">
        <f t="shared" si="204"/>
        <v/>
      </c>
      <c r="C3662" t="str">
        <f t="shared" si="203"/>
        <v/>
      </c>
      <c r="D3662" s="245" t="str">
        <f t="shared" si="205"/>
        <v/>
      </c>
      <c r="E3662" s="534"/>
      <c r="F3662" s="534"/>
    </row>
    <row r="3663" spans="1:6" ht="15" customHeight="1">
      <c r="A3663" s="51"/>
      <c r="B3663" s="52" t="str">
        <f t="shared" si="204"/>
        <v/>
      </c>
      <c r="C3663" t="str">
        <f t="shared" si="203"/>
        <v/>
      </c>
      <c r="D3663" s="245" t="str">
        <f t="shared" si="205"/>
        <v/>
      </c>
      <c r="E3663" s="534"/>
      <c r="F3663" s="534"/>
    </row>
    <row r="3664" spans="1:6" ht="15" customHeight="1">
      <c r="A3664" s="51"/>
      <c r="B3664" s="52" t="str">
        <f t="shared" si="204"/>
        <v/>
      </c>
      <c r="C3664" t="str">
        <f t="shared" si="203"/>
        <v/>
      </c>
      <c r="D3664" s="245" t="str">
        <f t="shared" si="205"/>
        <v/>
      </c>
      <c r="E3664" s="534"/>
      <c r="F3664" s="534"/>
    </row>
    <row r="3665" spans="1:6" ht="15" customHeight="1">
      <c r="A3665" s="51"/>
      <c r="B3665" s="52" t="str">
        <f t="shared" si="204"/>
        <v/>
      </c>
      <c r="C3665" t="str">
        <f t="shared" si="203"/>
        <v/>
      </c>
      <c r="D3665" s="245" t="str">
        <f t="shared" si="205"/>
        <v/>
      </c>
      <c r="E3665" s="534"/>
      <c r="F3665" s="534"/>
    </row>
    <row r="3666" spans="1:6" ht="15" customHeight="1">
      <c r="A3666" s="51"/>
      <c r="B3666" s="52" t="str">
        <f t="shared" si="204"/>
        <v/>
      </c>
      <c r="C3666" t="str">
        <f t="shared" si="203"/>
        <v/>
      </c>
      <c r="D3666" s="245" t="str">
        <f t="shared" si="205"/>
        <v/>
      </c>
      <c r="E3666" s="534"/>
      <c r="F3666" s="534"/>
    </row>
    <row r="3667" spans="1:6" ht="15" customHeight="1">
      <c r="A3667" s="51"/>
      <c r="B3667" s="52" t="str">
        <f t="shared" si="204"/>
        <v/>
      </c>
      <c r="C3667" t="str">
        <f t="shared" si="203"/>
        <v/>
      </c>
      <c r="D3667" s="245" t="str">
        <f t="shared" si="205"/>
        <v/>
      </c>
      <c r="E3667" s="534"/>
      <c r="F3667" s="534"/>
    </row>
    <row r="3668" spans="1:6" ht="15" customHeight="1">
      <c r="A3668" s="51"/>
      <c r="B3668" s="52" t="str">
        <f t="shared" si="204"/>
        <v/>
      </c>
      <c r="C3668" t="str">
        <f t="shared" si="203"/>
        <v/>
      </c>
      <c r="D3668" s="245" t="str">
        <f t="shared" si="205"/>
        <v/>
      </c>
      <c r="E3668" s="534"/>
      <c r="F3668" s="534"/>
    </row>
    <row r="3669" spans="1:6" ht="15" customHeight="1">
      <c r="A3669" s="51"/>
      <c r="B3669" s="52" t="str">
        <f t="shared" si="204"/>
        <v/>
      </c>
      <c r="C3669" t="str">
        <f t="shared" si="203"/>
        <v/>
      </c>
      <c r="D3669" s="245" t="str">
        <f t="shared" si="205"/>
        <v/>
      </c>
      <c r="E3669" s="534"/>
      <c r="F3669" s="534"/>
    </row>
    <row r="3670" spans="1:6" ht="15" customHeight="1">
      <c r="A3670" s="51"/>
      <c r="B3670" s="52" t="str">
        <f t="shared" si="204"/>
        <v/>
      </c>
      <c r="C3670" t="str">
        <f t="shared" si="203"/>
        <v/>
      </c>
      <c r="D3670" s="245" t="str">
        <f t="shared" si="205"/>
        <v/>
      </c>
      <c r="E3670" s="534"/>
      <c r="F3670" s="534"/>
    </row>
    <row r="3671" spans="1:6" ht="15" customHeight="1">
      <c r="A3671" s="51"/>
      <c r="B3671" s="52" t="str">
        <f t="shared" si="204"/>
        <v/>
      </c>
      <c r="C3671" t="str">
        <f t="shared" si="203"/>
        <v/>
      </c>
      <c r="D3671" s="245" t="str">
        <f t="shared" si="205"/>
        <v/>
      </c>
      <c r="E3671" s="534"/>
      <c r="F3671" s="534"/>
    </row>
    <row r="3672" spans="1:6" ht="15" customHeight="1">
      <c r="A3672" s="51"/>
      <c r="B3672" s="52" t="str">
        <f t="shared" si="204"/>
        <v/>
      </c>
      <c r="C3672" t="str">
        <f t="shared" si="203"/>
        <v/>
      </c>
      <c r="D3672" s="245" t="str">
        <f t="shared" si="205"/>
        <v/>
      </c>
      <c r="E3672" s="534"/>
      <c r="F3672" s="534"/>
    </row>
    <row r="3673" spans="1:6" ht="15" customHeight="1">
      <c r="A3673" s="51"/>
      <c r="B3673" s="52" t="str">
        <f t="shared" si="204"/>
        <v/>
      </c>
      <c r="C3673" t="str">
        <f t="shared" si="203"/>
        <v/>
      </c>
      <c r="D3673" s="245" t="str">
        <f t="shared" si="205"/>
        <v/>
      </c>
      <c r="E3673" s="534"/>
      <c r="F3673" s="534"/>
    </row>
    <row r="3674" spans="1:6" ht="15" customHeight="1">
      <c r="A3674" s="51"/>
      <c r="B3674" s="52" t="str">
        <f t="shared" si="204"/>
        <v/>
      </c>
      <c r="C3674" t="str">
        <f t="shared" si="203"/>
        <v/>
      </c>
      <c r="D3674" s="245" t="str">
        <f t="shared" si="205"/>
        <v/>
      </c>
      <c r="E3674" s="534"/>
      <c r="F3674" s="534"/>
    </row>
    <row r="3675" spans="1:6" ht="15" customHeight="1">
      <c r="A3675" s="51"/>
      <c r="B3675" s="52" t="str">
        <f t="shared" si="204"/>
        <v/>
      </c>
      <c r="C3675" t="str">
        <f t="shared" si="203"/>
        <v/>
      </c>
      <c r="D3675" s="245" t="str">
        <f t="shared" si="205"/>
        <v/>
      </c>
      <c r="E3675" s="534"/>
      <c r="F3675" s="534"/>
    </row>
    <row r="3676" spans="1:6" ht="15" customHeight="1">
      <c r="A3676" s="51"/>
      <c r="B3676" s="52" t="str">
        <f t="shared" si="204"/>
        <v/>
      </c>
      <c r="C3676" t="str">
        <f t="shared" si="203"/>
        <v/>
      </c>
      <c r="D3676" s="245" t="str">
        <f t="shared" si="205"/>
        <v/>
      </c>
      <c r="E3676" s="534"/>
      <c r="F3676" s="534"/>
    </row>
    <row r="3677" spans="1:6" ht="15" customHeight="1">
      <c r="A3677" s="51"/>
      <c r="B3677" s="52" t="str">
        <f t="shared" si="204"/>
        <v/>
      </c>
      <c r="C3677" t="str">
        <f t="shared" si="203"/>
        <v/>
      </c>
      <c r="D3677" s="245" t="str">
        <f t="shared" si="205"/>
        <v/>
      </c>
      <c r="E3677" s="534"/>
      <c r="F3677" s="534"/>
    </row>
    <row r="3678" spans="1:6" ht="15" customHeight="1">
      <c r="A3678" s="51"/>
      <c r="B3678" s="52" t="str">
        <f t="shared" si="204"/>
        <v/>
      </c>
      <c r="C3678" t="str">
        <f t="shared" si="203"/>
        <v/>
      </c>
      <c r="D3678" s="245" t="str">
        <f t="shared" si="205"/>
        <v/>
      </c>
      <c r="E3678" s="534"/>
      <c r="F3678" s="534"/>
    </row>
    <row r="3679" spans="1:6" ht="15" customHeight="1">
      <c r="A3679" s="51"/>
      <c r="B3679" s="52" t="str">
        <f t="shared" si="204"/>
        <v/>
      </c>
      <c r="C3679" t="str">
        <f t="shared" si="203"/>
        <v/>
      </c>
      <c r="D3679" s="245" t="str">
        <f t="shared" si="205"/>
        <v/>
      </c>
      <c r="E3679" s="534"/>
      <c r="F3679" s="534"/>
    </row>
    <row r="3680" spans="1:6" ht="15" customHeight="1">
      <c r="A3680" s="51"/>
      <c r="B3680" s="52" t="str">
        <f t="shared" si="204"/>
        <v/>
      </c>
      <c r="C3680" t="str">
        <f t="shared" si="203"/>
        <v/>
      </c>
      <c r="D3680" s="245" t="str">
        <f t="shared" si="205"/>
        <v/>
      </c>
      <c r="E3680" s="534"/>
      <c r="F3680" s="534"/>
    </row>
    <row r="3681" spans="1:6" ht="15" customHeight="1">
      <c r="A3681" s="51"/>
      <c r="B3681" s="52" t="str">
        <f t="shared" si="204"/>
        <v/>
      </c>
      <c r="C3681" t="str">
        <f t="shared" si="203"/>
        <v/>
      </c>
      <c r="D3681" s="245" t="str">
        <f t="shared" si="205"/>
        <v/>
      </c>
      <c r="E3681" s="534"/>
      <c r="F3681" s="534"/>
    </row>
    <row r="3682" spans="1:6" ht="15" customHeight="1">
      <c r="A3682" s="51"/>
      <c r="B3682" s="52" t="str">
        <f t="shared" si="204"/>
        <v/>
      </c>
      <c r="C3682" t="str">
        <f t="shared" si="203"/>
        <v/>
      </c>
      <c r="D3682" s="245" t="str">
        <f t="shared" si="205"/>
        <v/>
      </c>
      <c r="E3682" s="534"/>
      <c r="F3682" s="534"/>
    </row>
    <row r="3683" spans="1:6" ht="15" customHeight="1">
      <c r="A3683" s="51"/>
      <c r="B3683" s="52" t="str">
        <f t="shared" si="204"/>
        <v/>
      </c>
      <c r="C3683" t="str">
        <f t="shared" si="203"/>
        <v/>
      </c>
      <c r="D3683" s="245" t="str">
        <f t="shared" si="205"/>
        <v/>
      </c>
      <c r="E3683" s="534"/>
      <c r="F3683" s="534"/>
    </row>
    <row r="3684" spans="1:6" ht="15" customHeight="1">
      <c r="A3684" s="51"/>
      <c r="B3684" s="52" t="str">
        <f t="shared" si="204"/>
        <v/>
      </c>
      <c r="C3684" t="str">
        <f t="shared" si="203"/>
        <v/>
      </c>
      <c r="D3684" s="245" t="str">
        <f t="shared" si="205"/>
        <v/>
      </c>
      <c r="E3684" s="534"/>
      <c r="F3684" s="534"/>
    </row>
    <row r="3685" spans="1:6" ht="15" customHeight="1">
      <c r="A3685" s="51"/>
      <c r="B3685" s="52" t="str">
        <f t="shared" si="204"/>
        <v/>
      </c>
      <c r="C3685" t="str">
        <f t="shared" si="203"/>
        <v/>
      </c>
      <c r="D3685" s="245" t="str">
        <f t="shared" si="205"/>
        <v/>
      </c>
      <c r="E3685" s="534"/>
      <c r="F3685" s="534"/>
    </row>
    <row r="3686" spans="1:6" ht="15" customHeight="1">
      <c r="A3686" s="51"/>
      <c r="B3686" s="52" t="str">
        <f t="shared" si="204"/>
        <v/>
      </c>
      <c r="C3686" t="str">
        <f t="shared" si="203"/>
        <v/>
      </c>
      <c r="D3686" s="245" t="str">
        <f t="shared" si="205"/>
        <v/>
      </c>
      <c r="E3686" s="534"/>
      <c r="F3686" s="534"/>
    </row>
    <row r="3687" spans="1:6" ht="15" customHeight="1">
      <c r="A3687" s="51"/>
      <c r="B3687" s="52" t="str">
        <f t="shared" si="204"/>
        <v/>
      </c>
      <c r="C3687" t="str">
        <f t="shared" si="203"/>
        <v/>
      </c>
      <c r="D3687" s="245" t="str">
        <f t="shared" si="205"/>
        <v/>
      </c>
      <c r="E3687" s="534"/>
      <c r="F3687" s="534"/>
    </row>
    <row r="3688" spans="1:6" ht="15" customHeight="1">
      <c r="A3688" s="51"/>
      <c r="B3688" s="52" t="str">
        <f t="shared" si="204"/>
        <v/>
      </c>
      <c r="C3688" t="str">
        <f t="shared" si="203"/>
        <v/>
      </c>
      <c r="D3688" s="245" t="str">
        <f t="shared" si="205"/>
        <v/>
      </c>
      <c r="E3688" s="534"/>
      <c r="F3688" s="534"/>
    </row>
    <row r="3689" spans="1:6" ht="15" customHeight="1">
      <c r="A3689" s="51"/>
      <c r="B3689" s="52" t="str">
        <f t="shared" si="204"/>
        <v/>
      </c>
      <c r="C3689" t="str">
        <f t="shared" si="203"/>
        <v/>
      </c>
      <c r="D3689" s="245" t="str">
        <f t="shared" si="205"/>
        <v/>
      </c>
      <c r="E3689" s="534"/>
      <c r="F3689" s="534"/>
    </row>
    <row r="3690" spans="1:6" ht="15" customHeight="1">
      <c r="A3690" s="51"/>
      <c r="B3690" s="52" t="str">
        <f t="shared" si="204"/>
        <v/>
      </c>
      <c r="C3690" t="str">
        <f t="shared" si="203"/>
        <v/>
      </c>
      <c r="D3690" s="245" t="str">
        <f t="shared" si="205"/>
        <v/>
      </c>
      <c r="E3690" s="534"/>
      <c r="F3690" s="534"/>
    </row>
    <row r="3691" spans="1:6" ht="15" customHeight="1">
      <c r="A3691" s="51"/>
      <c r="B3691" s="52" t="str">
        <f t="shared" si="204"/>
        <v/>
      </c>
      <c r="C3691" t="str">
        <f t="shared" si="203"/>
        <v/>
      </c>
      <c r="D3691" s="245" t="str">
        <f t="shared" si="205"/>
        <v/>
      </c>
      <c r="E3691" s="534"/>
      <c r="F3691" s="534"/>
    </row>
    <row r="3692" spans="1:6" ht="15" customHeight="1">
      <c r="A3692" s="51"/>
      <c r="B3692" s="52" t="str">
        <f t="shared" si="204"/>
        <v/>
      </c>
      <c r="C3692" t="str">
        <f t="shared" si="203"/>
        <v/>
      </c>
      <c r="D3692" s="245" t="str">
        <f t="shared" si="205"/>
        <v/>
      </c>
      <c r="E3692" s="534"/>
      <c r="F3692" s="534"/>
    </row>
    <row r="3693" spans="1:6" ht="15" customHeight="1">
      <c r="A3693" s="51"/>
      <c r="B3693" s="52" t="str">
        <f t="shared" si="204"/>
        <v/>
      </c>
      <c r="C3693" t="str">
        <f t="shared" si="203"/>
        <v/>
      </c>
      <c r="D3693" s="245" t="str">
        <f t="shared" si="205"/>
        <v/>
      </c>
      <c r="E3693" s="534"/>
      <c r="F3693" s="534"/>
    </row>
    <row r="3694" spans="1:6" ht="15" customHeight="1">
      <c r="A3694" s="51"/>
      <c r="B3694" s="52" t="str">
        <f t="shared" si="204"/>
        <v/>
      </c>
      <c r="C3694" t="str">
        <f t="shared" si="203"/>
        <v/>
      </c>
      <c r="D3694" s="245" t="str">
        <f t="shared" si="205"/>
        <v/>
      </c>
      <c r="E3694" s="534"/>
      <c r="F3694" s="534"/>
    </row>
    <row r="3695" spans="1:6" ht="15" customHeight="1">
      <c r="A3695" s="51"/>
      <c r="B3695" s="52" t="str">
        <f t="shared" si="204"/>
        <v/>
      </c>
      <c r="C3695" t="str">
        <f t="shared" si="203"/>
        <v/>
      </c>
      <c r="D3695" s="245" t="str">
        <f t="shared" si="205"/>
        <v/>
      </c>
      <c r="E3695" s="534"/>
      <c r="F3695" s="534"/>
    </row>
    <row r="3696" spans="1:6" ht="15" customHeight="1">
      <c r="A3696" s="51"/>
      <c r="B3696" s="52" t="str">
        <f t="shared" si="204"/>
        <v/>
      </c>
      <c r="C3696" t="str">
        <f t="shared" si="203"/>
        <v/>
      </c>
      <c r="D3696" s="245" t="str">
        <f t="shared" si="205"/>
        <v/>
      </c>
      <c r="E3696" s="534"/>
      <c r="F3696" s="534"/>
    </row>
    <row r="3697" spans="1:6" ht="15" customHeight="1">
      <c r="A3697" s="51"/>
      <c r="B3697" s="52" t="str">
        <f t="shared" si="204"/>
        <v/>
      </c>
      <c r="C3697" t="str">
        <f t="shared" si="203"/>
        <v/>
      </c>
      <c r="D3697" s="245" t="str">
        <f t="shared" si="205"/>
        <v/>
      </c>
      <c r="E3697" s="534"/>
      <c r="F3697" s="534"/>
    </row>
    <row r="3698" spans="1:6" ht="15" customHeight="1">
      <c r="A3698" s="51"/>
      <c r="B3698" s="52" t="str">
        <f t="shared" si="204"/>
        <v/>
      </c>
      <c r="C3698" t="str">
        <f t="shared" si="203"/>
        <v/>
      </c>
      <c r="D3698" s="245" t="str">
        <f t="shared" si="205"/>
        <v/>
      </c>
      <c r="E3698" s="534"/>
      <c r="F3698" s="534"/>
    </row>
    <row r="3699" spans="1:6" ht="15" customHeight="1">
      <c r="A3699" s="51"/>
      <c r="B3699" s="52" t="str">
        <f t="shared" si="204"/>
        <v/>
      </c>
      <c r="C3699" t="str">
        <f t="shared" si="203"/>
        <v/>
      </c>
      <c r="D3699" s="245" t="str">
        <f t="shared" si="205"/>
        <v/>
      </c>
      <c r="E3699" s="534"/>
      <c r="F3699" s="534"/>
    </row>
    <row r="3700" spans="1:6" ht="15" customHeight="1">
      <c r="A3700" s="51"/>
      <c r="B3700" s="52" t="str">
        <f t="shared" si="204"/>
        <v/>
      </c>
      <c r="C3700" t="str">
        <f t="shared" si="203"/>
        <v/>
      </c>
      <c r="D3700" s="245" t="str">
        <f t="shared" si="205"/>
        <v/>
      </c>
      <c r="E3700" s="534"/>
      <c r="F3700" s="534"/>
    </row>
    <row r="3701" spans="1:6" ht="15" customHeight="1">
      <c r="A3701" s="51"/>
      <c r="B3701" s="52" t="str">
        <f t="shared" si="204"/>
        <v/>
      </c>
      <c r="C3701" t="str">
        <f t="shared" si="203"/>
        <v/>
      </c>
      <c r="D3701" s="245" t="str">
        <f t="shared" si="205"/>
        <v/>
      </c>
      <c r="E3701" s="534"/>
      <c r="F3701" s="534"/>
    </row>
    <row r="3702" spans="1:6" ht="15" customHeight="1">
      <c r="A3702" s="51"/>
      <c r="B3702" s="52" t="str">
        <f t="shared" si="204"/>
        <v/>
      </c>
      <c r="C3702" t="str">
        <f t="shared" si="203"/>
        <v/>
      </c>
      <c r="D3702" s="245" t="str">
        <f t="shared" si="205"/>
        <v/>
      </c>
      <c r="E3702" s="534"/>
      <c r="F3702" s="534"/>
    </row>
    <row r="3703" spans="1:6" ht="15" customHeight="1">
      <c r="A3703" s="51"/>
      <c r="B3703" s="52" t="str">
        <f t="shared" si="204"/>
        <v/>
      </c>
      <c r="C3703" t="str">
        <f t="shared" si="203"/>
        <v/>
      </c>
      <c r="D3703" s="245" t="str">
        <f t="shared" si="205"/>
        <v/>
      </c>
      <c r="E3703" s="534"/>
      <c r="F3703" s="534"/>
    </row>
    <row r="3704" spans="1:6" ht="15" customHeight="1">
      <c r="A3704" s="51"/>
      <c r="B3704" s="52" t="str">
        <f t="shared" si="204"/>
        <v/>
      </c>
      <c r="C3704" t="str">
        <f t="shared" si="203"/>
        <v/>
      </c>
      <c r="D3704" s="245" t="str">
        <f t="shared" si="205"/>
        <v/>
      </c>
      <c r="E3704" s="534"/>
      <c r="F3704" s="534"/>
    </row>
    <row r="3705" spans="1:6" ht="15" customHeight="1">
      <c r="A3705" s="51"/>
      <c r="B3705" s="52" t="str">
        <f t="shared" si="204"/>
        <v/>
      </c>
      <c r="C3705" t="str">
        <f t="shared" si="203"/>
        <v/>
      </c>
      <c r="D3705" s="245" t="str">
        <f t="shared" si="205"/>
        <v/>
      </c>
      <c r="E3705" s="534"/>
      <c r="F3705" s="534"/>
    </row>
    <row r="3706" spans="1:6" ht="15" customHeight="1">
      <c r="A3706" s="51"/>
      <c r="B3706" s="52" t="str">
        <f t="shared" si="204"/>
        <v/>
      </c>
      <c r="C3706" t="str">
        <f t="shared" si="203"/>
        <v/>
      </c>
      <c r="D3706" s="245" t="str">
        <f t="shared" si="205"/>
        <v/>
      </c>
      <c r="E3706" s="534"/>
      <c r="F3706" s="534"/>
    </row>
    <row r="3707" spans="1:6" ht="15" customHeight="1">
      <c r="A3707" s="51"/>
      <c r="B3707" s="52" t="str">
        <f t="shared" si="204"/>
        <v/>
      </c>
      <c r="C3707" t="str">
        <f t="shared" si="203"/>
        <v/>
      </c>
      <c r="D3707" s="245" t="str">
        <f t="shared" si="205"/>
        <v/>
      </c>
      <c r="E3707" s="534"/>
      <c r="F3707" s="534"/>
    </row>
    <row r="3708" spans="1:6" ht="15" customHeight="1">
      <c r="A3708" s="51"/>
      <c r="B3708" s="52" t="str">
        <f t="shared" si="204"/>
        <v/>
      </c>
      <c r="C3708" t="str">
        <f t="shared" si="203"/>
        <v/>
      </c>
      <c r="D3708" s="245" t="str">
        <f t="shared" si="205"/>
        <v/>
      </c>
      <c r="E3708" s="534"/>
      <c r="F3708" s="534"/>
    </row>
    <row r="3709" spans="1:6" ht="15" customHeight="1">
      <c r="A3709" s="51"/>
      <c r="B3709" s="52" t="str">
        <f t="shared" si="204"/>
        <v/>
      </c>
      <c r="C3709" t="str">
        <f t="shared" si="203"/>
        <v/>
      </c>
      <c r="D3709" s="245" t="str">
        <f t="shared" si="205"/>
        <v/>
      </c>
      <c r="E3709" s="534"/>
      <c r="F3709" s="534"/>
    </row>
    <row r="3710" spans="1:6" ht="15" customHeight="1">
      <c r="A3710" s="51"/>
      <c r="B3710" s="52" t="str">
        <f t="shared" si="204"/>
        <v/>
      </c>
      <c r="C3710" t="str">
        <f t="shared" si="203"/>
        <v/>
      </c>
      <c r="D3710" s="245" t="str">
        <f t="shared" si="205"/>
        <v/>
      </c>
      <c r="E3710" s="534"/>
      <c r="F3710" s="534"/>
    </row>
    <row r="3711" spans="1:6" ht="15" customHeight="1">
      <c r="A3711" s="51"/>
      <c r="B3711" s="52" t="str">
        <f t="shared" si="204"/>
        <v/>
      </c>
      <c r="C3711" t="str">
        <f t="shared" si="203"/>
        <v/>
      </c>
      <c r="D3711" s="245" t="str">
        <f t="shared" si="205"/>
        <v/>
      </c>
      <c r="E3711" s="534"/>
      <c r="F3711" s="534"/>
    </row>
    <row r="3712" spans="1:6" ht="15" customHeight="1">
      <c r="A3712" s="51"/>
      <c r="B3712" s="52" t="str">
        <f t="shared" si="204"/>
        <v/>
      </c>
      <c r="C3712" t="str">
        <f t="shared" si="203"/>
        <v/>
      </c>
      <c r="D3712" s="245" t="str">
        <f t="shared" si="205"/>
        <v/>
      </c>
      <c r="E3712" s="534"/>
      <c r="F3712" s="534"/>
    </row>
    <row r="3713" spans="1:6" ht="15" customHeight="1">
      <c r="A3713" s="51"/>
      <c r="B3713" s="52" t="str">
        <f t="shared" si="204"/>
        <v/>
      </c>
      <c r="C3713" t="str">
        <f t="shared" si="203"/>
        <v/>
      </c>
      <c r="D3713" s="245" t="str">
        <f t="shared" si="205"/>
        <v/>
      </c>
      <c r="E3713" s="534"/>
      <c r="F3713" s="534"/>
    </row>
    <row r="3714" spans="1:6" ht="15" customHeight="1">
      <c r="A3714" s="51"/>
      <c r="B3714" s="52" t="str">
        <f t="shared" si="204"/>
        <v/>
      </c>
      <c r="C3714" t="str">
        <f t="shared" ref="C3714:C3777" si="206">IF(A3714&lt;&gt;"",TEXT(A3714,"aaaa"),"")</f>
        <v/>
      </c>
      <c r="D3714" s="245" t="str">
        <f t="shared" si="205"/>
        <v/>
      </c>
      <c r="E3714" s="534"/>
      <c r="F3714" s="534"/>
    </row>
    <row r="3715" spans="1:6" ht="15" customHeight="1">
      <c r="A3715" s="51"/>
      <c r="B3715" s="52" t="str">
        <f t="shared" si="204"/>
        <v/>
      </c>
      <c r="C3715" t="str">
        <f t="shared" si="206"/>
        <v/>
      </c>
      <c r="D3715" s="245" t="str">
        <f t="shared" si="205"/>
        <v/>
      </c>
      <c r="E3715" s="534"/>
      <c r="F3715" s="534"/>
    </row>
    <row r="3716" spans="1:6" ht="15" customHeight="1">
      <c r="A3716" s="51"/>
      <c r="B3716" s="52" t="str">
        <f t="shared" si="204"/>
        <v/>
      </c>
      <c r="C3716" t="str">
        <f t="shared" si="206"/>
        <v/>
      </c>
      <c r="D3716" s="245" t="str">
        <f t="shared" si="205"/>
        <v/>
      </c>
      <c r="E3716" s="534"/>
      <c r="F3716" s="534"/>
    </row>
    <row r="3717" spans="1:6" ht="15" customHeight="1">
      <c r="A3717" s="51"/>
      <c r="B3717" s="52" t="str">
        <f t="shared" si="204"/>
        <v/>
      </c>
      <c r="C3717" t="str">
        <f t="shared" si="206"/>
        <v/>
      </c>
      <c r="D3717" s="245" t="str">
        <f t="shared" si="205"/>
        <v/>
      </c>
      <c r="E3717" s="534"/>
      <c r="F3717" s="534"/>
    </row>
    <row r="3718" spans="1:6" ht="15" customHeight="1">
      <c r="A3718" s="51"/>
      <c r="B3718" s="52" t="str">
        <f t="shared" si="204"/>
        <v/>
      </c>
      <c r="C3718" t="str">
        <f t="shared" si="206"/>
        <v/>
      </c>
      <c r="D3718" s="245" t="str">
        <f t="shared" si="205"/>
        <v/>
      </c>
      <c r="E3718" s="534"/>
      <c r="F3718" s="534"/>
    </row>
    <row r="3719" spans="1:6" ht="15" customHeight="1">
      <c r="A3719" s="51"/>
      <c r="B3719" s="52" t="str">
        <f t="shared" si="204"/>
        <v/>
      </c>
      <c r="C3719" t="str">
        <f t="shared" si="206"/>
        <v/>
      </c>
      <c r="D3719" s="245" t="str">
        <f t="shared" si="205"/>
        <v/>
      </c>
      <c r="E3719" s="534"/>
      <c r="F3719" s="534"/>
    </row>
    <row r="3720" spans="1:6" ht="15" customHeight="1">
      <c r="A3720" s="51"/>
      <c r="B3720" s="52" t="str">
        <f t="shared" ref="B3720:B3783" si="207">IF(A3720="","",TEXT(A3720,"DDDD"))</f>
        <v/>
      </c>
      <c r="C3720" t="str">
        <f t="shared" si="206"/>
        <v/>
      </c>
      <c r="D3720" s="245" t="str">
        <f t="shared" si="205"/>
        <v/>
      </c>
      <c r="E3720" s="534"/>
      <c r="F3720" s="534"/>
    </row>
    <row r="3721" spans="1:6" ht="15" customHeight="1">
      <c r="A3721" s="51"/>
      <c r="B3721" s="52" t="str">
        <f t="shared" si="207"/>
        <v/>
      </c>
      <c r="C3721" t="str">
        <f t="shared" si="206"/>
        <v/>
      </c>
      <c r="D3721" s="245" t="str">
        <f t="shared" ref="D3721:D3784" si="208">IF(A3721&lt;&gt;"",PROPER(TEXT(A3721,"Mmmm")),"")</f>
        <v/>
      </c>
      <c r="E3721" s="534"/>
      <c r="F3721" s="534"/>
    </row>
    <row r="3722" spans="1:6" ht="15" customHeight="1">
      <c r="A3722" s="51"/>
      <c r="B3722" s="52" t="str">
        <f t="shared" si="207"/>
        <v/>
      </c>
      <c r="C3722" t="str">
        <f t="shared" si="206"/>
        <v/>
      </c>
      <c r="D3722" s="245" t="str">
        <f t="shared" si="208"/>
        <v/>
      </c>
      <c r="E3722" s="534"/>
      <c r="F3722" s="534"/>
    </row>
    <row r="3723" spans="1:6" ht="15" customHeight="1">
      <c r="A3723" s="51"/>
      <c r="B3723" s="52" t="str">
        <f t="shared" si="207"/>
        <v/>
      </c>
      <c r="C3723" t="str">
        <f t="shared" si="206"/>
        <v/>
      </c>
      <c r="D3723" s="245" t="str">
        <f t="shared" si="208"/>
        <v/>
      </c>
      <c r="E3723" s="534"/>
      <c r="F3723" s="534"/>
    </row>
    <row r="3724" spans="1:6" ht="15" customHeight="1">
      <c r="A3724" s="51"/>
      <c r="B3724" s="52" t="str">
        <f t="shared" si="207"/>
        <v/>
      </c>
      <c r="C3724" t="str">
        <f t="shared" si="206"/>
        <v/>
      </c>
      <c r="D3724" s="245" t="str">
        <f t="shared" si="208"/>
        <v/>
      </c>
      <c r="E3724" s="534"/>
      <c r="F3724" s="534"/>
    </row>
    <row r="3725" spans="1:6" ht="15" customHeight="1">
      <c r="A3725" s="51"/>
      <c r="B3725" s="52" t="str">
        <f t="shared" si="207"/>
        <v/>
      </c>
      <c r="C3725" t="str">
        <f t="shared" si="206"/>
        <v/>
      </c>
      <c r="D3725" s="245" t="str">
        <f t="shared" si="208"/>
        <v/>
      </c>
      <c r="E3725" s="534"/>
      <c r="F3725" s="534"/>
    </row>
    <row r="3726" spans="1:6" ht="15" customHeight="1">
      <c r="A3726" s="51"/>
      <c r="B3726" s="52" t="str">
        <f t="shared" si="207"/>
        <v/>
      </c>
      <c r="C3726" t="str">
        <f t="shared" si="206"/>
        <v/>
      </c>
      <c r="D3726" s="245" t="str">
        <f t="shared" si="208"/>
        <v/>
      </c>
      <c r="E3726" s="534"/>
      <c r="F3726" s="534"/>
    </row>
    <row r="3727" spans="1:6" ht="15" customHeight="1">
      <c r="A3727" s="51"/>
      <c r="B3727" s="52" t="str">
        <f t="shared" si="207"/>
        <v/>
      </c>
      <c r="C3727" t="str">
        <f t="shared" si="206"/>
        <v/>
      </c>
      <c r="D3727" s="245" t="str">
        <f t="shared" si="208"/>
        <v/>
      </c>
      <c r="E3727" s="534"/>
      <c r="F3727" s="534"/>
    </row>
    <row r="3728" spans="1:6" ht="15" customHeight="1">
      <c r="A3728" s="51"/>
      <c r="B3728" s="52" t="str">
        <f t="shared" si="207"/>
        <v/>
      </c>
      <c r="C3728" t="str">
        <f t="shared" si="206"/>
        <v/>
      </c>
      <c r="D3728" s="245" t="str">
        <f t="shared" si="208"/>
        <v/>
      </c>
      <c r="E3728" s="534"/>
      <c r="F3728" s="534"/>
    </row>
    <row r="3729" spans="1:6" ht="15" customHeight="1">
      <c r="A3729" s="51"/>
      <c r="B3729" s="52" t="str">
        <f t="shared" si="207"/>
        <v/>
      </c>
      <c r="C3729" t="str">
        <f t="shared" si="206"/>
        <v/>
      </c>
      <c r="D3729" s="245" t="str">
        <f t="shared" si="208"/>
        <v/>
      </c>
      <c r="E3729" s="534"/>
      <c r="F3729" s="534"/>
    </row>
    <row r="3730" spans="1:6" ht="15" customHeight="1">
      <c r="A3730" s="51"/>
      <c r="B3730" s="52" t="str">
        <f t="shared" si="207"/>
        <v/>
      </c>
      <c r="C3730" t="str">
        <f t="shared" si="206"/>
        <v/>
      </c>
      <c r="D3730" s="245" t="str">
        <f t="shared" si="208"/>
        <v/>
      </c>
      <c r="E3730" s="534"/>
      <c r="F3730" s="534"/>
    </row>
    <row r="3731" spans="1:6" ht="15" customHeight="1">
      <c r="A3731" s="51"/>
      <c r="B3731" s="52" t="str">
        <f t="shared" si="207"/>
        <v/>
      </c>
      <c r="C3731" t="str">
        <f t="shared" si="206"/>
        <v/>
      </c>
      <c r="D3731" s="245" t="str">
        <f t="shared" si="208"/>
        <v/>
      </c>
      <c r="E3731" s="534"/>
      <c r="F3731" s="534"/>
    </row>
    <row r="3732" spans="1:6" ht="15" customHeight="1">
      <c r="A3732" s="51"/>
      <c r="B3732" s="52" t="str">
        <f t="shared" si="207"/>
        <v/>
      </c>
      <c r="C3732" t="str">
        <f t="shared" si="206"/>
        <v/>
      </c>
      <c r="D3732" s="245" t="str">
        <f t="shared" si="208"/>
        <v/>
      </c>
      <c r="E3732" s="534"/>
      <c r="F3732" s="534"/>
    </row>
    <row r="3733" spans="1:6" ht="15" customHeight="1">
      <c r="A3733" s="51"/>
      <c r="B3733" s="52" t="str">
        <f t="shared" si="207"/>
        <v/>
      </c>
      <c r="C3733" t="str">
        <f t="shared" si="206"/>
        <v/>
      </c>
      <c r="D3733" s="245" t="str">
        <f t="shared" si="208"/>
        <v/>
      </c>
      <c r="E3733" s="534"/>
      <c r="F3733" s="534"/>
    </row>
    <row r="3734" spans="1:6" ht="15" customHeight="1">
      <c r="A3734" s="51"/>
      <c r="B3734" s="52" t="str">
        <f t="shared" si="207"/>
        <v/>
      </c>
      <c r="C3734" t="str">
        <f t="shared" si="206"/>
        <v/>
      </c>
      <c r="D3734" s="245" t="str">
        <f t="shared" si="208"/>
        <v/>
      </c>
      <c r="E3734" s="534"/>
      <c r="F3734" s="534"/>
    </row>
    <row r="3735" spans="1:6" ht="15" customHeight="1">
      <c r="A3735" s="51"/>
      <c r="B3735" s="52" t="str">
        <f t="shared" si="207"/>
        <v/>
      </c>
      <c r="C3735" t="str">
        <f t="shared" si="206"/>
        <v/>
      </c>
      <c r="D3735" s="245" t="str">
        <f t="shared" si="208"/>
        <v/>
      </c>
      <c r="E3735" s="534"/>
      <c r="F3735" s="534"/>
    </row>
    <row r="3736" spans="1:6" ht="15" customHeight="1">
      <c r="A3736" s="51"/>
      <c r="B3736" s="52" t="str">
        <f t="shared" si="207"/>
        <v/>
      </c>
      <c r="C3736" t="str">
        <f t="shared" si="206"/>
        <v/>
      </c>
      <c r="D3736" s="245" t="str">
        <f t="shared" si="208"/>
        <v/>
      </c>
      <c r="E3736" s="534"/>
      <c r="F3736" s="534"/>
    </row>
    <row r="3737" spans="1:6" ht="15" customHeight="1">
      <c r="A3737" s="51"/>
      <c r="B3737" s="52" t="str">
        <f t="shared" si="207"/>
        <v/>
      </c>
      <c r="C3737" t="str">
        <f t="shared" si="206"/>
        <v/>
      </c>
      <c r="D3737" s="245" t="str">
        <f t="shared" si="208"/>
        <v/>
      </c>
      <c r="E3737" s="534"/>
      <c r="F3737" s="534"/>
    </row>
    <row r="3738" spans="1:6" ht="15" customHeight="1">
      <c r="A3738" s="51"/>
      <c r="B3738" s="52" t="str">
        <f t="shared" si="207"/>
        <v/>
      </c>
      <c r="C3738" t="str">
        <f t="shared" si="206"/>
        <v/>
      </c>
      <c r="D3738" s="245" t="str">
        <f t="shared" si="208"/>
        <v/>
      </c>
      <c r="E3738" s="534"/>
      <c r="F3738" s="534"/>
    </row>
    <row r="3739" spans="1:6" ht="15" customHeight="1">
      <c r="A3739" s="51"/>
      <c r="B3739" s="52" t="str">
        <f t="shared" si="207"/>
        <v/>
      </c>
      <c r="C3739" t="str">
        <f t="shared" si="206"/>
        <v/>
      </c>
      <c r="D3739" s="245" t="str">
        <f t="shared" si="208"/>
        <v/>
      </c>
      <c r="E3739" s="534"/>
      <c r="F3739" s="534"/>
    </row>
    <row r="3740" spans="1:6" ht="15" customHeight="1">
      <c r="A3740" s="51"/>
      <c r="B3740" s="52" t="str">
        <f t="shared" si="207"/>
        <v/>
      </c>
      <c r="C3740" t="str">
        <f t="shared" si="206"/>
        <v/>
      </c>
      <c r="D3740" s="245" t="str">
        <f t="shared" si="208"/>
        <v/>
      </c>
      <c r="E3740" s="534"/>
      <c r="F3740" s="534"/>
    </row>
    <row r="3741" spans="1:6" ht="15" customHeight="1">
      <c r="A3741" s="51"/>
      <c r="B3741" s="52" t="str">
        <f t="shared" si="207"/>
        <v/>
      </c>
      <c r="C3741" t="str">
        <f t="shared" si="206"/>
        <v/>
      </c>
      <c r="D3741" s="245" t="str">
        <f t="shared" si="208"/>
        <v/>
      </c>
      <c r="E3741" s="534"/>
      <c r="F3741" s="534"/>
    </row>
    <row r="3742" spans="1:6" ht="15" customHeight="1">
      <c r="A3742" s="51"/>
      <c r="B3742" s="52" t="str">
        <f t="shared" si="207"/>
        <v/>
      </c>
      <c r="C3742" t="str">
        <f t="shared" si="206"/>
        <v/>
      </c>
      <c r="D3742" s="245" t="str">
        <f t="shared" si="208"/>
        <v/>
      </c>
      <c r="E3742" s="534"/>
      <c r="F3742" s="534"/>
    </row>
    <row r="3743" spans="1:6" ht="15" customHeight="1">
      <c r="A3743" s="51"/>
      <c r="B3743" s="52" t="str">
        <f t="shared" si="207"/>
        <v/>
      </c>
      <c r="C3743" t="str">
        <f t="shared" si="206"/>
        <v/>
      </c>
      <c r="D3743" s="245" t="str">
        <f t="shared" si="208"/>
        <v/>
      </c>
      <c r="E3743" s="534"/>
      <c r="F3743" s="534"/>
    </row>
    <row r="3744" spans="1:6" ht="15" customHeight="1">
      <c r="A3744" s="51"/>
      <c r="B3744" s="52" t="str">
        <f t="shared" si="207"/>
        <v/>
      </c>
      <c r="C3744" t="str">
        <f t="shared" si="206"/>
        <v/>
      </c>
      <c r="D3744" s="245" t="str">
        <f t="shared" si="208"/>
        <v/>
      </c>
      <c r="E3744" s="534"/>
      <c r="F3744" s="534"/>
    </row>
    <row r="3745" spans="1:6" ht="15" customHeight="1">
      <c r="A3745" s="51"/>
      <c r="B3745" s="52" t="str">
        <f t="shared" si="207"/>
        <v/>
      </c>
      <c r="C3745" t="str">
        <f t="shared" si="206"/>
        <v/>
      </c>
      <c r="D3745" s="245" t="str">
        <f t="shared" si="208"/>
        <v/>
      </c>
      <c r="E3745" s="534"/>
      <c r="F3745" s="534"/>
    </row>
    <row r="3746" spans="1:6" ht="15" customHeight="1">
      <c r="A3746" s="51"/>
      <c r="B3746" s="52" t="str">
        <f t="shared" si="207"/>
        <v/>
      </c>
      <c r="C3746" t="str">
        <f t="shared" si="206"/>
        <v/>
      </c>
      <c r="D3746" s="245" t="str">
        <f t="shared" si="208"/>
        <v/>
      </c>
      <c r="E3746" s="534"/>
      <c r="F3746" s="534"/>
    </row>
    <row r="3747" spans="1:6" ht="15" customHeight="1">
      <c r="A3747" s="51"/>
      <c r="B3747" s="52" t="str">
        <f t="shared" si="207"/>
        <v/>
      </c>
      <c r="C3747" t="str">
        <f t="shared" si="206"/>
        <v/>
      </c>
      <c r="D3747" s="245" t="str">
        <f t="shared" si="208"/>
        <v/>
      </c>
      <c r="E3747" s="534"/>
      <c r="F3747" s="534"/>
    </row>
    <row r="3748" spans="1:6" ht="15" customHeight="1">
      <c r="A3748" s="51"/>
      <c r="B3748" s="52" t="str">
        <f t="shared" si="207"/>
        <v/>
      </c>
      <c r="C3748" t="str">
        <f t="shared" si="206"/>
        <v/>
      </c>
      <c r="D3748" s="245" t="str">
        <f t="shared" si="208"/>
        <v/>
      </c>
      <c r="E3748" s="534"/>
      <c r="F3748" s="534"/>
    </row>
    <row r="3749" spans="1:6" ht="15" customHeight="1">
      <c r="A3749" s="51"/>
      <c r="B3749" s="52" t="str">
        <f t="shared" si="207"/>
        <v/>
      </c>
      <c r="C3749" t="str">
        <f t="shared" si="206"/>
        <v/>
      </c>
      <c r="D3749" s="245" t="str">
        <f t="shared" si="208"/>
        <v/>
      </c>
      <c r="E3749" s="534"/>
      <c r="F3749" s="534"/>
    </row>
    <row r="3750" spans="1:6" ht="15" customHeight="1">
      <c r="A3750" s="51"/>
      <c r="B3750" s="52" t="str">
        <f t="shared" si="207"/>
        <v/>
      </c>
      <c r="C3750" t="str">
        <f t="shared" si="206"/>
        <v/>
      </c>
      <c r="D3750" s="245" t="str">
        <f t="shared" si="208"/>
        <v/>
      </c>
      <c r="E3750" s="534"/>
      <c r="F3750" s="534"/>
    </row>
    <row r="3751" spans="1:6" ht="15" customHeight="1">
      <c r="A3751" s="51"/>
      <c r="B3751" s="52" t="str">
        <f t="shared" si="207"/>
        <v/>
      </c>
      <c r="C3751" t="str">
        <f t="shared" si="206"/>
        <v/>
      </c>
      <c r="D3751" s="245" t="str">
        <f t="shared" si="208"/>
        <v/>
      </c>
      <c r="E3751" s="534"/>
      <c r="F3751" s="534"/>
    </row>
    <row r="3752" spans="1:6" ht="15" customHeight="1">
      <c r="A3752" s="51"/>
      <c r="B3752" s="52" t="str">
        <f t="shared" si="207"/>
        <v/>
      </c>
      <c r="C3752" t="str">
        <f t="shared" si="206"/>
        <v/>
      </c>
      <c r="D3752" s="245" t="str">
        <f t="shared" si="208"/>
        <v/>
      </c>
      <c r="E3752" s="534"/>
      <c r="F3752" s="534"/>
    </row>
    <row r="3753" spans="1:6" ht="15" customHeight="1">
      <c r="A3753" s="51"/>
      <c r="B3753" s="52" t="str">
        <f t="shared" si="207"/>
        <v/>
      </c>
      <c r="C3753" t="str">
        <f t="shared" si="206"/>
        <v/>
      </c>
      <c r="D3753" s="245" t="str">
        <f t="shared" si="208"/>
        <v/>
      </c>
      <c r="E3753" s="534"/>
      <c r="F3753" s="534"/>
    </row>
    <row r="3754" spans="1:6" ht="15" customHeight="1">
      <c r="A3754" s="51"/>
      <c r="B3754" s="52" t="str">
        <f t="shared" si="207"/>
        <v/>
      </c>
      <c r="C3754" t="str">
        <f t="shared" si="206"/>
        <v/>
      </c>
      <c r="D3754" s="245" t="str">
        <f t="shared" si="208"/>
        <v/>
      </c>
      <c r="E3754" s="534"/>
      <c r="F3754" s="534"/>
    </row>
    <row r="3755" spans="1:6" ht="15" customHeight="1">
      <c r="A3755" s="51"/>
      <c r="B3755" s="52" t="str">
        <f t="shared" si="207"/>
        <v/>
      </c>
      <c r="C3755" t="str">
        <f t="shared" si="206"/>
        <v/>
      </c>
      <c r="D3755" s="245" t="str">
        <f t="shared" si="208"/>
        <v/>
      </c>
      <c r="E3755" s="534"/>
      <c r="F3755" s="534"/>
    </row>
    <row r="3756" spans="1:6" ht="15" customHeight="1">
      <c r="A3756" s="51"/>
      <c r="B3756" s="52" t="str">
        <f t="shared" si="207"/>
        <v/>
      </c>
      <c r="C3756" t="str">
        <f t="shared" si="206"/>
        <v/>
      </c>
      <c r="D3756" s="245" t="str">
        <f t="shared" si="208"/>
        <v/>
      </c>
      <c r="E3756" s="534"/>
      <c r="F3756" s="534"/>
    </row>
    <row r="3757" spans="1:6" ht="15" customHeight="1">
      <c r="A3757" s="51"/>
      <c r="B3757" s="52" t="str">
        <f t="shared" si="207"/>
        <v/>
      </c>
      <c r="C3757" t="str">
        <f t="shared" si="206"/>
        <v/>
      </c>
      <c r="D3757" s="245" t="str">
        <f t="shared" si="208"/>
        <v/>
      </c>
      <c r="E3757" s="534"/>
      <c r="F3757" s="534"/>
    </row>
    <row r="3758" spans="1:6" ht="15" customHeight="1">
      <c r="A3758" s="51"/>
      <c r="B3758" s="52" t="str">
        <f t="shared" si="207"/>
        <v/>
      </c>
      <c r="C3758" t="str">
        <f t="shared" si="206"/>
        <v/>
      </c>
      <c r="D3758" s="245" t="str">
        <f t="shared" si="208"/>
        <v/>
      </c>
      <c r="E3758" s="534"/>
      <c r="F3758" s="534"/>
    </row>
    <row r="3759" spans="1:6" ht="15" customHeight="1">
      <c r="A3759" s="51"/>
      <c r="B3759" s="52" t="str">
        <f t="shared" si="207"/>
        <v/>
      </c>
      <c r="C3759" t="str">
        <f t="shared" si="206"/>
        <v/>
      </c>
      <c r="D3759" s="245" t="str">
        <f t="shared" si="208"/>
        <v/>
      </c>
      <c r="E3759" s="534"/>
      <c r="F3759" s="534"/>
    </row>
    <row r="3760" spans="1:6" ht="15" customHeight="1">
      <c r="A3760" s="51"/>
      <c r="B3760" s="52" t="str">
        <f t="shared" si="207"/>
        <v/>
      </c>
      <c r="C3760" t="str">
        <f t="shared" si="206"/>
        <v/>
      </c>
      <c r="D3760" s="245" t="str">
        <f t="shared" si="208"/>
        <v/>
      </c>
      <c r="E3760" s="534"/>
      <c r="F3760" s="534"/>
    </row>
    <row r="3761" spans="1:6" ht="15" customHeight="1">
      <c r="A3761" s="51"/>
      <c r="B3761" s="52" t="str">
        <f t="shared" si="207"/>
        <v/>
      </c>
      <c r="C3761" t="str">
        <f t="shared" si="206"/>
        <v/>
      </c>
      <c r="D3761" s="245" t="str">
        <f t="shared" si="208"/>
        <v/>
      </c>
      <c r="E3761" s="534"/>
      <c r="F3761" s="534"/>
    </row>
    <row r="3762" spans="1:6" ht="15" customHeight="1">
      <c r="A3762" s="51"/>
      <c r="B3762" s="52" t="str">
        <f t="shared" si="207"/>
        <v/>
      </c>
      <c r="C3762" t="str">
        <f t="shared" si="206"/>
        <v/>
      </c>
      <c r="D3762" s="245" t="str">
        <f t="shared" si="208"/>
        <v/>
      </c>
      <c r="E3762" s="534"/>
      <c r="F3762" s="534"/>
    </row>
    <row r="3763" spans="1:6" ht="15" customHeight="1">
      <c r="A3763" s="51"/>
      <c r="B3763" s="52" t="str">
        <f t="shared" si="207"/>
        <v/>
      </c>
      <c r="C3763" t="str">
        <f t="shared" si="206"/>
        <v/>
      </c>
      <c r="D3763" s="245" t="str">
        <f t="shared" si="208"/>
        <v/>
      </c>
      <c r="E3763" s="534"/>
      <c r="F3763" s="534"/>
    </row>
    <row r="3764" spans="1:6" ht="15" customHeight="1">
      <c r="A3764" s="51"/>
      <c r="B3764" s="52" t="str">
        <f t="shared" si="207"/>
        <v/>
      </c>
      <c r="C3764" t="str">
        <f t="shared" si="206"/>
        <v/>
      </c>
      <c r="D3764" s="245" t="str">
        <f t="shared" si="208"/>
        <v/>
      </c>
      <c r="E3764" s="534"/>
      <c r="F3764" s="534"/>
    </row>
    <row r="3765" spans="1:6" ht="15" customHeight="1">
      <c r="A3765" s="51"/>
      <c r="B3765" s="52" t="str">
        <f t="shared" si="207"/>
        <v/>
      </c>
      <c r="C3765" t="str">
        <f t="shared" si="206"/>
        <v/>
      </c>
      <c r="D3765" s="245" t="str">
        <f t="shared" si="208"/>
        <v/>
      </c>
      <c r="E3765" s="534"/>
      <c r="F3765" s="534"/>
    </row>
    <row r="3766" spans="1:6" ht="15" customHeight="1">
      <c r="A3766" s="51"/>
      <c r="B3766" s="52" t="str">
        <f t="shared" si="207"/>
        <v/>
      </c>
      <c r="C3766" t="str">
        <f t="shared" si="206"/>
        <v/>
      </c>
      <c r="D3766" s="245" t="str">
        <f t="shared" si="208"/>
        <v/>
      </c>
      <c r="E3766" s="534"/>
      <c r="F3766" s="534"/>
    </row>
    <row r="3767" spans="1:6" ht="15" customHeight="1">
      <c r="A3767" s="51"/>
      <c r="B3767" s="52" t="str">
        <f t="shared" si="207"/>
        <v/>
      </c>
      <c r="C3767" t="str">
        <f t="shared" si="206"/>
        <v/>
      </c>
      <c r="D3767" s="245" t="str">
        <f t="shared" si="208"/>
        <v/>
      </c>
      <c r="E3767" s="534"/>
      <c r="F3767" s="534"/>
    </row>
    <row r="3768" spans="1:6" ht="15" customHeight="1">
      <c r="A3768" s="51"/>
      <c r="B3768" s="52" t="str">
        <f t="shared" si="207"/>
        <v/>
      </c>
      <c r="C3768" t="str">
        <f t="shared" si="206"/>
        <v/>
      </c>
      <c r="D3768" s="245" t="str">
        <f t="shared" si="208"/>
        <v/>
      </c>
      <c r="E3768" s="534"/>
      <c r="F3768" s="534"/>
    </row>
    <row r="3769" spans="1:6" ht="15" customHeight="1">
      <c r="A3769" s="51"/>
      <c r="B3769" s="52" t="str">
        <f t="shared" si="207"/>
        <v/>
      </c>
      <c r="C3769" t="str">
        <f t="shared" si="206"/>
        <v/>
      </c>
      <c r="D3769" s="245" t="str">
        <f t="shared" si="208"/>
        <v/>
      </c>
      <c r="E3769" s="534"/>
      <c r="F3769" s="534"/>
    </row>
    <row r="3770" spans="1:6" ht="15" customHeight="1">
      <c r="A3770" s="51"/>
      <c r="B3770" s="52" t="str">
        <f t="shared" si="207"/>
        <v/>
      </c>
      <c r="C3770" t="str">
        <f t="shared" si="206"/>
        <v/>
      </c>
      <c r="D3770" s="245" t="str">
        <f t="shared" si="208"/>
        <v/>
      </c>
      <c r="E3770" s="534"/>
      <c r="F3770" s="534"/>
    </row>
    <row r="3771" spans="1:6" ht="15" customHeight="1">
      <c r="A3771" s="51"/>
      <c r="B3771" s="52" t="str">
        <f t="shared" si="207"/>
        <v/>
      </c>
      <c r="C3771" t="str">
        <f t="shared" si="206"/>
        <v/>
      </c>
      <c r="D3771" s="245" t="str">
        <f t="shared" si="208"/>
        <v/>
      </c>
      <c r="E3771" s="534"/>
      <c r="F3771" s="534"/>
    </row>
    <row r="3772" spans="1:6" ht="15" customHeight="1">
      <c r="A3772" s="51"/>
      <c r="B3772" s="52" t="str">
        <f t="shared" si="207"/>
        <v/>
      </c>
      <c r="C3772" t="str">
        <f t="shared" si="206"/>
        <v/>
      </c>
      <c r="D3772" s="245" t="str">
        <f t="shared" si="208"/>
        <v/>
      </c>
      <c r="E3772" s="534"/>
      <c r="F3772" s="534"/>
    </row>
    <row r="3773" spans="1:6" ht="15" customHeight="1">
      <c r="A3773" s="51"/>
      <c r="B3773" s="52" t="str">
        <f t="shared" si="207"/>
        <v/>
      </c>
      <c r="C3773" t="str">
        <f t="shared" si="206"/>
        <v/>
      </c>
      <c r="D3773" s="245" t="str">
        <f t="shared" si="208"/>
        <v/>
      </c>
      <c r="E3773" s="534"/>
      <c r="F3773" s="534"/>
    </row>
    <row r="3774" spans="1:6" ht="15" customHeight="1">
      <c r="A3774" s="51"/>
      <c r="B3774" s="52" t="str">
        <f t="shared" si="207"/>
        <v/>
      </c>
      <c r="C3774" t="str">
        <f t="shared" si="206"/>
        <v/>
      </c>
      <c r="D3774" s="245" t="str">
        <f t="shared" si="208"/>
        <v/>
      </c>
      <c r="E3774" s="534"/>
      <c r="F3774" s="534"/>
    </row>
    <row r="3775" spans="1:6" ht="15" customHeight="1">
      <c r="A3775" s="51"/>
      <c r="B3775" s="52" t="str">
        <f t="shared" si="207"/>
        <v/>
      </c>
      <c r="C3775" t="str">
        <f t="shared" si="206"/>
        <v/>
      </c>
      <c r="D3775" s="245" t="str">
        <f t="shared" si="208"/>
        <v/>
      </c>
      <c r="E3775" s="534"/>
      <c r="F3775" s="534"/>
    </row>
    <row r="3776" spans="1:6" ht="15" customHeight="1">
      <c r="A3776" s="51"/>
      <c r="B3776" s="52" t="str">
        <f t="shared" si="207"/>
        <v/>
      </c>
      <c r="C3776" t="str">
        <f t="shared" si="206"/>
        <v/>
      </c>
      <c r="D3776" s="245" t="str">
        <f t="shared" si="208"/>
        <v/>
      </c>
      <c r="E3776" s="534"/>
      <c r="F3776" s="534"/>
    </row>
    <row r="3777" spans="1:6" ht="15" customHeight="1">
      <c r="A3777" s="51"/>
      <c r="B3777" s="52" t="str">
        <f t="shared" si="207"/>
        <v/>
      </c>
      <c r="C3777" t="str">
        <f t="shared" si="206"/>
        <v/>
      </c>
      <c r="D3777" s="245" t="str">
        <f t="shared" si="208"/>
        <v/>
      </c>
      <c r="E3777" s="534"/>
      <c r="F3777" s="534"/>
    </row>
    <row r="3778" spans="1:6" ht="15" customHeight="1">
      <c r="A3778" s="51"/>
      <c r="B3778" s="52" t="str">
        <f t="shared" si="207"/>
        <v/>
      </c>
      <c r="C3778" t="str">
        <f t="shared" ref="C3778:C3841" si="209">IF(A3778&lt;&gt;"",TEXT(A3778,"aaaa"),"")</f>
        <v/>
      </c>
      <c r="D3778" s="245" t="str">
        <f t="shared" si="208"/>
        <v/>
      </c>
      <c r="E3778" s="534"/>
      <c r="F3778" s="534"/>
    </row>
    <row r="3779" spans="1:6" ht="15" customHeight="1">
      <c r="A3779" s="51"/>
      <c r="B3779" s="52" t="str">
        <f t="shared" si="207"/>
        <v/>
      </c>
      <c r="C3779" t="str">
        <f t="shared" si="209"/>
        <v/>
      </c>
      <c r="D3779" s="245" t="str">
        <f t="shared" si="208"/>
        <v/>
      </c>
      <c r="E3779" s="534"/>
      <c r="F3779" s="534"/>
    </row>
    <row r="3780" spans="1:6" ht="15" customHeight="1">
      <c r="A3780" s="51"/>
      <c r="B3780" s="52" t="str">
        <f t="shared" si="207"/>
        <v/>
      </c>
      <c r="C3780" t="str">
        <f t="shared" si="209"/>
        <v/>
      </c>
      <c r="D3780" s="245" t="str">
        <f t="shared" si="208"/>
        <v/>
      </c>
      <c r="E3780" s="534"/>
      <c r="F3780" s="534"/>
    </row>
    <row r="3781" spans="1:6" ht="15" customHeight="1">
      <c r="A3781" s="51"/>
      <c r="B3781" s="52" t="str">
        <f t="shared" si="207"/>
        <v/>
      </c>
      <c r="C3781" t="str">
        <f t="shared" si="209"/>
        <v/>
      </c>
      <c r="D3781" s="245" t="str">
        <f t="shared" si="208"/>
        <v/>
      </c>
      <c r="E3781" s="534"/>
      <c r="F3781" s="534"/>
    </row>
    <row r="3782" spans="1:6" ht="15" customHeight="1">
      <c r="A3782" s="51"/>
      <c r="B3782" s="52" t="str">
        <f t="shared" si="207"/>
        <v/>
      </c>
      <c r="C3782" t="str">
        <f t="shared" si="209"/>
        <v/>
      </c>
      <c r="D3782" s="245" t="str">
        <f t="shared" si="208"/>
        <v/>
      </c>
      <c r="E3782" s="534"/>
      <c r="F3782" s="534"/>
    </row>
    <row r="3783" spans="1:6" ht="15" customHeight="1">
      <c r="A3783" s="51"/>
      <c r="B3783" s="52" t="str">
        <f t="shared" si="207"/>
        <v/>
      </c>
      <c r="C3783" t="str">
        <f t="shared" si="209"/>
        <v/>
      </c>
      <c r="D3783" s="245" t="str">
        <f t="shared" si="208"/>
        <v/>
      </c>
      <c r="E3783" s="534"/>
      <c r="F3783" s="534"/>
    </row>
    <row r="3784" spans="1:6" ht="15" customHeight="1">
      <c r="A3784" s="51"/>
      <c r="B3784" s="52" t="str">
        <f t="shared" ref="B3784:B3847" si="210">IF(A3784="","",TEXT(A3784,"DDDD"))</f>
        <v/>
      </c>
      <c r="C3784" t="str">
        <f t="shared" si="209"/>
        <v/>
      </c>
      <c r="D3784" s="245" t="str">
        <f t="shared" si="208"/>
        <v/>
      </c>
      <c r="E3784" s="534"/>
      <c r="F3784" s="534"/>
    </row>
    <row r="3785" spans="1:6" ht="15" customHeight="1">
      <c r="A3785" s="51"/>
      <c r="B3785" s="52" t="str">
        <f t="shared" si="210"/>
        <v/>
      </c>
      <c r="C3785" t="str">
        <f t="shared" si="209"/>
        <v/>
      </c>
      <c r="D3785" s="245" t="str">
        <f t="shared" ref="D3785:D3848" si="211">IF(A3785&lt;&gt;"",PROPER(TEXT(A3785,"Mmmm")),"")</f>
        <v/>
      </c>
      <c r="E3785" s="534"/>
      <c r="F3785" s="534"/>
    </row>
    <row r="3786" spans="1:6" ht="15" customHeight="1">
      <c r="A3786" s="51"/>
      <c r="B3786" s="52" t="str">
        <f t="shared" si="210"/>
        <v/>
      </c>
      <c r="C3786" t="str">
        <f t="shared" si="209"/>
        <v/>
      </c>
      <c r="D3786" s="245" t="str">
        <f t="shared" si="211"/>
        <v/>
      </c>
      <c r="E3786" s="534"/>
      <c r="F3786" s="534"/>
    </row>
    <row r="3787" spans="1:6" ht="15" customHeight="1">
      <c r="A3787" s="51"/>
      <c r="B3787" s="52" t="str">
        <f t="shared" si="210"/>
        <v/>
      </c>
      <c r="C3787" t="str">
        <f t="shared" si="209"/>
        <v/>
      </c>
      <c r="D3787" s="245" t="str">
        <f t="shared" si="211"/>
        <v/>
      </c>
      <c r="E3787" s="534"/>
      <c r="F3787" s="534"/>
    </row>
    <row r="3788" spans="1:6" ht="15" customHeight="1">
      <c r="A3788" s="51"/>
      <c r="B3788" s="52" t="str">
        <f t="shared" si="210"/>
        <v/>
      </c>
      <c r="C3788" t="str">
        <f t="shared" si="209"/>
        <v/>
      </c>
      <c r="D3788" s="245" t="str">
        <f t="shared" si="211"/>
        <v/>
      </c>
      <c r="E3788" s="534"/>
      <c r="F3788" s="534"/>
    </row>
    <row r="3789" spans="1:6" ht="15" customHeight="1">
      <c r="A3789" s="51"/>
      <c r="B3789" s="52" t="str">
        <f t="shared" si="210"/>
        <v/>
      </c>
      <c r="C3789" t="str">
        <f t="shared" si="209"/>
        <v/>
      </c>
      <c r="D3789" s="245" t="str">
        <f t="shared" si="211"/>
        <v/>
      </c>
      <c r="E3789" s="534"/>
      <c r="F3789" s="534"/>
    </row>
    <row r="3790" spans="1:6" ht="15" customHeight="1">
      <c r="A3790" s="51"/>
      <c r="B3790" s="52" t="str">
        <f t="shared" si="210"/>
        <v/>
      </c>
      <c r="C3790" t="str">
        <f t="shared" si="209"/>
        <v/>
      </c>
      <c r="D3790" s="245" t="str">
        <f t="shared" si="211"/>
        <v/>
      </c>
      <c r="E3790" s="534"/>
      <c r="F3790" s="534"/>
    </row>
    <row r="3791" spans="1:6" ht="15" customHeight="1">
      <c r="A3791" s="51"/>
      <c r="B3791" s="52" t="str">
        <f t="shared" si="210"/>
        <v/>
      </c>
      <c r="C3791" t="str">
        <f t="shared" si="209"/>
        <v/>
      </c>
      <c r="D3791" s="245" t="str">
        <f t="shared" si="211"/>
        <v/>
      </c>
      <c r="E3791" s="534"/>
      <c r="F3791" s="534"/>
    </row>
    <row r="3792" spans="1:6" ht="15" customHeight="1">
      <c r="A3792" s="51"/>
      <c r="B3792" s="52" t="str">
        <f t="shared" si="210"/>
        <v/>
      </c>
      <c r="C3792" t="str">
        <f t="shared" si="209"/>
        <v/>
      </c>
      <c r="D3792" s="245" t="str">
        <f t="shared" si="211"/>
        <v/>
      </c>
      <c r="E3792" s="534"/>
      <c r="F3792" s="534"/>
    </row>
    <row r="3793" spans="1:6" ht="15" customHeight="1">
      <c r="A3793" s="51"/>
      <c r="B3793" s="52" t="str">
        <f t="shared" si="210"/>
        <v/>
      </c>
      <c r="C3793" t="str">
        <f t="shared" si="209"/>
        <v/>
      </c>
      <c r="D3793" s="245" t="str">
        <f t="shared" si="211"/>
        <v/>
      </c>
      <c r="E3793" s="534"/>
      <c r="F3793" s="534"/>
    </row>
    <row r="3794" spans="1:6" ht="15" customHeight="1">
      <c r="A3794" s="51"/>
      <c r="B3794" s="52" t="str">
        <f t="shared" si="210"/>
        <v/>
      </c>
      <c r="C3794" t="str">
        <f t="shared" si="209"/>
        <v/>
      </c>
      <c r="D3794" s="245" t="str">
        <f t="shared" si="211"/>
        <v/>
      </c>
      <c r="E3794" s="534"/>
      <c r="F3794" s="534"/>
    </row>
    <row r="3795" spans="1:6" ht="15" customHeight="1">
      <c r="A3795" s="51"/>
      <c r="B3795" s="52" t="str">
        <f t="shared" si="210"/>
        <v/>
      </c>
      <c r="C3795" t="str">
        <f t="shared" si="209"/>
        <v/>
      </c>
      <c r="D3795" s="245" t="str">
        <f t="shared" si="211"/>
        <v/>
      </c>
      <c r="E3795" s="534"/>
      <c r="F3795" s="534"/>
    </row>
    <row r="3796" spans="1:6" ht="15" customHeight="1">
      <c r="A3796" s="51"/>
      <c r="B3796" s="52" t="str">
        <f t="shared" si="210"/>
        <v/>
      </c>
      <c r="C3796" t="str">
        <f t="shared" si="209"/>
        <v/>
      </c>
      <c r="D3796" s="245" t="str">
        <f t="shared" si="211"/>
        <v/>
      </c>
      <c r="E3796" s="534"/>
      <c r="F3796" s="534"/>
    </row>
    <row r="3797" spans="1:6" ht="15" customHeight="1">
      <c r="A3797" s="51"/>
      <c r="B3797" s="52" t="str">
        <f t="shared" si="210"/>
        <v/>
      </c>
      <c r="C3797" t="str">
        <f t="shared" si="209"/>
        <v/>
      </c>
      <c r="D3797" s="245" t="str">
        <f t="shared" si="211"/>
        <v/>
      </c>
      <c r="E3797" s="534"/>
      <c r="F3797" s="534"/>
    </row>
    <row r="3798" spans="1:6" ht="15" customHeight="1">
      <c r="A3798" s="51"/>
      <c r="B3798" s="52" t="str">
        <f t="shared" si="210"/>
        <v/>
      </c>
      <c r="C3798" t="str">
        <f t="shared" si="209"/>
        <v/>
      </c>
      <c r="D3798" s="245" t="str">
        <f t="shared" si="211"/>
        <v/>
      </c>
      <c r="E3798" s="534"/>
      <c r="F3798" s="534"/>
    </row>
    <row r="3799" spans="1:6" ht="15" customHeight="1">
      <c r="A3799" s="51"/>
      <c r="B3799" s="52" t="str">
        <f t="shared" si="210"/>
        <v/>
      </c>
      <c r="C3799" t="str">
        <f t="shared" si="209"/>
        <v/>
      </c>
      <c r="D3799" s="245" t="str">
        <f t="shared" si="211"/>
        <v/>
      </c>
      <c r="E3799" s="534"/>
      <c r="F3799" s="534"/>
    </row>
    <row r="3800" spans="1:6" ht="15" customHeight="1">
      <c r="A3800" s="51"/>
      <c r="B3800" s="52" t="str">
        <f t="shared" si="210"/>
        <v/>
      </c>
      <c r="C3800" t="str">
        <f t="shared" si="209"/>
        <v/>
      </c>
      <c r="D3800" s="245" t="str">
        <f t="shared" si="211"/>
        <v/>
      </c>
      <c r="E3800" s="534"/>
      <c r="F3800" s="534"/>
    </row>
    <row r="3801" spans="1:6" ht="15" customHeight="1">
      <c r="A3801" s="51"/>
      <c r="B3801" s="52" t="str">
        <f t="shared" si="210"/>
        <v/>
      </c>
      <c r="C3801" t="str">
        <f t="shared" si="209"/>
        <v/>
      </c>
      <c r="D3801" s="245" t="str">
        <f t="shared" si="211"/>
        <v/>
      </c>
      <c r="E3801" s="534"/>
      <c r="F3801" s="534"/>
    </row>
    <row r="3802" spans="1:6" ht="15" customHeight="1">
      <c r="A3802" s="51"/>
      <c r="B3802" s="52" t="str">
        <f t="shared" si="210"/>
        <v/>
      </c>
      <c r="C3802" t="str">
        <f t="shared" si="209"/>
        <v/>
      </c>
      <c r="D3802" s="245" t="str">
        <f t="shared" si="211"/>
        <v/>
      </c>
      <c r="E3802" s="534"/>
      <c r="F3802" s="534"/>
    </row>
    <row r="3803" spans="1:6" ht="15" customHeight="1">
      <c r="A3803" s="51"/>
      <c r="B3803" s="52" t="str">
        <f t="shared" si="210"/>
        <v/>
      </c>
      <c r="C3803" t="str">
        <f t="shared" si="209"/>
        <v/>
      </c>
      <c r="D3803" s="245" t="str">
        <f t="shared" si="211"/>
        <v/>
      </c>
      <c r="E3803" s="534"/>
      <c r="F3803" s="534"/>
    </row>
    <row r="3804" spans="1:6" ht="15" customHeight="1">
      <c r="A3804" s="51"/>
      <c r="B3804" s="52" t="str">
        <f t="shared" si="210"/>
        <v/>
      </c>
      <c r="C3804" t="str">
        <f t="shared" si="209"/>
        <v/>
      </c>
      <c r="D3804" s="245" t="str">
        <f t="shared" si="211"/>
        <v/>
      </c>
      <c r="E3804" s="534"/>
      <c r="F3804" s="534"/>
    </row>
    <row r="3805" spans="1:6" ht="15" customHeight="1">
      <c r="A3805" s="51"/>
      <c r="B3805" s="52" t="str">
        <f t="shared" si="210"/>
        <v/>
      </c>
      <c r="C3805" t="str">
        <f t="shared" si="209"/>
        <v/>
      </c>
      <c r="D3805" s="245" t="str">
        <f t="shared" si="211"/>
        <v/>
      </c>
      <c r="E3805" s="534"/>
      <c r="F3805" s="534"/>
    </row>
    <row r="3806" spans="1:6" ht="15" customHeight="1">
      <c r="A3806" s="51"/>
      <c r="B3806" s="52" t="str">
        <f t="shared" si="210"/>
        <v/>
      </c>
      <c r="C3806" t="str">
        <f t="shared" si="209"/>
        <v/>
      </c>
      <c r="D3806" s="245" t="str">
        <f t="shared" si="211"/>
        <v/>
      </c>
      <c r="E3806" s="534"/>
      <c r="F3806" s="534"/>
    </row>
    <row r="3807" spans="1:6" ht="15" customHeight="1">
      <c r="A3807" s="51"/>
      <c r="B3807" s="52" t="str">
        <f t="shared" si="210"/>
        <v/>
      </c>
      <c r="C3807" t="str">
        <f t="shared" si="209"/>
        <v/>
      </c>
      <c r="D3807" s="245" t="str">
        <f t="shared" si="211"/>
        <v/>
      </c>
      <c r="E3807" s="534"/>
      <c r="F3807" s="534"/>
    </row>
    <row r="3808" spans="1:6" ht="15" customHeight="1">
      <c r="A3808" s="51"/>
      <c r="B3808" s="52" t="str">
        <f t="shared" si="210"/>
        <v/>
      </c>
      <c r="C3808" t="str">
        <f t="shared" si="209"/>
        <v/>
      </c>
      <c r="D3808" s="245" t="str">
        <f t="shared" si="211"/>
        <v/>
      </c>
      <c r="E3808" s="534"/>
      <c r="F3808" s="534"/>
    </row>
    <row r="3809" spans="1:6" ht="15" customHeight="1">
      <c r="A3809" s="51"/>
      <c r="B3809" s="52" t="str">
        <f t="shared" si="210"/>
        <v/>
      </c>
      <c r="C3809" t="str">
        <f t="shared" si="209"/>
        <v/>
      </c>
      <c r="D3809" s="245" t="str">
        <f t="shared" si="211"/>
        <v/>
      </c>
      <c r="E3809" s="534"/>
      <c r="F3809" s="534"/>
    </row>
    <row r="3810" spans="1:6" ht="15" customHeight="1">
      <c r="A3810" s="51"/>
      <c r="B3810" s="52" t="str">
        <f t="shared" si="210"/>
        <v/>
      </c>
      <c r="C3810" t="str">
        <f t="shared" si="209"/>
        <v/>
      </c>
      <c r="D3810" s="245" t="str">
        <f t="shared" si="211"/>
        <v/>
      </c>
      <c r="E3810" s="534"/>
      <c r="F3810" s="534"/>
    </row>
    <row r="3811" spans="1:6" ht="15" customHeight="1">
      <c r="A3811" s="51"/>
      <c r="B3811" s="52" t="str">
        <f t="shared" si="210"/>
        <v/>
      </c>
      <c r="C3811" t="str">
        <f t="shared" si="209"/>
        <v/>
      </c>
      <c r="D3811" s="245" t="str">
        <f t="shared" si="211"/>
        <v/>
      </c>
      <c r="E3811" s="534"/>
      <c r="F3811" s="534"/>
    </row>
    <row r="3812" spans="1:6" ht="15" customHeight="1">
      <c r="A3812" s="51"/>
      <c r="B3812" s="52" t="str">
        <f t="shared" si="210"/>
        <v/>
      </c>
      <c r="C3812" t="str">
        <f t="shared" si="209"/>
        <v/>
      </c>
      <c r="D3812" s="245" t="str">
        <f t="shared" si="211"/>
        <v/>
      </c>
      <c r="E3812" s="534"/>
      <c r="F3812" s="534"/>
    </row>
    <row r="3813" spans="1:6" ht="15" customHeight="1">
      <c r="A3813" s="51"/>
      <c r="B3813" s="52" t="str">
        <f t="shared" si="210"/>
        <v/>
      </c>
      <c r="C3813" t="str">
        <f t="shared" si="209"/>
        <v/>
      </c>
      <c r="D3813" s="245" t="str">
        <f t="shared" si="211"/>
        <v/>
      </c>
      <c r="E3813" s="534"/>
      <c r="F3813" s="534"/>
    </row>
    <row r="3814" spans="1:6" ht="15" customHeight="1">
      <c r="A3814" s="51"/>
      <c r="B3814" s="52" t="str">
        <f t="shared" si="210"/>
        <v/>
      </c>
      <c r="C3814" t="str">
        <f t="shared" si="209"/>
        <v/>
      </c>
      <c r="D3814" s="245" t="str">
        <f t="shared" si="211"/>
        <v/>
      </c>
      <c r="E3814" s="534"/>
      <c r="F3814" s="534"/>
    </row>
    <row r="3815" spans="1:6" ht="15" customHeight="1">
      <c r="A3815" s="51"/>
      <c r="B3815" s="52" t="str">
        <f t="shared" si="210"/>
        <v/>
      </c>
      <c r="C3815" t="str">
        <f t="shared" si="209"/>
        <v/>
      </c>
      <c r="D3815" s="245" t="str">
        <f t="shared" si="211"/>
        <v/>
      </c>
      <c r="E3815" s="534"/>
      <c r="F3815" s="534"/>
    </row>
    <row r="3816" spans="1:6" ht="15" customHeight="1">
      <c r="A3816" s="51"/>
      <c r="B3816" s="52" t="str">
        <f t="shared" si="210"/>
        <v/>
      </c>
      <c r="C3816" t="str">
        <f t="shared" si="209"/>
        <v/>
      </c>
      <c r="D3816" s="245" t="str">
        <f t="shared" si="211"/>
        <v/>
      </c>
      <c r="E3816" s="534"/>
      <c r="F3816" s="534"/>
    </row>
    <row r="3817" spans="1:6" ht="15" customHeight="1">
      <c r="A3817" s="51"/>
      <c r="B3817" s="52" t="str">
        <f t="shared" si="210"/>
        <v/>
      </c>
      <c r="C3817" t="str">
        <f t="shared" si="209"/>
        <v/>
      </c>
      <c r="D3817" s="245" t="str">
        <f t="shared" si="211"/>
        <v/>
      </c>
      <c r="E3817" s="534"/>
      <c r="F3817" s="534"/>
    </row>
    <row r="3818" spans="1:6" ht="15" customHeight="1">
      <c r="A3818" s="51"/>
      <c r="B3818" s="52" t="str">
        <f t="shared" si="210"/>
        <v/>
      </c>
      <c r="C3818" t="str">
        <f t="shared" si="209"/>
        <v/>
      </c>
      <c r="D3818" s="245" t="str">
        <f t="shared" si="211"/>
        <v/>
      </c>
      <c r="E3818" s="534"/>
      <c r="F3818" s="534"/>
    </row>
    <row r="3819" spans="1:6" ht="15" customHeight="1">
      <c r="A3819" s="51"/>
      <c r="B3819" s="52" t="str">
        <f t="shared" si="210"/>
        <v/>
      </c>
      <c r="C3819" t="str">
        <f t="shared" si="209"/>
        <v/>
      </c>
      <c r="D3819" s="245" t="str">
        <f t="shared" si="211"/>
        <v/>
      </c>
      <c r="E3819" s="534"/>
      <c r="F3819" s="534"/>
    </row>
    <row r="3820" spans="1:6" ht="15" customHeight="1">
      <c r="A3820" s="51"/>
      <c r="B3820" s="52" t="str">
        <f t="shared" si="210"/>
        <v/>
      </c>
      <c r="C3820" t="str">
        <f t="shared" si="209"/>
        <v/>
      </c>
      <c r="D3820" s="245" t="str">
        <f t="shared" si="211"/>
        <v/>
      </c>
      <c r="E3820" s="534"/>
      <c r="F3820" s="534"/>
    </row>
    <row r="3821" spans="1:6" ht="15" customHeight="1">
      <c r="A3821" s="51"/>
      <c r="B3821" s="52" t="str">
        <f t="shared" si="210"/>
        <v/>
      </c>
      <c r="C3821" t="str">
        <f t="shared" si="209"/>
        <v/>
      </c>
      <c r="D3821" s="245" t="str">
        <f t="shared" si="211"/>
        <v/>
      </c>
      <c r="E3821" s="534"/>
      <c r="F3821" s="534"/>
    </row>
    <row r="3822" spans="1:6" ht="15" customHeight="1">
      <c r="A3822" s="51"/>
      <c r="B3822" s="52" t="str">
        <f t="shared" si="210"/>
        <v/>
      </c>
      <c r="C3822" t="str">
        <f t="shared" si="209"/>
        <v/>
      </c>
      <c r="D3822" s="245" t="str">
        <f t="shared" si="211"/>
        <v/>
      </c>
      <c r="E3822" s="534"/>
      <c r="F3822" s="534"/>
    </row>
    <row r="3823" spans="1:6" ht="15" customHeight="1">
      <c r="A3823" s="51"/>
      <c r="B3823" s="52" t="str">
        <f t="shared" si="210"/>
        <v/>
      </c>
      <c r="C3823" t="str">
        <f t="shared" si="209"/>
        <v/>
      </c>
      <c r="D3823" s="245" t="str">
        <f t="shared" si="211"/>
        <v/>
      </c>
      <c r="E3823" s="534"/>
      <c r="F3823" s="534"/>
    </row>
    <row r="3824" spans="1:6" ht="15" customHeight="1">
      <c r="A3824" s="51"/>
      <c r="B3824" s="52" t="str">
        <f t="shared" si="210"/>
        <v/>
      </c>
      <c r="C3824" t="str">
        <f t="shared" si="209"/>
        <v/>
      </c>
      <c r="D3824" s="245" t="str">
        <f t="shared" si="211"/>
        <v/>
      </c>
      <c r="E3824" s="534"/>
      <c r="F3824" s="534"/>
    </row>
    <row r="3825" spans="1:6" ht="15" customHeight="1">
      <c r="A3825" s="51"/>
      <c r="B3825" s="52" t="str">
        <f t="shared" si="210"/>
        <v/>
      </c>
      <c r="C3825" t="str">
        <f t="shared" si="209"/>
        <v/>
      </c>
      <c r="D3825" s="245" t="str">
        <f t="shared" si="211"/>
        <v/>
      </c>
      <c r="E3825" s="534"/>
      <c r="F3825" s="534"/>
    </row>
    <row r="3826" spans="1:6" ht="15" customHeight="1">
      <c r="A3826" s="51"/>
      <c r="B3826" s="52" t="str">
        <f t="shared" si="210"/>
        <v/>
      </c>
      <c r="C3826" t="str">
        <f t="shared" si="209"/>
        <v/>
      </c>
      <c r="D3826" s="245" t="str">
        <f t="shared" si="211"/>
        <v/>
      </c>
      <c r="E3826" s="534"/>
      <c r="F3826" s="534"/>
    </row>
    <row r="3827" spans="1:6" ht="15" customHeight="1">
      <c r="A3827" s="51"/>
      <c r="B3827" s="52" t="str">
        <f t="shared" si="210"/>
        <v/>
      </c>
      <c r="C3827" t="str">
        <f t="shared" si="209"/>
        <v/>
      </c>
      <c r="D3827" s="245" t="str">
        <f t="shared" si="211"/>
        <v/>
      </c>
      <c r="E3827" s="534"/>
      <c r="F3827" s="534"/>
    </row>
    <row r="3828" spans="1:6" ht="15" customHeight="1">
      <c r="A3828" s="51"/>
      <c r="B3828" s="52" t="str">
        <f t="shared" si="210"/>
        <v/>
      </c>
      <c r="C3828" t="str">
        <f t="shared" si="209"/>
        <v/>
      </c>
      <c r="D3828" s="245" t="str">
        <f t="shared" si="211"/>
        <v/>
      </c>
      <c r="E3828" s="534"/>
      <c r="F3828" s="534"/>
    </row>
    <row r="3829" spans="1:6" ht="15" customHeight="1">
      <c r="A3829" s="51"/>
      <c r="B3829" s="52" t="str">
        <f t="shared" si="210"/>
        <v/>
      </c>
      <c r="C3829" t="str">
        <f t="shared" si="209"/>
        <v/>
      </c>
      <c r="D3829" s="245" t="str">
        <f t="shared" si="211"/>
        <v/>
      </c>
      <c r="E3829" s="534"/>
      <c r="F3829" s="534"/>
    </row>
    <row r="3830" spans="1:6" ht="15" customHeight="1">
      <c r="A3830" s="51"/>
      <c r="B3830" s="52" t="str">
        <f t="shared" si="210"/>
        <v/>
      </c>
      <c r="C3830" t="str">
        <f t="shared" si="209"/>
        <v/>
      </c>
      <c r="D3830" s="245" t="str">
        <f t="shared" si="211"/>
        <v/>
      </c>
      <c r="E3830" s="534"/>
      <c r="F3830" s="534"/>
    </row>
    <row r="3831" spans="1:6" ht="15" customHeight="1">
      <c r="A3831" s="51"/>
      <c r="B3831" s="52" t="str">
        <f t="shared" si="210"/>
        <v/>
      </c>
      <c r="C3831" t="str">
        <f t="shared" si="209"/>
        <v/>
      </c>
      <c r="D3831" s="245" t="str">
        <f t="shared" si="211"/>
        <v/>
      </c>
      <c r="E3831" s="534"/>
      <c r="F3831" s="534"/>
    </row>
    <row r="3832" spans="1:6" ht="15" customHeight="1">
      <c r="A3832" s="51"/>
      <c r="B3832" s="52" t="str">
        <f t="shared" si="210"/>
        <v/>
      </c>
      <c r="C3832" t="str">
        <f t="shared" si="209"/>
        <v/>
      </c>
      <c r="D3832" s="245" t="str">
        <f t="shared" si="211"/>
        <v/>
      </c>
      <c r="E3832" s="534"/>
      <c r="F3832" s="534"/>
    </row>
    <row r="3833" spans="1:6" ht="15" customHeight="1">
      <c r="A3833" s="51"/>
      <c r="B3833" s="52" t="str">
        <f t="shared" si="210"/>
        <v/>
      </c>
      <c r="C3833" t="str">
        <f t="shared" si="209"/>
        <v/>
      </c>
      <c r="D3833" s="245" t="str">
        <f t="shared" si="211"/>
        <v/>
      </c>
      <c r="E3833" s="534"/>
      <c r="F3833" s="534"/>
    </row>
    <row r="3834" spans="1:6" ht="15" customHeight="1">
      <c r="A3834" s="51"/>
      <c r="B3834" s="52" t="str">
        <f t="shared" si="210"/>
        <v/>
      </c>
      <c r="C3834" t="str">
        <f t="shared" si="209"/>
        <v/>
      </c>
      <c r="D3834" s="245" t="str">
        <f t="shared" si="211"/>
        <v/>
      </c>
      <c r="E3834" s="534"/>
      <c r="F3834" s="534"/>
    </row>
    <row r="3835" spans="1:6" ht="15" customHeight="1">
      <c r="A3835" s="51"/>
      <c r="B3835" s="52" t="str">
        <f t="shared" si="210"/>
        <v/>
      </c>
      <c r="C3835" t="str">
        <f t="shared" si="209"/>
        <v/>
      </c>
      <c r="D3835" s="245" t="str">
        <f t="shared" si="211"/>
        <v/>
      </c>
      <c r="E3835" s="534"/>
      <c r="F3835" s="534"/>
    </row>
    <row r="3836" spans="1:6" ht="15" customHeight="1">
      <c r="A3836" s="51"/>
      <c r="B3836" s="52" t="str">
        <f t="shared" si="210"/>
        <v/>
      </c>
      <c r="C3836" t="str">
        <f t="shared" si="209"/>
        <v/>
      </c>
      <c r="D3836" s="245" t="str">
        <f t="shared" si="211"/>
        <v/>
      </c>
      <c r="E3836" s="534"/>
      <c r="F3836" s="534"/>
    </row>
    <row r="3837" spans="1:6" ht="15" customHeight="1">
      <c r="A3837" s="51"/>
      <c r="B3837" s="52" t="str">
        <f t="shared" si="210"/>
        <v/>
      </c>
      <c r="C3837" t="str">
        <f t="shared" si="209"/>
        <v/>
      </c>
      <c r="D3837" s="245" t="str">
        <f t="shared" si="211"/>
        <v/>
      </c>
      <c r="E3837" s="534"/>
      <c r="F3837" s="534"/>
    </row>
    <row r="3838" spans="1:6" ht="15" customHeight="1">
      <c r="A3838" s="51"/>
      <c r="B3838" s="52" t="str">
        <f t="shared" si="210"/>
        <v/>
      </c>
      <c r="C3838" t="str">
        <f t="shared" si="209"/>
        <v/>
      </c>
      <c r="D3838" s="245" t="str">
        <f t="shared" si="211"/>
        <v/>
      </c>
      <c r="E3838" s="534"/>
      <c r="F3838" s="534"/>
    </row>
    <row r="3839" spans="1:6" ht="15" customHeight="1">
      <c r="A3839" s="51"/>
      <c r="B3839" s="52" t="str">
        <f t="shared" si="210"/>
        <v/>
      </c>
      <c r="C3839" t="str">
        <f t="shared" si="209"/>
        <v/>
      </c>
      <c r="D3839" s="245" t="str">
        <f t="shared" si="211"/>
        <v/>
      </c>
      <c r="E3839" s="534"/>
      <c r="F3839" s="534"/>
    </row>
    <row r="3840" spans="1:6" ht="15" customHeight="1">
      <c r="A3840" s="51"/>
      <c r="B3840" s="52" t="str">
        <f t="shared" si="210"/>
        <v/>
      </c>
      <c r="C3840" t="str">
        <f t="shared" si="209"/>
        <v/>
      </c>
      <c r="D3840" s="245" t="str">
        <f t="shared" si="211"/>
        <v/>
      </c>
      <c r="E3840" s="534"/>
      <c r="F3840" s="534"/>
    </row>
    <row r="3841" spans="1:6" ht="15" customHeight="1">
      <c r="A3841" s="51"/>
      <c r="B3841" s="52" t="str">
        <f t="shared" si="210"/>
        <v/>
      </c>
      <c r="C3841" t="str">
        <f t="shared" si="209"/>
        <v/>
      </c>
      <c r="D3841" s="245" t="str">
        <f t="shared" si="211"/>
        <v/>
      </c>
      <c r="E3841" s="534"/>
      <c r="F3841" s="534"/>
    </row>
    <row r="3842" spans="1:6" ht="15" customHeight="1">
      <c r="A3842" s="51"/>
      <c r="B3842" s="52" t="str">
        <f t="shared" si="210"/>
        <v/>
      </c>
      <c r="C3842" t="str">
        <f t="shared" ref="C3842:C3905" si="212">IF(A3842&lt;&gt;"",TEXT(A3842,"aaaa"),"")</f>
        <v/>
      </c>
      <c r="D3842" s="245" t="str">
        <f t="shared" si="211"/>
        <v/>
      </c>
      <c r="E3842" s="534"/>
      <c r="F3842" s="534"/>
    </row>
    <row r="3843" spans="1:6" ht="15" customHeight="1">
      <c r="A3843" s="51"/>
      <c r="B3843" s="52" t="str">
        <f t="shared" si="210"/>
        <v/>
      </c>
      <c r="C3843" t="str">
        <f t="shared" si="212"/>
        <v/>
      </c>
      <c r="D3843" s="245" t="str">
        <f t="shared" si="211"/>
        <v/>
      </c>
      <c r="E3843" s="534"/>
      <c r="F3843" s="534"/>
    </row>
    <row r="3844" spans="1:6" ht="15" customHeight="1">
      <c r="A3844" s="51"/>
      <c r="B3844" s="52" t="str">
        <f t="shared" si="210"/>
        <v/>
      </c>
      <c r="C3844" t="str">
        <f t="shared" si="212"/>
        <v/>
      </c>
      <c r="D3844" s="245" t="str">
        <f t="shared" si="211"/>
        <v/>
      </c>
      <c r="E3844" s="534"/>
      <c r="F3844" s="534"/>
    </row>
    <row r="3845" spans="1:6" ht="15" customHeight="1">
      <c r="A3845" s="51"/>
      <c r="B3845" s="52" t="str">
        <f t="shared" si="210"/>
        <v/>
      </c>
      <c r="C3845" t="str">
        <f t="shared" si="212"/>
        <v/>
      </c>
      <c r="D3845" s="245" t="str">
        <f t="shared" si="211"/>
        <v/>
      </c>
      <c r="E3845" s="534"/>
      <c r="F3845" s="534"/>
    </row>
    <row r="3846" spans="1:6" ht="15" customHeight="1">
      <c r="A3846" s="51"/>
      <c r="B3846" s="52" t="str">
        <f t="shared" si="210"/>
        <v/>
      </c>
      <c r="C3846" t="str">
        <f t="shared" si="212"/>
        <v/>
      </c>
      <c r="D3846" s="245" t="str">
        <f t="shared" si="211"/>
        <v/>
      </c>
      <c r="E3846" s="534"/>
      <c r="F3846" s="534"/>
    </row>
    <row r="3847" spans="1:6" ht="15" customHeight="1">
      <c r="A3847" s="51"/>
      <c r="B3847" s="52" t="str">
        <f t="shared" si="210"/>
        <v/>
      </c>
      <c r="C3847" t="str">
        <f t="shared" si="212"/>
        <v/>
      </c>
      <c r="D3847" s="245" t="str">
        <f t="shared" si="211"/>
        <v/>
      </c>
      <c r="E3847" s="534"/>
      <c r="F3847" s="534"/>
    </row>
    <row r="3848" spans="1:6" ht="15" customHeight="1">
      <c r="A3848" s="51"/>
      <c r="B3848" s="52" t="str">
        <f t="shared" ref="B3848:B3911" si="213">IF(A3848="","",TEXT(A3848,"DDDD"))</f>
        <v/>
      </c>
      <c r="C3848" t="str">
        <f t="shared" si="212"/>
        <v/>
      </c>
      <c r="D3848" s="245" t="str">
        <f t="shared" si="211"/>
        <v/>
      </c>
      <c r="E3848" s="534"/>
      <c r="F3848" s="534"/>
    </row>
    <row r="3849" spans="1:6" ht="15" customHeight="1">
      <c r="A3849" s="51"/>
      <c r="B3849" s="52" t="str">
        <f t="shared" si="213"/>
        <v/>
      </c>
      <c r="C3849" t="str">
        <f t="shared" si="212"/>
        <v/>
      </c>
      <c r="D3849" s="245" t="str">
        <f t="shared" ref="D3849:D3912" si="214">IF(A3849&lt;&gt;"",PROPER(TEXT(A3849,"Mmmm")),"")</f>
        <v/>
      </c>
      <c r="E3849" s="534"/>
      <c r="F3849" s="534"/>
    </row>
    <row r="3850" spans="1:6" ht="15" customHeight="1">
      <c r="A3850" s="51"/>
      <c r="B3850" s="52" t="str">
        <f t="shared" si="213"/>
        <v/>
      </c>
      <c r="C3850" t="str">
        <f t="shared" si="212"/>
        <v/>
      </c>
      <c r="D3850" s="245" t="str">
        <f t="shared" si="214"/>
        <v/>
      </c>
      <c r="E3850" s="534"/>
      <c r="F3850" s="534"/>
    </row>
    <row r="3851" spans="1:6" ht="15" customHeight="1">
      <c r="A3851" s="51"/>
      <c r="B3851" s="52" t="str">
        <f t="shared" si="213"/>
        <v/>
      </c>
      <c r="C3851" t="str">
        <f t="shared" si="212"/>
        <v/>
      </c>
      <c r="D3851" s="245" t="str">
        <f t="shared" si="214"/>
        <v/>
      </c>
      <c r="E3851" s="534"/>
      <c r="F3851" s="534"/>
    </row>
    <row r="3852" spans="1:6" ht="15" customHeight="1">
      <c r="A3852" s="51"/>
      <c r="B3852" s="52" t="str">
        <f t="shared" si="213"/>
        <v/>
      </c>
      <c r="C3852" t="str">
        <f t="shared" si="212"/>
        <v/>
      </c>
      <c r="D3852" s="245" t="str">
        <f t="shared" si="214"/>
        <v/>
      </c>
      <c r="E3852" s="534"/>
      <c r="F3852" s="534"/>
    </row>
    <row r="3853" spans="1:6" ht="15" customHeight="1">
      <c r="A3853" s="51"/>
      <c r="B3853" s="52" t="str">
        <f t="shared" si="213"/>
        <v/>
      </c>
      <c r="C3853" t="str">
        <f t="shared" si="212"/>
        <v/>
      </c>
      <c r="D3853" s="245" t="str">
        <f t="shared" si="214"/>
        <v/>
      </c>
      <c r="E3853" s="534"/>
      <c r="F3853" s="534"/>
    </row>
    <row r="3854" spans="1:6" ht="15" customHeight="1">
      <c r="A3854" s="51"/>
      <c r="B3854" s="52" t="str">
        <f t="shared" si="213"/>
        <v/>
      </c>
      <c r="C3854" t="str">
        <f t="shared" si="212"/>
        <v/>
      </c>
      <c r="D3854" s="245" t="str">
        <f t="shared" si="214"/>
        <v/>
      </c>
      <c r="E3854" s="534"/>
      <c r="F3854" s="534"/>
    </row>
    <row r="3855" spans="1:6" ht="15" customHeight="1">
      <c r="A3855" s="51"/>
      <c r="B3855" s="52" t="str">
        <f t="shared" si="213"/>
        <v/>
      </c>
      <c r="C3855" t="str">
        <f t="shared" si="212"/>
        <v/>
      </c>
      <c r="D3855" s="245" t="str">
        <f t="shared" si="214"/>
        <v/>
      </c>
      <c r="E3855" s="534"/>
      <c r="F3855" s="534"/>
    </row>
    <row r="3856" spans="1:6" ht="15" customHeight="1">
      <c r="A3856" s="51"/>
      <c r="B3856" s="52" t="str">
        <f t="shared" si="213"/>
        <v/>
      </c>
      <c r="C3856" t="str">
        <f t="shared" si="212"/>
        <v/>
      </c>
      <c r="D3856" s="245" t="str">
        <f t="shared" si="214"/>
        <v/>
      </c>
      <c r="E3856" s="534"/>
      <c r="F3856" s="534"/>
    </row>
    <row r="3857" spans="1:6" ht="15" customHeight="1">
      <c r="A3857" s="51"/>
      <c r="B3857" s="52" t="str">
        <f t="shared" si="213"/>
        <v/>
      </c>
      <c r="C3857" t="str">
        <f t="shared" si="212"/>
        <v/>
      </c>
      <c r="D3857" s="245" t="str">
        <f t="shared" si="214"/>
        <v/>
      </c>
      <c r="E3857" s="534"/>
      <c r="F3857" s="534"/>
    </row>
    <row r="3858" spans="1:6" ht="15" customHeight="1">
      <c r="A3858" s="51"/>
      <c r="B3858" s="52" t="str">
        <f t="shared" si="213"/>
        <v/>
      </c>
      <c r="C3858" t="str">
        <f t="shared" si="212"/>
        <v/>
      </c>
      <c r="D3858" s="245" t="str">
        <f t="shared" si="214"/>
        <v/>
      </c>
      <c r="E3858" s="534"/>
      <c r="F3858" s="534"/>
    </row>
    <row r="3859" spans="1:6" ht="15" customHeight="1">
      <c r="A3859" s="51"/>
      <c r="B3859" s="52" t="str">
        <f t="shared" si="213"/>
        <v/>
      </c>
      <c r="C3859" t="str">
        <f t="shared" si="212"/>
        <v/>
      </c>
      <c r="D3859" s="245" t="str">
        <f t="shared" si="214"/>
        <v/>
      </c>
      <c r="E3859" s="534"/>
      <c r="F3859" s="534"/>
    </row>
    <row r="3860" spans="1:6" ht="15" customHeight="1">
      <c r="A3860" s="51"/>
      <c r="B3860" s="52" t="str">
        <f t="shared" si="213"/>
        <v/>
      </c>
      <c r="C3860" t="str">
        <f t="shared" si="212"/>
        <v/>
      </c>
      <c r="D3860" s="245" t="str">
        <f t="shared" si="214"/>
        <v/>
      </c>
      <c r="E3860" s="534"/>
      <c r="F3860" s="534"/>
    </row>
    <row r="3861" spans="1:6" ht="15" customHeight="1">
      <c r="A3861" s="51"/>
      <c r="B3861" s="52" t="str">
        <f t="shared" si="213"/>
        <v/>
      </c>
      <c r="C3861" t="str">
        <f t="shared" si="212"/>
        <v/>
      </c>
      <c r="D3861" s="245" t="str">
        <f t="shared" si="214"/>
        <v/>
      </c>
      <c r="E3861" s="534"/>
      <c r="F3861" s="534"/>
    </row>
    <row r="3862" spans="1:6" ht="15" customHeight="1">
      <c r="A3862" s="51"/>
      <c r="B3862" s="52" t="str">
        <f t="shared" si="213"/>
        <v/>
      </c>
      <c r="C3862" t="str">
        <f t="shared" si="212"/>
        <v/>
      </c>
      <c r="D3862" s="245" t="str">
        <f t="shared" si="214"/>
        <v/>
      </c>
      <c r="E3862" s="534"/>
      <c r="F3862" s="534"/>
    </row>
    <row r="3863" spans="1:6" ht="15" customHeight="1">
      <c r="A3863" s="51"/>
      <c r="B3863" s="52" t="str">
        <f t="shared" si="213"/>
        <v/>
      </c>
      <c r="C3863" t="str">
        <f t="shared" si="212"/>
        <v/>
      </c>
      <c r="D3863" s="245" t="str">
        <f t="shared" si="214"/>
        <v/>
      </c>
      <c r="E3863" s="534"/>
      <c r="F3863" s="534"/>
    </row>
    <row r="3864" spans="1:6" ht="15" customHeight="1">
      <c r="A3864" s="51"/>
      <c r="B3864" s="52" t="str">
        <f t="shared" si="213"/>
        <v/>
      </c>
      <c r="C3864" t="str">
        <f t="shared" si="212"/>
        <v/>
      </c>
      <c r="D3864" s="245" t="str">
        <f t="shared" si="214"/>
        <v/>
      </c>
      <c r="E3864" s="534"/>
      <c r="F3864" s="534"/>
    </row>
    <row r="3865" spans="1:6" ht="15" customHeight="1">
      <c r="A3865" s="51"/>
      <c r="B3865" s="52" t="str">
        <f t="shared" si="213"/>
        <v/>
      </c>
      <c r="C3865" t="str">
        <f t="shared" si="212"/>
        <v/>
      </c>
      <c r="D3865" s="245" t="str">
        <f t="shared" si="214"/>
        <v/>
      </c>
      <c r="E3865" s="534"/>
      <c r="F3865" s="534"/>
    </row>
    <row r="3866" spans="1:6" ht="15" customHeight="1">
      <c r="A3866" s="51"/>
      <c r="B3866" s="52" t="str">
        <f t="shared" si="213"/>
        <v/>
      </c>
      <c r="C3866" t="str">
        <f t="shared" si="212"/>
        <v/>
      </c>
      <c r="D3866" s="245" t="str">
        <f t="shared" si="214"/>
        <v/>
      </c>
      <c r="E3866" s="534"/>
      <c r="F3866" s="534"/>
    </row>
    <row r="3867" spans="1:6" ht="15" customHeight="1">
      <c r="A3867" s="51"/>
      <c r="B3867" s="52" t="str">
        <f t="shared" si="213"/>
        <v/>
      </c>
      <c r="C3867" t="str">
        <f t="shared" si="212"/>
        <v/>
      </c>
      <c r="D3867" s="245" t="str">
        <f t="shared" si="214"/>
        <v/>
      </c>
      <c r="E3867" s="534"/>
      <c r="F3867" s="534"/>
    </row>
    <row r="3868" spans="1:6" ht="15" customHeight="1">
      <c r="A3868" s="51"/>
      <c r="B3868" s="52" t="str">
        <f t="shared" si="213"/>
        <v/>
      </c>
      <c r="C3868" t="str">
        <f t="shared" si="212"/>
        <v/>
      </c>
      <c r="D3868" s="245" t="str">
        <f t="shared" si="214"/>
        <v/>
      </c>
      <c r="E3868" s="534"/>
      <c r="F3868" s="534"/>
    </row>
    <row r="3869" spans="1:6" ht="15" customHeight="1">
      <c r="A3869" s="51"/>
      <c r="B3869" s="52" t="str">
        <f t="shared" si="213"/>
        <v/>
      </c>
      <c r="C3869" t="str">
        <f t="shared" si="212"/>
        <v/>
      </c>
      <c r="D3869" s="245" t="str">
        <f t="shared" si="214"/>
        <v/>
      </c>
      <c r="E3869" s="534"/>
      <c r="F3869" s="534"/>
    </row>
    <row r="3870" spans="1:6" ht="15" customHeight="1">
      <c r="A3870" s="51"/>
      <c r="B3870" s="52" t="str">
        <f t="shared" si="213"/>
        <v/>
      </c>
      <c r="C3870" t="str">
        <f t="shared" si="212"/>
        <v/>
      </c>
      <c r="D3870" s="245" t="str">
        <f t="shared" si="214"/>
        <v/>
      </c>
      <c r="E3870" s="534"/>
      <c r="F3870" s="534"/>
    </row>
    <row r="3871" spans="1:6" ht="15" customHeight="1">
      <c r="A3871" s="51"/>
      <c r="B3871" s="52" t="str">
        <f t="shared" si="213"/>
        <v/>
      </c>
      <c r="C3871" t="str">
        <f t="shared" si="212"/>
        <v/>
      </c>
      <c r="D3871" s="245" t="str">
        <f t="shared" si="214"/>
        <v/>
      </c>
      <c r="E3871" s="534"/>
      <c r="F3871" s="534"/>
    </row>
    <row r="3872" spans="1:6" ht="15" customHeight="1">
      <c r="A3872" s="51"/>
      <c r="B3872" s="52" t="str">
        <f t="shared" si="213"/>
        <v/>
      </c>
      <c r="C3872" t="str">
        <f t="shared" si="212"/>
        <v/>
      </c>
      <c r="D3872" s="245" t="str">
        <f t="shared" si="214"/>
        <v/>
      </c>
      <c r="E3872" s="534"/>
      <c r="F3872" s="534"/>
    </row>
    <row r="3873" spans="1:6" ht="15" customHeight="1">
      <c r="A3873" s="51"/>
      <c r="B3873" s="52" t="str">
        <f t="shared" si="213"/>
        <v/>
      </c>
      <c r="C3873" t="str">
        <f t="shared" si="212"/>
        <v/>
      </c>
      <c r="D3873" s="245" t="str">
        <f t="shared" si="214"/>
        <v/>
      </c>
      <c r="E3873" s="534"/>
      <c r="F3873" s="534"/>
    </row>
    <row r="3874" spans="1:6" ht="15" customHeight="1">
      <c r="A3874" s="51"/>
      <c r="B3874" s="52" t="str">
        <f t="shared" si="213"/>
        <v/>
      </c>
      <c r="C3874" t="str">
        <f t="shared" si="212"/>
        <v/>
      </c>
      <c r="D3874" s="245" t="str">
        <f t="shared" si="214"/>
        <v/>
      </c>
      <c r="E3874" s="534"/>
      <c r="F3874" s="534"/>
    </row>
    <row r="3875" spans="1:6" ht="15" customHeight="1">
      <c r="A3875" s="51"/>
      <c r="B3875" s="52" t="str">
        <f t="shared" si="213"/>
        <v/>
      </c>
      <c r="C3875" t="str">
        <f t="shared" si="212"/>
        <v/>
      </c>
      <c r="D3875" s="245" t="str">
        <f t="shared" si="214"/>
        <v/>
      </c>
      <c r="E3875" s="534"/>
      <c r="F3875" s="534"/>
    </row>
    <row r="3876" spans="1:6" ht="15" customHeight="1">
      <c r="A3876" s="51"/>
      <c r="B3876" s="52" t="str">
        <f t="shared" si="213"/>
        <v/>
      </c>
      <c r="C3876" t="str">
        <f t="shared" si="212"/>
        <v/>
      </c>
      <c r="D3876" s="245" t="str">
        <f t="shared" si="214"/>
        <v/>
      </c>
      <c r="E3876" s="534"/>
      <c r="F3876" s="534"/>
    </row>
    <row r="3877" spans="1:6" ht="15" customHeight="1">
      <c r="A3877" s="51"/>
      <c r="B3877" s="52" t="str">
        <f t="shared" si="213"/>
        <v/>
      </c>
      <c r="C3877" t="str">
        <f t="shared" si="212"/>
        <v/>
      </c>
      <c r="D3877" s="245" t="str">
        <f t="shared" si="214"/>
        <v/>
      </c>
      <c r="E3877" s="534"/>
      <c r="F3877" s="534"/>
    </row>
    <row r="3878" spans="1:6" ht="15" customHeight="1">
      <c r="A3878" s="51"/>
      <c r="B3878" s="52" t="str">
        <f t="shared" si="213"/>
        <v/>
      </c>
      <c r="C3878" t="str">
        <f t="shared" si="212"/>
        <v/>
      </c>
      <c r="D3878" s="245" t="str">
        <f t="shared" si="214"/>
        <v/>
      </c>
      <c r="E3878" s="534"/>
      <c r="F3878" s="534"/>
    </row>
    <row r="3879" spans="1:6" ht="15" customHeight="1">
      <c r="A3879" s="51"/>
      <c r="B3879" s="52" t="str">
        <f t="shared" si="213"/>
        <v/>
      </c>
      <c r="C3879" t="str">
        <f t="shared" si="212"/>
        <v/>
      </c>
      <c r="D3879" s="245" t="str">
        <f t="shared" si="214"/>
        <v/>
      </c>
      <c r="E3879" s="534"/>
      <c r="F3879" s="534"/>
    </row>
    <row r="3880" spans="1:6" ht="15" customHeight="1">
      <c r="A3880" s="51"/>
      <c r="B3880" s="52" t="str">
        <f t="shared" si="213"/>
        <v/>
      </c>
      <c r="C3880" t="str">
        <f t="shared" si="212"/>
        <v/>
      </c>
      <c r="D3880" s="245" t="str">
        <f t="shared" si="214"/>
        <v/>
      </c>
      <c r="E3880" s="534"/>
      <c r="F3880" s="534"/>
    </row>
    <row r="3881" spans="1:6" ht="15" customHeight="1">
      <c r="A3881" s="51"/>
      <c r="B3881" s="52" t="str">
        <f t="shared" si="213"/>
        <v/>
      </c>
      <c r="C3881" t="str">
        <f t="shared" si="212"/>
        <v/>
      </c>
      <c r="D3881" s="245" t="str">
        <f t="shared" si="214"/>
        <v/>
      </c>
      <c r="E3881" s="534"/>
      <c r="F3881" s="534"/>
    </row>
    <row r="3882" spans="1:6" ht="15" customHeight="1">
      <c r="A3882" s="51"/>
      <c r="B3882" s="52" t="str">
        <f t="shared" si="213"/>
        <v/>
      </c>
      <c r="C3882" t="str">
        <f t="shared" si="212"/>
        <v/>
      </c>
      <c r="D3882" s="245" t="str">
        <f t="shared" si="214"/>
        <v/>
      </c>
      <c r="E3882" s="534"/>
      <c r="F3882" s="534"/>
    </row>
    <row r="3883" spans="1:6" ht="15" customHeight="1">
      <c r="A3883" s="51"/>
      <c r="B3883" s="52" t="str">
        <f t="shared" si="213"/>
        <v/>
      </c>
      <c r="C3883" t="str">
        <f t="shared" si="212"/>
        <v/>
      </c>
      <c r="D3883" s="245" t="str">
        <f t="shared" si="214"/>
        <v/>
      </c>
      <c r="E3883" s="534"/>
      <c r="F3883" s="534"/>
    </row>
    <row r="3884" spans="1:6" ht="15" customHeight="1">
      <c r="A3884" s="51"/>
      <c r="B3884" s="52" t="str">
        <f t="shared" si="213"/>
        <v/>
      </c>
      <c r="C3884" t="str">
        <f t="shared" si="212"/>
        <v/>
      </c>
      <c r="D3884" s="245" t="str">
        <f t="shared" si="214"/>
        <v/>
      </c>
      <c r="E3884" s="534"/>
      <c r="F3884" s="534"/>
    </row>
    <row r="3885" spans="1:6" ht="15" customHeight="1">
      <c r="A3885" s="51"/>
      <c r="B3885" s="52" t="str">
        <f t="shared" si="213"/>
        <v/>
      </c>
      <c r="C3885" t="str">
        <f t="shared" si="212"/>
        <v/>
      </c>
      <c r="D3885" s="245" t="str">
        <f t="shared" si="214"/>
        <v/>
      </c>
      <c r="E3885" s="534"/>
      <c r="F3885" s="534"/>
    </row>
    <row r="3886" spans="1:6" ht="15" customHeight="1">
      <c r="A3886" s="51"/>
      <c r="B3886" s="52" t="str">
        <f t="shared" si="213"/>
        <v/>
      </c>
      <c r="C3886" t="str">
        <f t="shared" si="212"/>
        <v/>
      </c>
      <c r="D3886" s="245" t="str">
        <f t="shared" si="214"/>
        <v/>
      </c>
      <c r="E3886" s="534"/>
      <c r="F3886" s="534"/>
    </row>
    <row r="3887" spans="1:6" ht="15" customHeight="1">
      <c r="A3887" s="51"/>
      <c r="B3887" s="52" t="str">
        <f t="shared" si="213"/>
        <v/>
      </c>
      <c r="C3887" t="str">
        <f t="shared" si="212"/>
        <v/>
      </c>
      <c r="D3887" s="245" t="str">
        <f t="shared" si="214"/>
        <v/>
      </c>
      <c r="E3887" s="534"/>
      <c r="F3887" s="534"/>
    </row>
    <row r="3888" spans="1:6" ht="15" customHeight="1">
      <c r="A3888" s="51"/>
      <c r="B3888" s="52" t="str">
        <f t="shared" si="213"/>
        <v/>
      </c>
      <c r="C3888" t="str">
        <f t="shared" si="212"/>
        <v/>
      </c>
      <c r="D3888" s="245" t="str">
        <f t="shared" si="214"/>
        <v/>
      </c>
      <c r="E3888" s="534"/>
      <c r="F3888" s="534"/>
    </row>
    <row r="3889" spans="1:6" ht="15" customHeight="1">
      <c r="A3889" s="51"/>
      <c r="B3889" s="52" t="str">
        <f t="shared" si="213"/>
        <v/>
      </c>
      <c r="C3889" t="str">
        <f t="shared" si="212"/>
        <v/>
      </c>
      <c r="D3889" s="245" t="str">
        <f t="shared" si="214"/>
        <v/>
      </c>
      <c r="E3889" s="534"/>
      <c r="F3889" s="534"/>
    </row>
    <row r="3890" spans="1:6" ht="15" customHeight="1">
      <c r="A3890" s="51"/>
      <c r="B3890" s="52" t="str">
        <f t="shared" si="213"/>
        <v/>
      </c>
      <c r="C3890" t="str">
        <f t="shared" si="212"/>
        <v/>
      </c>
      <c r="D3890" s="245" t="str">
        <f t="shared" si="214"/>
        <v/>
      </c>
      <c r="E3890" s="534"/>
      <c r="F3890" s="534"/>
    </row>
    <row r="3891" spans="1:6" ht="15" customHeight="1">
      <c r="A3891" s="51"/>
      <c r="B3891" s="52" t="str">
        <f t="shared" si="213"/>
        <v/>
      </c>
      <c r="C3891" t="str">
        <f t="shared" si="212"/>
        <v/>
      </c>
      <c r="D3891" s="245" t="str">
        <f t="shared" si="214"/>
        <v/>
      </c>
      <c r="E3891" s="534"/>
      <c r="F3891" s="534"/>
    </row>
    <row r="3892" spans="1:6" ht="15" customHeight="1">
      <c r="A3892" s="51"/>
      <c r="B3892" s="52" t="str">
        <f t="shared" si="213"/>
        <v/>
      </c>
      <c r="C3892" t="str">
        <f t="shared" si="212"/>
        <v/>
      </c>
      <c r="D3892" s="245" t="str">
        <f t="shared" si="214"/>
        <v/>
      </c>
      <c r="E3892" s="534"/>
      <c r="F3892" s="534"/>
    </row>
    <row r="3893" spans="1:6" ht="15" customHeight="1">
      <c r="A3893" s="51"/>
      <c r="B3893" s="52" t="str">
        <f t="shared" si="213"/>
        <v/>
      </c>
      <c r="C3893" t="str">
        <f t="shared" si="212"/>
        <v/>
      </c>
      <c r="D3893" s="245" t="str">
        <f t="shared" si="214"/>
        <v/>
      </c>
      <c r="E3893" s="534"/>
      <c r="F3893" s="534"/>
    </row>
    <row r="3894" spans="1:6" ht="15" customHeight="1">
      <c r="A3894" s="51"/>
      <c r="B3894" s="52" t="str">
        <f t="shared" si="213"/>
        <v/>
      </c>
      <c r="C3894" t="str">
        <f t="shared" si="212"/>
        <v/>
      </c>
      <c r="D3894" s="245" t="str">
        <f t="shared" si="214"/>
        <v/>
      </c>
      <c r="E3894" s="534"/>
      <c r="F3894" s="534"/>
    </row>
    <row r="3895" spans="1:6" ht="15" customHeight="1">
      <c r="A3895" s="51"/>
      <c r="B3895" s="52" t="str">
        <f t="shared" si="213"/>
        <v/>
      </c>
      <c r="C3895" t="str">
        <f t="shared" si="212"/>
        <v/>
      </c>
      <c r="D3895" s="245" t="str">
        <f t="shared" si="214"/>
        <v/>
      </c>
      <c r="E3895" s="534"/>
      <c r="F3895" s="534"/>
    </row>
    <row r="3896" spans="1:6" ht="15" customHeight="1">
      <c r="A3896" s="51"/>
      <c r="B3896" s="52" t="str">
        <f t="shared" si="213"/>
        <v/>
      </c>
      <c r="C3896" t="str">
        <f t="shared" si="212"/>
        <v/>
      </c>
      <c r="D3896" s="245" t="str">
        <f t="shared" si="214"/>
        <v/>
      </c>
      <c r="E3896" s="534"/>
      <c r="F3896" s="534"/>
    </row>
    <row r="3897" spans="1:6" ht="15" customHeight="1">
      <c r="A3897" s="51"/>
      <c r="B3897" s="52" t="str">
        <f t="shared" si="213"/>
        <v/>
      </c>
      <c r="C3897" t="str">
        <f t="shared" si="212"/>
        <v/>
      </c>
      <c r="D3897" s="245" t="str">
        <f t="shared" si="214"/>
        <v/>
      </c>
      <c r="E3897" s="534"/>
      <c r="F3897" s="534"/>
    </row>
    <row r="3898" spans="1:6" ht="15" customHeight="1">
      <c r="A3898" s="51"/>
      <c r="B3898" s="52" t="str">
        <f t="shared" si="213"/>
        <v/>
      </c>
      <c r="C3898" t="str">
        <f t="shared" si="212"/>
        <v/>
      </c>
      <c r="D3898" s="245" t="str">
        <f t="shared" si="214"/>
        <v/>
      </c>
      <c r="E3898" s="534"/>
      <c r="F3898" s="534"/>
    </row>
    <row r="3899" spans="1:6" ht="15" customHeight="1">
      <c r="A3899" s="51"/>
      <c r="B3899" s="52" t="str">
        <f t="shared" si="213"/>
        <v/>
      </c>
      <c r="C3899" t="str">
        <f t="shared" si="212"/>
        <v/>
      </c>
      <c r="D3899" s="245" t="str">
        <f t="shared" si="214"/>
        <v/>
      </c>
      <c r="E3899" s="534"/>
      <c r="F3899" s="534"/>
    </row>
    <row r="3900" spans="1:6" ht="15" customHeight="1">
      <c r="A3900" s="51"/>
      <c r="B3900" s="52" t="str">
        <f t="shared" si="213"/>
        <v/>
      </c>
      <c r="C3900" t="str">
        <f t="shared" si="212"/>
        <v/>
      </c>
      <c r="D3900" s="245" t="str">
        <f t="shared" si="214"/>
        <v/>
      </c>
      <c r="E3900" s="534"/>
      <c r="F3900" s="534"/>
    </row>
    <row r="3901" spans="1:6" ht="15" customHeight="1">
      <c r="A3901" s="51"/>
      <c r="B3901" s="52" t="str">
        <f t="shared" si="213"/>
        <v/>
      </c>
      <c r="C3901" t="str">
        <f t="shared" si="212"/>
        <v/>
      </c>
      <c r="D3901" s="245" t="str">
        <f t="shared" si="214"/>
        <v/>
      </c>
      <c r="E3901" s="534"/>
      <c r="F3901" s="534"/>
    </row>
    <row r="3902" spans="1:6" ht="15" customHeight="1">
      <c r="A3902" s="51"/>
      <c r="B3902" s="52" t="str">
        <f t="shared" si="213"/>
        <v/>
      </c>
      <c r="C3902" t="str">
        <f t="shared" si="212"/>
        <v/>
      </c>
      <c r="D3902" s="245" t="str">
        <f t="shared" si="214"/>
        <v/>
      </c>
      <c r="E3902" s="534"/>
      <c r="F3902" s="534"/>
    </row>
    <row r="3903" spans="1:6" ht="15" customHeight="1">
      <c r="A3903" s="51"/>
      <c r="B3903" s="52" t="str">
        <f t="shared" si="213"/>
        <v/>
      </c>
      <c r="C3903" t="str">
        <f t="shared" si="212"/>
        <v/>
      </c>
      <c r="D3903" s="245" t="str">
        <f t="shared" si="214"/>
        <v/>
      </c>
      <c r="E3903" s="534"/>
      <c r="F3903" s="534"/>
    </row>
    <row r="3904" spans="1:6" ht="15" customHeight="1">
      <c r="A3904" s="51"/>
      <c r="B3904" s="52" t="str">
        <f t="shared" si="213"/>
        <v/>
      </c>
      <c r="C3904" t="str">
        <f t="shared" si="212"/>
        <v/>
      </c>
      <c r="D3904" s="245" t="str">
        <f t="shared" si="214"/>
        <v/>
      </c>
      <c r="E3904" s="534"/>
      <c r="F3904" s="534"/>
    </row>
    <row r="3905" spans="1:6" ht="15" customHeight="1">
      <c r="A3905" s="51"/>
      <c r="B3905" s="52" t="str">
        <f t="shared" si="213"/>
        <v/>
      </c>
      <c r="C3905" t="str">
        <f t="shared" si="212"/>
        <v/>
      </c>
      <c r="D3905" s="245" t="str">
        <f t="shared" si="214"/>
        <v/>
      </c>
      <c r="E3905" s="534"/>
      <c r="F3905" s="534"/>
    </row>
    <row r="3906" spans="1:6" ht="15" customHeight="1">
      <c r="A3906" s="51"/>
      <c r="B3906" s="52" t="str">
        <f t="shared" si="213"/>
        <v/>
      </c>
      <c r="C3906" t="str">
        <f t="shared" ref="C3906:C3969" si="215">IF(A3906&lt;&gt;"",TEXT(A3906,"aaaa"),"")</f>
        <v/>
      </c>
      <c r="D3906" s="245" t="str">
        <f t="shared" si="214"/>
        <v/>
      </c>
      <c r="E3906" s="534"/>
      <c r="F3906" s="534"/>
    </row>
    <row r="3907" spans="1:6" ht="15" customHeight="1">
      <c r="A3907" s="51"/>
      <c r="B3907" s="52" t="str">
        <f t="shared" si="213"/>
        <v/>
      </c>
      <c r="C3907" t="str">
        <f t="shared" si="215"/>
        <v/>
      </c>
      <c r="D3907" s="245" t="str">
        <f t="shared" si="214"/>
        <v/>
      </c>
      <c r="E3907" s="534"/>
      <c r="F3907" s="534"/>
    </row>
    <row r="3908" spans="1:6" ht="15" customHeight="1">
      <c r="A3908" s="51"/>
      <c r="B3908" s="52" t="str">
        <f t="shared" si="213"/>
        <v/>
      </c>
      <c r="C3908" t="str">
        <f t="shared" si="215"/>
        <v/>
      </c>
      <c r="D3908" s="245" t="str">
        <f t="shared" si="214"/>
        <v/>
      </c>
      <c r="E3908" s="534"/>
      <c r="F3908" s="534"/>
    </row>
    <row r="3909" spans="1:6" ht="15" customHeight="1">
      <c r="A3909" s="51"/>
      <c r="B3909" s="52" t="str">
        <f t="shared" si="213"/>
        <v/>
      </c>
      <c r="C3909" t="str">
        <f t="shared" si="215"/>
        <v/>
      </c>
      <c r="D3909" s="245" t="str">
        <f t="shared" si="214"/>
        <v/>
      </c>
      <c r="E3909" s="534"/>
      <c r="F3909" s="534"/>
    </row>
    <row r="3910" spans="1:6" ht="15" customHeight="1">
      <c r="A3910" s="51"/>
      <c r="B3910" s="52" t="str">
        <f t="shared" si="213"/>
        <v/>
      </c>
      <c r="C3910" t="str">
        <f t="shared" si="215"/>
        <v/>
      </c>
      <c r="D3910" s="245" t="str">
        <f t="shared" si="214"/>
        <v/>
      </c>
      <c r="E3910" s="534"/>
      <c r="F3910" s="534"/>
    </row>
    <row r="3911" spans="1:6" ht="15" customHeight="1">
      <c r="A3911" s="51"/>
      <c r="B3911" s="52" t="str">
        <f t="shared" si="213"/>
        <v/>
      </c>
      <c r="C3911" t="str">
        <f t="shared" si="215"/>
        <v/>
      </c>
      <c r="D3911" s="245" t="str">
        <f t="shared" si="214"/>
        <v/>
      </c>
      <c r="E3911" s="534"/>
      <c r="F3911" s="534"/>
    </row>
    <row r="3912" spans="1:6" ht="15" customHeight="1">
      <c r="A3912" s="51"/>
      <c r="B3912" s="52" t="str">
        <f t="shared" ref="B3912:B3975" si="216">IF(A3912="","",TEXT(A3912,"DDDD"))</f>
        <v/>
      </c>
      <c r="C3912" t="str">
        <f t="shared" si="215"/>
        <v/>
      </c>
      <c r="D3912" s="245" t="str">
        <f t="shared" si="214"/>
        <v/>
      </c>
      <c r="E3912" s="534"/>
      <c r="F3912" s="534"/>
    </row>
    <row r="3913" spans="1:6" ht="15" customHeight="1">
      <c r="A3913" s="51"/>
      <c r="B3913" s="52" t="str">
        <f t="shared" si="216"/>
        <v/>
      </c>
      <c r="C3913" t="str">
        <f t="shared" si="215"/>
        <v/>
      </c>
      <c r="D3913" s="245" t="str">
        <f t="shared" ref="D3913:D3976" si="217">IF(A3913&lt;&gt;"",PROPER(TEXT(A3913,"Mmmm")),"")</f>
        <v/>
      </c>
      <c r="E3913" s="534"/>
      <c r="F3913" s="534"/>
    </row>
    <row r="3914" spans="1:6" ht="15" customHeight="1">
      <c r="A3914" s="51"/>
      <c r="B3914" s="52" t="str">
        <f t="shared" si="216"/>
        <v/>
      </c>
      <c r="C3914" t="str">
        <f t="shared" si="215"/>
        <v/>
      </c>
      <c r="D3914" s="245" t="str">
        <f t="shared" si="217"/>
        <v/>
      </c>
      <c r="E3914" s="534"/>
      <c r="F3914" s="534"/>
    </row>
    <row r="3915" spans="1:6" ht="15" customHeight="1">
      <c r="A3915" s="51"/>
      <c r="B3915" s="52" t="str">
        <f t="shared" si="216"/>
        <v/>
      </c>
      <c r="C3915" t="str">
        <f t="shared" si="215"/>
        <v/>
      </c>
      <c r="D3915" s="245" t="str">
        <f t="shared" si="217"/>
        <v/>
      </c>
      <c r="E3915" s="534"/>
      <c r="F3915" s="534"/>
    </row>
    <row r="3916" spans="1:6" ht="15" customHeight="1">
      <c r="A3916" s="51"/>
      <c r="B3916" s="52" t="str">
        <f t="shared" si="216"/>
        <v/>
      </c>
      <c r="C3916" t="str">
        <f t="shared" si="215"/>
        <v/>
      </c>
      <c r="D3916" s="245" t="str">
        <f t="shared" si="217"/>
        <v/>
      </c>
      <c r="E3916" s="534"/>
      <c r="F3916" s="534"/>
    </row>
    <row r="3917" spans="1:6" ht="15" customHeight="1">
      <c r="A3917" s="51"/>
      <c r="B3917" s="52" t="str">
        <f t="shared" si="216"/>
        <v/>
      </c>
      <c r="C3917" t="str">
        <f t="shared" si="215"/>
        <v/>
      </c>
      <c r="D3917" s="245" t="str">
        <f t="shared" si="217"/>
        <v/>
      </c>
      <c r="E3917" s="534"/>
      <c r="F3917" s="534"/>
    </row>
    <row r="3918" spans="1:6" ht="15" customHeight="1">
      <c r="A3918" s="51"/>
      <c r="B3918" s="52" t="str">
        <f t="shared" si="216"/>
        <v/>
      </c>
      <c r="C3918" t="str">
        <f t="shared" si="215"/>
        <v/>
      </c>
      <c r="D3918" s="245" t="str">
        <f t="shared" si="217"/>
        <v/>
      </c>
      <c r="E3918" s="534"/>
      <c r="F3918" s="534"/>
    </row>
    <row r="3919" spans="1:6" ht="15" customHeight="1">
      <c r="A3919" s="51"/>
      <c r="B3919" s="52" t="str">
        <f t="shared" si="216"/>
        <v/>
      </c>
      <c r="C3919" t="str">
        <f t="shared" si="215"/>
        <v/>
      </c>
      <c r="D3919" s="245" t="str">
        <f t="shared" si="217"/>
        <v/>
      </c>
      <c r="E3919" s="534"/>
      <c r="F3919" s="534"/>
    </row>
    <row r="3920" spans="1:6" ht="15" customHeight="1">
      <c r="A3920" s="51"/>
      <c r="B3920" s="52" t="str">
        <f t="shared" si="216"/>
        <v/>
      </c>
      <c r="C3920" t="str">
        <f t="shared" si="215"/>
        <v/>
      </c>
      <c r="D3920" s="245" t="str">
        <f t="shared" si="217"/>
        <v/>
      </c>
      <c r="E3920" s="534"/>
      <c r="F3920" s="534"/>
    </row>
    <row r="3921" spans="1:6" ht="15" customHeight="1">
      <c r="A3921" s="51"/>
      <c r="B3921" s="52" t="str">
        <f t="shared" si="216"/>
        <v/>
      </c>
      <c r="C3921" t="str">
        <f t="shared" si="215"/>
        <v/>
      </c>
      <c r="D3921" s="245" t="str">
        <f t="shared" si="217"/>
        <v/>
      </c>
      <c r="E3921" s="534"/>
      <c r="F3921" s="534"/>
    </row>
    <row r="3922" spans="1:6" ht="15" customHeight="1">
      <c r="A3922" s="51"/>
      <c r="B3922" s="52" t="str">
        <f t="shared" si="216"/>
        <v/>
      </c>
      <c r="C3922" t="str">
        <f t="shared" si="215"/>
        <v/>
      </c>
      <c r="D3922" s="245" t="str">
        <f t="shared" si="217"/>
        <v/>
      </c>
      <c r="E3922" s="534"/>
      <c r="F3922" s="534"/>
    </row>
    <row r="3923" spans="1:6" ht="15" customHeight="1">
      <c r="A3923" s="51"/>
      <c r="B3923" s="52" t="str">
        <f t="shared" si="216"/>
        <v/>
      </c>
      <c r="C3923" t="str">
        <f t="shared" si="215"/>
        <v/>
      </c>
      <c r="D3923" s="245" t="str">
        <f t="shared" si="217"/>
        <v/>
      </c>
      <c r="E3923" s="534"/>
      <c r="F3923" s="534"/>
    </row>
    <row r="3924" spans="1:6" ht="15" customHeight="1">
      <c r="A3924" s="51"/>
      <c r="B3924" s="52" t="str">
        <f t="shared" si="216"/>
        <v/>
      </c>
      <c r="C3924" t="str">
        <f t="shared" si="215"/>
        <v/>
      </c>
      <c r="D3924" s="245" t="str">
        <f t="shared" si="217"/>
        <v/>
      </c>
      <c r="E3924" s="534"/>
      <c r="F3924" s="534"/>
    </row>
    <row r="3925" spans="1:6" ht="15" customHeight="1">
      <c r="A3925" s="51"/>
      <c r="B3925" s="52" t="str">
        <f t="shared" si="216"/>
        <v/>
      </c>
      <c r="C3925" t="str">
        <f t="shared" si="215"/>
        <v/>
      </c>
      <c r="D3925" s="245" t="str">
        <f t="shared" si="217"/>
        <v/>
      </c>
      <c r="E3925" s="534"/>
      <c r="F3925" s="534"/>
    </row>
    <row r="3926" spans="1:6" ht="15" customHeight="1">
      <c r="A3926" s="51"/>
      <c r="B3926" s="52" t="str">
        <f t="shared" si="216"/>
        <v/>
      </c>
      <c r="C3926" t="str">
        <f t="shared" si="215"/>
        <v/>
      </c>
      <c r="D3926" s="245" t="str">
        <f t="shared" si="217"/>
        <v/>
      </c>
      <c r="E3926" s="534"/>
      <c r="F3926" s="534"/>
    </row>
    <row r="3927" spans="1:6" ht="15" customHeight="1">
      <c r="A3927" s="51"/>
      <c r="B3927" s="52" t="str">
        <f t="shared" si="216"/>
        <v/>
      </c>
      <c r="C3927" t="str">
        <f t="shared" si="215"/>
        <v/>
      </c>
      <c r="D3927" s="245" t="str">
        <f t="shared" si="217"/>
        <v/>
      </c>
      <c r="E3927" s="534"/>
      <c r="F3927" s="534"/>
    </row>
    <row r="3928" spans="1:6" ht="15" customHeight="1">
      <c r="A3928" s="51"/>
      <c r="B3928" s="52" t="str">
        <f t="shared" si="216"/>
        <v/>
      </c>
      <c r="C3928" t="str">
        <f t="shared" si="215"/>
        <v/>
      </c>
      <c r="D3928" s="245" t="str">
        <f t="shared" si="217"/>
        <v/>
      </c>
      <c r="E3928" s="534"/>
      <c r="F3928" s="534"/>
    </row>
    <row r="3929" spans="1:6" ht="15" customHeight="1">
      <c r="A3929" s="51"/>
      <c r="B3929" s="52" t="str">
        <f t="shared" si="216"/>
        <v/>
      </c>
      <c r="C3929" t="str">
        <f t="shared" si="215"/>
        <v/>
      </c>
      <c r="D3929" s="245" t="str">
        <f t="shared" si="217"/>
        <v/>
      </c>
      <c r="E3929" s="534"/>
      <c r="F3929" s="534"/>
    </row>
    <row r="3930" spans="1:6" ht="15" customHeight="1">
      <c r="A3930" s="51"/>
      <c r="B3930" s="52" t="str">
        <f t="shared" si="216"/>
        <v/>
      </c>
      <c r="C3930" t="str">
        <f t="shared" si="215"/>
        <v/>
      </c>
      <c r="D3930" s="245" t="str">
        <f t="shared" si="217"/>
        <v/>
      </c>
      <c r="E3930" s="534"/>
      <c r="F3930" s="534"/>
    </row>
    <row r="3931" spans="1:6" ht="15" customHeight="1">
      <c r="A3931" s="51"/>
      <c r="B3931" s="52" t="str">
        <f t="shared" si="216"/>
        <v/>
      </c>
      <c r="C3931" t="str">
        <f t="shared" si="215"/>
        <v/>
      </c>
      <c r="D3931" s="245" t="str">
        <f t="shared" si="217"/>
        <v/>
      </c>
      <c r="E3931" s="534"/>
      <c r="F3931" s="534"/>
    </row>
    <row r="3932" spans="1:6" ht="15" customHeight="1">
      <c r="A3932" s="51"/>
      <c r="B3932" s="52" t="str">
        <f t="shared" si="216"/>
        <v/>
      </c>
      <c r="C3932" t="str">
        <f t="shared" si="215"/>
        <v/>
      </c>
      <c r="D3932" s="245" t="str">
        <f t="shared" si="217"/>
        <v/>
      </c>
      <c r="E3932" s="534"/>
      <c r="F3932" s="534"/>
    </row>
    <row r="3933" spans="1:6" ht="15" customHeight="1">
      <c r="A3933" s="51"/>
      <c r="B3933" s="52" t="str">
        <f t="shared" si="216"/>
        <v/>
      </c>
      <c r="C3933" t="str">
        <f t="shared" si="215"/>
        <v/>
      </c>
      <c r="D3933" s="245" t="str">
        <f t="shared" si="217"/>
        <v/>
      </c>
      <c r="E3933" s="534"/>
      <c r="F3933" s="534"/>
    </row>
    <row r="3934" spans="1:6" ht="15" customHeight="1">
      <c r="A3934" s="51"/>
      <c r="B3934" s="52" t="str">
        <f t="shared" si="216"/>
        <v/>
      </c>
      <c r="C3934" t="str">
        <f t="shared" si="215"/>
        <v/>
      </c>
      <c r="D3934" s="245" t="str">
        <f t="shared" si="217"/>
        <v/>
      </c>
      <c r="E3934" s="534"/>
      <c r="F3934" s="534"/>
    </row>
    <row r="3935" spans="1:6" ht="15" customHeight="1">
      <c r="A3935" s="51"/>
      <c r="B3935" s="52" t="str">
        <f t="shared" si="216"/>
        <v/>
      </c>
      <c r="C3935" t="str">
        <f t="shared" si="215"/>
        <v/>
      </c>
      <c r="D3935" s="245" t="str">
        <f t="shared" si="217"/>
        <v/>
      </c>
      <c r="E3935" s="534"/>
      <c r="F3935" s="534"/>
    </row>
    <row r="3936" spans="1:6" ht="15" customHeight="1">
      <c r="A3936" s="51"/>
      <c r="B3936" s="52" t="str">
        <f t="shared" si="216"/>
        <v/>
      </c>
      <c r="C3936" t="str">
        <f t="shared" si="215"/>
        <v/>
      </c>
      <c r="D3936" s="245" t="str">
        <f t="shared" si="217"/>
        <v/>
      </c>
      <c r="E3936" s="534"/>
      <c r="F3936" s="534"/>
    </row>
    <row r="3937" spans="1:6" ht="15" customHeight="1">
      <c r="A3937" s="51"/>
      <c r="B3937" s="52" t="str">
        <f t="shared" si="216"/>
        <v/>
      </c>
      <c r="C3937" t="str">
        <f t="shared" si="215"/>
        <v/>
      </c>
      <c r="D3937" s="245" t="str">
        <f t="shared" si="217"/>
        <v/>
      </c>
      <c r="E3937" s="534"/>
      <c r="F3937" s="534"/>
    </row>
    <row r="3938" spans="1:6" ht="15" customHeight="1">
      <c r="A3938" s="51"/>
      <c r="B3938" s="52" t="str">
        <f t="shared" si="216"/>
        <v/>
      </c>
      <c r="C3938" t="str">
        <f t="shared" si="215"/>
        <v/>
      </c>
      <c r="D3938" s="245" t="str">
        <f t="shared" si="217"/>
        <v/>
      </c>
      <c r="E3938" s="534"/>
      <c r="F3938" s="534"/>
    </row>
    <row r="3939" spans="1:6" ht="15" customHeight="1">
      <c r="A3939" s="51"/>
      <c r="B3939" s="52" t="str">
        <f t="shared" si="216"/>
        <v/>
      </c>
      <c r="C3939" t="str">
        <f t="shared" si="215"/>
        <v/>
      </c>
      <c r="D3939" s="245" t="str">
        <f t="shared" si="217"/>
        <v/>
      </c>
      <c r="E3939" s="534"/>
      <c r="F3939" s="534"/>
    </row>
    <row r="3940" spans="1:6" ht="15" customHeight="1">
      <c r="A3940" s="51"/>
      <c r="B3940" s="52" t="str">
        <f t="shared" si="216"/>
        <v/>
      </c>
      <c r="C3940" t="str">
        <f t="shared" si="215"/>
        <v/>
      </c>
      <c r="D3940" s="245" t="str">
        <f t="shared" si="217"/>
        <v/>
      </c>
      <c r="E3940" s="534"/>
      <c r="F3940" s="534"/>
    </row>
    <row r="3941" spans="1:6" ht="15" customHeight="1">
      <c r="A3941" s="51"/>
      <c r="B3941" s="52" t="str">
        <f t="shared" si="216"/>
        <v/>
      </c>
      <c r="C3941" t="str">
        <f t="shared" si="215"/>
        <v/>
      </c>
      <c r="D3941" s="245" t="str">
        <f t="shared" si="217"/>
        <v/>
      </c>
      <c r="E3941" s="534"/>
      <c r="F3941" s="534"/>
    </row>
    <row r="3942" spans="1:6" ht="15" customHeight="1">
      <c r="A3942" s="51"/>
      <c r="B3942" s="52" t="str">
        <f t="shared" si="216"/>
        <v/>
      </c>
      <c r="C3942" t="str">
        <f t="shared" si="215"/>
        <v/>
      </c>
      <c r="D3942" s="245" t="str">
        <f t="shared" si="217"/>
        <v/>
      </c>
      <c r="E3942" s="534"/>
      <c r="F3942" s="534"/>
    </row>
    <row r="3943" spans="1:6" ht="15" customHeight="1">
      <c r="A3943" s="51"/>
      <c r="B3943" s="52" t="str">
        <f t="shared" si="216"/>
        <v/>
      </c>
      <c r="C3943" t="str">
        <f t="shared" si="215"/>
        <v/>
      </c>
      <c r="D3943" s="245" t="str">
        <f t="shared" si="217"/>
        <v/>
      </c>
      <c r="E3943" s="534"/>
      <c r="F3943" s="534"/>
    </row>
    <row r="3944" spans="1:6" ht="15" customHeight="1">
      <c r="A3944" s="51"/>
      <c r="B3944" s="52" t="str">
        <f t="shared" si="216"/>
        <v/>
      </c>
      <c r="C3944" t="str">
        <f t="shared" si="215"/>
        <v/>
      </c>
      <c r="D3944" s="245" t="str">
        <f t="shared" si="217"/>
        <v/>
      </c>
      <c r="E3944" s="534"/>
      <c r="F3944" s="534"/>
    </row>
    <row r="3945" spans="1:6" ht="15" customHeight="1">
      <c r="A3945" s="51"/>
      <c r="B3945" s="52" t="str">
        <f t="shared" si="216"/>
        <v/>
      </c>
      <c r="C3945" t="str">
        <f t="shared" si="215"/>
        <v/>
      </c>
      <c r="D3945" s="245" t="str">
        <f t="shared" si="217"/>
        <v/>
      </c>
      <c r="E3945" s="534"/>
      <c r="F3945" s="534"/>
    </row>
    <row r="3946" spans="1:6" ht="15" customHeight="1">
      <c r="A3946" s="51"/>
      <c r="B3946" s="52" t="str">
        <f t="shared" si="216"/>
        <v/>
      </c>
      <c r="C3946" t="str">
        <f t="shared" si="215"/>
        <v/>
      </c>
      <c r="D3946" s="245" t="str">
        <f t="shared" si="217"/>
        <v/>
      </c>
      <c r="E3946" s="534"/>
      <c r="F3946" s="534"/>
    </row>
    <row r="3947" spans="1:6" ht="15" customHeight="1">
      <c r="A3947" s="51"/>
      <c r="B3947" s="52" t="str">
        <f t="shared" si="216"/>
        <v/>
      </c>
      <c r="C3947" t="str">
        <f t="shared" si="215"/>
        <v/>
      </c>
      <c r="D3947" s="245" t="str">
        <f t="shared" si="217"/>
        <v/>
      </c>
      <c r="E3947" s="534"/>
      <c r="F3947" s="534"/>
    </row>
    <row r="3948" spans="1:6" ht="15" customHeight="1">
      <c r="A3948" s="51"/>
      <c r="B3948" s="52" t="str">
        <f t="shared" si="216"/>
        <v/>
      </c>
      <c r="C3948" t="str">
        <f t="shared" si="215"/>
        <v/>
      </c>
      <c r="D3948" s="245" t="str">
        <f t="shared" si="217"/>
        <v/>
      </c>
      <c r="E3948" s="534"/>
      <c r="F3948" s="534"/>
    </row>
    <row r="3949" spans="1:6" ht="15" customHeight="1">
      <c r="A3949" s="51"/>
      <c r="B3949" s="52" t="str">
        <f t="shared" si="216"/>
        <v/>
      </c>
      <c r="C3949" t="str">
        <f t="shared" si="215"/>
        <v/>
      </c>
      <c r="D3949" s="245" t="str">
        <f t="shared" si="217"/>
        <v/>
      </c>
      <c r="E3949" s="534"/>
      <c r="F3949" s="534"/>
    </row>
    <row r="3950" spans="1:6" ht="15" customHeight="1">
      <c r="A3950" s="51"/>
      <c r="B3950" s="52" t="str">
        <f t="shared" si="216"/>
        <v/>
      </c>
      <c r="C3950" t="str">
        <f t="shared" si="215"/>
        <v/>
      </c>
      <c r="D3950" s="245" t="str">
        <f t="shared" si="217"/>
        <v/>
      </c>
      <c r="E3950" s="534"/>
      <c r="F3950" s="534"/>
    </row>
    <row r="3951" spans="1:6" ht="15" customHeight="1">
      <c r="A3951" s="51"/>
      <c r="B3951" s="52" t="str">
        <f t="shared" si="216"/>
        <v/>
      </c>
      <c r="C3951" t="str">
        <f t="shared" si="215"/>
        <v/>
      </c>
      <c r="D3951" s="245" t="str">
        <f t="shared" si="217"/>
        <v/>
      </c>
      <c r="E3951" s="534"/>
      <c r="F3951" s="534"/>
    </row>
    <row r="3952" spans="1:6" ht="15" customHeight="1">
      <c r="A3952" s="51"/>
      <c r="B3952" s="52" t="str">
        <f t="shared" si="216"/>
        <v/>
      </c>
      <c r="C3952" t="str">
        <f t="shared" si="215"/>
        <v/>
      </c>
      <c r="D3952" s="245" t="str">
        <f t="shared" si="217"/>
        <v/>
      </c>
      <c r="E3952" s="534"/>
      <c r="F3952" s="534"/>
    </row>
    <row r="3953" spans="1:6" ht="15" customHeight="1">
      <c r="A3953" s="51"/>
      <c r="B3953" s="52" t="str">
        <f t="shared" si="216"/>
        <v/>
      </c>
      <c r="C3953" t="str">
        <f t="shared" si="215"/>
        <v/>
      </c>
      <c r="D3953" s="245" t="str">
        <f t="shared" si="217"/>
        <v/>
      </c>
      <c r="E3953" s="534"/>
      <c r="F3953" s="534"/>
    </row>
    <row r="3954" spans="1:6" ht="15" customHeight="1">
      <c r="A3954" s="51"/>
      <c r="B3954" s="52" t="str">
        <f t="shared" si="216"/>
        <v/>
      </c>
      <c r="C3954" t="str">
        <f t="shared" si="215"/>
        <v/>
      </c>
      <c r="D3954" s="245" t="str">
        <f t="shared" si="217"/>
        <v/>
      </c>
      <c r="E3954" s="534"/>
      <c r="F3954" s="534"/>
    </row>
    <row r="3955" spans="1:6" ht="15" customHeight="1">
      <c r="A3955" s="51"/>
      <c r="B3955" s="52" t="str">
        <f t="shared" si="216"/>
        <v/>
      </c>
      <c r="C3955" t="str">
        <f t="shared" si="215"/>
        <v/>
      </c>
      <c r="D3955" s="245" t="str">
        <f t="shared" si="217"/>
        <v/>
      </c>
      <c r="E3955" s="534"/>
      <c r="F3955" s="534"/>
    </row>
    <row r="3956" spans="1:6" ht="15" customHeight="1">
      <c r="A3956" s="51"/>
      <c r="B3956" s="52" t="str">
        <f t="shared" si="216"/>
        <v/>
      </c>
      <c r="C3956" t="str">
        <f t="shared" si="215"/>
        <v/>
      </c>
      <c r="D3956" s="245" t="str">
        <f t="shared" si="217"/>
        <v/>
      </c>
      <c r="E3956" s="534"/>
      <c r="F3956" s="534"/>
    </row>
    <row r="3957" spans="1:6" ht="15" customHeight="1">
      <c r="A3957" s="51"/>
      <c r="B3957" s="52" t="str">
        <f t="shared" si="216"/>
        <v/>
      </c>
      <c r="C3957" t="str">
        <f t="shared" si="215"/>
        <v/>
      </c>
      <c r="D3957" s="245" t="str">
        <f t="shared" si="217"/>
        <v/>
      </c>
      <c r="E3957" s="534"/>
      <c r="F3957" s="534"/>
    </row>
    <row r="3958" spans="1:6" ht="15" customHeight="1">
      <c r="A3958" s="51"/>
      <c r="B3958" s="52" t="str">
        <f t="shared" si="216"/>
        <v/>
      </c>
      <c r="C3958" t="str">
        <f t="shared" si="215"/>
        <v/>
      </c>
      <c r="D3958" s="245" t="str">
        <f t="shared" si="217"/>
        <v/>
      </c>
      <c r="E3958" s="534"/>
      <c r="F3958" s="534"/>
    </row>
    <row r="3959" spans="1:6" ht="15" customHeight="1">
      <c r="A3959" s="51"/>
      <c r="B3959" s="52" t="str">
        <f t="shared" si="216"/>
        <v/>
      </c>
      <c r="C3959" t="str">
        <f t="shared" si="215"/>
        <v/>
      </c>
      <c r="D3959" s="245" t="str">
        <f t="shared" si="217"/>
        <v/>
      </c>
      <c r="E3959" s="534"/>
      <c r="F3959" s="534"/>
    </row>
    <row r="3960" spans="1:6" ht="15" customHeight="1">
      <c r="A3960" s="51"/>
      <c r="B3960" s="52" t="str">
        <f t="shared" si="216"/>
        <v/>
      </c>
      <c r="C3960" t="str">
        <f t="shared" si="215"/>
        <v/>
      </c>
      <c r="D3960" s="245" t="str">
        <f t="shared" si="217"/>
        <v/>
      </c>
      <c r="E3960" s="534"/>
      <c r="F3960" s="534"/>
    </row>
    <row r="3961" spans="1:6" ht="15" customHeight="1">
      <c r="A3961" s="51"/>
      <c r="B3961" s="52" t="str">
        <f t="shared" si="216"/>
        <v/>
      </c>
      <c r="C3961" t="str">
        <f t="shared" si="215"/>
        <v/>
      </c>
      <c r="D3961" s="245" t="str">
        <f t="shared" si="217"/>
        <v/>
      </c>
      <c r="E3961" s="534"/>
      <c r="F3961" s="534"/>
    </row>
    <row r="3962" spans="1:6" ht="15" customHeight="1">
      <c r="A3962" s="51"/>
      <c r="B3962" s="52" t="str">
        <f t="shared" si="216"/>
        <v/>
      </c>
      <c r="C3962" t="str">
        <f t="shared" si="215"/>
        <v/>
      </c>
      <c r="D3962" s="245" t="str">
        <f t="shared" si="217"/>
        <v/>
      </c>
      <c r="E3962" s="534"/>
      <c r="F3962" s="534"/>
    </row>
    <row r="3963" spans="1:6" ht="15" customHeight="1">
      <c r="A3963" s="51"/>
      <c r="B3963" s="52" t="str">
        <f t="shared" si="216"/>
        <v/>
      </c>
      <c r="C3963" t="str">
        <f t="shared" si="215"/>
        <v/>
      </c>
      <c r="D3963" s="245" t="str">
        <f t="shared" si="217"/>
        <v/>
      </c>
      <c r="E3963" s="534"/>
      <c r="F3963" s="534"/>
    </row>
    <row r="3964" spans="1:6" ht="15" customHeight="1">
      <c r="A3964" s="51"/>
      <c r="B3964" s="52" t="str">
        <f t="shared" si="216"/>
        <v/>
      </c>
      <c r="C3964" t="str">
        <f t="shared" si="215"/>
        <v/>
      </c>
      <c r="D3964" s="245" t="str">
        <f t="shared" si="217"/>
        <v/>
      </c>
      <c r="E3964" s="534"/>
      <c r="F3964" s="534"/>
    </row>
    <row r="3965" spans="1:6" ht="15" customHeight="1">
      <c r="A3965" s="51"/>
      <c r="B3965" s="52" t="str">
        <f t="shared" si="216"/>
        <v/>
      </c>
      <c r="C3965" t="str">
        <f t="shared" si="215"/>
        <v/>
      </c>
      <c r="D3965" s="245" t="str">
        <f t="shared" si="217"/>
        <v/>
      </c>
      <c r="E3965" s="534"/>
      <c r="F3965" s="534"/>
    </row>
    <row r="3966" spans="1:6" ht="15" customHeight="1">
      <c r="A3966" s="51"/>
      <c r="B3966" s="52" t="str">
        <f t="shared" si="216"/>
        <v/>
      </c>
      <c r="C3966" t="str">
        <f t="shared" si="215"/>
        <v/>
      </c>
      <c r="D3966" s="245" t="str">
        <f t="shared" si="217"/>
        <v/>
      </c>
      <c r="E3966" s="534"/>
      <c r="F3966" s="534"/>
    </row>
    <row r="3967" spans="1:6" ht="15" customHeight="1">
      <c r="A3967" s="51"/>
      <c r="B3967" s="52" t="str">
        <f t="shared" si="216"/>
        <v/>
      </c>
      <c r="C3967" t="str">
        <f t="shared" si="215"/>
        <v/>
      </c>
      <c r="D3967" s="245" t="str">
        <f t="shared" si="217"/>
        <v/>
      </c>
      <c r="E3967" s="534"/>
      <c r="F3967" s="534"/>
    </row>
    <row r="3968" spans="1:6" ht="15" customHeight="1">
      <c r="A3968" s="51"/>
      <c r="B3968" s="52" t="str">
        <f t="shared" si="216"/>
        <v/>
      </c>
      <c r="C3968" t="str">
        <f t="shared" si="215"/>
        <v/>
      </c>
      <c r="D3968" s="245" t="str">
        <f t="shared" si="217"/>
        <v/>
      </c>
      <c r="E3968" s="534"/>
      <c r="F3968" s="534"/>
    </row>
    <row r="3969" spans="1:6" ht="15" customHeight="1">
      <c r="A3969" s="51"/>
      <c r="B3969" s="52" t="str">
        <f t="shared" si="216"/>
        <v/>
      </c>
      <c r="C3969" t="str">
        <f t="shared" si="215"/>
        <v/>
      </c>
      <c r="D3969" s="245" t="str">
        <f t="shared" si="217"/>
        <v/>
      </c>
      <c r="E3969" s="534"/>
      <c r="F3969" s="534"/>
    </row>
    <row r="3970" spans="1:6" ht="15" customHeight="1">
      <c r="A3970" s="51"/>
      <c r="B3970" s="52" t="str">
        <f t="shared" si="216"/>
        <v/>
      </c>
      <c r="C3970" t="str">
        <f t="shared" ref="C3970:C4033" si="218">IF(A3970&lt;&gt;"",TEXT(A3970,"aaaa"),"")</f>
        <v/>
      </c>
      <c r="D3970" s="245" t="str">
        <f t="shared" si="217"/>
        <v/>
      </c>
      <c r="E3970" s="534"/>
      <c r="F3970" s="534"/>
    </row>
    <row r="3971" spans="1:6" ht="15" customHeight="1">
      <c r="A3971" s="51"/>
      <c r="B3971" s="52" t="str">
        <f t="shared" si="216"/>
        <v/>
      </c>
      <c r="C3971" t="str">
        <f t="shared" si="218"/>
        <v/>
      </c>
      <c r="D3971" s="245" t="str">
        <f t="shared" si="217"/>
        <v/>
      </c>
      <c r="E3971" s="534"/>
      <c r="F3971" s="534"/>
    </row>
    <row r="3972" spans="1:6" ht="15" customHeight="1">
      <c r="A3972" s="51"/>
      <c r="B3972" s="52" t="str">
        <f t="shared" si="216"/>
        <v/>
      </c>
      <c r="C3972" t="str">
        <f t="shared" si="218"/>
        <v/>
      </c>
      <c r="D3972" s="245" t="str">
        <f t="shared" si="217"/>
        <v/>
      </c>
      <c r="E3972" s="534"/>
      <c r="F3972" s="534"/>
    </row>
    <row r="3973" spans="1:6" ht="15" customHeight="1">
      <c r="A3973" s="51"/>
      <c r="B3973" s="52" t="str">
        <f t="shared" si="216"/>
        <v/>
      </c>
      <c r="C3973" t="str">
        <f t="shared" si="218"/>
        <v/>
      </c>
      <c r="D3973" s="245" t="str">
        <f t="shared" si="217"/>
        <v/>
      </c>
      <c r="E3973" s="534"/>
      <c r="F3973" s="534"/>
    </row>
    <row r="3974" spans="1:6" ht="15" customHeight="1">
      <c r="A3974" s="51"/>
      <c r="B3974" s="52" t="str">
        <f t="shared" si="216"/>
        <v/>
      </c>
      <c r="C3974" t="str">
        <f t="shared" si="218"/>
        <v/>
      </c>
      <c r="D3974" s="245" t="str">
        <f t="shared" si="217"/>
        <v/>
      </c>
      <c r="E3974" s="534"/>
      <c r="F3974" s="534"/>
    </row>
    <row r="3975" spans="1:6" ht="15" customHeight="1">
      <c r="A3975" s="51"/>
      <c r="B3975" s="52" t="str">
        <f t="shared" si="216"/>
        <v/>
      </c>
      <c r="C3975" t="str">
        <f t="shared" si="218"/>
        <v/>
      </c>
      <c r="D3975" s="245" t="str">
        <f t="shared" si="217"/>
        <v/>
      </c>
      <c r="E3975" s="534"/>
      <c r="F3975" s="534"/>
    </row>
    <row r="3976" spans="1:6" ht="15" customHeight="1">
      <c r="A3976" s="51"/>
      <c r="B3976" s="52" t="str">
        <f t="shared" ref="B3976:B4039" si="219">IF(A3976="","",TEXT(A3976,"DDDD"))</f>
        <v/>
      </c>
      <c r="C3976" t="str">
        <f t="shared" si="218"/>
        <v/>
      </c>
      <c r="D3976" s="245" t="str">
        <f t="shared" si="217"/>
        <v/>
      </c>
      <c r="E3976" s="534"/>
      <c r="F3976" s="534"/>
    </row>
    <row r="3977" spans="1:6" ht="15" customHeight="1">
      <c r="A3977" s="51"/>
      <c r="B3977" s="52" t="str">
        <f t="shared" si="219"/>
        <v/>
      </c>
      <c r="C3977" t="str">
        <f t="shared" si="218"/>
        <v/>
      </c>
      <c r="D3977" s="245" t="str">
        <f t="shared" ref="D3977:D4040" si="220">IF(A3977&lt;&gt;"",PROPER(TEXT(A3977,"Mmmm")),"")</f>
        <v/>
      </c>
      <c r="E3977" s="534"/>
      <c r="F3977" s="534"/>
    </row>
    <row r="3978" spans="1:6" ht="15" customHeight="1">
      <c r="A3978" s="51"/>
      <c r="B3978" s="52" t="str">
        <f t="shared" si="219"/>
        <v/>
      </c>
      <c r="C3978" t="str">
        <f t="shared" si="218"/>
        <v/>
      </c>
      <c r="D3978" s="245" t="str">
        <f t="shared" si="220"/>
        <v/>
      </c>
      <c r="E3978" s="534"/>
      <c r="F3978" s="534"/>
    </row>
    <row r="3979" spans="1:6" ht="15" customHeight="1">
      <c r="A3979" s="51"/>
      <c r="B3979" s="52" t="str">
        <f t="shared" si="219"/>
        <v/>
      </c>
      <c r="C3979" t="str">
        <f t="shared" si="218"/>
        <v/>
      </c>
      <c r="D3979" s="245" t="str">
        <f t="shared" si="220"/>
        <v/>
      </c>
      <c r="E3979" s="534"/>
      <c r="F3979" s="534"/>
    </row>
    <row r="3980" spans="1:6" ht="15" customHeight="1">
      <c r="A3980" s="51"/>
      <c r="B3980" s="52" t="str">
        <f t="shared" si="219"/>
        <v/>
      </c>
      <c r="C3980" t="str">
        <f t="shared" si="218"/>
        <v/>
      </c>
      <c r="D3980" s="245" t="str">
        <f t="shared" si="220"/>
        <v/>
      </c>
      <c r="E3980" s="534"/>
      <c r="F3980" s="534"/>
    </row>
    <row r="3981" spans="1:6" ht="15" customHeight="1">
      <c r="A3981" s="51"/>
      <c r="B3981" s="52" t="str">
        <f t="shared" si="219"/>
        <v/>
      </c>
      <c r="C3981" t="str">
        <f t="shared" si="218"/>
        <v/>
      </c>
      <c r="D3981" s="245" t="str">
        <f t="shared" si="220"/>
        <v/>
      </c>
      <c r="E3981" s="534"/>
      <c r="F3981" s="534"/>
    </row>
    <row r="3982" spans="1:6" ht="15" customHeight="1">
      <c r="A3982" s="51"/>
      <c r="B3982" s="52" t="str">
        <f t="shared" si="219"/>
        <v/>
      </c>
      <c r="C3982" t="str">
        <f t="shared" si="218"/>
        <v/>
      </c>
      <c r="D3982" s="245" t="str">
        <f t="shared" si="220"/>
        <v/>
      </c>
      <c r="E3982" s="534"/>
      <c r="F3982" s="534"/>
    </row>
    <row r="3983" spans="1:6" ht="15" customHeight="1">
      <c r="A3983" s="51"/>
      <c r="B3983" s="52" t="str">
        <f t="shared" si="219"/>
        <v/>
      </c>
      <c r="C3983" t="str">
        <f t="shared" si="218"/>
        <v/>
      </c>
      <c r="D3983" s="245" t="str">
        <f t="shared" si="220"/>
        <v/>
      </c>
      <c r="E3983" s="534"/>
      <c r="F3983" s="534"/>
    </row>
    <row r="3984" spans="1:6" ht="15" customHeight="1">
      <c r="A3984" s="51"/>
      <c r="B3984" s="52" t="str">
        <f t="shared" si="219"/>
        <v/>
      </c>
      <c r="C3984" t="str">
        <f t="shared" si="218"/>
        <v/>
      </c>
      <c r="D3984" s="245" t="str">
        <f t="shared" si="220"/>
        <v/>
      </c>
      <c r="E3984" s="534"/>
      <c r="F3984" s="534"/>
    </row>
    <row r="3985" spans="1:6" ht="15" customHeight="1">
      <c r="A3985" s="51"/>
      <c r="B3985" s="52" t="str">
        <f t="shared" si="219"/>
        <v/>
      </c>
      <c r="C3985" t="str">
        <f t="shared" si="218"/>
        <v/>
      </c>
      <c r="D3985" s="245" t="str">
        <f t="shared" si="220"/>
        <v/>
      </c>
      <c r="E3985" s="534"/>
      <c r="F3985" s="534"/>
    </row>
    <row r="3986" spans="1:6" ht="15" customHeight="1">
      <c r="A3986" s="51"/>
      <c r="B3986" s="52" t="str">
        <f t="shared" si="219"/>
        <v/>
      </c>
      <c r="C3986" t="str">
        <f t="shared" si="218"/>
        <v/>
      </c>
      <c r="D3986" s="245" t="str">
        <f t="shared" si="220"/>
        <v/>
      </c>
      <c r="E3986" s="534"/>
      <c r="F3986" s="534"/>
    </row>
    <row r="3987" spans="1:6" ht="15" customHeight="1">
      <c r="A3987" s="51"/>
      <c r="B3987" s="52" t="str">
        <f t="shared" si="219"/>
        <v/>
      </c>
      <c r="C3987" t="str">
        <f t="shared" si="218"/>
        <v/>
      </c>
      <c r="D3987" s="245" t="str">
        <f t="shared" si="220"/>
        <v/>
      </c>
      <c r="E3987" s="534"/>
      <c r="F3987" s="534"/>
    </row>
    <row r="3988" spans="1:6" ht="15" customHeight="1">
      <c r="A3988" s="51"/>
      <c r="B3988" s="52" t="str">
        <f t="shared" si="219"/>
        <v/>
      </c>
      <c r="C3988" t="str">
        <f t="shared" si="218"/>
        <v/>
      </c>
      <c r="D3988" s="245" t="str">
        <f t="shared" si="220"/>
        <v/>
      </c>
      <c r="E3988" s="534"/>
      <c r="F3988" s="534"/>
    </row>
    <row r="3989" spans="1:6" ht="15" customHeight="1">
      <c r="A3989" s="51"/>
      <c r="B3989" s="52" t="str">
        <f t="shared" si="219"/>
        <v/>
      </c>
      <c r="C3989" t="str">
        <f t="shared" si="218"/>
        <v/>
      </c>
      <c r="D3989" s="245" t="str">
        <f t="shared" si="220"/>
        <v/>
      </c>
      <c r="E3989" s="534"/>
      <c r="F3989" s="534"/>
    </row>
    <row r="3990" spans="1:6" ht="15" customHeight="1">
      <c r="A3990" s="51"/>
      <c r="B3990" s="52" t="str">
        <f t="shared" si="219"/>
        <v/>
      </c>
      <c r="C3990" t="str">
        <f t="shared" si="218"/>
        <v/>
      </c>
      <c r="D3990" s="245" t="str">
        <f t="shared" si="220"/>
        <v/>
      </c>
      <c r="E3990" s="534"/>
      <c r="F3990" s="534"/>
    </row>
    <row r="3991" spans="1:6" ht="15" customHeight="1">
      <c r="A3991" s="51"/>
      <c r="B3991" s="52" t="str">
        <f t="shared" si="219"/>
        <v/>
      </c>
      <c r="C3991" t="str">
        <f t="shared" si="218"/>
        <v/>
      </c>
      <c r="D3991" s="245" t="str">
        <f t="shared" si="220"/>
        <v/>
      </c>
      <c r="E3991" s="534"/>
      <c r="F3991" s="534"/>
    </row>
    <row r="3992" spans="1:6" ht="15" customHeight="1">
      <c r="A3992" s="51"/>
      <c r="B3992" s="52" t="str">
        <f t="shared" si="219"/>
        <v/>
      </c>
      <c r="C3992" t="str">
        <f t="shared" si="218"/>
        <v/>
      </c>
      <c r="D3992" s="245" t="str">
        <f t="shared" si="220"/>
        <v/>
      </c>
      <c r="E3992" s="534"/>
      <c r="F3992" s="534"/>
    </row>
    <row r="3993" spans="1:6" ht="15" customHeight="1">
      <c r="A3993" s="51"/>
      <c r="B3993" s="52" t="str">
        <f t="shared" si="219"/>
        <v/>
      </c>
      <c r="C3993" t="str">
        <f t="shared" si="218"/>
        <v/>
      </c>
      <c r="D3993" s="245" t="str">
        <f t="shared" si="220"/>
        <v/>
      </c>
      <c r="E3993" s="534"/>
      <c r="F3993" s="534"/>
    </row>
    <row r="3994" spans="1:6" ht="15" customHeight="1">
      <c r="A3994" s="51"/>
      <c r="B3994" s="52" t="str">
        <f t="shared" si="219"/>
        <v/>
      </c>
      <c r="C3994" t="str">
        <f t="shared" si="218"/>
        <v/>
      </c>
      <c r="D3994" s="245" t="str">
        <f t="shared" si="220"/>
        <v/>
      </c>
      <c r="E3994" s="534"/>
      <c r="F3994" s="534"/>
    </row>
    <row r="3995" spans="1:6" ht="15" customHeight="1">
      <c r="A3995" s="51"/>
      <c r="B3995" s="52" t="str">
        <f t="shared" si="219"/>
        <v/>
      </c>
      <c r="C3995" t="str">
        <f t="shared" si="218"/>
        <v/>
      </c>
      <c r="D3995" s="245" t="str">
        <f t="shared" si="220"/>
        <v/>
      </c>
      <c r="E3995" s="534"/>
      <c r="F3995" s="534"/>
    </row>
    <row r="3996" spans="1:6" ht="15" customHeight="1">
      <c r="A3996" s="51"/>
      <c r="B3996" s="52" t="str">
        <f t="shared" si="219"/>
        <v/>
      </c>
      <c r="C3996" t="str">
        <f t="shared" si="218"/>
        <v/>
      </c>
      <c r="D3996" s="245" t="str">
        <f t="shared" si="220"/>
        <v/>
      </c>
      <c r="E3996" s="534"/>
      <c r="F3996" s="534"/>
    </row>
    <row r="3997" spans="1:6" ht="15" customHeight="1">
      <c r="A3997" s="51"/>
      <c r="B3997" s="52" t="str">
        <f t="shared" si="219"/>
        <v/>
      </c>
      <c r="C3997" t="str">
        <f t="shared" si="218"/>
        <v/>
      </c>
      <c r="D3997" s="245" t="str">
        <f t="shared" si="220"/>
        <v/>
      </c>
      <c r="E3997" s="534"/>
      <c r="F3997" s="534"/>
    </row>
    <row r="3998" spans="1:6" ht="15" customHeight="1">
      <c r="A3998" s="51"/>
      <c r="B3998" s="52" t="str">
        <f t="shared" si="219"/>
        <v/>
      </c>
      <c r="C3998" t="str">
        <f t="shared" si="218"/>
        <v/>
      </c>
      <c r="D3998" s="245" t="str">
        <f t="shared" si="220"/>
        <v/>
      </c>
      <c r="E3998" s="534"/>
      <c r="F3998" s="534"/>
    </row>
    <row r="3999" spans="1:6" ht="15" customHeight="1">
      <c r="A3999" s="51"/>
      <c r="B3999" s="52" t="str">
        <f t="shared" si="219"/>
        <v/>
      </c>
      <c r="C3999" t="str">
        <f t="shared" si="218"/>
        <v/>
      </c>
      <c r="D3999" s="245" t="str">
        <f t="shared" si="220"/>
        <v/>
      </c>
      <c r="E3999" s="534"/>
      <c r="F3999" s="534"/>
    </row>
    <row r="4000" spans="1:6" ht="15" customHeight="1">
      <c r="A4000" s="51"/>
      <c r="B4000" s="52" t="str">
        <f t="shared" si="219"/>
        <v/>
      </c>
      <c r="C4000" t="str">
        <f t="shared" si="218"/>
        <v/>
      </c>
      <c r="D4000" s="245" t="str">
        <f t="shared" si="220"/>
        <v/>
      </c>
      <c r="E4000" s="534"/>
      <c r="F4000" s="534"/>
    </row>
    <row r="4001" spans="1:6" ht="15" customHeight="1">
      <c r="A4001" s="51"/>
      <c r="B4001" s="52" t="str">
        <f t="shared" si="219"/>
        <v/>
      </c>
      <c r="C4001" t="str">
        <f t="shared" si="218"/>
        <v/>
      </c>
      <c r="D4001" s="245" t="str">
        <f t="shared" si="220"/>
        <v/>
      </c>
      <c r="E4001" s="534"/>
      <c r="F4001" s="534"/>
    </row>
    <row r="4002" spans="1:6" ht="15" customHeight="1">
      <c r="A4002" s="51"/>
      <c r="B4002" s="52" t="str">
        <f t="shared" si="219"/>
        <v/>
      </c>
      <c r="C4002" t="str">
        <f t="shared" si="218"/>
        <v/>
      </c>
      <c r="D4002" s="245" t="str">
        <f t="shared" si="220"/>
        <v/>
      </c>
      <c r="E4002" s="534"/>
      <c r="F4002" s="534"/>
    </row>
    <row r="4003" spans="1:6" ht="15" customHeight="1">
      <c r="A4003" s="51"/>
      <c r="B4003" s="52" t="str">
        <f t="shared" si="219"/>
        <v/>
      </c>
      <c r="C4003" t="str">
        <f t="shared" si="218"/>
        <v/>
      </c>
      <c r="D4003" s="245" t="str">
        <f t="shared" si="220"/>
        <v/>
      </c>
      <c r="E4003" s="534"/>
      <c r="F4003" s="534"/>
    </row>
    <row r="4004" spans="1:6" ht="15" customHeight="1">
      <c r="A4004" s="51"/>
      <c r="B4004" s="52" t="str">
        <f t="shared" si="219"/>
        <v/>
      </c>
      <c r="C4004" t="str">
        <f t="shared" si="218"/>
        <v/>
      </c>
      <c r="D4004" s="245" t="str">
        <f t="shared" si="220"/>
        <v/>
      </c>
      <c r="E4004" s="534"/>
      <c r="F4004" s="534"/>
    </row>
    <row r="4005" spans="1:6" ht="15" customHeight="1">
      <c r="A4005" s="51"/>
      <c r="B4005" s="52" t="str">
        <f t="shared" si="219"/>
        <v/>
      </c>
      <c r="C4005" t="str">
        <f t="shared" si="218"/>
        <v/>
      </c>
      <c r="D4005" s="245" t="str">
        <f t="shared" si="220"/>
        <v/>
      </c>
      <c r="E4005" s="534"/>
      <c r="F4005" s="534"/>
    </row>
    <row r="4006" spans="1:6" ht="15" customHeight="1">
      <c r="A4006" s="51"/>
      <c r="B4006" s="52" t="str">
        <f t="shared" si="219"/>
        <v/>
      </c>
      <c r="C4006" t="str">
        <f t="shared" si="218"/>
        <v/>
      </c>
      <c r="D4006" s="245" t="str">
        <f t="shared" si="220"/>
        <v/>
      </c>
      <c r="E4006" s="534"/>
      <c r="F4006" s="534"/>
    </row>
    <row r="4007" spans="1:6" ht="15" customHeight="1">
      <c r="A4007" s="51"/>
      <c r="B4007" s="52" t="str">
        <f t="shared" si="219"/>
        <v/>
      </c>
      <c r="C4007" t="str">
        <f t="shared" si="218"/>
        <v/>
      </c>
      <c r="D4007" s="245" t="str">
        <f t="shared" si="220"/>
        <v/>
      </c>
      <c r="E4007" s="534"/>
      <c r="F4007" s="534"/>
    </row>
    <row r="4008" spans="1:6" ht="15" customHeight="1">
      <c r="A4008" s="51"/>
      <c r="B4008" s="52" t="str">
        <f t="shared" si="219"/>
        <v/>
      </c>
      <c r="C4008" t="str">
        <f t="shared" si="218"/>
        <v/>
      </c>
      <c r="D4008" s="245" t="str">
        <f t="shared" si="220"/>
        <v/>
      </c>
      <c r="E4008" s="534"/>
      <c r="F4008" s="534"/>
    </row>
    <row r="4009" spans="1:6" ht="15" customHeight="1">
      <c r="A4009" s="51"/>
      <c r="B4009" s="52" t="str">
        <f t="shared" si="219"/>
        <v/>
      </c>
      <c r="C4009" t="str">
        <f t="shared" si="218"/>
        <v/>
      </c>
      <c r="D4009" s="245" t="str">
        <f t="shared" si="220"/>
        <v/>
      </c>
      <c r="E4009" s="534"/>
      <c r="F4009" s="534"/>
    </row>
    <row r="4010" spans="1:6" ht="15" customHeight="1">
      <c r="A4010" s="51"/>
      <c r="B4010" s="52" t="str">
        <f t="shared" si="219"/>
        <v/>
      </c>
      <c r="C4010" t="str">
        <f t="shared" si="218"/>
        <v/>
      </c>
      <c r="D4010" s="245" t="str">
        <f t="shared" si="220"/>
        <v/>
      </c>
      <c r="E4010" s="534"/>
      <c r="F4010" s="534"/>
    </row>
    <row r="4011" spans="1:6" ht="15" customHeight="1">
      <c r="A4011" s="51"/>
      <c r="B4011" s="52" t="str">
        <f t="shared" si="219"/>
        <v/>
      </c>
      <c r="C4011" t="str">
        <f t="shared" si="218"/>
        <v/>
      </c>
      <c r="D4011" s="245" t="str">
        <f t="shared" si="220"/>
        <v/>
      </c>
      <c r="E4011" s="534"/>
      <c r="F4011" s="534"/>
    </row>
    <row r="4012" spans="1:6" ht="15" customHeight="1">
      <c r="A4012" s="51"/>
      <c r="B4012" s="52" t="str">
        <f t="shared" si="219"/>
        <v/>
      </c>
      <c r="C4012" t="str">
        <f t="shared" si="218"/>
        <v/>
      </c>
      <c r="D4012" s="245" t="str">
        <f t="shared" si="220"/>
        <v/>
      </c>
      <c r="E4012" s="534"/>
      <c r="F4012" s="534"/>
    </row>
    <row r="4013" spans="1:6" ht="15" customHeight="1">
      <c r="A4013" s="51"/>
      <c r="B4013" s="52" t="str">
        <f t="shared" si="219"/>
        <v/>
      </c>
      <c r="C4013" t="str">
        <f t="shared" si="218"/>
        <v/>
      </c>
      <c r="D4013" s="245" t="str">
        <f t="shared" si="220"/>
        <v/>
      </c>
      <c r="E4013" s="534"/>
      <c r="F4013" s="534"/>
    </row>
    <row r="4014" spans="1:6" ht="15" customHeight="1">
      <c r="A4014" s="51"/>
      <c r="B4014" s="52" t="str">
        <f t="shared" si="219"/>
        <v/>
      </c>
      <c r="C4014" t="str">
        <f t="shared" si="218"/>
        <v/>
      </c>
      <c r="D4014" s="245" t="str">
        <f t="shared" si="220"/>
        <v/>
      </c>
      <c r="E4014" s="534"/>
      <c r="F4014" s="534"/>
    </row>
    <row r="4015" spans="1:6" ht="15" customHeight="1">
      <c r="A4015" s="51"/>
      <c r="B4015" s="52" t="str">
        <f t="shared" si="219"/>
        <v/>
      </c>
      <c r="C4015" t="str">
        <f t="shared" si="218"/>
        <v/>
      </c>
      <c r="D4015" s="245" t="str">
        <f t="shared" si="220"/>
        <v/>
      </c>
      <c r="E4015" s="534"/>
      <c r="F4015" s="534"/>
    </row>
    <row r="4016" spans="1:6" ht="15" customHeight="1">
      <c r="A4016" s="51"/>
      <c r="B4016" s="52" t="str">
        <f t="shared" si="219"/>
        <v/>
      </c>
      <c r="C4016" t="str">
        <f t="shared" si="218"/>
        <v/>
      </c>
      <c r="D4016" s="245" t="str">
        <f t="shared" si="220"/>
        <v/>
      </c>
      <c r="E4016" s="534"/>
      <c r="F4016" s="534"/>
    </row>
    <row r="4017" spans="1:6" ht="15" customHeight="1">
      <c r="A4017" s="51"/>
      <c r="B4017" s="52" t="str">
        <f t="shared" si="219"/>
        <v/>
      </c>
      <c r="C4017" t="str">
        <f t="shared" si="218"/>
        <v/>
      </c>
      <c r="D4017" s="245" t="str">
        <f t="shared" si="220"/>
        <v/>
      </c>
      <c r="E4017" s="534"/>
      <c r="F4017" s="534"/>
    </row>
    <row r="4018" spans="1:6" ht="15" customHeight="1">
      <c r="A4018" s="51"/>
      <c r="B4018" s="52" t="str">
        <f t="shared" si="219"/>
        <v/>
      </c>
      <c r="C4018" t="str">
        <f t="shared" si="218"/>
        <v/>
      </c>
      <c r="D4018" s="245" t="str">
        <f t="shared" si="220"/>
        <v/>
      </c>
      <c r="E4018" s="534"/>
      <c r="F4018" s="534"/>
    </row>
    <row r="4019" spans="1:6" ht="15" customHeight="1">
      <c r="A4019" s="51"/>
      <c r="B4019" s="52" t="str">
        <f t="shared" si="219"/>
        <v/>
      </c>
      <c r="C4019" t="str">
        <f t="shared" si="218"/>
        <v/>
      </c>
      <c r="D4019" s="245" t="str">
        <f t="shared" si="220"/>
        <v/>
      </c>
      <c r="E4019" s="534"/>
      <c r="F4019" s="534"/>
    </row>
    <row r="4020" spans="1:6" ht="15" customHeight="1">
      <c r="A4020" s="51"/>
      <c r="B4020" s="52" t="str">
        <f t="shared" si="219"/>
        <v/>
      </c>
      <c r="C4020" t="str">
        <f t="shared" si="218"/>
        <v/>
      </c>
      <c r="D4020" s="245" t="str">
        <f t="shared" si="220"/>
        <v/>
      </c>
      <c r="E4020" s="534"/>
      <c r="F4020" s="534"/>
    </row>
    <row r="4021" spans="1:6" ht="15" customHeight="1">
      <c r="A4021" s="51"/>
      <c r="B4021" s="52" t="str">
        <f t="shared" si="219"/>
        <v/>
      </c>
      <c r="C4021" t="str">
        <f t="shared" si="218"/>
        <v/>
      </c>
      <c r="D4021" s="245" t="str">
        <f t="shared" si="220"/>
        <v/>
      </c>
      <c r="E4021" s="534"/>
      <c r="F4021" s="534"/>
    </row>
    <row r="4022" spans="1:6" ht="15" customHeight="1">
      <c r="A4022" s="51"/>
      <c r="B4022" s="52" t="str">
        <f t="shared" si="219"/>
        <v/>
      </c>
      <c r="C4022" t="str">
        <f t="shared" si="218"/>
        <v/>
      </c>
      <c r="D4022" s="245" t="str">
        <f t="shared" si="220"/>
        <v/>
      </c>
      <c r="E4022" s="534"/>
      <c r="F4022" s="534"/>
    </row>
    <row r="4023" spans="1:6" ht="15" customHeight="1">
      <c r="A4023" s="51"/>
      <c r="B4023" s="52" t="str">
        <f t="shared" si="219"/>
        <v/>
      </c>
      <c r="C4023" t="str">
        <f t="shared" si="218"/>
        <v/>
      </c>
      <c r="D4023" s="245" t="str">
        <f t="shared" si="220"/>
        <v/>
      </c>
      <c r="E4023" s="534"/>
      <c r="F4023" s="534"/>
    </row>
    <row r="4024" spans="1:6" ht="15" customHeight="1">
      <c r="A4024" s="51"/>
      <c r="B4024" s="52" t="str">
        <f t="shared" si="219"/>
        <v/>
      </c>
      <c r="C4024" t="str">
        <f t="shared" si="218"/>
        <v/>
      </c>
      <c r="D4024" s="245" t="str">
        <f t="shared" si="220"/>
        <v/>
      </c>
      <c r="E4024" s="534"/>
      <c r="F4024" s="534"/>
    </row>
    <row r="4025" spans="1:6" ht="15" customHeight="1">
      <c r="A4025" s="51"/>
      <c r="B4025" s="52" t="str">
        <f t="shared" si="219"/>
        <v/>
      </c>
      <c r="C4025" t="str">
        <f t="shared" si="218"/>
        <v/>
      </c>
      <c r="D4025" s="245" t="str">
        <f t="shared" si="220"/>
        <v/>
      </c>
      <c r="E4025" s="534"/>
      <c r="F4025" s="534"/>
    </row>
    <row r="4026" spans="1:6" ht="15" customHeight="1">
      <c r="A4026" s="51"/>
      <c r="B4026" s="52" t="str">
        <f t="shared" si="219"/>
        <v/>
      </c>
      <c r="C4026" t="str">
        <f t="shared" si="218"/>
        <v/>
      </c>
      <c r="D4026" s="245" t="str">
        <f t="shared" si="220"/>
        <v/>
      </c>
      <c r="E4026" s="534"/>
      <c r="F4026" s="534"/>
    </row>
    <row r="4027" spans="1:6" ht="15" customHeight="1">
      <c r="A4027" s="51"/>
      <c r="B4027" s="52" t="str">
        <f t="shared" si="219"/>
        <v/>
      </c>
      <c r="C4027" t="str">
        <f t="shared" si="218"/>
        <v/>
      </c>
      <c r="D4027" s="245" t="str">
        <f t="shared" si="220"/>
        <v/>
      </c>
      <c r="E4027" s="534"/>
      <c r="F4027" s="534"/>
    </row>
    <row r="4028" spans="1:6" ht="15" customHeight="1">
      <c r="A4028" s="51"/>
      <c r="B4028" s="52" t="str">
        <f t="shared" si="219"/>
        <v/>
      </c>
      <c r="C4028" t="str">
        <f t="shared" si="218"/>
        <v/>
      </c>
      <c r="D4028" s="245" t="str">
        <f t="shared" si="220"/>
        <v/>
      </c>
      <c r="E4028" s="534"/>
      <c r="F4028" s="534"/>
    </row>
    <row r="4029" spans="1:6" ht="15" customHeight="1">
      <c r="A4029" s="51"/>
      <c r="B4029" s="52" t="str">
        <f t="shared" si="219"/>
        <v/>
      </c>
      <c r="C4029" t="str">
        <f t="shared" si="218"/>
        <v/>
      </c>
      <c r="D4029" s="245" t="str">
        <f t="shared" si="220"/>
        <v/>
      </c>
      <c r="E4029" s="534"/>
      <c r="F4029" s="534"/>
    </row>
    <row r="4030" spans="1:6" ht="15" customHeight="1">
      <c r="A4030" s="51"/>
      <c r="B4030" s="52" t="str">
        <f t="shared" si="219"/>
        <v/>
      </c>
      <c r="C4030" t="str">
        <f t="shared" si="218"/>
        <v/>
      </c>
      <c r="D4030" s="245" t="str">
        <f t="shared" si="220"/>
        <v/>
      </c>
      <c r="E4030" s="534"/>
      <c r="F4030" s="534"/>
    </row>
    <row r="4031" spans="1:6" ht="15" customHeight="1">
      <c r="A4031" s="51"/>
      <c r="B4031" s="52" t="str">
        <f t="shared" si="219"/>
        <v/>
      </c>
      <c r="C4031" t="str">
        <f t="shared" si="218"/>
        <v/>
      </c>
      <c r="D4031" s="245" t="str">
        <f t="shared" si="220"/>
        <v/>
      </c>
      <c r="E4031" s="534"/>
      <c r="F4031" s="534"/>
    </row>
    <row r="4032" spans="1:6" ht="15" customHeight="1">
      <c r="A4032" s="51"/>
      <c r="B4032" s="52" t="str">
        <f t="shared" si="219"/>
        <v/>
      </c>
      <c r="C4032" t="str">
        <f t="shared" si="218"/>
        <v/>
      </c>
      <c r="D4032" s="245" t="str">
        <f t="shared" si="220"/>
        <v/>
      </c>
      <c r="E4032" s="534"/>
      <c r="F4032" s="534"/>
    </row>
    <row r="4033" spans="1:6" ht="15" customHeight="1">
      <c r="A4033" s="51"/>
      <c r="B4033" s="52" t="str">
        <f t="shared" si="219"/>
        <v/>
      </c>
      <c r="C4033" t="str">
        <f t="shared" si="218"/>
        <v/>
      </c>
      <c r="D4033" s="245" t="str">
        <f t="shared" si="220"/>
        <v/>
      </c>
      <c r="E4033" s="534"/>
      <c r="F4033" s="534"/>
    </row>
    <row r="4034" spans="1:6" ht="15" customHeight="1">
      <c r="A4034" s="51"/>
      <c r="B4034" s="52" t="str">
        <f t="shared" si="219"/>
        <v/>
      </c>
      <c r="C4034" t="str">
        <f t="shared" ref="C4034:C4097" si="221">IF(A4034&lt;&gt;"",TEXT(A4034,"aaaa"),"")</f>
        <v/>
      </c>
      <c r="D4034" s="245" t="str">
        <f t="shared" si="220"/>
        <v/>
      </c>
      <c r="E4034" s="534"/>
      <c r="F4034" s="534"/>
    </row>
    <row r="4035" spans="1:6" ht="15" customHeight="1">
      <c r="A4035" s="51"/>
      <c r="B4035" s="52" t="str">
        <f t="shared" si="219"/>
        <v/>
      </c>
      <c r="C4035" t="str">
        <f t="shared" si="221"/>
        <v/>
      </c>
      <c r="D4035" s="245" t="str">
        <f t="shared" si="220"/>
        <v/>
      </c>
      <c r="E4035" s="534"/>
      <c r="F4035" s="534"/>
    </row>
    <row r="4036" spans="1:6" ht="15" customHeight="1">
      <c r="A4036" s="51"/>
      <c r="B4036" s="52" t="str">
        <f t="shared" si="219"/>
        <v/>
      </c>
      <c r="C4036" t="str">
        <f t="shared" si="221"/>
        <v/>
      </c>
      <c r="D4036" s="245" t="str">
        <f t="shared" si="220"/>
        <v/>
      </c>
      <c r="E4036" s="534"/>
      <c r="F4036" s="534"/>
    </row>
    <row r="4037" spans="1:6" ht="15" customHeight="1">
      <c r="A4037" s="51"/>
      <c r="B4037" s="52" t="str">
        <f t="shared" si="219"/>
        <v/>
      </c>
      <c r="C4037" t="str">
        <f t="shared" si="221"/>
        <v/>
      </c>
      <c r="D4037" s="245" t="str">
        <f t="shared" si="220"/>
        <v/>
      </c>
      <c r="E4037" s="534"/>
      <c r="F4037" s="534"/>
    </row>
    <row r="4038" spans="1:6" ht="15" customHeight="1">
      <c r="A4038" s="51"/>
      <c r="B4038" s="52" t="str">
        <f t="shared" si="219"/>
        <v/>
      </c>
      <c r="C4038" t="str">
        <f t="shared" si="221"/>
        <v/>
      </c>
      <c r="D4038" s="245" t="str">
        <f t="shared" si="220"/>
        <v/>
      </c>
      <c r="E4038" s="534"/>
      <c r="F4038" s="534"/>
    </row>
    <row r="4039" spans="1:6" ht="15" customHeight="1">
      <c r="A4039" s="51"/>
      <c r="B4039" s="52" t="str">
        <f t="shared" si="219"/>
        <v/>
      </c>
      <c r="C4039" t="str">
        <f t="shared" si="221"/>
        <v/>
      </c>
      <c r="D4039" s="245" t="str">
        <f t="shared" si="220"/>
        <v/>
      </c>
      <c r="E4039" s="534"/>
      <c r="F4039" s="534"/>
    </row>
    <row r="4040" spans="1:6" ht="15" customHeight="1">
      <c r="A4040" s="51"/>
      <c r="B4040" s="52" t="str">
        <f t="shared" ref="B4040:B4103" si="222">IF(A4040="","",TEXT(A4040,"DDDD"))</f>
        <v/>
      </c>
      <c r="C4040" t="str">
        <f t="shared" si="221"/>
        <v/>
      </c>
      <c r="D4040" s="245" t="str">
        <f t="shared" si="220"/>
        <v/>
      </c>
      <c r="E4040" s="534"/>
      <c r="F4040" s="534"/>
    </row>
    <row r="4041" spans="1:6" ht="15" customHeight="1">
      <c r="A4041" s="51"/>
      <c r="B4041" s="52" t="str">
        <f t="shared" si="222"/>
        <v/>
      </c>
      <c r="C4041" t="str">
        <f t="shared" si="221"/>
        <v/>
      </c>
      <c r="D4041" s="245" t="str">
        <f t="shared" ref="D4041:D4104" si="223">IF(A4041&lt;&gt;"",PROPER(TEXT(A4041,"Mmmm")),"")</f>
        <v/>
      </c>
      <c r="E4041" s="534"/>
      <c r="F4041" s="534"/>
    </row>
    <row r="4042" spans="1:6" ht="15" customHeight="1">
      <c r="A4042" s="51"/>
      <c r="B4042" s="52" t="str">
        <f t="shared" si="222"/>
        <v/>
      </c>
      <c r="C4042" t="str">
        <f t="shared" si="221"/>
        <v/>
      </c>
      <c r="D4042" s="245" t="str">
        <f t="shared" si="223"/>
        <v/>
      </c>
      <c r="E4042" s="534"/>
      <c r="F4042" s="534"/>
    </row>
    <row r="4043" spans="1:6" ht="15" customHeight="1">
      <c r="A4043" s="51"/>
      <c r="B4043" s="52" t="str">
        <f t="shared" si="222"/>
        <v/>
      </c>
      <c r="C4043" t="str">
        <f t="shared" si="221"/>
        <v/>
      </c>
      <c r="D4043" s="245" t="str">
        <f t="shared" si="223"/>
        <v/>
      </c>
      <c r="E4043" s="534"/>
      <c r="F4043" s="534"/>
    </row>
    <row r="4044" spans="1:6" ht="15" customHeight="1">
      <c r="A4044" s="51"/>
      <c r="B4044" s="52" t="str">
        <f t="shared" si="222"/>
        <v/>
      </c>
      <c r="C4044" t="str">
        <f t="shared" si="221"/>
        <v/>
      </c>
      <c r="D4044" s="245" t="str">
        <f t="shared" si="223"/>
        <v/>
      </c>
      <c r="E4044" s="534"/>
      <c r="F4044" s="534"/>
    </row>
    <row r="4045" spans="1:6" ht="15" customHeight="1">
      <c r="A4045" s="51"/>
      <c r="B4045" s="52" t="str">
        <f t="shared" si="222"/>
        <v/>
      </c>
      <c r="C4045" t="str">
        <f t="shared" si="221"/>
        <v/>
      </c>
      <c r="D4045" s="245" t="str">
        <f t="shared" si="223"/>
        <v/>
      </c>
      <c r="E4045" s="534"/>
      <c r="F4045" s="534"/>
    </row>
    <row r="4046" spans="1:6" ht="15" customHeight="1">
      <c r="A4046" s="51"/>
      <c r="B4046" s="52" t="str">
        <f t="shared" si="222"/>
        <v/>
      </c>
      <c r="C4046" t="str">
        <f t="shared" si="221"/>
        <v/>
      </c>
      <c r="D4046" s="245" t="str">
        <f t="shared" si="223"/>
        <v/>
      </c>
      <c r="E4046" s="534"/>
      <c r="F4046" s="534"/>
    </row>
    <row r="4047" spans="1:6" ht="15" customHeight="1">
      <c r="A4047" s="51"/>
      <c r="B4047" s="52" t="str">
        <f t="shared" si="222"/>
        <v/>
      </c>
      <c r="C4047" t="str">
        <f t="shared" si="221"/>
        <v/>
      </c>
      <c r="D4047" s="245" t="str">
        <f t="shared" si="223"/>
        <v/>
      </c>
      <c r="E4047" s="534"/>
      <c r="F4047" s="534"/>
    </row>
    <row r="4048" spans="1:6" ht="15" customHeight="1">
      <c r="A4048" s="51"/>
      <c r="B4048" s="52" t="str">
        <f t="shared" si="222"/>
        <v/>
      </c>
      <c r="C4048" t="str">
        <f t="shared" si="221"/>
        <v/>
      </c>
      <c r="D4048" s="245" t="str">
        <f t="shared" si="223"/>
        <v/>
      </c>
      <c r="E4048" s="534"/>
      <c r="F4048" s="534"/>
    </row>
    <row r="4049" spans="1:6" ht="15" customHeight="1">
      <c r="A4049" s="51"/>
      <c r="B4049" s="52" t="str">
        <f t="shared" si="222"/>
        <v/>
      </c>
      <c r="C4049" t="str">
        <f t="shared" si="221"/>
        <v/>
      </c>
      <c r="D4049" s="245" t="str">
        <f t="shared" si="223"/>
        <v/>
      </c>
      <c r="E4049" s="534"/>
      <c r="F4049" s="534"/>
    </row>
    <row r="4050" spans="1:6" ht="15" customHeight="1">
      <c r="A4050" s="51"/>
      <c r="B4050" s="52" t="str">
        <f t="shared" si="222"/>
        <v/>
      </c>
      <c r="C4050" t="str">
        <f t="shared" si="221"/>
        <v/>
      </c>
      <c r="D4050" s="245" t="str">
        <f t="shared" si="223"/>
        <v/>
      </c>
      <c r="E4050" s="534"/>
      <c r="F4050" s="534"/>
    </row>
    <row r="4051" spans="1:6" ht="15" customHeight="1">
      <c r="A4051" s="51"/>
      <c r="B4051" s="52" t="str">
        <f t="shared" si="222"/>
        <v/>
      </c>
      <c r="C4051" t="str">
        <f t="shared" si="221"/>
        <v/>
      </c>
      <c r="D4051" s="245" t="str">
        <f t="shared" si="223"/>
        <v/>
      </c>
      <c r="E4051" s="534"/>
      <c r="F4051" s="534"/>
    </row>
    <row r="4052" spans="1:6" ht="15" customHeight="1">
      <c r="A4052" s="51"/>
      <c r="B4052" s="52" t="str">
        <f t="shared" si="222"/>
        <v/>
      </c>
      <c r="C4052" t="str">
        <f t="shared" si="221"/>
        <v/>
      </c>
      <c r="D4052" s="245" t="str">
        <f t="shared" si="223"/>
        <v/>
      </c>
      <c r="E4052" s="534"/>
      <c r="F4052" s="534"/>
    </row>
    <row r="4053" spans="1:6" ht="15" customHeight="1">
      <c r="A4053" s="51"/>
      <c r="B4053" s="52" t="str">
        <f t="shared" si="222"/>
        <v/>
      </c>
      <c r="C4053" t="str">
        <f t="shared" si="221"/>
        <v/>
      </c>
      <c r="D4053" s="245" t="str">
        <f t="shared" si="223"/>
        <v/>
      </c>
      <c r="E4053" s="534"/>
      <c r="F4053" s="534"/>
    </row>
    <row r="4054" spans="1:6" ht="15" customHeight="1">
      <c r="A4054" s="51"/>
      <c r="B4054" s="52" t="str">
        <f t="shared" si="222"/>
        <v/>
      </c>
      <c r="C4054" t="str">
        <f t="shared" si="221"/>
        <v/>
      </c>
      <c r="D4054" s="245" t="str">
        <f t="shared" si="223"/>
        <v/>
      </c>
      <c r="E4054" s="534"/>
      <c r="F4054" s="534"/>
    </row>
    <row r="4055" spans="1:6" ht="15" customHeight="1">
      <c r="A4055" s="51"/>
      <c r="B4055" s="52" t="str">
        <f t="shared" si="222"/>
        <v/>
      </c>
      <c r="C4055" t="str">
        <f t="shared" si="221"/>
        <v/>
      </c>
      <c r="D4055" s="245" t="str">
        <f t="shared" si="223"/>
        <v/>
      </c>
      <c r="E4055" s="534"/>
      <c r="F4055" s="534"/>
    </row>
    <row r="4056" spans="1:6" ht="15" customHeight="1">
      <c r="A4056" s="51"/>
      <c r="B4056" s="52" t="str">
        <f t="shared" si="222"/>
        <v/>
      </c>
      <c r="C4056" t="str">
        <f t="shared" si="221"/>
        <v/>
      </c>
      <c r="D4056" s="245" t="str">
        <f t="shared" si="223"/>
        <v/>
      </c>
      <c r="E4056" s="534"/>
      <c r="F4056" s="534"/>
    </row>
    <row r="4057" spans="1:6" ht="15" customHeight="1">
      <c r="A4057" s="51"/>
      <c r="B4057" s="52" t="str">
        <f t="shared" si="222"/>
        <v/>
      </c>
      <c r="C4057" t="str">
        <f t="shared" si="221"/>
        <v/>
      </c>
      <c r="D4057" s="245" t="str">
        <f t="shared" si="223"/>
        <v/>
      </c>
      <c r="E4057" s="534"/>
      <c r="F4057" s="534"/>
    </row>
    <row r="4058" spans="1:6" ht="15" customHeight="1">
      <c r="A4058" s="51"/>
      <c r="B4058" s="52" t="str">
        <f t="shared" si="222"/>
        <v/>
      </c>
      <c r="C4058" t="str">
        <f t="shared" si="221"/>
        <v/>
      </c>
      <c r="D4058" s="245" t="str">
        <f t="shared" si="223"/>
        <v/>
      </c>
      <c r="E4058" s="534"/>
      <c r="F4058" s="534"/>
    </row>
    <row r="4059" spans="1:6" ht="15" customHeight="1">
      <c r="A4059" s="51"/>
      <c r="B4059" s="52" t="str">
        <f t="shared" si="222"/>
        <v/>
      </c>
      <c r="C4059" t="str">
        <f t="shared" si="221"/>
        <v/>
      </c>
      <c r="D4059" s="245" t="str">
        <f t="shared" si="223"/>
        <v/>
      </c>
      <c r="E4059" s="534"/>
      <c r="F4059" s="534"/>
    </row>
    <row r="4060" spans="1:6" ht="15" customHeight="1">
      <c r="A4060" s="51"/>
      <c r="B4060" s="52" t="str">
        <f t="shared" si="222"/>
        <v/>
      </c>
      <c r="C4060" t="str">
        <f t="shared" si="221"/>
        <v/>
      </c>
      <c r="D4060" s="245" t="str">
        <f t="shared" si="223"/>
        <v/>
      </c>
      <c r="E4060" s="534"/>
      <c r="F4060" s="534"/>
    </row>
    <row r="4061" spans="1:6" ht="15" customHeight="1">
      <c r="A4061" s="51"/>
      <c r="B4061" s="52" t="str">
        <f t="shared" si="222"/>
        <v/>
      </c>
      <c r="C4061" t="str">
        <f t="shared" si="221"/>
        <v/>
      </c>
      <c r="D4061" s="245" t="str">
        <f t="shared" si="223"/>
        <v/>
      </c>
      <c r="E4061" s="534"/>
      <c r="F4061" s="534"/>
    </row>
    <row r="4062" spans="1:6" ht="15" customHeight="1">
      <c r="A4062" s="51"/>
      <c r="B4062" s="52" t="str">
        <f t="shared" si="222"/>
        <v/>
      </c>
      <c r="C4062" t="str">
        <f t="shared" si="221"/>
        <v/>
      </c>
      <c r="D4062" s="245" t="str">
        <f t="shared" si="223"/>
        <v/>
      </c>
      <c r="E4062" s="534"/>
      <c r="F4062" s="534"/>
    </row>
    <row r="4063" spans="1:6" ht="15" customHeight="1">
      <c r="A4063" s="51"/>
      <c r="B4063" s="52" t="str">
        <f t="shared" si="222"/>
        <v/>
      </c>
      <c r="C4063" t="str">
        <f t="shared" si="221"/>
        <v/>
      </c>
      <c r="D4063" s="245" t="str">
        <f t="shared" si="223"/>
        <v/>
      </c>
      <c r="E4063" s="534"/>
      <c r="F4063" s="534"/>
    </row>
    <row r="4064" spans="1:6" ht="15" customHeight="1">
      <c r="A4064" s="51"/>
      <c r="B4064" s="52" t="str">
        <f t="shared" si="222"/>
        <v/>
      </c>
      <c r="C4064" t="str">
        <f t="shared" si="221"/>
        <v/>
      </c>
      <c r="D4064" s="245" t="str">
        <f t="shared" si="223"/>
        <v/>
      </c>
      <c r="E4064" s="534"/>
      <c r="F4064" s="534"/>
    </row>
    <row r="4065" spans="1:6" ht="15" customHeight="1">
      <c r="A4065" s="51"/>
      <c r="B4065" s="52" t="str">
        <f t="shared" si="222"/>
        <v/>
      </c>
      <c r="C4065" t="str">
        <f t="shared" si="221"/>
        <v/>
      </c>
      <c r="D4065" s="245" t="str">
        <f t="shared" si="223"/>
        <v/>
      </c>
      <c r="E4065" s="534"/>
      <c r="F4065" s="534"/>
    </row>
    <row r="4066" spans="1:6" ht="15" customHeight="1">
      <c r="A4066" s="51"/>
      <c r="B4066" s="52" t="str">
        <f t="shared" si="222"/>
        <v/>
      </c>
      <c r="C4066" t="str">
        <f t="shared" si="221"/>
        <v/>
      </c>
      <c r="D4066" s="245" t="str">
        <f t="shared" si="223"/>
        <v/>
      </c>
      <c r="E4066" s="534"/>
      <c r="F4066" s="534"/>
    </row>
    <row r="4067" spans="1:6" ht="15" customHeight="1">
      <c r="A4067" s="51"/>
      <c r="B4067" s="52" t="str">
        <f t="shared" si="222"/>
        <v/>
      </c>
      <c r="C4067" t="str">
        <f t="shared" si="221"/>
        <v/>
      </c>
      <c r="D4067" s="245" t="str">
        <f t="shared" si="223"/>
        <v/>
      </c>
      <c r="E4067" s="534"/>
      <c r="F4067" s="534"/>
    </row>
    <row r="4068" spans="1:6" ht="15" customHeight="1">
      <c r="A4068" s="51"/>
      <c r="B4068" s="52" t="str">
        <f t="shared" si="222"/>
        <v/>
      </c>
      <c r="C4068" t="str">
        <f t="shared" si="221"/>
        <v/>
      </c>
      <c r="D4068" s="245" t="str">
        <f t="shared" si="223"/>
        <v/>
      </c>
      <c r="E4068" s="534"/>
      <c r="F4068" s="534"/>
    </row>
    <row r="4069" spans="1:6" ht="15" customHeight="1">
      <c r="A4069" s="51"/>
      <c r="B4069" s="52" t="str">
        <f t="shared" si="222"/>
        <v/>
      </c>
      <c r="C4069" t="str">
        <f t="shared" si="221"/>
        <v/>
      </c>
      <c r="D4069" s="245" t="str">
        <f t="shared" si="223"/>
        <v/>
      </c>
      <c r="E4069" s="534"/>
      <c r="F4069" s="534"/>
    </row>
    <row r="4070" spans="1:6" ht="15" customHeight="1">
      <c r="A4070" s="51"/>
      <c r="B4070" s="52" t="str">
        <f t="shared" si="222"/>
        <v/>
      </c>
      <c r="C4070" t="str">
        <f t="shared" si="221"/>
        <v/>
      </c>
      <c r="D4070" s="245" t="str">
        <f t="shared" si="223"/>
        <v/>
      </c>
      <c r="E4070" s="534"/>
      <c r="F4070" s="534"/>
    </row>
    <row r="4071" spans="1:6" ht="15" customHeight="1">
      <c r="A4071" s="51"/>
      <c r="B4071" s="52" t="str">
        <f t="shared" si="222"/>
        <v/>
      </c>
      <c r="C4071" t="str">
        <f t="shared" si="221"/>
        <v/>
      </c>
      <c r="D4071" s="245" t="str">
        <f t="shared" si="223"/>
        <v/>
      </c>
      <c r="E4071" s="534"/>
      <c r="F4071" s="534"/>
    </row>
    <row r="4072" spans="1:6" ht="15" customHeight="1">
      <c r="A4072" s="51"/>
      <c r="B4072" s="52" t="str">
        <f t="shared" si="222"/>
        <v/>
      </c>
      <c r="C4072" t="str">
        <f t="shared" si="221"/>
        <v/>
      </c>
      <c r="D4072" s="245" t="str">
        <f t="shared" si="223"/>
        <v/>
      </c>
      <c r="E4072" s="534"/>
      <c r="F4072" s="534"/>
    </row>
    <row r="4073" spans="1:6" ht="15" customHeight="1">
      <c r="A4073" s="51"/>
      <c r="B4073" s="52" t="str">
        <f t="shared" si="222"/>
        <v/>
      </c>
      <c r="C4073" t="str">
        <f t="shared" si="221"/>
        <v/>
      </c>
      <c r="D4073" s="245" t="str">
        <f t="shared" si="223"/>
        <v/>
      </c>
      <c r="E4073" s="534"/>
      <c r="F4073" s="534"/>
    </row>
    <row r="4074" spans="1:6" ht="15" customHeight="1">
      <c r="A4074" s="51"/>
      <c r="B4074" s="52" t="str">
        <f t="shared" si="222"/>
        <v/>
      </c>
      <c r="C4074" t="str">
        <f t="shared" si="221"/>
        <v/>
      </c>
      <c r="D4074" s="245" t="str">
        <f t="shared" si="223"/>
        <v/>
      </c>
      <c r="E4074" s="534"/>
      <c r="F4074" s="534"/>
    </row>
    <row r="4075" spans="1:6" ht="15" customHeight="1">
      <c r="A4075" s="51"/>
      <c r="B4075" s="52" t="str">
        <f t="shared" si="222"/>
        <v/>
      </c>
      <c r="C4075" t="str">
        <f t="shared" si="221"/>
        <v/>
      </c>
      <c r="D4075" s="245" t="str">
        <f t="shared" si="223"/>
        <v/>
      </c>
      <c r="E4075" s="534"/>
      <c r="F4075" s="534"/>
    </row>
    <row r="4076" spans="1:6" ht="15" customHeight="1">
      <c r="A4076" s="51"/>
      <c r="B4076" s="52" t="str">
        <f t="shared" si="222"/>
        <v/>
      </c>
      <c r="C4076" t="str">
        <f t="shared" si="221"/>
        <v/>
      </c>
      <c r="D4076" s="245" t="str">
        <f t="shared" si="223"/>
        <v/>
      </c>
      <c r="E4076" s="534"/>
      <c r="F4076" s="534"/>
    </row>
    <row r="4077" spans="1:6" ht="15" customHeight="1">
      <c r="A4077" s="51"/>
      <c r="B4077" s="52" t="str">
        <f t="shared" si="222"/>
        <v/>
      </c>
      <c r="C4077" t="str">
        <f t="shared" si="221"/>
        <v/>
      </c>
      <c r="D4077" s="245" t="str">
        <f t="shared" si="223"/>
        <v/>
      </c>
      <c r="E4077" s="534"/>
      <c r="F4077" s="534"/>
    </row>
    <row r="4078" spans="1:6" ht="15" customHeight="1">
      <c r="A4078" s="51"/>
      <c r="B4078" s="52" t="str">
        <f t="shared" si="222"/>
        <v/>
      </c>
      <c r="C4078" t="str">
        <f t="shared" si="221"/>
        <v/>
      </c>
      <c r="D4078" s="245" t="str">
        <f t="shared" si="223"/>
        <v/>
      </c>
      <c r="E4078" s="534"/>
      <c r="F4078" s="534"/>
    </row>
    <row r="4079" spans="1:6" ht="15" customHeight="1">
      <c r="A4079" s="51"/>
      <c r="B4079" s="52" t="str">
        <f t="shared" si="222"/>
        <v/>
      </c>
      <c r="C4079" t="str">
        <f t="shared" si="221"/>
        <v/>
      </c>
      <c r="D4079" s="245" t="str">
        <f t="shared" si="223"/>
        <v/>
      </c>
      <c r="E4079" s="534"/>
      <c r="F4079" s="534"/>
    </row>
    <row r="4080" spans="1:6" ht="15" customHeight="1">
      <c r="A4080" s="51"/>
      <c r="B4080" s="52" t="str">
        <f t="shared" si="222"/>
        <v/>
      </c>
      <c r="C4080" t="str">
        <f t="shared" si="221"/>
        <v/>
      </c>
      <c r="D4080" s="245" t="str">
        <f t="shared" si="223"/>
        <v/>
      </c>
      <c r="E4080" s="534"/>
      <c r="F4080" s="534"/>
    </row>
    <row r="4081" spans="1:6" ht="15" customHeight="1">
      <c r="A4081" s="51"/>
      <c r="B4081" s="52" t="str">
        <f t="shared" si="222"/>
        <v/>
      </c>
      <c r="C4081" t="str">
        <f t="shared" si="221"/>
        <v/>
      </c>
      <c r="D4081" s="245" t="str">
        <f t="shared" si="223"/>
        <v/>
      </c>
      <c r="E4081" s="534"/>
      <c r="F4081" s="534"/>
    </row>
    <row r="4082" spans="1:6" ht="15" customHeight="1">
      <c r="A4082" s="51"/>
      <c r="B4082" s="52" t="str">
        <f t="shared" si="222"/>
        <v/>
      </c>
      <c r="C4082" t="str">
        <f t="shared" si="221"/>
        <v/>
      </c>
      <c r="D4082" s="245" t="str">
        <f t="shared" si="223"/>
        <v/>
      </c>
      <c r="E4082" s="534"/>
      <c r="F4082" s="534"/>
    </row>
    <row r="4083" spans="1:6" ht="15" customHeight="1">
      <c r="A4083" s="51"/>
      <c r="B4083" s="52" t="str">
        <f t="shared" si="222"/>
        <v/>
      </c>
      <c r="C4083" t="str">
        <f t="shared" si="221"/>
        <v/>
      </c>
      <c r="D4083" s="245" t="str">
        <f t="shared" si="223"/>
        <v/>
      </c>
      <c r="E4083" s="534"/>
      <c r="F4083" s="534"/>
    </row>
    <row r="4084" spans="1:6" ht="15" customHeight="1">
      <c r="A4084" s="51"/>
      <c r="B4084" s="52" t="str">
        <f t="shared" si="222"/>
        <v/>
      </c>
      <c r="C4084" t="str">
        <f t="shared" si="221"/>
        <v/>
      </c>
      <c r="D4084" s="245" t="str">
        <f t="shared" si="223"/>
        <v/>
      </c>
      <c r="E4084" s="534"/>
      <c r="F4084" s="534"/>
    </row>
    <row r="4085" spans="1:6" ht="15" customHeight="1">
      <c r="A4085" s="51"/>
      <c r="B4085" s="52" t="str">
        <f t="shared" si="222"/>
        <v/>
      </c>
      <c r="C4085" t="str">
        <f t="shared" si="221"/>
        <v/>
      </c>
      <c r="D4085" s="245" t="str">
        <f t="shared" si="223"/>
        <v/>
      </c>
      <c r="E4085" s="534"/>
      <c r="F4085" s="534"/>
    </row>
    <row r="4086" spans="1:6" ht="15" customHeight="1">
      <c r="A4086" s="51"/>
      <c r="B4086" s="52" t="str">
        <f t="shared" si="222"/>
        <v/>
      </c>
      <c r="C4086" t="str">
        <f t="shared" si="221"/>
        <v/>
      </c>
      <c r="D4086" s="245" t="str">
        <f t="shared" si="223"/>
        <v/>
      </c>
      <c r="E4086" s="534"/>
      <c r="F4086" s="534"/>
    </row>
    <row r="4087" spans="1:6" ht="15" customHeight="1">
      <c r="A4087" s="51"/>
      <c r="B4087" s="52" t="str">
        <f t="shared" si="222"/>
        <v/>
      </c>
      <c r="C4087" t="str">
        <f t="shared" si="221"/>
        <v/>
      </c>
      <c r="D4087" s="245" t="str">
        <f t="shared" si="223"/>
        <v/>
      </c>
      <c r="E4087" s="534"/>
      <c r="F4087" s="534"/>
    </row>
    <row r="4088" spans="1:6" ht="15" customHeight="1">
      <c r="A4088" s="51"/>
      <c r="B4088" s="52" t="str">
        <f t="shared" si="222"/>
        <v/>
      </c>
      <c r="C4088" t="str">
        <f t="shared" si="221"/>
        <v/>
      </c>
      <c r="D4088" s="245" t="str">
        <f t="shared" si="223"/>
        <v/>
      </c>
      <c r="E4088" s="534"/>
      <c r="F4088" s="534"/>
    </row>
    <row r="4089" spans="1:6" ht="15" customHeight="1">
      <c r="A4089" s="51"/>
      <c r="B4089" s="52" t="str">
        <f t="shared" si="222"/>
        <v/>
      </c>
      <c r="C4089" t="str">
        <f t="shared" si="221"/>
        <v/>
      </c>
      <c r="D4089" s="245" t="str">
        <f t="shared" si="223"/>
        <v/>
      </c>
      <c r="E4089" s="534"/>
      <c r="F4089" s="534"/>
    </row>
    <row r="4090" spans="1:6" ht="15" customHeight="1">
      <c r="A4090" s="51"/>
      <c r="B4090" s="52" t="str">
        <f t="shared" si="222"/>
        <v/>
      </c>
      <c r="C4090" t="str">
        <f t="shared" si="221"/>
        <v/>
      </c>
      <c r="D4090" s="245" t="str">
        <f t="shared" si="223"/>
        <v/>
      </c>
      <c r="E4090" s="534"/>
      <c r="F4090" s="534"/>
    </row>
    <row r="4091" spans="1:6" ht="15" customHeight="1">
      <c r="A4091" s="51"/>
      <c r="B4091" s="52" t="str">
        <f t="shared" si="222"/>
        <v/>
      </c>
      <c r="C4091" t="str">
        <f t="shared" si="221"/>
        <v/>
      </c>
      <c r="D4091" s="245" t="str">
        <f t="shared" si="223"/>
        <v/>
      </c>
      <c r="E4091" s="534"/>
      <c r="F4091" s="534"/>
    </row>
    <row r="4092" spans="1:6" ht="15" customHeight="1">
      <c r="A4092" s="51"/>
      <c r="B4092" s="52" t="str">
        <f t="shared" si="222"/>
        <v/>
      </c>
      <c r="C4092" t="str">
        <f t="shared" si="221"/>
        <v/>
      </c>
      <c r="D4092" s="245" t="str">
        <f t="shared" si="223"/>
        <v/>
      </c>
      <c r="E4092" s="534"/>
      <c r="F4092" s="534"/>
    </row>
    <row r="4093" spans="1:6" ht="15" customHeight="1">
      <c r="A4093" s="51"/>
      <c r="B4093" s="52" t="str">
        <f t="shared" si="222"/>
        <v/>
      </c>
      <c r="C4093" t="str">
        <f t="shared" si="221"/>
        <v/>
      </c>
      <c r="D4093" s="245" t="str">
        <f t="shared" si="223"/>
        <v/>
      </c>
      <c r="E4093" s="534"/>
      <c r="F4093" s="534"/>
    </row>
    <row r="4094" spans="1:6" ht="15" customHeight="1">
      <c r="A4094" s="51"/>
      <c r="B4094" s="52" t="str">
        <f t="shared" si="222"/>
        <v/>
      </c>
      <c r="C4094" t="str">
        <f t="shared" si="221"/>
        <v/>
      </c>
      <c r="D4094" s="245" t="str">
        <f t="shared" si="223"/>
        <v/>
      </c>
      <c r="E4094" s="534"/>
      <c r="F4094" s="534"/>
    </row>
    <row r="4095" spans="1:6" ht="15" customHeight="1">
      <c r="A4095" s="51"/>
      <c r="B4095" s="52" t="str">
        <f t="shared" si="222"/>
        <v/>
      </c>
      <c r="C4095" t="str">
        <f t="shared" si="221"/>
        <v/>
      </c>
      <c r="D4095" s="245" t="str">
        <f t="shared" si="223"/>
        <v/>
      </c>
      <c r="E4095" s="534"/>
      <c r="F4095" s="534"/>
    </row>
    <row r="4096" spans="1:6" ht="15" customHeight="1">
      <c r="A4096" s="51"/>
      <c r="B4096" s="52" t="str">
        <f t="shared" si="222"/>
        <v/>
      </c>
      <c r="C4096" t="str">
        <f t="shared" si="221"/>
        <v/>
      </c>
      <c r="D4096" s="245" t="str">
        <f t="shared" si="223"/>
        <v/>
      </c>
      <c r="E4096" s="534"/>
      <c r="F4096" s="534"/>
    </row>
    <row r="4097" spans="1:6" ht="15" customHeight="1">
      <c r="A4097" s="51"/>
      <c r="B4097" s="52" t="str">
        <f t="shared" si="222"/>
        <v/>
      </c>
      <c r="C4097" t="str">
        <f t="shared" si="221"/>
        <v/>
      </c>
      <c r="D4097" s="245" t="str">
        <f t="shared" si="223"/>
        <v/>
      </c>
      <c r="E4097" s="534"/>
      <c r="F4097" s="534"/>
    </row>
    <row r="4098" spans="1:6" ht="15" customHeight="1">
      <c r="A4098" s="51"/>
      <c r="B4098" s="52" t="str">
        <f t="shared" si="222"/>
        <v/>
      </c>
      <c r="C4098" t="str">
        <f t="shared" ref="C4098:C4161" si="224">IF(A4098&lt;&gt;"",TEXT(A4098,"aaaa"),"")</f>
        <v/>
      </c>
      <c r="D4098" s="245" t="str">
        <f t="shared" si="223"/>
        <v/>
      </c>
      <c r="E4098" s="534"/>
      <c r="F4098" s="534"/>
    </row>
    <row r="4099" spans="1:6" ht="15" customHeight="1">
      <c r="A4099" s="51"/>
      <c r="B4099" s="52" t="str">
        <f t="shared" si="222"/>
        <v/>
      </c>
      <c r="C4099" t="str">
        <f t="shared" si="224"/>
        <v/>
      </c>
      <c r="D4099" s="245" t="str">
        <f t="shared" si="223"/>
        <v/>
      </c>
      <c r="E4099" s="534"/>
      <c r="F4099" s="534"/>
    </row>
    <row r="4100" spans="1:6" ht="15" customHeight="1">
      <c r="A4100" s="51"/>
      <c r="B4100" s="52" t="str">
        <f t="shared" si="222"/>
        <v/>
      </c>
      <c r="C4100" t="str">
        <f t="shared" si="224"/>
        <v/>
      </c>
      <c r="D4100" s="245" t="str">
        <f t="shared" si="223"/>
        <v/>
      </c>
      <c r="E4100" s="534"/>
      <c r="F4100" s="534"/>
    </row>
    <row r="4101" spans="1:6" ht="15" customHeight="1">
      <c r="A4101" s="51"/>
      <c r="B4101" s="52" t="str">
        <f t="shared" si="222"/>
        <v/>
      </c>
      <c r="C4101" t="str">
        <f t="shared" si="224"/>
        <v/>
      </c>
      <c r="D4101" s="245" t="str">
        <f t="shared" si="223"/>
        <v/>
      </c>
      <c r="E4101" s="534"/>
      <c r="F4101" s="534"/>
    </row>
    <row r="4102" spans="1:6" ht="15" customHeight="1">
      <c r="A4102" s="51"/>
      <c r="B4102" s="52" t="str">
        <f t="shared" si="222"/>
        <v/>
      </c>
      <c r="C4102" t="str">
        <f t="shared" si="224"/>
        <v/>
      </c>
      <c r="D4102" s="245" t="str">
        <f t="shared" si="223"/>
        <v/>
      </c>
      <c r="E4102" s="534"/>
      <c r="F4102" s="534"/>
    </row>
    <row r="4103" spans="1:6" ht="15" customHeight="1">
      <c r="A4103" s="51"/>
      <c r="B4103" s="52" t="str">
        <f t="shared" si="222"/>
        <v/>
      </c>
      <c r="C4103" t="str">
        <f t="shared" si="224"/>
        <v/>
      </c>
      <c r="D4103" s="245" t="str">
        <f t="shared" si="223"/>
        <v/>
      </c>
      <c r="E4103" s="534"/>
      <c r="F4103" s="534"/>
    </row>
    <row r="4104" spans="1:6" ht="15" customHeight="1">
      <c r="A4104" s="51"/>
      <c r="B4104" s="52" t="str">
        <f t="shared" ref="B4104:B4167" si="225">IF(A4104="","",TEXT(A4104,"DDDD"))</f>
        <v/>
      </c>
      <c r="C4104" t="str">
        <f t="shared" si="224"/>
        <v/>
      </c>
      <c r="D4104" s="245" t="str">
        <f t="shared" si="223"/>
        <v/>
      </c>
      <c r="E4104" s="534"/>
      <c r="F4104" s="534"/>
    </row>
    <row r="4105" spans="1:6" ht="15" customHeight="1">
      <c r="A4105" s="51"/>
      <c r="B4105" s="52" t="str">
        <f t="shared" si="225"/>
        <v/>
      </c>
      <c r="C4105" t="str">
        <f t="shared" si="224"/>
        <v/>
      </c>
      <c r="D4105" s="245" t="str">
        <f t="shared" ref="D4105:D4168" si="226">IF(A4105&lt;&gt;"",PROPER(TEXT(A4105,"Mmmm")),"")</f>
        <v/>
      </c>
      <c r="E4105" s="534"/>
      <c r="F4105" s="534"/>
    </row>
    <row r="4106" spans="1:6" ht="15" customHeight="1">
      <c r="A4106" s="51"/>
      <c r="B4106" s="52" t="str">
        <f t="shared" si="225"/>
        <v/>
      </c>
      <c r="C4106" t="str">
        <f t="shared" si="224"/>
        <v/>
      </c>
      <c r="D4106" s="245" t="str">
        <f t="shared" si="226"/>
        <v/>
      </c>
      <c r="E4106" s="534"/>
      <c r="F4106" s="534"/>
    </row>
    <row r="4107" spans="1:6" ht="15" customHeight="1">
      <c r="A4107" s="51"/>
      <c r="B4107" s="52" t="str">
        <f t="shared" si="225"/>
        <v/>
      </c>
      <c r="C4107" t="str">
        <f t="shared" si="224"/>
        <v/>
      </c>
      <c r="D4107" s="245" t="str">
        <f t="shared" si="226"/>
        <v/>
      </c>
      <c r="E4107" s="534"/>
      <c r="F4107" s="534"/>
    </row>
    <row r="4108" spans="1:6" ht="15" customHeight="1">
      <c r="A4108" s="51"/>
      <c r="B4108" s="52" t="str">
        <f t="shared" si="225"/>
        <v/>
      </c>
      <c r="C4108" t="str">
        <f t="shared" si="224"/>
        <v/>
      </c>
      <c r="D4108" s="245" t="str">
        <f t="shared" si="226"/>
        <v/>
      </c>
      <c r="E4108" s="534"/>
      <c r="F4108" s="534"/>
    </row>
    <row r="4109" spans="1:6" ht="15" customHeight="1">
      <c r="A4109" s="51"/>
      <c r="B4109" s="52" t="str">
        <f t="shared" si="225"/>
        <v/>
      </c>
      <c r="C4109" t="str">
        <f t="shared" si="224"/>
        <v/>
      </c>
      <c r="D4109" s="245" t="str">
        <f t="shared" si="226"/>
        <v/>
      </c>
      <c r="E4109" s="534"/>
      <c r="F4109" s="534"/>
    </row>
    <row r="4110" spans="1:6" ht="15" customHeight="1">
      <c r="A4110" s="51"/>
      <c r="B4110" s="52" t="str">
        <f t="shared" si="225"/>
        <v/>
      </c>
      <c r="C4110" t="str">
        <f t="shared" si="224"/>
        <v/>
      </c>
      <c r="D4110" s="245" t="str">
        <f t="shared" si="226"/>
        <v/>
      </c>
      <c r="E4110" s="534"/>
      <c r="F4110" s="534"/>
    </row>
    <row r="4111" spans="1:6" ht="15" customHeight="1">
      <c r="A4111" s="51"/>
      <c r="B4111" s="52" t="str">
        <f t="shared" si="225"/>
        <v/>
      </c>
      <c r="C4111" t="str">
        <f t="shared" si="224"/>
        <v/>
      </c>
      <c r="D4111" s="245" t="str">
        <f t="shared" si="226"/>
        <v/>
      </c>
      <c r="E4111" s="534"/>
      <c r="F4111" s="534"/>
    </row>
    <row r="4112" spans="1:6" ht="15" customHeight="1">
      <c r="A4112" s="51"/>
      <c r="B4112" s="52" t="str">
        <f t="shared" si="225"/>
        <v/>
      </c>
      <c r="C4112" t="str">
        <f t="shared" si="224"/>
        <v/>
      </c>
      <c r="D4112" s="245" t="str">
        <f t="shared" si="226"/>
        <v/>
      </c>
      <c r="E4112" s="534"/>
      <c r="F4112" s="534"/>
    </row>
    <row r="4113" spans="1:6" ht="15" customHeight="1">
      <c r="A4113" s="51"/>
      <c r="B4113" s="52" t="str">
        <f t="shared" si="225"/>
        <v/>
      </c>
      <c r="C4113" t="str">
        <f t="shared" si="224"/>
        <v/>
      </c>
      <c r="D4113" s="245" t="str">
        <f t="shared" si="226"/>
        <v/>
      </c>
      <c r="E4113" s="534"/>
      <c r="F4113" s="534"/>
    </row>
    <row r="4114" spans="1:6" ht="15" customHeight="1">
      <c r="A4114" s="51"/>
      <c r="B4114" s="52" t="str">
        <f t="shared" si="225"/>
        <v/>
      </c>
      <c r="C4114" t="str">
        <f t="shared" si="224"/>
        <v/>
      </c>
      <c r="D4114" s="245" t="str">
        <f t="shared" si="226"/>
        <v/>
      </c>
      <c r="E4114" s="534"/>
      <c r="F4114" s="534"/>
    </row>
    <row r="4115" spans="1:6" ht="15" customHeight="1">
      <c r="A4115" s="51"/>
      <c r="B4115" s="52" t="str">
        <f t="shared" si="225"/>
        <v/>
      </c>
      <c r="C4115" t="str">
        <f t="shared" si="224"/>
        <v/>
      </c>
      <c r="D4115" s="245" t="str">
        <f t="shared" si="226"/>
        <v/>
      </c>
      <c r="E4115" s="534"/>
      <c r="F4115" s="534"/>
    </row>
    <row r="4116" spans="1:6" ht="15" customHeight="1">
      <c r="A4116" s="51"/>
      <c r="B4116" s="52" t="str">
        <f t="shared" si="225"/>
        <v/>
      </c>
      <c r="C4116" t="str">
        <f t="shared" si="224"/>
        <v/>
      </c>
      <c r="D4116" s="245" t="str">
        <f t="shared" si="226"/>
        <v/>
      </c>
      <c r="E4116" s="534"/>
      <c r="F4116" s="534"/>
    </row>
    <row r="4117" spans="1:6" ht="15" customHeight="1">
      <c r="A4117" s="51"/>
      <c r="B4117" s="52" t="str">
        <f t="shared" si="225"/>
        <v/>
      </c>
      <c r="C4117" t="str">
        <f t="shared" si="224"/>
        <v/>
      </c>
      <c r="D4117" s="245" t="str">
        <f t="shared" si="226"/>
        <v/>
      </c>
      <c r="E4117" s="534"/>
      <c r="F4117" s="534"/>
    </row>
    <row r="4118" spans="1:6" ht="15" customHeight="1">
      <c r="A4118" s="51"/>
      <c r="B4118" s="52" t="str">
        <f t="shared" si="225"/>
        <v/>
      </c>
      <c r="C4118" t="str">
        <f t="shared" si="224"/>
        <v/>
      </c>
      <c r="D4118" s="245" t="str">
        <f t="shared" si="226"/>
        <v/>
      </c>
      <c r="E4118" s="534"/>
      <c r="F4118" s="534"/>
    </row>
    <row r="4119" spans="1:6" ht="15" customHeight="1">
      <c r="A4119" s="51"/>
      <c r="B4119" s="52" t="str">
        <f t="shared" si="225"/>
        <v/>
      </c>
      <c r="C4119" t="str">
        <f t="shared" si="224"/>
        <v/>
      </c>
      <c r="D4119" s="245" t="str">
        <f t="shared" si="226"/>
        <v/>
      </c>
      <c r="E4119" s="534"/>
      <c r="F4119" s="534"/>
    </row>
    <row r="4120" spans="1:6" ht="15" customHeight="1">
      <c r="A4120" s="51"/>
      <c r="B4120" s="52" t="str">
        <f t="shared" si="225"/>
        <v/>
      </c>
      <c r="C4120" t="str">
        <f t="shared" si="224"/>
        <v/>
      </c>
      <c r="D4120" s="245" t="str">
        <f t="shared" si="226"/>
        <v/>
      </c>
      <c r="E4120" s="534"/>
      <c r="F4120" s="534"/>
    </row>
    <row r="4121" spans="1:6" ht="15" customHeight="1">
      <c r="A4121" s="51"/>
      <c r="B4121" s="52" t="str">
        <f t="shared" si="225"/>
        <v/>
      </c>
      <c r="C4121" t="str">
        <f t="shared" si="224"/>
        <v/>
      </c>
      <c r="D4121" s="245" t="str">
        <f t="shared" si="226"/>
        <v/>
      </c>
      <c r="E4121" s="534"/>
      <c r="F4121" s="534"/>
    </row>
    <row r="4122" spans="1:6" ht="15" customHeight="1">
      <c r="A4122" s="51"/>
      <c r="B4122" s="52" t="str">
        <f t="shared" si="225"/>
        <v/>
      </c>
      <c r="C4122" t="str">
        <f t="shared" si="224"/>
        <v/>
      </c>
      <c r="D4122" s="245" t="str">
        <f t="shared" si="226"/>
        <v/>
      </c>
      <c r="E4122" s="534"/>
      <c r="F4122" s="534"/>
    </row>
    <row r="4123" spans="1:6" ht="15" customHeight="1">
      <c r="A4123" s="51"/>
      <c r="B4123" s="52" t="str">
        <f t="shared" si="225"/>
        <v/>
      </c>
      <c r="C4123" t="str">
        <f t="shared" si="224"/>
        <v/>
      </c>
      <c r="D4123" s="245" t="str">
        <f t="shared" si="226"/>
        <v/>
      </c>
      <c r="E4123" s="534"/>
      <c r="F4123" s="534"/>
    </row>
    <row r="4124" spans="1:6" ht="15" customHeight="1">
      <c r="A4124" s="51"/>
      <c r="B4124" s="52" t="str">
        <f t="shared" si="225"/>
        <v/>
      </c>
      <c r="C4124" t="str">
        <f t="shared" si="224"/>
        <v/>
      </c>
      <c r="D4124" s="245" t="str">
        <f t="shared" si="226"/>
        <v/>
      </c>
      <c r="E4124" s="534"/>
      <c r="F4124" s="534"/>
    </row>
    <row r="4125" spans="1:6" ht="15" customHeight="1">
      <c r="A4125" s="51"/>
      <c r="B4125" s="52" t="str">
        <f t="shared" si="225"/>
        <v/>
      </c>
      <c r="C4125" t="str">
        <f t="shared" si="224"/>
        <v/>
      </c>
      <c r="D4125" s="245" t="str">
        <f t="shared" si="226"/>
        <v/>
      </c>
      <c r="E4125" s="534"/>
      <c r="F4125" s="534"/>
    </row>
    <row r="4126" spans="1:6" ht="15" customHeight="1">
      <c r="A4126" s="51"/>
      <c r="B4126" s="52" t="str">
        <f t="shared" si="225"/>
        <v/>
      </c>
      <c r="C4126" t="str">
        <f t="shared" si="224"/>
        <v/>
      </c>
      <c r="D4126" s="245" t="str">
        <f t="shared" si="226"/>
        <v/>
      </c>
      <c r="E4126" s="534"/>
      <c r="F4126" s="534"/>
    </row>
    <row r="4127" spans="1:6" ht="15" customHeight="1">
      <c r="A4127" s="51"/>
      <c r="B4127" s="52" t="str">
        <f t="shared" si="225"/>
        <v/>
      </c>
      <c r="C4127" t="str">
        <f t="shared" si="224"/>
        <v/>
      </c>
      <c r="D4127" s="245" t="str">
        <f t="shared" si="226"/>
        <v/>
      </c>
      <c r="E4127" s="534"/>
      <c r="F4127" s="534"/>
    </row>
    <row r="4128" spans="1:6" ht="15" customHeight="1">
      <c r="A4128" s="51"/>
      <c r="B4128" s="52" t="str">
        <f t="shared" si="225"/>
        <v/>
      </c>
      <c r="C4128" t="str">
        <f t="shared" si="224"/>
        <v/>
      </c>
      <c r="D4128" s="245" t="str">
        <f t="shared" si="226"/>
        <v/>
      </c>
      <c r="E4128" s="534"/>
      <c r="F4128" s="534"/>
    </row>
    <row r="4129" spans="1:6" ht="15" customHeight="1">
      <c r="A4129" s="51"/>
      <c r="B4129" s="52" t="str">
        <f t="shared" si="225"/>
        <v/>
      </c>
      <c r="C4129" t="str">
        <f t="shared" si="224"/>
        <v/>
      </c>
      <c r="D4129" s="245" t="str">
        <f t="shared" si="226"/>
        <v/>
      </c>
      <c r="E4129" s="534"/>
      <c r="F4129" s="534"/>
    </row>
    <row r="4130" spans="1:6" ht="15" customHeight="1">
      <c r="A4130" s="51"/>
      <c r="B4130" s="52" t="str">
        <f t="shared" si="225"/>
        <v/>
      </c>
      <c r="C4130" t="str">
        <f t="shared" si="224"/>
        <v/>
      </c>
      <c r="D4130" s="245" t="str">
        <f t="shared" si="226"/>
        <v/>
      </c>
      <c r="E4130" s="534"/>
      <c r="F4130" s="534"/>
    </row>
    <row r="4131" spans="1:6" ht="15" customHeight="1">
      <c r="A4131" s="51"/>
      <c r="B4131" s="52" t="str">
        <f t="shared" si="225"/>
        <v/>
      </c>
      <c r="C4131" t="str">
        <f t="shared" si="224"/>
        <v/>
      </c>
      <c r="D4131" s="245" t="str">
        <f t="shared" si="226"/>
        <v/>
      </c>
      <c r="E4131" s="534"/>
      <c r="F4131" s="534"/>
    </row>
    <row r="4132" spans="1:6" ht="15" customHeight="1">
      <c r="A4132" s="51"/>
      <c r="B4132" s="52" t="str">
        <f t="shared" si="225"/>
        <v/>
      </c>
      <c r="C4132" t="str">
        <f t="shared" si="224"/>
        <v/>
      </c>
      <c r="D4132" s="245" t="str">
        <f t="shared" si="226"/>
        <v/>
      </c>
      <c r="E4132" s="534"/>
      <c r="F4132" s="534"/>
    </row>
    <row r="4133" spans="1:6" ht="15" customHeight="1">
      <c r="A4133" s="51"/>
      <c r="B4133" s="52" t="str">
        <f t="shared" si="225"/>
        <v/>
      </c>
      <c r="C4133" t="str">
        <f t="shared" si="224"/>
        <v/>
      </c>
      <c r="D4133" s="245" t="str">
        <f t="shared" si="226"/>
        <v/>
      </c>
      <c r="E4133" s="534"/>
      <c r="F4133" s="534"/>
    </row>
    <row r="4134" spans="1:6" ht="15" customHeight="1">
      <c r="A4134" s="51"/>
      <c r="B4134" s="52" t="str">
        <f t="shared" si="225"/>
        <v/>
      </c>
      <c r="C4134" t="str">
        <f t="shared" si="224"/>
        <v/>
      </c>
      <c r="D4134" s="245" t="str">
        <f t="shared" si="226"/>
        <v/>
      </c>
      <c r="E4134" s="534"/>
      <c r="F4134" s="534"/>
    </row>
    <row r="4135" spans="1:6" ht="15" customHeight="1">
      <c r="A4135" s="51"/>
      <c r="B4135" s="52" t="str">
        <f t="shared" si="225"/>
        <v/>
      </c>
      <c r="C4135" t="str">
        <f t="shared" si="224"/>
        <v/>
      </c>
      <c r="D4135" s="245" t="str">
        <f t="shared" si="226"/>
        <v/>
      </c>
      <c r="E4135" s="534"/>
      <c r="F4135" s="534"/>
    </row>
    <row r="4136" spans="1:6" ht="15" customHeight="1">
      <c r="A4136" s="51"/>
      <c r="B4136" s="52" t="str">
        <f t="shared" si="225"/>
        <v/>
      </c>
      <c r="C4136" t="str">
        <f t="shared" si="224"/>
        <v/>
      </c>
      <c r="D4136" s="245" t="str">
        <f t="shared" si="226"/>
        <v/>
      </c>
      <c r="E4136" s="534"/>
      <c r="F4136" s="534"/>
    </row>
    <row r="4137" spans="1:6" ht="15" customHeight="1">
      <c r="A4137" s="51"/>
      <c r="B4137" s="52" t="str">
        <f t="shared" si="225"/>
        <v/>
      </c>
      <c r="C4137" t="str">
        <f t="shared" si="224"/>
        <v/>
      </c>
      <c r="D4137" s="245" t="str">
        <f t="shared" si="226"/>
        <v/>
      </c>
      <c r="E4137" s="534"/>
      <c r="F4137" s="534"/>
    </row>
    <row r="4138" spans="1:6" ht="15" customHeight="1">
      <c r="A4138" s="51"/>
      <c r="B4138" s="52" t="str">
        <f t="shared" si="225"/>
        <v/>
      </c>
      <c r="C4138" t="str">
        <f t="shared" si="224"/>
        <v/>
      </c>
      <c r="D4138" s="245" t="str">
        <f t="shared" si="226"/>
        <v/>
      </c>
      <c r="E4138" s="534"/>
      <c r="F4138" s="534"/>
    </row>
    <row r="4139" spans="1:6" ht="15" customHeight="1">
      <c r="A4139" s="51"/>
      <c r="B4139" s="52" t="str">
        <f t="shared" si="225"/>
        <v/>
      </c>
      <c r="C4139" t="str">
        <f t="shared" si="224"/>
        <v/>
      </c>
      <c r="D4139" s="245" t="str">
        <f t="shared" si="226"/>
        <v/>
      </c>
      <c r="E4139" s="534"/>
      <c r="F4139" s="534"/>
    </row>
    <row r="4140" spans="1:6" ht="15" customHeight="1">
      <c r="A4140" s="51"/>
      <c r="B4140" s="52" t="str">
        <f t="shared" si="225"/>
        <v/>
      </c>
      <c r="C4140" t="str">
        <f t="shared" si="224"/>
        <v/>
      </c>
      <c r="D4140" s="245" t="str">
        <f t="shared" si="226"/>
        <v/>
      </c>
      <c r="E4140" s="534"/>
      <c r="F4140" s="534"/>
    </row>
    <row r="4141" spans="1:6" ht="15" customHeight="1">
      <c r="A4141" s="51"/>
      <c r="B4141" s="52" t="str">
        <f t="shared" si="225"/>
        <v/>
      </c>
      <c r="C4141" t="str">
        <f t="shared" si="224"/>
        <v/>
      </c>
      <c r="D4141" s="245" t="str">
        <f t="shared" si="226"/>
        <v/>
      </c>
      <c r="E4141" s="534"/>
      <c r="F4141" s="534"/>
    </row>
    <row r="4142" spans="1:6" ht="15" customHeight="1">
      <c r="A4142" s="51"/>
      <c r="B4142" s="52" t="str">
        <f t="shared" si="225"/>
        <v/>
      </c>
      <c r="C4142" t="str">
        <f t="shared" si="224"/>
        <v/>
      </c>
      <c r="D4142" s="245" t="str">
        <f t="shared" si="226"/>
        <v/>
      </c>
      <c r="E4142" s="534"/>
      <c r="F4142" s="534"/>
    </row>
    <row r="4143" spans="1:6" ht="15" customHeight="1">
      <c r="A4143" s="51"/>
      <c r="B4143" s="52" t="str">
        <f t="shared" si="225"/>
        <v/>
      </c>
      <c r="C4143" t="str">
        <f t="shared" si="224"/>
        <v/>
      </c>
      <c r="D4143" s="245" t="str">
        <f t="shared" si="226"/>
        <v/>
      </c>
      <c r="E4143" s="534"/>
      <c r="F4143" s="534"/>
    </row>
    <row r="4144" spans="1:6" ht="15" customHeight="1">
      <c r="A4144" s="51"/>
      <c r="B4144" s="52" t="str">
        <f t="shared" si="225"/>
        <v/>
      </c>
      <c r="C4144" t="str">
        <f t="shared" si="224"/>
        <v/>
      </c>
      <c r="D4144" s="245" t="str">
        <f t="shared" si="226"/>
        <v/>
      </c>
      <c r="E4144" s="534"/>
      <c r="F4144" s="534"/>
    </row>
    <row r="4145" spans="1:6" ht="15" customHeight="1">
      <c r="A4145" s="51"/>
      <c r="B4145" s="52" t="str">
        <f t="shared" si="225"/>
        <v/>
      </c>
      <c r="C4145" t="str">
        <f t="shared" si="224"/>
        <v/>
      </c>
      <c r="D4145" s="245" t="str">
        <f t="shared" si="226"/>
        <v/>
      </c>
      <c r="E4145" s="534"/>
      <c r="F4145" s="534"/>
    </row>
    <row r="4146" spans="1:6" ht="15" customHeight="1">
      <c r="A4146" s="51"/>
      <c r="B4146" s="52" t="str">
        <f t="shared" si="225"/>
        <v/>
      </c>
      <c r="C4146" t="str">
        <f t="shared" si="224"/>
        <v/>
      </c>
      <c r="D4146" s="245" t="str">
        <f t="shared" si="226"/>
        <v/>
      </c>
      <c r="E4146" s="534"/>
      <c r="F4146" s="534"/>
    </row>
    <row r="4147" spans="1:6" ht="15" customHeight="1">
      <c r="A4147" s="51"/>
      <c r="B4147" s="52" t="str">
        <f t="shared" si="225"/>
        <v/>
      </c>
      <c r="C4147" t="str">
        <f t="shared" si="224"/>
        <v/>
      </c>
      <c r="D4147" s="245" t="str">
        <f t="shared" si="226"/>
        <v/>
      </c>
      <c r="E4147" s="534"/>
      <c r="F4147" s="534"/>
    </row>
    <row r="4148" spans="1:6" ht="15" customHeight="1">
      <c r="A4148" s="51"/>
      <c r="B4148" s="52" t="str">
        <f t="shared" si="225"/>
        <v/>
      </c>
      <c r="C4148" t="str">
        <f t="shared" si="224"/>
        <v/>
      </c>
      <c r="D4148" s="245" t="str">
        <f t="shared" si="226"/>
        <v/>
      </c>
      <c r="E4148" s="534"/>
      <c r="F4148" s="534"/>
    </row>
    <row r="4149" spans="1:6" ht="15" customHeight="1">
      <c r="A4149" s="51"/>
      <c r="B4149" s="52" t="str">
        <f t="shared" si="225"/>
        <v/>
      </c>
      <c r="C4149" t="str">
        <f t="shared" si="224"/>
        <v/>
      </c>
      <c r="D4149" s="245" t="str">
        <f t="shared" si="226"/>
        <v/>
      </c>
      <c r="E4149" s="534"/>
      <c r="F4149" s="534"/>
    </row>
    <row r="4150" spans="1:6" ht="15" customHeight="1">
      <c r="A4150" s="51"/>
      <c r="B4150" s="52" t="str">
        <f t="shared" si="225"/>
        <v/>
      </c>
      <c r="C4150" t="str">
        <f t="shared" si="224"/>
        <v/>
      </c>
      <c r="D4150" s="245" t="str">
        <f t="shared" si="226"/>
        <v/>
      </c>
      <c r="E4150" s="534"/>
      <c r="F4150" s="534"/>
    </row>
    <row r="4151" spans="1:6" ht="15" customHeight="1">
      <c r="A4151" s="51"/>
      <c r="B4151" s="52" t="str">
        <f t="shared" si="225"/>
        <v/>
      </c>
      <c r="C4151" t="str">
        <f t="shared" si="224"/>
        <v/>
      </c>
      <c r="D4151" s="245" t="str">
        <f t="shared" si="226"/>
        <v/>
      </c>
      <c r="E4151" s="534"/>
      <c r="F4151" s="534"/>
    </row>
    <row r="4152" spans="1:6" ht="15" customHeight="1">
      <c r="A4152" s="51"/>
      <c r="B4152" s="52" t="str">
        <f t="shared" si="225"/>
        <v/>
      </c>
      <c r="C4152" t="str">
        <f t="shared" si="224"/>
        <v/>
      </c>
      <c r="D4152" s="245" t="str">
        <f t="shared" si="226"/>
        <v/>
      </c>
      <c r="E4152" s="534"/>
      <c r="F4152" s="534"/>
    </row>
    <row r="4153" spans="1:6" ht="15" customHeight="1">
      <c r="A4153" s="51"/>
      <c r="B4153" s="52" t="str">
        <f t="shared" si="225"/>
        <v/>
      </c>
      <c r="C4153" t="str">
        <f t="shared" si="224"/>
        <v/>
      </c>
      <c r="D4153" s="245" t="str">
        <f t="shared" si="226"/>
        <v/>
      </c>
      <c r="E4153" s="534"/>
      <c r="F4153" s="534"/>
    </row>
    <row r="4154" spans="1:6" ht="15" customHeight="1">
      <c r="A4154" s="51"/>
      <c r="B4154" s="52" t="str">
        <f t="shared" si="225"/>
        <v/>
      </c>
      <c r="C4154" t="str">
        <f t="shared" si="224"/>
        <v/>
      </c>
      <c r="D4154" s="245" t="str">
        <f t="shared" si="226"/>
        <v/>
      </c>
      <c r="E4154" s="534"/>
      <c r="F4154" s="534"/>
    </row>
    <row r="4155" spans="1:6" ht="15" customHeight="1">
      <c r="A4155" s="51"/>
      <c r="B4155" s="52" t="str">
        <f t="shared" si="225"/>
        <v/>
      </c>
      <c r="C4155" t="str">
        <f t="shared" si="224"/>
        <v/>
      </c>
      <c r="D4155" s="245" t="str">
        <f t="shared" si="226"/>
        <v/>
      </c>
      <c r="E4155" s="534"/>
      <c r="F4155" s="534"/>
    </row>
    <row r="4156" spans="1:6" ht="15" customHeight="1">
      <c r="A4156" s="51"/>
      <c r="B4156" s="52" t="str">
        <f t="shared" si="225"/>
        <v/>
      </c>
      <c r="C4156" t="str">
        <f t="shared" si="224"/>
        <v/>
      </c>
      <c r="D4156" s="245" t="str">
        <f t="shared" si="226"/>
        <v/>
      </c>
      <c r="E4156" s="534"/>
      <c r="F4156" s="534"/>
    </row>
    <row r="4157" spans="1:6" ht="15" customHeight="1">
      <c r="A4157" s="51"/>
      <c r="B4157" s="52" t="str">
        <f t="shared" si="225"/>
        <v/>
      </c>
      <c r="C4157" t="str">
        <f t="shared" si="224"/>
        <v/>
      </c>
      <c r="D4157" s="245" t="str">
        <f t="shared" si="226"/>
        <v/>
      </c>
      <c r="E4157" s="534"/>
      <c r="F4157" s="534"/>
    </row>
    <row r="4158" spans="1:6" ht="15" customHeight="1">
      <c r="A4158" s="51"/>
      <c r="B4158" s="52" t="str">
        <f t="shared" si="225"/>
        <v/>
      </c>
      <c r="C4158" t="str">
        <f t="shared" si="224"/>
        <v/>
      </c>
      <c r="D4158" s="245" t="str">
        <f t="shared" si="226"/>
        <v/>
      </c>
      <c r="E4158" s="534"/>
      <c r="F4158" s="534"/>
    </row>
    <row r="4159" spans="1:6" ht="15" customHeight="1">
      <c r="A4159" s="51"/>
      <c r="B4159" s="52" t="str">
        <f t="shared" si="225"/>
        <v/>
      </c>
      <c r="C4159" t="str">
        <f t="shared" si="224"/>
        <v/>
      </c>
      <c r="D4159" s="245" t="str">
        <f t="shared" si="226"/>
        <v/>
      </c>
      <c r="E4159" s="534"/>
      <c r="F4159" s="534"/>
    </row>
    <row r="4160" spans="1:6" ht="15" customHeight="1">
      <c r="A4160" s="51"/>
      <c r="B4160" s="52" t="str">
        <f t="shared" si="225"/>
        <v/>
      </c>
      <c r="C4160" t="str">
        <f t="shared" si="224"/>
        <v/>
      </c>
      <c r="D4160" s="245" t="str">
        <f t="shared" si="226"/>
        <v/>
      </c>
      <c r="E4160" s="534"/>
      <c r="F4160" s="534"/>
    </row>
    <row r="4161" spans="1:6" ht="15" customHeight="1">
      <c r="A4161" s="51"/>
      <c r="B4161" s="52" t="str">
        <f t="shared" si="225"/>
        <v/>
      </c>
      <c r="C4161" t="str">
        <f t="shared" si="224"/>
        <v/>
      </c>
      <c r="D4161" s="245" t="str">
        <f t="shared" si="226"/>
        <v/>
      </c>
      <c r="E4161" s="534"/>
      <c r="F4161" s="534"/>
    </row>
    <row r="4162" spans="1:6" ht="15" customHeight="1">
      <c r="A4162" s="51"/>
      <c r="B4162" s="52" t="str">
        <f t="shared" si="225"/>
        <v/>
      </c>
      <c r="C4162" t="str">
        <f t="shared" ref="C4162:C4225" si="227">IF(A4162&lt;&gt;"",TEXT(A4162,"aaaa"),"")</f>
        <v/>
      </c>
      <c r="D4162" s="245" t="str">
        <f t="shared" si="226"/>
        <v/>
      </c>
      <c r="E4162" s="534"/>
      <c r="F4162" s="534"/>
    </row>
    <row r="4163" spans="1:6" ht="15" customHeight="1">
      <c r="A4163" s="51"/>
      <c r="B4163" s="52" t="str">
        <f t="shared" si="225"/>
        <v/>
      </c>
      <c r="C4163" t="str">
        <f t="shared" si="227"/>
        <v/>
      </c>
      <c r="D4163" s="245" t="str">
        <f t="shared" si="226"/>
        <v/>
      </c>
      <c r="E4163" s="534"/>
      <c r="F4163" s="534"/>
    </row>
    <row r="4164" spans="1:6" ht="15" customHeight="1">
      <c r="A4164" s="51"/>
      <c r="B4164" s="52" t="str">
        <f t="shared" si="225"/>
        <v/>
      </c>
      <c r="C4164" t="str">
        <f t="shared" si="227"/>
        <v/>
      </c>
      <c r="D4164" s="245" t="str">
        <f t="shared" si="226"/>
        <v/>
      </c>
      <c r="E4164" s="534"/>
      <c r="F4164" s="534"/>
    </row>
    <row r="4165" spans="1:6" ht="15" customHeight="1">
      <c r="A4165" s="51"/>
      <c r="B4165" s="52" t="str">
        <f t="shared" si="225"/>
        <v/>
      </c>
      <c r="C4165" t="str">
        <f t="shared" si="227"/>
        <v/>
      </c>
      <c r="D4165" s="245" t="str">
        <f t="shared" si="226"/>
        <v/>
      </c>
      <c r="E4165" s="534"/>
      <c r="F4165" s="534"/>
    </row>
    <row r="4166" spans="1:6" ht="15" customHeight="1">
      <c r="A4166" s="51"/>
      <c r="B4166" s="52" t="str">
        <f t="shared" si="225"/>
        <v/>
      </c>
      <c r="C4166" t="str">
        <f t="shared" si="227"/>
        <v/>
      </c>
      <c r="D4166" s="245" t="str">
        <f t="shared" si="226"/>
        <v/>
      </c>
      <c r="E4166" s="534"/>
      <c r="F4166" s="534"/>
    </row>
    <row r="4167" spans="1:6" ht="15" customHeight="1">
      <c r="A4167" s="51"/>
      <c r="B4167" s="52" t="str">
        <f t="shared" si="225"/>
        <v/>
      </c>
      <c r="C4167" t="str">
        <f t="shared" si="227"/>
        <v/>
      </c>
      <c r="D4167" s="245" t="str">
        <f t="shared" si="226"/>
        <v/>
      </c>
      <c r="E4167" s="534"/>
      <c r="F4167" s="534"/>
    </row>
    <row r="4168" spans="1:6" ht="15" customHeight="1">
      <c r="A4168" s="51"/>
      <c r="B4168" s="52" t="str">
        <f t="shared" ref="B4168:B4231" si="228">IF(A4168="","",TEXT(A4168,"DDDD"))</f>
        <v/>
      </c>
      <c r="C4168" t="str">
        <f t="shared" si="227"/>
        <v/>
      </c>
      <c r="D4168" s="245" t="str">
        <f t="shared" si="226"/>
        <v/>
      </c>
      <c r="E4168" s="534"/>
      <c r="F4168" s="534"/>
    </row>
    <row r="4169" spans="1:6" ht="15" customHeight="1">
      <c r="A4169" s="51"/>
      <c r="B4169" s="52" t="str">
        <f t="shared" si="228"/>
        <v/>
      </c>
      <c r="C4169" t="str">
        <f t="shared" si="227"/>
        <v/>
      </c>
      <c r="D4169" s="245" t="str">
        <f t="shared" ref="D4169:D4232" si="229">IF(A4169&lt;&gt;"",PROPER(TEXT(A4169,"Mmmm")),"")</f>
        <v/>
      </c>
      <c r="E4169" s="534"/>
      <c r="F4169" s="534"/>
    </row>
    <row r="4170" spans="1:6" ht="15" customHeight="1">
      <c r="A4170" s="51"/>
      <c r="B4170" s="52" t="str">
        <f t="shared" si="228"/>
        <v/>
      </c>
      <c r="C4170" t="str">
        <f t="shared" si="227"/>
        <v/>
      </c>
      <c r="D4170" s="245" t="str">
        <f t="shared" si="229"/>
        <v/>
      </c>
      <c r="E4170" s="534"/>
      <c r="F4170" s="534"/>
    </row>
    <row r="4171" spans="1:6" ht="15" customHeight="1">
      <c r="A4171" s="51"/>
      <c r="B4171" s="52" t="str">
        <f t="shared" si="228"/>
        <v/>
      </c>
      <c r="C4171" t="str">
        <f t="shared" si="227"/>
        <v/>
      </c>
      <c r="D4171" s="245" t="str">
        <f t="shared" si="229"/>
        <v/>
      </c>
      <c r="E4171" s="534"/>
      <c r="F4171" s="534"/>
    </row>
    <row r="4172" spans="1:6" ht="15" customHeight="1">
      <c r="A4172" s="51"/>
      <c r="B4172" s="52" t="str">
        <f t="shared" si="228"/>
        <v/>
      </c>
      <c r="C4172" t="str">
        <f t="shared" si="227"/>
        <v/>
      </c>
      <c r="D4172" s="245" t="str">
        <f t="shared" si="229"/>
        <v/>
      </c>
      <c r="E4172" s="534"/>
      <c r="F4172" s="534"/>
    </row>
    <row r="4173" spans="1:6" ht="15" customHeight="1">
      <c r="A4173" s="51"/>
      <c r="B4173" s="52" t="str">
        <f t="shared" si="228"/>
        <v/>
      </c>
      <c r="C4173" t="str">
        <f t="shared" si="227"/>
        <v/>
      </c>
      <c r="D4173" s="245" t="str">
        <f t="shared" si="229"/>
        <v/>
      </c>
      <c r="E4173" s="534"/>
      <c r="F4173" s="534"/>
    </row>
    <row r="4174" spans="1:6" ht="15" customHeight="1">
      <c r="A4174" s="51"/>
      <c r="B4174" s="52" t="str">
        <f t="shared" si="228"/>
        <v/>
      </c>
      <c r="C4174" t="str">
        <f t="shared" si="227"/>
        <v/>
      </c>
      <c r="D4174" s="245" t="str">
        <f t="shared" si="229"/>
        <v/>
      </c>
      <c r="E4174" s="534"/>
      <c r="F4174" s="534"/>
    </row>
    <row r="4175" spans="1:6" ht="15" customHeight="1">
      <c r="A4175" s="51"/>
      <c r="B4175" s="52" t="str">
        <f t="shared" si="228"/>
        <v/>
      </c>
      <c r="C4175" t="str">
        <f t="shared" si="227"/>
        <v/>
      </c>
      <c r="D4175" s="245" t="str">
        <f t="shared" si="229"/>
        <v/>
      </c>
      <c r="E4175" s="534"/>
      <c r="F4175" s="534"/>
    </row>
    <row r="4176" spans="1:6" ht="15" customHeight="1">
      <c r="A4176" s="51"/>
      <c r="B4176" s="52" t="str">
        <f t="shared" si="228"/>
        <v/>
      </c>
      <c r="C4176" t="str">
        <f t="shared" si="227"/>
        <v/>
      </c>
      <c r="D4176" s="245" t="str">
        <f t="shared" si="229"/>
        <v/>
      </c>
      <c r="E4176" s="534"/>
      <c r="F4176" s="534"/>
    </row>
    <row r="4177" spans="1:6" ht="15" customHeight="1">
      <c r="A4177" s="51"/>
      <c r="B4177" s="52" t="str">
        <f t="shared" si="228"/>
        <v/>
      </c>
      <c r="C4177" t="str">
        <f t="shared" si="227"/>
        <v/>
      </c>
      <c r="D4177" s="245" t="str">
        <f t="shared" si="229"/>
        <v/>
      </c>
      <c r="E4177" s="534"/>
      <c r="F4177" s="534"/>
    </row>
    <row r="4178" spans="1:6" ht="15" customHeight="1">
      <c r="A4178" s="51"/>
      <c r="B4178" s="52" t="str">
        <f t="shared" si="228"/>
        <v/>
      </c>
      <c r="C4178" t="str">
        <f t="shared" si="227"/>
        <v/>
      </c>
      <c r="D4178" s="245" t="str">
        <f t="shared" si="229"/>
        <v/>
      </c>
      <c r="E4178" s="534"/>
      <c r="F4178" s="534"/>
    </row>
    <row r="4179" spans="1:6" ht="15" customHeight="1">
      <c r="A4179" s="51"/>
      <c r="B4179" s="52" t="str">
        <f t="shared" si="228"/>
        <v/>
      </c>
      <c r="C4179" t="str">
        <f t="shared" si="227"/>
        <v/>
      </c>
      <c r="D4179" s="245" t="str">
        <f t="shared" si="229"/>
        <v/>
      </c>
      <c r="E4179" s="534"/>
      <c r="F4179" s="534"/>
    </row>
    <row r="4180" spans="1:6" ht="15" customHeight="1">
      <c r="A4180" s="51"/>
      <c r="B4180" s="52" t="str">
        <f t="shared" si="228"/>
        <v/>
      </c>
      <c r="C4180" t="str">
        <f t="shared" si="227"/>
        <v/>
      </c>
      <c r="D4180" s="245" t="str">
        <f t="shared" si="229"/>
        <v/>
      </c>
      <c r="E4180" s="534"/>
      <c r="F4180" s="534"/>
    </row>
    <row r="4181" spans="1:6" ht="15" customHeight="1">
      <c r="A4181" s="51"/>
      <c r="B4181" s="52" t="str">
        <f t="shared" si="228"/>
        <v/>
      </c>
      <c r="C4181" t="str">
        <f t="shared" si="227"/>
        <v/>
      </c>
      <c r="D4181" s="245" t="str">
        <f t="shared" si="229"/>
        <v/>
      </c>
      <c r="E4181" s="534"/>
      <c r="F4181" s="534"/>
    </row>
    <row r="4182" spans="1:6" ht="15" customHeight="1">
      <c r="A4182" s="51"/>
      <c r="B4182" s="52" t="str">
        <f t="shared" si="228"/>
        <v/>
      </c>
      <c r="C4182" t="str">
        <f t="shared" si="227"/>
        <v/>
      </c>
      <c r="D4182" s="245" t="str">
        <f t="shared" si="229"/>
        <v/>
      </c>
      <c r="E4182" s="534"/>
      <c r="F4182" s="534"/>
    </row>
    <row r="4183" spans="1:6" ht="15" customHeight="1">
      <c r="A4183" s="51"/>
      <c r="B4183" s="52" t="str">
        <f t="shared" si="228"/>
        <v/>
      </c>
      <c r="C4183" t="str">
        <f t="shared" si="227"/>
        <v/>
      </c>
      <c r="D4183" s="245" t="str">
        <f t="shared" si="229"/>
        <v/>
      </c>
      <c r="E4183" s="534"/>
      <c r="F4183" s="534"/>
    </row>
    <row r="4184" spans="1:6" ht="15" customHeight="1">
      <c r="A4184" s="51"/>
      <c r="B4184" s="52" t="str">
        <f t="shared" si="228"/>
        <v/>
      </c>
      <c r="C4184" t="str">
        <f t="shared" si="227"/>
        <v/>
      </c>
      <c r="D4184" s="245" t="str">
        <f t="shared" si="229"/>
        <v/>
      </c>
      <c r="E4184" s="534"/>
      <c r="F4184" s="534"/>
    </row>
    <row r="4185" spans="1:6" ht="15" customHeight="1">
      <c r="A4185" s="51"/>
      <c r="B4185" s="52" t="str">
        <f t="shared" si="228"/>
        <v/>
      </c>
      <c r="C4185" t="str">
        <f t="shared" si="227"/>
        <v/>
      </c>
      <c r="D4185" s="245" t="str">
        <f t="shared" si="229"/>
        <v/>
      </c>
      <c r="E4185" s="534"/>
      <c r="F4185" s="534"/>
    </row>
    <row r="4186" spans="1:6" ht="15" customHeight="1">
      <c r="A4186" s="51"/>
      <c r="B4186" s="52" t="str">
        <f t="shared" si="228"/>
        <v/>
      </c>
      <c r="C4186" t="str">
        <f t="shared" si="227"/>
        <v/>
      </c>
      <c r="D4186" s="245" t="str">
        <f t="shared" si="229"/>
        <v/>
      </c>
      <c r="E4186" s="534"/>
      <c r="F4186" s="534"/>
    </row>
    <row r="4187" spans="1:6" ht="15" customHeight="1">
      <c r="A4187" s="51"/>
      <c r="B4187" s="52" t="str">
        <f t="shared" si="228"/>
        <v/>
      </c>
      <c r="C4187" t="str">
        <f t="shared" si="227"/>
        <v/>
      </c>
      <c r="D4187" s="245" t="str">
        <f t="shared" si="229"/>
        <v/>
      </c>
      <c r="E4187" s="534"/>
      <c r="F4187" s="534"/>
    </row>
    <row r="4188" spans="1:6" ht="15" customHeight="1">
      <c r="A4188" s="51"/>
      <c r="B4188" s="52" t="str">
        <f t="shared" si="228"/>
        <v/>
      </c>
      <c r="C4188" t="str">
        <f t="shared" si="227"/>
        <v/>
      </c>
      <c r="D4188" s="245" t="str">
        <f t="shared" si="229"/>
        <v/>
      </c>
      <c r="E4188" s="534"/>
      <c r="F4188" s="534"/>
    </row>
    <row r="4189" spans="1:6" ht="15" customHeight="1">
      <c r="A4189" s="51"/>
      <c r="B4189" s="52" t="str">
        <f t="shared" si="228"/>
        <v/>
      </c>
      <c r="C4189" t="str">
        <f t="shared" si="227"/>
        <v/>
      </c>
      <c r="D4189" s="245" t="str">
        <f t="shared" si="229"/>
        <v/>
      </c>
      <c r="E4189" s="534"/>
      <c r="F4189" s="534"/>
    </row>
    <row r="4190" spans="1:6" ht="15" customHeight="1">
      <c r="A4190" s="51"/>
      <c r="B4190" s="52" t="str">
        <f t="shared" si="228"/>
        <v/>
      </c>
      <c r="C4190" t="str">
        <f t="shared" si="227"/>
        <v/>
      </c>
      <c r="D4190" s="245" t="str">
        <f t="shared" si="229"/>
        <v/>
      </c>
      <c r="E4190" s="534"/>
      <c r="F4190" s="534"/>
    </row>
    <row r="4191" spans="1:6" ht="15" customHeight="1">
      <c r="A4191" s="51"/>
      <c r="B4191" s="52" t="str">
        <f t="shared" si="228"/>
        <v/>
      </c>
      <c r="C4191" t="str">
        <f t="shared" si="227"/>
        <v/>
      </c>
      <c r="D4191" s="245" t="str">
        <f t="shared" si="229"/>
        <v/>
      </c>
      <c r="E4191" s="534"/>
      <c r="F4191" s="534"/>
    </row>
    <row r="4192" spans="1:6" ht="15" customHeight="1">
      <c r="A4192" s="51"/>
      <c r="B4192" s="52" t="str">
        <f t="shared" si="228"/>
        <v/>
      </c>
      <c r="C4192" t="str">
        <f t="shared" si="227"/>
        <v/>
      </c>
      <c r="D4192" s="245" t="str">
        <f t="shared" si="229"/>
        <v/>
      </c>
      <c r="E4192" s="534"/>
      <c r="F4192" s="534"/>
    </row>
    <row r="4193" spans="1:6" ht="15" customHeight="1">
      <c r="A4193" s="51"/>
      <c r="B4193" s="52" t="str">
        <f t="shared" si="228"/>
        <v/>
      </c>
      <c r="C4193" t="str">
        <f t="shared" si="227"/>
        <v/>
      </c>
      <c r="D4193" s="245" t="str">
        <f t="shared" si="229"/>
        <v/>
      </c>
      <c r="E4193" s="534"/>
      <c r="F4193" s="534"/>
    </row>
    <row r="4194" spans="1:6" ht="15" customHeight="1">
      <c r="A4194" s="51"/>
      <c r="B4194" s="52" t="str">
        <f t="shared" si="228"/>
        <v/>
      </c>
      <c r="C4194" t="str">
        <f t="shared" si="227"/>
        <v/>
      </c>
      <c r="D4194" s="245" t="str">
        <f t="shared" si="229"/>
        <v/>
      </c>
      <c r="E4194" s="534"/>
      <c r="F4194" s="534"/>
    </row>
    <row r="4195" spans="1:6" ht="15" customHeight="1">
      <c r="A4195" s="51"/>
      <c r="B4195" s="52" t="str">
        <f t="shared" si="228"/>
        <v/>
      </c>
      <c r="C4195" t="str">
        <f t="shared" si="227"/>
        <v/>
      </c>
      <c r="D4195" s="245" t="str">
        <f t="shared" si="229"/>
        <v/>
      </c>
      <c r="E4195" s="534"/>
      <c r="F4195" s="534"/>
    </row>
    <row r="4196" spans="1:6" ht="15" customHeight="1">
      <c r="A4196" s="51"/>
      <c r="B4196" s="52" t="str">
        <f t="shared" si="228"/>
        <v/>
      </c>
      <c r="C4196" t="str">
        <f t="shared" si="227"/>
        <v/>
      </c>
      <c r="D4196" s="245" t="str">
        <f t="shared" si="229"/>
        <v/>
      </c>
      <c r="E4196" s="534"/>
      <c r="F4196" s="534"/>
    </row>
    <row r="4197" spans="1:6" ht="15" customHeight="1">
      <c r="A4197" s="51"/>
      <c r="B4197" s="52" t="str">
        <f t="shared" si="228"/>
        <v/>
      </c>
      <c r="C4197" t="str">
        <f t="shared" si="227"/>
        <v/>
      </c>
      <c r="D4197" s="245" t="str">
        <f t="shared" si="229"/>
        <v/>
      </c>
      <c r="E4197" s="534"/>
      <c r="F4197" s="534"/>
    </row>
    <row r="4198" spans="1:6" ht="15" customHeight="1">
      <c r="A4198" s="51"/>
      <c r="B4198" s="52" t="str">
        <f t="shared" si="228"/>
        <v/>
      </c>
      <c r="C4198" t="str">
        <f t="shared" si="227"/>
        <v/>
      </c>
      <c r="D4198" s="245" t="str">
        <f t="shared" si="229"/>
        <v/>
      </c>
      <c r="E4198" s="534"/>
      <c r="F4198" s="534"/>
    </row>
    <row r="4199" spans="1:6" ht="15" customHeight="1">
      <c r="A4199" s="51"/>
      <c r="B4199" s="52" t="str">
        <f t="shared" si="228"/>
        <v/>
      </c>
      <c r="C4199" t="str">
        <f t="shared" si="227"/>
        <v/>
      </c>
      <c r="D4199" s="245" t="str">
        <f t="shared" si="229"/>
        <v/>
      </c>
      <c r="E4199" s="534"/>
      <c r="F4199" s="534"/>
    </row>
    <row r="4200" spans="1:6" ht="15" customHeight="1">
      <c r="A4200" s="51"/>
      <c r="B4200" s="52" t="str">
        <f t="shared" si="228"/>
        <v/>
      </c>
      <c r="C4200" t="str">
        <f t="shared" si="227"/>
        <v/>
      </c>
      <c r="D4200" s="245" t="str">
        <f t="shared" si="229"/>
        <v/>
      </c>
      <c r="E4200" s="534"/>
      <c r="F4200" s="534"/>
    </row>
    <row r="4201" spans="1:6" ht="15" customHeight="1">
      <c r="A4201" s="51"/>
      <c r="B4201" s="52" t="str">
        <f t="shared" si="228"/>
        <v/>
      </c>
      <c r="C4201" t="str">
        <f t="shared" si="227"/>
        <v/>
      </c>
      <c r="D4201" s="245" t="str">
        <f t="shared" si="229"/>
        <v/>
      </c>
      <c r="E4201" s="534"/>
      <c r="F4201" s="534"/>
    </row>
    <row r="4202" spans="1:6" ht="15" customHeight="1">
      <c r="A4202" s="51"/>
      <c r="B4202" s="52" t="str">
        <f t="shared" si="228"/>
        <v/>
      </c>
      <c r="C4202" t="str">
        <f t="shared" si="227"/>
        <v/>
      </c>
      <c r="D4202" s="245" t="str">
        <f t="shared" si="229"/>
        <v/>
      </c>
      <c r="E4202" s="534"/>
      <c r="F4202" s="534"/>
    </row>
    <row r="4203" spans="1:6" ht="15" customHeight="1">
      <c r="A4203" s="51"/>
      <c r="B4203" s="52" t="str">
        <f t="shared" si="228"/>
        <v/>
      </c>
      <c r="C4203" t="str">
        <f t="shared" si="227"/>
        <v/>
      </c>
      <c r="D4203" s="245" t="str">
        <f t="shared" si="229"/>
        <v/>
      </c>
      <c r="E4203" s="534"/>
      <c r="F4203" s="534"/>
    </row>
    <row r="4204" spans="1:6" ht="15" customHeight="1">
      <c r="A4204" s="51"/>
      <c r="B4204" s="52" t="str">
        <f t="shared" si="228"/>
        <v/>
      </c>
      <c r="C4204" t="str">
        <f t="shared" si="227"/>
        <v/>
      </c>
      <c r="D4204" s="245" t="str">
        <f t="shared" si="229"/>
        <v/>
      </c>
      <c r="E4204" s="534"/>
      <c r="F4204" s="534"/>
    </row>
    <row r="4205" spans="1:6" ht="15" customHeight="1">
      <c r="A4205" s="51"/>
      <c r="B4205" s="52" t="str">
        <f t="shared" si="228"/>
        <v/>
      </c>
      <c r="C4205" t="str">
        <f t="shared" si="227"/>
        <v/>
      </c>
      <c r="D4205" s="245" t="str">
        <f t="shared" si="229"/>
        <v/>
      </c>
      <c r="E4205" s="534"/>
      <c r="F4205" s="534"/>
    </row>
    <row r="4206" spans="1:6" ht="15" customHeight="1">
      <c r="A4206" s="51"/>
      <c r="B4206" s="52" t="str">
        <f t="shared" si="228"/>
        <v/>
      </c>
      <c r="C4206" t="str">
        <f t="shared" si="227"/>
        <v/>
      </c>
      <c r="D4206" s="245" t="str">
        <f t="shared" si="229"/>
        <v/>
      </c>
      <c r="E4206" s="534"/>
      <c r="F4206" s="534"/>
    </row>
    <row r="4207" spans="1:6" ht="15" customHeight="1">
      <c r="A4207" s="51"/>
      <c r="B4207" s="52" t="str">
        <f t="shared" si="228"/>
        <v/>
      </c>
      <c r="C4207" t="str">
        <f t="shared" si="227"/>
        <v/>
      </c>
      <c r="D4207" s="245" t="str">
        <f t="shared" si="229"/>
        <v/>
      </c>
      <c r="E4207" s="534"/>
      <c r="F4207" s="534"/>
    </row>
    <row r="4208" spans="1:6" ht="15" customHeight="1">
      <c r="A4208" s="51"/>
      <c r="B4208" s="52" t="str">
        <f t="shared" si="228"/>
        <v/>
      </c>
      <c r="C4208" t="str">
        <f t="shared" si="227"/>
        <v/>
      </c>
      <c r="D4208" s="245" t="str">
        <f t="shared" si="229"/>
        <v/>
      </c>
      <c r="E4208" s="534"/>
      <c r="F4208" s="534"/>
    </row>
    <row r="4209" spans="1:6" ht="15" customHeight="1">
      <c r="A4209" s="51"/>
      <c r="B4209" s="52" t="str">
        <f t="shared" si="228"/>
        <v/>
      </c>
      <c r="C4209" t="str">
        <f t="shared" si="227"/>
        <v/>
      </c>
      <c r="D4209" s="245" t="str">
        <f t="shared" si="229"/>
        <v/>
      </c>
      <c r="E4209" s="534"/>
      <c r="F4209" s="534"/>
    </row>
    <row r="4210" spans="1:6" ht="15" customHeight="1">
      <c r="A4210" s="51"/>
      <c r="B4210" s="52" t="str">
        <f t="shared" si="228"/>
        <v/>
      </c>
      <c r="C4210" t="str">
        <f t="shared" si="227"/>
        <v/>
      </c>
      <c r="D4210" s="245" t="str">
        <f t="shared" si="229"/>
        <v/>
      </c>
      <c r="E4210" s="534"/>
      <c r="F4210" s="534"/>
    </row>
    <row r="4211" spans="1:6" ht="15" customHeight="1">
      <c r="A4211" s="51"/>
      <c r="B4211" s="52" t="str">
        <f t="shared" si="228"/>
        <v/>
      </c>
      <c r="C4211" t="str">
        <f t="shared" si="227"/>
        <v/>
      </c>
      <c r="D4211" s="245" t="str">
        <f t="shared" si="229"/>
        <v/>
      </c>
      <c r="E4211" s="534"/>
      <c r="F4211" s="534"/>
    </row>
    <row r="4212" spans="1:6" ht="15" customHeight="1">
      <c r="A4212" s="51"/>
      <c r="B4212" s="52" t="str">
        <f t="shared" si="228"/>
        <v/>
      </c>
      <c r="C4212" t="str">
        <f t="shared" si="227"/>
        <v/>
      </c>
      <c r="D4212" s="245" t="str">
        <f t="shared" si="229"/>
        <v/>
      </c>
      <c r="E4212" s="534"/>
      <c r="F4212" s="534"/>
    </row>
    <row r="4213" spans="1:6" ht="15" customHeight="1">
      <c r="A4213" s="51"/>
      <c r="B4213" s="52" t="str">
        <f t="shared" si="228"/>
        <v/>
      </c>
      <c r="C4213" t="str">
        <f t="shared" si="227"/>
        <v/>
      </c>
      <c r="D4213" s="245" t="str">
        <f t="shared" si="229"/>
        <v/>
      </c>
      <c r="E4213" s="534"/>
      <c r="F4213" s="534"/>
    </row>
    <row r="4214" spans="1:6" ht="15" customHeight="1">
      <c r="A4214" s="51"/>
      <c r="B4214" s="52" t="str">
        <f t="shared" si="228"/>
        <v/>
      </c>
      <c r="C4214" t="str">
        <f t="shared" si="227"/>
        <v/>
      </c>
      <c r="D4214" s="245" t="str">
        <f t="shared" si="229"/>
        <v/>
      </c>
      <c r="E4214" s="534"/>
      <c r="F4214" s="534"/>
    </row>
    <row r="4215" spans="1:6" ht="15" customHeight="1">
      <c r="A4215" s="51"/>
      <c r="B4215" s="52" t="str">
        <f t="shared" si="228"/>
        <v/>
      </c>
      <c r="C4215" t="str">
        <f t="shared" si="227"/>
        <v/>
      </c>
      <c r="D4215" s="245" t="str">
        <f t="shared" si="229"/>
        <v/>
      </c>
      <c r="E4215" s="534"/>
      <c r="F4215" s="534"/>
    </row>
    <row r="4216" spans="1:6" ht="15" customHeight="1">
      <c r="A4216" s="51"/>
      <c r="B4216" s="52" t="str">
        <f t="shared" si="228"/>
        <v/>
      </c>
      <c r="C4216" t="str">
        <f t="shared" si="227"/>
        <v/>
      </c>
      <c r="D4216" s="245" t="str">
        <f t="shared" si="229"/>
        <v/>
      </c>
      <c r="E4216" s="534"/>
      <c r="F4216" s="534"/>
    </row>
    <row r="4217" spans="1:6" ht="15" customHeight="1">
      <c r="A4217" s="51"/>
      <c r="B4217" s="52" t="str">
        <f t="shared" si="228"/>
        <v/>
      </c>
      <c r="C4217" t="str">
        <f t="shared" si="227"/>
        <v/>
      </c>
      <c r="D4217" s="245" t="str">
        <f t="shared" si="229"/>
        <v/>
      </c>
      <c r="E4217" s="534"/>
      <c r="F4217" s="534"/>
    </row>
    <row r="4218" spans="1:6" ht="15" customHeight="1">
      <c r="A4218" s="51"/>
      <c r="B4218" s="52" t="str">
        <f t="shared" si="228"/>
        <v/>
      </c>
      <c r="C4218" t="str">
        <f t="shared" si="227"/>
        <v/>
      </c>
      <c r="D4218" s="245" t="str">
        <f t="shared" si="229"/>
        <v/>
      </c>
      <c r="E4218" s="534"/>
      <c r="F4218" s="534"/>
    </row>
    <row r="4219" spans="1:6" ht="15" customHeight="1">
      <c r="A4219" s="51"/>
      <c r="B4219" s="52" t="str">
        <f t="shared" si="228"/>
        <v/>
      </c>
      <c r="C4219" t="str">
        <f t="shared" si="227"/>
        <v/>
      </c>
      <c r="D4219" s="245" t="str">
        <f t="shared" si="229"/>
        <v/>
      </c>
      <c r="E4219" s="534"/>
      <c r="F4219" s="534"/>
    </row>
    <row r="4220" spans="1:6" ht="15" customHeight="1">
      <c r="A4220" s="51"/>
      <c r="B4220" s="52" t="str">
        <f t="shared" si="228"/>
        <v/>
      </c>
      <c r="C4220" t="str">
        <f t="shared" si="227"/>
        <v/>
      </c>
      <c r="D4220" s="245" t="str">
        <f t="shared" si="229"/>
        <v/>
      </c>
      <c r="E4220" s="534"/>
      <c r="F4220" s="534"/>
    </row>
    <row r="4221" spans="1:6" ht="15" customHeight="1">
      <c r="A4221" s="51"/>
      <c r="B4221" s="52" t="str">
        <f t="shared" si="228"/>
        <v/>
      </c>
      <c r="C4221" t="str">
        <f t="shared" si="227"/>
        <v/>
      </c>
      <c r="D4221" s="245" t="str">
        <f t="shared" si="229"/>
        <v/>
      </c>
      <c r="E4221" s="534"/>
      <c r="F4221" s="534"/>
    </row>
    <row r="4222" spans="1:6" ht="15" customHeight="1">
      <c r="A4222" s="51"/>
      <c r="B4222" s="52" t="str">
        <f t="shared" si="228"/>
        <v/>
      </c>
      <c r="C4222" t="str">
        <f t="shared" si="227"/>
        <v/>
      </c>
      <c r="D4222" s="245" t="str">
        <f t="shared" si="229"/>
        <v/>
      </c>
      <c r="E4222" s="534"/>
      <c r="F4222" s="534"/>
    </row>
    <row r="4223" spans="1:6" ht="15" customHeight="1">
      <c r="A4223" s="51"/>
      <c r="B4223" s="52" t="str">
        <f t="shared" si="228"/>
        <v/>
      </c>
      <c r="C4223" t="str">
        <f t="shared" si="227"/>
        <v/>
      </c>
      <c r="D4223" s="245" t="str">
        <f t="shared" si="229"/>
        <v/>
      </c>
      <c r="E4223" s="534"/>
      <c r="F4223" s="534"/>
    </row>
    <row r="4224" spans="1:6" ht="15" customHeight="1">
      <c r="A4224" s="51"/>
      <c r="B4224" s="52" t="str">
        <f t="shared" si="228"/>
        <v/>
      </c>
      <c r="C4224" t="str">
        <f t="shared" si="227"/>
        <v/>
      </c>
      <c r="D4224" s="245" t="str">
        <f t="shared" si="229"/>
        <v/>
      </c>
      <c r="E4224" s="534"/>
      <c r="F4224" s="534"/>
    </row>
    <row r="4225" spans="1:6" ht="15" customHeight="1">
      <c r="A4225" s="51"/>
      <c r="B4225" s="52" t="str">
        <f t="shared" si="228"/>
        <v/>
      </c>
      <c r="C4225" t="str">
        <f t="shared" si="227"/>
        <v/>
      </c>
      <c r="D4225" s="245" t="str">
        <f t="shared" si="229"/>
        <v/>
      </c>
      <c r="E4225" s="534"/>
      <c r="F4225" s="534"/>
    </row>
    <row r="4226" spans="1:6" ht="15" customHeight="1">
      <c r="A4226" s="51"/>
      <c r="B4226" s="52" t="str">
        <f t="shared" si="228"/>
        <v/>
      </c>
      <c r="C4226" t="str">
        <f t="shared" ref="C4226:C4289" si="230">IF(A4226&lt;&gt;"",TEXT(A4226,"aaaa"),"")</f>
        <v/>
      </c>
      <c r="D4226" s="245" t="str">
        <f t="shared" si="229"/>
        <v/>
      </c>
      <c r="E4226" s="534"/>
      <c r="F4226" s="534"/>
    </row>
    <row r="4227" spans="1:6" ht="15" customHeight="1">
      <c r="A4227" s="51"/>
      <c r="B4227" s="52" t="str">
        <f t="shared" si="228"/>
        <v/>
      </c>
      <c r="C4227" t="str">
        <f t="shared" si="230"/>
        <v/>
      </c>
      <c r="D4227" s="245" t="str">
        <f t="shared" si="229"/>
        <v/>
      </c>
      <c r="E4227" s="534"/>
      <c r="F4227" s="534"/>
    </row>
    <row r="4228" spans="1:6" ht="15" customHeight="1">
      <c r="A4228" s="51"/>
      <c r="B4228" s="52" t="str">
        <f t="shared" si="228"/>
        <v/>
      </c>
      <c r="C4228" t="str">
        <f t="shared" si="230"/>
        <v/>
      </c>
      <c r="D4228" s="245" t="str">
        <f t="shared" si="229"/>
        <v/>
      </c>
      <c r="E4228" s="534"/>
      <c r="F4228" s="534"/>
    </row>
    <row r="4229" spans="1:6" ht="15" customHeight="1">
      <c r="A4229" s="51"/>
      <c r="B4229" s="52" t="str">
        <f t="shared" si="228"/>
        <v/>
      </c>
      <c r="C4229" t="str">
        <f t="shared" si="230"/>
        <v/>
      </c>
      <c r="D4229" s="245" t="str">
        <f t="shared" si="229"/>
        <v/>
      </c>
      <c r="E4229" s="534"/>
      <c r="F4229" s="534"/>
    </row>
    <row r="4230" spans="1:6" ht="15" customHeight="1">
      <c r="A4230" s="51"/>
      <c r="B4230" s="52" t="str">
        <f t="shared" si="228"/>
        <v/>
      </c>
      <c r="C4230" t="str">
        <f t="shared" si="230"/>
        <v/>
      </c>
      <c r="D4230" s="245" t="str">
        <f t="shared" si="229"/>
        <v/>
      </c>
      <c r="E4230" s="534"/>
      <c r="F4230" s="534"/>
    </row>
    <row r="4231" spans="1:6" ht="15" customHeight="1">
      <c r="A4231" s="51"/>
      <c r="B4231" s="52" t="str">
        <f t="shared" si="228"/>
        <v/>
      </c>
      <c r="C4231" t="str">
        <f t="shared" si="230"/>
        <v/>
      </c>
      <c r="D4231" s="245" t="str">
        <f t="shared" si="229"/>
        <v/>
      </c>
      <c r="E4231" s="534"/>
      <c r="F4231" s="534"/>
    </row>
    <row r="4232" spans="1:6" ht="15" customHeight="1">
      <c r="A4232" s="51"/>
      <c r="B4232" s="52" t="str">
        <f t="shared" ref="B4232:B4295" si="231">IF(A4232="","",TEXT(A4232,"DDDD"))</f>
        <v/>
      </c>
      <c r="C4232" t="str">
        <f t="shared" si="230"/>
        <v/>
      </c>
      <c r="D4232" s="245" t="str">
        <f t="shared" si="229"/>
        <v/>
      </c>
      <c r="E4232" s="534"/>
      <c r="F4232" s="534"/>
    </row>
    <row r="4233" spans="1:6" ht="15" customHeight="1">
      <c r="A4233" s="51"/>
      <c r="B4233" s="52" t="str">
        <f t="shared" si="231"/>
        <v/>
      </c>
      <c r="C4233" t="str">
        <f t="shared" si="230"/>
        <v/>
      </c>
      <c r="D4233" s="245" t="str">
        <f t="shared" ref="D4233:D4296" si="232">IF(A4233&lt;&gt;"",PROPER(TEXT(A4233,"Mmmm")),"")</f>
        <v/>
      </c>
      <c r="E4233" s="534"/>
      <c r="F4233" s="534"/>
    </row>
    <row r="4234" spans="1:6" ht="15" customHeight="1">
      <c r="A4234" s="51"/>
      <c r="B4234" s="52" t="str">
        <f t="shared" si="231"/>
        <v/>
      </c>
      <c r="C4234" t="str">
        <f t="shared" si="230"/>
        <v/>
      </c>
      <c r="D4234" s="245" t="str">
        <f t="shared" si="232"/>
        <v/>
      </c>
      <c r="E4234" s="534"/>
      <c r="F4234" s="534"/>
    </row>
    <row r="4235" spans="1:6" ht="15" customHeight="1">
      <c r="A4235" s="51"/>
      <c r="B4235" s="52" t="str">
        <f t="shared" si="231"/>
        <v/>
      </c>
      <c r="C4235" t="str">
        <f t="shared" si="230"/>
        <v/>
      </c>
      <c r="D4235" s="245" t="str">
        <f t="shared" si="232"/>
        <v/>
      </c>
      <c r="E4235" s="534"/>
      <c r="F4235" s="534"/>
    </row>
    <row r="4236" spans="1:6" ht="15" customHeight="1">
      <c r="A4236" s="51"/>
      <c r="B4236" s="52" t="str">
        <f t="shared" si="231"/>
        <v/>
      </c>
      <c r="C4236" t="str">
        <f t="shared" si="230"/>
        <v/>
      </c>
      <c r="D4236" s="245" t="str">
        <f t="shared" si="232"/>
        <v/>
      </c>
      <c r="E4236" s="534"/>
      <c r="F4236" s="534"/>
    </row>
    <row r="4237" spans="1:6" ht="15" customHeight="1">
      <c r="A4237" s="51"/>
      <c r="B4237" s="52" t="str">
        <f t="shared" si="231"/>
        <v/>
      </c>
      <c r="C4237" t="str">
        <f t="shared" si="230"/>
        <v/>
      </c>
      <c r="D4237" s="245" t="str">
        <f t="shared" si="232"/>
        <v/>
      </c>
      <c r="E4237" s="534"/>
      <c r="F4237" s="534"/>
    </row>
    <row r="4238" spans="1:6" ht="15" customHeight="1">
      <c r="A4238" s="51"/>
      <c r="B4238" s="52" t="str">
        <f t="shared" si="231"/>
        <v/>
      </c>
      <c r="C4238" t="str">
        <f t="shared" si="230"/>
        <v/>
      </c>
      <c r="D4238" s="245" t="str">
        <f t="shared" si="232"/>
        <v/>
      </c>
      <c r="E4238" s="534"/>
      <c r="F4238" s="534"/>
    </row>
    <row r="4239" spans="1:6" ht="15" customHeight="1">
      <c r="A4239" s="51"/>
      <c r="B4239" s="52" t="str">
        <f t="shared" si="231"/>
        <v/>
      </c>
      <c r="C4239" t="str">
        <f t="shared" si="230"/>
        <v/>
      </c>
      <c r="D4239" s="245" t="str">
        <f t="shared" si="232"/>
        <v/>
      </c>
      <c r="E4239" s="534"/>
      <c r="F4239" s="534"/>
    </row>
    <row r="4240" spans="1:6" ht="15" customHeight="1">
      <c r="A4240" s="51"/>
      <c r="B4240" s="52" t="str">
        <f t="shared" si="231"/>
        <v/>
      </c>
      <c r="C4240" t="str">
        <f t="shared" si="230"/>
        <v/>
      </c>
      <c r="D4240" s="245" t="str">
        <f t="shared" si="232"/>
        <v/>
      </c>
      <c r="E4240" s="534"/>
      <c r="F4240" s="534"/>
    </row>
    <row r="4241" spans="1:6" ht="15" customHeight="1">
      <c r="A4241" s="51"/>
      <c r="B4241" s="52" t="str">
        <f t="shared" si="231"/>
        <v/>
      </c>
      <c r="C4241" t="str">
        <f t="shared" si="230"/>
        <v/>
      </c>
      <c r="D4241" s="245" t="str">
        <f t="shared" si="232"/>
        <v/>
      </c>
      <c r="E4241" s="534"/>
      <c r="F4241" s="534"/>
    </row>
    <row r="4242" spans="1:6" ht="15" customHeight="1">
      <c r="A4242" s="51"/>
      <c r="B4242" s="52" t="str">
        <f t="shared" si="231"/>
        <v/>
      </c>
      <c r="C4242" t="str">
        <f t="shared" si="230"/>
        <v/>
      </c>
      <c r="D4242" s="245" t="str">
        <f t="shared" si="232"/>
        <v/>
      </c>
      <c r="E4242" s="534"/>
      <c r="F4242" s="534"/>
    </row>
    <row r="4243" spans="1:6" ht="15" customHeight="1">
      <c r="A4243" s="51"/>
      <c r="B4243" s="52" t="str">
        <f t="shared" si="231"/>
        <v/>
      </c>
      <c r="C4243" t="str">
        <f t="shared" si="230"/>
        <v/>
      </c>
      <c r="D4243" s="245" t="str">
        <f t="shared" si="232"/>
        <v/>
      </c>
      <c r="E4243" s="534"/>
      <c r="F4243" s="534"/>
    </row>
    <row r="4244" spans="1:6" ht="15" customHeight="1">
      <c r="A4244" s="51"/>
      <c r="B4244" s="52" t="str">
        <f t="shared" si="231"/>
        <v/>
      </c>
      <c r="C4244" t="str">
        <f t="shared" si="230"/>
        <v/>
      </c>
      <c r="D4244" s="245" t="str">
        <f t="shared" si="232"/>
        <v/>
      </c>
      <c r="E4244" s="534"/>
      <c r="F4244" s="534"/>
    </row>
    <row r="4245" spans="1:6" ht="15" customHeight="1">
      <c r="A4245" s="51"/>
      <c r="B4245" s="52" t="str">
        <f t="shared" si="231"/>
        <v/>
      </c>
      <c r="C4245" t="str">
        <f t="shared" si="230"/>
        <v/>
      </c>
      <c r="D4245" s="245" t="str">
        <f t="shared" si="232"/>
        <v/>
      </c>
      <c r="E4245" s="534"/>
      <c r="F4245" s="534"/>
    </row>
    <row r="4246" spans="1:6" ht="15" customHeight="1">
      <c r="A4246" s="51"/>
      <c r="B4246" s="52" t="str">
        <f t="shared" si="231"/>
        <v/>
      </c>
      <c r="C4246" t="str">
        <f t="shared" si="230"/>
        <v/>
      </c>
      <c r="D4246" s="245" t="str">
        <f t="shared" si="232"/>
        <v/>
      </c>
      <c r="E4246" s="534"/>
      <c r="F4246" s="534"/>
    </row>
    <row r="4247" spans="1:6" ht="15" customHeight="1">
      <c r="A4247" s="51"/>
      <c r="B4247" s="52" t="str">
        <f t="shared" si="231"/>
        <v/>
      </c>
      <c r="C4247" t="str">
        <f t="shared" si="230"/>
        <v/>
      </c>
      <c r="D4247" s="245" t="str">
        <f t="shared" si="232"/>
        <v/>
      </c>
      <c r="E4247" s="534"/>
      <c r="F4247" s="534"/>
    </row>
    <row r="4248" spans="1:6" ht="15" customHeight="1">
      <c r="A4248" s="51"/>
      <c r="B4248" s="52" t="str">
        <f t="shared" si="231"/>
        <v/>
      </c>
      <c r="C4248" t="str">
        <f t="shared" si="230"/>
        <v/>
      </c>
      <c r="D4248" s="245" t="str">
        <f t="shared" si="232"/>
        <v/>
      </c>
      <c r="E4248" s="534"/>
      <c r="F4248" s="534"/>
    </row>
    <row r="4249" spans="1:6" ht="15" customHeight="1">
      <c r="A4249" s="51"/>
      <c r="B4249" s="52" t="str">
        <f t="shared" si="231"/>
        <v/>
      </c>
      <c r="C4249" t="str">
        <f t="shared" si="230"/>
        <v/>
      </c>
      <c r="D4249" s="245" t="str">
        <f t="shared" si="232"/>
        <v/>
      </c>
      <c r="E4249" s="534"/>
      <c r="F4249" s="534"/>
    </row>
    <row r="4250" spans="1:6" ht="15" customHeight="1">
      <c r="A4250" s="51"/>
      <c r="B4250" s="52" t="str">
        <f t="shared" si="231"/>
        <v/>
      </c>
      <c r="C4250" t="str">
        <f t="shared" si="230"/>
        <v/>
      </c>
      <c r="D4250" s="245" t="str">
        <f t="shared" si="232"/>
        <v/>
      </c>
      <c r="E4250" s="534"/>
      <c r="F4250" s="534"/>
    </row>
    <row r="4251" spans="1:6" ht="15" customHeight="1">
      <c r="A4251" s="51"/>
      <c r="B4251" s="52" t="str">
        <f t="shared" si="231"/>
        <v/>
      </c>
      <c r="C4251" t="str">
        <f t="shared" si="230"/>
        <v/>
      </c>
      <c r="D4251" s="245" t="str">
        <f t="shared" si="232"/>
        <v/>
      </c>
      <c r="E4251" s="534"/>
      <c r="F4251" s="534"/>
    </row>
    <row r="4252" spans="1:6" ht="15" customHeight="1">
      <c r="A4252" s="51"/>
      <c r="B4252" s="52" t="str">
        <f t="shared" si="231"/>
        <v/>
      </c>
      <c r="C4252" t="str">
        <f t="shared" si="230"/>
        <v/>
      </c>
      <c r="D4252" s="245" t="str">
        <f t="shared" si="232"/>
        <v/>
      </c>
      <c r="E4252" s="534"/>
      <c r="F4252" s="534"/>
    </row>
    <row r="4253" spans="1:6" ht="15" customHeight="1">
      <c r="A4253" s="51"/>
      <c r="B4253" s="52" t="str">
        <f t="shared" si="231"/>
        <v/>
      </c>
      <c r="C4253" t="str">
        <f t="shared" si="230"/>
        <v/>
      </c>
      <c r="D4253" s="245" t="str">
        <f t="shared" si="232"/>
        <v/>
      </c>
      <c r="E4253" s="534"/>
      <c r="F4253" s="534"/>
    </row>
    <row r="4254" spans="1:6" ht="15" customHeight="1">
      <c r="A4254" s="51"/>
      <c r="B4254" s="52" t="str">
        <f t="shared" si="231"/>
        <v/>
      </c>
      <c r="C4254" t="str">
        <f t="shared" si="230"/>
        <v/>
      </c>
      <c r="D4254" s="245" t="str">
        <f t="shared" si="232"/>
        <v/>
      </c>
      <c r="E4254" s="534"/>
      <c r="F4254" s="534"/>
    </row>
    <row r="4255" spans="1:6" ht="15" customHeight="1">
      <c r="A4255" s="51"/>
      <c r="B4255" s="52" t="str">
        <f t="shared" si="231"/>
        <v/>
      </c>
      <c r="C4255" t="str">
        <f t="shared" si="230"/>
        <v/>
      </c>
      <c r="D4255" s="245" t="str">
        <f t="shared" si="232"/>
        <v/>
      </c>
      <c r="E4255" s="534"/>
      <c r="F4255" s="534"/>
    </row>
    <row r="4256" spans="1:6" ht="15" customHeight="1">
      <c r="A4256" s="51"/>
      <c r="B4256" s="52" t="str">
        <f t="shared" si="231"/>
        <v/>
      </c>
      <c r="C4256" t="str">
        <f t="shared" si="230"/>
        <v/>
      </c>
      <c r="D4256" s="245" t="str">
        <f t="shared" si="232"/>
        <v/>
      </c>
      <c r="E4256" s="534"/>
      <c r="F4256" s="534"/>
    </row>
    <row r="4257" spans="1:6" ht="15" customHeight="1">
      <c r="A4257" s="51"/>
      <c r="B4257" s="52" t="str">
        <f t="shared" si="231"/>
        <v/>
      </c>
      <c r="C4257" t="str">
        <f t="shared" si="230"/>
        <v/>
      </c>
      <c r="D4257" s="245" t="str">
        <f t="shared" si="232"/>
        <v/>
      </c>
      <c r="E4257" s="534"/>
      <c r="F4257" s="534"/>
    </row>
    <row r="4258" spans="1:6" ht="15" customHeight="1">
      <c r="A4258" s="51"/>
      <c r="B4258" s="52" t="str">
        <f t="shared" si="231"/>
        <v/>
      </c>
      <c r="C4258" t="str">
        <f t="shared" si="230"/>
        <v/>
      </c>
      <c r="D4258" s="245" t="str">
        <f t="shared" si="232"/>
        <v/>
      </c>
      <c r="E4258" s="534"/>
      <c r="F4258" s="534"/>
    </row>
    <row r="4259" spans="1:6" ht="15" customHeight="1">
      <c r="A4259" s="51"/>
      <c r="B4259" s="52" t="str">
        <f t="shared" si="231"/>
        <v/>
      </c>
      <c r="C4259" t="str">
        <f t="shared" si="230"/>
        <v/>
      </c>
      <c r="D4259" s="245" t="str">
        <f t="shared" si="232"/>
        <v/>
      </c>
      <c r="E4259" s="534"/>
      <c r="F4259" s="534"/>
    </row>
    <row r="4260" spans="1:6" ht="15" customHeight="1">
      <c r="A4260" s="51"/>
      <c r="B4260" s="52" t="str">
        <f t="shared" si="231"/>
        <v/>
      </c>
      <c r="C4260" t="str">
        <f t="shared" si="230"/>
        <v/>
      </c>
      <c r="D4260" s="245" t="str">
        <f t="shared" si="232"/>
        <v/>
      </c>
      <c r="E4260" s="534"/>
      <c r="F4260" s="534"/>
    </row>
    <row r="4261" spans="1:6" ht="15" customHeight="1">
      <c r="A4261" s="51"/>
      <c r="B4261" s="52" t="str">
        <f t="shared" si="231"/>
        <v/>
      </c>
      <c r="C4261" t="str">
        <f t="shared" si="230"/>
        <v/>
      </c>
      <c r="D4261" s="245" t="str">
        <f t="shared" si="232"/>
        <v/>
      </c>
      <c r="E4261" s="534"/>
      <c r="F4261" s="534"/>
    </row>
    <row r="4262" spans="1:6" ht="15" customHeight="1">
      <c r="A4262" s="51"/>
      <c r="B4262" s="52" t="str">
        <f t="shared" si="231"/>
        <v/>
      </c>
      <c r="C4262" t="str">
        <f t="shared" si="230"/>
        <v/>
      </c>
      <c r="D4262" s="245" t="str">
        <f t="shared" si="232"/>
        <v/>
      </c>
      <c r="E4262" s="534"/>
      <c r="F4262" s="534"/>
    </row>
    <row r="4263" spans="1:6" ht="15" customHeight="1">
      <c r="A4263" s="51"/>
      <c r="B4263" s="52" t="str">
        <f t="shared" si="231"/>
        <v/>
      </c>
      <c r="C4263" t="str">
        <f t="shared" si="230"/>
        <v/>
      </c>
      <c r="D4263" s="245" t="str">
        <f t="shared" si="232"/>
        <v/>
      </c>
      <c r="E4263" s="534"/>
      <c r="F4263" s="534"/>
    </row>
    <row r="4264" spans="1:6" ht="15" customHeight="1">
      <c r="A4264" s="51"/>
      <c r="B4264" s="52" t="str">
        <f t="shared" si="231"/>
        <v/>
      </c>
      <c r="C4264" t="str">
        <f t="shared" si="230"/>
        <v/>
      </c>
      <c r="D4264" s="245" t="str">
        <f t="shared" si="232"/>
        <v/>
      </c>
      <c r="E4264" s="534"/>
      <c r="F4264" s="534"/>
    </row>
    <row r="4265" spans="1:6" ht="15" customHeight="1">
      <c r="A4265" s="51"/>
      <c r="B4265" s="52" t="str">
        <f t="shared" si="231"/>
        <v/>
      </c>
      <c r="C4265" t="str">
        <f t="shared" si="230"/>
        <v/>
      </c>
      <c r="D4265" s="245" t="str">
        <f t="shared" si="232"/>
        <v/>
      </c>
      <c r="E4265" s="534"/>
      <c r="F4265" s="534"/>
    </row>
    <row r="4266" spans="1:6" ht="15" customHeight="1">
      <c r="A4266" s="51"/>
      <c r="B4266" s="52" t="str">
        <f t="shared" si="231"/>
        <v/>
      </c>
      <c r="C4266" t="str">
        <f t="shared" si="230"/>
        <v/>
      </c>
      <c r="D4266" s="245" t="str">
        <f t="shared" si="232"/>
        <v/>
      </c>
      <c r="E4266" s="534"/>
      <c r="F4266" s="534"/>
    </row>
    <row r="4267" spans="1:6" ht="15" customHeight="1">
      <c r="A4267" s="51"/>
      <c r="B4267" s="52" t="str">
        <f t="shared" si="231"/>
        <v/>
      </c>
      <c r="C4267" t="str">
        <f t="shared" si="230"/>
        <v/>
      </c>
      <c r="D4267" s="245" t="str">
        <f t="shared" si="232"/>
        <v/>
      </c>
      <c r="E4267" s="534"/>
      <c r="F4267" s="534"/>
    </row>
    <row r="4268" spans="1:6" ht="15" customHeight="1">
      <c r="A4268" s="51"/>
      <c r="B4268" s="52" t="str">
        <f t="shared" si="231"/>
        <v/>
      </c>
      <c r="C4268" t="str">
        <f t="shared" si="230"/>
        <v/>
      </c>
      <c r="D4268" s="245" t="str">
        <f t="shared" si="232"/>
        <v/>
      </c>
      <c r="E4268" s="534"/>
      <c r="F4268" s="534"/>
    </row>
    <row r="4269" spans="1:6" ht="15" customHeight="1">
      <c r="A4269" s="51"/>
      <c r="B4269" s="52" t="str">
        <f t="shared" si="231"/>
        <v/>
      </c>
      <c r="C4269" t="str">
        <f t="shared" si="230"/>
        <v/>
      </c>
      <c r="D4269" s="245" t="str">
        <f t="shared" si="232"/>
        <v/>
      </c>
      <c r="E4269" s="534"/>
      <c r="F4269" s="534"/>
    </row>
    <row r="4270" spans="1:6" ht="15" customHeight="1">
      <c r="A4270" s="51"/>
      <c r="B4270" s="52" t="str">
        <f t="shared" si="231"/>
        <v/>
      </c>
      <c r="C4270" t="str">
        <f t="shared" si="230"/>
        <v/>
      </c>
      <c r="D4270" s="245" t="str">
        <f t="shared" si="232"/>
        <v/>
      </c>
      <c r="E4270" s="534"/>
      <c r="F4270" s="534"/>
    </row>
    <row r="4271" spans="1:6" ht="15" customHeight="1">
      <c r="A4271" s="51"/>
      <c r="B4271" s="52" t="str">
        <f t="shared" si="231"/>
        <v/>
      </c>
      <c r="C4271" t="str">
        <f t="shared" si="230"/>
        <v/>
      </c>
      <c r="D4271" s="245" t="str">
        <f t="shared" si="232"/>
        <v/>
      </c>
      <c r="E4271" s="534"/>
      <c r="F4271" s="534"/>
    </row>
    <row r="4272" spans="1:6" ht="15" customHeight="1">
      <c r="A4272" s="51"/>
      <c r="B4272" s="52" t="str">
        <f t="shared" si="231"/>
        <v/>
      </c>
      <c r="C4272" t="str">
        <f t="shared" si="230"/>
        <v/>
      </c>
      <c r="D4272" s="245" t="str">
        <f t="shared" si="232"/>
        <v/>
      </c>
      <c r="E4272" s="534"/>
      <c r="F4272" s="534"/>
    </row>
    <row r="4273" spans="1:6" ht="15" customHeight="1">
      <c r="A4273" s="51"/>
      <c r="B4273" s="52" t="str">
        <f t="shared" si="231"/>
        <v/>
      </c>
      <c r="C4273" t="str">
        <f t="shared" si="230"/>
        <v/>
      </c>
      <c r="D4273" s="245" t="str">
        <f t="shared" si="232"/>
        <v/>
      </c>
      <c r="E4273" s="534"/>
      <c r="F4273" s="534"/>
    </row>
    <row r="4274" spans="1:6" ht="15" customHeight="1">
      <c r="A4274" s="51"/>
      <c r="B4274" s="52" t="str">
        <f t="shared" si="231"/>
        <v/>
      </c>
      <c r="C4274" t="str">
        <f t="shared" si="230"/>
        <v/>
      </c>
      <c r="D4274" s="245" t="str">
        <f t="shared" si="232"/>
        <v/>
      </c>
      <c r="E4274" s="534"/>
      <c r="F4274" s="534"/>
    </row>
    <row r="4275" spans="1:6" ht="15" customHeight="1">
      <c r="A4275" s="51"/>
      <c r="B4275" s="52" t="str">
        <f t="shared" si="231"/>
        <v/>
      </c>
      <c r="C4275" t="str">
        <f t="shared" si="230"/>
        <v/>
      </c>
      <c r="D4275" s="245" t="str">
        <f t="shared" si="232"/>
        <v/>
      </c>
      <c r="E4275" s="534"/>
      <c r="F4275" s="534"/>
    </row>
    <row r="4276" spans="1:6" ht="15" customHeight="1">
      <c r="A4276" s="51"/>
      <c r="B4276" s="52" t="str">
        <f t="shared" si="231"/>
        <v/>
      </c>
      <c r="C4276" t="str">
        <f t="shared" si="230"/>
        <v/>
      </c>
      <c r="D4276" s="245" t="str">
        <f t="shared" si="232"/>
        <v/>
      </c>
      <c r="E4276" s="534"/>
      <c r="F4276" s="534"/>
    </row>
    <row r="4277" spans="1:6" ht="15" customHeight="1">
      <c r="A4277" s="51"/>
      <c r="B4277" s="52" t="str">
        <f t="shared" si="231"/>
        <v/>
      </c>
      <c r="C4277" t="str">
        <f t="shared" si="230"/>
        <v/>
      </c>
      <c r="D4277" s="245" t="str">
        <f t="shared" si="232"/>
        <v/>
      </c>
      <c r="E4277" s="534"/>
      <c r="F4277" s="534"/>
    </row>
    <row r="4278" spans="1:6" ht="15" customHeight="1">
      <c r="A4278" s="51"/>
      <c r="B4278" s="52" t="str">
        <f t="shared" si="231"/>
        <v/>
      </c>
      <c r="C4278" t="str">
        <f t="shared" si="230"/>
        <v/>
      </c>
      <c r="D4278" s="245" t="str">
        <f t="shared" si="232"/>
        <v/>
      </c>
      <c r="E4278" s="534"/>
      <c r="F4278" s="534"/>
    </row>
    <row r="4279" spans="1:6" ht="15" customHeight="1">
      <c r="A4279" s="51"/>
      <c r="B4279" s="52" t="str">
        <f t="shared" si="231"/>
        <v/>
      </c>
      <c r="C4279" t="str">
        <f t="shared" si="230"/>
        <v/>
      </c>
      <c r="D4279" s="245" t="str">
        <f t="shared" si="232"/>
        <v/>
      </c>
      <c r="E4279" s="534"/>
      <c r="F4279" s="534"/>
    </row>
    <row r="4280" spans="1:6" ht="15" customHeight="1">
      <c r="A4280" s="51"/>
      <c r="B4280" s="52" t="str">
        <f t="shared" si="231"/>
        <v/>
      </c>
      <c r="C4280" t="str">
        <f t="shared" si="230"/>
        <v/>
      </c>
      <c r="D4280" s="245" t="str">
        <f t="shared" si="232"/>
        <v/>
      </c>
      <c r="E4280" s="534"/>
      <c r="F4280" s="534"/>
    </row>
    <row r="4281" spans="1:6" ht="15" customHeight="1">
      <c r="A4281" s="51"/>
      <c r="B4281" s="52" t="str">
        <f t="shared" si="231"/>
        <v/>
      </c>
      <c r="C4281" t="str">
        <f t="shared" si="230"/>
        <v/>
      </c>
      <c r="D4281" s="245" t="str">
        <f t="shared" si="232"/>
        <v/>
      </c>
      <c r="E4281" s="534"/>
      <c r="F4281" s="534"/>
    </row>
    <row r="4282" spans="1:6" ht="15" customHeight="1">
      <c r="A4282" s="51"/>
      <c r="B4282" s="52" t="str">
        <f t="shared" si="231"/>
        <v/>
      </c>
      <c r="C4282" t="str">
        <f t="shared" si="230"/>
        <v/>
      </c>
      <c r="D4282" s="245" t="str">
        <f t="shared" si="232"/>
        <v/>
      </c>
      <c r="E4282" s="534"/>
      <c r="F4282" s="534"/>
    </row>
    <row r="4283" spans="1:6" ht="15" customHeight="1">
      <c r="A4283" s="51"/>
      <c r="B4283" s="52" t="str">
        <f t="shared" si="231"/>
        <v/>
      </c>
      <c r="C4283" t="str">
        <f t="shared" si="230"/>
        <v/>
      </c>
      <c r="D4283" s="245" t="str">
        <f t="shared" si="232"/>
        <v/>
      </c>
      <c r="E4283" s="534"/>
      <c r="F4283" s="534"/>
    </row>
    <row r="4284" spans="1:6" ht="15" customHeight="1">
      <c r="A4284" s="51"/>
      <c r="B4284" s="52" t="str">
        <f t="shared" si="231"/>
        <v/>
      </c>
      <c r="C4284" t="str">
        <f t="shared" si="230"/>
        <v/>
      </c>
      <c r="D4284" s="245" t="str">
        <f t="shared" si="232"/>
        <v/>
      </c>
      <c r="E4284" s="534"/>
      <c r="F4284" s="534"/>
    </row>
    <row r="4285" spans="1:6" ht="15" customHeight="1">
      <c r="A4285" s="51"/>
      <c r="B4285" s="52" t="str">
        <f t="shared" si="231"/>
        <v/>
      </c>
      <c r="C4285" t="str">
        <f t="shared" si="230"/>
        <v/>
      </c>
      <c r="D4285" s="245" t="str">
        <f t="shared" si="232"/>
        <v/>
      </c>
      <c r="E4285" s="534"/>
      <c r="F4285" s="534"/>
    </row>
    <row r="4286" spans="1:6" ht="15" customHeight="1">
      <c r="A4286" s="51"/>
      <c r="B4286" s="52" t="str">
        <f t="shared" si="231"/>
        <v/>
      </c>
      <c r="C4286" t="str">
        <f t="shared" si="230"/>
        <v/>
      </c>
      <c r="D4286" s="245" t="str">
        <f t="shared" si="232"/>
        <v/>
      </c>
      <c r="E4286" s="534"/>
      <c r="F4286" s="534"/>
    </row>
    <row r="4287" spans="1:6" ht="15" customHeight="1">
      <c r="A4287" s="51"/>
      <c r="B4287" s="52" t="str">
        <f t="shared" si="231"/>
        <v/>
      </c>
      <c r="C4287" t="str">
        <f t="shared" si="230"/>
        <v/>
      </c>
      <c r="D4287" s="245" t="str">
        <f t="shared" si="232"/>
        <v/>
      </c>
      <c r="E4287" s="534"/>
      <c r="F4287" s="534"/>
    </row>
    <row r="4288" spans="1:6" ht="15" customHeight="1">
      <c r="A4288" s="51"/>
      <c r="B4288" s="52" t="str">
        <f t="shared" si="231"/>
        <v/>
      </c>
      <c r="C4288" t="str">
        <f t="shared" si="230"/>
        <v/>
      </c>
      <c r="D4288" s="245" t="str">
        <f t="shared" si="232"/>
        <v/>
      </c>
      <c r="E4288" s="534"/>
      <c r="F4288" s="534"/>
    </row>
    <row r="4289" spans="1:6" ht="15" customHeight="1">
      <c r="A4289" s="51"/>
      <c r="B4289" s="52" t="str">
        <f t="shared" si="231"/>
        <v/>
      </c>
      <c r="C4289" t="str">
        <f t="shared" si="230"/>
        <v/>
      </c>
      <c r="D4289" s="245" t="str">
        <f t="shared" si="232"/>
        <v/>
      </c>
      <c r="E4289" s="534"/>
      <c r="F4289" s="534"/>
    </row>
    <row r="4290" spans="1:6" ht="15" customHeight="1">
      <c r="A4290" s="51"/>
      <c r="B4290" s="52" t="str">
        <f t="shared" si="231"/>
        <v/>
      </c>
      <c r="C4290" t="str">
        <f t="shared" ref="C4290:C4353" si="233">IF(A4290&lt;&gt;"",TEXT(A4290,"aaaa"),"")</f>
        <v/>
      </c>
      <c r="D4290" s="245" t="str">
        <f t="shared" si="232"/>
        <v/>
      </c>
      <c r="E4290" s="534"/>
      <c r="F4290" s="534"/>
    </row>
    <row r="4291" spans="1:6" ht="15" customHeight="1">
      <c r="A4291" s="51"/>
      <c r="B4291" s="52" t="str">
        <f t="shared" si="231"/>
        <v/>
      </c>
      <c r="C4291" t="str">
        <f t="shared" si="233"/>
        <v/>
      </c>
      <c r="D4291" s="245" t="str">
        <f t="shared" si="232"/>
        <v/>
      </c>
      <c r="E4291" s="534"/>
      <c r="F4291" s="534"/>
    </row>
    <row r="4292" spans="1:6" ht="15" customHeight="1">
      <c r="A4292" s="51"/>
      <c r="B4292" s="52" t="str">
        <f t="shared" si="231"/>
        <v/>
      </c>
      <c r="C4292" t="str">
        <f t="shared" si="233"/>
        <v/>
      </c>
      <c r="D4292" s="245" t="str">
        <f t="shared" si="232"/>
        <v/>
      </c>
      <c r="E4292" s="534"/>
      <c r="F4292" s="534"/>
    </row>
    <row r="4293" spans="1:6" ht="15" customHeight="1">
      <c r="A4293" s="51"/>
      <c r="B4293" s="52" t="str">
        <f t="shared" si="231"/>
        <v/>
      </c>
      <c r="C4293" t="str">
        <f t="shared" si="233"/>
        <v/>
      </c>
      <c r="D4293" s="245" t="str">
        <f t="shared" si="232"/>
        <v/>
      </c>
      <c r="E4293" s="534"/>
      <c r="F4293" s="534"/>
    </row>
    <row r="4294" spans="1:6" ht="15" customHeight="1">
      <c r="A4294" s="51"/>
      <c r="B4294" s="52" t="str">
        <f t="shared" si="231"/>
        <v/>
      </c>
      <c r="C4294" t="str">
        <f t="shared" si="233"/>
        <v/>
      </c>
      <c r="D4294" s="245" t="str">
        <f t="shared" si="232"/>
        <v/>
      </c>
      <c r="E4294" s="534"/>
      <c r="F4294" s="534"/>
    </row>
    <row r="4295" spans="1:6" ht="15" customHeight="1">
      <c r="A4295" s="51"/>
      <c r="B4295" s="52" t="str">
        <f t="shared" si="231"/>
        <v/>
      </c>
      <c r="C4295" t="str">
        <f t="shared" si="233"/>
        <v/>
      </c>
      <c r="D4295" s="245" t="str">
        <f t="shared" si="232"/>
        <v/>
      </c>
      <c r="E4295" s="534"/>
      <c r="F4295" s="534"/>
    </row>
    <row r="4296" spans="1:6" ht="15" customHeight="1">
      <c r="A4296" s="51"/>
      <c r="B4296" s="52" t="str">
        <f t="shared" ref="B4296:B4359" si="234">IF(A4296="","",TEXT(A4296,"DDDD"))</f>
        <v/>
      </c>
      <c r="C4296" t="str">
        <f t="shared" si="233"/>
        <v/>
      </c>
      <c r="D4296" s="245" t="str">
        <f t="shared" si="232"/>
        <v/>
      </c>
      <c r="E4296" s="534"/>
      <c r="F4296" s="534"/>
    </row>
    <row r="4297" spans="1:6" ht="15" customHeight="1">
      <c r="A4297" s="51"/>
      <c r="B4297" s="52" t="str">
        <f t="shared" si="234"/>
        <v/>
      </c>
      <c r="C4297" t="str">
        <f t="shared" si="233"/>
        <v/>
      </c>
      <c r="D4297" s="245" t="str">
        <f t="shared" ref="D4297:D4360" si="235">IF(A4297&lt;&gt;"",PROPER(TEXT(A4297,"Mmmm")),"")</f>
        <v/>
      </c>
      <c r="E4297" s="534"/>
      <c r="F4297" s="534"/>
    </row>
    <row r="4298" spans="1:6" ht="15" customHeight="1">
      <c r="A4298" s="51"/>
      <c r="B4298" s="52" t="str">
        <f t="shared" si="234"/>
        <v/>
      </c>
      <c r="C4298" t="str">
        <f t="shared" si="233"/>
        <v/>
      </c>
      <c r="D4298" s="245" t="str">
        <f t="shared" si="235"/>
        <v/>
      </c>
      <c r="E4298" s="534"/>
      <c r="F4298" s="534"/>
    </row>
    <row r="4299" spans="1:6" ht="15" customHeight="1">
      <c r="A4299" s="51"/>
      <c r="B4299" s="52" t="str">
        <f t="shared" si="234"/>
        <v/>
      </c>
      <c r="C4299" t="str">
        <f t="shared" si="233"/>
        <v/>
      </c>
      <c r="D4299" s="245" t="str">
        <f t="shared" si="235"/>
        <v/>
      </c>
      <c r="E4299" s="534"/>
      <c r="F4299" s="534"/>
    </row>
    <row r="4300" spans="1:6" ht="15" customHeight="1">
      <c r="A4300" s="51"/>
      <c r="B4300" s="52" t="str">
        <f t="shared" si="234"/>
        <v/>
      </c>
      <c r="C4300" t="str">
        <f t="shared" si="233"/>
        <v/>
      </c>
      <c r="D4300" s="245" t="str">
        <f t="shared" si="235"/>
        <v/>
      </c>
      <c r="E4300" s="534"/>
      <c r="F4300" s="534"/>
    </row>
    <row r="4301" spans="1:6" ht="15" customHeight="1">
      <c r="A4301" s="51"/>
      <c r="B4301" s="52" t="str">
        <f t="shared" si="234"/>
        <v/>
      </c>
      <c r="C4301" t="str">
        <f t="shared" si="233"/>
        <v/>
      </c>
      <c r="D4301" s="245" t="str">
        <f t="shared" si="235"/>
        <v/>
      </c>
      <c r="E4301" s="534"/>
      <c r="F4301" s="534"/>
    </row>
    <row r="4302" spans="1:6" ht="15" customHeight="1">
      <c r="A4302" s="51"/>
      <c r="B4302" s="52" t="str">
        <f t="shared" si="234"/>
        <v/>
      </c>
      <c r="C4302" t="str">
        <f t="shared" si="233"/>
        <v/>
      </c>
      <c r="D4302" s="245" t="str">
        <f t="shared" si="235"/>
        <v/>
      </c>
      <c r="E4302" s="534"/>
      <c r="F4302" s="534"/>
    </row>
    <row r="4303" spans="1:6" ht="15" customHeight="1">
      <c r="A4303" s="51"/>
      <c r="B4303" s="52" t="str">
        <f t="shared" si="234"/>
        <v/>
      </c>
      <c r="C4303" t="str">
        <f t="shared" si="233"/>
        <v/>
      </c>
      <c r="D4303" s="245" t="str">
        <f t="shared" si="235"/>
        <v/>
      </c>
      <c r="E4303" s="534"/>
      <c r="F4303" s="534"/>
    </row>
    <row r="4304" spans="1:6" ht="15" customHeight="1">
      <c r="A4304" s="51"/>
      <c r="B4304" s="52" t="str">
        <f t="shared" si="234"/>
        <v/>
      </c>
      <c r="C4304" t="str">
        <f t="shared" si="233"/>
        <v/>
      </c>
      <c r="D4304" s="245" t="str">
        <f t="shared" si="235"/>
        <v/>
      </c>
      <c r="E4304" s="534"/>
      <c r="F4304" s="534"/>
    </row>
    <row r="4305" spans="1:6" ht="15" customHeight="1">
      <c r="A4305" s="51"/>
      <c r="B4305" s="52" t="str">
        <f t="shared" si="234"/>
        <v/>
      </c>
      <c r="C4305" t="str">
        <f t="shared" si="233"/>
        <v/>
      </c>
      <c r="D4305" s="245" t="str">
        <f t="shared" si="235"/>
        <v/>
      </c>
      <c r="E4305" s="534"/>
      <c r="F4305" s="534"/>
    </row>
    <row r="4306" spans="1:6" ht="15" customHeight="1">
      <c r="A4306" s="51"/>
      <c r="B4306" s="52" t="str">
        <f t="shared" si="234"/>
        <v/>
      </c>
      <c r="C4306" t="str">
        <f t="shared" si="233"/>
        <v/>
      </c>
      <c r="D4306" s="245" t="str">
        <f t="shared" si="235"/>
        <v/>
      </c>
      <c r="E4306" s="534"/>
      <c r="F4306" s="534"/>
    </row>
    <row r="4307" spans="1:6" ht="15" customHeight="1">
      <c r="A4307" s="51"/>
      <c r="B4307" s="52" t="str">
        <f t="shared" si="234"/>
        <v/>
      </c>
      <c r="C4307" t="str">
        <f t="shared" si="233"/>
        <v/>
      </c>
      <c r="D4307" s="245" t="str">
        <f t="shared" si="235"/>
        <v/>
      </c>
      <c r="E4307" s="534"/>
      <c r="F4307" s="534"/>
    </row>
    <row r="4308" spans="1:6" ht="15" customHeight="1">
      <c r="A4308" s="51"/>
      <c r="B4308" s="52" t="str">
        <f t="shared" si="234"/>
        <v/>
      </c>
      <c r="C4308" t="str">
        <f t="shared" si="233"/>
        <v/>
      </c>
      <c r="D4308" s="245" t="str">
        <f t="shared" si="235"/>
        <v/>
      </c>
      <c r="E4308" s="534"/>
      <c r="F4308" s="534"/>
    </row>
    <row r="4309" spans="1:6" ht="15" customHeight="1">
      <c r="A4309" s="51"/>
      <c r="B4309" s="52" t="str">
        <f t="shared" si="234"/>
        <v/>
      </c>
      <c r="C4309" t="str">
        <f t="shared" si="233"/>
        <v/>
      </c>
      <c r="D4309" s="245" t="str">
        <f t="shared" si="235"/>
        <v/>
      </c>
      <c r="E4309" s="534"/>
      <c r="F4309" s="534"/>
    </row>
    <row r="4310" spans="1:6" ht="15" customHeight="1">
      <c r="A4310" s="51"/>
      <c r="B4310" s="52" t="str">
        <f t="shared" si="234"/>
        <v/>
      </c>
      <c r="C4310" t="str">
        <f t="shared" si="233"/>
        <v/>
      </c>
      <c r="D4310" s="245" t="str">
        <f t="shared" si="235"/>
        <v/>
      </c>
      <c r="E4310" s="534"/>
      <c r="F4310" s="534"/>
    </row>
    <row r="4311" spans="1:6" ht="15" customHeight="1">
      <c r="A4311" s="51"/>
      <c r="B4311" s="52" t="str">
        <f t="shared" si="234"/>
        <v/>
      </c>
      <c r="C4311" t="str">
        <f t="shared" si="233"/>
        <v/>
      </c>
      <c r="D4311" s="245" t="str">
        <f t="shared" si="235"/>
        <v/>
      </c>
      <c r="E4311" s="534"/>
      <c r="F4311" s="534"/>
    </row>
    <row r="4312" spans="1:6" ht="15" customHeight="1">
      <c r="A4312" s="51"/>
      <c r="B4312" s="52" t="str">
        <f t="shared" si="234"/>
        <v/>
      </c>
      <c r="C4312" t="str">
        <f t="shared" si="233"/>
        <v/>
      </c>
      <c r="D4312" s="245" t="str">
        <f t="shared" si="235"/>
        <v/>
      </c>
      <c r="E4312" s="534"/>
      <c r="F4312" s="534"/>
    </row>
    <row r="4313" spans="1:6" ht="15" customHeight="1">
      <c r="A4313" s="51"/>
      <c r="B4313" s="52" t="str">
        <f t="shared" si="234"/>
        <v/>
      </c>
      <c r="C4313" t="str">
        <f t="shared" si="233"/>
        <v/>
      </c>
      <c r="D4313" s="245" t="str">
        <f t="shared" si="235"/>
        <v/>
      </c>
      <c r="E4313" s="534"/>
      <c r="F4313" s="534"/>
    </row>
    <row r="4314" spans="1:6" ht="15" customHeight="1">
      <c r="A4314" s="51"/>
      <c r="B4314" s="52" t="str">
        <f t="shared" si="234"/>
        <v/>
      </c>
      <c r="C4314" t="str">
        <f t="shared" si="233"/>
        <v/>
      </c>
      <c r="D4314" s="245" t="str">
        <f t="shared" si="235"/>
        <v/>
      </c>
      <c r="E4314" s="534"/>
      <c r="F4314" s="534"/>
    </row>
    <row r="4315" spans="1:6" ht="15" customHeight="1">
      <c r="A4315" s="51"/>
      <c r="B4315" s="52" t="str">
        <f t="shared" si="234"/>
        <v/>
      </c>
      <c r="C4315" t="str">
        <f t="shared" si="233"/>
        <v/>
      </c>
      <c r="D4315" s="245" t="str">
        <f t="shared" si="235"/>
        <v/>
      </c>
      <c r="E4315" s="534"/>
      <c r="F4315" s="534"/>
    </row>
    <row r="4316" spans="1:6" ht="15" customHeight="1">
      <c r="A4316" s="51"/>
      <c r="B4316" s="52" t="str">
        <f t="shared" si="234"/>
        <v/>
      </c>
      <c r="C4316" t="str">
        <f t="shared" si="233"/>
        <v/>
      </c>
      <c r="D4316" s="245" t="str">
        <f t="shared" si="235"/>
        <v/>
      </c>
      <c r="E4316" s="534"/>
      <c r="F4316" s="534"/>
    </row>
    <row r="4317" spans="1:6" ht="15" customHeight="1">
      <c r="A4317" s="51"/>
      <c r="B4317" s="52" t="str">
        <f t="shared" si="234"/>
        <v/>
      </c>
      <c r="C4317" t="str">
        <f t="shared" si="233"/>
        <v/>
      </c>
      <c r="D4317" s="245" t="str">
        <f t="shared" si="235"/>
        <v/>
      </c>
      <c r="E4317" s="534"/>
      <c r="F4317" s="534"/>
    </row>
    <row r="4318" spans="1:6" ht="15" customHeight="1">
      <c r="A4318" s="51"/>
      <c r="B4318" s="52" t="str">
        <f t="shared" si="234"/>
        <v/>
      </c>
      <c r="C4318" t="str">
        <f t="shared" si="233"/>
        <v/>
      </c>
      <c r="D4318" s="245" t="str">
        <f t="shared" si="235"/>
        <v/>
      </c>
      <c r="E4318" s="534"/>
      <c r="F4318" s="534"/>
    </row>
    <row r="4319" spans="1:6" ht="15" customHeight="1">
      <c r="A4319" s="51"/>
      <c r="B4319" s="52" t="str">
        <f t="shared" si="234"/>
        <v/>
      </c>
      <c r="C4319" t="str">
        <f t="shared" si="233"/>
        <v/>
      </c>
      <c r="D4319" s="245" t="str">
        <f t="shared" si="235"/>
        <v/>
      </c>
      <c r="E4319" s="534"/>
      <c r="F4319" s="534"/>
    </row>
    <row r="4320" spans="1:6" ht="15" customHeight="1">
      <c r="A4320" s="51"/>
      <c r="B4320" s="52" t="str">
        <f t="shared" si="234"/>
        <v/>
      </c>
      <c r="C4320" t="str">
        <f t="shared" si="233"/>
        <v/>
      </c>
      <c r="D4320" s="245" t="str">
        <f t="shared" si="235"/>
        <v/>
      </c>
      <c r="E4320" s="534"/>
      <c r="F4320" s="534"/>
    </row>
    <row r="4321" spans="1:6" ht="15" customHeight="1">
      <c r="A4321" s="51"/>
      <c r="B4321" s="52" t="str">
        <f t="shared" si="234"/>
        <v/>
      </c>
      <c r="C4321" t="str">
        <f t="shared" si="233"/>
        <v/>
      </c>
      <c r="D4321" s="245" t="str">
        <f t="shared" si="235"/>
        <v/>
      </c>
      <c r="E4321" s="534"/>
      <c r="F4321" s="534"/>
    </row>
    <row r="4322" spans="1:6" ht="15" customHeight="1">
      <c r="A4322" s="51"/>
      <c r="B4322" s="52" t="str">
        <f t="shared" si="234"/>
        <v/>
      </c>
      <c r="C4322" t="str">
        <f t="shared" si="233"/>
        <v/>
      </c>
      <c r="D4322" s="245" t="str">
        <f t="shared" si="235"/>
        <v/>
      </c>
      <c r="E4322" s="534"/>
      <c r="F4322" s="534"/>
    </row>
    <row r="4323" spans="1:6" ht="15" customHeight="1">
      <c r="A4323" s="51"/>
      <c r="B4323" s="52" t="str">
        <f t="shared" si="234"/>
        <v/>
      </c>
      <c r="C4323" t="str">
        <f t="shared" si="233"/>
        <v/>
      </c>
      <c r="D4323" s="245" t="str">
        <f t="shared" si="235"/>
        <v/>
      </c>
      <c r="E4323" s="534"/>
      <c r="F4323" s="534"/>
    </row>
    <row r="4324" spans="1:6" ht="15" customHeight="1">
      <c r="A4324" s="51"/>
      <c r="B4324" s="52" t="str">
        <f t="shared" si="234"/>
        <v/>
      </c>
      <c r="C4324" t="str">
        <f t="shared" si="233"/>
        <v/>
      </c>
      <c r="D4324" s="245" t="str">
        <f t="shared" si="235"/>
        <v/>
      </c>
      <c r="E4324" s="534"/>
      <c r="F4324" s="534"/>
    </row>
    <row r="4325" spans="1:6" ht="15" customHeight="1">
      <c r="A4325" s="51"/>
      <c r="B4325" s="52" t="str">
        <f t="shared" si="234"/>
        <v/>
      </c>
      <c r="C4325" t="str">
        <f t="shared" si="233"/>
        <v/>
      </c>
      <c r="D4325" s="245" t="str">
        <f t="shared" si="235"/>
        <v/>
      </c>
      <c r="E4325" s="534"/>
      <c r="F4325" s="534"/>
    </row>
    <row r="4326" spans="1:6" ht="15" customHeight="1">
      <c r="A4326" s="51"/>
      <c r="B4326" s="52" t="str">
        <f t="shared" si="234"/>
        <v/>
      </c>
      <c r="C4326" t="str">
        <f t="shared" si="233"/>
        <v/>
      </c>
      <c r="D4326" s="245" t="str">
        <f t="shared" si="235"/>
        <v/>
      </c>
      <c r="E4326" s="534"/>
      <c r="F4326" s="534"/>
    </row>
    <row r="4327" spans="1:6" ht="15" customHeight="1">
      <c r="A4327" s="51"/>
      <c r="B4327" s="52" t="str">
        <f t="shared" si="234"/>
        <v/>
      </c>
      <c r="C4327" t="str">
        <f t="shared" si="233"/>
        <v/>
      </c>
      <c r="D4327" s="245" t="str">
        <f t="shared" si="235"/>
        <v/>
      </c>
      <c r="E4327" s="534"/>
      <c r="F4327" s="534"/>
    </row>
    <row r="4328" spans="1:6" ht="15" customHeight="1">
      <c r="A4328" s="51"/>
      <c r="B4328" s="52" t="str">
        <f t="shared" si="234"/>
        <v/>
      </c>
      <c r="C4328" t="str">
        <f t="shared" si="233"/>
        <v/>
      </c>
      <c r="D4328" s="245" t="str">
        <f t="shared" si="235"/>
        <v/>
      </c>
      <c r="E4328" s="534"/>
      <c r="F4328" s="534"/>
    </row>
    <row r="4329" spans="1:6" ht="15" customHeight="1">
      <c r="A4329" s="51"/>
      <c r="B4329" s="52" t="str">
        <f t="shared" si="234"/>
        <v/>
      </c>
      <c r="C4329" t="str">
        <f t="shared" si="233"/>
        <v/>
      </c>
      <c r="D4329" s="245" t="str">
        <f t="shared" si="235"/>
        <v/>
      </c>
      <c r="E4329" s="534"/>
      <c r="F4329" s="534"/>
    </row>
    <row r="4330" spans="1:6" ht="15" customHeight="1">
      <c r="A4330" s="51"/>
      <c r="B4330" s="52" t="str">
        <f t="shared" si="234"/>
        <v/>
      </c>
      <c r="C4330" t="str">
        <f t="shared" si="233"/>
        <v/>
      </c>
      <c r="D4330" s="245" t="str">
        <f t="shared" si="235"/>
        <v/>
      </c>
      <c r="E4330" s="534"/>
      <c r="F4330" s="534"/>
    </row>
    <row r="4331" spans="1:6" ht="15" customHeight="1">
      <c r="A4331" s="51"/>
      <c r="B4331" s="52" t="str">
        <f t="shared" si="234"/>
        <v/>
      </c>
      <c r="C4331" t="str">
        <f t="shared" si="233"/>
        <v/>
      </c>
      <c r="D4331" s="245" t="str">
        <f t="shared" si="235"/>
        <v/>
      </c>
      <c r="E4331" s="534"/>
      <c r="F4331" s="534"/>
    </row>
    <row r="4332" spans="1:6" ht="15" customHeight="1">
      <c r="A4332" s="51"/>
      <c r="B4332" s="52" t="str">
        <f t="shared" si="234"/>
        <v/>
      </c>
      <c r="C4332" t="str">
        <f t="shared" si="233"/>
        <v/>
      </c>
      <c r="D4332" s="245" t="str">
        <f t="shared" si="235"/>
        <v/>
      </c>
      <c r="E4332" s="534"/>
      <c r="F4332" s="534"/>
    </row>
    <row r="4333" spans="1:6" ht="15" customHeight="1">
      <c r="A4333" s="51"/>
      <c r="B4333" s="52" t="str">
        <f t="shared" si="234"/>
        <v/>
      </c>
      <c r="C4333" t="str">
        <f t="shared" si="233"/>
        <v/>
      </c>
      <c r="D4333" s="245" t="str">
        <f t="shared" si="235"/>
        <v/>
      </c>
      <c r="E4333" s="534"/>
      <c r="F4333" s="534"/>
    </row>
    <row r="4334" spans="1:6" ht="15" customHeight="1">
      <c r="A4334" s="51"/>
      <c r="B4334" s="52" t="str">
        <f t="shared" si="234"/>
        <v/>
      </c>
      <c r="C4334" t="str">
        <f t="shared" si="233"/>
        <v/>
      </c>
      <c r="D4334" s="245" t="str">
        <f t="shared" si="235"/>
        <v/>
      </c>
      <c r="E4334" s="534"/>
      <c r="F4334" s="534"/>
    </row>
    <row r="4335" spans="1:6" ht="15" customHeight="1">
      <c r="A4335" s="51"/>
      <c r="B4335" s="52" t="str">
        <f t="shared" si="234"/>
        <v/>
      </c>
      <c r="C4335" t="str">
        <f t="shared" si="233"/>
        <v/>
      </c>
      <c r="D4335" s="245" t="str">
        <f t="shared" si="235"/>
        <v/>
      </c>
      <c r="E4335" s="534"/>
      <c r="F4335" s="534"/>
    </row>
    <row r="4336" spans="1:6" ht="15" customHeight="1">
      <c r="A4336" s="51"/>
      <c r="B4336" s="52" t="str">
        <f t="shared" si="234"/>
        <v/>
      </c>
      <c r="C4336" t="str">
        <f t="shared" si="233"/>
        <v/>
      </c>
      <c r="D4336" s="245" t="str">
        <f t="shared" si="235"/>
        <v/>
      </c>
      <c r="E4336" s="534"/>
      <c r="F4336" s="534"/>
    </row>
    <row r="4337" spans="1:6" ht="15" customHeight="1">
      <c r="A4337" s="51"/>
      <c r="B4337" s="52" t="str">
        <f t="shared" si="234"/>
        <v/>
      </c>
      <c r="C4337" t="str">
        <f t="shared" si="233"/>
        <v/>
      </c>
      <c r="D4337" s="245" t="str">
        <f t="shared" si="235"/>
        <v/>
      </c>
      <c r="E4337" s="534"/>
      <c r="F4337" s="534"/>
    </row>
    <row r="4338" spans="1:6" ht="15" customHeight="1">
      <c r="A4338" s="51"/>
      <c r="B4338" s="52" t="str">
        <f t="shared" si="234"/>
        <v/>
      </c>
      <c r="C4338" t="str">
        <f t="shared" si="233"/>
        <v/>
      </c>
      <c r="D4338" s="245" t="str">
        <f t="shared" si="235"/>
        <v/>
      </c>
      <c r="E4338" s="534"/>
      <c r="F4338" s="534"/>
    </row>
    <row r="4339" spans="1:6" ht="15" customHeight="1">
      <c r="A4339" s="51"/>
      <c r="B4339" s="52" t="str">
        <f t="shared" si="234"/>
        <v/>
      </c>
      <c r="C4339" t="str">
        <f t="shared" si="233"/>
        <v/>
      </c>
      <c r="D4339" s="245" t="str">
        <f t="shared" si="235"/>
        <v/>
      </c>
      <c r="E4339" s="534"/>
      <c r="F4339" s="534"/>
    </row>
    <row r="4340" spans="1:6" ht="15" customHeight="1">
      <c r="A4340" s="51"/>
      <c r="B4340" s="52" t="str">
        <f t="shared" si="234"/>
        <v/>
      </c>
      <c r="C4340" t="str">
        <f t="shared" si="233"/>
        <v/>
      </c>
      <c r="D4340" s="245" t="str">
        <f t="shared" si="235"/>
        <v/>
      </c>
      <c r="E4340" s="534"/>
      <c r="F4340" s="534"/>
    </row>
    <row r="4341" spans="1:6" ht="15" customHeight="1">
      <c r="A4341" s="51"/>
      <c r="B4341" s="52" t="str">
        <f t="shared" si="234"/>
        <v/>
      </c>
      <c r="C4341" t="str">
        <f t="shared" si="233"/>
        <v/>
      </c>
      <c r="D4341" s="245" t="str">
        <f t="shared" si="235"/>
        <v/>
      </c>
      <c r="E4341" s="534"/>
      <c r="F4341" s="534"/>
    </row>
    <row r="4342" spans="1:6" ht="15" customHeight="1">
      <c r="A4342" s="51"/>
      <c r="B4342" s="52" t="str">
        <f t="shared" si="234"/>
        <v/>
      </c>
      <c r="C4342" t="str">
        <f t="shared" si="233"/>
        <v/>
      </c>
      <c r="D4342" s="245" t="str">
        <f t="shared" si="235"/>
        <v/>
      </c>
      <c r="E4342" s="534"/>
      <c r="F4342" s="534"/>
    </row>
    <row r="4343" spans="1:6" ht="15" customHeight="1">
      <c r="A4343" s="51"/>
      <c r="B4343" s="52" t="str">
        <f t="shared" si="234"/>
        <v/>
      </c>
      <c r="C4343" t="str">
        <f t="shared" si="233"/>
        <v/>
      </c>
      <c r="D4343" s="245" t="str">
        <f t="shared" si="235"/>
        <v/>
      </c>
      <c r="E4343" s="534"/>
      <c r="F4343" s="534"/>
    </row>
    <row r="4344" spans="1:6" ht="15" customHeight="1">
      <c r="A4344" s="51"/>
      <c r="B4344" s="52" t="str">
        <f t="shared" si="234"/>
        <v/>
      </c>
      <c r="C4344" t="str">
        <f t="shared" si="233"/>
        <v/>
      </c>
      <c r="D4344" s="245" t="str">
        <f t="shared" si="235"/>
        <v/>
      </c>
      <c r="E4344" s="534"/>
      <c r="F4344" s="534"/>
    </row>
    <row r="4345" spans="1:6" ht="15" customHeight="1">
      <c r="A4345" s="51"/>
      <c r="B4345" s="52" t="str">
        <f t="shared" si="234"/>
        <v/>
      </c>
      <c r="C4345" t="str">
        <f t="shared" si="233"/>
        <v/>
      </c>
      <c r="D4345" s="245" t="str">
        <f t="shared" si="235"/>
        <v/>
      </c>
      <c r="E4345" s="534"/>
      <c r="F4345" s="534"/>
    </row>
    <row r="4346" spans="1:6" ht="15" customHeight="1">
      <c r="A4346" s="51"/>
      <c r="B4346" s="52" t="str">
        <f t="shared" si="234"/>
        <v/>
      </c>
      <c r="C4346" t="str">
        <f t="shared" si="233"/>
        <v/>
      </c>
      <c r="D4346" s="245" t="str">
        <f t="shared" si="235"/>
        <v/>
      </c>
      <c r="E4346" s="534"/>
      <c r="F4346" s="534"/>
    </row>
    <row r="4347" spans="1:6" ht="15" customHeight="1">
      <c r="A4347" s="51"/>
      <c r="B4347" s="52" t="str">
        <f t="shared" si="234"/>
        <v/>
      </c>
      <c r="C4347" t="str">
        <f t="shared" si="233"/>
        <v/>
      </c>
      <c r="D4347" s="245" t="str">
        <f t="shared" si="235"/>
        <v/>
      </c>
      <c r="E4347" s="534"/>
      <c r="F4347" s="534"/>
    </row>
    <row r="4348" spans="1:6" ht="15" customHeight="1">
      <c r="A4348" s="51"/>
      <c r="B4348" s="52" t="str">
        <f t="shared" si="234"/>
        <v/>
      </c>
      <c r="C4348" t="str">
        <f t="shared" si="233"/>
        <v/>
      </c>
      <c r="D4348" s="245" t="str">
        <f t="shared" si="235"/>
        <v/>
      </c>
      <c r="E4348" s="534"/>
      <c r="F4348" s="534"/>
    </row>
    <row r="4349" spans="1:6" ht="15" customHeight="1">
      <c r="A4349" s="51"/>
      <c r="B4349" s="52" t="str">
        <f t="shared" si="234"/>
        <v/>
      </c>
      <c r="C4349" t="str">
        <f t="shared" si="233"/>
        <v/>
      </c>
      <c r="D4349" s="245" t="str">
        <f t="shared" si="235"/>
        <v/>
      </c>
      <c r="E4349" s="534"/>
      <c r="F4349" s="534"/>
    </row>
    <row r="4350" spans="1:6" ht="15" customHeight="1">
      <c r="A4350" s="51"/>
      <c r="B4350" s="52" t="str">
        <f t="shared" si="234"/>
        <v/>
      </c>
      <c r="C4350" t="str">
        <f t="shared" si="233"/>
        <v/>
      </c>
      <c r="D4350" s="245" t="str">
        <f t="shared" si="235"/>
        <v/>
      </c>
      <c r="E4350" s="534"/>
      <c r="F4350" s="534"/>
    </row>
    <row r="4351" spans="1:6" ht="15" customHeight="1">
      <c r="A4351" s="51"/>
      <c r="B4351" s="52" t="str">
        <f t="shared" si="234"/>
        <v/>
      </c>
      <c r="C4351" t="str">
        <f t="shared" si="233"/>
        <v/>
      </c>
      <c r="D4351" s="245" t="str">
        <f t="shared" si="235"/>
        <v/>
      </c>
      <c r="E4351" s="534"/>
      <c r="F4351" s="534"/>
    </row>
    <row r="4352" spans="1:6" ht="15" customHeight="1">
      <c r="A4352" s="51"/>
      <c r="B4352" s="52" t="str">
        <f t="shared" si="234"/>
        <v/>
      </c>
      <c r="C4352" t="str">
        <f t="shared" si="233"/>
        <v/>
      </c>
      <c r="D4352" s="245" t="str">
        <f t="shared" si="235"/>
        <v/>
      </c>
      <c r="E4352" s="534"/>
      <c r="F4352" s="534"/>
    </row>
    <row r="4353" spans="1:6" ht="15" customHeight="1">
      <c r="A4353" s="51"/>
      <c r="B4353" s="52" t="str">
        <f t="shared" si="234"/>
        <v/>
      </c>
      <c r="C4353" t="str">
        <f t="shared" si="233"/>
        <v/>
      </c>
      <c r="D4353" s="245" t="str">
        <f t="shared" si="235"/>
        <v/>
      </c>
      <c r="E4353" s="534"/>
      <c r="F4353" s="534"/>
    </row>
    <row r="4354" spans="1:6" ht="15" customHeight="1">
      <c r="A4354" s="51"/>
      <c r="B4354" s="52" t="str">
        <f t="shared" si="234"/>
        <v/>
      </c>
      <c r="C4354" t="str">
        <f t="shared" ref="C4354:C4417" si="236">IF(A4354&lt;&gt;"",TEXT(A4354,"aaaa"),"")</f>
        <v/>
      </c>
      <c r="D4354" s="245" t="str">
        <f t="shared" si="235"/>
        <v/>
      </c>
      <c r="E4354" s="534"/>
      <c r="F4354" s="534"/>
    </row>
    <row r="4355" spans="1:6" ht="15" customHeight="1">
      <c r="A4355" s="51"/>
      <c r="B4355" s="52" t="str">
        <f t="shared" si="234"/>
        <v/>
      </c>
      <c r="C4355" t="str">
        <f t="shared" si="236"/>
        <v/>
      </c>
      <c r="D4355" s="245" t="str">
        <f t="shared" si="235"/>
        <v/>
      </c>
      <c r="E4355" s="534"/>
      <c r="F4355" s="534"/>
    </row>
    <row r="4356" spans="1:6" ht="15" customHeight="1">
      <c r="A4356" s="51"/>
      <c r="B4356" s="52" t="str">
        <f t="shared" si="234"/>
        <v/>
      </c>
      <c r="C4356" t="str">
        <f t="shared" si="236"/>
        <v/>
      </c>
      <c r="D4356" s="245" t="str">
        <f t="shared" si="235"/>
        <v/>
      </c>
      <c r="E4356" s="534"/>
      <c r="F4356" s="534"/>
    </row>
    <row r="4357" spans="1:6" ht="15" customHeight="1">
      <c r="A4357" s="51"/>
      <c r="B4357" s="52" t="str">
        <f t="shared" si="234"/>
        <v/>
      </c>
      <c r="C4357" t="str">
        <f t="shared" si="236"/>
        <v/>
      </c>
      <c r="D4357" s="245" t="str">
        <f t="shared" si="235"/>
        <v/>
      </c>
      <c r="E4357" s="534"/>
      <c r="F4357" s="534"/>
    </row>
    <row r="4358" spans="1:6" ht="15" customHeight="1">
      <c r="A4358" s="51"/>
      <c r="B4358" s="52" t="str">
        <f t="shared" si="234"/>
        <v/>
      </c>
      <c r="C4358" t="str">
        <f t="shared" si="236"/>
        <v/>
      </c>
      <c r="D4358" s="245" t="str">
        <f t="shared" si="235"/>
        <v/>
      </c>
      <c r="E4358" s="534"/>
      <c r="F4358" s="534"/>
    </row>
    <row r="4359" spans="1:6" ht="15" customHeight="1">
      <c r="A4359" s="51"/>
      <c r="B4359" s="52" t="str">
        <f t="shared" si="234"/>
        <v/>
      </c>
      <c r="C4359" t="str">
        <f t="shared" si="236"/>
        <v/>
      </c>
      <c r="D4359" s="245" t="str">
        <f t="shared" si="235"/>
        <v/>
      </c>
      <c r="E4359" s="534"/>
      <c r="F4359" s="534"/>
    </row>
    <row r="4360" spans="1:6" ht="15" customHeight="1">
      <c r="A4360" s="51"/>
      <c r="B4360" s="52" t="str">
        <f t="shared" ref="B4360:B4423" si="237">IF(A4360="","",TEXT(A4360,"DDDD"))</f>
        <v/>
      </c>
      <c r="C4360" t="str">
        <f t="shared" si="236"/>
        <v/>
      </c>
      <c r="D4360" s="245" t="str">
        <f t="shared" si="235"/>
        <v/>
      </c>
      <c r="E4360" s="534"/>
      <c r="F4360" s="534"/>
    </row>
    <row r="4361" spans="1:6" ht="15" customHeight="1">
      <c r="A4361" s="51"/>
      <c r="B4361" s="52" t="str">
        <f t="shared" si="237"/>
        <v/>
      </c>
      <c r="C4361" t="str">
        <f t="shared" si="236"/>
        <v/>
      </c>
      <c r="D4361" s="245" t="str">
        <f t="shared" ref="D4361:D4424" si="238">IF(A4361&lt;&gt;"",PROPER(TEXT(A4361,"Mmmm")),"")</f>
        <v/>
      </c>
      <c r="E4361" s="534"/>
      <c r="F4361" s="534"/>
    </row>
    <row r="4362" spans="1:6" ht="15" customHeight="1">
      <c r="A4362" s="51"/>
      <c r="B4362" s="52" t="str">
        <f t="shared" si="237"/>
        <v/>
      </c>
      <c r="C4362" t="str">
        <f t="shared" si="236"/>
        <v/>
      </c>
      <c r="D4362" s="245" t="str">
        <f t="shared" si="238"/>
        <v/>
      </c>
      <c r="E4362" s="534"/>
      <c r="F4362" s="534"/>
    </row>
    <row r="4363" spans="1:6" ht="15" customHeight="1">
      <c r="A4363" s="51"/>
      <c r="B4363" s="52" t="str">
        <f t="shared" si="237"/>
        <v/>
      </c>
      <c r="C4363" t="str">
        <f t="shared" si="236"/>
        <v/>
      </c>
      <c r="D4363" s="245" t="str">
        <f t="shared" si="238"/>
        <v/>
      </c>
      <c r="E4363" s="534"/>
      <c r="F4363" s="534"/>
    </row>
    <row r="4364" spans="1:6" ht="15" customHeight="1">
      <c r="A4364" s="51"/>
      <c r="B4364" s="52" t="str">
        <f t="shared" si="237"/>
        <v/>
      </c>
      <c r="C4364" t="str">
        <f t="shared" si="236"/>
        <v/>
      </c>
      <c r="D4364" s="245" t="str">
        <f t="shared" si="238"/>
        <v/>
      </c>
      <c r="E4364" s="534"/>
      <c r="F4364" s="534"/>
    </row>
    <row r="4365" spans="1:6" ht="15" customHeight="1">
      <c r="A4365" s="51"/>
      <c r="B4365" s="52" t="str">
        <f t="shared" si="237"/>
        <v/>
      </c>
      <c r="C4365" t="str">
        <f t="shared" si="236"/>
        <v/>
      </c>
      <c r="D4365" s="245" t="str">
        <f t="shared" si="238"/>
        <v/>
      </c>
      <c r="E4365" s="534"/>
      <c r="F4365" s="534"/>
    </row>
    <row r="4366" spans="1:6" ht="15" customHeight="1">
      <c r="A4366" s="51"/>
      <c r="B4366" s="52" t="str">
        <f t="shared" si="237"/>
        <v/>
      </c>
      <c r="C4366" t="str">
        <f t="shared" si="236"/>
        <v/>
      </c>
      <c r="D4366" s="245" t="str">
        <f t="shared" si="238"/>
        <v/>
      </c>
      <c r="E4366" s="534"/>
      <c r="F4366" s="534"/>
    </row>
    <row r="4367" spans="1:6" ht="15" customHeight="1">
      <c r="A4367" s="51"/>
      <c r="B4367" s="52" t="str">
        <f t="shared" si="237"/>
        <v/>
      </c>
      <c r="C4367" t="str">
        <f t="shared" si="236"/>
        <v/>
      </c>
      <c r="D4367" s="245" t="str">
        <f t="shared" si="238"/>
        <v/>
      </c>
      <c r="E4367" s="534"/>
      <c r="F4367" s="534"/>
    </row>
    <row r="4368" spans="1:6" ht="15" customHeight="1">
      <c r="A4368" s="51"/>
      <c r="B4368" s="52" t="str">
        <f t="shared" si="237"/>
        <v/>
      </c>
      <c r="C4368" t="str">
        <f t="shared" si="236"/>
        <v/>
      </c>
      <c r="D4368" s="245" t="str">
        <f t="shared" si="238"/>
        <v/>
      </c>
      <c r="E4368" s="534"/>
      <c r="F4368" s="534"/>
    </row>
    <row r="4369" spans="1:6" ht="15" customHeight="1">
      <c r="A4369" s="51"/>
      <c r="B4369" s="52" t="str">
        <f t="shared" si="237"/>
        <v/>
      </c>
      <c r="C4369" t="str">
        <f t="shared" si="236"/>
        <v/>
      </c>
      <c r="D4369" s="245" t="str">
        <f t="shared" si="238"/>
        <v/>
      </c>
      <c r="E4369" s="534"/>
      <c r="F4369" s="534"/>
    </row>
    <row r="4370" spans="1:6" ht="15" customHeight="1">
      <c r="A4370" s="51"/>
      <c r="B4370" s="52" t="str">
        <f t="shared" si="237"/>
        <v/>
      </c>
      <c r="C4370" t="str">
        <f t="shared" si="236"/>
        <v/>
      </c>
      <c r="D4370" s="245" t="str">
        <f t="shared" si="238"/>
        <v/>
      </c>
      <c r="E4370" s="534"/>
      <c r="F4370" s="534"/>
    </row>
    <row r="4371" spans="1:6" ht="15" customHeight="1">
      <c r="A4371" s="51"/>
      <c r="B4371" s="52" t="str">
        <f t="shared" si="237"/>
        <v/>
      </c>
      <c r="C4371" t="str">
        <f t="shared" si="236"/>
        <v/>
      </c>
      <c r="D4371" s="245" t="str">
        <f t="shared" si="238"/>
        <v/>
      </c>
      <c r="E4371" s="534"/>
      <c r="F4371" s="534"/>
    </row>
    <row r="4372" spans="1:6" ht="15" customHeight="1">
      <c r="A4372" s="51"/>
      <c r="B4372" s="52" t="str">
        <f t="shared" si="237"/>
        <v/>
      </c>
      <c r="C4372" t="str">
        <f t="shared" si="236"/>
        <v/>
      </c>
      <c r="D4372" s="245" t="str">
        <f t="shared" si="238"/>
        <v/>
      </c>
      <c r="E4372" s="534"/>
      <c r="F4372" s="534"/>
    </row>
    <row r="4373" spans="1:6" ht="15" customHeight="1">
      <c r="A4373" s="51"/>
      <c r="B4373" s="52" t="str">
        <f t="shared" si="237"/>
        <v/>
      </c>
      <c r="C4373" t="str">
        <f t="shared" si="236"/>
        <v/>
      </c>
      <c r="D4373" s="245" t="str">
        <f t="shared" si="238"/>
        <v/>
      </c>
      <c r="E4373" s="534"/>
      <c r="F4373" s="534"/>
    </row>
    <row r="4374" spans="1:6" ht="15" customHeight="1">
      <c r="A4374" s="51"/>
      <c r="B4374" s="52" t="str">
        <f t="shared" si="237"/>
        <v/>
      </c>
      <c r="C4374" t="str">
        <f t="shared" si="236"/>
        <v/>
      </c>
      <c r="D4374" s="245" t="str">
        <f t="shared" si="238"/>
        <v/>
      </c>
      <c r="E4374" s="534"/>
      <c r="F4374" s="534"/>
    </row>
    <row r="4375" spans="1:6" ht="15" customHeight="1">
      <c r="A4375" s="51"/>
      <c r="B4375" s="52" t="str">
        <f t="shared" si="237"/>
        <v/>
      </c>
      <c r="C4375" t="str">
        <f t="shared" si="236"/>
        <v/>
      </c>
      <c r="D4375" s="245" t="str">
        <f t="shared" si="238"/>
        <v/>
      </c>
      <c r="E4375" s="534"/>
      <c r="F4375" s="534"/>
    </row>
    <row r="4376" spans="1:6" ht="15" customHeight="1">
      <c r="A4376" s="51"/>
      <c r="B4376" s="52" t="str">
        <f t="shared" si="237"/>
        <v/>
      </c>
      <c r="C4376" t="str">
        <f t="shared" si="236"/>
        <v/>
      </c>
      <c r="D4376" s="245" t="str">
        <f t="shared" si="238"/>
        <v/>
      </c>
      <c r="E4376" s="534"/>
      <c r="F4376" s="534"/>
    </row>
    <row r="4377" spans="1:6" ht="15" customHeight="1">
      <c r="A4377" s="51"/>
      <c r="B4377" s="52" t="str">
        <f t="shared" si="237"/>
        <v/>
      </c>
      <c r="C4377" t="str">
        <f t="shared" si="236"/>
        <v/>
      </c>
      <c r="D4377" s="245" t="str">
        <f t="shared" si="238"/>
        <v/>
      </c>
      <c r="E4377" s="534"/>
      <c r="F4377" s="534"/>
    </row>
    <row r="4378" spans="1:6" ht="15" customHeight="1">
      <c r="A4378" s="51"/>
      <c r="B4378" s="52" t="str">
        <f t="shared" si="237"/>
        <v/>
      </c>
      <c r="C4378" t="str">
        <f t="shared" si="236"/>
        <v/>
      </c>
      <c r="D4378" s="245" t="str">
        <f t="shared" si="238"/>
        <v/>
      </c>
      <c r="E4378" s="534"/>
      <c r="F4378" s="534"/>
    </row>
    <row r="4379" spans="1:6" ht="15" customHeight="1">
      <c r="A4379" s="51"/>
      <c r="B4379" s="52" t="str">
        <f t="shared" si="237"/>
        <v/>
      </c>
      <c r="C4379" t="str">
        <f t="shared" si="236"/>
        <v/>
      </c>
      <c r="D4379" s="245" t="str">
        <f t="shared" si="238"/>
        <v/>
      </c>
      <c r="E4379" s="534"/>
      <c r="F4379" s="534"/>
    </row>
    <row r="4380" spans="1:6" ht="15" customHeight="1">
      <c r="A4380" s="51"/>
      <c r="B4380" s="52" t="str">
        <f t="shared" si="237"/>
        <v/>
      </c>
      <c r="C4380" t="str">
        <f t="shared" si="236"/>
        <v/>
      </c>
      <c r="D4380" s="245" t="str">
        <f t="shared" si="238"/>
        <v/>
      </c>
      <c r="E4380" s="534"/>
      <c r="F4380" s="534"/>
    </row>
    <row r="4381" spans="1:6" ht="15" customHeight="1">
      <c r="A4381" s="51"/>
      <c r="B4381" s="52" t="str">
        <f t="shared" si="237"/>
        <v/>
      </c>
      <c r="C4381" t="str">
        <f t="shared" si="236"/>
        <v/>
      </c>
      <c r="D4381" s="245" t="str">
        <f t="shared" si="238"/>
        <v/>
      </c>
      <c r="E4381" s="534"/>
      <c r="F4381" s="534"/>
    </row>
    <row r="4382" spans="1:6" ht="15" customHeight="1">
      <c r="A4382" s="51"/>
      <c r="B4382" s="52" t="str">
        <f t="shared" si="237"/>
        <v/>
      </c>
      <c r="C4382" t="str">
        <f t="shared" si="236"/>
        <v/>
      </c>
      <c r="D4382" s="245" t="str">
        <f t="shared" si="238"/>
        <v/>
      </c>
      <c r="E4382" s="534"/>
      <c r="F4382" s="534"/>
    </row>
    <row r="4383" spans="1:6" ht="15" customHeight="1">
      <c r="A4383" s="51"/>
      <c r="B4383" s="52" t="str">
        <f t="shared" si="237"/>
        <v/>
      </c>
      <c r="C4383" t="str">
        <f t="shared" si="236"/>
        <v/>
      </c>
      <c r="D4383" s="245" t="str">
        <f t="shared" si="238"/>
        <v/>
      </c>
      <c r="E4383" s="534"/>
      <c r="F4383" s="534"/>
    </row>
    <row r="4384" spans="1:6" ht="15" customHeight="1">
      <c r="A4384" s="51"/>
      <c r="B4384" s="52" t="str">
        <f t="shared" si="237"/>
        <v/>
      </c>
      <c r="C4384" t="str">
        <f t="shared" si="236"/>
        <v/>
      </c>
      <c r="D4384" s="245" t="str">
        <f t="shared" si="238"/>
        <v/>
      </c>
      <c r="E4384" s="534"/>
      <c r="F4384" s="534"/>
    </row>
    <row r="4385" spans="1:6" ht="15" customHeight="1">
      <c r="A4385" s="51"/>
      <c r="B4385" s="52" t="str">
        <f t="shared" si="237"/>
        <v/>
      </c>
      <c r="C4385" t="str">
        <f t="shared" si="236"/>
        <v/>
      </c>
      <c r="D4385" s="245" t="str">
        <f t="shared" si="238"/>
        <v/>
      </c>
      <c r="E4385" s="534"/>
      <c r="F4385" s="534"/>
    </row>
    <row r="4386" spans="1:6" ht="15" customHeight="1">
      <c r="A4386" s="51"/>
      <c r="B4386" s="52" t="str">
        <f t="shared" si="237"/>
        <v/>
      </c>
      <c r="C4386" t="str">
        <f t="shared" si="236"/>
        <v/>
      </c>
      <c r="D4386" s="245" t="str">
        <f t="shared" si="238"/>
        <v/>
      </c>
      <c r="E4386" s="534"/>
      <c r="F4386" s="534"/>
    </row>
    <row r="4387" spans="1:6" ht="15" customHeight="1">
      <c r="A4387" s="51"/>
      <c r="B4387" s="52" t="str">
        <f t="shared" si="237"/>
        <v/>
      </c>
      <c r="C4387" t="str">
        <f t="shared" si="236"/>
        <v/>
      </c>
      <c r="D4387" s="245" t="str">
        <f t="shared" si="238"/>
        <v/>
      </c>
      <c r="E4387" s="534"/>
      <c r="F4387" s="534"/>
    </row>
    <row r="4388" spans="1:6" ht="15" customHeight="1">
      <c r="A4388" s="51"/>
      <c r="B4388" s="52" t="str">
        <f t="shared" si="237"/>
        <v/>
      </c>
      <c r="C4388" t="str">
        <f t="shared" si="236"/>
        <v/>
      </c>
      <c r="D4388" s="245" t="str">
        <f t="shared" si="238"/>
        <v/>
      </c>
      <c r="E4388" s="534"/>
      <c r="F4388" s="534"/>
    </row>
    <row r="4389" spans="1:6" ht="15" customHeight="1">
      <c r="A4389" s="51"/>
      <c r="B4389" s="52" t="str">
        <f t="shared" si="237"/>
        <v/>
      </c>
      <c r="C4389" t="str">
        <f t="shared" si="236"/>
        <v/>
      </c>
      <c r="D4389" s="245" t="str">
        <f t="shared" si="238"/>
        <v/>
      </c>
      <c r="E4389" s="534"/>
      <c r="F4389" s="534"/>
    </row>
    <row r="4390" spans="1:6" ht="15" customHeight="1">
      <c r="A4390" s="51"/>
      <c r="B4390" s="52" t="str">
        <f t="shared" si="237"/>
        <v/>
      </c>
      <c r="C4390" t="str">
        <f t="shared" si="236"/>
        <v/>
      </c>
      <c r="D4390" s="245" t="str">
        <f t="shared" si="238"/>
        <v/>
      </c>
      <c r="E4390" s="534"/>
      <c r="F4390" s="534"/>
    </row>
    <row r="4391" spans="1:6" ht="15" customHeight="1">
      <c r="A4391" s="51"/>
      <c r="B4391" s="52" t="str">
        <f t="shared" si="237"/>
        <v/>
      </c>
      <c r="C4391" t="str">
        <f t="shared" si="236"/>
        <v/>
      </c>
      <c r="D4391" s="245" t="str">
        <f t="shared" si="238"/>
        <v/>
      </c>
      <c r="E4391" s="534"/>
      <c r="F4391" s="534"/>
    </row>
    <row r="4392" spans="1:6" ht="15" customHeight="1">
      <c r="A4392" s="51"/>
      <c r="B4392" s="52" t="str">
        <f t="shared" si="237"/>
        <v/>
      </c>
      <c r="C4392" t="str">
        <f t="shared" si="236"/>
        <v/>
      </c>
      <c r="D4392" s="245" t="str">
        <f t="shared" si="238"/>
        <v/>
      </c>
      <c r="E4392" s="534"/>
      <c r="F4392" s="534"/>
    </row>
    <row r="4393" spans="1:6" ht="15" customHeight="1">
      <c r="A4393" s="51"/>
      <c r="B4393" s="52" t="str">
        <f t="shared" si="237"/>
        <v/>
      </c>
      <c r="C4393" t="str">
        <f t="shared" si="236"/>
        <v/>
      </c>
      <c r="D4393" s="245" t="str">
        <f t="shared" si="238"/>
        <v/>
      </c>
      <c r="E4393" s="534"/>
      <c r="F4393" s="534"/>
    </row>
    <row r="4394" spans="1:6" ht="15" customHeight="1">
      <c r="A4394" s="51"/>
      <c r="B4394" s="52" t="str">
        <f t="shared" si="237"/>
        <v/>
      </c>
      <c r="C4394" t="str">
        <f t="shared" si="236"/>
        <v/>
      </c>
      <c r="D4394" s="245" t="str">
        <f t="shared" si="238"/>
        <v/>
      </c>
      <c r="E4394" s="534"/>
      <c r="F4394" s="534"/>
    </row>
    <row r="4395" spans="1:6" ht="15" customHeight="1">
      <c r="A4395" s="51"/>
      <c r="B4395" s="52" t="str">
        <f t="shared" si="237"/>
        <v/>
      </c>
      <c r="C4395" t="str">
        <f t="shared" si="236"/>
        <v/>
      </c>
      <c r="D4395" s="245" t="str">
        <f t="shared" si="238"/>
        <v/>
      </c>
      <c r="E4395" s="534"/>
      <c r="F4395" s="534"/>
    </row>
    <row r="4396" spans="1:6" ht="15" customHeight="1">
      <c r="A4396" s="51"/>
      <c r="B4396" s="52" t="str">
        <f t="shared" si="237"/>
        <v/>
      </c>
      <c r="C4396" t="str">
        <f t="shared" si="236"/>
        <v/>
      </c>
      <c r="D4396" s="245" t="str">
        <f t="shared" si="238"/>
        <v/>
      </c>
      <c r="E4396" s="534"/>
      <c r="F4396" s="534"/>
    </row>
    <row r="4397" spans="1:6" ht="15" customHeight="1">
      <c r="A4397" s="51"/>
      <c r="B4397" s="52" t="str">
        <f t="shared" si="237"/>
        <v/>
      </c>
      <c r="C4397" t="str">
        <f t="shared" si="236"/>
        <v/>
      </c>
      <c r="D4397" s="245" t="str">
        <f t="shared" si="238"/>
        <v/>
      </c>
      <c r="E4397" s="534"/>
      <c r="F4397" s="534"/>
    </row>
    <row r="4398" spans="1:6" ht="15" customHeight="1">
      <c r="A4398" s="51"/>
      <c r="B4398" s="52" t="str">
        <f t="shared" si="237"/>
        <v/>
      </c>
      <c r="C4398" t="str">
        <f t="shared" si="236"/>
        <v/>
      </c>
      <c r="D4398" s="245" t="str">
        <f t="shared" si="238"/>
        <v/>
      </c>
      <c r="E4398" s="534"/>
      <c r="F4398" s="534"/>
    </row>
    <row r="4399" spans="1:6" ht="15" customHeight="1">
      <c r="A4399" s="51"/>
      <c r="B4399" s="52" t="str">
        <f t="shared" si="237"/>
        <v/>
      </c>
      <c r="C4399" t="str">
        <f t="shared" si="236"/>
        <v/>
      </c>
      <c r="D4399" s="245" t="str">
        <f t="shared" si="238"/>
        <v/>
      </c>
      <c r="E4399" s="534"/>
      <c r="F4399" s="534"/>
    </row>
    <row r="4400" spans="1:6" ht="15" customHeight="1">
      <c r="A4400" s="51"/>
      <c r="B4400" s="52" t="str">
        <f t="shared" si="237"/>
        <v/>
      </c>
      <c r="C4400" t="str">
        <f t="shared" si="236"/>
        <v/>
      </c>
      <c r="D4400" s="245" t="str">
        <f t="shared" si="238"/>
        <v/>
      </c>
      <c r="E4400" s="534"/>
      <c r="F4400" s="534"/>
    </row>
    <row r="4401" spans="1:6" ht="15" customHeight="1">
      <c r="A4401" s="51"/>
      <c r="B4401" s="52" t="str">
        <f t="shared" si="237"/>
        <v/>
      </c>
      <c r="C4401" t="str">
        <f t="shared" si="236"/>
        <v/>
      </c>
      <c r="D4401" s="245" t="str">
        <f t="shared" si="238"/>
        <v/>
      </c>
      <c r="E4401" s="534"/>
      <c r="F4401" s="534"/>
    </row>
    <row r="4402" spans="1:6" ht="15" customHeight="1">
      <c r="A4402" s="51"/>
      <c r="B4402" s="52" t="str">
        <f t="shared" si="237"/>
        <v/>
      </c>
      <c r="C4402" t="str">
        <f t="shared" si="236"/>
        <v/>
      </c>
      <c r="D4402" s="245" t="str">
        <f t="shared" si="238"/>
        <v/>
      </c>
      <c r="E4402" s="534"/>
      <c r="F4402" s="534"/>
    </row>
    <row r="4403" spans="1:6" ht="15" customHeight="1">
      <c r="A4403" s="51"/>
      <c r="B4403" s="52" t="str">
        <f t="shared" si="237"/>
        <v/>
      </c>
      <c r="C4403" t="str">
        <f t="shared" si="236"/>
        <v/>
      </c>
      <c r="D4403" s="245" t="str">
        <f t="shared" si="238"/>
        <v/>
      </c>
      <c r="E4403" s="534"/>
      <c r="F4403" s="534"/>
    </row>
    <row r="4404" spans="1:6" ht="15" customHeight="1">
      <c r="A4404" s="51"/>
      <c r="B4404" s="52" t="str">
        <f t="shared" si="237"/>
        <v/>
      </c>
      <c r="C4404" t="str">
        <f t="shared" si="236"/>
        <v/>
      </c>
      <c r="D4404" s="245" t="str">
        <f t="shared" si="238"/>
        <v/>
      </c>
      <c r="E4404" s="534"/>
      <c r="F4404" s="534"/>
    </row>
    <row r="4405" spans="1:6" ht="15" customHeight="1">
      <c r="A4405" s="51"/>
      <c r="B4405" s="52" t="str">
        <f t="shared" si="237"/>
        <v/>
      </c>
      <c r="C4405" t="str">
        <f t="shared" si="236"/>
        <v/>
      </c>
      <c r="D4405" s="245" t="str">
        <f t="shared" si="238"/>
        <v/>
      </c>
      <c r="E4405" s="534"/>
      <c r="F4405" s="534"/>
    </row>
    <row r="4406" spans="1:6" ht="15" customHeight="1">
      <c r="A4406" s="51"/>
      <c r="B4406" s="52" t="str">
        <f t="shared" si="237"/>
        <v/>
      </c>
      <c r="C4406" t="str">
        <f t="shared" si="236"/>
        <v/>
      </c>
      <c r="D4406" s="245" t="str">
        <f t="shared" si="238"/>
        <v/>
      </c>
      <c r="E4406" s="534"/>
      <c r="F4406" s="534"/>
    </row>
    <row r="4407" spans="1:6" ht="15" customHeight="1">
      <c r="A4407" s="51"/>
      <c r="B4407" s="52" t="str">
        <f t="shared" si="237"/>
        <v/>
      </c>
      <c r="C4407" t="str">
        <f t="shared" si="236"/>
        <v/>
      </c>
      <c r="D4407" s="245" t="str">
        <f t="shared" si="238"/>
        <v/>
      </c>
      <c r="E4407" s="534"/>
      <c r="F4407" s="534"/>
    </row>
    <row r="4408" spans="1:6" ht="15" customHeight="1">
      <c r="A4408" s="51"/>
      <c r="B4408" s="52" t="str">
        <f t="shared" si="237"/>
        <v/>
      </c>
      <c r="C4408" t="str">
        <f t="shared" si="236"/>
        <v/>
      </c>
      <c r="D4408" s="245" t="str">
        <f t="shared" si="238"/>
        <v/>
      </c>
      <c r="E4408" s="534"/>
      <c r="F4408" s="534"/>
    </row>
    <row r="4409" spans="1:6" ht="15" customHeight="1">
      <c r="A4409" s="51"/>
      <c r="B4409" s="52" t="str">
        <f t="shared" si="237"/>
        <v/>
      </c>
      <c r="C4409" t="str">
        <f t="shared" si="236"/>
        <v/>
      </c>
      <c r="D4409" s="245" t="str">
        <f t="shared" si="238"/>
        <v/>
      </c>
      <c r="E4409" s="534"/>
      <c r="F4409" s="534"/>
    </row>
    <row r="4410" spans="1:6" ht="15" customHeight="1">
      <c r="A4410" s="51"/>
      <c r="B4410" s="52" t="str">
        <f t="shared" si="237"/>
        <v/>
      </c>
      <c r="C4410" t="str">
        <f t="shared" si="236"/>
        <v/>
      </c>
      <c r="D4410" s="245" t="str">
        <f t="shared" si="238"/>
        <v/>
      </c>
      <c r="E4410" s="534"/>
      <c r="F4410" s="534"/>
    </row>
    <row r="4411" spans="1:6" ht="15" customHeight="1">
      <c r="A4411" s="51"/>
      <c r="B4411" s="52" t="str">
        <f t="shared" si="237"/>
        <v/>
      </c>
      <c r="C4411" t="str">
        <f t="shared" si="236"/>
        <v/>
      </c>
      <c r="D4411" s="245" t="str">
        <f t="shared" si="238"/>
        <v/>
      </c>
      <c r="E4411" s="534"/>
      <c r="F4411" s="534"/>
    </row>
    <row r="4412" spans="1:6" ht="15" customHeight="1">
      <c r="A4412" s="51"/>
      <c r="B4412" s="52" t="str">
        <f t="shared" si="237"/>
        <v/>
      </c>
      <c r="C4412" t="str">
        <f t="shared" si="236"/>
        <v/>
      </c>
      <c r="D4412" s="245" t="str">
        <f t="shared" si="238"/>
        <v/>
      </c>
      <c r="E4412" s="534"/>
      <c r="F4412" s="534"/>
    </row>
    <row r="4413" spans="1:6" ht="15" customHeight="1">
      <c r="A4413" s="51"/>
      <c r="B4413" s="52" t="str">
        <f t="shared" si="237"/>
        <v/>
      </c>
      <c r="C4413" t="str">
        <f t="shared" si="236"/>
        <v/>
      </c>
      <c r="D4413" s="245" t="str">
        <f t="shared" si="238"/>
        <v/>
      </c>
      <c r="E4413" s="534"/>
      <c r="F4413" s="534"/>
    </row>
    <row r="4414" spans="1:6" ht="15" customHeight="1">
      <c r="A4414" s="51"/>
      <c r="B4414" s="52" t="str">
        <f t="shared" si="237"/>
        <v/>
      </c>
      <c r="C4414" t="str">
        <f t="shared" si="236"/>
        <v/>
      </c>
      <c r="D4414" s="245" t="str">
        <f t="shared" si="238"/>
        <v/>
      </c>
      <c r="E4414" s="534"/>
      <c r="F4414" s="534"/>
    </row>
    <row r="4415" spans="1:6" ht="15" customHeight="1">
      <c r="A4415" s="51"/>
      <c r="B4415" s="52" t="str">
        <f t="shared" si="237"/>
        <v/>
      </c>
      <c r="C4415" t="str">
        <f t="shared" si="236"/>
        <v/>
      </c>
      <c r="D4415" s="245" t="str">
        <f t="shared" si="238"/>
        <v/>
      </c>
      <c r="E4415" s="534"/>
      <c r="F4415" s="534"/>
    </row>
    <row r="4416" spans="1:6" ht="15" customHeight="1">
      <c r="A4416" s="51"/>
      <c r="B4416" s="52" t="str">
        <f t="shared" si="237"/>
        <v/>
      </c>
      <c r="C4416" t="str">
        <f t="shared" si="236"/>
        <v/>
      </c>
      <c r="D4416" s="245" t="str">
        <f t="shared" si="238"/>
        <v/>
      </c>
      <c r="E4416" s="534"/>
      <c r="F4416" s="534"/>
    </row>
    <row r="4417" spans="1:6" ht="15" customHeight="1">
      <c r="A4417" s="51"/>
      <c r="B4417" s="52" t="str">
        <f t="shared" si="237"/>
        <v/>
      </c>
      <c r="C4417" t="str">
        <f t="shared" si="236"/>
        <v/>
      </c>
      <c r="D4417" s="245" t="str">
        <f t="shared" si="238"/>
        <v/>
      </c>
      <c r="E4417" s="534"/>
      <c r="F4417" s="534"/>
    </row>
    <row r="4418" spans="1:6" ht="15" customHeight="1">
      <c r="A4418" s="51"/>
      <c r="B4418" s="52" t="str">
        <f t="shared" si="237"/>
        <v/>
      </c>
      <c r="C4418" t="str">
        <f t="shared" ref="C4418:C4481" si="239">IF(A4418&lt;&gt;"",TEXT(A4418,"aaaa"),"")</f>
        <v/>
      </c>
      <c r="D4418" s="245" t="str">
        <f t="shared" si="238"/>
        <v/>
      </c>
      <c r="E4418" s="534"/>
      <c r="F4418" s="534"/>
    </row>
    <row r="4419" spans="1:6" ht="15" customHeight="1">
      <c r="A4419" s="51"/>
      <c r="B4419" s="52" t="str">
        <f t="shared" si="237"/>
        <v/>
      </c>
      <c r="C4419" t="str">
        <f t="shared" si="239"/>
        <v/>
      </c>
      <c r="D4419" s="245" t="str">
        <f t="shared" si="238"/>
        <v/>
      </c>
      <c r="E4419" s="534"/>
      <c r="F4419" s="534"/>
    </row>
    <row r="4420" spans="1:6" ht="15" customHeight="1">
      <c r="A4420" s="51"/>
      <c r="B4420" s="52" t="str">
        <f t="shared" si="237"/>
        <v/>
      </c>
      <c r="C4420" t="str">
        <f t="shared" si="239"/>
        <v/>
      </c>
      <c r="D4420" s="245" t="str">
        <f t="shared" si="238"/>
        <v/>
      </c>
      <c r="E4420" s="534"/>
      <c r="F4420" s="534"/>
    </row>
    <row r="4421" spans="1:6" ht="15" customHeight="1">
      <c r="A4421" s="51"/>
      <c r="B4421" s="52" t="str">
        <f t="shared" si="237"/>
        <v/>
      </c>
      <c r="C4421" t="str">
        <f t="shared" si="239"/>
        <v/>
      </c>
      <c r="D4421" s="245" t="str">
        <f t="shared" si="238"/>
        <v/>
      </c>
      <c r="E4421" s="534"/>
      <c r="F4421" s="534"/>
    </row>
    <row r="4422" spans="1:6" ht="15" customHeight="1">
      <c r="A4422" s="51"/>
      <c r="B4422" s="52" t="str">
        <f t="shared" si="237"/>
        <v/>
      </c>
      <c r="C4422" t="str">
        <f t="shared" si="239"/>
        <v/>
      </c>
      <c r="D4422" s="245" t="str">
        <f t="shared" si="238"/>
        <v/>
      </c>
      <c r="E4422" s="534"/>
      <c r="F4422" s="534"/>
    </row>
    <row r="4423" spans="1:6" ht="15" customHeight="1">
      <c r="A4423" s="51"/>
      <c r="B4423" s="52" t="str">
        <f t="shared" si="237"/>
        <v/>
      </c>
      <c r="C4423" t="str">
        <f t="shared" si="239"/>
        <v/>
      </c>
      <c r="D4423" s="245" t="str">
        <f t="shared" si="238"/>
        <v/>
      </c>
      <c r="E4423" s="534"/>
      <c r="F4423" s="534"/>
    </row>
    <row r="4424" spans="1:6" ht="15" customHeight="1">
      <c r="A4424" s="51"/>
      <c r="B4424" s="52" t="str">
        <f t="shared" ref="B4424:B4487" si="240">IF(A4424="","",TEXT(A4424,"DDDD"))</f>
        <v/>
      </c>
      <c r="C4424" t="str">
        <f t="shared" si="239"/>
        <v/>
      </c>
      <c r="D4424" s="245" t="str">
        <f t="shared" si="238"/>
        <v/>
      </c>
      <c r="E4424" s="534"/>
      <c r="F4424" s="534"/>
    </row>
    <row r="4425" spans="1:6" ht="15" customHeight="1">
      <c r="A4425" s="51"/>
      <c r="B4425" s="52" t="str">
        <f t="shared" si="240"/>
        <v/>
      </c>
      <c r="C4425" t="str">
        <f t="shared" si="239"/>
        <v/>
      </c>
      <c r="D4425" s="245" t="str">
        <f t="shared" ref="D4425:D4488" si="241">IF(A4425&lt;&gt;"",PROPER(TEXT(A4425,"Mmmm")),"")</f>
        <v/>
      </c>
      <c r="E4425" s="534"/>
      <c r="F4425" s="534"/>
    </row>
    <row r="4426" spans="1:6" ht="15" customHeight="1">
      <c r="A4426" s="51"/>
      <c r="B4426" s="52" t="str">
        <f t="shared" si="240"/>
        <v/>
      </c>
      <c r="C4426" t="str">
        <f t="shared" si="239"/>
        <v/>
      </c>
      <c r="D4426" s="245" t="str">
        <f t="shared" si="241"/>
        <v/>
      </c>
      <c r="E4426" s="534"/>
      <c r="F4426" s="534"/>
    </row>
    <row r="4427" spans="1:6" ht="15" customHeight="1">
      <c r="A4427" s="51"/>
      <c r="B4427" s="52" t="str">
        <f t="shared" si="240"/>
        <v/>
      </c>
      <c r="C4427" t="str">
        <f t="shared" si="239"/>
        <v/>
      </c>
      <c r="D4427" s="245" t="str">
        <f t="shared" si="241"/>
        <v/>
      </c>
      <c r="E4427" s="534"/>
      <c r="F4427" s="534"/>
    </row>
    <row r="4428" spans="1:6" ht="15" customHeight="1">
      <c r="A4428" s="51"/>
      <c r="B4428" s="52" t="str">
        <f t="shared" si="240"/>
        <v/>
      </c>
      <c r="C4428" t="str">
        <f t="shared" si="239"/>
        <v/>
      </c>
      <c r="D4428" s="245" t="str">
        <f t="shared" si="241"/>
        <v/>
      </c>
      <c r="E4428" s="534"/>
      <c r="F4428" s="534"/>
    </row>
    <row r="4429" spans="1:6" ht="15" customHeight="1">
      <c r="A4429" s="51"/>
      <c r="B4429" s="52" t="str">
        <f t="shared" si="240"/>
        <v/>
      </c>
      <c r="C4429" t="str">
        <f t="shared" si="239"/>
        <v/>
      </c>
      <c r="D4429" s="245" t="str">
        <f t="shared" si="241"/>
        <v/>
      </c>
      <c r="E4429" s="534"/>
      <c r="F4429" s="534"/>
    </row>
    <row r="4430" spans="1:6" ht="15" customHeight="1">
      <c r="A4430" s="51"/>
      <c r="B4430" s="52" t="str">
        <f t="shared" si="240"/>
        <v/>
      </c>
      <c r="C4430" t="str">
        <f t="shared" si="239"/>
        <v/>
      </c>
      <c r="D4430" s="245" t="str">
        <f t="shared" si="241"/>
        <v/>
      </c>
      <c r="E4430" s="534"/>
      <c r="F4430" s="534"/>
    </row>
    <row r="4431" spans="1:6" ht="15" customHeight="1">
      <c r="A4431" s="51"/>
      <c r="B4431" s="52" t="str">
        <f t="shared" si="240"/>
        <v/>
      </c>
      <c r="C4431" t="str">
        <f t="shared" si="239"/>
        <v/>
      </c>
      <c r="D4431" s="245" t="str">
        <f t="shared" si="241"/>
        <v/>
      </c>
      <c r="E4431" s="534"/>
      <c r="F4431" s="534"/>
    </row>
    <row r="4432" spans="1:6" ht="15" customHeight="1">
      <c r="A4432" s="51"/>
      <c r="B4432" s="52" t="str">
        <f t="shared" si="240"/>
        <v/>
      </c>
      <c r="C4432" t="str">
        <f t="shared" si="239"/>
        <v/>
      </c>
      <c r="D4432" s="245" t="str">
        <f t="shared" si="241"/>
        <v/>
      </c>
      <c r="E4432" s="534"/>
      <c r="F4432" s="534"/>
    </row>
    <row r="4433" spans="1:6" ht="15" customHeight="1">
      <c r="A4433" s="51"/>
      <c r="B4433" s="52" t="str">
        <f t="shared" si="240"/>
        <v/>
      </c>
      <c r="C4433" t="str">
        <f t="shared" si="239"/>
        <v/>
      </c>
      <c r="D4433" s="245" t="str">
        <f t="shared" si="241"/>
        <v/>
      </c>
      <c r="E4433" s="534"/>
      <c r="F4433" s="534"/>
    </row>
    <row r="4434" spans="1:6" ht="15" customHeight="1">
      <c r="A4434" s="51"/>
      <c r="B4434" s="52" t="str">
        <f t="shared" si="240"/>
        <v/>
      </c>
      <c r="C4434" t="str">
        <f t="shared" si="239"/>
        <v/>
      </c>
      <c r="D4434" s="245" t="str">
        <f t="shared" si="241"/>
        <v/>
      </c>
      <c r="E4434" s="534"/>
      <c r="F4434" s="534"/>
    </row>
    <row r="4435" spans="1:6" ht="15" customHeight="1">
      <c r="A4435" s="51"/>
      <c r="B4435" s="52" t="str">
        <f t="shared" si="240"/>
        <v/>
      </c>
      <c r="C4435" t="str">
        <f t="shared" si="239"/>
        <v/>
      </c>
      <c r="D4435" s="245" t="str">
        <f t="shared" si="241"/>
        <v/>
      </c>
      <c r="E4435" s="534"/>
      <c r="F4435" s="534"/>
    </row>
    <row r="4436" spans="1:6" ht="15" customHeight="1">
      <c r="A4436" s="51"/>
      <c r="B4436" s="52" t="str">
        <f t="shared" si="240"/>
        <v/>
      </c>
      <c r="C4436" t="str">
        <f t="shared" si="239"/>
        <v/>
      </c>
      <c r="D4436" s="245" t="str">
        <f t="shared" si="241"/>
        <v/>
      </c>
      <c r="E4436" s="534"/>
      <c r="F4436" s="534"/>
    </row>
    <row r="4437" spans="1:6" ht="15" customHeight="1">
      <c r="A4437" s="51"/>
      <c r="B4437" s="52" t="str">
        <f t="shared" si="240"/>
        <v/>
      </c>
      <c r="C4437" t="str">
        <f t="shared" si="239"/>
        <v/>
      </c>
      <c r="D4437" s="245" t="str">
        <f t="shared" si="241"/>
        <v/>
      </c>
      <c r="E4437" s="534"/>
      <c r="F4437" s="534"/>
    </row>
    <row r="4438" spans="1:6" ht="15" customHeight="1">
      <c r="A4438" s="51"/>
      <c r="B4438" s="52" t="str">
        <f t="shared" si="240"/>
        <v/>
      </c>
      <c r="C4438" t="str">
        <f t="shared" si="239"/>
        <v/>
      </c>
      <c r="D4438" s="245" t="str">
        <f t="shared" si="241"/>
        <v/>
      </c>
      <c r="E4438" s="534"/>
      <c r="F4438" s="534"/>
    </row>
    <row r="4439" spans="1:6" ht="15" customHeight="1">
      <c r="A4439" s="51"/>
      <c r="B4439" s="52" t="str">
        <f t="shared" si="240"/>
        <v/>
      </c>
      <c r="C4439" t="str">
        <f t="shared" si="239"/>
        <v/>
      </c>
      <c r="D4439" s="245" t="str">
        <f t="shared" si="241"/>
        <v/>
      </c>
      <c r="E4439" s="534"/>
      <c r="F4439" s="534"/>
    </row>
    <row r="4440" spans="1:6" ht="15" customHeight="1">
      <c r="A4440" s="51"/>
      <c r="B4440" s="52" t="str">
        <f t="shared" si="240"/>
        <v/>
      </c>
      <c r="C4440" t="str">
        <f t="shared" si="239"/>
        <v/>
      </c>
      <c r="D4440" s="245" t="str">
        <f t="shared" si="241"/>
        <v/>
      </c>
      <c r="E4440" s="534"/>
      <c r="F4440" s="534"/>
    </row>
    <row r="4441" spans="1:6" ht="15" customHeight="1">
      <c r="A4441" s="51"/>
      <c r="B4441" s="52" t="str">
        <f t="shared" si="240"/>
        <v/>
      </c>
      <c r="C4441" t="str">
        <f t="shared" si="239"/>
        <v/>
      </c>
      <c r="D4441" s="245" t="str">
        <f t="shared" si="241"/>
        <v/>
      </c>
      <c r="E4441" s="534"/>
      <c r="F4441" s="534"/>
    </row>
    <row r="4442" spans="1:6" ht="15" customHeight="1">
      <c r="A4442" s="51"/>
      <c r="B4442" s="52" t="str">
        <f t="shared" si="240"/>
        <v/>
      </c>
      <c r="C4442" t="str">
        <f t="shared" si="239"/>
        <v/>
      </c>
      <c r="D4442" s="245" t="str">
        <f t="shared" si="241"/>
        <v/>
      </c>
      <c r="E4442" s="534"/>
      <c r="F4442" s="534"/>
    </row>
    <row r="4443" spans="1:6" ht="15" customHeight="1">
      <c r="A4443" s="51"/>
      <c r="B4443" s="52" t="str">
        <f t="shared" si="240"/>
        <v/>
      </c>
      <c r="C4443" t="str">
        <f t="shared" si="239"/>
        <v/>
      </c>
      <c r="D4443" s="245" t="str">
        <f t="shared" si="241"/>
        <v/>
      </c>
      <c r="E4443" s="534"/>
      <c r="F4443" s="534"/>
    </row>
    <row r="4444" spans="1:6" ht="15" customHeight="1">
      <c r="A4444" s="51"/>
      <c r="B4444" s="52" t="str">
        <f t="shared" si="240"/>
        <v/>
      </c>
      <c r="C4444" t="str">
        <f t="shared" si="239"/>
        <v/>
      </c>
      <c r="D4444" s="245" t="str">
        <f t="shared" si="241"/>
        <v/>
      </c>
      <c r="E4444" s="534"/>
      <c r="F4444" s="534"/>
    </row>
    <row r="4445" spans="1:6" ht="15" customHeight="1">
      <c r="A4445" s="51"/>
      <c r="B4445" s="52" t="str">
        <f t="shared" si="240"/>
        <v/>
      </c>
      <c r="C4445" t="str">
        <f t="shared" si="239"/>
        <v/>
      </c>
      <c r="D4445" s="245" t="str">
        <f t="shared" si="241"/>
        <v/>
      </c>
      <c r="E4445" s="534"/>
      <c r="F4445" s="534"/>
    </row>
    <row r="4446" spans="1:6" ht="15" customHeight="1">
      <c r="A4446" s="51"/>
      <c r="B4446" s="52" t="str">
        <f t="shared" si="240"/>
        <v/>
      </c>
      <c r="C4446" t="str">
        <f t="shared" si="239"/>
        <v/>
      </c>
      <c r="D4446" s="245" t="str">
        <f t="shared" si="241"/>
        <v/>
      </c>
      <c r="E4446" s="534"/>
      <c r="F4446" s="534"/>
    </row>
    <row r="4447" spans="1:6" ht="15" customHeight="1">
      <c r="A4447" s="51"/>
      <c r="B4447" s="52" t="str">
        <f t="shared" si="240"/>
        <v/>
      </c>
      <c r="C4447" t="str">
        <f t="shared" si="239"/>
        <v/>
      </c>
      <c r="D4447" s="245" t="str">
        <f t="shared" si="241"/>
        <v/>
      </c>
      <c r="E4447" s="534"/>
      <c r="F4447" s="534"/>
    </row>
    <row r="4448" spans="1:6" ht="15" customHeight="1">
      <c r="A4448" s="51"/>
      <c r="B4448" s="52" t="str">
        <f t="shared" si="240"/>
        <v/>
      </c>
      <c r="C4448" t="str">
        <f t="shared" si="239"/>
        <v/>
      </c>
      <c r="D4448" s="245" t="str">
        <f t="shared" si="241"/>
        <v/>
      </c>
      <c r="E4448" s="534"/>
      <c r="F4448" s="534"/>
    </row>
    <row r="4449" spans="1:6" ht="15" customHeight="1">
      <c r="A4449" s="51"/>
      <c r="B4449" s="52" t="str">
        <f t="shared" si="240"/>
        <v/>
      </c>
      <c r="C4449" t="str">
        <f t="shared" si="239"/>
        <v/>
      </c>
      <c r="D4449" s="245" t="str">
        <f t="shared" si="241"/>
        <v/>
      </c>
      <c r="E4449" s="534"/>
      <c r="F4449" s="534"/>
    </row>
    <row r="4450" spans="1:6" ht="15" customHeight="1">
      <c r="A4450" s="51"/>
      <c r="B4450" s="52" t="str">
        <f t="shared" si="240"/>
        <v/>
      </c>
      <c r="C4450" t="str">
        <f t="shared" si="239"/>
        <v/>
      </c>
      <c r="D4450" s="245" t="str">
        <f t="shared" si="241"/>
        <v/>
      </c>
      <c r="E4450" s="534"/>
      <c r="F4450" s="534"/>
    </row>
    <row r="4451" spans="1:6" ht="15" customHeight="1">
      <c r="A4451" s="51"/>
      <c r="B4451" s="52" t="str">
        <f t="shared" si="240"/>
        <v/>
      </c>
      <c r="C4451" t="str">
        <f t="shared" si="239"/>
        <v/>
      </c>
      <c r="D4451" s="245" t="str">
        <f t="shared" si="241"/>
        <v/>
      </c>
      <c r="E4451" s="534"/>
      <c r="F4451" s="534"/>
    </row>
    <row r="4452" spans="1:6" ht="15" customHeight="1">
      <c r="A4452" s="51"/>
      <c r="B4452" s="52" t="str">
        <f t="shared" si="240"/>
        <v/>
      </c>
      <c r="C4452" t="str">
        <f t="shared" si="239"/>
        <v/>
      </c>
      <c r="D4452" s="245" t="str">
        <f t="shared" si="241"/>
        <v/>
      </c>
      <c r="E4452" s="534"/>
      <c r="F4452" s="534"/>
    </row>
    <row r="4453" spans="1:6" ht="15" customHeight="1">
      <c r="A4453" s="51"/>
      <c r="B4453" s="52" t="str">
        <f t="shared" si="240"/>
        <v/>
      </c>
      <c r="C4453" t="str">
        <f t="shared" si="239"/>
        <v/>
      </c>
      <c r="D4453" s="245" t="str">
        <f t="shared" si="241"/>
        <v/>
      </c>
      <c r="E4453" s="534"/>
      <c r="F4453" s="534"/>
    </row>
    <row r="4454" spans="1:6" ht="15" customHeight="1">
      <c r="A4454" s="51"/>
      <c r="B4454" s="52" t="str">
        <f t="shared" si="240"/>
        <v/>
      </c>
      <c r="C4454" t="str">
        <f t="shared" si="239"/>
        <v/>
      </c>
      <c r="D4454" s="245" t="str">
        <f t="shared" si="241"/>
        <v/>
      </c>
      <c r="E4454" s="534"/>
      <c r="F4454" s="534"/>
    </row>
    <row r="4455" spans="1:6" ht="15" customHeight="1">
      <c r="A4455" s="51"/>
      <c r="B4455" s="52" t="str">
        <f t="shared" si="240"/>
        <v/>
      </c>
      <c r="C4455" t="str">
        <f t="shared" si="239"/>
        <v/>
      </c>
      <c r="D4455" s="245" t="str">
        <f t="shared" si="241"/>
        <v/>
      </c>
      <c r="E4455" s="534"/>
      <c r="F4455" s="534"/>
    </row>
    <row r="4456" spans="1:6" ht="15" customHeight="1">
      <c r="A4456" s="51"/>
      <c r="B4456" s="52" t="str">
        <f t="shared" si="240"/>
        <v/>
      </c>
      <c r="C4456" t="str">
        <f t="shared" si="239"/>
        <v/>
      </c>
      <c r="D4456" s="245" t="str">
        <f t="shared" si="241"/>
        <v/>
      </c>
      <c r="E4456" s="534"/>
      <c r="F4456" s="534"/>
    </row>
    <row r="4457" spans="1:6" ht="15" customHeight="1">
      <c r="A4457" s="51"/>
      <c r="B4457" s="52" t="str">
        <f t="shared" si="240"/>
        <v/>
      </c>
      <c r="C4457" t="str">
        <f t="shared" si="239"/>
        <v/>
      </c>
      <c r="D4457" s="245" t="str">
        <f t="shared" si="241"/>
        <v/>
      </c>
      <c r="E4457" s="534"/>
      <c r="F4457" s="534"/>
    </row>
    <row r="4458" spans="1:6" ht="15" customHeight="1">
      <c r="A4458" s="51"/>
      <c r="B4458" s="52" t="str">
        <f t="shared" si="240"/>
        <v/>
      </c>
      <c r="C4458" t="str">
        <f t="shared" si="239"/>
        <v/>
      </c>
      <c r="D4458" s="245" t="str">
        <f t="shared" si="241"/>
        <v/>
      </c>
      <c r="E4458" s="534"/>
      <c r="F4458" s="534"/>
    </row>
    <row r="4459" spans="1:6" ht="15" customHeight="1">
      <c r="A4459" s="51"/>
      <c r="B4459" s="52" t="str">
        <f t="shared" si="240"/>
        <v/>
      </c>
      <c r="C4459" t="str">
        <f t="shared" si="239"/>
        <v/>
      </c>
      <c r="D4459" s="245" t="str">
        <f t="shared" si="241"/>
        <v/>
      </c>
      <c r="E4459" s="534"/>
      <c r="F4459" s="534"/>
    </row>
    <row r="4460" spans="1:6" ht="15" customHeight="1">
      <c r="A4460" s="51"/>
      <c r="B4460" s="52" t="str">
        <f t="shared" si="240"/>
        <v/>
      </c>
      <c r="C4460" t="str">
        <f t="shared" si="239"/>
        <v/>
      </c>
      <c r="D4460" s="245" t="str">
        <f t="shared" si="241"/>
        <v/>
      </c>
      <c r="E4460" s="534"/>
      <c r="F4460" s="534"/>
    </row>
    <row r="4461" spans="1:6" ht="15" customHeight="1">
      <c r="A4461" s="51"/>
      <c r="B4461" s="52" t="str">
        <f t="shared" si="240"/>
        <v/>
      </c>
      <c r="C4461" t="str">
        <f t="shared" si="239"/>
        <v/>
      </c>
      <c r="D4461" s="245" t="str">
        <f t="shared" si="241"/>
        <v/>
      </c>
      <c r="E4461" s="534"/>
      <c r="F4461" s="534"/>
    </row>
    <row r="4462" spans="1:6" ht="15" customHeight="1">
      <c r="A4462" s="51"/>
      <c r="B4462" s="52" t="str">
        <f t="shared" si="240"/>
        <v/>
      </c>
      <c r="C4462" t="str">
        <f t="shared" si="239"/>
        <v/>
      </c>
      <c r="D4462" s="245" t="str">
        <f t="shared" si="241"/>
        <v/>
      </c>
      <c r="E4462" s="534"/>
      <c r="F4462" s="534"/>
    </row>
    <row r="4463" spans="1:6" ht="15" customHeight="1">
      <c r="A4463" s="51"/>
      <c r="B4463" s="52" t="str">
        <f t="shared" si="240"/>
        <v/>
      </c>
      <c r="C4463" t="str">
        <f t="shared" si="239"/>
        <v/>
      </c>
      <c r="D4463" s="245" t="str">
        <f t="shared" si="241"/>
        <v/>
      </c>
      <c r="E4463" s="534"/>
      <c r="F4463" s="534"/>
    </row>
    <row r="4464" spans="1:6" ht="15" customHeight="1">
      <c r="A4464" s="51"/>
      <c r="B4464" s="52" t="str">
        <f t="shared" si="240"/>
        <v/>
      </c>
      <c r="C4464" t="str">
        <f t="shared" si="239"/>
        <v/>
      </c>
      <c r="D4464" s="245" t="str">
        <f t="shared" si="241"/>
        <v/>
      </c>
      <c r="E4464" s="534"/>
      <c r="F4464" s="534"/>
    </row>
    <row r="4465" spans="1:6" ht="15" customHeight="1">
      <c r="A4465" s="51"/>
      <c r="B4465" s="52" t="str">
        <f t="shared" si="240"/>
        <v/>
      </c>
      <c r="C4465" t="str">
        <f t="shared" si="239"/>
        <v/>
      </c>
      <c r="D4465" s="245" t="str">
        <f t="shared" si="241"/>
        <v/>
      </c>
      <c r="E4465" s="534"/>
      <c r="F4465" s="534"/>
    </row>
    <row r="4466" spans="1:6" ht="15" customHeight="1">
      <c r="A4466" s="51"/>
      <c r="B4466" s="52" t="str">
        <f t="shared" si="240"/>
        <v/>
      </c>
      <c r="C4466" t="str">
        <f t="shared" si="239"/>
        <v/>
      </c>
      <c r="D4466" s="245" t="str">
        <f t="shared" si="241"/>
        <v/>
      </c>
      <c r="E4466" s="534"/>
      <c r="F4466" s="534"/>
    </row>
    <row r="4467" spans="1:6" ht="15" customHeight="1">
      <c r="A4467" s="51"/>
      <c r="B4467" s="52" t="str">
        <f t="shared" si="240"/>
        <v/>
      </c>
      <c r="C4467" t="str">
        <f t="shared" si="239"/>
        <v/>
      </c>
      <c r="D4467" s="245" t="str">
        <f t="shared" si="241"/>
        <v/>
      </c>
      <c r="E4467" s="534"/>
      <c r="F4467" s="534"/>
    </row>
    <row r="4468" spans="1:6" ht="15" customHeight="1">
      <c r="A4468" s="51"/>
      <c r="B4468" s="52" t="str">
        <f t="shared" si="240"/>
        <v/>
      </c>
      <c r="C4468" t="str">
        <f t="shared" si="239"/>
        <v/>
      </c>
      <c r="D4468" s="245" t="str">
        <f t="shared" si="241"/>
        <v/>
      </c>
      <c r="E4468" s="534"/>
      <c r="F4468" s="534"/>
    </row>
    <row r="4469" spans="1:6" ht="15" customHeight="1">
      <c r="A4469" s="51"/>
      <c r="B4469" s="52" t="str">
        <f t="shared" si="240"/>
        <v/>
      </c>
      <c r="C4469" t="str">
        <f t="shared" si="239"/>
        <v/>
      </c>
      <c r="D4469" s="245" t="str">
        <f t="shared" si="241"/>
        <v/>
      </c>
      <c r="E4469" s="534"/>
      <c r="F4469" s="534"/>
    </row>
    <row r="4470" spans="1:6" ht="15" customHeight="1">
      <c r="A4470" s="51"/>
      <c r="B4470" s="52" t="str">
        <f t="shared" si="240"/>
        <v/>
      </c>
      <c r="C4470" t="str">
        <f t="shared" si="239"/>
        <v/>
      </c>
      <c r="D4470" s="245" t="str">
        <f t="shared" si="241"/>
        <v/>
      </c>
      <c r="E4470" s="534"/>
      <c r="F4470" s="534"/>
    </row>
    <row r="4471" spans="1:6" ht="15" customHeight="1">
      <c r="A4471" s="51"/>
      <c r="B4471" s="52" t="str">
        <f t="shared" si="240"/>
        <v/>
      </c>
      <c r="C4471" t="str">
        <f t="shared" si="239"/>
        <v/>
      </c>
      <c r="D4471" s="245" t="str">
        <f t="shared" si="241"/>
        <v/>
      </c>
      <c r="E4471" s="534"/>
      <c r="F4471" s="534"/>
    </row>
    <row r="4472" spans="1:6" ht="15" customHeight="1">
      <c r="A4472" s="51"/>
      <c r="B4472" s="52" t="str">
        <f t="shared" si="240"/>
        <v/>
      </c>
      <c r="C4472" t="str">
        <f t="shared" si="239"/>
        <v/>
      </c>
      <c r="D4472" s="245" t="str">
        <f t="shared" si="241"/>
        <v/>
      </c>
      <c r="E4472" s="534"/>
      <c r="F4472" s="534"/>
    </row>
    <row r="4473" spans="1:6" ht="15" customHeight="1">
      <c r="A4473" s="51"/>
      <c r="B4473" s="52" t="str">
        <f t="shared" si="240"/>
        <v/>
      </c>
      <c r="C4473" t="str">
        <f t="shared" si="239"/>
        <v/>
      </c>
      <c r="D4473" s="245" t="str">
        <f t="shared" si="241"/>
        <v/>
      </c>
      <c r="E4473" s="534"/>
      <c r="F4473" s="534"/>
    </row>
    <row r="4474" spans="1:6" ht="15" customHeight="1">
      <c r="A4474" s="51"/>
      <c r="B4474" s="52" t="str">
        <f t="shared" si="240"/>
        <v/>
      </c>
      <c r="C4474" t="str">
        <f t="shared" si="239"/>
        <v/>
      </c>
      <c r="D4474" s="245" t="str">
        <f t="shared" si="241"/>
        <v/>
      </c>
      <c r="E4474" s="534"/>
      <c r="F4474" s="534"/>
    </row>
    <row r="4475" spans="1:6" ht="15" customHeight="1">
      <c r="A4475" s="51"/>
      <c r="B4475" s="52" t="str">
        <f t="shared" si="240"/>
        <v/>
      </c>
      <c r="C4475" t="str">
        <f t="shared" si="239"/>
        <v/>
      </c>
      <c r="D4475" s="245" t="str">
        <f t="shared" si="241"/>
        <v/>
      </c>
      <c r="E4475" s="534"/>
      <c r="F4475" s="534"/>
    </row>
    <row r="4476" spans="1:6" ht="15" customHeight="1">
      <c r="A4476" s="51"/>
      <c r="B4476" s="52" t="str">
        <f t="shared" si="240"/>
        <v/>
      </c>
      <c r="C4476" t="str">
        <f t="shared" si="239"/>
        <v/>
      </c>
      <c r="D4476" s="245" t="str">
        <f t="shared" si="241"/>
        <v/>
      </c>
      <c r="E4476" s="534"/>
      <c r="F4476" s="534"/>
    </row>
    <row r="4477" spans="1:6" ht="15" customHeight="1">
      <c r="A4477" s="51"/>
      <c r="B4477" s="52" t="str">
        <f t="shared" si="240"/>
        <v/>
      </c>
      <c r="C4477" t="str">
        <f t="shared" si="239"/>
        <v/>
      </c>
      <c r="D4477" s="245" t="str">
        <f t="shared" si="241"/>
        <v/>
      </c>
      <c r="E4477" s="534"/>
      <c r="F4477" s="534"/>
    </row>
    <row r="4478" spans="1:6" ht="15" customHeight="1">
      <c r="A4478" s="51"/>
      <c r="B4478" s="52" t="str">
        <f t="shared" si="240"/>
        <v/>
      </c>
      <c r="C4478" t="str">
        <f t="shared" si="239"/>
        <v/>
      </c>
      <c r="D4478" s="245" t="str">
        <f t="shared" si="241"/>
        <v/>
      </c>
      <c r="E4478" s="534"/>
      <c r="F4478" s="534"/>
    </row>
    <row r="4479" spans="1:6" ht="15" customHeight="1">
      <c r="A4479" s="51"/>
      <c r="B4479" s="52" t="str">
        <f t="shared" si="240"/>
        <v/>
      </c>
      <c r="C4479" t="str">
        <f t="shared" si="239"/>
        <v/>
      </c>
      <c r="D4479" s="245" t="str">
        <f t="shared" si="241"/>
        <v/>
      </c>
      <c r="E4479" s="534"/>
      <c r="F4479" s="534"/>
    </row>
    <row r="4480" spans="1:6" ht="15" customHeight="1">
      <c r="A4480" s="51"/>
      <c r="B4480" s="52" t="str">
        <f t="shared" si="240"/>
        <v/>
      </c>
      <c r="C4480" t="str">
        <f t="shared" si="239"/>
        <v/>
      </c>
      <c r="D4480" s="245" t="str">
        <f t="shared" si="241"/>
        <v/>
      </c>
      <c r="E4480" s="534"/>
      <c r="F4480" s="534"/>
    </row>
    <row r="4481" spans="1:6" ht="15" customHeight="1">
      <c r="A4481" s="51"/>
      <c r="B4481" s="52" t="str">
        <f t="shared" si="240"/>
        <v/>
      </c>
      <c r="C4481" t="str">
        <f t="shared" si="239"/>
        <v/>
      </c>
      <c r="D4481" s="245" t="str">
        <f t="shared" si="241"/>
        <v/>
      </c>
      <c r="E4481" s="534"/>
      <c r="F4481" s="534"/>
    </row>
    <row r="4482" spans="1:6" ht="15" customHeight="1">
      <c r="A4482" s="51"/>
      <c r="B4482" s="52" t="str">
        <f t="shared" si="240"/>
        <v/>
      </c>
      <c r="C4482" t="str">
        <f t="shared" ref="C4482:C4545" si="242">IF(A4482&lt;&gt;"",TEXT(A4482,"aaaa"),"")</f>
        <v/>
      </c>
      <c r="D4482" s="245" t="str">
        <f t="shared" si="241"/>
        <v/>
      </c>
      <c r="E4482" s="534"/>
      <c r="F4482" s="534"/>
    </row>
    <row r="4483" spans="1:6" ht="15" customHeight="1">
      <c r="A4483" s="51"/>
      <c r="B4483" s="52" t="str">
        <f t="shared" si="240"/>
        <v/>
      </c>
      <c r="C4483" t="str">
        <f t="shared" si="242"/>
        <v/>
      </c>
      <c r="D4483" s="245" t="str">
        <f t="shared" si="241"/>
        <v/>
      </c>
      <c r="E4483" s="534"/>
      <c r="F4483" s="534"/>
    </row>
    <row r="4484" spans="1:6" ht="15" customHeight="1">
      <c r="A4484" s="51"/>
      <c r="B4484" s="52" t="str">
        <f t="shared" si="240"/>
        <v/>
      </c>
      <c r="C4484" t="str">
        <f t="shared" si="242"/>
        <v/>
      </c>
      <c r="D4484" s="245" t="str">
        <f t="shared" si="241"/>
        <v/>
      </c>
      <c r="E4484" s="534"/>
      <c r="F4484" s="534"/>
    </row>
    <row r="4485" spans="1:6" ht="15" customHeight="1">
      <c r="A4485" s="51"/>
      <c r="B4485" s="52" t="str">
        <f t="shared" si="240"/>
        <v/>
      </c>
      <c r="C4485" t="str">
        <f t="shared" si="242"/>
        <v/>
      </c>
      <c r="D4485" s="245" t="str">
        <f t="shared" si="241"/>
        <v/>
      </c>
      <c r="E4485" s="534"/>
      <c r="F4485" s="534"/>
    </row>
    <row r="4486" spans="1:6" ht="15" customHeight="1">
      <c r="A4486" s="51"/>
      <c r="B4486" s="52" t="str">
        <f t="shared" si="240"/>
        <v/>
      </c>
      <c r="C4486" t="str">
        <f t="shared" si="242"/>
        <v/>
      </c>
      <c r="D4486" s="245" t="str">
        <f t="shared" si="241"/>
        <v/>
      </c>
      <c r="E4486" s="534"/>
      <c r="F4486" s="534"/>
    </row>
    <row r="4487" spans="1:6" ht="15" customHeight="1">
      <c r="A4487" s="51"/>
      <c r="B4487" s="52" t="str">
        <f t="shared" si="240"/>
        <v/>
      </c>
      <c r="C4487" t="str">
        <f t="shared" si="242"/>
        <v/>
      </c>
      <c r="D4487" s="245" t="str">
        <f t="shared" si="241"/>
        <v/>
      </c>
      <c r="E4487" s="534"/>
      <c r="F4487" s="534"/>
    </row>
    <row r="4488" spans="1:6" ht="15" customHeight="1">
      <c r="A4488" s="51"/>
      <c r="B4488" s="52" t="str">
        <f t="shared" ref="B4488:B4551" si="243">IF(A4488="","",TEXT(A4488,"DDDD"))</f>
        <v/>
      </c>
      <c r="C4488" t="str">
        <f t="shared" si="242"/>
        <v/>
      </c>
      <c r="D4488" s="245" t="str">
        <f t="shared" si="241"/>
        <v/>
      </c>
      <c r="E4488" s="534"/>
      <c r="F4488" s="534"/>
    </row>
    <row r="4489" spans="1:6" ht="15" customHeight="1">
      <c r="A4489" s="51"/>
      <c r="B4489" s="52" t="str">
        <f t="shared" si="243"/>
        <v/>
      </c>
      <c r="C4489" t="str">
        <f t="shared" si="242"/>
        <v/>
      </c>
      <c r="D4489" s="245" t="str">
        <f t="shared" ref="D4489:D4552" si="244">IF(A4489&lt;&gt;"",PROPER(TEXT(A4489,"Mmmm")),"")</f>
        <v/>
      </c>
      <c r="E4489" s="534"/>
      <c r="F4489" s="534"/>
    </row>
    <row r="4490" spans="1:6" ht="15" customHeight="1">
      <c r="A4490" s="51"/>
      <c r="B4490" s="52" t="str">
        <f t="shared" si="243"/>
        <v/>
      </c>
      <c r="C4490" t="str">
        <f t="shared" si="242"/>
        <v/>
      </c>
      <c r="D4490" s="245" t="str">
        <f t="shared" si="244"/>
        <v/>
      </c>
      <c r="E4490" s="534"/>
      <c r="F4490" s="534"/>
    </row>
    <row r="4491" spans="1:6" ht="15" customHeight="1">
      <c r="A4491" s="51"/>
      <c r="B4491" s="52" t="str">
        <f t="shared" si="243"/>
        <v/>
      </c>
      <c r="C4491" t="str">
        <f t="shared" si="242"/>
        <v/>
      </c>
      <c r="D4491" s="245" t="str">
        <f t="shared" si="244"/>
        <v/>
      </c>
      <c r="E4491" s="534"/>
      <c r="F4491" s="534"/>
    </row>
    <row r="4492" spans="1:6" ht="15" customHeight="1">
      <c r="A4492" s="51"/>
      <c r="B4492" s="52" t="str">
        <f t="shared" si="243"/>
        <v/>
      </c>
      <c r="C4492" t="str">
        <f t="shared" si="242"/>
        <v/>
      </c>
      <c r="D4492" s="245" t="str">
        <f t="shared" si="244"/>
        <v/>
      </c>
      <c r="E4492" s="534"/>
      <c r="F4492" s="534"/>
    </row>
    <row r="4493" spans="1:6" ht="15" customHeight="1">
      <c r="A4493" s="51"/>
      <c r="B4493" s="52" t="str">
        <f t="shared" si="243"/>
        <v/>
      </c>
      <c r="C4493" t="str">
        <f t="shared" si="242"/>
        <v/>
      </c>
      <c r="D4493" s="245" t="str">
        <f t="shared" si="244"/>
        <v/>
      </c>
      <c r="E4493" s="534"/>
      <c r="F4493" s="534"/>
    </row>
    <row r="4494" spans="1:6" ht="15" customHeight="1">
      <c r="A4494" s="51"/>
      <c r="B4494" s="52" t="str">
        <f t="shared" si="243"/>
        <v/>
      </c>
      <c r="C4494" t="str">
        <f t="shared" si="242"/>
        <v/>
      </c>
      <c r="D4494" s="245" t="str">
        <f t="shared" si="244"/>
        <v/>
      </c>
      <c r="E4494" s="534"/>
      <c r="F4494" s="534"/>
    </row>
    <row r="4495" spans="1:6" ht="15" customHeight="1">
      <c r="A4495" s="51"/>
      <c r="B4495" s="52" t="str">
        <f t="shared" si="243"/>
        <v/>
      </c>
      <c r="C4495" t="str">
        <f t="shared" si="242"/>
        <v/>
      </c>
      <c r="D4495" s="245" t="str">
        <f t="shared" si="244"/>
        <v/>
      </c>
      <c r="E4495" s="534"/>
      <c r="F4495" s="534"/>
    </row>
    <row r="4496" spans="1:6" ht="15" customHeight="1">
      <c r="A4496" s="51"/>
      <c r="B4496" s="52" t="str">
        <f t="shared" si="243"/>
        <v/>
      </c>
      <c r="C4496" t="str">
        <f t="shared" si="242"/>
        <v/>
      </c>
      <c r="D4496" s="245" t="str">
        <f t="shared" si="244"/>
        <v/>
      </c>
      <c r="E4496" s="534"/>
      <c r="F4496" s="534"/>
    </row>
    <row r="4497" spans="1:6" ht="15" customHeight="1">
      <c r="A4497" s="51"/>
      <c r="B4497" s="52" t="str">
        <f t="shared" si="243"/>
        <v/>
      </c>
      <c r="C4497" t="str">
        <f t="shared" si="242"/>
        <v/>
      </c>
      <c r="D4497" s="245" t="str">
        <f t="shared" si="244"/>
        <v/>
      </c>
      <c r="E4497" s="534"/>
      <c r="F4497" s="534"/>
    </row>
    <row r="4498" spans="1:6" ht="15" customHeight="1">
      <c r="A4498" s="51"/>
      <c r="B4498" s="52" t="str">
        <f t="shared" si="243"/>
        <v/>
      </c>
      <c r="C4498" t="str">
        <f t="shared" si="242"/>
        <v/>
      </c>
      <c r="D4498" s="245" t="str">
        <f t="shared" si="244"/>
        <v/>
      </c>
      <c r="E4498" s="534"/>
      <c r="F4498" s="534"/>
    </row>
    <row r="4499" spans="1:6" ht="15" customHeight="1">
      <c r="A4499" s="51"/>
      <c r="B4499" s="52" t="str">
        <f t="shared" si="243"/>
        <v/>
      </c>
      <c r="C4499" t="str">
        <f t="shared" si="242"/>
        <v/>
      </c>
      <c r="D4499" s="245" t="str">
        <f t="shared" si="244"/>
        <v/>
      </c>
      <c r="E4499" s="534"/>
      <c r="F4499" s="534"/>
    </row>
    <row r="4500" spans="1:6" ht="15" customHeight="1">
      <c r="A4500" s="51"/>
      <c r="B4500" s="52" t="str">
        <f t="shared" si="243"/>
        <v/>
      </c>
      <c r="C4500" t="str">
        <f t="shared" si="242"/>
        <v/>
      </c>
      <c r="D4500" s="245" t="str">
        <f t="shared" si="244"/>
        <v/>
      </c>
      <c r="E4500" s="534"/>
      <c r="F4500" s="534"/>
    </row>
    <row r="4501" spans="1:6" ht="15" customHeight="1">
      <c r="A4501" s="51"/>
      <c r="B4501" s="52" t="str">
        <f t="shared" si="243"/>
        <v/>
      </c>
      <c r="C4501" t="str">
        <f t="shared" si="242"/>
        <v/>
      </c>
      <c r="D4501" s="245" t="str">
        <f t="shared" si="244"/>
        <v/>
      </c>
      <c r="E4501" s="534"/>
      <c r="F4501" s="534"/>
    </row>
    <row r="4502" spans="1:6" ht="15" customHeight="1">
      <c r="A4502" s="51"/>
      <c r="B4502" s="52" t="str">
        <f t="shared" si="243"/>
        <v/>
      </c>
      <c r="C4502" t="str">
        <f t="shared" si="242"/>
        <v/>
      </c>
      <c r="D4502" s="245" t="str">
        <f t="shared" si="244"/>
        <v/>
      </c>
      <c r="E4502" s="534"/>
      <c r="F4502" s="534"/>
    </row>
    <row r="4503" spans="1:6" ht="15" customHeight="1">
      <c r="A4503" s="51"/>
      <c r="B4503" s="52" t="str">
        <f t="shared" si="243"/>
        <v/>
      </c>
      <c r="C4503" t="str">
        <f t="shared" si="242"/>
        <v/>
      </c>
      <c r="D4503" s="245" t="str">
        <f t="shared" si="244"/>
        <v/>
      </c>
      <c r="E4503" s="534"/>
      <c r="F4503" s="534"/>
    </row>
    <row r="4504" spans="1:6" ht="15" customHeight="1">
      <c r="A4504" s="51"/>
      <c r="B4504" s="52" t="str">
        <f t="shared" si="243"/>
        <v/>
      </c>
      <c r="C4504" t="str">
        <f t="shared" si="242"/>
        <v/>
      </c>
      <c r="D4504" s="245" t="str">
        <f t="shared" si="244"/>
        <v/>
      </c>
      <c r="E4504" s="534"/>
      <c r="F4504" s="534"/>
    </row>
    <row r="4505" spans="1:6" ht="15" customHeight="1">
      <c r="A4505" s="51"/>
      <c r="B4505" s="52" t="str">
        <f t="shared" si="243"/>
        <v/>
      </c>
      <c r="C4505" t="str">
        <f t="shared" si="242"/>
        <v/>
      </c>
      <c r="D4505" s="245" t="str">
        <f t="shared" si="244"/>
        <v/>
      </c>
      <c r="E4505" s="534"/>
      <c r="F4505" s="534"/>
    </row>
    <row r="4506" spans="1:6" ht="15" customHeight="1">
      <c r="A4506" s="51"/>
      <c r="B4506" s="52" t="str">
        <f t="shared" si="243"/>
        <v/>
      </c>
      <c r="C4506" t="str">
        <f t="shared" si="242"/>
        <v/>
      </c>
      <c r="D4506" s="245" t="str">
        <f t="shared" si="244"/>
        <v/>
      </c>
      <c r="E4506" s="534"/>
      <c r="F4506" s="534"/>
    </row>
    <row r="4507" spans="1:6" ht="15" customHeight="1">
      <c r="A4507" s="51"/>
      <c r="B4507" s="52" t="str">
        <f t="shared" si="243"/>
        <v/>
      </c>
      <c r="C4507" t="str">
        <f t="shared" si="242"/>
        <v/>
      </c>
      <c r="D4507" s="245" t="str">
        <f t="shared" si="244"/>
        <v/>
      </c>
      <c r="E4507" s="534"/>
      <c r="F4507" s="534"/>
    </row>
    <row r="4508" spans="1:6" ht="15" customHeight="1">
      <c r="A4508" s="51"/>
      <c r="B4508" s="52" t="str">
        <f t="shared" si="243"/>
        <v/>
      </c>
      <c r="C4508" t="str">
        <f t="shared" si="242"/>
        <v/>
      </c>
      <c r="D4508" s="245" t="str">
        <f t="shared" si="244"/>
        <v/>
      </c>
      <c r="E4508" s="534"/>
      <c r="F4508" s="534"/>
    </row>
    <row r="4509" spans="1:6" ht="15" customHeight="1">
      <c r="A4509" s="51"/>
      <c r="B4509" s="52" t="str">
        <f t="shared" si="243"/>
        <v/>
      </c>
      <c r="C4509" t="str">
        <f t="shared" si="242"/>
        <v/>
      </c>
      <c r="D4509" s="245" t="str">
        <f t="shared" si="244"/>
        <v/>
      </c>
      <c r="E4509" s="534"/>
      <c r="F4509" s="534"/>
    </row>
    <row r="4510" spans="1:6" ht="15" customHeight="1">
      <c r="A4510" s="51"/>
      <c r="B4510" s="52" t="str">
        <f t="shared" si="243"/>
        <v/>
      </c>
      <c r="C4510" t="str">
        <f t="shared" si="242"/>
        <v/>
      </c>
      <c r="D4510" s="245" t="str">
        <f t="shared" si="244"/>
        <v/>
      </c>
      <c r="E4510" s="534"/>
      <c r="F4510" s="534"/>
    </row>
    <row r="4511" spans="1:6" ht="15" customHeight="1">
      <c r="A4511" s="51"/>
      <c r="B4511" s="52" t="str">
        <f t="shared" si="243"/>
        <v/>
      </c>
      <c r="C4511" t="str">
        <f t="shared" si="242"/>
        <v/>
      </c>
      <c r="D4511" s="245" t="str">
        <f t="shared" si="244"/>
        <v/>
      </c>
      <c r="E4511" s="534"/>
      <c r="F4511" s="534"/>
    </row>
    <row r="4512" spans="1:6" ht="15" customHeight="1">
      <c r="A4512" s="51"/>
      <c r="B4512" s="52" t="str">
        <f t="shared" si="243"/>
        <v/>
      </c>
      <c r="C4512" t="str">
        <f t="shared" si="242"/>
        <v/>
      </c>
      <c r="D4512" s="245" t="str">
        <f t="shared" si="244"/>
        <v/>
      </c>
      <c r="E4512" s="534"/>
      <c r="F4512" s="534"/>
    </row>
    <row r="4513" spans="1:6" ht="15" customHeight="1">
      <c r="A4513" s="51"/>
      <c r="B4513" s="52" t="str">
        <f t="shared" si="243"/>
        <v/>
      </c>
      <c r="C4513" t="str">
        <f t="shared" si="242"/>
        <v/>
      </c>
      <c r="D4513" s="245" t="str">
        <f t="shared" si="244"/>
        <v/>
      </c>
      <c r="E4513" s="534"/>
      <c r="F4513" s="534"/>
    </row>
    <row r="4514" spans="1:6" ht="15" customHeight="1">
      <c r="A4514" s="51"/>
      <c r="B4514" s="52" t="str">
        <f t="shared" si="243"/>
        <v/>
      </c>
      <c r="C4514" t="str">
        <f t="shared" si="242"/>
        <v/>
      </c>
      <c r="D4514" s="245" t="str">
        <f t="shared" si="244"/>
        <v/>
      </c>
      <c r="E4514" s="534"/>
      <c r="F4514" s="534"/>
    </row>
    <row r="4515" spans="1:6" ht="15" customHeight="1">
      <c r="A4515" s="51"/>
      <c r="B4515" s="52" t="str">
        <f t="shared" si="243"/>
        <v/>
      </c>
      <c r="C4515" t="str">
        <f t="shared" si="242"/>
        <v/>
      </c>
      <c r="D4515" s="245" t="str">
        <f t="shared" si="244"/>
        <v/>
      </c>
      <c r="E4515" s="534"/>
      <c r="F4515" s="534"/>
    </row>
    <row r="4516" spans="1:6" ht="15" customHeight="1">
      <c r="A4516" s="51"/>
      <c r="B4516" s="52" t="str">
        <f t="shared" si="243"/>
        <v/>
      </c>
      <c r="C4516" t="str">
        <f t="shared" si="242"/>
        <v/>
      </c>
      <c r="D4516" s="245" t="str">
        <f t="shared" si="244"/>
        <v/>
      </c>
      <c r="E4516" s="534"/>
      <c r="F4516" s="534"/>
    </row>
    <row r="4517" spans="1:6" ht="15" customHeight="1">
      <c r="A4517" s="51"/>
      <c r="B4517" s="52" t="str">
        <f t="shared" si="243"/>
        <v/>
      </c>
      <c r="C4517" t="str">
        <f t="shared" si="242"/>
        <v/>
      </c>
      <c r="D4517" s="245" t="str">
        <f t="shared" si="244"/>
        <v/>
      </c>
      <c r="E4517" s="534"/>
      <c r="F4517" s="534"/>
    </row>
    <row r="4518" spans="1:6" ht="15" customHeight="1">
      <c r="A4518" s="51"/>
      <c r="B4518" s="52" t="str">
        <f t="shared" si="243"/>
        <v/>
      </c>
      <c r="C4518" t="str">
        <f t="shared" si="242"/>
        <v/>
      </c>
      <c r="D4518" s="245" t="str">
        <f t="shared" si="244"/>
        <v/>
      </c>
      <c r="E4518" s="534"/>
      <c r="F4518" s="534"/>
    </row>
    <row r="4519" spans="1:6" ht="15" customHeight="1">
      <c r="A4519" s="51"/>
      <c r="B4519" s="52" t="str">
        <f t="shared" si="243"/>
        <v/>
      </c>
      <c r="C4519" t="str">
        <f t="shared" si="242"/>
        <v/>
      </c>
      <c r="D4519" s="245" t="str">
        <f t="shared" si="244"/>
        <v/>
      </c>
      <c r="E4519" s="534"/>
      <c r="F4519" s="534"/>
    </row>
    <row r="4520" spans="1:6" ht="15" customHeight="1">
      <c r="A4520" s="51"/>
      <c r="B4520" s="52" t="str">
        <f t="shared" si="243"/>
        <v/>
      </c>
      <c r="C4520" t="str">
        <f t="shared" si="242"/>
        <v/>
      </c>
      <c r="D4520" s="245" t="str">
        <f t="shared" si="244"/>
        <v/>
      </c>
      <c r="E4520" s="534"/>
      <c r="F4520" s="534"/>
    </row>
    <row r="4521" spans="1:6" ht="15" customHeight="1">
      <c r="A4521" s="51"/>
      <c r="B4521" s="52" t="str">
        <f t="shared" si="243"/>
        <v/>
      </c>
      <c r="C4521" t="str">
        <f t="shared" si="242"/>
        <v/>
      </c>
      <c r="D4521" s="245" t="str">
        <f t="shared" si="244"/>
        <v/>
      </c>
      <c r="E4521" s="534"/>
      <c r="F4521" s="534"/>
    </row>
    <row r="4522" spans="1:6" ht="15" customHeight="1">
      <c r="A4522" s="51"/>
      <c r="B4522" s="52" t="str">
        <f t="shared" si="243"/>
        <v/>
      </c>
      <c r="C4522" t="str">
        <f t="shared" si="242"/>
        <v/>
      </c>
      <c r="D4522" s="245" t="str">
        <f t="shared" si="244"/>
        <v/>
      </c>
      <c r="E4522" s="534"/>
      <c r="F4522" s="534"/>
    </row>
    <row r="4523" spans="1:6" ht="15" customHeight="1">
      <c r="A4523" s="51"/>
      <c r="B4523" s="52" t="str">
        <f t="shared" si="243"/>
        <v/>
      </c>
      <c r="C4523" t="str">
        <f t="shared" si="242"/>
        <v/>
      </c>
      <c r="D4523" s="245" t="str">
        <f t="shared" si="244"/>
        <v/>
      </c>
      <c r="E4523" s="534"/>
      <c r="F4523" s="534"/>
    </row>
    <row r="4524" spans="1:6" ht="15" customHeight="1">
      <c r="A4524" s="51"/>
      <c r="B4524" s="52" t="str">
        <f t="shared" si="243"/>
        <v/>
      </c>
      <c r="C4524" t="str">
        <f t="shared" si="242"/>
        <v/>
      </c>
      <c r="D4524" s="245" t="str">
        <f t="shared" si="244"/>
        <v/>
      </c>
      <c r="E4524" s="534"/>
      <c r="F4524" s="534"/>
    </row>
    <row r="4525" spans="1:6" ht="15" customHeight="1">
      <c r="A4525" s="51"/>
      <c r="B4525" s="52" t="str">
        <f t="shared" si="243"/>
        <v/>
      </c>
      <c r="C4525" t="str">
        <f t="shared" si="242"/>
        <v/>
      </c>
      <c r="D4525" s="245" t="str">
        <f t="shared" si="244"/>
        <v/>
      </c>
      <c r="E4525" s="534"/>
      <c r="F4525" s="534"/>
    </row>
    <row r="4526" spans="1:6" ht="15" customHeight="1">
      <c r="A4526" s="51"/>
      <c r="B4526" s="52" t="str">
        <f t="shared" si="243"/>
        <v/>
      </c>
      <c r="C4526" t="str">
        <f t="shared" si="242"/>
        <v/>
      </c>
      <c r="D4526" s="245" t="str">
        <f t="shared" si="244"/>
        <v/>
      </c>
      <c r="E4526" s="534"/>
      <c r="F4526" s="534"/>
    </row>
    <row r="4527" spans="1:6" ht="15" customHeight="1">
      <c r="A4527" s="51"/>
      <c r="B4527" s="52" t="str">
        <f t="shared" si="243"/>
        <v/>
      </c>
      <c r="C4527" t="str">
        <f t="shared" si="242"/>
        <v/>
      </c>
      <c r="D4527" s="245" t="str">
        <f t="shared" si="244"/>
        <v/>
      </c>
      <c r="E4527" s="534"/>
      <c r="F4527" s="534"/>
    </row>
    <row r="4528" spans="1:6" ht="15" customHeight="1">
      <c r="A4528" s="51"/>
      <c r="B4528" s="52" t="str">
        <f t="shared" si="243"/>
        <v/>
      </c>
      <c r="C4528" t="str">
        <f t="shared" si="242"/>
        <v/>
      </c>
      <c r="D4528" s="245" t="str">
        <f t="shared" si="244"/>
        <v/>
      </c>
      <c r="E4528" s="534"/>
      <c r="F4528" s="534"/>
    </row>
    <row r="4529" spans="1:6" ht="15" customHeight="1">
      <c r="A4529" s="51"/>
      <c r="B4529" s="52" t="str">
        <f t="shared" si="243"/>
        <v/>
      </c>
      <c r="C4529" t="str">
        <f t="shared" si="242"/>
        <v/>
      </c>
      <c r="D4529" s="245" t="str">
        <f t="shared" si="244"/>
        <v/>
      </c>
      <c r="E4529" s="534"/>
      <c r="F4529" s="534"/>
    </row>
    <row r="4530" spans="1:6" ht="15" customHeight="1">
      <c r="A4530" s="51"/>
      <c r="B4530" s="52" t="str">
        <f t="shared" si="243"/>
        <v/>
      </c>
      <c r="C4530" t="str">
        <f t="shared" si="242"/>
        <v/>
      </c>
      <c r="D4530" s="245" t="str">
        <f t="shared" si="244"/>
        <v/>
      </c>
      <c r="E4530" s="534"/>
      <c r="F4530" s="534"/>
    </row>
    <row r="4531" spans="1:6" ht="15" customHeight="1">
      <c r="A4531" s="51"/>
      <c r="B4531" s="52" t="str">
        <f t="shared" si="243"/>
        <v/>
      </c>
      <c r="C4531" t="str">
        <f t="shared" si="242"/>
        <v/>
      </c>
      <c r="D4531" s="245" t="str">
        <f t="shared" si="244"/>
        <v/>
      </c>
      <c r="E4531" s="534"/>
      <c r="F4531" s="534"/>
    </row>
    <row r="4532" spans="1:6" ht="15" customHeight="1">
      <c r="A4532" s="51"/>
      <c r="B4532" s="52" t="str">
        <f t="shared" si="243"/>
        <v/>
      </c>
      <c r="C4532" t="str">
        <f t="shared" si="242"/>
        <v/>
      </c>
      <c r="D4532" s="245" t="str">
        <f t="shared" si="244"/>
        <v/>
      </c>
      <c r="E4532" s="534"/>
      <c r="F4532" s="534"/>
    </row>
    <row r="4533" spans="1:6" ht="15" customHeight="1">
      <c r="A4533" s="51"/>
      <c r="B4533" s="52" t="str">
        <f t="shared" si="243"/>
        <v/>
      </c>
      <c r="C4533" t="str">
        <f t="shared" si="242"/>
        <v/>
      </c>
      <c r="D4533" s="245" t="str">
        <f t="shared" si="244"/>
        <v/>
      </c>
      <c r="E4533" s="534"/>
      <c r="F4533" s="534"/>
    </row>
    <row r="4534" spans="1:6" ht="15" customHeight="1">
      <c r="A4534" s="51"/>
      <c r="B4534" s="52" t="str">
        <f t="shared" si="243"/>
        <v/>
      </c>
      <c r="C4534" t="str">
        <f t="shared" si="242"/>
        <v/>
      </c>
      <c r="D4534" s="245" t="str">
        <f t="shared" si="244"/>
        <v/>
      </c>
      <c r="E4534" s="534"/>
      <c r="F4534" s="534"/>
    </row>
    <row r="4535" spans="1:6" ht="15" customHeight="1">
      <c r="A4535" s="51"/>
      <c r="B4535" s="52" t="str">
        <f t="shared" si="243"/>
        <v/>
      </c>
      <c r="C4535" t="str">
        <f t="shared" si="242"/>
        <v/>
      </c>
      <c r="D4535" s="245" t="str">
        <f t="shared" si="244"/>
        <v/>
      </c>
      <c r="E4535" s="534"/>
      <c r="F4535" s="534"/>
    </row>
    <row r="4536" spans="1:6" ht="15" customHeight="1">
      <c r="A4536" s="51"/>
      <c r="B4536" s="52" t="str">
        <f t="shared" si="243"/>
        <v/>
      </c>
      <c r="C4536" t="str">
        <f t="shared" si="242"/>
        <v/>
      </c>
      <c r="D4536" s="245" t="str">
        <f t="shared" si="244"/>
        <v/>
      </c>
      <c r="E4536" s="534"/>
      <c r="F4536" s="534"/>
    </row>
    <row r="4537" spans="1:6" ht="15" customHeight="1">
      <c r="A4537" s="51"/>
      <c r="B4537" s="52" t="str">
        <f t="shared" si="243"/>
        <v/>
      </c>
      <c r="C4537" t="str">
        <f t="shared" si="242"/>
        <v/>
      </c>
      <c r="D4537" s="245" t="str">
        <f t="shared" si="244"/>
        <v/>
      </c>
      <c r="E4537" s="534"/>
      <c r="F4537" s="534"/>
    </row>
    <row r="4538" spans="1:6" ht="15" customHeight="1">
      <c r="A4538" s="51"/>
      <c r="B4538" s="52" t="str">
        <f t="shared" si="243"/>
        <v/>
      </c>
      <c r="C4538" t="str">
        <f t="shared" si="242"/>
        <v/>
      </c>
      <c r="D4538" s="245" t="str">
        <f t="shared" si="244"/>
        <v/>
      </c>
      <c r="E4538" s="534"/>
      <c r="F4538" s="534"/>
    </row>
    <row r="4539" spans="1:6" ht="15" customHeight="1">
      <c r="A4539" s="51"/>
      <c r="B4539" s="52" t="str">
        <f t="shared" si="243"/>
        <v/>
      </c>
      <c r="C4539" t="str">
        <f t="shared" si="242"/>
        <v/>
      </c>
      <c r="D4539" s="245" t="str">
        <f t="shared" si="244"/>
        <v/>
      </c>
      <c r="E4539" s="534"/>
      <c r="F4539" s="534"/>
    </row>
    <row r="4540" spans="1:6" ht="15" customHeight="1">
      <c r="A4540" s="51"/>
      <c r="B4540" s="52" t="str">
        <f t="shared" si="243"/>
        <v/>
      </c>
      <c r="C4540" t="str">
        <f t="shared" si="242"/>
        <v/>
      </c>
      <c r="D4540" s="245" t="str">
        <f t="shared" si="244"/>
        <v/>
      </c>
      <c r="E4540" s="534"/>
      <c r="F4540" s="534"/>
    </row>
    <row r="4541" spans="1:6" ht="15" customHeight="1">
      <c r="A4541" s="51"/>
      <c r="B4541" s="52" t="str">
        <f t="shared" si="243"/>
        <v/>
      </c>
      <c r="C4541" t="str">
        <f t="shared" si="242"/>
        <v/>
      </c>
      <c r="D4541" s="245" t="str">
        <f t="shared" si="244"/>
        <v/>
      </c>
      <c r="E4541" s="534"/>
      <c r="F4541" s="534"/>
    </row>
    <row r="4542" spans="1:6" ht="15" customHeight="1">
      <c r="A4542" s="51"/>
      <c r="B4542" s="52" t="str">
        <f t="shared" si="243"/>
        <v/>
      </c>
      <c r="C4542" t="str">
        <f t="shared" si="242"/>
        <v/>
      </c>
      <c r="D4542" s="245" t="str">
        <f t="shared" si="244"/>
        <v/>
      </c>
      <c r="E4542" s="534"/>
      <c r="F4542" s="534"/>
    </row>
    <row r="4543" spans="1:6" ht="15" customHeight="1">
      <c r="A4543" s="51"/>
      <c r="B4543" s="52" t="str">
        <f t="shared" si="243"/>
        <v/>
      </c>
      <c r="C4543" t="str">
        <f t="shared" si="242"/>
        <v/>
      </c>
      <c r="D4543" s="245" t="str">
        <f t="shared" si="244"/>
        <v/>
      </c>
      <c r="E4543" s="534"/>
      <c r="F4543" s="534"/>
    </row>
    <row r="4544" spans="1:6" ht="15" customHeight="1">
      <c r="A4544" s="51"/>
      <c r="B4544" s="52" t="str">
        <f t="shared" si="243"/>
        <v/>
      </c>
      <c r="C4544" t="str">
        <f t="shared" si="242"/>
        <v/>
      </c>
      <c r="D4544" s="245" t="str">
        <f t="shared" si="244"/>
        <v/>
      </c>
      <c r="E4544" s="534"/>
      <c r="F4544" s="534"/>
    </row>
    <row r="4545" spans="1:6" ht="15" customHeight="1">
      <c r="A4545" s="51"/>
      <c r="B4545" s="52" t="str">
        <f t="shared" si="243"/>
        <v/>
      </c>
      <c r="C4545" t="str">
        <f t="shared" si="242"/>
        <v/>
      </c>
      <c r="D4545" s="245" t="str">
        <f t="shared" si="244"/>
        <v/>
      </c>
      <c r="E4545" s="534"/>
      <c r="F4545" s="534"/>
    </row>
    <row r="4546" spans="1:6" ht="15" customHeight="1">
      <c r="A4546" s="51"/>
      <c r="B4546" s="52" t="str">
        <f t="shared" si="243"/>
        <v/>
      </c>
      <c r="C4546" t="str">
        <f t="shared" ref="C4546:C4609" si="245">IF(A4546&lt;&gt;"",TEXT(A4546,"aaaa"),"")</f>
        <v/>
      </c>
      <c r="D4546" s="245" t="str">
        <f t="shared" si="244"/>
        <v/>
      </c>
      <c r="E4546" s="534"/>
      <c r="F4546" s="534"/>
    </row>
    <row r="4547" spans="1:6" ht="15" customHeight="1">
      <c r="A4547" s="51"/>
      <c r="B4547" s="52" t="str">
        <f t="shared" si="243"/>
        <v/>
      </c>
      <c r="C4547" t="str">
        <f t="shared" si="245"/>
        <v/>
      </c>
      <c r="D4547" s="245" t="str">
        <f t="shared" si="244"/>
        <v/>
      </c>
      <c r="E4547" s="534"/>
      <c r="F4547" s="534"/>
    </row>
    <row r="4548" spans="1:6" ht="15" customHeight="1">
      <c r="A4548" s="51"/>
      <c r="B4548" s="52" t="str">
        <f t="shared" si="243"/>
        <v/>
      </c>
      <c r="C4548" t="str">
        <f t="shared" si="245"/>
        <v/>
      </c>
      <c r="D4548" s="245" t="str">
        <f t="shared" si="244"/>
        <v/>
      </c>
      <c r="E4548" s="534"/>
      <c r="F4548" s="534"/>
    </row>
    <row r="4549" spans="1:6" ht="15" customHeight="1">
      <c r="A4549" s="51"/>
      <c r="B4549" s="52" t="str">
        <f t="shared" si="243"/>
        <v/>
      </c>
      <c r="C4549" t="str">
        <f t="shared" si="245"/>
        <v/>
      </c>
      <c r="D4549" s="245" t="str">
        <f t="shared" si="244"/>
        <v/>
      </c>
      <c r="E4549" s="534"/>
      <c r="F4549" s="534"/>
    </row>
    <row r="4550" spans="1:6" ht="15" customHeight="1">
      <c r="A4550" s="51"/>
      <c r="B4550" s="52" t="str">
        <f t="shared" si="243"/>
        <v/>
      </c>
      <c r="C4550" t="str">
        <f t="shared" si="245"/>
        <v/>
      </c>
      <c r="D4550" s="245" t="str">
        <f t="shared" si="244"/>
        <v/>
      </c>
      <c r="E4550" s="534"/>
      <c r="F4550" s="534"/>
    </row>
    <row r="4551" spans="1:6" ht="15" customHeight="1">
      <c r="A4551" s="51"/>
      <c r="B4551" s="52" t="str">
        <f t="shared" si="243"/>
        <v/>
      </c>
      <c r="C4551" t="str">
        <f t="shared" si="245"/>
        <v/>
      </c>
      <c r="D4551" s="245" t="str">
        <f t="shared" si="244"/>
        <v/>
      </c>
      <c r="E4551" s="534"/>
      <c r="F4551" s="534"/>
    </row>
    <row r="4552" spans="1:6" ht="15" customHeight="1">
      <c r="A4552" s="51"/>
      <c r="B4552" s="52" t="str">
        <f t="shared" ref="B4552:B4615" si="246">IF(A4552="","",TEXT(A4552,"DDDD"))</f>
        <v/>
      </c>
      <c r="C4552" t="str">
        <f t="shared" si="245"/>
        <v/>
      </c>
      <c r="D4552" s="245" t="str">
        <f t="shared" si="244"/>
        <v/>
      </c>
      <c r="E4552" s="534"/>
      <c r="F4552" s="534"/>
    </row>
    <row r="4553" spans="1:6" ht="15" customHeight="1">
      <c r="A4553" s="51"/>
      <c r="B4553" s="52" t="str">
        <f t="shared" si="246"/>
        <v/>
      </c>
      <c r="C4553" t="str">
        <f t="shared" si="245"/>
        <v/>
      </c>
      <c r="D4553" s="245" t="str">
        <f t="shared" ref="D4553:D4616" si="247">IF(A4553&lt;&gt;"",PROPER(TEXT(A4553,"Mmmm")),"")</f>
        <v/>
      </c>
      <c r="E4553" s="534"/>
      <c r="F4553" s="534"/>
    </row>
    <row r="4554" spans="1:6" ht="15" customHeight="1">
      <c r="A4554" s="51"/>
      <c r="B4554" s="52" t="str">
        <f t="shared" si="246"/>
        <v/>
      </c>
      <c r="C4554" t="str">
        <f t="shared" si="245"/>
        <v/>
      </c>
      <c r="D4554" s="245" t="str">
        <f t="shared" si="247"/>
        <v/>
      </c>
      <c r="E4554" s="534"/>
      <c r="F4554" s="534"/>
    </row>
    <row r="4555" spans="1:6" ht="15" customHeight="1">
      <c r="A4555" s="51"/>
      <c r="B4555" s="52" t="str">
        <f t="shared" si="246"/>
        <v/>
      </c>
      <c r="C4555" t="str">
        <f t="shared" si="245"/>
        <v/>
      </c>
      <c r="D4555" s="245" t="str">
        <f t="shared" si="247"/>
        <v/>
      </c>
      <c r="E4555" s="534"/>
      <c r="F4555" s="534"/>
    </row>
    <row r="4556" spans="1:6" ht="15" customHeight="1">
      <c r="A4556" s="51"/>
      <c r="B4556" s="52" t="str">
        <f t="shared" si="246"/>
        <v/>
      </c>
      <c r="C4556" t="str">
        <f t="shared" si="245"/>
        <v/>
      </c>
      <c r="D4556" s="245" t="str">
        <f t="shared" si="247"/>
        <v/>
      </c>
      <c r="E4556" s="534"/>
      <c r="F4556" s="534"/>
    </row>
    <row r="4557" spans="1:6" ht="15" customHeight="1">
      <c r="A4557" s="51"/>
      <c r="B4557" s="52" t="str">
        <f t="shared" si="246"/>
        <v/>
      </c>
      <c r="C4557" t="str">
        <f t="shared" si="245"/>
        <v/>
      </c>
      <c r="D4557" s="245" t="str">
        <f t="shared" si="247"/>
        <v/>
      </c>
      <c r="E4557" s="534"/>
      <c r="F4557" s="534"/>
    </row>
    <row r="4558" spans="1:6" ht="15" customHeight="1">
      <c r="A4558" s="51"/>
      <c r="B4558" s="52" t="str">
        <f t="shared" si="246"/>
        <v/>
      </c>
      <c r="C4558" t="str">
        <f t="shared" si="245"/>
        <v/>
      </c>
      <c r="D4558" s="245" t="str">
        <f t="shared" si="247"/>
        <v/>
      </c>
      <c r="E4558" s="534"/>
      <c r="F4558" s="534"/>
    </row>
    <row r="4559" spans="1:6" ht="15" customHeight="1">
      <c r="A4559" s="51"/>
      <c r="B4559" s="52" t="str">
        <f t="shared" si="246"/>
        <v/>
      </c>
      <c r="C4559" t="str">
        <f t="shared" si="245"/>
        <v/>
      </c>
      <c r="D4559" s="245" t="str">
        <f t="shared" si="247"/>
        <v/>
      </c>
      <c r="E4559" s="534"/>
      <c r="F4559" s="534"/>
    </row>
    <row r="4560" spans="1:6" ht="15" customHeight="1">
      <c r="A4560" s="51"/>
      <c r="B4560" s="52" t="str">
        <f t="shared" si="246"/>
        <v/>
      </c>
      <c r="C4560" t="str">
        <f t="shared" si="245"/>
        <v/>
      </c>
      <c r="D4560" s="245" t="str">
        <f t="shared" si="247"/>
        <v/>
      </c>
      <c r="E4560" s="534"/>
      <c r="F4560" s="534"/>
    </row>
    <row r="4561" spans="1:6" ht="15" customHeight="1">
      <c r="A4561" s="51"/>
      <c r="B4561" s="52" t="str">
        <f t="shared" si="246"/>
        <v/>
      </c>
      <c r="C4561" t="str">
        <f t="shared" si="245"/>
        <v/>
      </c>
      <c r="D4561" s="245" t="str">
        <f t="shared" si="247"/>
        <v/>
      </c>
      <c r="E4561" s="534"/>
      <c r="F4561" s="534"/>
    </row>
    <row r="4562" spans="1:6" ht="15" customHeight="1">
      <c r="A4562" s="51"/>
      <c r="B4562" s="52" t="str">
        <f t="shared" si="246"/>
        <v/>
      </c>
      <c r="C4562" t="str">
        <f t="shared" si="245"/>
        <v/>
      </c>
      <c r="D4562" s="245" t="str">
        <f t="shared" si="247"/>
        <v/>
      </c>
      <c r="E4562" s="534"/>
      <c r="F4562" s="534"/>
    </row>
    <row r="4563" spans="1:6" ht="15" customHeight="1">
      <c r="A4563" s="51"/>
      <c r="B4563" s="52" t="str">
        <f t="shared" si="246"/>
        <v/>
      </c>
      <c r="C4563" t="str">
        <f t="shared" si="245"/>
        <v/>
      </c>
      <c r="D4563" s="245" t="str">
        <f t="shared" si="247"/>
        <v/>
      </c>
      <c r="E4563" s="534"/>
      <c r="F4563" s="534"/>
    </row>
    <row r="4564" spans="1:6" ht="15" customHeight="1">
      <c r="A4564" s="51"/>
      <c r="B4564" s="52" t="str">
        <f t="shared" si="246"/>
        <v/>
      </c>
      <c r="C4564" t="str">
        <f t="shared" si="245"/>
        <v/>
      </c>
      <c r="D4564" s="245" t="str">
        <f t="shared" si="247"/>
        <v/>
      </c>
      <c r="E4564" s="534"/>
      <c r="F4564" s="534"/>
    </row>
    <row r="4565" spans="1:6" ht="15" customHeight="1">
      <c r="A4565" s="51"/>
      <c r="B4565" s="52" t="str">
        <f t="shared" si="246"/>
        <v/>
      </c>
      <c r="C4565" t="str">
        <f t="shared" si="245"/>
        <v/>
      </c>
      <c r="D4565" s="245" t="str">
        <f t="shared" si="247"/>
        <v/>
      </c>
      <c r="E4565" s="534"/>
      <c r="F4565" s="534"/>
    </row>
    <row r="4566" spans="1:6" ht="15" customHeight="1">
      <c r="A4566" s="51"/>
      <c r="B4566" s="52" t="str">
        <f t="shared" si="246"/>
        <v/>
      </c>
      <c r="C4566" t="str">
        <f t="shared" si="245"/>
        <v/>
      </c>
      <c r="D4566" s="245" t="str">
        <f t="shared" si="247"/>
        <v/>
      </c>
      <c r="E4566" s="534"/>
      <c r="F4566" s="534"/>
    </row>
    <row r="4567" spans="1:6" ht="15" customHeight="1">
      <c r="A4567" s="51"/>
      <c r="B4567" s="52" t="str">
        <f t="shared" si="246"/>
        <v/>
      </c>
      <c r="C4567" t="str">
        <f t="shared" si="245"/>
        <v/>
      </c>
      <c r="D4567" s="245" t="str">
        <f t="shared" si="247"/>
        <v/>
      </c>
      <c r="E4567" s="534"/>
      <c r="F4567" s="534"/>
    </row>
    <row r="4568" spans="1:6" ht="15" customHeight="1">
      <c r="A4568" s="51"/>
      <c r="B4568" s="52" t="str">
        <f t="shared" si="246"/>
        <v/>
      </c>
      <c r="C4568" t="str">
        <f t="shared" si="245"/>
        <v/>
      </c>
      <c r="D4568" s="245" t="str">
        <f t="shared" si="247"/>
        <v/>
      </c>
      <c r="E4568" s="534"/>
      <c r="F4568" s="534"/>
    </row>
    <row r="4569" spans="1:6" ht="15" customHeight="1">
      <c r="A4569" s="51"/>
      <c r="B4569" s="52" t="str">
        <f t="shared" si="246"/>
        <v/>
      </c>
      <c r="C4569" t="str">
        <f t="shared" si="245"/>
        <v/>
      </c>
      <c r="D4569" s="245" t="str">
        <f t="shared" si="247"/>
        <v/>
      </c>
      <c r="E4569" s="534"/>
      <c r="F4569" s="534"/>
    </row>
    <row r="4570" spans="1:6" ht="15" customHeight="1">
      <c r="A4570" s="51"/>
      <c r="B4570" s="52" t="str">
        <f t="shared" si="246"/>
        <v/>
      </c>
      <c r="C4570" t="str">
        <f t="shared" si="245"/>
        <v/>
      </c>
      <c r="D4570" s="245" t="str">
        <f t="shared" si="247"/>
        <v/>
      </c>
      <c r="E4570" s="534"/>
      <c r="F4570" s="534"/>
    </row>
    <row r="4571" spans="1:6" ht="15" customHeight="1">
      <c r="A4571" s="51"/>
      <c r="B4571" s="52" t="str">
        <f t="shared" si="246"/>
        <v/>
      </c>
      <c r="C4571" t="str">
        <f t="shared" si="245"/>
        <v/>
      </c>
      <c r="D4571" s="245" t="str">
        <f t="shared" si="247"/>
        <v/>
      </c>
      <c r="E4571" s="534"/>
      <c r="F4571" s="534"/>
    </row>
    <row r="4572" spans="1:6" ht="15" customHeight="1">
      <c r="A4572" s="51"/>
      <c r="B4572" s="52" t="str">
        <f t="shared" si="246"/>
        <v/>
      </c>
      <c r="C4572" t="str">
        <f t="shared" si="245"/>
        <v/>
      </c>
      <c r="D4572" s="245" t="str">
        <f t="shared" si="247"/>
        <v/>
      </c>
      <c r="E4572" s="534"/>
      <c r="F4572" s="534"/>
    </row>
    <row r="4573" spans="1:6" ht="15" customHeight="1">
      <c r="A4573" s="51"/>
      <c r="B4573" s="52" t="str">
        <f t="shared" si="246"/>
        <v/>
      </c>
      <c r="C4573" t="str">
        <f t="shared" si="245"/>
        <v/>
      </c>
      <c r="D4573" s="245" t="str">
        <f t="shared" si="247"/>
        <v/>
      </c>
      <c r="E4573" s="534"/>
      <c r="F4573" s="534"/>
    </row>
    <row r="4574" spans="1:6" ht="15" customHeight="1">
      <c r="A4574" s="51"/>
      <c r="B4574" s="52" t="str">
        <f t="shared" si="246"/>
        <v/>
      </c>
      <c r="C4574" t="str">
        <f t="shared" si="245"/>
        <v/>
      </c>
      <c r="D4574" s="245" t="str">
        <f t="shared" si="247"/>
        <v/>
      </c>
      <c r="E4574" s="534"/>
      <c r="F4574" s="534"/>
    </row>
    <row r="4575" spans="1:6" ht="15" customHeight="1">
      <c r="A4575" s="51"/>
      <c r="B4575" s="52" t="str">
        <f t="shared" si="246"/>
        <v/>
      </c>
      <c r="C4575" t="str">
        <f t="shared" si="245"/>
        <v/>
      </c>
      <c r="D4575" s="245" t="str">
        <f t="shared" si="247"/>
        <v/>
      </c>
      <c r="E4575" s="534"/>
      <c r="F4575" s="534"/>
    </row>
    <row r="4576" spans="1:6" ht="15" customHeight="1">
      <c r="A4576" s="51"/>
      <c r="B4576" s="52" t="str">
        <f t="shared" si="246"/>
        <v/>
      </c>
      <c r="C4576" t="str">
        <f t="shared" si="245"/>
        <v/>
      </c>
      <c r="D4576" s="245" t="str">
        <f t="shared" si="247"/>
        <v/>
      </c>
      <c r="E4576" s="534"/>
      <c r="F4576" s="534"/>
    </row>
    <row r="4577" spans="1:6" ht="15" customHeight="1">
      <c r="A4577" s="51"/>
      <c r="B4577" s="52" t="str">
        <f t="shared" si="246"/>
        <v/>
      </c>
      <c r="C4577" t="str">
        <f t="shared" si="245"/>
        <v/>
      </c>
      <c r="D4577" s="245" t="str">
        <f t="shared" si="247"/>
        <v/>
      </c>
      <c r="E4577" s="534"/>
      <c r="F4577" s="534"/>
    </row>
    <row r="4578" spans="1:6" ht="15" customHeight="1">
      <c r="A4578" s="51"/>
      <c r="B4578" s="52" t="str">
        <f t="shared" si="246"/>
        <v/>
      </c>
      <c r="C4578" t="str">
        <f t="shared" si="245"/>
        <v/>
      </c>
      <c r="D4578" s="245" t="str">
        <f t="shared" si="247"/>
        <v/>
      </c>
      <c r="E4578" s="534"/>
      <c r="F4578" s="534"/>
    </row>
    <row r="4579" spans="1:6" ht="15" customHeight="1">
      <c r="A4579" s="51"/>
      <c r="B4579" s="52" t="str">
        <f t="shared" si="246"/>
        <v/>
      </c>
      <c r="C4579" t="str">
        <f t="shared" si="245"/>
        <v/>
      </c>
      <c r="D4579" s="245" t="str">
        <f t="shared" si="247"/>
        <v/>
      </c>
      <c r="E4579" s="534"/>
      <c r="F4579" s="534"/>
    </row>
    <row r="4580" spans="1:6" ht="15" customHeight="1">
      <c r="A4580" s="51"/>
      <c r="B4580" s="52" t="str">
        <f t="shared" si="246"/>
        <v/>
      </c>
      <c r="C4580" t="str">
        <f t="shared" si="245"/>
        <v/>
      </c>
      <c r="D4580" s="245" t="str">
        <f t="shared" si="247"/>
        <v/>
      </c>
      <c r="E4580" s="534"/>
      <c r="F4580" s="534"/>
    </row>
    <row r="4581" spans="1:6" ht="15" customHeight="1">
      <c r="A4581" s="51"/>
      <c r="B4581" s="52" t="str">
        <f t="shared" si="246"/>
        <v/>
      </c>
      <c r="C4581" t="str">
        <f t="shared" si="245"/>
        <v/>
      </c>
      <c r="D4581" s="245" t="str">
        <f t="shared" si="247"/>
        <v/>
      </c>
      <c r="E4581" s="534"/>
      <c r="F4581" s="534"/>
    </row>
    <row r="4582" spans="1:6" ht="15" customHeight="1">
      <c r="A4582" s="51"/>
      <c r="B4582" s="52" t="str">
        <f t="shared" si="246"/>
        <v/>
      </c>
      <c r="C4582" t="str">
        <f t="shared" si="245"/>
        <v/>
      </c>
      <c r="D4582" s="245" t="str">
        <f t="shared" si="247"/>
        <v/>
      </c>
      <c r="E4582" s="534"/>
      <c r="F4582" s="534"/>
    </row>
    <row r="4583" spans="1:6" ht="15" customHeight="1">
      <c r="A4583" s="51"/>
      <c r="B4583" s="52" t="str">
        <f t="shared" si="246"/>
        <v/>
      </c>
      <c r="C4583" t="str">
        <f t="shared" si="245"/>
        <v/>
      </c>
      <c r="D4583" s="245" t="str">
        <f t="shared" si="247"/>
        <v/>
      </c>
      <c r="E4583" s="534"/>
      <c r="F4583" s="534"/>
    </row>
    <row r="4584" spans="1:6" ht="15" customHeight="1">
      <c r="A4584" s="51"/>
      <c r="B4584" s="52" t="str">
        <f t="shared" si="246"/>
        <v/>
      </c>
      <c r="C4584" t="str">
        <f t="shared" si="245"/>
        <v/>
      </c>
      <c r="D4584" s="245" t="str">
        <f t="shared" si="247"/>
        <v/>
      </c>
      <c r="E4584" s="534"/>
      <c r="F4584" s="534"/>
    </row>
    <row r="4585" spans="1:6" ht="15" customHeight="1">
      <c r="A4585" s="51"/>
      <c r="B4585" s="52" t="str">
        <f t="shared" si="246"/>
        <v/>
      </c>
      <c r="C4585" t="str">
        <f t="shared" si="245"/>
        <v/>
      </c>
      <c r="D4585" s="245" t="str">
        <f t="shared" si="247"/>
        <v/>
      </c>
      <c r="E4585" s="534"/>
      <c r="F4585" s="534"/>
    </row>
    <row r="4586" spans="1:6" ht="15" customHeight="1">
      <c r="A4586" s="51"/>
      <c r="B4586" s="52" t="str">
        <f t="shared" si="246"/>
        <v/>
      </c>
      <c r="C4586" t="str">
        <f t="shared" si="245"/>
        <v/>
      </c>
      <c r="D4586" s="245" t="str">
        <f t="shared" si="247"/>
        <v/>
      </c>
      <c r="E4586" s="534"/>
      <c r="F4586" s="534"/>
    </row>
    <row r="4587" spans="1:6" ht="15" customHeight="1">
      <c r="A4587" s="51"/>
      <c r="B4587" s="52" t="str">
        <f t="shared" si="246"/>
        <v/>
      </c>
      <c r="C4587" t="str">
        <f t="shared" si="245"/>
        <v/>
      </c>
      <c r="D4587" s="245" t="str">
        <f t="shared" si="247"/>
        <v/>
      </c>
      <c r="E4587" s="534"/>
      <c r="F4587" s="534"/>
    </row>
    <row r="4588" spans="1:6" ht="15" customHeight="1">
      <c r="A4588" s="51"/>
      <c r="B4588" s="52" t="str">
        <f t="shared" si="246"/>
        <v/>
      </c>
      <c r="C4588" t="str">
        <f t="shared" si="245"/>
        <v/>
      </c>
      <c r="D4588" s="245" t="str">
        <f t="shared" si="247"/>
        <v/>
      </c>
      <c r="E4588" s="534"/>
      <c r="F4588" s="534"/>
    </row>
    <row r="4589" spans="1:6" ht="15" customHeight="1">
      <c r="A4589" s="51"/>
      <c r="B4589" s="52" t="str">
        <f t="shared" si="246"/>
        <v/>
      </c>
      <c r="C4589" t="str">
        <f t="shared" si="245"/>
        <v/>
      </c>
      <c r="D4589" s="245" t="str">
        <f t="shared" si="247"/>
        <v/>
      </c>
      <c r="E4589" s="534"/>
      <c r="F4589" s="534"/>
    </row>
    <row r="4590" spans="1:6" ht="15" customHeight="1">
      <c r="A4590" s="51"/>
      <c r="B4590" s="52" t="str">
        <f t="shared" si="246"/>
        <v/>
      </c>
      <c r="C4590" t="str">
        <f t="shared" si="245"/>
        <v/>
      </c>
      <c r="D4590" s="245" t="str">
        <f t="shared" si="247"/>
        <v/>
      </c>
      <c r="E4590" s="534"/>
      <c r="F4590" s="534"/>
    </row>
    <row r="4591" spans="1:6" ht="15" customHeight="1">
      <c r="A4591" s="51"/>
      <c r="B4591" s="52" t="str">
        <f t="shared" si="246"/>
        <v/>
      </c>
      <c r="C4591" t="str">
        <f t="shared" si="245"/>
        <v/>
      </c>
      <c r="D4591" s="245" t="str">
        <f t="shared" si="247"/>
        <v/>
      </c>
      <c r="E4591" s="534"/>
      <c r="F4591" s="534"/>
    </row>
    <row r="4592" spans="1:6" ht="15" customHeight="1">
      <c r="A4592" s="51"/>
      <c r="B4592" s="52" t="str">
        <f t="shared" si="246"/>
        <v/>
      </c>
      <c r="C4592" t="str">
        <f t="shared" si="245"/>
        <v/>
      </c>
      <c r="D4592" s="245" t="str">
        <f t="shared" si="247"/>
        <v/>
      </c>
      <c r="E4592" s="534"/>
      <c r="F4592" s="534"/>
    </row>
    <row r="4593" spans="1:6" ht="15" customHeight="1">
      <c r="A4593" s="51"/>
      <c r="B4593" s="52" t="str">
        <f t="shared" si="246"/>
        <v/>
      </c>
      <c r="C4593" t="str">
        <f t="shared" si="245"/>
        <v/>
      </c>
      <c r="D4593" s="245" t="str">
        <f t="shared" si="247"/>
        <v/>
      </c>
      <c r="E4593" s="534"/>
      <c r="F4593" s="534"/>
    </row>
    <row r="4594" spans="1:6" ht="15" customHeight="1">
      <c r="A4594" s="51"/>
      <c r="B4594" s="52" t="str">
        <f t="shared" si="246"/>
        <v/>
      </c>
      <c r="C4594" t="str">
        <f t="shared" si="245"/>
        <v/>
      </c>
      <c r="D4594" s="245" t="str">
        <f t="shared" si="247"/>
        <v/>
      </c>
      <c r="E4594" s="534"/>
      <c r="F4594" s="534"/>
    </row>
    <row r="4595" spans="1:6" ht="15" customHeight="1">
      <c r="A4595" s="51"/>
      <c r="B4595" s="52" t="str">
        <f t="shared" si="246"/>
        <v/>
      </c>
      <c r="C4595" t="str">
        <f t="shared" si="245"/>
        <v/>
      </c>
      <c r="D4595" s="245" t="str">
        <f t="shared" si="247"/>
        <v/>
      </c>
      <c r="E4595" s="534"/>
      <c r="F4595" s="534"/>
    </row>
    <row r="4596" spans="1:6" ht="15" customHeight="1">
      <c r="A4596" s="51"/>
      <c r="B4596" s="52" t="str">
        <f t="shared" si="246"/>
        <v/>
      </c>
      <c r="C4596" t="str">
        <f t="shared" si="245"/>
        <v/>
      </c>
      <c r="D4596" s="245" t="str">
        <f t="shared" si="247"/>
        <v/>
      </c>
      <c r="E4596" s="534"/>
      <c r="F4596" s="534"/>
    </row>
    <row r="4597" spans="1:6" ht="15" customHeight="1">
      <c r="A4597" s="51"/>
      <c r="B4597" s="52" t="str">
        <f t="shared" si="246"/>
        <v/>
      </c>
      <c r="C4597" t="str">
        <f t="shared" si="245"/>
        <v/>
      </c>
      <c r="D4597" s="245" t="str">
        <f t="shared" si="247"/>
        <v/>
      </c>
      <c r="E4597" s="534"/>
      <c r="F4597" s="534"/>
    </row>
    <row r="4598" spans="1:6" ht="15" customHeight="1">
      <c r="A4598" s="51"/>
      <c r="B4598" s="52" t="str">
        <f t="shared" si="246"/>
        <v/>
      </c>
      <c r="C4598" t="str">
        <f t="shared" si="245"/>
        <v/>
      </c>
      <c r="D4598" s="245" t="str">
        <f t="shared" si="247"/>
        <v/>
      </c>
      <c r="E4598" s="534"/>
      <c r="F4598" s="534"/>
    </row>
    <row r="4599" spans="1:6" ht="15" customHeight="1">
      <c r="A4599" s="51"/>
      <c r="B4599" s="52" t="str">
        <f t="shared" si="246"/>
        <v/>
      </c>
      <c r="C4599" t="str">
        <f t="shared" si="245"/>
        <v/>
      </c>
      <c r="D4599" s="245" t="str">
        <f t="shared" si="247"/>
        <v/>
      </c>
      <c r="E4599" s="534"/>
      <c r="F4599" s="534"/>
    </row>
    <row r="4600" spans="1:6" ht="15" customHeight="1">
      <c r="A4600" s="51"/>
      <c r="B4600" s="52" t="str">
        <f t="shared" si="246"/>
        <v/>
      </c>
      <c r="C4600" t="str">
        <f t="shared" si="245"/>
        <v/>
      </c>
      <c r="D4600" s="245" t="str">
        <f t="shared" si="247"/>
        <v/>
      </c>
      <c r="E4600" s="534"/>
      <c r="F4600" s="534"/>
    </row>
    <row r="4601" spans="1:6" ht="15" customHeight="1">
      <c r="A4601" s="51"/>
      <c r="B4601" s="52" t="str">
        <f t="shared" si="246"/>
        <v/>
      </c>
      <c r="C4601" t="str">
        <f t="shared" si="245"/>
        <v/>
      </c>
      <c r="D4601" s="245" t="str">
        <f t="shared" si="247"/>
        <v/>
      </c>
      <c r="E4601" s="534"/>
      <c r="F4601" s="534"/>
    </row>
    <row r="4602" spans="1:6" ht="15" customHeight="1">
      <c r="A4602" s="51"/>
      <c r="B4602" s="52" t="str">
        <f t="shared" si="246"/>
        <v/>
      </c>
      <c r="C4602" t="str">
        <f t="shared" si="245"/>
        <v/>
      </c>
      <c r="D4602" s="245" t="str">
        <f t="shared" si="247"/>
        <v/>
      </c>
      <c r="E4602" s="534"/>
      <c r="F4602" s="534"/>
    </row>
    <row r="4603" spans="1:6" ht="15" customHeight="1">
      <c r="A4603" s="51"/>
      <c r="B4603" s="52" t="str">
        <f t="shared" si="246"/>
        <v/>
      </c>
      <c r="C4603" t="str">
        <f t="shared" si="245"/>
        <v/>
      </c>
      <c r="D4603" s="245" t="str">
        <f t="shared" si="247"/>
        <v/>
      </c>
      <c r="E4603" s="534"/>
      <c r="F4603" s="534"/>
    </row>
    <row r="4604" spans="1:6" ht="15" customHeight="1">
      <c r="A4604" s="51"/>
      <c r="B4604" s="52" t="str">
        <f t="shared" si="246"/>
        <v/>
      </c>
      <c r="C4604" t="str">
        <f t="shared" si="245"/>
        <v/>
      </c>
      <c r="D4604" s="245" t="str">
        <f t="shared" si="247"/>
        <v/>
      </c>
      <c r="E4604" s="534"/>
      <c r="F4604" s="534"/>
    </row>
    <row r="4605" spans="1:6" ht="15" customHeight="1">
      <c r="A4605" s="51"/>
      <c r="B4605" s="52" t="str">
        <f t="shared" si="246"/>
        <v/>
      </c>
      <c r="C4605" t="str">
        <f t="shared" si="245"/>
        <v/>
      </c>
      <c r="D4605" s="245" t="str">
        <f t="shared" si="247"/>
        <v/>
      </c>
      <c r="E4605" s="534"/>
      <c r="F4605" s="534"/>
    </row>
    <row r="4606" spans="1:6" ht="15" customHeight="1">
      <c r="A4606" s="51"/>
      <c r="B4606" s="52" t="str">
        <f t="shared" si="246"/>
        <v/>
      </c>
      <c r="C4606" t="str">
        <f t="shared" si="245"/>
        <v/>
      </c>
      <c r="D4606" s="245" t="str">
        <f t="shared" si="247"/>
        <v/>
      </c>
      <c r="E4606" s="534"/>
      <c r="F4606" s="534"/>
    </row>
    <row r="4607" spans="1:6" ht="15" customHeight="1">
      <c r="A4607" s="51"/>
      <c r="B4607" s="52" t="str">
        <f t="shared" si="246"/>
        <v/>
      </c>
      <c r="C4607" t="str">
        <f t="shared" si="245"/>
        <v/>
      </c>
      <c r="D4607" s="245" t="str">
        <f t="shared" si="247"/>
        <v/>
      </c>
      <c r="E4607" s="534"/>
      <c r="F4607" s="534"/>
    </row>
    <row r="4608" spans="1:6" ht="15" customHeight="1">
      <c r="A4608" s="51"/>
      <c r="B4608" s="52" t="str">
        <f t="shared" si="246"/>
        <v/>
      </c>
      <c r="C4608" t="str">
        <f t="shared" si="245"/>
        <v/>
      </c>
      <c r="D4608" s="245" t="str">
        <f t="shared" si="247"/>
        <v/>
      </c>
      <c r="E4608" s="534"/>
      <c r="F4608" s="534"/>
    </row>
    <row r="4609" spans="1:6" ht="15" customHeight="1">
      <c r="A4609" s="51"/>
      <c r="B4609" s="52" t="str">
        <f t="shared" si="246"/>
        <v/>
      </c>
      <c r="C4609" t="str">
        <f t="shared" si="245"/>
        <v/>
      </c>
      <c r="D4609" s="245" t="str">
        <f t="shared" si="247"/>
        <v/>
      </c>
      <c r="E4609" s="534"/>
      <c r="F4609" s="534"/>
    </row>
    <row r="4610" spans="1:6" ht="15" customHeight="1">
      <c r="A4610" s="51"/>
      <c r="B4610" s="52" t="str">
        <f t="shared" si="246"/>
        <v/>
      </c>
      <c r="C4610" t="str">
        <f t="shared" ref="C4610:C4673" si="248">IF(A4610&lt;&gt;"",TEXT(A4610,"aaaa"),"")</f>
        <v/>
      </c>
      <c r="D4610" s="245" t="str">
        <f t="shared" si="247"/>
        <v/>
      </c>
      <c r="E4610" s="534"/>
      <c r="F4610" s="534"/>
    </row>
    <row r="4611" spans="1:6" ht="15" customHeight="1">
      <c r="A4611" s="51"/>
      <c r="B4611" s="52" t="str">
        <f t="shared" si="246"/>
        <v/>
      </c>
      <c r="C4611" t="str">
        <f t="shared" si="248"/>
        <v/>
      </c>
      <c r="D4611" s="245" t="str">
        <f t="shared" si="247"/>
        <v/>
      </c>
      <c r="E4611" s="534"/>
      <c r="F4611" s="534"/>
    </row>
    <row r="4612" spans="1:6" ht="15" customHeight="1">
      <c r="A4612" s="51"/>
      <c r="B4612" s="52" t="str">
        <f t="shared" si="246"/>
        <v/>
      </c>
      <c r="C4612" t="str">
        <f t="shared" si="248"/>
        <v/>
      </c>
      <c r="D4612" s="245" t="str">
        <f t="shared" si="247"/>
        <v/>
      </c>
      <c r="E4612" s="534"/>
      <c r="F4612" s="534"/>
    </row>
    <row r="4613" spans="1:6" ht="15" customHeight="1">
      <c r="A4613" s="51"/>
      <c r="B4613" s="52" t="str">
        <f t="shared" si="246"/>
        <v/>
      </c>
      <c r="C4613" t="str">
        <f t="shared" si="248"/>
        <v/>
      </c>
      <c r="D4613" s="245" t="str">
        <f t="shared" si="247"/>
        <v/>
      </c>
      <c r="E4613" s="534"/>
      <c r="F4613" s="534"/>
    </row>
    <row r="4614" spans="1:6" ht="15" customHeight="1">
      <c r="A4614" s="51"/>
      <c r="B4614" s="52" t="str">
        <f t="shared" si="246"/>
        <v/>
      </c>
      <c r="C4614" t="str">
        <f t="shared" si="248"/>
        <v/>
      </c>
      <c r="D4614" s="245" t="str">
        <f t="shared" si="247"/>
        <v/>
      </c>
      <c r="E4614" s="534"/>
      <c r="F4614" s="534"/>
    </row>
    <row r="4615" spans="1:6" ht="15" customHeight="1">
      <c r="A4615" s="51"/>
      <c r="B4615" s="52" t="str">
        <f t="shared" si="246"/>
        <v/>
      </c>
      <c r="C4615" t="str">
        <f t="shared" si="248"/>
        <v/>
      </c>
      <c r="D4615" s="245" t="str">
        <f t="shared" si="247"/>
        <v/>
      </c>
      <c r="E4615" s="534"/>
      <c r="F4615" s="534"/>
    </row>
    <row r="4616" spans="1:6" ht="15" customHeight="1">
      <c r="A4616" s="51"/>
      <c r="B4616" s="52" t="str">
        <f t="shared" ref="B4616:B4679" si="249">IF(A4616="","",TEXT(A4616,"DDDD"))</f>
        <v/>
      </c>
      <c r="C4616" t="str">
        <f t="shared" si="248"/>
        <v/>
      </c>
      <c r="D4616" s="245" t="str">
        <f t="shared" si="247"/>
        <v/>
      </c>
      <c r="E4616" s="534"/>
      <c r="F4616" s="534"/>
    </row>
    <row r="4617" spans="1:6" ht="15" customHeight="1">
      <c r="A4617" s="51"/>
      <c r="B4617" s="52" t="str">
        <f t="shared" si="249"/>
        <v/>
      </c>
      <c r="C4617" t="str">
        <f t="shared" si="248"/>
        <v/>
      </c>
      <c r="D4617" s="245" t="str">
        <f t="shared" ref="D4617:D4680" si="250">IF(A4617&lt;&gt;"",PROPER(TEXT(A4617,"Mmmm")),"")</f>
        <v/>
      </c>
      <c r="E4617" s="534"/>
      <c r="F4617" s="534"/>
    </row>
    <row r="4618" spans="1:6" ht="15" customHeight="1">
      <c r="A4618" s="51"/>
      <c r="B4618" s="52" t="str">
        <f t="shared" si="249"/>
        <v/>
      </c>
      <c r="C4618" t="str">
        <f t="shared" si="248"/>
        <v/>
      </c>
      <c r="D4618" s="245" t="str">
        <f t="shared" si="250"/>
        <v/>
      </c>
      <c r="E4618" s="534"/>
      <c r="F4618" s="534"/>
    </row>
    <row r="4619" spans="1:6" ht="15" customHeight="1">
      <c r="A4619" s="51"/>
      <c r="B4619" s="52" t="str">
        <f t="shared" si="249"/>
        <v/>
      </c>
      <c r="C4619" t="str">
        <f t="shared" si="248"/>
        <v/>
      </c>
      <c r="D4619" s="245" t="str">
        <f t="shared" si="250"/>
        <v/>
      </c>
      <c r="E4619" s="534"/>
      <c r="F4619" s="534"/>
    </row>
    <row r="4620" spans="1:6" ht="15" customHeight="1">
      <c r="A4620" s="51"/>
      <c r="B4620" s="52" t="str">
        <f t="shared" si="249"/>
        <v/>
      </c>
      <c r="C4620" t="str">
        <f t="shared" si="248"/>
        <v/>
      </c>
      <c r="D4620" s="245" t="str">
        <f t="shared" si="250"/>
        <v/>
      </c>
      <c r="E4620" s="534"/>
      <c r="F4620" s="534"/>
    </row>
    <row r="4621" spans="1:6" ht="15" customHeight="1">
      <c r="A4621" s="51"/>
      <c r="B4621" s="52" t="str">
        <f t="shared" si="249"/>
        <v/>
      </c>
      <c r="C4621" t="str">
        <f t="shared" si="248"/>
        <v/>
      </c>
      <c r="D4621" s="245" t="str">
        <f t="shared" si="250"/>
        <v/>
      </c>
      <c r="E4621" s="534"/>
      <c r="F4621" s="534"/>
    </row>
    <row r="4622" spans="1:6" ht="15" customHeight="1">
      <c r="A4622" s="51"/>
      <c r="B4622" s="52" t="str">
        <f t="shared" si="249"/>
        <v/>
      </c>
      <c r="C4622" t="str">
        <f t="shared" si="248"/>
        <v/>
      </c>
      <c r="D4622" s="245" t="str">
        <f t="shared" si="250"/>
        <v/>
      </c>
      <c r="E4622" s="534"/>
      <c r="F4622" s="534"/>
    </row>
    <row r="4623" spans="1:6" ht="15" customHeight="1">
      <c r="A4623" s="51"/>
      <c r="B4623" s="52" t="str">
        <f t="shared" si="249"/>
        <v/>
      </c>
      <c r="C4623" t="str">
        <f t="shared" si="248"/>
        <v/>
      </c>
      <c r="D4623" s="245" t="str">
        <f t="shared" si="250"/>
        <v/>
      </c>
      <c r="E4623" s="534"/>
      <c r="F4623" s="534"/>
    </row>
    <row r="4624" spans="1:6" ht="15" customHeight="1">
      <c r="A4624" s="51"/>
      <c r="B4624" s="52" t="str">
        <f t="shared" si="249"/>
        <v/>
      </c>
      <c r="C4624" t="str">
        <f t="shared" si="248"/>
        <v/>
      </c>
      <c r="D4624" s="245" t="str">
        <f t="shared" si="250"/>
        <v/>
      </c>
      <c r="E4624" s="534"/>
      <c r="F4624" s="534"/>
    </row>
    <row r="4625" spans="1:6" ht="15" customHeight="1">
      <c r="A4625" s="51"/>
      <c r="B4625" s="52" t="str">
        <f t="shared" si="249"/>
        <v/>
      </c>
      <c r="C4625" t="str">
        <f t="shared" si="248"/>
        <v/>
      </c>
      <c r="D4625" s="245" t="str">
        <f t="shared" si="250"/>
        <v/>
      </c>
      <c r="E4625" s="534"/>
      <c r="F4625" s="534"/>
    </row>
    <row r="4626" spans="1:6" ht="15" customHeight="1">
      <c r="A4626" s="51"/>
      <c r="B4626" s="52" t="str">
        <f t="shared" si="249"/>
        <v/>
      </c>
      <c r="C4626" t="str">
        <f t="shared" si="248"/>
        <v/>
      </c>
      <c r="D4626" s="245" t="str">
        <f t="shared" si="250"/>
        <v/>
      </c>
      <c r="E4626" s="534"/>
      <c r="F4626" s="534"/>
    </row>
    <row r="4627" spans="1:6" ht="15" customHeight="1">
      <c r="A4627" s="51"/>
      <c r="B4627" s="52" t="str">
        <f t="shared" si="249"/>
        <v/>
      </c>
      <c r="C4627" t="str">
        <f t="shared" si="248"/>
        <v/>
      </c>
      <c r="D4627" s="245" t="str">
        <f t="shared" si="250"/>
        <v/>
      </c>
      <c r="E4627" s="534"/>
      <c r="F4627" s="534"/>
    </row>
    <row r="4628" spans="1:6" ht="15" customHeight="1">
      <c r="A4628" s="51"/>
      <c r="B4628" s="52" t="str">
        <f t="shared" si="249"/>
        <v/>
      </c>
      <c r="C4628" t="str">
        <f t="shared" si="248"/>
        <v/>
      </c>
      <c r="D4628" s="245" t="str">
        <f t="shared" si="250"/>
        <v/>
      </c>
      <c r="E4628" s="534"/>
      <c r="F4628" s="534"/>
    </row>
    <row r="4629" spans="1:6" ht="15" customHeight="1">
      <c r="A4629" s="51"/>
      <c r="B4629" s="52" t="str">
        <f t="shared" si="249"/>
        <v/>
      </c>
      <c r="C4629" t="str">
        <f t="shared" si="248"/>
        <v/>
      </c>
      <c r="D4629" s="245" t="str">
        <f t="shared" si="250"/>
        <v/>
      </c>
      <c r="E4629" s="534"/>
      <c r="F4629" s="534"/>
    </row>
    <row r="4630" spans="1:6" ht="15" customHeight="1">
      <c r="A4630" s="51"/>
      <c r="B4630" s="52" t="str">
        <f t="shared" si="249"/>
        <v/>
      </c>
      <c r="C4630" t="str">
        <f t="shared" si="248"/>
        <v/>
      </c>
      <c r="D4630" s="245" t="str">
        <f t="shared" si="250"/>
        <v/>
      </c>
      <c r="E4630" s="534"/>
      <c r="F4630" s="534"/>
    </row>
    <row r="4631" spans="1:6" ht="15" customHeight="1">
      <c r="A4631" s="51"/>
      <c r="B4631" s="52" t="str">
        <f t="shared" si="249"/>
        <v/>
      </c>
      <c r="C4631" t="str">
        <f t="shared" si="248"/>
        <v/>
      </c>
      <c r="D4631" s="245" t="str">
        <f t="shared" si="250"/>
        <v/>
      </c>
      <c r="E4631" s="534"/>
      <c r="F4631" s="534"/>
    </row>
    <row r="4632" spans="1:6" ht="15" customHeight="1">
      <c r="A4632" s="51"/>
      <c r="B4632" s="52" t="str">
        <f t="shared" si="249"/>
        <v/>
      </c>
      <c r="C4632" t="str">
        <f t="shared" si="248"/>
        <v/>
      </c>
      <c r="D4632" s="245" t="str">
        <f t="shared" si="250"/>
        <v/>
      </c>
      <c r="E4632" s="534"/>
      <c r="F4632" s="534"/>
    </row>
    <row r="4633" spans="1:6" ht="15" customHeight="1">
      <c r="A4633" s="51"/>
      <c r="B4633" s="52" t="str">
        <f t="shared" si="249"/>
        <v/>
      </c>
      <c r="C4633" t="str">
        <f t="shared" si="248"/>
        <v/>
      </c>
      <c r="D4633" s="245" t="str">
        <f t="shared" si="250"/>
        <v/>
      </c>
      <c r="E4633" s="534"/>
      <c r="F4633" s="534"/>
    </row>
    <row r="4634" spans="1:6" ht="15" customHeight="1">
      <c r="A4634" s="51"/>
      <c r="B4634" s="52" t="str">
        <f t="shared" si="249"/>
        <v/>
      </c>
      <c r="C4634" t="str">
        <f t="shared" si="248"/>
        <v/>
      </c>
      <c r="D4634" s="245" t="str">
        <f t="shared" si="250"/>
        <v/>
      </c>
      <c r="E4634" s="534"/>
      <c r="F4634" s="534"/>
    </row>
    <row r="4635" spans="1:6" ht="15" customHeight="1">
      <c r="A4635" s="51"/>
      <c r="B4635" s="52" t="str">
        <f t="shared" si="249"/>
        <v/>
      </c>
      <c r="C4635" t="str">
        <f t="shared" si="248"/>
        <v/>
      </c>
      <c r="D4635" s="245" t="str">
        <f t="shared" si="250"/>
        <v/>
      </c>
      <c r="E4635" s="534"/>
      <c r="F4635" s="534"/>
    </row>
    <row r="4636" spans="1:6" ht="15" customHeight="1">
      <c r="A4636" s="51"/>
      <c r="B4636" s="52" t="str">
        <f t="shared" si="249"/>
        <v/>
      </c>
      <c r="C4636" t="str">
        <f t="shared" si="248"/>
        <v/>
      </c>
      <c r="D4636" s="245" t="str">
        <f t="shared" si="250"/>
        <v/>
      </c>
      <c r="E4636" s="534"/>
      <c r="F4636" s="534"/>
    </row>
    <row r="4637" spans="1:6" ht="15" customHeight="1">
      <c r="A4637" s="51"/>
      <c r="B4637" s="52" t="str">
        <f t="shared" si="249"/>
        <v/>
      </c>
      <c r="C4637" t="str">
        <f t="shared" si="248"/>
        <v/>
      </c>
      <c r="D4637" s="245" t="str">
        <f t="shared" si="250"/>
        <v/>
      </c>
      <c r="E4637" s="534"/>
      <c r="F4637" s="534"/>
    </row>
    <row r="4638" spans="1:6" ht="15" customHeight="1">
      <c r="A4638" s="51"/>
      <c r="B4638" s="52" t="str">
        <f t="shared" si="249"/>
        <v/>
      </c>
      <c r="C4638" t="str">
        <f t="shared" si="248"/>
        <v/>
      </c>
      <c r="D4638" s="245" t="str">
        <f t="shared" si="250"/>
        <v/>
      </c>
      <c r="E4638" s="534"/>
      <c r="F4638" s="534"/>
    </row>
    <row r="4639" spans="1:6" ht="15" customHeight="1">
      <c r="A4639" s="51"/>
      <c r="B4639" s="52" t="str">
        <f t="shared" si="249"/>
        <v/>
      </c>
      <c r="C4639" t="str">
        <f t="shared" si="248"/>
        <v/>
      </c>
      <c r="D4639" s="245" t="str">
        <f t="shared" si="250"/>
        <v/>
      </c>
      <c r="E4639" s="534"/>
      <c r="F4639" s="534"/>
    </row>
    <row r="4640" spans="1:6" ht="15" customHeight="1">
      <c r="A4640" s="51"/>
      <c r="B4640" s="52" t="str">
        <f t="shared" si="249"/>
        <v/>
      </c>
      <c r="C4640" t="str">
        <f t="shared" si="248"/>
        <v/>
      </c>
      <c r="D4640" s="245" t="str">
        <f t="shared" si="250"/>
        <v/>
      </c>
      <c r="E4640" s="534"/>
      <c r="F4640" s="534"/>
    </row>
    <row r="4641" spans="1:6" ht="15" customHeight="1">
      <c r="A4641" s="51"/>
      <c r="B4641" s="52" t="str">
        <f t="shared" si="249"/>
        <v/>
      </c>
      <c r="C4641" t="str">
        <f t="shared" si="248"/>
        <v/>
      </c>
      <c r="D4641" s="245" t="str">
        <f t="shared" si="250"/>
        <v/>
      </c>
      <c r="E4641" s="534"/>
      <c r="F4641" s="534"/>
    </row>
    <row r="4642" spans="1:6" ht="15" customHeight="1">
      <c r="A4642" s="51"/>
      <c r="B4642" s="52" t="str">
        <f t="shared" si="249"/>
        <v/>
      </c>
      <c r="C4642" t="str">
        <f t="shared" si="248"/>
        <v/>
      </c>
      <c r="D4642" s="245" t="str">
        <f t="shared" si="250"/>
        <v/>
      </c>
      <c r="E4642" s="534"/>
      <c r="F4642" s="534"/>
    </row>
    <row r="4643" spans="1:6" ht="15" customHeight="1">
      <c r="A4643" s="51"/>
      <c r="B4643" s="52" t="str">
        <f t="shared" si="249"/>
        <v/>
      </c>
      <c r="C4643" t="str">
        <f t="shared" si="248"/>
        <v/>
      </c>
      <c r="D4643" s="245" t="str">
        <f t="shared" si="250"/>
        <v/>
      </c>
      <c r="E4643" s="534"/>
      <c r="F4643" s="534"/>
    </row>
    <row r="4644" spans="1:6" ht="15" customHeight="1">
      <c r="A4644" s="51"/>
      <c r="B4644" s="52" t="str">
        <f t="shared" si="249"/>
        <v/>
      </c>
      <c r="C4644" t="str">
        <f t="shared" si="248"/>
        <v/>
      </c>
      <c r="D4644" s="245" t="str">
        <f t="shared" si="250"/>
        <v/>
      </c>
      <c r="E4644" s="534"/>
      <c r="F4644" s="534"/>
    </row>
    <row r="4645" spans="1:6" ht="15" customHeight="1">
      <c r="A4645" s="51"/>
      <c r="B4645" s="52" t="str">
        <f t="shared" si="249"/>
        <v/>
      </c>
      <c r="C4645" t="str">
        <f t="shared" si="248"/>
        <v/>
      </c>
      <c r="D4645" s="245" t="str">
        <f t="shared" si="250"/>
        <v/>
      </c>
      <c r="E4645" s="534"/>
      <c r="F4645" s="534"/>
    </row>
    <row r="4646" spans="1:6" ht="15" customHeight="1">
      <c r="A4646" s="51"/>
      <c r="B4646" s="52" t="str">
        <f t="shared" si="249"/>
        <v/>
      </c>
      <c r="C4646" t="str">
        <f t="shared" si="248"/>
        <v/>
      </c>
      <c r="D4646" s="245" t="str">
        <f t="shared" si="250"/>
        <v/>
      </c>
      <c r="E4646" s="534"/>
      <c r="F4646" s="534"/>
    </row>
    <row r="4647" spans="1:6" ht="15" customHeight="1">
      <c r="A4647" s="51"/>
      <c r="B4647" s="52" t="str">
        <f t="shared" si="249"/>
        <v/>
      </c>
      <c r="C4647" t="str">
        <f t="shared" si="248"/>
        <v/>
      </c>
      <c r="D4647" s="245" t="str">
        <f t="shared" si="250"/>
        <v/>
      </c>
      <c r="E4647" s="534"/>
      <c r="F4647" s="534"/>
    </row>
    <row r="4648" spans="1:6" ht="15" customHeight="1">
      <c r="A4648" s="51"/>
      <c r="B4648" s="52" t="str">
        <f t="shared" si="249"/>
        <v/>
      </c>
      <c r="C4648" t="str">
        <f t="shared" si="248"/>
        <v/>
      </c>
      <c r="D4648" s="245" t="str">
        <f t="shared" si="250"/>
        <v/>
      </c>
      <c r="E4648" s="534"/>
      <c r="F4648" s="534"/>
    </row>
    <row r="4649" spans="1:6" ht="15" customHeight="1">
      <c r="A4649" s="51"/>
      <c r="B4649" s="52" t="str">
        <f t="shared" si="249"/>
        <v/>
      </c>
      <c r="C4649" t="str">
        <f t="shared" si="248"/>
        <v/>
      </c>
      <c r="D4649" s="245" t="str">
        <f t="shared" si="250"/>
        <v/>
      </c>
      <c r="E4649" s="534"/>
      <c r="F4649" s="534"/>
    </row>
    <row r="4650" spans="1:6" ht="15" customHeight="1">
      <c r="A4650" s="51"/>
      <c r="B4650" s="52" t="str">
        <f t="shared" si="249"/>
        <v/>
      </c>
      <c r="C4650" t="str">
        <f t="shared" si="248"/>
        <v/>
      </c>
      <c r="D4650" s="245" t="str">
        <f t="shared" si="250"/>
        <v/>
      </c>
      <c r="E4650" s="534"/>
      <c r="F4650" s="534"/>
    </row>
    <row r="4651" spans="1:6" ht="15" customHeight="1">
      <c r="A4651" s="51"/>
      <c r="B4651" s="52" t="str">
        <f t="shared" si="249"/>
        <v/>
      </c>
      <c r="C4651" t="str">
        <f t="shared" si="248"/>
        <v/>
      </c>
      <c r="D4651" s="245" t="str">
        <f t="shared" si="250"/>
        <v/>
      </c>
      <c r="E4651" s="534"/>
      <c r="F4651" s="534"/>
    </row>
    <row r="4652" spans="1:6" ht="15" customHeight="1">
      <c r="A4652" s="51"/>
      <c r="B4652" s="52" t="str">
        <f t="shared" si="249"/>
        <v/>
      </c>
      <c r="C4652" t="str">
        <f t="shared" si="248"/>
        <v/>
      </c>
      <c r="D4652" s="245" t="str">
        <f t="shared" si="250"/>
        <v/>
      </c>
      <c r="E4652" s="534"/>
      <c r="F4652" s="534"/>
    </row>
    <row r="4653" spans="1:6" ht="15" customHeight="1">
      <c r="A4653" s="51"/>
      <c r="B4653" s="52" t="str">
        <f t="shared" si="249"/>
        <v/>
      </c>
      <c r="C4653" t="str">
        <f t="shared" si="248"/>
        <v/>
      </c>
      <c r="D4653" s="245" t="str">
        <f t="shared" si="250"/>
        <v/>
      </c>
      <c r="E4653" s="534"/>
      <c r="F4653" s="534"/>
    </row>
    <row r="4654" spans="1:6" ht="15" customHeight="1">
      <c r="A4654" s="51"/>
      <c r="B4654" s="52" t="str">
        <f t="shared" si="249"/>
        <v/>
      </c>
      <c r="C4654" t="str">
        <f t="shared" si="248"/>
        <v/>
      </c>
      <c r="D4654" s="245" t="str">
        <f t="shared" si="250"/>
        <v/>
      </c>
      <c r="E4654" s="534"/>
      <c r="F4654" s="534"/>
    </row>
    <row r="4655" spans="1:6" ht="15" customHeight="1">
      <c r="A4655" s="51"/>
      <c r="B4655" s="52" t="str">
        <f t="shared" si="249"/>
        <v/>
      </c>
      <c r="C4655" t="str">
        <f t="shared" si="248"/>
        <v/>
      </c>
      <c r="D4655" s="245" t="str">
        <f t="shared" si="250"/>
        <v/>
      </c>
      <c r="E4655" s="534"/>
      <c r="F4655" s="534"/>
    </row>
    <row r="4656" spans="1:6" ht="15" customHeight="1">
      <c r="A4656" s="51"/>
      <c r="B4656" s="52" t="str">
        <f t="shared" si="249"/>
        <v/>
      </c>
      <c r="C4656" t="str">
        <f t="shared" si="248"/>
        <v/>
      </c>
      <c r="D4656" s="245" t="str">
        <f t="shared" si="250"/>
        <v/>
      </c>
      <c r="E4656" s="534"/>
      <c r="F4656" s="534"/>
    </row>
    <row r="4657" spans="1:6" ht="15" customHeight="1">
      <c r="A4657" s="51"/>
      <c r="B4657" s="52" t="str">
        <f t="shared" si="249"/>
        <v/>
      </c>
      <c r="C4657" t="str">
        <f t="shared" si="248"/>
        <v/>
      </c>
      <c r="D4657" s="245" t="str">
        <f t="shared" si="250"/>
        <v/>
      </c>
      <c r="E4657" s="534"/>
      <c r="F4657" s="534"/>
    </row>
    <row r="4658" spans="1:6" ht="15" customHeight="1">
      <c r="A4658" s="51"/>
      <c r="B4658" s="52" t="str">
        <f t="shared" si="249"/>
        <v/>
      </c>
      <c r="C4658" t="str">
        <f t="shared" si="248"/>
        <v/>
      </c>
      <c r="D4658" s="245" t="str">
        <f t="shared" si="250"/>
        <v/>
      </c>
      <c r="E4658" s="534"/>
      <c r="F4658" s="534"/>
    </row>
    <row r="4659" spans="1:6" ht="15" customHeight="1">
      <c r="A4659" s="51"/>
      <c r="B4659" s="52" t="str">
        <f t="shared" si="249"/>
        <v/>
      </c>
      <c r="C4659" t="str">
        <f t="shared" si="248"/>
        <v/>
      </c>
      <c r="D4659" s="245" t="str">
        <f t="shared" si="250"/>
        <v/>
      </c>
      <c r="E4659" s="534"/>
      <c r="F4659" s="534"/>
    </row>
    <row r="4660" spans="1:6" ht="15" customHeight="1">
      <c r="A4660" s="51"/>
      <c r="B4660" s="52" t="str">
        <f t="shared" si="249"/>
        <v/>
      </c>
      <c r="C4660" t="str">
        <f t="shared" si="248"/>
        <v/>
      </c>
      <c r="D4660" s="245" t="str">
        <f t="shared" si="250"/>
        <v/>
      </c>
      <c r="E4660" s="534"/>
      <c r="F4660" s="534"/>
    </row>
    <row r="4661" spans="1:6" ht="15" customHeight="1">
      <c r="A4661" s="51"/>
      <c r="B4661" s="52" t="str">
        <f t="shared" si="249"/>
        <v/>
      </c>
      <c r="C4661" t="str">
        <f t="shared" si="248"/>
        <v/>
      </c>
      <c r="D4661" s="245" t="str">
        <f t="shared" si="250"/>
        <v/>
      </c>
      <c r="E4661" s="534"/>
      <c r="F4661" s="534"/>
    </row>
    <row r="4662" spans="1:6" ht="15" customHeight="1">
      <c r="A4662" s="51"/>
      <c r="B4662" s="52" t="str">
        <f t="shared" si="249"/>
        <v/>
      </c>
      <c r="C4662" t="str">
        <f t="shared" si="248"/>
        <v/>
      </c>
      <c r="D4662" s="245" t="str">
        <f t="shared" si="250"/>
        <v/>
      </c>
      <c r="E4662" s="534"/>
      <c r="F4662" s="534"/>
    </row>
    <row r="4663" spans="1:6" ht="15" customHeight="1">
      <c r="A4663" s="51"/>
      <c r="B4663" s="52" t="str">
        <f t="shared" si="249"/>
        <v/>
      </c>
      <c r="C4663" t="str">
        <f t="shared" si="248"/>
        <v/>
      </c>
      <c r="D4663" s="245" t="str">
        <f t="shared" si="250"/>
        <v/>
      </c>
      <c r="E4663" s="534"/>
      <c r="F4663" s="534"/>
    </row>
    <row r="4664" spans="1:6" ht="15" customHeight="1">
      <c r="A4664" s="51"/>
      <c r="B4664" s="52" t="str">
        <f t="shared" si="249"/>
        <v/>
      </c>
      <c r="C4664" t="str">
        <f t="shared" si="248"/>
        <v/>
      </c>
      <c r="D4664" s="245" t="str">
        <f t="shared" si="250"/>
        <v/>
      </c>
      <c r="E4664" s="534"/>
      <c r="F4664" s="534"/>
    </row>
    <row r="4665" spans="1:6" ht="15" customHeight="1">
      <c r="A4665" s="51"/>
      <c r="B4665" s="52" t="str">
        <f t="shared" si="249"/>
        <v/>
      </c>
      <c r="C4665" t="str">
        <f t="shared" si="248"/>
        <v/>
      </c>
      <c r="D4665" s="245" t="str">
        <f t="shared" si="250"/>
        <v/>
      </c>
      <c r="E4665" s="534"/>
      <c r="F4665" s="534"/>
    </row>
    <row r="4666" spans="1:6" ht="15" customHeight="1">
      <c r="A4666" s="51"/>
      <c r="B4666" s="52" t="str">
        <f t="shared" si="249"/>
        <v/>
      </c>
      <c r="C4666" t="str">
        <f t="shared" si="248"/>
        <v/>
      </c>
      <c r="D4666" s="245" t="str">
        <f t="shared" si="250"/>
        <v/>
      </c>
      <c r="E4666" s="534"/>
      <c r="F4666" s="534"/>
    </row>
    <row r="4667" spans="1:6" ht="15" customHeight="1">
      <c r="A4667" s="51"/>
      <c r="B4667" s="52" t="str">
        <f t="shared" si="249"/>
        <v/>
      </c>
      <c r="C4667" t="str">
        <f t="shared" si="248"/>
        <v/>
      </c>
      <c r="D4667" s="245" t="str">
        <f t="shared" si="250"/>
        <v/>
      </c>
      <c r="E4667" s="534"/>
      <c r="F4667" s="534"/>
    </row>
    <row r="4668" spans="1:6" ht="15" customHeight="1">
      <c r="A4668" s="51"/>
      <c r="B4668" s="52" t="str">
        <f t="shared" si="249"/>
        <v/>
      </c>
      <c r="C4668" t="str">
        <f t="shared" si="248"/>
        <v/>
      </c>
      <c r="D4668" s="245" t="str">
        <f t="shared" si="250"/>
        <v/>
      </c>
      <c r="E4668" s="534"/>
      <c r="F4668" s="534"/>
    </row>
    <row r="4669" spans="1:6" ht="15" customHeight="1">
      <c r="A4669" s="51"/>
      <c r="B4669" s="52" t="str">
        <f t="shared" si="249"/>
        <v/>
      </c>
      <c r="C4669" t="str">
        <f t="shared" si="248"/>
        <v/>
      </c>
      <c r="D4669" s="245" t="str">
        <f t="shared" si="250"/>
        <v/>
      </c>
      <c r="E4669" s="534"/>
      <c r="F4669" s="534"/>
    </row>
    <row r="4670" spans="1:6" ht="15" customHeight="1">
      <c r="A4670" s="51"/>
      <c r="B4670" s="52" t="str">
        <f t="shared" si="249"/>
        <v/>
      </c>
      <c r="C4670" t="str">
        <f t="shared" si="248"/>
        <v/>
      </c>
      <c r="D4670" s="245" t="str">
        <f t="shared" si="250"/>
        <v/>
      </c>
      <c r="E4670" s="534"/>
      <c r="F4670" s="534"/>
    </row>
    <row r="4671" spans="1:6" ht="15" customHeight="1">
      <c r="A4671" s="51"/>
      <c r="B4671" s="52" t="str">
        <f t="shared" si="249"/>
        <v/>
      </c>
      <c r="C4671" t="str">
        <f t="shared" si="248"/>
        <v/>
      </c>
      <c r="D4671" s="245" t="str">
        <f t="shared" si="250"/>
        <v/>
      </c>
      <c r="E4671" s="534"/>
      <c r="F4671" s="534"/>
    </row>
    <row r="4672" spans="1:6" ht="15" customHeight="1">
      <c r="A4672" s="51"/>
      <c r="B4672" s="52" t="str">
        <f t="shared" si="249"/>
        <v/>
      </c>
      <c r="C4672" t="str">
        <f t="shared" si="248"/>
        <v/>
      </c>
      <c r="D4672" s="245" t="str">
        <f t="shared" si="250"/>
        <v/>
      </c>
      <c r="E4672" s="534"/>
      <c r="F4672" s="534"/>
    </row>
    <row r="4673" spans="1:6" ht="15" customHeight="1">
      <c r="A4673" s="51"/>
      <c r="B4673" s="52" t="str">
        <f t="shared" si="249"/>
        <v/>
      </c>
      <c r="C4673" t="str">
        <f t="shared" si="248"/>
        <v/>
      </c>
      <c r="D4673" s="245" t="str">
        <f t="shared" si="250"/>
        <v/>
      </c>
      <c r="E4673" s="534"/>
      <c r="F4673" s="534"/>
    </row>
    <row r="4674" spans="1:6" ht="15" customHeight="1">
      <c r="A4674" s="51"/>
      <c r="B4674" s="52" t="str">
        <f t="shared" si="249"/>
        <v/>
      </c>
      <c r="C4674" t="str">
        <f t="shared" ref="C4674:C4737" si="251">IF(A4674&lt;&gt;"",TEXT(A4674,"aaaa"),"")</f>
        <v/>
      </c>
      <c r="D4674" s="245" t="str">
        <f t="shared" si="250"/>
        <v/>
      </c>
      <c r="E4674" s="534"/>
      <c r="F4674" s="534"/>
    </row>
    <row r="4675" spans="1:6" ht="15" customHeight="1">
      <c r="A4675" s="51"/>
      <c r="B4675" s="52" t="str">
        <f t="shared" si="249"/>
        <v/>
      </c>
      <c r="C4675" t="str">
        <f t="shared" si="251"/>
        <v/>
      </c>
      <c r="D4675" s="245" t="str">
        <f t="shared" si="250"/>
        <v/>
      </c>
      <c r="E4675" s="534"/>
      <c r="F4675" s="534"/>
    </row>
    <row r="4676" spans="1:6" ht="15" customHeight="1">
      <c r="A4676" s="51"/>
      <c r="B4676" s="52" t="str">
        <f t="shared" si="249"/>
        <v/>
      </c>
      <c r="C4676" t="str">
        <f t="shared" si="251"/>
        <v/>
      </c>
      <c r="D4676" s="245" t="str">
        <f t="shared" si="250"/>
        <v/>
      </c>
      <c r="E4676" s="534"/>
      <c r="F4676" s="534"/>
    </row>
    <row r="4677" spans="1:6" ht="15" customHeight="1">
      <c r="A4677" s="51"/>
      <c r="B4677" s="52" t="str">
        <f t="shared" si="249"/>
        <v/>
      </c>
      <c r="C4677" t="str">
        <f t="shared" si="251"/>
        <v/>
      </c>
      <c r="D4677" s="245" t="str">
        <f t="shared" si="250"/>
        <v/>
      </c>
      <c r="E4677" s="534"/>
      <c r="F4677" s="534"/>
    </row>
    <row r="4678" spans="1:6" ht="15" customHeight="1">
      <c r="A4678" s="51"/>
      <c r="B4678" s="52" t="str">
        <f t="shared" si="249"/>
        <v/>
      </c>
      <c r="C4678" t="str">
        <f t="shared" si="251"/>
        <v/>
      </c>
      <c r="D4678" s="245" t="str">
        <f t="shared" si="250"/>
        <v/>
      </c>
      <c r="E4678" s="534"/>
      <c r="F4678" s="534"/>
    </row>
    <row r="4679" spans="1:6" ht="15" customHeight="1">
      <c r="A4679" s="51"/>
      <c r="B4679" s="52" t="str">
        <f t="shared" si="249"/>
        <v/>
      </c>
      <c r="C4679" t="str">
        <f t="shared" si="251"/>
        <v/>
      </c>
      <c r="D4679" s="245" t="str">
        <f t="shared" si="250"/>
        <v/>
      </c>
      <c r="E4679" s="534"/>
      <c r="F4679" s="534"/>
    </row>
    <row r="4680" spans="1:6" ht="15" customHeight="1">
      <c r="A4680" s="51"/>
      <c r="B4680" s="52" t="str">
        <f t="shared" ref="B4680:B4743" si="252">IF(A4680="","",TEXT(A4680,"DDDD"))</f>
        <v/>
      </c>
      <c r="C4680" t="str">
        <f t="shared" si="251"/>
        <v/>
      </c>
      <c r="D4680" s="245" t="str">
        <f t="shared" si="250"/>
        <v/>
      </c>
      <c r="E4680" s="534"/>
      <c r="F4680" s="534"/>
    </row>
    <row r="4681" spans="1:6" ht="15" customHeight="1">
      <c r="A4681" s="51"/>
      <c r="B4681" s="52" t="str">
        <f t="shared" si="252"/>
        <v/>
      </c>
      <c r="C4681" t="str">
        <f t="shared" si="251"/>
        <v/>
      </c>
      <c r="D4681" s="245" t="str">
        <f t="shared" ref="D4681:D4744" si="253">IF(A4681&lt;&gt;"",PROPER(TEXT(A4681,"Mmmm")),"")</f>
        <v/>
      </c>
      <c r="E4681" s="534"/>
      <c r="F4681" s="534"/>
    </row>
    <row r="4682" spans="1:6" ht="15" customHeight="1">
      <c r="A4682" s="51"/>
      <c r="B4682" s="52" t="str">
        <f t="shared" si="252"/>
        <v/>
      </c>
      <c r="C4682" t="str">
        <f t="shared" si="251"/>
        <v/>
      </c>
      <c r="D4682" s="245" t="str">
        <f t="shared" si="253"/>
        <v/>
      </c>
      <c r="E4682" s="534"/>
      <c r="F4682" s="534"/>
    </row>
    <row r="4683" spans="1:6" ht="15" customHeight="1">
      <c r="A4683" s="51"/>
      <c r="B4683" s="52" t="str">
        <f t="shared" si="252"/>
        <v/>
      </c>
      <c r="C4683" t="str">
        <f t="shared" si="251"/>
        <v/>
      </c>
      <c r="D4683" s="245" t="str">
        <f t="shared" si="253"/>
        <v/>
      </c>
      <c r="E4683" s="534"/>
      <c r="F4683" s="534"/>
    </row>
    <row r="4684" spans="1:6" ht="15" customHeight="1">
      <c r="A4684" s="51"/>
      <c r="B4684" s="52" t="str">
        <f t="shared" si="252"/>
        <v/>
      </c>
      <c r="C4684" t="str">
        <f t="shared" si="251"/>
        <v/>
      </c>
      <c r="D4684" s="245" t="str">
        <f t="shared" si="253"/>
        <v/>
      </c>
      <c r="E4684" s="534"/>
      <c r="F4684" s="534"/>
    </row>
    <row r="4685" spans="1:6" ht="15" customHeight="1">
      <c r="A4685" s="51"/>
      <c r="B4685" s="52" t="str">
        <f t="shared" si="252"/>
        <v/>
      </c>
      <c r="C4685" t="str">
        <f t="shared" si="251"/>
        <v/>
      </c>
      <c r="D4685" s="245" t="str">
        <f t="shared" si="253"/>
        <v/>
      </c>
      <c r="E4685" s="534"/>
      <c r="F4685" s="534"/>
    </row>
    <row r="4686" spans="1:6" ht="15" customHeight="1">
      <c r="A4686" s="51"/>
      <c r="B4686" s="52" t="str">
        <f t="shared" si="252"/>
        <v/>
      </c>
      <c r="C4686" t="str">
        <f t="shared" si="251"/>
        <v/>
      </c>
      <c r="D4686" s="245" t="str">
        <f t="shared" si="253"/>
        <v/>
      </c>
      <c r="E4686" s="534"/>
      <c r="F4686" s="534"/>
    </row>
    <row r="4687" spans="1:6" ht="15" customHeight="1">
      <c r="A4687" s="51"/>
      <c r="B4687" s="52" t="str">
        <f t="shared" si="252"/>
        <v/>
      </c>
      <c r="C4687" t="str">
        <f t="shared" si="251"/>
        <v/>
      </c>
      <c r="D4687" s="245" t="str">
        <f t="shared" si="253"/>
        <v/>
      </c>
      <c r="E4687" s="534"/>
      <c r="F4687" s="534"/>
    </row>
    <row r="4688" spans="1:6" ht="15" customHeight="1">
      <c r="A4688" s="51"/>
      <c r="B4688" s="52" t="str">
        <f t="shared" si="252"/>
        <v/>
      </c>
      <c r="C4688" t="str">
        <f t="shared" si="251"/>
        <v/>
      </c>
      <c r="D4688" s="245" t="str">
        <f t="shared" si="253"/>
        <v/>
      </c>
      <c r="E4688" s="534"/>
      <c r="F4688" s="534"/>
    </row>
    <row r="4689" spans="1:6" ht="15" customHeight="1">
      <c r="A4689" s="51"/>
      <c r="B4689" s="52" t="str">
        <f t="shared" si="252"/>
        <v/>
      </c>
      <c r="C4689" t="str">
        <f t="shared" si="251"/>
        <v/>
      </c>
      <c r="D4689" s="245" t="str">
        <f t="shared" si="253"/>
        <v/>
      </c>
      <c r="E4689" s="534"/>
      <c r="F4689" s="534"/>
    </row>
    <row r="4690" spans="1:6" ht="15" customHeight="1">
      <c r="A4690" s="51"/>
      <c r="B4690" s="52" t="str">
        <f t="shared" si="252"/>
        <v/>
      </c>
      <c r="C4690" t="str">
        <f t="shared" si="251"/>
        <v/>
      </c>
      <c r="D4690" s="245" t="str">
        <f t="shared" si="253"/>
        <v/>
      </c>
      <c r="E4690" s="534"/>
      <c r="F4690" s="534"/>
    </row>
    <row r="4691" spans="1:6" ht="15" customHeight="1">
      <c r="A4691" s="51"/>
      <c r="B4691" s="52" t="str">
        <f t="shared" si="252"/>
        <v/>
      </c>
      <c r="C4691" t="str">
        <f t="shared" si="251"/>
        <v/>
      </c>
      <c r="D4691" s="245" t="str">
        <f t="shared" si="253"/>
        <v/>
      </c>
      <c r="E4691" s="534"/>
      <c r="F4691" s="534"/>
    </row>
    <row r="4692" spans="1:6" ht="15" customHeight="1">
      <c r="A4692" s="51"/>
      <c r="B4692" s="52" t="str">
        <f t="shared" si="252"/>
        <v/>
      </c>
      <c r="C4692" t="str">
        <f t="shared" si="251"/>
        <v/>
      </c>
      <c r="D4692" s="245" t="str">
        <f t="shared" si="253"/>
        <v/>
      </c>
      <c r="E4692" s="534"/>
      <c r="F4692" s="534"/>
    </row>
    <row r="4693" spans="1:6" ht="15" customHeight="1">
      <c r="A4693" s="51"/>
      <c r="B4693" s="52" t="str">
        <f t="shared" si="252"/>
        <v/>
      </c>
      <c r="C4693" t="str">
        <f t="shared" si="251"/>
        <v/>
      </c>
      <c r="D4693" s="245" t="str">
        <f t="shared" si="253"/>
        <v/>
      </c>
      <c r="E4693" s="534"/>
      <c r="F4693" s="534"/>
    </row>
    <row r="4694" spans="1:6" ht="15" customHeight="1">
      <c r="A4694" s="51"/>
      <c r="B4694" s="52" t="str">
        <f t="shared" si="252"/>
        <v/>
      </c>
      <c r="C4694" t="str">
        <f t="shared" si="251"/>
        <v/>
      </c>
      <c r="D4694" s="245" t="str">
        <f t="shared" si="253"/>
        <v/>
      </c>
      <c r="E4694" s="534"/>
      <c r="F4694" s="534"/>
    </row>
    <row r="4695" spans="1:6" ht="15" customHeight="1">
      <c r="A4695" s="51"/>
      <c r="B4695" s="52" t="str">
        <f t="shared" si="252"/>
        <v/>
      </c>
      <c r="C4695" t="str">
        <f t="shared" si="251"/>
        <v/>
      </c>
      <c r="D4695" s="245" t="str">
        <f t="shared" si="253"/>
        <v/>
      </c>
      <c r="E4695" s="534"/>
      <c r="F4695" s="534"/>
    </row>
    <row r="4696" spans="1:6" ht="15" customHeight="1">
      <c r="A4696" s="51"/>
      <c r="B4696" s="52" t="str">
        <f t="shared" si="252"/>
        <v/>
      </c>
      <c r="C4696" t="str">
        <f t="shared" si="251"/>
        <v/>
      </c>
      <c r="D4696" s="245" t="str">
        <f t="shared" si="253"/>
        <v/>
      </c>
      <c r="E4696" s="534"/>
      <c r="F4696" s="534"/>
    </row>
    <row r="4697" spans="1:6" ht="15" customHeight="1">
      <c r="A4697" s="51"/>
      <c r="B4697" s="52" t="str">
        <f t="shared" si="252"/>
        <v/>
      </c>
      <c r="C4697" t="str">
        <f t="shared" si="251"/>
        <v/>
      </c>
      <c r="D4697" s="245" t="str">
        <f t="shared" si="253"/>
        <v/>
      </c>
      <c r="E4697" s="534"/>
      <c r="F4697" s="534"/>
    </row>
    <row r="4698" spans="1:6" ht="15" customHeight="1">
      <c r="A4698" s="51"/>
      <c r="B4698" s="52" t="str">
        <f t="shared" si="252"/>
        <v/>
      </c>
      <c r="C4698" t="str">
        <f t="shared" si="251"/>
        <v/>
      </c>
      <c r="D4698" s="245" t="str">
        <f t="shared" si="253"/>
        <v/>
      </c>
      <c r="E4698" s="534"/>
      <c r="F4698" s="534"/>
    </row>
    <row r="4699" spans="1:6" ht="15" customHeight="1">
      <c r="A4699" s="51"/>
      <c r="B4699" s="52" t="str">
        <f t="shared" si="252"/>
        <v/>
      </c>
      <c r="C4699" t="str">
        <f t="shared" si="251"/>
        <v/>
      </c>
      <c r="D4699" s="245" t="str">
        <f t="shared" si="253"/>
        <v/>
      </c>
      <c r="E4699" s="534"/>
      <c r="F4699" s="534"/>
    </row>
    <row r="4700" spans="1:6" ht="15" customHeight="1">
      <c r="A4700" s="51"/>
      <c r="B4700" s="52" t="str">
        <f t="shared" si="252"/>
        <v/>
      </c>
      <c r="C4700" t="str">
        <f t="shared" si="251"/>
        <v/>
      </c>
      <c r="D4700" s="245" t="str">
        <f t="shared" si="253"/>
        <v/>
      </c>
      <c r="E4700" s="534"/>
      <c r="F4700" s="534"/>
    </row>
    <row r="4701" spans="1:6" ht="15" customHeight="1">
      <c r="A4701" s="51"/>
      <c r="B4701" s="52" t="str">
        <f t="shared" si="252"/>
        <v/>
      </c>
      <c r="C4701" t="str">
        <f t="shared" si="251"/>
        <v/>
      </c>
      <c r="D4701" s="245" t="str">
        <f t="shared" si="253"/>
        <v/>
      </c>
      <c r="E4701" s="534"/>
      <c r="F4701" s="534"/>
    </row>
    <row r="4702" spans="1:6" ht="15" customHeight="1">
      <c r="A4702" s="51"/>
      <c r="B4702" s="52" t="str">
        <f t="shared" si="252"/>
        <v/>
      </c>
      <c r="C4702" t="str">
        <f t="shared" si="251"/>
        <v/>
      </c>
      <c r="D4702" s="245" t="str">
        <f t="shared" si="253"/>
        <v/>
      </c>
      <c r="E4702" s="534"/>
      <c r="F4702" s="534"/>
    </row>
    <row r="4703" spans="1:6" ht="15" customHeight="1">
      <c r="A4703" s="51"/>
      <c r="B4703" s="52" t="str">
        <f t="shared" si="252"/>
        <v/>
      </c>
      <c r="C4703" t="str">
        <f t="shared" si="251"/>
        <v/>
      </c>
      <c r="D4703" s="245" t="str">
        <f t="shared" si="253"/>
        <v/>
      </c>
      <c r="E4703" s="534"/>
      <c r="F4703" s="534"/>
    </row>
    <row r="4704" spans="1:6" ht="15" customHeight="1">
      <c r="A4704" s="51"/>
      <c r="B4704" s="52" t="str">
        <f t="shared" si="252"/>
        <v/>
      </c>
      <c r="C4704" t="str">
        <f t="shared" si="251"/>
        <v/>
      </c>
      <c r="D4704" s="245" t="str">
        <f t="shared" si="253"/>
        <v/>
      </c>
      <c r="E4704" s="534"/>
      <c r="F4704" s="534"/>
    </row>
    <row r="4705" spans="1:6" ht="15" customHeight="1">
      <c r="A4705" s="51"/>
      <c r="B4705" s="52" t="str">
        <f t="shared" si="252"/>
        <v/>
      </c>
      <c r="C4705" t="str">
        <f t="shared" si="251"/>
        <v/>
      </c>
      <c r="D4705" s="245" t="str">
        <f t="shared" si="253"/>
        <v/>
      </c>
      <c r="E4705" s="534"/>
      <c r="F4705" s="534"/>
    </row>
    <row r="4706" spans="1:6" ht="15" customHeight="1">
      <c r="A4706" s="51"/>
      <c r="B4706" s="52" t="str">
        <f t="shared" si="252"/>
        <v/>
      </c>
      <c r="C4706" t="str">
        <f t="shared" si="251"/>
        <v/>
      </c>
      <c r="D4706" s="245" t="str">
        <f t="shared" si="253"/>
        <v/>
      </c>
      <c r="E4706" s="534"/>
      <c r="F4706" s="534"/>
    </row>
    <row r="4707" spans="1:6" ht="15" customHeight="1">
      <c r="A4707" s="51"/>
      <c r="B4707" s="52" t="str">
        <f t="shared" si="252"/>
        <v/>
      </c>
      <c r="C4707" t="str">
        <f t="shared" si="251"/>
        <v/>
      </c>
      <c r="D4707" s="245" t="str">
        <f t="shared" si="253"/>
        <v/>
      </c>
      <c r="E4707" s="534"/>
      <c r="F4707" s="534"/>
    </row>
    <row r="4708" spans="1:6" ht="15" customHeight="1">
      <c r="A4708" s="51"/>
      <c r="B4708" s="52" t="str">
        <f t="shared" si="252"/>
        <v/>
      </c>
      <c r="C4708" t="str">
        <f t="shared" si="251"/>
        <v/>
      </c>
      <c r="D4708" s="245" t="str">
        <f t="shared" si="253"/>
        <v/>
      </c>
      <c r="E4708" s="534"/>
      <c r="F4708" s="534"/>
    </row>
    <row r="4709" spans="1:6" ht="15" customHeight="1">
      <c r="A4709" s="51"/>
      <c r="B4709" s="52" t="str">
        <f t="shared" si="252"/>
        <v/>
      </c>
      <c r="C4709" t="str">
        <f t="shared" si="251"/>
        <v/>
      </c>
      <c r="D4709" s="245" t="str">
        <f t="shared" si="253"/>
        <v/>
      </c>
      <c r="E4709" s="534"/>
      <c r="F4709" s="534"/>
    </row>
    <row r="4710" spans="1:6" ht="15" customHeight="1">
      <c r="A4710" s="51"/>
      <c r="B4710" s="52" t="str">
        <f t="shared" si="252"/>
        <v/>
      </c>
      <c r="C4710" t="str">
        <f t="shared" si="251"/>
        <v/>
      </c>
      <c r="D4710" s="245" t="str">
        <f t="shared" si="253"/>
        <v/>
      </c>
      <c r="E4710" s="534"/>
      <c r="F4710" s="534"/>
    </row>
    <row r="4711" spans="1:6" ht="15" customHeight="1">
      <c r="A4711" s="51"/>
      <c r="B4711" s="52" t="str">
        <f t="shared" si="252"/>
        <v/>
      </c>
      <c r="C4711" t="str">
        <f t="shared" si="251"/>
        <v/>
      </c>
      <c r="D4711" s="245" t="str">
        <f t="shared" si="253"/>
        <v/>
      </c>
      <c r="E4711" s="534"/>
      <c r="F4711" s="534"/>
    </row>
    <row r="4712" spans="1:6" ht="15" customHeight="1">
      <c r="A4712" s="51"/>
      <c r="B4712" s="52" t="str">
        <f t="shared" si="252"/>
        <v/>
      </c>
      <c r="C4712" t="str">
        <f t="shared" si="251"/>
        <v/>
      </c>
      <c r="D4712" s="245" t="str">
        <f t="shared" si="253"/>
        <v/>
      </c>
      <c r="E4712" s="534"/>
      <c r="F4712" s="534"/>
    </row>
    <row r="4713" spans="1:6" ht="15" customHeight="1">
      <c r="A4713" s="51"/>
      <c r="B4713" s="52" t="str">
        <f t="shared" si="252"/>
        <v/>
      </c>
      <c r="C4713" t="str">
        <f t="shared" si="251"/>
        <v/>
      </c>
      <c r="D4713" s="245" t="str">
        <f t="shared" si="253"/>
        <v/>
      </c>
      <c r="E4713" s="534"/>
      <c r="F4713" s="534"/>
    </row>
    <row r="4714" spans="1:6" ht="15" customHeight="1">
      <c r="A4714" s="51"/>
      <c r="B4714" s="52" t="str">
        <f t="shared" si="252"/>
        <v/>
      </c>
      <c r="C4714" t="str">
        <f t="shared" si="251"/>
        <v/>
      </c>
      <c r="D4714" s="245" t="str">
        <f t="shared" si="253"/>
        <v/>
      </c>
      <c r="E4714" s="534"/>
      <c r="F4714" s="534"/>
    </row>
    <row r="4715" spans="1:6" ht="15" customHeight="1">
      <c r="A4715" s="51"/>
      <c r="B4715" s="52" t="str">
        <f t="shared" si="252"/>
        <v/>
      </c>
      <c r="C4715" t="str">
        <f t="shared" si="251"/>
        <v/>
      </c>
      <c r="D4715" s="245" t="str">
        <f t="shared" si="253"/>
        <v/>
      </c>
      <c r="E4715" s="534"/>
      <c r="F4715" s="534"/>
    </row>
    <row r="4716" spans="1:6" ht="15" customHeight="1">
      <c r="A4716" s="51"/>
      <c r="B4716" s="52" t="str">
        <f t="shared" si="252"/>
        <v/>
      </c>
      <c r="C4716" t="str">
        <f t="shared" si="251"/>
        <v/>
      </c>
      <c r="D4716" s="245" t="str">
        <f t="shared" si="253"/>
        <v/>
      </c>
      <c r="E4716" s="534"/>
      <c r="F4716" s="534"/>
    </row>
    <row r="4717" spans="1:6" ht="15" customHeight="1">
      <c r="A4717" s="51"/>
      <c r="B4717" s="52" t="str">
        <f t="shared" si="252"/>
        <v/>
      </c>
      <c r="C4717" t="str">
        <f t="shared" si="251"/>
        <v/>
      </c>
      <c r="D4717" s="245" t="str">
        <f t="shared" si="253"/>
        <v/>
      </c>
      <c r="E4717" s="534"/>
      <c r="F4717" s="534"/>
    </row>
    <row r="4718" spans="1:6" ht="15" customHeight="1">
      <c r="A4718" s="51"/>
      <c r="B4718" s="52" t="str">
        <f t="shared" si="252"/>
        <v/>
      </c>
      <c r="C4718" t="str">
        <f t="shared" si="251"/>
        <v/>
      </c>
      <c r="D4718" s="245" t="str">
        <f t="shared" si="253"/>
        <v/>
      </c>
      <c r="E4718" s="534"/>
      <c r="F4718" s="534"/>
    </row>
    <row r="4719" spans="1:6" ht="15" customHeight="1">
      <c r="A4719" s="51"/>
      <c r="B4719" s="52" t="str">
        <f t="shared" si="252"/>
        <v/>
      </c>
      <c r="C4719" t="str">
        <f t="shared" si="251"/>
        <v/>
      </c>
      <c r="D4719" s="245" t="str">
        <f t="shared" si="253"/>
        <v/>
      </c>
      <c r="E4719" s="534"/>
      <c r="F4719" s="534"/>
    </row>
    <row r="4720" spans="1:6" ht="15" customHeight="1">
      <c r="A4720" s="51"/>
      <c r="B4720" s="52" t="str">
        <f t="shared" si="252"/>
        <v/>
      </c>
      <c r="C4720" t="str">
        <f t="shared" si="251"/>
        <v/>
      </c>
      <c r="D4720" s="245" t="str">
        <f t="shared" si="253"/>
        <v/>
      </c>
      <c r="E4720" s="534"/>
      <c r="F4720" s="534"/>
    </row>
    <row r="4721" spans="1:6" ht="15" customHeight="1">
      <c r="A4721" s="51"/>
      <c r="B4721" s="52" t="str">
        <f t="shared" si="252"/>
        <v/>
      </c>
      <c r="C4721" t="str">
        <f t="shared" si="251"/>
        <v/>
      </c>
      <c r="D4721" s="245" t="str">
        <f t="shared" si="253"/>
        <v/>
      </c>
      <c r="E4721" s="534"/>
      <c r="F4721" s="534"/>
    </row>
    <row r="4722" spans="1:6" ht="15" customHeight="1">
      <c r="A4722" s="51"/>
      <c r="B4722" s="52" t="str">
        <f t="shared" si="252"/>
        <v/>
      </c>
      <c r="C4722" t="str">
        <f t="shared" si="251"/>
        <v/>
      </c>
      <c r="D4722" s="245" t="str">
        <f t="shared" si="253"/>
        <v/>
      </c>
      <c r="E4722" s="534"/>
      <c r="F4722" s="534"/>
    </row>
    <row r="4723" spans="1:6" ht="15" customHeight="1">
      <c r="A4723" s="51"/>
      <c r="B4723" s="52" t="str">
        <f t="shared" si="252"/>
        <v/>
      </c>
      <c r="C4723" t="str">
        <f t="shared" si="251"/>
        <v/>
      </c>
      <c r="D4723" s="245" t="str">
        <f t="shared" si="253"/>
        <v/>
      </c>
      <c r="E4723" s="534"/>
      <c r="F4723" s="534"/>
    </row>
    <row r="4724" spans="1:6" ht="15" customHeight="1">
      <c r="A4724" s="51"/>
      <c r="B4724" s="52" t="str">
        <f t="shared" si="252"/>
        <v/>
      </c>
      <c r="C4724" t="str">
        <f t="shared" si="251"/>
        <v/>
      </c>
      <c r="D4724" s="245" t="str">
        <f t="shared" si="253"/>
        <v/>
      </c>
      <c r="E4724" s="534"/>
      <c r="F4724" s="534"/>
    </row>
    <row r="4725" spans="1:6" ht="15" customHeight="1">
      <c r="A4725" s="51"/>
      <c r="B4725" s="52" t="str">
        <f t="shared" si="252"/>
        <v/>
      </c>
      <c r="C4725" t="str">
        <f t="shared" si="251"/>
        <v/>
      </c>
      <c r="D4725" s="245" t="str">
        <f t="shared" si="253"/>
        <v/>
      </c>
      <c r="E4725" s="534"/>
      <c r="F4725" s="534"/>
    </row>
    <row r="4726" spans="1:6" ht="15" customHeight="1">
      <c r="A4726" s="51"/>
      <c r="B4726" s="52" t="str">
        <f t="shared" si="252"/>
        <v/>
      </c>
      <c r="C4726" t="str">
        <f t="shared" si="251"/>
        <v/>
      </c>
      <c r="D4726" s="245" t="str">
        <f t="shared" si="253"/>
        <v/>
      </c>
      <c r="E4726" s="534"/>
      <c r="F4726" s="534"/>
    </row>
    <row r="4727" spans="1:6" ht="15" customHeight="1">
      <c r="A4727" s="51"/>
      <c r="B4727" s="52" t="str">
        <f t="shared" si="252"/>
        <v/>
      </c>
      <c r="C4727" t="str">
        <f t="shared" si="251"/>
        <v/>
      </c>
      <c r="D4727" s="245" t="str">
        <f t="shared" si="253"/>
        <v/>
      </c>
      <c r="E4727" s="534"/>
      <c r="F4727" s="534"/>
    </row>
    <row r="4728" spans="1:6" ht="15" customHeight="1">
      <c r="A4728" s="51"/>
      <c r="B4728" s="52" t="str">
        <f t="shared" si="252"/>
        <v/>
      </c>
      <c r="C4728" t="str">
        <f t="shared" si="251"/>
        <v/>
      </c>
      <c r="D4728" s="245" t="str">
        <f t="shared" si="253"/>
        <v/>
      </c>
      <c r="E4728" s="534"/>
      <c r="F4728" s="534"/>
    </row>
    <row r="4729" spans="1:6" ht="15" customHeight="1">
      <c r="A4729" s="51"/>
      <c r="B4729" s="52" t="str">
        <f t="shared" si="252"/>
        <v/>
      </c>
      <c r="C4729" t="str">
        <f t="shared" si="251"/>
        <v/>
      </c>
      <c r="D4729" s="245" t="str">
        <f t="shared" si="253"/>
        <v/>
      </c>
      <c r="E4729" s="534"/>
      <c r="F4729" s="534"/>
    </row>
    <row r="4730" spans="1:6" ht="15" customHeight="1">
      <c r="A4730" s="51"/>
      <c r="B4730" s="52" t="str">
        <f t="shared" si="252"/>
        <v/>
      </c>
      <c r="C4730" t="str">
        <f t="shared" si="251"/>
        <v/>
      </c>
      <c r="D4730" s="245" t="str">
        <f t="shared" si="253"/>
        <v/>
      </c>
      <c r="E4730" s="534"/>
      <c r="F4730" s="534"/>
    </row>
    <row r="4731" spans="1:6" ht="15" customHeight="1">
      <c r="A4731" s="51"/>
      <c r="B4731" s="52" t="str">
        <f t="shared" si="252"/>
        <v/>
      </c>
      <c r="C4731" t="str">
        <f t="shared" si="251"/>
        <v/>
      </c>
      <c r="D4731" s="245" t="str">
        <f t="shared" si="253"/>
        <v/>
      </c>
      <c r="E4731" s="534"/>
      <c r="F4731" s="534"/>
    </row>
    <row r="4732" spans="1:6" ht="15" customHeight="1">
      <c r="A4732" s="51"/>
      <c r="B4732" s="52" t="str">
        <f t="shared" si="252"/>
        <v/>
      </c>
      <c r="C4732" t="str">
        <f t="shared" si="251"/>
        <v/>
      </c>
      <c r="D4732" s="245" t="str">
        <f t="shared" si="253"/>
        <v/>
      </c>
      <c r="E4732" s="534"/>
      <c r="F4732" s="534"/>
    </row>
    <row r="4733" spans="1:6" ht="15" customHeight="1">
      <c r="A4733" s="51"/>
      <c r="B4733" s="52" t="str">
        <f t="shared" si="252"/>
        <v/>
      </c>
      <c r="C4733" t="str">
        <f t="shared" si="251"/>
        <v/>
      </c>
      <c r="D4733" s="245" t="str">
        <f t="shared" si="253"/>
        <v/>
      </c>
      <c r="E4733" s="534"/>
      <c r="F4733" s="534"/>
    </row>
    <row r="4734" spans="1:6" ht="15" customHeight="1">
      <c r="A4734" s="51"/>
      <c r="B4734" s="52" t="str">
        <f t="shared" si="252"/>
        <v/>
      </c>
      <c r="C4734" t="str">
        <f t="shared" si="251"/>
        <v/>
      </c>
      <c r="D4734" s="245" t="str">
        <f t="shared" si="253"/>
        <v/>
      </c>
      <c r="E4734" s="534"/>
      <c r="F4734" s="534"/>
    </row>
    <row r="4735" spans="1:6" ht="15" customHeight="1">
      <c r="A4735" s="51"/>
      <c r="B4735" s="52" t="str">
        <f t="shared" si="252"/>
        <v/>
      </c>
      <c r="C4735" t="str">
        <f t="shared" si="251"/>
        <v/>
      </c>
      <c r="D4735" s="245" t="str">
        <f t="shared" si="253"/>
        <v/>
      </c>
      <c r="E4735" s="534"/>
      <c r="F4735" s="534"/>
    </row>
    <row r="4736" spans="1:6" ht="15" customHeight="1">
      <c r="A4736" s="51"/>
      <c r="B4736" s="52" t="str">
        <f t="shared" si="252"/>
        <v/>
      </c>
      <c r="C4736" t="str">
        <f t="shared" si="251"/>
        <v/>
      </c>
      <c r="D4736" s="245" t="str">
        <f t="shared" si="253"/>
        <v/>
      </c>
      <c r="E4736" s="534"/>
      <c r="F4736" s="534"/>
    </row>
    <row r="4737" spans="1:6" ht="15" customHeight="1">
      <c r="A4737" s="51"/>
      <c r="B4737" s="52" t="str">
        <f t="shared" si="252"/>
        <v/>
      </c>
      <c r="C4737" t="str">
        <f t="shared" si="251"/>
        <v/>
      </c>
      <c r="D4737" s="245" t="str">
        <f t="shared" si="253"/>
        <v/>
      </c>
      <c r="E4737" s="534"/>
      <c r="F4737" s="534"/>
    </row>
    <row r="4738" spans="1:6" ht="15" customHeight="1">
      <c r="A4738" s="51"/>
      <c r="B4738" s="52" t="str">
        <f t="shared" si="252"/>
        <v/>
      </c>
      <c r="C4738" t="str">
        <f t="shared" ref="C4738:C4801" si="254">IF(A4738&lt;&gt;"",TEXT(A4738,"aaaa"),"")</f>
        <v/>
      </c>
      <c r="D4738" s="245" t="str">
        <f t="shared" si="253"/>
        <v/>
      </c>
      <c r="E4738" s="534"/>
      <c r="F4738" s="534"/>
    </row>
    <row r="4739" spans="1:6" ht="15" customHeight="1">
      <c r="A4739" s="51"/>
      <c r="B4739" s="52" t="str">
        <f t="shared" si="252"/>
        <v/>
      </c>
      <c r="C4739" t="str">
        <f t="shared" si="254"/>
        <v/>
      </c>
      <c r="D4739" s="245" t="str">
        <f t="shared" si="253"/>
        <v/>
      </c>
      <c r="E4739" s="534"/>
      <c r="F4739" s="534"/>
    </row>
    <row r="4740" spans="1:6" ht="15" customHeight="1">
      <c r="A4740" s="51"/>
      <c r="B4740" s="52" t="str">
        <f t="shared" si="252"/>
        <v/>
      </c>
      <c r="C4740" t="str">
        <f t="shared" si="254"/>
        <v/>
      </c>
      <c r="D4740" s="245" t="str">
        <f t="shared" si="253"/>
        <v/>
      </c>
      <c r="E4740" s="534"/>
      <c r="F4740" s="534"/>
    </row>
    <row r="4741" spans="1:6" ht="15" customHeight="1">
      <c r="A4741" s="51"/>
      <c r="B4741" s="52" t="str">
        <f t="shared" si="252"/>
        <v/>
      </c>
      <c r="C4741" t="str">
        <f t="shared" si="254"/>
        <v/>
      </c>
      <c r="D4741" s="245" t="str">
        <f t="shared" si="253"/>
        <v/>
      </c>
      <c r="E4741" s="534"/>
      <c r="F4741" s="534"/>
    </row>
    <row r="4742" spans="1:6" ht="15" customHeight="1">
      <c r="A4742" s="51"/>
      <c r="B4742" s="52" t="str">
        <f t="shared" si="252"/>
        <v/>
      </c>
      <c r="C4742" t="str">
        <f t="shared" si="254"/>
        <v/>
      </c>
      <c r="D4742" s="245" t="str">
        <f t="shared" si="253"/>
        <v/>
      </c>
      <c r="E4742" s="534"/>
      <c r="F4742" s="534"/>
    </row>
    <row r="4743" spans="1:6" ht="15" customHeight="1">
      <c r="A4743" s="51"/>
      <c r="B4743" s="52" t="str">
        <f t="shared" si="252"/>
        <v/>
      </c>
      <c r="C4743" t="str">
        <f t="shared" si="254"/>
        <v/>
      </c>
      <c r="D4743" s="245" t="str">
        <f t="shared" si="253"/>
        <v/>
      </c>
      <c r="E4743" s="534"/>
      <c r="F4743" s="534"/>
    </row>
    <row r="4744" spans="1:6" ht="15" customHeight="1">
      <c r="A4744" s="51"/>
      <c r="B4744" s="52" t="str">
        <f t="shared" ref="B4744:B4807" si="255">IF(A4744="","",TEXT(A4744,"DDDD"))</f>
        <v/>
      </c>
      <c r="C4744" t="str">
        <f t="shared" si="254"/>
        <v/>
      </c>
      <c r="D4744" s="245" t="str">
        <f t="shared" si="253"/>
        <v/>
      </c>
      <c r="E4744" s="534"/>
      <c r="F4744" s="534"/>
    </row>
    <row r="4745" spans="1:6" ht="15" customHeight="1">
      <c r="A4745" s="51"/>
      <c r="B4745" s="52" t="str">
        <f t="shared" si="255"/>
        <v/>
      </c>
      <c r="C4745" t="str">
        <f t="shared" si="254"/>
        <v/>
      </c>
      <c r="D4745" s="245" t="str">
        <f t="shared" ref="D4745:D4808" si="256">IF(A4745&lt;&gt;"",PROPER(TEXT(A4745,"Mmmm")),"")</f>
        <v/>
      </c>
      <c r="E4745" s="534"/>
      <c r="F4745" s="534"/>
    </row>
    <row r="4746" spans="1:6" ht="15" customHeight="1">
      <c r="A4746" s="51"/>
      <c r="B4746" s="52" t="str">
        <f t="shared" si="255"/>
        <v/>
      </c>
      <c r="C4746" t="str">
        <f t="shared" si="254"/>
        <v/>
      </c>
      <c r="D4746" s="245" t="str">
        <f t="shared" si="256"/>
        <v/>
      </c>
      <c r="E4746" s="534"/>
      <c r="F4746" s="534"/>
    </row>
    <row r="4747" spans="1:6" ht="15" customHeight="1">
      <c r="A4747" s="51"/>
      <c r="B4747" s="52" t="str">
        <f t="shared" si="255"/>
        <v/>
      </c>
      <c r="C4747" t="str">
        <f t="shared" si="254"/>
        <v/>
      </c>
      <c r="D4747" s="245" t="str">
        <f t="shared" si="256"/>
        <v/>
      </c>
      <c r="E4747" s="534"/>
      <c r="F4747" s="534"/>
    </row>
    <row r="4748" spans="1:6" ht="15" customHeight="1">
      <c r="A4748" s="51"/>
      <c r="B4748" s="52" t="str">
        <f t="shared" si="255"/>
        <v/>
      </c>
      <c r="C4748" t="str">
        <f t="shared" si="254"/>
        <v/>
      </c>
      <c r="D4748" s="245" t="str">
        <f t="shared" si="256"/>
        <v/>
      </c>
      <c r="E4748" s="534"/>
      <c r="F4748" s="534"/>
    </row>
    <row r="4749" spans="1:6" ht="15" customHeight="1">
      <c r="A4749" s="51"/>
      <c r="B4749" s="52" t="str">
        <f t="shared" si="255"/>
        <v/>
      </c>
      <c r="C4749" t="str">
        <f t="shared" si="254"/>
        <v/>
      </c>
      <c r="D4749" s="245" t="str">
        <f t="shared" si="256"/>
        <v/>
      </c>
      <c r="E4749" s="534"/>
      <c r="F4749" s="534"/>
    </row>
    <row r="4750" spans="1:6" ht="15" customHeight="1">
      <c r="A4750" s="51"/>
      <c r="B4750" s="52" t="str">
        <f t="shared" si="255"/>
        <v/>
      </c>
      <c r="C4750" t="str">
        <f t="shared" si="254"/>
        <v/>
      </c>
      <c r="D4750" s="245" t="str">
        <f t="shared" si="256"/>
        <v/>
      </c>
      <c r="E4750" s="534"/>
      <c r="F4750" s="534"/>
    </row>
    <row r="4751" spans="1:6" ht="15" customHeight="1">
      <c r="A4751" s="51"/>
      <c r="B4751" s="52" t="str">
        <f t="shared" si="255"/>
        <v/>
      </c>
      <c r="C4751" t="str">
        <f t="shared" si="254"/>
        <v/>
      </c>
      <c r="D4751" s="245" t="str">
        <f t="shared" si="256"/>
        <v/>
      </c>
      <c r="E4751" s="534"/>
      <c r="F4751" s="534"/>
    </row>
    <row r="4752" spans="1:6" ht="15" customHeight="1">
      <c r="A4752" s="51"/>
      <c r="B4752" s="52" t="str">
        <f t="shared" si="255"/>
        <v/>
      </c>
      <c r="C4752" t="str">
        <f t="shared" si="254"/>
        <v/>
      </c>
      <c r="D4752" s="245" t="str">
        <f t="shared" si="256"/>
        <v/>
      </c>
      <c r="E4752" s="534"/>
      <c r="F4752" s="534"/>
    </row>
    <row r="4753" spans="1:6" ht="15" customHeight="1">
      <c r="A4753" s="51"/>
      <c r="B4753" s="52" t="str">
        <f t="shared" si="255"/>
        <v/>
      </c>
      <c r="C4753" t="str">
        <f t="shared" si="254"/>
        <v/>
      </c>
      <c r="D4753" s="245" t="str">
        <f t="shared" si="256"/>
        <v/>
      </c>
      <c r="E4753" s="534"/>
      <c r="F4753" s="534"/>
    </row>
    <row r="4754" spans="1:6" ht="15" customHeight="1">
      <c r="A4754" s="51"/>
      <c r="B4754" s="52" t="str">
        <f t="shared" si="255"/>
        <v/>
      </c>
      <c r="C4754" t="str">
        <f t="shared" si="254"/>
        <v/>
      </c>
      <c r="D4754" s="245" t="str">
        <f t="shared" si="256"/>
        <v/>
      </c>
      <c r="E4754" s="534"/>
      <c r="F4754" s="534"/>
    </row>
    <row r="4755" spans="1:6" ht="15" customHeight="1">
      <c r="A4755" s="51"/>
      <c r="B4755" s="52" t="str">
        <f t="shared" si="255"/>
        <v/>
      </c>
      <c r="C4755" t="str">
        <f t="shared" si="254"/>
        <v/>
      </c>
      <c r="D4755" s="245" t="str">
        <f t="shared" si="256"/>
        <v/>
      </c>
      <c r="E4755" s="534"/>
      <c r="F4755" s="534"/>
    </row>
    <row r="4756" spans="1:6" ht="15" customHeight="1">
      <c r="A4756" s="51"/>
      <c r="B4756" s="52" t="str">
        <f t="shared" si="255"/>
        <v/>
      </c>
      <c r="C4756" t="str">
        <f t="shared" si="254"/>
        <v/>
      </c>
      <c r="D4756" s="245" t="str">
        <f t="shared" si="256"/>
        <v/>
      </c>
      <c r="E4756" s="534"/>
      <c r="F4756" s="534"/>
    </row>
    <row r="4757" spans="1:6" ht="15" customHeight="1">
      <c r="A4757" s="51"/>
      <c r="B4757" s="52" t="str">
        <f t="shared" si="255"/>
        <v/>
      </c>
      <c r="C4757" t="str">
        <f t="shared" si="254"/>
        <v/>
      </c>
      <c r="D4757" s="245" t="str">
        <f t="shared" si="256"/>
        <v/>
      </c>
      <c r="E4757" s="534"/>
      <c r="F4757" s="534"/>
    </row>
    <row r="4758" spans="1:6" ht="15" customHeight="1">
      <c r="A4758" s="51"/>
      <c r="B4758" s="52" t="str">
        <f t="shared" si="255"/>
        <v/>
      </c>
      <c r="C4758" t="str">
        <f t="shared" si="254"/>
        <v/>
      </c>
      <c r="D4758" s="245" t="str">
        <f t="shared" si="256"/>
        <v/>
      </c>
      <c r="E4758" s="534"/>
      <c r="F4758" s="534"/>
    </row>
    <row r="4759" spans="1:6" ht="15" customHeight="1">
      <c r="A4759" s="51"/>
      <c r="B4759" s="52" t="str">
        <f t="shared" si="255"/>
        <v/>
      </c>
      <c r="C4759" t="str">
        <f t="shared" si="254"/>
        <v/>
      </c>
      <c r="D4759" s="245" t="str">
        <f t="shared" si="256"/>
        <v/>
      </c>
      <c r="E4759" s="534"/>
      <c r="F4759" s="534"/>
    </row>
    <row r="4760" spans="1:6" ht="15" customHeight="1">
      <c r="A4760" s="51"/>
      <c r="B4760" s="52" t="str">
        <f t="shared" si="255"/>
        <v/>
      </c>
      <c r="C4760" t="str">
        <f t="shared" si="254"/>
        <v/>
      </c>
      <c r="D4760" s="245" t="str">
        <f t="shared" si="256"/>
        <v/>
      </c>
      <c r="E4760" s="534"/>
      <c r="F4760" s="534"/>
    </row>
    <row r="4761" spans="1:6" ht="15" customHeight="1">
      <c r="A4761" s="51"/>
      <c r="B4761" s="52" t="str">
        <f t="shared" si="255"/>
        <v/>
      </c>
      <c r="C4761" t="str">
        <f t="shared" si="254"/>
        <v/>
      </c>
      <c r="D4761" s="245" t="str">
        <f t="shared" si="256"/>
        <v/>
      </c>
      <c r="E4761" s="534"/>
      <c r="F4761" s="534"/>
    </row>
    <row r="4762" spans="1:6" ht="15" customHeight="1">
      <c r="A4762" s="51"/>
      <c r="B4762" s="52" t="str">
        <f t="shared" si="255"/>
        <v/>
      </c>
      <c r="C4762" t="str">
        <f t="shared" si="254"/>
        <v/>
      </c>
      <c r="D4762" s="245" t="str">
        <f t="shared" si="256"/>
        <v/>
      </c>
      <c r="E4762" s="534"/>
      <c r="F4762" s="534"/>
    </row>
    <row r="4763" spans="1:6" ht="15" customHeight="1">
      <c r="A4763" s="51"/>
      <c r="B4763" s="52" t="str">
        <f t="shared" si="255"/>
        <v/>
      </c>
      <c r="C4763" t="str">
        <f t="shared" si="254"/>
        <v/>
      </c>
      <c r="D4763" s="245" t="str">
        <f t="shared" si="256"/>
        <v/>
      </c>
      <c r="E4763" s="534"/>
      <c r="F4763" s="534"/>
    </row>
    <row r="4764" spans="1:6" ht="15" customHeight="1">
      <c r="A4764" s="51"/>
      <c r="B4764" s="52" t="str">
        <f t="shared" si="255"/>
        <v/>
      </c>
      <c r="C4764" t="str">
        <f t="shared" si="254"/>
        <v/>
      </c>
      <c r="D4764" s="245" t="str">
        <f t="shared" si="256"/>
        <v/>
      </c>
      <c r="E4764" s="534"/>
      <c r="F4764" s="534"/>
    </row>
    <row r="4765" spans="1:6" ht="15" customHeight="1">
      <c r="A4765" s="51"/>
      <c r="B4765" s="52" t="str">
        <f t="shared" si="255"/>
        <v/>
      </c>
      <c r="C4765" t="str">
        <f t="shared" si="254"/>
        <v/>
      </c>
      <c r="D4765" s="245" t="str">
        <f t="shared" si="256"/>
        <v/>
      </c>
      <c r="E4765" s="534"/>
      <c r="F4765" s="534"/>
    </row>
    <row r="4766" spans="1:6" ht="15" customHeight="1">
      <c r="A4766" s="51"/>
      <c r="B4766" s="52" t="str">
        <f t="shared" si="255"/>
        <v/>
      </c>
      <c r="C4766" t="str">
        <f t="shared" si="254"/>
        <v/>
      </c>
      <c r="D4766" s="245" t="str">
        <f t="shared" si="256"/>
        <v/>
      </c>
      <c r="E4766" s="534"/>
      <c r="F4766" s="534"/>
    </row>
    <row r="4767" spans="1:6" ht="15" customHeight="1">
      <c r="A4767" s="51"/>
      <c r="B4767" s="52" t="str">
        <f t="shared" si="255"/>
        <v/>
      </c>
      <c r="C4767" t="str">
        <f t="shared" si="254"/>
        <v/>
      </c>
      <c r="D4767" s="245" t="str">
        <f t="shared" si="256"/>
        <v/>
      </c>
      <c r="E4767" s="534"/>
      <c r="F4767" s="534"/>
    </row>
    <row r="4768" spans="1:6" ht="15" customHeight="1">
      <c r="A4768" s="51"/>
      <c r="B4768" s="52" t="str">
        <f t="shared" si="255"/>
        <v/>
      </c>
      <c r="C4768" t="str">
        <f t="shared" si="254"/>
        <v/>
      </c>
      <c r="D4768" s="245" t="str">
        <f t="shared" si="256"/>
        <v/>
      </c>
      <c r="E4768" s="534"/>
      <c r="F4768" s="534"/>
    </row>
    <row r="4769" spans="1:6" ht="15" customHeight="1">
      <c r="A4769" s="51"/>
      <c r="B4769" s="52" t="str">
        <f t="shared" si="255"/>
        <v/>
      </c>
      <c r="C4769" t="str">
        <f t="shared" si="254"/>
        <v/>
      </c>
      <c r="D4769" s="245" t="str">
        <f t="shared" si="256"/>
        <v/>
      </c>
      <c r="E4769" s="534"/>
      <c r="F4769" s="534"/>
    </row>
    <row r="4770" spans="1:6" ht="15" customHeight="1">
      <c r="A4770" s="51"/>
      <c r="B4770" s="52" t="str">
        <f t="shared" si="255"/>
        <v/>
      </c>
      <c r="C4770" t="str">
        <f t="shared" si="254"/>
        <v/>
      </c>
      <c r="D4770" s="245" t="str">
        <f t="shared" si="256"/>
        <v/>
      </c>
      <c r="E4770" s="534"/>
      <c r="F4770" s="534"/>
    </row>
    <row r="4771" spans="1:6" ht="15" customHeight="1">
      <c r="A4771" s="51"/>
      <c r="B4771" s="52" t="str">
        <f t="shared" si="255"/>
        <v/>
      </c>
      <c r="C4771" t="str">
        <f t="shared" si="254"/>
        <v/>
      </c>
      <c r="D4771" s="245" t="str">
        <f t="shared" si="256"/>
        <v/>
      </c>
      <c r="E4771" s="534"/>
      <c r="F4771" s="534"/>
    </row>
    <row r="4772" spans="1:6" ht="15" customHeight="1">
      <c r="A4772" s="51"/>
      <c r="B4772" s="52" t="str">
        <f t="shared" si="255"/>
        <v/>
      </c>
      <c r="C4772" t="str">
        <f t="shared" si="254"/>
        <v/>
      </c>
      <c r="D4772" s="245" t="str">
        <f t="shared" si="256"/>
        <v/>
      </c>
      <c r="E4772" s="534"/>
      <c r="F4772" s="534"/>
    </row>
    <row r="4773" spans="1:6" ht="15" customHeight="1">
      <c r="A4773" s="51"/>
      <c r="B4773" s="52" t="str">
        <f t="shared" si="255"/>
        <v/>
      </c>
      <c r="C4773" t="str">
        <f t="shared" si="254"/>
        <v/>
      </c>
      <c r="D4773" s="245" t="str">
        <f t="shared" si="256"/>
        <v/>
      </c>
      <c r="E4773" s="534"/>
      <c r="F4773" s="534"/>
    </row>
    <row r="4774" spans="1:6" ht="15" customHeight="1">
      <c r="A4774" s="51"/>
      <c r="B4774" s="52" t="str">
        <f t="shared" si="255"/>
        <v/>
      </c>
      <c r="C4774" t="str">
        <f t="shared" si="254"/>
        <v/>
      </c>
      <c r="D4774" s="245" t="str">
        <f t="shared" si="256"/>
        <v/>
      </c>
      <c r="E4774" s="534"/>
      <c r="F4774" s="534"/>
    </row>
    <row r="4775" spans="1:6" ht="15" customHeight="1">
      <c r="A4775" s="51"/>
      <c r="B4775" s="52" t="str">
        <f t="shared" si="255"/>
        <v/>
      </c>
      <c r="C4775" t="str">
        <f t="shared" si="254"/>
        <v/>
      </c>
      <c r="D4775" s="245" t="str">
        <f t="shared" si="256"/>
        <v/>
      </c>
      <c r="E4775" s="534"/>
      <c r="F4775" s="534"/>
    </row>
    <row r="4776" spans="1:6" ht="15" customHeight="1">
      <c r="A4776" s="51"/>
      <c r="B4776" s="52" t="str">
        <f t="shared" si="255"/>
        <v/>
      </c>
      <c r="C4776" t="str">
        <f t="shared" si="254"/>
        <v/>
      </c>
      <c r="D4776" s="245" t="str">
        <f t="shared" si="256"/>
        <v/>
      </c>
      <c r="E4776" s="534"/>
      <c r="F4776" s="534"/>
    </row>
    <row r="4777" spans="1:6" ht="15" customHeight="1">
      <c r="A4777" s="51"/>
      <c r="B4777" s="52" t="str">
        <f t="shared" si="255"/>
        <v/>
      </c>
      <c r="C4777" t="str">
        <f t="shared" si="254"/>
        <v/>
      </c>
      <c r="D4777" s="245" t="str">
        <f t="shared" si="256"/>
        <v/>
      </c>
      <c r="E4777" s="534"/>
      <c r="F4777" s="534"/>
    </row>
    <row r="4778" spans="1:6" ht="15" customHeight="1">
      <c r="A4778" s="51"/>
      <c r="B4778" s="52" t="str">
        <f t="shared" si="255"/>
        <v/>
      </c>
      <c r="C4778" t="str">
        <f t="shared" si="254"/>
        <v/>
      </c>
      <c r="D4778" s="245" t="str">
        <f t="shared" si="256"/>
        <v/>
      </c>
      <c r="E4778" s="534"/>
      <c r="F4778" s="534"/>
    </row>
    <row r="4779" spans="1:6" ht="15" customHeight="1">
      <c r="A4779" s="51"/>
      <c r="B4779" s="52" t="str">
        <f t="shared" si="255"/>
        <v/>
      </c>
      <c r="C4779" t="str">
        <f t="shared" si="254"/>
        <v/>
      </c>
      <c r="D4779" s="245" t="str">
        <f t="shared" si="256"/>
        <v/>
      </c>
      <c r="E4779" s="534"/>
      <c r="F4779" s="534"/>
    </row>
    <row r="4780" spans="1:6" ht="15" customHeight="1">
      <c r="A4780" s="51"/>
      <c r="B4780" s="52" t="str">
        <f t="shared" si="255"/>
        <v/>
      </c>
      <c r="C4780" t="str">
        <f t="shared" si="254"/>
        <v/>
      </c>
      <c r="D4780" s="245" t="str">
        <f t="shared" si="256"/>
        <v/>
      </c>
      <c r="E4780" s="534"/>
      <c r="F4780" s="534"/>
    </row>
    <row r="4781" spans="1:6" ht="15" customHeight="1">
      <c r="A4781" s="51"/>
      <c r="B4781" s="52" t="str">
        <f t="shared" si="255"/>
        <v/>
      </c>
      <c r="C4781" t="str">
        <f t="shared" si="254"/>
        <v/>
      </c>
      <c r="D4781" s="245" t="str">
        <f t="shared" si="256"/>
        <v/>
      </c>
      <c r="E4781" s="534"/>
      <c r="F4781" s="534"/>
    </row>
    <row r="4782" spans="1:6" ht="15" customHeight="1">
      <c r="A4782" s="51"/>
      <c r="B4782" s="52" t="str">
        <f t="shared" si="255"/>
        <v/>
      </c>
      <c r="C4782" t="str">
        <f t="shared" si="254"/>
        <v/>
      </c>
      <c r="D4782" s="245" t="str">
        <f t="shared" si="256"/>
        <v/>
      </c>
      <c r="E4782" s="534"/>
      <c r="F4782" s="534"/>
    </row>
    <row r="4783" spans="1:6" ht="15" customHeight="1">
      <c r="A4783" s="51"/>
      <c r="B4783" s="52" t="str">
        <f t="shared" si="255"/>
        <v/>
      </c>
      <c r="C4783" t="str">
        <f t="shared" si="254"/>
        <v/>
      </c>
      <c r="D4783" s="245" t="str">
        <f t="shared" si="256"/>
        <v/>
      </c>
      <c r="E4783" s="534"/>
      <c r="F4783" s="534"/>
    </row>
    <row r="4784" spans="1:6" ht="15" customHeight="1">
      <c r="A4784" s="51"/>
      <c r="B4784" s="52" t="str">
        <f t="shared" si="255"/>
        <v/>
      </c>
      <c r="C4784" t="str">
        <f t="shared" si="254"/>
        <v/>
      </c>
      <c r="D4784" s="245" t="str">
        <f t="shared" si="256"/>
        <v/>
      </c>
      <c r="E4784" s="534"/>
      <c r="F4784" s="534"/>
    </row>
    <row r="4785" spans="1:6" ht="15" customHeight="1">
      <c r="A4785" s="51"/>
      <c r="B4785" s="52" t="str">
        <f t="shared" si="255"/>
        <v/>
      </c>
      <c r="C4785" t="str">
        <f t="shared" si="254"/>
        <v/>
      </c>
      <c r="D4785" s="245" t="str">
        <f t="shared" si="256"/>
        <v/>
      </c>
      <c r="E4785" s="534"/>
      <c r="F4785" s="534"/>
    </row>
    <row r="4786" spans="1:6" ht="15" customHeight="1">
      <c r="A4786" s="51"/>
      <c r="B4786" s="52" t="str">
        <f t="shared" si="255"/>
        <v/>
      </c>
      <c r="C4786" t="str">
        <f t="shared" si="254"/>
        <v/>
      </c>
      <c r="D4786" s="245" t="str">
        <f t="shared" si="256"/>
        <v/>
      </c>
      <c r="E4786" s="534"/>
      <c r="F4786" s="534"/>
    </row>
    <row r="4787" spans="1:6" ht="15" customHeight="1">
      <c r="A4787" s="51"/>
      <c r="B4787" s="52" t="str">
        <f t="shared" si="255"/>
        <v/>
      </c>
      <c r="C4787" t="str">
        <f t="shared" si="254"/>
        <v/>
      </c>
      <c r="D4787" s="245" t="str">
        <f t="shared" si="256"/>
        <v/>
      </c>
      <c r="E4787" s="534"/>
      <c r="F4787" s="534"/>
    </row>
    <row r="4788" spans="1:6" ht="15" customHeight="1">
      <c r="A4788" s="51"/>
      <c r="B4788" s="52" t="str">
        <f t="shared" si="255"/>
        <v/>
      </c>
      <c r="C4788" t="str">
        <f t="shared" si="254"/>
        <v/>
      </c>
      <c r="D4788" s="245" t="str">
        <f t="shared" si="256"/>
        <v/>
      </c>
      <c r="E4788" s="534"/>
      <c r="F4788" s="534"/>
    </row>
    <row r="4789" spans="1:6" ht="15" customHeight="1">
      <c r="A4789" s="51"/>
      <c r="B4789" s="52" t="str">
        <f t="shared" si="255"/>
        <v/>
      </c>
      <c r="C4789" t="str">
        <f t="shared" si="254"/>
        <v/>
      </c>
      <c r="D4789" s="245" t="str">
        <f t="shared" si="256"/>
        <v/>
      </c>
      <c r="E4789" s="534"/>
      <c r="F4789" s="534"/>
    </row>
    <row r="4790" spans="1:6" ht="15" customHeight="1">
      <c r="A4790" s="51"/>
      <c r="B4790" s="52" t="str">
        <f t="shared" si="255"/>
        <v/>
      </c>
      <c r="C4790" t="str">
        <f t="shared" si="254"/>
        <v/>
      </c>
      <c r="D4790" s="245" t="str">
        <f t="shared" si="256"/>
        <v/>
      </c>
      <c r="E4790" s="534"/>
      <c r="F4790" s="534"/>
    </row>
    <row r="4791" spans="1:6" ht="15" customHeight="1">
      <c r="A4791" s="51"/>
      <c r="B4791" s="52" t="str">
        <f t="shared" si="255"/>
        <v/>
      </c>
      <c r="C4791" t="str">
        <f t="shared" si="254"/>
        <v/>
      </c>
      <c r="D4791" s="245" t="str">
        <f t="shared" si="256"/>
        <v/>
      </c>
      <c r="E4791" s="534"/>
      <c r="F4791" s="534"/>
    </row>
    <row r="4792" spans="1:6" ht="15" customHeight="1">
      <c r="A4792" s="51"/>
      <c r="B4792" s="52" t="str">
        <f t="shared" si="255"/>
        <v/>
      </c>
      <c r="C4792" t="str">
        <f t="shared" si="254"/>
        <v/>
      </c>
      <c r="D4792" s="245" t="str">
        <f t="shared" si="256"/>
        <v/>
      </c>
      <c r="E4792" s="534"/>
      <c r="F4792" s="534"/>
    </row>
    <row r="4793" spans="1:6" ht="15" customHeight="1">
      <c r="A4793" s="51"/>
      <c r="B4793" s="52" t="str">
        <f t="shared" si="255"/>
        <v/>
      </c>
      <c r="C4793" t="str">
        <f t="shared" si="254"/>
        <v/>
      </c>
      <c r="D4793" s="245" t="str">
        <f t="shared" si="256"/>
        <v/>
      </c>
      <c r="E4793" s="534"/>
      <c r="F4793" s="534"/>
    </row>
    <row r="4794" spans="1:6" ht="15" customHeight="1">
      <c r="A4794" s="51"/>
      <c r="B4794" s="52" t="str">
        <f t="shared" si="255"/>
        <v/>
      </c>
      <c r="C4794" t="str">
        <f t="shared" si="254"/>
        <v/>
      </c>
      <c r="D4794" s="245" t="str">
        <f t="shared" si="256"/>
        <v/>
      </c>
      <c r="E4794" s="534"/>
      <c r="F4794" s="534"/>
    </row>
    <row r="4795" spans="1:6" ht="15" customHeight="1">
      <c r="A4795" s="51"/>
      <c r="B4795" s="52" t="str">
        <f t="shared" si="255"/>
        <v/>
      </c>
      <c r="C4795" t="str">
        <f t="shared" si="254"/>
        <v/>
      </c>
      <c r="D4795" s="245" t="str">
        <f t="shared" si="256"/>
        <v/>
      </c>
      <c r="E4795" s="534"/>
      <c r="F4795" s="534"/>
    </row>
    <row r="4796" spans="1:6" ht="15" customHeight="1">
      <c r="A4796" s="51"/>
      <c r="B4796" s="52" t="str">
        <f t="shared" si="255"/>
        <v/>
      </c>
      <c r="C4796" t="str">
        <f t="shared" si="254"/>
        <v/>
      </c>
      <c r="D4796" s="245" t="str">
        <f t="shared" si="256"/>
        <v/>
      </c>
      <c r="E4796" s="534"/>
      <c r="F4796" s="534"/>
    </row>
    <row r="4797" spans="1:6" ht="15" customHeight="1">
      <c r="A4797" s="51"/>
      <c r="B4797" s="52" t="str">
        <f t="shared" si="255"/>
        <v/>
      </c>
      <c r="C4797" t="str">
        <f t="shared" si="254"/>
        <v/>
      </c>
      <c r="D4797" s="245" t="str">
        <f t="shared" si="256"/>
        <v/>
      </c>
      <c r="E4797" s="534"/>
      <c r="F4797" s="534"/>
    </row>
    <row r="4798" spans="1:6" ht="15" customHeight="1">
      <c r="A4798" s="51"/>
      <c r="B4798" s="52" t="str">
        <f t="shared" si="255"/>
        <v/>
      </c>
      <c r="C4798" t="str">
        <f t="shared" si="254"/>
        <v/>
      </c>
      <c r="D4798" s="245" t="str">
        <f t="shared" si="256"/>
        <v/>
      </c>
      <c r="E4798" s="534"/>
      <c r="F4798" s="534"/>
    </row>
    <row r="4799" spans="1:6" ht="15" customHeight="1">
      <c r="A4799" s="51"/>
      <c r="B4799" s="52" t="str">
        <f t="shared" si="255"/>
        <v/>
      </c>
      <c r="C4799" t="str">
        <f t="shared" si="254"/>
        <v/>
      </c>
      <c r="D4799" s="245" t="str">
        <f t="shared" si="256"/>
        <v/>
      </c>
      <c r="E4799" s="534"/>
      <c r="F4799" s="534"/>
    </row>
    <row r="4800" spans="1:6" ht="15" customHeight="1">
      <c r="A4800" s="51"/>
      <c r="B4800" s="52" t="str">
        <f t="shared" si="255"/>
        <v/>
      </c>
      <c r="C4800" t="str">
        <f t="shared" si="254"/>
        <v/>
      </c>
      <c r="D4800" s="245" t="str">
        <f t="shared" si="256"/>
        <v/>
      </c>
      <c r="E4800" s="534"/>
      <c r="F4800" s="534"/>
    </row>
    <row r="4801" spans="1:6" ht="15" customHeight="1">
      <c r="A4801" s="51"/>
      <c r="B4801" s="52" t="str">
        <f t="shared" si="255"/>
        <v/>
      </c>
      <c r="C4801" t="str">
        <f t="shared" si="254"/>
        <v/>
      </c>
      <c r="D4801" s="245" t="str">
        <f t="shared" si="256"/>
        <v/>
      </c>
      <c r="E4801" s="534"/>
      <c r="F4801" s="534"/>
    </row>
    <row r="4802" spans="1:6" ht="15" customHeight="1">
      <c r="A4802" s="51"/>
      <c r="B4802" s="52" t="str">
        <f t="shared" si="255"/>
        <v/>
      </c>
      <c r="C4802" t="str">
        <f t="shared" ref="C4802:C4865" si="257">IF(A4802&lt;&gt;"",TEXT(A4802,"aaaa"),"")</f>
        <v/>
      </c>
      <c r="D4802" s="245" t="str">
        <f t="shared" si="256"/>
        <v/>
      </c>
      <c r="E4802" s="534"/>
      <c r="F4802" s="534"/>
    </row>
    <row r="4803" spans="1:6" ht="15" customHeight="1">
      <c r="A4803" s="51"/>
      <c r="B4803" s="52" t="str">
        <f t="shared" si="255"/>
        <v/>
      </c>
      <c r="C4803" t="str">
        <f t="shared" si="257"/>
        <v/>
      </c>
      <c r="D4803" s="245" t="str">
        <f t="shared" si="256"/>
        <v/>
      </c>
      <c r="E4803" s="534"/>
      <c r="F4803" s="534"/>
    </row>
    <row r="4804" spans="1:6" ht="15" customHeight="1">
      <c r="A4804" s="51"/>
      <c r="B4804" s="52" t="str">
        <f t="shared" si="255"/>
        <v/>
      </c>
      <c r="C4804" t="str">
        <f t="shared" si="257"/>
        <v/>
      </c>
      <c r="D4804" s="245" t="str">
        <f t="shared" si="256"/>
        <v/>
      </c>
      <c r="E4804" s="534"/>
      <c r="F4804" s="534"/>
    </row>
    <row r="4805" spans="1:6" ht="15" customHeight="1">
      <c r="A4805" s="51"/>
      <c r="B4805" s="52" t="str">
        <f t="shared" si="255"/>
        <v/>
      </c>
      <c r="C4805" t="str">
        <f t="shared" si="257"/>
        <v/>
      </c>
      <c r="D4805" s="245" t="str">
        <f t="shared" si="256"/>
        <v/>
      </c>
      <c r="E4805" s="534"/>
      <c r="F4805" s="534"/>
    </row>
    <row r="4806" spans="1:6" ht="15" customHeight="1">
      <c r="A4806" s="51"/>
      <c r="B4806" s="52" t="str">
        <f t="shared" si="255"/>
        <v/>
      </c>
      <c r="C4806" t="str">
        <f t="shared" si="257"/>
        <v/>
      </c>
      <c r="D4806" s="245" t="str">
        <f t="shared" si="256"/>
        <v/>
      </c>
      <c r="E4806" s="534"/>
      <c r="F4806" s="534"/>
    </row>
    <row r="4807" spans="1:6" ht="15" customHeight="1">
      <c r="A4807" s="51"/>
      <c r="B4807" s="52" t="str">
        <f t="shared" si="255"/>
        <v/>
      </c>
      <c r="C4807" t="str">
        <f t="shared" si="257"/>
        <v/>
      </c>
      <c r="D4807" s="245" t="str">
        <f t="shared" si="256"/>
        <v/>
      </c>
      <c r="E4807" s="534"/>
      <c r="F4807" s="534"/>
    </row>
    <row r="4808" spans="1:6" ht="15" customHeight="1">
      <c r="A4808" s="51"/>
      <c r="B4808" s="52" t="str">
        <f t="shared" ref="B4808:B4871" si="258">IF(A4808="","",TEXT(A4808,"DDDD"))</f>
        <v/>
      </c>
      <c r="C4808" t="str">
        <f t="shared" si="257"/>
        <v/>
      </c>
      <c r="D4808" s="245" t="str">
        <f t="shared" si="256"/>
        <v/>
      </c>
      <c r="E4808" s="534"/>
      <c r="F4808" s="534"/>
    </row>
    <row r="4809" spans="1:6" ht="15" customHeight="1">
      <c r="A4809" s="51"/>
      <c r="B4809" s="52" t="str">
        <f t="shared" si="258"/>
        <v/>
      </c>
      <c r="C4809" t="str">
        <f t="shared" si="257"/>
        <v/>
      </c>
      <c r="D4809" s="245" t="str">
        <f t="shared" ref="D4809:D4872" si="259">IF(A4809&lt;&gt;"",PROPER(TEXT(A4809,"Mmmm")),"")</f>
        <v/>
      </c>
      <c r="E4809" s="534"/>
      <c r="F4809" s="534"/>
    </row>
    <row r="4810" spans="1:6" ht="15" customHeight="1">
      <c r="A4810" s="51"/>
      <c r="B4810" s="52" t="str">
        <f t="shared" si="258"/>
        <v/>
      </c>
      <c r="C4810" t="str">
        <f t="shared" si="257"/>
        <v/>
      </c>
      <c r="D4810" s="245" t="str">
        <f t="shared" si="259"/>
        <v/>
      </c>
      <c r="E4810" s="534"/>
      <c r="F4810" s="534"/>
    </row>
    <row r="4811" spans="1:6" ht="15" customHeight="1">
      <c r="A4811" s="51"/>
      <c r="B4811" s="52" t="str">
        <f t="shared" si="258"/>
        <v/>
      </c>
      <c r="C4811" t="str">
        <f t="shared" si="257"/>
        <v/>
      </c>
      <c r="D4811" s="245" t="str">
        <f t="shared" si="259"/>
        <v/>
      </c>
      <c r="E4811" s="534"/>
      <c r="F4811" s="534"/>
    </row>
    <row r="4812" spans="1:6" ht="15" customHeight="1">
      <c r="A4812" s="51"/>
      <c r="B4812" s="52" t="str">
        <f t="shared" si="258"/>
        <v/>
      </c>
      <c r="C4812" t="str">
        <f t="shared" si="257"/>
        <v/>
      </c>
      <c r="D4812" s="245" t="str">
        <f t="shared" si="259"/>
        <v/>
      </c>
      <c r="E4812" s="534"/>
      <c r="F4812" s="534"/>
    </row>
    <row r="4813" spans="1:6" ht="15" customHeight="1">
      <c r="A4813" s="51"/>
      <c r="B4813" s="52" t="str">
        <f t="shared" si="258"/>
        <v/>
      </c>
      <c r="C4813" t="str">
        <f t="shared" si="257"/>
        <v/>
      </c>
      <c r="D4813" s="245" t="str">
        <f t="shared" si="259"/>
        <v/>
      </c>
      <c r="E4813" s="534"/>
      <c r="F4813" s="534"/>
    </row>
    <row r="4814" spans="1:6" ht="15" customHeight="1">
      <c r="A4814" s="51"/>
      <c r="B4814" s="52" t="str">
        <f t="shared" si="258"/>
        <v/>
      </c>
      <c r="C4814" t="str">
        <f t="shared" si="257"/>
        <v/>
      </c>
      <c r="D4814" s="245" t="str">
        <f t="shared" si="259"/>
        <v/>
      </c>
      <c r="E4814" s="534"/>
      <c r="F4814" s="534"/>
    </row>
    <row r="4815" spans="1:6" ht="15" customHeight="1">
      <c r="A4815" s="51"/>
      <c r="B4815" s="52" t="str">
        <f t="shared" si="258"/>
        <v/>
      </c>
      <c r="C4815" t="str">
        <f t="shared" si="257"/>
        <v/>
      </c>
      <c r="D4815" s="245" t="str">
        <f t="shared" si="259"/>
        <v/>
      </c>
      <c r="E4815" s="534"/>
      <c r="F4815" s="534"/>
    </row>
    <row r="4816" spans="1:6" ht="15" customHeight="1">
      <c r="A4816" s="51"/>
      <c r="B4816" s="52" t="str">
        <f t="shared" si="258"/>
        <v/>
      </c>
      <c r="C4816" t="str">
        <f t="shared" si="257"/>
        <v/>
      </c>
      <c r="D4816" s="245" t="str">
        <f t="shared" si="259"/>
        <v/>
      </c>
      <c r="E4816" s="534"/>
      <c r="F4816" s="534"/>
    </row>
    <row r="4817" spans="1:6" ht="15" customHeight="1">
      <c r="A4817" s="51"/>
      <c r="B4817" s="52" t="str">
        <f t="shared" si="258"/>
        <v/>
      </c>
      <c r="C4817" t="str">
        <f t="shared" si="257"/>
        <v/>
      </c>
      <c r="D4817" s="245" t="str">
        <f t="shared" si="259"/>
        <v/>
      </c>
      <c r="E4817" s="534"/>
      <c r="F4817" s="534"/>
    </row>
    <row r="4818" spans="1:6" ht="15" customHeight="1">
      <c r="A4818" s="51"/>
      <c r="B4818" s="52" t="str">
        <f t="shared" si="258"/>
        <v/>
      </c>
      <c r="C4818" t="str">
        <f t="shared" si="257"/>
        <v/>
      </c>
      <c r="D4818" s="245" t="str">
        <f t="shared" si="259"/>
        <v/>
      </c>
      <c r="E4818" s="534"/>
      <c r="F4818" s="534"/>
    </row>
    <row r="4819" spans="1:6" ht="15" customHeight="1">
      <c r="A4819" s="51"/>
      <c r="B4819" s="52" t="str">
        <f t="shared" si="258"/>
        <v/>
      </c>
      <c r="C4819" t="str">
        <f t="shared" si="257"/>
        <v/>
      </c>
      <c r="D4819" s="245" t="str">
        <f t="shared" si="259"/>
        <v/>
      </c>
      <c r="E4819" s="534"/>
      <c r="F4819" s="534"/>
    </row>
    <row r="4820" spans="1:6" ht="15" customHeight="1">
      <c r="A4820" s="51"/>
      <c r="B4820" s="52" t="str">
        <f t="shared" si="258"/>
        <v/>
      </c>
      <c r="C4820" t="str">
        <f t="shared" si="257"/>
        <v/>
      </c>
      <c r="D4820" s="245" t="str">
        <f t="shared" si="259"/>
        <v/>
      </c>
      <c r="E4820" s="534"/>
      <c r="F4820" s="534"/>
    </row>
    <row r="4821" spans="1:6" ht="15" customHeight="1">
      <c r="A4821" s="51"/>
      <c r="B4821" s="52" t="str">
        <f t="shared" si="258"/>
        <v/>
      </c>
      <c r="C4821" t="str">
        <f t="shared" si="257"/>
        <v/>
      </c>
      <c r="D4821" s="245" t="str">
        <f t="shared" si="259"/>
        <v/>
      </c>
      <c r="E4821" s="534"/>
      <c r="F4821" s="534"/>
    </row>
    <row r="4822" spans="1:6" ht="15" customHeight="1">
      <c r="A4822" s="51"/>
      <c r="B4822" s="52" t="str">
        <f t="shared" si="258"/>
        <v/>
      </c>
      <c r="C4822" t="str">
        <f t="shared" si="257"/>
        <v/>
      </c>
      <c r="D4822" s="245" t="str">
        <f t="shared" si="259"/>
        <v/>
      </c>
      <c r="E4822" s="534"/>
      <c r="F4822" s="534"/>
    </row>
    <row r="4823" spans="1:6" ht="15" customHeight="1">
      <c r="A4823" s="51"/>
      <c r="B4823" s="52" t="str">
        <f t="shared" si="258"/>
        <v/>
      </c>
      <c r="C4823" t="str">
        <f t="shared" si="257"/>
        <v/>
      </c>
      <c r="D4823" s="245" t="str">
        <f t="shared" si="259"/>
        <v/>
      </c>
      <c r="E4823" s="534"/>
      <c r="F4823" s="534"/>
    </row>
    <row r="4824" spans="1:6" ht="15" customHeight="1">
      <c r="A4824" s="51"/>
      <c r="B4824" s="52" t="str">
        <f t="shared" si="258"/>
        <v/>
      </c>
      <c r="C4824" t="str">
        <f t="shared" si="257"/>
        <v/>
      </c>
      <c r="D4824" s="245" t="str">
        <f t="shared" si="259"/>
        <v/>
      </c>
      <c r="E4824" s="534"/>
      <c r="F4824" s="534"/>
    </row>
    <row r="4825" spans="1:6" ht="15" customHeight="1">
      <c r="A4825" s="51"/>
      <c r="B4825" s="52" t="str">
        <f t="shared" si="258"/>
        <v/>
      </c>
      <c r="C4825" t="str">
        <f t="shared" si="257"/>
        <v/>
      </c>
      <c r="D4825" s="245" t="str">
        <f t="shared" si="259"/>
        <v/>
      </c>
      <c r="E4825" s="534"/>
      <c r="F4825" s="534"/>
    </row>
    <row r="4826" spans="1:6" ht="15" customHeight="1">
      <c r="A4826" s="51"/>
      <c r="B4826" s="52" t="str">
        <f t="shared" si="258"/>
        <v/>
      </c>
      <c r="C4826" t="str">
        <f t="shared" si="257"/>
        <v/>
      </c>
      <c r="D4826" s="245" t="str">
        <f t="shared" si="259"/>
        <v/>
      </c>
      <c r="E4826" s="534"/>
      <c r="F4826" s="534"/>
    </row>
    <row r="4827" spans="1:6" ht="15" customHeight="1">
      <c r="A4827" s="51"/>
      <c r="B4827" s="52" t="str">
        <f t="shared" si="258"/>
        <v/>
      </c>
      <c r="C4827" t="str">
        <f t="shared" si="257"/>
        <v/>
      </c>
      <c r="D4827" s="245" t="str">
        <f t="shared" si="259"/>
        <v/>
      </c>
      <c r="E4827" s="534"/>
      <c r="F4827" s="534"/>
    </row>
    <row r="4828" spans="1:6" ht="15" customHeight="1">
      <c r="A4828" s="51"/>
      <c r="B4828" s="52" t="str">
        <f t="shared" si="258"/>
        <v/>
      </c>
      <c r="C4828" t="str">
        <f t="shared" si="257"/>
        <v/>
      </c>
      <c r="D4828" s="245" t="str">
        <f t="shared" si="259"/>
        <v/>
      </c>
      <c r="E4828" s="534"/>
      <c r="F4828" s="534"/>
    </row>
    <row r="4829" spans="1:6" ht="15" customHeight="1">
      <c r="A4829" s="51"/>
      <c r="B4829" s="52" t="str">
        <f t="shared" si="258"/>
        <v/>
      </c>
      <c r="C4829" t="str">
        <f t="shared" si="257"/>
        <v/>
      </c>
      <c r="D4829" s="245" t="str">
        <f t="shared" si="259"/>
        <v/>
      </c>
      <c r="E4829" s="534"/>
      <c r="F4829" s="534"/>
    </row>
    <row r="4830" spans="1:6" ht="15" customHeight="1">
      <c r="A4830" s="51"/>
      <c r="B4830" s="52" t="str">
        <f t="shared" si="258"/>
        <v/>
      </c>
      <c r="C4830" t="str">
        <f t="shared" si="257"/>
        <v/>
      </c>
      <c r="D4830" s="245" t="str">
        <f t="shared" si="259"/>
        <v/>
      </c>
      <c r="E4830" s="534"/>
      <c r="F4830" s="534"/>
    </row>
    <row r="4831" spans="1:6" ht="15" customHeight="1">
      <c r="A4831" s="51"/>
      <c r="B4831" s="52" t="str">
        <f t="shared" si="258"/>
        <v/>
      </c>
      <c r="C4831" t="str">
        <f t="shared" si="257"/>
        <v/>
      </c>
      <c r="D4831" s="245" t="str">
        <f t="shared" si="259"/>
        <v/>
      </c>
      <c r="E4831" s="534"/>
      <c r="F4831" s="534"/>
    </row>
    <row r="4832" spans="1:6" ht="15" customHeight="1">
      <c r="A4832" s="51"/>
      <c r="B4832" s="52" t="str">
        <f t="shared" si="258"/>
        <v/>
      </c>
      <c r="C4832" t="str">
        <f t="shared" si="257"/>
        <v/>
      </c>
      <c r="D4832" s="245" t="str">
        <f t="shared" si="259"/>
        <v/>
      </c>
      <c r="E4832" s="534"/>
      <c r="F4832" s="534"/>
    </row>
    <row r="4833" spans="1:6" ht="15" customHeight="1">
      <c r="A4833" s="51"/>
      <c r="B4833" s="52" t="str">
        <f t="shared" si="258"/>
        <v/>
      </c>
      <c r="C4833" t="str">
        <f t="shared" si="257"/>
        <v/>
      </c>
      <c r="D4833" s="245" t="str">
        <f t="shared" si="259"/>
        <v/>
      </c>
      <c r="E4833" s="534"/>
      <c r="F4833" s="534"/>
    </row>
    <row r="4834" spans="1:6" ht="15" customHeight="1">
      <c r="A4834" s="51"/>
      <c r="B4834" s="52" t="str">
        <f t="shared" si="258"/>
        <v/>
      </c>
      <c r="C4834" t="str">
        <f t="shared" si="257"/>
        <v/>
      </c>
      <c r="D4834" s="245" t="str">
        <f t="shared" si="259"/>
        <v/>
      </c>
      <c r="E4834" s="534"/>
      <c r="F4834" s="534"/>
    </row>
    <row r="4835" spans="1:6" ht="15" customHeight="1">
      <c r="A4835" s="51"/>
      <c r="B4835" s="52" t="str">
        <f t="shared" si="258"/>
        <v/>
      </c>
      <c r="C4835" t="str">
        <f t="shared" si="257"/>
        <v/>
      </c>
      <c r="D4835" s="245" t="str">
        <f t="shared" si="259"/>
        <v/>
      </c>
      <c r="E4835" s="534"/>
      <c r="F4835" s="534"/>
    </row>
    <row r="4836" spans="1:6" ht="15" customHeight="1">
      <c r="A4836" s="51"/>
      <c r="B4836" s="52" t="str">
        <f t="shared" si="258"/>
        <v/>
      </c>
      <c r="C4836" t="str">
        <f t="shared" si="257"/>
        <v/>
      </c>
      <c r="D4836" s="245" t="str">
        <f t="shared" si="259"/>
        <v/>
      </c>
      <c r="E4836" s="534"/>
      <c r="F4836" s="534"/>
    </row>
    <row r="4837" spans="1:6" ht="15" customHeight="1">
      <c r="A4837" s="51"/>
      <c r="B4837" s="52" t="str">
        <f t="shared" si="258"/>
        <v/>
      </c>
      <c r="C4837" t="str">
        <f t="shared" si="257"/>
        <v/>
      </c>
      <c r="D4837" s="245" t="str">
        <f t="shared" si="259"/>
        <v/>
      </c>
      <c r="E4837" s="534"/>
      <c r="F4837" s="534"/>
    </row>
    <row r="4838" spans="1:6" ht="15" customHeight="1">
      <c r="A4838" s="51"/>
      <c r="B4838" s="52" t="str">
        <f t="shared" si="258"/>
        <v/>
      </c>
      <c r="C4838" t="str">
        <f t="shared" si="257"/>
        <v/>
      </c>
      <c r="D4838" s="245" t="str">
        <f t="shared" si="259"/>
        <v/>
      </c>
      <c r="E4838" s="534"/>
      <c r="F4838" s="534"/>
    </row>
    <row r="4839" spans="1:6" ht="15" customHeight="1">
      <c r="A4839" s="51"/>
      <c r="B4839" s="52" t="str">
        <f t="shared" si="258"/>
        <v/>
      </c>
      <c r="C4839" t="str">
        <f t="shared" si="257"/>
        <v/>
      </c>
      <c r="D4839" s="245" t="str">
        <f t="shared" si="259"/>
        <v/>
      </c>
      <c r="E4839" s="534"/>
      <c r="F4839" s="534"/>
    </row>
    <row r="4840" spans="1:6" ht="15" customHeight="1">
      <c r="A4840" s="51"/>
      <c r="B4840" s="52" t="str">
        <f t="shared" si="258"/>
        <v/>
      </c>
      <c r="C4840" t="str">
        <f t="shared" si="257"/>
        <v/>
      </c>
      <c r="D4840" s="245" t="str">
        <f t="shared" si="259"/>
        <v/>
      </c>
      <c r="E4840" s="534"/>
      <c r="F4840" s="534"/>
    </row>
    <row r="4841" spans="1:6" ht="15" customHeight="1">
      <c r="A4841" s="51"/>
      <c r="B4841" s="52" t="str">
        <f t="shared" si="258"/>
        <v/>
      </c>
      <c r="C4841" t="str">
        <f t="shared" si="257"/>
        <v/>
      </c>
      <c r="D4841" s="245" t="str">
        <f t="shared" si="259"/>
        <v/>
      </c>
      <c r="E4841" s="534"/>
      <c r="F4841" s="534"/>
    </row>
    <row r="4842" spans="1:6" ht="15" customHeight="1">
      <c r="A4842" s="51"/>
      <c r="B4842" s="52" t="str">
        <f t="shared" si="258"/>
        <v/>
      </c>
      <c r="C4842" t="str">
        <f t="shared" si="257"/>
        <v/>
      </c>
      <c r="D4842" s="245" t="str">
        <f t="shared" si="259"/>
        <v/>
      </c>
      <c r="E4842" s="534"/>
      <c r="F4842" s="534"/>
    </row>
    <row r="4843" spans="1:6" ht="15" customHeight="1">
      <c r="A4843" s="51"/>
      <c r="B4843" s="52" t="str">
        <f t="shared" si="258"/>
        <v/>
      </c>
      <c r="C4843" t="str">
        <f t="shared" si="257"/>
        <v/>
      </c>
      <c r="D4843" s="245" t="str">
        <f t="shared" si="259"/>
        <v/>
      </c>
      <c r="E4843" s="534"/>
      <c r="F4843" s="534"/>
    </row>
    <row r="4844" spans="1:6" ht="15" customHeight="1">
      <c r="A4844" s="51"/>
      <c r="B4844" s="52" t="str">
        <f t="shared" si="258"/>
        <v/>
      </c>
      <c r="C4844" t="str">
        <f t="shared" si="257"/>
        <v/>
      </c>
      <c r="D4844" s="245" t="str">
        <f t="shared" si="259"/>
        <v/>
      </c>
      <c r="E4844" s="534"/>
      <c r="F4844" s="534"/>
    </row>
    <row r="4845" spans="1:6" ht="15" customHeight="1">
      <c r="A4845" s="51"/>
      <c r="B4845" s="52" t="str">
        <f t="shared" si="258"/>
        <v/>
      </c>
      <c r="C4845" t="str">
        <f t="shared" si="257"/>
        <v/>
      </c>
      <c r="D4845" s="245" t="str">
        <f t="shared" si="259"/>
        <v/>
      </c>
      <c r="E4845" s="534"/>
      <c r="F4845" s="534"/>
    </row>
    <row r="4846" spans="1:6" ht="15" customHeight="1">
      <c r="A4846" s="51"/>
      <c r="B4846" s="52" t="str">
        <f t="shared" si="258"/>
        <v/>
      </c>
      <c r="C4846" t="str">
        <f t="shared" si="257"/>
        <v/>
      </c>
      <c r="D4846" s="245" t="str">
        <f t="shared" si="259"/>
        <v/>
      </c>
      <c r="E4846" s="534"/>
      <c r="F4846" s="534"/>
    </row>
    <row r="4847" spans="1:6" ht="15" customHeight="1">
      <c r="A4847" s="51"/>
      <c r="B4847" s="52" t="str">
        <f t="shared" si="258"/>
        <v/>
      </c>
      <c r="C4847" t="str">
        <f t="shared" si="257"/>
        <v/>
      </c>
      <c r="D4847" s="245" t="str">
        <f t="shared" si="259"/>
        <v/>
      </c>
      <c r="E4847" s="534"/>
      <c r="F4847" s="534"/>
    </row>
    <row r="4848" spans="1:6" ht="15" customHeight="1">
      <c r="A4848" s="51"/>
      <c r="B4848" s="52" t="str">
        <f t="shared" si="258"/>
        <v/>
      </c>
      <c r="C4848" t="str">
        <f t="shared" si="257"/>
        <v/>
      </c>
      <c r="D4848" s="245" t="str">
        <f t="shared" si="259"/>
        <v/>
      </c>
      <c r="E4848" s="534"/>
      <c r="F4848" s="534"/>
    </row>
    <row r="4849" spans="1:6" ht="15" customHeight="1">
      <c r="A4849" s="51"/>
      <c r="B4849" s="52" t="str">
        <f t="shared" si="258"/>
        <v/>
      </c>
      <c r="C4849" t="str">
        <f t="shared" si="257"/>
        <v/>
      </c>
      <c r="D4849" s="245" t="str">
        <f t="shared" si="259"/>
        <v/>
      </c>
      <c r="E4849" s="534"/>
      <c r="F4849" s="534"/>
    </row>
    <row r="4850" spans="1:6" ht="15" customHeight="1">
      <c r="A4850" s="51"/>
      <c r="B4850" s="52" t="str">
        <f t="shared" si="258"/>
        <v/>
      </c>
      <c r="C4850" t="str">
        <f t="shared" si="257"/>
        <v/>
      </c>
      <c r="D4850" s="245" t="str">
        <f t="shared" si="259"/>
        <v/>
      </c>
      <c r="E4850" s="534"/>
      <c r="F4850" s="534"/>
    </row>
    <row r="4851" spans="1:6" ht="15" customHeight="1">
      <c r="A4851" s="51"/>
      <c r="B4851" s="52" t="str">
        <f t="shared" si="258"/>
        <v/>
      </c>
      <c r="C4851" t="str">
        <f t="shared" si="257"/>
        <v/>
      </c>
      <c r="D4851" s="245" t="str">
        <f t="shared" si="259"/>
        <v/>
      </c>
      <c r="E4851" s="534"/>
      <c r="F4851" s="534"/>
    </row>
    <row r="4852" spans="1:6" ht="15" customHeight="1">
      <c r="A4852" s="51"/>
      <c r="B4852" s="52" t="str">
        <f t="shared" si="258"/>
        <v/>
      </c>
      <c r="C4852" t="str">
        <f t="shared" si="257"/>
        <v/>
      </c>
      <c r="D4852" s="245" t="str">
        <f t="shared" si="259"/>
        <v/>
      </c>
      <c r="E4852" s="534"/>
      <c r="F4852" s="534"/>
    </row>
    <row r="4853" spans="1:6" ht="15" customHeight="1">
      <c r="A4853" s="51"/>
      <c r="B4853" s="52" t="str">
        <f t="shared" si="258"/>
        <v/>
      </c>
      <c r="C4853" t="str">
        <f t="shared" si="257"/>
        <v/>
      </c>
      <c r="D4853" s="245" t="str">
        <f t="shared" si="259"/>
        <v/>
      </c>
      <c r="E4853" s="534"/>
      <c r="F4853" s="534"/>
    </row>
    <row r="4854" spans="1:6" ht="15" customHeight="1">
      <c r="A4854" s="51"/>
      <c r="B4854" s="52" t="str">
        <f t="shared" si="258"/>
        <v/>
      </c>
      <c r="C4854" t="str">
        <f t="shared" si="257"/>
        <v/>
      </c>
      <c r="D4854" s="245" t="str">
        <f t="shared" si="259"/>
        <v/>
      </c>
      <c r="E4854" s="534"/>
      <c r="F4854" s="534"/>
    </row>
    <row r="4855" spans="1:6" ht="15" customHeight="1">
      <c r="A4855" s="51"/>
      <c r="B4855" s="52" t="str">
        <f t="shared" si="258"/>
        <v/>
      </c>
      <c r="C4855" t="str">
        <f t="shared" si="257"/>
        <v/>
      </c>
      <c r="D4855" s="245" t="str">
        <f t="shared" si="259"/>
        <v/>
      </c>
      <c r="E4855" s="534"/>
      <c r="F4855" s="534"/>
    </row>
    <row r="4856" spans="1:6" ht="15" customHeight="1">
      <c r="A4856" s="51"/>
      <c r="B4856" s="52" t="str">
        <f t="shared" si="258"/>
        <v/>
      </c>
      <c r="C4856" t="str">
        <f t="shared" si="257"/>
        <v/>
      </c>
      <c r="D4856" s="245" t="str">
        <f t="shared" si="259"/>
        <v/>
      </c>
      <c r="E4856" s="534"/>
      <c r="F4856" s="534"/>
    </row>
    <row r="4857" spans="1:6" ht="15" customHeight="1">
      <c r="A4857" s="51"/>
      <c r="B4857" s="52" t="str">
        <f t="shared" si="258"/>
        <v/>
      </c>
      <c r="C4857" t="str">
        <f t="shared" si="257"/>
        <v/>
      </c>
      <c r="D4857" s="245" t="str">
        <f t="shared" si="259"/>
        <v/>
      </c>
      <c r="E4857" s="534"/>
      <c r="F4857" s="534"/>
    </row>
    <row r="4858" spans="1:6" ht="15" customHeight="1">
      <c r="A4858" s="51"/>
      <c r="B4858" s="52" t="str">
        <f t="shared" si="258"/>
        <v/>
      </c>
      <c r="C4858" t="str">
        <f t="shared" si="257"/>
        <v/>
      </c>
      <c r="D4858" s="245" t="str">
        <f t="shared" si="259"/>
        <v/>
      </c>
      <c r="E4858" s="534"/>
      <c r="F4858" s="534"/>
    </row>
    <row r="4859" spans="1:6" ht="15" customHeight="1">
      <c r="A4859" s="51"/>
      <c r="B4859" s="52" t="str">
        <f t="shared" si="258"/>
        <v/>
      </c>
      <c r="C4859" t="str">
        <f t="shared" si="257"/>
        <v/>
      </c>
      <c r="D4859" s="245" t="str">
        <f t="shared" si="259"/>
        <v/>
      </c>
      <c r="E4859" s="534"/>
      <c r="F4859" s="534"/>
    </row>
    <row r="4860" spans="1:6" ht="15" customHeight="1">
      <c r="A4860" s="51"/>
      <c r="B4860" s="52" t="str">
        <f t="shared" si="258"/>
        <v/>
      </c>
      <c r="C4860" t="str">
        <f t="shared" si="257"/>
        <v/>
      </c>
      <c r="D4860" s="245" t="str">
        <f t="shared" si="259"/>
        <v/>
      </c>
      <c r="E4860" s="534"/>
      <c r="F4860" s="534"/>
    </row>
    <row r="4861" spans="1:6" ht="15" customHeight="1">
      <c r="A4861" s="51"/>
      <c r="B4861" s="52" t="str">
        <f t="shared" si="258"/>
        <v/>
      </c>
      <c r="C4861" t="str">
        <f t="shared" si="257"/>
        <v/>
      </c>
      <c r="D4861" s="245" t="str">
        <f t="shared" si="259"/>
        <v/>
      </c>
      <c r="E4861" s="534"/>
      <c r="F4861" s="534"/>
    </row>
    <row r="4862" spans="1:6" ht="15" customHeight="1">
      <c r="A4862" s="51"/>
      <c r="B4862" s="52" t="str">
        <f t="shared" si="258"/>
        <v/>
      </c>
      <c r="C4862" t="str">
        <f t="shared" si="257"/>
        <v/>
      </c>
      <c r="D4862" s="245" t="str">
        <f t="shared" si="259"/>
        <v/>
      </c>
      <c r="E4862" s="534"/>
      <c r="F4862" s="534"/>
    </row>
    <row r="4863" spans="1:6" ht="15" customHeight="1">
      <c r="A4863" s="51"/>
      <c r="B4863" s="52" t="str">
        <f t="shared" si="258"/>
        <v/>
      </c>
      <c r="C4863" t="str">
        <f t="shared" si="257"/>
        <v/>
      </c>
      <c r="D4863" s="245" t="str">
        <f t="shared" si="259"/>
        <v/>
      </c>
      <c r="E4863" s="534"/>
      <c r="F4863" s="534"/>
    </row>
    <row r="4864" spans="1:6" ht="15" customHeight="1">
      <c r="A4864" s="51"/>
      <c r="B4864" s="52" t="str">
        <f t="shared" si="258"/>
        <v/>
      </c>
      <c r="C4864" t="str">
        <f t="shared" si="257"/>
        <v/>
      </c>
      <c r="D4864" s="245" t="str">
        <f t="shared" si="259"/>
        <v/>
      </c>
      <c r="E4864" s="534"/>
      <c r="F4864" s="534"/>
    </row>
    <row r="4865" spans="1:6" ht="15" customHeight="1">
      <c r="A4865" s="51"/>
      <c r="B4865" s="52" t="str">
        <f t="shared" si="258"/>
        <v/>
      </c>
      <c r="C4865" t="str">
        <f t="shared" si="257"/>
        <v/>
      </c>
      <c r="D4865" s="245" t="str">
        <f t="shared" si="259"/>
        <v/>
      </c>
      <c r="E4865" s="534"/>
      <c r="F4865" s="534"/>
    </row>
    <row r="4866" spans="1:6" ht="15" customHeight="1">
      <c r="A4866" s="51"/>
      <c r="B4866" s="52" t="str">
        <f t="shared" si="258"/>
        <v/>
      </c>
      <c r="C4866" t="str">
        <f t="shared" ref="C4866:C4929" si="260">IF(A4866&lt;&gt;"",TEXT(A4866,"aaaa"),"")</f>
        <v/>
      </c>
      <c r="D4866" s="245" t="str">
        <f t="shared" si="259"/>
        <v/>
      </c>
      <c r="E4866" s="534"/>
      <c r="F4866" s="534"/>
    </row>
    <row r="4867" spans="1:6" ht="15" customHeight="1">
      <c r="A4867" s="51"/>
      <c r="B4867" s="52" t="str">
        <f t="shared" si="258"/>
        <v/>
      </c>
      <c r="C4867" t="str">
        <f t="shared" si="260"/>
        <v/>
      </c>
      <c r="D4867" s="245" t="str">
        <f t="shared" si="259"/>
        <v/>
      </c>
      <c r="E4867" s="534"/>
      <c r="F4867" s="534"/>
    </row>
    <row r="4868" spans="1:6" ht="15" customHeight="1">
      <c r="A4868" s="51"/>
      <c r="B4868" s="52" t="str">
        <f t="shared" si="258"/>
        <v/>
      </c>
      <c r="C4868" t="str">
        <f t="shared" si="260"/>
        <v/>
      </c>
      <c r="D4868" s="245" t="str">
        <f t="shared" si="259"/>
        <v/>
      </c>
      <c r="E4868" s="534"/>
      <c r="F4868" s="534"/>
    </row>
    <row r="4869" spans="1:6" ht="15" customHeight="1">
      <c r="A4869" s="51"/>
      <c r="B4869" s="52" t="str">
        <f t="shared" si="258"/>
        <v/>
      </c>
      <c r="C4869" t="str">
        <f t="shared" si="260"/>
        <v/>
      </c>
      <c r="D4869" s="245" t="str">
        <f t="shared" si="259"/>
        <v/>
      </c>
      <c r="E4869" s="534"/>
      <c r="F4869" s="534"/>
    </row>
    <row r="4870" spans="1:6" ht="15" customHeight="1">
      <c r="A4870" s="51"/>
      <c r="B4870" s="52" t="str">
        <f t="shared" si="258"/>
        <v/>
      </c>
      <c r="C4870" t="str">
        <f t="shared" si="260"/>
        <v/>
      </c>
      <c r="D4870" s="245" t="str">
        <f t="shared" si="259"/>
        <v/>
      </c>
      <c r="E4870" s="534"/>
      <c r="F4870" s="534"/>
    </row>
    <row r="4871" spans="1:6" ht="15" customHeight="1">
      <c r="A4871" s="51"/>
      <c r="B4871" s="52" t="str">
        <f t="shared" si="258"/>
        <v/>
      </c>
      <c r="C4871" t="str">
        <f t="shared" si="260"/>
        <v/>
      </c>
      <c r="D4871" s="245" t="str">
        <f t="shared" si="259"/>
        <v/>
      </c>
      <c r="E4871" s="534"/>
      <c r="F4871" s="534"/>
    </row>
    <row r="4872" spans="1:6" ht="15" customHeight="1">
      <c r="A4872" s="51"/>
      <c r="B4872" s="52" t="str">
        <f t="shared" ref="B4872:B4935" si="261">IF(A4872="","",TEXT(A4872,"DDDD"))</f>
        <v/>
      </c>
      <c r="C4872" t="str">
        <f t="shared" si="260"/>
        <v/>
      </c>
      <c r="D4872" s="245" t="str">
        <f t="shared" si="259"/>
        <v/>
      </c>
      <c r="E4872" s="534"/>
      <c r="F4872" s="534"/>
    </row>
    <row r="4873" spans="1:6" ht="15" customHeight="1">
      <c r="A4873" s="51"/>
      <c r="B4873" s="52" t="str">
        <f t="shared" si="261"/>
        <v/>
      </c>
      <c r="C4873" t="str">
        <f t="shared" si="260"/>
        <v/>
      </c>
      <c r="D4873" s="245" t="str">
        <f t="shared" ref="D4873:D4936" si="262">IF(A4873&lt;&gt;"",PROPER(TEXT(A4873,"Mmmm")),"")</f>
        <v/>
      </c>
      <c r="E4873" s="534"/>
      <c r="F4873" s="534"/>
    </row>
    <row r="4874" spans="1:6" ht="15" customHeight="1">
      <c r="A4874" s="51"/>
      <c r="B4874" s="52" t="str">
        <f t="shared" si="261"/>
        <v/>
      </c>
      <c r="C4874" t="str">
        <f t="shared" si="260"/>
        <v/>
      </c>
      <c r="D4874" s="245" t="str">
        <f t="shared" si="262"/>
        <v/>
      </c>
      <c r="E4874" s="534"/>
      <c r="F4874" s="534"/>
    </row>
    <row r="4875" spans="1:6" ht="15" customHeight="1">
      <c r="A4875" s="51"/>
      <c r="B4875" s="52" t="str">
        <f t="shared" si="261"/>
        <v/>
      </c>
      <c r="C4875" t="str">
        <f t="shared" si="260"/>
        <v/>
      </c>
      <c r="D4875" s="245" t="str">
        <f t="shared" si="262"/>
        <v/>
      </c>
      <c r="E4875" s="534"/>
      <c r="F4875" s="534"/>
    </row>
    <row r="4876" spans="1:6" ht="15" customHeight="1">
      <c r="A4876" s="51"/>
      <c r="B4876" s="52" t="str">
        <f t="shared" si="261"/>
        <v/>
      </c>
      <c r="C4876" t="str">
        <f t="shared" si="260"/>
        <v/>
      </c>
      <c r="D4876" s="245" t="str">
        <f t="shared" si="262"/>
        <v/>
      </c>
      <c r="E4876" s="534"/>
      <c r="F4876" s="534"/>
    </row>
    <row r="4877" spans="1:6" ht="15" customHeight="1">
      <c r="A4877" s="51"/>
      <c r="B4877" s="52" t="str">
        <f t="shared" si="261"/>
        <v/>
      </c>
      <c r="C4877" t="str">
        <f t="shared" si="260"/>
        <v/>
      </c>
      <c r="D4877" s="245" t="str">
        <f t="shared" si="262"/>
        <v/>
      </c>
      <c r="E4877" s="534"/>
      <c r="F4877" s="534"/>
    </row>
    <row r="4878" spans="1:6" ht="15" customHeight="1">
      <c r="A4878" s="51"/>
      <c r="B4878" s="52" t="str">
        <f t="shared" si="261"/>
        <v/>
      </c>
      <c r="C4878" t="str">
        <f t="shared" si="260"/>
        <v/>
      </c>
      <c r="D4878" s="245" t="str">
        <f t="shared" si="262"/>
        <v/>
      </c>
      <c r="E4878" s="534"/>
      <c r="F4878" s="534"/>
    </row>
    <row r="4879" spans="1:6" ht="15" customHeight="1">
      <c r="A4879" s="51"/>
      <c r="B4879" s="52" t="str">
        <f t="shared" si="261"/>
        <v/>
      </c>
      <c r="C4879" t="str">
        <f t="shared" si="260"/>
        <v/>
      </c>
      <c r="D4879" s="245" t="str">
        <f t="shared" si="262"/>
        <v/>
      </c>
      <c r="E4879" s="534"/>
      <c r="F4879" s="534"/>
    </row>
    <row r="4880" spans="1:6" ht="15" customHeight="1">
      <c r="A4880" s="51"/>
      <c r="B4880" s="52" t="str">
        <f t="shared" si="261"/>
        <v/>
      </c>
      <c r="C4880" t="str">
        <f t="shared" si="260"/>
        <v/>
      </c>
      <c r="D4880" s="245" t="str">
        <f t="shared" si="262"/>
        <v/>
      </c>
      <c r="E4880" s="534"/>
      <c r="F4880" s="534"/>
    </row>
    <row r="4881" spans="1:6" ht="15" customHeight="1">
      <c r="A4881" s="51"/>
      <c r="B4881" s="52" t="str">
        <f t="shared" si="261"/>
        <v/>
      </c>
      <c r="C4881" t="str">
        <f t="shared" si="260"/>
        <v/>
      </c>
      <c r="D4881" s="245" t="str">
        <f t="shared" si="262"/>
        <v/>
      </c>
      <c r="E4881" s="534"/>
      <c r="F4881" s="534"/>
    </row>
    <row r="4882" spans="1:6" ht="15" customHeight="1">
      <c r="A4882" s="51"/>
      <c r="B4882" s="52" t="str">
        <f t="shared" si="261"/>
        <v/>
      </c>
      <c r="C4882" t="str">
        <f t="shared" si="260"/>
        <v/>
      </c>
      <c r="D4882" s="245" t="str">
        <f t="shared" si="262"/>
        <v/>
      </c>
      <c r="E4882" s="534"/>
      <c r="F4882" s="534"/>
    </row>
    <row r="4883" spans="1:6" ht="15" customHeight="1">
      <c r="A4883" s="51"/>
      <c r="B4883" s="52" t="str">
        <f t="shared" si="261"/>
        <v/>
      </c>
      <c r="C4883" t="str">
        <f t="shared" si="260"/>
        <v/>
      </c>
      <c r="D4883" s="245" t="str">
        <f t="shared" si="262"/>
        <v/>
      </c>
      <c r="E4883" s="534"/>
      <c r="F4883" s="534"/>
    </row>
    <row r="4884" spans="1:6" ht="15" customHeight="1">
      <c r="A4884" s="51"/>
      <c r="B4884" s="52" t="str">
        <f t="shared" si="261"/>
        <v/>
      </c>
      <c r="C4884" t="str">
        <f t="shared" si="260"/>
        <v/>
      </c>
      <c r="D4884" s="245" t="str">
        <f t="shared" si="262"/>
        <v/>
      </c>
      <c r="E4884" s="534"/>
      <c r="F4884" s="534"/>
    </row>
    <row r="4885" spans="1:6" ht="15" customHeight="1">
      <c r="A4885" s="51"/>
      <c r="B4885" s="52" t="str">
        <f t="shared" si="261"/>
        <v/>
      </c>
      <c r="C4885" t="str">
        <f t="shared" si="260"/>
        <v/>
      </c>
      <c r="D4885" s="245" t="str">
        <f t="shared" si="262"/>
        <v/>
      </c>
      <c r="E4885" s="534"/>
      <c r="F4885" s="534"/>
    </row>
    <row r="4886" spans="1:6" ht="15" customHeight="1">
      <c r="A4886" s="51"/>
      <c r="B4886" s="52" t="str">
        <f t="shared" si="261"/>
        <v/>
      </c>
      <c r="C4886" t="str">
        <f t="shared" si="260"/>
        <v/>
      </c>
      <c r="D4886" s="245" t="str">
        <f t="shared" si="262"/>
        <v/>
      </c>
      <c r="E4886" s="534"/>
      <c r="F4886" s="534"/>
    </row>
    <row r="4887" spans="1:6" ht="15" customHeight="1">
      <c r="A4887" s="51"/>
      <c r="B4887" s="52" t="str">
        <f t="shared" si="261"/>
        <v/>
      </c>
      <c r="C4887" t="str">
        <f t="shared" si="260"/>
        <v/>
      </c>
      <c r="D4887" s="245" t="str">
        <f t="shared" si="262"/>
        <v/>
      </c>
      <c r="E4887" s="534"/>
      <c r="F4887" s="534"/>
    </row>
    <row r="4888" spans="1:6" ht="15" customHeight="1">
      <c r="A4888" s="51"/>
      <c r="B4888" s="52" t="str">
        <f t="shared" si="261"/>
        <v/>
      </c>
      <c r="C4888" t="str">
        <f t="shared" si="260"/>
        <v/>
      </c>
      <c r="D4888" s="245" t="str">
        <f t="shared" si="262"/>
        <v/>
      </c>
      <c r="E4888" s="534"/>
      <c r="F4888" s="534"/>
    </row>
    <row r="4889" spans="1:6" ht="15" customHeight="1">
      <c r="A4889" s="51"/>
      <c r="B4889" s="52" t="str">
        <f t="shared" si="261"/>
        <v/>
      </c>
      <c r="C4889" t="str">
        <f t="shared" si="260"/>
        <v/>
      </c>
      <c r="D4889" s="245" t="str">
        <f t="shared" si="262"/>
        <v/>
      </c>
      <c r="E4889" s="534"/>
      <c r="F4889" s="534"/>
    </row>
    <row r="4890" spans="1:6" ht="15" customHeight="1">
      <c r="A4890" s="51"/>
      <c r="B4890" s="52" t="str">
        <f t="shared" si="261"/>
        <v/>
      </c>
      <c r="C4890" t="str">
        <f t="shared" si="260"/>
        <v/>
      </c>
      <c r="D4890" s="245" t="str">
        <f t="shared" si="262"/>
        <v/>
      </c>
      <c r="E4890" s="534"/>
      <c r="F4890" s="534"/>
    </row>
    <row r="4891" spans="1:6" ht="15" customHeight="1">
      <c r="A4891" s="51"/>
      <c r="B4891" s="52" t="str">
        <f t="shared" si="261"/>
        <v/>
      </c>
      <c r="C4891" t="str">
        <f t="shared" si="260"/>
        <v/>
      </c>
      <c r="D4891" s="245" t="str">
        <f t="shared" si="262"/>
        <v/>
      </c>
      <c r="E4891" s="534"/>
      <c r="F4891" s="534"/>
    </row>
    <row r="4892" spans="1:6" ht="15" customHeight="1">
      <c r="A4892" s="51"/>
      <c r="B4892" s="52" t="str">
        <f t="shared" si="261"/>
        <v/>
      </c>
      <c r="C4892" t="str">
        <f t="shared" si="260"/>
        <v/>
      </c>
      <c r="D4892" s="245" t="str">
        <f t="shared" si="262"/>
        <v/>
      </c>
      <c r="E4892" s="534"/>
      <c r="F4892" s="534"/>
    </row>
    <row r="4893" spans="1:6" ht="15" customHeight="1">
      <c r="A4893" s="51"/>
      <c r="B4893" s="52" t="str">
        <f t="shared" si="261"/>
        <v/>
      </c>
      <c r="C4893" t="str">
        <f t="shared" si="260"/>
        <v/>
      </c>
      <c r="D4893" s="245" t="str">
        <f t="shared" si="262"/>
        <v/>
      </c>
      <c r="E4893" s="534"/>
      <c r="F4893" s="534"/>
    </row>
    <row r="4894" spans="1:6" ht="15" customHeight="1">
      <c r="A4894" s="51"/>
      <c r="B4894" s="52" t="str">
        <f t="shared" si="261"/>
        <v/>
      </c>
      <c r="C4894" t="str">
        <f t="shared" si="260"/>
        <v/>
      </c>
      <c r="D4894" s="245" t="str">
        <f t="shared" si="262"/>
        <v/>
      </c>
      <c r="E4894" s="534"/>
      <c r="F4894" s="534"/>
    </row>
    <row r="4895" spans="1:6" ht="15" customHeight="1">
      <c r="A4895" s="51"/>
      <c r="B4895" s="52" t="str">
        <f t="shared" si="261"/>
        <v/>
      </c>
      <c r="C4895" t="str">
        <f t="shared" si="260"/>
        <v/>
      </c>
      <c r="D4895" s="245" t="str">
        <f t="shared" si="262"/>
        <v/>
      </c>
      <c r="E4895" s="534"/>
      <c r="F4895" s="534"/>
    </row>
    <row r="4896" spans="1:6" ht="15" customHeight="1">
      <c r="A4896" s="51"/>
      <c r="B4896" s="52" t="str">
        <f t="shared" si="261"/>
        <v/>
      </c>
      <c r="C4896" t="str">
        <f t="shared" si="260"/>
        <v/>
      </c>
      <c r="D4896" s="245" t="str">
        <f t="shared" si="262"/>
        <v/>
      </c>
      <c r="E4896" s="534"/>
      <c r="F4896" s="534"/>
    </row>
    <row r="4897" spans="1:6" ht="15" customHeight="1">
      <c r="A4897" s="51"/>
      <c r="B4897" s="52" t="str">
        <f t="shared" si="261"/>
        <v/>
      </c>
      <c r="C4897" t="str">
        <f t="shared" si="260"/>
        <v/>
      </c>
      <c r="D4897" s="245" t="str">
        <f t="shared" si="262"/>
        <v/>
      </c>
      <c r="E4897" s="534"/>
      <c r="F4897" s="534"/>
    </row>
    <row r="4898" spans="1:6" ht="15" customHeight="1">
      <c r="A4898" s="51"/>
      <c r="B4898" s="52" t="str">
        <f t="shared" si="261"/>
        <v/>
      </c>
      <c r="C4898" t="str">
        <f t="shared" si="260"/>
        <v/>
      </c>
      <c r="D4898" s="245" t="str">
        <f t="shared" si="262"/>
        <v/>
      </c>
      <c r="E4898" s="534"/>
      <c r="F4898" s="534"/>
    </row>
    <row r="4899" spans="1:6" ht="15" customHeight="1">
      <c r="A4899" s="51"/>
      <c r="B4899" s="52" t="str">
        <f t="shared" si="261"/>
        <v/>
      </c>
      <c r="C4899" t="str">
        <f t="shared" si="260"/>
        <v/>
      </c>
      <c r="D4899" s="245" t="str">
        <f t="shared" si="262"/>
        <v/>
      </c>
      <c r="E4899" s="534"/>
      <c r="F4899" s="534"/>
    </row>
    <row r="4900" spans="1:6" ht="15" customHeight="1">
      <c r="A4900" s="51"/>
      <c r="B4900" s="52" t="str">
        <f t="shared" si="261"/>
        <v/>
      </c>
      <c r="C4900" t="str">
        <f t="shared" si="260"/>
        <v/>
      </c>
      <c r="D4900" s="245" t="str">
        <f t="shared" si="262"/>
        <v/>
      </c>
      <c r="E4900" s="534"/>
      <c r="F4900" s="534"/>
    </row>
    <row r="4901" spans="1:6" ht="15" customHeight="1">
      <c r="A4901" s="51"/>
      <c r="B4901" s="52" t="str">
        <f t="shared" si="261"/>
        <v/>
      </c>
      <c r="C4901" t="str">
        <f t="shared" si="260"/>
        <v/>
      </c>
      <c r="D4901" s="245" t="str">
        <f t="shared" si="262"/>
        <v/>
      </c>
      <c r="E4901" s="534"/>
      <c r="F4901" s="534"/>
    </row>
    <row r="4902" spans="1:6" ht="15" customHeight="1">
      <c r="A4902" s="51"/>
      <c r="B4902" s="52" t="str">
        <f t="shared" si="261"/>
        <v/>
      </c>
      <c r="C4902" t="str">
        <f t="shared" si="260"/>
        <v/>
      </c>
      <c r="D4902" s="245" t="str">
        <f t="shared" si="262"/>
        <v/>
      </c>
      <c r="E4902" s="534"/>
      <c r="F4902" s="534"/>
    </row>
    <row r="4903" spans="1:6" ht="15" customHeight="1">
      <c r="A4903" s="51"/>
      <c r="B4903" s="52" t="str">
        <f t="shared" si="261"/>
        <v/>
      </c>
      <c r="C4903" t="str">
        <f t="shared" si="260"/>
        <v/>
      </c>
      <c r="D4903" s="245" t="str">
        <f t="shared" si="262"/>
        <v/>
      </c>
      <c r="E4903" s="534"/>
      <c r="F4903" s="534"/>
    </row>
    <row r="4904" spans="1:6" ht="15" customHeight="1">
      <c r="A4904" s="51"/>
      <c r="B4904" s="52" t="str">
        <f t="shared" si="261"/>
        <v/>
      </c>
      <c r="C4904" t="str">
        <f t="shared" si="260"/>
        <v/>
      </c>
      <c r="D4904" s="245" t="str">
        <f t="shared" si="262"/>
        <v/>
      </c>
      <c r="E4904" s="534"/>
      <c r="F4904" s="534"/>
    </row>
    <row r="4905" spans="1:6" ht="15" customHeight="1">
      <c r="A4905" s="51"/>
      <c r="B4905" s="52" t="str">
        <f t="shared" si="261"/>
        <v/>
      </c>
      <c r="C4905" t="str">
        <f t="shared" si="260"/>
        <v/>
      </c>
      <c r="D4905" s="245" t="str">
        <f t="shared" si="262"/>
        <v/>
      </c>
      <c r="E4905" s="534"/>
      <c r="F4905" s="534"/>
    </row>
    <row r="4906" spans="1:6" ht="15" customHeight="1">
      <c r="A4906" s="51"/>
      <c r="B4906" s="52" t="str">
        <f t="shared" si="261"/>
        <v/>
      </c>
      <c r="C4906" t="str">
        <f t="shared" si="260"/>
        <v/>
      </c>
      <c r="D4906" s="245" t="str">
        <f t="shared" si="262"/>
        <v/>
      </c>
      <c r="E4906" s="534"/>
      <c r="F4906" s="534"/>
    </row>
    <row r="4907" spans="1:6" ht="15" customHeight="1">
      <c r="A4907" s="51"/>
      <c r="B4907" s="52" t="str">
        <f t="shared" si="261"/>
        <v/>
      </c>
      <c r="C4907" t="str">
        <f t="shared" si="260"/>
        <v/>
      </c>
      <c r="D4907" s="245" t="str">
        <f t="shared" si="262"/>
        <v/>
      </c>
      <c r="E4907" s="534"/>
      <c r="F4907" s="534"/>
    </row>
    <row r="4908" spans="1:6" ht="15" customHeight="1">
      <c r="A4908" s="51"/>
      <c r="B4908" s="52" t="str">
        <f t="shared" si="261"/>
        <v/>
      </c>
      <c r="C4908" t="str">
        <f t="shared" si="260"/>
        <v/>
      </c>
      <c r="D4908" s="245" t="str">
        <f t="shared" si="262"/>
        <v/>
      </c>
      <c r="E4908" s="534"/>
      <c r="F4908" s="534"/>
    </row>
    <row r="4909" spans="1:6" ht="15" customHeight="1">
      <c r="A4909" s="51"/>
      <c r="B4909" s="52" t="str">
        <f t="shared" si="261"/>
        <v/>
      </c>
      <c r="C4909" t="str">
        <f t="shared" si="260"/>
        <v/>
      </c>
      <c r="D4909" s="245" t="str">
        <f t="shared" si="262"/>
        <v/>
      </c>
      <c r="E4909" s="534"/>
      <c r="F4909" s="534"/>
    </row>
    <row r="4910" spans="1:6" ht="15" customHeight="1">
      <c r="A4910" s="51"/>
      <c r="B4910" s="52" t="str">
        <f t="shared" si="261"/>
        <v/>
      </c>
      <c r="C4910" t="str">
        <f t="shared" si="260"/>
        <v/>
      </c>
      <c r="D4910" s="245" t="str">
        <f t="shared" si="262"/>
        <v/>
      </c>
      <c r="E4910" s="534"/>
      <c r="F4910" s="534"/>
    </row>
    <row r="4911" spans="1:6" ht="15" customHeight="1">
      <c r="A4911" s="51"/>
      <c r="B4911" s="52" t="str">
        <f t="shared" si="261"/>
        <v/>
      </c>
      <c r="C4911" t="str">
        <f t="shared" si="260"/>
        <v/>
      </c>
      <c r="D4911" s="245" t="str">
        <f t="shared" si="262"/>
        <v/>
      </c>
      <c r="E4911" s="534"/>
      <c r="F4911" s="534"/>
    </row>
    <row r="4912" spans="1:6" ht="15" customHeight="1">
      <c r="A4912" s="51"/>
      <c r="B4912" s="52" t="str">
        <f t="shared" si="261"/>
        <v/>
      </c>
      <c r="C4912" t="str">
        <f t="shared" si="260"/>
        <v/>
      </c>
      <c r="D4912" s="245" t="str">
        <f t="shared" si="262"/>
        <v/>
      </c>
      <c r="E4912" s="534"/>
      <c r="F4912" s="534"/>
    </row>
    <row r="4913" spans="1:6" ht="15" customHeight="1">
      <c r="A4913" s="51"/>
      <c r="B4913" s="52" t="str">
        <f t="shared" si="261"/>
        <v/>
      </c>
      <c r="C4913" t="str">
        <f t="shared" si="260"/>
        <v/>
      </c>
      <c r="D4913" s="245" t="str">
        <f t="shared" si="262"/>
        <v/>
      </c>
      <c r="E4913" s="534"/>
      <c r="F4913" s="534"/>
    </row>
    <row r="4914" spans="1:6" ht="15" customHeight="1">
      <c r="A4914" s="51"/>
      <c r="B4914" s="52" t="str">
        <f t="shared" si="261"/>
        <v/>
      </c>
      <c r="C4914" t="str">
        <f t="shared" si="260"/>
        <v/>
      </c>
      <c r="D4914" s="245" t="str">
        <f t="shared" si="262"/>
        <v/>
      </c>
      <c r="E4914" s="534"/>
      <c r="F4914" s="534"/>
    </row>
    <row r="4915" spans="1:6" ht="15" customHeight="1">
      <c r="A4915" s="51"/>
      <c r="B4915" s="52" t="str">
        <f t="shared" si="261"/>
        <v/>
      </c>
      <c r="C4915" t="str">
        <f t="shared" si="260"/>
        <v/>
      </c>
      <c r="D4915" s="245" t="str">
        <f t="shared" si="262"/>
        <v/>
      </c>
      <c r="E4915" s="534"/>
      <c r="F4915" s="534"/>
    </row>
    <row r="4916" spans="1:6" ht="15" customHeight="1">
      <c r="A4916" s="51"/>
      <c r="B4916" s="52" t="str">
        <f t="shared" si="261"/>
        <v/>
      </c>
      <c r="C4916" t="str">
        <f t="shared" si="260"/>
        <v/>
      </c>
      <c r="D4916" s="245" t="str">
        <f t="shared" si="262"/>
        <v/>
      </c>
      <c r="E4916" s="534"/>
      <c r="F4916" s="534"/>
    </row>
    <row r="4917" spans="1:6" ht="15" customHeight="1">
      <c r="A4917" s="51"/>
      <c r="B4917" s="52" t="str">
        <f t="shared" si="261"/>
        <v/>
      </c>
      <c r="C4917" t="str">
        <f t="shared" si="260"/>
        <v/>
      </c>
      <c r="D4917" s="245" t="str">
        <f t="shared" si="262"/>
        <v/>
      </c>
      <c r="E4917" s="534"/>
      <c r="F4917" s="534"/>
    </row>
    <row r="4918" spans="1:6" ht="15" customHeight="1">
      <c r="A4918" s="51"/>
      <c r="B4918" s="52" t="str">
        <f t="shared" si="261"/>
        <v/>
      </c>
      <c r="C4918" t="str">
        <f t="shared" si="260"/>
        <v/>
      </c>
      <c r="D4918" s="245" t="str">
        <f t="shared" si="262"/>
        <v/>
      </c>
      <c r="E4918" s="534"/>
      <c r="F4918" s="534"/>
    </row>
    <row r="4919" spans="1:6" ht="15" customHeight="1">
      <c r="A4919" s="51"/>
      <c r="B4919" s="52" t="str">
        <f t="shared" si="261"/>
        <v/>
      </c>
      <c r="C4919" t="str">
        <f t="shared" si="260"/>
        <v/>
      </c>
      <c r="D4919" s="245" t="str">
        <f t="shared" si="262"/>
        <v/>
      </c>
      <c r="E4919" s="534"/>
      <c r="F4919" s="534"/>
    </row>
    <row r="4920" spans="1:6" ht="15" customHeight="1">
      <c r="A4920" s="51"/>
      <c r="B4920" s="52" t="str">
        <f t="shared" si="261"/>
        <v/>
      </c>
      <c r="C4920" t="str">
        <f t="shared" si="260"/>
        <v/>
      </c>
      <c r="D4920" s="245" t="str">
        <f t="shared" si="262"/>
        <v/>
      </c>
      <c r="E4920" s="534"/>
      <c r="F4920" s="534"/>
    </row>
    <row r="4921" spans="1:6" ht="15" customHeight="1">
      <c r="A4921" s="51"/>
      <c r="B4921" s="52" t="str">
        <f t="shared" si="261"/>
        <v/>
      </c>
      <c r="C4921" t="str">
        <f t="shared" si="260"/>
        <v/>
      </c>
      <c r="D4921" s="245" t="str">
        <f t="shared" si="262"/>
        <v/>
      </c>
      <c r="E4921" s="534"/>
      <c r="F4921" s="534"/>
    </row>
    <row r="4922" spans="1:6" ht="15" customHeight="1">
      <c r="A4922" s="51"/>
      <c r="B4922" s="52" t="str">
        <f t="shared" si="261"/>
        <v/>
      </c>
      <c r="C4922" t="str">
        <f t="shared" si="260"/>
        <v/>
      </c>
      <c r="D4922" s="245" t="str">
        <f t="shared" si="262"/>
        <v/>
      </c>
      <c r="E4922" s="534"/>
      <c r="F4922" s="534"/>
    </row>
    <row r="4923" spans="1:6" ht="15" customHeight="1">
      <c r="A4923" s="51"/>
      <c r="B4923" s="52" t="str">
        <f t="shared" si="261"/>
        <v/>
      </c>
      <c r="C4923" t="str">
        <f t="shared" si="260"/>
        <v/>
      </c>
      <c r="D4923" s="245" t="str">
        <f t="shared" si="262"/>
        <v/>
      </c>
      <c r="E4923" s="534"/>
      <c r="F4923" s="534"/>
    </row>
    <row r="4924" spans="1:6" ht="15" customHeight="1">
      <c r="A4924" s="51"/>
      <c r="B4924" s="52" t="str">
        <f t="shared" si="261"/>
        <v/>
      </c>
      <c r="C4924" t="str">
        <f t="shared" si="260"/>
        <v/>
      </c>
      <c r="D4924" s="245" t="str">
        <f t="shared" si="262"/>
        <v/>
      </c>
      <c r="E4924" s="534"/>
      <c r="F4924" s="534"/>
    </row>
    <row r="4925" spans="1:6" ht="15" customHeight="1">
      <c r="A4925" s="51"/>
      <c r="B4925" s="52" t="str">
        <f t="shared" si="261"/>
        <v/>
      </c>
      <c r="C4925" t="str">
        <f t="shared" si="260"/>
        <v/>
      </c>
      <c r="D4925" s="245" t="str">
        <f t="shared" si="262"/>
        <v/>
      </c>
      <c r="E4925" s="534"/>
      <c r="F4925" s="534"/>
    </row>
    <row r="4926" spans="1:6" ht="15" customHeight="1">
      <c r="A4926" s="51"/>
      <c r="B4926" s="52" t="str">
        <f t="shared" si="261"/>
        <v/>
      </c>
      <c r="C4926" t="str">
        <f t="shared" si="260"/>
        <v/>
      </c>
      <c r="D4926" s="245" t="str">
        <f t="shared" si="262"/>
        <v/>
      </c>
      <c r="E4926" s="534"/>
      <c r="F4926" s="534"/>
    </row>
    <row r="4927" spans="1:6" ht="15" customHeight="1">
      <c r="A4927" s="51"/>
      <c r="B4927" s="52" t="str">
        <f t="shared" si="261"/>
        <v/>
      </c>
      <c r="C4927" t="str">
        <f t="shared" si="260"/>
        <v/>
      </c>
      <c r="D4927" s="245" t="str">
        <f t="shared" si="262"/>
        <v/>
      </c>
      <c r="E4927" s="534"/>
      <c r="F4927" s="534"/>
    </row>
    <row r="4928" spans="1:6" ht="15" customHeight="1">
      <c r="A4928" s="51"/>
      <c r="B4928" s="52" t="str">
        <f t="shared" si="261"/>
        <v/>
      </c>
      <c r="C4928" t="str">
        <f t="shared" si="260"/>
        <v/>
      </c>
      <c r="D4928" s="245" t="str">
        <f t="shared" si="262"/>
        <v/>
      </c>
      <c r="E4928" s="534"/>
      <c r="F4928" s="534"/>
    </row>
    <row r="4929" spans="1:6" ht="15" customHeight="1">
      <c r="A4929" s="51"/>
      <c r="B4929" s="52" t="str">
        <f t="shared" si="261"/>
        <v/>
      </c>
      <c r="C4929" t="str">
        <f t="shared" si="260"/>
        <v/>
      </c>
      <c r="D4929" s="245" t="str">
        <f t="shared" si="262"/>
        <v/>
      </c>
      <c r="E4929" s="534"/>
      <c r="F4929" s="534"/>
    </row>
    <row r="4930" spans="1:6" ht="15" customHeight="1">
      <c r="A4930" s="51"/>
      <c r="B4930" s="52" t="str">
        <f t="shared" si="261"/>
        <v/>
      </c>
      <c r="C4930" t="str">
        <f t="shared" ref="C4930:C4993" si="263">IF(A4930&lt;&gt;"",TEXT(A4930,"aaaa"),"")</f>
        <v/>
      </c>
      <c r="D4930" s="245" t="str">
        <f t="shared" si="262"/>
        <v/>
      </c>
      <c r="E4930" s="534"/>
      <c r="F4930" s="534"/>
    </row>
    <row r="4931" spans="1:6" ht="15" customHeight="1">
      <c r="A4931" s="51"/>
      <c r="B4931" s="52" t="str">
        <f t="shared" si="261"/>
        <v/>
      </c>
      <c r="C4931" t="str">
        <f t="shared" si="263"/>
        <v/>
      </c>
      <c r="D4931" s="245" t="str">
        <f t="shared" si="262"/>
        <v/>
      </c>
      <c r="E4931" s="534"/>
      <c r="F4931" s="534"/>
    </row>
    <row r="4932" spans="1:6" ht="15" customHeight="1">
      <c r="A4932" s="51"/>
      <c r="B4932" s="52" t="str">
        <f t="shared" si="261"/>
        <v/>
      </c>
      <c r="C4932" t="str">
        <f t="shared" si="263"/>
        <v/>
      </c>
      <c r="D4932" s="245" t="str">
        <f t="shared" si="262"/>
        <v/>
      </c>
      <c r="E4932" s="534"/>
      <c r="F4932" s="534"/>
    </row>
    <row r="4933" spans="1:6" ht="15" customHeight="1">
      <c r="A4933" s="51"/>
      <c r="B4933" s="52" t="str">
        <f t="shared" si="261"/>
        <v/>
      </c>
      <c r="C4933" t="str">
        <f t="shared" si="263"/>
        <v/>
      </c>
      <c r="D4933" s="245" t="str">
        <f t="shared" si="262"/>
        <v/>
      </c>
      <c r="E4933" s="534"/>
      <c r="F4933" s="534"/>
    </row>
    <row r="4934" spans="1:6" ht="15" customHeight="1">
      <c r="A4934" s="51"/>
      <c r="B4934" s="52" t="str">
        <f t="shared" si="261"/>
        <v/>
      </c>
      <c r="C4934" t="str">
        <f t="shared" si="263"/>
        <v/>
      </c>
      <c r="D4934" s="245" t="str">
        <f t="shared" si="262"/>
        <v/>
      </c>
      <c r="E4934" s="534"/>
      <c r="F4934" s="534"/>
    </row>
    <row r="4935" spans="1:6" ht="15" customHeight="1">
      <c r="A4935" s="51"/>
      <c r="B4935" s="52" t="str">
        <f t="shared" si="261"/>
        <v/>
      </c>
      <c r="C4935" t="str">
        <f t="shared" si="263"/>
        <v/>
      </c>
      <c r="D4935" s="245" t="str">
        <f t="shared" si="262"/>
        <v/>
      </c>
      <c r="E4935" s="534"/>
      <c r="F4935" s="534"/>
    </row>
    <row r="4936" spans="1:6" ht="15" customHeight="1">
      <c r="A4936" s="51"/>
      <c r="B4936" s="52" t="str">
        <f t="shared" ref="B4936:B4999" si="264">IF(A4936="","",TEXT(A4936,"DDDD"))</f>
        <v/>
      </c>
      <c r="C4936" t="str">
        <f t="shared" si="263"/>
        <v/>
      </c>
      <c r="D4936" s="245" t="str">
        <f t="shared" si="262"/>
        <v/>
      </c>
      <c r="E4936" s="534"/>
      <c r="F4936" s="534"/>
    </row>
    <row r="4937" spans="1:6" ht="15" customHeight="1">
      <c r="A4937" s="51"/>
      <c r="B4937" s="52" t="str">
        <f t="shared" si="264"/>
        <v/>
      </c>
      <c r="C4937" t="str">
        <f t="shared" si="263"/>
        <v/>
      </c>
      <c r="D4937" s="245" t="str">
        <f t="shared" ref="D4937:D5000" si="265">IF(A4937&lt;&gt;"",PROPER(TEXT(A4937,"Mmmm")),"")</f>
        <v/>
      </c>
      <c r="E4937" s="534"/>
      <c r="F4937" s="534"/>
    </row>
    <row r="4938" spans="1:6" ht="15" customHeight="1">
      <c r="A4938" s="51"/>
      <c r="B4938" s="52" t="str">
        <f t="shared" si="264"/>
        <v/>
      </c>
      <c r="C4938" t="str">
        <f t="shared" si="263"/>
        <v/>
      </c>
      <c r="D4938" s="245" t="str">
        <f t="shared" si="265"/>
        <v/>
      </c>
      <c r="E4938" s="534"/>
      <c r="F4938" s="534"/>
    </row>
    <row r="4939" spans="1:6" ht="15" customHeight="1">
      <c r="A4939" s="51"/>
      <c r="B4939" s="52" t="str">
        <f t="shared" si="264"/>
        <v/>
      </c>
      <c r="C4939" t="str">
        <f t="shared" si="263"/>
        <v/>
      </c>
      <c r="D4939" s="245" t="str">
        <f t="shared" si="265"/>
        <v/>
      </c>
      <c r="E4939" s="534"/>
      <c r="F4939" s="534"/>
    </row>
    <row r="4940" spans="1:6" ht="15" customHeight="1">
      <c r="A4940" s="51"/>
      <c r="B4940" s="52" t="str">
        <f t="shared" si="264"/>
        <v/>
      </c>
      <c r="C4940" t="str">
        <f t="shared" si="263"/>
        <v/>
      </c>
      <c r="D4940" s="245" t="str">
        <f t="shared" si="265"/>
        <v/>
      </c>
      <c r="E4940" s="534"/>
      <c r="F4940" s="534"/>
    </row>
    <row r="4941" spans="1:6" ht="15" customHeight="1">
      <c r="A4941" s="51"/>
      <c r="B4941" s="52" t="str">
        <f t="shared" si="264"/>
        <v/>
      </c>
      <c r="C4941" t="str">
        <f t="shared" si="263"/>
        <v/>
      </c>
      <c r="D4941" s="245" t="str">
        <f t="shared" si="265"/>
        <v/>
      </c>
      <c r="E4941" s="534"/>
      <c r="F4941" s="534"/>
    </row>
    <row r="4942" spans="1:6" ht="15" customHeight="1">
      <c r="A4942" s="51"/>
      <c r="B4942" s="52" t="str">
        <f t="shared" si="264"/>
        <v/>
      </c>
      <c r="C4942" t="str">
        <f t="shared" si="263"/>
        <v/>
      </c>
      <c r="D4942" s="245" t="str">
        <f t="shared" si="265"/>
        <v/>
      </c>
      <c r="E4942" s="534"/>
      <c r="F4942" s="534"/>
    </row>
    <row r="4943" spans="1:6" ht="15" customHeight="1">
      <c r="A4943" s="51"/>
      <c r="B4943" s="52" t="str">
        <f t="shared" si="264"/>
        <v/>
      </c>
      <c r="C4943" t="str">
        <f t="shared" si="263"/>
        <v/>
      </c>
      <c r="D4943" s="245" t="str">
        <f t="shared" si="265"/>
        <v/>
      </c>
      <c r="E4943" s="534"/>
      <c r="F4943" s="534"/>
    </row>
    <row r="4944" spans="1:6" ht="15" customHeight="1">
      <c r="A4944" s="51"/>
      <c r="B4944" s="52" t="str">
        <f t="shared" si="264"/>
        <v/>
      </c>
      <c r="C4944" t="str">
        <f t="shared" si="263"/>
        <v/>
      </c>
      <c r="D4944" s="245" t="str">
        <f t="shared" si="265"/>
        <v/>
      </c>
      <c r="E4944" s="534"/>
      <c r="F4944" s="534"/>
    </row>
    <row r="4945" spans="1:6" ht="15" customHeight="1">
      <c r="A4945" s="51"/>
      <c r="B4945" s="52" t="str">
        <f t="shared" si="264"/>
        <v/>
      </c>
      <c r="C4945" t="str">
        <f t="shared" si="263"/>
        <v/>
      </c>
      <c r="D4945" s="245" t="str">
        <f t="shared" si="265"/>
        <v/>
      </c>
      <c r="E4945" s="534"/>
      <c r="F4945" s="534"/>
    </row>
    <row r="4946" spans="1:6" ht="15" customHeight="1">
      <c r="A4946" s="51"/>
      <c r="B4946" s="52" t="str">
        <f t="shared" si="264"/>
        <v/>
      </c>
      <c r="C4946" t="str">
        <f t="shared" si="263"/>
        <v/>
      </c>
      <c r="D4946" s="245" t="str">
        <f t="shared" si="265"/>
        <v/>
      </c>
      <c r="E4946" s="534"/>
      <c r="F4946" s="534"/>
    </row>
    <row r="4947" spans="1:6" ht="15" customHeight="1">
      <c r="A4947" s="51"/>
      <c r="B4947" s="52" t="str">
        <f t="shared" si="264"/>
        <v/>
      </c>
      <c r="C4947" t="str">
        <f t="shared" si="263"/>
        <v/>
      </c>
      <c r="D4947" s="245" t="str">
        <f t="shared" si="265"/>
        <v/>
      </c>
      <c r="E4947" s="534"/>
      <c r="F4947" s="534"/>
    </row>
    <row r="4948" spans="1:6" ht="15" customHeight="1">
      <c r="A4948" s="51"/>
      <c r="B4948" s="52" t="str">
        <f t="shared" si="264"/>
        <v/>
      </c>
      <c r="C4948" t="str">
        <f t="shared" si="263"/>
        <v/>
      </c>
      <c r="D4948" s="245" t="str">
        <f t="shared" si="265"/>
        <v/>
      </c>
      <c r="E4948" s="534"/>
      <c r="F4948" s="534"/>
    </row>
    <row r="4949" spans="1:6" ht="15" customHeight="1">
      <c r="A4949" s="51"/>
      <c r="B4949" s="52" t="str">
        <f t="shared" si="264"/>
        <v/>
      </c>
      <c r="C4949" t="str">
        <f t="shared" si="263"/>
        <v/>
      </c>
      <c r="D4949" s="245" t="str">
        <f t="shared" si="265"/>
        <v/>
      </c>
      <c r="E4949" s="534"/>
      <c r="F4949" s="534"/>
    </row>
    <row r="4950" spans="1:6" ht="15" customHeight="1">
      <c r="A4950" s="51"/>
      <c r="B4950" s="52" t="str">
        <f t="shared" si="264"/>
        <v/>
      </c>
      <c r="C4950" t="str">
        <f t="shared" si="263"/>
        <v/>
      </c>
      <c r="D4950" s="245" t="str">
        <f t="shared" si="265"/>
        <v/>
      </c>
      <c r="E4950" s="534"/>
      <c r="F4950" s="534"/>
    </row>
    <row r="4951" spans="1:6" ht="15" customHeight="1">
      <c r="A4951" s="51"/>
      <c r="B4951" s="52" t="str">
        <f t="shared" si="264"/>
        <v/>
      </c>
      <c r="C4951" t="str">
        <f t="shared" si="263"/>
        <v/>
      </c>
      <c r="D4951" s="245" t="str">
        <f t="shared" si="265"/>
        <v/>
      </c>
      <c r="E4951" s="534"/>
      <c r="F4951" s="534"/>
    </row>
    <row r="4952" spans="1:6" ht="15" customHeight="1">
      <c r="A4952" s="51"/>
      <c r="B4952" s="52" t="str">
        <f t="shared" si="264"/>
        <v/>
      </c>
      <c r="C4952" t="str">
        <f t="shared" si="263"/>
        <v/>
      </c>
      <c r="D4952" s="245" t="str">
        <f t="shared" si="265"/>
        <v/>
      </c>
      <c r="E4952" s="534"/>
      <c r="F4952" s="534"/>
    </row>
    <row r="4953" spans="1:6" ht="15" customHeight="1">
      <c r="A4953" s="51"/>
      <c r="B4953" s="52" t="str">
        <f t="shared" si="264"/>
        <v/>
      </c>
      <c r="C4953" t="str">
        <f t="shared" si="263"/>
        <v/>
      </c>
      <c r="D4953" s="245" t="str">
        <f t="shared" si="265"/>
        <v/>
      </c>
      <c r="E4953" s="534"/>
      <c r="F4953" s="534"/>
    </row>
    <row r="4954" spans="1:6" ht="15" customHeight="1">
      <c r="A4954" s="51"/>
      <c r="B4954" s="52" t="str">
        <f t="shared" si="264"/>
        <v/>
      </c>
      <c r="C4954" t="str">
        <f t="shared" si="263"/>
        <v/>
      </c>
      <c r="D4954" s="245" t="str">
        <f t="shared" si="265"/>
        <v/>
      </c>
      <c r="E4954" s="534"/>
      <c r="F4954" s="534"/>
    </row>
    <row r="4955" spans="1:6" ht="15" customHeight="1">
      <c r="A4955" s="51"/>
      <c r="B4955" s="52" t="str">
        <f t="shared" si="264"/>
        <v/>
      </c>
      <c r="C4955" t="str">
        <f t="shared" si="263"/>
        <v/>
      </c>
      <c r="D4955" s="245" t="str">
        <f t="shared" si="265"/>
        <v/>
      </c>
      <c r="E4955" s="534"/>
      <c r="F4955" s="534"/>
    </row>
    <row r="4956" spans="1:6" ht="15" customHeight="1">
      <c r="A4956" s="51"/>
      <c r="B4956" s="52" t="str">
        <f t="shared" si="264"/>
        <v/>
      </c>
      <c r="C4956" t="str">
        <f t="shared" si="263"/>
        <v/>
      </c>
      <c r="D4956" s="245" t="str">
        <f t="shared" si="265"/>
        <v/>
      </c>
      <c r="E4956" s="534"/>
      <c r="F4956" s="534"/>
    </row>
    <row r="4957" spans="1:6" ht="15" customHeight="1">
      <c r="A4957" s="51"/>
      <c r="B4957" s="52" t="str">
        <f t="shared" si="264"/>
        <v/>
      </c>
      <c r="C4957" t="str">
        <f t="shared" si="263"/>
        <v/>
      </c>
      <c r="D4957" s="245" t="str">
        <f t="shared" si="265"/>
        <v/>
      </c>
      <c r="E4957" s="534"/>
      <c r="F4957" s="534"/>
    </row>
    <row r="4958" spans="1:6" ht="15" customHeight="1">
      <c r="A4958" s="51"/>
      <c r="B4958" s="52" t="str">
        <f t="shared" si="264"/>
        <v/>
      </c>
      <c r="C4958" t="str">
        <f t="shared" si="263"/>
        <v/>
      </c>
      <c r="D4958" s="245" t="str">
        <f t="shared" si="265"/>
        <v/>
      </c>
      <c r="E4958" s="534"/>
      <c r="F4958" s="534"/>
    </row>
    <row r="4959" spans="1:6" ht="15" customHeight="1">
      <c r="A4959" s="51"/>
      <c r="B4959" s="52" t="str">
        <f t="shared" si="264"/>
        <v/>
      </c>
      <c r="C4959" t="str">
        <f t="shared" si="263"/>
        <v/>
      </c>
      <c r="D4959" s="245" t="str">
        <f t="shared" si="265"/>
        <v/>
      </c>
      <c r="E4959" s="534"/>
      <c r="F4959" s="534"/>
    </row>
    <row r="4960" spans="1:6" ht="15" customHeight="1">
      <c r="A4960" s="51"/>
      <c r="B4960" s="52" t="str">
        <f t="shared" si="264"/>
        <v/>
      </c>
      <c r="C4960" t="str">
        <f t="shared" si="263"/>
        <v/>
      </c>
      <c r="D4960" s="245" t="str">
        <f t="shared" si="265"/>
        <v/>
      </c>
      <c r="E4960" s="534"/>
      <c r="F4960" s="534"/>
    </row>
    <row r="4961" spans="1:6" ht="15" customHeight="1">
      <c r="A4961" s="51"/>
      <c r="B4961" s="52" t="str">
        <f t="shared" si="264"/>
        <v/>
      </c>
      <c r="C4961" t="str">
        <f t="shared" si="263"/>
        <v/>
      </c>
      <c r="D4961" s="245" t="str">
        <f t="shared" si="265"/>
        <v/>
      </c>
      <c r="E4961" s="534"/>
      <c r="F4961" s="534"/>
    </row>
    <row r="4962" spans="1:6" ht="15" customHeight="1">
      <c r="A4962" s="51"/>
      <c r="B4962" s="52" t="str">
        <f t="shared" si="264"/>
        <v/>
      </c>
      <c r="C4962" t="str">
        <f t="shared" si="263"/>
        <v/>
      </c>
      <c r="D4962" s="245" t="str">
        <f t="shared" si="265"/>
        <v/>
      </c>
      <c r="E4962" s="534"/>
      <c r="F4962" s="534"/>
    </row>
    <row r="4963" spans="1:6" ht="15" customHeight="1">
      <c r="A4963" s="51"/>
      <c r="B4963" s="52" t="str">
        <f t="shared" si="264"/>
        <v/>
      </c>
      <c r="C4963" t="str">
        <f t="shared" si="263"/>
        <v/>
      </c>
      <c r="D4963" s="245" t="str">
        <f t="shared" si="265"/>
        <v/>
      </c>
      <c r="E4963" s="534"/>
      <c r="F4963" s="534"/>
    </row>
    <row r="4964" spans="1:6" ht="15" customHeight="1">
      <c r="A4964" s="51"/>
      <c r="B4964" s="52" t="str">
        <f t="shared" si="264"/>
        <v/>
      </c>
      <c r="C4964" t="str">
        <f t="shared" si="263"/>
        <v/>
      </c>
      <c r="D4964" s="245" t="str">
        <f t="shared" si="265"/>
        <v/>
      </c>
      <c r="E4964" s="534"/>
      <c r="F4964" s="534"/>
    </row>
    <row r="4965" spans="1:6" ht="15" customHeight="1">
      <c r="A4965" s="51"/>
      <c r="B4965" s="52" t="str">
        <f t="shared" si="264"/>
        <v/>
      </c>
      <c r="C4965" t="str">
        <f t="shared" si="263"/>
        <v/>
      </c>
      <c r="D4965" s="245" t="str">
        <f t="shared" si="265"/>
        <v/>
      </c>
      <c r="E4965" s="534"/>
      <c r="F4965" s="534"/>
    </row>
    <row r="4966" spans="1:6" ht="15" customHeight="1">
      <c r="A4966" s="51"/>
      <c r="B4966" s="52" t="str">
        <f t="shared" si="264"/>
        <v/>
      </c>
      <c r="C4966" t="str">
        <f t="shared" si="263"/>
        <v/>
      </c>
      <c r="D4966" s="245" t="str">
        <f t="shared" si="265"/>
        <v/>
      </c>
      <c r="E4966" s="534"/>
      <c r="F4966" s="534"/>
    </row>
    <row r="4967" spans="1:6" ht="15" customHeight="1">
      <c r="A4967" s="51"/>
      <c r="B4967" s="52" t="str">
        <f t="shared" si="264"/>
        <v/>
      </c>
      <c r="C4967" t="str">
        <f t="shared" si="263"/>
        <v/>
      </c>
      <c r="D4967" s="245" t="str">
        <f t="shared" si="265"/>
        <v/>
      </c>
      <c r="E4967" s="534"/>
      <c r="F4967" s="534"/>
    </row>
    <row r="4968" spans="1:6" ht="15" customHeight="1">
      <c r="A4968" s="51"/>
      <c r="B4968" s="52" t="str">
        <f t="shared" si="264"/>
        <v/>
      </c>
      <c r="C4968" t="str">
        <f t="shared" si="263"/>
        <v/>
      </c>
      <c r="D4968" s="245" t="str">
        <f t="shared" si="265"/>
        <v/>
      </c>
      <c r="E4968" s="534"/>
      <c r="F4968" s="534"/>
    </row>
    <row r="4969" spans="1:6" ht="15" customHeight="1">
      <c r="A4969" s="51"/>
      <c r="B4969" s="52" t="str">
        <f t="shared" si="264"/>
        <v/>
      </c>
      <c r="C4969" t="str">
        <f t="shared" si="263"/>
        <v/>
      </c>
      <c r="D4969" s="245" t="str">
        <f t="shared" si="265"/>
        <v/>
      </c>
      <c r="E4969" s="534"/>
      <c r="F4969" s="534"/>
    </row>
    <row r="4970" spans="1:6" ht="15" customHeight="1">
      <c r="A4970" s="51"/>
      <c r="B4970" s="52" t="str">
        <f t="shared" si="264"/>
        <v/>
      </c>
      <c r="C4970" t="str">
        <f t="shared" si="263"/>
        <v/>
      </c>
      <c r="D4970" s="245" t="str">
        <f t="shared" si="265"/>
        <v/>
      </c>
      <c r="E4970" s="534"/>
      <c r="F4970" s="534"/>
    </row>
    <row r="4971" spans="1:6" ht="15" customHeight="1">
      <c r="A4971" s="51"/>
      <c r="B4971" s="52" t="str">
        <f t="shared" si="264"/>
        <v/>
      </c>
      <c r="C4971" t="str">
        <f t="shared" si="263"/>
        <v/>
      </c>
      <c r="D4971" s="245" t="str">
        <f t="shared" si="265"/>
        <v/>
      </c>
      <c r="E4971" s="534"/>
      <c r="F4971" s="534"/>
    </row>
    <row r="4972" spans="1:6" ht="15" customHeight="1">
      <c r="A4972" s="51"/>
      <c r="B4972" s="52" t="str">
        <f t="shared" si="264"/>
        <v/>
      </c>
      <c r="C4972" t="str">
        <f t="shared" si="263"/>
        <v/>
      </c>
      <c r="D4972" s="245" t="str">
        <f t="shared" si="265"/>
        <v/>
      </c>
      <c r="E4972" s="534"/>
      <c r="F4972" s="534"/>
    </row>
    <row r="4973" spans="1:6" ht="15" customHeight="1">
      <c r="A4973" s="51"/>
      <c r="B4973" s="52" t="str">
        <f t="shared" si="264"/>
        <v/>
      </c>
      <c r="C4973" t="str">
        <f t="shared" si="263"/>
        <v/>
      </c>
      <c r="D4973" s="245" t="str">
        <f t="shared" si="265"/>
        <v/>
      </c>
      <c r="E4973" s="534"/>
      <c r="F4973" s="534"/>
    </row>
    <row r="4974" spans="1:6" ht="15" customHeight="1">
      <c r="A4974" s="51"/>
      <c r="B4974" s="52" t="str">
        <f t="shared" si="264"/>
        <v/>
      </c>
      <c r="C4974" t="str">
        <f t="shared" si="263"/>
        <v/>
      </c>
      <c r="D4974" s="245" t="str">
        <f t="shared" si="265"/>
        <v/>
      </c>
      <c r="E4974" s="534"/>
      <c r="F4974" s="534"/>
    </row>
    <row r="4975" spans="1:6" ht="15" customHeight="1">
      <c r="A4975" s="51"/>
      <c r="B4975" s="52" t="str">
        <f t="shared" si="264"/>
        <v/>
      </c>
      <c r="C4975" t="str">
        <f t="shared" si="263"/>
        <v/>
      </c>
      <c r="D4975" s="245" t="str">
        <f t="shared" si="265"/>
        <v/>
      </c>
      <c r="E4975" s="534"/>
      <c r="F4975" s="534"/>
    </row>
    <row r="4976" spans="1:6" ht="15" customHeight="1">
      <c r="A4976" s="51"/>
      <c r="B4976" s="52" t="str">
        <f t="shared" si="264"/>
        <v/>
      </c>
      <c r="C4976" t="str">
        <f t="shared" si="263"/>
        <v/>
      </c>
      <c r="D4976" s="245" t="str">
        <f t="shared" si="265"/>
        <v/>
      </c>
      <c r="E4976" s="534"/>
      <c r="F4976" s="534"/>
    </row>
    <row r="4977" spans="1:6" ht="15" customHeight="1">
      <c r="A4977" s="51"/>
      <c r="B4977" s="52" t="str">
        <f t="shared" si="264"/>
        <v/>
      </c>
      <c r="C4977" t="str">
        <f t="shared" si="263"/>
        <v/>
      </c>
      <c r="D4977" s="245" t="str">
        <f t="shared" si="265"/>
        <v/>
      </c>
      <c r="E4977" s="534"/>
      <c r="F4977" s="534"/>
    </row>
    <row r="4978" spans="1:6" ht="15" customHeight="1">
      <c r="A4978" s="51"/>
      <c r="B4978" s="52" t="str">
        <f t="shared" si="264"/>
        <v/>
      </c>
      <c r="C4978" t="str">
        <f t="shared" si="263"/>
        <v/>
      </c>
      <c r="D4978" s="245" t="str">
        <f t="shared" si="265"/>
        <v/>
      </c>
      <c r="E4978" s="534"/>
      <c r="F4978" s="534"/>
    </row>
    <row r="4979" spans="1:6" ht="15" customHeight="1">
      <c r="A4979" s="51"/>
      <c r="B4979" s="52" t="str">
        <f t="shared" si="264"/>
        <v/>
      </c>
      <c r="C4979" t="str">
        <f t="shared" si="263"/>
        <v/>
      </c>
      <c r="D4979" s="245" t="str">
        <f t="shared" si="265"/>
        <v/>
      </c>
      <c r="E4979" s="534"/>
      <c r="F4979" s="534"/>
    </row>
    <row r="4980" spans="1:6" ht="15" customHeight="1">
      <c r="A4980" s="51"/>
      <c r="B4980" s="52" t="str">
        <f t="shared" si="264"/>
        <v/>
      </c>
      <c r="C4980" t="str">
        <f t="shared" si="263"/>
        <v/>
      </c>
      <c r="D4980" s="245" t="str">
        <f t="shared" si="265"/>
        <v/>
      </c>
      <c r="E4980" s="534"/>
      <c r="F4980" s="534"/>
    </row>
    <row r="4981" spans="1:6" ht="15" customHeight="1">
      <c r="A4981" s="51"/>
      <c r="B4981" s="52" t="str">
        <f t="shared" si="264"/>
        <v/>
      </c>
      <c r="C4981" t="str">
        <f t="shared" si="263"/>
        <v/>
      </c>
      <c r="D4981" s="245" t="str">
        <f t="shared" si="265"/>
        <v/>
      </c>
      <c r="E4981" s="534"/>
      <c r="F4981" s="534"/>
    </row>
    <row r="4982" spans="1:6" ht="15" customHeight="1">
      <c r="A4982" s="51"/>
      <c r="B4982" s="52" t="str">
        <f t="shared" si="264"/>
        <v/>
      </c>
      <c r="C4982" t="str">
        <f t="shared" si="263"/>
        <v/>
      </c>
      <c r="D4982" s="245" t="str">
        <f t="shared" si="265"/>
        <v/>
      </c>
      <c r="E4982" s="534"/>
      <c r="F4982" s="534"/>
    </row>
    <row r="4983" spans="1:6" ht="15" customHeight="1">
      <c r="A4983" s="51"/>
      <c r="B4983" s="52" t="str">
        <f t="shared" si="264"/>
        <v/>
      </c>
      <c r="C4983" t="str">
        <f t="shared" si="263"/>
        <v/>
      </c>
      <c r="D4983" s="245" t="str">
        <f t="shared" si="265"/>
        <v/>
      </c>
      <c r="E4983" s="534"/>
      <c r="F4983" s="534"/>
    </row>
    <row r="4984" spans="1:6" ht="15" customHeight="1">
      <c r="A4984" s="51"/>
      <c r="B4984" s="52" t="str">
        <f t="shared" si="264"/>
        <v/>
      </c>
      <c r="C4984" t="str">
        <f t="shared" si="263"/>
        <v/>
      </c>
      <c r="D4984" s="245" t="str">
        <f t="shared" si="265"/>
        <v/>
      </c>
      <c r="E4984" s="534"/>
      <c r="F4984" s="534"/>
    </row>
    <row r="4985" spans="1:6" ht="15" customHeight="1">
      <c r="A4985" s="51"/>
      <c r="B4985" s="52" t="str">
        <f t="shared" si="264"/>
        <v/>
      </c>
      <c r="C4985" t="str">
        <f t="shared" si="263"/>
        <v/>
      </c>
      <c r="D4985" s="245" t="str">
        <f t="shared" si="265"/>
        <v/>
      </c>
      <c r="E4985" s="534"/>
      <c r="F4985" s="534"/>
    </row>
    <row r="4986" spans="1:6" ht="15" customHeight="1">
      <c r="A4986" s="51"/>
      <c r="B4986" s="52" t="str">
        <f t="shared" si="264"/>
        <v/>
      </c>
      <c r="C4986" t="str">
        <f t="shared" si="263"/>
        <v/>
      </c>
      <c r="D4986" s="245" t="str">
        <f t="shared" si="265"/>
        <v/>
      </c>
      <c r="E4986" s="534"/>
      <c r="F4986" s="534"/>
    </row>
    <row r="4987" spans="1:6" ht="15" customHeight="1">
      <c r="A4987" s="51"/>
      <c r="B4987" s="52" t="str">
        <f t="shared" si="264"/>
        <v/>
      </c>
      <c r="C4987" t="str">
        <f t="shared" si="263"/>
        <v/>
      </c>
      <c r="D4987" s="245" t="str">
        <f t="shared" si="265"/>
        <v/>
      </c>
      <c r="E4987" s="534"/>
      <c r="F4987" s="534"/>
    </row>
    <row r="4988" spans="1:6" ht="15" customHeight="1">
      <c r="A4988" s="51"/>
      <c r="B4988" s="52" t="str">
        <f t="shared" si="264"/>
        <v/>
      </c>
      <c r="C4988" t="str">
        <f t="shared" si="263"/>
        <v/>
      </c>
      <c r="D4988" s="245" t="str">
        <f t="shared" si="265"/>
        <v/>
      </c>
      <c r="E4988" s="534"/>
      <c r="F4988" s="534"/>
    </row>
    <row r="4989" spans="1:6" ht="15" customHeight="1">
      <c r="A4989" s="51"/>
      <c r="B4989" s="52" t="str">
        <f t="shared" si="264"/>
        <v/>
      </c>
      <c r="C4989" t="str">
        <f t="shared" si="263"/>
        <v/>
      </c>
      <c r="D4989" s="245" t="str">
        <f t="shared" si="265"/>
        <v/>
      </c>
      <c r="E4989" s="534"/>
      <c r="F4989" s="534"/>
    </row>
    <row r="4990" spans="1:6" ht="15" customHeight="1">
      <c r="A4990" s="51"/>
      <c r="B4990" s="52" t="str">
        <f t="shared" si="264"/>
        <v/>
      </c>
      <c r="C4990" t="str">
        <f t="shared" si="263"/>
        <v/>
      </c>
      <c r="D4990" s="245" t="str">
        <f t="shared" si="265"/>
        <v/>
      </c>
      <c r="E4990" s="534"/>
      <c r="F4990" s="534"/>
    </row>
    <row r="4991" spans="1:6" ht="15" customHeight="1">
      <c r="A4991" s="51"/>
      <c r="B4991" s="52" t="str">
        <f t="shared" si="264"/>
        <v/>
      </c>
      <c r="C4991" t="str">
        <f t="shared" si="263"/>
        <v/>
      </c>
      <c r="D4991" s="245" t="str">
        <f t="shared" si="265"/>
        <v/>
      </c>
      <c r="E4991" s="534"/>
      <c r="F4991" s="534"/>
    </row>
    <row r="4992" spans="1:6" ht="15" customHeight="1">
      <c r="A4992" s="51"/>
      <c r="B4992" s="52" t="str">
        <f t="shared" si="264"/>
        <v/>
      </c>
      <c r="C4992" t="str">
        <f t="shared" si="263"/>
        <v/>
      </c>
      <c r="D4992" s="245" t="str">
        <f t="shared" si="265"/>
        <v/>
      </c>
      <c r="E4992" s="534"/>
      <c r="F4992" s="534"/>
    </row>
    <row r="4993" spans="1:6" ht="15" customHeight="1">
      <c r="A4993" s="51"/>
      <c r="B4993" s="52" t="str">
        <f t="shared" si="264"/>
        <v/>
      </c>
      <c r="C4993" t="str">
        <f t="shared" si="263"/>
        <v/>
      </c>
      <c r="D4993" s="245" t="str">
        <f t="shared" si="265"/>
        <v/>
      </c>
      <c r="E4993" s="534"/>
      <c r="F4993" s="534"/>
    </row>
    <row r="4994" spans="1:6" ht="15" customHeight="1">
      <c r="A4994" s="51"/>
      <c r="B4994" s="52" t="str">
        <f t="shared" si="264"/>
        <v/>
      </c>
      <c r="C4994" t="str">
        <f t="shared" ref="C4994:C5057" si="266">IF(A4994&lt;&gt;"",TEXT(A4994,"aaaa"),"")</f>
        <v/>
      </c>
      <c r="D4994" s="245" t="str">
        <f t="shared" si="265"/>
        <v/>
      </c>
      <c r="E4994" s="534"/>
      <c r="F4994" s="534"/>
    </row>
    <row r="4995" spans="1:6" ht="15" customHeight="1">
      <c r="A4995" s="51"/>
      <c r="B4995" s="52" t="str">
        <f t="shared" si="264"/>
        <v/>
      </c>
      <c r="C4995" t="str">
        <f t="shared" si="266"/>
        <v/>
      </c>
      <c r="D4995" s="245" t="str">
        <f t="shared" si="265"/>
        <v/>
      </c>
      <c r="E4995" s="534"/>
      <c r="F4995" s="534"/>
    </row>
    <row r="4996" spans="1:6" ht="15" customHeight="1">
      <c r="A4996" s="51"/>
      <c r="B4996" s="52" t="str">
        <f t="shared" si="264"/>
        <v/>
      </c>
      <c r="C4996" t="str">
        <f t="shared" si="266"/>
        <v/>
      </c>
      <c r="D4996" s="245" t="str">
        <f t="shared" si="265"/>
        <v/>
      </c>
      <c r="E4996" s="534"/>
      <c r="F4996" s="534"/>
    </row>
    <row r="4997" spans="1:6" ht="15" customHeight="1">
      <c r="A4997" s="51"/>
      <c r="B4997" s="52" t="str">
        <f t="shared" si="264"/>
        <v/>
      </c>
      <c r="C4997" t="str">
        <f t="shared" si="266"/>
        <v/>
      </c>
      <c r="D4997" s="245" t="str">
        <f t="shared" si="265"/>
        <v/>
      </c>
      <c r="E4997" s="534"/>
      <c r="F4997" s="534"/>
    </row>
    <row r="4998" spans="1:6" ht="15" customHeight="1">
      <c r="A4998" s="51"/>
      <c r="B4998" s="52" t="str">
        <f t="shared" si="264"/>
        <v/>
      </c>
      <c r="C4998" t="str">
        <f t="shared" si="266"/>
        <v/>
      </c>
      <c r="D4998" s="245" t="str">
        <f t="shared" si="265"/>
        <v/>
      </c>
      <c r="E4998" s="534"/>
      <c r="F4998" s="534"/>
    </row>
    <row r="4999" spans="1:6" ht="15" customHeight="1">
      <c r="A4999" s="51"/>
      <c r="B4999" s="52" t="str">
        <f t="shared" si="264"/>
        <v/>
      </c>
      <c r="C4999" t="str">
        <f t="shared" si="266"/>
        <v/>
      </c>
      <c r="D4999" s="245" t="str">
        <f t="shared" si="265"/>
        <v/>
      </c>
      <c r="E4999" s="534"/>
      <c r="F4999" s="534"/>
    </row>
    <row r="5000" spans="1:6" ht="15" customHeight="1">
      <c r="A5000" s="51"/>
      <c r="B5000" s="52" t="str">
        <f t="shared" ref="B5000:B5063" si="267">IF(A5000="","",TEXT(A5000,"DDDD"))</f>
        <v/>
      </c>
      <c r="C5000" t="str">
        <f t="shared" si="266"/>
        <v/>
      </c>
      <c r="D5000" s="245" t="str">
        <f t="shared" si="265"/>
        <v/>
      </c>
      <c r="E5000" s="534"/>
      <c r="F5000" s="534"/>
    </row>
    <row r="5001" spans="1:6" ht="15" customHeight="1">
      <c r="A5001" s="51"/>
      <c r="B5001" s="52" t="str">
        <f t="shared" si="267"/>
        <v/>
      </c>
      <c r="C5001" t="str">
        <f t="shared" si="266"/>
        <v/>
      </c>
      <c r="D5001" s="245" t="str">
        <f t="shared" ref="D5001:D5064" si="268">IF(A5001&lt;&gt;"",PROPER(TEXT(A5001,"Mmmm")),"")</f>
        <v/>
      </c>
      <c r="E5001" s="534"/>
      <c r="F5001" s="534"/>
    </row>
    <row r="5002" spans="1:6" ht="15" customHeight="1">
      <c r="A5002" s="51"/>
      <c r="B5002" s="52" t="str">
        <f t="shared" si="267"/>
        <v/>
      </c>
      <c r="C5002" t="str">
        <f t="shared" si="266"/>
        <v/>
      </c>
      <c r="D5002" s="245" t="str">
        <f t="shared" si="268"/>
        <v/>
      </c>
      <c r="E5002" s="534"/>
      <c r="F5002" s="534"/>
    </row>
    <row r="5003" spans="1:6" ht="15" customHeight="1">
      <c r="A5003" s="51"/>
      <c r="B5003" s="52" t="str">
        <f t="shared" si="267"/>
        <v/>
      </c>
      <c r="C5003" t="str">
        <f t="shared" si="266"/>
        <v/>
      </c>
      <c r="D5003" s="245" t="str">
        <f t="shared" si="268"/>
        <v/>
      </c>
      <c r="E5003" s="534"/>
      <c r="F5003" s="534"/>
    </row>
    <row r="5004" spans="1:6" ht="15" customHeight="1">
      <c r="A5004" s="51"/>
      <c r="B5004" s="52" t="str">
        <f t="shared" si="267"/>
        <v/>
      </c>
      <c r="C5004" t="str">
        <f t="shared" si="266"/>
        <v/>
      </c>
      <c r="D5004" s="245" t="str">
        <f t="shared" si="268"/>
        <v/>
      </c>
      <c r="E5004" s="534"/>
      <c r="F5004" s="534"/>
    </row>
    <row r="5005" spans="1:6" ht="15" customHeight="1">
      <c r="A5005" s="51"/>
      <c r="B5005" s="52" t="str">
        <f t="shared" si="267"/>
        <v/>
      </c>
      <c r="C5005" t="str">
        <f t="shared" si="266"/>
        <v/>
      </c>
      <c r="D5005" s="245" t="str">
        <f t="shared" si="268"/>
        <v/>
      </c>
      <c r="E5005" s="534"/>
      <c r="F5005" s="534"/>
    </row>
    <row r="5006" spans="1:6" ht="15" customHeight="1">
      <c r="A5006" s="51"/>
      <c r="B5006" s="52" t="str">
        <f t="shared" si="267"/>
        <v/>
      </c>
      <c r="C5006" t="str">
        <f t="shared" si="266"/>
        <v/>
      </c>
      <c r="D5006" s="245" t="str">
        <f t="shared" si="268"/>
        <v/>
      </c>
      <c r="E5006" s="534"/>
      <c r="F5006" s="534"/>
    </row>
    <row r="5007" spans="1:6" ht="15" customHeight="1">
      <c r="A5007" s="51"/>
      <c r="B5007" s="52" t="str">
        <f t="shared" si="267"/>
        <v/>
      </c>
      <c r="C5007" t="str">
        <f t="shared" si="266"/>
        <v/>
      </c>
      <c r="D5007" s="245" t="str">
        <f t="shared" si="268"/>
        <v/>
      </c>
      <c r="E5007" s="534"/>
      <c r="F5007" s="534"/>
    </row>
    <row r="5008" spans="1:6" ht="15" customHeight="1">
      <c r="A5008" s="51"/>
      <c r="B5008" s="52" t="str">
        <f t="shared" si="267"/>
        <v/>
      </c>
      <c r="C5008" t="str">
        <f t="shared" si="266"/>
        <v/>
      </c>
      <c r="D5008" s="245" t="str">
        <f t="shared" si="268"/>
        <v/>
      </c>
      <c r="E5008" s="534"/>
      <c r="F5008" s="534"/>
    </row>
    <row r="5009" spans="1:6" ht="15" customHeight="1">
      <c r="A5009" s="51"/>
      <c r="B5009" s="52" t="str">
        <f t="shared" si="267"/>
        <v/>
      </c>
      <c r="C5009" t="str">
        <f t="shared" si="266"/>
        <v/>
      </c>
      <c r="D5009" s="245" t="str">
        <f t="shared" si="268"/>
        <v/>
      </c>
      <c r="E5009" s="534"/>
      <c r="F5009" s="534"/>
    </row>
    <row r="5010" spans="1:6" ht="15" customHeight="1">
      <c r="A5010" s="51"/>
      <c r="B5010" s="52" t="str">
        <f t="shared" si="267"/>
        <v/>
      </c>
      <c r="C5010" t="str">
        <f t="shared" si="266"/>
        <v/>
      </c>
      <c r="D5010" s="245" t="str">
        <f t="shared" si="268"/>
        <v/>
      </c>
      <c r="E5010" s="534"/>
      <c r="F5010" s="534"/>
    </row>
    <row r="5011" spans="1:6" ht="15" customHeight="1">
      <c r="A5011" s="51"/>
      <c r="B5011" s="52" t="str">
        <f t="shared" si="267"/>
        <v/>
      </c>
      <c r="C5011" t="str">
        <f t="shared" si="266"/>
        <v/>
      </c>
      <c r="D5011" s="245" t="str">
        <f t="shared" si="268"/>
        <v/>
      </c>
      <c r="E5011" s="534"/>
      <c r="F5011" s="534"/>
    </row>
    <row r="5012" spans="1:6" ht="15" customHeight="1">
      <c r="A5012" s="51"/>
      <c r="B5012" s="52" t="str">
        <f t="shared" si="267"/>
        <v/>
      </c>
      <c r="C5012" t="str">
        <f t="shared" si="266"/>
        <v/>
      </c>
      <c r="D5012" s="245" t="str">
        <f t="shared" si="268"/>
        <v/>
      </c>
      <c r="E5012" s="534"/>
      <c r="F5012" s="534"/>
    </row>
    <row r="5013" spans="1:6" ht="15" customHeight="1">
      <c r="A5013" s="51"/>
      <c r="B5013" s="52" t="str">
        <f t="shared" si="267"/>
        <v/>
      </c>
      <c r="C5013" t="str">
        <f t="shared" si="266"/>
        <v/>
      </c>
      <c r="D5013" s="245" t="str">
        <f t="shared" si="268"/>
        <v/>
      </c>
      <c r="E5013" s="534"/>
      <c r="F5013" s="534"/>
    </row>
    <row r="5014" spans="1:6" ht="15" customHeight="1">
      <c r="A5014" s="51"/>
      <c r="B5014" s="52" t="str">
        <f t="shared" si="267"/>
        <v/>
      </c>
      <c r="C5014" t="str">
        <f t="shared" si="266"/>
        <v/>
      </c>
      <c r="D5014" s="245" t="str">
        <f t="shared" si="268"/>
        <v/>
      </c>
      <c r="E5014" s="534"/>
      <c r="F5014" s="534"/>
    </row>
    <row r="5015" spans="1:6" ht="15" customHeight="1">
      <c r="A5015" s="51"/>
      <c r="B5015" s="52" t="str">
        <f t="shared" si="267"/>
        <v/>
      </c>
      <c r="C5015" t="str">
        <f t="shared" si="266"/>
        <v/>
      </c>
      <c r="D5015" s="245" t="str">
        <f t="shared" si="268"/>
        <v/>
      </c>
      <c r="E5015" s="534"/>
      <c r="F5015" s="534"/>
    </row>
    <row r="5016" spans="1:6" ht="15" customHeight="1">
      <c r="A5016" s="51"/>
      <c r="B5016" s="52" t="str">
        <f t="shared" si="267"/>
        <v/>
      </c>
      <c r="C5016" t="str">
        <f t="shared" si="266"/>
        <v/>
      </c>
      <c r="D5016" s="245" t="str">
        <f t="shared" si="268"/>
        <v/>
      </c>
      <c r="E5016" s="534"/>
      <c r="F5016" s="534"/>
    </row>
    <row r="5017" spans="1:6" ht="15" customHeight="1">
      <c r="A5017" s="51"/>
      <c r="B5017" s="52" t="str">
        <f t="shared" si="267"/>
        <v/>
      </c>
      <c r="C5017" t="str">
        <f t="shared" si="266"/>
        <v/>
      </c>
      <c r="D5017" s="245" t="str">
        <f t="shared" si="268"/>
        <v/>
      </c>
      <c r="E5017" s="534"/>
      <c r="F5017" s="534"/>
    </row>
    <row r="5018" spans="1:6" ht="15" customHeight="1">
      <c r="A5018" s="51"/>
      <c r="B5018" s="52" t="str">
        <f t="shared" si="267"/>
        <v/>
      </c>
      <c r="C5018" t="str">
        <f t="shared" si="266"/>
        <v/>
      </c>
      <c r="D5018" s="245" t="str">
        <f t="shared" si="268"/>
        <v/>
      </c>
      <c r="E5018" s="534"/>
      <c r="F5018" s="534"/>
    </row>
    <row r="5019" spans="1:6" ht="15" customHeight="1">
      <c r="A5019" s="51"/>
      <c r="B5019" s="52" t="str">
        <f t="shared" si="267"/>
        <v/>
      </c>
      <c r="C5019" t="str">
        <f t="shared" si="266"/>
        <v/>
      </c>
      <c r="D5019" s="245" t="str">
        <f t="shared" si="268"/>
        <v/>
      </c>
      <c r="E5019" s="534"/>
      <c r="F5019" s="534"/>
    </row>
    <row r="5020" spans="1:6" ht="15" customHeight="1">
      <c r="A5020" s="51"/>
      <c r="B5020" s="52" t="str">
        <f t="shared" si="267"/>
        <v/>
      </c>
      <c r="C5020" t="str">
        <f t="shared" si="266"/>
        <v/>
      </c>
      <c r="D5020" s="245" t="str">
        <f t="shared" si="268"/>
        <v/>
      </c>
      <c r="E5020" s="534"/>
      <c r="F5020" s="534"/>
    </row>
    <row r="5021" spans="1:6" ht="15" customHeight="1">
      <c r="A5021" s="51"/>
      <c r="B5021" s="52" t="str">
        <f t="shared" si="267"/>
        <v/>
      </c>
      <c r="C5021" t="str">
        <f t="shared" si="266"/>
        <v/>
      </c>
      <c r="D5021" s="245" t="str">
        <f t="shared" si="268"/>
        <v/>
      </c>
      <c r="E5021" s="534"/>
      <c r="F5021" s="534"/>
    </row>
    <row r="5022" spans="1:6" ht="15" customHeight="1">
      <c r="A5022" s="51"/>
      <c r="B5022" s="52" t="str">
        <f t="shared" si="267"/>
        <v/>
      </c>
      <c r="C5022" t="str">
        <f t="shared" si="266"/>
        <v/>
      </c>
      <c r="D5022" s="245" t="str">
        <f t="shared" si="268"/>
        <v/>
      </c>
      <c r="E5022" s="534"/>
      <c r="F5022" s="534"/>
    </row>
    <row r="5023" spans="1:6" ht="15" customHeight="1">
      <c r="A5023" s="51"/>
      <c r="B5023" s="52" t="str">
        <f t="shared" si="267"/>
        <v/>
      </c>
      <c r="C5023" t="str">
        <f t="shared" si="266"/>
        <v/>
      </c>
      <c r="D5023" s="245" t="str">
        <f t="shared" si="268"/>
        <v/>
      </c>
      <c r="E5023" s="534"/>
      <c r="F5023" s="534"/>
    </row>
    <row r="5024" spans="1:6" ht="15" customHeight="1">
      <c r="A5024" s="51"/>
      <c r="B5024" s="52" t="str">
        <f t="shared" si="267"/>
        <v/>
      </c>
      <c r="C5024" t="str">
        <f t="shared" si="266"/>
        <v/>
      </c>
      <c r="D5024" s="245" t="str">
        <f t="shared" si="268"/>
        <v/>
      </c>
      <c r="E5024" s="534"/>
      <c r="F5024" s="534"/>
    </row>
    <row r="5025" spans="1:6" ht="15" customHeight="1">
      <c r="A5025" s="51"/>
      <c r="B5025" s="52" t="str">
        <f t="shared" si="267"/>
        <v/>
      </c>
      <c r="C5025" t="str">
        <f t="shared" si="266"/>
        <v/>
      </c>
      <c r="D5025" s="245" t="str">
        <f t="shared" si="268"/>
        <v/>
      </c>
      <c r="E5025" s="534"/>
      <c r="F5025" s="534"/>
    </row>
    <row r="5026" spans="1:6" ht="15" customHeight="1">
      <c r="A5026" s="51"/>
      <c r="B5026" s="52" t="str">
        <f t="shared" si="267"/>
        <v/>
      </c>
      <c r="C5026" t="str">
        <f t="shared" si="266"/>
        <v/>
      </c>
      <c r="D5026" s="245" t="str">
        <f t="shared" si="268"/>
        <v/>
      </c>
      <c r="E5026" s="534"/>
      <c r="F5026" s="534"/>
    </row>
    <row r="5027" spans="1:6" ht="15" customHeight="1">
      <c r="A5027" s="51"/>
      <c r="B5027" s="52" t="str">
        <f t="shared" si="267"/>
        <v/>
      </c>
      <c r="C5027" t="str">
        <f t="shared" si="266"/>
        <v/>
      </c>
      <c r="D5027" s="245" t="str">
        <f t="shared" si="268"/>
        <v/>
      </c>
      <c r="E5027" s="534"/>
      <c r="F5027" s="534"/>
    </row>
    <row r="5028" spans="1:6" ht="15" customHeight="1">
      <c r="A5028" s="51"/>
      <c r="B5028" s="52" t="str">
        <f t="shared" si="267"/>
        <v/>
      </c>
      <c r="C5028" t="str">
        <f t="shared" si="266"/>
        <v/>
      </c>
      <c r="D5028" s="245" t="str">
        <f t="shared" si="268"/>
        <v/>
      </c>
      <c r="E5028" s="534"/>
      <c r="F5028" s="534"/>
    </row>
    <row r="5029" spans="1:6" ht="15" customHeight="1">
      <c r="A5029" s="51"/>
      <c r="B5029" s="52" t="str">
        <f t="shared" si="267"/>
        <v/>
      </c>
      <c r="C5029" t="str">
        <f t="shared" si="266"/>
        <v/>
      </c>
      <c r="D5029" s="245" t="str">
        <f t="shared" si="268"/>
        <v/>
      </c>
      <c r="E5029" s="534"/>
      <c r="F5029" s="534"/>
    </row>
    <row r="5030" spans="1:6" ht="15" customHeight="1">
      <c r="A5030" s="51"/>
      <c r="B5030" s="52" t="str">
        <f t="shared" si="267"/>
        <v/>
      </c>
      <c r="C5030" t="str">
        <f t="shared" si="266"/>
        <v/>
      </c>
      <c r="D5030" s="245" t="str">
        <f t="shared" si="268"/>
        <v/>
      </c>
      <c r="E5030" s="534"/>
      <c r="F5030" s="534"/>
    </row>
    <row r="5031" spans="1:6" ht="15" customHeight="1">
      <c r="A5031" s="51"/>
      <c r="B5031" s="52" t="str">
        <f t="shared" si="267"/>
        <v/>
      </c>
      <c r="C5031" t="str">
        <f t="shared" si="266"/>
        <v/>
      </c>
      <c r="D5031" s="245" t="str">
        <f t="shared" si="268"/>
        <v/>
      </c>
      <c r="E5031" s="534"/>
      <c r="F5031" s="534"/>
    </row>
    <row r="5032" spans="1:6" ht="15" customHeight="1">
      <c r="A5032" s="51"/>
      <c r="B5032" s="52" t="str">
        <f t="shared" si="267"/>
        <v/>
      </c>
      <c r="C5032" t="str">
        <f t="shared" si="266"/>
        <v/>
      </c>
      <c r="D5032" s="245" t="str">
        <f t="shared" si="268"/>
        <v/>
      </c>
      <c r="E5032" s="534"/>
      <c r="F5032" s="534"/>
    </row>
    <row r="5033" spans="1:6" ht="15" customHeight="1">
      <c r="A5033" s="51"/>
      <c r="B5033" s="52" t="str">
        <f t="shared" si="267"/>
        <v/>
      </c>
      <c r="C5033" t="str">
        <f t="shared" si="266"/>
        <v/>
      </c>
      <c r="D5033" s="245" t="str">
        <f t="shared" si="268"/>
        <v/>
      </c>
      <c r="E5033" s="534"/>
      <c r="F5033" s="534"/>
    </row>
    <row r="5034" spans="1:6" ht="15" customHeight="1">
      <c r="A5034" s="51"/>
      <c r="B5034" s="52" t="str">
        <f t="shared" si="267"/>
        <v/>
      </c>
      <c r="C5034" t="str">
        <f t="shared" si="266"/>
        <v/>
      </c>
      <c r="D5034" s="245" t="str">
        <f t="shared" si="268"/>
        <v/>
      </c>
      <c r="E5034" s="534"/>
      <c r="F5034" s="534"/>
    </row>
    <row r="5035" spans="1:6" ht="15" customHeight="1">
      <c r="A5035" s="51"/>
      <c r="B5035" s="52" t="str">
        <f t="shared" si="267"/>
        <v/>
      </c>
      <c r="C5035" t="str">
        <f t="shared" si="266"/>
        <v/>
      </c>
      <c r="D5035" s="245" t="str">
        <f t="shared" si="268"/>
        <v/>
      </c>
      <c r="E5035" s="534"/>
      <c r="F5035" s="534"/>
    </row>
    <row r="5036" spans="1:6" ht="15" customHeight="1">
      <c r="A5036" s="51"/>
      <c r="B5036" s="52" t="str">
        <f t="shared" si="267"/>
        <v/>
      </c>
      <c r="C5036" t="str">
        <f t="shared" si="266"/>
        <v/>
      </c>
      <c r="D5036" s="245" t="str">
        <f t="shared" si="268"/>
        <v/>
      </c>
      <c r="E5036" s="534"/>
      <c r="F5036" s="534"/>
    </row>
    <row r="5037" spans="1:6" ht="15" customHeight="1">
      <c r="A5037" s="51"/>
      <c r="B5037" s="52" t="str">
        <f t="shared" si="267"/>
        <v/>
      </c>
      <c r="C5037" t="str">
        <f t="shared" si="266"/>
        <v/>
      </c>
      <c r="D5037" s="245" t="str">
        <f t="shared" si="268"/>
        <v/>
      </c>
      <c r="E5037" s="534"/>
      <c r="F5037" s="534"/>
    </row>
    <row r="5038" spans="1:6" ht="15" customHeight="1">
      <c r="A5038" s="51"/>
      <c r="B5038" s="52" t="str">
        <f t="shared" si="267"/>
        <v/>
      </c>
      <c r="C5038" t="str">
        <f t="shared" si="266"/>
        <v/>
      </c>
      <c r="D5038" s="245" t="str">
        <f t="shared" si="268"/>
        <v/>
      </c>
      <c r="E5038" s="534"/>
      <c r="F5038" s="534"/>
    </row>
    <row r="5039" spans="1:6" ht="15" customHeight="1">
      <c r="A5039" s="51"/>
      <c r="B5039" s="52" t="str">
        <f t="shared" si="267"/>
        <v/>
      </c>
      <c r="C5039" t="str">
        <f t="shared" si="266"/>
        <v/>
      </c>
      <c r="D5039" s="245" t="str">
        <f t="shared" si="268"/>
        <v/>
      </c>
      <c r="E5039" s="534"/>
      <c r="F5039" s="534"/>
    </row>
    <row r="5040" spans="1:6" ht="15" customHeight="1">
      <c r="A5040" s="51"/>
      <c r="B5040" s="52" t="str">
        <f t="shared" si="267"/>
        <v/>
      </c>
      <c r="C5040" t="str">
        <f t="shared" si="266"/>
        <v/>
      </c>
      <c r="D5040" s="245" t="str">
        <f t="shared" si="268"/>
        <v/>
      </c>
      <c r="E5040" s="534"/>
      <c r="F5040" s="534"/>
    </row>
    <row r="5041" spans="1:6" ht="15" customHeight="1">
      <c r="A5041" s="51"/>
      <c r="B5041" s="52" t="str">
        <f t="shared" si="267"/>
        <v/>
      </c>
      <c r="C5041" t="str">
        <f t="shared" si="266"/>
        <v/>
      </c>
      <c r="D5041" s="245" t="str">
        <f t="shared" si="268"/>
        <v/>
      </c>
      <c r="E5041" s="534"/>
      <c r="F5041" s="534"/>
    </row>
    <row r="5042" spans="1:6" ht="15" customHeight="1">
      <c r="A5042" s="51"/>
      <c r="B5042" s="52" t="str">
        <f t="shared" si="267"/>
        <v/>
      </c>
      <c r="C5042" t="str">
        <f t="shared" si="266"/>
        <v/>
      </c>
      <c r="D5042" s="245" t="str">
        <f t="shared" si="268"/>
        <v/>
      </c>
      <c r="E5042" s="534"/>
      <c r="F5042" s="534"/>
    </row>
    <row r="5043" spans="1:6" ht="15" customHeight="1">
      <c r="A5043" s="51"/>
      <c r="B5043" s="52" t="str">
        <f t="shared" si="267"/>
        <v/>
      </c>
      <c r="C5043" t="str">
        <f t="shared" si="266"/>
        <v/>
      </c>
      <c r="D5043" s="245" t="str">
        <f t="shared" si="268"/>
        <v/>
      </c>
      <c r="E5043" s="534"/>
      <c r="F5043" s="534"/>
    </row>
    <row r="5044" spans="1:6" ht="15" customHeight="1">
      <c r="A5044" s="51"/>
      <c r="B5044" s="52" t="str">
        <f t="shared" si="267"/>
        <v/>
      </c>
      <c r="C5044" t="str">
        <f t="shared" si="266"/>
        <v/>
      </c>
      <c r="D5044" s="245" t="str">
        <f t="shared" si="268"/>
        <v/>
      </c>
      <c r="E5044" s="534"/>
      <c r="F5044" s="534"/>
    </row>
    <row r="5045" spans="1:6" ht="15" customHeight="1">
      <c r="A5045" s="51"/>
      <c r="B5045" s="52" t="str">
        <f t="shared" si="267"/>
        <v/>
      </c>
      <c r="C5045" t="str">
        <f t="shared" si="266"/>
        <v/>
      </c>
      <c r="D5045" s="245" t="str">
        <f t="shared" si="268"/>
        <v/>
      </c>
      <c r="E5045" s="534"/>
      <c r="F5045" s="534"/>
    </row>
    <row r="5046" spans="1:6" ht="15" customHeight="1">
      <c r="A5046" s="51"/>
      <c r="B5046" s="52" t="str">
        <f t="shared" si="267"/>
        <v/>
      </c>
      <c r="C5046" t="str">
        <f t="shared" si="266"/>
        <v/>
      </c>
      <c r="D5046" s="245" t="str">
        <f t="shared" si="268"/>
        <v/>
      </c>
      <c r="E5046" s="534"/>
      <c r="F5046" s="534"/>
    </row>
    <row r="5047" spans="1:6" ht="15" customHeight="1">
      <c r="A5047" s="51"/>
      <c r="B5047" s="52" t="str">
        <f t="shared" si="267"/>
        <v/>
      </c>
      <c r="C5047" t="str">
        <f t="shared" si="266"/>
        <v/>
      </c>
      <c r="D5047" s="245" t="str">
        <f t="shared" si="268"/>
        <v/>
      </c>
      <c r="E5047" s="534"/>
      <c r="F5047" s="534"/>
    </row>
    <row r="5048" spans="1:6" ht="15" customHeight="1">
      <c r="A5048" s="51"/>
      <c r="B5048" s="52" t="str">
        <f t="shared" si="267"/>
        <v/>
      </c>
      <c r="C5048" t="str">
        <f t="shared" si="266"/>
        <v/>
      </c>
      <c r="D5048" s="245" t="str">
        <f t="shared" si="268"/>
        <v/>
      </c>
      <c r="E5048" s="534"/>
      <c r="F5048" s="534"/>
    </row>
    <row r="5049" spans="1:6" ht="15" customHeight="1">
      <c r="A5049" s="51"/>
      <c r="B5049" s="52" t="str">
        <f t="shared" si="267"/>
        <v/>
      </c>
      <c r="C5049" t="str">
        <f t="shared" si="266"/>
        <v/>
      </c>
      <c r="D5049" s="245" t="str">
        <f t="shared" si="268"/>
        <v/>
      </c>
      <c r="E5049" s="534"/>
      <c r="F5049" s="534"/>
    </row>
    <row r="5050" spans="1:6" ht="15" customHeight="1">
      <c r="A5050" s="51"/>
      <c r="B5050" s="52" t="str">
        <f t="shared" si="267"/>
        <v/>
      </c>
      <c r="C5050" t="str">
        <f t="shared" si="266"/>
        <v/>
      </c>
      <c r="D5050" s="245" t="str">
        <f t="shared" si="268"/>
        <v/>
      </c>
      <c r="E5050" s="534"/>
      <c r="F5050" s="534"/>
    </row>
    <row r="5051" spans="1:6" ht="15" customHeight="1">
      <c r="A5051" s="51"/>
      <c r="B5051" s="52" t="str">
        <f t="shared" si="267"/>
        <v/>
      </c>
      <c r="C5051" t="str">
        <f t="shared" si="266"/>
        <v/>
      </c>
      <c r="D5051" s="245" t="str">
        <f t="shared" si="268"/>
        <v/>
      </c>
      <c r="E5051" s="534"/>
      <c r="F5051" s="534"/>
    </row>
    <row r="5052" spans="1:6" ht="15" customHeight="1">
      <c r="A5052" s="51"/>
      <c r="B5052" s="52" t="str">
        <f t="shared" si="267"/>
        <v/>
      </c>
      <c r="C5052" t="str">
        <f t="shared" si="266"/>
        <v/>
      </c>
      <c r="D5052" s="245" t="str">
        <f t="shared" si="268"/>
        <v/>
      </c>
      <c r="E5052" s="534"/>
      <c r="F5052" s="534"/>
    </row>
    <row r="5053" spans="1:6" ht="15" customHeight="1">
      <c r="A5053" s="51"/>
      <c r="B5053" s="52" t="str">
        <f t="shared" si="267"/>
        <v/>
      </c>
      <c r="C5053" t="str">
        <f t="shared" si="266"/>
        <v/>
      </c>
      <c r="D5053" s="245" t="str">
        <f t="shared" si="268"/>
        <v/>
      </c>
      <c r="E5053" s="534"/>
      <c r="F5053" s="534"/>
    </row>
    <row r="5054" spans="1:6" ht="15" customHeight="1">
      <c r="A5054" s="51"/>
      <c r="B5054" s="52" t="str">
        <f t="shared" si="267"/>
        <v/>
      </c>
      <c r="C5054" t="str">
        <f t="shared" si="266"/>
        <v/>
      </c>
      <c r="D5054" s="245" t="str">
        <f t="shared" si="268"/>
        <v/>
      </c>
      <c r="E5054" s="534"/>
      <c r="F5054" s="534"/>
    </row>
    <row r="5055" spans="1:6" ht="15" customHeight="1">
      <c r="A5055" s="51"/>
      <c r="B5055" s="52" t="str">
        <f t="shared" si="267"/>
        <v/>
      </c>
      <c r="C5055" t="str">
        <f t="shared" si="266"/>
        <v/>
      </c>
      <c r="D5055" s="245" t="str">
        <f t="shared" si="268"/>
        <v/>
      </c>
      <c r="E5055" s="534"/>
      <c r="F5055" s="534"/>
    </row>
    <row r="5056" spans="1:6" ht="15" customHeight="1">
      <c r="A5056" s="51"/>
      <c r="B5056" s="52" t="str">
        <f t="shared" si="267"/>
        <v/>
      </c>
      <c r="C5056" t="str">
        <f t="shared" si="266"/>
        <v/>
      </c>
      <c r="D5056" s="245" t="str">
        <f t="shared" si="268"/>
        <v/>
      </c>
      <c r="E5056" s="534"/>
      <c r="F5056" s="534"/>
    </row>
    <row r="5057" spans="1:6" ht="15" customHeight="1">
      <c r="A5057" s="51"/>
      <c r="B5057" s="52" t="str">
        <f t="shared" si="267"/>
        <v/>
      </c>
      <c r="C5057" t="str">
        <f t="shared" si="266"/>
        <v/>
      </c>
      <c r="D5057" s="245" t="str">
        <f t="shared" si="268"/>
        <v/>
      </c>
      <c r="E5057" s="534"/>
      <c r="F5057" s="534"/>
    </row>
    <row r="5058" spans="1:6" ht="15" customHeight="1">
      <c r="A5058" s="51"/>
      <c r="B5058" s="52" t="str">
        <f t="shared" si="267"/>
        <v/>
      </c>
      <c r="C5058" t="str">
        <f t="shared" ref="C5058:C5121" si="269">IF(A5058&lt;&gt;"",TEXT(A5058,"aaaa"),"")</f>
        <v/>
      </c>
      <c r="D5058" s="245" t="str">
        <f t="shared" si="268"/>
        <v/>
      </c>
      <c r="E5058" s="534"/>
      <c r="F5058" s="534"/>
    </row>
    <row r="5059" spans="1:6" ht="15" customHeight="1">
      <c r="A5059" s="51"/>
      <c r="B5059" s="52" t="str">
        <f t="shared" si="267"/>
        <v/>
      </c>
      <c r="C5059" t="str">
        <f t="shared" si="269"/>
        <v/>
      </c>
      <c r="D5059" s="245" t="str">
        <f t="shared" si="268"/>
        <v/>
      </c>
      <c r="E5059" s="534"/>
      <c r="F5059" s="534"/>
    </row>
    <row r="5060" spans="1:6" ht="15" customHeight="1">
      <c r="A5060" s="51"/>
      <c r="B5060" s="52" t="str">
        <f t="shared" si="267"/>
        <v/>
      </c>
      <c r="C5060" t="str">
        <f t="shared" si="269"/>
        <v/>
      </c>
      <c r="D5060" s="245" t="str">
        <f t="shared" si="268"/>
        <v/>
      </c>
      <c r="E5060" s="534"/>
      <c r="F5060" s="534"/>
    </row>
    <row r="5061" spans="1:6" ht="15" customHeight="1">
      <c r="A5061" s="51"/>
      <c r="B5061" s="52" t="str">
        <f t="shared" si="267"/>
        <v/>
      </c>
      <c r="C5061" t="str">
        <f t="shared" si="269"/>
        <v/>
      </c>
      <c r="D5061" s="245" t="str">
        <f t="shared" si="268"/>
        <v/>
      </c>
      <c r="E5061" s="534"/>
      <c r="F5061" s="534"/>
    </row>
    <row r="5062" spans="1:6" ht="15" customHeight="1">
      <c r="A5062" s="51"/>
      <c r="B5062" s="52" t="str">
        <f t="shared" si="267"/>
        <v/>
      </c>
      <c r="C5062" t="str">
        <f t="shared" si="269"/>
        <v/>
      </c>
      <c r="D5062" s="245" t="str">
        <f t="shared" si="268"/>
        <v/>
      </c>
      <c r="E5062" s="534"/>
      <c r="F5062" s="534"/>
    </row>
    <row r="5063" spans="1:6" ht="15" customHeight="1">
      <c r="A5063" s="51"/>
      <c r="B5063" s="52" t="str">
        <f t="shared" si="267"/>
        <v/>
      </c>
      <c r="C5063" t="str">
        <f t="shared" si="269"/>
        <v/>
      </c>
      <c r="D5063" s="245" t="str">
        <f t="shared" si="268"/>
        <v/>
      </c>
      <c r="E5063" s="534"/>
      <c r="F5063" s="534"/>
    </row>
    <row r="5064" spans="1:6" ht="15" customHeight="1">
      <c r="A5064" s="51"/>
      <c r="B5064" s="52" t="str">
        <f t="shared" ref="B5064:B5127" si="270">IF(A5064="","",TEXT(A5064,"DDDD"))</f>
        <v/>
      </c>
      <c r="C5064" t="str">
        <f t="shared" si="269"/>
        <v/>
      </c>
      <c r="D5064" s="245" t="str">
        <f t="shared" si="268"/>
        <v/>
      </c>
      <c r="E5064" s="534"/>
      <c r="F5064" s="534"/>
    </row>
    <row r="5065" spans="1:6" ht="15" customHeight="1">
      <c r="A5065" s="51"/>
      <c r="B5065" s="52" t="str">
        <f t="shared" si="270"/>
        <v/>
      </c>
      <c r="C5065" t="str">
        <f t="shared" si="269"/>
        <v/>
      </c>
      <c r="D5065" s="245" t="str">
        <f t="shared" ref="D5065:D5128" si="271">IF(A5065&lt;&gt;"",PROPER(TEXT(A5065,"Mmmm")),"")</f>
        <v/>
      </c>
      <c r="E5065" s="534"/>
      <c r="F5065" s="534"/>
    </row>
    <row r="5066" spans="1:6" ht="15" customHeight="1">
      <c r="A5066" s="51"/>
      <c r="B5066" s="52" t="str">
        <f t="shared" si="270"/>
        <v/>
      </c>
      <c r="C5066" t="str">
        <f t="shared" si="269"/>
        <v/>
      </c>
      <c r="D5066" s="245" t="str">
        <f t="shared" si="271"/>
        <v/>
      </c>
      <c r="E5066" s="534"/>
      <c r="F5066" s="534"/>
    </row>
    <row r="5067" spans="1:6" ht="15" customHeight="1">
      <c r="A5067" s="51"/>
      <c r="B5067" s="52" t="str">
        <f t="shared" si="270"/>
        <v/>
      </c>
      <c r="C5067" t="str">
        <f t="shared" si="269"/>
        <v/>
      </c>
      <c r="D5067" s="245" t="str">
        <f t="shared" si="271"/>
        <v/>
      </c>
      <c r="E5067" s="534"/>
      <c r="F5067" s="534"/>
    </row>
    <row r="5068" spans="1:6" ht="15" customHeight="1">
      <c r="A5068" s="51"/>
      <c r="B5068" s="52" t="str">
        <f t="shared" si="270"/>
        <v/>
      </c>
      <c r="C5068" t="str">
        <f t="shared" si="269"/>
        <v/>
      </c>
      <c r="D5068" s="245" t="str">
        <f t="shared" si="271"/>
        <v/>
      </c>
      <c r="E5068" s="534"/>
      <c r="F5068" s="534"/>
    </row>
    <row r="5069" spans="1:6" ht="15" customHeight="1">
      <c r="A5069" s="51"/>
      <c r="B5069" s="52" t="str">
        <f t="shared" si="270"/>
        <v/>
      </c>
      <c r="C5069" t="str">
        <f t="shared" si="269"/>
        <v/>
      </c>
      <c r="D5069" s="245" t="str">
        <f t="shared" si="271"/>
        <v/>
      </c>
      <c r="E5069" s="534"/>
      <c r="F5069" s="534"/>
    </row>
    <row r="5070" spans="1:6" ht="15" customHeight="1">
      <c r="A5070" s="51"/>
      <c r="B5070" s="52" t="str">
        <f t="shared" si="270"/>
        <v/>
      </c>
      <c r="C5070" t="str">
        <f t="shared" si="269"/>
        <v/>
      </c>
      <c r="D5070" s="245" t="str">
        <f t="shared" si="271"/>
        <v/>
      </c>
      <c r="E5070" s="534"/>
      <c r="F5070" s="534"/>
    </row>
    <row r="5071" spans="1:6" ht="15" customHeight="1">
      <c r="A5071" s="51"/>
      <c r="B5071" s="52" t="str">
        <f t="shared" si="270"/>
        <v/>
      </c>
      <c r="C5071" t="str">
        <f t="shared" si="269"/>
        <v/>
      </c>
      <c r="D5071" s="245" t="str">
        <f t="shared" si="271"/>
        <v/>
      </c>
      <c r="E5071" s="534"/>
      <c r="F5071" s="534"/>
    </row>
    <row r="5072" spans="1:6" ht="15" customHeight="1">
      <c r="A5072" s="51"/>
      <c r="B5072" s="52" t="str">
        <f t="shared" si="270"/>
        <v/>
      </c>
      <c r="C5072" t="str">
        <f t="shared" si="269"/>
        <v/>
      </c>
      <c r="D5072" s="245" t="str">
        <f t="shared" si="271"/>
        <v/>
      </c>
      <c r="E5072" s="534"/>
      <c r="F5072" s="534"/>
    </row>
    <row r="5073" spans="1:6" ht="15" customHeight="1">
      <c r="A5073" s="51"/>
      <c r="B5073" s="52" t="str">
        <f t="shared" si="270"/>
        <v/>
      </c>
      <c r="C5073" t="str">
        <f t="shared" si="269"/>
        <v/>
      </c>
      <c r="D5073" s="245" t="str">
        <f t="shared" si="271"/>
        <v/>
      </c>
      <c r="E5073" s="534"/>
      <c r="F5073" s="534"/>
    </row>
    <row r="5074" spans="1:6" ht="15" customHeight="1">
      <c r="A5074" s="51"/>
      <c r="B5074" s="52" t="str">
        <f t="shared" si="270"/>
        <v/>
      </c>
      <c r="C5074" t="str">
        <f t="shared" si="269"/>
        <v/>
      </c>
      <c r="D5074" s="245" t="str">
        <f t="shared" si="271"/>
        <v/>
      </c>
      <c r="E5074" s="534"/>
      <c r="F5074" s="534"/>
    </row>
    <row r="5075" spans="1:6" ht="15" customHeight="1">
      <c r="A5075" s="51"/>
      <c r="B5075" s="52" t="str">
        <f t="shared" si="270"/>
        <v/>
      </c>
      <c r="C5075" t="str">
        <f t="shared" si="269"/>
        <v/>
      </c>
      <c r="D5075" s="245" t="str">
        <f t="shared" si="271"/>
        <v/>
      </c>
      <c r="E5075" s="534"/>
      <c r="F5075" s="534"/>
    </row>
    <row r="5076" spans="1:6" ht="15" customHeight="1">
      <c r="A5076" s="51"/>
      <c r="B5076" s="52" t="str">
        <f t="shared" si="270"/>
        <v/>
      </c>
      <c r="C5076" t="str">
        <f t="shared" si="269"/>
        <v/>
      </c>
      <c r="D5076" s="245" t="str">
        <f t="shared" si="271"/>
        <v/>
      </c>
      <c r="E5076" s="534"/>
      <c r="F5076" s="534"/>
    </row>
    <row r="5077" spans="1:6" ht="15" customHeight="1">
      <c r="A5077" s="51"/>
      <c r="B5077" s="52" t="str">
        <f t="shared" si="270"/>
        <v/>
      </c>
      <c r="C5077" t="str">
        <f t="shared" si="269"/>
        <v/>
      </c>
      <c r="D5077" s="245" t="str">
        <f t="shared" si="271"/>
        <v/>
      </c>
      <c r="E5077" s="534"/>
      <c r="F5077" s="534"/>
    </row>
    <row r="5078" spans="1:6" ht="15" customHeight="1">
      <c r="A5078" s="51"/>
      <c r="B5078" s="52" t="str">
        <f t="shared" si="270"/>
        <v/>
      </c>
      <c r="C5078" t="str">
        <f t="shared" si="269"/>
        <v/>
      </c>
      <c r="D5078" s="245" t="str">
        <f t="shared" si="271"/>
        <v/>
      </c>
      <c r="E5078" s="534"/>
      <c r="F5078" s="534"/>
    </row>
    <row r="5079" spans="1:6" ht="15" customHeight="1">
      <c r="A5079" s="51"/>
      <c r="B5079" s="52" t="str">
        <f t="shared" si="270"/>
        <v/>
      </c>
      <c r="C5079" t="str">
        <f t="shared" si="269"/>
        <v/>
      </c>
      <c r="D5079" s="245" t="str">
        <f t="shared" si="271"/>
        <v/>
      </c>
      <c r="E5079" s="534"/>
      <c r="F5079" s="534"/>
    </row>
    <row r="5080" spans="1:6" ht="15" customHeight="1">
      <c r="A5080" s="51"/>
      <c r="B5080" s="52" t="str">
        <f t="shared" si="270"/>
        <v/>
      </c>
      <c r="C5080" t="str">
        <f t="shared" si="269"/>
        <v/>
      </c>
      <c r="D5080" s="245" t="str">
        <f t="shared" si="271"/>
        <v/>
      </c>
      <c r="E5080" s="534"/>
      <c r="F5080" s="534"/>
    </row>
    <row r="5081" spans="1:6" ht="15" customHeight="1">
      <c r="A5081" s="51"/>
      <c r="B5081" s="52" t="str">
        <f t="shared" si="270"/>
        <v/>
      </c>
      <c r="C5081" t="str">
        <f t="shared" si="269"/>
        <v/>
      </c>
      <c r="D5081" s="245" t="str">
        <f t="shared" si="271"/>
        <v/>
      </c>
      <c r="E5081" s="534"/>
      <c r="F5081" s="534"/>
    </row>
    <row r="5082" spans="1:6" ht="15" customHeight="1">
      <c r="A5082" s="51"/>
      <c r="B5082" s="52" t="str">
        <f t="shared" si="270"/>
        <v/>
      </c>
      <c r="C5082" t="str">
        <f t="shared" si="269"/>
        <v/>
      </c>
      <c r="D5082" s="245" t="str">
        <f t="shared" si="271"/>
        <v/>
      </c>
      <c r="E5082" s="534"/>
      <c r="F5082" s="534"/>
    </row>
    <row r="5083" spans="1:6" ht="15" customHeight="1">
      <c r="A5083" s="51"/>
      <c r="B5083" s="52" t="str">
        <f t="shared" si="270"/>
        <v/>
      </c>
      <c r="C5083" t="str">
        <f t="shared" si="269"/>
        <v/>
      </c>
      <c r="D5083" s="245" t="str">
        <f t="shared" si="271"/>
        <v/>
      </c>
      <c r="E5083" s="534"/>
      <c r="F5083" s="534"/>
    </row>
    <row r="5084" spans="1:6" ht="15" customHeight="1">
      <c r="A5084" s="51"/>
      <c r="B5084" s="52" t="str">
        <f t="shared" si="270"/>
        <v/>
      </c>
      <c r="C5084" t="str">
        <f t="shared" si="269"/>
        <v/>
      </c>
      <c r="D5084" s="245" t="str">
        <f t="shared" si="271"/>
        <v/>
      </c>
      <c r="E5084" s="534"/>
      <c r="F5084" s="534"/>
    </row>
    <row r="5085" spans="1:6" ht="15" customHeight="1">
      <c r="A5085" s="51"/>
      <c r="B5085" s="52" t="str">
        <f t="shared" si="270"/>
        <v/>
      </c>
      <c r="C5085" t="str">
        <f t="shared" si="269"/>
        <v/>
      </c>
      <c r="D5085" s="245" t="str">
        <f t="shared" si="271"/>
        <v/>
      </c>
      <c r="E5085" s="534"/>
      <c r="F5085" s="534"/>
    </row>
    <row r="5086" spans="1:6" ht="15" customHeight="1">
      <c r="A5086" s="51"/>
      <c r="B5086" s="52" t="str">
        <f t="shared" si="270"/>
        <v/>
      </c>
      <c r="C5086" t="str">
        <f t="shared" si="269"/>
        <v/>
      </c>
      <c r="D5086" s="245" t="str">
        <f t="shared" si="271"/>
        <v/>
      </c>
      <c r="E5086" s="534"/>
      <c r="F5086" s="534"/>
    </row>
    <row r="5087" spans="1:6" ht="15" customHeight="1">
      <c r="A5087" s="51"/>
      <c r="B5087" s="52" t="str">
        <f t="shared" si="270"/>
        <v/>
      </c>
      <c r="C5087" t="str">
        <f t="shared" si="269"/>
        <v/>
      </c>
      <c r="D5087" s="245" t="str">
        <f t="shared" si="271"/>
        <v/>
      </c>
      <c r="E5087" s="534"/>
      <c r="F5087" s="534"/>
    </row>
    <row r="5088" spans="1:6" ht="15" customHeight="1">
      <c r="A5088" s="51"/>
      <c r="B5088" s="52" t="str">
        <f t="shared" si="270"/>
        <v/>
      </c>
      <c r="C5088" t="str">
        <f t="shared" si="269"/>
        <v/>
      </c>
      <c r="D5088" s="245" t="str">
        <f t="shared" si="271"/>
        <v/>
      </c>
      <c r="E5088" s="534"/>
      <c r="F5088" s="534"/>
    </row>
    <row r="5089" spans="1:6" ht="15" customHeight="1">
      <c r="A5089" s="51"/>
      <c r="B5089" s="52" t="str">
        <f t="shared" si="270"/>
        <v/>
      </c>
      <c r="C5089" t="str">
        <f t="shared" si="269"/>
        <v/>
      </c>
      <c r="D5089" s="245" t="str">
        <f t="shared" si="271"/>
        <v/>
      </c>
      <c r="E5089" s="534"/>
      <c r="F5089" s="534"/>
    </row>
    <row r="5090" spans="1:6" ht="15" customHeight="1">
      <c r="A5090" s="51"/>
      <c r="B5090" s="52" t="str">
        <f t="shared" si="270"/>
        <v/>
      </c>
      <c r="C5090" t="str">
        <f t="shared" si="269"/>
        <v/>
      </c>
      <c r="D5090" s="245" t="str">
        <f t="shared" si="271"/>
        <v/>
      </c>
      <c r="E5090" s="534"/>
      <c r="F5090" s="534"/>
    </row>
    <row r="5091" spans="1:6" ht="15" customHeight="1">
      <c r="A5091" s="51"/>
      <c r="B5091" s="52" t="str">
        <f t="shared" si="270"/>
        <v/>
      </c>
      <c r="C5091" t="str">
        <f t="shared" si="269"/>
        <v/>
      </c>
      <c r="D5091" s="245" t="str">
        <f t="shared" si="271"/>
        <v/>
      </c>
      <c r="E5091" s="534"/>
      <c r="F5091" s="534"/>
    </row>
    <row r="5092" spans="1:6" ht="15" customHeight="1">
      <c r="A5092" s="51"/>
      <c r="B5092" s="52" t="str">
        <f t="shared" si="270"/>
        <v/>
      </c>
      <c r="C5092" t="str">
        <f t="shared" si="269"/>
        <v/>
      </c>
      <c r="D5092" s="245" t="str">
        <f t="shared" si="271"/>
        <v/>
      </c>
      <c r="E5092" s="534"/>
      <c r="F5092" s="534"/>
    </row>
    <row r="5093" spans="1:6" ht="15" customHeight="1">
      <c r="A5093" s="51"/>
      <c r="B5093" s="52" t="str">
        <f t="shared" si="270"/>
        <v/>
      </c>
      <c r="C5093" t="str">
        <f t="shared" si="269"/>
        <v/>
      </c>
      <c r="D5093" s="245" t="str">
        <f t="shared" si="271"/>
        <v/>
      </c>
      <c r="E5093" s="534"/>
      <c r="F5093" s="534"/>
    </row>
    <row r="5094" spans="1:6" ht="15" customHeight="1">
      <c r="A5094" s="51"/>
      <c r="B5094" s="52" t="str">
        <f t="shared" si="270"/>
        <v/>
      </c>
      <c r="C5094" t="str">
        <f t="shared" si="269"/>
        <v/>
      </c>
      <c r="D5094" s="245" t="str">
        <f t="shared" si="271"/>
        <v/>
      </c>
      <c r="E5094" s="534"/>
      <c r="F5094" s="534"/>
    </row>
    <row r="5095" spans="1:6" ht="15" customHeight="1">
      <c r="A5095" s="51"/>
      <c r="B5095" s="52" t="str">
        <f t="shared" si="270"/>
        <v/>
      </c>
      <c r="C5095" t="str">
        <f t="shared" si="269"/>
        <v/>
      </c>
      <c r="D5095" s="245" t="str">
        <f t="shared" si="271"/>
        <v/>
      </c>
      <c r="E5095" s="534"/>
      <c r="F5095" s="534"/>
    </row>
    <row r="5096" spans="1:6" ht="15" customHeight="1">
      <c r="A5096" s="51"/>
      <c r="B5096" s="52" t="str">
        <f t="shared" si="270"/>
        <v/>
      </c>
      <c r="C5096" t="str">
        <f t="shared" si="269"/>
        <v/>
      </c>
      <c r="D5096" s="245" t="str">
        <f t="shared" si="271"/>
        <v/>
      </c>
      <c r="E5096" s="534"/>
      <c r="F5096" s="534"/>
    </row>
    <row r="5097" spans="1:6" ht="15" customHeight="1">
      <c r="A5097" s="51"/>
      <c r="B5097" s="52" t="str">
        <f t="shared" si="270"/>
        <v/>
      </c>
      <c r="C5097" t="str">
        <f t="shared" si="269"/>
        <v/>
      </c>
      <c r="D5097" s="245" t="str">
        <f t="shared" si="271"/>
        <v/>
      </c>
      <c r="E5097" s="534"/>
      <c r="F5097" s="534"/>
    </row>
    <row r="5098" spans="1:6" ht="15" customHeight="1">
      <c r="A5098" s="51"/>
      <c r="B5098" s="52" t="str">
        <f t="shared" si="270"/>
        <v/>
      </c>
      <c r="C5098" t="str">
        <f t="shared" si="269"/>
        <v/>
      </c>
      <c r="D5098" s="245" t="str">
        <f t="shared" si="271"/>
        <v/>
      </c>
      <c r="E5098" s="534"/>
      <c r="F5098" s="534"/>
    </row>
    <row r="5099" spans="1:6" ht="15" customHeight="1">
      <c r="A5099" s="51"/>
      <c r="B5099" s="52" t="str">
        <f t="shared" si="270"/>
        <v/>
      </c>
      <c r="C5099" t="str">
        <f t="shared" si="269"/>
        <v/>
      </c>
      <c r="D5099" s="245" t="str">
        <f t="shared" si="271"/>
        <v/>
      </c>
      <c r="E5099" s="534"/>
      <c r="F5099" s="534"/>
    </row>
    <row r="5100" spans="1:6" ht="15" customHeight="1">
      <c r="A5100" s="51"/>
      <c r="B5100" s="52" t="str">
        <f t="shared" si="270"/>
        <v/>
      </c>
      <c r="C5100" t="str">
        <f t="shared" si="269"/>
        <v/>
      </c>
      <c r="D5100" s="245" t="str">
        <f t="shared" si="271"/>
        <v/>
      </c>
      <c r="E5100" s="534"/>
      <c r="F5100" s="534"/>
    </row>
    <row r="5101" spans="1:6" ht="15" customHeight="1">
      <c r="A5101" s="51"/>
      <c r="B5101" s="52" t="str">
        <f t="shared" si="270"/>
        <v/>
      </c>
      <c r="C5101" t="str">
        <f t="shared" si="269"/>
        <v/>
      </c>
      <c r="D5101" s="245" t="str">
        <f t="shared" si="271"/>
        <v/>
      </c>
      <c r="E5101" s="534"/>
      <c r="F5101" s="534"/>
    </row>
    <row r="5102" spans="1:6" ht="15" customHeight="1">
      <c r="A5102" s="51"/>
      <c r="B5102" s="52" t="str">
        <f t="shared" si="270"/>
        <v/>
      </c>
      <c r="C5102" t="str">
        <f t="shared" si="269"/>
        <v/>
      </c>
      <c r="D5102" s="245" t="str">
        <f t="shared" si="271"/>
        <v/>
      </c>
      <c r="E5102" s="534"/>
      <c r="F5102" s="534"/>
    </row>
    <row r="5103" spans="1:6" ht="15" customHeight="1">
      <c r="A5103" s="51"/>
      <c r="B5103" s="52" t="str">
        <f t="shared" si="270"/>
        <v/>
      </c>
      <c r="C5103" t="str">
        <f t="shared" si="269"/>
        <v/>
      </c>
      <c r="D5103" s="245" t="str">
        <f t="shared" si="271"/>
        <v/>
      </c>
      <c r="E5103" s="534"/>
      <c r="F5103" s="534"/>
    </row>
    <row r="5104" spans="1:6" ht="15" customHeight="1">
      <c r="A5104" s="51"/>
      <c r="B5104" s="52" t="str">
        <f t="shared" si="270"/>
        <v/>
      </c>
      <c r="C5104" t="str">
        <f t="shared" si="269"/>
        <v/>
      </c>
      <c r="D5104" s="245" t="str">
        <f t="shared" si="271"/>
        <v/>
      </c>
      <c r="E5104" s="534"/>
      <c r="F5104" s="534"/>
    </row>
    <row r="5105" spans="1:6" ht="15" customHeight="1">
      <c r="A5105" s="51"/>
      <c r="B5105" s="52" t="str">
        <f t="shared" si="270"/>
        <v/>
      </c>
      <c r="C5105" t="str">
        <f t="shared" si="269"/>
        <v/>
      </c>
      <c r="D5105" s="245" t="str">
        <f t="shared" si="271"/>
        <v/>
      </c>
      <c r="E5105" s="534"/>
      <c r="F5105" s="534"/>
    </row>
    <row r="5106" spans="1:6" ht="15" customHeight="1">
      <c r="A5106" s="51"/>
      <c r="B5106" s="52" t="str">
        <f t="shared" si="270"/>
        <v/>
      </c>
      <c r="C5106" t="str">
        <f t="shared" si="269"/>
        <v/>
      </c>
      <c r="D5106" s="245" t="str">
        <f t="shared" si="271"/>
        <v/>
      </c>
      <c r="E5106" s="534"/>
      <c r="F5106" s="534"/>
    </row>
    <row r="5107" spans="1:6" ht="15" customHeight="1">
      <c r="A5107" s="51"/>
      <c r="B5107" s="52" t="str">
        <f t="shared" si="270"/>
        <v/>
      </c>
      <c r="C5107" t="str">
        <f t="shared" si="269"/>
        <v/>
      </c>
      <c r="D5107" s="245" t="str">
        <f t="shared" si="271"/>
        <v/>
      </c>
      <c r="E5107" s="534"/>
      <c r="F5107" s="534"/>
    </row>
    <row r="5108" spans="1:6" ht="15" customHeight="1">
      <c r="A5108" s="51"/>
      <c r="B5108" s="52" t="str">
        <f t="shared" si="270"/>
        <v/>
      </c>
      <c r="C5108" t="str">
        <f t="shared" si="269"/>
        <v/>
      </c>
      <c r="D5108" s="245" t="str">
        <f t="shared" si="271"/>
        <v/>
      </c>
      <c r="E5108" s="534"/>
      <c r="F5108" s="534"/>
    </row>
    <row r="5109" spans="1:6" ht="15" customHeight="1">
      <c r="A5109" s="51"/>
      <c r="B5109" s="52" t="str">
        <f t="shared" si="270"/>
        <v/>
      </c>
      <c r="C5109" t="str">
        <f t="shared" si="269"/>
        <v/>
      </c>
      <c r="D5109" s="245" t="str">
        <f t="shared" si="271"/>
        <v/>
      </c>
      <c r="E5109" s="534"/>
      <c r="F5109" s="534"/>
    </row>
    <row r="5110" spans="1:6" ht="15" customHeight="1">
      <c r="A5110" s="51"/>
      <c r="B5110" s="52" t="str">
        <f t="shared" si="270"/>
        <v/>
      </c>
      <c r="C5110" t="str">
        <f t="shared" si="269"/>
        <v/>
      </c>
      <c r="D5110" s="245" t="str">
        <f t="shared" si="271"/>
        <v/>
      </c>
      <c r="E5110" s="534"/>
      <c r="F5110" s="534"/>
    </row>
    <row r="5111" spans="1:6" ht="15" customHeight="1">
      <c r="A5111" s="51"/>
      <c r="B5111" s="52" t="str">
        <f t="shared" si="270"/>
        <v/>
      </c>
      <c r="C5111" t="str">
        <f t="shared" si="269"/>
        <v/>
      </c>
      <c r="D5111" s="245" t="str">
        <f t="shared" si="271"/>
        <v/>
      </c>
      <c r="E5111" s="534"/>
      <c r="F5111" s="534"/>
    </row>
    <row r="5112" spans="1:6" ht="15" customHeight="1">
      <c r="A5112" s="51"/>
      <c r="B5112" s="52" t="str">
        <f t="shared" si="270"/>
        <v/>
      </c>
      <c r="C5112" t="str">
        <f t="shared" si="269"/>
        <v/>
      </c>
      <c r="D5112" s="245" t="str">
        <f t="shared" si="271"/>
        <v/>
      </c>
      <c r="E5112" s="534"/>
      <c r="F5112" s="534"/>
    </row>
    <row r="5113" spans="1:6" ht="15" customHeight="1">
      <c r="A5113" s="51"/>
      <c r="B5113" s="52" t="str">
        <f t="shared" si="270"/>
        <v/>
      </c>
      <c r="C5113" t="str">
        <f t="shared" si="269"/>
        <v/>
      </c>
      <c r="D5113" s="245" t="str">
        <f t="shared" si="271"/>
        <v/>
      </c>
      <c r="E5113" s="534"/>
      <c r="F5113" s="534"/>
    </row>
    <row r="5114" spans="1:6" ht="15" customHeight="1">
      <c r="A5114" s="51"/>
      <c r="B5114" s="52" t="str">
        <f t="shared" si="270"/>
        <v/>
      </c>
      <c r="C5114" t="str">
        <f t="shared" si="269"/>
        <v/>
      </c>
      <c r="D5114" s="245" t="str">
        <f t="shared" si="271"/>
        <v/>
      </c>
      <c r="E5114" s="534"/>
      <c r="F5114" s="534"/>
    </row>
    <row r="5115" spans="1:6" ht="15" customHeight="1">
      <c r="A5115" s="51"/>
      <c r="B5115" s="52" t="str">
        <f t="shared" si="270"/>
        <v/>
      </c>
      <c r="C5115" t="str">
        <f t="shared" si="269"/>
        <v/>
      </c>
      <c r="D5115" s="245" t="str">
        <f t="shared" si="271"/>
        <v/>
      </c>
      <c r="E5115" s="534"/>
      <c r="F5115" s="534"/>
    </row>
    <row r="5116" spans="1:6" ht="15" customHeight="1">
      <c r="A5116" s="51"/>
      <c r="B5116" s="52" t="str">
        <f t="shared" si="270"/>
        <v/>
      </c>
      <c r="C5116" t="str">
        <f t="shared" si="269"/>
        <v/>
      </c>
      <c r="D5116" s="245" t="str">
        <f t="shared" si="271"/>
        <v/>
      </c>
      <c r="E5116" s="534"/>
      <c r="F5116" s="534"/>
    </row>
    <row r="5117" spans="1:6" ht="15" customHeight="1">
      <c r="A5117" s="51"/>
      <c r="B5117" s="52" t="str">
        <f t="shared" si="270"/>
        <v/>
      </c>
      <c r="C5117" t="str">
        <f t="shared" si="269"/>
        <v/>
      </c>
      <c r="D5117" s="245" t="str">
        <f t="shared" si="271"/>
        <v/>
      </c>
      <c r="E5117" s="534"/>
      <c r="F5117" s="534"/>
    </row>
    <row r="5118" spans="1:6" ht="15" customHeight="1">
      <c r="A5118" s="51"/>
      <c r="B5118" s="52" t="str">
        <f t="shared" si="270"/>
        <v/>
      </c>
      <c r="C5118" t="str">
        <f t="shared" si="269"/>
        <v/>
      </c>
      <c r="D5118" s="245" t="str">
        <f t="shared" si="271"/>
        <v/>
      </c>
      <c r="E5118" s="534"/>
      <c r="F5118" s="534"/>
    </row>
    <row r="5119" spans="1:6" ht="15" customHeight="1">
      <c r="A5119" s="51"/>
      <c r="B5119" s="52" t="str">
        <f t="shared" si="270"/>
        <v/>
      </c>
      <c r="C5119" t="str">
        <f t="shared" si="269"/>
        <v/>
      </c>
      <c r="D5119" s="245" t="str">
        <f t="shared" si="271"/>
        <v/>
      </c>
      <c r="E5119" s="534"/>
      <c r="F5119" s="534"/>
    </row>
    <row r="5120" spans="1:6" ht="15" customHeight="1">
      <c r="A5120" s="51"/>
      <c r="B5120" s="52" t="str">
        <f t="shared" si="270"/>
        <v/>
      </c>
      <c r="C5120" t="str">
        <f t="shared" si="269"/>
        <v/>
      </c>
      <c r="D5120" s="245" t="str">
        <f t="shared" si="271"/>
        <v/>
      </c>
      <c r="E5120" s="534"/>
      <c r="F5120" s="534"/>
    </row>
    <row r="5121" spans="1:6" ht="15" customHeight="1">
      <c r="A5121" s="51"/>
      <c r="B5121" s="52" t="str">
        <f t="shared" si="270"/>
        <v/>
      </c>
      <c r="C5121" t="str">
        <f t="shared" si="269"/>
        <v/>
      </c>
      <c r="D5121" s="245" t="str">
        <f t="shared" si="271"/>
        <v/>
      </c>
      <c r="E5121" s="534"/>
      <c r="F5121" s="534"/>
    </row>
    <row r="5122" spans="1:6" ht="15" customHeight="1">
      <c r="A5122" s="51"/>
      <c r="B5122" s="52" t="str">
        <f t="shared" si="270"/>
        <v/>
      </c>
      <c r="C5122" t="str">
        <f t="shared" ref="C5122:C5185" si="272">IF(A5122&lt;&gt;"",TEXT(A5122,"aaaa"),"")</f>
        <v/>
      </c>
      <c r="D5122" s="245" t="str">
        <f t="shared" si="271"/>
        <v/>
      </c>
      <c r="E5122" s="534"/>
      <c r="F5122" s="534"/>
    </row>
    <row r="5123" spans="1:6" ht="15" customHeight="1">
      <c r="A5123" s="51"/>
      <c r="B5123" s="52" t="str">
        <f t="shared" si="270"/>
        <v/>
      </c>
      <c r="C5123" t="str">
        <f t="shared" si="272"/>
        <v/>
      </c>
      <c r="D5123" s="245" t="str">
        <f t="shared" si="271"/>
        <v/>
      </c>
      <c r="E5123" s="534"/>
      <c r="F5123" s="534"/>
    </row>
    <row r="5124" spans="1:6" ht="15" customHeight="1">
      <c r="A5124" s="51"/>
      <c r="B5124" s="52" t="str">
        <f t="shared" si="270"/>
        <v/>
      </c>
      <c r="C5124" t="str">
        <f t="shared" si="272"/>
        <v/>
      </c>
      <c r="D5124" s="245" t="str">
        <f t="shared" si="271"/>
        <v/>
      </c>
      <c r="E5124" s="534"/>
      <c r="F5124" s="534"/>
    </row>
    <row r="5125" spans="1:6" ht="15" customHeight="1">
      <c r="A5125" s="51"/>
      <c r="B5125" s="52" t="str">
        <f t="shared" si="270"/>
        <v/>
      </c>
      <c r="C5125" t="str">
        <f t="shared" si="272"/>
        <v/>
      </c>
      <c r="D5125" s="245" t="str">
        <f t="shared" si="271"/>
        <v/>
      </c>
      <c r="E5125" s="534"/>
      <c r="F5125" s="534"/>
    </row>
    <row r="5126" spans="1:6" ht="15" customHeight="1">
      <c r="A5126" s="51"/>
      <c r="B5126" s="52" t="str">
        <f t="shared" si="270"/>
        <v/>
      </c>
      <c r="C5126" t="str">
        <f t="shared" si="272"/>
        <v/>
      </c>
      <c r="D5126" s="245" t="str">
        <f t="shared" si="271"/>
        <v/>
      </c>
      <c r="E5126" s="534"/>
      <c r="F5126" s="534"/>
    </row>
    <row r="5127" spans="1:6" ht="15" customHeight="1">
      <c r="A5127" s="51"/>
      <c r="B5127" s="52" t="str">
        <f t="shared" si="270"/>
        <v/>
      </c>
      <c r="C5127" t="str">
        <f t="shared" si="272"/>
        <v/>
      </c>
      <c r="D5127" s="245" t="str">
        <f t="shared" si="271"/>
        <v/>
      </c>
      <c r="E5127" s="534"/>
      <c r="F5127" s="534"/>
    </row>
    <row r="5128" spans="1:6" ht="15" customHeight="1">
      <c r="A5128" s="51"/>
      <c r="B5128" s="52" t="str">
        <f t="shared" ref="B5128:B5191" si="273">IF(A5128="","",TEXT(A5128,"DDDD"))</f>
        <v/>
      </c>
      <c r="C5128" t="str">
        <f t="shared" si="272"/>
        <v/>
      </c>
      <c r="D5128" s="245" t="str">
        <f t="shared" si="271"/>
        <v/>
      </c>
      <c r="E5128" s="534"/>
      <c r="F5128" s="534"/>
    </row>
    <row r="5129" spans="1:6" ht="15" customHeight="1">
      <c r="A5129" s="51"/>
      <c r="B5129" s="52" t="str">
        <f t="shared" si="273"/>
        <v/>
      </c>
      <c r="C5129" t="str">
        <f t="shared" si="272"/>
        <v/>
      </c>
      <c r="D5129" s="245" t="str">
        <f t="shared" ref="D5129:D5192" si="274">IF(A5129&lt;&gt;"",PROPER(TEXT(A5129,"Mmmm")),"")</f>
        <v/>
      </c>
      <c r="E5129" s="534"/>
      <c r="F5129" s="534"/>
    </row>
    <row r="5130" spans="1:6" ht="15" customHeight="1">
      <c r="A5130" s="51"/>
      <c r="B5130" s="52" t="str">
        <f t="shared" si="273"/>
        <v/>
      </c>
      <c r="C5130" t="str">
        <f t="shared" si="272"/>
        <v/>
      </c>
      <c r="D5130" s="245" t="str">
        <f t="shared" si="274"/>
        <v/>
      </c>
      <c r="E5130" s="534"/>
      <c r="F5130" s="534"/>
    </row>
    <row r="5131" spans="1:6" ht="15" customHeight="1">
      <c r="A5131" s="51"/>
      <c r="B5131" s="52" t="str">
        <f t="shared" si="273"/>
        <v/>
      </c>
      <c r="C5131" t="str">
        <f t="shared" si="272"/>
        <v/>
      </c>
      <c r="D5131" s="245" t="str">
        <f t="shared" si="274"/>
        <v/>
      </c>
      <c r="E5131" s="534"/>
      <c r="F5131" s="534"/>
    </row>
    <row r="5132" spans="1:6" ht="15" customHeight="1">
      <c r="A5132" s="51"/>
      <c r="B5132" s="52" t="str">
        <f t="shared" si="273"/>
        <v/>
      </c>
      <c r="C5132" t="str">
        <f t="shared" si="272"/>
        <v/>
      </c>
      <c r="D5132" s="245" t="str">
        <f t="shared" si="274"/>
        <v/>
      </c>
      <c r="E5132" s="534"/>
      <c r="F5132" s="534"/>
    </row>
    <row r="5133" spans="1:6" ht="15" customHeight="1">
      <c r="A5133" s="51"/>
      <c r="B5133" s="52" t="str">
        <f t="shared" si="273"/>
        <v/>
      </c>
      <c r="C5133" t="str">
        <f t="shared" si="272"/>
        <v/>
      </c>
      <c r="D5133" s="245" t="str">
        <f t="shared" si="274"/>
        <v/>
      </c>
      <c r="E5133" s="534"/>
      <c r="F5133" s="534"/>
    </row>
    <row r="5134" spans="1:6" ht="15" customHeight="1">
      <c r="A5134" s="51"/>
      <c r="B5134" s="52" t="str">
        <f t="shared" si="273"/>
        <v/>
      </c>
      <c r="C5134" t="str">
        <f t="shared" si="272"/>
        <v/>
      </c>
      <c r="D5134" s="245" t="str">
        <f t="shared" si="274"/>
        <v/>
      </c>
      <c r="E5134" s="534"/>
      <c r="F5134" s="534"/>
    </row>
    <row r="5135" spans="1:6" ht="15" customHeight="1">
      <c r="A5135" s="51"/>
      <c r="B5135" s="52" t="str">
        <f t="shared" si="273"/>
        <v/>
      </c>
      <c r="C5135" t="str">
        <f t="shared" si="272"/>
        <v/>
      </c>
      <c r="D5135" s="245" t="str">
        <f t="shared" si="274"/>
        <v/>
      </c>
      <c r="E5135" s="534"/>
      <c r="F5135" s="534"/>
    </row>
    <row r="5136" spans="1:6" ht="15" customHeight="1">
      <c r="A5136" s="51"/>
      <c r="B5136" s="52" t="str">
        <f t="shared" si="273"/>
        <v/>
      </c>
      <c r="C5136" t="str">
        <f t="shared" si="272"/>
        <v/>
      </c>
      <c r="D5136" s="245" t="str">
        <f t="shared" si="274"/>
        <v/>
      </c>
      <c r="E5136" s="534"/>
      <c r="F5136" s="534"/>
    </row>
    <row r="5137" spans="1:6" ht="15" customHeight="1">
      <c r="A5137" s="51"/>
      <c r="B5137" s="52" t="str">
        <f t="shared" si="273"/>
        <v/>
      </c>
      <c r="C5137" t="str">
        <f t="shared" si="272"/>
        <v/>
      </c>
      <c r="D5137" s="245" t="str">
        <f t="shared" si="274"/>
        <v/>
      </c>
      <c r="E5137" s="534"/>
      <c r="F5137" s="534"/>
    </row>
    <row r="5138" spans="1:6" ht="15" customHeight="1">
      <c r="A5138" s="51"/>
      <c r="B5138" s="52" t="str">
        <f t="shared" si="273"/>
        <v/>
      </c>
      <c r="C5138" t="str">
        <f t="shared" si="272"/>
        <v/>
      </c>
      <c r="D5138" s="245" t="str">
        <f t="shared" si="274"/>
        <v/>
      </c>
      <c r="E5138" s="534"/>
      <c r="F5138" s="534"/>
    </row>
    <row r="5139" spans="1:6" ht="15" customHeight="1">
      <c r="A5139" s="51"/>
      <c r="B5139" s="52" t="str">
        <f t="shared" si="273"/>
        <v/>
      </c>
      <c r="C5139" t="str">
        <f t="shared" si="272"/>
        <v/>
      </c>
      <c r="D5139" s="245" t="str">
        <f t="shared" si="274"/>
        <v/>
      </c>
      <c r="E5139" s="534"/>
      <c r="F5139" s="534"/>
    </row>
    <row r="5140" spans="1:6" ht="15" customHeight="1">
      <c r="A5140" s="51"/>
      <c r="B5140" s="52" t="str">
        <f t="shared" si="273"/>
        <v/>
      </c>
      <c r="C5140" t="str">
        <f t="shared" si="272"/>
        <v/>
      </c>
      <c r="D5140" s="245" t="str">
        <f t="shared" si="274"/>
        <v/>
      </c>
      <c r="E5140" s="534"/>
      <c r="F5140" s="534"/>
    </row>
    <row r="5141" spans="1:6" ht="15" customHeight="1">
      <c r="A5141" s="51"/>
      <c r="B5141" s="52" t="str">
        <f t="shared" si="273"/>
        <v/>
      </c>
      <c r="C5141" t="str">
        <f t="shared" si="272"/>
        <v/>
      </c>
      <c r="D5141" s="245" t="str">
        <f t="shared" si="274"/>
        <v/>
      </c>
      <c r="E5141" s="534"/>
      <c r="F5141" s="534"/>
    </row>
    <row r="5142" spans="1:6" ht="15" customHeight="1">
      <c r="A5142" s="51"/>
      <c r="B5142" s="52" t="str">
        <f t="shared" si="273"/>
        <v/>
      </c>
      <c r="C5142" t="str">
        <f t="shared" si="272"/>
        <v/>
      </c>
      <c r="D5142" s="245" t="str">
        <f t="shared" si="274"/>
        <v/>
      </c>
      <c r="E5142" s="534"/>
      <c r="F5142" s="534"/>
    </row>
    <row r="5143" spans="1:6" ht="15" customHeight="1">
      <c r="A5143" s="51"/>
      <c r="B5143" s="52" t="str">
        <f t="shared" si="273"/>
        <v/>
      </c>
      <c r="C5143" t="str">
        <f t="shared" si="272"/>
        <v/>
      </c>
      <c r="D5143" s="245" t="str">
        <f t="shared" si="274"/>
        <v/>
      </c>
      <c r="E5143" s="534"/>
      <c r="F5143" s="534"/>
    </row>
    <row r="5144" spans="1:6" ht="15" customHeight="1">
      <c r="A5144" s="51"/>
      <c r="B5144" s="52" t="str">
        <f t="shared" si="273"/>
        <v/>
      </c>
      <c r="C5144" t="str">
        <f t="shared" si="272"/>
        <v/>
      </c>
      <c r="D5144" s="245" t="str">
        <f t="shared" si="274"/>
        <v/>
      </c>
      <c r="E5144" s="534"/>
      <c r="F5144" s="534"/>
    </row>
    <row r="5145" spans="1:6" ht="15" customHeight="1">
      <c r="A5145" s="51"/>
      <c r="B5145" s="52" t="str">
        <f t="shared" si="273"/>
        <v/>
      </c>
      <c r="C5145" t="str">
        <f t="shared" si="272"/>
        <v/>
      </c>
      <c r="D5145" s="245" t="str">
        <f t="shared" si="274"/>
        <v/>
      </c>
      <c r="E5145" s="534"/>
      <c r="F5145" s="534"/>
    </row>
    <row r="5146" spans="1:6" ht="15" customHeight="1">
      <c r="A5146" s="51"/>
      <c r="B5146" s="52" t="str">
        <f t="shared" si="273"/>
        <v/>
      </c>
      <c r="C5146" t="str">
        <f t="shared" si="272"/>
        <v/>
      </c>
      <c r="D5146" s="245" t="str">
        <f t="shared" si="274"/>
        <v/>
      </c>
      <c r="E5146" s="534"/>
      <c r="F5146" s="534"/>
    </row>
    <row r="5147" spans="1:6" ht="15" customHeight="1">
      <c r="A5147" s="51"/>
      <c r="B5147" s="52" t="str">
        <f t="shared" si="273"/>
        <v/>
      </c>
      <c r="C5147" t="str">
        <f t="shared" si="272"/>
        <v/>
      </c>
      <c r="D5147" s="245" t="str">
        <f t="shared" si="274"/>
        <v/>
      </c>
      <c r="E5147" s="534"/>
      <c r="F5147" s="534"/>
    </row>
    <row r="5148" spans="1:6" ht="15" customHeight="1">
      <c r="A5148" s="51"/>
      <c r="B5148" s="52" t="str">
        <f t="shared" si="273"/>
        <v/>
      </c>
      <c r="C5148" t="str">
        <f t="shared" si="272"/>
        <v/>
      </c>
      <c r="D5148" s="245" t="str">
        <f t="shared" si="274"/>
        <v/>
      </c>
      <c r="E5148" s="534"/>
      <c r="F5148" s="534"/>
    </row>
    <row r="5149" spans="1:6" ht="15" customHeight="1">
      <c r="A5149" s="51"/>
      <c r="B5149" s="52" t="str">
        <f t="shared" si="273"/>
        <v/>
      </c>
      <c r="C5149" t="str">
        <f t="shared" si="272"/>
        <v/>
      </c>
      <c r="D5149" s="245" t="str">
        <f t="shared" si="274"/>
        <v/>
      </c>
      <c r="E5149" s="534"/>
      <c r="F5149" s="534"/>
    </row>
    <row r="5150" spans="1:6" ht="15" customHeight="1">
      <c r="A5150" s="51"/>
      <c r="B5150" s="52" t="str">
        <f t="shared" si="273"/>
        <v/>
      </c>
      <c r="C5150" t="str">
        <f t="shared" si="272"/>
        <v/>
      </c>
      <c r="D5150" s="245" t="str">
        <f t="shared" si="274"/>
        <v/>
      </c>
      <c r="E5150" s="534"/>
      <c r="F5150" s="534"/>
    </row>
    <row r="5151" spans="1:6" ht="15" customHeight="1">
      <c r="A5151" s="51"/>
      <c r="B5151" s="52" t="str">
        <f t="shared" si="273"/>
        <v/>
      </c>
      <c r="C5151" t="str">
        <f t="shared" si="272"/>
        <v/>
      </c>
      <c r="D5151" s="245" t="str">
        <f t="shared" si="274"/>
        <v/>
      </c>
      <c r="E5151" s="534"/>
      <c r="F5151" s="534"/>
    </row>
    <row r="5152" spans="1:6" ht="15" customHeight="1">
      <c r="A5152" s="51"/>
      <c r="B5152" s="52" t="str">
        <f t="shared" si="273"/>
        <v/>
      </c>
      <c r="C5152" t="str">
        <f t="shared" si="272"/>
        <v/>
      </c>
      <c r="D5152" s="245" t="str">
        <f t="shared" si="274"/>
        <v/>
      </c>
      <c r="E5152" s="534"/>
      <c r="F5152" s="534"/>
    </row>
    <row r="5153" spans="1:6" ht="15" customHeight="1">
      <c r="A5153" s="51"/>
      <c r="B5153" s="52" t="str">
        <f t="shared" si="273"/>
        <v/>
      </c>
      <c r="C5153" t="str">
        <f t="shared" si="272"/>
        <v/>
      </c>
      <c r="D5153" s="245" t="str">
        <f t="shared" si="274"/>
        <v/>
      </c>
      <c r="E5153" s="534"/>
      <c r="F5153" s="534"/>
    </row>
    <row r="5154" spans="1:6" ht="15" customHeight="1">
      <c r="A5154" s="51"/>
      <c r="B5154" s="52" t="str">
        <f t="shared" si="273"/>
        <v/>
      </c>
      <c r="C5154" t="str">
        <f t="shared" si="272"/>
        <v/>
      </c>
      <c r="D5154" s="245" t="str">
        <f t="shared" si="274"/>
        <v/>
      </c>
      <c r="E5154" s="534"/>
      <c r="F5154" s="534"/>
    </row>
    <row r="5155" spans="1:6" ht="15" customHeight="1">
      <c r="A5155" s="51"/>
      <c r="B5155" s="52" t="str">
        <f t="shared" si="273"/>
        <v/>
      </c>
      <c r="C5155" t="str">
        <f t="shared" si="272"/>
        <v/>
      </c>
      <c r="D5155" s="245" t="str">
        <f t="shared" si="274"/>
        <v/>
      </c>
      <c r="E5155" s="534"/>
      <c r="F5155" s="534"/>
    </row>
    <row r="5156" spans="1:6" ht="15" customHeight="1">
      <c r="A5156" s="51"/>
      <c r="B5156" s="52" t="str">
        <f t="shared" si="273"/>
        <v/>
      </c>
      <c r="C5156" t="str">
        <f t="shared" si="272"/>
        <v/>
      </c>
      <c r="D5156" s="245" t="str">
        <f t="shared" si="274"/>
        <v/>
      </c>
      <c r="E5156" s="534"/>
      <c r="F5156" s="534"/>
    </row>
    <row r="5157" spans="1:6" ht="15" customHeight="1">
      <c r="A5157" s="51"/>
      <c r="B5157" s="52" t="str">
        <f t="shared" si="273"/>
        <v/>
      </c>
      <c r="C5157" t="str">
        <f t="shared" si="272"/>
        <v/>
      </c>
      <c r="D5157" s="245" t="str">
        <f t="shared" si="274"/>
        <v/>
      </c>
      <c r="E5157" s="534"/>
      <c r="F5157" s="534"/>
    </row>
    <row r="5158" spans="1:6" ht="15" customHeight="1">
      <c r="A5158" s="51"/>
      <c r="B5158" s="52" t="str">
        <f t="shared" si="273"/>
        <v/>
      </c>
      <c r="C5158" t="str">
        <f t="shared" si="272"/>
        <v/>
      </c>
      <c r="D5158" s="245" t="str">
        <f t="shared" si="274"/>
        <v/>
      </c>
      <c r="E5158" s="534"/>
      <c r="F5158" s="534"/>
    </row>
    <row r="5159" spans="1:6" ht="15" customHeight="1">
      <c r="A5159" s="51"/>
      <c r="B5159" s="52" t="str">
        <f t="shared" si="273"/>
        <v/>
      </c>
      <c r="C5159" t="str">
        <f t="shared" si="272"/>
        <v/>
      </c>
      <c r="D5159" s="245" t="str">
        <f t="shared" si="274"/>
        <v/>
      </c>
      <c r="E5159" s="534"/>
      <c r="F5159" s="534"/>
    </row>
    <row r="5160" spans="1:6" ht="15" customHeight="1">
      <c r="A5160" s="51"/>
      <c r="B5160" s="52" t="str">
        <f t="shared" si="273"/>
        <v/>
      </c>
      <c r="C5160" t="str">
        <f t="shared" si="272"/>
        <v/>
      </c>
      <c r="D5160" s="245" t="str">
        <f t="shared" si="274"/>
        <v/>
      </c>
      <c r="E5160" s="534"/>
      <c r="F5160" s="534"/>
    </row>
    <row r="5161" spans="1:6" ht="15" customHeight="1">
      <c r="A5161" s="51"/>
      <c r="B5161" s="52" t="str">
        <f t="shared" si="273"/>
        <v/>
      </c>
      <c r="C5161" t="str">
        <f t="shared" si="272"/>
        <v/>
      </c>
      <c r="D5161" s="245" t="str">
        <f t="shared" si="274"/>
        <v/>
      </c>
      <c r="E5161" s="534"/>
      <c r="F5161" s="534"/>
    </row>
    <row r="5162" spans="1:6" ht="15" customHeight="1">
      <c r="A5162" s="51"/>
      <c r="B5162" s="52" t="str">
        <f t="shared" si="273"/>
        <v/>
      </c>
      <c r="C5162" t="str">
        <f t="shared" si="272"/>
        <v/>
      </c>
      <c r="D5162" s="245" t="str">
        <f t="shared" si="274"/>
        <v/>
      </c>
      <c r="E5162" s="534"/>
      <c r="F5162" s="534"/>
    </row>
    <row r="5163" spans="1:6" ht="15" customHeight="1">
      <c r="A5163" s="51"/>
      <c r="B5163" s="52" t="str">
        <f t="shared" si="273"/>
        <v/>
      </c>
      <c r="C5163" t="str">
        <f t="shared" si="272"/>
        <v/>
      </c>
      <c r="D5163" s="245" t="str">
        <f t="shared" si="274"/>
        <v/>
      </c>
      <c r="E5163" s="534"/>
      <c r="F5163" s="534"/>
    </row>
    <row r="5164" spans="1:6" ht="15" customHeight="1">
      <c r="A5164" s="51"/>
      <c r="B5164" s="52" t="str">
        <f t="shared" si="273"/>
        <v/>
      </c>
      <c r="C5164" t="str">
        <f t="shared" si="272"/>
        <v/>
      </c>
      <c r="D5164" s="245" t="str">
        <f t="shared" si="274"/>
        <v/>
      </c>
      <c r="E5164" s="534"/>
      <c r="F5164" s="534"/>
    </row>
    <row r="5165" spans="1:6" ht="15" customHeight="1">
      <c r="A5165" s="51"/>
      <c r="B5165" s="52" t="str">
        <f t="shared" si="273"/>
        <v/>
      </c>
      <c r="C5165" t="str">
        <f t="shared" si="272"/>
        <v/>
      </c>
      <c r="D5165" s="245" t="str">
        <f t="shared" si="274"/>
        <v/>
      </c>
      <c r="E5165" s="534"/>
      <c r="F5165" s="534"/>
    </row>
    <row r="5166" spans="1:6" ht="15" customHeight="1">
      <c r="A5166" s="51"/>
      <c r="B5166" s="52" t="str">
        <f t="shared" si="273"/>
        <v/>
      </c>
      <c r="C5166" t="str">
        <f t="shared" si="272"/>
        <v/>
      </c>
      <c r="D5166" s="245" t="str">
        <f t="shared" si="274"/>
        <v/>
      </c>
      <c r="E5166" s="534"/>
      <c r="F5166" s="534"/>
    </row>
    <row r="5167" spans="1:6" ht="15" customHeight="1">
      <c r="A5167" s="51"/>
      <c r="B5167" s="52" t="str">
        <f t="shared" si="273"/>
        <v/>
      </c>
      <c r="C5167" t="str">
        <f t="shared" si="272"/>
        <v/>
      </c>
      <c r="D5167" s="245" t="str">
        <f t="shared" si="274"/>
        <v/>
      </c>
      <c r="E5167" s="534"/>
      <c r="F5167" s="534"/>
    </row>
    <row r="5168" spans="1:6" ht="15" customHeight="1">
      <c r="A5168" s="51"/>
      <c r="B5168" s="52" t="str">
        <f t="shared" si="273"/>
        <v/>
      </c>
      <c r="C5168" t="str">
        <f t="shared" si="272"/>
        <v/>
      </c>
      <c r="D5168" s="245" t="str">
        <f t="shared" si="274"/>
        <v/>
      </c>
      <c r="E5168" s="534"/>
      <c r="F5168" s="534"/>
    </row>
    <row r="5169" spans="1:6" ht="15" customHeight="1">
      <c r="A5169" s="51"/>
      <c r="B5169" s="52" t="str">
        <f t="shared" si="273"/>
        <v/>
      </c>
      <c r="C5169" t="str">
        <f t="shared" si="272"/>
        <v/>
      </c>
      <c r="D5169" s="245" t="str">
        <f t="shared" si="274"/>
        <v/>
      </c>
      <c r="E5169" s="534"/>
      <c r="F5169" s="534"/>
    </row>
    <row r="5170" spans="1:6" ht="15" customHeight="1">
      <c r="A5170" s="51"/>
      <c r="B5170" s="52" t="str">
        <f t="shared" si="273"/>
        <v/>
      </c>
      <c r="C5170" t="str">
        <f t="shared" si="272"/>
        <v/>
      </c>
      <c r="D5170" s="245" t="str">
        <f t="shared" si="274"/>
        <v/>
      </c>
      <c r="E5170" s="534"/>
      <c r="F5170" s="534"/>
    </row>
    <row r="5171" spans="1:6" ht="15" customHeight="1">
      <c r="A5171" s="51"/>
      <c r="B5171" s="52" t="str">
        <f t="shared" si="273"/>
        <v/>
      </c>
      <c r="C5171" t="str">
        <f t="shared" si="272"/>
        <v/>
      </c>
      <c r="D5171" s="245" t="str">
        <f t="shared" si="274"/>
        <v/>
      </c>
      <c r="E5171" s="534"/>
      <c r="F5171" s="534"/>
    </row>
    <row r="5172" spans="1:6" ht="15" customHeight="1">
      <c r="A5172" s="51"/>
      <c r="B5172" s="52" t="str">
        <f t="shared" si="273"/>
        <v/>
      </c>
      <c r="C5172" t="str">
        <f t="shared" si="272"/>
        <v/>
      </c>
      <c r="D5172" s="245" t="str">
        <f t="shared" si="274"/>
        <v/>
      </c>
      <c r="E5172" s="534"/>
      <c r="F5172" s="534"/>
    </row>
    <row r="5173" spans="1:6" ht="15" customHeight="1">
      <c r="A5173" s="51"/>
      <c r="B5173" s="52" t="str">
        <f t="shared" si="273"/>
        <v/>
      </c>
      <c r="C5173" t="str">
        <f t="shared" si="272"/>
        <v/>
      </c>
      <c r="D5173" s="245" t="str">
        <f t="shared" si="274"/>
        <v/>
      </c>
      <c r="E5173" s="534"/>
      <c r="F5173" s="534"/>
    </row>
    <row r="5174" spans="1:6" ht="15" customHeight="1">
      <c r="A5174" s="51"/>
      <c r="B5174" s="52" t="str">
        <f t="shared" si="273"/>
        <v/>
      </c>
      <c r="C5174" t="str">
        <f t="shared" si="272"/>
        <v/>
      </c>
      <c r="D5174" s="245" t="str">
        <f t="shared" si="274"/>
        <v/>
      </c>
      <c r="E5174" s="534"/>
      <c r="F5174" s="534"/>
    </row>
    <row r="5175" spans="1:6" ht="15" customHeight="1">
      <c r="A5175" s="51"/>
      <c r="B5175" s="52" t="str">
        <f t="shared" si="273"/>
        <v/>
      </c>
      <c r="C5175" t="str">
        <f t="shared" si="272"/>
        <v/>
      </c>
      <c r="D5175" s="245" t="str">
        <f t="shared" si="274"/>
        <v/>
      </c>
      <c r="E5175" s="534"/>
      <c r="F5175" s="534"/>
    </row>
    <row r="5176" spans="1:6" ht="15" customHeight="1">
      <c r="A5176" s="51"/>
      <c r="B5176" s="52" t="str">
        <f t="shared" si="273"/>
        <v/>
      </c>
      <c r="C5176" t="str">
        <f t="shared" si="272"/>
        <v/>
      </c>
      <c r="D5176" s="245" t="str">
        <f t="shared" si="274"/>
        <v/>
      </c>
      <c r="E5176" s="534"/>
      <c r="F5176" s="534"/>
    </row>
    <row r="5177" spans="1:6" ht="15" customHeight="1">
      <c r="A5177" s="51"/>
      <c r="B5177" s="52" t="str">
        <f t="shared" si="273"/>
        <v/>
      </c>
      <c r="C5177" t="str">
        <f t="shared" si="272"/>
        <v/>
      </c>
      <c r="D5177" s="245" t="str">
        <f t="shared" si="274"/>
        <v/>
      </c>
      <c r="E5177" s="534"/>
      <c r="F5177" s="534"/>
    </row>
    <row r="5178" spans="1:6" ht="15" customHeight="1">
      <c r="A5178" s="51"/>
      <c r="B5178" s="52" t="str">
        <f t="shared" si="273"/>
        <v/>
      </c>
      <c r="C5178" t="str">
        <f t="shared" si="272"/>
        <v/>
      </c>
      <c r="D5178" s="245" t="str">
        <f t="shared" si="274"/>
        <v/>
      </c>
      <c r="E5178" s="534"/>
      <c r="F5178" s="534"/>
    </row>
    <row r="5179" spans="1:6" ht="15" customHeight="1">
      <c r="A5179" s="51"/>
      <c r="B5179" s="52" t="str">
        <f t="shared" si="273"/>
        <v/>
      </c>
      <c r="C5179" t="str">
        <f t="shared" si="272"/>
        <v/>
      </c>
      <c r="D5179" s="245" t="str">
        <f t="shared" si="274"/>
        <v/>
      </c>
      <c r="E5179" s="534"/>
      <c r="F5179" s="534"/>
    </row>
    <row r="5180" spans="1:6" ht="15" customHeight="1">
      <c r="A5180" s="51"/>
      <c r="B5180" s="52" t="str">
        <f t="shared" si="273"/>
        <v/>
      </c>
      <c r="C5180" t="str">
        <f t="shared" si="272"/>
        <v/>
      </c>
      <c r="D5180" s="245" t="str">
        <f t="shared" si="274"/>
        <v/>
      </c>
      <c r="E5180" s="534"/>
      <c r="F5180" s="534"/>
    </row>
    <row r="5181" spans="1:6" ht="15" customHeight="1">
      <c r="A5181" s="51"/>
      <c r="B5181" s="52" t="str">
        <f t="shared" si="273"/>
        <v/>
      </c>
      <c r="C5181" t="str">
        <f t="shared" si="272"/>
        <v/>
      </c>
      <c r="D5181" s="245" t="str">
        <f t="shared" si="274"/>
        <v/>
      </c>
      <c r="E5181" s="534"/>
      <c r="F5181" s="534"/>
    </row>
    <row r="5182" spans="1:6" ht="15" customHeight="1">
      <c r="A5182" s="51"/>
      <c r="B5182" s="52" t="str">
        <f t="shared" si="273"/>
        <v/>
      </c>
      <c r="C5182" t="str">
        <f t="shared" si="272"/>
        <v/>
      </c>
      <c r="D5182" s="245" t="str">
        <f t="shared" si="274"/>
        <v/>
      </c>
      <c r="E5182" s="534"/>
      <c r="F5182" s="534"/>
    </row>
    <row r="5183" spans="1:6" ht="15" customHeight="1">
      <c r="A5183" s="51"/>
      <c r="B5183" s="52" t="str">
        <f t="shared" si="273"/>
        <v/>
      </c>
      <c r="C5183" t="str">
        <f t="shared" si="272"/>
        <v/>
      </c>
      <c r="D5183" s="245" t="str">
        <f t="shared" si="274"/>
        <v/>
      </c>
      <c r="E5183" s="534"/>
      <c r="F5183" s="534"/>
    </row>
    <row r="5184" spans="1:6" ht="15" customHeight="1">
      <c r="A5184" s="51"/>
      <c r="B5184" s="52" t="str">
        <f t="shared" si="273"/>
        <v/>
      </c>
      <c r="C5184" t="str">
        <f t="shared" si="272"/>
        <v/>
      </c>
      <c r="D5184" s="245" t="str">
        <f t="shared" si="274"/>
        <v/>
      </c>
      <c r="E5184" s="534"/>
      <c r="F5184" s="534"/>
    </row>
    <row r="5185" spans="1:6" ht="15" customHeight="1">
      <c r="A5185" s="51"/>
      <c r="B5185" s="52" t="str">
        <f t="shared" si="273"/>
        <v/>
      </c>
      <c r="C5185" t="str">
        <f t="shared" si="272"/>
        <v/>
      </c>
      <c r="D5185" s="245" t="str">
        <f t="shared" si="274"/>
        <v/>
      </c>
      <c r="E5185" s="534"/>
      <c r="F5185" s="534"/>
    </row>
    <row r="5186" spans="1:6" ht="15" customHeight="1">
      <c r="A5186" s="51"/>
      <c r="B5186" s="52" t="str">
        <f t="shared" si="273"/>
        <v/>
      </c>
      <c r="C5186" t="str">
        <f t="shared" ref="C5186:C5249" si="275">IF(A5186&lt;&gt;"",TEXT(A5186,"aaaa"),"")</f>
        <v/>
      </c>
      <c r="D5186" s="245" t="str">
        <f t="shared" si="274"/>
        <v/>
      </c>
      <c r="E5186" s="534"/>
      <c r="F5186" s="534"/>
    </row>
    <row r="5187" spans="1:6" ht="15" customHeight="1">
      <c r="A5187" s="51"/>
      <c r="B5187" s="52" t="str">
        <f t="shared" si="273"/>
        <v/>
      </c>
      <c r="C5187" t="str">
        <f t="shared" si="275"/>
        <v/>
      </c>
      <c r="D5187" s="245" t="str">
        <f t="shared" si="274"/>
        <v/>
      </c>
      <c r="E5187" s="534"/>
      <c r="F5187" s="534"/>
    </row>
    <row r="5188" spans="1:6" ht="15" customHeight="1">
      <c r="A5188" s="51"/>
      <c r="B5188" s="52" t="str">
        <f t="shared" si="273"/>
        <v/>
      </c>
      <c r="C5188" t="str">
        <f t="shared" si="275"/>
        <v/>
      </c>
      <c r="D5188" s="245" t="str">
        <f t="shared" si="274"/>
        <v/>
      </c>
      <c r="E5188" s="534"/>
      <c r="F5188" s="534"/>
    </row>
    <row r="5189" spans="1:6" ht="15" customHeight="1">
      <c r="A5189" s="51"/>
      <c r="B5189" s="52" t="str">
        <f t="shared" si="273"/>
        <v/>
      </c>
      <c r="C5189" t="str">
        <f t="shared" si="275"/>
        <v/>
      </c>
      <c r="D5189" s="245" t="str">
        <f t="shared" si="274"/>
        <v/>
      </c>
      <c r="E5189" s="534"/>
      <c r="F5189" s="534"/>
    </row>
    <row r="5190" spans="1:6" ht="15" customHeight="1">
      <c r="A5190" s="51"/>
      <c r="B5190" s="52" t="str">
        <f t="shared" si="273"/>
        <v/>
      </c>
      <c r="C5190" t="str">
        <f t="shared" si="275"/>
        <v/>
      </c>
      <c r="D5190" s="245" t="str">
        <f t="shared" si="274"/>
        <v/>
      </c>
      <c r="E5190" s="534"/>
      <c r="F5190" s="534"/>
    </row>
    <row r="5191" spans="1:6" ht="15" customHeight="1">
      <c r="A5191" s="51"/>
      <c r="B5191" s="52" t="str">
        <f t="shared" si="273"/>
        <v/>
      </c>
      <c r="C5191" t="str">
        <f t="shared" si="275"/>
        <v/>
      </c>
      <c r="D5191" s="245" t="str">
        <f t="shared" si="274"/>
        <v/>
      </c>
      <c r="E5191" s="534"/>
      <c r="F5191" s="534"/>
    </row>
    <row r="5192" spans="1:6" ht="15" customHeight="1">
      <c r="A5192" s="51"/>
      <c r="B5192" s="52" t="str">
        <f t="shared" ref="B5192:B5255" si="276">IF(A5192="","",TEXT(A5192,"DDDD"))</f>
        <v/>
      </c>
      <c r="C5192" t="str">
        <f t="shared" si="275"/>
        <v/>
      </c>
      <c r="D5192" s="245" t="str">
        <f t="shared" si="274"/>
        <v/>
      </c>
      <c r="E5192" s="534"/>
      <c r="F5192" s="534"/>
    </row>
    <row r="5193" spans="1:6" ht="15" customHeight="1">
      <c r="A5193" s="51"/>
      <c r="B5193" s="52" t="str">
        <f t="shared" si="276"/>
        <v/>
      </c>
      <c r="C5193" t="str">
        <f t="shared" si="275"/>
        <v/>
      </c>
      <c r="D5193" s="245" t="str">
        <f t="shared" ref="D5193:D5256" si="277">IF(A5193&lt;&gt;"",PROPER(TEXT(A5193,"Mmmm")),"")</f>
        <v/>
      </c>
      <c r="E5193" s="534"/>
      <c r="F5193" s="534"/>
    </row>
    <row r="5194" spans="1:6" ht="15" customHeight="1">
      <c r="A5194" s="51"/>
      <c r="B5194" s="52" t="str">
        <f t="shared" si="276"/>
        <v/>
      </c>
      <c r="C5194" t="str">
        <f t="shared" si="275"/>
        <v/>
      </c>
      <c r="D5194" s="245" t="str">
        <f t="shared" si="277"/>
        <v/>
      </c>
      <c r="E5194" s="534"/>
      <c r="F5194" s="534"/>
    </row>
    <row r="5195" spans="1:6" ht="15" customHeight="1">
      <c r="A5195" s="51"/>
      <c r="B5195" s="52" t="str">
        <f t="shared" si="276"/>
        <v/>
      </c>
      <c r="C5195" t="str">
        <f t="shared" si="275"/>
        <v/>
      </c>
      <c r="D5195" s="245" t="str">
        <f t="shared" si="277"/>
        <v/>
      </c>
      <c r="E5195" s="534"/>
      <c r="F5195" s="534"/>
    </row>
    <row r="5196" spans="1:6" ht="15" customHeight="1">
      <c r="A5196" s="51"/>
      <c r="B5196" s="52" t="str">
        <f t="shared" si="276"/>
        <v/>
      </c>
      <c r="C5196" t="str">
        <f t="shared" si="275"/>
        <v/>
      </c>
      <c r="D5196" s="245" t="str">
        <f t="shared" si="277"/>
        <v/>
      </c>
      <c r="E5196" s="534"/>
      <c r="F5196" s="534"/>
    </row>
    <row r="5197" spans="1:6" ht="15" customHeight="1">
      <c r="A5197" s="51"/>
      <c r="B5197" s="52" t="str">
        <f t="shared" si="276"/>
        <v/>
      </c>
      <c r="C5197" t="str">
        <f t="shared" si="275"/>
        <v/>
      </c>
      <c r="D5197" s="245" t="str">
        <f t="shared" si="277"/>
        <v/>
      </c>
      <c r="E5197" s="534"/>
      <c r="F5197" s="534"/>
    </row>
    <row r="5198" spans="1:6" ht="15" customHeight="1">
      <c r="A5198" s="51"/>
      <c r="B5198" s="52" t="str">
        <f t="shared" si="276"/>
        <v/>
      </c>
      <c r="C5198" t="str">
        <f t="shared" si="275"/>
        <v/>
      </c>
      <c r="D5198" s="245" t="str">
        <f t="shared" si="277"/>
        <v/>
      </c>
      <c r="E5198" s="534"/>
      <c r="F5198" s="534"/>
    </row>
    <row r="5199" spans="1:6" ht="15" customHeight="1">
      <c r="A5199" s="51"/>
      <c r="B5199" s="52" t="str">
        <f t="shared" si="276"/>
        <v/>
      </c>
      <c r="C5199" t="str">
        <f t="shared" si="275"/>
        <v/>
      </c>
      <c r="D5199" s="245" t="str">
        <f t="shared" si="277"/>
        <v/>
      </c>
      <c r="E5199" s="534"/>
      <c r="F5199" s="534"/>
    </row>
    <row r="5200" spans="1:6" ht="15" customHeight="1">
      <c r="A5200" s="51"/>
      <c r="B5200" s="52" t="str">
        <f t="shared" si="276"/>
        <v/>
      </c>
      <c r="C5200" t="str">
        <f t="shared" si="275"/>
        <v/>
      </c>
      <c r="D5200" s="245" t="str">
        <f t="shared" si="277"/>
        <v/>
      </c>
      <c r="E5200" s="534"/>
      <c r="F5200" s="534"/>
    </row>
    <row r="5201" spans="1:6" ht="15" customHeight="1">
      <c r="A5201" s="51"/>
      <c r="B5201" s="52" t="str">
        <f t="shared" si="276"/>
        <v/>
      </c>
      <c r="C5201" t="str">
        <f t="shared" si="275"/>
        <v/>
      </c>
      <c r="D5201" s="245" t="str">
        <f t="shared" si="277"/>
        <v/>
      </c>
      <c r="E5201" s="534"/>
      <c r="F5201" s="534"/>
    </row>
    <row r="5202" spans="1:6" ht="15" customHeight="1">
      <c r="A5202" s="51"/>
      <c r="B5202" s="52" t="str">
        <f t="shared" si="276"/>
        <v/>
      </c>
      <c r="C5202" t="str">
        <f t="shared" si="275"/>
        <v/>
      </c>
      <c r="D5202" s="245" t="str">
        <f t="shared" si="277"/>
        <v/>
      </c>
      <c r="E5202" s="534"/>
      <c r="F5202" s="534"/>
    </row>
    <row r="5203" spans="1:6" ht="15" customHeight="1">
      <c r="A5203" s="51"/>
      <c r="B5203" s="52" t="str">
        <f t="shared" si="276"/>
        <v/>
      </c>
      <c r="C5203" t="str">
        <f t="shared" si="275"/>
        <v/>
      </c>
      <c r="D5203" s="245" t="str">
        <f t="shared" si="277"/>
        <v/>
      </c>
      <c r="E5203" s="534"/>
      <c r="F5203" s="534"/>
    </row>
    <row r="5204" spans="1:6" ht="15" customHeight="1">
      <c r="A5204" s="51"/>
      <c r="B5204" s="52" t="str">
        <f t="shared" si="276"/>
        <v/>
      </c>
      <c r="C5204" t="str">
        <f t="shared" si="275"/>
        <v/>
      </c>
      <c r="D5204" s="245" t="str">
        <f t="shared" si="277"/>
        <v/>
      </c>
      <c r="E5204" s="534"/>
      <c r="F5204" s="534"/>
    </row>
    <row r="5205" spans="1:6" ht="15" customHeight="1">
      <c r="A5205" s="51"/>
      <c r="B5205" s="52" t="str">
        <f t="shared" si="276"/>
        <v/>
      </c>
      <c r="C5205" t="str">
        <f t="shared" si="275"/>
        <v/>
      </c>
      <c r="D5205" s="245" t="str">
        <f t="shared" si="277"/>
        <v/>
      </c>
      <c r="E5205" s="534"/>
      <c r="F5205" s="534"/>
    </row>
    <row r="5206" spans="1:6" ht="15" customHeight="1">
      <c r="A5206" s="51"/>
      <c r="B5206" s="52" t="str">
        <f t="shared" si="276"/>
        <v/>
      </c>
      <c r="C5206" t="str">
        <f t="shared" si="275"/>
        <v/>
      </c>
      <c r="D5206" s="245" t="str">
        <f t="shared" si="277"/>
        <v/>
      </c>
      <c r="E5206" s="534"/>
      <c r="F5206" s="534"/>
    </row>
    <row r="5207" spans="1:6" ht="15" customHeight="1">
      <c r="A5207" s="51"/>
      <c r="B5207" s="52" t="str">
        <f t="shared" si="276"/>
        <v/>
      </c>
      <c r="C5207" t="str">
        <f t="shared" si="275"/>
        <v/>
      </c>
      <c r="D5207" s="245" t="str">
        <f t="shared" si="277"/>
        <v/>
      </c>
      <c r="E5207" s="534"/>
      <c r="F5207" s="534"/>
    </row>
    <row r="5208" spans="1:6" ht="15" customHeight="1">
      <c r="A5208" s="51"/>
      <c r="B5208" s="52" t="str">
        <f t="shared" si="276"/>
        <v/>
      </c>
      <c r="C5208" t="str">
        <f t="shared" si="275"/>
        <v/>
      </c>
      <c r="D5208" s="245" t="str">
        <f t="shared" si="277"/>
        <v/>
      </c>
      <c r="E5208" s="534"/>
      <c r="F5208" s="534"/>
    </row>
    <row r="5209" spans="1:6" ht="15" customHeight="1">
      <c r="A5209" s="51"/>
      <c r="B5209" s="52" t="str">
        <f t="shared" si="276"/>
        <v/>
      </c>
      <c r="C5209" t="str">
        <f t="shared" si="275"/>
        <v/>
      </c>
      <c r="D5209" s="245" t="str">
        <f t="shared" si="277"/>
        <v/>
      </c>
      <c r="E5209" s="534"/>
      <c r="F5209" s="534"/>
    </row>
    <row r="5210" spans="1:6" ht="15" customHeight="1">
      <c r="A5210" s="51"/>
      <c r="B5210" s="52" t="str">
        <f t="shared" si="276"/>
        <v/>
      </c>
      <c r="C5210" t="str">
        <f t="shared" si="275"/>
        <v/>
      </c>
      <c r="D5210" s="245" t="str">
        <f t="shared" si="277"/>
        <v/>
      </c>
      <c r="E5210" s="534"/>
      <c r="F5210" s="534"/>
    </row>
    <row r="5211" spans="1:6" ht="15" customHeight="1">
      <c r="A5211" s="51"/>
      <c r="B5211" s="52" t="str">
        <f t="shared" si="276"/>
        <v/>
      </c>
      <c r="C5211" t="str">
        <f t="shared" si="275"/>
        <v/>
      </c>
      <c r="D5211" s="245" t="str">
        <f t="shared" si="277"/>
        <v/>
      </c>
      <c r="E5211" s="534"/>
      <c r="F5211" s="534"/>
    </row>
    <row r="5212" spans="1:6" ht="15" customHeight="1">
      <c r="A5212" s="51"/>
      <c r="B5212" s="52" t="str">
        <f t="shared" si="276"/>
        <v/>
      </c>
      <c r="C5212" t="str">
        <f t="shared" si="275"/>
        <v/>
      </c>
      <c r="D5212" s="245" t="str">
        <f t="shared" si="277"/>
        <v/>
      </c>
      <c r="E5212" s="534"/>
      <c r="F5212" s="534"/>
    </row>
    <row r="5213" spans="1:6" ht="15" customHeight="1">
      <c r="A5213" s="51"/>
      <c r="B5213" s="52" t="str">
        <f t="shared" si="276"/>
        <v/>
      </c>
      <c r="C5213" t="str">
        <f t="shared" si="275"/>
        <v/>
      </c>
      <c r="D5213" s="245" t="str">
        <f t="shared" si="277"/>
        <v/>
      </c>
      <c r="E5213" s="534"/>
      <c r="F5213" s="534"/>
    </row>
    <row r="5214" spans="1:6" ht="15" customHeight="1">
      <c r="A5214" s="51"/>
      <c r="B5214" s="52" t="str">
        <f t="shared" si="276"/>
        <v/>
      </c>
      <c r="C5214" t="str">
        <f t="shared" si="275"/>
        <v/>
      </c>
      <c r="D5214" s="245" t="str">
        <f t="shared" si="277"/>
        <v/>
      </c>
      <c r="E5214" s="534"/>
      <c r="F5214" s="534"/>
    </row>
    <row r="5215" spans="1:6" ht="15" customHeight="1">
      <c r="A5215" s="51"/>
      <c r="B5215" s="52" t="str">
        <f t="shared" si="276"/>
        <v/>
      </c>
      <c r="C5215" t="str">
        <f t="shared" si="275"/>
        <v/>
      </c>
      <c r="D5215" s="245" t="str">
        <f t="shared" si="277"/>
        <v/>
      </c>
      <c r="E5215" s="534"/>
      <c r="F5215" s="534"/>
    </row>
    <row r="5216" spans="1:6" ht="15" customHeight="1">
      <c r="A5216" s="51"/>
      <c r="B5216" s="52" t="str">
        <f t="shared" si="276"/>
        <v/>
      </c>
      <c r="C5216" t="str">
        <f t="shared" si="275"/>
        <v/>
      </c>
      <c r="D5216" s="245" t="str">
        <f t="shared" si="277"/>
        <v/>
      </c>
      <c r="E5216" s="534"/>
      <c r="F5216" s="534"/>
    </row>
    <row r="5217" spans="1:6" ht="15" customHeight="1">
      <c r="A5217" s="51"/>
      <c r="B5217" s="52" t="str">
        <f t="shared" si="276"/>
        <v/>
      </c>
      <c r="C5217" t="str">
        <f t="shared" si="275"/>
        <v/>
      </c>
      <c r="D5217" s="245" t="str">
        <f t="shared" si="277"/>
        <v/>
      </c>
      <c r="E5217" s="534"/>
      <c r="F5217" s="534"/>
    </row>
    <row r="5218" spans="1:6" ht="15" customHeight="1">
      <c r="A5218" s="51"/>
      <c r="B5218" s="52" t="str">
        <f t="shared" si="276"/>
        <v/>
      </c>
      <c r="C5218" t="str">
        <f t="shared" si="275"/>
        <v/>
      </c>
      <c r="D5218" s="245" t="str">
        <f t="shared" si="277"/>
        <v/>
      </c>
      <c r="E5218" s="534"/>
      <c r="F5218" s="534"/>
    </row>
    <row r="5219" spans="1:6" ht="15" customHeight="1">
      <c r="A5219" s="51"/>
      <c r="B5219" s="52" t="str">
        <f t="shared" si="276"/>
        <v/>
      </c>
      <c r="C5219" t="str">
        <f t="shared" si="275"/>
        <v/>
      </c>
      <c r="D5219" s="245" t="str">
        <f t="shared" si="277"/>
        <v/>
      </c>
      <c r="E5219" s="534"/>
      <c r="F5219" s="534"/>
    </row>
    <row r="5220" spans="1:6" ht="15" customHeight="1">
      <c r="A5220" s="51"/>
      <c r="B5220" s="52" t="str">
        <f t="shared" si="276"/>
        <v/>
      </c>
      <c r="C5220" t="str">
        <f t="shared" si="275"/>
        <v/>
      </c>
      <c r="D5220" s="245" t="str">
        <f t="shared" si="277"/>
        <v/>
      </c>
      <c r="E5220" s="534"/>
      <c r="F5220" s="534"/>
    </row>
    <row r="5221" spans="1:6" ht="15" customHeight="1">
      <c r="A5221" s="51"/>
      <c r="B5221" s="52" t="str">
        <f t="shared" si="276"/>
        <v/>
      </c>
      <c r="C5221" t="str">
        <f t="shared" si="275"/>
        <v/>
      </c>
      <c r="D5221" s="245" t="str">
        <f t="shared" si="277"/>
        <v/>
      </c>
      <c r="E5221" s="534"/>
      <c r="F5221" s="534"/>
    </row>
    <row r="5222" spans="1:6" ht="15" customHeight="1">
      <c r="A5222" s="51"/>
      <c r="B5222" s="52" t="str">
        <f t="shared" si="276"/>
        <v/>
      </c>
      <c r="C5222" t="str">
        <f t="shared" si="275"/>
        <v/>
      </c>
      <c r="D5222" s="245" t="str">
        <f t="shared" si="277"/>
        <v/>
      </c>
      <c r="E5222" s="534"/>
      <c r="F5222" s="534"/>
    </row>
    <row r="5223" spans="1:6" ht="15" customHeight="1">
      <c r="A5223" s="51"/>
      <c r="B5223" s="52" t="str">
        <f t="shared" si="276"/>
        <v/>
      </c>
      <c r="C5223" t="str">
        <f t="shared" si="275"/>
        <v/>
      </c>
      <c r="D5223" s="245" t="str">
        <f t="shared" si="277"/>
        <v/>
      </c>
      <c r="E5223" s="534"/>
      <c r="F5223" s="534"/>
    </row>
    <row r="5224" spans="1:6" ht="15" customHeight="1">
      <c r="A5224" s="51"/>
      <c r="B5224" s="52" t="str">
        <f t="shared" si="276"/>
        <v/>
      </c>
      <c r="C5224" t="str">
        <f t="shared" si="275"/>
        <v/>
      </c>
      <c r="D5224" s="245" t="str">
        <f t="shared" si="277"/>
        <v/>
      </c>
      <c r="E5224" s="534"/>
      <c r="F5224" s="534"/>
    </row>
    <row r="5225" spans="1:6" ht="15" customHeight="1">
      <c r="A5225" s="51"/>
      <c r="B5225" s="52" t="str">
        <f t="shared" si="276"/>
        <v/>
      </c>
      <c r="C5225" t="str">
        <f t="shared" si="275"/>
        <v/>
      </c>
      <c r="D5225" s="245" t="str">
        <f t="shared" si="277"/>
        <v/>
      </c>
      <c r="E5225" s="534"/>
      <c r="F5225" s="534"/>
    </row>
    <row r="5226" spans="1:6" ht="15" customHeight="1">
      <c r="A5226" s="51"/>
      <c r="B5226" s="52" t="str">
        <f t="shared" si="276"/>
        <v/>
      </c>
      <c r="C5226" t="str">
        <f t="shared" si="275"/>
        <v/>
      </c>
      <c r="D5226" s="245" t="str">
        <f t="shared" si="277"/>
        <v/>
      </c>
      <c r="E5226" s="534"/>
      <c r="F5226" s="534"/>
    </row>
    <row r="5227" spans="1:6" ht="15" customHeight="1">
      <c r="A5227" s="51"/>
      <c r="B5227" s="52" t="str">
        <f t="shared" si="276"/>
        <v/>
      </c>
      <c r="C5227" t="str">
        <f t="shared" si="275"/>
        <v/>
      </c>
      <c r="D5227" s="245" t="str">
        <f t="shared" si="277"/>
        <v/>
      </c>
      <c r="E5227" s="534"/>
      <c r="F5227" s="534"/>
    </row>
    <row r="5228" spans="1:6" ht="15" customHeight="1">
      <c r="A5228" s="51"/>
      <c r="B5228" s="52" t="str">
        <f t="shared" si="276"/>
        <v/>
      </c>
      <c r="C5228" t="str">
        <f t="shared" si="275"/>
        <v/>
      </c>
      <c r="D5228" s="245" t="str">
        <f t="shared" si="277"/>
        <v/>
      </c>
      <c r="E5228" s="534"/>
      <c r="F5228" s="534"/>
    </row>
    <row r="5229" spans="1:6" ht="15" customHeight="1">
      <c r="A5229" s="51"/>
      <c r="B5229" s="52" t="str">
        <f t="shared" si="276"/>
        <v/>
      </c>
      <c r="C5229" t="str">
        <f t="shared" si="275"/>
        <v/>
      </c>
      <c r="D5229" s="245" t="str">
        <f t="shared" si="277"/>
        <v/>
      </c>
      <c r="E5229" s="534"/>
      <c r="F5229" s="534"/>
    </row>
    <row r="5230" spans="1:6" ht="15" customHeight="1">
      <c r="A5230" s="51"/>
      <c r="B5230" s="52" t="str">
        <f t="shared" si="276"/>
        <v/>
      </c>
      <c r="C5230" t="str">
        <f t="shared" si="275"/>
        <v/>
      </c>
      <c r="D5230" s="245" t="str">
        <f t="shared" si="277"/>
        <v/>
      </c>
      <c r="E5230" s="534"/>
      <c r="F5230" s="534"/>
    </row>
    <row r="5231" spans="1:6" ht="15" customHeight="1">
      <c r="A5231" s="51"/>
      <c r="B5231" s="52" t="str">
        <f t="shared" si="276"/>
        <v/>
      </c>
      <c r="C5231" t="str">
        <f t="shared" si="275"/>
        <v/>
      </c>
      <c r="D5231" s="245" t="str">
        <f t="shared" si="277"/>
        <v/>
      </c>
      <c r="E5231" s="534"/>
      <c r="F5231" s="534"/>
    </row>
    <row r="5232" spans="1:6" ht="15" customHeight="1">
      <c r="A5232" s="51"/>
      <c r="B5232" s="52" t="str">
        <f t="shared" si="276"/>
        <v/>
      </c>
      <c r="C5232" t="str">
        <f t="shared" si="275"/>
        <v/>
      </c>
      <c r="D5232" s="245" t="str">
        <f t="shared" si="277"/>
        <v/>
      </c>
      <c r="E5232" s="534"/>
      <c r="F5232" s="534"/>
    </row>
    <row r="5233" spans="1:6" ht="15" customHeight="1">
      <c r="A5233" s="51"/>
      <c r="B5233" s="52" t="str">
        <f t="shared" si="276"/>
        <v/>
      </c>
      <c r="C5233" t="str">
        <f t="shared" si="275"/>
        <v/>
      </c>
      <c r="D5233" s="245" t="str">
        <f t="shared" si="277"/>
        <v/>
      </c>
      <c r="E5233" s="534"/>
      <c r="F5233" s="534"/>
    </row>
    <row r="5234" spans="1:6" ht="15" customHeight="1">
      <c r="A5234" s="51"/>
      <c r="B5234" s="52" t="str">
        <f t="shared" si="276"/>
        <v/>
      </c>
      <c r="C5234" t="str">
        <f t="shared" si="275"/>
        <v/>
      </c>
      <c r="D5234" s="245" t="str">
        <f t="shared" si="277"/>
        <v/>
      </c>
      <c r="E5234" s="534"/>
      <c r="F5234" s="534"/>
    </row>
    <row r="5235" spans="1:6" ht="15" customHeight="1">
      <c r="A5235" s="51"/>
      <c r="B5235" s="52" t="str">
        <f t="shared" si="276"/>
        <v/>
      </c>
      <c r="C5235" t="str">
        <f t="shared" si="275"/>
        <v/>
      </c>
      <c r="D5235" s="245" t="str">
        <f t="shared" si="277"/>
        <v/>
      </c>
      <c r="E5235" s="534"/>
      <c r="F5235" s="534"/>
    </row>
    <row r="5236" spans="1:6" ht="15" customHeight="1">
      <c r="A5236" s="51"/>
      <c r="B5236" s="52" t="str">
        <f t="shared" si="276"/>
        <v/>
      </c>
      <c r="C5236" t="str">
        <f t="shared" si="275"/>
        <v/>
      </c>
      <c r="D5236" s="245" t="str">
        <f t="shared" si="277"/>
        <v/>
      </c>
      <c r="E5236" s="534"/>
      <c r="F5236" s="534"/>
    </row>
    <row r="5237" spans="1:6" ht="15" customHeight="1">
      <c r="A5237" s="51"/>
      <c r="B5237" s="52" t="str">
        <f t="shared" si="276"/>
        <v/>
      </c>
      <c r="C5237" t="str">
        <f t="shared" si="275"/>
        <v/>
      </c>
      <c r="D5237" s="245" t="str">
        <f t="shared" si="277"/>
        <v/>
      </c>
      <c r="E5237" s="534"/>
      <c r="F5237" s="534"/>
    </row>
    <row r="5238" spans="1:6" ht="15" customHeight="1">
      <c r="A5238" s="51"/>
      <c r="B5238" s="52" t="str">
        <f t="shared" si="276"/>
        <v/>
      </c>
      <c r="C5238" t="str">
        <f t="shared" si="275"/>
        <v/>
      </c>
      <c r="D5238" s="245" t="str">
        <f t="shared" si="277"/>
        <v/>
      </c>
      <c r="E5238" s="534"/>
      <c r="F5238" s="534"/>
    </row>
    <row r="5239" spans="1:6" ht="15" customHeight="1">
      <c r="A5239" s="51"/>
      <c r="B5239" s="52" t="str">
        <f t="shared" si="276"/>
        <v/>
      </c>
      <c r="C5239" t="str">
        <f t="shared" si="275"/>
        <v/>
      </c>
      <c r="D5239" s="245" t="str">
        <f t="shared" si="277"/>
        <v/>
      </c>
      <c r="E5239" s="534"/>
      <c r="F5239" s="534"/>
    </row>
    <row r="5240" spans="1:6" ht="15" customHeight="1">
      <c r="A5240" s="51"/>
      <c r="B5240" s="52" t="str">
        <f t="shared" si="276"/>
        <v/>
      </c>
      <c r="C5240" t="str">
        <f t="shared" si="275"/>
        <v/>
      </c>
      <c r="D5240" s="245" t="str">
        <f t="shared" si="277"/>
        <v/>
      </c>
      <c r="E5240" s="534"/>
      <c r="F5240" s="534"/>
    </row>
    <row r="5241" spans="1:6" ht="15" customHeight="1">
      <c r="A5241" s="51"/>
      <c r="B5241" s="52" t="str">
        <f t="shared" si="276"/>
        <v/>
      </c>
      <c r="C5241" t="str">
        <f t="shared" si="275"/>
        <v/>
      </c>
      <c r="D5241" s="245" t="str">
        <f t="shared" si="277"/>
        <v/>
      </c>
      <c r="E5241" s="534"/>
      <c r="F5241" s="534"/>
    </row>
    <row r="5242" spans="1:6" ht="15" customHeight="1">
      <c r="A5242" s="51"/>
      <c r="B5242" s="52" t="str">
        <f t="shared" si="276"/>
        <v/>
      </c>
      <c r="C5242" t="str">
        <f t="shared" si="275"/>
        <v/>
      </c>
      <c r="D5242" s="245" t="str">
        <f t="shared" si="277"/>
        <v/>
      </c>
      <c r="E5242" s="534"/>
      <c r="F5242" s="534"/>
    </row>
    <row r="5243" spans="1:6" ht="15" customHeight="1">
      <c r="A5243" s="51"/>
      <c r="B5243" s="52" t="str">
        <f t="shared" si="276"/>
        <v/>
      </c>
      <c r="C5243" t="str">
        <f t="shared" si="275"/>
        <v/>
      </c>
      <c r="D5243" s="245" t="str">
        <f t="shared" si="277"/>
        <v/>
      </c>
      <c r="E5243" s="534"/>
      <c r="F5243" s="534"/>
    </row>
    <row r="5244" spans="1:6" ht="15" customHeight="1">
      <c r="A5244" s="51"/>
      <c r="B5244" s="52" t="str">
        <f t="shared" si="276"/>
        <v/>
      </c>
      <c r="C5244" t="str">
        <f t="shared" si="275"/>
        <v/>
      </c>
      <c r="D5244" s="245" t="str">
        <f t="shared" si="277"/>
        <v/>
      </c>
      <c r="E5244" s="534"/>
      <c r="F5244" s="534"/>
    </row>
    <row r="5245" spans="1:6" ht="15" customHeight="1">
      <c r="A5245" s="51"/>
      <c r="B5245" s="52" t="str">
        <f t="shared" si="276"/>
        <v/>
      </c>
      <c r="C5245" t="str">
        <f t="shared" si="275"/>
        <v/>
      </c>
      <c r="D5245" s="245" t="str">
        <f t="shared" si="277"/>
        <v/>
      </c>
      <c r="E5245" s="534"/>
      <c r="F5245" s="534"/>
    </row>
    <row r="5246" spans="1:6" ht="15" customHeight="1">
      <c r="A5246" s="51"/>
      <c r="B5246" s="52" t="str">
        <f t="shared" si="276"/>
        <v/>
      </c>
      <c r="C5246" t="str">
        <f t="shared" si="275"/>
        <v/>
      </c>
      <c r="D5246" s="245" t="str">
        <f t="shared" si="277"/>
        <v/>
      </c>
      <c r="E5246" s="534"/>
      <c r="F5246" s="534"/>
    </row>
    <row r="5247" spans="1:6" ht="15" customHeight="1">
      <c r="A5247" s="51"/>
      <c r="B5247" s="52" t="str">
        <f t="shared" si="276"/>
        <v/>
      </c>
      <c r="C5247" t="str">
        <f t="shared" si="275"/>
        <v/>
      </c>
      <c r="D5247" s="245" t="str">
        <f t="shared" si="277"/>
        <v/>
      </c>
      <c r="E5247" s="534"/>
      <c r="F5247" s="534"/>
    </row>
    <row r="5248" spans="1:6" ht="15" customHeight="1">
      <c r="A5248" s="51"/>
      <c r="B5248" s="52" t="str">
        <f t="shared" si="276"/>
        <v/>
      </c>
      <c r="C5248" t="str">
        <f t="shared" si="275"/>
        <v/>
      </c>
      <c r="D5248" s="245" t="str">
        <f t="shared" si="277"/>
        <v/>
      </c>
      <c r="E5248" s="534"/>
      <c r="F5248" s="534"/>
    </row>
    <row r="5249" spans="1:6" ht="15" customHeight="1">
      <c r="A5249" s="51"/>
      <c r="B5249" s="52" t="str">
        <f t="shared" si="276"/>
        <v/>
      </c>
      <c r="C5249" t="str">
        <f t="shared" si="275"/>
        <v/>
      </c>
      <c r="D5249" s="245" t="str">
        <f t="shared" si="277"/>
        <v/>
      </c>
      <c r="E5249" s="534"/>
      <c r="F5249" s="534"/>
    </row>
    <row r="5250" spans="1:6" ht="15" customHeight="1">
      <c r="A5250" s="51"/>
      <c r="B5250" s="52" t="str">
        <f t="shared" si="276"/>
        <v/>
      </c>
      <c r="C5250" t="str">
        <f t="shared" ref="C5250:C5313" si="278">IF(A5250&lt;&gt;"",TEXT(A5250,"aaaa"),"")</f>
        <v/>
      </c>
      <c r="D5250" s="245" t="str">
        <f t="shared" si="277"/>
        <v/>
      </c>
      <c r="E5250" s="534"/>
      <c r="F5250" s="534"/>
    </row>
    <row r="5251" spans="1:6" ht="15" customHeight="1">
      <c r="A5251" s="51"/>
      <c r="B5251" s="52" t="str">
        <f t="shared" si="276"/>
        <v/>
      </c>
      <c r="C5251" t="str">
        <f t="shared" si="278"/>
        <v/>
      </c>
      <c r="D5251" s="245" t="str">
        <f t="shared" si="277"/>
        <v/>
      </c>
      <c r="E5251" s="534"/>
      <c r="F5251" s="534"/>
    </row>
    <row r="5252" spans="1:6" ht="15" customHeight="1">
      <c r="A5252" s="51"/>
      <c r="B5252" s="52" t="str">
        <f t="shared" si="276"/>
        <v/>
      </c>
      <c r="C5252" t="str">
        <f t="shared" si="278"/>
        <v/>
      </c>
      <c r="D5252" s="245" t="str">
        <f t="shared" si="277"/>
        <v/>
      </c>
      <c r="E5252" s="534"/>
      <c r="F5252" s="534"/>
    </row>
    <row r="5253" spans="1:6" ht="15" customHeight="1">
      <c r="A5253" s="51"/>
      <c r="B5253" s="52" t="str">
        <f t="shared" si="276"/>
        <v/>
      </c>
      <c r="C5253" t="str">
        <f t="shared" si="278"/>
        <v/>
      </c>
      <c r="D5253" s="245" t="str">
        <f t="shared" si="277"/>
        <v/>
      </c>
      <c r="E5253" s="534"/>
      <c r="F5253" s="534"/>
    </row>
    <row r="5254" spans="1:6" ht="15" customHeight="1">
      <c r="A5254" s="51"/>
      <c r="B5254" s="52" t="str">
        <f t="shared" si="276"/>
        <v/>
      </c>
      <c r="C5254" t="str">
        <f t="shared" si="278"/>
        <v/>
      </c>
      <c r="D5254" s="245" t="str">
        <f t="shared" si="277"/>
        <v/>
      </c>
      <c r="E5254" s="534"/>
      <c r="F5254" s="534"/>
    </row>
    <row r="5255" spans="1:6" ht="15" customHeight="1">
      <c r="A5255" s="51"/>
      <c r="B5255" s="52" t="str">
        <f t="shared" si="276"/>
        <v/>
      </c>
      <c r="C5255" t="str">
        <f t="shared" si="278"/>
        <v/>
      </c>
      <c r="D5255" s="245" t="str">
        <f t="shared" si="277"/>
        <v/>
      </c>
      <c r="E5255" s="534"/>
      <c r="F5255" s="534"/>
    </row>
    <row r="5256" spans="1:6" ht="15" customHeight="1">
      <c r="A5256" s="51"/>
      <c r="B5256" s="52" t="str">
        <f t="shared" ref="B5256:B5319" si="279">IF(A5256="","",TEXT(A5256,"DDDD"))</f>
        <v/>
      </c>
      <c r="C5256" t="str">
        <f t="shared" si="278"/>
        <v/>
      </c>
      <c r="D5256" s="245" t="str">
        <f t="shared" si="277"/>
        <v/>
      </c>
      <c r="E5256" s="534"/>
      <c r="F5256" s="534"/>
    </row>
    <row r="5257" spans="1:6" ht="15" customHeight="1">
      <c r="A5257" s="51"/>
      <c r="B5257" s="52" t="str">
        <f t="shared" si="279"/>
        <v/>
      </c>
      <c r="C5257" t="str">
        <f t="shared" si="278"/>
        <v/>
      </c>
      <c r="D5257" s="245" t="str">
        <f t="shared" ref="D5257:D5320" si="280">IF(A5257&lt;&gt;"",PROPER(TEXT(A5257,"Mmmm")),"")</f>
        <v/>
      </c>
      <c r="E5257" s="534"/>
      <c r="F5257" s="534"/>
    </row>
    <row r="5258" spans="1:6" ht="15" customHeight="1">
      <c r="A5258" s="51"/>
      <c r="B5258" s="52" t="str">
        <f t="shared" si="279"/>
        <v/>
      </c>
      <c r="C5258" t="str">
        <f t="shared" si="278"/>
        <v/>
      </c>
      <c r="D5258" s="245" t="str">
        <f t="shared" si="280"/>
        <v/>
      </c>
      <c r="E5258" s="534"/>
      <c r="F5258" s="534"/>
    </row>
    <row r="5259" spans="1:6" ht="15" customHeight="1">
      <c r="A5259" s="51"/>
      <c r="B5259" s="52" t="str">
        <f t="shared" si="279"/>
        <v/>
      </c>
      <c r="C5259" t="str">
        <f t="shared" si="278"/>
        <v/>
      </c>
      <c r="D5259" s="245" t="str">
        <f t="shared" si="280"/>
        <v/>
      </c>
      <c r="E5259" s="534"/>
      <c r="F5259" s="534"/>
    </row>
    <row r="5260" spans="1:6" ht="15" customHeight="1">
      <c r="A5260" s="51"/>
      <c r="B5260" s="52" t="str">
        <f t="shared" si="279"/>
        <v/>
      </c>
      <c r="C5260" t="str">
        <f t="shared" si="278"/>
        <v/>
      </c>
      <c r="D5260" s="245" t="str">
        <f t="shared" si="280"/>
        <v/>
      </c>
      <c r="E5260" s="534"/>
      <c r="F5260" s="534"/>
    </row>
    <row r="5261" spans="1:6" ht="15" customHeight="1">
      <c r="A5261" s="51"/>
      <c r="B5261" s="52" t="str">
        <f t="shared" si="279"/>
        <v/>
      </c>
      <c r="C5261" t="str">
        <f t="shared" si="278"/>
        <v/>
      </c>
      <c r="D5261" s="245" t="str">
        <f t="shared" si="280"/>
        <v/>
      </c>
      <c r="E5261" s="534"/>
      <c r="F5261" s="534"/>
    </row>
    <row r="5262" spans="1:6" ht="15" customHeight="1">
      <c r="A5262" s="51"/>
      <c r="B5262" s="52" t="str">
        <f t="shared" si="279"/>
        <v/>
      </c>
      <c r="C5262" t="str">
        <f t="shared" si="278"/>
        <v/>
      </c>
      <c r="D5262" s="245" t="str">
        <f t="shared" si="280"/>
        <v/>
      </c>
      <c r="E5262" s="534"/>
      <c r="F5262" s="534"/>
    </row>
    <row r="5263" spans="1:6" ht="15" customHeight="1">
      <c r="A5263" s="51"/>
      <c r="B5263" s="52" t="str">
        <f t="shared" si="279"/>
        <v/>
      </c>
      <c r="C5263" t="str">
        <f t="shared" si="278"/>
        <v/>
      </c>
      <c r="D5263" s="245" t="str">
        <f t="shared" si="280"/>
        <v/>
      </c>
      <c r="E5263" s="534"/>
      <c r="F5263" s="534"/>
    </row>
    <row r="5264" spans="1:6" ht="15" customHeight="1">
      <c r="A5264" s="51"/>
      <c r="B5264" s="52" t="str">
        <f t="shared" si="279"/>
        <v/>
      </c>
      <c r="C5264" t="str">
        <f t="shared" si="278"/>
        <v/>
      </c>
      <c r="D5264" s="245" t="str">
        <f t="shared" si="280"/>
        <v/>
      </c>
      <c r="E5264" s="534"/>
      <c r="F5264" s="534"/>
    </row>
    <row r="5265" spans="1:6" ht="15" customHeight="1">
      <c r="A5265" s="51"/>
      <c r="B5265" s="52" t="str">
        <f t="shared" si="279"/>
        <v/>
      </c>
      <c r="C5265" t="str">
        <f t="shared" si="278"/>
        <v/>
      </c>
      <c r="D5265" s="245" t="str">
        <f t="shared" si="280"/>
        <v/>
      </c>
      <c r="E5265" s="534"/>
      <c r="F5265" s="534"/>
    </row>
    <row r="5266" spans="1:6" ht="15" customHeight="1">
      <c r="A5266" s="51"/>
      <c r="B5266" s="52" t="str">
        <f t="shared" si="279"/>
        <v/>
      </c>
      <c r="C5266" t="str">
        <f t="shared" si="278"/>
        <v/>
      </c>
      <c r="D5266" s="245" t="str">
        <f t="shared" si="280"/>
        <v/>
      </c>
      <c r="E5266" s="534"/>
      <c r="F5266" s="534"/>
    </row>
    <row r="5267" spans="1:6" ht="15" customHeight="1">
      <c r="A5267" s="51"/>
      <c r="B5267" s="52" t="str">
        <f t="shared" si="279"/>
        <v/>
      </c>
      <c r="C5267" t="str">
        <f t="shared" si="278"/>
        <v/>
      </c>
      <c r="D5267" s="245" t="str">
        <f t="shared" si="280"/>
        <v/>
      </c>
      <c r="E5267" s="534"/>
      <c r="F5267" s="534"/>
    </row>
    <row r="5268" spans="1:6" ht="15" customHeight="1">
      <c r="A5268" s="51"/>
      <c r="B5268" s="52" t="str">
        <f t="shared" si="279"/>
        <v/>
      </c>
      <c r="C5268" t="str">
        <f t="shared" si="278"/>
        <v/>
      </c>
      <c r="D5268" s="245" t="str">
        <f t="shared" si="280"/>
        <v/>
      </c>
      <c r="E5268" s="534"/>
      <c r="F5268" s="534"/>
    </row>
    <row r="5269" spans="1:6" ht="15" customHeight="1">
      <c r="A5269" s="51"/>
      <c r="B5269" s="52" t="str">
        <f t="shared" si="279"/>
        <v/>
      </c>
      <c r="C5269" t="str">
        <f t="shared" si="278"/>
        <v/>
      </c>
      <c r="D5269" s="245" t="str">
        <f t="shared" si="280"/>
        <v/>
      </c>
      <c r="E5269" s="534"/>
      <c r="F5269" s="534"/>
    </row>
    <row r="5270" spans="1:6" ht="15" customHeight="1">
      <c r="A5270" s="51"/>
      <c r="B5270" s="52" t="str">
        <f t="shared" si="279"/>
        <v/>
      </c>
      <c r="C5270" t="str">
        <f t="shared" si="278"/>
        <v/>
      </c>
      <c r="D5270" s="245" t="str">
        <f t="shared" si="280"/>
        <v/>
      </c>
      <c r="E5270" s="534"/>
      <c r="F5270" s="534"/>
    </row>
    <row r="5271" spans="1:6" ht="15" customHeight="1">
      <c r="A5271" s="51"/>
      <c r="B5271" s="52" t="str">
        <f t="shared" si="279"/>
        <v/>
      </c>
      <c r="C5271" t="str">
        <f t="shared" si="278"/>
        <v/>
      </c>
      <c r="D5271" s="245" t="str">
        <f t="shared" si="280"/>
        <v/>
      </c>
      <c r="E5271" s="534"/>
      <c r="F5271" s="534"/>
    </row>
    <row r="5272" spans="1:6" ht="15" customHeight="1">
      <c r="A5272" s="51"/>
      <c r="B5272" s="52" t="str">
        <f t="shared" si="279"/>
        <v/>
      </c>
      <c r="C5272" t="str">
        <f t="shared" si="278"/>
        <v/>
      </c>
      <c r="D5272" s="245" t="str">
        <f t="shared" si="280"/>
        <v/>
      </c>
      <c r="E5272" s="534"/>
      <c r="F5272" s="534"/>
    </row>
    <row r="5273" spans="1:6" ht="15" customHeight="1">
      <c r="A5273" s="51"/>
      <c r="B5273" s="52" t="str">
        <f t="shared" si="279"/>
        <v/>
      </c>
      <c r="C5273" t="str">
        <f t="shared" si="278"/>
        <v/>
      </c>
      <c r="D5273" s="245" t="str">
        <f t="shared" si="280"/>
        <v/>
      </c>
      <c r="E5273" s="534"/>
      <c r="F5273" s="534"/>
    </row>
    <row r="5274" spans="1:6" ht="15" customHeight="1">
      <c r="A5274" s="51"/>
      <c r="B5274" s="52" t="str">
        <f t="shared" si="279"/>
        <v/>
      </c>
      <c r="C5274" t="str">
        <f t="shared" si="278"/>
        <v/>
      </c>
      <c r="D5274" s="245" t="str">
        <f t="shared" si="280"/>
        <v/>
      </c>
      <c r="E5274" s="534"/>
      <c r="F5274" s="534"/>
    </row>
    <row r="5275" spans="1:6" ht="15" customHeight="1">
      <c r="A5275" s="51"/>
      <c r="B5275" s="52" t="str">
        <f t="shared" si="279"/>
        <v/>
      </c>
      <c r="C5275" t="str">
        <f t="shared" si="278"/>
        <v/>
      </c>
      <c r="D5275" s="245" t="str">
        <f t="shared" si="280"/>
        <v/>
      </c>
      <c r="E5275" s="534"/>
      <c r="F5275" s="534"/>
    </row>
    <row r="5276" spans="1:6" ht="15" customHeight="1">
      <c r="A5276" s="51"/>
      <c r="B5276" s="52" t="str">
        <f t="shared" si="279"/>
        <v/>
      </c>
      <c r="C5276" t="str">
        <f t="shared" si="278"/>
        <v/>
      </c>
      <c r="D5276" s="245" t="str">
        <f t="shared" si="280"/>
        <v/>
      </c>
      <c r="E5276" s="534"/>
      <c r="F5276" s="534"/>
    </row>
    <row r="5277" spans="1:6" ht="15" customHeight="1">
      <c r="A5277" s="51"/>
      <c r="B5277" s="52" t="str">
        <f t="shared" si="279"/>
        <v/>
      </c>
      <c r="C5277" t="str">
        <f t="shared" si="278"/>
        <v/>
      </c>
      <c r="D5277" s="245" t="str">
        <f t="shared" si="280"/>
        <v/>
      </c>
      <c r="E5277" s="534"/>
      <c r="F5277" s="534"/>
    </row>
    <row r="5278" spans="1:6" ht="15" customHeight="1">
      <c r="A5278" s="51"/>
      <c r="B5278" s="52" t="str">
        <f t="shared" si="279"/>
        <v/>
      </c>
      <c r="C5278" t="str">
        <f t="shared" si="278"/>
        <v/>
      </c>
      <c r="D5278" s="245" t="str">
        <f t="shared" si="280"/>
        <v/>
      </c>
      <c r="E5278" s="534"/>
      <c r="F5278" s="534"/>
    </row>
    <row r="5279" spans="1:6" ht="15" customHeight="1">
      <c r="A5279" s="51"/>
      <c r="B5279" s="52" t="str">
        <f t="shared" si="279"/>
        <v/>
      </c>
      <c r="C5279" t="str">
        <f t="shared" si="278"/>
        <v/>
      </c>
      <c r="D5279" s="245" t="str">
        <f t="shared" si="280"/>
        <v/>
      </c>
      <c r="E5279" s="534"/>
      <c r="F5279" s="534"/>
    </row>
    <row r="5280" spans="1:6" ht="15" customHeight="1">
      <c r="A5280" s="51"/>
      <c r="B5280" s="52" t="str">
        <f t="shared" si="279"/>
        <v/>
      </c>
      <c r="C5280" t="str">
        <f t="shared" si="278"/>
        <v/>
      </c>
      <c r="D5280" s="245" t="str">
        <f t="shared" si="280"/>
        <v/>
      </c>
      <c r="E5280" s="534"/>
      <c r="F5280" s="534"/>
    </row>
    <row r="5281" spans="1:6" ht="15" customHeight="1">
      <c r="A5281" s="51"/>
      <c r="B5281" s="52" t="str">
        <f t="shared" si="279"/>
        <v/>
      </c>
      <c r="C5281" t="str">
        <f t="shared" si="278"/>
        <v/>
      </c>
      <c r="D5281" s="245" t="str">
        <f t="shared" si="280"/>
        <v/>
      </c>
      <c r="E5281" s="534"/>
      <c r="F5281" s="534"/>
    </row>
    <row r="5282" spans="1:6" ht="15" customHeight="1">
      <c r="A5282" s="51"/>
      <c r="B5282" s="52" t="str">
        <f t="shared" si="279"/>
        <v/>
      </c>
      <c r="C5282" t="str">
        <f t="shared" si="278"/>
        <v/>
      </c>
      <c r="D5282" s="245" t="str">
        <f t="shared" si="280"/>
        <v/>
      </c>
      <c r="E5282" s="534"/>
      <c r="F5282" s="534"/>
    </row>
    <row r="5283" spans="1:6" ht="15" customHeight="1">
      <c r="A5283" s="51"/>
      <c r="B5283" s="52" t="str">
        <f t="shared" si="279"/>
        <v/>
      </c>
      <c r="C5283" t="str">
        <f t="shared" si="278"/>
        <v/>
      </c>
      <c r="D5283" s="245" t="str">
        <f t="shared" si="280"/>
        <v/>
      </c>
      <c r="E5283" s="534"/>
      <c r="F5283" s="534"/>
    </row>
    <row r="5284" spans="1:6" ht="15" customHeight="1">
      <c r="A5284" s="51"/>
      <c r="B5284" s="52" t="str">
        <f t="shared" si="279"/>
        <v/>
      </c>
      <c r="C5284" t="str">
        <f t="shared" si="278"/>
        <v/>
      </c>
      <c r="D5284" s="245" t="str">
        <f t="shared" si="280"/>
        <v/>
      </c>
      <c r="E5284" s="534"/>
      <c r="F5284" s="534"/>
    </row>
    <row r="5285" spans="1:6" ht="15" customHeight="1">
      <c r="A5285" s="51"/>
      <c r="B5285" s="52" t="str">
        <f t="shared" si="279"/>
        <v/>
      </c>
      <c r="C5285" t="str">
        <f t="shared" si="278"/>
        <v/>
      </c>
      <c r="D5285" s="245" t="str">
        <f t="shared" si="280"/>
        <v/>
      </c>
      <c r="E5285" s="534"/>
      <c r="F5285" s="534"/>
    </row>
    <row r="5286" spans="1:6" ht="15" customHeight="1">
      <c r="A5286" s="51"/>
      <c r="B5286" s="52" t="str">
        <f t="shared" si="279"/>
        <v/>
      </c>
      <c r="C5286" t="str">
        <f t="shared" si="278"/>
        <v/>
      </c>
      <c r="D5286" s="245" t="str">
        <f t="shared" si="280"/>
        <v/>
      </c>
      <c r="E5286" s="534"/>
      <c r="F5286" s="534"/>
    </row>
    <row r="5287" spans="1:6" ht="15" customHeight="1">
      <c r="A5287" s="51"/>
      <c r="B5287" s="52" t="str">
        <f t="shared" si="279"/>
        <v/>
      </c>
      <c r="C5287" t="str">
        <f t="shared" si="278"/>
        <v/>
      </c>
      <c r="D5287" s="245" t="str">
        <f t="shared" si="280"/>
        <v/>
      </c>
      <c r="E5287" s="534"/>
      <c r="F5287" s="534"/>
    </row>
    <row r="5288" spans="1:6" ht="15" customHeight="1">
      <c r="A5288" s="51"/>
      <c r="B5288" s="52" t="str">
        <f t="shared" si="279"/>
        <v/>
      </c>
      <c r="C5288" t="str">
        <f t="shared" si="278"/>
        <v/>
      </c>
      <c r="D5288" s="245" t="str">
        <f t="shared" si="280"/>
        <v/>
      </c>
      <c r="E5288" s="534"/>
      <c r="F5288" s="534"/>
    </row>
    <row r="5289" spans="1:6" ht="15" customHeight="1">
      <c r="A5289" s="51"/>
      <c r="B5289" s="52" t="str">
        <f t="shared" si="279"/>
        <v/>
      </c>
      <c r="C5289" t="str">
        <f t="shared" si="278"/>
        <v/>
      </c>
      <c r="D5289" s="245" t="str">
        <f t="shared" si="280"/>
        <v/>
      </c>
      <c r="E5289" s="534"/>
      <c r="F5289" s="534"/>
    </row>
    <row r="5290" spans="1:6" ht="15" customHeight="1">
      <c r="A5290" s="51"/>
      <c r="B5290" s="52" t="str">
        <f t="shared" si="279"/>
        <v/>
      </c>
      <c r="C5290" t="str">
        <f t="shared" si="278"/>
        <v/>
      </c>
      <c r="D5290" s="245" t="str">
        <f t="shared" si="280"/>
        <v/>
      </c>
      <c r="E5290" s="534"/>
      <c r="F5290" s="534"/>
    </row>
    <row r="5291" spans="1:6" ht="15" customHeight="1">
      <c r="A5291" s="51"/>
      <c r="B5291" s="52" t="str">
        <f t="shared" si="279"/>
        <v/>
      </c>
      <c r="C5291" t="str">
        <f t="shared" si="278"/>
        <v/>
      </c>
      <c r="D5291" s="245" t="str">
        <f t="shared" si="280"/>
        <v/>
      </c>
      <c r="E5291" s="534"/>
      <c r="F5291" s="534"/>
    </row>
    <row r="5292" spans="1:6" ht="15" customHeight="1">
      <c r="A5292" s="51"/>
      <c r="B5292" s="52" t="str">
        <f t="shared" si="279"/>
        <v/>
      </c>
      <c r="C5292" t="str">
        <f t="shared" si="278"/>
        <v/>
      </c>
      <c r="D5292" s="245" t="str">
        <f t="shared" si="280"/>
        <v/>
      </c>
      <c r="E5292" s="534"/>
      <c r="F5292" s="534"/>
    </row>
    <row r="5293" spans="1:6" ht="15" customHeight="1">
      <c r="A5293" s="51"/>
      <c r="B5293" s="52" t="str">
        <f t="shared" si="279"/>
        <v/>
      </c>
      <c r="C5293" t="str">
        <f t="shared" si="278"/>
        <v/>
      </c>
      <c r="D5293" s="245" t="str">
        <f t="shared" si="280"/>
        <v/>
      </c>
      <c r="E5293" s="534"/>
      <c r="F5293" s="534"/>
    </row>
    <row r="5294" spans="1:6" ht="15" customHeight="1">
      <c r="A5294" s="51"/>
      <c r="B5294" s="52" t="str">
        <f t="shared" si="279"/>
        <v/>
      </c>
      <c r="C5294" t="str">
        <f t="shared" si="278"/>
        <v/>
      </c>
      <c r="D5294" s="245" t="str">
        <f t="shared" si="280"/>
        <v/>
      </c>
      <c r="E5294" s="534"/>
      <c r="F5294" s="534"/>
    </row>
    <row r="5295" spans="1:6" ht="15" customHeight="1">
      <c r="A5295" s="51"/>
      <c r="B5295" s="52" t="str">
        <f t="shared" si="279"/>
        <v/>
      </c>
      <c r="C5295" t="str">
        <f t="shared" si="278"/>
        <v/>
      </c>
      <c r="D5295" s="245" t="str">
        <f t="shared" si="280"/>
        <v/>
      </c>
      <c r="E5295" s="534"/>
      <c r="F5295" s="534"/>
    </row>
    <row r="5296" spans="1:6" ht="15" customHeight="1">
      <c r="A5296" s="51"/>
      <c r="B5296" s="52" t="str">
        <f t="shared" si="279"/>
        <v/>
      </c>
      <c r="C5296" t="str">
        <f t="shared" si="278"/>
        <v/>
      </c>
      <c r="D5296" s="245" t="str">
        <f t="shared" si="280"/>
        <v/>
      </c>
      <c r="E5296" s="534"/>
      <c r="F5296" s="534"/>
    </row>
    <row r="5297" spans="1:6" ht="15" customHeight="1">
      <c r="A5297" s="51"/>
      <c r="B5297" s="52" t="str">
        <f t="shared" si="279"/>
        <v/>
      </c>
      <c r="C5297" t="str">
        <f t="shared" si="278"/>
        <v/>
      </c>
      <c r="D5297" s="245" t="str">
        <f t="shared" si="280"/>
        <v/>
      </c>
      <c r="E5297" s="534"/>
      <c r="F5297" s="534"/>
    </row>
    <row r="5298" spans="1:6" ht="15" customHeight="1">
      <c r="A5298" s="51"/>
      <c r="B5298" s="52" t="str">
        <f t="shared" si="279"/>
        <v/>
      </c>
      <c r="C5298" t="str">
        <f t="shared" si="278"/>
        <v/>
      </c>
      <c r="D5298" s="245" t="str">
        <f t="shared" si="280"/>
        <v/>
      </c>
      <c r="E5298" s="534"/>
      <c r="F5298" s="534"/>
    </row>
    <row r="5299" spans="1:6" ht="15" customHeight="1">
      <c r="A5299" s="51"/>
      <c r="B5299" s="52" t="str">
        <f t="shared" si="279"/>
        <v/>
      </c>
      <c r="C5299" t="str">
        <f t="shared" si="278"/>
        <v/>
      </c>
      <c r="D5299" s="245" t="str">
        <f t="shared" si="280"/>
        <v/>
      </c>
      <c r="E5299" s="534"/>
      <c r="F5299" s="534"/>
    </row>
    <row r="5300" spans="1:6" ht="15" customHeight="1">
      <c r="A5300" s="51"/>
      <c r="B5300" s="52" t="str">
        <f t="shared" si="279"/>
        <v/>
      </c>
      <c r="C5300" t="str">
        <f t="shared" si="278"/>
        <v/>
      </c>
      <c r="D5300" s="245" t="str">
        <f t="shared" si="280"/>
        <v/>
      </c>
      <c r="E5300" s="534"/>
      <c r="F5300" s="534"/>
    </row>
    <row r="5301" spans="1:6" ht="15" customHeight="1">
      <c r="A5301" s="51"/>
      <c r="B5301" s="52" t="str">
        <f t="shared" si="279"/>
        <v/>
      </c>
      <c r="C5301" t="str">
        <f t="shared" si="278"/>
        <v/>
      </c>
      <c r="D5301" s="245" t="str">
        <f t="shared" si="280"/>
        <v/>
      </c>
      <c r="E5301" s="534"/>
      <c r="F5301" s="534"/>
    </row>
    <row r="5302" spans="1:6" ht="15" customHeight="1">
      <c r="A5302" s="51"/>
      <c r="B5302" s="52" t="str">
        <f t="shared" si="279"/>
        <v/>
      </c>
      <c r="C5302" t="str">
        <f t="shared" si="278"/>
        <v/>
      </c>
      <c r="D5302" s="245" t="str">
        <f t="shared" si="280"/>
        <v/>
      </c>
      <c r="E5302" s="534"/>
      <c r="F5302" s="534"/>
    </row>
    <row r="5303" spans="1:6" ht="15" customHeight="1">
      <c r="A5303" s="51"/>
      <c r="B5303" s="52" t="str">
        <f t="shared" si="279"/>
        <v/>
      </c>
      <c r="C5303" t="str">
        <f t="shared" si="278"/>
        <v/>
      </c>
      <c r="D5303" s="245" t="str">
        <f t="shared" si="280"/>
        <v/>
      </c>
      <c r="E5303" s="534"/>
      <c r="F5303" s="534"/>
    </row>
    <row r="5304" spans="1:6" ht="15" customHeight="1">
      <c r="A5304" s="51"/>
      <c r="B5304" s="52" t="str">
        <f t="shared" si="279"/>
        <v/>
      </c>
      <c r="C5304" t="str">
        <f t="shared" si="278"/>
        <v/>
      </c>
      <c r="D5304" s="245" t="str">
        <f t="shared" si="280"/>
        <v/>
      </c>
      <c r="E5304" s="534"/>
      <c r="F5304" s="534"/>
    </row>
    <row r="5305" spans="1:6" ht="15" customHeight="1">
      <c r="A5305" s="51"/>
      <c r="B5305" s="52" t="str">
        <f t="shared" si="279"/>
        <v/>
      </c>
      <c r="C5305" t="str">
        <f t="shared" si="278"/>
        <v/>
      </c>
      <c r="D5305" s="245" t="str">
        <f t="shared" si="280"/>
        <v/>
      </c>
      <c r="E5305" s="534"/>
      <c r="F5305" s="534"/>
    </row>
    <row r="5306" spans="1:6" ht="15" customHeight="1">
      <c r="A5306" s="51"/>
      <c r="B5306" s="52" t="str">
        <f t="shared" si="279"/>
        <v/>
      </c>
      <c r="C5306" t="str">
        <f t="shared" si="278"/>
        <v/>
      </c>
      <c r="D5306" s="245" t="str">
        <f t="shared" si="280"/>
        <v/>
      </c>
      <c r="E5306" s="534"/>
      <c r="F5306" s="534"/>
    </row>
    <row r="5307" spans="1:6" ht="15" customHeight="1">
      <c r="A5307" s="51"/>
      <c r="B5307" s="52" t="str">
        <f t="shared" si="279"/>
        <v/>
      </c>
      <c r="C5307" t="str">
        <f t="shared" si="278"/>
        <v/>
      </c>
      <c r="D5307" s="245" t="str">
        <f t="shared" si="280"/>
        <v/>
      </c>
      <c r="E5307" s="534"/>
      <c r="F5307" s="534"/>
    </row>
    <row r="5308" spans="1:6" ht="15" customHeight="1">
      <c r="A5308" s="51"/>
      <c r="B5308" s="52" t="str">
        <f t="shared" si="279"/>
        <v/>
      </c>
      <c r="C5308" t="str">
        <f t="shared" si="278"/>
        <v/>
      </c>
      <c r="D5308" s="245" t="str">
        <f t="shared" si="280"/>
        <v/>
      </c>
      <c r="E5308" s="534"/>
      <c r="F5308" s="534"/>
    </row>
    <row r="5309" spans="1:6" ht="15" customHeight="1">
      <c r="A5309" s="51"/>
      <c r="B5309" s="52" t="str">
        <f t="shared" si="279"/>
        <v/>
      </c>
      <c r="C5309" t="str">
        <f t="shared" si="278"/>
        <v/>
      </c>
      <c r="D5309" s="245" t="str">
        <f t="shared" si="280"/>
        <v/>
      </c>
      <c r="E5309" s="534"/>
      <c r="F5309" s="534"/>
    </row>
    <row r="5310" spans="1:6" ht="15" customHeight="1">
      <c r="A5310" s="51"/>
      <c r="B5310" s="52" t="str">
        <f t="shared" si="279"/>
        <v/>
      </c>
      <c r="C5310" t="str">
        <f t="shared" si="278"/>
        <v/>
      </c>
      <c r="D5310" s="245" t="str">
        <f t="shared" si="280"/>
        <v/>
      </c>
      <c r="E5310" s="534"/>
      <c r="F5310" s="534"/>
    </row>
    <row r="5311" spans="1:6" ht="15" customHeight="1">
      <c r="A5311" s="51"/>
      <c r="B5311" s="52" t="str">
        <f t="shared" si="279"/>
        <v/>
      </c>
      <c r="C5311" t="str">
        <f t="shared" si="278"/>
        <v/>
      </c>
      <c r="D5311" s="245" t="str">
        <f t="shared" si="280"/>
        <v/>
      </c>
      <c r="E5311" s="534"/>
      <c r="F5311" s="534"/>
    </row>
    <row r="5312" spans="1:6" ht="15" customHeight="1">
      <c r="A5312" s="51"/>
      <c r="B5312" s="52" t="str">
        <f t="shared" si="279"/>
        <v/>
      </c>
      <c r="C5312" t="str">
        <f t="shared" si="278"/>
        <v/>
      </c>
      <c r="D5312" s="245" t="str">
        <f t="shared" si="280"/>
        <v/>
      </c>
      <c r="E5312" s="534"/>
      <c r="F5312" s="534"/>
    </row>
    <row r="5313" spans="1:6" ht="15" customHeight="1">
      <c r="A5313" s="51"/>
      <c r="B5313" s="52" t="str">
        <f t="shared" si="279"/>
        <v/>
      </c>
      <c r="C5313" t="str">
        <f t="shared" si="278"/>
        <v/>
      </c>
      <c r="D5313" s="245" t="str">
        <f t="shared" si="280"/>
        <v/>
      </c>
      <c r="E5313" s="534"/>
      <c r="F5313" s="534"/>
    </row>
    <row r="5314" spans="1:6" ht="15" customHeight="1">
      <c r="A5314" s="51"/>
      <c r="B5314" s="52" t="str">
        <f t="shared" si="279"/>
        <v/>
      </c>
      <c r="C5314" t="str">
        <f t="shared" ref="C5314:C5377" si="281">IF(A5314&lt;&gt;"",TEXT(A5314,"aaaa"),"")</f>
        <v/>
      </c>
      <c r="D5314" s="245" t="str">
        <f t="shared" si="280"/>
        <v/>
      </c>
      <c r="E5314" s="534"/>
      <c r="F5314" s="534"/>
    </row>
    <row r="5315" spans="1:6" ht="15" customHeight="1">
      <c r="A5315" s="51"/>
      <c r="B5315" s="52" t="str">
        <f t="shared" si="279"/>
        <v/>
      </c>
      <c r="C5315" t="str">
        <f t="shared" si="281"/>
        <v/>
      </c>
      <c r="D5315" s="245" t="str">
        <f t="shared" si="280"/>
        <v/>
      </c>
      <c r="E5315" s="534"/>
      <c r="F5315" s="534"/>
    </row>
    <row r="5316" spans="1:6" ht="15" customHeight="1">
      <c r="A5316" s="51"/>
      <c r="B5316" s="52" t="str">
        <f t="shared" si="279"/>
        <v/>
      </c>
      <c r="C5316" t="str">
        <f t="shared" si="281"/>
        <v/>
      </c>
      <c r="D5316" s="245" t="str">
        <f t="shared" si="280"/>
        <v/>
      </c>
      <c r="E5316" s="534"/>
      <c r="F5316" s="534"/>
    </row>
    <row r="5317" spans="1:6" ht="15" customHeight="1">
      <c r="A5317" s="51"/>
      <c r="B5317" s="52" t="str">
        <f t="shared" si="279"/>
        <v/>
      </c>
      <c r="C5317" t="str">
        <f t="shared" si="281"/>
        <v/>
      </c>
      <c r="D5317" s="245" t="str">
        <f t="shared" si="280"/>
        <v/>
      </c>
      <c r="E5317" s="534"/>
      <c r="F5317" s="534"/>
    </row>
    <row r="5318" spans="1:6" ht="15" customHeight="1">
      <c r="A5318" s="51"/>
      <c r="B5318" s="52" t="str">
        <f t="shared" si="279"/>
        <v/>
      </c>
      <c r="C5318" t="str">
        <f t="shared" si="281"/>
        <v/>
      </c>
      <c r="D5318" s="245" t="str">
        <f t="shared" si="280"/>
        <v/>
      </c>
      <c r="E5318" s="534"/>
      <c r="F5318" s="534"/>
    </row>
    <row r="5319" spans="1:6" ht="15" customHeight="1">
      <c r="A5319" s="51"/>
      <c r="B5319" s="52" t="str">
        <f t="shared" si="279"/>
        <v/>
      </c>
      <c r="C5319" t="str">
        <f t="shared" si="281"/>
        <v/>
      </c>
      <c r="D5319" s="245" t="str">
        <f t="shared" si="280"/>
        <v/>
      </c>
      <c r="E5319" s="534"/>
      <c r="F5319" s="534"/>
    </row>
    <row r="5320" spans="1:6" ht="15" customHeight="1">
      <c r="A5320" s="51"/>
      <c r="B5320" s="52" t="str">
        <f t="shared" ref="B5320:B5383" si="282">IF(A5320="","",TEXT(A5320,"DDDD"))</f>
        <v/>
      </c>
      <c r="C5320" t="str">
        <f t="shared" si="281"/>
        <v/>
      </c>
      <c r="D5320" s="245" t="str">
        <f t="shared" si="280"/>
        <v/>
      </c>
      <c r="E5320" s="534"/>
      <c r="F5320" s="534"/>
    </row>
    <row r="5321" spans="1:6" ht="15" customHeight="1">
      <c r="A5321" s="51"/>
      <c r="B5321" s="52" t="str">
        <f t="shared" si="282"/>
        <v/>
      </c>
      <c r="C5321" t="str">
        <f t="shared" si="281"/>
        <v/>
      </c>
      <c r="D5321" s="245" t="str">
        <f t="shared" ref="D5321:D5384" si="283">IF(A5321&lt;&gt;"",PROPER(TEXT(A5321,"Mmmm")),"")</f>
        <v/>
      </c>
      <c r="E5321" s="534"/>
      <c r="F5321" s="534"/>
    </row>
    <row r="5322" spans="1:6" ht="15" customHeight="1">
      <c r="A5322" s="51"/>
      <c r="B5322" s="52" t="str">
        <f t="shared" si="282"/>
        <v/>
      </c>
      <c r="C5322" t="str">
        <f t="shared" si="281"/>
        <v/>
      </c>
      <c r="D5322" s="245" t="str">
        <f t="shared" si="283"/>
        <v/>
      </c>
      <c r="E5322" s="534"/>
      <c r="F5322" s="534"/>
    </row>
    <row r="5323" spans="1:6" ht="15" customHeight="1">
      <c r="A5323" s="51"/>
      <c r="B5323" s="52" t="str">
        <f t="shared" si="282"/>
        <v/>
      </c>
      <c r="C5323" t="str">
        <f t="shared" si="281"/>
        <v/>
      </c>
      <c r="D5323" s="245" t="str">
        <f t="shared" si="283"/>
        <v/>
      </c>
      <c r="E5323" s="534"/>
      <c r="F5323" s="534"/>
    </row>
    <row r="5324" spans="1:6" ht="15" customHeight="1">
      <c r="A5324" s="51"/>
      <c r="B5324" s="52" t="str">
        <f t="shared" si="282"/>
        <v/>
      </c>
      <c r="C5324" t="str">
        <f t="shared" si="281"/>
        <v/>
      </c>
      <c r="D5324" s="245" t="str">
        <f t="shared" si="283"/>
        <v/>
      </c>
      <c r="E5324" s="534"/>
      <c r="F5324" s="534"/>
    </row>
    <row r="5325" spans="1:6" ht="15" customHeight="1">
      <c r="A5325" s="51"/>
      <c r="B5325" s="52" t="str">
        <f t="shared" si="282"/>
        <v/>
      </c>
      <c r="C5325" t="str">
        <f t="shared" si="281"/>
        <v/>
      </c>
      <c r="D5325" s="245" t="str">
        <f t="shared" si="283"/>
        <v/>
      </c>
      <c r="E5325" s="534"/>
      <c r="F5325" s="534"/>
    </row>
    <row r="5326" spans="1:6" ht="15" customHeight="1">
      <c r="A5326" s="51"/>
      <c r="B5326" s="52" t="str">
        <f t="shared" si="282"/>
        <v/>
      </c>
      <c r="C5326" t="str">
        <f t="shared" si="281"/>
        <v/>
      </c>
      <c r="D5326" s="245" t="str">
        <f t="shared" si="283"/>
        <v/>
      </c>
      <c r="E5326" s="534"/>
      <c r="F5326" s="534"/>
    </row>
    <row r="5327" spans="1:6" ht="15" customHeight="1">
      <c r="A5327" s="51"/>
      <c r="B5327" s="52" t="str">
        <f t="shared" si="282"/>
        <v/>
      </c>
      <c r="C5327" t="str">
        <f t="shared" si="281"/>
        <v/>
      </c>
      <c r="D5327" s="245" t="str">
        <f t="shared" si="283"/>
        <v/>
      </c>
      <c r="E5327" s="534"/>
      <c r="F5327" s="534"/>
    </row>
    <row r="5328" spans="1:6" ht="15" customHeight="1">
      <c r="A5328" s="51"/>
      <c r="B5328" s="52" t="str">
        <f t="shared" si="282"/>
        <v/>
      </c>
      <c r="C5328" t="str">
        <f t="shared" si="281"/>
        <v/>
      </c>
      <c r="D5328" s="245" t="str">
        <f t="shared" si="283"/>
        <v/>
      </c>
      <c r="E5328" s="534"/>
      <c r="F5328" s="534"/>
    </row>
    <row r="5329" spans="1:6" ht="15" customHeight="1">
      <c r="A5329" s="51"/>
      <c r="B5329" s="52" t="str">
        <f t="shared" si="282"/>
        <v/>
      </c>
      <c r="C5329" t="str">
        <f t="shared" si="281"/>
        <v/>
      </c>
      <c r="D5329" s="245" t="str">
        <f t="shared" si="283"/>
        <v/>
      </c>
      <c r="E5329" s="534"/>
      <c r="F5329" s="534"/>
    </row>
    <row r="5330" spans="1:6" ht="15" customHeight="1">
      <c r="A5330" s="51"/>
      <c r="B5330" s="52" t="str">
        <f t="shared" si="282"/>
        <v/>
      </c>
      <c r="C5330" t="str">
        <f t="shared" si="281"/>
        <v/>
      </c>
      <c r="D5330" s="245" t="str">
        <f t="shared" si="283"/>
        <v/>
      </c>
      <c r="E5330" s="534"/>
      <c r="F5330" s="534"/>
    </row>
    <row r="5331" spans="1:6" ht="15" customHeight="1">
      <c r="A5331" s="51"/>
      <c r="B5331" s="52" t="str">
        <f t="shared" si="282"/>
        <v/>
      </c>
      <c r="C5331" t="str">
        <f t="shared" si="281"/>
        <v/>
      </c>
      <c r="D5331" s="245" t="str">
        <f t="shared" si="283"/>
        <v/>
      </c>
      <c r="E5331" s="534"/>
      <c r="F5331" s="534"/>
    </row>
    <row r="5332" spans="1:6" ht="15" customHeight="1">
      <c r="A5332" s="51"/>
      <c r="B5332" s="52" t="str">
        <f t="shared" si="282"/>
        <v/>
      </c>
      <c r="C5332" t="str">
        <f t="shared" si="281"/>
        <v/>
      </c>
      <c r="D5332" s="245" t="str">
        <f t="shared" si="283"/>
        <v/>
      </c>
      <c r="E5332" s="534"/>
      <c r="F5332" s="534"/>
    </row>
    <row r="5333" spans="1:6" ht="15" customHeight="1">
      <c r="A5333" s="51"/>
      <c r="B5333" s="52" t="str">
        <f t="shared" si="282"/>
        <v/>
      </c>
      <c r="C5333" t="str">
        <f t="shared" si="281"/>
        <v/>
      </c>
      <c r="D5333" s="245" t="str">
        <f t="shared" si="283"/>
        <v/>
      </c>
      <c r="E5333" s="534"/>
      <c r="F5333" s="534"/>
    </row>
    <row r="5334" spans="1:6" ht="15" customHeight="1">
      <c r="A5334" s="51"/>
      <c r="B5334" s="52" t="str">
        <f t="shared" si="282"/>
        <v/>
      </c>
      <c r="C5334" t="str">
        <f t="shared" si="281"/>
        <v/>
      </c>
      <c r="D5334" s="245" t="str">
        <f t="shared" si="283"/>
        <v/>
      </c>
      <c r="E5334" s="534"/>
      <c r="F5334" s="534"/>
    </row>
    <row r="5335" spans="1:6" ht="15" customHeight="1">
      <c r="A5335" s="51"/>
      <c r="B5335" s="52" t="str">
        <f t="shared" si="282"/>
        <v/>
      </c>
      <c r="C5335" t="str">
        <f t="shared" si="281"/>
        <v/>
      </c>
      <c r="D5335" s="245" t="str">
        <f t="shared" si="283"/>
        <v/>
      </c>
      <c r="E5335" s="534"/>
      <c r="F5335" s="534"/>
    </row>
    <row r="5336" spans="1:6" ht="15" customHeight="1">
      <c r="A5336" s="51"/>
      <c r="B5336" s="52" t="str">
        <f t="shared" si="282"/>
        <v/>
      </c>
      <c r="C5336" t="str">
        <f t="shared" si="281"/>
        <v/>
      </c>
      <c r="D5336" s="245" t="str">
        <f t="shared" si="283"/>
        <v/>
      </c>
      <c r="E5336" s="534"/>
      <c r="F5336" s="534"/>
    </row>
    <row r="5337" spans="1:6" ht="15" customHeight="1">
      <c r="A5337" s="51"/>
      <c r="B5337" s="52" t="str">
        <f t="shared" si="282"/>
        <v/>
      </c>
      <c r="C5337" t="str">
        <f t="shared" si="281"/>
        <v/>
      </c>
      <c r="D5337" s="245" t="str">
        <f t="shared" si="283"/>
        <v/>
      </c>
      <c r="E5337" s="534"/>
      <c r="F5337" s="534"/>
    </row>
    <row r="5338" spans="1:6" ht="15" customHeight="1">
      <c r="A5338" s="51"/>
      <c r="B5338" s="52" t="str">
        <f t="shared" si="282"/>
        <v/>
      </c>
      <c r="C5338" t="str">
        <f t="shared" si="281"/>
        <v/>
      </c>
      <c r="D5338" s="245" t="str">
        <f t="shared" si="283"/>
        <v/>
      </c>
      <c r="E5338" s="534"/>
      <c r="F5338" s="534"/>
    </row>
    <row r="5339" spans="1:6" ht="15" customHeight="1">
      <c r="A5339" s="51"/>
      <c r="B5339" s="52" t="str">
        <f t="shared" si="282"/>
        <v/>
      </c>
      <c r="C5339" t="str">
        <f t="shared" si="281"/>
        <v/>
      </c>
      <c r="D5339" s="245" t="str">
        <f t="shared" si="283"/>
        <v/>
      </c>
      <c r="E5339" s="534"/>
      <c r="F5339" s="534"/>
    </row>
    <row r="5340" spans="1:6" ht="15" customHeight="1">
      <c r="A5340" s="51"/>
      <c r="B5340" s="52" t="str">
        <f t="shared" si="282"/>
        <v/>
      </c>
      <c r="C5340" t="str">
        <f t="shared" si="281"/>
        <v/>
      </c>
      <c r="D5340" s="245" t="str">
        <f t="shared" si="283"/>
        <v/>
      </c>
      <c r="E5340" s="534"/>
      <c r="F5340" s="534"/>
    </row>
    <row r="5341" spans="1:6" ht="15" customHeight="1">
      <c r="A5341" s="51"/>
      <c r="B5341" s="52" t="str">
        <f t="shared" si="282"/>
        <v/>
      </c>
      <c r="C5341" t="str">
        <f t="shared" si="281"/>
        <v/>
      </c>
      <c r="D5341" s="245" t="str">
        <f t="shared" si="283"/>
        <v/>
      </c>
      <c r="E5341" s="534"/>
      <c r="F5341" s="534"/>
    </row>
    <row r="5342" spans="1:6" ht="15" customHeight="1">
      <c r="A5342" s="51"/>
      <c r="B5342" s="52" t="str">
        <f t="shared" si="282"/>
        <v/>
      </c>
      <c r="C5342" t="str">
        <f t="shared" si="281"/>
        <v/>
      </c>
      <c r="D5342" s="245" t="str">
        <f t="shared" si="283"/>
        <v/>
      </c>
      <c r="E5342" s="534"/>
      <c r="F5342" s="534"/>
    </row>
    <row r="5343" spans="1:6" ht="15" customHeight="1">
      <c r="A5343" s="51"/>
      <c r="B5343" s="52" t="str">
        <f t="shared" si="282"/>
        <v/>
      </c>
      <c r="C5343" t="str">
        <f t="shared" si="281"/>
        <v/>
      </c>
      <c r="D5343" s="245" t="str">
        <f t="shared" si="283"/>
        <v/>
      </c>
      <c r="E5343" s="534"/>
      <c r="F5343" s="534"/>
    </row>
    <row r="5344" spans="1:6" ht="15" customHeight="1">
      <c r="A5344" s="51"/>
      <c r="B5344" s="52" t="str">
        <f t="shared" si="282"/>
        <v/>
      </c>
      <c r="C5344" t="str">
        <f t="shared" si="281"/>
        <v/>
      </c>
      <c r="D5344" s="245" t="str">
        <f t="shared" si="283"/>
        <v/>
      </c>
      <c r="E5344" s="534"/>
      <c r="F5344" s="534"/>
    </row>
    <row r="5345" spans="1:6" ht="15" customHeight="1">
      <c r="A5345" s="51"/>
      <c r="B5345" s="52" t="str">
        <f t="shared" si="282"/>
        <v/>
      </c>
      <c r="C5345" t="str">
        <f t="shared" si="281"/>
        <v/>
      </c>
      <c r="D5345" s="245" t="str">
        <f t="shared" si="283"/>
        <v/>
      </c>
      <c r="E5345" s="534"/>
      <c r="F5345" s="534"/>
    </row>
    <row r="5346" spans="1:6" ht="15" customHeight="1">
      <c r="A5346" s="51"/>
      <c r="B5346" s="52" t="str">
        <f t="shared" si="282"/>
        <v/>
      </c>
      <c r="C5346" t="str">
        <f t="shared" si="281"/>
        <v/>
      </c>
      <c r="D5346" s="245" t="str">
        <f t="shared" si="283"/>
        <v/>
      </c>
      <c r="E5346" s="534"/>
      <c r="F5346" s="534"/>
    </row>
    <row r="5347" spans="1:6" ht="15" customHeight="1">
      <c r="A5347" s="51"/>
      <c r="B5347" s="52" t="str">
        <f t="shared" si="282"/>
        <v/>
      </c>
      <c r="C5347" t="str">
        <f t="shared" si="281"/>
        <v/>
      </c>
      <c r="D5347" s="245" t="str">
        <f t="shared" si="283"/>
        <v/>
      </c>
      <c r="E5347" s="534"/>
      <c r="F5347" s="534"/>
    </row>
    <row r="5348" spans="1:6" ht="15" customHeight="1">
      <c r="A5348" s="51"/>
      <c r="B5348" s="52" t="str">
        <f t="shared" si="282"/>
        <v/>
      </c>
      <c r="C5348" t="str">
        <f t="shared" si="281"/>
        <v/>
      </c>
      <c r="D5348" s="245" t="str">
        <f t="shared" si="283"/>
        <v/>
      </c>
      <c r="E5348" s="534"/>
      <c r="F5348" s="534"/>
    </row>
    <row r="5349" spans="1:6" ht="15" customHeight="1">
      <c r="A5349" s="51"/>
      <c r="B5349" s="52" t="str">
        <f t="shared" si="282"/>
        <v/>
      </c>
      <c r="C5349" t="str">
        <f t="shared" si="281"/>
        <v/>
      </c>
      <c r="D5349" s="245" t="str">
        <f t="shared" si="283"/>
        <v/>
      </c>
      <c r="E5349" s="534"/>
      <c r="F5349" s="534"/>
    </row>
    <row r="5350" spans="1:6" ht="15" customHeight="1">
      <c r="A5350" s="51"/>
      <c r="B5350" s="52" t="str">
        <f t="shared" si="282"/>
        <v/>
      </c>
      <c r="C5350" t="str">
        <f t="shared" si="281"/>
        <v/>
      </c>
      <c r="D5350" s="245" t="str">
        <f t="shared" si="283"/>
        <v/>
      </c>
      <c r="E5350" s="534"/>
      <c r="F5350" s="534"/>
    </row>
    <row r="5351" spans="1:6" ht="15" customHeight="1">
      <c r="A5351" s="51"/>
      <c r="B5351" s="52" t="str">
        <f t="shared" si="282"/>
        <v/>
      </c>
      <c r="C5351" t="str">
        <f t="shared" si="281"/>
        <v/>
      </c>
      <c r="D5351" s="245" t="str">
        <f t="shared" si="283"/>
        <v/>
      </c>
      <c r="E5351" s="534"/>
      <c r="F5351" s="534"/>
    </row>
    <row r="5352" spans="1:6" ht="15" customHeight="1">
      <c r="A5352" s="51"/>
      <c r="B5352" s="52" t="str">
        <f t="shared" si="282"/>
        <v/>
      </c>
      <c r="C5352" t="str">
        <f t="shared" si="281"/>
        <v/>
      </c>
      <c r="D5352" s="245" t="str">
        <f t="shared" si="283"/>
        <v/>
      </c>
      <c r="E5352" s="534"/>
      <c r="F5352" s="534"/>
    </row>
    <row r="5353" spans="1:6" ht="15" customHeight="1">
      <c r="A5353" s="51"/>
      <c r="B5353" s="52" t="str">
        <f t="shared" si="282"/>
        <v/>
      </c>
      <c r="C5353" t="str">
        <f t="shared" si="281"/>
        <v/>
      </c>
      <c r="D5353" s="245" t="str">
        <f t="shared" si="283"/>
        <v/>
      </c>
      <c r="E5353" s="534"/>
      <c r="F5353" s="534"/>
    </row>
    <row r="5354" spans="1:6" ht="15" customHeight="1">
      <c r="A5354" s="51"/>
      <c r="B5354" s="52" t="str">
        <f t="shared" si="282"/>
        <v/>
      </c>
      <c r="C5354" t="str">
        <f t="shared" si="281"/>
        <v/>
      </c>
      <c r="D5354" s="245" t="str">
        <f t="shared" si="283"/>
        <v/>
      </c>
      <c r="E5354" s="534"/>
      <c r="F5354" s="534"/>
    </row>
    <row r="5355" spans="1:6" ht="15" customHeight="1">
      <c r="A5355" s="51"/>
      <c r="B5355" s="52" t="str">
        <f t="shared" si="282"/>
        <v/>
      </c>
      <c r="C5355" t="str">
        <f t="shared" si="281"/>
        <v/>
      </c>
      <c r="D5355" s="245" t="str">
        <f t="shared" si="283"/>
        <v/>
      </c>
      <c r="E5355" s="534"/>
      <c r="F5355" s="534"/>
    </row>
    <row r="5356" spans="1:6" ht="15" customHeight="1">
      <c r="A5356" s="51"/>
      <c r="B5356" s="52" t="str">
        <f t="shared" si="282"/>
        <v/>
      </c>
      <c r="C5356" t="str">
        <f t="shared" si="281"/>
        <v/>
      </c>
      <c r="D5356" s="245" t="str">
        <f t="shared" si="283"/>
        <v/>
      </c>
      <c r="E5356" s="534"/>
      <c r="F5356" s="534"/>
    </row>
    <row r="5357" spans="1:6" ht="15" customHeight="1">
      <c r="A5357" s="51"/>
      <c r="B5357" s="52" t="str">
        <f t="shared" si="282"/>
        <v/>
      </c>
      <c r="C5357" t="str">
        <f t="shared" si="281"/>
        <v/>
      </c>
      <c r="D5357" s="245" t="str">
        <f t="shared" si="283"/>
        <v/>
      </c>
      <c r="E5357" s="534"/>
      <c r="F5357" s="534"/>
    </row>
    <row r="5358" spans="1:6" ht="15" customHeight="1">
      <c r="A5358" s="51"/>
      <c r="B5358" s="52" t="str">
        <f t="shared" si="282"/>
        <v/>
      </c>
      <c r="C5358" t="str">
        <f t="shared" si="281"/>
        <v/>
      </c>
      <c r="D5358" s="245" t="str">
        <f t="shared" si="283"/>
        <v/>
      </c>
      <c r="E5358" s="534"/>
      <c r="F5358" s="534"/>
    </row>
    <row r="5359" spans="1:6" ht="15" customHeight="1">
      <c r="A5359" s="51"/>
      <c r="B5359" s="52" t="str">
        <f t="shared" si="282"/>
        <v/>
      </c>
      <c r="C5359" t="str">
        <f t="shared" si="281"/>
        <v/>
      </c>
      <c r="D5359" s="245" t="str">
        <f t="shared" si="283"/>
        <v/>
      </c>
      <c r="E5359" s="534"/>
      <c r="F5359" s="534"/>
    </row>
    <row r="5360" spans="1:6" ht="15" customHeight="1">
      <c r="A5360" s="51"/>
      <c r="B5360" s="52" t="str">
        <f t="shared" si="282"/>
        <v/>
      </c>
      <c r="C5360" t="str">
        <f t="shared" si="281"/>
        <v/>
      </c>
      <c r="D5360" s="245" t="str">
        <f t="shared" si="283"/>
        <v/>
      </c>
      <c r="E5360" s="534"/>
      <c r="F5360" s="534"/>
    </row>
    <row r="5361" spans="1:6" ht="15" customHeight="1">
      <c r="A5361" s="51"/>
      <c r="B5361" s="52" t="str">
        <f t="shared" si="282"/>
        <v/>
      </c>
      <c r="C5361" t="str">
        <f t="shared" si="281"/>
        <v/>
      </c>
      <c r="D5361" s="245" t="str">
        <f t="shared" si="283"/>
        <v/>
      </c>
      <c r="E5361" s="534"/>
      <c r="F5361" s="534"/>
    </row>
    <row r="5362" spans="1:6" ht="15" customHeight="1">
      <c r="A5362" s="51"/>
      <c r="B5362" s="52" t="str">
        <f t="shared" si="282"/>
        <v/>
      </c>
      <c r="C5362" t="str">
        <f t="shared" si="281"/>
        <v/>
      </c>
      <c r="D5362" s="245" t="str">
        <f t="shared" si="283"/>
        <v/>
      </c>
      <c r="E5362" s="534"/>
      <c r="F5362" s="534"/>
    </row>
    <row r="5363" spans="1:6" ht="15" customHeight="1">
      <c r="A5363" s="51"/>
      <c r="B5363" s="52" t="str">
        <f t="shared" si="282"/>
        <v/>
      </c>
      <c r="C5363" t="str">
        <f t="shared" si="281"/>
        <v/>
      </c>
      <c r="D5363" s="245" t="str">
        <f t="shared" si="283"/>
        <v/>
      </c>
      <c r="E5363" s="534"/>
      <c r="F5363" s="534"/>
    </row>
    <row r="5364" spans="1:6" ht="15" customHeight="1">
      <c r="A5364" s="51"/>
      <c r="B5364" s="52" t="str">
        <f t="shared" si="282"/>
        <v/>
      </c>
      <c r="C5364" t="str">
        <f t="shared" si="281"/>
        <v/>
      </c>
      <c r="D5364" s="245" t="str">
        <f t="shared" si="283"/>
        <v/>
      </c>
      <c r="E5364" s="534"/>
      <c r="F5364" s="534"/>
    </row>
    <row r="5365" spans="1:6" ht="15" customHeight="1">
      <c r="A5365" s="51"/>
      <c r="B5365" s="52" t="str">
        <f t="shared" si="282"/>
        <v/>
      </c>
      <c r="C5365" t="str">
        <f t="shared" si="281"/>
        <v/>
      </c>
      <c r="D5365" s="245" t="str">
        <f t="shared" si="283"/>
        <v/>
      </c>
      <c r="E5365" s="534"/>
      <c r="F5365" s="534"/>
    </row>
    <row r="5366" spans="1:6" ht="15" customHeight="1">
      <c r="A5366" s="51"/>
      <c r="B5366" s="52" t="str">
        <f t="shared" si="282"/>
        <v/>
      </c>
      <c r="C5366" t="str">
        <f t="shared" si="281"/>
        <v/>
      </c>
      <c r="D5366" s="245" t="str">
        <f t="shared" si="283"/>
        <v/>
      </c>
      <c r="E5366" s="534"/>
      <c r="F5366" s="534"/>
    </row>
    <row r="5367" spans="1:6" ht="15" customHeight="1">
      <c r="A5367" s="51"/>
      <c r="B5367" s="52" t="str">
        <f t="shared" si="282"/>
        <v/>
      </c>
      <c r="C5367" t="str">
        <f t="shared" si="281"/>
        <v/>
      </c>
      <c r="D5367" s="245" t="str">
        <f t="shared" si="283"/>
        <v/>
      </c>
      <c r="E5367" s="534"/>
      <c r="F5367" s="534"/>
    </row>
    <row r="5368" spans="1:6" ht="15" customHeight="1">
      <c r="A5368" s="51"/>
      <c r="B5368" s="52" t="str">
        <f t="shared" si="282"/>
        <v/>
      </c>
      <c r="C5368" t="str">
        <f t="shared" si="281"/>
        <v/>
      </c>
      <c r="D5368" s="245" t="str">
        <f t="shared" si="283"/>
        <v/>
      </c>
      <c r="E5368" s="534"/>
      <c r="F5368" s="534"/>
    </row>
    <row r="5369" spans="1:6" ht="15" customHeight="1">
      <c r="A5369" s="51"/>
      <c r="B5369" s="52" t="str">
        <f t="shared" si="282"/>
        <v/>
      </c>
      <c r="C5369" t="str">
        <f t="shared" si="281"/>
        <v/>
      </c>
      <c r="D5369" s="245" t="str">
        <f t="shared" si="283"/>
        <v/>
      </c>
      <c r="E5369" s="534"/>
      <c r="F5369" s="534"/>
    </row>
    <row r="5370" spans="1:6" ht="15" customHeight="1">
      <c r="A5370" s="51"/>
      <c r="B5370" s="52" t="str">
        <f t="shared" si="282"/>
        <v/>
      </c>
      <c r="C5370" t="str">
        <f t="shared" si="281"/>
        <v/>
      </c>
      <c r="D5370" s="245" t="str">
        <f t="shared" si="283"/>
        <v/>
      </c>
      <c r="E5370" s="534"/>
      <c r="F5370" s="534"/>
    </row>
    <row r="5371" spans="1:6" ht="15" customHeight="1">
      <c r="A5371" s="51"/>
      <c r="B5371" s="52" t="str">
        <f t="shared" si="282"/>
        <v/>
      </c>
      <c r="C5371" t="str">
        <f t="shared" si="281"/>
        <v/>
      </c>
      <c r="D5371" s="245" t="str">
        <f t="shared" si="283"/>
        <v/>
      </c>
      <c r="E5371" s="534"/>
      <c r="F5371" s="534"/>
    </row>
    <row r="5372" spans="1:6" ht="15" customHeight="1">
      <c r="A5372" s="51"/>
      <c r="B5372" s="52" t="str">
        <f t="shared" si="282"/>
        <v/>
      </c>
      <c r="C5372" t="str">
        <f t="shared" si="281"/>
        <v/>
      </c>
      <c r="D5372" s="245" t="str">
        <f t="shared" si="283"/>
        <v/>
      </c>
      <c r="E5372" s="534"/>
      <c r="F5372" s="534"/>
    </row>
    <row r="5373" spans="1:6" ht="15" customHeight="1">
      <c r="A5373" s="51"/>
      <c r="B5373" s="52" t="str">
        <f t="shared" si="282"/>
        <v/>
      </c>
      <c r="C5373" t="str">
        <f t="shared" si="281"/>
        <v/>
      </c>
      <c r="D5373" s="245" t="str">
        <f t="shared" si="283"/>
        <v/>
      </c>
      <c r="E5373" s="534"/>
      <c r="F5373" s="534"/>
    </row>
    <row r="5374" spans="1:6" ht="15" customHeight="1">
      <c r="A5374" s="51"/>
      <c r="B5374" s="52" t="str">
        <f t="shared" si="282"/>
        <v/>
      </c>
      <c r="C5374" t="str">
        <f t="shared" si="281"/>
        <v/>
      </c>
      <c r="D5374" s="245" t="str">
        <f t="shared" si="283"/>
        <v/>
      </c>
      <c r="E5374" s="534"/>
      <c r="F5374" s="534"/>
    </row>
    <row r="5375" spans="1:6" ht="15" customHeight="1">
      <c r="A5375" s="51"/>
      <c r="B5375" s="52" t="str">
        <f t="shared" si="282"/>
        <v/>
      </c>
      <c r="C5375" t="str">
        <f t="shared" si="281"/>
        <v/>
      </c>
      <c r="D5375" s="245" t="str">
        <f t="shared" si="283"/>
        <v/>
      </c>
      <c r="E5375" s="534"/>
      <c r="F5375" s="534"/>
    </row>
    <row r="5376" spans="1:6" ht="15" customHeight="1">
      <c r="A5376" s="51"/>
      <c r="B5376" s="52" t="str">
        <f t="shared" si="282"/>
        <v/>
      </c>
      <c r="C5376" t="str">
        <f t="shared" si="281"/>
        <v/>
      </c>
      <c r="D5376" s="245" t="str">
        <f t="shared" si="283"/>
        <v/>
      </c>
      <c r="E5376" s="534"/>
      <c r="F5376" s="534"/>
    </row>
    <row r="5377" spans="1:6" ht="15" customHeight="1">
      <c r="A5377" s="51"/>
      <c r="B5377" s="52" t="str">
        <f t="shared" si="282"/>
        <v/>
      </c>
      <c r="C5377" t="str">
        <f t="shared" si="281"/>
        <v/>
      </c>
      <c r="D5377" s="245" t="str">
        <f t="shared" si="283"/>
        <v/>
      </c>
      <c r="E5377" s="534"/>
      <c r="F5377" s="534"/>
    </row>
    <row r="5378" spans="1:6" ht="15" customHeight="1">
      <c r="A5378" s="51"/>
      <c r="B5378" s="52" t="str">
        <f t="shared" si="282"/>
        <v/>
      </c>
      <c r="C5378" t="str">
        <f t="shared" ref="C5378:C5441" si="284">IF(A5378&lt;&gt;"",TEXT(A5378,"aaaa"),"")</f>
        <v/>
      </c>
      <c r="D5378" s="245" t="str">
        <f t="shared" si="283"/>
        <v/>
      </c>
      <c r="E5378" s="534"/>
      <c r="F5378" s="534"/>
    </row>
    <row r="5379" spans="1:6" ht="15" customHeight="1">
      <c r="A5379" s="51"/>
      <c r="B5379" s="52" t="str">
        <f t="shared" si="282"/>
        <v/>
      </c>
      <c r="C5379" t="str">
        <f t="shared" si="284"/>
        <v/>
      </c>
      <c r="D5379" s="245" t="str">
        <f t="shared" si="283"/>
        <v/>
      </c>
      <c r="E5379" s="534"/>
      <c r="F5379" s="534"/>
    </row>
    <row r="5380" spans="1:6" ht="15" customHeight="1">
      <c r="A5380" s="51"/>
      <c r="B5380" s="52" t="str">
        <f t="shared" si="282"/>
        <v/>
      </c>
      <c r="C5380" t="str">
        <f t="shared" si="284"/>
        <v/>
      </c>
      <c r="D5380" s="245" t="str">
        <f t="shared" si="283"/>
        <v/>
      </c>
      <c r="E5380" s="534"/>
      <c r="F5380" s="534"/>
    </row>
    <row r="5381" spans="1:6" ht="15" customHeight="1">
      <c r="A5381" s="51"/>
      <c r="B5381" s="52" t="str">
        <f t="shared" si="282"/>
        <v/>
      </c>
      <c r="C5381" t="str">
        <f t="shared" si="284"/>
        <v/>
      </c>
      <c r="D5381" s="245" t="str">
        <f t="shared" si="283"/>
        <v/>
      </c>
      <c r="E5381" s="534"/>
      <c r="F5381" s="534"/>
    </row>
    <row r="5382" spans="1:6" ht="15" customHeight="1">
      <c r="A5382" s="51"/>
      <c r="B5382" s="52" t="str">
        <f t="shared" si="282"/>
        <v/>
      </c>
      <c r="C5382" t="str">
        <f t="shared" si="284"/>
        <v/>
      </c>
      <c r="D5382" s="245" t="str">
        <f t="shared" si="283"/>
        <v/>
      </c>
      <c r="E5382" s="534"/>
      <c r="F5382" s="534"/>
    </row>
    <row r="5383" spans="1:6" ht="15" customHeight="1">
      <c r="A5383" s="51"/>
      <c r="B5383" s="52" t="str">
        <f t="shared" si="282"/>
        <v/>
      </c>
      <c r="C5383" t="str">
        <f t="shared" si="284"/>
        <v/>
      </c>
      <c r="D5383" s="245" t="str">
        <f t="shared" si="283"/>
        <v/>
      </c>
      <c r="E5383" s="534"/>
      <c r="F5383" s="534"/>
    </row>
    <row r="5384" spans="1:6" ht="15" customHeight="1">
      <c r="A5384" s="51"/>
      <c r="B5384" s="52" t="str">
        <f t="shared" ref="B5384:B5447" si="285">IF(A5384="","",TEXT(A5384,"DDDD"))</f>
        <v/>
      </c>
      <c r="C5384" t="str">
        <f t="shared" si="284"/>
        <v/>
      </c>
      <c r="D5384" s="245" t="str">
        <f t="shared" si="283"/>
        <v/>
      </c>
      <c r="E5384" s="534"/>
      <c r="F5384" s="534"/>
    </row>
    <row r="5385" spans="1:6" ht="15" customHeight="1">
      <c r="A5385" s="51"/>
      <c r="B5385" s="52" t="str">
        <f t="shared" si="285"/>
        <v/>
      </c>
      <c r="C5385" t="str">
        <f t="shared" si="284"/>
        <v/>
      </c>
      <c r="D5385" s="245" t="str">
        <f t="shared" ref="D5385:D5448" si="286">IF(A5385&lt;&gt;"",PROPER(TEXT(A5385,"Mmmm")),"")</f>
        <v/>
      </c>
      <c r="E5385" s="534"/>
      <c r="F5385" s="534"/>
    </row>
    <row r="5386" spans="1:6" ht="15" customHeight="1">
      <c r="A5386" s="51"/>
      <c r="B5386" s="52" t="str">
        <f t="shared" si="285"/>
        <v/>
      </c>
      <c r="C5386" t="str">
        <f t="shared" si="284"/>
        <v/>
      </c>
      <c r="D5386" s="245" t="str">
        <f t="shared" si="286"/>
        <v/>
      </c>
      <c r="E5386" s="534"/>
      <c r="F5386" s="534"/>
    </row>
    <row r="5387" spans="1:6" ht="15" customHeight="1">
      <c r="A5387" s="51"/>
      <c r="B5387" s="52" t="str">
        <f t="shared" si="285"/>
        <v/>
      </c>
      <c r="C5387" t="str">
        <f t="shared" si="284"/>
        <v/>
      </c>
      <c r="D5387" s="245" t="str">
        <f t="shared" si="286"/>
        <v/>
      </c>
      <c r="E5387" s="534"/>
      <c r="F5387" s="534"/>
    </row>
    <row r="5388" spans="1:6" ht="15" customHeight="1">
      <c r="A5388" s="51"/>
      <c r="B5388" s="52" t="str">
        <f t="shared" si="285"/>
        <v/>
      </c>
      <c r="C5388" t="str">
        <f t="shared" si="284"/>
        <v/>
      </c>
      <c r="D5388" s="245" t="str">
        <f t="shared" si="286"/>
        <v/>
      </c>
      <c r="E5388" s="534"/>
      <c r="F5388" s="534"/>
    </row>
    <row r="5389" spans="1:6" ht="15" customHeight="1">
      <c r="A5389" s="51"/>
      <c r="B5389" s="52" t="str">
        <f t="shared" si="285"/>
        <v/>
      </c>
      <c r="C5389" t="str">
        <f t="shared" si="284"/>
        <v/>
      </c>
      <c r="D5389" s="245" t="str">
        <f t="shared" si="286"/>
        <v/>
      </c>
      <c r="E5389" s="534"/>
      <c r="F5389" s="534"/>
    </row>
    <row r="5390" spans="1:6" ht="15" customHeight="1">
      <c r="A5390" s="51"/>
      <c r="B5390" s="52" t="str">
        <f t="shared" si="285"/>
        <v/>
      </c>
      <c r="C5390" t="str">
        <f t="shared" si="284"/>
        <v/>
      </c>
      <c r="D5390" s="245" t="str">
        <f t="shared" si="286"/>
        <v/>
      </c>
      <c r="E5390" s="534"/>
      <c r="F5390" s="534"/>
    </row>
    <row r="5391" spans="1:6" ht="15" customHeight="1">
      <c r="A5391" s="51"/>
      <c r="B5391" s="52" t="str">
        <f t="shared" si="285"/>
        <v/>
      </c>
      <c r="C5391" t="str">
        <f t="shared" si="284"/>
        <v/>
      </c>
      <c r="D5391" s="245" t="str">
        <f t="shared" si="286"/>
        <v/>
      </c>
      <c r="E5391" s="534"/>
      <c r="F5391" s="534"/>
    </row>
    <row r="5392" spans="1:6" ht="15" customHeight="1">
      <c r="A5392" s="51"/>
      <c r="B5392" s="52" t="str">
        <f t="shared" si="285"/>
        <v/>
      </c>
      <c r="C5392" t="str">
        <f t="shared" si="284"/>
        <v/>
      </c>
      <c r="D5392" s="245" t="str">
        <f t="shared" si="286"/>
        <v/>
      </c>
      <c r="E5392" s="534"/>
      <c r="F5392" s="534"/>
    </row>
    <row r="5393" spans="1:6" ht="15" customHeight="1">
      <c r="A5393" s="51"/>
      <c r="B5393" s="52" t="str">
        <f t="shared" si="285"/>
        <v/>
      </c>
      <c r="C5393" t="str">
        <f t="shared" si="284"/>
        <v/>
      </c>
      <c r="D5393" s="245" t="str">
        <f t="shared" si="286"/>
        <v/>
      </c>
      <c r="E5393" s="534"/>
      <c r="F5393" s="534"/>
    </row>
    <row r="5394" spans="1:6" ht="15" customHeight="1">
      <c r="A5394" s="51"/>
      <c r="B5394" s="52" t="str">
        <f t="shared" si="285"/>
        <v/>
      </c>
      <c r="C5394" t="str">
        <f t="shared" si="284"/>
        <v/>
      </c>
      <c r="D5394" s="245" t="str">
        <f t="shared" si="286"/>
        <v/>
      </c>
      <c r="E5394" s="534"/>
      <c r="F5394" s="534"/>
    </row>
    <row r="5395" spans="1:6" ht="15" customHeight="1">
      <c r="A5395" s="51"/>
      <c r="B5395" s="52" t="str">
        <f t="shared" si="285"/>
        <v/>
      </c>
      <c r="C5395" t="str">
        <f t="shared" si="284"/>
        <v/>
      </c>
      <c r="D5395" s="245" t="str">
        <f t="shared" si="286"/>
        <v/>
      </c>
      <c r="E5395" s="534"/>
      <c r="F5395" s="534"/>
    </row>
    <row r="5396" spans="1:6" ht="15" customHeight="1">
      <c r="A5396" s="51"/>
      <c r="B5396" s="52" t="str">
        <f t="shared" si="285"/>
        <v/>
      </c>
      <c r="C5396" t="str">
        <f t="shared" si="284"/>
        <v/>
      </c>
      <c r="D5396" s="245" t="str">
        <f t="shared" si="286"/>
        <v/>
      </c>
      <c r="E5396" s="534"/>
      <c r="F5396" s="534"/>
    </row>
    <row r="5397" spans="1:6" ht="15" customHeight="1">
      <c r="A5397" s="51"/>
      <c r="B5397" s="52" t="str">
        <f t="shared" si="285"/>
        <v/>
      </c>
      <c r="C5397" t="str">
        <f t="shared" si="284"/>
        <v/>
      </c>
      <c r="D5397" s="245" t="str">
        <f t="shared" si="286"/>
        <v/>
      </c>
      <c r="E5397" s="534"/>
      <c r="F5397" s="534"/>
    </row>
    <row r="5398" spans="1:6" ht="15" customHeight="1">
      <c r="A5398" s="51"/>
      <c r="B5398" s="52" t="str">
        <f t="shared" si="285"/>
        <v/>
      </c>
      <c r="C5398" t="str">
        <f t="shared" si="284"/>
        <v/>
      </c>
      <c r="D5398" s="245" t="str">
        <f t="shared" si="286"/>
        <v/>
      </c>
      <c r="E5398" s="534"/>
      <c r="F5398" s="534"/>
    </row>
    <row r="5399" spans="1:6" ht="15" customHeight="1">
      <c r="A5399" s="51"/>
      <c r="B5399" s="52" t="str">
        <f t="shared" si="285"/>
        <v/>
      </c>
      <c r="C5399" t="str">
        <f t="shared" si="284"/>
        <v/>
      </c>
      <c r="D5399" s="245" t="str">
        <f t="shared" si="286"/>
        <v/>
      </c>
      <c r="E5399" s="534"/>
      <c r="F5399" s="534"/>
    </row>
    <row r="5400" spans="1:6" ht="15" customHeight="1">
      <c r="A5400" s="51"/>
      <c r="B5400" s="52" t="str">
        <f t="shared" si="285"/>
        <v/>
      </c>
      <c r="C5400" t="str">
        <f t="shared" si="284"/>
        <v/>
      </c>
      <c r="D5400" s="245" t="str">
        <f t="shared" si="286"/>
        <v/>
      </c>
      <c r="E5400" s="534"/>
      <c r="F5400" s="534"/>
    </row>
    <row r="5401" spans="1:6" ht="15" customHeight="1">
      <c r="A5401" s="51"/>
      <c r="B5401" s="52" t="str">
        <f t="shared" si="285"/>
        <v/>
      </c>
      <c r="C5401" t="str">
        <f t="shared" si="284"/>
        <v/>
      </c>
      <c r="D5401" s="245" t="str">
        <f t="shared" si="286"/>
        <v/>
      </c>
      <c r="E5401" s="534"/>
      <c r="F5401" s="534"/>
    </row>
    <row r="5402" spans="1:6" ht="15" customHeight="1">
      <c r="A5402" s="51"/>
      <c r="B5402" s="52" t="str">
        <f t="shared" si="285"/>
        <v/>
      </c>
      <c r="C5402" t="str">
        <f t="shared" si="284"/>
        <v/>
      </c>
      <c r="D5402" s="245" t="str">
        <f t="shared" si="286"/>
        <v/>
      </c>
      <c r="E5402" s="534"/>
      <c r="F5402" s="534"/>
    </row>
    <row r="5403" spans="1:6" ht="15" customHeight="1">
      <c r="A5403" s="51"/>
      <c r="B5403" s="52" t="str">
        <f t="shared" si="285"/>
        <v/>
      </c>
      <c r="C5403" t="str">
        <f t="shared" si="284"/>
        <v/>
      </c>
      <c r="D5403" s="245" t="str">
        <f t="shared" si="286"/>
        <v/>
      </c>
      <c r="E5403" s="534"/>
      <c r="F5403" s="534"/>
    </row>
    <row r="5404" spans="1:6" ht="15" customHeight="1">
      <c r="A5404" s="51"/>
      <c r="B5404" s="52" t="str">
        <f t="shared" si="285"/>
        <v/>
      </c>
      <c r="C5404" t="str">
        <f t="shared" si="284"/>
        <v/>
      </c>
      <c r="D5404" s="245" t="str">
        <f t="shared" si="286"/>
        <v/>
      </c>
      <c r="E5404" s="534"/>
      <c r="F5404" s="534"/>
    </row>
    <row r="5405" spans="1:6" ht="15" customHeight="1">
      <c r="A5405" s="51"/>
      <c r="B5405" s="52" t="str">
        <f t="shared" si="285"/>
        <v/>
      </c>
      <c r="C5405" t="str">
        <f t="shared" si="284"/>
        <v/>
      </c>
      <c r="D5405" s="245" t="str">
        <f t="shared" si="286"/>
        <v/>
      </c>
      <c r="E5405" s="534"/>
      <c r="F5405" s="534"/>
    </row>
    <row r="5406" spans="1:6" ht="15" customHeight="1">
      <c r="A5406" s="51"/>
      <c r="B5406" s="52" t="str">
        <f t="shared" si="285"/>
        <v/>
      </c>
      <c r="C5406" t="str">
        <f t="shared" si="284"/>
        <v/>
      </c>
      <c r="D5406" s="245" t="str">
        <f t="shared" si="286"/>
        <v/>
      </c>
      <c r="E5406" s="534"/>
      <c r="F5406" s="534"/>
    </row>
    <row r="5407" spans="1:6" ht="15" customHeight="1">
      <c r="A5407" s="51"/>
      <c r="B5407" s="52" t="str">
        <f t="shared" si="285"/>
        <v/>
      </c>
      <c r="C5407" t="str">
        <f t="shared" si="284"/>
        <v/>
      </c>
      <c r="D5407" s="245" t="str">
        <f t="shared" si="286"/>
        <v/>
      </c>
      <c r="E5407" s="534"/>
      <c r="F5407" s="534"/>
    </row>
    <row r="5408" spans="1:6" ht="15" customHeight="1">
      <c r="A5408" s="51"/>
      <c r="B5408" s="52" t="str">
        <f t="shared" si="285"/>
        <v/>
      </c>
      <c r="C5408" t="str">
        <f t="shared" si="284"/>
        <v/>
      </c>
      <c r="D5408" s="245" t="str">
        <f t="shared" si="286"/>
        <v/>
      </c>
      <c r="E5408" s="534"/>
      <c r="F5408" s="534"/>
    </row>
    <row r="5409" spans="1:6" ht="15" customHeight="1">
      <c r="A5409" s="51"/>
      <c r="B5409" s="52" t="str">
        <f t="shared" si="285"/>
        <v/>
      </c>
      <c r="C5409" t="str">
        <f t="shared" si="284"/>
        <v/>
      </c>
      <c r="D5409" s="245" t="str">
        <f t="shared" si="286"/>
        <v/>
      </c>
      <c r="E5409" s="534"/>
      <c r="F5409" s="534"/>
    </row>
    <row r="5410" spans="1:6" ht="15" customHeight="1">
      <c r="A5410" s="51"/>
      <c r="B5410" s="52" t="str">
        <f t="shared" si="285"/>
        <v/>
      </c>
      <c r="C5410" t="str">
        <f t="shared" si="284"/>
        <v/>
      </c>
      <c r="D5410" s="245" t="str">
        <f t="shared" si="286"/>
        <v/>
      </c>
      <c r="E5410" s="534"/>
      <c r="F5410" s="534"/>
    </row>
    <row r="5411" spans="1:6" ht="15" customHeight="1">
      <c r="A5411" s="51"/>
      <c r="B5411" s="52" t="str">
        <f t="shared" si="285"/>
        <v/>
      </c>
      <c r="C5411" t="str">
        <f t="shared" si="284"/>
        <v/>
      </c>
      <c r="D5411" s="245" t="str">
        <f t="shared" si="286"/>
        <v/>
      </c>
      <c r="E5411" s="534"/>
      <c r="F5411" s="534"/>
    </row>
    <row r="5412" spans="1:6" ht="15" customHeight="1">
      <c r="A5412" s="51"/>
      <c r="B5412" s="52" t="str">
        <f t="shared" si="285"/>
        <v/>
      </c>
      <c r="C5412" t="str">
        <f t="shared" si="284"/>
        <v/>
      </c>
      <c r="D5412" s="245" t="str">
        <f t="shared" si="286"/>
        <v/>
      </c>
      <c r="E5412" s="534"/>
      <c r="F5412" s="534"/>
    </row>
    <row r="5413" spans="1:6" ht="15" customHeight="1">
      <c r="A5413" s="51"/>
      <c r="B5413" s="52" t="str">
        <f t="shared" si="285"/>
        <v/>
      </c>
      <c r="C5413" t="str">
        <f t="shared" si="284"/>
        <v/>
      </c>
      <c r="D5413" s="245" t="str">
        <f t="shared" si="286"/>
        <v/>
      </c>
      <c r="E5413" s="534"/>
      <c r="F5413" s="534"/>
    </row>
    <row r="5414" spans="1:6" ht="15" customHeight="1">
      <c r="A5414" s="51"/>
      <c r="B5414" s="52" t="str">
        <f t="shared" si="285"/>
        <v/>
      </c>
      <c r="C5414" t="str">
        <f t="shared" si="284"/>
        <v/>
      </c>
      <c r="D5414" s="245" t="str">
        <f t="shared" si="286"/>
        <v/>
      </c>
      <c r="E5414" s="534"/>
      <c r="F5414" s="534"/>
    </row>
    <row r="5415" spans="1:6" ht="15" customHeight="1">
      <c r="A5415" s="51"/>
      <c r="B5415" s="52" t="str">
        <f t="shared" si="285"/>
        <v/>
      </c>
      <c r="C5415" t="str">
        <f t="shared" si="284"/>
        <v/>
      </c>
      <c r="D5415" s="245" t="str">
        <f t="shared" si="286"/>
        <v/>
      </c>
      <c r="E5415" s="534"/>
      <c r="F5415" s="534"/>
    </row>
    <row r="5416" spans="1:6" ht="15" customHeight="1">
      <c r="A5416" s="51"/>
      <c r="B5416" s="52" t="str">
        <f t="shared" si="285"/>
        <v/>
      </c>
      <c r="C5416" t="str">
        <f t="shared" si="284"/>
        <v/>
      </c>
      <c r="D5416" s="245" t="str">
        <f t="shared" si="286"/>
        <v/>
      </c>
      <c r="E5416" s="534"/>
      <c r="F5416" s="534"/>
    </row>
    <row r="5417" spans="1:6" ht="15" customHeight="1">
      <c r="A5417" s="51"/>
      <c r="B5417" s="52" t="str">
        <f t="shared" si="285"/>
        <v/>
      </c>
      <c r="C5417" t="str">
        <f t="shared" si="284"/>
        <v/>
      </c>
      <c r="D5417" s="245" t="str">
        <f t="shared" si="286"/>
        <v/>
      </c>
      <c r="E5417" s="534"/>
      <c r="F5417" s="534"/>
    </row>
    <row r="5418" spans="1:6" ht="15" customHeight="1">
      <c r="A5418" s="51"/>
      <c r="B5418" s="52" t="str">
        <f t="shared" si="285"/>
        <v/>
      </c>
      <c r="C5418" t="str">
        <f t="shared" si="284"/>
        <v/>
      </c>
      <c r="D5418" s="245" t="str">
        <f t="shared" si="286"/>
        <v/>
      </c>
      <c r="E5418" s="534"/>
      <c r="F5418" s="534"/>
    </row>
    <row r="5419" spans="1:6" ht="15" customHeight="1">
      <c r="A5419" s="51"/>
      <c r="B5419" s="52" t="str">
        <f t="shared" si="285"/>
        <v/>
      </c>
      <c r="C5419" t="str">
        <f t="shared" si="284"/>
        <v/>
      </c>
      <c r="D5419" s="245" t="str">
        <f t="shared" si="286"/>
        <v/>
      </c>
      <c r="E5419" s="534"/>
      <c r="F5419" s="534"/>
    </row>
    <row r="5420" spans="1:6" ht="15" customHeight="1">
      <c r="A5420" s="51"/>
      <c r="B5420" s="52" t="str">
        <f t="shared" si="285"/>
        <v/>
      </c>
      <c r="C5420" t="str">
        <f t="shared" si="284"/>
        <v/>
      </c>
      <c r="D5420" s="245" t="str">
        <f t="shared" si="286"/>
        <v/>
      </c>
      <c r="E5420" s="534"/>
      <c r="F5420" s="534"/>
    </row>
    <row r="5421" spans="1:6" ht="15" customHeight="1">
      <c r="A5421" s="51"/>
      <c r="B5421" s="52" t="str">
        <f t="shared" si="285"/>
        <v/>
      </c>
      <c r="C5421" t="str">
        <f t="shared" si="284"/>
        <v/>
      </c>
      <c r="D5421" s="245" t="str">
        <f t="shared" si="286"/>
        <v/>
      </c>
      <c r="E5421" s="534"/>
      <c r="F5421" s="534"/>
    </row>
    <row r="5422" spans="1:6" ht="15" customHeight="1">
      <c r="A5422" s="51"/>
      <c r="B5422" s="52" t="str">
        <f t="shared" si="285"/>
        <v/>
      </c>
      <c r="C5422" t="str">
        <f t="shared" si="284"/>
        <v/>
      </c>
      <c r="D5422" s="245" t="str">
        <f t="shared" si="286"/>
        <v/>
      </c>
      <c r="E5422" s="534"/>
      <c r="F5422" s="534"/>
    </row>
    <row r="5423" spans="1:6" ht="15" customHeight="1">
      <c r="A5423" s="51"/>
      <c r="B5423" s="52" t="str">
        <f t="shared" si="285"/>
        <v/>
      </c>
      <c r="C5423" t="str">
        <f t="shared" si="284"/>
        <v/>
      </c>
      <c r="D5423" s="245" t="str">
        <f t="shared" si="286"/>
        <v/>
      </c>
      <c r="E5423" s="534"/>
      <c r="F5423" s="534"/>
    </row>
    <row r="5424" spans="1:6" ht="15" customHeight="1">
      <c r="A5424" s="51"/>
      <c r="B5424" s="52" t="str">
        <f t="shared" si="285"/>
        <v/>
      </c>
      <c r="C5424" t="str">
        <f t="shared" si="284"/>
        <v/>
      </c>
      <c r="D5424" s="245" t="str">
        <f t="shared" si="286"/>
        <v/>
      </c>
      <c r="E5424" s="534"/>
      <c r="F5424" s="534"/>
    </row>
    <row r="5425" spans="1:6" ht="15" customHeight="1">
      <c r="A5425" s="51"/>
      <c r="B5425" s="52" t="str">
        <f t="shared" si="285"/>
        <v/>
      </c>
      <c r="C5425" t="str">
        <f t="shared" si="284"/>
        <v/>
      </c>
      <c r="D5425" s="245" t="str">
        <f t="shared" si="286"/>
        <v/>
      </c>
      <c r="E5425" s="534"/>
      <c r="F5425" s="534"/>
    </row>
    <row r="5426" spans="1:6" ht="15" customHeight="1">
      <c r="A5426" s="51"/>
      <c r="B5426" s="52" t="str">
        <f t="shared" si="285"/>
        <v/>
      </c>
      <c r="C5426" t="str">
        <f t="shared" si="284"/>
        <v/>
      </c>
      <c r="D5426" s="245" t="str">
        <f t="shared" si="286"/>
        <v/>
      </c>
      <c r="E5426" s="534"/>
      <c r="F5426" s="534"/>
    </row>
    <row r="5427" spans="1:6" ht="15" customHeight="1">
      <c r="A5427" s="51"/>
      <c r="B5427" s="52" t="str">
        <f t="shared" si="285"/>
        <v/>
      </c>
      <c r="C5427" t="str">
        <f t="shared" si="284"/>
        <v/>
      </c>
      <c r="D5427" s="245" t="str">
        <f t="shared" si="286"/>
        <v/>
      </c>
      <c r="E5427" s="534"/>
      <c r="F5427" s="534"/>
    </row>
    <row r="5428" spans="1:6" ht="15" customHeight="1">
      <c r="A5428" s="51"/>
      <c r="B5428" s="52" t="str">
        <f t="shared" si="285"/>
        <v/>
      </c>
      <c r="C5428" t="str">
        <f t="shared" si="284"/>
        <v/>
      </c>
      <c r="D5428" s="245" t="str">
        <f t="shared" si="286"/>
        <v/>
      </c>
      <c r="E5428" s="534"/>
      <c r="F5428" s="534"/>
    </row>
    <row r="5429" spans="1:6" ht="15" customHeight="1">
      <c r="A5429" s="51"/>
      <c r="B5429" s="52" t="str">
        <f t="shared" si="285"/>
        <v/>
      </c>
      <c r="C5429" t="str">
        <f t="shared" si="284"/>
        <v/>
      </c>
      <c r="D5429" s="245" t="str">
        <f t="shared" si="286"/>
        <v/>
      </c>
      <c r="E5429" s="534"/>
      <c r="F5429" s="534"/>
    </row>
    <row r="5430" spans="1:6" ht="15" customHeight="1">
      <c r="A5430" s="51"/>
      <c r="B5430" s="52" t="str">
        <f t="shared" si="285"/>
        <v/>
      </c>
      <c r="C5430" t="str">
        <f t="shared" si="284"/>
        <v/>
      </c>
      <c r="D5430" s="245" t="str">
        <f t="shared" si="286"/>
        <v/>
      </c>
      <c r="E5430" s="534"/>
      <c r="F5430" s="534"/>
    </row>
    <row r="5431" spans="1:6" ht="15" customHeight="1">
      <c r="A5431" s="51"/>
      <c r="B5431" s="52" t="str">
        <f t="shared" si="285"/>
        <v/>
      </c>
      <c r="C5431" t="str">
        <f t="shared" si="284"/>
        <v/>
      </c>
      <c r="D5431" s="245" t="str">
        <f t="shared" si="286"/>
        <v/>
      </c>
      <c r="E5431" s="534"/>
      <c r="F5431" s="534"/>
    </row>
    <row r="5432" spans="1:6" ht="15" customHeight="1">
      <c r="A5432" s="51"/>
      <c r="B5432" s="52" t="str">
        <f t="shared" si="285"/>
        <v/>
      </c>
      <c r="C5432" t="str">
        <f t="shared" si="284"/>
        <v/>
      </c>
      <c r="D5432" s="245" t="str">
        <f t="shared" si="286"/>
        <v/>
      </c>
      <c r="E5432" s="534"/>
      <c r="F5432" s="534"/>
    </row>
    <row r="5433" spans="1:6" ht="15" customHeight="1">
      <c r="A5433" s="51"/>
      <c r="B5433" s="52" t="str">
        <f t="shared" si="285"/>
        <v/>
      </c>
      <c r="C5433" t="str">
        <f t="shared" si="284"/>
        <v/>
      </c>
      <c r="D5433" s="245" t="str">
        <f t="shared" si="286"/>
        <v/>
      </c>
      <c r="E5433" s="534"/>
      <c r="F5433" s="534"/>
    </row>
    <row r="5434" spans="1:6" ht="15" customHeight="1">
      <c r="A5434" s="51"/>
      <c r="B5434" s="52" t="str">
        <f t="shared" si="285"/>
        <v/>
      </c>
      <c r="C5434" t="str">
        <f t="shared" si="284"/>
        <v/>
      </c>
      <c r="D5434" s="245" t="str">
        <f t="shared" si="286"/>
        <v/>
      </c>
      <c r="E5434" s="534"/>
      <c r="F5434" s="534"/>
    </row>
    <row r="5435" spans="1:6" ht="15" customHeight="1">
      <c r="A5435" s="51"/>
      <c r="B5435" s="52" t="str">
        <f t="shared" si="285"/>
        <v/>
      </c>
      <c r="C5435" t="str">
        <f t="shared" si="284"/>
        <v/>
      </c>
      <c r="D5435" s="245" t="str">
        <f t="shared" si="286"/>
        <v/>
      </c>
      <c r="E5435" s="534"/>
      <c r="F5435" s="534"/>
    </row>
    <row r="5436" spans="1:6" ht="15" customHeight="1">
      <c r="A5436" s="51"/>
      <c r="B5436" s="52" t="str">
        <f t="shared" si="285"/>
        <v/>
      </c>
      <c r="C5436" t="str">
        <f t="shared" si="284"/>
        <v/>
      </c>
      <c r="D5436" s="245" t="str">
        <f t="shared" si="286"/>
        <v/>
      </c>
      <c r="E5436" s="534"/>
      <c r="F5436" s="534"/>
    </row>
    <row r="5437" spans="1:6" ht="15" customHeight="1">
      <c r="A5437" s="51"/>
      <c r="B5437" s="52" t="str">
        <f t="shared" si="285"/>
        <v/>
      </c>
      <c r="C5437" t="str">
        <f t="shared" si="284"/>
        <v/>
      </c>
      <c r="D5437" s="245" t="str">
        <f t="shared" si="286"/>
        <v/>
      </c>
      <c r="E5437" s="534"/>
      <c r="F5437" s="534"/>
    </row>
    <row r="5438" spans="1:6" ht="15" customHeight="1">
      <c r="A5438" s="51"/>
      <c r="B5438" s="52" t="str">
        <f t="shared" si="285"/>
        <v/>
      </c>
      <c r="C5438" t="str">
        <f t="shared" si="284"/>
        <v/>
      </c>
      <c r="D5438" s="245" t="str">
        <f t="shared" si="286"/>
        <v/>
      </c>
      <c r="E5438" s="534"/>
      <c r="F5438" s="534"/>
    </row>
    <row r="5439" spans="1:6" ht="15" customHeight="1">
      <c r="A5439" s="51"/>
      <c r="B5439" s="52" t="str">
        <f t="shared" si="285"/>
        <v/>
      </c>
      <c r="C5439" t="str">
        <f t="shared" si="284"/>
        <v/>
      </c>
      <c r="D5439" s="245" t="str">
        <f t="shared" si="286"/>
        <v/>
      </c>
      <c r="E5439" s="534"/>
      <c r="F5439" s="534"/>
    </row>
    <row r="5440" spans="1:6" ht="15" customHeight="1">
      <c r="A5440" s="51"/>
      <c r="B5440" s="52" t="str">
        <f t="shared" si="285"/>
        <v/>
      </c>
      <c r="C5440" t="str">
        <f t="shared" si="284"/>
        <v/>
      </c>
      <c r="D5440" s="245" t="str">
        <f t="shared" si="286"/>
        <v/>
      </c>
      <c r="E5440" s="534"/>
      <c r="F5440" s="534"/>
    </row>
    <row r="5441" spans="1:6" ht="15" customHeight="1">
      <c r="A5441" s="51"/>
      <c r="B5441" s="52" t="str">
        <f t="shared" si="285"/>
        <v/>
      </c>
      <c r="C5441" t="str">
        <f t="shared" si="284"/>
        <v/>
      </c>
      <c r="D5441" s="245" t="str">
        <f t="shared" si="286"/>
        <v/>
      </c>
      <c r="E5441" s="534"/>
      <c r="F5441" s="534"/>
    </row>
    <row r="5442" spans="1:6" ht="15" customHeight="1">
      <c r="A5442" s="51"/>
      <c r="B5442" s="52" t="str">
        <f t="shared" si="285"/>
        <v/>
      </c>
      <c r="C5442" t="str">
        <f t="shared" ref="C5442:C5505" si="287">IF(A5442&lt;&gt;"",TEXT(A5442,"aaaa"),"")</f>
        <v/>
      </c>
      <c r="D5442" s="245" t="str">
        <f t="shared" si="286"/>
        <v/>
      </c>
      <c r="E5442" s="534"/>
      <c r="F5442" s="534"/>
    </row>
    <row r="5443" spans="1:6" ht="15" customHeight="1">
      <c r="A5443" s="51"/>
      <c r="B5443" s="52" t="str">
        <f t="shared" si="285"/>
        <v/>
      </c>
      <c r="C5443" t="str">
        <f t="shared" si="287"/>
        <v/>
      </c>
      <c r="D5443" s="245" t="str">
        <f t="shared" si="286"/>
        <v/>
      </c>
      <c r="E5443" s="534"/>
      <c r="F5443" s="534"/>
    </row>
    <row r="5444" spans="1:6" ht="15" customHeight="1">
      <c r="A5444" s="51"/>
      <c r="B5444" s="52" t="str">
        <f t="shared" si="285"/>
        <v/>
      </c>
      <c r="C5444" t="str">
        <f t="shared" si="287"/>
        <v/>
      </c>
      <c r="D5444" s="245" t="str">
        <f t="shared" si="286"/>
        <v/>
      </c>
      <c r="E5444" s="534"/>
      <c r="F5444" s="534"/>
    </row>
    <row r="5445" spans="1:6" ht="15" customHeight="1">
      <c r="A5445" s="51"/>
      <c r="B5445" s="52" t="str">
        <f t="shared" si="285"/>
        <v/>
      </c>
      <c r="C5445" t="str">
        <f t="shared" si="287"/>
        <v/>
      </c>
      <c r="D5445" s="245" t="str">
        <f t="shared" si="286"/>
        <v/>
      </c>
      <c r="E5445" s="534"/>
      <c r="F5445" s="534"/>
    </row>
    <row r="5446" spans="1:6" ht="15" customHeight="1">
      <c r="A5446" s="51"/>
      <c r="B5446" s="52" t="str">
        <f t="shared" si="285"/>
        <v/>
      </c>
      <c r="C5446" t="str">
        <f t="shared" si="287"/>
        <v/>
      </c>
      <c r="D5446" s="245" t="str">
        <f t="shared" si="286"/>
        <v/>
      </c>
      <c r="E5446" s="534"/>
      <c r="F5446" s="534"/>
    </row>
    <row r="5447" spans="1:6" ht="15" customHeight="1">
      <c r="A5447" s="51"/>
      <c r="B5447" s="52" t="str">
        <f t="shared" si="285"/>
        <v/>
      </c>
      <c r="C5447" t="str">
        <f t="shared" si="287"/>
        <v/>
      </c>
      <c r="D5447" s="245" t="str">
        <f t="shared" si="286"/>
        <v/>
      </c>
      <c r="E5447" s="534"/>
      <c r="F5447" s="534"/>
    </row>
    <row r="5448" spans="1:6" ht="15" customHeight="1">
      <c r="A5448" s="51"/>
      <c r="B5448" s="52" t="str">
        <f t="shared" ref="B5448:B5511" si="288">IF(A5448="","",TEXT(A5448,"DDDD"))</f>
        <v/>
      </c>
      <c r="C5448" t="str">
        <f t="shared" si="287"/>
        <v/>
      </c>
      <c r="D5448" s="245" t="str">
        <f t="shared" si="286"/>
        <v/>
      </c>
      <c r="E5448" s="534"/>
      <c r="F5448" s="534"/>
    </row>
    <row r="5449" spans="1:6" ht="15" customHeight="1">
      <c r="A5449" s="51"/>
      <c r="B5449" s="52" t="str">
        <f t="shared" si="288"/>
        <v/>
      </c>
      <c r="C5449" t="str">
        <f t="shared" si="287"/>
        <v/>
      </c>
      <c r="D5449" s="245" t="str">
        <f t="shared" ref="D5449:D5512" si="289">IF(A5449&lt;&gt;"",PROPER(TEXT(A5449,"Mmmm")),"")</f>
        <v/>
      </c>
      <c r="E5449" s="534"/>
      <c r="F5449" s="534"/>
    </row>
    <row r="5450" spans="1:6" ht="15" customHeight="1">
      <c r="A5450" s="51"/>
      <c r="B5450" s="52" t="str">
        <f t="shared" si="288"/>
        <v/>
      </c>
      <c r="C5450" t="str">
        <f t="shared" si="287"/>
        <v/>
      </c>
      <c r="D5450" s="245" t="str">
        <f t="shared" si="289"/>
        <v/>
      </c>
      <c r="E5450" s="534"/>
      <c r="F5450" s="534"/>
    </row>
    <row r="5451" spans="1:6" ht="15" customHeight="1">
      <c r="A5451" s="51"/>
      <c r="B5451" s="52" t="str">
        <f t="shared" si="288"/>
        <v/>
      </c>
      <c r="C5451" t="str">
        <f t="shared" si="287"/>
        <v/>
      </c>
      <c r="D5451" s="245" t="str">
        <f t="shared" si="289"/>
        <v/>
      </c>
      <c r="E5451" s="534"/>
      <c r="F5451" s="534"/>
    </row>
    <row r="5452" spans="1:6" ht="15" customHeight="1">
      <c r="A5452" s="51"/>
      <c r="B5452" s="52" t="str">
        <f t="shared" si="288"/>
        <v/>
      </c>
      <c r="C5452" t="str">
        <f t="shared" si="287"/>
        <v/>
      </c>
      <c r="D5452" s="245" t="str">
        <f t="shared" si="289"/>
        <v/>
      </c>
      <c r="E5452" s="534"/>
      <c r="F5452" s="534"/>
    </row>
    <row r="5453" spans="1:6" ht="15" customHeight="1">
      <c r="A5453" s="51"/>
      <c r="B5453" s="52" t="str">
        <f t="shared" si="288"/>
        <v/>
      </c>
      <c r="C5453" t="str">
        <f t="shared" si="287"/>
        <v/>
      </c>
      <c r="D5453" s="245" t="str">
        <f t="shared" si="289"/>
        <v/>
      </c>
      <c r="E5453" s="534"/>
      <c r="F5453" s="534"/>
    </row>
    <row r="5454" spans="1:6" ht="15" customHeight="1">
      <c r="A5454" s="51"/>
      <c r="B5454" s="52" t="str">
        <f t="shared" si="288"/>
        <v/>
      </c>
      <c r="C5454" t="str">
        <f t="shared" si="287"/>
        <v/>
      </c>
      <c r="D5454" s="245" t="str">
        <f t="shared" si="289"/>
        <v/>
      </c>
      <c r="E5454" s="534"/>
      <c r="F5454" s="534"/>
    </row>
    <row r="5455" spans="1:6" ht="15" customHeight="1">
      <c r="A5455" s="51"/>
      <c r="B5455" s="52" t="str">
        <f t="shared" si="288"/>
        <v/>
      </c>
      <c r="C5455" t="str">
        <f t="shared" si="287"/>
        <v/>
      </c>
      <c r="D5455" s="245" t="str">
        <f t="shared" si="289"/>
        <v/>
      </c>
      <c r="E5455" s="534"/>
      <c r="F5455" s="534"/>
    </row>
    <row r="5456" spans="1:6" ht="15" customHeight="1">
      <c r="A5456" s="51"/>
      <c r="B5456" s="52" t="str">
        <f t="shared" si="288"/>
        <v/>
      </c>
      <c r="C5456" t="str">
        <f t="shared" si="287"/>
        <v/>
      </c>
      <c r="D5456" s="245" t="str">
        <f t="shared" si="289"/>
        <v/>
      </c>
      <c r="E5456" s="534"/>
      <c r="F5456" s="534"/>
    </row>
    <row r="5457" spans="1:6" ht="15" customHeight="1">
      <c r="A5457" s="51"/>
      <c r="B5457" s="52" t="str">
        <f t="shared" si="288"/>
        <v/>
      </c>
      <c r="C5457" t="str">
        <f t="shared" si="287"/>
        <v/>
      </c>
      <c r="D5457" s="245" t="str">
        <f t="shared" si="289"/>
        <v/>
      </c>
      <c r="E5457" s="534"/>
      <c r="F5457" s="534"/>
    </row>
    <row r="5458" spans="1:6" ht="15" customHeight="1">
      <c r="A5458" s="51"/>
      <c r="B5458" s="52" t="str">
        <f t="shared" si="288"/>
        <v/>
      </c>
      <c r="C5458" t="str">
        <f t="shared" si="287"/>
        <v/>
      </c>
      <c r="D5458" s="245" t="str">
        <f t="shared" si="289"/>
        <v/>
      </c>
      <c r="E5458" s="534"/>
      <c r="F5458" s="534"/>
    </row>
    <row r="5459" spans="1:6" ht="15" customHeight="1">
      <c r="A5459" s="51"/>
      <c r="B5459" s="52" t="str">
        <f t="shared" si="288"/>
        <v/>
      </c>
      <c r="C5459" t="str">
        <f t="shared" si="287"/>
        <v/>
      </c>
      <c r="D5459" s="245" t="str">
        <f t="shared" si="289"/>
        <v/>
      </c>
      <c r="E5459" s="534"/>
      <c r="F5459" s="534"/>
    </row>
    <row r="5460" spans="1:6" ht="15" customHeight="1">
      <c r="A5460" s="51"/>
      <c r="B5460" s="52" t="str">
        <f t="shared" si="288"/>
        <v/>
      </c>
      <c r="C5460" t="str">
        <f t="shared" si="287"/>
        <v/>
      </c>
      <c r="D5460" s="245" t="str">
        <f t="shared" si="289"/>
        <v/>
      </c>
      <c r="E5460" s="534"/>
      <c r="F5460" s="534"/>
    </row>
    <row r="5461" spans="1:6" ht="15" customHeight="1">
      <c r="A5461" s="51"/>
      <c r="B5461" s="52" t="str">
        <f t="shared" si="288"/>
        <v/>
      </c>
      <c r="C5461" t="str">
        <f t="shared" si="287"/>
        <v/>
      </c>
      <c r="D5461" s="245" t="str">
        <f t="shared" si="289"/>
        <v/>
      </c>
      <c r="E5461" s="534"/>
      <c r="F5461" s="534"/>
    </row>
    <row r="5462" spans="1:6" ht="15" customHeight="1">
      <c r="A5462" s="51"/>
      <c r="B5462" s="52" t="str">
        <f t="shared" si="288"/>
        <v/>
      </c>
      <c r="C5462" t="str">
        <f t="shared" si="287"/>
        <v/>
      </c>
      <c r="D5462" s="245" t="str">
        <f t="shared" si="289"/>
        <v/>
      </c>
      <c r="E5462" s="534"/>
      <c r="F5462" s="534"/>
    </row>
    <row r="5463" spans="1:6" ht="15" customHeight="1">
      <c r="A5463" s="51"/>
      <c r="B5463" s="52" t="str">
        <f t="shared" si="288"/>
        <v/>
      </c>
      <c r="C5463" t="str">
        <f t="shared" si="287"/>
        <v/>
      </c>
      <c r="D5463" s="245" t="str">
        <f t="shared" si="289"/>
        <v/>
      </c>
      <c r="E5463" s="534"/>
      <c r="F5463" s="534"/>
    </row>
    <row r="5464" spans="1:6" ht="15" customHeight="1">
      <c r="A5464" s="51"/>
      <c r="B5464" s="52" t="str">
        <f t="shared" si="288"/>
        <v/>
      </c>
      <c r="C5464" t="str">
        <f t="shared" si="287"/>
        <v/>
      </c>
      <c r="D5464" s="245" t="str">
        <f t="shared" si="289"/>
        <v/>
      </c>
      <c r="E5464" s="534"/>
      <c r="F5464" s="534"/>
    </row>
    <row r="5465" spans="1:6" ht="15" customHeight="1">
      <c r="A5465" s="51"/>
      <c r="B5465" s="52" t="str">
        <f t="shared" si="288"/>
        <v/>
      </c>
      <c r="C5465" t="str">
        <f t="shared" si="287"/>
        <v/>
      </c>
      <c r="D5465" s="245" t="str">
        <f t="shared" si="289"/>
        <v/>
      </c>
      <c r="E5465" s="534"/>
      <c r="F5465" s="534"/>
    </row>
    <row r="5466" spans="1:6" ht="15" customHeight="1">
      <c r="A5466" s="51"/>
      <c r="B5466" s="52" t="str">
        <f t="shared" si="288"/>
        <v/>
      </c>
      <c r="C5466" t="str">
        <f t="shared" si="287"/>
        <v/>
      </c>
      <c r="D5466" s="245" t="str">
        <f t="shared" si="289"/>
        <v/>
      </c>
      <c r="E5466" s="534"/>
      <c r="F5466" s="534"/>
    </row>
    <row r="5467" spans="1:6" ht="15" customHeight="1">
      <c r="A5467" s="51"/>
      <c r="B5467" s="52" t="str">
        <f t="shared" si="288"/>
        <v/>
      </c>
      <c r="C5467" t="str">
        <f t="shared" si="287"/>
        <v/>
      </c>
      <c r="D5467" s="245" t="str">
        <f t="shared" si="289"/>
        <v/>
      </c>
      <c r="E5467" s="534"/>
      <c r="F5467" s="534"/>
    </row>
    <row r="5468" spans="1:6" ht="15" customHeight="1">
      <c r="A5468" s="51"/>
      <c r="B5468" s="52" t="str">
        <f t="shared" si="288"/>
        <v/>
      </c>
      <c r="C5468" t="str">
        <f t="shared" si="287"/>
        <v/>
      </c>
      <c r="D5468" s="245" t="str">
        <f t="shared" si="289"/>
        <v/>
      </c>
      <c r="E5468" s="534"/>
      <c r="F5468" s="534"/>
    </row>
    <row r="5469" spans="1:6" ht="15" customHeight="1">
      <c r="A5469" s="51"/>
      <c r="B5469" s="52" t="str">
        <f t="shared" si="288"/>
        <v/>
      </c>
      <c r="C5469" t="str">
        <f t="shared" si="287"/>
        <v/>
      </c>
      <c r="D5469" s="245" t="str">
        <f t="shared" si="289"/>
        <v/>
      </c>
      <c r="E5469" s="534"/>
      <c r="F5469" s="534"/>
    </row>
    <row r="5470" spans="1:6" ht="15" customHeight="1">
      <c r="A5470" s="51"/>
      <c r="B5470" s="52" t="str">
        <f t="shared" si="288"/>
        <v/>
      </c>
      <c r="C5470" t="str">
        <f t="shared" si="287"/>
        <v/>
      </c>
      <c r="D5470" s="245" t="str">
        <f t="shared" si="289"/>
        <v/>
      </c>
      <c r="E5470" s="534"/>
      <c r="F5470" s="534"/>
    </row>
    <row r="5471" spans="1:6" ht="15" customHeight="1">
      <c r="A5471" s="51"/>
      <c r="B5471" s="52" t="str">
        <f t="shared" si="288"/>
        <v/>
      </c>
      <c r="C5471" t="str">
        <f t="shared" si="287"/>
        <v/>
      </c>
      <c r="D5471" s="245" t="str">
        <f t="shared" si="289"/>
        <v/>
      </c>
      <c r="E5471" s="534"/>
      <c r="F5471" s="534"/>
    </row>
    <row r="5472" spans="1:6" ht="15" customHeight="1">
      <c r="A5472" s="51"/>
      <c r="B5472" s="52" t="str">
        <f t="shared" si="288"/>
        <v/>
      </c>
      <c r="C5472" t="str">
        <f t="shared" si="287"/>
        <v/>
      </c>
      <c r="D5472" s="245" t="str">
        <f t="shared" si="289"/>
        <v/>
      </c>
      <c r="E5472" s="534"/>
      <c r="F5472" s="534"/>
    </row>
    <row r="5473" spans="1:6" ht="15" customHeight="1">
      <c r="A5473" s="51"/>
      <c r="B5473" s="52" t="str">
        <f t="shared" si="288"/>
        <v/>
      </c>
      <c r="C5473" t="str">
        <f t="shared" si="287"/>
        <v/>
      </c>
      <c r="D5473" s="245" t="str">
        <f t="shared" si="289"/>
        <v/>
      </c>
      <c r="E5473" s="534"/>
      <c r="F5473" s="534"/>
    </row>
    <row r="5474" spans="1:6" ht="15" customHeight="1">
      <c r="A5474" s="51"/>
      <c r="B5474" s="52" t="str">
        <f t="shared" si="288"/>
        <v/>
      </c>
      <c r="C5474" t="str">
        <f t="shared" si="287"/>
        <v/>
      </c>
      <c r="D5474" s="245" t="str">
        <f t="shared" si="289"/>
        <v/>
      </c>
      <c r="E5474" s="534"/>
      <c r="F5474" s="534"/>
    </row>
    <row r="5475" spans="1:6" ht="15" customHeight="1">
      <c r="A5475" s="51"/>
      <c r="B5475" s="52" t="str">
        <f t="shared" si="288"/>
        <v/>
      </c>
      <c r="C5475" t="str">
        <f t="shared" si="287"/>
        <v/>
      </c>
      <c r="D5475" s="245" t="str">
        <f t="shared" si="289"/>
        <v/>
      </c>
      <c r="E5475" s="534"/>
      <c r="F5475" s="534"/>
    </row>
    <row r="5476" spans="1:6" ht="15" customHeight="1">
      <c r="A5476" s="51"/>
      <c r="B5476" s="52" t="str">
        <f t="shared" si="288"/>
        <v/>
      </c>
      <c r="C5476" t="str">
        <f t="shared" si="287"/>
        <v/>
      </c>
      <c r="D5476" s="245" t="str">
        <f t="shared" si="289"/>
        <v/>
      </c>
      <c r="E5476" s="534"/>
      <c r="F5476" s="534"/>
    </row>
    <row r="5477" spans="1:6" ht="15" customHeight="1">
      <c r="A5477" s="51"/>
      <c r="B5477" s="52" t="str">
        <f t="shared" si="288"/>
        <v/>
      </c>
      <c r="C5477" t="str">
        <f t="shared" si="287"/>
        <v/>
      </c>
      <c r="D5477" s="245" t="str">
        <f t="shared" si="289"/>
        <v/>
      </c>
      <c r="E5477" s="534"/>
      <c r="F5477" s="534"/>
    </row>
    <row r="5478" spans="1:6" ht="15" customHeight="1">
      <c r="A5478" s="51"/>
      <c r="B5478" s="52" t="str">
        <f t="shared" si="288"/>
        <v/>
      </c>
      <c r="C5478" t="str">
        <f t="shared" si="287"/>
        <v/>
      </c>
      <c r="D5478" s="245" t="str">
        <f t="shared" si="289"/>
        <v/>
      </c>
      <c r="E5478" s="534"/>
      <c r="F5478" s="534"/>
    </row>
    <row r="5479" spans="1:6" ht="15" customHeight="1">
      <c r="A5479" s="51"/>
      <c r="B5479" s="52" t="str">
        <f t="shared" si="288"/>
        <v/>
      </c>
      <c r="C5479" t="str">
        <f t="shared" si="287"/>
        <v/>
      </c>
      <c r="D5479" s="245" t="str">
        <f t="shared" si="289"/>
        <v/>
      </c>
      <c r="E5479" s="534"/>
      <c r="F5479" s="534"/>
    </row>
    <row r="5480" spans="1:6" ht="15" customHeight="1">
      <c r="A5480" s="51"/>
      <c r="B5480" s="52" t="str">
        <f t="shared" si="288"/>
        <v/>
      </c>
      <c r="C5480" t="str">
        <f t="shared" si="287"/>
        <v/>
      </c>
      <c r="D5480" s="245" t="str">
        <f t="shared" si="289"/>
        <v/>
      </c>
      <c r="E5480" s="534"/>
      <c r="F5480" s="534"/>
    </row>
    <row r="5481" spans="1:6" ht="15" customHeight="1">
      <c r="A5481" s="51"/>
      <c r="B5481" s="52" t="str">
        <f t="shared" si="288"/>
        <v/>
      </c>
      <c r="C5481" t="str">
        <f t="shared" si="287"/>
        <v/>
      </c>
      <c r="D5481" s="245" t="str">
        <f t="shared" si="289"/>
        <v/>
      </c>
      <c r="E5481" s="534"/>
      <c r="F5481" s="534"/>
    </row>
    <row r="5482" spans="1:6" ht="15" customHeight="1">
      <c r="A5482" s="51"/>
      <c r="B5482" s="52" t="str">
        <f t="shared" si="288"/>
        <v/>
      </c>
      <c r="C5482" t="str">
        <f t="shared" si="287"/>
        <v/>
      </c>
      <c r="D5482" s="245" t="str">
        <f t="shared" si="289"/>
        <v/>
      </c>
      <c r="E5482" s="534"/>
      <c r="F5482" s="534"/>
    </row>
    <row r="5483" spans="1:6" ht="15" customHeight="1">
      <c r="A5483" s="51"/>
      <c r="B5483" s="52" t="str">
        <f t="shared" si="288"/>
        <v/>
      </c>
      <c r="C5483" t="str">
        <f t="shared" si="287"/>
        <v/>
      </c>
      <c r="D5483" s="245" t="str">
        <f t="shared" si="289"/>
        <v/>
      </c>
      <c r="E5483" s="534"/>
      <c r="F5483" s="534"/>
    </row>
    <row r="5484" spans="1:6" ht="15" customHeight="1">
      <c r="A5484" s="51"/>
      <c r="B5484" s="52" t="str">
        <f t="shared" si="288"/>
        <v/>
      </c>
      <c r="C5484" t="str">
        <f t="shared" si="287"/>
        <v/>
      </c>
      <c r="D5484" s="245" t="str">
        <f t="shared" si="289"/>
        <v/>
      </c>
      <c r="E5484" s="534"/>
      <c r="F5484" s="534"/>
    </row>
    <row r="5485" spans="1:6" ht="15" customHeight="1">
      <c r="A5485" s="51"/>
      <c r="B5485" s="52" t="str">
        <f t="shared" si="288"/>
        <v/>
      </c>
      <c r="C5485" t="str">
        <f t="shared" si="287"/>
        <v/>
      </c>
      <c r="D5485" s="245" t="str">
        <f t="shared" si="289"/>
        <v/>
      </c>
      <c r="E5485" s="534"/>
      <c r="F5485" s="534"/>
    </row>
    <row r="5486" spans="1:6" ht="15" customHeight="1">
      <c r="A5486" s="51"/>
      <c r="B5486" s="52" t="str">
        <f t="shared" si="288"/>
        <v/>
      </c>
      <c r="C5486" t="str">
        <f t="shared" si="287"/>
        <v/>
      </c>
      <c r="D5486" s="245" t="str">
        <f t="shared" si="289"/>
        <v/>
      </c>
      <c r="E5486" s="534"/>
      <c r="F5486" s="534"/>
    </row>
    <row r="5487" spans="1:6" ht="15" customHeight="1">
      <c r="A5487" s="51"/>
      <c r="B5487" s="52" t="str">
        <f t="shared" si="288"/>
        <v/>
      </c>
      <c r="C5487" t="str">
        <f t="shared" si="287"/>
        <v/>
      </c>
      <c r="D5487" s="245" t="str">
        <f t="shared" si="289"/>
        <v/>
      </c>
      <c r="E5487" s="534"/>
      <c r="F5487" s="534"/>
    </row>
    <row r="5488" spans="1:6" ht="15" customHeight="1">
      <c r="A5488" s="51"/>
      <c r="B5488" s="52" t="str">
        <f t="shared" si="288"/>
        <v/>
      </c>
      <c r="C5488" t="str">
        <f t="shared" si="287"/>
        <v/>
      </c>
      <c r="D5488" s="245" t="str">
        <f t="shared" si="289"/>
        <v/>
      </c>
      <c r="E5488" s="534"/>
      <c r="F5488" s="534"/>
    </row>
    <row r="5489" spans="1:6" ht="15" customHeight="1">
      <c r="A5489" s="51"/>
      <c r="B5489" s="52" t="str">
        <f t="shared" si="288"/>
        <v/>
      </c>
      <c r="C5489" t="str">
        <f t="shared" si="287"/>
        <v/>
      </c>
      <c r="D5489" s="245" t="str">
        <f t="shared" si="289"/>
        <v/>
      </c>
      <c r="E5489" s="534"/>
      <c r="F5489" s="534"/>
    </row>
    <row r="5490" spans="1:6" ht="15" customHeight="1">
      <c r="A5490" s="51"/>
      <c r="B5490" s="52" t="str">
        <f t="shared" si="288"/>
        <v/>
      </c>
      <c r="C5490" t="str">
        <f t="shared" si="287"/>
        <v/>
      </c>
      <c r="D5490" s="245" t="str">
        <f t="shared" si="289"/>
        <v/>
      </c>
      <c r="E5490" s="534"/>
      <c r="F5490" s="534"/>
    </row>
    <row r="5491" spans="1:6" ht="15" customHeight="1">
      <c r="A5491" s="51"/>
      <c r="B5491" s="52" t="str">
        <f t="shared" si="288"/>
        <v/>
      </c>
      <c r="C5491" t="str">
        <f t="shared" si="287"/>
        <v/>
      </c>
      <c r="D5491" s="245" t="str">
        <f t="shared" si="289"/>
        <v/>
      </c>
      <c r="E5491" s="534"/>
      <c r="F5491" s="534"/>
    </row>
    <row r="5492" spans="1:6" ht="15" customHeight="1">
      <c r="A5492" s="51"/>
      <c r="B5492" s="52" t="str">
        <f t="shared" si="288"/>
        <v/>
      </c>
      <c r="C5492" t="str">
        <f t="shared" si="287"/>
        <v/>
      </c>
      <c r="D5492" s="245" t="str">
        <f t="shared" si="289"/>
        <v/>
      </c>
      <c r="E5492" s="534"/>
      <c r="F5492" s="534"/>
    </row>
    <row r="5493" spans="1:6" ht="15" customHeight="1">
      <c r="A5493" s="51"/>
      <c r="B5493" s="52" t="str">
        <f t="shared" si="288"/>
        <v/>
      </c>
      <c r="C5493" t="str">
        <f t="shared" si="287"/>
        <v/>
      </c>
      <c r="D5493" s="245" t="str">
        <f t="shared" si="289"/>
        <v/>
      </c>
      <c r="E5493" s="534"/>
      <c r="F5493" s="534"/>
    </row>
    <row r="5494" spans="1:6" ht="15" customHeight="1">
      <c r="A5494" s="51"/>
      <c r="B5494" s="52" t="str">
        <f t="shared" si="288"/>
        <v/>
      </c>
      <c r="C5494" t="str">
        <f t="shared" si="287"/>
        <v/>
      </c>
      <c r="D5494" s="245" t="str">
        <f t="shared" si="289"/>
        <v/>
      </c>
      <c r="E5494" s="534"/>
      <c r="F5494" s="534"/>
    </row>
    <row r="5495" spans="1:6" ht="15" customHeight="1">
      <c r="A5495" s="51"/>
      <c r="B5495" s="52" t="str">
        <f t="shared" si="288"/>
        <v/>
      </c>
      <c r="C5495" t="str">
        <f t="shared" si="287"/>
        <v/>
      </c>
      <c r="D5495" s="245" t="str">
        <f t="shared" si="289"/>
        <v/>
      </c>
      <c r="E5495" s="534"/>
      <c r="F5495" s="534"/>
    </row>
    <row r="5496" spans="1:6" ht="15" customHeight="1">
      <c r="A5496" s="51"/>
      <c r="B5496" s="52" t="str">
        <f t="shared" si="288"/>
        <v/>
      </c>
      <c r="C5496" t="str">
        <f t="shared" si="287"/>
        <v/>
      </c>
      <c r="D5496" s="245" t="str">
        <f t="shared" si="289"/>
        <v/>
      </c>
      <c r="E5496" s="534"/>
      <c r="F5496" s="534"/>
    </row>
    <row r="5497" spans="1:6" ht="15" customHeight="1">
      <c r="A5497" s="51"/>
      <c r="B5497" s="52" t="str">
        <f t="shared" si="288"/>
        <v/>
      </c>
      <c r="C5497" t="str">
        <f t="shared" si="287"/>
        <v/>
      </c>
      <c r="D5497" s="245" t="str">
        <f t="shared" si="289"/>
        <v/>
      </c>
      <c r="E5497" s="534"/>
      <c r="F5497" s="534"/>
    </row>
    <row r="5498" spans="1:6" ht="15" customHeight="1">
      <c r="A5498" s="51"/>
      <c r="B5498" s="52" t="str">
        <f t="shared" si="288"/>
        <v/>
      </c>
      <c r="C5498" t="str">
        <f t="shared" si="287"/>
        <v/>
      </c>
      <c r="D5498" s="245" t="str">
        <f t="shared" si="289"/>
        <v/>
      </c>
      <c r="E5498" s="534"/>
      <c r="F5498" s="534"/>
    </row>
    <row r="5499" spans="1:6" ht="15" customHeight="1">
      <c r="A5499" s="51"/>
      <c r="B5499" s="52" t="str">
        <f t="shared" si="288"/>
        <v/>
      </c>
      <c r="C5499" t="str">
        <f t="shared" si="287"/>
        <v/>
      </c>
      <c r="D5499" s="245" t="str">
        <f t="shared" si="289"/>
        <v/>
      </c>
      <c r="E5499" s="534"/>
      <c r="F5499" s="534"/>
    </row>
    <row r="5500" spans="1:6" ht="15" customHeight="1">
      <c r="A5500" s="51"/>
      <c r="B5500" s="52" t="str">
        <f t="shared" si="288"/>
        <v/>
      </c>
      <c r="C5500" t="str">
        <f t="shared" si="287"/>
        <v/>
      </c>
      <c r="D5500" s="245" t="str">
        <f t="shared" si="289"/>
        <v/>
      </c>
      <c r="E5500" s="534"/>
      <c r="F5500" s="534"/>
    </row>
    <row r="5501" spans="1:6" ht="15" customHeight="1">
      <c r="A5501" s="51"/>
      <c r="B5501" s="52" t="str">
        <f t="shared" si="288"/>
        <v/>
      </c>
      <c r="C5501" t="str">
        <f t="shared" si="287"/>
        <v/>
      </c>
      <c r="D5501" s="245" t="str">
        <f t="shared" si="289"/>
        <v/>
      </c>
      <c r="E5501" s="534"/>
      <c r="F5501" s="534"/>
    </row>
    <row r="5502" spans="1:6" ht="15" customHeight="1">
      <c r="A5502" s="51"/>
      <c r="B5502" s="52" t="str">
        <f t="shared" si="288"/>
        <v/>
      </c>
      <c r="C5502" t="str">
        <f t="shared" si="287"/>
        <v/>
      </c>
      <c r="D5502" s="245" t="str">
        <f t="shared" si="289"/>
        <v/>
      </c>
      <c r="E5502" s="534"/>
      <c r="F5502" s="534"/>
    </row>
    <row r="5503" spans="1:6" ht="15" customHeight="1">
      <c r="A5503" s="51"/>
      <c r="B5503" s="52" t="str">
        <f t="shared" si="288"/>
        <v/>
      </c>
      <c r="C5503" t="str">
        <f t="shared" si="287"/>
        <v/>
      </c>
      <c r="D5503" s="245" t="str">
        <f t="shared" si="289"/>
        <v/>
      </c>
      <c r="E5503" s="534"/>
      <c r="F5503" s="534"/>
    </row>
    <row r="5504" spans="1:6" ht="15" customHeight="1">
      <c r="A5504" s="51"/>
      <c r="B5504" s="52" t="str">
        <f t="shared" si="288"/>
        <v/>
      </c>
      <c r="C5504" t="str">
        <f t="shared" si="287"/>
        <v/>
      </c>
      <c r="D5504" s="245" t="str">
        <f t="shared" si="289"/>
        <v/>
      </c>
      <c r="E5504" s="534"/>
      <c r="F5504" s="534"/>
    </row>
    <row r="5505" spans="1:6" ht="15" customHeight="1">
      <c r="A5505" s="51"/>
      <c r="B5505" s="52" t="str">
        <f t="shared" si="288"/>
        <v/>
      </c>
      <c r="C5505" t="str">
        <f t="shared" si="287"/>
        <v/>
      </c>
      <c r="D5505" s="245" t="str">
        <f t="shared" si="289"/>
        <v/>
      </c>
      <c r="E5505" s="534"/>
      <c r="F5505" s="534"/>
    </row>
    <row r="5506" spans="1:6" ht="15" customHeight="1">
      <c r="A5506" s="51"/>
      <c r="B5506" s="52" t="str">
        <f t="shared" si="288"/>
        <v/>
      </c>
      <c r="C5506" t="str">
        <f t="shared" ref="C5506:C5569" si="290">IF(A5506&lt;&gt;"",TEXT(A5506,"aaaa"),"")</f>
        <v/>
      </c>
      <c r="D5506" s="245" t="str">
        <f t="shared" si="289"/>
        <v/>
      </c>
      <c r="E5506" s="534"/>
      <c r="F5506" s="534"/>
    </row>
    <row r="5507" spans="1:6" ht="15" customHeight="1">
      <c r="A5507" s="51"/>
      <c r="B5507" s="52" t="str">
        <f t="shared" si="288"/>
        <v/>
      </c>
      <c r="C5507" t="str">
        <f t="shared" si="290"/>
        <v/>
      </c>
      <c r="D5507" s="245" t="str">
        <f t="shared" si="289"/>
        <v/>
      </c>
      <c r="E5507" s="534"/>
      <c r="F5507" s="534"/>
    </row>
    <row r="5508" spans="1:6" ht="15" customHeight="1">
      <c r="A5508" s="51"/>
      <c r="B5508" s="52" t="str">
        <f t="shared" si="288"/>
        <v/>
      </c>
      <c r="C5508" t="str">
        <f t="shared" si="290"/>
        <v/>
      </c>
      <c r="D5508" s="245" t="str">
        <f t="shared" si="289"/>
        <v/>
      </c>
      <c r="E5508" s="534"/>
      <c r="F5508" s="534"/>
    </row>
    <row r="5509" spans="1:6" ht="15" customHeight="1">
      <c r="A5509" s="51"/>
      <c r="B5509" s="52" t="str">
        <f t="shared" si="288"/>
        <v/>
      </c>
      <c r="C5509" t="str">
        <f t="shared" si="290"/>
        <v/>
      </c>
      <c r="D5509" s="245" t="str">
        <f t="shared" si="289"/>
        <v/>
      </c>
      <c r="E5509" s="534"/>
      <c r="F5509" s="534"/>
    </row>
    <row r="5510" spans="1:6" ht="15" customHeight="1">
      <c r="A5510" s="51"/>
      <c r="B5510" s="52" t="str">
        <f t="shared" si="288"/>
        <v/>
      </c>
      <c r="C5510" t="str">
        <f t="shared" si="290"/>
        <v/>
      </c>
      <c r="D5510" s="245" t="str">
        <f t="shared" si="289"/>
        <v/>
      </c>
      <c r="E5510" s="534"/>
      <c r="F5510" s="534"/>
    </row>
    <row r="5511" spans="1:6" ht="15" customHeight="1">
      <c r="A5511" s="51"/>
      <c r="B5511" s="52" t="str">
        <f t="shared" si="288"/>
        <v/>
      </c>
      <c r="C5511" t="str">
        <f t="shared" si="290"/>
        <v/>
      </c>
      <c r="D5511" s="245" t="str">
        <f t="shared" si="289"/>
        <v/>
      </c>
      <c r="E5511" s="534"/>
      <c r="F5511" s="534"/>
    </row>
    <row r="5512" spans="1:6" ht="15" customHeight="1">
      <c r="A5512" s="51"/>
      <c r="B5512" s="52" t="str">
        <f t="shared" ref="B5512:B5575" si="291">IF(A5512="","",TEXT(A5512,"DDDD"))</f>
        <v/>
      </c>
      <c r="C5512" t="str">
        <f t="shared" si="290"/>
        <v/>
      </c>
      <c r="D5512" s="245" t="str">
        <f t="shared" si="289"/>
        <v/>
      </c>
      <c r="E5512" s="534"/>
      <c r="F5512" s="534"/>
    </row>
    <row r="5513" spans="1:6" ht="15" customHeight="1">
      <c r="A5513" s="51"/>
      <c r="B5513" s="52" t="str">
        <f t="shared" si="291"/>
        <v/>
      </c>
      <c r="C5513" t="str">
        <f t="shared" si="290"/>
        <v/>
      </c>
      <c r="D5513" s="245" t="str">
        <f t="shared" ref="D5513:D5576" si="292">IF(A5513&lt;&gt;"",PROPER(TEXT(A5513,"Mmmm")),"")</f>
        <v/>
      </c>
      <c r="E5513" s="534"/>
      <c r="F5513" s="534"/>
    </row>
    <row r="5514" spans="1:6" ht="15" customHeight="1">
      <c r="A5514" s="51"/>
      <c r="B5514" s="52" t="str">
        <f t="shared" si="291"/>
        <v/>
      </c>
      <c r="C5514" t="str">
        <f t="shared" si="290"/>
        <v/>
      </c>
      <c r="D5514" s="245" t="str">
        <f t="shared" si="292"/>
        <v/>
      </c>
      <c r="E5514" s="534"/>
      <c r="F5514" s="534"/>
    </row>
    <row r="5515" spans="1:6" ht="15" customHeight="1">
      <c r="A5515" s="51"/>
      <c r="B5515" s="52" t="str">
        <f t="shared" si="291"/>
        <v/>
      </c>
      <c r="C5515" t="str">
        <f t="shared" si="290"/>
        <v/>
      </c>
      <c r="D5515" s="245" t="str">
        <f t="shared" si="292"/>
        <v/>
      </c>
      <c r="E5515" s="534"/>
      <c r="F5515" s="534"/>
    </row>
    <row r="5516" spans="1:6" ht="15" customHeight="1">
      <c r="A5516" s="51"/>
      <c r="B5516" s="52" t="str">
        <f t="shared" si="291"/>
        <v/>
      </c>
      <c r="C5516" t="str">
        <f t="shared" si="290"/>
        <v/>
      </c>
      <c r="D5516" s="245" t="str">
        <f t="shared" si="292"/>
        <v/>
      </c>
      <c r="E5516" s="534"/>
      <c r="F5516" s="534"/>
    </row>
    <row r="5517" spans="1:6" ht="15" customHeight="1">
      <c r="A5517" s="51"/>
      <c r="B5517" s="52" t="str">
        <f t="shared" si="291"/>
        <v/>
      </c>
      <c r="C5517" t="str">
        <f t="shared" si="290"/>
        <v/>
      </c>
      <c r="D5517" s="245" t="str">
        <f t="shared" si="292"/>
        <v/>
      </c>
      <c r="E5517" s="534"/>
      <c r="F5517" s="534"/>
    </row>
    <row r="5518" spans="1:6" ht="15" customHeight="1">
      <c r="A5518" s="51"/>
      <c r="B5518" s="52" t="str">
        <f t="shared" si="291"/>
        <v/>
      </c>
      <c r="C5518" t="str">
        <f t="shared" si="290"/>
        <v/>
      </c>
      <c r="D5518" s="245" t="str">
        <f t="shared" si="292"/>
        <v/>
      </c>
      <c r="E5518" s="534"/>
      <c r="F5518" s="534"/>
    </row>
    <row r="5519" spans="1:6" ht="15" customHeight="1">
      <c r="A5519" s="51"/>
      <c r="B5519" s="52" t="str">
        <f t="shared" si="291"/>
        <v/>
      </c>
      <c r="C5519" t="str">
        <f t="shared" si="290"/>
        <v/>
      </c>
      <c r="D5519" s="245" t="str">
        <f t="shared" si="292"/>
        <v/>
      </c>
      <c r="E5519" s="534"/>
      <c r="F5519" s="534"/>
    </row>
    <row r="5520" spans="1:6" ht="15" customHeight="1">
      <c r="A5520" s="51"/>
      <c r="B5520" s="52" t="str">
        <f t="shared" si="291"/>
        <v/>
      </c>
      <c r="C5520" t="str">
        <f t="shared" si="290"/>
        <v/>
      </c>
      <c r="D5520" s="245" t="str">
        <f t="shared" si="292"/>
        <v/>
      </c>
      <c r="E5520" s="534"/>
      <c r="F5520" s="534"/>
    </row>
    <row r="5521" spans="1:6" ht="15" customHeight="1">
      <c r="A5521" s="51"/>
      <c r="B5521" s="52" t="str">
        <f t="shared" si="291"/>
        <v/>
      </c>
      <c r="C5521" t="str">
        <f t="shared" si="290"/>
        <v/>
      </c>
      <c r="D5521" s="245" t="str">
        <f t="shared" si="292"/>
        <v/>
      </c>
      <c r="E5521" s="534"/>
      <c r="F5521" s="534"/>
    </row>
    <row r="5522" spans="1:6" ht="15" customHeight="1">
      <c r="A5522" s="51"/>
      <c r="B5522" s="52" t="str">
        <f t="shared" si="291"/>
        <v/>
      </c>
      <c r="C5522" t="str">
        <f t="shared" si="290"/>
        <v/>
      </c>
      <c r="D5522" s="245" t="str">
        <f t="shared" si="292"/>
        <v/>
      </c>
      <c r="E5522" s="534"/>
      <c r="F5522" s="534"/>
    </row>
    <row r="5523" spans="1:6" ht="15" customHeight="1">
      <c r="A5523" s="51"/>
      <c r="B5523" s="52" t="str">
        <f t="shared" si="291"/>
        <v/>
      </c>
      <c r="C5523" t="str">
        <f t="shared" si="290"/>
        <v/>
      </c>
      <c r="D5523" s="245" t="str">
        <f t="shared" si="292"/>
        <v/>
      </c>
      <c r="E5523" s="534"/>
      <c r="F5523" s="534"/>
    </row>
    <row r="5524" spans="1:6" ht="15" customHeight="1">
      <c r="A5524" s="51"/>
      <c r="B5524" s="52" t="str">
        <f t="shared" si="291"/>
        <v/>
      </c>
      <c r="C5524" t="str">
        <f t="shared" si="290"/>
        <v/>
      </c>
      <c r="D5524" s="245" t="str">
        <f t="shared" si="292"/>
        <v/>
      </c>
      <c r="E5524" s="534"/>
      <c r="F5524" s="534"/>
    </row>
    <row r="5525" spans="1:6" ht="15" customHeight="1">
      <c r="A5525" s="51"/>
      <c r="B5525" s="52" t="str">
        <f t="shared" si="291"/>
        <v/>
      </c>
      <c r="C5525" t="str">
        <f t="shared" si="290"/>
        <v/>
      </c>
      <c r="D5525" s="245" t="str">
        <f t="shared" si="292"/>
        <v/>
      </c>
      <c r="E5525" s="534"/>
      <c r="F5525" s="534"/>
    </row>
    <row r="5526" spans="1:6" ht="15" customHeight="1">
      <c r="A5526" s="51"/>
      <c r="B5526" s="52" t="str">
        <f t="shared" si="291"/>
        <v/>
      </c>
      <c r="C5526" t="str">
        <f t="shared" si="290"/>
        <v/>
      </c>
      <c r="D5526" s="245" t="str">
        <f t="shared" si="292"/>
        <v/>
      </c>
      <c r="E5526" s="534"/>
      <c r="F5526" s="534"/>
    </row>
    <row r="5527" spans="1:6" ht="15" customHeight="1">
      <c r="A5527" s="51"/>
      <c r="B5527" s="52" t="str">
        <f t="shared" si="291"/>
        <v/>
      </c>
      <c r="C5527" t="str">
        <f t="shared" si="290"/>
        <v/>
      </c>
      <c r="D5527" s="245" t="str">
        <f t="shared" si="292"/>
        <v/>
      </c>
      <c r="E5527" s="534"/>
      <c r="F5527" s="534"/>
    </row>
    <row r="5528" spans="1:6" ht="15" customHeight="1">
      <c r="A5528" s="51"/>
      <c r="B5528" s="52" t="str">
        <f t="shared" si="291"/>
        <v/>
      </c>
      <c r="C5528" t="str">
        <f t="shared" si="290"/>
        <v/>
      </c>
      <c r="D5528" s="245" t="str">
        <f t="shared" si="292"/>
        <v/>
      </c>
      <c r="E5528" s="534"/>
      <c r="F5528" s="534"/>
    </row>
    <row r="5529" spans="1:6" ht="15" customHeight="1">
      <c r="A5529" s="51"/>
      <c r="B5529" s="52" t="str">
        <f t="shared" si="291"/>
        <v/>
      </c>
      <c r="C5529" t="str">
        <f t="shared" si="290"/>
        <v/>
      </c>
      <c r="D5529" s="245" t="str">
        <f t="shared" si="292"/>
        <v/>
      </c>
      <c r="E5529" s="534"/>
      <c r="F5529" s="534"/>
    </row>
    <row r="5530" spans="1:6" ht="15" customHeight="1">
      <c r="A5530" s="51"/>
      <c r="B5530" s="52" t="str">
        <f t="shared" si="291"/>
        <v/>
      </c>
      <c r="C5530" t="str">
        <f t="shared" si="290"/>
        <v/>
      </c>
      <c r="D5530" s="245" t="str">
        <f t="shared" si="292"/>
        <v/>
      </c>
      <c r="E5530" s="534"/>
      <c r="F5530" s="534"/>
    </row>
    <row r="5531" spans="1:6" ht="15" customHeight="1">
      <c r="A5531" s="51"/>
      <c r="B5531" s="52" t="str">
        <f t="shared" si="291"/>
        <v/>
      </c>
      <c r="C5531" t="str">
        <f t="shared" si="290"/>
        <v/>
      </c>
      <c r="D5531" s="245" t="str">
        <f t="shared" si="292"/>
        <v/>
      </c>
      <c r="E5531" s="534"/>
      <c r="F5531" s="534"/>
    </row>
    <row r="5532" spans="1:6" ht="15" customHeight="1">
      <c r="A5532" s="51"/>
      <c r="B5532" s="52" t="str">
        <f t="shared" si="291"/>
        <v/>
      </c>
      <c r="C5532" t="str">
        <f t="shared" si="290"/>
        <v/>
      </c>
      <c r="D5532" s="245" t="str">
        <f t="shared" si="292"/>
        <v/>
      </c>
      <c r="E5532" s="534"/>
      <c r="F5532" s="534"/>
    </row>
    <row r="5533" spans="1:6" ht="15" customHeight="1">
      <c r="A5533" s="51"/>
      <c r="B5533" s="52" t="str">
        <f t="shared" si="291"/>
        <v/>
      </c>
      <c r="C5533" t="str">
        <f t="shared" si="290"/>
        <v/>
      </c>
      <c r="D5533" s="245" t="str">
        <f t="shared" si="292"/>
        <v/>
      </c>
      <c r="E5533" s="534"/>
      <c r="F5533" s="534"/>
    </row>
    <row r="5534" spans="1:6" ht="15" customHeight="1">
      <c r="A5534" s="51"/>
      <c r="B5534" s="52" t="str">
        <f t="shared" si="291"/>
        <v/>
      </c>
      <c r="C5534" t="str">
        <f t="shared" si="290"/>
        <v/>
      </c>
      <c r="D5534" s="245" t="str">
        <f t="shared" si="292"/>
        <v/>
      </c>
      <c r="E5534" s="534"/>
      <c r="F5534" s="534"/>
    </row>
    <row r="5535" spans="1:6" ht="15" customHeight="1">
      <c r="A5535" s="51"/>
      <c r="B5535" s="52" t="str">
        <f t="shared" si="291"/>
        <v/>
      </c>
      <c r="C5535" t="str">
        <f t="shared" si="290"/>
        <v/>
      </c>
      <c r="D5535" s="245" t="str">
        <f t="shared" si="292"/>
        <v/>
      </c>
      <c r="E5535" s="534"/>
      <c r="F5535" s="534"/>
    </row>
    <row r="5536" spans="1:6" ht="15" customHeight="1">
      <c r="A5536" s="51"/>
      <c r="B5536" s="52" t="str">
        <f t="shared" si="291"/>
        <v/>
      </c>
      <c r="C5536" t="str">
        <f t="shared" si="290"/>
        <v/>
      </c>
      <c r="D5536" s="245" t="str">
        <f t="shared" si="292"/>
        <v/>
      </c>
      <c r="E5536" s="534"/>
      <c r="F5536" s="534"/>
    </row>
    <row r="5537" spans="1:6" ht="15" customHeight="1">
      <c r="A5537" s="51"/>
      <c r="B5537" s="52" t="str">
        <f t="shared" si="291"/>
        <v/>
      </c>
      <c r="C5537" t="str">
        <f t="shared" si="290"/>
        <v/>
      </c>
      <c r="D5537" s="245" t="str">
        <f t="shared" si="292"/>
        <v/>
      </c>
      <c r="E5537" s="534"/>
      <c r="F5537" s="534"/>
    </row>
    <row r="5538" spans="1:6" ht="15" customHeight="1">
      <c r="A5538" s="51"/>
      <c r="B5538" s="52" t="str">
        <f t="shared" si="291"/>
        <v/>
      </c>
      <c r="C5538" t="str">
        <f t="shared" si="290"/>
        <v/>
      </c>
      <c r="D5538" s="245" t="str">
        <f t="shared" si="292"/>
        <v/>
      </c>
      <c r="E5538" s="534"/>
      <c r="F5538" s="534"/>
    </row>
    <row r="5539" spans="1:6" ht="15" customHeight="1">
      <c r="A5539" s="51"/>
      <c r="B5539" s="52" t="str">
        <f t="shared" si="291"/>
        <v/>
      </c>
      <c r="C5539" t="str">
        <f t="shared" si="290"/>
        <v/>
      </c>
      <c r="D5539" s="245" t="str">
        <f t="shared" si="292"/>
        <v/>
      </c>
      <c r="E5539" s="534"/>
      <c r="F5539" s="534"/>
    </row>
    <row r="5540" spans="1:6" ht="15" customHeight="1">
      <c r="A5540" s="51"/>
      <c r="B5540" s="52" t="str">
        <f t="shared" si="291"/>
        <v/>
      </c>
      <c r="C5540" t="str">
        <f t="shared" si="290"/>
        <v/>
      </c>
      <c r="D5540" s="245" t="str">
        <f t="shared" si="292"/>
        <v/>
      </c>
      <c r="E5540" s="534"/>
      <c r="F5540" s="534"/>
    </row>
    <row r="5541" spans="1:6" ht="15" customHeight="1">
      <c r="A5541" s="51"/>
      <c r="B5541" s="52" t="str">
        <f t="shared" si="291"/>
        <v/>
      </c>
      <c r="C5541" t="str">
        <f t="shared" si="290"/>
        <v/>
      </c>
      <c r="D5541" s="245" t="str">
        <f t="shared" si="292"/>
        <v/>
      </c>
      <c r="E5541" s="534"/>
      <c r="F5541" s="534"/>
    </row>
    <row r="5542" spans="1:6" ht="15" customHeight="1">
      <c r="A5542" s="51"/>
      <c r="B5542" s="52" t="str">
        <f t="shared" si="291"/>
        <v/>
      </c>
      <c r="C5542" t="str">
        <f t="shared" si="290"/>
        <v/>
      </c>
      <c r="D5542" s="245" t="str">
        <f t="shared" si="292"/>
        <v/>
      </c>
      <c r="E5542" s="534"/>
      <c r="F5542" s="534"/>
    </row>
    <row r="5543" spans="1:6" ht="15" customHeight="1">
      <c r="A5543" s="51"/>
      <c r="B5543" s="52" t="str">
        <f t="shared" si="291"/>
        <v/>
      </c>
      <c r="C5543" t="str">
        <f t="shared" si="290"/>
        <v/>
      </c>
      <c r="D5543" s="245" t="str">
        <f t="shared" si="292"/>
        <v/>
      </c>
      <c r="E5543" s="534"/>
      <c r="F5543" s="534"/>
    </row>
    <row r="5544" spans="1:6" ht="15" customHeight="1">
      <c r="A5544" s="51"/>
      <c r="B5544" s="52" t="str">
        <f t="shared" si="291"/>
        <v/>
      </c>
      <c r="C5544" t="str">
        <f t="shared" si="290"/>
        <v/>
      </c>
      <c r="D5544" s="245" t="str">
        <f t="shared" si="292"/>
        <v/>
      </c>
      <c r="E5544" s="534"/>
      <c r="F5544" s="534"/>
    </row>
    <row r="5545" spans="1:6" ht="15" customHeight="1">
      <c r="A5545" s="51"/>
      <c r="B5545" s="52" t="str">
        <f t="shared" si="291"/>
        <v/>
      </c>
      <c r="C5545" t="str">
        <f t="shared" si="290"/>
        <v/>
      </c>
      <c r="D5545" s="245" t="str">
        <f t="shared" si="292"/>
        <v/>
      </c>
      <c r="E5545" s="534"/>
      <c r="F5545" s="534"/>
    </row>
    <row r="5546" spans="1:6" ht="15" customHeight="1">
      <c r="A5546" s="51"/>
      <c r="B5546" s="52" t="str">
        <f t="shared" si="291"/>
        <v/>
      </c>
      <c r="C5546" t="str">
        <f t="shared" si="290"/>
        <v/>
      </c>
      <c r="D5546" s="245" t="str">
        <f t="shared" si="292"/>
        <v/>
      </c>
      <c r="E5546" s="534"/>
      <c r="F5546" s="534"/>
    </row>
    <row r="5547" spans="1:6" ht="15" customHeight="1">
      <c r="A5547" s="51"/>
      <c r="B5547" s="52" t="str">
        <f t="shared" si="291"/>
        <v/>
      </c>
      <c r="C5547" t="str">
        <f t="shared" si="290"/>
        <v/>
      </c>
      <c r="D5547" s="245" t="str">
        <f t="shared" si="292"/>
        <v/>
      </c>
      <c r="E5547" s="534"/>
      <c r="F5547" s="534"/>
    </row>
    <row r="5548" spans="1:6" ht="15" customHeight="1">
      <c r="A5548" s="51"/>
      <c r="B5548" s="52" t="str">
        <f t="shared" si="291"/>
        <v/>
      </c>
      <c r="C5548" t="str">
        <f t="shared" si="290"/>
        <v/>
      </c>
      <c r="D5548" s="245" t="str">
        <f t="shared" si="292"/>
        <v/>
      </c>
      <c r="E5548" s="534"/>
      <c r="F5548" s="534"/>
    </row>
    <row r="5549" spans="1:6" ht="15" customHeight="1">
      <c r="A5549" s="51"/>
      <c r="B5549" s="52" t="str">
        <f t="shared" si="291"/>
        <v/>
      </c>
      <c r="C5549" t="str">
        <f t="shared" si="290"/>
        <v/>
      </c>
      <c r="D5549" s="245" t="str">
        <f t="shared" si="292"/>
        <v/>
      </c>
      <c r="E5549" s="534"/>
      <c r="F5549" s="534"/>
    </row>
    <row r="5550" spans="1:6" ht="15" customHeight="1">
      <c r="A5550" s="51"/>
      <c r="B5550" s="52" t="str">
        <f t="shared" si="291"/>
        <v/>
      </c>
      <c r="C5550" t="str">
        <f t="shared" si="290"/>
        <v/>
      </c>
      <c r="D5550" s="245" t="str">
        <f t="shared" si="292"/>
        <v/>
      </c>
      <c r="E5550" s="534"/>
      <c r="F5550" s="534"/>
    </row>
    <row r="5551" spans="1:6" ht="15" customHeight="1">
      <c r="A5551" s="51"/>
      <c r="B5551" s="52" t="str">
        <f t="shared" si="291"/>
        <v/>
      </c>
      <c r="C5551" t="str">
        <f t="shared" si="290"/>
        <v/>
      </c>
      <c r="D5551" s="245" t="str">
        <f t="shared" si="292"/>
        <v/>
      </c>
      <c r="E5551" s="534"/>
      <c r="F5551" s="534"/>
    </row>
    <row r="5552" spans="1:6" ht="15" customHeight="1">
      <c r="A5552" s="51"/>
      <c r="B5552" s="52" t="str">
        <f t="shared" si="291"/>
        <v/>
      </c>
      <c r="C5552" t="str">
        <f t="shared" si="290"/>
        <v/>
      </c>
      <c r="D5552" s="245" t="str">
        <f t="shared" si="292"/>
        <v/>
      </c>
      <c r="E5552" s="534"/>
      <c r="F5552" s="534"/>
    </row>
    <row r="5553" spans="1:6" ht="15" customHeight="1">
      <c r="A5553" s="51"/>
      <c r="B5553" s="52" t="str">
        <f t="shared" si="291"/>
        <v/>
      </c>
      <c r="C5553" t="str">
        <f t="shared" si="290"/>
        <v/>
      </c>
      <c r="D5553" s="245" t="str">
        <f t="shared" si="292"/>
        <v/>
      </c>
      <c r="E5553" s="534"/>
      <c r="F5553" s="534"/>
    </row>
    <row r="5554" spans="1:6" ht="15" customHeight="1">
      <c r="A5554" s="51"/>
      <c r="B5554" s="52" t="str">
        <f t="shared" si="291"/>
        <v/>
      </c>
      <c r="C5554" t="str">
        <f t="shared" si="290"/>
        <v/>
      </c>
      <c r="D5554" s="245" t="str">
        <f t="shared" si="292"/>
        <v/>
      </c>
      <c r="E5554" s="534"/>
      <c r="F5554" s="534"/>
    </row>
    <row r="5555" spans="1:6" ht="15" customHeight="1">
      <c r="A5555" s="51"/>
      <c r="B5555" s="52" t="str">
        <f t="shared" si="291"/>
        <v/>
      </c>
      <c r="C5555" t="str">
        <f t="shared" si="290"/>
        <v/>
      </c>
      <c r="D5555" s="245" t="str">
        <f t="shared" si="292"/>
        <v/>
      </c>
      <c r="E5555" s="534"/>
      <c r="F5555" s="534"/>
    </row>
    <row r="5556" spans="1:6" ht="15" customHeight="1">
      <c r="A5556" s="51"/>
      <c r="B5556" s="52" t="str">
        <f t="shared" si="291"/>
        <v/>
      </c>
      <c r="C5556" t="str">
        <f t="shared" si="290"/>
        <v/>
      </c>
      <c r="D5556" s="245" t="str">
        <f t="shared" si="292"/>
        <v/>
      </c>
      <c r="E5556" s="534"/>
      <c r="F5556" s="534"/>
    </row>
    <row r="5557" spans="1:6" ht="15" customHeight="1">
      <c r="A5557" s="51"/>
      <c r="B5557" s="52" t="str">
        <f t="shared" si="291"/>
        <v/>
      </c>
      <c r="C5557" t="str">
        <f t="shared" si="290"/>
        <v/>
      </c>
      <c r="D5557" s="245" t="str">
        <f t="shared" si="292"/>
        <v/>
      </c>
      <c r="E5557" s="534"/>
      <c r="F5557" s="534"/>
    </row>
    <row r="5558" spans="1:6" ht="15" customHeight="1">
      <c r="A5558" s="51"/>
      <c r="B5558" s="52" t="str">
        <f t="shared" si="291"/>
        <v/>
      </c>
      <c r="C5558" t="str">
        <f t="shared" si="290"/>
        <v/>
      </c>
      <c r="D5558" s="245" t="str">
        <f t="shared" si="292"/>
        <v/>
      </c>
      <c r="E5558" s="534"/>
      <c r="F5558" s="534"/>
    </row>
    <row r="5559" spans="1:6" ht="15" customHeight="1">
      <c r="A5559" s="51"/>
      <c r="B5559" s="52" t="str">
        <f t="shared" si="291"/>
        <v/>
      </c>
      <c r="C5559" t="str">
        <f t="shared" si="290"/>
        <v/>
      </c>
      <c r="D5559" s="245" t="str">
        <f t="shared" si="292"/>
        <v/>
      </c>
      <c r="E5559" s="534"/>
      <c r="F5559" s="534"/>
    </row>
    <row r="5560" spans="1:6" ht="15" customHeight="1">
      <c r="A5560" s="51"/>
      <c r="B5560" s="52" t="str">
        <f t="shared" si="291"/>
        <v/>
      </c>
      <c r="C5560" t="str">
        <f t="shared" si="290"/>
        <v/>
      </c>
      <c r="D5560" s="245" t="str">
        <f t="shared" si="292"/>
        <v/>
      </c>
      <c r="E5560" s="534"/>
      <c r="F5560" s="534"/>
    </row>
    <row r="5561" spans="1:6" ht="15" customHeight="1">
      <c r="A5561" s="51"/>
      <c r="B5561" s="52" t="str">
        <f t="shared" si="291"/>
        <v/>
      </c>
      <c r="C5561" t="str">
        <f t="shared" si="290"/>
        <v/>
      </c>
      <c r="D5561" s="245" t="str">
        <f t="shared" si="292"/>
        <v/>
      </c>
      <c r="E5561" s="534"/>
      <c r="F5561" s="534"/>
    </row>
    <row r="5562" spans="1:6" ht="15" customHeight="1">
      <c r="A5562" s="51"/>
      <c r="B5562" s="52" t="str">
        <f t="shared" si="291"/>
        <v/>
      </c>
      <c r="C5562" t="str">
        <f t="shared" si="290"/>
        <v/>
      </c>
      <c r="D5562" s="245" t="str">
        <f t="shared" si="292"/>
        <v/>
      </c>
      <c r="E5562" s="534"/>
      <c r="F5562" s="534"/>
    </row>
    <row r="5563" spans="1:6" ht="15" customHeight="1">
      <c r="A5563" s="51"/>
      <c r="B5563" s="52" t="str">
        <f t="shared" si="291"/>
        <v/>
      </c>
      <c r="C5563" t="str">
        <f t="shared" si="290"/>
        <v/>
      </c>
      <c r="D5563" s="245" t="str">
        <f t="shared" si="292"/>
        <v/>
      </c>
      <c r="E5563" s="534"/>
      <c r="F5563" s="534"/>
    </row>
    <row r="5564" spans="1:6" ht="15" customHeight="1">
      <c r="A5564" s="51"/>
      <c r="B5564" s="52" t="str">
        <f t="shared" si="291"/>
        <v/>
      </c>
      <c r="C5564" t="str">
        <f t="shared" si="290"/>
        <v/>
      </c>
      <c r="D5564" s="245" t="str">
        <f t="shared" si="292"/>
        <v/>
      </c>
      <c r="E5564" s="534"/>
      <c r="F5564" s="534"/>
    </row>
    <row r="5565" spans="1:6" ht="15" customHeight="1">
      <c r="A5565" s="51"/>
      <c r="B5565" s="52" t="str">
        <f t="shared" si="291"/>
        <v/>
      </c>
      <c r="C5565" t="str">
        <f t="shared" si="290"/>
        <v/>
      </c>
      <c r="D5565" s="245" t="str">
        <f t="shared" si="292"/>
        <v/>
      </c>
      <c r="E5565" s="534"/>
      <c r="F5565" s="534"/>
    </row>
    <row r="5566" spans="1:6" ht="15" customHeight="1">
      <c r="A5566" s="51"/>
      <c r="B5566" s="52" t="str">
        <f t="shared" si="291"/>
        <v/>
      </c>
      <c r="C5566" t="str">
        <f t="shared" si="290"/>
        <v/>
      </c>
      <c r="D5566" s="245" t="str">
        <f t="shared" si="292"/>
        <v/>
      </c>
      <c r="E5566" s="534"/>
      <c r="F5566" s="534"/>
    </row>
    <row r="5567" spans="1:6" ht="15" customHeight="1">
      <c r="A5567" s="51"/>
      <c r="B5567" s="52" t="str">
        <f t="shared" si="291"/>
        <v/>
      </c>
      <c r="C5567" t="str">
        <f t="shared" si="290"/>
        <v/>
      </c>
      <c r="D5567" s="245" t="str">
        <f t="shared" si="292"/>
        <v/>
      </c>
      <c r="E5567" s="534"/>
      <c r="F5567" s="534"/>
    </row>
    <row r="5568" spans="1:6" ht="15" customHeight="1">
      <c r="A5568" s="51"/>
      <c r="B5568" s="52" t="str">
        <f t="shared" si="291"/>
        <v/>
      </c>
      <c r="C5568" t="str">
        <f t="shared" si="290"/>
        <v/>
      </c>
      <c r="D5568" s="245" t="str">
        <f t="shared" si="292"/>
        <v/>
      </c>
      <c r="E5568" s="534"/>
      <c r="F5568" s="534"/>
    </row>
    <row r="5569" spans="1:6" ht="15" customHeight="1">
      <c r="A5569" s="51"/>
      <c r="B5569" s="52" t="str">
        <f t="shared" si="291"/>
        <v/>
      </c>
      <c r="C5569" t="str">
        <f t="shared" si="290"/>
        <v/>
      </c>
      <c r="D5569" s="245" t="str">
        <f t="shared" si="292"/>
        <v/>
      </c>
      <c r="E5569" s="534"/>
      <c r="F5569" s="534"/>
    </row>
    <row r="5570" spans="1:6" ht="15" customHeight="1">
      <c r="A5570" s="51"/>
      <c r="B5570" s="52" t="str">
        <f t="shared" si="291"/>
        <v/>
      </c>
      <c r="C5570" t="str">
        <f t="shared" ref="C5570:C5633" si="293">IF(A5570&lt;&gt;"",TEXT(A5570,"aaaa"),"")</f>
        <v/>
      </c>
      <c r="D5570" s="245" t="str">
        <f t="shared" si="292"/>
        <v/>
      </c>
      <c r="E5570" s="534"/>
      <c r="F5570" s="534"/>
    </row>
    <row r="5571" spans="1:6" ht="15" customHeight="1">
      <c r="A5571" s="51"/>
      <c r="B5571" s="52" t="str">
        <f t="shared" si="291"/>
        <v/>
      </c>
      <c r="C5571" t="str">
        <f t="shared" si="293"/>
        <v/>
      </c>
      <c r="D5571" s="245" t="str">
        <f t="shared" si="292"/>
        <v/>
      </c>
      <c r="E5571" s="534"/>
      <c r="F5571" s="534"/>
    </row>
    <row r="5572" spans="1:6" ht="15" customHeight="1">
      <c r="A5572" s="51"/>
      <c r="B5572" s="52" t="str">
        <f t="shared" si="291"/>
        <v/>
      </c>
      <c r="C5572" t="str">
        <f t="shared" si="293"/>
        <v/>
      </c>
      <c r="D5572" s="245" t="str">
        <f t="shared" si="292"/>
        <v/>
      </c>
      <c r="E5572" s="534"/>
      <c r="F5572" s="534"/>
    </row>
    <row r="5573" spans="1:6" ht="15" customHeight="1">
      <c r="A5573" s="51"/>
      <c r="B5573" s="52" t="str">
        <f t="shared" si="291"/>
        <v/>
      </c>
      <c r="C5573" t="str">
        <f t="shared" si="293"/>
        <v/>
      </c>
      <c r="D5573" s="245" t="str">
        <f t="shared" si="292"/>
        <v/>
      </c>
      <c r="E5573" s="534"/>
      <c r="F5573" s="534"/>
    </row>
    <row r="5574" spans="1:6" ht="15" customHeight="1">
      <c r="A5574" s="51"/>
      <c r="B5574" s="52" t="str">
        <f t="shared" si="291"/>
        <v/>
      </c>
      <c r="C5574" t="str">
        <f t="shared" si="293"/>
        <v/>
      </c>
      <c r="D5574" s="245" t="str">
        <f t="shared" si="292"/>
        <v/>
      </c>
      <c r="E5574" s="534"/>
      <c r="F5574" s="534"/>
    </row>
    <row r="5575" spans="1:6" ht="15" customHeight="1">
      <c r="A5575" s="51"/>
      <c r="B5575" s="52" t="str">
        <f t="shared" si="291"/>
        <v/>
      </c>
      <c r="C5575" t="str">
        <f t="shared" si="293"/>
        <v/>
      </c>
      <c r="D5575" s="245" t="str">
        <f t="shared" si="292"/>
        <v/>
      </c>
      <c r="E5575" s="534"/>
      <c r="F5575" s="534"/>
    </row>
    <row r="5576" spans="1:6" ht="15" customHeight="1">
      <c r="A5576" s="51"/>
      <c r="B5576" s="52" t="str">
        <f t="shared" ref="B5576:B5639" si="294">IF(A5576="","",TEXT(A5576,"DDDD"))</f>
        <v/>
      </c>
      <c r="C5576" t="str">
        <f t="shared" si="293"/>
        <v/>
      </c>
      <c r="D5576" s="245" t="str">
        <f t="shared" si="292"/>
        <v/>
      </c>
      <c r="E5576" s="534"/>
      <c r="F5576" s="534"/>
    </row>
    <row r="5577" spans="1:6" ht="15" customHeight="1">
      <c r="A5577" s="51"/>
      <c r="B5577" s="52" t="str">
        <f t="shared" si="294"/>
        <v/>
      </c>
      <c r="C5577" t="str">
        <f t="shared" si="293"/>
        <v/>
      </c>
      <c r="D5577" s="245" t="str">
        <f t="shared" ref="D5577:D5640" si="295">IF(A5577&lt;&gt;"",PROPER(TEXT(A5577,"Mmmm")),"")</f>
        <v/>
      </c>
      <c r="E5577" s="534"/>
      <c r="F5577" s="534"/>
    </row>
    <row r="5578" spans="1:6" ht="15" customHeight="1">
      <c r="A5578" s="51"/>
      <c r="B5578" s="52" t="str">
        <f t="shared" si="294"/>
        <v/>
      </c>
      <c r="C5578" t="str">
        <f t="shared" si="293"/>
        <v/>
      </c>
      <c r="D5578" s="245" t="str">
        <f t="shared" si="295"/>
        <v/>
      </c>
      <c r="E5578" s="534"/>
      <c r="F5578" s="534"/>
    </row>
    <row r="5579" spans="1:6" ht="15" customHeight="1">
      <c r="A5579" s="51"/>
      <c r="B5579" s="52" t="str">
        <f t="shared" si="294"/>
        <v/>
      </c>
      <c r="C5579" t="str">
        <f t="shared" si="293"/>
        <v/>
      </c>
      <c r="D5579" s="245" t="str">
        <f t="shared" si="295"/>
        <v/>
      </c>
      <c r="E5579" s="534"/>
      <c r="F5579" s="534"/>
    </row>
    <row r="5580" spans="1:6" ht="15" customHeight="1">
      <c r="A5580" s="51"/>
      <c r="B5580" s="52" t="str">
        <f t="shared" si="294"/>
        <v/>
      </c>
      <c r="C5580" t="str">
        <f t="shared" si="293"/>
        <v/>
      </c>
      <c r="D5580" s="245" t="str">
        <f t="shared" si="295"/>
        <v/>
      </c>
      <c r="E5580" s="534"/>
      <c r="F5580" s="534"/>
    </row>
    <row r="5581" spans="1:6" ht="15" customHeight="1">
      <c r="A5581" s="51"/>
      <c r="B5581" s="52" t="str">
        <f t="shared" si="294"/>
        <v/>
      </c>
      <c r="C5581" t="str">
        <f t="shared" si="293"/>
        <v/>
      </c>
      <c r="D5581" s="245" t="str">
        <f t="shared" si="295"/>
        <v/>
      </c>
      <c r="E5581" s="534"/>
      <c r="F5581" s="534"/>
    </row>
    <row r="5582" spans="1:6" ht="15" customHeight="1">
      <c r="A5582" s="51"/>
      <c r="B5582" s="52" t="str">
        <f t="shared" si="294"/>
        <v/>
      </c>
      <c r="C5582" t="str">
        <f t="shared" si="293"/>
        <v/>
      </c>
      <c r="D5582" s="245" t="str">
        <f t="shared" si="295"/>
        <v/>
      </c>
      <c r="E5582" s="534"/>
      <c r="F5582" s="534"/>
    </row>
    <row r="5583" spans="1:6" ht="15" customHeight="1">
      <c r="A5583" s="51"/>
      <c r="B5583" s="52" t="str">
        <f t="shared" si="294"/>
        <v/>
      </c>
      <c r="C5583" t="str">
        <f t="shared" si="293"/>
        <v/>
      </c>
      <c r="D5583" s="245" t="str">
        <f t="shared" si="295"/>
        <v/>
      </c>
      <c r="E5583" s="534"/>
      <c r="F5583" s="534"/>
    </row>
    <row r="5584" spans="1:6" ht="15" customHeight="1">
      <c r="A5584" s="51"/>
      <c r="B5584" s="52" t="str">
        <f t="shared" si="294"/>
        <v/>
      </c>
      <c r="C5584" t="str">
        <f t="shared" si="293"/>
        <v/>
      </c>
      <c r="D5584" s="245" t="str">
        <f t="shared" si="295"/>
        <v/>
      </c>
      <c r="E5584" s="534"/>
      <c r="F5584" s="534"/>
    </row>
    <row r="5585" spans="1:6" ht="15" customHeight="1">
      <c r="A5585" s="51"/>
      <c r="B5585" s="52" t="str">
        <f t="shared" si="294"/>
        <v/>
      </c>
      <c r="C5585" t="str">
        <f t="shared" si="293"/>
        <v/>
      </c>
      <c r="D5585" s="245" t="str">
        <f t="shared" si="295"/>
        <v/>
      </c>
      <c r="E5585" s="534"/>
      <c r="F5585" s="534"/>
    </row>
    <row r="5586" spans="1:6" ht="15" customHeight="1">
      <c r="A5586" s="51"/>
      <c r="B5586" s="52" t="str">
        <f t="shared" si="294"/>
        <v/>
      </c>
      <c r="C5586" t="str">
        <f t="shared" si="293"/>
        <v/>
      </c>
      <c r="D5586" s="245" t="str">
        <f t="shared" si="295"/>
        <v/>
      </c>
      <c r="E5586" s="534"/>
      <c r="F5586" s="534"/>
    </row>
    <row r="5587" spans="1:6" ht="15" customHeight="1">
      <c r="A5587" s="51"/>
      <c r="B5587" s="52" t="str">
        <f t="shared" si="294"/>
        <v/>
      </c>
      <c r="C5587" t="str">
        <f t="shared" si="293"/>
        <v/>
      </c>
      <c r="D5587" s="245" t="str">
        <f t="shared" si="295"/>
        <v/>
      </c>
      <c r="E5587" s="534"/>
      <c r="F5587" s="534"/>
    </row>
    <row r="5588" spans="1:6" ht="15" customHeight="1">
      <c r="A5588" s="51"/>
      <c r="B5588" s="52" t="str">
        <f t="shared" si="294"/>
        <v/>
      </c>
      <c r="C5588" t="str">
        <f t="shared" si="293"/>
        <v/>
      </c>
      <c r="D5588" s="245" t="str">
        <f t="shared" si="295"/>
        <v/>
      </c>
      <c r="E5588" s="534"/>
      <c r="F5588" s="534"/>
    </row>
    <row r="5589" spans="1:6" ht="15" customHeight="1">
      <c r="A5589" s="51"/>
      <c r="B5589" s="52" t="str">
        <f t="shared" si="294"/>
        <v/>
      </c>
      <c r="C5589" t="str">
        <f t="shared" si="293"/>
        <v/>
      </c>
      <c r="D5589" s="245" t="str">
        <f t="shared" si="295"/>
        <v/>
      </c>
      <c r="E5589" s="534"/>
      <c r="F5589" s="534"/>
    </row>
    <row r="5590" spans="1:6" ht="15" customHeight="1">
      <c r="A5590" s="51"/>
      <c r="B5590" s="52" t="str">
        <f t="shared" si="294"/>
        <v/>
      </c>
      <c r="C5590" t="str">
        <f t="shared" si="293"/>
        <v/>
      </c>
      <c r="D5590" s="245" t="str">
        <f t="shared" si="295"/>
        <v/>
      </c>
      <c r="E5590" s="534"/>
      <c r="F5590" s="534"/>
    </row>
    <row r="5591" spans="1:6" ht="15" customHeight="1">
      <c r="A5591" s="51"/>
      <c r="B5591" s="52" t="str">
        <f t="shared" si="294"/>
        <v/>
      </c>
      <c r="C5591" t="str">
        <f t="shared" si="293"/>
        <v/>
      </c>
      <c r="D5591" s="245" t="str">
        <f t="shared" si="295"/>
        <v/>
      </c>
      <c r="E5591" s="534"/>
      <c r="F5591" s="534"/>
    </row>
    <row r="5592" spans="1:6" ht="15" customHeight="1">
      <c r="A5592" s="51"/>
      <c r="B5592" s="52" t="str">
        <f t="shared" si="294"/>
        <v/>
      </c>
      <c r="C5592" t="str">
        <f t="shared" si="293"/>
        <v/>
      </c>
      <c r="D5592" s="245" t="str">
        <f t="shared" si="295"/>
        <v/>
      </c>
      <c r="E5592" s="534"/>
      <c r="F5592" s="534"/>
    </row>
    <row r="5593" spans="1:6" ht="15" customHeight="1">
      <c r="A5593" s="51"/>
      <c r="B5593" s="52" t="str">
        <f t="shared" si="294"/>
        <v/>
      </c>
      <c r="C5593" t="str">
        <f t="shared" si="293"/>
        <v/>
      </c>
      <c r="D5593" s="245" t="str">
        <f t="shared" si="295"/>
        <v/>
      </c>
      <c r="E5593" s="534"/>
      <c r="F5593" s="534"/>
    </row>
    <row r="5594" spans="1:6" ht="15" customHeight="1">
      <c r="A5594" s="51"/>
      <c r="B5594" s="52" t="str">
        <f t="shared" si="294"/>
        <v/>
      </c>
      <c r="C5594" t="str">
        <f t="shared" si="293"/>
        <v/>
      </c>
      <c r="D5594" s="245" t="str">
        <f t="shared" si="295"/>
        <v/>
      </c>
      <c r="E5594" s="534"/>
      <c r="F5594" s="534"/>
    </row>
    <row r="5595" spans="1:6" ht="15" customHeight="1">
      <c r="A5595" s="51"/>
      <c r="B5595" s="52" t="str">
        <f t="shared" si="294"/>
        <v/>
      </c>
      <c r="C5595" t="str">
        <f t="shared" si="293"/>
        <v/>
      </c>
      <c r="D5595" s="245" t="str">
        <f t="shared" si="295"/>
        <v/>
      </c>
      <c r="E5595" s="534"/>
      <c r="F5595" s="534"/>
    </row>
    <row r="5596" spans="1:6" ht="15" customHeight="1">
      <c r="A5596" s="51"/>
      <c r="B5596" s="52" t="str">
        <f t="shared" si="294"/>
        <v/>
      </c>
      <c r="C5596" t="str">
        <f t="shared" si="293"/>
        <v/>
      </c>
      <c r="D5596" s="245" t="str">
        <f t="shared" si="295"/>
        <v/>
      </c>
      <c r="E5596" s="534"/>
      <c r="F5596" s="534"/>
    </row>
    <row r="5597" spans="1:6" ht="15" customHeight="1">
      <c r="A5597" s="51"/>
      <c r="B5597" s="52" t="str">
        <f t="shared" si="294"/>
        <v/>
      </c>
      <c r="C5597" t="str">
        <f t="shared" si="293"/>
        <v/>
      </c>
      <c r="D5597" s="245" t="str">
        <f t="shared" si="295"/>
        <v/>
      </c>
      <c r="E5597" s="534"/>
      <c r="F5597" s="534"/>
    </row>
    <row r="5598" spans="1:6" ht="15" customHeight="1">
      <c r="A5598" s="51"/>
      <c r="B5598" s="52" t="str">
        <f t="shared" si="294"/>
        <v/>
      </c>
      <c r="C5598" t="str">
        <f t="shared" si="293"/>
        <v/>
      </c>
      <c r="D5598" s="245" t="str">
        <f t="shared" si="295"/>
        <v/>
      </c>
      <c r="E5598" s="534"/>
      <c r="F5598" s="534"/>
    </row>
    <row r="5599" spans="1:6" ht="15" customHeight="1">
      <c r="A5599" s="51"/>
      <c r="B5599" s="52" t="str">
        <f t="shared" si="294"/>
        <v/>
      </c>
      <c r="C5599" t="str">
        <f t="shared" si="293"/>
        <v/>
      </c>
      <c r="D5599" s="245" t="str">
        <f t="shared" si="295"/>
        <v/>
      </c>
      <c r="E5599" s="534"/>
      <c r="F5599" s="534"/>
    </row>
    <row r="5600" spans="1:6" ht="15" customHeight="1">
      <c r="A5600" s="51"/>
      <c r="B5600" s="52" t="str">
        <f t="shared" si="294"/>
        <v/>
      </c>
      <c r="C5600" t="str">
        <f t="shared" si="293"/>
        <v/>
      </c>
      <c r="D5600" s="245" t="str">
        <f t="shared" si="295"/>
        <v/>
      </c>
      <c r="E5600" s="534"/>
      <c r="F5600" s="534"/>
    </row>
    <row r="5601" spans="1:6" ht="15" customHeight="1">
      <c r="A5601" s="51"/>
      <c r="B5601" s="52" t="str">
        <f t="shared" si="294"/>
        <v/>
      </c>
      <c r="C5601" t="str">
        <f t="shared" si="293"/>
        <v/>
      </c>
      <c r="D5601" s="245" t="str">
        <f t="shared" si="295"/>
        <v/>
      </c>
      <c r="E5601" s="534"/>
      <c r="F5601" s="534"/>
    </row>
    <row r="5602" spans="1:6" ht="15" customHeight="1">
      <c r="A5602" s="51"/>
      <c r="B5602" s="52" t="str">
        <f t="shared" si="294"/>
        <v/>
      </c>
      <c r="C5602" t="str">
        <f t="shared" si="293"/>
        <v/>
      </c>
      <c r="D5602" s="245" t="str">
        <f t="shared" si="295"/>
        <v/>
      </c>
      <c r="E5602" s="534"/>
      <c r="F5602" s="534"/>
    </row>
    <row r="5603" spans="1:6" ht="15" customHeight="1">
      <c r="A5603" s="51"/>
      <c r="B5603" s="52" t="str">
        <f t="shared" si="294"/>
        <v/>
      </c>
      <c r="C5603" t="str">
        <f t="shared" si="293"/>
        <v/>
      </c>
      <c r="D5603" s="245" t="str">
        <f t="shared" si="295"/>
        <v/>
      </c>
      <c r="E5603" s="534"/>
      <c r="F5603" s="534"/>
    </row>
    <row r="5604" spans="1:6" ht="15" customHeight="1">
      <c r="A5604" s="51"/>
      <c r="B5604" s="52" t="str">
        <f t="shared" si="294"/>
        <v/>
      </c>
      <c r="C5604" t="str">
        <f t="shared" si="293"/>
        <v/>
      </c>
      <c r="D5604" s="245" t="str">
        <f t="shared" si="295"/>
        <v/>
      </c>
      <c r="E5604" s="534"/>
      <c r="F5604" s="534"/>
    </row>
    <row r="5605" spans="1:6" ht="15" customHeight="1">
      <c r="A5605" s="51"/>
      <c r="B5605" s="52" t="str">
        <f t="shared" si="294"/>
        <v/>
      </c>
      <c r="C5605" t="str">
        <f t="shared" si="293"/>
        <v/>
      </c>
      <c r="D5605" s="245" t="str">
        <f t="shared" si="295"/>
        <v/>
      </c>
      <c r="E5605" s="534"/>
      <c r="F5605" s="534"/>
    </row>
    <row r="5606" spans="1:6" ht="15" customHeight="1">
      <c r="A5606" s="51"/>
      <c r="B5606" s="52" t="str">
        <f t="shared" si="294"/>
        <v/>
      </c>
      <c r="C5606" t="str">
        <f t="shared" si="293"/>
        <v/>
      </c>
      <c r="D5606" s="245" t="str">
        <f t="shared" si="295"/>
        <v/>
      </c>
      <c r="E5606" s="534"/>
      <c r="F5606" s="534"/>
    </row>
    <row r="5607" spans="1:6" ht="15" customHeight="1">
      <c r="A5607" s="51"/>
      <c r="B5607" s="52" t="str">
        <f t="shared" si="294"/>
        <v/>
      </c>
      <c r="C5607" t="str">
        <f t="shared" si="293"/>
        <v/>
      </c>
      <c r="D5607" s="245" t="str">
        <f t="shared" si="295"/>
        <v/>
      </c>
      <c r="E5607" s="534"/>
      <c r="F5607" s="534"/>
    </row>
    <row r="5608" spans="1:6" ht="15" customHeight="1">
      <c r="A5608" s="51"/>
      <c r="B5608" s="52" t="str">
        <f t="shared" si="294"/>
        <v/>
      </c>
      <c r="C5608" t="str">
        <f t="shared" si="293"/>
        <v/>
      </c>
      <c r="D5608" s="245" t="str">
        <f t="shared" si="295"/>
        <v/>
      </c>
      <c r="E5608" s="534"/>
      <c r="F5608" s="534"/>
    </row>
    <row r="5609" spans="1:6" ht="15" customHeight="1">
      <c r="A5609" s="51"/>
      <c r="B5609" s="52" t="str">
        <f t="shared" si="294"/>
        <v/>
      </c>
      <c r="C5609" t="str">
        <f t="shared" si="293"/>
        <v/>
      </c>
      <c r="D5609" s="245" t="str">
        <f t="shared" si="295"/>
        <v/>
      </c>
      <c r="E5609" s="534"/>
      <c r="F5609" s="534"/>
    </row>
    <row r="5610" spans="1:6" ht="15" customHeight="1">
      <c r="A5610" s="51"/>
      <c r="B5610" s="52" t="str">
        <f t="shared" si="294"/>
        <v/>
      </c>
      <c r="C5610" t="str">
        <f t="shared" si="293"/>
        <v/>
      </c>
      <c r="D5610" s="245" t="str">
        <f t="shared" si="295"/>
        <v/>
      </c>
      <c r="E5610" s="534"/>
      <c r="F5610" s="534"/>
    </row>
    <row r="5611" spans="1:6" ht="15" customHeight="1">
      <c r="A5611" s="51"/>
      <c r="B5611" s="52" t="str">
        <f t="shared" si="294"/>
        <v/>
      </c>
      <c r="C5611" t="str">
        <f t="shared" si="293"/>
        <v/>
      </c>
      <c r="D5611" s="245" t="str">
        <f t="shared" si="295"/>
        <v/>
      </c>
      <c r="E5611" s="534"/>
      <c r="F5611" s="534"/>
    </row>
    <row r="5612" spans="1:6" ht="15" customHeight="1">
      <c r="A5612" s="51"/>
      <c r="B5612" s="52" t="str">
        <f t="shared" si="294"/>
        <v/>
      </c>
      <c r="C5612" t="str">
        <f t="shared" si="293"/>
        <v/>
      </c>
      <c r="D5612" s="245" t="str">
        <f t="shared" si="295"/>
        <v/>
      </c>
      <c r="E5612" s="534"/>
      <c r="F5612" s="534"/>
    </row>
    <row r="5613" spans="1:6" ht="15" customHeight="1">
      <c r="A5613" s="51"/>
      <c r="B5613" s="52" t="str">
        <f t="shared" si="294"/>
        <v/>
      </c>
      <c r="C5613" t="str">
        <f t="shared" si="293"/>
        <v/>
      </c>
      <c r="D5613" s="245" t="str">
        <f t="shared" si="295"/>
        <v/>
      </c>
      <c r="E5613" s="534"/>
      <c r="F5613" s="534"/>
    </row>
    <row r="5614" spans="1:6" ht="15" customHeight="1">
      <c r="A5614" s="51"/>
      <c r="B5614" s="52" t="str">
        <f t="shared" si="294"/>
        <v/>
      </c>
      <c r="C5614" t="str">
        <f t="shared" si="293"/>
        <v/>
      </c>
      <c r="D5614" s="245" t="str">
        <f t="shared" si="295"/>
        <v/>
      </c>
      <c r="E5614" s="534"/>
      <c r="F5614" s="534"/>
    </row>
    <row r="5615" spans="1:6" ht="15" customHeight="1">
      <c r="A5615" s="51"/>
      <c r="B5615" s="52" t="str">
        <f t="shared" si="294"/>
        <v/>
      </c>
      <c r="C5615" t="str">
        <f t="shared" si="293"/>
        <v/>
      </c>
      <c r="D5615" s="245" t="str">
        <f t="shared" si="295"/>
        <v/>
      </c>
      <c r="E5615" s="534"/>
      <c r="F5615" s="534"/>
    </row>
    <row r="5616" spans="1:6" ht="15" customHeight="1">
      <c r="A5616" s="51"/>
      <c r="B5616" s="52" t="str">
        <f t="shared" si="294"/>
        <v/>
      </c>
      <c r="C5616" t="str">
        <f t="shared" si="293"/>
        <v/>
      </c>
      <c r="D5616" s="245" t="str">
        <f t="shared" si="295"/>
        <v/>
      </c>
      <c r="E5616" s="534"/>
      <c r="F5616" s="534"/>
    </row>
    <row r="5617" spans="1:6" ht="15" customHeight="1">
      <c r="A5617" s="51"/>
      <c r="B5617" s="52" t="str">
        <f t="shared" si="294"/>
        <v/>
      </c>
      <c r="C5617" t="str">
        <f t="shared" si="293"/>
        <v/>
      </c>
      <c r="D5617" s="245" t="str">
        <f t="shared" si="295"/>
        <v/>
      </c>
      <c r="E5617" s="534"/>
      <c r="F5617" s="534"/>
    </row>
    <row r="5618" spans="1:6" ht="15" customHeight="1">
      <c r="A5618" s="51"/>
      <c r="B5618" s="52" t="str">
        <f t="shared" si="294"/>
        <v/>
      </c>
      <c r="C5618" t="str">
        <f t="shared" si="293"/>
        <v/>
      </c>
      <c r="D5618" s="245" t="str">
        <f t="shared" si="295"/>
        <v/>
      </c>
      <c r="E5618" s="534"/>
      <c r="F5618" s="534"/>
    </row>
    <row r="5619" spans="1:6" ht="15" customHeight="1">
      <c r="A5619" s="51"/>
      <c r="B5619" s="52" t="str">
        <f t="shared" si="294"/>
        <v/>
      </c>
      <c r="C5619" t="str">
        <f t="shared" si="293"/>
        <v/>
      </c>
      <c r="D5619" s="245" t="str">
        <f t="shared" si="295"/>
        <v/>
      </c>
      <c r="E5619" s="534"/>
      <c r="F5619" s="534"/>
    </row>
    <row r="5620" spans="1:6" ht="15" customHeight="1">
      <c r="A5620" s="51"/>
      <c r="B5620" s="52" t="str">
        <f t="shared" si="294"/>
        <v/>
      </c>
      <c r="C5620" t="str">
        <f t="shared" si="293"/>
        <v/>
      </c>
      <c r="D5620" s="245" t="str">
        <f t="shared" si="295"/>
        <v/>
      </c>
      <c r="E5620" s="534"/>
      <c r="F5620" s="534"/>
    </row>
    <row r="5621" spans="1:6" ht="15" customHeight="1">
      <c r="A5621" s="51"/>
      <c r="B5621" s="52" t="str">
        <f t="shared" si="294"/>
        <v/>
      </c>
      <c r="C5621" t="str">
        <f t="shared" si="293"/>
        <v/>
      </c>
      <c r="D5621" s="245" t="str">
        <f t="shared" si="295"/>
        <v/>
      </c>
      <c r="E5621" s="534"/>
      <c r="F5621" s="534"/>
    </row>
    <row r="5622" spans="1:6" ht="15" customHeight="1">
      <c r="A5622" s="51"/>
      <c r="B5622" s="52" t="str">
        <f t="shared" si="294"/>
        <v/>
      </c>
      <c r="C5622" t="str">
        <f t="shared" si="293"/>
        <v/>
      </c>
      <c r="D5622" s="245" t="str">
        <f t="shared" si="295"/>
        <v/>
      </c>
      <c r="E5622" s="534"/>
      <c r="F5622" s="534"/>
    </row>
    <row r="5623" spans="1:6" ht="15" customHeight="1">
      <c r="A5623" s="51"/>
      <c r="B5623" s="52" t="str">
        <f t="shared" si="294"/>
        <v/>
      </c>
      <c r="C5623" t="str">
        <f t="shared" si="293"/>
        <v/>
      </c>
      <c r="D5623" s="245" t="str">
        <f t="shared" si="295"/>
        <v/>
      </c>
      <c r="E5623" s="534"/>
      <c r="F5623" s="534"/>
    </row>
    <row r="5624" spans="1:6" ht="15" customHeight="1">
      <c r="A5624" s="51"/>
      <c r="B5624" s="52" t="str">
        <f t="shared" si="294"/>
        <v/>
      </c>
      <c r="C5624" t="str">
        <f t="shared" si="293"/>
        <v/>
      </c>
      <c r="D5624" s="245" t="str">
        <f t="shared" si="295"/>
        <v/>
      </c>
      <c r="E5624" s="534"/>
      <c r="F5624" s="534"/>
    </row>
    <row r="5625" spans="1:6" ht="15" customHeight="1">
      <c r="A5625" s="51"/>
      <c r="B5625" s="52" t="str">
        <f t="shared" si="294"/>
        <v/>
      </c>
      <c r="C5625" t="str">
        <f t="shared" si="293"/>
        <v/>
      </c>
      <c r="D5625" s="245" t="str">
        <f t="shared" si="295"/>
        <v/>
      </c>
      <c r="E5625" s="534"/>
      <c r="F5625" s="534"/>
    </row>
    <row r="5626" spans="1:6" ht="15" customHeight="1">
      <c r="A5626" s="51"/>
      <c r="B5626" s="52" t="str">
        <f t="shared" si="294"/>
        <v/>
      </c>
      <c r="C5626" t="str">
        <f t="shared" si="293"/>
        <v/>
      </c>
      <c r="D5626" s="245" t="str">
        <f t="shared" si="295"/>
        <v/>
      </c>
      <c r="E5626" s="534"/>
      <c r="F5626" s="534"/>
    </row>
    <row r="5627" spans="1:6" ht="15" customHeight="1">
      <c r="A5627" s="51"/>
      <c r="B5627" s="52" t="str">
        <f t="shared" si="294"/>
        <v/>
      </c>
      <c r="C5627" t="str">
        <f t="shared" si="293"/>
        <v/>
      </c>
      <c r="D5627" s="245" t="str">
        <f t="shared" si="295"/>
        <v/>
      </c>
      <c r="E5627" s="534"/>
      <c r="F5627" s="534"/>
    </row>
    <row r="5628" spans="1:6" ht="15" customHeight="1">
      <c r="A5628" s="51"/>
      <c r="B5628" s="52" t="str">
        <f t="shared" si="294"/>
        <v/>
      </c>
      <c r="C5628" t="str">
        <f t="shared" si="293"/>
        <v/>
      </c>
      <c r="D5628" s="245" t="str">
        <f t="shared" si="295"/>
        <v/>
      </c>
      <c r="E5628" s="534"/>
      <c r="F5628" s="534"/>
    </row>
    <row r="5629" spans="1:6" ht="15" customHeight="1">
      <c r="A5629" s="51"/>
      <c r="B5629" s="52" t="str">
        <f t="shared" si="294"/>
        <v/>
      </c>
      <c r="C5629" t="str">
        <f t="shared" si="293"/>
        <v/>
      </c>
      <c r="D5629" s="245" t="str">
        <f t="shared" si="295"/>
        <v/>
      </c>
      <c r="E5629" s="534"/>
      <c r="F5629" s="534"/>
    </row>
    <row r="5630" spans="1:6" ht="15" customHeight="1">
      <c r="A5630" s="51"/>
      <c r="B5630" s="52" t="str">
        <f t="shared" si="294"/>
        <v/>
      </c>
      <c r="C5630" t="str">
        <f t="shared" si="293"/>
        <v/>
      </c>
      <c r="D5630" s="245" t="str">
        <f t="shared" si="295"/>
        <v/>
      </c>
      <c r="E5630" s="534"/>
      <c r="F5630" s="534"/>
    </row>
    <row r="5631" spans="1:6" ht="15" customHeight="1">
      <c r="A5631" s="51"/>
      <c r="B5631" s="52" t="str">
        <f t="shared" si="294"/>
        <v/>
      </c>
      <c r="C5631" t="str">
        <f t="shared" si="293"/>
        <v/>
      </c>
      <c r="D5631" s="245" t="str">
        <f t="shared" si="295"/>
        <v/>
      </c>
      <c r="E5631" s="534"/>
      <c r="F5631" s="534"/>
    </row>
    <row r="5632" spans="1:6" ht="15" customHeight="1">
      <c r="A5632" s="51"/>
      <c r="B5632" s="52" t="str">
        <f t="shared" si="294"/>
        <v/>
      </c>
      <c r="C5632" t="str">
        <f t="shared" si="293"/>
        <v/>
      </c>
      <c r="D5632" s="245" t="str">
        <f t="shared" si="295"/>
        <v/>
      </c>
      <c r="E5632" s="534"/>
      <c r="F5632" s="534"/>
    </row>
    <row r="5633" spans="1:6" ht="15" customHeight="1">
      <c r="A5633" s="51"/>
      <c r="B5633" s="52" t="str">
        <f t="shared" si="294"/>
        <v/>
      </c>
      <c r="C5633" t="str">
        <f t="shared" si="293"/>
        <v/>
      </c>
      <c r="D5633" s="245" t="str">
        <f t="shared" si="295"/>
        <v/>
      </c>
      <c r="E5633" s="534"/>
      <c r="F5633" s="534"/>
    </row>
    <row r="5634" spans="1:6" ht="15" customHeight="1">
      <c r="A5634" s="51"/>
      <c r="B5634" s="52" t="str">
        <f t="shared" si="294"/>
        <v/>
      </c>
      <c r="C5634" t="str">
        <f t="shared" ref="C5634:C5697" si="296">IF(A5634&lt;&gt;"",TEXT(A5634,"aaaa"),"")</f>
        <v/>
      </c>
      <c r="D5634" s="245" t="str">
        <f t="shared" si="295"/>
        <v/>
      </c>
      <c r="E5634" s="534"/>
      <c r="F5634" s="534"/>
    </row>
    <row r="5635" spans="1:6" ht="15" customHeight="1">
      <c r="A5635" s="51"/>
      <c r="B5635" s="52" t="str">
        <f t="shared" si="294"/>
        <v/>
      </c>
      <c r="C5635" t="str">
        <f t="shared" si="296"/>
        <v/>
      </c>
      <c r="D5635" s="245" t="str">
        <f t="shared" si="295"/>
        <v/>
      </c>
      <c r="E5635" s="534"/>
      <c r="F5635" s="534"/>
    </row>
    <row r="5636" spans="1:6" ht="15" customHeight="1">
      <c r="A5636" s="51"/>
      <c r="B5636" s="52" t="str">
        <f t="shared" si="294"/>
        <v/>
      </c>
      <c r="C5636" t="str">
        <f t="shared" si="296"/>
        <v/>
      </c>
      <c r="D5636" s="245" t="str">
        <f t="shared" si="295"/>
        <v/>
      </c>
      <c r="E5636" s="534"/>
      <c r="F5636" s="534"/>
    </row>
    <row r="5637" spans="1:6" ht="15" customHeight="1">
      <c r="A5637" s="51"/>
      <c r="B5637" s="52" t="str">
        <f t="shared" si="294"/>
        <v/>
      </c>
      <c r="C5637" t="str">
        <f t="shared" si="296"/>
        <v/>
      </c>
      <c r="D5637" s="245" t="str">
        <f t="shared" si="295"/>
        <v/>
      </c>
      <c r="E5637" s="534"/>
      <c r="F5637" s="534"/>
    </row>
    <row r="5638" spans="1:6" ht="15" customHeight="1">
      <c r="A5638" s="51"/>
      <c r="B5638" s="52" t="str">
        <f t="shared" si="294"/>
        <v/>
      </c>
      <c r="C5638" t="str">
        <f t="shared" si="296"/>
        <v/>
      </c>
      <c r="D5638" s="245" t="str">
        <f t="shared" si="295"/>
        <v/>
      </c>
      <c r="E5638" s="534"/>
      <c r="F5638" s="534"/>
    </row>
    <row r="5639" spans="1:6" ht="15" customHeight="1">
      <c r="A5639" s="51"/>
      <c r="B5639" s="52" t="str">
        <f t="shared" si="294"/>
        <v/>
      </c>
      <c r="C5639" t="str">
        <f t="shared" si="296"/>
        <v/>
      </c>
      <c r="D5639" s="245" t="str">
        <f t="shared" si="295"/>
        <v/>
      </c>
      <c r="E5639" s="534"/>
      <c r="F5639" s="534"/>
    </row>
    <row r="5640" spans="1:6" ht="15" customHeight="1">
      <c r="A5640" s="51"/>
      <c r="B5640" s="52" t="str">
        <f t="shared" ref="B5640:B5703" si="297">IF(A5640="","",TEXT(A5640,"DDDD"))</f>
        <v/>
      </c>
      <c r="C5640" t="str">
        <f t="shared" si="296"/>
        <v/>
      </c>
      <c r="D5640" s="245" t="str">
        <f t="shared" si="295"/>
        <v/>
      </c>
      <c r="E5640" s="534"/>
      <c r="F5640" s="534"/>
    </row>
    <row r="5641" spans="1:6" ht="15" customHeight="1">
      <c r="A5641" s="51"/>
      <c r="B5641" s="52" t="str">
        <f t="shared" si="297"/>
        <v/>
      </c>
      <c r="C5641" t="str">
        <f t="shared" si="296"/>
        <v/>
      </c>
      <c r="D5641" s="245" t="str">
        <f t="shared" ref="D5641:D5704" si="298">IF(A5641&lt;&gt;"",PROPER(TEXT(A5641,"Mmmm")),"")</f>
        <v/>
      </c>
      <c r="E5641" s="534"/>
      <c r="F5641" s="534"/>
    </row>
    <row r="5642" spans="1:6" ht="15" customHeight="1">
      <c r="A5642" s="51"/>
      <c r="B5642" s="52" t="str">
        <f t="shared" si="297"/>
        <v/>
      </c>
      <c r="C5642" t="str">
        <f t="shared" si="296"/>
        <v/>
      </c>
      <c r="D5642" s="245" t="str">
        <f t="shared" si="298"/>
        <v/>
      </c>
      <c r="E5642" s="534"/>
      <c r="F5642" s="534"/>
    </row>
    <row r="5643" spans="1:6" ht="15" customHeight="1">
      <c r="A5643" s="51"/>
      <c r="B5643" s="52" t="str">
        <f t="shared" si="297"/>
        <v/>
      </c>
      <c r="C5643" t="str">
        <f t="shared" si="296"/>
        <v/>
      </c>
      <c r="D5643" s="245" t="str">
        <f t="shared" si="298"/>
        <v/>
      </c>
      <c r="E5643" s="534"/>
      <c r="F5643" s="534"/>
    </row>
    <row r="5644" spans="1:6" ht="15" customHeight="1">
      <c r="A5644" s="51"/>
      <c r="B5644" s="52" t="str">
        <f t="shared" si="297"/>
        <v/>
      </c>
      <c r="C5644" t="str">
        <f t="shared" si="296"/>
        <v/>
      </c>
      <c r="D5644" s="245" t="str">
        <f t="shared" si="298"/>
        <v/>
      </c>
      <c r="E5644" s="534"/>
      <c r="F5644" s="534"/>
    </row>
    <row r="5645" spans="1:6" ht="15" customHeight="1">
      <c r="A5645" s="51"/>
      <c r="B5645" s="52" t="str">
        <f t="shared" si="297"/>
        <v/>
      </c>
      <c r="C5645" t="str">
        <f t="shared" si="296"/>
        <v/>
      </c>
      <c r="D5645" s="245" t="str">
        <f t="shared" si="298"/>
        <v/>
      </c>
      <c r="E5645" s="534"/>
      <c r="F5645" s="534"/>
    </row>
    <row r="5646" spans="1:6" ht="15" customHeight="1">
      <c r="A5646" s="51"/>
      <c r="B5646" s="52" t="str">
        <f t="shared" si="297"/>
        <v/>
      </c>
      <c r="C5646" t="str">
        <f t="shared" si="296"/>
        <v/>
      </c>
      <c r="D5646" s="245" t="str">
        <f t="shared" si="298"/>
        <v/>
      </c>
      <c r="E5646" s="534"/>
      <c r="F5646" s="534"/>
    </row>
    <row r="5647" spans="1:6" ht="15" customHeight="1">
      <c r="A5647" s="51"/>
      <c r="B5647" s="52" t="str">
        <f t="shared" si="297"/>
        <v/>
      </c>
      <c r="C5647" t="str">
        <f t="shared" si="296"/>
        <v/>
      </c>
      <c r="D5647" s="245" t="str">
        <f t="shared" si="298"/>
        <v/>
      </c>
      <c r="E5647" s="534"/>
      <c r="F5647" s="534"/>
    </row>
    <row r="5648" spans="1:6" ht="15" customHeight="1">
      <c r="A5648" s="51"/>
      <c r="B5648" s="52" t="str">
        <f t="shared" si="297"/>
        <v/>
      </c>
      <c r="C5648" t="str">
        <f t="shared" si="296"/>
        <v/>
      </c>
      <c r="D5648" s="245" t="str">
        <f t="shared" si="298"/>
        <v/>
      </c>
      <c r="E5648" s="534"/>
      <c r="F5648" s="534"/>
    </row>
    <row r="5649" spans="1:6" ht="15" customHeight="1">
      <c r="A5649" s="51"/>
      <c r="B5649" s="52" t="str">
        <f t="shared" si="297"/>
        <v/>
      </c>
      <c r="C5649" t="str">
        <f t="shared" si="296"/>
        <v/>
      </c>
      <c r="D5649" s="245" t="str">
        <f t="shared" si="298"/>
        <v/>
      </c>
      <c r="E5649" s="534"/>
      <c r="F5649" s="534"/>
    </row>
    <row r="5650" spans="1:6" ht="15" customHeight="1">
      <c r="A5650" s="51"/>
      <c r="B5650" s="52" t="str">
        <f t="shared" si="297"/>
        <v/>
      </c>
      <c r="C5650" t="str">
        <f t="shared" si="296"/>
        <v/>
      </c>
      <c r="D5650" s="245" t="str">
        <f t="shared" si="298"/>
        <v/>
      </c>
      <c r="E5650" s="534"/>
      <c r="F5650" s="534"/>
    </row>
    <row r="5651" spans="1:6" ht="15" customHeight="1">
      <c r="A5651" s="51"/>
      <c r="B5651" s="52" t="str">
        <f t="shared" si="297"/>
        <v/>
      </c>
      <c r="C5651" t="str">
        <f t="shared" si="296"/>
        <v/>
      </c>
      <c r="D5651" s="245" t="str">
        <f t="shared" si="298"/>
        <v/>
      </c>
      <c r="E5651" s="534"/>
      <c r="F5651" s="534"/>
    </row>
    <row r="5652" spans="1:6" ht="15" customHeight="1">
      <c r="A5652" s="51"/>
      <c r="B5652" s="52" t="str">
        <f t="shared" si="297"/>
        <v/>
      </c>
      <c r="C5652" t="str">
        <f t="shared" si="296"/>
        <v/>
      </c>
      <c r="D5652" s="245" t="str">
        <f t="shared" si="298"/>
        <v/>
      </c>
      <c r="E5652" s="534"/>
      <c r="F5652" s="534"/>
    </row>
    <row r="5653" spans="1:6" ht="15" customHeight="1">
      <c r="A5653" s="51"/>
      <c r="B5653" s="52" t="str">
        <f t="shared" si="297"/>
        <v/>
      </c>
      <c r="C5653" t="str">
        <f t="shared" si="296"/>
        <v/>
      </c>
      <c r="D5653" s="245" t="str">
        <f t="shared" si="298"/>
        <v/>
      </c>
      <c r="E5653" s="534"/>
      <c r="F5653" s="534"/>
    </row>
    <row r="5654" spans="1:6" ht="15" customHeight="1">
      <c r="A5654" s="51"/>
      <c r="B5654" s="52" t="str">
        <f t="shared" si="297"/>
        <v/>
      </c>
      <c r="C5654" t="str">
        <f t="shared" si="296"/>
        <v/>
      </c>
      <c r="D5654" s="245" t="str">
        <f t="shared" si="298"/>
        <v/>
      </c>
      <c r="E5654" s="534"/>
      <c r="F5654" s="534"/>
    </row>
    <row r="5655" spans="1:6" ht="15" customHeight="1">
      <c r="A5655" s="51"/>
      <c r="B5655" s="52" t="str">
        <f t="shared" si="297"/>
        <v/>
      </c>
      <c r="C5655" t="str">
        <f t="shared" si="296"/>
        <v/>
      </c>
      <c r="D5655" s="245" t="str">
        <f t="shared" si="298"/>
        <v/>
      </c>
      <c r="E5655" s="534"/>
      <c r="F5655" s="534"/>
    </row>
    <row r="5656" spans="1:6" ht="15" customHeight="1">
      <c r="A5656" s="51"/>
      <c r="B5656" s="52" t="str">
        <f t="shared" si="297"/>
        <v/>
      </c>
      <c r="C5656" t="str">
        <f t="shared" si="296"/>
        <v/>
      </c>
      <c r="D5656" s="245" t="str">
        <f t="shared" si="298"/>
        <v/>
      </c>
      <c r="E5656" s="534"/>
      <c r="F5656" s="534"/>
    </row>
    <row r="5657" spans="1:6" ht="15" customHeight="1">
      <c r="A5657" s="51"/>
      <c r="B5657" s="52" t="str">
        <f t="shared" si="297"/>
        <v/>
      </c>
      <c r="C5657" t="str">
        <f t="shared" si="296"/>
        <v/>
      </c>
      <c r="D5657" s="245" t="str">
        <f t="shared" si="298"/>
        <v/>
      </c>
      <c r="E5657" s="534"/>
      <c r="F5657" s="534"/>
    </row>
    <row r="5658" spans="1:6" ht="15" customHeight="1">
      <c r="A5658" s="51"/>
      <c r="B5658" s="52" t="str">
        <f t="shared" si="297"/>
        <v/>
      </c>
      <c r="C5658" t="str">
        <f t="shared" si="296"/>
        <v/>
      </c>
      <c r="D5658" s="245" t="str">
        <f t="shared" si="298"/>
        <v/>
      </c>
      <c r="E5658" s="534"/>
      <c r="F5658" s="534"/>
    </row>
    <row r="5659" spans="1:6" ht="15" customHeight="1">
      <c r="A5659" s="51"/>
      <c r="B5659" s="52" t="str">
        <f t="shared" si="297"/>
        <v/>
      </c>
      <c r="C5659" t="str">
        <f t="shared" si="296"/>
        <v/>
      </c>
      <c r="D5659" s="245" t="str">
        <f t="shared" si="298"/>
        <v/>
      </c>
      <c r="E5659" s="534"/>
      <c r="F5659" s="534"/>
    </row>
    <row r="5660" spans="1:6" ht="15" customHeight="1">
      <c r="A5660" s="51"/>
      <c r="B5660" s="52" t="str">
        <f t="shared" si="297"/>
        <v/>
      </c>
      <c r="C5660" t="str">
        <f t="shared" si="296"/>
        <v/>
      </c>
      <c r="D5660" s="245" t="str">
        <f t="shared" si="298"/>
        <v/>
      </c>
      <c r="E5660" s="534"/>
      <c r="F5660" s="534"/>
    </row>
    <row r="5661" spans="1:6" ht="15" customHeight="1">
      <c r="A5661" s="51"/>
      <c r="B5661" s="52" t="str">
        <f t="shared" si="297"/>
        <v/>
      </c>
      <c r="C5661" t="str">
        <f t="shared" si="296"/>
        <v/>
      </c>
      <c r="D5661" s="245" t="str">
        <f t="shared" si="298"/>
        <v/>
      </c>
      <c r="E5661" s="534"/>
      <c r="F5661" s="534"/>
    </row>
    <row r="5662" spans="1:6" ht="15" customHeight="1">
      <c r="A5662" s="51"/>
      <c r="B5662" s="52" t="str">
        <f t="shared" si="297"/>
        <v/>
      </c>
      <c r="C5662" t="str">
        <f t="shared" si="296"/>
        <v/>
      </c>
      <c r="D5662" s="245" t="str">
        <f t="shared" si="298"/>
        <v/>
      </c>
      <c r="E5662" s="534"/>
      <c r="F5662" s="534"/>
    </row>
    <row r="5663" spans="1:6" ht="15" customHeight="1">
      <c r="A5663" s="51"/>
      <c r="B5663" s="52" t="str">
        <f t="shared" si="297"/>
        <v/>
      </c>
      <c r="C5663" t="str">
        <f t="shared" si="296"/>
        <v/>
      </c>
      <c r="D5663" s="245" t="str">
        <f t="shared" si="298"/>
        <v/>
      </c>
      <c r="E5663" s="534"/>
      <c r="F5663" s="534"/>
    </row>
    <row r="5664" spans="1:6" ht="15" customHeight="1">
      <c r="A5664" s="51"/>
      <c r="B5664" s="52" t="str">
        <f t="shared" si="297"/>
        <v/>
      </c>
      <c r="C5664" t="str">
        <f t="shared" si="296"/>
        <v/>
      </c>
      <c r="D5664" s="245" t="str">
        <f t="shared" si="298"/>
        <v/>
      </c>
      <c r="E5664" s="534"/>
      <c r="F5664" s="534"/>
    </row>
    <row r="5665" spans="1:6" ht="15" customHeight="1">
      <c r="A5665" s="51"/>
      <c r="B5665" s="52" t="str">
        <f t="shared" si="297"/>
        <v/>
      </c>
      <c r="C5665" t="str">
        <f t="shared" si="296"/>
        <v/>
      </c>
      <c r="D5665" s="245" t="str">
        <f t="shared" si="298"/>
        <v/>
      </c>
      <c r="E5665" s="534"/>
      <c r="F5665" s="534"/>
    </row>
    <row r="5666" spans="1:6" ht="15" customHeight="1">
      <c r="A5666" s="51"/>
      <c r="B5666" s="52" t="str">
        <f t="shared" si="297"/>
        <v/>
      </c>
      <c r="C5666" t="str">
        <f t="shared" si="296"/>
        <v/>
      </c>
      <c r="D5666" s="245" t="str">
        <f t="shared" si="298"/>
        <v/>
      </c>
      <c r="E5666" s="534"/>
      <c r="F5666" s="534"/>
    </row>
    <row r="5667" spans="1:6" ht="15" customHeight="1">
      <c r="A5667" s="51"/>
      <c r="B5667" s="52" t="str">
        <f t="shared" si="297"/>
        <v/>
      </c>
      <c r="C5667" t="str">
        <f t="shared" si="296"/>
        <v/>
      </c>
      <c r="D5667" s="245" t="str">
        <f t="shared" si="298"/>
        <v/>
      </c>
      <c r="E5667" s="534"/>
      <c r="F5667" s="534"/>
    </row>
    <row r="5668" spans="1:6" ht="15" customHeight="1">
      <c r="A5668" s="51"/>
      <c r="B5668" s="52" t="str">
        <f t="shared" si="297"/>
        <v/>
      </c>
      <c r="C5668" t="str">
        <f t="shared" si="296"/>
        <v/>
      </c>
      <c r="D5668" s="245" t="str">
        <f t="shared" si="298"/>
        <v/>
      </c>
      <c r="E5668" s="534"/>
      <c r="F5668" s="534"/>
    </row>
    <row r="5669" spans="1:6" ht="15" customHeight="1">
      <c r="A5669" s="51"/>
      <c r="B5669" s="52" t="str">
        <f t="shared" si="297"/>
        <v/>
      </c>
      <c r="C5669" t="str">
        <f t="shared" si="296"/>
        <v/>
      </c>
      <c r="D5669" s="245" t="str">
        <f t="shared" si="298"/>
        <v/>
      </c>
      <c r="E5669" s="534"/>
      <c r="F5669" s="534"/>
    </row>
    <row r="5670" spans="1:6" ht="15" customHeight="1">
      <c r="A5670" s="51"/>
      <c r="B5670" s="52" t="str">
        <f t="shared" si="297"/>
        <v/>
      </c>
      <c r="C5670" t="str">
        <f t="shared" si="296"/>
        <v/>
      </c>
      <c r="D5670" s="245" t="str">
        <f t="shared" si="298"/>
        <v/>
      </c>
      <c r="E5670" s="534"/>
      <c r="F5670" s="534"/>
    </row>
    <row r="5671" spans="1:6" ht="15" customHeight="1">
      <c r="A5671" s="51"/>
      <c r="B5671" s="52" t="str">
        <f t="shared" si="297"/>
        <v/>
      </c>
      <c r="C5671" t="str">
        <f t="shared" si="296"/>
        <v/>
      </c>
      <c r="D5671" s="245" t="str">
        <f t="shared" si="298"/>
        <v/>
      </c>
      <c r="E5671" s="534"/>
      <c r="F5671" s="534"/>
    </row>
    <row r="5672" spans="1:6" ht="15" customHeight="1">
      <c r="A5672" s="51"/>
      <c r="B5672" s="52" t="str">
        <f t="shared" si="297"/>
        <v/>
      </c>
      <c r="C5672" t="str">
        <f t="shared" si="296"/>
        <v/>
      </c>
      <c r="D5672" s="245" t="str">
        <f t="shared" si="298"/>
        <v/>
      </c>
      <c r="E5672" s="534"/>
      <c r="F5672" s="534"/>
    </row>
    <row r="5673" spans="1:6" ht="15" customHeight="1">
      <c r="A5673" s="51"/>
      <c r="B5673" s="52" t="str">
        <f t="shared" si="297"/>
        <v/>
      </c>
      <c r="C5673" t="str">
        <f t="shared" si="296"/>
        <v/>
      </c>
      <c r="D5673" s="245" t="str">
        <f t="shared" si="298"/>
        <v/>
      </c>
      <c r="E5673" s="534"/>
      <c r="F5673" s="534"/>
    </row>
    <row r="5674" spans="1:6" ht="15" customHeight="1">
      <c r="A5674" s="51"/>
      <c r="B5674" s="52" t="str">
        <f t="shared" si="297"/>
        <v/>
      </c>
      <c r="C5674" t="str">
        <f t="shared" si="296"/>
        <v/>
      </c>
      <c r="D5674" s="245" t="str">
        <f t="shared" si="298"/>
        <v/>
      </c>
      <c r="E5674" s="534"/>
      <c r="F5674" s="534"/>
    </row>
    <row r="5675" spans="1:6" ht="15" customHeight="1">
      <c r="A5675" s="51"/>
      <c r="B5675" s="52" t="str">
        <f t="shared" si="297"/>
        <v/>
      </c>
      <c r="C5675" t="str">
        <f t="shared" si="296"/>
        <v/>
      </c>
      <c r="D5675" s="245" t="str">
        <f t="shared" si="298"/>
        <v/>
      </c>
      <c r="E5675" s="534"/>
      <c r="F5675" s="534"/>
    </row>
    <row r="5676" spans="1:6" ht="15" customHeight="1">
      <c r="A5676" s="51"/>
      <c r="B5676" s="52" t="str">
        <f t="shared" si="297"/>
        <v/>
      </c>
      <c r="C5676" t="str">
        <f t="shared" si="296"/>
        <v/>
      </c>
      <c r="D5676" s="245" t="str">
        <f t="shared" si="298"/>
        <v/>
      </c>
      <c r="E5676" s="534"/>
      <c r="F5676" s="534"/>
    </row>
    <row r="5677" spans="1:6" ht="15" customHeight="1">
      <c r="A5677" s="51"/>
      <c r="B5677" s="52" t="str">
        <f t="shared" si="297"/>
        <v/>
      </c>
      <c r="C5677" t="str">
        <f t="shared" si="296"/>
        <v/>
      </c>
      <c r="D5677" s="245" t="str">
        <f t="shared" si="298"/>
        <v/>
      </c>
      <c r="E5677" s="534"/>
      <c r="F5677" s="534"/>
    </row>
    <row r="5678" spans="1:6" ht="15" customHeight="1">
      <c r="A5678" s="51"/>
      <c r="B5678" s="52" t="str">
        <f t="shared" si="297"/>
        <v/>
      </c>
      <c r="C5678" t="str">
        <f t="shared" si="296"/>
        <v/>
      </c>
      <c r="D5678" s="245" t="str">
        <f t="shared" si="298"/>
        <v/>
      </c>
      <c r="E5678" s="534"/>
      <c r="F5678" s="534"/>
    </row>
    <row r="5679" spans="1:6" ht="15" customHeight="1">
      <c r="A5679" s="51"/>
      <c r="B5679" s="52" t="str">
        <f t="shared" si="297"/>
        <v/>
      </c>
      <c r="C5679" t="str">
        <f t="shared" si="296"/>
        <v/>
      </c>
      <c r="D5679" s="245" t="str">
        <f t="shared" si="298"/>
        <v/>
      </c>
      <c r="E5679" s="534"/>
      <c r="F5679" s="534"/>
    </row>
    <row r="5680" spans="1:6" ht="15" customHeight="1">
      <c r="A5680" s="51"/>
      <c r="B5680" s="52" t="str">
        <f t="shared" si="297"/>
        <v/>
      </c>
      <c r="C5680" t="str">
        <f t="shared" si="296"/>
        <v/>
      </c>
      <c r="D5680" s="245" t="str">
        <f t="shared" si="298"/>
        <v/>
      </c>
      <c r="E5680" s="534"/>
      <c r="F5680" s="534"/>
    </row>
    <row r="5681" spans="1:6" ht="15" customHeight="1">
      <c r="A5681" s="51"/>
      <c r="B5681" s="52" t="str">
        <f t="shared" si="297"/>
        <v/>
      </c>
      <c r="C5681" t="str">
        <f t="shared" si="296"/>
        <v/>
      </c>
      <c r="D5681" s="245" t="str">
        <f t="shared" si="298"/>
        <v/>
      </c>
      <c r="E5681" s="534"/>
      <c r="F5681" s="534"/>
    </row>
    <row r="5682" spans="1:6" ht="15" customHeight="1">
      <c r="A5682" s="51"/>
      <c r="B5682" s="52" t="str">
        <f t="shared" si="297"/>
        <v/>
      </c>
      <c r="C5682" t="str">
        <f t="shared" si="296"/>
        <v/>
      </c>
      <c r="D5682" s="245" t="str">
        <f t="shared" si="298"/>
        <v/>
      </c>
      <c r="E5682" s="534"/>
      <c r="F5682" s="534"/>
    </row>
    <row r="5683" spans="1:6" ht="15" customHeight="1">
      <c r="A5683" s="51"/>
      <c r="B5683" s="52" t="str">
        <f t="shared" si="297"/>
        <v/>
      </c>
      <c r="C5683" t="str">
        <f t="shared" si="296"/>
        <v/>
      </c>
      <c r="D5683" s="245" t="str">
        <f t="shared" si="298"/>
        <v/>
      </c>
      <c r="E5683" s="534"/>
      <c r="F5683" s="534"/>
    </row>
    <row r="5684" spans="1:6" ht="15" customHeight="1">
      <c r="A5684" s="51"/>
      <c r="B5684" s="52" t="str">
        <f t="shared" si="297"/>
        <v/>
      </c>
      <c r="C5684" t="str">
        <f t="shared" si="296"/>
        <v/>
      </c>
      <c r="D5684" s="245" t="str">
        <f t="shared" si="298"/>
        <v/>
      </c>
      <c r="E5684" s="534"/>
      <c r="F5684" s="534"/>
    </row>
    <row r="5685" spans="1:6" ht="15" customHeight="1">
      <c r="A5685" s="51"/>
      <c r="B5685" s="52" t="str">
        <f t="shared" si="297"/>
        <v/>
      </c>
      <c r="C5685" t="str">
        <f t="shared" si="296"/>
        <v/>
      </c>
      <c r="D5685" s="245" t="str">
        <f t="shared" si="298"/>
        <v/>
      </c>
      <c r="E5685" s="534"/>
      <c r="F5685" s="534"/>
    </row>
    <row r="5686" spans="1:6" ht="15" customHeight="1">
      <c r="A5686" s="51"/>
      <c r="B5686" s="52" t="str">
        <f t="shared" si="297"/>
        <v/>
      </c>
      <c r="C5686" t="str">
        <f t="shared" si="296"/>
        <v/>
      </c>
      <c r="D5686" s="245" t="str">
        <f t="shared" si="298"/>
        <v/>
      </c>
      <c r="E5686" s="534"/>
      <c r="F5686" s="534"/>
    </row>
    <row r="5687" spans="1:6" ht="15" customHeight="1">
      <c r="A5687" s="51"/>
      <c r="B5687" s="52" t="str">
        <f t="shared" si="297"/>
        <v/>
      </c>
      <c r="C5687" t="str">
        <f t="shared" si="296"/>
        <v/>
      </c>
      <c r="D5687" s="245" t="str">
        <f t="shared" si="298"/>
        <v/>
      </c>
      <c r="E5687" s="534"/>
      <c r="F5687" s="534"/>
    </row>
    <row r="5688" spans="1:6" ht="15" customHeight="1">
      <c r="A5688" s="51"/>
      <c r="B5688" s="52" t="str">
        <f t="shared" si="297"/>
        <v/>
      </c>
      <c r="C5688" t="str">
        <f t="shared" si="296"/>
        <v/>
      </c>
      <c r="D5688" s="245" t="str">
        <f t="shared" si="298"/>
        <v/>
      </c>
      <c r="E5688" s="534"/>
      <c r="F5688" s="534"/>
    </row>
    <row r="5689" spans="1:6" ht="15" customHeight="1">
      <c r="A5689" s="51"/>
      <c r="B5689" s="52" t="str">
        <f t="shared" si="297"/>
        <v/>
      </c>
      <c r="C5689" t="str">
        <f t="shared" si="296"/>
        <v/>
      </c>
      <c r="D5689" s="245" t="str">
        <f t="shared" si="298"/>
        <v/>
      </c>
      <c r="E5689" s="534"/>
      <c r="F5689" s="534"/>
    </row>
    <row r="5690" spans="1:6" ht="15" customHeight="1">
      <c r="A5690" s="51"/>
      <c r="B5690" s="52" t="str">
        <f t="shared" si="297"/>
        <v/>
      </c>
      <c r="C5690" t="str">
        <f t="shared" si="296"/>
        <v/>
      </c>
      <c r="D5690" s="245" t="str">
        <f t="shared" si="298"/>
        <v/>
      </c>
      <c r="E5690" s="534"/>
      <c r="F5690" s="534"/>
    </row>
    <row r="5691" spans="1:6" ht="15" customHeight="1">
      <c r="A5691" s="51"/>
      <c r="B5691" s="52" t="str">
        <f t="shared" si="297"/>
        <v/>
      </c>
      <c r="C5691" t="str">
        <f t="shared" si="296"/>
        <v/>
      </c>
      <c r="D5691" s="245" t="str">
        <f t="shared" si="298"/>
        <v/>
      </c>
      <c r="E5691" s="534"/>
      <c r="F5691" s="534"/>
    </row>
    <row r="5692" spans="1:6" ht="15" customHeight="1">
      <c r="A5692" s="51"/>
      <c r="B5692" s="52" t="str">
        <f t="shared" si="297"/>
        <v/>
      </c>
      <c r="C5692" t="str">
        <f t="shared" si="296"/>
        <v/>
      </c>
      <c r="D5692" s="245" t="str">
        <f t="shared" si="298"/>
        <v/>
      </c>
      <c r="E5692" s="534"/>
      <c r="F5692" s="534"/>
    </row>
    <row r="5693" spans="1:6" ht="15" customHeight="1">
      <c r="A5693" s="51"/>
      <c r="B5693" s="52" t="str">
        <f t="shared" si="297"/>
        <v/>
      </c>
      <c r="C5693" t="str">
        <f t="shared" si="296"/>
        <v/>
      </c>
      <c r="D5693" s="245" t="str">
        <f t="shared" si="298"/>
        <v/>
      </c>
      <c r="E5693" s="534"/>
      <c r="F5693" s="534"/>
    </row>
    <row r="5694" spans="1:6" ht="15" customHeight="1">
      <c r="A5694" s="51"/>
      <c r="B5694" s="52" t="str">
        <f t="shared" si="297"/>
        <v/>
      </c>
      <c r="C5694" t="str">
        <f t="shared" si="296"/>
        <v/>
      </c>
      <c r="D5694" s="245" t="str">
        <f t="shared" si="298"/>
        <v/>
      </c>
      <c r="E5694" s="534"/>
      <c r="F5694" s="534"/>
    </row>
    <row r="5695" spans="1:6" ht="15" customHeight="1">
      <c r="A5695" s="51"/>
      <c r="B5695" s="52" t="str">
        <f t="shared" si="297"/>
        <v/>
      </c>
      <c r="C5695" t="str">
        <f t="shared" si="296"/>
        <v/>
      </c>
      <c r="D5695" s="245" t="str">
        <f t="shared" si="298"/>
        <v/>
      </c>
      <c r="E5695" s="534"/>
      <c r="F5695" s="534"/>
    </row>
    <row r="5696" spans="1:6" ht="15" customHeight="1">
      <c r="A5696" s="51"/>
      <c r="B5696" s="52" t="str">
        <f t="shared" si="297"/>
        <v/>
      </c>
      <c r="C5696" t="str">
        <f t="shared" si="296"/>
        <v/>
      </c>
      <c r="D5696" s="245" t="str">
        <f t="shared" si="298"/>
        <v/>
      </c>
      <c r="E5696" s="534"/>
      <c r="F5696" s="534"/>
    </row>
    <row r="5697" spans="1:6" ht="15" customHeight="1">
      <c r="A5697" s="51"/>
      <c r="B5697" s="52" t="str">
        <f t="shared" si="297"/>
        <v/>
      </c>
      <c r="C5697" t="str">
        <f t="shared" si="296"/>
        <v/>
      </c>
      <c r="D5697" s="245" t="str">
        <f t="shared" si="298"/>
        <v/>
      </c>
      <c r="E5697" s="534"/>
      <c r="F5697" s="534"/>
    </row>
    <row r="5698" spans="1:6" ht="15" customHeight="1">
      <c r="A5698" s="51"/>
      <c r="B5698" s="52" t="str">
        <f t="shared" si="297"/>
        <v/>
      </c>
      <c r="C5698" t="str">
        <f t="shared" ref="C5698:C5761" si="299">IF(A5698&lt;&gt;"",TEXT(A5698,"aaaa"),"")</f>
        <v/>
      </c>
      <c r="D5698" s="245" t="str">
        <f t="shared" si="298"/>
        <v/>
      </c>
      <c r="E5698" s="534"/>
      <c r="F5698" s="534"/>
    </row>
    <row r="5699" spans="1:6" ht="15" customHeight="1">
      <c r="A5699" s="51"/>
      <c r="B5699" s="52" t="str">
        <f t="shared" si="297"/>
        <v/>
      </c>
      <c r="C5699" t="str">
        <f t="shared" si="299"/>
        <v/>
      </c>
      <c r="D5699" s="245" t="str">
        <f t="shared" si="298"/>
        <v/>
      </c>
      <c r="E5699" s="534"/>
      <c r="F5699" s="534"/>
    </row>
    <row r="5700" spans="1:6" ht="15" customHeight="1">
      <c r="A5700" s="51"/>
      <c r="B5700" s="52" t="str">
        <f t="shared" si="297"/>
        <v/>
      </c>
      <c r="C5700" t="str">
        <f t="shared" si="299"/>
        <v/>
      </c>
      <c r="D5700" s="245" t="str">
        <f t="shared" si="298"/>
        <v/>
      </c>
      <c r="E5700" s="534"/>
      <c r="F5700" s="534"/>
    </row>
    <row r="5701" spans="1:6" ht="15" customHeight="1">
      <c r="A5701" s="51"/>
      <c r="B5701" s="52" t="str">
        <f t="shared" si="297"/>
        <v/>
      </c>
      <c r="C5701" t="str">
        <f t="shared" si="299"/>
        <v/>
      </c>
      <c r="D5701" s="245" t="str">
        <f t="shared" si="298"/>
        <v/>
      </c>
      <c r="E5701" s="534"/>
      <c r="F5701" s="534"/>
    </row>
    <row r="5702" spans="1:6" ht="15" customHeight="1">
      <c r="A5702" s="51"/>
      <c r="B5702" s="52" t="str">
        <f t="shared" si="297"/>
        <v/>
      </c>
      <c r="C5702" t="str">
        <f t="shared" si="299"/>
        <v/>
      </c>
      <c r="D5702" s="245" t="str">
        <f t="shared" si="298"/>
        <v/>
      </c>
      <c r="E5702" s="534"/>
      <c r="F5702" s="534"/>
    </row>
    <row r="5703" spans="1:6" ht="15" customHeight="1">
      <c r="A5703" s="51"/>
      <c r="B5703" s="52" t="str">
        <f t="shared" si="297"/>
        <v/>
      </c>
      <c r="C5703" t="str">
        <f t="shared" si="299"/>
        <v/>
      </c>
      <c r="D5703" s="245" t="str">
        <f t="shared" si="298"/>
        <v/>
      </c>
      <c r="E5703" s="534"/>
      <c r="F5703" s="534"/>
    </row>
    <row r="5704" spans="1:6" ht="15" customHeight="1">
      <c r="A5704" s="51"/>
      <c r="B5704" s="52" t="str">
        <f t="shared" ref="B5704:B5767" si="300">IF(A5704="","",TEXT(A5704,"DDDD"))</f>
        <v/>
      </c>
      <c r="C5704" t="str">
        <f t="shared" si="299"/>
        <v/>
      </c>
      <c r="D5704" s="245" t="str">
        <f t="shared" si="298"/>
        <v/>
      </c>
      <c r="E5704" s="534"/>
      <c r="F5704" s="534"/>
    </row>
    <row r="5705" spans="1:6" ht="15" customHeight="1">
      <c r="A5705" s="51"/>
      <c r="B5705" s="52" t="str">
        <f t="shared" si="300"/>
        <v/>
      </c>
      <c r="C5705" t="str">
        <f t="shared" si="299"/>
        <v/>
      </c>
      <c r="D5705" s="245" t="str">
        <f t="shared" ref="D5705:D5768" si="301">IF(A5705&lt;&gt;"",PROPER(TEXT(A5705,"Mmmm")),"")</f>
        <v/>
      </c>
      <c r="E5705" s="534"/>
      <c r="F5705" s="534"/>
    </row>
    <row r="5706" spans="1:6" ht="15" customHeight="1">
      <c r="A5706" s="51"/>
      <c r="B5706" s="52" t="str">
        <f t="shared" si="300"/>
        <v/>
      </c>
      <c r="C5706" t="str">
        <f t="shared" si="299"/>
        <v/>
      </c>
      <c r="D5706" s="245" t="str">
        <f t="shared" si="301"/>
        <v/>
      </c>
      <c r="E5706" s="534"/>
      <c r="F5706" s="534"/>
    </row>
    <row r="5707" spans="1:6" ht="15" customHeight="1">
      <c r="A5707" s="51"/>
      <c r="B5707" s="52" t="str">
        <f t="shared" si="300"/>
        <v/>
      </c>
      <c r="C5707" t="str">
        <f t="shared" si="299"/>
        <v/>
      </c>
      <c r="D5707" s="245" t="str">
        <f t="shared" si="301"/>
        <v/>
      </c>
      <c r="E5707" s="534"/>
      <c r="F5707" s="534"/>
    </row>
    <row r="5708" spans="1:6" ht="15" customHeight="1">
      <c r="A5708" s="51"/>
      <c r="B5708" s="52" t="str">
        <f t="shared" si="300"/>
        <v/>
      </c>
      <c r="C5708" t="str">
        <f t="shared" si="299"/>
        <v/>
      </c>
      <c r="D5708" s="245" t="str">
        <f t="shared" si="301"/>
        <v/>
      </c>
      <c r="E5708" s="534"/>
      <c r="F5708" s="534"/>
    </row>
    <row r="5709" spans="1:6" ht="15" customHeight="1">
      <c r="A5709" s="51"/>
      <c r="B5709" s="52" t="str">
        <f t="shared" si="300"/>
        <v/>
      </c>
      <c r="C5709" t="str">
        <f t="shared" si="299"/>
        <v/>
      </c>
      <c r="D5709" s="245" t="str">
        <f t="shared" si="301"/>
        <v/>
      </c>
      <c r="E5709" s="534"/>
      <c r="F5709" s="534"/>
    </row>
    <row r="5710" spans="1:6" ht="15" customHeight="1">
      <c r="A5710" s="51"/>
      <c r="B5710" s="52" t="str">
        <f t="shared" si="300"/>
        <v/>
      </c>
      <c r="C5710" t="str">
        <f t="shared" si="299"/>
        <v/>
      </c>
      <c r="D5710" s="245" t="str">
        <f t="shared" si="301"/>
        <v/>
      </c>
      <c r="E5710" s="534"/>
      <c r="F5710" s="534"/>
    </row>
    <row r="5711" spans="1:6" ht="15" customHeight="1">
      <c r="A5711" s="51"/>
      <c r="B5711" s="52" t="str">
        <f t="shared" si="300"/>
        <v/>
      </c>
      <c r="C5711" t="str">
        <f t="shared" si="299"/>
        <v/>
      </c>
      <c r="D5711" s="245" t="str">
        <f t="shared" si="301"/>
        <v/>
      </c>
      <c r="E5711" s="534"/>
      <c r="F5711" s="534"/>
    </row>
    <row r="5712" spans="1:6" ht="15" customHeight="1">
      <c r="A5712" s="51"/>
      <c r="B5712" s="52" t="str">
        <f t="shared" si="300"/>
        <v/>
      </c>
      <c r="C5712" t="str">
        <f t="shared" si="299"/>
        <v/>
      </c>
      <c r="D5712" s="245" t="str">
        <f t="shared" si="301"/>
        <v/>
      </c>
      <c r="E5712" s="534"/>
      <c r="F5712" s="534"/>
    </row>
    <row r="5713" spans="1:6" ht="15" customHeight="1">
      <c r="A5713" s="51"/>
      <c r="B5713" s="52" t="str">
        <f t="shared" si="300"/>
        <v/>
      </c>
      <c r="C5713" t="str">
        <f t="shared" si="299"/>
        <v/>
      </c>
      <c r="D5713" s="245" t="str">
        <f t="shared" si="301"/>
        <v/>
      </c>
      <c r="E5713" s="534"/>
      <c r="F5713" s="534"/>
    </row>
    <row r="5714" spans="1:6" ht="15" customHeight="1">
      <c r="A5714" s="51"/>
      <c r="B5714" s="52" t="str">
        <f t="shared" si="300"/>
        <v/>
      </c>
      <c r="C5714" t="str">
        <f t="shared" si="299"/>
        <v/>
      </c>
      <c r="D5714" s="245" t="str">
        <f t="shared" si="301"/>
        <v/>
      </c>
      <c r="E5714" s="534"/>
      <c r="F5714" s="534"/>
    </row>
    <row r="5715" spans="1:6" ht="15" customHeight="1">
      <c r="A5715" s="51"/>
      <c r="B5715" s="52" t="str">
        <f t="shared" si="300"/>
        <v/>
      </c>
      <c r="C5715" t="str">
        <f t="shared" si="299"/>
        <v/>
      </c>
      <c r="D5715" s="245" t="str">
        <f t="shared" si="301"/>
        <v/>
      </c>
      <c r="E5715" s="534"/>
      <c r="F5715" s="534"/>
    </row>
    <row r="5716" spans="1:6" ht="15" customHeight="1">
      <c r="A5716" s="51"/>
      <c r="B5716" s="52" t="str">
        <f t="shared" si="300"/>
        <v/>
      </c>
      <c r="C5716" t="str">
        <f t="shared" si="299"/>
        <v/>
      </c>
      <c r="D5716" s="245" t="str">
        <f t="shared" si="301"/>
        <v/>
      </c>
      <c r="E5716" s="534"/>
      <c r="F5716" s="534"/>
    </row>
    <row r="5717" spans="1:6" ht="15" customHeight="1">
      <c r="A5717" s="51"/>
      <c r="B5717" s="52" t="str">
        <f t="shared" si="300"/>
        <v/>
      </c>
      <c r="C5717" t="str">
        <f t="shared" si="299"/>
        <v/>
      </c>
      <c r="D5717" s="245" t="str">
        <f t="shared" si="301"/>
        <v/>
      </c>
      <c r="E5717" s="534"/>
      <c r="F5717" s="534"/>
    </row>
    <row r="5718" spans="1:6" ht="15" customHeight="1">
      <c r="A5718" s="51"/>
      <c r="B5718" s="52" t="str">
        <f t="shared" si="300"/>
        <v/>
      </c>
      <c r="C5718" t="str">
        <f t="shared" si="299"/>
        <v/>
      </c>
      <c r="D5718" s="245" t="str">
        <f t="shared" si="301"/>
        <v/>
      </c>
      <c r="E5718" s="534"/>
      <c r="F5718" s="534"/>
    </row>
    <row r="5719" spans="1:6" ht="15" customHeight="1">
      <c r="A5719" s="51"/>
      <c r="B5719" s="52" t="str">
        <f t="shared" si="300"/>
        <v/>
      </c>
      <c r="C5719" t="str">
        <f t="shared" si="299"/>
        <v/>
      </c>
      <c r="D5719" s="245" t="str">
        <f t="shared" si="301"/>
        <v/>
      </c>
      <c r="E5719" s="534"/>
      <c r="F5719" s="534"/>
    </row>
    <row r="5720" spans="1:6" ht="15" customHeight="1">
      <c r="A5720" s="51"/>
      <c r="B5720" s="52" t="str">
        <f t="shared" si="300"/>
        <v/>
      </c>
      <c r="C5720" t="str">
        <f t="shared" si="299"/>
        <v/>
      </c>
      <c r="D5720" s="245" t="str">
        <f t="shared" si="301"/>
        <v/>
      </c>
      <c r="E5720" s="534"/>
      <c r="F5720" s="534"/>
    </row>
    <row r="5721" spans="1:6" ht="15" customHeight="1">
      <c r="A5721" s="51"/>
      <c r="B5721" s="52" t="str">
        <f t="shared" si="300"/>
        <v/>
      </c>
      <c r="C5721" t="str">
        <f t="shared" si="299"/>
        <v/>
      </c>
      <c r="D5721" s="245" t="str">
        <f t="shared" si="301"/>
        <v/>
      </c>
      <c r="E5721" s="534"/>
      <c r="F5721" s="534"/>
    </row>
    <row r="5722" spans="1:6" ht="15" customHeight="1">
      <c r="A5722" s="51"/>
      <c r="B5722" s="52" t="str">
        <f t="shared" si="300"/>
        <v/>
      </c>
      <c r="C5722" t="str">
        <f t="shared" si="299"/>
        <v/>
      </c>
      <c r="D5722" s="245" t="str">
        <f t="shared" si="301"/>
        <v/>
      </c>
      <c r="E5722" s="534"/>
      <c r="F5722" s="534"/>
    </row>
    <row r="5723" spans="1:6" ht="15" customHeight="1">
      <c r="A5723" s="51"/>
      <c r="B5723" s="52" t="str">
        <f t="shared" si="300"/>
        <v/>
      </c>
      <c r="C5723" t="str">
        <f t="shared" si="299"/>
        <v/>
      </c>
      <c r="D5723" s="245" t="str">
        <f t="shared" si="301"/>
        <v/>
      </c>
      <c r="E5723" s="534"/>
      <c r="F5723" s="534"/>
    </row>
    <row r="5724" spans="1:6" ht="15" customHeight="1">
      <c r="A5724" s="51"/>
      <c r="B5724" s="52" t="str">
        <f t="shared" si="300"/>
        <v/>
      </c>
      <c r="C5724" t="str">
        <f t="shared" si="299"/>
        <v/>
      </c>
      <c r="D5724" s="245" t="str">
        <f t="shared" si="301"/>
        <v/>
      </c>
      <c r="E5724" s="534"/>
      <c r="F5724" s="534"/>
    </row>
    <row r="5725" spans="1:6" ht="15" customHeight="1">
      <c r="A5725" s="51"/>
      <c r="B5725" s="52" t="str">
        <f t="shared" si="300"/>
        <v/>
      </c>
      <c r="C5725" t="str">
        <f t="shared" si="299"/>
        <v/>
      </c>
      <c r="D5725" s="245" t="str">
        <f t="shared" si="301"/>
        <v/>
      </c>
      <c r="E5725" s="534"/>
      <c r="F5725" s="534"/>
    </row>
    <row r="5726" spans="1:6" ht="15" customHeight="1">
      <c r="A5726" s="51"/>
      <c r="B5726" s="52" t="str">
        <f t="shared" si="300"/>
        <v/>
      </c>
      <c r="C5726" t="str">
        <f t="shared" si="299"/>
        <v/>
      </c>
      <c r="D5726" s="245" t="str">
        <f t="shared" si="301"/>
        <v/>
      </c>
      <c r="E5726" s="534"/>
      <c r="F5726" s="534"/>
    </row>
    <row r="5727" spans="1:6" ht="15" customHeight="1">
      <c r="A5727" s="51"/>
      <c r="B5727" s="52" t="str">
        <f t="shared" si="300"/>
        <v/>
      </c>
      <c r="C5727" t="str">
        <f t="shared" si="299"/>
        <v/>
      </c>
      <c r="D5727" s="245" t="str">
        <f t="shared" si="301"/>
        <v/>
      </c>
      <c r="E5727" s="534"/>
      <c r="F5727" s="534"/>
    </row>
    <row r="5728" spans="1:6" ht="15" customHeight="1">
      <c r="A5728" s="51"/>
      <c r="B5728" s="52" t="str">
        <f t="shared" si="300"/>
        <v/>
      </c>
      <c r="C5728" t="str">
        <f t="shared" si="299"/>
        <v/>
      </c>
      <c r="D5728" s="245" t="str">
        <f t="shared" si="301"/>
        <v/>
      </c>
      <c r="E5728" s="534"/>
      <c r="F5728" s="534"/>
    </row>
    <row r="5729" spans="1:6" ht="15" customHeight="1">
      <c r="A5729" s="51"/>
      <c r="B5729" s="52" t="str">
        <f t="shared" si="300"/>
        <v/>
      </c>
      <c r="C5729" t="str">
        <f t="shared" si="299"/>
        <v/>
      </c>
      <c r="D5729" s="245" t="str">
        <f t="shared" si="301"/>
        <v/>
      </c>
      <c r="E5729" s="534"/>
      <c r="F5729" s="534"/>
    </row>
    <row r="5730" spans="1:6" ht="15" customHeight="1">
      <c r="A5730" s="51"/>
      <c r="B5730" s="52" t="str">
        <f t="shared" si="300"/>
        <v/>
      </c>
      <c r="C5730" t="str">
        <f t="shared" si="299"/>
        <v/>
      </c>
      <c r="D5730" s="245" t="str">
        <f t="shared" si="301"/>
        <v/>
      </c>
      <c r="E5730" s="534"/>
      <c r="F5730" s="534"/>
    </row>
    <row r="5731" spans="1:6" ht="15" customHeight="1">
      <c r="A5731" s="51"/>
      <c r="B5731" s="52" t="str">
        <f t="shared" si="300"/>
        <v/>
      </c>
      <c r="C5731" t="str">
        <f t="shared" si="299"/>
        <v/>
      </c>
      <c r="D5731" s="245" t="str">
        <f t="shared" si="301"/>
        <v/>
      </c>
      <c r="E5731" s="534"/>
      <c r="F5731" s="534"/>
    </row>
    <row r="5732" spans="1:6" ht="15" customHeight="1">
      <c r="A5732" s="51"/>
      <c r="B5732" s="52" t="str">
        <f t="shared" si="300"/>
        <v/>
      </c>
      <c r="C5732" t="str">
        <f t="shared" si="299"/>
        <v/>
      </c>
      <c r="D5732" s="245" t="str">
        <f t="shared" si="301"/>
        <v/>
      </c>
      <c r="E5732" s="534"/>
      <c r="F5732" s="534"/>
    </row>
    <row r="5733" spans="1:6" ht="15" customHeight="1">
      <c r="A5733" s="51"/>
      <c r="B5733" s="52" t="str">
        <f t="shared" si="300"/>
        <v/>
      </c>
      <c r="C5733" t="str">
        <f t="shared" si="299"/>
        <v/>
      </c>
      <c r="D5733" s="245" t="str">
        <f t="shared" si="301"/>
        <v/>
      </c>
      <c r="E5733" s="534"/>
      <c r="F5733" s="534"/>
    </row>
    <row r="5734" spans="1:6" ht="15" customHeight="1">
      <c r="A5734" s="51"/>
      <c r="B5734" s="52" t="str">
        <f t="shared" si="300"/>
        <v/>
      </c>
      <c r="C5734" t="str">
        <f t="shared" si="299"/>
        <v/>
      </c>
      <c r="D5734" s="245" t="str">
        <f t="shared" si="301"/>
        <v/>
      </c>
      <c r="E5734" s="534"/>
      <c r="F5734" s="534"/>
    </row>
    <row r="5735" spans="1:6" ht="15" customHeight="1">
      <c r="A5735" s="51"/>
      <c r="B5735" s="52" t="str">
        <f t="shared" si="300"/>
        <v/>
      </c>
      <c r="C5735" t="str">
        <f t="shared" si="299"/>
        <v/>
      </c>
      <c r="D5735" s="245" t="str">
        <f t="shared" si="301"/>
        <v/>
      </c>
      <c r="E5735" s="534"/>
      <c r="F5735" s="534"/>
    </row>
    <row r="5736" spans="1:6" ht="15" customHeight="1">
      <c r="A5736" s="51"/>
      <c r="B5736" s="52" t="str">
        <f t="shared" si="300"/>
        <v/>
      </c>
      <c r="C5736" t="str">
        <f t="shared" si="299"/>
        <v/>
      </c>
      <c r="D5736" s="245" t="str">
        <f t="shared" si="301"/>
        <v/>
      </c>
      <c r="E5736" s="534"/>
      <c r="F5736" s="534"/>
    </row>
    <row r="5737" spans="1:6" ht="15" customHeight="1">
      <c r="A5737" s="51"/>
      <c r="B5737" s="52" t="str">
        <f t="shared" si="300"/>
        <v/>
      </c>
      <c r="C5737" t="str">
        <f t="shared" si="299"/>
        <v/>
      </c>
      <c r="D5737" s="245" t="str">
        <f t="shared" si="301"/>
        <v/>
      </c>
      <c r="E5737" s="534"/>
      <c r="F5737" s="534"/>
    </row>
    <row r="5738" spans="1:6" ht="15" customHeight="1">
      <c r="A5738" s="51"/>
      <c r="B5738" s="52" t="str">
        <f t="shared" si="300"/>
        <v/>
      </c>
      <c r="C5738" t="str">
        <f t="shared" si="299"/>
        <v/>
      </c>
      <c r="D5738" s="245" t="str">
        <f t="shared" si="301"/>
        <v/>
      </c>
      <c r="E5738" s="534"/>
      <c r="F5738" s="534"/>
    </row>
    <row r="5739" spans="1:6" ht="15" customHeight="1">
      <c r="A5739" s="51"/>
      <c r="B5739" s="52" t="str">
        <f t="shared" si="300"/>
        <v/>
      </c>
      <c r="C5739" t="str">
        <f t="shared" si="299"/>
        <v/>
      </c>
      <c r="D5739" s="245" t="str">
        <f t="shared" si="301"/>
        <v/>
      </c>
      <c r="E5739" s="534"/>
      <c r="F5739" s="534"/>
    </row>
    <row r="5740" spans="1:6" ht="15" customHeight="1">
      <c r="A5740" s="51"/>
      <c r="B5740" s="52" t="str">
        <f t="shared" si="300"/>
        <v/>
      </c>
      <c r="C5740" t="str">
        <f t="shared" si="299"/>
        <v/>
      </c>
      <c r="D5740" s="245" t="str">
        <f t="shared" si="301"/>
        <v/>
      </c>
      <c r="E5740" s="534"/>
      <c r="F5740" s="534"/>
    </row>
    <row r="5741" spans="1:6" ht="15" customHeight="1">
      <c r="A5741" s="51"/>
      <c r="B5741" s="52" t="str">
        <f t="shared" si="300"/>
        <v/>
      </c>
      <c r="C5741" t="str">
        <f t="shared" si="299"/>
        <v/>
      </c>
      <c r="D5741" s="245" t="str">
        <f t="shared" si="301"/>
        <v/>
      </c>
      <c r="E5741" s="534"/>
      <c r="F5741" s="534"/>
    </row>
    <row r="5742" spans="1:6" ht="15" customHeight="1">
      <c r="A5742" s="51"/>
      <c r="B5742" s="52" t="str">
        <f t="shared" si="300"/>
        <v/>
      </c>
      <c r="C5742" t="str">
        <f t="shared" si="299"/>
        <v/>
      </c>
      <c r="D5742" s="245" t="str">
        <f t="shared" si="301"/>
        <v/>
      </c>
      <c r="E5742" s="534"/>
      <c r="F5742" s="534"/>
    </row>
    <row r="5743" spans="1:6" ht="15" customHeight="1">
      <c r="A5743" s="51"/>
      <c r="B5743" s="52" t="str">
        <f t="shared" si="300"/>
        <v/>
      </c>
      <c r="C5743" t="str">
        <f t="shared" si="299"/>
        <v/>
      </c>
      <c r="D5743" s="245" t="str">
        <f t="shared" si="301"/>
        <v/>
      </c>
      <c r="E5743" s="534"/>
      <c r="F5743" s="534"/>
    </row>
    <row r="5744" spans="1:6" ht="15" customHeight="1">
      <c r="A5744" s="51"/>
      <c r="B5744" s="52" t="str">
        <f t="shared" si="300"/>
        <v/>
      </c>
      <c r="C5744" t="str">
        <f t="shared" si="299"/>
        <v/>
      </c>
      <c r="D5744" s="245" t="str">
        <f t="shared" si="301"/>
        <v/>
      </c>
      <c r="E5744" s="534"/>
      <c r="F5744" s="534"/>
    </row>
    <row r="5745" spans="1:6" ht="15" customHeight="1">
      <c r="A5745" s="51"/>
      <c r="B5745" s="52" t="str">
        <f t="shared" si="300"/>
        <v/>
      </c>
      <c r="C5745" t="str">
        <f t="shared" si="299"/>
        <v/>
      </c>
      <c r="D5745" s="245" t="str">
        <f t="shared" si="301"/>
        <v/>
      </c>
      <c r="E5745" s="534"/>
      <c r="F5745" s="534"/>
    </row>
    <row r="5746" spans="1:6" ht="15" customHeight="1">
      <c r="A5746" s="51"/>
      <c r="B5746" s="52" t="str">
        <f t="shared" si="300"/>
        <v/>
      </c>
      <c r="C5746" t="str">
        <f t="shared" si="299"/>
        <v/>
      </c>
      <c r="D5746" s="245" t="str">
        <f t="shared" si="301"/>
        <v/>
      </c>
      <c r="E5746" s="534"/>
      <c r="F5746" s="534"/>
    </row>
    <row r="5747" spans="1:6" ht="15" customHeight="1">
      <c r="A5747" s="51"/>
      <c r="B5747" s="52" t="str">
        <f t="shared" si="300"/>
        <v/>
      </c>
      <c r="C5747" t="str">
        <f t="shared" si="299"/>
        <v/>
      </c>
      <c r="D5747" s="245" t="str">
        <f t="shared" si="301"/>
        <v/>
      </c>
      <c r="E5747" s="534"/>
      <c r="F5747" s="534"/>
    </row>
    <row r="5748" spans="1:6" ht="15" customHeight="1">
      <c r="A5748" s="51"/>
      <c r="B5748" s="52" t="str">
        <f t="shared" si="300"/>
        <v/>
      </c>
      <c r="C5748" t="str">
        <f t="shared" si="299"/>
        <v/>
      </c>
      <c r="D5748" s="245" t="str">
        <f t="shared" si="301"/>
        <v/>
      </c>
      <c r="E5748" s="534"/>
      <c r="F5748" s="534"/>
    </row>
    <row r="5749" spans="1:6" ht="15" customHeight="1">
      <c r="A5749" s="51"/>
      <c r="B5749" s="52" t="str">
        <f t="shared" si="300"/>
        <v/>
      </c>
      <c r="C5749" t="str">
        <f t="shared" si="299"/>
        <v/>
      </c>
      <c r="D5749" s="245" t="str">
        <f t="shared" si="301"/>
        <v/>
      </c>
      <c r="E5749" s="534"/>
      <c r="F5749" s="534"/>
    </row>
    <row r="5750" spans="1:6" ht="15" customHeight="1">
      <c r="A5750" s="51"/>
      <c r="B5750" s="52" t="str">
        <f t="shared" si="300"/>
        <v/>
      </c>
      <c r="C5750" t="str">
        <f t="shared" si="299"/>
        <v/>
      </c>
      <c r="D5750" s="245" t="str">
        <f t="shared" si="301"/>
        <v/>
      </c>
      <c r="E5750" s="534"/>
      <c r="F5750" s="534"/>
    </row>
    <row r="5751" spans="1:6" ht="15" customHeight="1">
      <c r="A5751" s="51"/>
      <c r="B5751" s="52" t="str">
        <f t="shared" si="300"/>
        <v/>
      </c>
      <c r="C5751" t="str">
        <f t="shared" si="299"/>
        <v/>
      </c>
      <c r="D5751" s="245" t="str">
        <f t="shared" si="301"/>
        <v/>
      </c>
      <c r="E5751" s="534"/>
      <c r="F5751" s="534"/>
    </row>
    <row r="5752" spans="1:6" ht="15" customHeight="1">
      <c r="A5752" s="51"/>
      <c r="B5752" s="52" t="str">
        <f t="shared" si="300"/>
        <v/>
      </c>
      <c r="C5752" t="str">
        <f t="shared" si="299"/>
        <v/>
      </c>
      <c r="D5752" s="245" t="str">
        <f t="shared" si="301"/>
        <v/>
      </c>
      <c r="E5752" s="534"/>
      <c r="F5752" s="534"/>
    </row>
    <row r="5753" spans="1:6" ht="15" customHeight="1">
      <c r="A5753" s="51"/>
      <c r="B5753" s="52" t="str">
        <f t="shared" si="300"/>
        <v/>
      </c>
      <c r="C5753" t="str">
        <f t="shared" si="299"/>
        <v/>
      </c>
      <c r="D5753" s="245" t="str">
        <f t="shared" si="301"/>
        <v/>
      </c>
      <c r="E5753" s="534"/>
      <c r="F5753" s="534"/>
    </row>
    <row r="5754" spans="1:6" ht="15" customHeight="1">
      <c r="A5754" s="51"/>
      <c r="B5754" s="52" t="str">
        <f t="shared" si="300"/>
        <v/>
      </c>
      <c r="C5754" t="str">
        <f t="shared" si="299"/>
        <v/>
      </c>
      <c r="D5754" s="245" t="str">
        <f t="shared" si="301"/>
        <v/>
      </c>
      <c r="E5754" s="534"/>
      <c r="F5754" s="534"/>
    </row>
    <row r="5755" spans="1:6" ht="15" customHeight="1">
      <c r="A5755" s="51"/>
      <c r="B5755" s="52" t="str">
        <f t="shared" si="300"/>
        <v/>
      </c>
      <c r="C5755" t="str">
        <f t="shared" si="299"/>
        <v/>
      </c>
      <c r="D5755" s="245" t="str">
        <f t="shared" si="301"/>
        <v/>
      </c>
      <c r="E5755" s="534"/>
      <c r="F5755" s="534"/>
    </row>
    <row r="5756" spans="1:6" ht="15" customHeight="1">
      <c r="A5756" s="51"/>
      <c r="B5756" s="52" t="str">
        <f t="shared" si="300"/>
        <v/>
      </c>
      <c r="C5756" t="str">
        <f t="shared" si="299"/>
        <v/>
      </c>
      <c r="D5756" s="245" t="str">
        <f t="shared" si="301"/>
        <v/>
      </c>
      <c r="E5756" s="534"/>
      <c r="F5756" s="534"/>
    </row>
    <row r="5757" spans="1:6" ht="15" customHeight="1">
      <c r="A5757" s="51"/>
      <c r="B5757" s="52" t="str">
        <f t="shared" si="300"/>
        <v/>
      </c>
      <c r="C5757" t="str">
        <f t="shared" si="299"/>
        <v/>
      </c>
      <c r="D5757" s="245" t="str">
        <f t="shared" si="301"/>
        <v/>
      </c>
      <c r="E5757" s="534"/>
      <c r="F5757" s="534"/>
    </row>
    <row r="5758" spans="1:6" ht="15" customHeight="1">
      <c r="A5758" s="51"/>
      <c r="B5758" s="52" t="str">
        <f t="shared" si="300"/>
        <v/>
      </c>
      <c r="C5758" t="str">
        <f t="shared" si="299"/>
        <v/>
      </c>
      <c r="D5758" s="245" t="str">
        <f t="shared" si="301"/>
        <v/>
      </c>
      <c r="E5758" s="534"/>
      <c r="F5758" s="534"/>
    </row>
    <row r="5759" spans="1:6" ht="15" customHeight="1">
      <c r="A5759" s="51"/>
      <c r="B5759" s="52" t="str">
        <f t="shared" si="300"/>
        <v/>
      </c>
      <c r="C5759" t="str">
        <f t="shared" si="299"/>
        <v/>
      </c>
      <c r="D5759" s="245" t="str">
        <f t="shared" si="301"/>
        <v/>
      </c>
      <c r="E5759" s="534"/>
      <c r="F5759" s="534"/>
    </row>
    <row r="5760" spans="1:6" ht="15" customHeight="1">
      <c r="A5760" s="51"/>
      <c r="B5760" s="52" t="str">
        <f t="shared" si="300"/>
        <v/>
      </c>
      <c r="C5760" t="str">
        <f t="shared" si="299"/>
        <v/>
      </c>
      <c r="D5760" s="245" t="str">
        <f t="shared" si="301"/>
        <v/>
      </c>
      <c r="E5760" s="534"/>
      <c r="F5760" s="534"/>
    </row>
    <row r="5761" spans="1:6" ht="15" customHeight="1">
      <c r="A5761" s="51"/>
      <c r="B5761" s="52" t="str">
        <f t="shared" si="300"/>
        <v/>
      </c>
      <c r="C5761" t="str">
        <f t="shared" si="299"/>
        <v/>
      </c>
      <c r="D5761" s="245" t="str">
        <f t="shared" si="301"/>
        <v/>
      </c>
      <c r="E5761" s="534"/>
      <c r="F5761" s="534"/>
    </row>
    <row r="5762" spans="1:6" ht="15" customHeight="1">
      <c r="A5762" s="51"/>
      <c r="B5762" s="52" t="str">
        <f t="shared" si="300"/>
        <v/>
      </c>
      <c r="C5762" t="str">
        <f t="shared" ref="C5762:C5825" si="302">IF(A5762&lt;&gt;"",TEXT(A5762,"aaaa"),"")</f>
        <v/>
      </c>
      <c r="D5762" s="245" t="str">
        <f t="shared" si="301"/>
        <v/>
      </c>
      <c r="E5762" s="534"/>
      <c r="F5762" s="534"/>
    </row>
    <row r="5763" spans="1:6" ht="15" customHeight="1">
      <c r="A5763" s="51"/>
      <c r="B5763" s="52" t="str">
        <f t="shared" si="300"/>
        <v/>
      </c>
      <c r="C5763" t="str">
        <f t="shared" si="302"/>
        <v/>
      </c>
      <c r="D5763" s="245" t="str">
        <f t="shared" si="301"/>
        <v/>
      </c>
      <c r="E5763" s="534"/>
      <c r="F5763" s="534"/>
    </row>
    <row r="5764" spans="1:6" ht="15" customHeight="1">
      <c r="A5764" s="51"/>
      <c r="B5764" s="52" t="str">
        <f t="shared" si="300"/>
        <v/>
      </c>
      <c r="C5764" t="str">
        <f t="shared" si="302"/>
        <v/>
      </c>
      <c r="D5764" s="245" t="str">
        <f t="shared" si="301"/>
        <v/>
      </c>
      <c r="E5764" s="534"/>
      <c r="F5764" s="534"/>
    </row>
    <row r="5765" spans="1:6" ht="15" customHeight="1">
      <c r="A5765" s="51"/>
      <c r="B5765" s="52" t="str">
        <f t="shared" si="300"/>
        <v/>
      </c>
      <c r="C5765" t="str">
        <f t="shared" si="302"/>
        <v/>
      </c>
      <c r="D5765" s="245" t="str">
        <f t="shared" si="301"/>
        <v/>
      </c>
      <c r="E5765" s="534"/>
      <c r="F5765" s="534"/>
    </row>
    <row r="5766" spans="1:6" ht="15" customHeight="1">
      <c r="A5766" s="51"/>
      <c r="B5766" s="52" t="str">
        <f t="shared" si="300"/>
        <v/>
      </c>
      <c r="C5766" t="str">
        <f t="shared" si="302"/>
        <v/>
      </c>
      <c r="D5766" s="245" t="str">
        <f t="shared" si="301"/>
        <v/>
      </c>
      <c r="E5766" s="534"/>
      <c r="F5766" s="534"/>
    </row>
    <row r="5767" spans="1:6" ht="15" customHeight="1">
      <c r="A5767" s="51"/>
      <c r="B5767" s="52" t="str">
        <f t="shared" si="300"/>
        <v/>
      </c>
      <c r="C5767" t="str">
        <f t="shared" si="302"/>
        <v/>
      </c>
      <c r="D5767" s="245" t="str">
        <f t="shared" si="301"/>
        <v/>
      </c>
      <c r="E5767" s="534"/>
      <c r="F5767" s="534"/>
    </row>
    <row r="5768" spans="1:6" ht="15" customHeight="1">
      <c r="A5768" s="51"/>
      <c r="B5768" s="52" t="str">
        <f t="shared" ref="B5768:B5831" si="303">IF(A5768="","",TEXT(A5768,"DDDD"))</f>
        <v/>
      </c>
      <c r="C5768" t="str">
        <f t="shared" si="302"/>
        <v/>
      </c>
      <c r="D5768" s="245" t="str">
        <f t="shared" si="301"/>
        <v/>
      </c>
      <c r="E5768" s="534"/>
      <c r="F5768" s="534"/>
    </row>
    <row r="5769" spans="1:6" ht="15" customHeight="1">
      <c r="A5769" s="51"/>
      <c r="B5769" s="52" t="str">
        <f t="shared" si="303"/>
        <v/>
      </c>
      <c r="C5769" t="str">
        <f t="shared" si="302"/>
        <v/>
      </c>
      <c r="D5769" s="245" t="str">
        <f t="shared" ref="D5769:D5832" si="304">IF(A5769&lt;&gt;"",PROPER(TEXT(A5769,"Mmmm")),"")</f>
        <v/>
      </c>
      <c r="E5769" s="534"/>
      <c r="F5769" s="534"/>
    </row>
    <row r="5770" spans="1:6" ht="15" customHeight="1">
      <c r="A5770" s="51"/>
      <c r="B5770" s="52" t="str">
        <f t="shared" si="303"/>
        <v/>
      </c>
      <c r="C5770" t="str">
        <f t="shared" si="302"/>
        <v/>
      </c>
      <c r="D5770" s="245" t="str">
        <f t="shared" si="304"/>
        <v/>
      </c>
      <c r="E5770" s="534"/>
      <c r="F5770" s="534"/>
    </row>
    <row r="5771" spans="1:6" ht="15" customHeight="1">
      <c r="A5771" s="51"/>
      <c r="B5771" s="52" t="str">
        <f t="shared" si="303"/>
        <v/>
      </c>
      <c r="C5771" t="str">
        <f t="shared" si="302"/>
        <v/>
      </c>
      <c r="D5771" s="245" t="str">
        <f t="shared" si="304"/>
        <v/>
      </c>
      <c r="E5771" s="534"/>
      <c r="F5771" s="534"/>
    </row>
    <row r="5772" spans="1:6" ht="15" customHeight="1">
      <c r="A5772" s="51"/>
      <c r="B5772" s="52" t="str">
        <f t="shared" si="303"/>
        <v/>
      </c>
      <c r="C5772" t="str">
        <f t="shared" si="302"/>
        <v/>
      </c>
      <c r="D5772" s="245" t="str">
        <f t="shared" si="304"/>
        <v/>
      </c>
      <c r="E5772" s="534"/>
      <c r="F5772" s="534"/>
    </row>
    <row r="5773" spans="1:6" ht="15" customHeight="1">
      <c r="A5773" s="51"/>
      <c r="B5773" s="52" t="str">
        <f t="shared" si="303"/>
        <v/>
      </c>
      <c r="C5773" t="str">
        <f t="shared" si="302"/>
        <v/>
      </c>
      <c r="D5773" s="245" t="str">
        <f t="shared" si="304"/>
        <v/>
      </c>
      <c r="E5773" s="534"/>
      <c r="F5773" s="534"/>
    </row>
    <row r="5774" spans="1:6" ht="15" customHeight="1">
      <c r="A5774" s="51"/>
      <c r="B5774" s="52" t="str">
        <f t="shared" si="303"/>
        <v/>
      </c>
      <c r="C5774" t="str">
        <f t="shared" si="302"/>
        <v/>
      </c>
      <c r="D5774" s="245" t="str">
        <f t="shared" si="304"/>
        <v/>
      </c>
      <c r="E5774" s="534"/>
      <c r="F5774" s="534"/>
    </row>
    <row r="5775" spans="1:6" ht="15" customHeight="1">
      <c r="A5775" s="51"/>
      <c r="B5775" s="52" t="str">
        <f t="shared" si="303"/>
        <v/>
      </c>
      <c r="C5775" t="str">
        <f t="shared" si="302"/>
        <v/>
      </c>
      <c r="D5775" s="245" t="str">
        <f t="shared" si="304"/>
        <v/>
      </c>
      <c r="E5775" s="534"/>
      <c r="F5775" s="534"/>
    </row>
    <row r="5776" spans="1:6" ht="15" customHeight="1">
      <c r="A5776" s="51"/>
      <c r="B5776" s="52" t="str">
        <f t="shared" si="303"/>
        <v/>
      </c>
      <c r="C5776" t="str">
        <f t="shared" si="302"/>
        <v/>
      </c>
      <c r="D5776" s="245" t="str">
        <f t="shared" si="304"/>
        <v/>
      </c>
      <c r="E5776" s="534"/>
      <c r="F5776" s="534"/>
    </row>
    <row r="5777" spans="1:6" ht="15" customHeight="1">
      <c r="A5777" s="51"/>
      <c r="B5777" s="52" t="str">
        <f t="shared" si="303"/>
        <v/>
      </c>
      <c r="C5777" t="str">
        <f t="shared" si="302"/>
        <v/>
      </c>
      <c r="D5777" s="245" t="str">
        <f t="shared" si="304"/>
        <v/>
      </c>
      <c r="E5777" s="534"/>
      <c r="F5777" s="534"/>
    </row>
    <row r="5778" spans="1:6" ht="15" customHeight="1">
      <c r="A5778" s="51"/>
      <c r="B5778" s="52" t="str">
        <f t="shared" si="303"/>
        <v/>
      </c>
      <c r="C5778" t="str">
        <f t="shared" si="302"/>
        <v/>
      </c>
      <c r="D5778" s="245" t="str">
        <f t="shared" si="304"/>
        <v/>
      </c>
      <c r="E5778" s="534"/>
      <c r="F5778" s="534"/>
    </row>
    <row r="5779" spans="1:6" ht="15" customHeight="1">
      <c r="A5779" s="51"/>
      <c r="B5779" s="52" t="str">
        <f t="shared" si="303"/>
        <v/>
      </c>
      <c r="C5779" t="str">
        <f t="shared" si="302"/>
        <v/>
      </c>
      <c r="D5779" s="245" t="str">
        <f t="shared" si="304"/>
        <v/>
      </c>
      <c r="E5779" s="534"/>
      <c r="F5779" s="534"/>
    </row>
    <row r="5780" spans="1:6" ht="15" customHeight="1">
      <c r="A5780" s="51"/>
      <c r="B5780" s="52" t="str">
        <f t="shared" si="303"/>
        <v/>
      </c>
      <c r="C5780" t="str">
        <f t="shared" si="302"/>
        <v/>
      </c>
      <c r="D5780" s="245" t="str">
        <f t="shared" si="304"/>
        <v/>
      </c>
      <c r="E5780" s="534"/>
      <c r="F5780" s="534"/>
    </row>
    <row r="5781" spans="1:6" ht="15" customHeight="1">
      <c r="A5781" s="51"/>
      <c r="B5781" s="52" t="str">
        <f t="shared" si="303"/>
        <v/>
      </c>
      <c r="C5781" t="str">
        <f t="shared" si="302"/>
        <v/>
      </c>
      <c r="D5781" s="245" t="str">
        <f t="shared" si="304"/>
        <v/>
      </c>
      <c r="E5781" s="534"/>
      <c r="F5781" s="534"/>
    </row>
    <row r="5782" spans="1:6" ht="15" customHeight="1">
      <c r="A5782" s="51"/>
      <c r="B5782" s="52" t="str">
        <f t="shared" si="303"/>
        <v/>
      </c>
      <c r="C5782" t="str">
        <f t="shared" si="302"/>
        <v/>
      </c>
      <c r="D5782" s="245" t="str">
        <f t="shared" si="304"/>
        <v/>
      </c>
      <c r="E5782" s="534"/>
      <c r="F5782" s="534"/>
    </row>
    <row r="5783" spans="1:6" ht="15" customHeight="1">
      <c r="A5783" s="51"/>
      <c r="B5783" s="52" t="str">
        <f t="shared" si="303"/>
        <v/>
      </c>
      <c r="C5783" t="str">
        <f t="shared" si="302"/>
        <v/>
      </c>
      <c r="D5783" s="245" t="str">
        <f t="shared" si="304"/>
        <v/>
      </c>
      <c r="E5783" s="534"/>
      <c r="F5783" s="534"/>
    </row>
    <row r="5784" spans="1:6" ht="15" customHeight="1">
      <c r="A5784" s="51"/>
      <c r="B5784" s="52" t="str">
        <f t="shared" si="303"/>
        <v/>
      </c>
      <c r="C5784" t="str">
        <f t="shared" si="302"/>
        <v/>
      </c>
      <c r="D5784" s="245" t="str">
        <f t="shared" si="304"/>
        <v/>
      </c>
      <c r="E5784" s="534"/>
      <c r="F5784" s="534"/>
    </row>
    <row r="5785" spans="1:6" ht="15" customHeight="1">
      <c r="A5785" s="51"/>
      <c r="B5785" s="52" t="str">
        <f t="shared" si="303"/>
        <v/>
      </c>
      <c r="C5785" t="str">
        <f t="shared" si="302"/>
        <v/>
      </c>
      <c r="D5785" s="245" t="str">
        <f t="shared" si="304"/>
        <v/>
      </c>
      <c r="E5785" s="534"/>
      <c r="F5785" s="534"/>
    </row>
    <row r="5786" spans="1:6" ht="15" customHeight="1">
      <c r="A5786" s="51"/>
      <c r="B5786" s="52" t="str">
        <f t="shared" si="303"/>
        <v/>
      </c>
      <c r="C5786" t="str">
        <f t="shared" si="302"/>
        <v/>
      </c>
      <c r="D5786" s="245" t="str">
        <f t="shared" si="304"/>
        <v/>
      </c>
      <c r="E5786" s="534"/>
      <c r="F5786" s="534"/>
    </row>
    <row r="5787" spans="1:6" ht="15" customHeight="1">
      <c r="A5787" s="51"/>
      <c r="B5787" s="52" t="str">
        <f t="shared" si="303"/>
        <v/>
      </c>
      <c r="C5787" t="str">
        <f t="shared" si="302"/>
        <v/>
      </c>
      <c r="D5787" s="245" t="str">
        <f t="shared" si="304"/>
        <v/>
      </c>
      <c r="E5787" s="534"/>
      <c r="F5787" s="534"/>
    </row>
    <row r="5788" spans="1:6" ht="15" customHeight="1">
      <c r="A5788" s="51"/>
      <c r="B5788" s="52" t="str">
        <f t="shared" si="303"/>
        <v/>
      </c>
      <c r="C5788" t="str">
        <f t="shared" si="302"/>
        <v/>
      </c>
      <c r="D5788" s="245" t="str">
        <f t="shared" si="304"/>
        <v/>
      </c>
      <c r="E5788" s="534"/>
      <c r="F5788" s="534"/>
    </row>
    <row r="5789" spans="1:6" ht="15" customHeight="1">
      <c r="A5789" s="51"/>
      <c r="B5789" s="52" t="str">
        <f t="shared" si="303"/>
        <v/>
      </c>
      <c r="C5789" t="str">
        <f t="shared" si="302"/>
        <v/>
      </c>
      <c r="D5789" s="245" t="str">
        <f t="shared" si="304"/>
        <v/>
      </c>
      <c r="E5789" s="534"/>
      <c r="F5789" s="534"/>
    </row>
    <row r="5790" spans="1:6" ht="15" customHeight="1">
      <c r="A5790" s="51"/>
      <c r="B5790" s="52" t="str">
        <f t="shared" si="303"/>
        <v/>
      </c>
      <c r="C5790" t="str">
        <f t="shared" si="302"/>
        <v/>
      </c>
      <c r="D5790" s="245" t="str">
        <f t="shared" si="304"/>
        <v/>
      </c>
      <c r="E5790" s="534"/>
      <c r="F5790" s="534"/>
    </row>
    <row r="5791" spans="1:6" ht="15" customHeight="1">
      <c r="A5791" s="51"/>
      <c r="B5791" s="52" t="str">
        <f t="shared" si="303"/>
        <v/>
      </c>
      <c r="C5791" t="str">
        <f t="shared" si="302"/>
        <v/>
      </c>
      <c r="D5791" s="245" t="str">
        <f t="shared" si="304"/>
        <v/>
      </c>
      <c r="E5791" s="534"/>
      <c r="F5791" s="534"/>
    </row>
    <row r="5792" spans="1:6" ht="15" customHeight="1">
      <c r="A5792" s="51"/>
      <c r="B5792" s="52" t="str">
        <f t="shared" si="303"/>
        <v/>
      </c>
      <c r="C5792" t="str">
        <f t="shared" si="302"/>
        <v/>
      </c>
      <c r="D5792" s="245" t="str">
        <f t="shared" si="304"/>
        <v/>
      </c>
      <c r="E5792" s="534"/>
      <c r="F5792" s="534"/>
    </row>
    <row r="5793" spans="1:6" ht="15" customHeight="1">
      <c r="A5793" s="51"/>
      <c r="B5793" s="52" t="str">
        <f t="shared" si="303"/>
        <v/>
      </c>
      <c r="C5793" t="str">
        <f t="shared" si="302"/>
        <v/>
      </c>
      <c r="D5793" s="245" t="str">
        <f t="shared" si="304"/>
        <v/>
      </c>
      <c r="E5793" s="534"/>
      <c r="F5793" s="534"/>
    </row>
    <row r="5794" spans="1:6" ht="15" customHeight="1">
      <c r="A5794" s="51"/>
      <c r="B5794" s="52" t="str">
        <f t="shared" si="303"/>
        <v/>
      </c>
      <c r="C5794" t="str">
        <f t="shared" si="302"/>
        <v/>
      </c>
      <c r="D5794" s="245" t="str">
        <f t="shared" si="304"/>
        <v/>
      </c>
      <c r="E5794" s="534"/>
      <c r="F5794" s="534"/>
    </row>
    <row r="5795" spans="1:6" ht="15" customHeight="1">
      <c r="A5795" s="51"/>
      <c r="B5795" s="52" t="str">
        <f t="shared" si="303"/>
        <v/>
      </c>
      <c r="C5795" t="str">
        <f t="shared" si="302"/>
        <v/>
      </c>
      <c r="D5795" s="245" t="str">
        <f t="shared" si="304"/>
        <v/>
      </c>
      <c r="E5795" s="534"/>
      <c r="F5795" s="534"/>
    </row>
    <row r="5796" spans="1:6" ht="15" customHeight="1">
      <c r="A5796" s="51"/>
      <c r="B5796" s="52" t="str">
        <f t="shared" si="303"/>
        <v/>
      </c>
      <c r="C5796" t="str">
        <f t="shared" si="302"/>
        <v/>
      </c>
      <c r="D5796" s="245" t="str">
        <f t="shared" si="304"/>
        <v/>
      </c>
      <c r="E5796" s="534"/>
      <c r="F5796" s="534"/>
    </row>
    <row r="5797" spans="1:6" ht="15" customHeight="1">
      <c r="A5797" s="51"/>
      <c r="B5797" s="52" t="str">
        <f t="shared" si="303"/>
        <v/>
      </c>
      <c r="C5797" t="str">
        <f t="shared" si="302"/>
        <v/>
      </c>
      <c r="D5797" s="245" t="str">
        <f t="shared" si="304"/>
        <v/>
      </c>
      <c r="E5797" s="534"/>
      <c r="F5797" s="534"/>
    </row>
    <row r="5798" spans="1:6" ht="15" customHeight="1">
      <c r="A5798" s="51"/>
      <c r="B5798" s="52" t="str">
        <f t="shared" si="303"/>
        <v/>
      </c>
      <c r="C5798" t="str">
        <f t="shared" si="302"/>
        <v/>
      </c>
      <c r="D5798" s="245" t="str">
        <f t="shared" si="304"/>
        <v/>
      </c>
      <c r="E5798" s="534"/>
      <c r="F5798" s="534"/>
    </row>
    <row r="5799" spans="1:6" ht="15" customHeight="1">
      <c r="A5799" s="51"/>
      <c r="B5799" s="52" t="str">
        <f t="shared" si="303"/>
        <v/>
      </c>
      <c r="C5799" t="str">
        <f t="shared" si="302"/>
        <v/>
      </c>
      <c r="D5799" s="245" t="str">
        <f t="shared" si="304"/>
        <v/>
      </c>
      <c r="E5799" s="534"/>
      <c r="F5799" s="534"/>
    </row>
    <row r="5800" spans="1:6" ht="15" customHeight="1">
      <c r="A5800" s="51"/>
      <c r="B5800" s="52" t="str">
        <f t="shared" si="303"/>
        <v/>
      </c>
      <c r="C5800" t="str">
        <f t="shared" si="302"/>
        <v/>
      </c>
      <c r="D5800" s="245" t="str">
        <f t="shared" si="304"/>
        <v/>
      </c>
      <c r="E5800" s="534"/>
      <c r="F5800" s="534"/>
    </row>
    <row r="5801" spans="1:6" ht="15" customHeight="1">
      <c r="A5801" s="51"/>
      <c r="B5801" s="52" t="str">
        <f t="shared" si="303"/>
        <v/>
      </c>
      <c r="C5801" t="str">
        <f t="shared" si="302"/>
        <v/>
      </c>
      <c r="D5801" s="245" t="str">
        <f t="shared" si="304"/>
        <v/>
      </c>
      <c r="E5801" s="534"/>
      <c r="F5801" s="534"/>
    </row>
    <row r="5802" spans="1:6" ht="15" customHeight="1">
      <c r="A5802" s="51"/>
      <c r="B5802" s="52" t="str">
        <f t="shared" si="303"/>
        <v/>
      </c>
      <c r="C5802" t="str">
        <f t="shared" si="302"/>
        <v/>
      </c>
      <c r="D5802" s="245" t="str">
        <f t="shared" si="304"/>
        <v/>
      </c>
      <c r="E5802" s="534"/>
      <c r="F5802" s="534"/>
    </row>
    <row r="5803" spans="1:6" ht="15" customHeight="1">
      <c r="A5803" s="51"/>
      <c r="B5803" s="52" t="str">
        <f t="shared" si="303"/>
        <v/>
      </c>
      <c r="C5803" t="str">
        <f t="shared" si="302"/>
        <v/>
      </c>
      <c r="D5803" s="245" t="str">
        <f t="shared" si="304"/>
        <v/>
      </c>
      <c r="E5803" s="534"/>
      <c r="F5803" s="534"/>
    </row>
    <row r="5804" spans="1:6" ht="15" customHeight="1">
      <c r="A5804" s="51"/>
      <c r="B5804" s="52" t="str">
        <f t="shared" si="303"/>
        <v/>
      </c>
      <c r="C5804" t="str">
        <f t="shared" si="302"/>
        <v/>
      </c>
      <c r="D5804" s="245" t="str">
        <f t="shared" si="304"/>
        <v/>
      </c>
      <c r="E5804" s="534"/>
      <c r="F5804" s="534"/>
    </row>
    <row r="5805" spans="1:6" ht="15" customHeight="1">
      <c r="A5805" s="51"/>
      <c r="B5805" s="52" t="str">
        <f t="shared" si="303"/>
        <v/>
      </c>
      <c r="C5805" t="str">
        <f t="shared" si="302"/>
        <v/>
      </c>
      <c r="D5805" s="245" t="str">
        <f t="shared" si="304"/>
        <v/>
      </c>
      <c r="E5805" s="534"/>
      <c r="F5805" s="534"/>
    </row>
    <row r="5806" spans="1:6" ht="15" customHeight="1">
      <c r="A5806" s="51"/>
      <c r="B5806" s="52" t="str">
        <f t="shared" si="303"/>
        <v/>
      </c>
      <c r="C5806" t="str">
        <f t="shared" si="302"/>
        <v/>
      </c>
      <c r="D5806" s="245" t="str">
        <f t="shared" si="304"/>
        <v/>
      </c>
      <c r="E5806" s="534"/>
      <c r="F5806" s="534"/>
    </row>
    <row r="5807" spans="1:6" ht="15" customHeight="1">
      <c r="A5807" s="51"/>
      <c r="B5807" s="52" t="str">
        <f t="shared" si="303"/>
        <v/>
      </c>
      <c r="C5807" t="str">
        <f t="shared" si="302"/>
        <v/>
      </c>
      <c r="D5807" s="245" t="str">
        <f t="shared" si="304"/>
        <v/>
      </c>
      <c r="E5807" s="534"/>
      <c r="F5807" s="534"/>
    </row>
    <row r="5808" spans="1:6" ht="15" customHeight="1">
      <c r="A5808" s="51"/>
      <c r="B5808" s="52" t="str">
        <f t="shared" si="303"/>
        <v/>
      </c>
      <c r="C5808" t="str">
        <f t="shared" si="302"/>
        <v/>
      </c>
      <c r="D5808" s="245" t="str">
        <f t="shared" si="304"/>
        <v/>
      </c>
      <c r="E5808" s="534"/>
      <c r="F5808" s="534"/>
    </row>
    <row r="5809" spans="1:6" ht="15" customHeight="1">
      <c r="A5809" s="51"/>
      <c r="B5809" s="52" t="str">
        <f t="shared" si="303"/>
        <v/>
      </c>
      <c r="C5809" t="str">
        <f t="shared" si="302"/>
        <v/>
      </c>
      <c r="D5809" s="245" t="str">
        <f t="shared" si="304"/>
        <v/>
      </c>
      <c r="E5809" s="534"/>
      <c r="F5809" s="534"/>
    </row>
    <row r="5810" spans="1:6" ht="15" customHeight="1">
      <c r="A5810" s="51"/>
      <c r="B5810" s="52" t="str">
        <f t="shared" si="303"/>
        <v/>
      </c>
      <c r="C5810" t="str">
        <f t="shared" si="302"/>
        <v/>
      </c>
      <c r="D5810" s="245" t="str">
        <f t="shared" si="304"/>
        <v/>
      </c>
      <c r="E5810" s="534"/>
      <c r="F5810" s="534"/>
    </row>
    <row r="5811" spans="1:6" ht="15" customHeight="1">
      <c r="A5811" s="51"/>
      <c r="B5811" s="52" t="str">
        <f t="shared" si="303"/>
        <v/>
      </c>
      <c r="C5811" t="str">
        <f t="shared" si="302"/>
        <v/>
      </c>
      <c r="D5811" s="245" t="str">
        <f t="shared" si="304"/>
        <v/>
      </c>
      <c r="E5811" s="534"/>
      <c r="F5811" s="534"/>
    </row>
    <row r="5812" spans="1:6" ht="15" customHeight="1">
      <c r="A5812" s="51"/>
      <c r="B5812" s="52" t="str">
        <f t="shared" si="303"/>
        <v/>
      </c>
      <c r="C5812" t="str">
        <f t="shared" si="302"/>
        <v/>
      </c>
      <c r="D5812" s="245" t="str">
        <f t="shared" si="304"/>
        <v/>
      </c>
      <c r="E5812" s="534"/>
      <c r="F5812" s="534"/>
    </row>
    <row r="5813" spans="1:6" ht="15" customHeight="1">
      <c r="A5813" s="51"/>
      <c r="B5813" s="52" t="str">
        <f t="shared" si="303"/>
        <v/>
      </c>
      <c r="C5813" t="str">
        <f t="shared" si="302"/>
        <v/>
      </c>
      <c r="D5813" s="245" t="str">
        <f t="shared" si="304"/>
        <v/>
      </c>
      <c r="E5813" s="534"/>
      <c r="F5813" s="534"/>
    </row>
    <row r="5814" spans="1:6" ht="15" customHeight="1">
      <c r="A5814" s="51"/>
      <c r="B5814" s="52" t="str">
        <f t="shared" si="303"/>
        <v/>
      </c>
      <c r="C5814" t="str">
        <f t="shared" si="302"/>
        <v/>
      </c>
      <c r="D5814" s="245" t="str">
        <f t="shared" si="304"/>
        <v/>
      </c>
      <c r="E5814" s="534"/>
      <c r="F5814" s="534"/>
    </row>
    <row r="5815" spans="1:6" ht="15" customHeight="1">
      <c r="A5815" s="51"/>
      <c r="B5815" s="52" t="str">
        <f t="shared" si="303"/>
        <v/>
      </c>
      <c r="C5815" t="str">
        <f t="shared" si="302"/>
        <v/>
      </c>
      <c r="D5815" s="245" t="str">
        <f t="shared" si="304"/>
        <v/>
      </c>
      <c r="E5815" s="534"/>
      <c r="F5815" s="534"/>
    </row>
    <row r="5816" spans="1:6" ht="15" customHeight="1">
      <c r="A5816" s="51"/>
      <c r="B5816" s="52" t="str">
        <f t="shared" si="303"/>
        <v/>
      </c>
      <c r="C5816" t="str">
        <f t="shared" si="302"/>
        <v/>
      </c>
      <c r="D5816" s="245" t="str">
        <f t="shared" si="304"/>
        <v/>
      </c>
      <c r="E5816" s="534"/>
      <c r="F5816" s="534"/>
    </row>
    <row r="5817" spans="1:6" ht="15" customHeight="1">
      <c r="A5817" s="51"/>
      <c r="B5817" s="52" t="str">
        <f t="shared" si="303"/>
        <v/>
      </c>
      <c r="C5817" t="str">
        <f t="shared" si="302"/>
        <v/>
      </c>
      <c r="D5817" s="245" t="str">
        <f t="shared" si="304"/>
        <v/>
      </c>
      <c r="E5817" s="534"/>
      <c r="F5817" s="534"/>
    </row>
    <row r="5818" spans="1:6" ht="15" customHeight="1">
      <c r="A5818" s="51"/>
      <c r="B5818" s="52" t="str">
        <f t="shared" si="303"/>
        <v/>
      </c>
      <c r="C5818" t="str">
        <f t="shared" si="302"/>
        <v/>
      </c>
      <c r="D5818" s="245" t="str">
        <f t="shared" si="304"/>
        <v/>
      </c>
      <c r="E5818" s="534"/>
      <c r="F5818" s="534"/>
    </row>
    <row r="5819" spans="1:6" ht="15" customHeight="1">
      <c r="A5819" s="51"/>
      <c r="B5819" s="52" t="str">
        <f t="shared" si="303"/>
        <v/>
      </c>
      <c r="C5819" t="str">
        <f t="shared" si="302"/>
        <v/>
      </c>
      <c r="D5819" s="245" t="str">
        <f t="shared" si="304"/>
        <v/>
      </c>
      <c r="E5819" s="534"/>
      <c r="F5819" s="534"/>
    </row>
    <row r="5820" spans="1:6" ht="15" customHeight="1">
      <c r="A5820" s="51"/>
      <c r="B5820" s="52" t="str">
        <f t="shared" si="303"/>
        <v/>
      </c>
      <c r="C5820" t="str">
        <f t="shared" si="302"/>
        <v/>
      </c>
      <c r="D5820" s="245" t="str">
        <f t="shared" si="304"/>
        <v/>
      </c>
      <c r="E5820" s="534"/>
      <c r="F5820" s="534"/>
    </row>
    <row r="5821" spans="1:6" ht="15" customHeight="1">
      <c r="A5821" s="51"/>
      <c r="B5821" s="52" t="str">
        <f t="shared" si="303"/>
        <v/>
      </c>
      <c r="C5821" t="str">
        <f t="shared" si="302"/>
        <v/>
      </c>
      <c r="D5821" s="245" t="str">
        <f t="shared" si="304"/>
        <v/>
      </c>
      <c r="E5821" s="534"/>
      <c r="F5821" s="534"/>
    </row>
    <row r="5822" spans="1:6" ht="15" customHeight="1">
      <c r="A5822" s="51"/>
      <c r="B5822" s="52" t="str">
        <f t="shared" si="303"/>
        <v/>
      </c>
      <c r="C5822" t="str">
        <f t="shared" si="302"/>
        <v/>
      </c>
      <c r="D5822" s="245" t="str">
        <f t="shared" si="304"/>
        <v/>
      </c>
      <c r="E5822" s="534"/>
      <c r="F5822" s="534"/>
    </row>
    <row r="5823" spans="1:6" ht="15" customHeight="1">
      <c r="A5823" s="51"/>
      <c r="B5823" s="52" t="str">
        <f t="shared" si="303"/>
        <v/>
      </c>
      <c r="C5823" t="str">
        <f t="shared" si="302"/>
        <v/>
      </c>
      <c r="D5823" s="245" t="str">
        <f t="shared" si="304"/>
        <v/>
      </c>
      <c r="E5823" s="534"/>
      <c r="F5823" s="534"/>
    </row>
    <row r="5824" spans="1:6" ht="15" customHeight="1">
      <c r="A5824" s="51"/>
      <c r="B5824" s="52" t="str">
        <f t="shared" si="303"/>
        <v/>
      </c>
      <c r="C5824" t="str">
        <f t="shared" si="302"/>
        <v/>
      </c>
      <c r="D5824" s="245" t="str">
        <f t="shared" si="304"/>
        <v/>
      </c>
      <c r="E5824" s="534"/>
      <c r="F5824" s="534"/>
    </row>
    <row r="5825" spans="1:6" ht="15" customHeight="1">
      <c r="A5825" s="51"/>
      <c r="B5825" s="52" t="str">
        <f t="shared" si="303"/>
        <v/>
      </c>
      <c r="C5825" t="str">
        <f t="shared" si="302"/>
        <v/>
      </c>
      <c r="D5825" s="245" t="str">
        <f t="shared" si="304"/>
        <v/>
      </c>
      <c r="E5825" s="534"/>
      <c r="F5825" s="534"/>
    </row>
    <row r="5826" spans="1:6" ht="15" customHeight="1">
      <c r="A5826" s="51"/>
      <c r="B5826" s="52" t="str">
        <f t="shared" si="303"/>
        <v/>
      </c>
      <c r="C5826" t="str">
        <f t="shared" ref="C5826:C5889" si="305">IF(A5826&lt;&gt;"",TEXT(A5826,"aaaa"),"")</f>
        <v/>
      </c>
      <c r="D5826" s="245" t="str">
        <f t="shared" si="304"/>
        <v/>
      </c>
      <c r="E5826" s="534"/>
      <c r="F5826" s="534"/>
    </row>
    <row r="5827" spans="1:6" ht="15" customHeight="1">
      <c r="A5827" s="51"/>
      <c r="B5827" s="52" t="str">
        <f t="shared" si="303"/>
        <v/>
      </c>
      <c r="C5827" t="str">
        <f t="shared" si="305"/>
        <v/>
      </c>
      <c r="D5827" s="245" t="str">
        <f t="shared" si="304"/>
        <v/>
      </c>
      <c r="E5827" s="534"/>
      <c r="F5827" s="534"/>
    </row>
    <row r="5828" spans="1:6" ht="15" customHeight="1">
      <c r="A5828" s="51"/>
      <c r="B5828" s="52" t="str">
        <f t="shared" si="303"/>
        <v/>
      </c>
      <c r="C5828" t="str">
        <f t="shared" si="305"/>
        <v/>
      </c>
      <c r="D5828" s="245" t="str">
        <f t="shared" si="304"/>
        <v/>
      </c>
      <c r="E5828" s="534"/>
      <c r="F5828" s="534"/>
    </row>
    <row r="5829" spans="1:6" ht="15" customHeight="1">
      <c r="A5829" s="51"/>
      <c r="B5829" s="52" t="str">
        <f t="shared" si="303"/>
        <v/>
      </c>
      <c r="C5829" t="str">
        <f t="shared" si="305"/>
        <v/>
      </c>
      <c r="D5829" s="245" t="str">
        <f t="shared" si="304"/>
        <v/>
      </c>
      <c r="E5829" s="534"/>
      <c r="F5829" s="534"/>
    </row>
    <row r="5830" spans="1:6" ht="15" customHeight="1">
      <c r="A5830" s="51"/>
      <c r="B5830" s="52" t="str">
        <f t="shared" si="303"/>
        <v/>
      </c>
      <c r="C5830" t="str">
        <f t="shared" si="305"/>
        <v/>
      </c>
      <c r="D5830" s="245" t="str">
        <f t="shared" si="304"/>
        <v/>
      </c>
      <c r="E5830" s="534"/>
      <c r="F5830" s="534"/>
    </row>
    <row r="5831" spans="1:6" ht="15" customHeight="1">
      <c r="A5831" s="51"/>
      <c r="B5831" s="52" t="str">
        <f t="shared" si="303"/>
        <v/>
      </c>
      <c r="C5831" t="str">
        <f t="shared" si="305"/>
        <v/>
      </c>
      <c r="D5831" s="245" t="str">
        <f t="shared" si="304"/>
        <v/>
      </c>
      <c r="E5831" s="534"/>
      <c r="F5831" s="534"/>
    </row>
    <row r="5832" spans="1:6" ht="15" customHeight="1">
      <c r="A5832" s="51"/>
      <c r="B5832" s="52" t="str">
        <f t="shared" ref="B5832:B5895" si="306">IF(A5832="","",TEXT(A5832,"DDDD"))</f>
        <v/>
      </c>
      <c r="C5832" t="str">
        <f t="shared" si="305"/>
        <v/>
      </c>
      <c r="D5832" s="245" t="str">
        <f t="shared" si="304"/>
        <v/>
      </c>
      <c r="E5832" s="534"/>
      <c r="F5832" s="534"/>
    </row>
    <row r="5833" spans="1:6" ht="15" customHeight="1">
      <c r="A5833" s="51"/>
      <c r="B5833" s="52" t="str">
        <f t="shared" si="306"/>
        <v/>
      </c>
      <c r="C5833" t="str">
        <f t="shared" si="305"/>
        <v/>
      </c>
      <c r="D5833" s="245" t="str">
        <f t="shared" ref="D5833:D5896" si="307">IF(A5833&lt;&gt;"",PROPER(TEXT(A5833,"Mmmm")),"")</f>
        <v/>
      </c>
      <c r="E5833" s="534"/>
      <c r="F5833" s="534"/>
    </row>
    <row r="5834" spans="1:6" ht="15" customHeight="1">
      <c r="A5834" s="51"/>
      <c r="B5834" s="52" t="str">
        <f t="shared" si="306"/>
        <v/>
      </c>
      <c r="C5834" t="str">
        <f t="shared" si="305"/>
        <v/>
      </c>
      <c r="D5834" s="245" t="str">
        <f t="shared" si="307"/>
        <v/>
      </c>
      <c r="E5834" s="534"/>
      <c r="F5834" s="534"/>
    </row>
    <row r="5835" spans="1:6" ht="15" customHeight="1">
      <c r="A5835" s="51"/>
      <c r="B5835" s="52" t="str">
        <f t="shared" si="306"/>
        <v/>
      </c>
      <c r="C5835" t="str">
        <f t="shared" si="305"/>
        <v/>
      </c>
      <c r="D5835" s="245" t="str">
        <f t="shared" si="307"/>
        <v/>
      </c>
      <c r="E5835" s="534"/>
      <c r="F5835" s="534"/>
    </row>
    <row r="5836" spans="1:6" ht="15" customHeight="1">
      <c r="A5836" s="51"/>
      <c r="B5836" s="52" t="str">
        <f t="shared" si="306"/>
        <v/>
      </c>
      <c r="C5836" t="str">
        <f t="shared" si="305"/>
        <v/>
      </c>
      <c r="D5836" s="245" t="str">
        <f t="shared" si="307"/>
        <v/>
      </c>
      <c r="E5836" s="534"/>
      <c r="F5836" s="534"/>
    </row>
    <row r="5837" spans="1:6" ht="15" customHeight="1">
      <c r="A5837" s="51"/>
      <c r="B5837" s="52" t="str">
        <f t="shared" si="306"/>
        <v/>
      </c>
      <c r="C5837" t="str">
        <f t="shared" si="305"/>
        <v/>
      </c>
      <c r="D5837" s="245" t="str">
        <f t="shared" si="307"/>
        <v/>
      </c>
      <c r="E5837" s="534"/>
      <c r="F5837" s="534"/>
    </row>
    <row r="5838" spans="1:6" ht="15" customHeight="1">
      <c r="A5838" s="51"/>
      <c r="B5838" s="52" t="str">
        <f t="shared" si="306"/>
        <v/>
      </c>
      <c r="C5838" t="str">
        <f t="shared" si="305"/>
        <v/>
      </c>
      <c r="D5838" s="245" t="str">
        <f t="shared" si="307"/>
        <v/>
      </c>
      <c r="E5838" s="534"/>
      <c r="F5838" s="534"/>
    </row>
    <row r="5839" spans="1:6" ht="15" customHeight="1">
      <c r="A5839" s="51"/>
      <c r="B5839" s="52" t="str">
        <f t="shared" si="306"/>
        <v/>
      </c>
      <c r="C5839" t="str">
        <f t="shared" si="305"/>
        <v/>
      </c>
      <c r="D5839" s="245" t="str">
        <f t="shared" si="307"/>
        <v/>
      </c>
      <c r="E5839" s="534"/>
      <c r="F5839" s="534"/>
    </row>
    <row r="5840" spans="1:6" ht="15" customHeight="1">
      <c r="A5840" s="51"/>
      <c r="B5840" s="52" t="str">
        <f t="shared" si="306"/>
        <v/>
      </c>
      <c r="C5840" t="str">
        <f t="shared" si="305"/>
        <v/>
      </c>
      <c r="D5840" s="245" t="str">
        <f t="shared" si="307"/>
        <v/>
      </c>
      <c r="E5840" s="534"/>
      <c r="F5840" s="534"/>
    </row>
    <row r="5841" spans="1:6" ht="15" customHeight="1">
      <c r="A5841" s="51"/>
      <c r="B5841" s="52" t="str">
        <f t="shared" si="306"/>
        <v/>
      </c>
      <c r="C5841" t="str">
        <f t="shared" si="305"/>
        <v/>
      </c>
      <c r="D5841" s="245" t="str">
        <f t="shared" si="307"/>
        <v/>
      </c>
      <c r="E5841" s="534"/>
      <c r="F5841" s="534"/>
    </row>
    <row r="5842" spans="1:6" ht="15" customHeight="1">
      <c r="A5842" s="51"/>
      <c r="B5842" s="52" t="str">
        <f t="shared" si="306"/>
        <v/>
      </c>
      <c r="C5842" t="str">
        <f t="shared" si="305"/>
        <v/>
      </c>
      <c r="D5842" s="245" t="str">
        <f t="shared" si="307"/>
        <v/>
      </c>
      <c r="E5842" s="534"/>
      <c r="F5842" s="534"/>
    </row>
    <row r="5843" spans="1:6" ht="15" customHeight="1">
      <c r="A5843" s="51"/>
      <c r="B5843" s="52" t="str">
        <f t="shared" si="306"/>
        <v/>
      </c>
      <c r="C5843" t="str">
        <f t="shared" si="305"/>
        <v/>
      </c>
      <c r="D5843" s="245" t="str">
        <f t="shared" si="307"/>
        <v/>
      </c>
      <c r="E5843" s="534"/>
      <c r="F5843" s="534"/>
    </row>
    <row r="5844" spans="1:6" ht="15" customHeight="1">
      <c r="A5844" s="51"/>
      <c r="B5844" s="52" t="str">
        <f t="shared" si="306"/>
        <v/>
      </c>
      <c r="C5844" t="str">
        <f t="shared" si="305"/>
        <v/>
      </c>
      <c r="D5844" s="245" t="str">
        <f t="shared" si="307"/>
        <v/>
      </c>
      <c r="E5844" s="534"/>
      <c r="F5844" s="534"/>
    </row>
    <row r="5845" spans="1:6" ht="15" customHeight="1">
      <c r="A5845" s="51"/>
      <c r="B5845" s="52" t="str">
        <f t="shared" si="306"/>
        <v/>
      </c>
      <c r="C5845" t="str">
        <f t="shared" si="305"/>
        <v/>
      </c>
      <c r="D5845" s="245" t="str">
        <f t="shared" si="307"/>
        <v/>
      </c>
      <c r="E5845" s="534"/>
      <c r="F5845" s="534"/>
    </row>
    <row r="5846" spans="1:6" ht="15" customHeight="1">
      <c r="A5846" s="51"/>
      <c r="B5846" s="52" t="str">
        <f t="shared" si="306"/>
        <v/>
      </c>
      <c r="C5846" t="str">
        <f t="shared" si="305"/>
        <v/>
      </c>
      <c r="D5846" s="245" t="str">
        <f t="shared" si="307"/>
        <v/>
      </c>
      <c r="E5846" s="534"/>
      <c r="F5846" s="534"/>
    </row>
    <row r="5847" spans="1:6" ht="15" customHeight="1">
      <c r="A5847" s="51"/>
      <c r="B5847" s="52" t="str">
        <f t="shared" si="306"/>
        <v/>
      </c>
      <c r="C5847" t="str">
        <f t="shared" si="305"/>
        <v/>
      </c>
      <c r="D5847" s="245" t="str">
        <f t="shared" si="307"/>
        <v/>
      </c>
      <c r="E5847" s="534"/>
      <c r="F5847" s="534"/>
    </row>
    <row r="5848" spans="1:6" ht="15" customHeight="1">
      <c r="A5848" s="51"/>
      <c r="B5848" s="52" t="str">
        <f t="shared" si="306"/>
        <v/>
      </c>
      <c r="C5848" t="str">
        <f t="shared" si="305"/>
        <v/>
      </c>
      <c r="D5848" s="245" t="str">
        <f t="shared" si="307"/>
        <v/>
      </c>
      <c r="E5848" s="534"/>
      <c r="F5848" s="534"/>
    </row>
    <row r="5849" spans="1:6" ht="15" customHeight="1">
      <c r="A5849" s="51"/>
      <c r="B5849" s="52" t="str">
        <f t="shared" si="306"/>
        <v/>
      </c>
      <c r="C5849" t="str">
        <f t="shared" si="305"/>
        <v/>
      </c>
      <c r="D5849" s="245" t="str">
        <f t="shared" si="307"/>
        <v/>
      </c>
      <c r="E5849" s="534"/>
      <c r="F5849" s="534"/>
    </row>
    <row r="5850" spans="1:6" ht="15" customHeight="1">
      <c r="A5850" s="51"/>
      <c r="B5850" s="52" t="str">
        <f t="shared" si="306"/>
        <v/>
      </c>
      <c r="C5850" t="str">
        <f t="shared" si="305"/>
        <v/>
      </c>
      <c r="D5850" s="245" t="str">
        <f t="shared" si="307"/>
        <v/>
      </c>
      <c r="E5850" s="534"/>
      <c r="F5850" s="534"/>
    </row>
    <row r="5851" spans="1:6" ht="15" customHeight="1">
      <c r="A5851" s="51"/>
      <c r="B5851" s="52" t="str">
        <f t="shared" si="306"/>
        <v/>
      </c>
      <c r="C5851" t="str">
        <f t="shared" si="305"/>
        <v/>
      </c>
      <c r="D5851" s="245" t="str">
        <f t="shared" si="307"/>
        <v/>
      </c>
      <c r="E5851" s="534"/>
      <c r="F5851" s="534"/>
    </row>
    <row r="5852" spans="1:6" ht="15" customHeight="1">
      <c r="A5852" s="51"/>
      <c r="B5852" s="52" t="str">
        <f t="shared" si="306"/>
        <v/>
      </c>
      <c r="C5852" t="str">
        <f t="shared" si="305"/>
        <v/>
      </c>
      <c r="D5852" s="245" t="str">
        <f t="shared" si="307"/>
        <v/>
      </c>
      <c r="E5852" s="534"/>
      <c r="F5852" s="534"/>
    </row>
    <row r="5853" spans="1:6" ht="15" customHeight="1">
      <c r="A5853" s="51"/>
      <c r="B5853" s="52" t="str">
        <f t="shared" si="306"/>
        <v/>
      </c>
      <c r="C5853" t="str">
        <f t="shared" si="305"/>
        <v/>
      </c>
      <c r="D5853" s="245" t="str">
        <f t="shared" si="307"/>
        <v/>
      </c>
      <c r="E5853" s="534"/>
      <c r="F5853" s="534"/>
    </row>
    <row r="5854" spans="1:6" ht="15" customHeight="1">
      <c r="A5854" s="51"/>
      <c r="B5854" s="52" t="str">
        <f t="shared" si="306"/>
        <v/>
      </c>
      <c r="C5854" t="str">
        <f t="shared" si="305"/>
        <v/>
      </c>
      <c r="D5854" s="245" t="str">
        <f t="shared" si="307"/>
        <v/>
      </c>
      <c r="E5854" s="534"/>
      <c r="F5854" s="534"/>
    </row>
    <row r="5855" spans="1:6" ht="15" customHeight="1">
      <c r="A5855" s="51"/>
      <c r="B5855" s="52" t="str">
        <f t="shared" si="306"/>
        <v/>
      </c>
      <c r="C5855" t="str">
        <f t="shared" si="305"/>
        <v/>
      </c>
      <c r="D5855" s="245" t="str">
        <f t="shared" si="307"/>
        <v/>
      </c>
      <c r="E5855" s="534"/>
      <c r="F5855" s="534"/>
    </row>
    <row r="5856" spans="1:6" ht="15" customHeight="1">
      <c r="A5856" s="51"/>
      <c r="B5856" s="52" t="str">
        <f t="shared" si="306"/>
        <v/>
      </c>
      <c r="C5856" t="str">
        <f t="shared" si="305"/>
        <v/>
      </c>
      <c r="D5856" s="245" t="str">
        <f t="shared" si="307"/>
        <v/>
      </c>
      <c r="E5856" s="534"/>
      <c r="F5856" s="534"/>
    </row>
    <row r="5857" spans="1:6" ht="15" customHeight="1">
      <c r="A5857" s="51"/>
      <c r="B5857" s="52" t="str">
        <f t="shared" si="306"/>
        <v/>
      </c>
      <c r="C5857" t="str">
        <f t="shared" si="305"/>
        <v/>
      </c>
      <c r="D5857" s="245" t="str">
        <f t="shared" si="307"/>
        <v/>
      </c>
      <c r="E5857" s="534"/>
      <c r="F5857" s="534"/>
    </row>
    <row r="5858" spans="1:6" ht="15" customHeight="1">
      <c r="A5858" s="51"/>
      <c r="B5858" s="52" t="str">
        <f t="shared" si="306"/>
        <v/>
      </c>
      <c r="C5858" t="str">
        <f t="shared" si="305"/>
        <v/>
      </c>
      <c r="D5858" s="245" t="str">
        <f t="shared" si="307"/>
        <v/>
      </c>
      <c r="E5858" s="534"/>
      <c r="F5858" s="534"/>
    </row>
    <row r="5859" spans="1:6" ht="15" customHeight="1">
      <c r="A5859" s="51"/>
      <c r="B5859" s="52" t="str">
        <f t="shared" si="306"/>
        <v/>
      </c>
      <c r="C5859" t="str">
        <f t="shared" si="305"/>
        <v/>
      </c>
      <c r="D5859" s="245" t="str">
        <f t="shared" si="307"/>
        <v/>
      </c>
      <c r="E5859" s="534"/>
      <c r="F5859" s="534"/>
    </row>
    <row r="5860" spans="1:6" ht="15" customHeight="1">
      <c r="A5860" s="51"/>
      <c r="B5860" s="52" t="str">
        <f t="shared" si="306"/>
        <v/>
      </c>
      <c r="C5860" t="str">
        <f t="shared" si="305"/>
        <v/>
      </c>
      <c r="D5860" s="245" t="str">
        <f t="shared" si="307"/>
        <v/>
      </c>
      <c r="E5860" s="534"/>
      <c r="F5860" s="534"/>
    </row>
    <row r="5861" spans="1:6" ht="15" customHeight="1">
      <c r="A5861" s="51"/>
      <c r="B5861" s="52" t="str">
        <f t="shared" si="306"/>
        <v/>
      </c>
      <c r="C5861" t="str">
        <f t="shared" si="305"/>
        <v/>
      </c>
      <c r="D5861" s="245" t="str">
        <f t="shared" si="307"/>
        <v/>
      </c>
      <c r="E5861" s="534"/>
      <c r="F5861" s="534"/>
    </row>
    <row r="5862" spans="1:6" ht="15" customHeight="1">
      <c r="A5862" s="51"/>
      <c r="B5862" s="52" t="str">
        <f t="shared" si="306"/>
        <v/>
      </c>
      <c r="C5862" t="str">
        <f t="shared" si="305"/>
        <v/>
      </c>
      <c r="D5862" s="245" t="str">
        <f t="shared" si="307"/>
        <v/>
      </c>
      <c r="E5862" s="534"/>
      <c r="F5862" s="534"/>
    </row>
    <row r="5863" spans="1:6" ht="15" customHeight="1">
      <c r="A5863" s="51"/>
      <c r="B5863" s="52" t="str">
        <f t="shared" si="306"/>
        <v/>
      </c>
      <c r="C5863" t="str">
        <f t="shared" si="305"/>
        <v/>
      </c>
      <c r="D5863" s="245" t="str">
        <f t="shared" si="307"/>
        <v/>
      </c>
      <c r="E5863" s="534"/>
      <c r="F5863" s="534"/>
    </row>
    <row r="5864" spans="1:6" ht="15" customHeight="1">
      <c r="A5864" s="51"/>
      <c r="B5864" s="52" t="str">
        <f t="shared" si="306"/>
        <v/>
      </c>
      <c r="C5864" t="str">
        <f t="shared" si="305"/>
        <v/>
      </c>
      <c r="D5864" s="245" t="str">
        <f t="shared" si="307"/>
        <v/>
      </c>
      <c r="E5864" s="534"/>
      <c r="F5864" s="534"/>
    </row>
    <row r="5865" spans="1:6" ht="15" customHeight="1">
      <c r="A5865" s="51"/>
      <c r="B5865" s="52" t="str">
        <f t="shared" si="306"/>
        <v/>
      </c>
      <c r="C5865" t="str">
        <f t="shared" si="305"/>
        <v/>
      </c>
      <c r="D5865" s="245" t="str">
        <f t="shared" si="307"/>
        <v/>
      </c>
      <c r="E5865" s="534"/>
      <c r="F5865" s="534"/>
    </row>
    <row r="5866" spans="1:6" ht="15" customHeight="1">
      <c r="A5866" s="51"/>
      <c r="B5866" s="52" t="str">
        <f t="shared" si="306"/>
        <v/>
      </c>
      <c r="C5866" t="str">
        <f t="shared" si="305"/>
        <v/>
      </c>
      <c r="D5866" s="245" t="str">
        <f t="shared" si="307"/>
        <v/>
      </c>
      <c r="E5866" s="534"/>
      <c r="F5866" s="534"/>
    </row>
    <row r="5867" spans="1:6" ht="15" customHeight="1">
      <c r="A5867" s="51"/>
      <c r="B5867" s="52" t="str">
        <f t="shared" si="306"/>
        <v/>
      </c>
      <c r="C5867" t="str">
        <f t="shared" si="305"/>
        <v/>
      </c>
      <c r="D5867" s="245" t="str">
        <f t="shared" si="307"/>
        <v/>
      </c>
      <c r="E5867" s="534"/>
      <c r="F5867" s="534"/>
    </row>
    <row r="5868" spans="1:6" ht="15" customHeight="1">
      <c r="A5868" s="51"/>
      <c r="B5868" s="52" t="str">
        <f t="shared" si="306"/>
        <v/>
      </c>
      <c r="C5868" t="str">
        <f t="shared" si="305"/>
        <v/>
      </c>
      <c r="D5868" s="245" t="str">
        <f t="shared" si="307"/>
        <v/>
      </c>
      <c r="E5868" s="534"/>
      <c r="F5868" s="534"/>
    </row>
    <row r="5869" spans="1:6" ht="15" customHeight="1">
      <c r="A5869" s="51"/>
      <c r="B5869" s="52" t="str">
        <f t="shared" si="306"/>
        <v/>
      </c>
      <c r="C5869" t="str">
        <f t="shared" si="305"/>
        <v/>
      </c>
      <c r="D5869" s="245" t="str">
        <f t="shared" si="307"/>
        <v/>
      </c>
      <c r="E5869" s="534"/>
      <c r="F5869" s="534"/>
    </row>
    <row r="5870" spans="1:6" ht="15" customHeight="1">
      <c r="A5870" s="51"/>
      <c r="B5870" s="52" t="str">
        <f t="shared" si="306"/>
        <v/>
      </c>
      <c r="C5870" t="str">
        <f t="shared" si="305"/>
        <v/>
      </c>
      <c r="D5870" s="245" t="str">
        <f t="shared" si="307"/>
        <v/>
      </c>
      <c r="E5870" s="534"/>
      <c r="F5870" s="534"/>
    </row>
    <row r="5871" spans="1:6" ht="15" customHeight="1">
      <c r="A5871" s="51"/>
      <c r="B5871" s="52" t="str">
        <f t="shared" si="306"/>
        <v/>
      </c>
      <c r="C5871" t="str">
        <f t="shared" si="305"/>
        <v/>
      </c>
      <c r="D5871" s="245" t="str">
        <f t="shared" si="307"/>
        <v/>
      </c>
      <c r="E5871" s="534"/>
      <c r="F5871" s="534"/>
    </row>
    <row r="5872" spans="1:6" ht="15" customHeight="1">
      <c r="A5872" s="51"/>
      <c r="B5872" s="52" t="str">
        <f t="shared" si="306"/>
        <v/>
      </c>
      <c r="C5872" t="str">
        <f t="shared" si="305"/>
        <v/>
      </c>
      <c r="D5872" s="245" t="str">
        <f t="shared" si="307"/>
        <v/>
      </c>
      <c r="E5872" s="534"/>
      <c r="F5872" s="534"/>
    </row>
    <row r="5873" spans="1:6" ht="15" customHeight="1">
      <c r="A5873" s="51"/>
      <c r="B5873" s="52" t="str">
        <f t="shared" si="306"/>
        <v/>
      </c>
      <c r="C5873" t="str">
        <f t="shared" si="305"/>
        <v/>
      </c>
      <c r="D5873" s="245" t="str">
        <f t="shared" si="307"/>
        <v/>
      </c>
      <c r="E5873" s="534"/>
      <c r="F5873" s="534"/>
    </row>
    <row r="5874" spans="1:6" ht="15" customHeight="1">
      <c r="A5874" s="51"/>
      <c r="B5874" s="52" t="str">
        <f t="shared" si="306"/>
        <v/>
      </c>
      <c r="C5874" t="str">
        <f t="shared" si="305"/>
        <v/>
      </c>
      <c r="D5874" s="245" t="str">
        <f t="shared" si="307"/>
        <v/>
      </c>
      <c r="E5874" s="534"/>
      <c r="F5874" s="534"/>
    </row>
    <row r="5875" spans="1:6" ht="15" customHeight="1">
      <c r="A5875" s="51"/>
      <c r="B5875" s="52" t="str">
        <f t="shared" si="306"/>
        <v/>
      </c>
      <c r="C5875" t="str">
        <f t="shared" si="305"/>
        <v/>
      </c>
      <c r="D5875" s="245" t="str">
        <f t="shared" si="307"/>
        <v/>
      </c>
      <c r="E5875" s="534"/>
      <c r="F5875" s="534"/>
    </row>
    <row r="5876" spans="1:6" ht="15" customHeight="1">
      <c r="A5876" s="51"/>
      <c r="B5876" s="52" t="str">
        <f t="shared" si="306"/>
        <v/>
      </c>
      <c r="C5876" t="str">
        <f t="shared" si="305"/>
        <v/>
      </c>
      <c r="D5876" s="245" t="str">
        <f t="shared" si="307"/>
        <v/>
      </c>
      <c r="E5876" s="534"/>
      <c r="F5876" s="534"/>
    </row>
    <row r="5877" spans="1:6" ht="15" customHeight="1">
      <c r="A5877" s="51"/>
      <c r="B5877" s="52" t="str">
        <f t="shared" si="306"/>
        <v/>
      </c>
      <c r="C5877" t="str">
        <f t="shared" si="305"/>
        <v/>
      </c>
      <c r="D5877" s="245" t="str">
        <f t="shared" si="307"/>
        <v/>
      </c>
      <c r="E5877" s="534"/>
      <c r="F5877" s="534"/>
    </row>
    <row r="5878" spans="1:6" ht="15" customHeight="1">
      <c r="A5878" s="51"/>
      <c r="B5878" s="52" t="str">
        <f t="shared" si="306"/>
        <v/>
      </c>
      <c r="C5878" t="str">
        <f t="shared" si="305"/>
        <v/>
      </c>
      <c r="D5878" s="245" t="str">
        <f t="shared" si="307"/>
        <v/>
      </c>
      <c r="E5878" s="534"/>
      <c r="F5878" s="534"/>
    </row>
    <row r="5879" spans="1:6" ht="15" customHeight="1">
      <c r="A5879" s="51"/>
      <c r="B5879" s="52" t="str">
        <f t="shared" si="306"/>
        <v/>
      </c>
      <c r="C5879" t="str">
        <f t="shared" si="305"/>
        <v/>
      </c>
      <c r="D5879" s="245" t="str">
        <f t="shared" si="307"/>
        <v/>
      </c>
      <c r="E5879" s="534"/>
      <c r="F5879" s="534"/>
    </row>
    <row r="5880" spans="1:6" ht="15" customHeight="1">
      <c r="A5880" s="51"/>
      <c r="B5880" s="52" t="str">
        <f t="shared" si="306"/>
        <v/>
      </c>
      <c r="C5880" t="str">
        <f t="shared" si="305"/>
        <v/>
      </c>
      <c r="D5880" s="245" t="str">
        <f t="shared" si="307"/>
        <v/>
      </c>
      <c r="E5880" s="534"/>
      <c r="F5880" s="534"/>
    </row>
    <row r="5881" spans="1:6" ht="15" customHeight="1">
      <c r="A5881" s="51"/>
      <c r="B5881" s="52" t="str">
        <f t="shared" si="306"/>
        <v/>
      </c>
      <c r="C5881" t="str">
        <f t="shared" si="305"/>
        <v/>
      </c>
      <c r="D5881" s="245" t="str">
        <f t="shared" si="307"/>
        <v/>
      </c>
      <c r="E5881" s="534"/>
      <c r="F5881" s="534"/>
    </row>
    <row r="5882" spans="1:6" ht="15" customHeight="1">
      <c r="A5882" s="51"/>
      <c r="B5882" s="52" t="str">
        <f t="shared" si="306"/>
        <v/>
      </c>
      <c r="C5882" t="str">
        <f t="shared" si="305"/>
        <v/>
      </c>
      <c r="D5882" s="245" t="str">
        <f t="shared" si="307"/>
        <v/>
      </c>
      <c r="E5882" s="534"/>
      <c r="F5882" s="534"/>
    </row>
    <row r="5883" spans="1:6" ht="15" customHeight="1">
      <c r="A5883" s="51"/>
      <c r="B5883" s="52" t="str">
        <f t="shared" si="306"/>
        <v/>
      </c>
      <c r="C5883" t="str">
        <f t="shared" si="305"/>
        <v/>
      </c>
      <c r="D5883" s="245" t="str">
        <f t="shared" si="307"/>
        <v/>
      </c>
      <c r="E5883" s="534"/>
      <c r="F5883" s="534"/>
    </row>
    <row r="5884" spans="1:6" ht="15" customHeight="1">
      <c r="A5884" s="51"/>
      <c r="B5884" s="52" t="str">
        <f t="shared" si="306"/>
        <v/>
      </c>
      <c r="C5884" t="str">
        <f t="shared" si="305"/>
        <v/>
      </c>
      <c r="D5884" s="245" t="str">
        <f t="shared" si="307"/>
        <v/>
      </c>
      <c r="E5884" s="534"/>
      <c r="F5884" s="534"/>
    </row>
    <row r="5885" spans="1:6" ht="15" customHeight="1">
      <c r="A5885" s="51"/>
      <c r="B5885" s="52" t="str">
        <f t="shared" si="306"/>
        <v/>
      </c>
      <c r="C5885" t="str">
        <f t="shared" si="305"/>
        <v/>
      </c>
      <c r="D5885" s="245" t="str">
        <f t="shared" si="307"/>
        <v/>
      </c>
      <c r="E5885" s="534"/>
      <c r="F5885" s="534"/>
    </row>
    <row r="5886" spans="1:6" ht="15" customHeight="1">
      <c r="A5886" s="51"/>
      <c r="B5886" s="52" t="str">
        <f t="shared" si="306"/>
        <v/>
      </c>
      <c r="C5886" t="str">
        <f t="shared" si="305"/>
        <v/>
      </c>
      <c r="D5886" s="245" t="str">
        <f t="shared" si="307"/>
        <v/>
      </c>
      <c r="E5886" s="534"/>
      <c r="F5886" s="534"/>
    </row>
    <row r="5887" spans="1:6" ht="15" customHeight="1">
      <c r="A5887" s="51"/>
      <c r="B5887" s="52" t="str">
        <f t="shared" si="306"/>
        <v/>
      </c>
      <c r="C5887" t="str">
        <f t="shared" si="305"/>
        <v/>
      </c>
      <c r="D5887" s="245" t="str">
        <f t="shared" si="307"/>
        <v/>
      </c>
      <c r="E5887" s="534"/>
      <c r="F5887" s="534"/>
    </row>
    <row r="5888" spans="1:6" ht="15" customHeight="1">
      <c r="A5888" s="51"/>
      <c r="B5888" s="52" t="str">
        <f t="shared" si="306"/>
        <v/>
      </c>
      <c r="C5888" t="str">
        <f t="shared" si="305"/>
        <v/>
      </c>
      <c r="D5888" s="245" t="str">
        <f t="shared" si="307"/>
        <v/>
      </c>
      <c r="E5888" s="534"/>
      <c r="F5888" s="534"/>
    </row>
    <row r="5889" spans="1:6" ht="15" customHeight="1">
      <c r="A5889" s="51"/>
      <c r="B5889" s="52" t="str">
        <f t="shared" si="306"/>
        <v/>
      </c>
      <c r="C5889" t="str">
        <f t="shared" si="305"/>
        <v/>
      </c>
      <c r="D5889" s="245" t="str">
        <f t="shared" si="307"/>
        <v/>
      </c>
      <c r="E5889" s="534"/>
      <c r="F5889" s="534"/>
    </row>
    <row r="5890" spans="1:6" ht="15" customHeight="1">
      <c r="A5890" s="51"/>
      <c r="B5890" s="52" t="str">
        <f t="shared" si="306"/>
        <v/>
      </c>
      <c r="C5890" t="str">
        <f t="shared" ref="C5890:C5953" si="308">IF(A5890&lt;&gt;"",TEXT(A5890,"aaaa"),"")</f>
        <v/>
      </c>
      <c r="D5890" s="245" t="str">
        <f t="shared" si="307"/>
        <v/>
      </c>
      <c r="E5890" s="534"/>
      <c r="F5890" s="534"/>
    </row>
    <row r="5891" spans="1:6" ht="15" customHeight="1">
      <c r="A5891" s="51"/>
      <c r="B5891" s="52" t="str">
        <f t="shared" si="306"/>
        <v/>
      </c>
      <c r="C5891" t="str">
        <f t="shared" si="308"/>
        <v/>
      </c>
      <c r="D5891" s="245" t="str">
        <f t="shared" si="307"/>
        <v/>
      </c>
      <c r="E5891" s="534"/>
      <c r="F5891" s="534"/>
    </row>
    <row r="5892" spans="1:6" ht="15" customHeight="1">
      <c r="A5892" s="51"/>
      <c r="B5892" s="52" t="str">
        <f t="shared" si="306"/>
        <v/>
      </c>
      <c r="C5892" t="str">
        <f t="shared" si="308"/>
        <v/>
      </c>
      <c r="D5892" s="245" t="str">
        <f t="shared" si="307"/>
        <v/>
      </c>
      <c r="E5892" s="534"/>
      <c r="F5892" s="534"/>
    </row>
    <row r="5893" spans="1:6" ht="15" customHeight="1">
      <c r="A5893" s="51"/>
      <c r="B5893" s="52" t="str">
        <f t="shared" si="306"/>
        <v/>
      </c>
      <c r="C5893" t="str">
        <f t="shared" si="308"/>
        <v/>
      </c>
      <c r="D5893" s="245" t="str">
        <f t="shared" si="307"/>
        <v/>
      </c>
      <c r="E5893" s="534"/>
      <c r="F5893" s="534"/>
    </row>
    <row r="5894" spans="1:6" ht="15" customHeight="1">
      <c r="A5894" s="51"/>
      <c r="B5894" s="52" t="str">
        <f t="shared" si="306"/>
        <v/>
      </c>
      <c r="C5894" t="str">
        <f t="shared" si="308"/>
        <v/>
      </c>
      <c r="D5894" s="245" t="str">
        <f t="shared" si="307"/>
        <v/>
      </c>
      <c r="E5894" s="534"/>
      <c r="F5894" s="534"/>
    </row>
    <row r="5895" spans="1:6" ht="15" customHeight="1">
      <c r="A5895" s="51"/>
      <c r="B5895" s="52" t="str">
        <f t="shared" si="306"/>
        <v/>
      </c>
      <c r="C5895" t="str">
        <f t="shared" si="308"/>
        <v/>
      </c>
      <c r="D5895" s="245" t="str">
        <f t="shared" si="307"/>
        <v/>
      </c>
      <c r="E5895" s="534"/>
      <c r="F5895" s="534"/>
    </row>
    <row r="5896" spans="1:6" ht="15" customHeight="1">
      <c r="A5896" s="51"/>
      <c r="B5896" s="52" t="str">
        <f t="shared" ref="B5896:B5959" si="309">IF(A5896="","",TEXT(A5896,"DDDD"))</f>
        <v/>
      </c>
      <c r="C5896" t="str">
        <f t="shared" si="308"/>
        <v/>
      </c>
      <c r="D5896" s="245" t="str">
        <f t="shared" si="307"/>
        <v/>
      </c>
      <c r="E5896" s="534"/>
      <c r="F5896" s="534"/>
    </row>
    <row r="5897" spans="1:6" ht="15" customHeight="1">
      <c r="A5897" s="51"/>
      <c r="B5897" s="52" t="str">
        <f t="shared" si="309"/>
        <v/>
      </c>
      <c r="C5897" t="str">
        <f t="shared" si="308"/>
        <v/>
      </c>
      <c r="D5897" s="245" t="str">
        <f t="shared" ref="D5897:D5960" si="310">IF(A5897&lt;&gt;"",PROPER(TEXT(A5897,"Mmmm")),"")</f>
        <v/>
      </c>
      <c r="E5897" s="534"/>
      <c r="F5897" s="534"/>
    </row>
    <row r="5898" spans="1:6" ht="15" customHeight="1">
      <c r="A5898" s="51"/>
      <c r="B5898" s="52" t="str">
        <f t="shared" si="309"/>
        <v/>
      </c>
      <c r="C5898" t="str">
        <f t="shared" si="308"/>
        <v/>
      </c>
      <c r="D5898" s="245" t="str">
        <f t="shared" si="310"/>
        <v/>
      </c>
      <c r="E5898" s="534"/>
      <c r="F5898" s="534"/>
    </row>
    <row r="5899" spans="1:6" ht="15" customHeight="1">
      <c r="A5899" s="51"/>
      <c r="B5899" s="52" t="str">
        <f t="shared" si="309"/>
        <v/>
      </c>
      <c r="C5899" t="str">
        <f t="shared" si="308"/>
        <v/>
      </c>
      <c r="D5899" s="245" t="str">
        <f t="shared" si="310"/>
        <v/>
      </c>
      <c r="E5899" s="534"/>
      <c r="F5899" s="534"/>
    </row>
    <row r="5900" spans="1:6" ht="15" customHeight="1">
      <c r="A5900" s="51"/>
      <c r="B5900" s="52" t="str">
        <f t="shared" si="309"/>
        <v/>
      </c>
      <c r="C5900" t="str">
        <f t="shared" si="308"/>
        <v/>
      </c>
      <c r="D5900" s="245" t="str">
        <f t="shared" si="310"/>
        <v/>
      </c>
      <c r="E5900" s="534"/>
      <c r="F5900" s="534"/>
    </row>
    <row r="5901" spans="1:6" ht="15" customHeight="1">
      <c r="A5901" s="51"/>
      <c r="B5901" s="52" t="str">
        <f t="shared" si="309"/>
        <v/>
      </c>
      <c r="C5901" t="str">
        <f t="shared" si="308"/>
        <v/>
      </c>
      <c r="D5901" s="245" t="str">
        <f t="shared" si="310"/>
        <v/>
      </c>
      <c r="E5901" s="534"/>
      <c r="F5901" s="534"/>
    </row>
    <row r="5902" spans="1:6" ht="15" customHeight="1">
      <c r="A5902" s="51"/>
      <c r="B5902" s="52" t="str">
        <f t="shared" si="309"/>
        <v/>
      </c>
      <c r="C5902" t="str">
        <f t="shared" si="308"/>
        <v/>
      </c>
      <c r="D5902" s="245" t="str">
        <f t="shared" si="310"/>
        <v/>
      </c>
      <c r="E5902" s="534"/>
      <c r="F5902" s="534"/>
    </row>
    <row r="5903" spans="1:6" ht="15" customHeight="1">
      <c r="A5903" s="51"/>
      <c r="B5903" s="52" t="str">
        <f t="shared" si="309"/>
        <v/>
      </c>
      <c r="C5903" t="str">
        <f t="shared" si="308"/>
        <v/>
      </c>
      <c r="D5903" s="245" t="str">
        <f t="shared" si="310"/>
        <v/>
      </c>
      <c r="E5903" s="534"/>
      <c r="F5903" s="534"/>
    </row>
    <row r="5904" spans="1:6" ht="15" customHeight="1">
      <c r="A5904" s="51"/>
      <c r="B5904" s="52" t="str">
        <f t="shared" si="309"/>
        <v/>
      </c>
      <c r="C5904" t="str">
        <f t="shared" si="308"/>
        <v/>
      </c>
      <c r="D5904" s="245" t="str">
        <f t="shared" si="310"/>
        <v/>
      </c>
      <c r="E5904" s="534"/>
      <c r="F5904" s="534"/>
    </row>
    <row r="5905" spans="1:6" ht="15" customHeight="1">
      <c r="A5905" s="51"/>
      <c r="B5905" s="52" t="str">
        <f t="shared" si="309"/>
        <v/>
      </c>
      <c r="C5905" t="str">
        <f t="shared" si="308"/>
        <v/>
      </c>
      <c r="D5905" s="245" t="str">
        <f t="shared" si="310"/>
        <v/>
      </c>
      <c r="E5905" s="534"/>
      <c r="F5905" s="534"/>
    </row>
    <row r="5906" spans="1:6" ht="15" customHeight="1">
      <c r="A5906" s="51"/>
      <c r="B5906" s="52" t="str">
        <f t="shared" si="309"/>
        <v/>
      </c>
      <c r="C5906" t="str">
        <f t="shared" si="308"/>
        <v/>
      </c>
      <c r="D5906" s="245" t="str">
        <f t="shared" si="310"/>
        <v/>
      </c>
      <c r="E5906" s="534"/>
      <c r="F5906" s="534"/>
    </row>
    <row r="5907" spans="1:6" ht="15" customHeight="1">
      <c r="A5907" s="51"/>
      <c r="B5907" s="52" t="str">
        <f t="shared" si="309"/>
        <v/>
      </c>
      <c r="C5907" t="str">
        <f t="shared" si="308"/>
        <v/>
      </c>
      <c r="D5907" s="245" t="str">
        <f t="shared" si="310"/>
        <v/>
      </c>
      <c r="E5907" s="534"/>
      <c r="F5907" s="534"/>
    </row>
    <row r="5908" spans="1:6" ht="15" customHeight="1">
      <c r="A5908" s="51"/>
      <c r="B5908" s="52" t="str">
        <f t="shared" si="309"/>
        <v/>
      </c>
      <c r="C5908" t="str">
        <f t="shared" si="308"/>
        <v/>
      </c>
      <c r="D5908" s="245" t="str">
        <f t="shared" si="310"/>
        <v/>
      </c>
      <c r="E5908" s="534"/>
      <c r="F5908" s="534"/>
    </row>
    <row r="5909" spans="1:6" ht="15" customHeight="1">
      <c r="A5909" s="51"/>
      <c r="B5909" s="52" t="str">
        <f t="shared" si="309"/>
        <v/>
      </c>
      <c r="C5909" t="str">
        <f t="shared" si="308"/>
        <v/>
      </c>
      <c r="D5909" s="245" t="str">
        <f t="shared" si="310"/>
        <v/>
      </c>
      <c r="E5909" s="534"/>
      <c r="F5909" s="534"/>
    </row>
    <row r="5910" spans="1:6" ht="15" customHeight="1">
      <c r="A5910" s="51"/>
      <c r="B5910" s="52" t="str">
        <f t="shared" si="309"/>
        <v/>
      </c>
      <c r="C5910" t="str">
        <f t="shared" si="308"/>
        <v/>
      </c>
      <c r="D5910" s="245" t="str">
        <f t="shared" si="310"/>
        <v/>
      </c>
      <c r="E5910" s="534"/>
      <c r="F5910" s="534"/>
    </row>
    <row r="5911" spans="1:6" ht="15" customHeight="1">
      <c r="A5911" s="51"/>
      <c r="B5911" s="52" t="str">
        <f t="shared" si="309"/>
        <v/>
      </c>
      <c r="C5911" t="str">
        <f t="shared" si="308"/>
        <v/>
      </c>
      <c r="D5911" s="245" t="str">
        <f t="shared" si="310"/>
        <v/>
      </c>
      <c r="E5911" s="534"/>
      <c r="F5911" s="534"/>
    </row>
    <row r="5912" spans="1:6" ht="15" customHeight="1">
      <c r="A5912" s="51"/>
      <c r="B5912" s="52" t="str">
        <f t="shared" si="309"/>
        <v/>
      </c>
      <c r="C5912" t="str">
        <f t="shared" si="308"/>
        <v/>
      </c>
      <c r="D5912" s="245" t="str">
        <f t="shared" si="310"/>
        <v/>
      </c>
      <c r="E5912" s="534"/>
      <c r="F5912" s="534"/>
    </row>
    <row r="5913" spans="1:6" ht="15" customHeight="1">
      <c r="A5913" s="51"/>
      <c r="B5913" s="52" t="str">
        <f t="shared" si="309"/>
        <v/>
      </c>
      <c r="C5913" t="str">
        <f t="shared" si="308"/>
        <v/>
      </c>
      <c r="D5913" s="245" t="str">
        <f t="shared" si="310"/>
        <v/>
      </c>
      <c r="E5913" s="534"/>
      <c r="F5913" s="534"/>
    </row>
    <row r="5914" spans="1:6" ht="15" customHeight="1">
      <c r="A5914" s="51"/>
      <c r="B5914" s="52" t="str">
        <f t="shared" si="309"/>
        <v/>
      </c>
      <c r="C5914" t="str">
        <f t="shared" si="308"/>
        <v/>
      </c>
      <c r="D5914" s="245" t="str">
        <f t="shared" si="310"/>
        <v/>
      </c>
      <c r="E5914" s="534"/>
      <c r="F5914" s="534"/>
    </row>
    <row r="5915" spans="1:6" ht="15" customHeight="1">
      <c r="A5915" s="51"/>
      <c r="B5915" s="52" t="str">
        <f t="shared" si="309"/>
        <v/>
      </c>
      <c r="C5915" t="str">
        <f t="shared" si="308"/>
        <v/>
      </c>
      <c r="D5915" s="245" t="str">
        <f t="shared" si="310"/>
        <v/>
      </c>
      <c r="E5915" s="534"/>
      <c r="F5915" s="534"/>
    </row>
    <row r="5916" spans="1:6" ht="15" customHeight="1">
      <c r="A5916" s="51"/>
      <c r="B5916" s="52" t="str">
        <f t="shared" si="309"/>
        <v/>
      </c>
      <c r="C5916" t="str">
        <f t="shared" si="308"/>
        <v/>
      </c>
      <c r="D5916" s="245" t="str">
        <f t="shared" si="310"/>
        <v/>
      </c>
      <c r="E5916" s="534"/>
      <c r="F5916" s="534"/>
    </row>
    <row r="5917" spans="1:6" ht="15" customHeight="1">
      <c r="A5917" s="51"/>
      <c r="B5917" s="52" t="str">
        <f t="shared" si="309"/>
        <v/>
      </c>
      <c r="C5917" t="str">
        <f t="shared" si="308"/>
        <v/>
      </c>
      <c r="D5917" s="245" t="str">
        <f t="shared" si="310"/>
        <v/>
      </c>
      <c r="E5917" s="534"/>
      <c r="F5917" s="534"/>
    </row>
    <row r="5918" spans="1:6" ht="15" customHeight="1">
      <c r="A5918" s="51"/>
      <c r="B5918" s="52" t="str">
        <f t="shared" si="309"/>
        <v/>
      </c>
      <c r="C5918" t="str">
        <f t="shared" si="308"/>
        <v/>
      </c>
      <c r="D5918" s="245" t="str">
        <f t="shared" si="310"/>
        <v/>
      </c>
      <c r="E5918" s="534"/>
      <c r="F5918" s="534"/>
    </row>
    <row r="5919" spans="1:6" ht="15" customHeight="1">
      <c r="A5919" s="51"/>
      <c r="B5919" s="52" t="str">
        <f t="shared" si="309"/>
        <v/>
      </c>
      <c r="C5919" t="str">
        <f t="shared" si="308"/>
        <v/>
      </c>
      <c r="D5919" s="245" t="str">
        <f t="shared" si="310"/>
        <v/>
      </c>
      <c r="E5919" s="534"/>
      <c r="F5919" s="534"/>
    </row>
    <row r="5920" spans="1:6" ht="15" customHeight="1">
      <c r="A5920" s="51"/>
      <c r="B5920" s="52" t="str">
        <f t="shared" si="309"/>
        <v/>
      </c>
      <c r="C5920" t="str">
        <f t="shared" si="308"/>
        <v/>
      </c>
      <c r="D5920" s="245" t="str">
        <f t="shared" si="310"/>
        <v/>
      </c>
      <c r="E5920" s="534"/>
      <c r="F5920" s="534"/>
    </row>
    <row r="5921" spans="1:6" ht="15" customHeight="1">
      <c r="A5921" s="51"/>
      <c r="B5921" s="52" t="str">
        <f t="shared" si="309"/>
        <v/>
      </c>
      <c r="C5921" t="str">
        <f t="shared" si="308"/>
        <v/>
      </c>
      <c r="D5921" s="245" t="str">
        <f t="shared" si="310"/>
        <v/>
      </c>
      <c r="E5921" s="534"/>
      <c r="F5921" s="534"/>
    </row>
    <row r="5922" spans="1:6" ht="15" customHeight="1">
      <c r="A5922" s="51"/>
      <c r="B5922" s="52" t="str">
        <f t="shared" si="309"/>
        <v/>
      </c>
      <c r="C5922" t="str">
        <f t="shared" si="308"/>
        <v/>
      </c>
      <c r="D5922" s="245" t="str">
        <f t="shared" si="310"/>
        <v/>
      </c>
      <c r="E5922" s="534"/>
      <c r="F5922" s="534"/>
    </row>
    <row r="5923" spans="1:6" ht="15" customHeight="1">
      <c r="A5923" s="51"/>
      <c r="B5923" s="52" t="str">
        <f t="shared" si="309"/>
        <v/>
      </c>
      <c r="C5923" t="str">
        <f t="shared" si="308"/>
        <v/>
      </c>
      <c r="D5923" s="245" t="str">
        <f t="shared" si="310"/>
        <v/>
      </c>
      <c r="E5923" s="534"/>
      <c r="F5923" s="534"/>
    </row>
    <row r="5924" spans="1:6" ht="15" customHeight="1">
      <c r="A5924" s="51"/>
      <c r="B5924" s="52" t="str">
        <f t="shared" si="309"/>
        <v/>
      </c>
      <c r="C5924" t="str">
        <f t="shared" si="308"/>
        <v/>
      </c>
      <c r="D5924" s="245" t="str">
        <f t="shared" si="310"/>
        <v/>
      </c>
      <c r="E5924" s="534"/>
      <c r="F5924" s="534"/>
    </row>
    <row r="5925" spans="1:6" ht="15" customHeight="1">
      <c r="A5925" s="51"/>
      <c r="B5925" s="52" t="str">
        <f t="shared" si="309"/>
        <v/>
      </c>
      <c r="C5925" t="str">
        <f t="shared" si="308"/>
        <v/>
      </c>
      <c r="D5925" s="245" t="str">
        <f t="shared" si="310"/>
        <v/>
      </c>
      <c r="E5925" s="534"/>
      <c r="F5925" s="534"/>
    </row>
    <row r="5926" spans="1:6" ht="15" customHeight="1">
      <c r="A5926" s="51"/>
      <c r="B5926" s="52" t="str">
        <f t="shared" si="309"/>
        <v/>
      </c>
      <c r="C5926" t="str">
        <f t="shared" si="308"/>
        <v/>
      </c>
      <c r="D5926" s="245" t="str">
        <f t="shared" si="310"/>
        <v/>
      </c>
      <c r="E5926" s="534"/>
      <c r="F5926" s="534"/>
    </row>
    <row r="5927" spans="1:6" ht="15" customHeight="1">
      <c r="A5927" s="51"/>
      <c r="B5927" s="52" t="str">
        <f t="shared" si="309"/>
        <v/>
      </c>
      <c r="C5927" t="str">
        <f t="shared" si="308"/>
        <v/>
      </c>
      <c r="D5927" s="245" t="str">
        <f t="shared" si="310"/>
        <v/>
      </c>
      <c r="E5927" s="534"/>
      <c r="F5927" s="534"/>
    </row>
    <row r="5928" spans="1:6" ht="15" customHeight="1">
      <c r="A5928" s="51"/>
      <c r="B5928" s="52" t="str">
        <f t="shared" si="309"/>
        <v/>
      </c>
      <c r="C5928" t="str">
        <f t="shared" si="308"/>
        <v/>
      </c>
      <c r="D5928" s="245" t="str">
        <f t="shared" si="310"/>
        <v/>
      </c>
      <c r="E5928" s="534"/>
      <c r="F5928" s="534"/>
    </row>
    <row r="5929" spans="1:6" ht="15" customHeight="1">
      <c r="A5929" s="51"/>
      <c r="B5929" s="52" t="str">
        <f t="shared" si="309"/>
        <v/>
      </c>
      <c r="C5929" t="str">
        <f t="shared" si="308"/>
        <v/>
      </c>
      <c r="D5929" s="245" t="str">
        <f t="shared" si="310"/>
        <v/>
      </c>
      <c r="E5929" s="534"/>
      <c r="F5929" s="534"/>
    </row>
    <row r="5930" spans="1:6" ht="15" customHeight="1">
      <c r="A5930" s="51"/>
      <c r="B5930" s="52" t="str">
        <f t="shared" si="309"/>
        <v/>
      </c>
      <c r="C5930" t="str">
        <f t="shared" si="308"/>
        <v/>
      </c>
      <c r="D5930" s="245" t="str">
        <f t="shared" si="310"/>
        <v/>
      </c>
      <c r="E5930" s="534"/>
      <c r="F5930" s="534"/>
    </row>
    <row r="5931" spans="1:6" ht="15" customHeight="1">
      <c r="A5931" s="51"/>
      <c r="B5931" s="52" t="str">
        <f t="shared" si="309"/>
        <v/>
      </c>
      <c r="C5931" t="str">
        <f t="shared" si="308"/>
        <v/>
      </c>
      <c r="D5931" s="245" t="str">
        <f t="shared" si="310"/>
        <v/>
      </c>
      <c r="E5931" s="534"/>
      <c r="F5931" s="534"/>
    </row>
    <row r="5932" spans="1:6" ht="15" customHeight="1">
      <c r="A5932" s="51"/>
      <c r="B5932" s="52" t="str">
        <f t="shared" si="309"/>
        <v/>
      </c>
      <c r="C5932" t="str">
        <f t="shared" si="308"/>
        <v/>
      </c>
      <c r="D5932" s="245" t="str">
        <f t="shared" si="310"/>
        <v/>
      </c>
      <c r="E5932" s="534"/>
      <c r="F5932" s="534"/>
    </row>
    <row r="5933" spans="1:6" ht="15" customHeight="1">
      <c r="A5933" s="51"/>
      <c r="B5933" s="52" t="str">
        <f t="shared" si="309"/>
        <v/>
      </c>
      <c r="C5933" t="str">
        <f t="shared" si="308"/>
        <v/>
      </c>
      <c r="D5933" s="245" t="str">
        <f t="shared" si="310"/>
        <v/>
      </c>
      <c r="E5933" s="534"/>
      <c r="F5933" s="534"/>
    </row>
    <row r="5934" spans="1:6" ht="15" customHeight="1">
      <c r="A5934" s="51"/>
      <c r="B5934" s="52" t="str">
        <f t="shared" si="309"/>
        <v/>
      </c>
      <c r="C5934" t="str">
        <f t="shared" si="308"/>
        <v/>
      </c>
      <c r="D5934" s="245" t="str">
        <f t="shared" si="310"/>
        <v/>
      </c>
      <c r="E5934" s="534"/>
      <c r="F5934" s="534"/>
    </row>
    <row r="5935" spans="1:6" ht="15" customHeight="1">
      <c r="A5935" s="51"/>
      <c r="B5935" s="52" t="str">
        <f t="shared" si="309"/>
        <v/>
      </c>
      <c r="C5935" t="str">
        <f t="shared" si="308"/>
        <v/>
      </c>
      <c r="D5935" s="245" t="str">
        <f t="shared" si="310"/>
        <v/>
      </c>
      <c r="E5935" s="534"/>
      <c r="F5935" s="534"/>
    </row>
    <row r="5936" spans="1:6" ht="15" customHeight="1">
      <c r="A5936" s="51"/>
      <c r="B5936" s="52" t="str">
        <f t="shared" si="309"/>
        <v/>
      </c>
      <c r="C5936" t="str">
        <f t="shared" si="308"/>
        <v/>
      </c>
      <c r="D5936" s="245" t="str">
        <f t="shared" si="310"/>
        <v/>
      </c>
      <c r="E5936" s="534"/>
      <c r="F5936" s="534"/>
    </row>
    <row r="5937" spans="1:6" ht="15" customHeight="1">
      <c r="A5937" s="51"/>
      <c r="B5937" s="52" t="str">
        <f t="shared" si="309"/>
        <v/>
      </c>
      <c r="C5937" t="str">
        <f t="shared" si="308"/>
        <v/>
      </c>
      <c r="D5937" s="245" t="str">
        <f t="shared" si="310"/>
        <v/>
      </c>
      <c r="E5937" s="534"/>
      <c r="F5937" s="534"/>
    </row>
    <row r="5938" spans="1:6" ht="15" customHeight="1">
      <c r="A5938" s="51"/>
      <c r="B5938" s="52" t="str">
        <f t="shared" si="309"/>
        <v/>
      </c>
      <c r="C5938" t="str">
        <f t="shared" si="308"/>
        <v/>
      </c>
      <c r="D5938" s="245" t="str">
        <f t="shared" si="310"/>
        <v/>
      </c>
      <c r="E5938" s="534"/>
      <c r="F5938" s="534"/>
    </row>
    <row r="5939" spans="1:6" ht="15" customHeight="1">
      <c r="A5939" s="51"/>
      <c r="B5939" s="52" t="str">
        <f t="shared" si="309"/>
        <v/>
      </c>
      <c r="C5939" t="str">
        <f t="shared" si="308"/>
        <v/>
      </c>
      <c r="D5939" s="245" t="str">
        <f t="shared" si="310"/>
        <v/>
      </c>
      <c r="E5939" s="534"/>
      <c r="F5939" s="534"/>
    </row>
    <row r="5940" spans="1:6" ht="15" customHeight="1">
      <c r="A5940" s="51"/>
      <c r="B5940" s="52" t="str">
        <f t="shared" si="309"/>
        <v/>
      </c>
      <c r="C5940" t="str">
        <f t="shared" si="308"/>
        <v/>
      </c>
      <c r="D5940" s="245" t="str">
        <f t="shared" si="310"/>
        <v/>
      </c>
      <c r="E5940" s="534"/>
      <c r="F5940" s="534"/>
    </row>
    <row r="5941" spans="1:6" ht="15" customHeight="1">
      <c r="A5941" s="51"/>
      <c r="B5941" s="52" t="str">
        <f t="shared" si="309"/>
        <v/>
      </c>
      <c r="C5941" t="str">
        <f t="shared" si="308"/>
        <v/>
      </c>
      <c r="D5941" s="245" t="str">
        <f t="shared" si="310"/>
        <v/>
      </c>
      <c r="E5941" s="534"/>
      <c r="F5941" s="534"/>
    </row>
    <row r="5942" spans="1:6" ht="15" customHeight="1">
      <c r="A5942" s="51"/>
      <c r="B5942" s="52" t="str">
        <f t="shared" si="309"/>
        <v/>
      </c>
      <c r="C5942" t="str">
        <f t="shared" si="308"/>
        <v/>
      </c>
      <c r="D5942" s="245" t="str">
        <f t="shared" si="310"/>
        <v/>
      </c>
      <c r="E5942" s="534"/>
      <c r="F5942" s="534"/>
    </row>
    <row r="5943" spans="1:6" ht="15" customHeight="1">
      <c r="A5943" s="51"/>
      <c r="B5943" s="52" t="str">
        <f t="shared" si="309"/>
        <v/>
      </c>
      <c r="C5943" t="str">
        <f t="shared" si="308"/>
        <v/>
      </c>
      <c r="D5943" s="245" t="str">
        <f t="shared" si="310"/>
        <v/>
      </c>
      <c r="E5943" s="534"/>
      <c r="F5943" s="534"/>
    </row>
    <row r="5944" spans="1:6" ht="15" customHeight="1">
      <c r="A5944" s="51"/>
      <c r="B5944" s="52" t="str">
        <f t="shared" si="309"/>
        <v/>
      </c>
      <c r="C5944" t="str">
        <f t="shared" si="308"/>
        <v/>
      </c>
      <c r="D5944" s="245" t="str">
        <f t="shared" si="310"/>
        <v/>
      </c>
      <c r="E5944" s="534"/>
      <c r="F5944" s="534"/>
    </row>
    <row r="5945" spans="1:6" ht="15" customHeight="1">
      <c r="A5945" s="51"/>
      <c r="B5945" s="52" t="str">
        <f t="shared" si="309"/>
        <v/>
      </c>
      <c r="C5945" t="str">
        <f t="shared" si="308"/>
        <v/>
      </c>
      <c r="D5945" s="245" t="str">
        <f t="shared" si="310"/>
        <v/>
      </c>
      <c r="E5945" s="534"/>
      <c r="F5945" s="534"/>
    </row>
    <row r="5946" spans="1:6" ht="15" customHeight="1">
      <c r="A5946" s="51"/>
      <c r="B5946" s="52" t="str">
        <f t="shared" si="309"/>
        <v/>
      </c>
      <c r="C5946" t="str">
        <f t="shared" si="308"/>
        <v/>
      </c>
      <c r="D5946" s="245" t="str">
        <f t="shared" si="310"/>
        <v/>
      </c>
      <c r="E5946" s="534"/>
      <c r="F5946" s="534"/>
    </row>
    <row r="5947" spans="1:6" ht="15" customHeight="1">
      <c r="A5947" s="51"/>
      <c r="B5947" s="52" t="str">
        <f t="shared" si="309"/>
        <v/>
      </c>
      <c r="C5947" t="str">
        <f t="shared" si="308"/>
        <v/>
      </c>
      <c r="D5947" s="245" t="str">
        <f t="shared" si="310"/>
        <v/>
      </c>
      <c r="E5947" s="534"/>
      <c r="F5947" s="534"/>
    </row>
    <row r="5948" spans="1:6" ht="15" customHeight="1">
      <c r="A5948" s="51"/>
      <c r="B5948" s="52" t="str">
        <f t="shared" si="309"/>
        <v/>
      </c>
      <c r="C5948" t="str">
        <f t="shared" si="308"/>
        <v/>
      </c>
      <c r="D5948" s="245" t="str">
        <f t="shared" si="310"/>
        <v/>
      </c>
      <c r="E5948" s="534"/>
      <c r="F5948" s="534"/>
    </row>
    <row r="5949" spans="1:6" ht="15" customHeight="1">
      <c r="A5949" s="51"/>
      <c r="B5949" s="52" t="str">
        <f t="shared" si="309"/>
        <v/>
      </c>
      <c r="C5949" t="str">
        <f t="shared" si="308"/>
        <v/>
      </c>
      <c r="D5949" s="245" t="str">
        <f t="shared" si="310"/>
        <v/>
      </c>
      <c r="E5949" s="534"/>
      <c r="F5949" s="534"/>
    </row>
    <row r="5950" spans="1:6" ht="15" customHeight="1">
      <c r="A5950" s="51"/>
      <c r="B5950" s="52" t="str">
        <f t="shared" si="309"/>
        <v/>
      </c>
      <c r="C5950" t="str">
        <f t="shared" si="308"/>
        <v/>
      </c>
      <c r="D5950" s="245" t="str">
        <f t="shared" si="310"/>
        <v/>
      </c>
      <c r="E5950" s="534"/>
      <c r="F5950" s="534"/>
    </row>
    <row r="5951" spans="1:6" ht="15" customHeight="1">
      <c r="A5951" s="51"/>
      <c r="B5951" s="52" t="str">
        <f t="shared" si="309"/>
        <v/>
      </c>
      <c r="C5951" t="str">
        <f t="shared" si="308"/>
        <v/>
      </c>
      <c r="D5951" s="245" t="str">
        <f t="shared" si="310"/>
        <v/>
      </c>
      <c r="E5951" s="534"/>
      <c r="F5951" s="534"/>
    </row>
    <row r="5952" spans="1:6" ht="15" customHeight="1">
      <c r="A5952" s="51"/>
      <c r="B5952" s="52" t="str">
        <f t="shared" si="309"/>
        <v/>
      </c>
      <c r="C5952" t="str">
        <f t="shared" si="308"/>
        <v/>
      </c>
      <c r="D5952" s="245" t="str">
        <f t="shared" si="310"/>
        <v/>
      </c>
      <c r="E5952" s="534"/>
      <c r="F5952" s="534"/>
    </row>
    <row r="5953" spans="1:6" ht="15" customHeight="1">
      <c r="A5953" s="51"/>
      <c r="B5953" s="52" t="str">
        <f t="shared" si="309"/>
        <v/>
      </c>
      <c r="C5953" t="str">
        <f t="shared" si="308"/>
        <v/>
      </c>
      <c r="D5953" s="245" t="str">
        <f t="shared" si="310"/>
        <v/>
      </c>
      <c r="E5953" s="534"/>
      <c r="F5953" s="534"/>
    </row>
    <row r="5954" spans="1:6" ht="15" customHeight="1">
      <c r="A5954" s="51"/>
      <c r="B5954" s="52" t="str">
        <f t="shared" si="309"/>
        <v/>
      </c>
      <c r="C5954" t="str">
        <f t="shared" ref="C5954:C6017" si="311">IF(A5954&lt;&gt;"",TEXT(A5954,"aaaa"),"")</f>
        <v/>
      </c>
      <c r="D5954" s="245" t="str">
        <f t="shared" si="310"/>
        <v/>
      </c>
      <c r="E5954" s="534"/>
      <c r="F5954" s="534"/>
    </row>
    <row r="5955" spans="1:6" ht="15" customHeight="1">
      <c r="A5955" s="51"/>
      <c r="B5955" s="52" t="str">
        <f t="shared" si="309"/>
        <v/>
      </c>
      <c r="C5955" t="str">
        <f t="shared" si="311"/>
        <v/>
      </c>
      <c r="D5955" s="245" t="str">
        <f t="shared" si="310"/>
        <v/>
      </c>
      <c r="E5955" s="534"/>
      <c r="F5955" s="534"/>
    </row>
    <row r="5956" spans="1:6" ht="15" customHeight="1">
      <c r="A5956" s="51"/>
      <c r="B5956" s="52" t="str">
        <f t="shared" si="309"/>
        <v/>
      </c>
      <c r="C5956" t="str">
        <f t="shared" si="311"/>
        <v/>
      </c>
      <c r="D5956" s="245" t="str">
        <f t="shared" si="310"/>
        <v/>
      </c>
      <c r="E5956" s="534"/>
      <c r="F5956" s="534"/>
    </row>
    <row r="5957" spans="1:6" ht="15" customHeight="1">
      <c r="A5957" s="51"/>
      <c r="B5957" s="52" t="str">
        <f t="shared" si="309"/>
        <v/>
      </c>
      <c r="C5957" t="str">
        <f t="shared" si="311"/>
        <v/>
      </c>
      <c r="D5957" s="245" t="str">
        <f t="shared" si="310"/>
        <v/>
      </c>
      <c r="E5957" s="534"/>
      <c r="F5957" s="534"/>
    </row>
    <row r="5958" spans="1:6" ht="15" customHeight="1">
      <c r="A5958" s="51"/>
      <c r="B5958" s="52" t="str">
        <f t="shared" si="309"/>
        <v/>
      </c>
      <c r="C5958" t="str">
        <f t="shared" si="311"/>
        <v/>
      </c>
      <c r="D5958" s="245" t="str">
        <f t="shared" si="310"/>
        <v/>
      </c>
      <c r="E5958" s="534"/>
      <c r="F5958" s="534"/>
    </row>
    <row r="5959" spans="1:6" ht="15" customHeight="1">
      <c r="A5959" s="51"/>
      <c r="B5959" s="52" t="str">
        <f t="shared" si="309"/>
        <v/>
      </c>
      <c r="C5959" t="str">
        <f t="shared" si="311"/>
        <v/>
      </c>
      <c r="D5959" s="245" t="str">
        <f t="shared" si="310"/>
        <v/>
      </c>
      <c r="E5959" s="534"/>
      <c r="F5959" s="534"/>
    </row>
    <row r="5960" spans="1:6" ht="15" customHeight="1">
      <c r="A5960" s="51"/>
      <c r="B5960" s="52" t="str">
        <f t="shared" ref="B5960:B6023" si="312">IF(A5960="","",TEXT(A5960,"DDDD"))</f>
        <v/>
      </c>
      <c r="C5960" t="str">
        <f t="shared" si="311"/>
        <v/>
      </c>
      <c r="D5960" s="245" t="str">
        <f t="shared" si="310"/>
        <v/>
      </c>
      <c r="E5960" s="534"/>
      <c r="F5960" s="534"/>
    </row>
    <row r="5961" spans="1:6" ht="15" customHeight="1">
      <c r="A5961" s="51"/>
      <c r="B5961" s="52" t="str">
        <f t="shared" si="312"/>
        <v/>
      </c>
      <c r="C5961" t="str">
        <f t="shared" si="311"/>
        <v/>
      </c>
      <c r="D5961" s="245" t="str">
        <f t="shared" ref="D5961:D6024" si="313">IF(A5961&lt;&gt;"",PROPER(TEXT(A5961,"Mmmm")),"")</f>
        <v/>
      </c>
      <c r="E5961" s="534"/>
      <c r="F5961" s="534"/>
    </row>
    <row r="5962" spans="1:6" ht="15" customHeight="1">
      <c r="A5962" s="51"/>
      <c r="B5962" s="52" t="str">
        <f t="shared" si="312"/>
        <v/>
      </c>
      <c r="C5962" t="str">
        <f t="shared" si="311"/>
        <v/>
      </c>
      <c r="D5962" s="245" t="str">
        <f t="shared" si="313"/>
        <v/>
      </c>
      <c r="E5962" s="534"/>
      <c r="F5962" s="534"/>
    </row>
    <row r="5963" spans="1:6" ht="15" customHeight="1">
      <c r="A5963" s="51"/>
      <c r="B5963" s="52" t="str">
        <f t="shared" si="312"/>
        <v/>
      </c>
      <c r="C5963" t="str">
        <f t="shared" si="311"/>
        <v/>
      </c>
      <c r="D5963" s="245" t="str">
        <f t="shared" si="313"/>
        <v/>
      </c>
      <c r="E5963" s="534"/>
      <c r="F5963" s="534"/>
    </row>
    <row r="5964" spans="1:6" ht="15" customHeight="1">
      <c r="A5964" s="51"/>
      <c r="B5964" s="52" t="str">
        <f t="shared" si="312"/>
        <v/>
      </c>
      <c r="C5964" t="str">
        <f t="shared" si="311"/>
        <v/>
      </c>
      <c r="D5964" s="245" t="str">
        <f t="shared" si="313"/>
        <v/>
      </c>
      <c r="E5964" s="534"/>
      <c r="F5964" s="534"/>
    </row>
    <row r="5965" spans="1:6" ht="15" customHeight="1">
      <c r="A5965" s="51"/>
      <c r="B5965" s="52" t="str">
        <f t="shared" si="312"/>
        <v/>
      </c>
      <c r="C5965" t="str">
        <f t="shared" si="311"/>
        <v/>
      </c>
      <c r="D5965" s="245" t="str">
        <f t="shared" si="313"/>
        <v/>
      </c>
      <c r="E5965" s="534"/>
      <c r="F5965" s="534"/>
    </row>
    <row r="5966" spans="1:6" ht="15" customHeight="1">
      <c r="A5966" s="51"/>
      <c r="B5966" s="52" t="str">
        <f t="shared" si="312"/>
        <v/>
      </c>
      <c r="C5966" t="str">
        <f t="shared" si="311"/>
        <v/>
      </c>
      <c r="D5966" s="245" t="str">
        <f t="shared" si="313"/>
        <v/>
      </c>
      <c r="E5966" s="534"/>
      <c r="F5966" s="534"/>
    </row>
    <row r="5967" spans="1:6" ht="15" customHeight="1">
      <c r="A5967" s="51"/>
      <c r="B5967" s="52" t="str">
        <f t="shared" si="312"/>
        <v/>
      </c>
      <c r="C5967" t="str">
        <f t="shared" si="311"/>
        <v/>
      </c>
      <c r="D5967" s="245" t="str">
        <f t="shared" si="313"/>
        <v/>
      </c>
      <c r="E5967" s="534"/>
      <c r="F5967" s="534"/>
    </row>
    <row r="5968" spans="1:6" ht="15" customHeight="1">
      <c r="A5968" s="51"/>
      <c r="B5968" s="52" t="str">
        <f t="shared" si="312"/>
        <v/>
      </c>
      <c r="C5968" t="str">
        <f t="shared" si="311"/>
        <v/>
      </c>
      <c r="D5968" s="245" t="str">
        <f t="shared" si="313"/>
        <v/>
      </c>
      <c r="E5968" s="534"/>
      <c r="F5968" s="534"/>
    </row>
    <row r="5969" spans="1:6" ht="15" customHeight="1">
      <c r="A5969" s="51"/>
      <c r="B5969" s="52" t="str">
        <f t="shared" si="312"/>
        <v/>
      </c>
      <c r="C5969" t="str">
        <f t="shared" si="311"/>
        <v/>
      </c>
      <c r="D5969" s="245" t="str">
        <f t="shared" si="313"/>
        <v/>
      </c>
      <c r="E5969" s="534"/>
      <c r="F5969" s="534"/>
    </row>
    <row r="5970" spans="1:6" ht="15" customHeight="1">
      <c r="A5970" s="51"/>
      <c r="B5970" s="52" t="str">
        <f t="shared" si="312"/>
        <v/>
      </c>
      <c r="C5970" t="str">
        <f t="shared" si="311"/>
        <v/>
      </c>
      <c r="D5970" s="245" t="str">
        <f t="shared" si="313"/>
        <v/>
      </c>
      <c r="E5970" s="534"/>
      <c r="F5970" s="534"/>
    </row>
    <row r="5971" spans="1:6" ht="15" customHeight="1">
      <c r="A5971" s="51"/>
      <c r="B5971" s="52" t="str">
        <f t="shared" si="312"/>
        <v/>
      </c>
      <c r="C5971" t="str">
        <f t="shared" si="311"/>
        <v/>
      </c>
      <c r="D5971" s="245" t="str">
        <f t="shared" si="313"/>
        <v/>
      </c>
      <c r="E5971" s="534"/>
      <c r="F5971" s="534"/>
    </row>
    <row r="5972" spans="1:6" ht="15" customHeight="1">
      <c r="A5972" s="51"/>
      <c r="B5972" s="52" t="str">
        <f t="shared" si="312"/>
        <v/>
      </c>
      <c r="C5972" t="str">
        <f t="shared" si="311"/>
        <v/>
      </c>
      <c r="D5972" s="245" t="str">
        <f t="shared" si="313"/>
        <v/>
      </c>
      <c r="E5972" s="534"/>
      <c r="F5972" s="534"/>
    </row>
    <row r="5973" spans="1:6" ht="15" customHeight="1">
      <c r="A5973" s="51"/>
      <c r="B5973" s="52" t="str">
        <f t="shared" si="312"/>
        <v/>
      </c>
      <c r="C5973" t="str">
        <f t="shared" si="311"/>
        <v/>
      </c>
      <c r="D5973" s="245" t="str">
        <f t="shared" si="313"/>
        <v/>
      </c>
      <c r="E5973" s="534"/>
      <c r="F5973" s="534"/>
    </row>
    <row r="5974" spans="1:6" ht="15" customHeight="1">
      <c r="A5974" s="51"/>
      <c r="B5974" s="52" t="str">
        <f t="shared" si="312"/>
        <v/>
      </c>
      <c r="C5974" t="str">
        <f t="shared" si="311"/>
        <v/>
      </c>
      <c r="D5974" s="245" t="str">
        <f t="shared" si="313"/>
        <v/>
      </c>
      <c r="E5974" s="534"/>
      <c r="F5974" s="534"/>
    </row>
    <row r="5975" spans="1:6" ht="15" customHeight="1">
      <c r="A5975" s="51"/>
      <c r="B5975" s="52" t="str">
        <f t="shared" si="312"/>
        <v/>
      </c>
      <c r="C5975" t="str">
        <f t="shared" si="311"/>
        <v/>
      </c>
      <c r="D5975" s="245" t="str">
        <f t="shared" si="313"/>
        <v/>
      </c>
      <c r="E5975" s="534"/>
      <c r="F5975" s="534"/>
    </row>
    <row r="5976" spans="1:6" ht="15" customHeight="1">
      <c r="A5976" s="51"/>
      <c r="B5976" s="52" t="str">
        <f t="shared" si="312"/>
        <v/>
      </c>
      <c r="C5976" t="str">
        <f t="shared" si="311"/>
        <v/>
      </c>
      <c r="D5976" s="245" t="str">
        <f t="shared" si="313"/>
        <v/>
      </c>
      <c r="E5976" s="534"/>
      <c r="F5976" s="534"/>
    </row>
    <row r="5977" spans="1:6" ht="15" customHeight="1">
      <c r="A5977" s="51"/>
      <c r="B5977" s="52" t="str">
        <f t="shared" si="312"/>
        <v/>
      </c>
      <c r="C5977" t="str">
        <f t="shared" si="311"/>
        <v/>
      </c>
      <c r="D5977" s="245" t="str">
        <f t="shared" si="313"/>
        <v/>
      </c>
      <c r="E5977" s="534"/>
      <c r="F5977" s="534"/>
    </row>
    <row r="5978" spans="1:6" ht="15" customHeight="1">
      <c r="A5978" s="51"/>
      <c r="B5978" s="52" t="str">
        <f t="shared" si="312"/>
        <v/>
      </c>
      <c r="C5978" t="str">
        <f t="shared" si="311"/>
        <v/>
      </c>
      <c r="D5978" s="245" t="str">
        <f t="shared" si="313"/>
        <v/>
      </c>
      <c r="E5978" s="534"/>
      <c r="F5978" s="534"/>
    </row>
    <row r="5979" spans="1:6" ht="15" customHeight="1">
      <c r="A5979" s="51"/>
      <c r="B5979" s="52" t="str">
        <f t="shared" si="312"/>
        <v/>
      </c>
      <c r="C5979" t="str">
        <f t="shared" si="311"/>
        <v/>
      </c>
      <c r="D5979" s="245" t="str">
        <f t="shared" si="313"/>
        <v/>
      </c>
      <c r="E5979" s="534"/>
      <c r="F5979" s="534"/>
    </row>
    <row r="5980" spans="1:6" ht="15" customHeight="1">
      <c r="A5980" s="51"/>
      <c r="B5980" s="52" t="str">
        <f t="shared" si="312"/>
        <v/>
      </c>
      <c r="C5980" t="str">
        <f t="shared" si="311"/>
        <v/>
      </c>
      <c r="D5980" s="245" t="str">
        <f t="shared" si="313"/>
        <v/>
      </c>
      <c r="E5980" s="534"/>
      <c r="F5980" s="534"/>
    </row>
    <row r="5981" spans="1:6" ht="15" customHeight="1">
      <c r="A5981" s="51"/>
      <c r="B5981" s="52" t="str">
        <f t="shared" si="312"/>
        <v/>
      </c>
      <c r="C5981" t="str">
        <f t="shared" si="311"/>
        <v/>
      </c>
      <c r="D5981" s="245" t="str">
        <f t="shared" si="313"/>
        <v/>
      </c>
      <c r="E5981" s="534"/>
      <c r="F5981" s="534"/>
    </row>
    <row r="5982" spans="1:6" ht="15" customHeight="1">
      <c r="A5982" s="51"/>
      <c r="B5982" s="52" t="str">
        <f t="shared" si="312"/>
        <v/>
      </c>
      <c r="C5982" t="str">
        <f t="shared" si="311"/>
        <v/>
      </c>
      <c r="D5982" s="245" t="str">
        <f t="shared" si="313"/>
        <v/>
      </c>
      <c r="E5982" s="534"/>
      <c r="F5982" s="534"/>
    </row>
    <row r="5983" spans="1:6" ht="15" customHeight="1">
      <c r="A5983" s="51"/>
      <c r="B5983" s="52" t="str">
        <f t="shared" si="312"/>
        <v/>
      </c>
      <c r="C5983" t="str">
        <f t="shared" si="311"/>
        <v/>
      </c>
      <c r="D5983" s="245" t="str">
        <f t="shared" si="313"/>
        <v/>
      </c>
      <c r="E5983" s="534"/>
      <c r="F5983" s="534"/>
    </row>
    <row r="5984" spans="1:6" ht="15" customHeight="1">
      <c r="A5984" s="51"/>
      <c r="B5984" s="52" t="str">
        <f t="shared" si="312"/>
        <v/>
      </c>
      <c r="C5984" t="str">
        <f t="shared" si="311"/>
        <v/>
      </c>
      <c r="D5984" s="245" t="str">
        <f t="shared" si="313"/>
        <v/>
      </c>
      <c r="E5984" s="534"/>
      <c r="F5984" s="534"/>
    </row>
    <row r="5985" spans="1:6" ht="15" customHeight="1">
      <c r="A5985" s="51"/>
      <c r="B5985" s="52" t="str">
        <f t="shared" si="312"/>
        <v/>
      </c>
      <c r="C5985" t="str">
        <f t="shared" si="311"/>
        <v/>
      </c>
      <c r="D5985" s="245" t="str">
        <f t="shared" si="313"/>
        <v/>
      </c>
      <c r="E5985" s="534"/>
      <c r="F5985" s="534"/>
    </row>
    <row r="5986" spans="1:6" ht="15" customHeight="1">
      <c r="A5986" s="51"/>
      <c r="B5986" s="52" t="str">
        <f t="shared" si="312"/>
        <v/>
      </c>
      <c r="C5986" t="str">
        <f t="shared" si="311"/>
        <v/>
      </c>
      <c r="D5986" s="245" t="str">
        <f t="shared" si="313"/>
        <v/>
      </c>
      <c r="E5986" s="534"/>
      <c r="F5986" s="534"/>
    </row>
    <row r="5987" spans="1:6" ht="15" customHeight="1">
      <c r="A5987" s="51"/>
      <c r="B5987" s="52" t="str">
        <f t="shared" si="312"/>
        <v/>
      </c>
      <c r="C5987" t="str">
        <f t="shared" si="311"/>
        <v/>
      </c>
      <c r="D5987" s="245" t="str">
        <f t="shared" si="313"/>
        <v/>
      </c>
      <c r="E5987" s="534"/>
      <c r="F5987" s="534"/>
    </row>
    <row r="5988" spans="1:6" ht="15" customHeight="1">
      <c r="A5988" s="51"/>
      <c r="B5988" s="52" t="str">
        <f t="shared" si="312"/>
        <v/>
      </c>
      <c r="C5988" t="str">
        <f t="shared" si="311"/>
        <v/>
      </c>
      <c r="D5988" s="245" t="str">
        <f t="shared" si="313"/>
        <v/>
      </c>
      <c r="E5988" s="534"/>
      <c r="F5988" s="534"/>
    </row>
    <row r="5989" spans="1:6" ht="15" customHeight="1">
      <c r="A5989" s="51"/>
      <c r="B5989" s="52" t="str">
        <f t="shared" si="312"/>
        <v/>
      </c>
      <c r="C5989" t="str">
        <f t="shared" si="311"/>
        <v/>
      </c>
      <c r="D5989" s="245" t="str">
        <f t="shared" si="313"/>
        <v/>
      </c>
      <c r="E5989" s="534"/>
      <c r="F5989" s="534"/>
    </row>
    <row r="5990" spans="1:6" ht="15" customHeight="1">
      <c r="A5990" s="51"/>
      <c r="B5990" s="52" t="str">
        <f t="shared" si="312"/>
        <v/>
      </c>
      <c r="C5990" t="str">
        <f t="shared" si="311"/>
        <v/>
      </c>
      <c r="D5990" s="245" t="str">
        <f t="shared" si="313"/>
        <v/>
      </c>
      <c r="E5990" s="534"/>
      <c r="F5990" s="534"/>
    </row>
    <row r="5991" spans="1:6" ht="15" customHeight="1">
      <c r="A5991" s="51"/>
      <c r="B5991" s="52" t="str">
        <f t="shared" si="312"/>
        <v/>
      </c>
      <c r="C5991" t="str">
        <f t="shared" si="311"/>
        <v/>
      </c>
      <c r="D5991" s="245" t="str">
        <f t="shared" si="313"/>
        <v/>
      </c>
      <c r="E5991" s="534"/>
      <c r="F5991" s="534"/>
    </row>
    <row r="5992" spans="1:6" ht="15" customHeight="1">
      <c r="A5992" s="51"/>
      <c r="B5992" s="52" t="str">
        <f t="shared" si="312"/>
        <v/>
      </c>
      <c r="C5992" t="str">
        <f t="shared" si="311"/>
        <v/>
      </c>
      <c r="D5992" s="245" t="str">
        <f t="shared" si="313"/>
        <v/>
      </c>
      <c r="E5992" s="534"/>
      <c r="F5992" s="534"/>
    </row>
    <row r="5993" spans="1:6" ht="15" customHeight="1">
      <c r="A5993" s="51"/>
      <c r="B5993" s="52" t="str">
        <f t="shared" si="312"/>
        <v/>
      </c>
      <c r="C5993" t="str">
        <f t="shared" si="311"/>
        <v/>
      </c>
      <c r="D5993" s="245" t="str">
        <f t="shared" si="313"/>
        <v/>
      </c>
      <c r="E5993" s="534"/>
      <c r="F5993" s="534"/>
    </row>
    <row r="5994" spans="1:6" ht="15" customHeight="1">
      <c r="A5994" s="51"/>
      <c r="B5994" s="52" t="str">
        <f t="shared" si="312"/>
        <v/>
      </c>
      <c r="C5994" t="str">
        <f t="shared" si="311"/>
        <v/>
      </c>
      <c r="D5994" s="245" t="str">
        <f t="shared" si="313"/>
        <v/>
      </c>
      <c r="E5994" s="534"/>
      <c r="F5994" s="534"/>
    </row>
    <row r="5995" spans="1:6" ht="15" customHeight="1">
      <c r="A5995" s="51"/>
      <c r="B5995" s="52" t="str">
        <f t="shared" si="312"/>
        <v/>
      </c>
      <c r="C5995" t="str">
        <f t="shared" si="311"/>
        <v/>
      </c>
      <c r="D5995" s="245" t="str">
        <f t="shared" si="313"/>
        <v/>
      </c>
      <c r="E5995" s="534"/>
      <c r="F5995" s="534"/>
    </row>
    <row r="5996" spans="1:6" ht="15" customHeight="1">
      <c r="A5996" s="51"/>
      <c r="B5996" s="52" t="str">
        <f t="shared" si="312"/>
        <v/>
      </c>
      <c r="C5996" t="str">
        <f t="shared" si="311"/>
        <v/>
      </c>
      <c r="D5996" s="245" t="str">
        <f t="shared" si="313"/>
        <v/>
      </c>
      <c r="E5996" s="534"/>
      <c r="F5996" s="534"/>
    </row>
    <row r="5997" spans="1:6" ht="15" customHeight="1">
      <c r="A5997" s="51"/>
      <c r="B5997" s="52" t="str">
        <f t="shared" si="312"/>
        <v/>
      </c>
      <c r="C5997" t="str">
        <f t="shared" si="311"/>
        <v/>
      </c>
      <c r="D5997" s="245" t="str">
        <f t="shared" si="313"/>
        <v/>
      </c>
      <c r="E5997" s="534"/>
      <c r="F5997" s="534"/>
    </row>
    <row r="5998" spans="1:6" ht="15" customHeight="1">
      <c r="A5998" s="51"/>
      <c r="B5998" s="52" t="str">
        <f t="shared" si="312"/>
        <v/>
      </c>
      <c r="C5998" t="str">
        <f t="shared" si="311"/>
        <v/>
      </c>
      <c r="D5998" s="245" t="str">
        <f t="shared" si="313"/>
        <v/>
      </c>
      <c r="E5998" s="534"/>
      <c r="F5998" s="534"/>
    </row>
    <row r="5999" spans="1:6" ht="15" customHeight="1">
      <c r="A5999" s="51"/>
      <c r="B5999" s="52" t="str">
        <f t="shared" si="312"/>
        <v/>
      </c>
      <c r="C5999" t="str">
        <f t="shared" si="311"/>
        <v/>
      </c>
      <c r="D5999" s="245" t="str">
        <f t="shared" si="313"/>
        <v/>
      </c>
      <c r="E5999" s="534"/>
      <c r="F5999" s="534"/>
    </row>
    <row r="6000" spans="1:6" ht="15" customHeight="1">
      <c r="A6000" s="51"/>
      <c r="B6000" s="52" t="str">
        <f t="shared" si="312"/>
        <v/>
      </c>
      <c r="C6000" t="str">
        <f t="shared" si="311"/>
        <v/>
      </c>
      <c r="D6000" s="245" t="str">
        <f t="shared" si="313"/>
        <v/>
      </c>
      <c r="E6000" s="534"/>
      <c r="F6000" s="534"/>
    </row>
    <row r="6001" spans="1:6" ht="15" customHeight="1">
      <c r="A6001" s="51"/>
      <c r="B6001" s="52" t="str">
        <f t="shared" si="312"/>
        <v/>
      </c>
      <c r="C6001" t="str">
        <f t="shared" si="311"/>
        <v/>
      </c>
      <c r="D6001" s="245" t="str">
        <f t="shared" si="313"/>
        <v/>
      </c>
      <c r="E6001" s="534"/>
      <c r="F6001" s="534"/>
    </row>
    <row r="6002" spans="1:6" ht="15" customHeight="1">
      <c r="A6002" s="51"/>
      <c r="B6002" s="52" t="str">
        <f t="shared" si="312"/>
        <v/>
      </c>
      <c r="C6002" t="str">
        <f t="shared" si="311"/>
        <v/>
      </c>
      <c r="D6002" s="245" t="str">
        <f t="shared" si="313"/>
        <v/>
      </c>
      <c r="E6002" s="534"/>
      <c r="F6002" s="534"/>
    </row>
    <row r="6003" spans="1:6" ht="15" customHeight="1">
      <c r="A6003" s="51"/>
      <c r="B6003" s="52" t="str">
        <f t="shared" si="312"/>
        <v/>
      </c>
      <c r="C6003" t="str">
        <f t="shared" si="311"/>
        <v/>
      </c>
      <c r="D6003" s="245" t="str">
        <f t="shared" si="313"/>
        <v/>
      </c>
      <c r="E6003" s="534"/>
      <c r="F6003" s="534"/>
    </row>
    <row r="6004" spans="1:6" ht="15" customHeight="1">
      <c r="A6004" s="51"/>
      <c r="B6004" s="52" t="str">
        <f t="shared" si="312"/>
        <v/>
      </c>
      <c r="C6004" t="str">
        <f t="shared" si="311"/>
        <v/>
      </c>
      <c r="D6004" s="245" t="str">
        <f t="shared" si="313"/>
        <v/>
      </c>
      <c r="E6004" s="534"/>
      <c r="F6004" s="534"/>
    </row>
    <row r="6005" spans="1:6" ht="15" customHeight="1">
      <c r="A6005" s="51"/>
      <c r="B6005" s="52" t="str">
        <f t="shared" si="312"/>
        <v/>
      </c>
      <c r="C6005" t="str">
        <f t="shared" si="311"/>
        <v/>
      </c>
      <c r="D6005" s="245" t="str">
        <f t="shared" si="313"/>
        <v/>
      </c>
      <c r="E6005" s="534"/>
      <c r="F6005" s="534"/>
    </row>
    <row r="6006" spans="1:6" ht="15" customHeight="1">
      <c r="A6006" s="51"/>
      <c r="B6006" s="52" t="str">
        <f t="shared" si="312"/>
        <v/>
      </c>
      <c r="C6006" t="str">
        <f t="shared" si="311"/>
        <v/>
      </c>
      <c r="D6006" s="245" t="str">
        <f t="shared" si="313"/>
        <v/>
      </c>
      <c r="E6006" s="534"/>
      <c r="F6006" s="534"/>
    </row>
    <row r="6007" spans="1:6" ht="15" customHeight="1">
      <c r="A6007" s="51"/>
      <c r="B6007" s="52" t="str">
        <f t="shared" si="312"/>
        <v/>
      </c>
      <c r="C6007" t="str">
        <f t="shared" si="311"/>
        <v/>
      </c>
      <c r="D6007" s="245" t="str">
        <f t="shared" si="313"/>
        <v/>
      </c>
      <c r="E6007" s="534"/>
      <c r="F6007" s="534"/>
    </row>
    <row r="6008" spans="1:6" ht="15" customHeight="1">
      <c r="A6008" s="51"/>
      <c r="B6008" s="52" t="str">
        <f t="shared" si="312"/>
        <v/>
      </c>
      <c r="C6008" t="str">
        <f t="shared" si="311"/>
        <v/>
      </c>
      <c r="D6008" s="245" t="str">
        <f t="shared" si="313"/>
        <v/>
      </c>
      <c r="E6008" s="534"/>
      <c r="F6008" s="534"/>
    </row>
    <row r="6009" spans="1:6" ht="15" customHeight="1">
      <c r="A6009" s="51"/>
      <c r="B6009" s="52" t="str">
        <f t="shared" si="312"/>
        <v/>
      </c>
      <c r="C6009" t="str">
        <f t="shared" si="311"/>
        <v/>
      </c>
      <c r="D6009" s="245" t="str">
        <f t="shared" si="313"/>
        <v/>
      </c>
      <c r="E6009" s="534"/>
      <c r="F6009" s="534"/>
    </row>
    <row r="6010" spans="1:6" ht="15" customHeight="1">
      <c r="A6010" s="51"/>
      <c r="B6010" s="52" t="str">
        <f t="shared" si="312"/>
        <v/>
      </c>
      <c r="C6010" t="str">
        <f t="shared" si="311"/>
        <v/>
      </c>
      <c r="D6010" s="245" t="str">
        <f t="shared" si="313"/>
        <v/>
      </c>
      <c r="E6010" s="534"/>
      <c r="F6010" s="534"/>
    </row>
    <row r="6011" spans="1:6" ht="15" customHeight="1">
      <c r="A6011" s="51"/>
      <c r="B6011" s="52" t="str">
        <f t="shared" si="312"/>
        <v/>
      </c>
      <c r="C6011" t="str">
        <f t="shared" si="311"/>
        <v/>
      </c>
      <c r="D6011" s="245" t="str">
        <f t="shared" si="313"/>
        <v/>
      </c>
      <c r="E6011" s="534"/>
      <c r="F6011" s="534"/>
    </row>
    <row r="6012" spans="1:6" ht="15" customHeight="1">
      <c r="A6012" s="51"/>
      <c r="B6012" s="52" t="str">
        <f t="shared" si="312"/>
        <v/>
      </c>
      <c r="C6012" t="str">
        <f t="shared" si="311"/>
        <v/>
      </c>
      <c r="D6012" s="245" t="str">
        <f t="shared" si="313"/>
        <v/>
      </c>
      <c r="E6012" s="534"/>
      <c r="F6012" s="534"/>
    </row>
    <row r="6013" spans="1:6" ht="15" customHeight="1">
      <c r="A6013" s="51"/>
      <c r="B6013" s="52" t="str">
        <f t="shared" si="312"/>
        <v/>
      </c>
      <c r="C6013" t="str">
        <f t="shared" si="311"/>
        <v/>
      </c>
      <c r="D6013" s="245" t="str">
        <f t="shared" si="313"/>
        <v/>
      </c>
      <c r="E6013" s="534"/>
      <c r="F6013" s="534"/>
    </row>
    <row r="6014" spans="1:6" ht="15" customHeight="1">
      <c r="A6014" s="51"/>
      <c r="B6014" s="52" t="str">
        <f t="shared" si="312"/>
        <v/>
      </c>
      <c r="C6014" t="str">
        <f t="shared" si="311"/>
        <v/>
      </c>
      <c r="D6014" s="245" t="str">
        <f t="shared" si="313"/>
        <v/>
      </c>
      <c r="E6014" s="534"/>
      <c r="F6014" s="534"/>
    </row>
    <row r="6015" spans="1:6" ht="15" customHeight="1">
      <c r="A6015" s="51"/>
      <c r="B6015" s="52" t="str">
        <f t="shared" si="312"/>
        <v/>
      </c>
      <c r="C6015" t="str">
        <f t="shared" si="311"/>
        <v/>
      </c>
      <c r="D6015" s="245" t="str">
        <f t="shared" si="313"/>
        <v/>
      </c>
      <c r="E6015" s="534"/>
      <c r="F6015" s="534"/>
    </row>
    <row r="6016" spans="1:6" ht="15" customHeight="1">
      <c r="A6016" s="51"/>
      <c r="B6016" s="52" t="str">
        <f t="shared" si="312"/>
        <v/>
      </c>
      <c r="C6016" t="str">
        <f t="shared" si="311"/>
        <v/>
      </c>
      <c r="D6016" s="245" t="str">
        <f t="shared" si="313"/>
        <v/>
      </c>
      <c r="E6016" s="534"/>
      <c r="F6016" s="534"/>
    </row>
    <row r="6017" spans="1:6" ht="15" customHeight="1">
      <c r="A6017" s="51"/>
      <c r="B6017" s="52" t="str">
        <f t="shared" si="312"/>
        <v/>
      </c>
      <c r="C6017" t="str">
        <f t="shared" si="311"/>
        <v/>
      </c>
      <c r="D6017" s="245" t="str">
        <f t="shared" si="313"/>
        <v/>
      </c>
      <c r="E6017" s="534"/>
      <c r="F6017" s="534"/>
    </row>
    <row r="6018" spans="1:6" ht="15" customHeight="1">
      <c r="A6018" s="51"/>
      <c r="B6018" s="52" t="str">
        <f t="shared" si="312"/>
        <v/>
      </c>
      <c r="C6018" t="str">
        <f t="shared" ref="C6018:C6081" si="314">IF(A6018&lt;&gt;"",TEXT(A6018,"aaaa"),"")</f>
        <v/>
      </c>
      <c r="D6018" s="245" t="str">
        <f t="shared" si="313"/>
        <v/>
      </c>
      <c r="E6018" s="534"/>
      <c r="F6018" s="534"/>
    </row>
    <row r="6019" spans="1:6" ht="15" customHeight="1">
      <c r="A6019" s="51"/>
      <c r="B6019" s="52" t="str">
        <f t="shared" si="312"/>
        <v/>
      </c>
      <c r="C6019" t="str">
        <f t="shared" si="314"/>
        <v/>
      </c>
      <c r="D6019" s="245" t="str">
        <f t="shared" si="313"/>
        <v/>
      </c>
      <c r="E6019" s="534"/>
      <c r="F6019" s="534"/>
    </row>
    <row r="6020" spans="1:6" ht="15" customHeight="1">
      <c r="A6020" s="51"/>
      <c r="B6020" s="52" t="str">
        <f t="shared" si="312"/>
        <v/>
      </c>
      <c r="C6020" t="str">
        <f t="shared" si="314"/>
        <v/>
      </c>
      <c r="D6020" s="245" t="str">
        <f t="shared" si="313"/>
        <v/>
      </c>
      <c r="E6020" s="534"/>
      <c r="F6020" s="534"/>
    </row>
    <row r="6021" spans="1:6" ht="15" customHeight="1">
      <c r="A6021" s="51"/>
      <c r="B6021" s="52" t="str">
        <f t="shared" si="312"/>
        <v/>
      </c>
      <c r="C6021" t="str">
        <f t="shared" si="314"/>
        <v/>
      </c>
      <c r="D6021" s="245" t="str">
        <f t="shared" si="313"/>
        <v/>
      </c>
      <c r="E6021" s="534"/>
      <c r="F6021" s="534"/>
    </row>
    <row r="6022" spans="1:6" ht="15" customHeight="1">
      <c r="A6022" s="51"/>
      <c r="B6022" s="52" t="str">
        <f t="shared" si="312"/>
        <v/>
      </c>
      <c r="C6022" t="str">
        <f t="shared" si="314"/>
        <v/>
      </c>
      <c r="D6022" s="245" t="str">
        <f t="shared" si="313"/>
        <v/>
      </c>
      <c r="E6022" s="534"/>
      <c r="F6022" s="534"/>
    </row>
    <row r="6023" spans="1:6" ht="15" customHeight="1">
      <c r="A6023" s="51"/>
      <c r="B6023" s="52" t="str">
        <f t="shared" si="312"/>
        <v/>
      </c>
      <c r="C6023" t="str">
        <f t="shared" si="314"/>
        <v/>
      </c>
      <c r="D6023" s="245" t="str">
        <f t="shared" si="313"/>
        <v/>
      </c>
      <c r="E6023" s="534"/>
      <c r="F6023" s="534"/>
    </row>
    <row r="6024" spans="1:6" ht="15" customHeight="1">
      <c r="A6024" s="51"/>
      <c r="B6024" s="52" t="str">
        <f t="shared" ref="B6024:B6087" si="315">IF(A6024="","",TEXT(A6024,"DDDD"))</f>
        <v/>
      </c>
      <c r="C6024" t="str">
        <f t="shared" si="314"/>
        <v/>
      </c>
      <c r="D6024" s="245" t="str">
        <f t="shared" si="313"/>
        <v/>
      </c>
      <c r="E6024" s="534"/>
      <c r="F6024" s="534"/>
    </row>
    <row r="6025" spans="1:6" ht="15" customHeight="1">
      <c r="A6025" s="51"/>
      <c r="B6025" s="52" t="str">
        <f t="shared" si="315"/>
        <v/>
      </c>
      <c r="C6025" t="str">
        <f t="shared" si="314"/>
        <v/>
      </c>
      <c r="D6025" s="245" t="str">
        <f t="shared" ref="D6025:D6088" si="316">IF(A6025&lt;&gt;"",PROPER(TEXT(A6025,"Mmmm")),"")</f>
        <v/>
      </c>
      <c r="E6025" s="534"/>
      <c r="F6025" s="534"/>
    </row>
    <row r="6026" spans="1:6" ht="15" customHeight="1">
      <c r="A6026" s="51"/>
      <c r="B6026" s="52" t="str">
        <f t="shared" si="315"/>
        <v/>
      </c>
      <c r="C6026" t="str">
        <f t="shared" si="314"/>
        <v/>
      </c>
      <c r="D6026" s="245" t="str">
        <f t="shared" si="316"/>
        <v/>
      </c>
      <c r="E6026" s="534"/>
      <c r="F6026" s="534"/>
    </row>
    <row r="6027" spans="1:6" ht="15" customHeight="1">
      <c r="A6027" s="51"/>
      <c r="B6027" s="52" t="str">
        <f t="shared" si="315"/>
        <v/>
      </c>
      <c r="C6027" t="str">
        <f t="shared" si="314"/>
        <v/>
      </c>
      <c r="D6027" s="245" t="str">
        <f t="shared" si="316"/>
        <v/>
      </c>
      <c r="E6027" s="534"/>
      <c r="F6027" s="534"/>
    </row>
    <row r="6028" spans="1:6" ht="15" customHeight="1">
      <c r="A6028" s="51"/>
      <c r="B6028" s="52" t="str">
        <f t="shared" si="315"/>
        <v/>
      </c>
      <c r="C6028" t="str">
        <f t="shared" si="314"/>
        <v/>
      </c>
      <c r="D6028" s="245" t="str">
        <f t="shared" si="316"/>
        <v/>
      </c>
      <c r="E6028" s="534"/>
      <c r="F6028" s="534"/>
    </row>
    <row r="6029" spans="1:6" ht="15" customHeight="1">
      <c r="A6029" s="51"/>
      <c r="B6029" s="52" t="str">
        <f t="shared" si="315"/>
        <v/>
      </c>
      <c r="C6029" t="str">
        <f t="shared" si="314"/>
        <v/>
      </c>
      <c r="D6029" s="245" t="str">
        <f t="shared" si="316"/>
        <v/>
      </c>
      <c r="E6029" s="534"/>
      <c r="F6029" s="534"/>
    </row>
    <row r="6030" spans="1:6" ht="15" customHeight="1">
      <c r="A6030" s="51"/>
      <c r="B6030" s="52" t="str">
        <f t="shared" si="315"/>
        <v/>
      </c>
      <c r="C6030" t="str">
        <f t="shared" si="314"/>
        <v/>
      </c>
      <c r="D6030" s="245" t="str">
        <f t="shared" si="316"/>
        <v/>
      </c>
      <c r="E6030" s="534"/>
      <c r="F6030" s="534"/>
    </row>
    <row r="6031" spans="1:6" ht="15" customHeight="1">
      <c r="A6031" s="51"/>
      <c r="B6031" s="52" t="str">
        <f t="shared" si="315"/>
        <v/>
      </c>
      <c r="C6031" t="str">
        <f t="shared" si="314"/>
        <v/>
      </c>
      <c r="D6031" s="245" t="str">
        <f t="shared" si="316"/>
        <v/>
      </c>
      <c r="E6031" s="534"/>
      <c r="F6031" s="534"/>
    </row>
    <row r="6032" spans="1:6" ht="15" customHeight="1">
      <c r="A6032" s="51"/>
      <c r="B6032" s="52" t="str">
        <f t="shared" si="315"/>
        <v/>
      </c>
      <c r="C6032" t="str">
        <f t="shared" si="314"/>
        <v/>
      </c>
      <c r="D6032" s="245" t="str">
        <f t="shared" si="316"/>
        <v/>
      </c>
      <c r="E6032" s="534"/>
      <c r="F6032" s="534"/>
    </row>
    <row r="6033" spans="1:6" ht="15" customHeight="1">
      <c r="A6033" s="51"/>
      <c r="B6033" s="52" t="str">
        <f t="shared" si="315"/>
        <v/>
      </c>
      <c r="C6033" t="str">
        <f t="shared" si="314"/>
        <v/>
      </c>
      <c r="D6033" s="245" t="str">
        <f t="shared" si="316"/>
        <v/>
      </c>
      <c r="E6033" s="534"/>
      <c r="F6033" s="534"/>
    </row>
    <row r="6034" spans="1:6" ht="15" customHeight="1">
      <c r="A6034" s="51"/>
      <c r="B6034" s="52" t="str">
        <f t="shared" si="315"/>
        <v/>
      </c>
      <c r="C6034" t="str">
        <f t="shared" si="314"/>
        <v/>
      </c>
      <c r="D6034" s="245" t="str">
        <f t="shared" si="316"/>
        <v/>
      </c>
      <c r="E6034" s="534"/>
      <c r="F6034" s="534"/>
    </row>
    <row r="6035" spans="1:6" ht="15" customHeight="1">
      <c r="A6035" s="51"/>
      <c r="B6035" s="52" t="str">
        <f t="shared" si="315"/>
        <v/>
      </c>
      <c r="C6035" t="str">
        <f t="shared" si="314"/>
        <v/>
      </c>
      <c r="D6035" s="245" t="str">
        <f t="shared" si="316"/>
        <v/>
      </c>
      <c r="E6035" s="534"/>
      <c r="F6035" s="534"/>
    </row>
    <row r="6036" spans="1:6" ht="15" customHeight="1">
      <c r="A6036" s="51"/>
      <c r="B6036" s="52" t="str">
        <f t="shared" si="315"/>
        <v/>
      </c>
      <c r="C6036" t="str">
        <f t="shared" si="314"/>
        <v/>
      </c>
      <c r="D6036" s="245" t="str">
        <f t="shared" si="316"/>
        <v/>
      </c>
      <c r="E6036" s="534"/>
      <c r="F6036" s="534"/>
    </row>
    <row r="6037" spans="1:6" ht="15" customHeight="1">
      <c r="A6037" s="51"/>
      <c r="B6037" s="52" t="str">
        <f t="shared" si="315"/>
        <v/>
      </c>
      <c r="C6037" t="str">
        <f t="shared" si="314"/>
        <v/>
      </c>
      <c r="D6037" s="245" t="str">
        <f t="shared" si="316"/>
        <v/>
      </c>
      <c r="E6037" s="534"/>
      <c r="F6037" s="534"/>
    </row>
    <row r="6038" spans="1:6" ht="15" customHeight="1">
      <c r="A6038" s="51"/>
      <c r="B6038" s="52" t="str">
        <f t="shared" si="315"/>
        <v/>
      </c>
      <c r="C6038" t="str">
        <f t="shared" si="314"/>
        <v/>
      </c>
      <c r="D6038" s="245" t="str">
        <f t="shared" si="316"/>
        <v/>
      </c>
      <c r="E6038" s="534"/>
      <c r="F6038" s="534"/>
    </row>
    <row r="6039" spans="1:6" ht="15" customHeight="1">
      <c r="A6039" s="51"/>
      <c r="B6039" s="52" t="str">
        <f t="shared" si="315"/>
        <v/>
      </c>
      <c r="C6039" t="str">
        <f t="shared" si="314"/>
        <v/>
      </c>
      <c r="D6039" s="245" t="str">
        <f t="shared" si="316"/>
        <v/>
      </c>
      <c r="E6039" s="534"/>
      <c r="F6039" s="534"/>
    </row>
    <row r="6040" spans="1:6" ht="15" customHeight="1">
      <c r="A6040" s="51"/>
      <c r="B6040" s="52" t="str">
        <f t="shared" si="315"/>
        <v/>
      </c>
      <c r="C6040" t="str">
        <f t="shared" si="314"/>
        <v/>
      </c>
      <c r="D6040" s="245" t="str">
        <f t="shared" si="316"/>
        <v/>
      </c>
      <c r="E6040" s="534"/>
      <c r="F6040" s="534"/>
    </row>
    <row r="6041" spans="1:6" ht="15" customHeight="1">
      <c r="A6041" s="51"/>
      <c r="B6041" s="52" t="str">
        <f t="shared" si="315"/>
        <v/>
      </c>
      <c r="C6041" t="str">
        <f t="shared" si="314"/>
        <v/>
      </c>
      <c r="D6041" s="245" t="str">
        <f t="shared" si="316"/>
        <v/>
      </c>
      <c r="E6041" s="534"/>
      <c r="F6041" s="534"/>
    </row>
    <row r="6042" spans="1:6" ht="15" customHeight="1">
      <c r="A6042" s="51"/>
      <c r="B6042" s="52" t="str">
        <f t="shared" si="315"/>
        <v/>
      </c>
      <c r="C6042" t="str">
        <f t="shared" si="314"/>
        <v/>
      </c>
      <c r="D6042" s="245" t="str">
        <f t="shared" si="316"/>
        <v/>
      </c>
      <c r="E6042" s="534"/>
      <c r="F6042" s="534"/>
    </row>
    <row r="6043" spans="1:6" ht="15" customHeight="1">
      <c r="A6043" s="51"/>
      <c r="B6043" s="52" t="str">
        <f t="shared" si="315"/>
        <v/>
      </c>
      <c r="C6043" t="str">
        <f t="shared" si="314"/>
        <v/>
      </c>
      <c r="D6043" s="245" t="str">
        <f t="shared" si="316"/>
        <v/>
      </c>
      <c r="E6043" s="534"/>
      <c r="F6043" s="534"/>
    </row>
    <row r="6044" spans="1:6" ht="15" customHeight="1">
      <c r="A6044" s="51"/>
      <c r="B6044" s="52" t="str">
        <f t="shared" si="315"/>
        <v/>
      </c>
      <c r="C6044" t="str">
        <f t="shared" si="314"/>
        <v/>
      </c>
      <c r="D6044" s="245" t="str">
        <f t="shared" si="316"/>
        <v/>
      </c>
      <c r="E6044" s="534"/>
      <c r="F6044" s="534"/>
    </row>
    <row r="6045" spans="1:6" ht="15" customHeight="1">
      <c r="A6045" s="51"/>
      <c r="B6045" s="52" t="str">
        <f t="shared" si="315"/>
        <v/>
      </c>
      <c r="C6045" t="str">
        <f t="shared" si="314"/>
        <v/>
      </c>
      <c r="D6045" s="245" t="str">
        <f t="shared" si="316"/>
        <v/>
      </c>
      <c r="E6045" s="534"/>
      <c r="F6045" s="534"/>
    </row>
    <row r="6046" spans="1:6" ht="15" customHeight="1">
      <c r="A6046" s="51"/>
      <c r="B6046" s="52" t="str">
        <f t="shared" si="315"/>
        <v/>
      </c>
      <c r="C6046" t="str">
        <f t="shared" si="314"/>
        <v/>
      </c>
      <c r="D6046" s="245" t="str">
        <f t="shared" si="316"/>
        <v/>
      </c>
      <c r="E6046" s="534"/>
      <c r="F6046" s="534"/>
    </row>
    <row r="6047" spans="1:6" ht="15" customHeight="1">
      <c r="A6047" s="51"/>
      <c r="B6047" s="52" t="str">
        <f t="shared" si="315"/>
        <v/>
      </c>
      <c r="C6047" t="str">
        <f t="shared" si="314"/>
        <v/>
      </c>
      <c r="D6047" s="245" t="str">
        <f t="shared" si="316"/>
        <v/>
      </c>
      <c r="E6047" s="534"/>
      <c r="F6047" s="534"/>
    </row>
    <row r="6048" spans="1:6" ht="15" customHeight="1">
      <c r="A6048" s="51"/>
      <c r="B6048" s="52" t="str">
        <f t="shared" si="315"/>
        <v/>
      </c>
      <c r="C6048" t="str">
        <f t="shared" si="314"/>
        <v/>
      </c>
      <c r="D6048" s="245" t="str">
        <f t="shared" si="316"/>
        <v/>
      </c>
      <c r="E6048" s="534"/>
      <c r="F6048" s="534"/>
    </row>
    <row r="6049" spans="1:6" ht="15" customHeight="1">
      <c r="A6049" s="51"/>
      <c r="B6049" s="52" t="str">
        <f t="shared" si="315"/>
        <v/>
      </c>
      <c r="C6049" t="str">
        <f t="shared" si="314"/>
        <v/>
      </c>
      <c r="D6049" s="245" t="str">
        <f t="shared" si="316"/>
        <v/>
      </c>
      <c r="E6049" s="534"/>
      <c r="F6049" s="534"/>
    </row>
    <row r="6050" spans="1:6" ht="15" customHeight="1">
      <c r="A6050" s="51"/>
      <c r="B6050" s="52" t="str">
        <f t="shared" si="315"/>
        <v/>
      </c>
      <c r="C6050" t="str">
        <f t="shared" si="314"/>
        <v/>
      </c>
      <c r="D6050" s="245" t="str">
        <f t="shared" si="316"/>
        <v/>
      </c>
      <c r="E6050" s="534"/>
      <c r="F6050" s="534"/>
    </row>
    <row r="6051" spans="1:6" ht="15" customHeight="1">
      <c r="A6051" s="51"/>
      <c r="B6051" s="52" t="str">
        <f t="shared" si="315"/>
        <v/>
      </c>
      <c r="C6051" t="str">
        <f t="shared" si="314"/>
        <v/>
      </c>
      <c r="D6051" s="245" t="str">
        <f t="shared" si="316"/>
        <v/>
      </c>
      <c r="E6051" s="534"/>
      <c r="F6051" s="534"/>
    </row>
    <row r="6052" spans="1:6" ht="15" customHeight="1">
      <c r="A6052" s="51"/>
      <c r="B6052" s="52" t="str">
        <f t="shared" si="315"/>
        <v/>
      </c>
      <c r="C6052" t="str">
        <f t="shared" si="314"/>
        <v/>
      </c>
      <c r="D6052" s="245" t="str">
        <f t="shared" si="316"/>
        <v/>
      </c>
      <c r="E6052" s="534"/>
      <c r="F6052" s="534"/>
    </row>
    <row r="6053" spans="1:6" ht="15" customHeight="1">
      <c r="A6053" s="51"/>
      <c r="B6053" s="52" t="str">
        <f t="shared" si="315"/>
        <v/>
      </c>
      <c r="C6053" t="str">
        <f t="shared" si="314"/>
        <v/>
      </c>
      <c r="D6053" s="245" t="str">
        <f t="shared" si="316"/>
        <v/>
      </c>
      <c r="E6053" s="534"/>
      <c r="F6053" s="534"/>
    </row>
    <row r="6054" spans="1:6" ht="15" customHeight="1">
      <c r="A6054" s="51"/>
      <c r="B6054" s="52" t="str">
        <f t="shared" si="315"/>
        <v/>
      </c>
      <c r="C6054" t="str">
        <f t="shared" si="314"/>
        <v/>
      </c>
      <c r="D6054" s="245" t="str">
        <f t="shared" si="316"/>
        <v/>
      </c>
      <c r="E6054" s="534"/>
      <c r="F6054" s="534"/>
    </row>
    <row r="6055" spans="1:6" ht="15" customHeight="1">
      <c r="A6055" s="51"/>
      <c r="B6055" s="52" t="str">
        <f t="shared" si="315"/>
        <v/>
      </c>
      <c r="C6055" t="str">
        <f t="shared" si="314"/>
        <v/>
      </c>
      <c r="D6055" s="245" t="str">
        <f t="shared" si="316"/>
        <v/>
      </c>
      <c r="E6055" s="534"/>
      <c r="F6055" s="534"/>
    </row>
    <row r="6056" spans="1:6" ht="15" customHeight="1">
      <c r="A6056" s="51"/>
      <c r="B6056" s="52" t="str">
        <f t="shared" si="315"/>
        <v/>
      </c>
      <c r="C6056" t="str">
        <f t="shared" si="314"/>
        <v/>
      </c>
      <c r="D6056" s="245" t="str">
        <f t="shared" si="316"/>
        <v/>
      </c>
      <c r="E6056" s="534"/>
      <c r="F6056" s="534"/>
    </row>
    <row r="6057" spans="1:6" ht="15" customHeight="1">
      <c r="A6057" s="51"/>
      <c r="B6057" s="52" t="str">
        <f t="shared" si="315"/>
        <v/>
      </c>
      <c r="C6057" t="str">
        <f t="shared" si="314"/>
        <v/>
      </c>
      <c r="D6057" s="245" t="str">
        <f t="shared" si="316"/>
        <v/>
      </c>
      <c r="E6057" s="534"/>
      <c r="F6057" s="534"/>
    </row>
    <row r="6058" spans="1:6" ht="15" customHeight="1">
      <c r="A6058" s="51"/>
      <c r="B6058" s="52" t="str">
        <f t="shared" si="315"/>
        <v/>
      </c>
      <c r="C6058" t="str">
        <f t="shared" si="314"/>
        <v/>
      </c>
      <c r="D6058" s="245" t="str">
        <f t="shared" si="316"/>
        <v/>
      </c>
      <c r="E6058" s="534"/>
      <c r="F6058" s="534"/>
    </row>
    <row r="6059" spans="1:6" ht="15" customHeight="1">
      <c r="A6059" s="51"/>
      <c r="B6059" s="52" t="str">
        <f t="shared" si="315"/>
        <v/>
      </c>
      <c r="C6059" t="str">
        <f t="shared" si="314"/>
        <v/>
      </c>
      <c r="D6059" s="245" t="str">
        <f t="shared" si="316"/>
        <v/>
      </c>
      <c r="E6059" s="534"/>
      <c r="F6059" s="534"/>
    </row>
    <row r="6060" spans="1:6" ht="15" customHeight="1">
      <c r="A6060" s="51"/>
      <c r="B6060" s="52" t="str">
        <f t="shared" si="315"/>
        <v/>
      </c>
      <c r="C6060" t="str">
        <f t="shared" si="314"/>
        <v/>
      </c>
      <c r="D6060" s="245" t="str">
        <f t="shared" si="316"/>
        <v/>
      </c>
      <c r="E6060" s="534"/>
      <c r="F6060" s="534"/>
    </row>
    <row r="6061" spans="1:6" ht="15" customHeight="1">
      <c r="A6061" s="51"/>
      <c r="B6061" s="52" t="str">
        <f t="shared" si="315"/>
        <v/>
      </c>
      <c r="C6061" t="str">
        <f t="shared" si="314"/>
        <v/>
      </c>
      <c r="D6061" s="245" t="str">
        <f t="shared" si="316"/>
        <v/>
      </c>
      <c r="E6061" s="534"/>
      <c r="F6061" s="534"/>
    </row>
    <row r="6062" spans="1:6" ht="15" customHeight="1">
      <c r="A6062" s="51"/>
      <c r="B6062" s="52" t="str">
        <f t="shared" si="315"/>
        <v/>
      </c>
      <c r="C6062" t="str">
        <f t="shared" si="314"/>
        <v/>
      </c>
      <c r="D6062" s="245" t="str">
        <f t="shared" si="316"/>
        <v/>
      </c>
      <c r="E6062" s="534"/>
      <c r="F6062" s="534"/>
    </row>
    <row r="6063" spans="1:6" ht="15" customHeight="1">
      <c r="A6063" s="51"/>
      <c r="B6063" s="52" t="str">
        <f t="shared" si="315"/>
        <v/>
      </c>
      <c r="C6063" t="str">
        <f t="shared" si="314"/>
        <v/>
      </c>
      <c r="D6063" s="245" t="str">
        <f t="shared" si="316"/>
        <v/>
      </c>
      <c r="E6063" s="534"/>
      <c r="F6063" s="534"/>
    </row>
    <row r="6064" spans="1:6" ht="15" customHeight="1">
      <c r="A6064" s="51"/>
      <c r="B6064" s="52" t="str">
        <f t="shared" si="315"/>
        <v/>
      </c>
      <c r="C6064" t="str">
        <f t="shared" si="314"/>
        <v/>
      </c>
      <c r="D6064" s="245" t="str">
        <f t="shared" si="316"/>
        <v/>
      </c>
      <c r="E6064" s="534"/>
      <c r="F6064" s="534"/>
    </row>
    <row r="6065" spans="1:6" ht="15" customHeight="1">
      <c r="A6065" s="51"/>
      <c r="B6065" s="52" t="str">
        <f t="shared" si="315"/>
        <v/>
      </c>
      <c r="C6065" t="str">
        <f t="shared" si="314"/>
        <v/>
      </c>
      <c r="D6065" s="245" t="str">
        <f t="shared" si="316"/>
        <v/>
      </c>
      <c r="E6065" s="534"/>
      <c r="F6065" s="534"/>
    </row>
    <row r="6066" spans="1:6" ht="15" customHeight="1">
      <c r="A6066" s="51"/>
      <c r="B6066" s="52" t="str">
        <f t="shared" si="315"/>
        <v/>
      </c>
      <c r="C6066" t="str">
        <f t="shared" si="314"/>
        <v/>
      </c>
      <c r="D6066" s="245" t="str">
        <f t="shared" si="316"/>
        <v/>
      </c>
      <c r="E6066" s="534"/>
      <c r="F6066" s="534"/>
    </row>
    <row r="6067" spans="1:6" ht="15" customHeight="1">
      <c r="A6067" s="51"/>
      <c r="B6067" s="52" t="str">
        <f t="shared" si="315"/>
        <v/>
      </c>
      <c r="C6067" t="str">
        <f t="shared" si="314"/>
        <v/>
      </c>
      <c r="D6067" s="245" t="str">
        <f t="shared" si="316"/>
        <v/>
      </c>
      <c r="E6067" s="534"/>
      <c r="F6067" s="534"/>
    </row>
    <row r="6068" spans="1:6" ht="15" customHeight="1">
      <c r="A6068" s="51"/>
      <c r="B6068" s="52" t="str">
        <f t="shared" si="315"/>
        <v/>
      </c>
      <c r="C6068" t="str">
        <f t="shared" si="314"/>
        <v/>
      </c>
      <c r="D6068" s="245" t="str">
        <f t="shared" si="316"/>
        <v/>
      </c>
      <c r="E6068" s="534"/>
      <c r="F6068" s="534"/>
    </row>
    <row r="6069" spans="1:6" ht="15" customHeight="1">
      <c r="A6069" s="51"/>
      <c r="B6069" s="52" t="str">
        <f t="shared" si="315"/>
        <v/>
      </c>
      <c r="C6069" t="str">
        <f t="shared" si="314"/>
        <v/>
      </c>
      <c r="D6069" s="245" t="str">
        <f t="shared" si="316"/>
        <v/>
      </c>
      <c r="E6069" s="534"/>
      <c r="F6069" s="534"/>
    </row>
    <row r="6070" spans="1:6" ht="15" customHeight="1">
      <c r="A6070" s="51"/>
      <c r="B6070" s="52" t="str">
        <f t="shared" si="315"/>
        <v/>
      </c>
      <c r="C6070" t="str">
        <f t="shared" si="314"/>
        <v/>
      </c>
      <c r="D6070" s="245" t="str">
        <f t="shared" si="316"/>
        <v/>
      </c>
      <c r="E6070" s="534"/>
      <c r="F6070" s="534"/>
    </row>
    <row r="6071" spans="1:6" ht="15" customHeight="1">
      <c r="A6071" s="51"/>
      <c r="B6071" s="52" t="str">
        <f t="shared" si="315"/>
        <v/>
      </c>
      <c r="C6071" t="str">
        <f t="shared" si="314"/>
        <v/>
      </c>
      <c r="D6071" s="245" t="str">
        <f t="shared" si="316"/>
        <v/>
      </c>
      <c r="E6071" s="534"/>
      <c r="F6071" s="534"/>
    </row>
    <row r="6072" spans="1:6" ht="15" customHeight="1">
      <c r="A6072" s="51"/>
      <c r="B6072" s="52" t="str">
        <f t="shared" si="315"/>
        <v/>
      </c>
      <c r="C6072" t="str">
        <f t="shared" si="314"/>
        <v/>
      </c>
      <c r="D6072" s="245" t="str">
        <f t="shared" si="316"/>
        <v/>
      </c>
      <c r="E6072" s="534"/>
      <c r="F6072" s="534"/>
    </row>
    <row r="6073" spans="1:6" ht="15" customHeight="1">
      <c r="A6073" s="51"/>
      <c r="B6073" s="52" t="str">
        <f t="shared" si="315"/>
        <v/>
      </c>
      <c r="C6073" t="str">
        <f t="shared" si="314"/>
        <v/>
      </c>
      <c r="D6073" s="245" t="str">
        <f t="shared" si="316"/>
        <v/>
      </c>
      <c r="E6073" s="534"/>
      <c r="F6073" s="534"/>
    </row>
    <row r="6074" spans="1:6" ht="15" customHeight="1">
      <c r="A6074" s="51"/>
      <c r="B6074" s="52" t="str">
        <f t="shared" si="315"/>
        <v/>
      </c>
      <c r="C6074" t="str">
        <f t="shared" si="314"/>
        <v/>
      </c>
      <c r="D6074" s="245" t="str">
        <f t="shared" si="316"/>
        <v/>
      </c>
      <c r="E6074" s="534"/>
      <c r="F6074" s="534"/>
    </row>
    <row r="6075" spans="1:6" ht="15" customHeight="1">
      <c r="A6075" s="51"/>
      <c r="B6075" s="52" t="str">
        <f t="shared" si="315"/>
        <v/>
      </c>
      <c r="C6075" t="str">
        <f t="shared" si="314"/>
        <v/>
      </c>
      <c r="D6075" s="245" t="str">
        <f t="shared" si="316"/>
        <v/>
      </c>
      <c r="E6075" s="534"/>
      <c r="F6075" s="534"/>
    </row>
    <row r="6076" spans="1:6" ht="15" customHeight="1">
      <c r="A6076" s="51"/>
      <c r="B6076" s="52" t="str">
        <f t="shared" si="315"/>
        <v/>
      </c>
      <c r="C6076" t="str">
        <f t="shared" si="314"/>
        <v/>
      </c>
      <c r="D6076" s="245" t="str">
        <f t="shared" si="316"/>
        <v/>
      </c>
      <c r="E6076" s="534"/>
      <c r="F6076" s="534"/>
    </row>
    <row r="6077" spans="1:6" ht="15" customHeight="1">
      <c r="A6077" s="51"/>
      <c r="B6077" s="52" t="str">
        <f t="shared" si="315"/>
        <v/>
      </c>
      <c r="C6077" t="str">
        <f t="shared" si="314"/>
        <v/>
      </c>
      <c r="D6077" s="245" t="str">
        <f t="shared" si="316"/>
        <v/>
      </c>
      <c r="E6077" s="534"/>
      <c r="F6077" s="534"/>
    </row>
    <row r="6078" spans="1:6" ht="15" customHeight="1">
      <c r="A6078" s="51"/>
      <c r="B6078" s="52" t="str">
        <f t="shared" si="315"/>
        <v/>
      </c>
      <c r="C6078" t="str">
        <f t="shared" si="314"/>
        <v/>
      </c>
      <c r="D6078" s="245" t="str">
        <f t="shared" si="316"/>
        <v/>
      </c>
      <c r="E6078" s="534"/>
      <c r="F6078" s="534"/>
    </row>
    <row r="6079" spans="1:6" ht="15" customHeight="1">
      <c r="A6079" s="51"/>
      <c r="B6079" s="52" t="str">
        <f t="shared" si="315"/>
        <v/>
      </c>
      <c r="C6079" t="str">
        <f t="shared" si="314"/>
        <v/>
      </c>
      <c r="D6079" s="245" t="str">
        <f t="shared" si="316"/>
        <v/>
      </c>
      <c r="E6079" s="534"/>
      <c r="F6079" s="534"/>
    </row>
    <row r="6080" spans="1:6" ht="15" customHeight="1">
      <c r="A6080" s="51"/>
      <c r="B6080" s="52" t="str">
        <f t="shared" si="315"/>
        <v/>
      </c>
      <c r="C6080" t="str">
        <f t="shared" si="314"/>
        <v/>
      </c>
      <c r="D6080" s="245" t="str">
        <f t="shared" si="316"/>
        <v/>
      </c>
      <c r="E6080" s="534"/>
      <c r="F6080" s="534"/>
    </row>
    <row r="6081" spans="1:6" ht="15" customHeight="1">
      <c r="A6081" s="51"/>
      <c r="B6081" s="52" t="str">
        <f t="shared" si="315"/>
        <v/>
      </c>
      <c r="C6081" t="str">
        <f t="shared" si="314"/>
        <v/>
      </c>
      <c r="D6081" s="245" t="str">
        <f t="shared" si="316"/>
        <v/>
      </c>
      <c r="E6081" s="534"/>
      <c r="F6081" s="534"/>
    </row>
    <row r="6082" spans="1:6" ht="15" customHeight="1">
      <c r="A6082" s="51"/>
      <c r="B6082" s="52" t="str">
        <f t="shared" si="315"/>
        <v/>
      </c>
      <c r="C6082" t="str">
        <f t="shared" ref="C6082:C6145" si="317">IF(A6082&lt;&gt;"",TEXT(A6082,"aaaa"),"")</f>
        <v/>
      </c>
      <c r="D6082" s="245" t="str">
        <f t="shared" si="316"/>
        <v/>
      </c>
      <c r="E6082" s="534"/>
      <c r="F6082" s="534"/>
    </row>
    <row r="6083" spans="1:6" ht="15" customHeight="1">
      <c r="A6083" s="51"/>
      <c r="B6083" s="52" t="str">
        <f t="shared" si="315"/>
        <v/>
      </c>
      <c r="C6083" t="str">
        <f t="shared" si="317"/>
        <v/>
      </c>
      <c r="D6083" s="245" t="str">
        <f t="shared" si="316"/>
        <v/>
      </c>
      <c r="E6083" s="534"/>
      <c r="F6083" s="534"/>
    </row>
    <row r="6084" spans="1:6" ht="15" customHeight="1">
      <c r="A6084" s="51"/>
      <c r="B6084" s="52" t="str">
        <f t="shared" si="315"/>
        <v/>
      </c>
      <c r="C6084" t="str">
        <f t="shared" si="317"/>
        <v/>
      </c>
      <c r="D6084" s="245" t="str">
        <f t="shared" si="316"/>
        <v/>
      </c>
      <c r="E6084" s="534"/>
      <c r="F6084" s="534"/>
    </row>
    <row r="6085" spans="1:6" ht="15" customHeight="1">
      <c r="A6085" s="51"/>
      <c r="B6085" s="52" t="str">
        <f t="shared" si="315"/>
        <v/>
      </c>
      <c r="C6085" t="str">
        <f t="shared" si="317"/>
        <v/>
      </c>
      <c r="D6085" s="245" t="str">
        <f t="shared" si="316"/>
        <v/>
      </c>
      <c r="E6085" s="534"/>
      <c r="F6085" s="534"/>
    </row>
    <row r="6086" spans="1:6" ht="15" customHeight="1">
      <c r="A6086" s="51"/>
      <c r="B6086" s="52" t="str">
        <f t="shared" si="315"/>
        <v/>
      </c>
      <c r="C6086" t="str">
        <f t="shared" si="317"/>
        <v/>
      </c>
      <c r="D6086" s="245" t="str">
        <f t="shared" si="316"/>
        <v/>
      </c>
      <c r="E6086" s="534"/>
      <c r="F6086" s="534"/>
    </row>
    <row r="6087" spans="1:6" ht="15" customHeight="1">
      <c r="A6087" s="51"/>
      <c r="B6087" s="52" t="str">
        <f t="shared" si="315"/>
        <v/>
      </c>
      <c r="C6087" t="str">
        <f t="shared" si="317"/>
        <v/>
      </c>
      <c r="D6087" s="245" t="str">
        <f t="shared" si="316"/>
        <v/>
      </c>
      <c r="E6087" s="534"/>
      <c r="F6087" s="534"/>
    </row>
    <row r="6088" spans="1:6" ht="15" customHeight="1">
      <c r="A6088" s="51"/>
      <c r="B6088" s="52" t="str">
        <f t="shared" ref="B6088:B6151" si="318">IF(A6088="","",TEXT(A6088,"DDDD"))</f>
        <v/>
      </c>
      <c r="C6088" t="str">
        <f t="shared" si="317"/>
        <v/>
      </c>
      <c r="D6088" s="245" t="str">
        <f t="shared" si="316"/>
        <v/>
      </c>
      <c r="E6088" s="534"/>
      <c r="F6088" s="534"/>
    </row>
    <row r="6089" spans="1:6" ht="15" customHeight="1">
      <c r="A6089" s="51"/>
      <c r="B6089" s="52" t="str">
        <f t="shared" si="318"/>
        <v/>
      </c>
      <c r="C6089" t="str">
        <f t="shared" si="317"/>
        <v/>
      </c>
      <c r="D6089" s="245" t="str">
        <f t="shared" ref="D6089:D6152" si="319">IF(A6089&lt;&gt;"",PROPER(TEXT(A6089,"Mmmm")),"")</f>
        <v/>
      </c>
      <c r="E6089" s="534"/>
      <c r="F6089" s="534"/>
    </row>
    <row r="6090" spans="1:6" ht="15" customHeight="1">
      <c r="A6090" s="51"/>
      <c r="B6090" s="52" t="str">
        <f t="shared" si="318"/>
        <v/>
      </c>
      <c r="C6090" t="str">
        <f t="shared" si="317"/>
        <v/>
      </c>
      <c r="D6090" s="245" t="str">
        <f t="shared" si="319"/>
        <v/>
      </c>
      <c r="E6090" s="534"/>
      <c r="F6090" s="534"/>
    </row>
    <row r="6091" spans="1:6" ht="15" customHeight="1">
      <c r="A6091" s="51"/>
      <c r="B6091" s="52" t="str">
        <f t="shared" si="318"/>
        <v/>
      </c>
      <c r="C6091" t="str">
        <f t="shared" si="317"/>
        <v/>
      </c>
      <c r="D6091" s="245" t="str">
        <f t="shared" si="319"/>
        <v/>
      </c>
      <c r="E6091" s="534"/>
      <c r="F6091" s="534"/>
    </row>
    <row r="6092" spans="1:6" ht="15" customHeight="1">
      <c r="A6092" s="51"/>
      <c r="B6092" s="52" t="str">
        <f t="shared" si="318"/>
        <v/>
      </c>
      <c r="C6092" t="str">
        <f t="shared" si="317"/>
        <v/>
      </c>
      <c r="D6092" s="245" t="str">
        <f t="shared" si="319"/>
        <v/>
      </c>
      <c r="E6092" s="534"/>
      <c r="F6092" s="534"/>
    </row>
    <row r="6093" spans="1:6" ht="15" customHeight="1">
      <c r="A6093" s="51"/>
      <c r="B6093" s="52" t="str">
        <f t="shared" si="318"/>
        <v/>
      </c>
      <c r="C6093" t="str">
        <f t="shared" si="317"/>
        <v/>
      </c>
      <c r="D6093" s="245" t="str">
        <f t="shared" si="319"/>
        <v/>
      </c>
      <c r="E6093" s="534"/>
      <c r="F6093" s="534"/>
    </row>
    <row r="6094" spans="1:6" ht="15" customHeight="1">
      <c r="A6094" s="51"/>
      <c r="B6094" s="52" t="str">
        <f t="shared" si="318"/>
        <v/>
      </c>
      <c r="C6094" t="str">
        <f t="shared" si="317"/>
        <v/>
      </c>
      <c r="D6094" s="245" t="str">
        <f t="shared" si="319"/>
        <v/>
      </c>
      <c r="E6094" s="534"/>
      <c r="F6094" s="534"/>
    </row>
    <row r="6095" spans="1:6" ht="15" customHeight="1">
      <c r="A6095" s="51"/>
      <c r="B6095" s="52" t="str">
        <f t="shared" si="318"/>
        <v/>
      </c>
      <c r="C6095" t="str">
        <f t="shared" si="317"/>
        <v/>
      </c>
      <c r="D6095" s="245" t="str">
        <f t="shared" si="319"/>
        <v/>
      </c>
      <c r="E6095" s="534"/>
      <c r="F6095" s="534"/>
    </row>
    <row r="6096" spans="1:6" ht="15" customHeight="1">
      <c r="A6096" s="51"/>
      <c r="B6096" s="52" t="str">
        <f t="shared" si="318"/>
        <v/>
      </c>
      <c r="C6096" t="str">
        <f t="shared" si="317"/>
        <v/>
      </c>
      <c r="D6096" s="245" t="str">
        <f t="shared" si="319"/>
        <v/>
      </c>
      <c r="E6096" s="534"/>
      <c r="F6096" s="534"/>
    </row>
    <row r="6097" spans="1:6" ht="15" customHeight="1">
      <c r="A6097" s="51"/>
      <c r="B6097" s="52" t="str">
        <f t="shared" si="318"/>
        <v/>
      </c>
      <c r="C6097" t="str">
        <f t="shared" si="317"/>
        <v/>
      </c>
      <c r="D6097" s="245" t="str">
        <f t="shared" si="319"/>
        <v/>
      </c>
      <c r="E6097" s="534"/>
      <c r="F6097" s="534"/>
    </row>
    <row r="6098" spans="1:6" ht="15" customHeight="1">
      <c r="A6098" s="51"/>
      <c r="B6098" s="52" t="str">
        <f t="shared" si="318"/>
        <v/>
      </c>
      <c r="C6098" t="str">
        <f t="shared" si="317"/>
        <v/>
      </c>
      <c r="D6098" s="245" t="str">
        <f t="shared" si="319"/>
        <v/>
      </c>
      <c r="E6098" s="534"/>
      <c r="F6098" s="534"/>
    </row>
    <row r="6099" spans="1:6" ht="15" customHeight="1">
      <c r="A6099" s="51"/>
      <c r="B6099" s="52" t="str">
        <f t="shared" si="318"/>
        <v/>
      </c>
      <c r="C6099" t="str">
        <f t="shared" si="317"/>
        <v/>
      </c>
      <c r="D6099" s="245" t="str">
        <f t="shared" si="319"/>
        <v/>
      </c>
      <c r="E6099" s="534"/>
      <c r="F6099" s="534"/>
    </row>
    <row r="6100" spans="1:6" ht="15" customHeight="1">
      <c r="A6100" s="51"/>
      <c r="B6100" s="52" t="str">
        <f t="shared" si="318"/>
        <v/>
      </c>
      <c r="C6100" t="str">
        <f t="shared" si="317"/>
        <v/>
      </c>
      <c r="D6100" s="245" t="str">
        <f t="shared" si="319"/>
        <v/>
      </c>
      <c r="E6100" s="534"/>
      <c r="F6100" s="534"/>
    </row>
    <row r="6101" spans="1:6" ht="15" customHeight="1">
      <c r="A6101" s="51"/>
      <c r="B6101" s="52" t="str">
        <f t="shared" si="318"/>
        <v/>
      </c>
      <c r="C6101" t="str">
        <f t="shared" si="317"/>
        <v/>
      </c>
      <c r="D6101" s="245" t="str">
        <f t="shared" si="319"/>
        <v/>
      </c>
      <c r="E6101" s="534"/>
      <c r="F6101" s="534"/>
    </row>
    <row r="6102" spans="1:6" ht="15" customHeight="1">
      <c r="A6102" s="51"/>
      <c r="B6102" s="52" t="str">
        <f t="shared" si="318"/>
        <v/>
      </c>
      <c r="C6102" t="str">
        <f t="shared" si="317"/>
        <v/>
      </c>
      <c r="D6102" s="245" t="str">
        <f t="shared" si="319"/>
        <v/>
      </c>
      <c r="E6102" s="534"/>
      <c r="F6102" s="534"/>
    </row>
    <row r="6103" spans="1:6" ht="15" customHeight="1">
      <c r="A6103" s="51"/>
      <c r="B6103" s="52" t="str">
        <f t="shared" si="318"/>
        <v/>
      </c>
      <c r="C6103" t="str">
        <f t="shared" si="317"/>
        <v/>
      </c>
      <c r="D6103" s="245" t="str">
        <f t="shared" si="319"/>
        <v/>
      </c>
      <c r="E6103" s="534"/>
      <c r="F6103" s="534"/>
    </row>
    <row r="6104" spans="1:6" ht="15" customHeight="1">
      <c r="A6104" s="51"/>
      <c r="B6104" s="52" t="str">
        <f t="shared" si="318"/>
        <v/>
      </c>
      <c r="C6104" t="str">
        <f t="shared" si="317"/>
        <v/>
      </c>
      <c r="D6104" s="245" t="str">
        <f t="shared" si="319"/>
        <v/>
      </c>
      <c r="E6104" s="534"/>
      <c r="F6104" s="534"/>
    </row>
    <row r="6105" spans="1:6" ht="15" customHeight="1">
      <c r="A6105" s="51"/>
      <c r="B6105" s="52" t="str">
        <f t="shared" si="318"/>
        <v/>
      </c>
      <c r="C6105" t="str">
        <f t="shared" si="317"/>
        <v/>
      </c>
      <c r="D6105" s="245" t="str">
        <f t="shared" si="319"/>
        <v/>
      </c>
      <c r="E6105" s="534"/>
      <c r="F6105" s="534"/>
    </row>
    <row r="6106" spans="1:6" ht="15" customHeight="1">
      <c r="A6106" s="51"/>
      <c r="B6106" s="52" t="str">
        <f t="shared" si="318"/>
        <v/>
      </c>
      <c r="C6106" t="str">
        <f t="shared" si="317"/>
        <v/>
      </c>
      <c r="D6106" s="245" t="str">
        <f t="shared" si="319"/>
        <v/>
      </c>
      <c r="E6106" s="534"/>
      <c r="F6106" s="534"/>
    </row>
    <row r="6107" spans="1:6" ht="15" customHeight="1">
      <c r="A6107" s="51"/>
      <c r="B6107" s="52" t="str">
        <f t="shared" si="318"/>
        <v/>
      </c>
      <c r="C6107" t="str">
        <f t="shared" si="317"/>
        <v/>
      </c>
      <c r="D6107" s="245" t="str">
        <f t="shared" si="319"/>
        <v/>
      </c>
      <c r="E6107" s="534"/>
      <c r="F6107" s="534"/>
    </row>
    <row r="6108" spans="1:6" ht="15" customHeight="1">
      <c r="A6108" s="51"/>
      <c r="B6108" s="52" t="str">
        <f t="shared" si="318"/>
        <v/>
      </c>
      <c r="C6108" t="str">
        <f t="shared" si="317"/>
        <v/>
      </c>
      <c r="D6108" s="245" t="str">
        <f t="shared" si="319"/>
        <v/>
      </c>
      <c r="E6108" s="534"/>
      <c r="F6108" s="534"/>
    </row>
    <row r="6109" spans="1:6" ht="15" customHeight="1">
      <c r="A6109" s="51"/>
      <c r="B6109" s="52" t="str">
        <f t="shared" si="318"/>
        <v/>
      </c>
      <c r="C6109" t="str">
        <f t="shared" si="317"/>
        <v/>
      </c>
      <c r="D6109" s="245" t="str">
        <f t="shared" si="319"/>
        <v/>
      </c>
      <c r="E6109" s="534"/>
      <c r="F6109" s="534"/>
    </row>
    <row r="6110" spans="1:6" ht="15" customHeight="1">
      <c r="A6110" s="51"/>
      <c r="B6110" s="52" t="str">
        <f t="shared" si="318"/>
        <v/>
      </c>
      <c r="C6110" t="str">
        <f t="shared" si="317"/>
        <v/>
      </c>
      <c r="D6110" s="245" t="str">
        <f t="shared" si="319"/>
        <v/>
      </c>
      <c r="E6110" s="534"/>
      <c r="F6110" s="534"/>
    </row>
    <row r="6111" spans="1:6" ht="15" customHeight="1">
      <c r="A6111" s="51"/>
      <c r="B6111" s="52" t="str">
        <f t="shared" si="318"/>
        <v/>
      </c>
      <c r="C6111" t="str">
        <f t="shared" si="317"/>
        <v/>
      </c>
      <c r="D6111" s="245" t="str">
        <f t="shared" si="319"/>
        <v/>
      </c>
      <c r="E6111" s="534"/>
      <c r="F6111" s="534"/>
    </row>
    <row r="6112" spans="1:6" ht="15" customHeight="1">
      <c r="A6112" s="51"/>
      <c r="B6112" s="52" t="str">
        <f t="shared" si="318"/>
        <v/>
      </c>
      <c r="C6112" t="str">
        <f t="shared" si="317"/>
        <v/>
      </c>
      <c r="D6112" s="245" t="str">
        <f t="shared" si="319"/>
        <v/>
      </c>
      <c r="E6112" s="534"/>
      <c r="F6112" s="534"/>
    </row>
    <row r="6113" spans="1:6" ht="15" customHeight="1">
      <c r="A6113" s="51"/>
      <c r="B6113" s="52" t="str">
        <f t="shared" si="318"/>
        <v/>
      </c>
      <c r="C6113" t="str">
        <f t="shared" si="317"/>
        <v/>
      </c>
      <c r="D6113" s="245" t="str">
        <f t="shared" si="319"/>
        <v/>
      </c>
      <c r="E6113" s="534"/>
      <c r="F6113" s="534"/>
    </row>
    <row r="6114" spans="1:6" ht="15" customHeight="1">
      <c r="A6114" s="51"/>
      <c r="B6114" s="52" t="str">
        <f t="shared" si="318"/>
        <v/>
      </c>
      <c r="C6114" t="str">
        <f t="shared" si="317"/>
        <v/>
      </c>
      <c r="D6114" s="245" t="str">
        <f t="shared" si="319"/>
        <v/>
      </c>
      <c r="E6114" s="534"/>
      <c r="F6114" s="534"/>
    </row>
    <row r="6115" spans="1:6" ht="15" customHeight="1">
      <c r="A6115" s="51"/>
      <c r="B6115" s="52" t="str">
        <f t="shared" si="318"/>
        <v/>
      </c>
      <c r="C6115" t="str">
        <f t="shared" si="317"/>
        <v/>
      </c>
      <c r="D6115" s="245" t="str">
        <f t="shared" si="319"/>
        <v/>
      </c>
      <c r="E6115" s="534"/>
      <c r="F6115" s="534"/>
    </row>
    <row r="6116" spans="1:6" ht="15" customHeight="1">
      <c r="A6116" s="51"/>
      <c r="B6116" s="52" t="str">
        <f t="shared" si="318"/>
        <v/>
      </c>
      <c r="C6116" t="str">
        <f t="shared" si="317"/>
        <v/>
      </c>
      <c r="D6116" s="245" t="str">
        <f t="shared" si="319"/>
        <v/>
      </c>
      <c r="E6116" s="534"/>
      <c r="F6116" s="534"/>
    </row>
    <row r="6117" spans="1:6" ht="15" customHeight="1">
      <c r="A6117" s="51"/>
      <c r="B6117" s="52" t="str">
        <f t="shared" si="318"/>
        <v/>
      </c>
      <c r="C6117" t="str">
        <f t="shared" si="317"/>
        <v/>
      </c>
      <c r="D6117" s="245" t="str">
        <f t="shared" si="319"/>
        <v/>
      </c>
      <c r="E6117" s="534"/>
      <c r="F6117" s="534"/>
    </row>
    <row r="6118" spans="1:6" ht="15" customHeight="1">
      <c r="A6118" s="51"/>
      <c r="B6118" s="52" t="str">
        <f t="shared" si="318"/>
        <v/>
      </c>
      <c r="C6118" t="str">
        <f t="shared" si="317"/>
        <v/>
      </c>
      <c r="D6118" s="245" t="str">
        <f t="shared" si="319"/>
        <v/>
      </c>
      <c r="E6118" s="534"/>
      <c r="F6118" s="534"/>
    </row>
    <row r="6119" spans="1:6" ht="15" customHeight="1">
      <c r="A6119" s="51"/>
      <c r="B6119" s="52" t="str">
        <f t="shared" si="318"/>
        <v/>
      </c>
      <c r="C6119" t="str">
        <f t="shared" si="317"/>
        <v/>
      </c>
      <c r="D6119" s="245" t="str">
        <f t="shared" si="319"/>
        <v/>
      </c>
      <c r="E6119" s="534"/>
      <c r="F6119" s="534"/>
    </row>
    <row r="6120" spans="1:6" ht="15" customHeight="1">
      <c r="A6120" s="51"/>
      <c r="B6120" s="52" t="str">
        <f t="shared" si="318"/>
        <v/>
      </c>
      <c r="C6120" t="str">
        <f t="shared" si="317"/>
        <v/>
      </c>
      <c r="D6120" s="245" t="str">
        <f t="shared" si="319"/>
        <v/>
      </c>
      <c r="E6120" s="534"/>
      <c r="F6120" s="534"/>
    </row>
    <row r="6121" spans="1:6" ht="15" customHeight="1">
      <c r="A6121" s="51"/>
      <c r="B6121" s="52" t="str">
        <f t="shared" si="318"/>
        <v/>
      </c>
      <c r="C6121" t="str">
        <f t="shared" si="317"/>
        <v/>
      </c>
      <c r="D6121" s="245" t="str">
        <f t="shared" si="319"/>
        <v/>
      </c>
      <c r="E6121" s="534"/>
      <c r="F6121" s="534"/>
    </row>
    <row r="6122" spans="1:6" ht="15" customHeight="1">
      <c r="A6122" s="51"/>
      <c r="B6122" s="52" t="str">
        <f t="shared" si="318"/>
        <v/>
      </c>
      <c r="C6122" t="str">
        <f t="shared" si="317"/>
        <v/>
      </c>
      <c r="D6122" s="245" t="str">
        <f t="shared" si="319"/>
        <v/>
      </c>
      <c r="E6122" s="534"/>
      <c r="F6122" s="534"/>
    </row>
    <row r="6123" spans="1:6" ht="15" customHeight="1">
      <c r="A6123" s="51"/>
      <c r="B6123" s="52" t="str">
        <f t="shared" si="318"/>
        <v/>
      </c>
      <c r="C6123" t="str">
        <f t="shared" si="317"/>
        <v/>
      </c>
      <c r="D6123" s="245" t="str">
        <f t="shared" si="319"/>
        <v/>
      </c>
      <c r="E6123" s="534"/>
      <c r="F6123" s="534"/>
    </row>
    <row r="6124" spans="1:6" ht="15" customHeight="1">
      <c r="A6124" s="51"/>
      <c r="B6124" s="52" t="str">
        <f t="shared" si="318"/>
        <v/>
      </c>
      <c r="C6124" t="str">
        <f t="shared" si="317"/>
        <v/>
      </c>
      <c r="D6124" s="245" t="str">
        <f t="shared" si="319"/>
        <v/>
      </c>
      <c r="E6124" s="534"/>
      <c r="F6124" s="534"/>
    </row>
    <row r="6125" spans="1:6" ht="15" customHeight="1">
      <c r="A6125" s="51"/>
      <c r="B6125" s="52" t="str">
        <f t="shared" si="318"/>
        <v/>
      </c>
      <c r="C6125" t="str">
        <f t="shared" si="317"/>
        <v/>
      </c>
      <c r="D6125" s="245" t="str">
        <f t="shared" si="319"/>
        <v/>
      </c>
      <c r="E6125" s="534"/>
      <c r="F6125" s="534"/>
    </row>
    <row r="6126" spans="1:6" ht="15" customHeight="1">
      <c r="A6126" s="51"/>
      <c r="B6126" s="52" t="str">
        <f t="shared" si="318"/>
        <v/>
      </c>
      <c r="C6126" t="str">
        <f t="shared" si="317"/>
        <v/>
      </c>
      <c r="D6126" s="245" t="str">
        <f t="shared" si="319"/>
        <v/>
      </c>
      <c r="E6126" s="534"/>
      <c r="F6126" s="534"/>
    </row>
    <row r="6127" spans="1:6" ht="15" customHeight="1">
      <c r="A6127" s="51"/>
      <c r="B6127" s="52" t="str">
        <f t="shared" si="318"/>
        <v/>
      </c>
      <c r="C6127" t="str">
        <f t="shared" si="317"/>
        <v/>
      </c>
      <c r="D6127" s="245" t="str">
        <f t="shared" si="319"/>
        <v/>
      </c>
      <c r="E6127" s="534"/>
      <c r="F6127" s="534"/>
    </row>
    <row r="6128" spans="1:6" ht="15" customHeight="1">
      <c r="A6128" s="51"/>
      <c r="B6128" s="52" t="str">
        <f t="shared" si="318"/>
        <v/>
      </c>
      <c r="C6128" t="str">
        <f t="shared" si="317"/>
        <v/>
      </c>
      <c r="D6128" s="245" t="str">
        <f t="shared" si="319"/>
        <v/>
      </c>
      <c r="E6128" s="534"/>
      <c r="F6128" s="534"/>
    </row>
    <row r="6129" spans="1:6" ht="15" customHeight="1">
      <c r="A6129" s="51"/>
      <c r="B6129" s="52" t="str">
        <f t="shared" si="318"/>
        <v/>
      </c>
      <c r="C6129" t="str">
        <f t="shared" si="317"/>
        <v/>
      </c>
      <c r="D6129" s="245" t="str">
        <f t="shared" si="319"/>
        <v/>
      </c>
      <c r="E6129" s="534"/>
      <c r="F6129" s="534"/>
    </row>
    <row r="6130" spans="1:6" ht="15" customHeight="1">
      <c r="A6130" s="51"/>
      <c r="B6130" s="52" t="str">
        <f t="shared" si="318"/>
        <v/>
      </c>
      <c r="C6130" t="str">
        <f t="shared" si="317"/>
        <v/>
      </c>
      <c r="D6130" s="245" t="str">
        <f t="shared" si="319"/>
        <v/>
      </c>
      <c r="E6130" s="534"/>
      <c r="F6130" s="534"/>
    </row>
    <row r="6131" spans="1:6" ht="15" customHeight="1">
      <c r="A6131" s="51"/>
      <c r="B6131" s="52" t="str">
        <f t="shared" si="318"/>
        <v/>
      </c>
      <c r="C6131" t="str">
        <f t="shared" si="317"/>
        <v/>
      </c>
      <c r="D6131" s="245" t="str">
        <f t="shared" si="319"/>
        <v/>
      </c>
      <c r="E6131" s="534"/>
      <c r="F6131" s="534"/>
    </row>
    <row r="6132" spans="1:6" ht="15" customHeight="1">
      <c r="A6132" s="51"/>
      <c r="B6132" s="52" t="str">
        <f t="shared" si="318"/>
        <v/>
      </c>
      <c r="C6132" t="str">
        <f t="shared" si="317"/>
        <v/>
      </c>
      <c r="D6132" s="245" t="str">
        <f t="shared" si="319"/>
        <v/>
      </c>
      <c r="E6132" s="534"/>
      <c r="F6132" s="534"/>
    </row>
    <row r="6133" spans="1:6" ht="15" customHeight="1">
      <c r="A6133" s="51"/>
      <c r="B6133" s="52" t="str">
        <f t="shared" si="318"/>
        <v/>
      </c>
      <c r="C6133" t="str">
        <f t="shared" si="317"/>
        <v/>
      </c>
      <c r="D6133" s="245" t="str">
        <f t="shared" si="319"/>
        <v/>
      </c>
      <c r="E6133" s="534"/>
      <c r="F6133" s="534"/>
    </row>
    <row r="6134" spans="1:6" ht="15" customHeight="1">
      <c r="A6134" s="51"/>
      <c r="B6134" s="52" t="str">
        <f t="shared" si="318"/>
        <v/>
      </c>
      <c r="C6134" t="str">
        <f t="shared" si="317"/>
        <v/>
      </c>
      <c r="D6134" s="245" t="str">
        <f t="shared" si="319"/>
        <v/>
      </c>
      <c r="E6134" s="534"/>
      <c r="F6134" s="534"/>
    </row>
    <row r="6135" spans="1:6" ht="15" customHeight="1">
      <c r="A6135" s="51"/>
      <c r="B6135" s="52" t="str">
        <f t="shared" si="318"/>
        <v/>
      </c>
      <c r="C6135" t="str">
        <f t="shared" si="317"/>
        <v/>
      </c>
      <c r="D6135" s="245" t="str">
        <f t="shared" si="319"/>
        <v/>
      </c>
      <c r="E6135" s="534"/>
      <c r="F6135" s="534"/>
    </row>
    <row r="6136" spans="1:6" ht="15" customHeight="1">
      <c r="A6136" s="51"/>
      <c r="B6136" s="52" t="str">
        <f t="shared" si="318"/>
        <v/>
      </c>
      <c r="C6136" t="str">
        <f t="shared" si="317"/>
        <v/>
      </c>
      <c r="D6136" s="245" t="str">
        <f t="shared" si="319"/>
        <v/>
      </c>
      <c r="E6136" s="534"/>
      <c r="F6136" s="534"/>
    </row>
    <row r="6137" spans="1:6" ht="15" customHeight="1">
      <c r="A6137" s="51"/>
      <c r="B6137" s="52" t="str">
        <f t="shared" si="318"/>
        <v/>
      </c>
      <c r="C6137" t="str">
        <f t="shared" si="317"/>
        <v/>
      </c>
      <c r="D6137" s="245" t="str">
        <f t="shared" si="319"/>
        <v/>
      </c>
      <c r="E6137" s="534"/>
      <c r="F6137" s="534"/>
    </row>
    <row r="6138" spans="1:6" ht="15" customHeight="1">
      <c r="A6138" s="51"/>
      <c r="B6138" s="52" t="str">
        <f t="shared" si="318"/>
        <v/>
      </c>
      <c r="C6138" t="str">
        <f t="shared" si="317"/>
        <v/>
      </c>
      <c r="D6138" s="245" t="str">
        <f t="shared" si="319"/>
        <v/>
      </c>
      <c r="E6138" s="534"/>
      <c r="F6138" s="534"/>
    </row>
    <row r="6139" spans="1:6" ht="15" customHeight="1">
      <c r="A6139" s="51"/>
      <c r="B6139" s="52" t="str">
        <f t="shared" si="318"/>
        <v/>
      </c>
      <c r="C6139" t="str">
        <f t="shared" si="317"/>
        <v/>
      </c>
      <c r="D6139" s="245" t="str">
        <f t="shared" si="319"/>
        <v/>
      </c>
      <c r="E6139" s="534"/>
      <c r="F6139" s="534"/>
    </row>
    <row r="6140" spans="1:6" ht="15" customHeight="1">
      <c r="A6140" s="51"/>
      <c r="B6140" s="52" t="str">
        <f t="shared" si="318"/>
        <v/>
      </c>
      <c r="C6140" t="str">
        <f t="shared" si="317"/>
        <v/>
      </c>
      <c r="D6140" s="245" t="str">
        <f t="shared" si="319"/>
        <v/>
      </c>
      <c r="E6140" s="534"/>
      <c r="F6140" s="534"/>
    </row>
    <row r="6141" spans="1:6" ht="15" customHeight="1">
      <c r="A6141" s="51"/>
      <c r="B6141" s="52" t="str">
        <f t="shared" si="318"/>
        <v/>
      </c>
      <c r="C6141" t="str">
        <f t="shared" si="317"/>
        <v/>
      </c>
      <c r="D6141" s="245" t="str">
        <f t="shared" si="319"/>
        <v/>
      </c>
      <c r="E6141" s="534"/>
      <c r="F6141" s="534"/>
    </row>
    <row r="6142" spans="1:6" ht="15" customHeight="1">
      <c r="A6142" s="51"/>
      <c r="B6142" s="52" t="str">
        <f t="shared" si="318"/>
        <v/>
      </c>
      <c r="C6142" t="str">
        <f t="shared" si="317"/>
        <v/>
      </c>
      <c r="D6142" s="245" t="str">
        <f t="shared" si="319"/>
        <v/>
      </c>
      <c r="E6142" s="534"/>
      <c r="F6142" s="534"/>
    </row>
    <row r="6143" spans="1:6" ht="15" customHeight="1">
      <c r="A6143" s="51"/>
      <c r="B6143" s="52" t="str">
        <f t="shared" si="318"/>
        <v/>
      </c>
      <c r="C6143" t="str">
        <f t="shared" si="317"/>
        <v/>
      </c>
      <c r="D6143" s="245" t="str">
        <f t="shared" si="319"/>
        <v/>
      </c>
      <c r="E6143" s="534"/>
      <c r="F6143" s="534"/>
    </row>
    <row r="6144" spans="1:6" ht="15" customHeight="1">
      <c r="A6144" s="51"/>
      <c r="B6144" s="52" t="str">
        <f t="shared" si="318"/>
        <v/>
      </c>
      <c r="C6144" t="str">
        <f t="shared" si="317"/>
        <v/>
      </c>
      <c r="D6144" s="245" t="str">
        <f t="shared" si="319"/>
        <v/>
      </c>
      <c r="E6144" s="534"/>
      <c r="F6144" s="534"/>
    </row>
    <row r="6145" spans="1:6" ht="15" customHeight="1">
      <c r="A6145" s="51"/>
      <c r="B6145" s="52" t="str">
        <f t="shared" si="318"/>
        <v/>
      </c>
      <c r="C6145" t="str">
        <f t="shared" si="317"/>
        <v/>
      </c>
      <c r="D6145" s="245" t="str">
        <f t="shared" si="319"/>
        <v/>
      </c>
      <c r="E6145" s="534"/>
      <c r="F6145" s="534"/>
    </row>
    <row r="6146" spans="1:6" ht="15" customHeight="1">
      <c r="A6146" s="51"/>
      <c r="B6146" s="52" t="str">
        <f t="shared" si="318"/>
        <v/>
      </c>
      <c r="C6146" t="str">
        <f t="shared" ref="C6146:C6209" si="320">IF(A6146&lt;&gt;"",TEXT(A6146,"aaaa"),"")</f>
        <v/>
      </c>
      <c r="D6146" s="245" t="str">
        <f t="shared" si="319"/>
        <v/>
      </c>
      <c r="E6146" s="534"/>
      <c r="F6146" s="534"/>
    </row>
    <row r="6147" spans="1:6" ht="15" customHeight="1">
      <c r="A6147" s="51"/>
      <c r="B6147" s="52" t="str">
        <f t="shared" si="318"/>
        <v/>
      </c>
      <c r="C6147" t="str">
        <f t="shared" si="320"/>
        <v/>
      </c>
      <c r="D6147" s="245" t="str">
        <f t="shared" si="319"/>
        <v/>
      </c>
      <c r="E6147" s="534"/>
      <c r="F6147" s="534"/>
    </row>
    <row r="6148" spans="1:6" ht="15" customHeight="1">
      <c r="A6148" s="51"/>
      <c r="B6148" s="52" t="str">
        <f t="shared" si="318"/>
        <v/>
      </c>
      <c r="C6148" t="str">
        <f t="shared" si="320"/>
        <v/>
      </c>
      <c r="D6148" s="245" t="str">
        <f t="shared" si="319"/>
        <v/>
      </c>
      <c r="E6148" s="534"/>
      <c r="F6148" s="534"/>
    </row>
    <row r="6149" spans="1:6" ht="15" customHeight="1">
      <c r="A6149" s="51"/>
      <c r="B6149" s="52" t="str">
        <f t="shared" si="318"/>
        <v/>
      </c>
      <c r="C6149" t="str">
        <f t="shared" si="320"/>
        <v/>
      </c>
      <c r="D6149" s="245" t="str">
        <f t="shared" si="319"/>
        <v/>
      </c>
      <c r="E6149" s="534"/>
      <c r="F6149" s="534"/>
    </row>
    <row r="6150" spans="1:6" ht="15" customHeight="1">
      <c r="A6150" s="51"/>
      <c r="B6150" s="52" t="str">
        <f t="shared" si="318"/>
        <v/>
      </c>
      <c r="C6150" t="str">
        <f t="shared" si="320"/>
        <v/>
      </c>
      <c r="D6150" s="245" t="str">
        <f t="shared" si="319"/>
        <v/>
      </c>
      <c r="E6150" s="534"/>
      <c r="F6150" s="534"/>
    </row>
    <row r="6151" spans="1:6" ht="15" customHeight="1">
      <c r="A6151" s="51"/>
      <c r="B6151" s="52" t="str">
        <f t="shared" si="318"/>
        <v/>
      </c>
      <c r="C6151" t="str">
        <f t="shared" si="320"/>
        <v/>
      </c>
      <c r="D6151" s="245" t="str">
        <f t="shared" si="319"/>
        <v/>
      </c>
      <c r="E6151" s="534"/>
      <c r="F6151" s="534"/>
    </row>
    <row r="6152" spans="1:6" ht="15" customHeight="1">
      <c r="A6152" s="51"/>
      <c r="B6152" s="52" t="str">
        <f t="shared" ref="B6152:B6215" si="321">IF(A6152="","",TEXT(A6152,"DDDD"))</f>
        <v/>
      </c>
      <c r="C6152" t="str">
        <f t="shared" si="320"/>
        <v/>
      </c>
      <c r="D6152" s="245" t="str">
        <f t="shared" si="319"/>
        <v/>
      </c>
      <c r="E6152" s="534"/>
      <c r="F6152" s="534"/>
    </row>
    <row r="6153" spans="1:6" ht="15" customHeight="1">
      <c r="A6153" s="51"/>
      <c r="B6153" s="52" t="str">
        <f t="shared" si="321"/>
        <v/>
      </c>
      <c r="C6153" t="str">
        <f t="shared" si="320"/>
        <v/>
      </c>
      <c r="D6153" s="245" t="str">
        <f t="shared" ref="D6153:D6216" si="322">IF(A6153&lt;&gt;"",PROPER(TEXT(A6153,"Mmmm")),"")</f>
        <v/>
      </c>
      <c r="E6153" s="534"/>
      <c r="F6153" s="534"/>
    </row>
    <row r="6154" spans="1:6" ht="15" customHeight="1">
      <c r="A6154" s="51"/>
      <c r="B6154" s="52" t="str">
        <f t="shared" si="321"/>
        <v/>
      </c>
      <c r="C6154" t="str">
        <f t="shared" si="320"/>
        <v/>
      </c>
      <c r="D6154" s="245" t="str">
        <f t="shared" si="322"/>
        <v/>
      </c>
      <c r="E6154" s="534"/>
      <c r="F6154" s="534"/>
    </row>
    <row r="6155" spans="1:6" ht="15" customHeight="1">
      <c r="A6155" s="51"/>
      <c r="B6155" s="52" t="str">
        <f t="shared" si="321"/>
        <v/>
      </c>
      <c r="C6155" t="str">
        <f t="shared" si="320"/>
        <v/>
      </c>
      <c r="D6155" s="245" t="str">
        <f t="shared" si="322"/>
        <v/>
      </c>
      <c r="E6155" s="534"/>
      <c r="F6155" s="534"/>
    </row>
    <row r="6156" spans="1:6" ht="15" customHeight="1">
      <c r="A6156" s="51"/>
      <c r="B6156" s="52" t="str">
        <f t="shared" si="321"/>
        <v/>
      </c>
      <c r="C6156" t="str">
        <f t="shared" si="320"/>
        <v/>
      </c>
      <c r="D6156" s="245" t="str">
        <f t="shared" si="322"/>
        <v/>
      </c>
      <c r="E6156" s="534"/>
      <c r="F6156" s="534"/>
    </row>
    <row r="6157" spans="1:6" ht="15" customHeight="1">
      <c r="A6157" s="51"/>
      <c r="B6157" s="52" t="str">
        <f t="shared" si="321"/>
        <v/>
      </c>
      <c r="C6157" t="str">
        <f t="shared" si="320"/>
        <v/>
      </c>
      <c r="D6157" s="245" t="str">
        <f t="shared" si="322"/>
        <v/>
      </c>
      <c r="E6157" s="534"/>
      <c r="F6157" s="534"/>
    </row>
    <row r="6158" spans="1:6" ht="15" customHeight="1">
      <c r="A6158" s="51"/>
      <c r="B6158" s="52" t="str">
        <f t="shared" si="321"/>
        <v/>
      </c>
      <c r="C6158" t="str">
        <f t="shared" si="320"/>
        <v/>
      </c>
      <c r="D6158" s="245" t="str">
        <f t="shared" si="322"/>
        <v/>
      </c>
      <c r="E6158" s="534"/>
      <c r="F6158" s="534"/>
    </row>
    <row r="6159" spans="1:6" ht="15" customHeight="1">
      <c r="A6159" s="51"/>
      <c r="B6159" s="52" t="str">
        <f t="shared" si="321"/>
        <v/>
      </c>
      <c r="C6159" t="str">
        <f t="shared" si="320"/>
        <v/>
      </c>
      <c r="D6159" s="245" t="str">
        <f t="shared" si="322"/>
        <v/>
      </c>
      <c r="E6159" s="534"/>
      <c r="F6159" s="534"/>
    </row>
    <row r="6160" spans="1:6" ht="15" customHeight="1">
      <c r="A6160" s="51"/>
      <c r="B6160" s="52" t="str">
        <f t="shared" si="321"/>
        <v/>
      </c>
      <c r="C6160" t="str">
        <f t="shared" si="320"/>
        <v/>
      </c>
      <c r="D6160" s="245" t="str">
        <f t="shared" si="322"/>
        <v/>
      </c>
      <c r="E6160" s="534"/>
      <c r="F6160" s="534"/>
    </row>
    <row r="6161" spans="1:6" ht="15" customHeight="1">
      <c r="A6161" s="51"/>
      <c r="B6161" s="52" t="str">
        <f t="shared" si="321"/>
        <v/>
      </c>
      <c r="C6161" t="str">
        <f t="shared" si="320"/>
        <v/>
      </c>
      <c r="D6161" s="245" t="str">
        <f t="shared" si="322"/>
        <v/>
      </c>
      <c r="E6161" s="534"/>
      <c r="F6161" s="534"/>
    </row>
    <row r="6162" spans="1:6" ht="15" customHeight="1">
      <c r="A6162" s="51"/>
      <c r="B6162" s="52" t="str">
        <f t="shared" si="321"/>
        <v/>
      </c>
      <c r="C6162" t="str">
        <f t="shared" si="320"/>
        <v/>
      </c>
      <c r="D6162" s="245" t="str">
        <f t="shared" si="322"/>
        <v/>
      </c>
      <c r="E6162" s="534"/>
      <c r="F6162" s="534"/>
    </row>
    <row r="6163" spans="1:6" ht="15" customHeight="1">
      <c r="A6163" s="51"/>
      <c r="B6163" s="52" t="str">
        <f t="shared" si="321"/>
        <v/>
      </c>
      <c r="C6163" t="str">
        <f t="shared" si="320"/>
        <v/>
      </c>
      <c r="D6163" s="245" t="str">
        <f t="shared" si="322"/>
        <v/>
      </c>
      <c r="E6163" s="534"/>
      <c r="F6163" s="534"/>
    </row>
    <row r="6164" spans="1:6" ht="15" customHeight="1">
      <c r="A6164" s="51"/>
      <c r="B6164" s="52" t="str">
        <f t="shared" si="321"/>
        <v/>
      </c>
      <c r="C6164" t="str">
        <f t="shared" si="320"/>
        <v/>
      </c>
      <c r="D6164" s="245" t="str">
        <f t="shared" si="322"/>
        <v/>
      </c>
      <c r="E6164" s="534"/>
      <c r="F6164" s="534"/>
    </row>
    <row r="6165" spans="1:6" ht="15" customHeight="1">
      <c r="A6165" s="51"/>
      <c r="B6165" s="52" t="str">
        <f t="shared" si="321"/>
        <v/>
      </c>
      <c r="C6165" t="str">
        <f t="shared" si="320"/>
        <v/>
      </c>
      <c r="D6165" s="245" t="str">
        <f t="shared" si="322"/>
        <v/>
      </c>
      <c r="E6165" s="534"/>
      <c r="F6165" s="534"/>
    </row>
    <row r="6166" spans="1:6" ht="15" customHeight="1">
      <c r="A6166" s="51"/>
      <c r="B6166" s="52" t="str">
        <f t="shared" si="321"/>
        <v/>
      </c>
      <c r="C6166" t="str">
        <f t="shared" si="320"/>
        <v/>
      </c>
      <c r="D6166" s="245" t="str">
        <f t="shared" si="322"/>
        <v/>
      </c>
      <c r="E6166" s="534"/>
      <c r="F6166" s="534"/>
    </row>
    <row r="6167" spans="1:6" ht="15" customHeight="1">
      <c r="A6167" s="51"/>
      <c r="B6167" s="52" t="str">
        <f t="shared" si="321"/>
        <v/>
      </c>
      <c r="C6167" t="str">
        <f t="shared" si="320"/>
        <v/>
      </c>
      <c r="D6167" s="245" t="str">
        <f t="shared" si="322"/>
        <v/>
      </c>
      <c r="E6167" s="534"/>
      <c r="F6167" s="534"/>
    </row>
    <row r="6168" spans="1:6" ht="15" customHeight="1">
      <c r="A6168" s="51"/>
      <c r="B6168" s="52" t="str">
        <f t="shared" si="321"/>
        <v/>
      </c>
      <c r="C6168" t="str">
        <f t="shared" si="320"/>
        <v/>
      </c>
      <c r="D6168" s="245" t="str">
        <f t="shared" si="322"/>
        <v/>
      </c>
      <c r="E6168" s="534"/>
      <c r="F6168" s="534"/>
    </row>
    <row r="6169" spans="1:6" ht="15" customHeight="1">
      <c r="A6169" s="51"/>
      <c r="B6169" s="52" t="str">
        <f t="shared" si="321"/>
        <v/>
      </c>
      <c r="C6169" t="str">
        <f t="shared" si="320"/>
        <v/>
      </c>
      <c r="D6169" s="245" t="str">
        <f t="shared" si="322"/>
        <v/>
      </c>
      <c r="E6169" s="534"/>
      <c r="F6169" s="534"/>
    </row>
    <row r="6170" spans="1:6" ht="15" customHeight="1">
      <c r="A6170" s="51"/>
      <c r="B6170" s="52" t="str">
        <f t="shared" si="321"/>
        <v/>
      </c>
      <c r="C6170" t="str">
        <f t="shared" si="320"/>
        <v/>
      </c>
      <c r="D6170" s="245" t="str">
        <f t="shared" si="322"/>
        <v/>
      </c>
      <c r="E6170" s="534"/>
      <c r="F6170" s="534"/>
    </row>
    <row r="6171" spans="1:6" ht="15" customHeight="1">
      <c r="A6171" s="51"/>
      <c r="B6171" s="52" t="str">
        <f t="shared" si="321"/>
        <v/>
      </c>
      <c r="C6171" t="str">
        <f t="shared" si="320"/>
        <v/>
      </c>
      <c r="D6171" s="245" t="str">
        <f t="shared" si="322"/>
        <v/>
      </c>
      <c r="E6171" s="534"/>
      <c r="F6171" s="534"/>
    </row>
    <row r="6172" spans="1:6" ht="15" customHeight="1">
      <c r="A6172" s="51"/>
      <c r="B6172" s="52" t="str">
        <f t="shared" si="321"/>
        <v/>
      </c>
      <c r="C6172" t="str">
        <f t="shared" si="320"/>
        <v/>
      </c>
      <c r="D6172" s="245" t="str">
        <f t="shared" si="322"/>
        <v/>
      </c>
      <c r="E6172" s="534"/>
      <c r="F6172" s="534"/>
    </row>
    <row r="6173" spans="1:6" ht="15" customHeight="1">
      <c r="A6173" s="51"/>
      <c r="B6173" s="52" t="str">
        <f t="shared" si="321"/>
        <v/>
      </c>
      <c r="C6173" t="str">
        <f t="shared" si="320"/>
        <v/>
      </c>
      <c r="D6173" s="245" t="str">
        <f t="shared" si="322"/>
        <v/>
      </c>
      <c r="E6173" s="534"/>
      <c r="F6173" s="534"/>
    </row>
    <row r="6174" spans="1:6" ht="15" customHeight="1">
      <c r="A6174" s="51"/>
      <c r="B6174" s="52" t="str">
        <f t="shared" si="321"/>
        <v/>
      </c>
      <c r="C6174" t="str">
        <f t="shared" si="320"/>
        <v/>
      </c>
      <c r="D6174" s="245" t="str">
        <f t="shared" si="322"/>
        <v/>
      </c>
      <c r="E6174" s="534"/>
      <c r="F6174" s="534"/>
    </row>
    <row r="6175" spans="1:6" ht="15" customHeight="1">
      <c r="A6175" s="51"/>
      <c r="B6175" s="52" t="str">
        <f t="shared" si="321"/>
        <v/>
      </c>
      <c r="C6175" t="str">
        <f t="shared" si="320"/>
        <v/>
      </c>
      <c r="D6175" s="245" t="str">
        <f t="shared" si="322"/>
        <v/>
      </c>
      <c r="E6175" s="534"/>
      <c r="F6175" s="534"/>
    </row>
    <row r="6176" spans="1:6" ht="15" customHeight="1">
      <c r="A6176" s="51"/>
      <c r="B6176" s="52" t="str">
        <f t="shared" si="321"/>
        <v/>
      </c>
      <c r="C6176" t="str">
        <f t="shared" si="320"/>
        <v/>
      </c>
      <c r="D6176" s="245" t="str">
        <f t="shared" si="322"/>
        <v/>
      </c>
      <c r="E6176" s="534"/>
      <c r="F6176" s="534"/>
    </row>
    <row r="6177" spans="1:6" ht="15" customHeight="1">
      <c r="A6177" s="51"/>
      <c r="B6177" s="52" t="str">
        <f t="shared" si="321"/>
        <v/>
      </c>
      <c r="C6177" t="str">
        <f t="shared" si="320"/>
        <v/>
      </c>
      <c r="D6177" s="245" t="str">
        <f t="shared" si="322"/>
        <v/>
      </c>
      <c r="E6177" s="534"/>
      <c r="F6177" s="534"/>
    </row>
    <row r="6178" spans="1:6" ht="15" customHeight="1">
      <c r="A6178" s="51"/>
      <c r="B6178" s="52" t="str">
        <f t="shared" si="321"/>
        <v/>
      </c>
      <c r="C6178" t="str">
        <f t="shared" si="320"/>
        <v/>
      </c>
      <c r="D6178" s="245" t="str">
        <f t="shared" si="322"/>
        <v/>
      </c>
      <c r="E6178" s="534"/>
      <c r="F6178" s="534"/>
    </row>
    <row r="6179" spans="1:6" ht="15" customHeight="1">
      <c r="A6179" s="51"/>
      <c r="B6179" s="52" t="str">
        <f t="shared" si="321"/>
        <v/>
      </c>
      <c r="C6179" t="str">
        <f t="shared" si="320"/>
        <v/>
      </c>
      <c r="D6179" s="245" t="str">
        <f t="shared" si="322"/>
        <v/>
      </c>
      <c r="E6179" s="534"/>
      <c r="F6179" s="534"/>
    </row>
    <row r="6180" spans="1:6" ht="15" customHeight="1">
      <c r="A6180" s="51"/>
      <c r="B6180" s="52" t="str">
        <f t="shared" si="321"/>
        <v/>
      </c>
      <c r="C6180" t="str">
        <f t="shared" si="320"/>
        <v/>
      </c>
      <c r="D6180" s="245" t="str">
        <f t="shared" si="322"/>
        <v/>
      </c>
      <c r="E6180" s="534"/>
      <c r="F6180" s="534"/>
    </row>
    <row r="6181" spans="1:6" ht="15" customHeight="1">
      <c r="A6181" s="51"/>
      <c r="B6181" s="52" t="str">
        <f t="shared" si="321"/>
        <v/>
      </c>
      <c r="C6181" t="str">
        <f t="shared" si="320"/>
        <v/>
      </c>
      <c r="D6181" s="245" t="str">
        <f t="shared" si="322"/>
        <v/>
      </c>
      <c r="E6181" s="534"/>
      <c r="F6181" s="534"/>
    </row>
    <row r="6182" spans="1:6" ht="15" customHeight="1">
      <c r="A6182" s="51"/>
      <c r="B6182" s="52" t="str">
        <f t="shared" si="321"/>
        <v/>
      </c>
      <c r="C6182" t="str">
        <f t="shared" si="320"/>
        <v/>
      </c>
      <c r="D6182" s="245" t="str">
        <f t="shared" si="322"/>
        <v/>
      </c>
      <c r="E6182" s="534"/>
      <c r="F6182" s="534"/>
    </row>
    <row r="6183" spans="1:6" ht="15" customHeight="1">
      <c r="A6183" s="51"/>
      <c r="B6183" s="52" t="str">
        <f t="shared" si="321"/>
        <v/>
      </c>
      <c r="C6183" t="str">
        <f t="shared" si="320"/>
        <v/>
      </c>
      <c r="D6183" s="245" t="str">
        <f t="shared" si="322"/>
        <v/>
      </c>
      <c r="E6183" s="534"/>
      <c r="F6183" s="534"/>
    </row>
    <row r="6184" spans="1:6" ht="15" customHeight="1">
      <c r="A6184" s="51"/>
      <c r="B6184" s="52" t="str">
        <f t="shared" si="321"/>
        <v/>
      </c>
      <c r="C6184" t="str">
        <f t="shared" si="320"/>
        <v/>
      </c>
      <c r="D6184" s="245" t="str">
        <f t="shared" si="322"/>
        <v/>
      </c>
      <c r="E6184" s="534"/>
      <c r="F6184" s="534"/>
    </row>
    <row r="6185" spans="1:6" ht="15" customHeight="1">
      <c r="A6185" s="51"/>
      <c r="B6185" s="52" t="str">
        <f t="shared" si="321"/>
        <v/>
      </c>
      <c r="C6185" t="str">
        <f t="shared" si="320"/>
        <v/>
      </c>
      <c r="D6185" s="245" t="str">
        <f t="shared" si="322"/>
        <v/>
      </c>
      <c r="E6185" s="534"/>
      <c r="F6185" s="534"/>
    </row>
    <row r="6186" spans="1:6" ht="15" customHeight="1">
      <c r="A6186" s="51"/>
      <c r="B6186" s="52" t="str">
        <f t="shared" si="321"/>
        <v/>
      </c>
      <c r="C6186" t="str">
        <f t="shared" si="320"/>
        <v/>
      </c>
      <c r="D6186" s="245" t="str">
        <f t="shared" si="322"/>
        <v/>
      </c>
      <c r="E6186" s="534"/>
      <c r="F6186" s="534"/>
    </row>
    <row r="6187" spans="1:6" ht="15" customHeight="1">
      <c r="A6187" s="51"/>
      <c r="B6187" s="52" t="str">
        <f t="shared" si="321"/>
        <v/>
      </c>
      <c r="C6187" t="str">
        <f t="shared" si="320"/>
        <v/>
      </c>
      <c r="D6187" s="245" t="str">
        <f t="shared" si="322"/>
        <v/>
      </c>
      <c r="E6187" s="534"/>
      <c r="F6187" s="534"/>
    </row>
    <row r="6188" spans="1:6" ht="15" customHeight="1">
      <c r="A6188" s="51"/>
      <c r="B6188" s="52" t="str">
        <f t="shared" si="321"/>
        <v/>
      </c>
      <c r="C6188" t="str">
        <f t="shared" si="320"/>
        <v/>
      </c>
      <c r="D6188" s="245" t="str">
        <f t="shared" si="322"/>
        <v/>
      </c>
      <c r="E6188" s="534"/>
      <c r="F6188" s="534"/>
    </row>
    <row r="6189" spans="1:6" ht="15" customHeight="1">
      <c r="A6189" s="51"/>
      <c r="B6189" s="52" t="str">
        <f t="shared" si="321"/>
        <v/>
      </c>
      <c r="C6189" t="str">
        <f t="shared" si="320"/>
        <v/>
      </c>
      <c r="D6189" s="245" t="str">
        <f t="shared" si="322"/>
        <v/>
      </c>
      <c r="E6189" s="534"/>
      <c r="F6189" s="534"/>
    </row>
    <row r="6190" spans="1:6" ht="15" customHeight="1">
      <c r="A6190" s="51"/>
      <c r="B6190" s="52" t="str">
        <f t="shared" si="321"/>
        <v/>
      </c>
      <c r="C6190" t="str">
        <f t="shared" si="320"/>
        <v/>
      </c>
      <c r="D6190" s="245" t="str">
        <f t="shared" si="322"/>
        <v/>
      </c>
      <c r="E6190" s="534"/>
      <c r="F6190" s="534"/>
    </row>
    <row r="6191" spans="1:6" ht="15" customHeight="1">
      <c r="A6191" s="51"/>
      <c r="B6191" s="52" t="str">
        <f t="shared" si="321"/>
        <v/>
      </c>
      <c r="C6191" t="str">
        <f t="shared" si="320"/>
        <v/>
      </c>
      <c r="D6191" s="245" t="str">
        <f t="shared" si="322"/>
        <v/>
      </c>
      <c r="E6191" s="534"/>
      <c r="F6191" s="534"/>
    </row>
    <row r="6192" spans="1:6" ht="15" customHeight="1">
      <c r="A6192" s="51"/>
      <c r="B6192" s="52" t="str">
        <f t="shared" si="321"/>
        <v/>
      </c>
      <c r="C6192" t="str">
        <f t="shared" si="320"/>
        <v/>
      </c>
      <c r="D6192" s="245" t="str">
        <f t="shared" si="322"/>
        <v/>
      </c>
      <c r="E6192" s="534"/>
      <c r="F6192" s="534"/>
    </row>
    <row r="6193" spans="1:6" ht="15" customHeight="1">
      <c r="A6193" s="51"/>
      <c r="B6193" s="52" t="str">
        <f t="shared" si="321"/>
        <v/>
      </c>
      <c r="C6193" t="str">
        <f t="shared" si="320"/>
        <v/>
      </c>
      <c r="D6193" s="245" t="str">
        <f t="shared" si="322"/>
        <v/>
      </c>
      <c r="E6193" s="534"/>
      <c r="F6193" s="534"/>
    </row>
    <row r="6194" spans="1:6" ht="15" customHeight="1">
      <c r="A6194" s="51"/>
      <c r="B6194" s="52" t="str">
        <f t="shared" si="321"/>
        <v/>
      </c>
      <c r="C6194" t="str">
        <f t="shared" si="320"/>
        <v/>
      </c>
      <c r="D6194" s="245" t="str">
        <f t="shared" si="322"/>
        <v/>
      </c>
      <c r="E6194" s="534"/>
      <c r="F6194" s="534"/>
    </row>
    <row r="6195" spans="1:6" ht="15" customHeight="1">
      <c r="A6195" s="51"/>
      <c r="B6195" s="52" t="str">
        <f t="shared" si="321"/>
        <v/>
      </c>
      <c r="C6195" t="str">
        <f t="shared" si="320"/>
        <v/>
      </c>
      <c r="D6195" s="245" t="str">
        <f t="shared" si="322"/>
        <v/>
      </c>
      <c r="E6195" s="534"/>
      <c r="F6195" s="534"/>
    </row>
    <row r="6196" spans="1:6" ht="15" customHeight="1">
      <c r="A6196" s="51"/>
      <c r="B6196" s="52" t="str">
        <f t="shared" si="321"/>
        <v/>
      </c>
      <c r="C6196" t="str">
        <f t="shared" si="320"/>
        <v/>
      </c>
      <c r="D6196" s="245" t="str">
        <f t="shared" si="322"/>
        <v/>
      </c>
      <c r="E6196" s="534"/>
      <c r="F6196" s="534"/>
    </row>
    <row r="6197" spans="1:6" ht="15" customHeight="1">
      <c r="A6197" s="51"/>
      <c r="B6197" s="52" t="str">
        <f t="shared" si="321"/>
        <v/>
      </c>
      <c r="C6197" t="str">
        <f t="shared" si="320"/>
        <v/>
      </c>
      <c r="D6197" s="245" t="str">
        <f t="shared" si="322"/>
        <v/>
      </c>
      <c r="E6197" s="534"/>
      <c r="F6197" s="534"/>
    </row>
    <row r="6198" spans="1:6" ht="15" customHeight="1">
      <c r="A6198" s="51"/>
      <c r="B6198" s="52" t="str">
        <f t="shared" si="321"/>
        <v/>
      </c>
      <c r="C6198" t="str">
        <f t="shared" si="320"/>
        <v/>
      </c>
      <c r="D6198" s="245" t="str">
        <f t="shared" si="322"/>
        <v/>
      </c>
      <c r="E6198" s="534"/>
      <c r="F6198" s="534"/>
    </row>
    <row r="6199" spans="1:6" ht="15" customHeight="1">
      <c r="A6199" s="51"/>
      <c r="B6199" s="52" t="str">
        <f t="shared" si="321"/>
        <v/>
      </c>
      <c r="C6199" t="str">
        <f t="shared" si="320"/>
        <v/>
      </c>
      <c r="D6199" s="245" t="str">
        <f t="shared" si="322"/>
        <v/>
      </c>
      <c r="E6199" s="534"/>
      <c r="F6199" s="534"/>
    </row>
    <row r="6200" spans="1:6" ht="15" customHeight="1">
      <c r="A6200" s="51"/>
      <c r="B6200" s="52" t="str">
        <f t="shared" si="321"/>
        <v/>
      </c>
      <c r="C6200" t="str">
        <f t="shared" si="320"/>
        <v/>
      </c>
      <c r="D6200" s="245" t="str">
        <f t="shared" si="322"/>
        <v/>
      </c>
      <c r="E6200" s="534"/>
      <c r="F6200" s="534"/>
    </row>
    <row r="6201" spans="1:6" ht="15" customHeight="1">
      <c r="A6201" s="51"/>
      <c r="B6201" s="52" t="str">
        <f t="shared" si="321"/>
        <v/>
      </c>
      <c r="C6201" t="str">
        <f t="shared" si="320"/>
        <v/>
      </c>
      <c r="D6201" s="245" t="str">
        <f t="shared" si="322"/>
        <v/>
      </c>
      <c r="E6201" s="534"/>
      <c r="F6201" s="534"/>
    </row>
    <row r="6202" spans="1:6" ht="15" customHeight="1">
      <c r="A6202" s="51"/>
      <c r="B6202" s="52" t="str">
        <f t="shared" si="321"/>
        <v/>
      </c>
      <c r="C6202" t="str">
        <f t="shared" si="320"/>
        <v/>
      </c>
      <c r="D6202" s="245" t="str">
        <f t="shared" si="322"/>
        <v/>
      </c>
      <c r="E6202" s="534"/>
      <c r="F6202" s="534"/>
    </row>
    <row r="6203" spans="1:6" ht="15" customHeight="1">
      <c r="A6203" s="51"/>
      <c r="B6203" s="52" t="str">
        <f t="shared" si="321"/>
        <v/>
      </c>
      <c r="C6203" t="str">
        <f t="shared" si="320"/>
        <v/>
      </c>
      <c r="D6203" s="245" t="str">
        <f t="shared" si="322"/>
        <v/>
      </c>
      <c r="E6203" s="534"/>
      <c r="F6203" s="534"/>
    </row>
    <row r="6204" spans="1:6" ht="15" customHeight="1">
      <c r="A6204" s="51"/>
      <c r="B6204" s="52" t="str">
        <f t="shared" si="321"/>
        <v/>
      </c>
      <c r="C6204" t="str">
        <f t="shared" si="320"/>
        <v/>
      </c>
      <c r="D6204" s="245" t="str">
        <f t="shared" si="322"/>
        <v/>
      </c>
      <c r="E6204" s="534"/>
      <c r="F6204" s="534"/>
    </row>
    <row r="6205" spans="1:6" ht="15" customHeight="1">
      <c r="A6205" s="51"/>
      <c r="B6205" s="52" t="str">
        <f t="shared" si="321"/>
        <v/>
      </c>
      <c r="C6205" t="str">
        <f t="shared" si="320"/>
        <v/>
      </c>
      <c r="D6205" s="245" t="str">
        <f t="shared" si="322"/>
        <v/>
      </c>
      <c r="E6205" s="534"/>
      <c r="F6205" s="534"/>
    </row>
    <row r="6206" spans="1:6" ht="15" customHeight="1">
      <c r="A6206" s="51"/>
      <c r="B6206" s="52" t="str">
        <f t="shared" si="321"/>
        <v/>
      </c>
      <c r="C6206" t="str">
        <f t="shared" si="320"/>
        <v/>
      </c>
      <c r="D6206" s="245" t="str">
        <f t="shared" si="322"/>
        <v/>
      </c>
      <c r="E6206" s="534"/>
      <c r="F6206" s="534"/>
    </row>
    <row r="6207" spans="1:6" ht="15" customHeight="1">
      <c r="A6207" s="51"/>
      <c r="B6207" s="52" t="str">
        <f t="shared" si="321"/>
        <v/>
      </c>
      <c r="C6207" t="str">
        <f t="shared" si="320"/>
        <v/>
      </c>
      <c r="D6207" s="245" t="str">
        <f t="shared" si="322"/>
        <v/>
      </c>
      <c r="E6207" s="534"/>
      <c r="F6207" s="534"/>
    </row>
    <row r="6208" spans="1:6" ht="15" customHeight="1">
      <c r="A6208" s="51"/>
      <c r="B6208" s="52" t="str">
        <f t="shared" si="321"/>
        <v/>
      </c>
      <c r="C6208" t="str">
        <f t="shared" si="320"/>
        <v/>
      </c>
      <c r="D6208" s="245" t="str">
        <f t="shared" si="322"/>
        <v/>
      </c>
      <c r="E6208" s="534"/>
      <c r="F6208" s="534"/>
    </row>
    <row r="6209" spans="1:6" ht="15" customHeight="1">
      <c r="A6209" s="51"/>
      <c r="B6209" s="52" t="str">
        <f t="shared" si="321"/>
        <v/>
      </c>
      <c r="C6209" t="str">
        <f t="shared" si="320"/>
        <v/>
      </c>
      <c r="D6209" s="245" t="str">
        <f t="shared" si="322"/>
        <v/>
      </c>
      <c r="E6209" s="534"/>
      <c r="F6209" s="534"/>
    </row>
    <row r="6210" spans="1:6" ht="15" customHeight="1">
      <c r="A6210" s="51"/>
      <c r="B6210" s="52" t="str">
        <f t="shared" si="321"/>
        <v/>
      </c>
      <c r="C6210" t="str">
        <f t="shared" ref="C6210:C6273" si="323">IF(A6210&lt;&gt;"",TEXT(A6210,"aaaa"),"")</f>
        <v/>
      </c>
      <c r="D6210" s="245" t="str">
        <f t="shared" si="322"/>
        <v/>
      </c>
      <c r="E6210" s="534"/>
      <c r="F6210" s="534"/>
    </row>
    <row r="6211" spans="1:6" ht="15" customHeight="1">
      <c r="A6211" s="51"/>
      <c r="B6211" s="52" t="str">
        <f t="shared" si="321"/>
        <v/>
      </c>
      <c r="C6211" t="str">
        <f t="shared" si="323"/>
        <v/>
      </c>
      <c r="D6211" s="245" t="str">
        <f t="shared" si="322"/>
        <v/>
      </c>
      <c r="E6211" s="534"/>
      <c r="F6211" s="534"/>
    </row>
    <row r="6212" spans="1:6" ht="15" customHeight="1">
      <c r="A6212" s="51"/>
      <c r="B6212" s="52" t="str">
        <f t="shared" si="321"/>
        <v/>
      </c>
      <c r="C6212" t="str">
        <f t="shared" si="323"/>
        <v/>
      </c>
      <c r="D6212" s="245" t="str">
        <f t="shared" si="322"/>
        <v/>
      </c>
      <c r="E6212" s="534"/>
      <c r="F6212" s="534"/>
    </row>
    <row r="6213" spans="1:6" ht="15" customHeight="1">
      <c r="A6213" s="51"/>
      <c r="B6213" s="52" t="str">
        <f t="shared" si="321"/>
        <v/>
      </c>
      <c r="C6213" t="str">
        <f t="shared" si="323"/>
        <v/>
      </c>
      <c r="D6213" s="245" t="str">
        <f t="shared" si="322"/>
        <v/>
      </c>
      <c r="E6213" s="534"/>
      <c r="F6213" s="534"/>
    </row>
    <row r="6214" spans="1:6" ht="15" customHeight="1">
      <c r="A6214" s="51"/>
      <c r="B6214" s="52" t="str">
        <f t="shared" si="321"/>
        <v/>
      </c>
      <c r="C6214" t="str">
        <f t="shared" si="323"/>
        <v/>
      </c>
      <c r="D6214" s="245" t="str">
        <f t="shared" si="322"/>
        <v/>
      </c>
      <c r="E6214" s="534"/>
      <c r="F6214" s="534"/>
    </row>
    <row r="6215" spans="1:6" ht="15" customHeight="1">
      <c r="A6215" s="51"/>
      <c r="B6215" s="52" t="str">
        <f t="shared" si="321"/>
        <v/>
      </c>
      <c r="C6215" t="str">
        <f t="shared" si="323"/>
        <v/>
      </c>
      <c r="D6215" s="245" t="str">
        <f t="shared" si="322"/>
        <v/>
      </c>
      <c r="E6215" s="534"/>
      <c r="F6215" s="534"/>
    </row>
    <row r="6216" spans="1:6" ht="15" customHeight="1">
      <c r="A6216" s="51"/>
      <c r="B6216" s="52" t="str">
        <f t="shared" ref="B6216:B6279" si="324">IF(A6216="","",TEXT(A6216,"DDDD"))</f>
        <v/>
      </c>
      <c r="C6216" t="str">
        <f t="shared" si="323"/>
        <v/>
      </c>
      <c r="D6216" s="245" t="str">
        <f t="shared" si="322"/>
        <v/>
      </c>
      <c r="E6216" s="534"/>
      <c r="F6216" s="534"/>
    </row>
    <row r="6217" spans="1:6" ht="15" customHeight="1">
      <c r="A6217" s="51"/>
      <c r="B6217" s="52" t="str">
        <f t="shared" si="324"/>
        <v/>
      </c>
      <c r="C6217" t="str">
        <f t="shared" si="323"/>
        <v/>
      </c>
      <c r="D6217" s="245" t="str">
        <f t="shared" ref="D6217:D6280" si="325">IF(A6217&lt;&gt;"",PROPER(TEXT(A6217,"Mmmm")),"")</f>
        <v/>
      </c>
      <c r="E6217" s="534"/>
      <c r="F6217" s="534"/>
    </row>
    <row r="6218" spans="1:6" ht="15" customHeight="1">
      <c r="A6218" s="51"/>
      <c r="B6218" s="52" t="str">
        <f t="shared" si="324"/>
        <v/>
      </c>
      <c r="C6218" t="str">
        <f t="shared" si="323"/>
        <v/>
      </c>
      <c r="D6218" s="245" t="str">
        <f t="shared" si="325"/>
        <v/>
      </c>
      <c r="E6218" s="534"/>
      <c r="F6218" s="534"/>
    </row>
    <row r="6219" spans="1:6" ht="15" customHeight="1">
      <c r="A6219" s="51"/>
      <c r="B6219" s="52" t="str">
        <f t="shared" si="324"/>
        <v/>
      </c>
      <c r="C6219" t="str">
        <f t="shared" si="323"/>
        <v/>
      </c>
      <c r="D6219" s="245" t="str">
        <f t="shared" si="325"/>
        <v/>
      </c>
      <c r="E6219" s="534"/>
      <c r="F6219" s="534"/>
    </row>
    <row r="6220" spans="1:6" ht="15" customHeight="1">
      <c r="A6220" s="51"/>
      <c r="B6220" s="52" t="str">
        <f t="shared" si="324"/>
        <v/>
      </c>
      <c r="C6220" t="str">
        <f t="shared" si="323"/>
        <v/>
      </c>
      <c r="D6220" s="245" t="str">
        <f t="shared" si="325"/>
        <v/>
      </c>
      <c r="E6220" s="534"/>
      <c r="F6220" s="534"/>
    </row>
    <row r="6221" spans="1:6" ht="15" customHeight="1">
      <c r="A6221" s="51"/>
      <c r="B6221" s="52" t="str">
        <f t="shared" si="324"/>
        <v/>
      </c>
      <c r="C6221" t="str">
        <f t="shared" si="323"/>
        <v/>
      </c>
      <c r="D6221" s="245" t="str">
        <f t="shared" si="325"/>
        <v/>
      </c>
      <c r="E6221" s="534"/>
      <c r="F6221" s="534"/>
    </row>
    <row r="6222" spans="1:6" ht="15" customHeight="1">
      <c r="A6222" s="51"/>
      <c r="B6222" s="52" t="str">
        <f t="shared" si="324"/>
        <v/>
      </c>
      <c r="C6222" t="str">
        <f t="shared" si="323"/>
        <v/>
      </c>
      <c r="D6222" s="245" t="str">
        <f t="shared" si="325"/>
        <v/>
      </c>
      <c r="E6222" s="534"/>
      <c r="F6222" s="534"/>
    </row>
    <row r="6223" spans="1:6" ht="15" customHeight="1">
      <c r="A6223" s="51"/>
      <c r="B6223" s="52" t="str">
        <f t="shared" si="324"/>
        <v/>
      </c>
      <c r="C6223" t="str">
        <f t="shared" si="323"/>
        <v/>
      </c>
      <c r="D6223" s="245" t="str">
        <f t="shared" si="325"/>
        <v/>
      </c>
      <c r="E6223" s="534"/>
      <c r="F6223" s="534"/>
    </row>
    <row r="6224" spans="1:6" ht="15" customHeight="1">
      <c r="A6224" s="51"/>
      <c r="B6224" s="52" t="str">
        <f t="shared" si="324"/>
        <v/>
      </c>
      <c r="C6224" t="str">
        <f t="shared" si="323"/>
        <v/>
      </c>
      <c r="D6224" s="245" t="str">
        <f t="shared" si="325"/>
        <v/>
      </c>
      <c r="E6224" s="534"/>
      <c r="F6224" s="534"/>
    </row>
    <row r="6225" spans="1:6" ht="15" customHeight="1">
      <c r="A6225" s="51"/>
      <c r="B6225" s="52" t="str">
        <f t="shared" si="324"/>
        <v/>
      </c>
      <c r="C6225" t="str">
        <f t="shared" si="323"/>
        <v/>
      </c>
      <c r="D6225" s="245" t="str">
        <f t="shared" si="325"/>
        <v/>
      </c>
      <c r="E6225" s="534"/>
      <c r="F6225" s="534"/>
    </row>
    <row r="6226" spans="1:6" ht="15" customHeight="1">
      <c r="A6226" s="51"/>
      <c r="B6226" s="52" t="str">
        <f t="shared" si="324"/>
        <v/>
      </c>
      <c r="C6226" t="str">
        <f t="shared" si="323"/>
        <v/>
      </c>
      <c r="D6226" s="245" t="str">
        <f t="shared" si="325"/>
        <v/>
      </c>
      <c r="E6226" s="534"/>
      <c r="F6226" s="534"/>
    </row>
    <row r="6227" spans="1:6" ht="15" customHeight="1">
      <c r="A6227" s="51"/>
      <c r="B6227" s="52" t="str">
        <f t="shared" si="324"/>
        <v/>
      </c>
      <c r="C6227" t="str">
        <f t="shared" si="323"/>
        <v/>
      </c>
      <c r="D6227" s="245" t="str">
        <f t="shared" si="325"/>
        <v/>
      </c>
      <c r="E6227" s="534"/>
      <c r="F6227" s="534"/>
    </row>
    <row r="6228" spans="1:6" ht="15" customHeight="1">
      <c r="A6228" s="51"/>
      <c r="B6228" s="52" t="str">
        <f t="shared" si="324"/>
        <v/>
      </c>
      <c r="C6228" t="str">
        <f t="shared" si="323"/>
        <v/>
      </c>
      <c r="D6228" s="245" t="str">
        <f t="shared" si="325"/>
        <v/>
      </c>
      <c r="E6228" s="534"/>
      <c r="F6228" s="534"/>
    </row>
    <row r="6229" spans="1:6" ht="15" customHeight="1">
      <c r="A6229" s="51"/>
      <c r="B6229" s="52" t="str">
        <f t="shared" si="324"/>
        <v/>
      </c>
      <c r="C6229" t="str">
        <f t="shared" si="323"/>
        <v/>
      </c>
      <c r="D6229" s="245" t="str">
        <f t="shared" si="325"/>
        <v/>
      </c>
      <c r="E6229" s="534"/>
      <c r="F6229" s="534"/>
    </row>
    <row r="6230" spans="1:6" ht="15" customHeight="1">
      <c r="A6230" s="51"/>
      <c r="B6230" s="52" t="str">
        <f t="shared" si="324"/>
        <v/>
      </c>
      <c r="C6230" t="str">
        <f t="shared" si="323"/>
        <v/>
      </c>
      <c r="D6230" s="245" t="str">
        <f t="shared" si="325"/>
        <v/>
      </c>
      <c r="E6230" s="534"/>
      <c r="F6230" s="534"/>
    </row>
    <row r="6231" spans="1:6" ht="15" customHeight="1">
      <c r="A6231" s="51"/>
      <c r="B6231" s="52" t="str">
        <f t="shared" si="324"/>
        <v/>
      </c>
      <c r="C6231" t="str">
        <f t="shared" si="323"/>
        <v/>
      </c>
      <c r="D6231" s="245" t="str">
        <f t="shared" si="325"/>
        <v/>
      </c>
      <c r="E6231" s="534"/>
      <c r="F6231" s="534"/>
    </row>
    <row r="6232" spans="1:6" ht="15" customHeight="1">
      <c r="A6232" s="51"/>
      <c r="B6232" s="52" t="str">
        <f t="shared" si="324"/>
        <v/>
      </c>
      <c r="C6232" t="str">
        <f t="shared" si="323"/>
        <v/>
      </c>
      <c r="D6232" s="245" t="str">
        <f t="shared" si="325"/>
        <v/>
      </c>
      <c r="E6232" s="534"/>
      <c r="F6232" s="534"/>
    </row>
    <row r="6233" spans="1:6" ht="15" customHeight="1">
      <c r="A6233" s="51"/>
      <c r="B6233" s="52" t="str">
        <f t="shared" si="324"/>
        <v/>
      </c>
      <c r="C6233" t="str">
        <f t="shared" si="323"/>
        <v/>
      </c>
      <c r="D6233" s="245" t="str">
        <f t="shared" si="325"/>
        <v/>
      </c>
      <c r="E6233" s="534"/>
      <c r="F6233" s="534"/>
    </row>
    <row r="6234" spans="1:6" ht="15" customHeight="1">
      <c r="A6234" s="51"/>
      <c r="B6234" s="52" t="str">
        <f t="shared" si="324"/>
        <v/>
      </c>
      <c r="C6234" t="str">
        <f t="shared" si="323"/>
        <v/>
      </c>
      <c r="D6234" s="245" t="str">
        <f t="shared" si="325"/>
        <v/>
      </c>
      <c r="E6234" s="534"/>
      <c r="F6234" s="534"/>
    </row>
    <row r="6235" spans="1:6" ht="15" customHeight="1">
      <c r="A6235" s="51"/>
      <c r="B6235" s="52" t="str">
        <f t="shared" si="324"/>
        <v/>
      </c>
      <c r="C6235" t="str">
        <f t="shared" si="323"/>
        <v/>
      </c>
      <c r="D6235" s="245" t="str">
        <f t="shared" si="325"/>
        <v/>
      </c>
      <c r="E6235" s="534"/>
      <c r="F6235" s="534"/>
    </row>
    <row r="6236" spans="1:6" ht="15" customHeight="1">
      <c r="A6236" s="51"/>
      <c r="B6236" s="52" t="str">
        <f t="shared" si="324"/>
        <v/>
      </c>
      <c r="C6236" t="str">
        <f t="shared" si="323"/>
        <v/>
      </c>
      <c r="D6236" s="245" t="str">
        <f t="shared" si="325"/>
        <v/>
      </c>
      <c r="E6236" s="534"/>
      <c r="F6236" s="534"/>
    </row>
    <row r="6237" spans="1:6" ht="15" customHeight="1">
      <c r="A6237" s="51"/>
      <c r="B6237" s="52" t="str">
        <f t="shared" si="324"/>
        <v/>
      </c>
      <c r="C6237" t="str">
        <f t="shared" si="323"/>
        <v/>
      </c>
      <c r="D6237" s="245" t="str">
        <f t="shared" si="325"/>
        <v/>
      </c>
      <c r="E6237" s="534"/>
      <c r="F6237" s="534"/>
    </row>
    <row r="6238" spans="1:6" ht="15" customHeight="1">
      <c r="A6238" s="51"/>
      <c r="B6238" s="52" t="str">
        <f t="shared" si="324"/>
        <v/>
      </c>
      <c r="C6238" t="str">
        <f t="shared" si="323"/>
        <v/>
      </c>
      <c r="D6238" s="245" t="str">
        <f t="shared" si="325"/>
        <v/>
      </c>
      <c r="E6238" s="534"/>
      <c r="F6238" s="534"/>
    </row>
    <row r="6239" spans="1:6" ht="15" customHeight="1">
      <c r="A6239" s="51"/>
      <c r="B6239" s="52" t="str">
        <f t="shared" si="324"/>
        <v/>
      </c>
      <c r="C6239" t="str">
        <f t="shared" si="323"/>
        <v/>
      </c>
      <c r="D6239" s="245" t="str">
        <f t="shared" si="325"/>
        <v/>
      </c>
      <c r="E6239" s="534"/>
      <c r="F6239" s="534"/>
    </row>
    <row r="6240" spans="1:6" ht="15" customHeight="1">
      <c r="A6240" s="51"/>
      <c r="B6240" s="52" t="str">
        <f t="shared" si="324"/>
        <v/>
      </c>
      <c r="C6240" t="str">
        <f t="shared" si="323"/>
        <v/>
      </c>
      <c r="D6240" s="245" t="str">
        <f t="shared" si="325"/>
        <v/>
      </c>
      <c r="E6240" s="534"/>
      <c r="F6240" s="534"/>
    </row>
    <row r="6241" spans="1:6" ht="15" customHeight="1">
      <c r="A6241" s="51"/>
      <c r="B6241" s="52" t="str">
        <f t="shared" si="324"/>
        <v/>
      </c>
      <c r="C6241" t="str">
        <f t="shared" si="323"/>
        <v/>
      </c>
      <c r="D6241" s="245" t="str">
        <f t="shared" si="325"/>
        <v/>
      </c>
      <c r="E6241" s="534"/>
      <c r="F6241" s="534"/>
    </row>
    <row r="6242" spans="1:6" ht="15" customHeight="1">
      <c r="A6242" s="51"/>
      <c r="B6242" s="52" t="str">
        <f t="shared" si="324"/>
        <v/>
      </c>
      <c r="C6242" t="str">
        <f t="shared" si="323"/>
        <v/>
      </c>
      <c r="D6242" s="245" t="str">
        <f t="shared" si="325"/>
        <v/>
      </c>
      <c r="E6242" s="534"/>
      <c r="F6242" s="534"/>
    </row>
    <row r="6243" spans="1:6" ht="15" customHeight="1">
      <c r="A6243" s="51"/>
      <c r="B6243" s="52" t="str">
        <f t="shared" si="324"/>
        <v/>
      </c>
      <c r="C6243" t="str">
        <f t="shared" si="323"/>
        <v/>
      </c>
      <c r="D6243" s="245" t="str">
        <f t="shared" si="325"/>
        <v/>
      </c>
      <c r="E6243" s="534"/>
      <c r="F6243" s="534"/>
    </row>
    <row r="6244" spans="1:6" ht="15" customHeight="1">
      <c r="A6244" s="51"/>
      <c r="B6244" s="52" t="str">
        <f t="shared" si="324"/>
        <v/>
      </c>
      <c r="C6244" t="str">
        <f t="shared" si="323"/>
        <v/>
      </c>
      <c r="D6244" s="245" t="str">
        <f t="shared" si="325"/>
        <v/>
      </c>
      <c r="E6244" s="534"/>
      <c r="F6244" s="534"/>
    </row>
    <row r="6245" spans="1:6" ht="15" customHeight="1">
      <c r="A6245" s="51"/>
      <c r="B6245" s="52" t="str">
        <f t="shared" si="324"/>
        <v/>
      </c>
      <c r="C6245" t="str">
        <f t="shared" si="323"/>
        <v/>
      </c>
      <c r="D6245" s="245" t="str">
        <f t="shared" si="325"/>
        <v/>
      </c>
      <c r="E6245" s="534"/>
      <c r="F6245" s="534"/>
    </row>
    <row r="6246" spans="1:6" ht="15" customHeight="1">
      <c r="A6246" s="51"/>
      <c r="B6246" s="52" t="str">
        <f t="shared" si="324"/>
        <v/>
      </c>
      <c r="C6246" t="str">
        <f t="shared" si="323"/>
        <v/>
      </c>
      <c r="D6246" s="245" t="str">
        <f t="shared" si="325"/>
        <v/>
      </c>
      <c r="E6246" s="534"/>
      <c r="F6246" s="534"/>
    </row>
    <row r="6247" spans="1:6" ht="15" customHeight="1">
      <c r="A6247" s="51"/>
      <c r="B6247" s="52" t="str">
        <f t="shared" si="324"/>
        <v/>
      </c>
      <c r="C6247" t="str">
        <f t="shared" si="323"/>
        <v/>
      </c>
      <c r="D6247" s="245" t="str">
        <f t="shared" si="325"/>
        <v/>
      </c>
      <c r="E6247" s="534"/>
      <c r="F6247" s="534"/>
    </row>
    <row r="6248" spans="1:6" ht="15" customHeight="1">
      <c r="A6248" s="51"/>
      <c r="B6248" s="52" t="str">
        <f t="shared" si="324"/>
        <v/>
      </c>
      <c r="C6248" t="str">
        <f t="shared" si="323"/>
        <v/>
      </c>
      <c r="D6248" s="245" t="str">
        <f t="shared" si="325"/>
        <v/>
      </c>
      <c r="E6248" s="534"/>
      <c r="F6248" s="534"/>
    </row>
    <row r="6249" spans="1:6" ht="15" customHeight="1">
      <c r="A6249" s="51"/>
      <c r="B6249" s="52" t="str">
        <f t="shared" si="324"/>
        <v/>
      </c>
      <c r="C6249" t="str">
        <f t="shared" si="323"/>
        <v/>
      </c>
      <c r="D6249" s="245" t="str">
        <f t="shared" si="325"/>
        <v/>
      </c>
      <c r="E6249" s="534"/>
      <c r="F6249" s="534"/>
    </row>
    <row r="6250" spans="1:6" ht="15" customHeight="1">
      <c r="A6250" s="51"/>
      <c r="B6250" s="52" t="str">
        <f t="shared" si="324"/>
        <v/>
      </c>
      <c r="C6250" t="str">
        <f t="shared" si="323"/>
        <v/>
      </c>
      <c r="D6250" s="245" t="str">
        <f t="shared" si="325"/>
        <v/>
      </c>
      <c r="E6250" s="534"/>
      <c r="F6250" s="534"/>
    </row>
    <row r="6251" spans="1:6" ht="15" customHeight="1">
      <c r="A6251" s="51"/>
      <c r="B6251" s="52" t="str">
        <f t="shared" si="324"/>
        <v/>
      </c>
      <c r="C6251" t="str">
        <f t="shared" si="323"/>
        <v/>
      </c>
      <c r="D6251" s="245" t="str">
        <f t="shared" si="325"/>
        <v/>
      </c>
      <c r="E6251" s="534"/>
      <c r="F6251" s="534"/>
    </row>
    <row r="6252" spans="1:6" ht="15" customHeight="1">
      <c r="A6252" s="51"/>
      <c r="B6252" s="52" t="str">
        <f t="shared" si="324"/>
        <v/>
      </c>
      <c r="C6252" t="str">
        <f t="shared" si="323"/>
        <v/>
      </c>
      <c r="D6252" s="245" t="str">
        <f t="shared" si="325"/>
        <v/>
      </c>
      <c r="E6252" s="534"/>
      <c r="F6252" s="534"/>
    </row>
    <row r="6253" spans="1:6" ht="15" customHeight="1">
      <c r="A6253" s="51"/>
      <c r="B6253" s="52" t="str">
        <f t="shared" si="324"/>
        <v/>
      </c>
      <c r="C6253" t="str">
        <f t="shared" si="323"/>
        <v/>
      </c>
      <c r="D6253" s="245" t="str">
        <f t="shared" si="325"/>
        <v/>
      </c>
      <c r="E6253" s="534"/>
      <c r="F6253" s="534"/>
    </row>
    <row r="6254" spans="1:6" ht="15" customHeight="1">
      <c r="A6254" s="51"/>
      <c r="B6254" s="52" t="str">
        <f t="shared" si="324"/>
        <v/>
      </c>
      <c r="C6254" t="str">
        <f t="shared" si="323"/>
        <v/>
      </c>
      <c r="D6254" s="245" t="str">
        <f t="shared" si="325"/>
        <v/>
      </c>
      <c r="E6254" s="534"/>
      <c r="F6254" s="534"/>
    </row>
    <row r="6255" spans="1:6" ht="15" customHeight="1">
      <c r="A6255" s="51"/>
      <c r="B6255" s="52" t="str">
        <f t="shared" si="324"/>
        <v/>
      </c>
      <c r="C6255" t="str">
        <f t="shared" si="323"/>
        <v/>
      </c>
      <c r="D6255" s="245" t="str">
        <f t="shared" si="325"/>
        <v/>
      </c>
      <c r="E6255" s="534"/>
      <c r="F6255" s="534"/>
    </row>
    <row r="6256" spans="1:6" ht="15" customHeight="1">
      <c r="A6256" s="51"/>
      <c r="B6256" s="52" t="str">
        <f t="shared" si="324"/>
        <v/>
      </c>
      <c r="C6256" t="str">
        <f t="shared" si="323"/>
        <v/>
      </c>
      <c r="D6256" s="245" t="str">
        <f t="shared" si="325"/>
        <v/>
      </c>
      <c r="E6256" s="534"/>
      <c r="F6256" s="534"/>
    </row>
    <row r="6257" spans="1:6" ht="15" customHeight="1">
      <c r="A6257" s="51"/>
      <c r="B6257" s="52" t="str">
        <f t="shared" si="324"/>
        <v/>
      </c>
      <c r="C6257" t="str">
        <f t="shared" si="323"/>
        <v/>
      </c>
      <c r="D6257" s="245" t="str">
        <f t="shared" si="325"/>
        <v/>
      </c>
      <c r="E6257" s="534"/>
      <c r="F6257" s="534"/>
    </row>
    <row r="6258" spans="1:6" ht="15" customHeight="1">
      <c r="A6258" s="51"/>
      <c r="B6258" s="52" t="str">
        <f t="shared" si="324"/>
        <v/>
      </c>
      <c r="C6258" t="str">
        <f t="shared" si="323"/>
        <v/>
      </c>
      <c r="D6258" s="245" t="str">
        <f t="shared" si="325"/>
        <v/>
      </c>
      <c r="E6258" s="534"/>
      <c r="F6258" s="534"/>
    </row>
    <row r="6259" spans="1:6" ht="15" customHeight="1">
      <c r="A6259" s="51"/>
      <c r="B6259" s="52" t="str">
        <f t="shared" si="324"/>
        <v/>
      </c>
      <c r="C6259" t="str">
        <f t="shared" si="323"/>
        <v/>
      </c>
      <c r="D6259" s="245" t="str">
        <f t="shared" si="325"/>
        <v/>
      </c>
      <c r="E6259" s="534"/>
      <c r="F6259" s="534"/>
    </row>
    <row r="6260" spans="1:6" ht="15" customHeight="1">
      <c r="A6260" s="51"/>
      <c r="B6260" s="52" t="str">
        <f t="shared" si="324"/>
        <v/>
      </c>
      <c r="C6260" t="str">
        <f t="shared" si="323"/>
        <v/>
      </c>
      <c r="D6260" s="245" t="str">
        <f t="shared" si="325"/>
        <v/>
      </c>
      <c r="E6260" s="534"/>
      <c r="F6260" s="534"/>
    </row>
    <row r="6261" spans="1:6" ht="15" customHeight="1">
      <c r="A6261" s="51"/>
      <c r="B6261" s="52" t="str">
        <f t="shared" si="324"/>
        <v/>
      </c>
      <c r="C6261" t="str">
        <f t="shared" si="323"/>
        <v/>
      </c>
      <c r="D6261" s="245" t="str">
        <f t="shared" si="325"/>
        <v/>
      </c>
      <c r="E6261" s="534"/>
      <c r="F6261" s="534"/>
    </row>
    <row r="6262" spans="1:6" ht="15" customHeight="1">
      <c r="A6262" s="51"/>
      <c r="B6262" s="52" t="str">
        <f t="shared" si="324"/>
        <v/>
      </c>
      <c r="C6262" t="str">
        <f t="shared" si="323"/>
        <v/>
      </c>
      <c r="D6262" s="245" t="str">
        <f t="shared" si="325"/>
        <v/>
      </c>
      <c r="E6262" s="534"/>
      <c r="F6262" s="534"/>
    </row>
    <row r="6263" spans="1:6" ht="15" customHeight="1">
      <c r="A6263" s="51"/>
      <c r="B6263" s="52" t="str">
        <f t="shared" si="324"/>
        <v/>
      </c>
      <c r="C6263" t="str">
        <f t="shared" si="323"/>
        <v/>
      </c>
      <c r="D6263" s="245" t="str">
        <f t="shared" si="325"/>
        <v/>
      </c>
      <c r="E6263" s="534"/>
      <c r="F6263" s="534"/>
    </row>
    <row r="6264" spans="1:6" ht="15" customHeight="1">
      <c r="A6264" s="51"/>
      <c r="B6264" s="52" t="str">
        <f t="shared" si="324"/>
        <v/>
      </c>
      <c r="C6264" t="str">
        <f t="shared" si="323"/>
        <v/>
      </c>
      <c r="D6264" s="245" t="str">
        <f t="shared" si="325"/>
        <v/>
      </c>
      <c r="E6264" s="534"/>
      <c r="F6264" s="534"/>
    </row>
    <row r="6265" spans="1:6" ht="15" customHeight="1">
      <c r="A6265" s="51"/>
      <c r="B6265" s="52" t="str">
        <f t="shared" si="324"/>
        <v/>
      </c>
      <c r="C6265" t="str">
        <f t="shared" si="323"/>
        <v/>
      </c>
      <c r="D6265" s="245" t="str">
        <f t="shared" si="325"/>
        <v/>
      </c>
      <c r="E6265" s="534"/>
      <c r="F6265" s="534"/>
    </row>
    <row r="6266" spans="1:6" ht="15" customHeight="1">
      <c r="A6266" s="51"/>
      <c r="B6266" s="52" t="str">
        <f t="shared" si="324"/>
        <v/>
      </c>
      <c r="C6266" t="str">
        <f t="shared" si="323"/>
        <v/>
      </c>
      <c r="D6266" s="245" t="str">
        <f t="shared" si="325"/>
        <v/>
      </c>
      <c r="E6266" s="534"/>
      <c r="F6266" s="534"/>
    </row>
    <row r="6267" spans="1:6" ht="15" customHeight="1">
      <c r="A6267" s="51"/>
      <c r="B6267" s="52" t="str">
        <f t="shared" si="324"/>
        <v/>
      </c>
      <c r="C6267" t="str">
        <f t="shared" si="323"/>
        <v/>
      </c>
      <c r="D6267" s="245" t="str">
        <f t="shared" si="325"/>
        <v/>
      </c>
      <c r="E6267" s="534"/>
      <c r="F6267" s="534"/>
    </row>
    <row r="6268" spans="1:6" ht="15" customHeight="1">
      <c r="A6268" s="51"/>
      <c r="B6268" s="52" t="str">
        <f t="shared" si="324"/>
        <v/>
      </c>
      <c r="C6268" t="str">
        <f t="shared" si="323"/>
        <v/>
      </c>
      <c r="D6268" s="245" t="str">
        <f t="shared" si="325"/>
        <v/>
      </c>
      <c r="E6268" s="534"/>
      <c r="F6268" s="534"/>
    </row>
    <row r="6269" spans="1:6" ht="15" customHeight="1">
      <c r="A6269" s="51"/>
      <c r="B6269" s="52" t="str">
        <f t="shared" si="324"/>
        <v/>
      </c>
      <c r="C6269" t="str">
        <f t="shared" si="323"/>
        <v/>
      </c>
      <c r="D6269" s="245" t="str">
        <f t="shared" si="325"/>
        <v/>
      </c>
      <c r="E6269" s="534"/>
      <c r="F6269" s="534"/>
    </row>
    <row r="6270" spans="1:6" ht="15" customHeight="1">
      <c r="A6270" s="51"/>
      <c r="B6270" s="52" t="str">
        <f t="shared" si="324"/>
        <v/>
      </c>
      <c r="C6270" t="str">
        <f t="shared" si="323"/>
        <v/>
      </c>
      <c r="D6270" s="245" t="str">
        <f t="shared" si="325"/>
        <v/>
      </c>
      <c r="E6270" s="534"/>
      <c r="F6270" s="534"/>
    </row>
    <row r="6271" spans="1:6" ht="15" customHeight="1">
      <c r="A6271" s="51"/>
      <c r="B6271" s="52" t="str">
        <f t="shared" si="324"/>
        <v/>
      </c>
      <c r="C6271" t="str">
        <f t="shared" si="323"/>
        <v/>
      </c>
      <c r="D6271" s="245" t="str">
        <f t="shared" si="325"/>
        <v/>
      </c>
      <c r="E6271" s="534"/>
      <c r="F6271" s="534"/>
    </row>
    <row r="6272" spans="1:6" ht="15" customHeight="1">
      <c r="A6272" s="51"/>
      <c r="B6272" s="52" t="str">
        <f t="shared" si="324"/>
        <v/>
      </c>
      <c r="C6272" t="str">
        <f t="shared" si="323"/>
        <v/>
      </c>
      <c r="D6272" s="245" t="str">
        <f t="shared" si="325"/>
        <v/>
      </c>
      <c r="E6272" s="534"/>
      <c r="F6272" s="534"/>
    </row>
    <row r="6273" spans="1:6" ht="15" customHeight="1">
      <c r="A6273" s="51"/>
      <c r="B6273" s="52" t="str">
        <f t="shared" si="324"/>
        <v/>
      </c>
      <c r="C6273" t="str">
        <f t="shared" si="323"/>
        <v/>
      </c>
      <c r="D6273" s="245" t="str">
        <f t="shared" si="325"/>
        <v/>
      </c>
      <c r="E6273" s="534"/>
      <c r="F6273" s="534"/>
    </row>
    <row r="6274" spans="1:6" ht="15" customHeight="1">
      <c r="A6274" s="51"/>
      <c r="B6274" s="52" t="str">
        <f t="shared" si="324"/>
        <v/>
      </c>
      <c r="C6274" t="str">
        <f t="shared" ref="C6274:C6337" si="326">IF(A6274&lt;&gt;"",TEXT(A6274,"aaaa"),"")</f>
        <v/>
      </c>
      <c r="D6274" s="245" t="str">
        <f t="shared" si="325"/>
        <v/>
      </c>
      <c r="E6274" s="534"/>
      <c r="F6274" s="534"/>
    </row>
    <row r="6275" spans="1:6" ht="15" customHeight="1">
      <c r="A6275" s="51"/>
      <c r="B6275" s="52" t="str">
        <f t="shared" si="324"/>
        <v/>
      </c>
      <c r="C6275" t="str">
        <f t="shared" si="326"/>
        <v/>
      </c>
      <c r="D6275" s="245" t="str">
        <f t="shared" si="325"/>
        <v/>
      </c>
      <c r="E6275" s="534"/>
      <c r="F6275" s="534"/>
    </row>
    <row r="6276" spans="1:6" ht="15" customHeight="1">
      <c r="A6276" s="51"/>
      <c r="B6276" s="52" t="str">
        <f t="shared" si="324"/>
        <v/>
      </c>
      <c r="C6276" t="str">
        <f t="shared" si="326"/>
        <v/>
      </c>
      <c r="D6276" s="245" t="str">
        <f t="shared" si="325"/>
        <v/>
      </c>
      <c r="E6276" s="534"/>
      <c r="F6276" s="534"/>
    </row>
    <row r="6277" spans="1:6" ht="15" customHeight="1">
      <c r="A6277" s="51"/>
      <c r="B6277" s="52" t="str">
        <f t="shared" si="324"/>
        <v/>
      </c>
      <c r="C6277" t="str">
        <f t="shared" si="326"/>
        <v/>
      </c>
      <c r="D6277" s="245" t="str">
        <f t="shared" si="325"/>
        <v/>
      </c>
      <c r="E6277" s="534"/>
      <c r="F6277" s="534"/>
    </row>
    <row r="6278" spans="1:6" ht="15" customHeight="1">
      <c r="A6278" s="51"/>
      <c r="B6278" s="52" t="str">
        <f t="shared" si="324"/>
        <v/>
      </c>
      <c r="C6278" t="str">
        <f t="shared" si="326"/>
        <v/>
      </c>
      <c r="D6278" s="245" t="str">
        <f t="shared" si="325"/>
        <v/>
      </c>
      <c r="E6278" s="534"/>
      <c r="F6278" s="534"/>
    </row>
    <row r="6279" spans="1:6" ht="15" customHeight="1">
      <c r="A6279" s="51"/>
      <c r="B6279" s="52" t="str">
        <f t="shared" si="324"/>
        <v/>
      </c>
      <c r="C6279" t="str">
        <f t="shared" si="326"/>
        <v/>
      </c>
      <c r="D6279" s="245" t="str">
        <f t="shared" si="325"/>
        <v/>
      </c>
      <c r="E6279" s="534"/>
      <c r="F6279" s="534"/>
    </row>
    <row r="6280" spans="1:6" ht="15" customHeight="1">
      <c r="A6280" s="51"/>
      <c r="B6280" s="52" t="str">
        <f t="shared" ref="B6280:B6343" si="327">IF(A6280="","",TEXT(A6280,"DDDD"))</f>
        <v/>
      </c>
      <c r="C6280" t="str">
        <f t="shared" si="326"/>
        <v/>
      </c>
      <c r="D6280" s="245" t="str">
        <f t="shared" si="325"/>
        <v/>
      </c>
      <c r="E6280" s="534"/>
      <c r="F6280" s="534"/>
    </row>
    <row r="6281" spans="1:6" ht="15" customHeight="1">
      <c r="A6281" s="51"/>
      <c r="B6281" s="52" t="str">
        <f t="shared" si="327"/>
        <v/>
      </c>
      <c r="C6281" t="str">
        <f t="shared" si="326"/>
        <v/>
      </c>
      <c r="D6281" s="245" t="str">
        <f t="shared" ref="D6281:D6344" si="328">IF(A6281&lt;&gt;"",PROPER(TEXT(A6281,"Mmmm")),"")</f>
        <v/>
      </c>
      <c r="E6281" s="534"/>
      <c r="F6281" s="534"/>
    </row>
    <row r="6282" spans="1:6" ht="15" customHeight="1">
      <c r="A6282" s="51"/>
      <c r="B6282" s="52" t="str">
        <f t="shared" si="327"/>
        <v/>
      </c>
      <c r="C6282" t="str">
        <f t="shared" si="326"/>
        <v/>
      </c>
      <c r="D6282" s="245" t="str">
        <f t="shared" si="328"/>
        <v/>
      </c>
      <c r="E6282" s="534"/>
      <c r="F6282" s="534"/>
    </row>
    <row r="6283" spans="1:6" ht="15" customHeight="1">
      <c r="A6283" s="51"/>
      <c r="B6283" s="52" t="str">
        <f t="shared" si="327"/>
        <v/>
      </c>
      <c r="C6283" t="str">
        <f t="shared" si="326"/>
        <v/>
      </c>
      <c r="D6283" s="245" t="str">
        <f t="shared" si="328"/>
        <v/>
      </c>
      <c r="E6283" s="534"/>
      <c r="F6283" s="534"/>
    </row>
    <row r="6284" spans="1:6" ht="15" customHeight="1">
      <c r="A6284" s="51"/>
      <c r="B6284" s="52" t="str">
        <f t="shared" si="327"/>
        <v/>
      </c>
      <c r="C6284" t="str">
        <f t="shared" si="326"/>
        <v/>
      </c>
      <c r="D6284" s="245" t="str">
        <f t="shared" si="328"/>
        <v/>
      </c>
      <c r="E6284" s="534"/>
      <c r="F6284" s="534"/>
    </row>
    <row r="6285" spans="1:6" ht="15" customHeight="1">
      <c r="A6285" s="51"/>
      <c r="B6285" s="52" t="str">
        <f t="shared" si="327"/>
        <v/>
      </c>
      <c r="C6285" t="str">
        <f t="shared" si="326"/>
        <v/>
      </c>
      <c r="D6285" s="245" t="str">
        <f t="shared" si="328"/>
        <v/>
      </c>
      <c r="E6285" s="534"/>
      <c r="F6285" s="534"/>
    </row>
    <row r="6286" spans="1:6" ht="15" customHeight="1">
      <c r="A6286" s="51"/>
      <c r="B6286" s="52" t="str">
        <f t="shared" si="327"/>
        <v/>
      </c>
      <c r="C6286" t="str">
        <f t="shared" si="326"/>
        <v/>
      </c>
      <c r="D6286" s="245" t="str">
        <f t="shared" si="328"/>
        <v/>
      </c>
      <c r="E6286" s="534"/>
      <c r="F6286" s="534"/>
    </row>
    <row r="6287" spans="1:6" ht="15" customHeight="1">
      <c r="A6287" s="51"/>
      <c r="B6287" s="52" t="str">
        <f t="shared" si="327"/>
        <v/>
      </c>
      <c r="C6287" t="str">
        <f t="shared" si="326"/>
        <v/>
      </c>
      <c r="D6287" s="245" t="str">
        <f t="shared" si="328"/>
        <v/>
      </c>
      <c r="E6287" s="534"/>
      <c r="F6287" s="534"/>
    </row>
    <row r="6288" spans="1:6" ht="15" customHeight="1">
      <c r="A6288" s="51"/>
      <c r="B6288" s="52" t="str">
        <f t="shared" si="327"/>
        <v/>
      </c>
      <c r="C6288" t="str">
        <f t="shared" si="326"/>
        <v/>
      </c>
      <c r="D6288" s="245" t="str">
        <f t="shared" si="328"/>
        <v/>
      </c>
      <c r="E6288" s="534"/>
      <c r="F6288" s="534"/>
    </row>
    <row r="6289" spans="1:6" ht="15" customHeight="1">
      <c r="A6289" s="51"/>
      <c r="B6289" s="52" t="str">
        <f t="shared" si="327"/>
        <v/>
      </c>
      <c r="C6289" t="str">
        <f t="shared" si="326"/>
        <v/>
      </c>
      <c r="D6289" s="245" t="str">
        <f t="shared" si="328"/>
        <v/>
      </c>
      <c r="E6289" s="534"/>
      <c r="F6289" s="534"/>
    </row>
    <row r="6290" spans="1:6" ht="15" customHeight="1">
      <c r="A6290" s="51"/>
      <c r="B6290" s="52" t="str">
        <f t="shared" si="327"/>
        <v/>
      </c>
      <c r="C6290" t="str">
        <f t="shared" si="326"/>
        <v/>
      </c>
      <c r="D6290" s="245" t="str">
        <f t="shared" si="328"/>
        <v/>
      </c>
      <c r="E6290" s="534"/>
      <c r="F6290" s="534"/>
    </row>
    <row r="6291" spans="1:6" ht="15" customHeight="1">
      <c r="A6291" s="51"/>
      <c r="B6291" s="52" t="str">
        <f t="shared" si="327"/>
        <v/>
      </c>
      <c r="C6291" t="str">
        <f t="shared" si="326"/>
        <v/>
      </c>
      <c r="D6291" s="245" t="str">
        <f t="shared" si="328"/>
        <v/>
      </c>
      <c r="E6291" s="534"/>
      <c r="F6291" s="534"/>
    </row>
    <row r="6292" spans="1:6" ht="15" customHeight="1">
      <c r="A6292" s="51"/>
      <c r="B6292" s="52" t="str">
        <f t="shared" si="327"/>
        <v/>
      </c>
      <c r="C6292" t="str">
        <f t="shared" si="326"/>
        <v/>
      </c>
      <c r="D6292" s="245" t="str">
        <f t="shared" si="328"/>
        <v/>
      </c>
      <c r="E6292" s="534"/>
      <c r="F6292" s="534"/>
    </row>
    <row r="6293" spans="1:6" ht="15" customHeight="1">
      <c r="A6293" s="51"/>
      <c r="B6293" s="52" t="str">
        <f t="shared" si="327"/>
        <v/>
      </c>
      <c r="C6293" t="str">
        <f t="shared" si="326"/>
        <v/>
      </c>
      <c r="D6293" s="245" t="str">
        <f t="shared" si="328"/>
        <v/>
      </c>
      <c r="E6293" s="534"/>
      <c r="F6293" s="534"/>
    </row>
    <row r="6294" spans="1:6" ht="15" customHeight="1">
      <c r="A6294" s="51"/>
      <c r="B6294" s="52" t="str">
        <f t="shared" si="327"/>
        <v/>
      </c>
      <c r="C6294" t="str">
        <f t="shared" si="326"/>
        <v/>
      </c>
      <c r="D6294" s="245" t="str">
        <f t="shared" si="328"/>
        <v/>
      </c>
      <c r="E6294" s="534"/>
      <c r="F6294" s="534"/>
    </row>
    <row r="6295" spans="1:6" ht="15" customHeight="1">
      <c r="A6295" s="51"/>
      <c r="B6295" s="52" t="str">
        <f t="shared" si="327"/>
        <v/>
      </c>
      <c r="C6295" t="str">
        <f t="shared" si="326"/>
        <v/>
      </c>
      <c r="D6295" s="245" t="str">
        <f t="shared" si="328"/>
        <v/>
      </c>
      <c r="E6295" s="534"/>
      <c r="F6295" s="534"/>
    </row>
    <row r="6296" spans="1:6" ht="15" customHeight="1">
      <c r="A6296" s="51"/>
      <c r="B6296" s="52" t="str">
        <f t="shared" si="327"/>
        <v/>
      </c>
      <c r="C6296" t="str">
        <f t="shared" si="326"/>
        <v/>
      </c>
      <c r="D6296" s="245" t="str">
        <f t="shared" si="328"/>
        <v/>
      </c>
      <c r="E6296" s="534"/>
      <c r="F6296" s="534"/>
    </row>
    <row r="6297" spans="1:6" ht="15" customHeight="1">
      <c r="A6297" s="51"/>
      <c r="B6297" s="52" t="str">
        <f t="shared" si="327"/>
        <v/>
      </c>
      <c r="C6297" t="str">
        <f t="shared" si="326"/>
        <v/>
      </c>
      <c r="D6297" s="245" t="str">
        <f t="shared" si="328"/>
        <v/>
      </c>
      <c r="E6297" s="534"/>
      <c r="F6297" s="534"/>
    </row>
    <row r="6298" spans="1:6" ht="15" customHeight="1">
      <c r="A6298" s="51"/>
      <c r="B6298" s="52" t="str">
        <f t="shared" si="327"/>
        <v/>
      </c>
      <c r="C6298" t="str">
        <f t="shared" si="326"/>
        <v/>
      </c>
      <c r="D6298" s="245" t="str">
        <f t="shared" si="328"/>
        <v/>
      </c>
      <c r="E6298" s="534"/>
      <c r="F6298" s="534"/>
    </row>
    <row r="6299" spans="1:6" ht="15" customHeight="1">
      <c r="A6299" s="51"/>
      <c r="B6299" s="52" t="str">
        <f t="shared" si="327"/>
        <v/>
      </c>
      <c r="C6299" t="str">
        <f t="shared" si="326"/>
        <v/>
      </c>
      <c r="D6299" s="245" t="str">
        <f t="shared" si="328"/>
        <v/>
      </c>
      <c r="E6299" s="534"/>
      <c r="F6299" s="534"/>
    </row>
    <row r="6300" spans="1:6" ht="15" customHeight="1">
      <c r="A6300" s="51"/>
      <c r="B6300" s="52" t="str">
        <f t="shared" si="327"/>
        <v/>
      </c>
      <c r="C6300" t="str">
        <f t="shared" si="326"/>
        <v/>
      </c>
      <c r="D6300" s="245" t="str">
        <f t="shared" si="328"/>
        <v/>
      </c>
      <c r="E6300" s="534"/>
      <c r="F6300" s="534"/>
    </row>
    <row r="6301" spans="1:6" ht="15" customHeight="1">
      <c r="A6301" s="51"/>
      <c r="B6301" s="52" t="str">
        <f t="shared" si="327"/>
        <v/>
      </c>
      <c r="C6301" t="str">
        <f t="shared" si="326"/>
        <v/>
      </c>
      <c r="D6301" s="245" t="str">
        <f t="shared" si="328"/>
        <v/>
      </c>
      <c r="E6301" s="534"/>
      <c r="F6301" s="534"/>
    </row>
    <row r="6302" spans="1:6" ht="15" customHeight="1">
      <c r="A6302" s="51"/>
      <c r="B6302" s="52" t="str">
        <f t="shared" si="327"/>
        <v/>
      </c>
      <c r="C6302" t="str">
        <f t="shared" si="326"/>
        <v/>
      </c>
      <c r="D6302" s="245" t="str">
        <f t="shared" si="328"/>
        <v/>
      </c>
      <c r="E6302" s="534"/>
      <c r="F6302" s="534"/>
    </row>
    <row r="6303" spans="1:6" ht="15" customHeight="1">
      <c r="A6303" s="51"/>
      <c r="B6303" s="52" t="str">
        <f t="shared" si="327"/>
        <v/>
      </c>
      <c r="C6303" t="str">
        <f t="shared" si="326"/>
        <v/>
      </c>
      <c r="D6303" s="245" t="str">
        <f t="shared" si="328"/>
        <v/>
      </c>
      <c r="E6303" s="534"/>
      <c r="F6303" s="534"/>
    </row>
    <row r="6304" spans="1:6" ht="15" customHeight="1">
      <c r="A6304" s="51"/>
      <c r="B6304" s="52" t="str">
        <f t="shared" si="327"/>
        <v/>
      </c>
      <c r="C6304" t="str">
        <f t="shared" si="326"/>
        <v/>
      </c>
      <c r="D6304" s="245" t="str">
        <f t="shared" si="328"/>
        <v/>
      </c>
      <c r="E6304" s="534"/>
      <c r="F6304" s="534"/>
    </row>
    <row r="6305" spans="1:6" ht="15" customHeight="1">
      <c r="A6305" s="51"/>
      <c r="B6305" s="52" t="str">
        <f t="shared" si="327"/>
        <v/>
      </c>
      <c r="C6305" t="str">
        <f t="shared" si="326"/>
        <v/>
      </c>
      <c r="D6305" s="245" t="str">
        <f t="shared" si="328"/>
        <v/>
      </c>
      <c r="E6305" s="534"/>
      <c r="F6305" s="534"/>
    </row>
    <row r="6306" spans="1:6" ht="15" customHeight="1">
      <c r="A6306" s="51"/>
      <c r="B6306" s="52" t="str">
        <f t="shared" si="327"/>
        <v/>
      </c>
      <c r="C6306" t="str">
        <f t="shared" si="326"/>
        <v/>
      </c>
      <c r="D6306" s="245" t="str">
        <f t="shared" si="328"/>
        <v/>
      </c>
      <c r="E6306" s="534"/>
      <c r="F6306" s="534"/>
    </row>
    <row r="6307" spans="1:6" ht="15" customHeight="1">
      <c r="A6307" s="51"/>
      <c r="B6307" s="52" t="str">
        <f t="shared" si="327"/>
        <v/>
      </c>
      <c r="C6307" t="str">
        <f t="shared" si="326"/>
        <v/>
      </c>
      <c r="D6307" s="245" t="str">
        <f t="shared" si="328"/>
        <v/>
      </c>
      <c r="E6307" s="534"/>
      <c r="F6307" s="534"/>
    </row>
    <row r="6308" spans="1:6" ht="15" customHeight="1">
      <c r="A6308" s="51"/>
      <c r="B6308" s="52" t="str">
        <f t="shared" si="327"/>
        <v/>
      </c>
      <c r="C6308" t="str">
        <f t="shared" si="326"/>
        <v/>
      </c>
      <c r="D6308" s="245" t="str">
        <f t="shared" si="328"/>
        <v/>
      </c>
      <c r="E6308" s="534"/>
      <c r="F6308" s="534"/>
    </row>
    <row r="6309" spans="1:6" ht="15" customHeight="1">
      <c r="A6309" s="51"/>
      <c r="B6309" s="52" t="str">
        <f t="shared" si="327"/>
        <v/>
      </c>
      <c r="C6309" t="str">
        <f t="shared" si="326"/>
        <v/>
      </c>
      <c r="D6309" s="245" t="str">
        <f t="shared" si="328"/>
        <v/>
      </c>
      <c r="E6309" s="534"/>
      <c r="F6309" s="534"/>
    </row>
    <row r="6310" spans="1:6" ht="15" customHeight="1">
      <c r="A6310" s="51"/>
      <c r="B6310" s="52" t="str">
        <f t="shared" si="327"/>
        <v/>
      </c>
      <c r="C6310" t="str">
        <f t="shared" si="326"/>
        <v/>
      </c>
      <c r="D6310" s="245" t="str">
        <f t="shared" si="328"/>
        <v/>
      </c>
      <c r="E6310" s="534"/>
      <c r="F6310" s="534"/>
    </row>
    <row r="6311" spans="1:6" ht="15" customHeight="1">
      <c r="A6311" s="51"/>
      <c r="B6311" s="52" t="str">
        <f t="shared" si="327"/>
        <v/>
      </c>
      <c r="C6311" t="str">
        <f t="shared" si="326"/>
        <v/>
      </c>
      <c r="D6311" s="245" t="str">
        <f t="shared" si="328"/>
        <v/>
      </c>
      <c r="E6311" s="534"/>
      <c r="F6311" s="534"/>
    </row>
    <row r="6312" spans="1:6" ht="15" customHeight="1">
      <c r="A6312" s="51"/>
      <c r="B6312" s="52" t="str">
        <f t="shared" si="327"/>
        <v/>
      </c>
      <c r="C6312" t="str">
        <f t="shared" si="326"/>
        <v/>
      </c>
      <c r="D6312" s="245" t="str">
        <f t="shared" si="328"/>
        <v/>
      </c>
      <c r="E6312" s="534"/>
      <c r="F6312" s="534"/>
    </row>
    <row r="6313" spans="1:6" ht="15" customHeight="1">
      <c r="A6313" s="51"/>
      <c r="B6313" s="52" t="str">
        <f t="shared" si="327"/>
        <v/>
      </c>
      <c r="C6313" t="str">
        <f t="shared" si="326"/>
        <v/>
      </c>
      <c r="D6313" s="245" t="str">
        <f t="shared" si="328"/>
        <v/>
      </c>
      <c r="E6313" s="534"/>
      <c r="F6313" s="534"/>
    </row>
    <row r="6314" spans="1:6" ht="15" customHeight="1">
      <c r="A6314" s="51"/>
      <c r="B6314" s="52" t="str">
        <f t="shared" si="327"/>
        <v/>
      </c>
      <c r="C6314" t="str">
        <f t="shared" si="326"/>
        <v/>
      </c>
      <c r="D6314" s="245" t="str">
        <f t="shared" si="328"/>
        <v/>
      </c>
      <c r="E6314" s="534"/>
      <c r="F6314" s="534"/>
    </row>
    <row r="6315" spans="1:6" ht="15" customHeight="1">
      <c r="A6315" s="51"/>
      <c r="B6315" s="52" t="str">
        <f t="shared" si="327"/>
        <v/>
      </c>
      <c r="C6315" t="str">
        <f t="shared" si="326"/>
        <v/>
      </c>
      <c r="D6315" s="245" t="str">
        <f t="shared" si="328"/>
        <v/>
      </c>
      <c r="E6315" s="534"/>
      <c r="F6315" s="534"/>
    </row>
    <row r="6316" spans="1:6" ht="15" customHeight="1">
      <c r="A6316" s="51"/>
      <c r="B6316" s="52" t="str">
        <f t="shared" si="327"/>
        <v/>
      </c>
      <c r="C6316" t="str">
        <f t="shared" si="326"/>
        <v/>
      </c>
      <c r="D6316" s="245" t="str">
        <f t="shared" si="328"/>
        <v/>
      </c>
      <c r="E6316" s="534"/>
      <c r="F6316" s="534"/>
    </row>
    <row r="6317" spans="1:6" ht="15" customHeight="1">
      <c r="A6317" s="51"/>
      <c r="B6317" s="52" t="str">
        <f t="shared" si="327"/>
        <v/>
      </c>
      <c r="C6317" t="str">
        <f t="shared" si="326"/>
        <v/>
      </c>
      <c r="D6317" s="245" t="str">
        <f t="shared" si="328"/>
        <v/>
      </c>
      <c r="E6317" s="534"/>
      <c r="F6317" s="534"/>
    </row>
    <row r="6318" spans="1:6" ht="15" customHeight="1">
      <c r="A6318" s="51"/>
      <c r="B6318" s="52" t="str">
        <f t="shared" si="327"/>
        <v/>
      </c>
      <c r="C6318" t="str">
        <f t="shared" si="326"/>
        <v/>
      </c>
      <c r="D6318" s="245" t="str">
        <f t="shared" si="328"/>
        <v/>
      </c>
      <c r="E6318" s="534"/>
      <c r="F6318" s="534"/>
    </row>
    <row r="6319" spans="1:6" ht="15" customHeight="1">
      <c r="A6319" s="51"/>
      <c r="B6319" s="52" t="str">
        <f t="shared" si="327"/>
        <v/>
      </c>
      <c r="C6319" t="str">
        <f t="shared" si="326"/>
        <v/>
      </c>
      <c r="D6319" s="245" t="str">
        <f t="shared" si="328"/>
        <v/>
      </c>
      <c r="E6319" s="534"/>
      <c r="F6319" s="534"/>
    </row>
    <row r="6320" spans="1:6" ht="15" customHeight="1">
      <c r="A6320" s="51"/>
      <c r="B6320" s="52" t="str">
        <f t="shared" si="327"/>
        <v/>
      </c>
      <c r="C6320" t="str">
        <f t="shared" si="326"/>
        <v/>
      </c>
      <c r="D6320" s="245" t="str">
        <f t="shared" si="328"/>
        <v/>
      </c>
      <c r="E6320" s="534"/>
      <c r="F6320" s="534"/>
    </row>
    <row r="6321" spans="1:6" ht="15" customHeight="1">
      <c r="A6321" s="51"/>
      <c r="B6321" s="52" t="str">
        <f t="shared" si="327"/>
        <v/>
      </c>
      <c r="C6321" t="str">
        <f t="shared" si="326"/>
        <v/>
      </c>
      <c r="D6321" s="245" t="str">
        <f t="shared" si="328"/>
        <v/>
      </c>
      <c r="E6321" s="534"/>
      <c r="F6321" s="534"/>
    </row>
    <row r="6322" spans="1:6" ht="15" customHeight="1">
      <c r="A6322" s="51"/>
      <c r="B6322" s="52" t="str">
        <f t="shared" si="327"/>
        <v/>
      </c>
      <c r="C6322" t="str">
        <f t="shared" si="326"/>
        <v/>
      </c>
      <c r="D6322" s="245" t="str">
        <f t="shared" si="328"/>
        <v/>
      </c>
      <c r="E6322" s="534"/>
      <c r="F6322" s="534"/>
    </row>
    <row r="6323" spans="1:6" ht="15" customHeight="1">
      <c r="A6323" s="51"/>
      <c r="B6323" s="52" t="str">
        <f t="shared" si="327"/>
        <v/>
      </c>
      <c r="C6323" t="str">
        <f t="shared" si="326"/>
        <v/>
      </c>
      <c r="D6323" s="245" t="str">
        <f t="shared" si="328"/>
        <v/>
      </c>
      <c r="E6323" s="534"/>
      <c r="F6323" s="534"/>
    </row>
    <row r="6324" spans="1:6" ht="15" customHeight="1">
      <c r="A6324" s="51"/>
      <c r="B6324" s="52" t="str">
        <f t="shared" si="327"/>
        <v/>
      </c>
      <c r="C6324" t="str">
        <f t="shared" si="326"/>
        <v/>
      </c>
      <c r="D6324" s="245" t="str">
        <f t="shared" si="328"/>
        <v/>
      </c>
      <c r="E6324" s="534"/>
      <c r="F6324" s="534"/>
    </row>
    <row r="6325" spans="1:6" ht="15" customHeight="1">
      <c r="A6325" s="51"/>
      <c r="B6325" s="52" t="str">
        <f t="shared" si="327"/>
        <v/>
      </c>
      <c r="C6325" t="str">
        <f t="shared" si="326"/>
        <v/>
      </c>
      <c r="D6325" s="245" t="str">
        <f t="shared" si="328"/>
        <v/>
      </c>
      <c r="E6325" s="534"/>
      <c r="F6325" s="534"/>
    </row>
    <row r="6326" spans="1:6" ht="15" customHeight="1">
      <c r="A6326" s="51"/>
      <c r="B6326" s="52" t="str">
        <f t="shared" si="327"/>
        <v/>
      </c>
      <c r="C6326" t="str">
        <f t="shared" si="326"/>
        <v/>
      </c>
      <c r="D6326" s="245" t="str">
        <f t="shared" si="328"/>
        <v/>
      </c>
      <c r="E6326" s="534"/>
      <c r="F6326" s="534"/>
    </row>
    <row r="6327" spans="1:6" ht="15" customHeight="1">
      <c r="A6327" s="51"/>
      <c r="B6327" s="52" t="str">
        <f t="shared" si="327"/>
        <v/>
      </c>
      <c r="C6327" t="str">
        <f t="shared" si="326"/>
        <v/>
      </c>
      <c r="D6327" s="245" t="str">
        <f t="shared" si="328"/>
        <v/>
      </c>
      <c r="E6327" s="534"/>
      <c r="F6327" s="534"/>
    </row>
    <row r="6328" spans="1:6" ht="15" customHeight="1">
      <c r="A6328" s="51"/>
      <c r="B6328" s="52" t="str">
        <f t="shared" si="327"/>
        <v/>
      </c>
      <c r="C6328" t="str">
        <f t="shared" si="326"/>
        <v/>
      </c>
      <c r="D6328" s="245" t="str">
        <f t="shared" si="328"/>
        <v/>
      </c>
      <c r="E6328" s="534"/>
      <c r="F6328" s="534"/>
    </row>
    <row r="6329" spans="1:6" ht="15" customHeight="1">
      <c r="A6329" s="51"/>
      <c r="B6329" s="52" t="str">
        <f t="shared" si="327"/>
        <v/>
      </c>
      <c r="C6329" t="str">
        <f t="shared" si="326"/>
        <v/>
      </c>
      <c r="D6329" s="245" t="str">
        <f t="shared" si="328"/>
        <v/>
      </c>
      <c r="E6329" s="534"/>
      <c r="F6329" s="534"/>
    </row>
    <row r="6330" spans="1:6" ht="15" customHeight="1">
      <c r="A6330" s="51"/>
      <c r="B6330" s="52" t="str">
        <f t="shared" si="327"/>
        <v/>
      </c>
      <c r="C6330" t="str">
        <f t="shared" si="326"/>
        <v/>
      </c>
      <c r="D6330" s="245" t="str">
        <f t="shared" si="328"/>
        <v/>
      </c>
      <c r="E6330" s="534"/>
      <c r="F6330" s="534"/>
    </row>
    <row r="6331" spans="1:6" ht="15" customHeight="1">
      <c r="A6331" s="51"/>
      <c r="B6331" s="52" t="str">
        <f t="shared" si="327"/>
        <v/>
      </c>
      <c r="C6331" t="str">
        <f t="shared" si="326"/>
        <v/>
      </c>
      <c r="D6331" s="245" t="str">
        <f t="shared" si="328"/>
        <v/>
      </c>
      <c r="E6331" s="534"/>
      <c r="F6331" s="534"/>
    </row>
    <row r="6332" spans="1:6" ht="15" customHeight="1">
      <c r="A6332" s="51"/>
      <c r="B6332" s="52" t="str">
        <f t="shared" si="327"/>
        <v/>
      </c>
      <c r="C6332" t="str">
        <f t="shared" si="326"/>
        <v/>
      </c>
      <c r="D6332" s="245" t="str">
        <f t="shared" si="328"/>
        <v/>
      </c>
      <c r="E6332" s="534"/>
      <c r="F6332" s="534"/>
    </row>
    <row r="6333" spans="1:6" ht="15" customHeight="1">
      <c r="A6333" s="51"/>
      <c r="B6333" s="52" t="str">
        <f t="shared" si="327"/>
        <v/>
      </c>
      <c r="C6333" t="str">
        <f t="shared" si="326"/>
        <v/>
      </c>
      <c r="D6333" s="245" t="str">
        <f t="shared" si="328"/>
        <v/>
      </c>
      <c r="E6333" s="534"/>
      <c r="F6333" s="534"/>
    </row>
    <row r="6334" spans="1:6" ht="15" customHeight="1">
      <c r="A6334" s="51"/>
      <c r="B6334" s="52" t="str">
        <f t="shared" si="327"/>
        <v/>
      </c>
      <c r="C6334" t="str">
        <f t="shared" si="326"/>
        <v/>
      </c>
      <c r="D6334" s="245" t="str">
        <f t="shared" si="328"/>
        <v/>
      </c>
      <c r="E6334" s="534"/>
      <c r="F6334" s="534"/>
    </row>
    <row r="6335" spans="1:6" ht="15" customHeight="1">
      <c r="A6335" s="51"/>
      <c r="B6335" s="52" t="str">
        <f t="shared" si="327"/>
        <v/>
      </c>
      <c r="C6335" t="str">
        <f t="shared" si="326"/>
        <v/>
      </c>
      <c r="D6335" s="245" t="str">
        <f t="shared" si="328"/>
        <v/>
      </c>
      <c r="E6335" s="534"/>
      <c r="F6335" s="534"/>
    </row>
    <row r="6336" spans="1:6" ht="15" customHeight="1">
      <c r="A6336" s="51"/>
      <c r="B6336" s="52" t="str">
        <f t="shared" si="327"/>
        <v/>
      </c>
      <c r="C6336" t="str">
        <f t="shared" si="326"/>
        <v/>
      </c>
      <c r="D6336" s="245" t="str">
        <f t="shared" si="328"/>
        <v/>
      </c>
      <c r="E6336" s="534"/>
      <c r="F6336" s="534"/>
    </row>
    <row r="6337" spans="1:6" ht="15" customHeight="1">
      <c r="A6337" s="51"/>
      <c r="B6337" s="52" t="str">
        <f t="shared" si="327"/>
        <v/>
      </c>
      <c r="C6337" t="str">
        <f t="shared" si="326"/>
        <v/>
      </c>
      <c r="D6337" s="245" t="str">
        <f t="shared" si="328"/>
        <v/>
      </c>
      <c r="E6337" s="534"/>
      <c r="F6337" s="534"/>
    </row>
    <row r="6338" spans="1:6" ht="15" customHeight="1">
      <c r="A6338" s="51"/>
      <c r="B6338" s="52" t="str">
        <f t="shared" si="327"/>
        <v/>
      </c>
      <c r="C6338" t="str">
        <f t="shared" ref="C6338:C6401" si="329">IF(A6338&lt;&gt;"",TEXT(A6338,"aaaa"),"")</f>
        <v/>
      </c>
      <c r="D6338" s="245" t="str">
        <f t="shared" si="328"/>
        <v/>
      </c>
      <c r="E6338" s="534"/>
      <c r="F6338" s="534"/>
    </row>
    <row r="6339" spans="1:6" ht="15" customHeight="1">
      <c r="A6339" s="51"/>
      <c r="B6339" s="52" t="str">
        <f t="shared" si="327"/>
        <v/>
      </c>
      <c r="C6339" t="str">
        <f t="shared" si="329"/>
        <v/>
      </c>
      <c r="D6339" s="245" t="str">
        <f t="shared" si="328"/>
        <v/>
      </c>
      <c r="E6339" s="534"/>
      <c r="F6339" s="534"/>
    </row>
    <row r="6340" spans="1:6" ht="15" customHeight="1">
      <c r="A6340" s="51"/>
      <c r="B6340" s="52" t="str">
        <f t="shared" si="327"/>
        <v/>
      </c>
      <c r="C6340" t="str">
        <f t="shared" si="329"/>
        <v/>
      </c>
      <c r="D6340" s="245" t="str">
        <f t="shared" si="328"/>
        <v/>
      </c>
      <c r="E6340" s="534"/>
      <c r="F6340" s="534"/>
    </row>
    <row r="6341" spans="1:6" ht="15" customHeight="1">
      <c r="A6341" s="51"/>
      <c r="B6341" s="52" t="str">
        <f t="shared" si="327"/>
        <v/>
      </c>
      <c r="C6341" t="str">
        <f t="shared" si="329"/>
        <v/>
      </c>
      <c r="D6341" s="245" t="str">
        <f t="shared" si="328"/>
        <v/>
      </c>
      <c r="E6341" s="534"/>
      <c r="F6341" s="534"/>
    </row>
    <row r="6342" spans="1:6" ht="15" customHeight="1">
      <c r="A6342" s="51"/>
      <c r="B6342" s="52" t="str">
        <f t="shared" si="327"/>
        <v/>
      </c>
      <c r="C6342" t="str">
        <f t="shared" si="329"/>
        <v/>
      </c>
      <c r="D6342" s="245" t="str">
        <f t="shared" si="328"/>
        <v/>
      </c>
      <c r="E6342" s="534"/>
      <c r="F6342" s="534"/>
    </row>
    <row r="6343" spans="1:6" ht="15" customHeight="1">
      <c r="A6343" s="51"/>
      <c r="B6343" s="52" t="str">
        <f t="shared" si="327"/>
        <v/>
      </c>
      <c r="C6343" t="str">
        <f t="shared" si="329"/>
        <v/>
      </c>
      <c r="D6343" s="245" t="str">
        <f t="shared" si="328"/>
        <v/>
      </c>
      <c r="E6343" s="534"/>
      <c r="F6343" s="534"/>
    </row>
    <row r="6344" spans="1:6" ht="15" customHeight="1">
      <c r="A6344" s="51"/>
      <c r="B6344" s="52" t="str">
        <f t="shared" ref="B6344:B6407" si="330">IF(A6344="","",TEXT(A6344,"DDDD"))</f>
        <v/>
      </c>
      <c r="C6344" t="str">
        <f t="shared" si="329"/>
        <v/>
      </c>
      <c r="D6344" s="245" t="str">
        <f t="shared" si="328"/>
        <v/>
      </c>
      <c r="E6344" s="534"/>
      <c r="F6344" s="534"/>
    </row>
    <row r="6345" spans="1:6" ht="15" customHeight="1">
      <c r="A6345" s="51"/>
      <c r="B6345" s="52" t="str">
        <f t="shared" si="330"/>
        <v/>
      </c>
      <c r="C6345" t="str">
        <f t="shared" si="329"/>
        <v/>
      </c>
      <c r="D6345" s="245" t="str">
        <f t="shared" ref="D6345:D6408" si="331">IF(A6345&lt;&gt;"",PROPER(TEXT(A6345,"Mmmm")),"")</f>
        <v/>
      </c>
      <c r="E6345" s="534"/>
      <c r="F6345" s="534"/>
    </row>
    <row r="6346" spans="1:6" ht="15" customHeight="1">
      <c r="A6346" s="51"/>
      <c r="B6346" s="52" t="str">
        <f t="shared" si="330"/>
        <v/>
      </c>
      <c r="C6346" t="str">
        <f t="shared" si="329"/>
        <v/>
      </c>
      <c r="D6346" s="245" t="str">
        <f t="shared" si="331"/>
        <v/>
      </c>
      <c r="E6346" s="534"/>
      <c r="F6346" s="534"/>
    </row>
    <row r="6347" spans="1:6" ht="15" customHeight="1">
      <c r="A6347" s="51"/>
      <c r="B6347" s="52" t="str">
        <f t="shared" si="330"/>
        <v/>
      </c>
      <c r="C6347" t="str">
        <f t="shared" si="329"/>
        <v/>
      </c>
      <c r="D6347" s="245" t="str">
        <f t="shared" si="331"/>
        <v/>
      </c>
      <c r="E6347" s="534"/>
      <c r="F6347" s="534"/>
    </row>
    <row r="6348" spans="1:6" ht="15" customHeight="1">
      <c r="A6348" s="51"/>
      <c r="B6348" s="52" t="str">
        <f t="shared" si="330"/>
        <v/>
      </c>
      <c r="C6348" t="str">
        <f t="shared" si="329"/>
        <v/>
      </c>
      <c r="D6348" s="245" t="str">
        <f t="shared" si="331"/>
        <v/>
      </c>
      <c r="E6348" s="534"/>
      <c r="F6348" s="534"/>
    </row>
    <row r="6349" spans="1:6" ht="15" customHeight="1">
      <c r="A6349" s="51"/>
      <c r="B6349" s="52" t="str">
        <f t="shared" si="330"/>
        <v/>
      </c>
      <c r="C6349" t="str">
        <f t="shared" si="329"/>
        <v/>
      </c>
      <c r="D6349" s="245" t="str">
        <f t="shared" si="331"/>
        <v/>
      </c>
      <c r="E6349" s="534"/>
      <c r="F6349" s="534"/>
    </row>
    <row r="6350" spans="1:6" ht="15" customHeight="1">
      <c r="A6350" s="51"/>
      <c r="B6350" s="52" t="str">
        <f t="shared" si="330"/>
        <v/>
      </c>
      <c r="C6350" t="str">
        <f t="shared" si="329"/>
        <v/>
      </c>
      <c r="D6350" s="245" t="str">
        <f t="shared" si="331"/>
        <v/>
      </c>
      <c r="E6350" s="534"/>
      <c r="F6350" s="534"/>
    </row>
    <row r="6351" spans="1:6" ht="15" customHeight="1">
      <c r="A6351" s="51"/>
      <c r="B6351" s="52" t="str">
        <f t="shared" si="330"/>
        <v/>
      </c>
      <c r="C6351" t="str">
        <f t="shared" si="329"/>
        <v/>
      </c>
      <c r="D6351" s="245" t="str">
        <f t="shared" si="331"/>
        <v/>
      </c>
      <c r="E6351" s="534"/>
      <c r="F6351" s="534"/>
    </row>
    <row r="6352" spans="1:6" ht="15" customHeight="1">
      <c r="A6352" s="51"/>
      <c r="B6352" s="52" t="str">
        <f t="shared" si="330"/>
        <v/>
      </c>
      <c r="C6352" t="str">
        <f t="shared" si="329"/>
        <v/>
      </c>
      <c r="D6352" s="245" t="str">
        <f t="shared" si="331"/>
        <v/>
      </c>
      <c r="E6352" s="534"/>
      <c r="F6352" s="534"/>
    </row>
    <row r="6353" spans="1:6" ht="15" customHeight="1">
      <c r="A6353" s="51"/>
      <c r="B6353" s="52" t="str">
        <f t="shared" si="330"/>
        <v/>
      </c>
      <c r="C6353" t="str">
        <f t="shared" si="329"/>
        <v/>
      </c>
      <c r="D6353" s="245" t="str">
        <f t="shared" si="331"/>
        <v/>
      </c>
      <c r="E6353" s="534"/>
      <c r="F6353" s="534"/>
    </row>
    <row r="6354" spans="1:6" ht="15" customHeight="1">
      <c r="A6354" s="51"/>
      <c r="B6354" s="52" t="str">
        <f t="shared" si="330"/>
        <v/>
      </c>
      <c r="C6354" t="str">
        <f t="shared" si="329"/>
        <v/>
      </c>
      <c r="D6354" s="245" t="str">
        <f t="shared" si="331"/>
        <v/>
      </c>
      <c r="E6354" s="534"/>
      <c r="F6354" s="534"/>
    </row>
    <row r="6355" spans="1:6" ht="15" customHeight="1">
      <c r="A6355" s="51"/>
      <c r="B6355" s="52" t="str">
        <f t="shared" si="330"/>
        <v/>
      </c>
      <c r="C6355" t="str">
        <f t="shared" si="329"/>
        <v/>
      </c>
      <c r="D6355" s="245" t="str">
        <f t="shared" si="331"/>
        <v/>
      </c>
      <c r="E6355" s="534"/>
      <c r="F6355" s="534"/>
    </row>
    <row r="6356" spans="1:6" ht="15" customHeight="1">
      <c r="A6356" s="51"/>
      <c r="B6356" s="52" t="str">
        <f t="shared" si="330"/>
        <v/>
      </c>
      <c r="C6356" t="str">
        <f t="shared" si="329"/>
        <v/>
      </c>
      <c r="D6356" s="245" t="str">
        <f t="shared" si="331"/>
        <v/>
      </c>
      <c r="E6356" s="534"/>
      <c r="F6356" s="534"/>
    </row>
    <row r="6357" spans="1:6" ht="15" customHeight="1">
      <c r="A6357" s="51"/>
      <c r="B6357" s="52" t="str">
        <f t="shared" si="330"/>
        <v/>
      </c>
      <c r="C6357" t="str">
        <f t="shared" si="329"/>
        <v/>
      </c>
      <c r="D6357" s="245" t="str">
        <f t="shared" si="331"/>
        <v/>
      </c>
      <c r="E6357" s="534"/>
      <c r="F6357" s="534"/>
    </row>
    <row r="6358" spans="1:6" ht="15" customHeight="1">
      <c r="A6358" s="51"/>
      <c r="B6358" s="52" t="str">
        <f t="shared" si="330"/>
        <v/>
      </c>
      <c r="C6358" t="str">
        <f t="shared" si="329"/>
        <v/>
      </c>
      <c r="D6358" s="245" t="str">
        <f t="shared" si="331"/>
        <v/>
      </c>
      <c r="E6358" s="534"/>
      <c r="F6358" s="534"/>
    </row>
    <row r="6359" spans="1:6" ht="15" customHeight="1">
      <c r="A6359" s="51"/>
      <c r="B6359" s="52" t="str">
        <f t="shared" si="330"/>
        <v/>
      </c>
      <c r="C6359" t="str">
        <f t="shared" si="329"/>
        <v/>
      </c>
      <c r="D6359" s="245" t="str">
        <f t="shared" si="331"/>
        <v/>
      </c>
      <c r="E6359" s="534"/>
      <c r="F6359" s="534"/>
    </row>
    <row r="6360" spans="1:6" ht="15" customHeight="1">
      <c r="A6360" s="51"/>
      <c r="B6360" s="52" t="str">
        <f t="shared" si="330"/>
        <v/>
      </c>
      <c r="C6360" t="str">
        <f t="shared" si="329"/>
        <v/>
      </c>
      <c r="D6360" s="245" t="str">
        <f t="shared" si="331"/>
        <v/>
      </c>
      <c r="E6360" s="534"/>
      <c r="F6360" s="534"/>
    </row>
    <row r="6361" spans="1:6" ht="15" customHeight="1">
      <c r="A6361" s="51"/>
      <c r="B6361" s="52" t="str">
        <f t="shared" si="330"/>
        <v/>
      </c>
      <c r="C6361" t="str">
        <f t="shared" si="329"/>
        <v/>
      </c>
      <c r="D6361" s="245" t="str">
        <f t="shared" si="331"/>
        <v/>
      </c>
      <c r="E6361" s="534"/>
      <c r="F6361" s="534"/>
    </row>
    <row r="6362" spans="1:6" ht="15" customHeight="1">
      <c r="A6362" s="51"/>
      <c r="B6362" s="52" t="str">
        <f t="shared" si="330"/>
        <v/>
      </c>
      <c r="C6362" t="str">
        <f t="shared" si="329"/>
        <v/>
      </c>
      <c r="D6362" s="245" t="str">
        <f t="shared" si="331"/>
        <v/>
      </c>
      <c r="E6362" s="534"/>
      <c r="F6362" s="534"/>
    </row>
    <row r="6363" spans="1:6" ht="15" customHeight="1">
      <c r="A6363" s="51"/>
      <c r="B6363" s="52" t="str">
        <f t="shared" si="330"/>
        <v/>
      </c>
      <c r="C6363" t="str">
        <f t="shared" si="329"/>
        <v/>
      </c>
      <c r="D6363" s="245" t="str">
        <f t="shared" si="331"/>
        <v/>
      </c>
      <c r="E6363" s="534"/>
      <c r="F6363" s="534"/>
    </row>
    <row r="6364" spans="1:6" ht="15" customHeight="1">
      <c r="A6364" s="51"/>
      <c r="B6364" s="52" t="str">
        <f t="shared" si="330"/>
        <v/>
      </c>
      <c r="C6364" t="str">
        <f t="shared" si="329"/>
        <v/>
      </c>
      <c r="D6364" s="245" t="str">
        <f t="shared" si="331"/>
        <v/>
      </c>
      <c r="E6364" s="534"/>
      <c r="F6364" s="534"/>
    </row>
    <row r="6365" spans="1:6" ht="15" customHeight="1">
      <c r="A6365" s="51"/>
      <c r="B6365" s="52" t="str">
        <f t="shared" si="330"/>
        <v/>
      </c>
      <c r="C6365" t="str">
        <f t="shared" si="329"/>
        <v/>
      </c>
      <c r="D6365" s="245" t="str">
        <f t="shared" si="331"/>
        <v/>
      </c>
      <c r="E6365" s="534"/>
      <c r="F6365" s="534"/>
    </row>
    <row r="6366" spans="1:6" ht="15" customHeight="1">
      <c r="A6366" s="51"/>
      <c r="B6366" s="52" t="str">
        <f t="shared" si="330"/>
        <v/>
      </c>
      <c r="C6366" t="str">
        <f t="shared" si="329"/>
        <v/>
      </c>
      <c r="D6366" s="245" t="str">
        <f t="shared" si="331"/>
        <v/>
      </c>
      <c r="E6366" s="534"/>
      <c r="F6366" s="534"/>
    </row>
    <row r="6367" spans="1:6" ht="15" customHeight="1">
      <c r="A6367" s="51"/>
      <c r="B6367" s="52" t="str">
        <f t="shared" si="330"/>
        <v/>
      </c>
      <c r="C6367" t="str">
        <f t="shared" si="329"/>
        <v/>
      </c>
      <c r="D6367" s="245" t="str">
        <f t="shared" si="331"/>
        <v/>
      </c>
      <c r="E6367" s="534"/>
      <c r="F6367" s="534"/>
    </row>
    <row r="6368" spans="1:6" ht="15" customHeight="1">
      <c r="A6368" s="51"/>
      <c r="B6368" s="52" t="str">
        <f t="shared" si="330"/>
        <v/>
      </c>
      <c r="C6368" t="str">
        <f t="shared" si="329"/>
        <v/>
      </c>
      <c r="D6368" s="245" t="str">
        <f t="shared" si="331"/>
        <v/>
      </c>
      <c r="E6368" s="534"/>
      <c r="F6368" s="534"/>
    </row>
    <row r="6369" spans="1:6" ht="15" customHeight="1">
      <c r="A6369" s="51"/>
      <c r="B6369" s="52" t="str">
        <f t="shared" si="330"/>
        <v/>
      </c>
      <c r="C6369" t="str">
        <f t="shared" si="329"/>
        <v/>
      </c>
      <c r="D6369" s="245" t="str">
        <f t="shared" si="331"/>
        <v/>
      </c>
      <c r="E6369" s="534"/>
      <c r="F6369" s="534"/>
    </row>
    <row r="6370" spans="1:6" ht="15" customHeight="1">
      <c r="A6370" s="51"/>
      <c r="B6370" s="52" t="str">
        <f t="shared" si="330"/>
        <v/>
      </c>
      <c r="C6370" t="str">
        <f t="shared" si="329"/>
        <v/>
      </c>
      <c r="D6370" s="245" t="str">
        <f t="shared" si="331"/>
        <v/>
      </c>
      <c r="E6370" s="534"/>
      <c r="F6370" s="534"/>
    </row>
    <row r="6371" spans="1:6" ht="15" customHeight="1">
      <c r="A6371" s="51"/>
      <c r="B6371" s="52" t="str">
        <f t="shared" si="330"/>
        <v/>
      </c>
      <c r="C6371" t="str">
        <f t="shared" si="329"/>
        <v/>
      </c>
      <c r="D6371" s="245" t="str">
        <f t="shared" si="331"/>
        <v/>
      </c>
      <c r="E6371" s="534"/>
      <c r="F6371" s="534"/>
    </row>
    <row r="6372" spans="1:6" ht="15" customHeight="1">
      <c r="A6372" s="51"/>
      <c r="B6372" s="52" t="str">
        <f t="shared" si="330"/>
        <v/>
      </c>
      <c r="C6372" t="str">
        <f t="shared" si="329"/>
        <v/>
      </c>
      <c r="D6372" s="245" t="str">
        <f t="shared" si="331"/>
        <v/>
      </c>
      <c r="E6372" s="534"/>
      <c r="F6372" s="534"/>
    </row>
    <row r="6373" spans="1:6" ht="15" customHeight="1">
      <c r="A6373" s="51"/>
      <c r="B6373" s="52" t="str">
        <f t="shared" si="330"/>
        <v/>
      </c>
      <c r="C6373" t="str">
        <f t="shared" si="329"/>
        <v/>
      </c>
      <c r="D6373" s="245" t="str">
        <f t="shared" si="331"/>
        <v/>
      </c>
      <c r="E6373" s="534"/>
      <c r="F6373" s="534"/>
    </row>
    <row r="6374" spans="1:6" ht="15" customHeight="1">
      <c r="A6374" s="51"/>
      <c r="B6374" s="52" t="str">
        <f t="shared" si="330"/>
        <v/>
      </c>
      <c r="C6374" t="str">
        <f t="shared" si="329"/>
        <v/>
      </c>
      <c r="D6374" s="245" t="str">
        <f t="shared" si="331"/>
        <v/>
      </c>
      <c r="E6374" s="534"/>
      <c r="F6374" s="534"/>
    </row>
    <row r="6375" spans="1:6" ht="15" customHeight="1">
      <c r="A6375" s="51"/>
      <c r="B6375" s="52" t="str">
        <f t="shared" si="330"/>
        <v/>
      </c>
      <c r="C6375" t="str">
        <f t="shared" si="329"/>
        <v/>
      </c>
      <c r="D6375" s="245" t="str">
        <f t="shared" si="331"/>
        <v/>
      </c>
      <c r="E6375" s="534"/>
      <c r="F6375" s="534"/>
    </row>
    <row r="6376" spans="1:6" ht="15" customHeight="1">
      <c r="A6376" s="51"/>
      <c r="B6376" s="52" t="str">
        <f t="shared" si="330"/>
        <v/>
      </c>
      <c r="C6376" t="str">
        <f t="shared" si="329"/>
        <v/>
      </c>
      <c r="D6376" s="245" t="str">
        <f t="shared" si="331"/>
        <v/>
      </c>
      <c r="E6376" s="534"/>
      <c r="F6376" s="534"/>
    </row>
    <row r="6377" spans="1:6" ht="15" customHeight="1">
      <c r="A6377" s="51"/>
      <c r="B6377" s="52" t="str">
        <f t="shared" si="330"/>
        <v/>
      </c>
      <c r="C6377" t="str">
        <f t="shared" si="329"/>
        <v/>
      </c>
      <c r="D6377" s="245" t="str">
        <f t="shared" si="331"/>
        <v/>
      </c>
      <c r="E6377" s="534"/>
      <c r="F6377" s="534"/>
    </row>
    <row r="6378" spans="1:6" ht="15" customHeight="1">
      <c r="A6378" s="51"/>
      <c r="B6378" s="52" t="str">
        <f t="shared" si="330"/>
        <v/>
      </c>
      <c r="C6378" t="str">
        <f t="shared" si="329"/>
        <v/>
      </c>
      <c r="D6378" s="245" t="str">
        <f t="shared" si="331"/>
        <v/>
      </c>
      <c r="E6378" s="534"/>
      <c r="F6378" s="534"/>
    </row>
    <row r="6379" spans="1:6" ht="15" customHeight="1">
      <c r="A6379" s="51"/>
      <c r="B6379" s="52" t="str">
        <f t="shared" si="330"/>
        <v/>
      </c>
      <c r="C6379" t="str">
        <f t="shared" si="329"/>
        <v/>
      </c>
      <c r="D6379" s="245" t="str">
        <f t="shared" si="331"/>
        <v/>
      </c>
      <c r="E6379" s="534"/>
      <c r="F6379" s="534"/>
    </row>
    <row r="6380" spans="1:6" ht="15" customHeight="1">
      <c r="A6380" s="51"/>
      <c r="B6380" s="52" t="str">
        <f t="shared" si="330"/>
        <v/>
      </c>
      <c r="C6380" t="str">
        <f t="shared" si="329"/>
        <v/>
      </c>
      <c r="D6380" s="245" t="str">
        <f t="shared" si="331"/>
        <v/>
      </c>
      <c r="E6380" s="534"/>
      <c r="F6380" s="534"/>
    </row>
    <row r="6381" spans="1:6" ht="15" customHeight="1">
      <c r="A6381" s="51"/>
      <c r="B6381" s="52" t="str">
        <f t="shared" si="330"/>
        <v/>
      </c>
      <c r="C6381" t="str">
        <f t="shared" si="329"/>
        <v/>
      </c>
      <c r="D6381" s="245" t="str">
        <f t="shared" si="331"/>
        <v/>
      </c>
      <c r="E6381" s="534"/>
      <c r="F6381" s="534"/>
    </row>
    <row r="6382" spans="1:6" ht="15" customHeight="1">
      <c r="A6382" s="51"/>
      <c r="B6382" s="52" t="str">
        <f t="shared" si="330"/>
        <v/>
      </c>
      <c r="C6382" t="str">
        <f t="shared" si="329"/>
        <v/>
      </c>
      <c r="D6382" s="245" t="str">
        <f t="shared" si="331"/>
        <v/>
      </c>
      <c r="E6382" s="534"/>
      <c r="F6382" s="534"/>
    </row>
    <row r="6383" spans="1:6" ht="15" customHeight="1">
      <c r="A6383" s="51"/>
      <c r="B6383" s="52" t="str">
        <f t="shared" si="330"/>
        <v/>
      </c>
      <c r="C6383" t="str">
        <f t="shared" si="329"/>
        <v/>
      </c>
      <c r="D6383" s="245" t="str">
        <f t="shared" si="331"/>
        <v/>
      </c>
      <c r="E6383" s="534"/>
      <c r="F6383" s="534"/>
    </row>
    <row r="6384" spans="1:6" ht="15" customHeight="1">
      <c r="A6384" s="51"/>
      <c r="B6384" s="52" t="str">
        <f t="shared" si="330"/>
        <v/>
      </c>
      <c r="C6384" t="str">
        <f t="shared" si="329"/>
        <v/>
      </c>
      <c r="D6384" s="245" t="str">
        <f t="shared" si="331"/>
        <v/>
      </c>
      <c r="E6384" s="534"/>
      <c r="F6384" s="534"/>
    </row>
    <row r="6385" spans="1:6" ht="15" customHeight="1">
      <c r="A6385" s="51"/>
      <c r="B6385" s="52" t="str">
        <f t="shared" si="330"/>
        <v/>
      </c>
      <c r="C6385" t="str">
        <f t="shared" si="329"/>
        <v/>
      </c>
      <c r="D6385" s="245" t="str">
        <f t="shared" si="331"/>
        <v/>
      </c>
      <c r="E6385" s="534"/>
      <c r="F6385" s="534"/>
    </row>
    <row r="6386" spans="1:6" ht="15" customHeight="1">
      <c r="A6386" s="51"/>
      <c r="B6386" s="52" t="str">
        <f t="shared" si="330"/>
        <v/>
      </c>
      <c r="C6386" t="str">
        <f t="shared" si="329"/>
        <v/>
      </c>
      <c r="D6386" s="245" t="str">
        <f t="shared" si="331"/>
        <v/>
      </c>
      <c r="E6386" s="534"/>
      <c r="F6386" s="534"/>
    </row>
    <row r="6387" spans="1:6" ht="15" customHeight="1">
      <c r="A6387" s="51"/>
      <c r="B6387" s="52" t="str">
        <f t="shared" si="330"/>
        <v/>
      </c>
      <c r="C6387" t="str">
        <f t="shared" si="329"/>
        <v/>
      </c>
      <c r="D6387" s="245" t="str">
        <f t="shared" si="331"/>
        <v/>
      </c>
      <c r="E6387" s="534"/>
      <c r="F6387" s="534"/>
    </row>
    <row r="6388" spans="1:6" ht="15" customHeight="1">
      <c r="A6388" s="51"/>
      <c r="B6388" s="52" t="str">
        <f t="shared" si="330"/>
        <v/>
      </c>
      <c r="C6388" t="str">
        <f t="shared" si="329"/>
        <v/>
      </c>
      <c r="D6388" s="245" t="str">
        <f t="shared" si="331"/>
        <v/>
      </c>
      <c r="E6388" s="534"/>
      <c r="F6388" s="534"/>
    </row>
    <row r="6389" spans="1:6" ht="15" customHeight="1">
      <c r="A6389" s="51"/>
      <c r="B6389" s="52" t="str">
        <f t="shared" si="330"/>
        <v/>
      </c>
      <c r="C6389" t="str">
        <f t="shared" si="329"/>
        <v/>
      </c>
      <c r="D6389" s="245" t="str">
        <f t="shared" si="331"/>
        <v/>
      </c>
      <c r="E6389" s="534"/>
      <c r="F6389" s="534"/>
    </row>
    <row r="6390" spans="1:6" ht="15" customHeight="1">
      <c r="A6390" s="51"/>
      <c r="B6390" s="52" t="str">
        <f t="shared" si="330"/>
        <v/>
      </c>
      <c r="C6390" t="str">
        <f t="shared" si="329"/>
        <v/>
      </c>
      <c r="D6390" s="245" t="str">
        <f t="shared" si="331"/>
        <v/>
      </c>
      <c r="E6390" s="534"/>
      <c r="F6390" s="534"/>
    </row>
    <row r="6391" spans="1:6" ht="15" customHeight="1">
      <c r="A6391" s="51"/>
      <c r="B6391" s="52" t="str">
        <f t="shared" si="330"/>
        <v/>
      </c>
      <c r="C6391" t="str">
        <f t="shared" si="329"/>
        <v/>
      </c>
      <c r="D6391" s="245" t="str">
        <f t="shared" si="331"/>
        <v/>
      </c>
      <c r="E6391" s="534"/>
      <c r="F6391" s="534"/>
    </row>
    <row r="6392" spans="1:6" ht="15" customHeight="1">
      <c r="A6392" s="51"/>
      <c r="B6392" s="52" t="str">
        <f t="shared" si="330"/>
        <v/>
      </c>
      <c r="C6392" t="str">
        <f t="shared" si="329"/>
        <v/>
      </c>
      <c r="D6392" s="245" t="str">
        <f t="shared" si="331"/>
        <v/>
      </c>
      <c r="E6392" s="534"/>
      <c r="F6392" s="534"/>
    </row>
    <row r="6393" spans="1:6" ht="15" customHeight="1">
      <c r="A6393" s="51"/>
      <c r="B6393" s="52" t="str">
        <f t="shared" si="330"/>
        <v/>
      </c>
      <c r="C6393" t="str">
        <f t="shared" si="329"/>
        <v/>
      </c>
      <c r="D6393" s="245" t="str">
        <f t="shared" si="331"/>
        <v/>
      </c>
      <c r="E6393" s="534"/>
      <c r="F6393" s="534"/>
    </row>
    <row r="6394" spans="1:6" ht="15" customHeight="1">
      <c r="A6394" s="51"/>
      <c r="B6394" s="52" t="str">
        <f t="shared" si="330"/>
        <v/>
      </c>
      <c r="C6394" t="str">
        <f t="shared" si="329"/>
        <v/>
      </c>
      <c r="D6394" s="245" t="str">
        <f t="shared" si="331"/>
        <v/>
      </c>
      <c r="E6394" s="534"/>
      <c r="F6394" s="534"/>
    </row>
    <row r="6395" spans="1:6" ht="15" customHeight="1">
      <c r="A6395" s="51"/>
      <c r="B6395" s="52" t="str">
        <f t="shared" si="330"/>
        <v/>
      </c>
      <c r="C6395" t="str">
        <f t="shared" si="329"/>
        <v/>
      </c>
      <c r="D6395" s="245" t="str">
        <f t="shared" si="331"/>
        <v/>
      </c>
      <c r="E6395" s="534"/>
      <c r="F6395" s="534"/>
    </row>
    <row r="6396" spans="1:6" ht="15" customHeight="1">
      <c r="A6396" s="51"/>
      <c r="B6396" s="52" t="str">
        <f t="shared" si="330"/>
        <v/>
      </c>
      <c r="C6396" t="str">
        <f t="shared" si="329"/>
        <v/>
      </c>
      <c r="D6396" s="245" t="str">
        <f t="shared" si="331"/>
        <v/>
      </c>
      <c r="E6396" s="534"/>
      <c r="F6396" s="534"/>
    </row>
    <row r="6397" spans="1:6" ht="15" customHeight="1">
      <c r="A6397" s="51"/>
      <c r="B6397" s="52" t="str">
        <f t="shared" si="330"/>
        <v/>
      </c>
      <c r="C6397" t="str">
        <f t="shared" si="329"/>
        <v/>
      </c>
      <c r="D6397" s="245" t="str">
        <f t="shared" si="331"/>
        <v/>
      </c>
      <c r="E6397" s="534"/>
      <c r="F6397" s="534"/>
    </row>
    <row r="6398" spans="1:6" ht="15" customHeight="1">
      <c r="A6398" s="51"/>
      <c r="B6398" s="52" t="str">
        <f t="shared" si="330"/>
        <v/>
      </c>
      <c r="C6398" t="str">
        <f t="shared" si="329"/>
        <v/>
      </c>
      <c r="D6398" s="245" t="str">
        <f t="shared" si="331"/>
        <v/>
      </c>
      <c r="E6398" s="534"/>
      <c r="F6398" s="534"/>
    </row>
    <row r="6399" spans="1:6" ht="15" customHeight="1">
      <c r="A6399" s="51"/>
      <c r="B6399" s="52" t="str">
        <f t="shared" si="330"/>
        <v/>
      </c>
      <c r="C6399" t="str">
        <f t="shared" si="329"/>
        <v/>
      </c>
      <c r="D6399" s="245" t="str">
        <f t="shared" si="331"/>
        <v/>
      </c>
      <c r="E6399" s="534"/>
      <c r="F6399" s="534"/>
    </row>
    <row r="6400" spans="1:6" ht="15" customHeight="1">
      <c r="A6400" s="51"/>
      <c r="B6400" s="52" t="str">
        <f t="shared" si="330"/>
        <v/>
      </c>
      <c r="C6400" t="str">
        <f t="shared" si="329"/>
        <v/>
      </c>
      <c r="D6400" s="245" t="str">
        <f t="shared" si="331"/>
        <v/>
      </c>
      <c r="E6400" s="534"/>
      <c r="F6400" s="534"/>
    </row>
    <row r="6401" spans="1:6" ht="15" customHeight="1">
      <c r="A6401" s="51"/>
      <c r="B6401" s="52" t="str">
        <f t="shared" si="330"/>
        <v/>
      </c>
      <c r="C6401" t="str">
        <f t="shared" si="329"/>
        <v/>
      </c>
      <c r="D6401" s="245" t="str">
        <f t="shared" si="331"/>
        <v/>
      </c>
      <c r="E6401" s="534"/>
      <c r="F6401" s="534"/>
    </row>
    <row r="6402" spans="1:6" ht="15" customHeight="1">
      <c r="A6402" s="51"/>
      <c r="B6402" s="52" t="str">
        <f t="shared" si="330"/>
        <v/>
      </c>
      <c r="C6402" t="str">
        <f t="shared" ref="C6402:C6465" si="332">IF(A6402&lt;&gt;"",TEXT(A6402,"aaaa"),"")</f>
        <v/>
      </c>
      <c r="D6402" s="245" t="str">
        <f t="shared" si="331"/>
        <v/>
      </c>
      <c r="E6402" s="534"/>
      <c r="F6402" s="534"/>
    </row>
    <row r="6403" spans="1:6" ht="15" customHeight="1">
      <c r="A6403" s="51"/>
      <c r="B6403" s="52" t="str">
        <f t="shared" si="330"/>
        <v/>
      </c>
      <c r="C6403" t="str">
        <f t="shared" si="332"/>
        <v/>
      </c>
      <c r="D6403" s="245" t="str">
        <f t="shared" si="331"/>
        <v/>
      </c>
      <c r="E6403" s="534"/>
      <c r="F6403" s="534"/>
    </row>
    <row r="6404" spans="1:6" ht="15" customHeight="1">
      <c r="A6404" s="51"/>
      <c r="B6404" s="52" t="str">
        <f t="shared" si="330"/>
        <v/>
      </c>
      <c r="C6404" t="str">
        <f t="shared" si="332"/>
        <v/>
      </c>
      <c r="D6404" s="245" t="str">
        <f t="shared" si="331"/>
        <v/>
      </c>
      <c r="E6404" s="534"/>
      <c r="F6404" s="534"/>
    </row>
    <row r="6405" spans="1:6" ht="15" customHeight="1">
      <c r="A6405" s="51"/>
      <c r="B6405" s="52" t="str">
        <f t="shared" si="330"/>
        <v/>
      </c>
      <c r="C6405" t="str">
        <f t="shared" si="332"/>
        <v/>
      </c>
      <c r="D6405" s="245" t="str">
        <f t="shared" si="331"/>
        <v/>
      </c>
      <c r="E6405" s="534"/>
      <c r="F6405" s="534"/>
    </row>
    <row r="6406" spans="1:6" ht="15" customHeight="1">
      <c r="A6406" s="51"/>
      <c r="B6406" s="52" t="str">
        <f t="shared" si="330"/>
        <v/>
      </c>
      <c r="C6406" t="str">
        <f t="shared" si="332"/>
        <v/>
      </c>
      <c r="D6406" s="245" t="str">
        <f t="shared" si="331"/>
        <v/>
      </c>
      <c r="E6406" s="534"/>
      <c r="F6406" s="534"/>
    </row>
    <row r="6407" spans="1:6" ht="15" customHeight="1">
      <c r="A6407" s="51"/>
      <c r="B6407" s="52" t="str">
        <f t="shared" si="330"/>
        <v/>
      </c>
      <c r="C6407" t="str">
        <f t="shared" si="332"/>
        <v/>
      </c>
      <c r="D6407" s="245" t="str">
        <f t="shared" si="331"/>
        <v/>
      </c>
      <c r="E6407" s="534"/>
      <c r="F6407" s="534"/>
    </row>
    <row r="6408" spans="1:6" ht="15" customHeight="1">
      <c r="A6408" s="51"/>
      <c r="B6408" s="52" t="str">
        <f t="shared" ref="B6408:B6471" si="333">IF(A6408="","",TEXT(A6408,"DDDD"))</f>
        <v/>
      </c>
      <c r="C6408" t="str">
        <f t="shared" si="332"/>
        <v/>
      </c>
      <c r="D6408" s="245" t="str">
        <f t="shared" si="331"/>
        <v/>
      </c>
      <c r="E6408" s="534"/>
      <c r="F6408" s="534"/>
    </row>
    <row r="6409" spans="1:6" ht="15" customHeight="1">
      <c r="A6409" s="51"/>
      <c r="B6409" s="52" t="str">
        <f t="shared" si="333"/>
        <v/>
      </c>
      <c r="C6409" t="str">
        <f t="shared" si="332"/>
        <v/>
      </c>
      <c r="D6409" s="245" t="str">
        <f t="shared" ref="D6409:D6472" si="334">IF(A6409&lt;&gt;"",PROPER(TEXT(A6409,"Mmmm")),"")</f>
        <v/>
      </c>
      <c r="E6409" s="534"/>
      <c r="F6409" s="534"/>
    </row>
    <row r="6410" spans="1:6" ht="15" customHeight="1">
      <c r="A6410" s="51"/>
      <c r="B6410" s="52" t="str">
        <f t="shared" si="333"/>
        <v/>
      </c>
      <c r="C6410" t="str">
        <f t="shared" si="332"/>
        <v/>
      </c>
      <c r="D6410" s="245" t="str">
        <f t="shared" si="334"/>
        <v/>
      </c>
      <c r="E6410" s="534"/>
      <c r="F6410" s="534"/>
    </row>
    <row r="6411" spans="1:6" ht="15" customHeight="1">
      <c r="A6411" s="51"/>
      <c r="B6411" s="52" t="str">
        <f t="shared" si="333"/>
        <v/>
      </c>
      <c r="C6411" t="str">
        <f t="shared" si="332"/>
        <v/>
      </c>
      <c r="D6411" s="245" t="str">
        <f t="shared" si="334"/>
        <v/>
      </c>
      <c r="E6411" s="534"/>
      <c r="F6411" s="534"/>
    </row>
    <row r="6412" spans="1:6" ht="15" customHeight="1">
      <c r="A6412" s="51"/>
      <c r="B6412" s="52" t="str">
        <f t="shared" si="333"/>
        <v/>
      </c>
      <c r="C6412" t="str">
        <f t="shared" si="332"/>
        <v/>
      </c>
      <c r="D6412" s="245" t="str">
        <f t="shared" si="334"/>
        <v/>
      </c>
      <c r="E6412" s="534"/>
      <c r="F6412" s="534"/>
    </row>
    <row r="6413" spans="1:6" ht="15" customHeight="1">
      <c r="A6413" s="51"/>
      <c r="B6413" s="52" t="str">
        <f t="shared" si="333"/>
        <v/>
      </c>
      <c r="C6413" t="str">
        <f t="shared" si="332"/>
        <v/>
      </c>
      <c r="D6413" s="245" t="str">
        <f t="shared" si="334"/>
        <v/>
      </c>
      <c r="E6413" s="534"/>
      <c r="F6413" s="534"/>
    </row>
    <row r="6414" spans="1:6" ht="15" customHeight="1">
      <c r="A6414" s="51"/>
      <c r="B6414" s="52" t="str">
        <f t="shared" si="333"/>
        <v/>
      </c>
      <c r="C6414" t="str">
        <f t="shared" si="332"/>
        <v/>
      </c>
      <c r="D6414" s="245" t="str">
        <f t="shared" si="334"/>
        <v/>
      </c>
      <c r="E6414" s="534"/>
      <c r="F6414" s="534"/>
    </row>
    <row r="6415" spans="1:6" ht="15" customHeight="1">
      <c r="A6415" s="51"/>
      <c r="B6415" s="52" t="str">
        <f t="shared" si="333"/>
        <v/>
      </c>
      <c r="C6415" t="str">
        <f t="shared" si="332"/>
        <v/>
      </c>
      <c r="D6415" s="245" t="str">
        <f t="shared" si="334"/>
        <v/>
      </c>
      <c r="E6415" s="534"/>
      <c r="F6415" s="534"/>
    </row>
    <row r="6416" spans="1:6" ht="15" customHeight="1">
      <c r="A6416" s="51"/>
      <c r="B6416" s="52" t="str">
        <f t="shared" si="333"/>
        <v/>
      </c>
      <c r="C6416" t="str">
        <f t="shared" si="332"/>
        <v/>
      </c>
      <c r="D6416" s="245" t="str">
        <f t="shared" si="334"/>
        <v/>
      </c>
      <c r="E6416" s="534"/>
      <c r="F6416" s="534"/>
    </row>
    <row r="6417" spans="1:6" ht="15" customHeight="1">
      <c r="A6417" s="51"/>
      <c r="B6417" s="52" t="str">
        <f t="shared" si="333"/>
        <v/>
      </c>
      <c r="C6417" t="str">
        <f t="shared" si="332"/>
        <v/>
      </c>
      <c r="D6417" s="245" t="str">
        <f t="shared" si="334"/>
        <v/>
      </c>
      <c r="E6417" s="534"/>
      <c r="F6417" s="534"/>
    </row>
    <row r="6418" spans="1:6" ht="15" customHeight="1">
      <c r="A6418" s="51"/>
      <c r="B6418" s="52" t="str">
        <f t="shared" si="333"/>
        <v/>
      </c>
      <c r="C6418" t="str">
        <f t="shared" si="332"/>
        <v/>
      </c>
      <c r="D6418" s="245" t="str">
        <f t="shared" si="334"/>
        <v/>
      </c>
      <c r="E6418" s="534"/>
      <c r="F6418" s="534"/>
    </row>
    <row r="6419" spans="1:6" ht="15" customHeight="1">
      <c r="A6419" s="51"/>
      <c r="B6419" s="52" t="str">
        <f t="shared" si="333"/>
        <v/>
      </c>
      <c r="C6419" t="str">
        <f t="shared" si="332"/>
        <v/>
      </c>
      <c r="D6419" s="245" t="str">
        <f t="shared" si="334"/>
        <v/>
      </c>
      <c r="E6419" s="534"/>
      <c r="F6419" s="534"/>
    </row>
    <row r="6420" spans="1:6" ht="15" customHeight="1">
      <c r="A6420" s="51"/>
      <c r="B6420" s="52" t="str">
        <f t="shared" si="333"/>
        <v/>
      </c>
      <c r="C6420" t="str">
        <f t="shared" si="332"/>
        <v/>
      </c>
      <c r="D6420" s="245" t="str">
        <f t="shared" si="334"/>
        <v/>
      </c>
      <c r="E6420" s="534"/>
      <c r="F6420" s="534"/>
    </row>
    <row r="6421" spans="1:6" ht="15" customHeight="1">
      <c r="A6421" s="51"/>
      <c r="B6421" s="52" t="str">
        <f t="shared" si="333"/>
        <v/>
      </c>
      <c r="C6421" t="str">
        <f t="shared" si="332"/>
        <v/>
      </c>
      <c r="D6421" s="245" t="str">
        <f t="shared" si="334"/>
        <v/>
      </c>
      <c r="E6421" s="534"/>
      <c r="F6421" s="534"/>
    </row>
    <row r="6422" spans="1:6" ht="15" customHeight="1">
      <c r="A6422" s="51"/>
      <c r="B6422" s="52" t="str">
        <f t="shared" si="333"/>
        <v/>
      </c>
      <c r="C6422" t="str">
        <f t="shared" si="332"/>
        <v/>
      </c>
      <c r="D6422" s="245" t="str">
        <f t="shared" si="334"/>
        <v/>
      </c>
      <c r="E6422" s="534"/>
      <c r="F6422" s="534"/>
    </row>
    <row r="6423" spans="1:6" ht="15" customHeight="1">
      <c r="A6423" s="51"/>
      <c r="B6423" s="52" t="str">
        <f t="shared" si="333"/>
        <v/>
      </c>
      <c r="C6423" t="str">
        <f t="shared" si="332"/>
        <v/>
      </c>
      <c r="D6423" s="245" t="str">
        <f t="shared" si="334"/>
        <v/>
      </c>
      <c r="E6423" s="534"/>
      <c r="F6423" s="534"/>
    </row>
    <row r="6424" spans="1:6" ht="15" customHeight="1">
      <c r="A6424" s="51"/>
      <c r="B6424" s="52" t="str">
        <f t="shared" si="333"/>
        <v/>
      </c>
      <c r="C6424" t="str">
        <f t="shared" si="332"/>
        <v/>
      </c>
      <c r="D6424" s="245" t="str">
        <f t="shared" si="334"/>
        <v/>
      </c>
      <c r="E6424" s="534"/>
      <c r="F6424" s="534"/>
    </row>
    <row r="6425" spans="1:6" ht="15" customHeight="1">
      <c r="A6425" s="51"/>
      <c r="B6425" s="52" t="str">
        <f t="shared" si="333"/>
        <v/>
      </c>
      <c r="C6425" t="str">
        <f t="shared" si="332"/>
        <v/>
      </c>
      <c r="D6425" s="245" t="str">
        <f t="shared" si="334"/>
        <v/>
      </c>
      <c r="E6425" s="534"/>
      <c r="F6425" s="534"/>
    </row>
    <row r="6426" spans="1:6" ht="15" customHeight="1">
      <c r="A6426" s="51"/>
      <c r="B6426" s="52" t="str">
        <f t="shared" si="333"/>
        <v/>
      </c>
      <c r="C6426" t="str">
        <f t="shared" si="332"/>
        <v/>
      </c>
      <c r="D6426" s="245" t="str">
        <f t="shared" si="334"/>
        <v/>
      </c>
      <c r="E6426" s="534"/>
      <c r="F6426" s="534"/>
    </row>
    <row r="6427" spans="1:6" ht="15" customHeight="1">
      <c r="A6427" s="51"/>
      <c r="B6427" s="52" t="str">
        <f t="shared" si="333"/>
        <v/>
      </c>
      <c r="C6427" t="str">
        <f t="shared" si="332"/>
        <v/>
      </c>
      <c r="D6427" s="245" t="str">
        <f t="shared" si="334"/>
        <v/>
      </c>
      <c r="E6427" s="534"/>
      <c r="F6427" s="534"/>
    </row>
    <row r="6428" spans="1:6" ht="15" customHeight="1">
      <c r="A6428" s="51"/>
      <c r="B6428" s="52" t="str">
        <f t="shared" si="333"/>
        <v/>
      </c>
      <c r="C6428" t="str">
        <f t="shared" si="332"/>
        <v/>
      </c>
      <c r="D6428" s="245" t="str">
        <f t="shared" si="334"/>
        <v/>
      </c>
      <c r="E6428" s="534"/>
      <c r="F6428" s="534"/>
    </row>
    <row r="6429" spans="1:6" ht="15" customHeight="1">
      <c r="A6429" s="51"/>
      <c r="B6429" s="52" t="str">
        <f t="shared" si="333"/>
        <v/>
      </c>
      <c r="C6429" t="str">
        <f t="shared" si="332"/>
        <v/>
      </c>
      <c r="D6429" s="245" t="str">
        <f t="shared" si="334"/>
        <v/>
      </c>
      <c r="E6429" s="534"/>
      <c r="F6429" s="534"/>
    </row>
    <row r="6430" spans="1:6" ht="15" customHeight="1">
      <c r="A6430" s="51"/>
      <c r="B6430" s="52" t="str">
        <f t="shared" si="333"/>
        <v/>
      </c>
      <c r="C6430" t="str">
        <f t="shared" si="332"/>
        <v/>
      </c>
      <c r="D6430" s="245" t="str">
        <f t="shared" si="334"/>
        <v/>
      </c>
      <c r="E6430" s="534"/>
      <c r="F6430" s="534"/>
    </row>
    <row r="6431" spans="1:6" ht="15" customHeight="1">
      <c r="A6431" s="51"/>
      <c r="B6431" s="52" t="str">
        <f t="shared" si="333"/>
        <v/>
      </c>
      <c r="C6431" t="str">
        <f t="shared" si="332"/>
        <v/>
      </c>
      <c r="D6431" s="245" t="str">
        <f t="shared" si="334"/>
        <v/>
      </c>
      <c r="E6431" s="534"/>
      <c r="F6431" s="534"/>
    </row>
    <row r="6432" spans="1:6" ht="15" customHeight="1">
      <c r="A6432" s="51"/>
      <c r="B6432" s="52" t="str">
        <f t="shared" si="333"/>
        <v/>
      </c>
      <c r="C6432" t="str">
        <f t="shared" si="332"/>
        <v/>
      </c>
      <c r="D6432" s="245" t="str">
        <f t="shared" si="334"/>
        <v/>
      </c>
      <c r="E6432" s="534"/>
      <c r="F6432" s="534"/>
    </row>
    <row r="6433" spans="1:6" ht="15" customHeight="1">
      <c r="A6433" s="51"/>
      <c r="B6433" s="52" t="str">
        <f t="shared" si="333"/>
        <v/>
      </c>
      <c r="C6433" t="str">
        <f t="shared" si="332"/>
        <v/>
      </c>
      <c r="D6433" s="245" t="str">
        <f t="shared" si="334"/>
        <v/>
      </c>
      <c r="E6433" s="534"/>
      <c r="F6433" s="534"/>
    </row>
    <row r="6434" spans="1:6" ht="15" customHeight="1">
      <c r="A6434" s="51"/>
      <c r="B6434" s="52" t="str">
        <f t="shared" si="333"/>
        <v/>
      </c>
      <c r="C6434" t="str">
        <f t="shared" si="332"/>
        <v/>
      </c>
      <c r="D6434" s="245" t="str">
        <f t="shared" si="334"/>
        <v/>
      </c>
      <c r="E6434" s="534"/>
      <c r="F6434" s="534"/>
    </row>
    <row r="6435" spans="1:6" ht="15" customHeight="1">
      <c r="A6435" s="51"/>
      <c r="B6435" s="52" t="str">
        <f t="shared" si="333"/>
        <v/>
      </c>
      <c r="C6435" t="str">
        <f t="shared" si="332"/>
        <v/>
      </c>
      <c r="D6435" s="245" t="str">
        <f t="shared" si="334"/>
        <v/>
      </c>
      <c r="E6435" s="534"/>
      <c r="F6435" s="534"/>
    </row>
    <row r="6436" spans="1:6" ht="15" customHeight="1">
      <c r="A6436" s="51"/>
      <c r="B6436" s="52" t="str">
        <f t="shared" si="333"/>
        <v/>
      </c>
      <c r="C6436" t="str">
        <f t="shared" si="332"/>
        <v/>
      </c>
      <c r="D6436" s="245" t="str">
        <f t="shared" si="334"/>
        <v/>
      </c>
      <c r="E6436" s="534"/>
      <c r="F6436" s="534"/>
    </row>
    <row r="6437" spans="1:6" ht="15" customHeight="1">
      <c r="A6437" s="51"/>
      <c r="B6437" s="52" t="str">
        <f t="shared" si="333"/>
        <v/>
      </c>
      <c r="C6437" t="str">
        <f t="shared" si="332"/>
        <v/>
      </c>
      <c r="D6437" s="245" t="str">
        <f t="shared" si="334"/>
        <v/>
      </c>
      <c r="E6437" s="534"/>
      <c r="F6437" s="534"/>
    </row>
    <row r="6438" spans="1:6" ht="15" customHeight="1">
      <c r="A6438" s="51"/>
      <c r="B6438" s="52" t="str">
        <f t="shared" si="333"/>
        <v/>
      </c>
      <c r="C6438" t="str">
        <f t="shared" si="332"/>
        <v/>
      </c>
      <c r="D6438" s="245" t="str">
        <f t="shared" si="334"/>
        <v/>
      </c>
      <c r="E6438" s="534"/>
      <c r="F6438" s="534"/>
    </row>
    <row r="6439" spans="1:6" ht="15" customHeight="1">
      <c r="A6439" s="51"/>
      <c r="B6439" s="52" t="str">
        <f t="shared" si="333"/>
        <v/>
      </c>
      <c r="C6439" t="str">
        <f t="shared" si="332"/>
        <v/>
      </c>
      <c r="D6439" s="245" t="str">
        <f t="shared" si="334"/>
        <v/>
      </c>
      <c r="E6439" s="534"/>
      <c r="F6439" s="534"/>
    </row>
    <row r="6440" spans="1:6" ht="15" customHeight="1">
      <c r="A6440" s="51"/>
      <c r="B6440" s="52" t="str">
        <f t="shared" si="333"/>
        <v/>
      </c>
      <c r="C6440" t="str">
        <f t="shared" si="332"/>
        <v/>
      </c>
      <c r="D6440" s="245" t="str">
        <f t="shared" si="334"/>
        <v/>
      </c>
      <c r="E6440" s="534"/>
      <c r="F6440" s="534"/>
    </row>
    <row r="6441" spans="1:6" ht="15" customHeight="1">
      <c r="A6441" s="51"/>
      <c r="B6441" s="52" t="str">
        <f t="shared" si="333"/>
        <v/>
      </c>
      <c r="C6441" t="str">
        <f t="shared" si="332"/>
        <v/>
      </c>
      <c r="D6441" s="245" t="str">
        <f t="shared" si="334"/>
        <v/>
      </c>
      <c r="E6441" s="534"/>
      <c r="F6441" s="534"/>
    </row>
    <row r="6442" spans="1:6" ht="15" customHeight="1">
      <c r="A6442" s="51"/>
      <c r="B6442" s="52" t="str">
        <f t="shared" si="333"/>
        <v/>
      </c>
      <c r="C6442" t="str">
        <f t="shared" si="332"/>
        <v/>
      </c>
      <c r="D6442" s="245" t="str">
        <f t="shared" si="334"/>
        <v/>
      </c>
      <c r="E6442" s="534"/>
      <c r="F6442" s="534"/>
    </row>
    <row r="6443" spans="1:6" ht="15" customHeight="1">
      <c r="A6443" s="51"/>
      <c r="B6443" s="52" t="str">
        <f t="shared" si="333"/>
        <v/>
      </c>
      <c r="C6443" t="str">
        <f t="shared" si="332"/>
        <v/>
      </c>
      <c r="D6443" s="245" t="str">
        <f t="shared" si="334"/>
        <v/>
      </c>
      <c r="E6443" s="534"/>
      <c r="F6443" s="534"/>
    </row>
    <row r="6444" spans="1:6" ht="15" customHeight="1">
      <c r="A6444" s="51"/>
      <c r="B6444" s="52" t="str">
        <f t="shared" si="333"/>
        <v/>
      </c>
      <c r="C6444" t="str">
        <f t="shared" si="332"/>
        <v/>
      </c>
      <c r="D6444" s="245" t="str">
        <f t="shared" si="334"/>
        <v/>
      </c>
      <c r="E6444" s="534"/>
      <c r="F6444" s="534"/>
    </row>
    <row r="6445" spans="1:6" ht="15" customHeight="1">
      <c r="A6445" s="51"/>
      <c r="B6445" s="52" t="str">
        <f t="shared" si="333"/>
        <v/>
      </c>
      <c r="C6445" t="str">
        <f t="shared" si="332"/>
        <v/>
      </c>
      <c r="D6445" s="245" t="str">
        <f t="shared" si="334"/>
        <v/>
      </c>
      <c r="E6445" s="534"/>
      <c r="F6445" s="534"/>
    </row>
    <row r="6446" spans="1:6" ht="15" customHeight="1">
      <c r="A6446" s="51"/>
      <c r="B6446" s="52" t="str">
        <f t="shared" si="333"/>
        <v/>
      </c>
      <c r="C6446" t="str">
        <f t="shared" si="332"/>
        <v/>
      </c>
      <c r="D6446" s="245" t="str">
        <f t="shared" si="334"/>
        <v/>
      </c>
      <c r="E6446" s="534"/>
      <c r="F6446" s="534"/>
    </row>
    <row r="6447" spans="1:6" ht="15" customHeight="1">
      <c r="A6447" s="51"/>
      <c r="B6447" s="52" t="str">
        <f t="shared" si="333"/>
        <v/>
      </c>
      <c r="C6447" t="str">
        <f t="shared" si="332"/>
        <v/>
      </c>
      <c r="D6447" s="245" t="str">
        <f t="shared" si="334"/>
        <v/>
      </c>
      <c r="E6447" s="534"/>
      <c r="F6447" s="534"/>
    </row>
    <row r="6448" spans="1:6" ht="15" customHeight="1">
      <c r="A6448" s="51"/>
      <c r="B6448" s="52" t="str">
        <f t="shared" si="333"/>
        <v/>
      </c>
      <c r="C6448" t="str">
        <f t="shared" si="332"/>
        <v/>
      </c>
      <c r="D6448" s="245" t="str">
        <f t="shared" si="334"/>
        <v/>
      </c>
      <c r="E6448" s="534"/>
      <c r="F6448" s="534"/>
    </row>
    <row r="6449" spans="1:6" ht="15" customHeight="1">
      <c r="A6449" s="51"/>
      <c r="B6449" s="52" t="str">
        <f t="shared" si="333"/>
        <v/>
      </c>
      <c r="C6449" t="str">
        <f t="shared" si="332"/>
        <v/>
      </c>
      <c r="D6449" s="245" t="str">
        <f t="shared" si="334"/>
        <v/>
      </c>
      <c r="E6449" s="534"/>
      <c r="F6449" s="534"/>
    </row>
    <row r="6450" spans="1:6" ht="15" customHeight="1">
      <c r="A6450" s="51"/>
      <c r="B6450" s="52" t="str">
        <f t="shared" si="333"/>
        <v/>
      </c>
      <c r="C6450" t="str">
        <f t="shared" si="332"/>
        <v/>
      </c>
      <c r="D6450" s="245" t="str">
        <f t="shared" si="334"/>
        <v/>
      </c>
      <c r="E6450" s="534"/>
      <c r="F6450" s="534"/>
    </row>
    <row r="6451" spans="1:6" ht="15" customHeight="1">
      <c r="A6451" s="51"/>
      <c r="B6451" s="52" t="str">
        <f t="shared" si="333"/>
        <v/>
      </c>
      <c r="C6451" t="str">
        <f t="shared" si="332"/>
        <v/>
      </c>
      <c r="D6451" s="245" t="str">
        <f t="shared" si="334"/>
        <v/>
      </c>
      <c r="E6451" s="534"/>
      <c r="F6451" s="534"/>
    </row>
    <row r="6452" spans="1:6" ht="15" customHeight="1">
      <c r="A6452" s="51"/>
      <c r="B6452" s="52" t="str">
        <f t="shared" si="333"/>
        <v/>
      </c>
      <c r="C6452" t="str">
        <f t="shared" si="332"/>
        <v/>
      </c>
      <c r="D6452" s="245" t="str">
        <f t="shared" si="334"/>
        <v/>
      </c>
      <c r="E6452" s="534"/>
      <c r="F6452" s="534"/>
    </row>
    <row r="6453" spans="1:6" ht="15" customHeight="1">
      <c r="A6453" s="51"/>
      <c r="B6453" s="52" t="str">
        <f t="shared" si="333"/>
        <v/>
      </c>
      <c r="C6453" t="str">
        <f t="shared" si="332"/>
        <v/>
      </c>
      <c r="D6453" s="245" t="str">
        <f t="shared" si="334"/>
        <v/>
      </c>
      <c r="E6453" s="534"/>
      <c r="F6453" s="534"/>
    </row>
    <row r="6454" spans="1:6" ht="15" customHeight="1">
      <c r="A6454" s="51"/>
      <c r="B6454" s="52" t="str">
        <f t="shared" si="333"/>
        <v/>
      </c>
      <c r="C6454" t="str">
        <f t="shared" si="332"/>
        <v/>
      </c>
      <c r="D6454" s="245" t="str">
        <f t="shared" si="334"/>
        <v/>
      </c>
      <c r="E6454" s="534"/>
      <c r="F6454" s="534"/>
    </row>
    <row r="6455" spans="1:6" ht="15" customHeight="1">
      <c r="A6455" s="51"/>
      <c r="B6455" s="52" t="str">
        <f t="shared" si="333"/>
        <v/>
      </c>
      <c r="C6455" t="str">
        <f t="shared" si="332"/>
        <v/>
      </c>
      <c r="D6455" s="245" t="str">
        <f t="shared" si="334"/>
        <v/>
      </c>
      <c r="E6455" s="534"/>
      <c r="F6455" s="534"/>
    </row>
    <row r="6456" spans="1:6" ht="15" customHeight="1">
      <c r="A6456" s="51"/>
      <c r="B6456" s="52" t="str">
        <f t="shared" si="333"/>
        <v/>
      </c>
      <c r="C6456" t="str">
        <f t="shared" si="332"/>
        <v/>
      </c>
      <c r="D6456" s="245" t="str">
        <f t="shared" si="334"/>
        <v/>
      </c>
      <c r="E6456" s="534"/>
      <c r="F6456" s="534"/>
    </row>
    <row r="6457" spans="1:6" ht="15" customHeight="1">
      <c r="A6457" s="51"/>
      <c r="B6457" s="52" t="str">
        <f t="shared" si="333"/>
        <v/>
      </c>
      <c r="C6457" t="str">
        <f t="shared" si="332"/>
        <v/>
      </c>
      <c r="D6457" s="245" t="str">
        <f t="shared" si="334"/>
        <v/>
      </c>
      <c r="E6457" s="534"/>
      <c r="F6457" s="534"/>
    </row>
    <row r="6458" spans="1:6" ht="15" customHeight="1">
      <c r="A6458" s="51"/>
      <c r="B6458" s="52" t="str">
        <f t="shared" si="333"/>
        <v/>
      </c>
      <c r="C6458" t="str">
        <f t="shared" si="332"/>
        <v/>
      </c>
      <c r="D6458" s="245" t="str">
        <f t="shared" si="334"/>
        <v/>
      </c>
      <c r="E6458" s="534"/>
      <c r="F6458" s="534"/>
    </row>
    <row r="6459" spans="1:6" ht="15" customHeight="1">
      <c r="A6459" s="51"/>
      <c r="B6459" s="52" t="str">
        <f t="shared" si="333"/>
        <v/>
      </c>
      <c r="C6459" t="str">
        <f t="shared" si="332"/>
        <v/>
      </c>
      <c r="D6459" s="245" t="str">
        <f t="shared" si="334"/>
        <v/>
      </c>
      <c r="E6459" s="534"/>
      <c r="F6459" s="534"/>
    </row>
    <row r="6460" spans="1:6" ht="15" customHeight="1">
      <c r="A6460" s="51"/>
      <c r="B6460" s="52" t="str">
        <f t="shared" si="333"/>
        <v/>
      </c>
      <c r="C6460" t="str">
        <f t="shared" si="332"/>
        <v/>
      </c>
      <c r="D6460" s="245" t="str">
        <f t="shared" si="334"/>
        <v/>
      </c>
      <c r="E6460" s="534"/>
      <c r="F6460" s="534"/>
    </row>
    <row r="6461" spans="1:6" ht="15" customHeight="1">
      <c r="A6461" s="51"/>
      <c r="B6461" s="52" t="str">
        <f t="shared" si="333"/>
        <v/>
      </c>
      <c r="C6461" t="str">
        <f t="shared" si="332"/>
        <v/>
      </c>
      <c r="D6461" s="245" t="str">
        <f t="shared" si="334"/>
        <v/>
      </c>
      <c r="E6461" s="534"/>
      <c r="F6461" s="534"/>
    </row>
    <row r="6462" spans="1:6" ht="15" customHeight="1">
      <c r="A6462" s="51"/>
      <c r="B6462" s="52" t="str">
        <f t="shared" si="333"/>
        <v/>
      </c>
      <c r="C6462" t="str">
        <f t="shared" si="332"/>
        <v/>
      </c>
      <c r="D6462" s="245" t="str">
        <f t="shared" si="334"/>
        <v/>
      </c>
      <c r="E6462" s="534"/>
      <c r="F6462" s="534"/>
    </row>
    <row r="6463" spans="1:6" ht="15" customHeight="1">
      <c r="A6463" s="51"/>
      <c r="B6463" s="52" t="str">
        <f t="shared" si="333"/>
        <v/>
      </c>
      <c r="C6463" t="str">
        <f t="shared" si="332"/>
        <v/>
      </c>
      <c r="D6463" s="245" t="str">
        <f t="shared" si="334"/>
        <v/>
      </c>
      <c r="E6463" s="534"/>
      <c r="F6463" s="534"/>
    </row>
    <row r="6464" spans="1:6" ht="15" customHeight="1">
      <c r="A6464" s="51"/>
      <c r="B6464" s="52" t="str">
        <f t="shared" si="333"/>
        <v/>
      </c>
      <c r="C6464" t="str">
        <f t="shared" si="332"/>
        <v/>
      </c>
      <c r="D6464" s="245" t="str">
        <f t="shared" si="334"/>
        <v/>
      </c>
      <c r="E6464" s="534"/>
      <c r="F6464" s="534"/>
    </row>
    <row r="6465" spans="1:6" ht="15" customHeight="1">
      <c r="A6465" s="51"/>
      <c r="B6465" s="52" t="str">
        <f t="shared" si="333"/>
        <v/>
      </c>
      <c r="C6465" t="str">
        <f t="shared" si="332"/>
        <v/>
      </c>
      <c r="D6465" s="245" t="str">
        <f t="shared" si="334"/>
        <v/>
      </c>
      <c r="E6465" s="534"/>
      <c r="F6465" s="534"/>
    </row>
    <row r="6466" spans="1:6" ht="15" customHeight="1">
      <c r="A6466" s="51"/>
      <c r="B6466" s="52" t="str">
        <f t="shared" si="333"/>
        <v/>
      </c>
      <c r="C6466" t="str">
        <f t="shared" ref="C6466:C6529" si="335">IF(A6466&lt;&gt;"",TEXT(A6466,"aaaa"),"")</f>
        <v/>
      </c>
      <c r="D6466" s="245" t="str">
        <f t="shared" si="334"/>
        <v/>
      </c>
      <c r="E6466" s="534"/>
      <c r="F6466" s="534"/>
    </row>
    <row r="6467" spans="1:6" ht="15" customHeight="1">
      <c r="A6467" s="51"/>
      <c r="B6467" s="52" t="str">
        <f t="shared" si="333"/>
        <v/>
      </c>
      <c r="C6467" t="str">
        <f t="shared" si="335"/>
        <v/>
      </c>
      <c r="D6467" s="245" t="str">
        <f t="shared" si="334"/>
        <v/>
      </c>
      <c r="E6467" s="534"/>
      <c r="F6467" s="534"/>
    </row>
    <row r="6468" spans="1:6" ht="15" customHeight="1">
      <c r="A6468" s="51"/>
      <c r="B6468" s="52" t="str">
        <f t="shared" si="333"/>
        <v/>
      </c>
      <c r="C6468" t="str">
        <f t="shared" si="335"/>
        <v/>
      </c>
      <c r="D6468" s="245" t="str">
        <f t="shared" si="334"/>
        <v/>
      </c>
      <c r="E6468" s="534"/>
      <c r="F6468" s="534"/>
    </row>
    <row r="6469" spans="1:6" ht="15" customHeight="1">
      <c r="A6469" s="51"/>
      <c r="B6469" s="52" t="str">
        <f t="shared" si="333"/>
        <v/>
      </c>
      <c r="C6469" t="str">
        <f t="shared" si="335"/>
        <v/>
      </c>
      <c r="D6469" s="245" t="str">
        <f t="shared" si="334"/>
        <v/>
      </c>
      <c r="E6469" s="534"/>
      <c r="F6469" s="534"/>
    </row>
    <row r="6470" spans="1:6" ht="15" customHeight="1">
      <c r="A6470" s="51"/>
      <c r="B6470" s="52" t="str">
        <f t="shared" si="333"/>
        <v/>
      </c>
      <c r="C6470" t="str">
        <f t="shared" si="335"/>
        <v/>
      </c>
      <c r="D6470" s="245" t="str">
        <f t="shared" si="334"/>
        <v/>
      </c>
      <c r="E6470" s="534"/>
      <c r="F6470" s="534"/>
    </row>
    <row r="6471" spans="1:6" ht="15" customHeight="1">
      <c r="A6471" s="51"/>
      <c r="B6471" s="52" t="str">
        <f t="shared" si="333"/>
        <v/>
      </c>
      <c r="C6471" t="str">
        <f t="shared" si="335"/>
        <v/>
      </c>
      <c r="D6471" s="245" t="str">
        <f t="shared" si="334"/>
        <v/>
      </c>
      <c r="E6471" s="534"/>
      <c r="F6471" s="534"/>
    </row>
    <row r="6472" spans="1:6" ht="15" customHeight="1">
      <c r="A6472" s="51"/>
      <c r="B6472" s="52" t="str">
        <f t="shared" ref="B6472:B6535" si="336">IF(A6472="","",TEXT(A6472,"DDDD"))</f>
        <v/>
      </c>
      <c r="C6472" t="str">
        <f t="shared" si="335"/>
        <v/>
      </c>
      <c r="D6472" s="245" t="str">
        <f t="shared" si="334"/>
        <v/>
      </c>
      <c r="E6472" s="534"/>
      <c r="F6472" s="534"/>
    </row>
    <row r="6473" spans="1:6" ht="15" customHeight="1">
      <c r="A6473" s="51"/>
      <c r="B6473" s="52" t="str">
        <f t="shared" si="336"/>
        <v/>
      </c>
      <c r="C6473" t="str">
        <f t="shared" si="335"/>
        <v/>
      </c>
      <c r="D6473" s="245" t="str">
        <f t="shared" ref="D6473:D6536" si="337">IF(A6473&lt;&gt;"",PROPER(TEXT(A6473,"Mmmm")),"")</f>
        <v/>
      </c>
      <c r="E6473" s="534"/>
      <c r="F6473" s="534"/>
    </row>
    <row r="6474" spans="1:6" ht="15" customHeight="1">
      <c r="A6474" s="51"/>
      <c r="B6474" s="52" t="str">
        <f t="shared" si="336"/>
        <v/>
      </c>
      <c r="C6474" t="str">
        <f t="shared" si="335"/>
        <v/>
      </c>
      <c r="D6474" s="245" t="str">
        <f t="shared" si="337"/>
        <v/>
      </c>
      <c r="E6474" s="534"/>
      <c r="F6474" s="534"/>
    </row>
    <row r="6475" spans="1:6" ht="15" customHeight="1">
      <c r="A6475" s="51"/>
      <c r="B6475" s="52" t="str">
        <f t="shared" si="336"/>
        <v/>
      </c>
      <c r="C6475" t="str">
        <f t="shared" si="335"/>
        <v/>
      </c>
      <c r="D6475" s="245" t="str">
        <f t="shared" si="337"/>
        <v/>
      </c>
      <c r="E6475" s="534"/>
      <c r="F6475" s="534"/>
    </row>
    <row r="6476" spans="1:6" ht="15" customHeight="1">
      <c r="A6476" s="51"/>
      <c r="B6476" s="52" t="str">
        <f t="shared" si="336"/>
        <v/>
      </c>
      <c r="C6476" t="str">
        <f t="shared" si="335"/>
        <v/>
      </c>
      <c r="D6476" s="245" t="str">
        <f t="shared" si="337"/>
        <v/>
      </c>
      <c r="E6476" s="534"/>
      <c r="F6476" s="534"/>
    </row>
    <row r="6477" spans="1:6" ht="15" customHeight="1">
      <c r="A6477" s="51"/>
      <c r="B6477" s="52" t="str">
        <f t="shared" si="336"/>
        <v/>
      </c>
      <c r="C6477" t="str">
        <f t="shared" si="335"/>
        <v/>
      </c>
      <c r="D6477" s="245" t="str">
        <f t="shared" si="337"/>
        <v/>
      </c>
      <c r="E6477" s="534"/>
      <c r="F6477" s="534"/>
    </row>
    <row r="6478" spans="1:6" ht="15" customHeight="1">
      <c r="A6478" s="51"/>
      <c r="B6478" s="52" t="str">
        <f t="shared" si="336"/>
        <v/>
      </c>
      <c r="C6478" t="str">
        <f t="shared" si="335"/>
        <v/>
      </c>
      <c r="D6478" s="245" t="str">
        <f t="shared" si="337"/>
        <v/>
      </c>
      <c r="E6478" s="534"/>
      <c r="F6478" s="534"/>
    </row>
    <row r="6479" spans="1:6" ht="15" customHeight="1">
      <c r="A6479" s="51"/>
      <c r="B6479" s="52" t="str">
        <f t="shared" si="336"/>
        <v/>
      </c>
      <c r="C6479" t="str">
        <f t="shared" si="335"/>
        <v/>
      </c>
      <c r="D6479" s="245" t="str">
        <f t="shared" si="337"/>
        <v/>
      </c>
      <c r="E6479" s="534"/>
      <c r="F6479" s="534"/>
    </row>
    <row r="6480" spans="1:6" ht="15" customHeight="1">
      <c r="A6480" s="51"/>
      <c r="B6480" s="52" t="str">
        <f t="shared" si="336"/>
        <v/>
      </c>
      <c r="C6480" t="str">
        <f t="shared" si="335"/>
        <v/>
      </c>
      <c r="D6480" s="245" t="str">
        <f t="shared" si="337"/>
        <v/>
      </c>
      <c r="E6480" s="534"/>
      <c r="F6480" s="534"/>
    </row>
    <row r="6481" spans="1:6" ht="15" customHeight="1">
      <c r="A6481" s="51"/>
      <c r="B6481" s="52" t="str">
        <f t="shared" si="336"/>
        <v/>
      </c>
      <c r="C6481" t="str">
        <f t="shared" si="335"/>
        <v/>
      </c>
      <c r="D6481" s="245" t="str">
        <f t="shared" si="337"/>
        <v/>
      </c>
      <c r="E6481" s="534"/>
      <c r="F6481" s="534"/>
    </row>
    <row r="6482" spans="1:6" ht="15" customHeight="1">
      <c r="A6482" s="51"/>
      <c r="B6482" s="52" t="str">
        <f t="shared" si="336"/>
        <v/>
      </c>
      <c r="C6482" t="str">
        <f t="shared" si="335"/>
        <v/>
      </c>
      <c r="D6482" s="245" t="str">
        <f t="shared" si="337"/>
        <v/>
      </c>
      <c r="E6482" s="534"/>
      <c r="F6482" s="534"/>
    </row>
    <row r="6483" spans="1:6" ht="15" customHeight="1">
      <c r="A6483" s="51"/>
      <c r="B6483" s="52" t="str">
        <f t="shared" si="336"/>
        <v/>
      </c>
      <c r="C6483" t="str">
        <f t="shared" si="335"/>
        <v/>
      </c>
      <c r="D6483" s="245" t="str">
        <f t="shared" si="337"/>
        <v/>
      </c>
      <c r="E6483" s="534"/>
      <c r="F6483" s="534"/>
    </row>
    <row r="6484" spans="1:6" ht="15" customHeight="1">
      <c r="A6484" s="51"/>
      <c r="B6484" s="52" t="str">
        <f t="shared" si="336"/>
        <v/>
      </c>
      <c r="C6484" t="str">
        <f t="shared" si="335"/>
        <v/>
      </c>
      <c r="D6484" s="245" t="str">
        <f t="shared" si="337"/>
        <v/>
      </c>
      <c r="E6484" s="534"/>
      <c r="F6484" s="534"/>
    </row>
    <row r="6485" spans="1:6" ht="15" customHeight="1">
      <c r="A6485" s="51"/>
      <c r="B6485" s="52" t="str">
        <f t="shared" si="336"/>
        <v/>
      </c>
      <c r="C6485" t="str">
        <f t="shared" si="335"/>
        <v/>
      </c>
      <c r="D6485" s="245" t="str">
        <f t="shared" si="337"/>
        <v/>
      </c>
      <c r="E6485" s="534"/>
      <c r="F6485" s="534"/>
    </row>
    <row r="6486" spans="1:6" ht="15" customHeight="1">
      <c r="A6486" s="51"/>
      <c r="B6486" s="52" t="str">
        <f t="shared" si="336"/>
        <v/>
      </c>
      <c r="C6486" t="str">
        <f t="shared" si="335"/>
        <v/>
      </c>
      <c r="D6486" s="245" t="str">
        <f t="shared" si="337"/>
        <v/>
      </c>
      <c r="E6486" s="534"/>
      <c r="F6486" s="534"/>
    </row>
    <row r="6487" spans="1:6" ht="15" customHeight="1">
      <c r="A6487" s="51"/>
      <c r="B6487" s="52" t="str">
        <f t="shared" si="336"/>
        <v/>
      </c>
      <c r="C6487" t="str">
        <f t="shared" si="335"/>
        <v/>
      </c>
      <c r="D6487" s="245" t="str">
        <f t="shared" si="337"/>
        <v/>
      </c>
      <c r="E6487" s="534"/>
      <c r="F6487" s="534"/>
    </row>
    <row r="6488" spans="1:6" ht="15" customHeight="1">
      <c r="A6488" s="51"/>
      <c r="B6488" s="52" t="str">
        <f t="shared" si="336"/>
        <v/>
      </c>
      <c r="C6488" t="str">
        <f t="shared" si="335"/>
        <v/>
      </c>
      <c r="D6488" s="245" t="str">
        <f t="shared" si="337"/>
        <v/>
      </c>
      <c r="E6488" s="534"/>
      <c r="F6488" s="534"/>
    </row>
    <row r="6489" spans="1:6" ht="15" customHeight="1">
      <c r="A6489" s="51"/>
      <c r="B6489" s="52" t="str">
        <f t="shared" si="336"/>
        <v/>
      </c>
      <c r="C6489" t="str">
        <f t="shared" si="335"/>
        <v/>
      </c>
      <c r="D6489" s="245" t="str">
        <f t="shared" si="337"/>
        <v/>
      </c>
      <c r="E6489" s="534"/>
      <c r="F6489" s="534"/>
    </row>
    <row r="6490" spans="1:6" ht="15" customHeight="1">
      <c r="A6490" s="51"/>
      <c r="B6490" s="52" t="str">
        <f t="shared" si="336"/>
        <v/>
      </c>
      <c r="C6490" t="str">
        <f t="shared" si="335"/>
        <v/>
      </c>
      <c r="D6490" s="245" t="str">
        <f t="shared" si="337"/>
        <v/>
      </c>
      <c r="E6490" s="534"/>
      <c r="F6490" s="534"/>
    </row>
    <row r="6491" spans="1:6" ht="15" customHeight="1">
      <c r="A6491" s="51"/>
      <c r="B6491" s="52" t="str">
        <f t="shared" si="336"/>
        <v/>
      </c>
      <c r="C6491" t="str">
        <f t="shared" si="335"/>
        <v/>
      </c>
      <c r="D6491" s="245" t="str">
        <f t="shared" si="337"/>
        <v/>
      </c>
      <c r="E6491" s="534"/>
      <c r="F6491" s="534"/>
    </row>
    <row r="6492" spans="1:6" ht="15" customHeight="1">
      <c r="A6492" s="51"/>
      <c r="B6492" s="52" t="str">
        <f t="shared" si="336"/>
        <v/>
      </c>
      <c r="C6492" t="str">
        <f t="shared" si="335"/>
        <v/>
      </c>
      <c r="D6492" s="245" t="str">
        <f t="shared" si="337"/>
        <v/>
      </c>
      <c r="E6492" s="534"/>
      <c r="F6492" s="534"/>
    </row>
    <row r="6493" spans="1:6" ht="15" customHeight="1">
      <c r="A6493" s="51"/>
      <c r="B6493" s="52" t="str">
        <f t="shared" si="336"/>
        <v/>
      </c>
      <c r="C6493" t="str">
        <f t="shared" si="335"/>
        <v/>
      </c>
      <c r="D6493" s="245" t="str">
        <f t="shared" si="337"/>
        <v/>
      </c>
      <c r="E6493" s="534"/>
      <c r="F6493" s="534"/>
    </row>
    <row r="6494" spans="1:6" ht="15" customHeight="1">
      <c r="A6494" s="51"/>
      <c r="B6494" s="52" t="str">
        <f t="shared" si="336"/>
        <v/>
      </c>
      <c r="C6494" t="str">
        <f t="shared" si="335"/>
        <v/>
      </c>
      <c r="D6494" s="245" t="str">
        <f t="shared" si="337"/>
        <v/>
      </c>
      <c r="E6494" s="534"/>
      <c r="F6494" s="534"/>
    </row>
    <row r="6495" spans="1:6" ht="15" customHeight="1">
      <c r="A6495" s="51"/>
      <c r="B6495" s="52" t="str">
        <f t="shared" si="336"/>
        <v/>
      </c>
      <c r="C6495" t="str">
        <f t="shared" si="335"/>
        <v/>
      </c>
      <c r="D6495" s="245" t="str">
        <f t="shared" si="337"/>
        <v/>
      </c>
      <c r="E6495" s="534"/>
      <c r="F6495" s="534"/>
    </row>
    <row r="6496" spans="1:6" ht="15" customHeight="1">
      <c r="A6496" s="51"/>
      <c r="B6496" s="52" t="str">
        <f t="shared" si="336"/>
        <v/>
      </c>
      <c r="C6496" t="str">
        <f t="shared" si="335"/>
        <v/>
      </c>
      <c r="D6496" s="245" t="str">
        <f t="shared" si="337"/>
        <v/>
      </c>
      <c r="E6496" s="534"/>
      <c r="F6496" s="534"/>
    </row>
    <row r="6497" spans="1:6" ht="15" customHeight="1">
      <c r="A6497" s="51"/>
      <c r="B6497" s="52" t="str">
        <f t="shared" si="336"/>
        <v/>
      </c>
      <c r="C6497" t="str">
        <f t="shared" si="335"/>
        <v/>
      </c>
      <c r="D6497" s="245" t="str">
        <f t="shared" si="337"/>
        <v/>
      </c>
      <c r="E6497" s="534"/>
      <c r="F6497" s="534"/>
    </row>
    <row r="6498" spans="1:6" ht="15" customHeight="1">
      <c r="A6498" s="51"/>
      <c r="B6498" s="52" t="str">
        <f t="shared" si="336"/>
        <v/>
      </c>
      <c r="C6498" t="str">
        <f t="shared" si="335"/>
        <v/>
      </c>
      <c r="D6498" s="245" t="str">
        <f t="shared" si="337"/>
        <v/>
      </c>
      <c r="E6498" s="534"/>
      <c r="F6498" s="534"/>
    </row>
    <row r="6499" spans="1:6" ht="15" customHeight="1">
      <c r="A6499" s="51"/>
      <c r="B6499" s="52" t="str">
        <f t="shared" si="336"/>
        <v/>
      </c>
      <c r="C6499" t="str">
        <f t="shared" si="335"/>
        <v/>
      </c>
      <c r="D6499" s="245" t="str">
        <f t="shared" si="337"/>
        <v/>
      </c>
      <c r="E6499" s="534"/>
      <c r="F6499" s="534"/>
    </row>
    <row r="6500" spans="1:6" ht="15" customHeight="1">
      <c r="A6500" s="51"/>
      <c r="B6500" s="52" t="str">
        <f t="shared" si="336"/>
        <v/>
      </c>
      <c r="C6500" t="str">
        <f t="shared" si="335"/>
        <v/>
      </c>
      <c r="D6500" s="245" t="str">
        <f t="shared" si="337"/>
        <v/>
      </c>
      <c r="E6500" s="534"/>
      <c r="F6500" s="534"/>
    </row>
    <row r="6501" spans="1:6" ht="15" customHeight="1">
      <c r="A6501" s="51"/>
      <c r="B6501" s="52" t="str">
        <f t="shared" si="336"/>
        <v/>
      </c>
      <c r="C6501" t="str">
        <f t="shared" si="335"/>
        <v/>
      </c>
      <c r="D6501" s="245" t="str">
        <f t="shared" si="337"/>
        <v/>
      </c>
      <c r="E6501" s="534"/>
      <c r="F6501" s="534"/>
    </row>
    <row r="6502" spans="1:6" ht="15" customHeight="1">
      <c r="A6502" s="51"/>
      <c r="B6502" s="52" t="str">
        <f t="shared" si="336"/>
        <v/>
      </c>
      <c r="C6502" t="str">
        <f t="shared" si="335"/>
        <v/>
      </c>
      <c r="D6502" s="245" t="str">
        <f t="shared" si="337"/>
        <v/>
      </c>
      <c r="E6502" s="534"/>
      <c r="F6502" s="534"/>
    </row>
    <row r="6503" spans="1:6" ht="15" customHeight="1">
      <c r="A6503" s="51"/>
      <c r="B6503" s="52" t="str">
        <f t="shared" si="336"/>
        <v/>
      </c>
      <c r="C6503" t="str">
        <f t="shared" si="335"/>
        <v/>
      </c>
      <c r="D6503" s="245" t="str">
        <f t="shared" si="337"/>
        <v/>
      </c>
      <c r="E6503" s="534"/>
      <c r="F6503" s="534"/>
    </row>
    <row r="6504" spans="1:6" ht="15" customHeight="1">
      <c r="A6504" s="51"/>
      <c r="B6504" s="52" t="str">
        <f t="shared" si="336"/>
        <v/>
      </c>
      <c r="C6504" t="str">
        <f t="shared" si="335"/>
        <v/>
      </c>
      <c r="D6504" s="245" t="str">
        <f t="shared" si="337"/>
        <v/>
      </c>
      <c r="E6504" s="534"/>
      <c r="F6504" s="534"/>
    </row>
    <row r="6505" spans="1:6" ht="15" customHeight="1">
      <c r="A6505" s="51"/>
      <c r="B6505" s="52" t="str">
        <f t="shared" si="336"/>
        <v/>
      </c>
      <c r="C6505" t="str">
        <f t="shared" si="335"/>
        <v/>
      </c>
      <c r="D6505" s="245" t="str">
        <f t="shared" si="337"/>
        <v/>
      </c>
      <c r="E6505" s="534"/>
      <c r="F6505" s="534"/>
    </row>
    <row r="6506" spans="1:6" ht="15" customHeight="1">
      <c r="A6506" s="51"/>
      <c r="B6506" s="52" t="str">
        <f t="shared" si="336"/>
        <v/>
      </c>
      <c r="C6506" t="str">
        <f t="shared" si="335"/>
        <v/>
      </c>
      <c r="D6506" s="245" t="str">
        <f t="shared" si="337"/>
        <v/>
      </c>
      <c r="E6506" s="534"/>
      <c r="F6506" s="534"/>
    </row>
    <row r="6507" spans="1:6" ht="15" customHeight="1">
      <c r="A6507" s="51"/>
      <c r="B6507" s="52" t="str">
        <f t="shared" si="336"/>
        <v/>
      </c>
      <c r="C6507" t="str">
        <f t="shared" si="335"/>
        <v/>
      </c>
      <c r="D6507" s="245" t="str">
        <f t="shared" si="337"/>
        <v/>
      </c>
      <c r="E6507" s="534"/>
      <c r="F6507" s="534"/>
    </row>
    <row r="6508" spans="1:6" ht="15" customHeight="1">
      <c r="A6508" s="51"/>
      <c r="B6508" s="52" t="str">
        <f t="shared" si="336"/>
        <v/>
      </c>
      <c r="C6508" t="str">
        <f t="shared" si="335"/>
        <v/>
      </c>
      <c r="D6508" s="245" t="str">
        <f t="shared" si="337"/>
        <v/>
      </c>
      <c r="E6508" s="534"/>
      <c r="F6508" s="534"/>
    </row>
    <row r="6509" spans="1:6" ht="15" customHeight="1">
      <c r="A6509" s="51"/>
      <c r="B6509" s="52" t="str">
        <f t="shared" si="336"/>
        <v/>
      </c>
      <c r="C6509" t="str">
        <f t="shared" si="335"/>
        <v/>
      </c>
      <c r="D6509" s="245" t="str">
        <f t="shared" si="337"/>
        <v/>
      </c>
      <c r="E6509" s="534"/>
      <c r="F6509" s="534"/>
    </row>
    <row r="6510" spans="1:6" ht="15" customHeight="1">
      <c r="A6510" s="51"/>
      <c r="B6510" s="52" t="str">
        <f t="shared" si="336"/>
        <v/>
      </c>
      <c r="C6510" t="str">
        <f t="shared" si="335"/>
        <v/>
      </c>
      <c r="D6510" s="245" t="str">
        <f t="shared" si="337"/>
        <v/>
      </c>
      <c r="E6510" s="534"/>
      <c r="F6510" s="534"/>
    </row>
    <row r="6511" spans="1:6" ht="15" customHeight="1">
      <c r="A6511" s="51"/>
      <c r="B6511" s="52" t="str">
        <f t="shared" si="336"/>
        <v/>
      </c>
      <c r="C6511" t="str">
        <f t="shared" si="335"/>
        <v/>
      </c>
      <c r="D6511" s="245" t="str">
        <f t="shared" si="337"/>
        <v/>
      </c>
      <c r="E6511" s="534"/>
      <c r="F6511" s="534"/>
    </row>
    <row r="6512" spans="1:6" ht="15" customHeight="1">
      <c r="A6512" s="51"/>
      <c r="B6512" s="52" t="str">
        <f t="shared" si="336"/>
        <v/>
      </c>
      <c r="C6512" t="str">
        <f t="shared" si="335"/>
        <v/>
      </c>
      <c r="D6512" s="245" t="str">
        <f t="shared" si="337"/>
        <v/>
      </c>
      <c r="E6512" s="534"/>
      <c r="F6512" s="534"/>
    </row>
    <row r="6513" spans="1:6" ht="15" customHeight="1">
      <c r="A6513" s="51"/>
      <c r="B6513" s="52" t="str">
        <f t="shared" si="336"/>
        <v/>
      </c>
      <c r="C6513" t="str">
        <f t="shared" si="335"/>
        <v/>
      </c>
      <c r="D6513" s="245" t="str">
        <f t="shared" si="337"/>
        <v/>
      </c>
      <c r="E6513" s="534"/>
      <c r="F6513" s="534"/>
    </row>
    <row r="6514" spans="1:6" ht="15" customHeight="1">
      <c r="A6514" s="51"/>
      <c r="B6514" s="52" t="str">
        <f t="shared" si="336"/>
        <v/>
      </c>
      <c r="C6514" t="str">
        <f t="shared" si="335"/>
        <v/>
      </c>
      <c r="D6514" s="245" t="str">
        <f t="shared" si="337"/>
        <v/>
      </c>
      <c r="E6514" s="534"/>
      <c r="F6514" s="534"/>
    </row>
    <row r="6515" spans="1:6" ht="15" customHeight="1">
      <c r="A6515" s="51"/>
      <c r="B6515" s="52" t="str">
        <f t="shared" si="336"/>
        <v/>
      </c>
      <c r="C6515" t="str">
        <f t="shared" si="335"/>
        <v/>
      </c>
      <c r="D6515" s="245" t="str">
        <f t="shared" si="337"/>
        <v/>
      </c>
      <c r="E6515" s="534"/>
      <c r="F6515" s="534"/>
    </row>
    <row r="6516" spans="1:6" ht="15" customHeight="1">
      <c r="A6516" s="51"/>
      <c r="B6516" s="52" t="str">
        <f t="shared" si="336"/>
        <v/>
      </c>
      <c r="C6516" t="str">
        <f t="shared" si="335"/>
        <v/>
      </c>
      <c r="D6516" s="245" t="str">
        <f t="shared" si="337"/>
        <v/>
      </c>
      <c r="E6516" s="534"/>
      <c r="F6516" s="534"/>
    </row>
    <row r="6517" spans="1:6" ht="15" customHeight="1">
      <c r="A6517" s="51"/>
      <c r="B6517" s="52" t="str">
        <f t="shared" si="336"/>
        <v/>
      </c>
      <c r="C6517" t="str">
        <f t="shared" si="335"/>
        <v/>
      </c>
      <c r="D6517" s="245" t="str">
        <f t="shared" si="337"/>
        <v/>
      </c>
      <c r="E6517" s="534"/>
      <c r="F6517" s="534"/>
    </row>
    <row r="6518" spans="1:6" ht="15" customHeight="1">
      <c r="A6518" s="51"/>
      <c r="B6518" s="52" t="str">
        <f t="shared" si="336"/>
        <v/>
      </c>
      <c r="C6518" t="str">
        <f t="shared" si="335"/>
        <v/>
      </c>
      <c r="D6518" s="245" t="str">
        <f t="shared" si="337"/>
        <v/>
      </c>
      <c r="E6518" s="534"/>
      <c r="F6518" s="534"/>
    </row>
    <row r="6519" spans="1:6" ht="15" customHeight="1">
      <c r="A6519" s="51"/>
      <c r="B6519" s="52" t="str">
        <f t="shared" si="336"/>
        <v/>
      </c>
      <c r="C6519" t="str">
        <f t="shared" si="335"/>
        <v/>
      </c>
      <c r="D6519" s="245" t="str">
        <f t="shared" si="337"/>
        <v/>
      </c>
      <c r="E6519" s="534"/>
      <c r="F6519" s="534"/>
    </row>
    <row r="6520" spans="1:6" ht="15" customHeight="1">
      <c r="A6520" s="51"/>
      <c r="B6520" s="52" t="str">
        <f t="shared" si="336"/>
        <v/>
      </c>
      <c r="C6520" t="str">
        <f t="shared" si="335"/>
        <v/>
      </c>
      <c r="D6520" s="245" t="str">
        <f t="shared" si="337"/>
        <v/>
      </c>
      <c r="E6520" s="534"/>
      <c r="F6520" s="534"/>
    </row>
    <row r="6521" spans="1:6" ht="15" customHeight="1">
      <c r="A6521" s="51"/>
      <c r="B6521" s="52" t="str">
        <f t="shared" si="336"/>
        <v/>
      </c>
      <c r="C6521" t="str">
        <f t="shared" si="335"/>
        <v/>
      </c>
      <c r="D6521" s="245" t="str">
        <f t="shared" si="337"/>
        <v/>
      </c>
      <c r="E6521" s="534"/>
      <c r="F6521" s="534"/>
    </row>
    <row r="6522" spans="1:6" ht="15" customHeight="1">
      <c r="A6522" s="51"/>
      <c r="B6522" s="52" t="str">
        <f t="shared" si="336"/>
        <v/>
      </c>
      <c r="C6522" t="str">
        <f t="shared" si="335"/>
        <v/>
      </c>
      <c r="D6522" s="245" t="str">
        <f t="shared" si="337"/>
        <v/>
      </c>
      <c r="E6522" s="534"/>
      <c r="F6522" s="534"/>
    </row>
    <row r="6523" spans="1:6" ht="15" customHeight="1">
      <c r="A6523" s="51"/>
      <c r="B6523" s="52" t="str">
        <f t="shared" si="336"/>
        <v/>
      </c>
      <c r="C6523" t="str">
        <f t="shared" si="335"/>
        <v/>
      </c>
      <c r="D6523" s="245" t="str">
        <f t="shared" si="337"/>
        <v/>
      </c>
      <c r="E6523" s="534"/>
      <c r="F6523" s="534"/>
    </row>
    <row r="6524" spans="1:6" ht="15" customHeight="1">
      <c r="A6524" s="51"/>
      <c r="B6524" s="52" t="str">
        <f t="shared" si="336"/>
        <v/>
      </c>
      <c r="C6524" t="str">
        <f t="shared" si="335"/>
        <v/>
      </c>
      <c r="D6524" s="245" t="str">
        <f t="shared" si="337"/>
        <v/>
      </c>
      <c r="E6524" s="534"/>
      <c r="F6524" s="534"/>
    </row>
    <row r="6525" spans="1:6" ht="15" customHeight="1">
      <c r="A6525" s="51"/>
      <c r="B6525" s="52" t="str">
        <f t="shared" si="336"/>
        <v/>
      </c>
      <c r="C6525" t="str">
        <f t="shared" si="335"/>
        <v/>
      </c>
      <c r="D6525" s="245" t="str">
        <f t="shared" si="337"/>
        <v/>
      </c>
      <c r="E6525" s="534"/>
      <c r="F6525" s="534"/>
    </row>
    <row r="6526" spans="1:6" ht="15" customHeight="1">
      <c r="A6526" s="51"/>
      <c r="B6526" s="52" t="str">
        <f t="shared" si="336"/>
        <v/>
      </c>
      <c r="C6526" t="str">
        <f t="shared" si="335"/>
        <v/>
      </c>
      <c r="D6526" s="245" t="str">
        <f t="shared" si="337"/>
        <v/>
      </c>
      <c r="E6526" s="534"/>
      <c r="F6526" s="534"/>
    </row>
    <row r="6527" spans="1:6" ht="15" customHeight="1">
      <c r="A6527" s="51"/>
      <c r="B6527" s="52" t="str">
        <f t="shared" si="336"/>
        <v/>
      </c>
      <c r="C6527" t="str">
        <f t="shared" si="335"/>
        <v/>
      </c>
      <c r="D6527" s="245" t="str">
        <f t="shared" si="337"/>
        <v/>
      </c>
      <c r="E6527" s="534"/>
      <c r="F6527" s="534"/>
    </row>
    <row r="6528" spans="1:6" ht="15" customHeight="1">
      <c r="A6528" s="51"/>
      <c r="B6528" s="52" t="str">
        <f t="shared" si="336"/>
        <v/>
      </c>
      <c r="C6528" t="str">
        <f t="shared" si="335"/>
        <v/>
      </c>
      <c r="D6528" s="245" t="str">
        <f t="shared" si="337"/>
        <v/>
      </c>
      <c r="E6528" s="534"/>
      <c r="F6528" s="534"/>
    </row>
    <row r="6529" spans="1:6" ht="15" customHeight="1">
      <c r="A6529" s="51"/>
      <c r="B6529" s="52" t="str">
        <f t="shared" si="336"/>
        <v/>
      </c>
      <c r="C6529" t="str">
        <f t="shared" si="335"/>
        <v/>
      </c>
      <c r="D6529" s="245" t="str">
        <f t="shared" si="337"/>
        <v/>
      </c>
      <c r="E6529" s="534"/>
      <c r="F6529" s="534"/>
    </row>
    <row r="6530" spans="1:6" ht="15" customHeight="1">
      <c r="A6530" s="51"/>
      <c r="B6530" s="52" t="str">
        <f t="shared" si="336"/>
        <v/>
      </c>
      <c r="C6530" t="str">
        <f t="shared" ref="C6530:C6593" si="338">IF(A6530&lt;&gt;"",TEXT(A6530,"aaaa"),"")</f>
        <v/>
      </c>
      <c r="D6530" s="245" t="str">
        <f t="shared" si="337"/>
        <v/>
      </c>
      <c r="E6530" s="534"/>
      <c r="F6530" s="534"/>
    </row>
    <row r="6531" spans="1:6" ht="15" customHeight="1">
      <c r="A6531" s="51"/>
      <c r="B6531" s="52" t="str">
        <f t="shared" si="336"/>
        <v/>
      </c>
      <c r="C6531" t="str">
        <f t="shared" si="338"/>
        <v/>
      </c>
      <c r="D6531" s="245" t="str">
        <f t="shared" si="337"/>
        <v/>
      </c>
      <c r="E6531" s="534"/>
      <c r="F6531" s="534"/>
    </row>
    <row r="6532" spans="1:6" ht="15" customHeight="1">
      <c r="A6532" s="51"/>
      <c r="B6532" s="52" t="str">
        <f t="shared" si="336"/>
        <v/>
      </c>
      <c r="C6532" t="str">
        <f t="shared" si="338"/>
        <v/>
      </c>
      <c r="D6532" s="245" t="str">
        <f t="shared" si="337"/>
        <v/>
      </c>
      <c r="E6532" s="534"/>
      <c r="F6532" s="534"/>
    </row>
    <row r="6533" spans="1:6" ht="15" customHeight="1">
      <c r="A6533" s="51"/>
      <c r="B6533" s="52" t="str">
        <f t="shared" si="336"/>
        <v/>
      </c>
      <c r="C6533" t="str">
        <f t="shared" si="338"/>
        <v/>
      </c>
      <c r="D6533" s="245" t="str">
        <f t="shared" si="337"/>
        <v/>
      </c>
      <c r="E6533" s="534"/>
      <c r="F6533" s="534"/>
    </row>
    <row r="6534" spans="1:6" ht="15" customHeight="1">
      <c r="A6534" s="51"/>
      <c r="B6534" s="52" t="str">
        <f t="shared" si="336"/>
        <v/>
      </c>
      <c r="C6534" t="str">
        <f t="shared" si="338"/>
        <v/>
      </c>
      <c r="D6534" s="245" t="str">
        <f t="shared" si="337"/>
        <v/>
      </c>
      <c r="E6534" s="534"/>
      <c r="F6534" s="534"/>
    </row>
    <row r="6535" spans="1:6" ht="15" customHeight="1">
      <c r="A6535" s="51"/>
      <c r="B6535" s="52" t="str">
        <f t="shared" si="336"/>
        <v/>
      </c>
      <c r="C6535" t="str">
        <f t="shared" si="338"/>
        <v/>
      </c>
      <c r="D6535" s="245" t="str">
        <f t="shared" si="337"/>
        <v/>
      </c>
      <c r="E6535" s="534"/>
      <c r="F6535" s="534"/>
    </row>
    <row r="6536" spans="1:6" ht="15" customHeight="1">
      <c r="A6536" s="51"/>
      <c r="B6536" s="52" t="str">
        <f t="shared" ref="B6536:B6599" si="339">IF(A6536="","",TEXT(A6536,"DDDD"))</f>
        <v/>
      </c>
      <c r="C6536" t="str">
        <f t="shared" si="338"/>
        <v/>
      </c>
      <c r="D6536" s="245" t="str">
        <f t="shared" si="337"/>
        <v/>
      </c>
      <c r="E6536" s="534"/>
      <c r="F6536" s="534"/>
    </row>
    <row r="6537" spans="1:6" ht="15" customHeight="1">
      <c r="A6537" s="51"/>
      <c r="B6537" s="52" t="str">
        <f t="shared" si="339"/>
        <v/>
      </c>
      <c r="C6537" t="str">
        <f t="shared" si="338"/>
        <v/>
      </c>
      <c r="D6537" s="245" t="str">
        <f t="shared" ref="D6537:D6600" si="340">IF(A6537&lt;&gt;"",PROPER(TEXT(A6537,"Mmmm")),"")</f>
        <v/>
      </c>
      <c r="E6537" s="534"/>
      <c r="F6537" s="534"/>
    </row>
    <row r="6538" spans="1:6" ht="15" customHeight="1">
      <c r="A6538" s="51"/>
      <c r="B6538" s="52" t="str">
        <f t="shared" si="339"/>
        <v/>
      </c>
      <c r="C6538" t="str">
        <f t="shared" si="338"/>
        <v/>
      </c>
      <c r="D6538" s="245" t="str">
        <f t="shared" si="340"/>
        <v/>
      </c>
      <c r="E6538" s="534"/>
      <c r="F6538" s="534"/>
    </row>
    <row r="6539" spans="1:6" ht="15" customHeight="1">
      <c r="A6539" s="51"/>
      <c r="B6539" s="52" t="str">
        <f t="shared" si="339"/>
        <v/>
      </c>
      <c r="C6539" t="str">
        <f t="shared" si="338"/>
        <v/>
      </c>
      <c r="D6539" s="245" t="str">
        <f t="shared" si="340"/>
        <v/>
      </c>
      <c r="E6539" s="534"/>
      <c r="F6539" s="534"/>
    </row>
    <row r="6540" spans="1:6" ht="15" customHeight="1">
      <c r="A6540" s="51"/>
      <c r="B6540" s="52" t="str">
        <f t="shared" si="339"/>
        <v/>
      </c>
      <c r="C6540" t="str">
        <f t="shared" si="338"/>
        <v/>
      </c>
      <c r="D6540" s="245" t="str">
        <f t="shared" si="340"/>
        <v/>
      </c>
      <c r="E6540" s="534"/>
      <c r="F6540" s="534"/>
    </row>
    <row r="6541" spans="1:6" ht="15" customHeight="1">
      <c r="A6541" s="51"/>
      <c r="B6541" s="52" t="str">
        <f t="shared" si="339"/>
        <v/>
      </c>
      <c r="C6541" t="str">
        <f t="shared" si="338"/>
        <v/>
      </c>
      <c r="D6541" s="245" t="str">
        <f t="shared" si="340"/>
        <v/>
      </c>
      <c r="E6541" s="534"/>
      <c r="F6541" s="534"/>
    </row>
    <row r="6542" spans="1:6" ht="15" customHeight="1">
      <c r="A6542" s="51"/>
      <c r="B6542" s="52" t="str">
        <f t="shared" si="339"/>
        <v/>
      </c>
      <c r="C6542" t="str">
        <f t="shared" si="338"/>
        <v/>
      </c>
      <c r="D6542" s="245" t="str">
        <f t="shared" si="340"/>
        <v/>
      </c>
      <c r="E6542" s="534"/>
      <c r="F6542" s="534"/>
    </row>
    <row r="6543" spans="1:6" ht="15" customHeight="1">
      <c r="A6543" s="51"/>
      <c r="B6543" s="52" t="str">
        <f t="shared" si="339"/>
        <v/>
      </c>
      <c r="C6543" t="str">
        <f t="shared" si="338"/>
        <v/>
      </c>
      <c r="D6543" s="245" t="str">
        <f t="shared" si="340"/>
        <v/>
      </c>
      <c r="E6543" s="534"/>
      <c r="F6543" s="534"/>
    </row>
    <row r="6544" spans="1:6" ht="15" customHeight="1">
      <c r="A6544" s="51"/>
      <c r="B6544" s="52" t="str">
        <f t="shared" si="339"/>
        <v/>
      </c>
      <c r="C6544" t="str">
        <f t="shared" si="338"/>
        <v/>
      </c>
      <c r="D6544" s="245" t="str">
        <f t="shared" si="340"/>
        <v/>
      </c>
      <c r="E6544" s="534"/>
      <c r="F6544" s="534"/>
    </row>
    <row r="6545" spans="1:6" ht="15" customHeight="1">
      <c r="A6545" s="51"/>
      <c r="B6545" s="52" t="str">
        <f t="shared" si="339"/>
        <v/>
      </c>
      <c r="C6545" t="str">
        <f t="shared" si="338"/>
        <v/>
      </c>
      <c r="D6545" s="245" t="str">
        <f t="shared" si="340"/>
        <v/>
      </c>
      <c r="E6545" s="534"/>
      <c r="F6545" s="534"/>
    </row>
    <row r="6546" spans="1:6" ht="15" customHeight="1">
      <c r="A6546" s="51"/>
      <c r="B6546" s="52" t="str">
        <f t="shared" si="339"/>
        <v/>
      </c>
      <c r="C6546" t="str">
        <f t="shared" si="338"/>
        <v/>
      </c>
      <c r="D6546" s="245" t="str">
        <f t="shared" si="340"/>
        <v/>
      </c>
      <c r="E6546" s="534"/>
      <c r="F6546" s="534"/>
    </row>
    <row r="6547" spans="1:6" ht="15" customHeight="1">
      <c r="A6547" s="51"/>
      <c r="B6547" s="52" t="str">
        <f t="shared" si="339"/>
        <v/>
      </c>
      <c r="C6547" t="str">
        <f t="shared" si="338"/>
        <v/>
      </c>
      <c r="D6547" s="245" t="str">
        <f t="shared" si="340"/>
        <v/>
      </c>
      <c r="E6547" s="534"/>
      <c r="F6547" s="534"/>
    </row>
    <row r="6548" spans="1:6" ht="15" customHeight="1">
      <c r="A6548" s="51"/>
      <c r="B6548" s="52" t="str">
        <f t="shared" si="339"/>
        <v/>
      </c>
      <c r="C6548" t="str">
        <f t="shared" si="338"/>
        <v/>
      </c>
      <c r="D6548" s="245" t="str">
        <f t="shared" si="340"/>
        <v/>
      </c>
      <c r="E6548" s="534"/>
      <c r="F6548" s="534"/>
    </row>
    <row r="6549" spans="1:6" ht="15" customHeight="1">
      <c r="A6549" s="51"/>
      <c r="B6549" s="52" t="str">
        <f t="shared" si="339"/>
        <v/>
      </c>
      <c r="C6549" t="str">
        <f t="shared" si="338"/>
        <v/>
      </c>
      <c r="D6549" s="245" t="str">
        <f t="shared" si="340"/>
        <v/>
      </c>
      <c r="E6549" s="534"/>
      <c r="F6549" s="534"/>
    </row>
    <row r="6550" spans="1:6" ht="15" customHeight="1">
      <c r="A6550" s="51"/>
      <c r="B6550" s="52" t="str">
        <f t="shared" si="339"/>
        <v/>
      </c>
      <c r="C6550" t="str">
        <f t="shared" si="338"/>
        <v/>
      </c>
      <c r="D6550" s="245" t="str">
        <f t="shared" si="340"/>
        <v/>
      </c>
      <c r="E6550" s="534"/>
      <c r="F6550" s="534"/>
    </row>
    <row r="6551" spans="1:6" ht="15" customHeight="1">
      <c r="A6551" s="51"/>
      <c r="B6551" s="52" t="str">
        <f t="shared" si="339"/>
        <v/>
      </c>
      <c r="C6551" t="str">
        <f t="shared" si="338"/>
        <v/>
      </c>
      <c r="D6551" s="245" t="str">
        <f t="shared" si="340"/>
        <v/>
      </c>
      <c r="E6551" s="534"/>
      <c r="F6551" s="534"/>
    </row>
    <row r="6552" spans="1:6" ht="15" customHeight="1">
      <c r="A6552" s="51"/>
      <c r="B6552" s="52" t="str">
        <f t="shared" si="339"/>
        <v/>
      </c>
      <c r="C6552" t="str">
        <f t="shared" si="338"/>
        <v/>
      </c>
      <c r="D6552" s="245" t="str">
        <f t="shared" si="340"/>
        <v/>
      </c>
      <c r="E6552" s="534"/>
      <c r="F6552" s="534"/>
    </row>
    <row r="6553" spans="1:6" ht="15" customHeight="1">
      <c r="A6553" s="51"/>
      <c r="B6553" s="52" t="str">
        <f t="shared" si="339"/>
        <v/>
      </c>
      <c r="C6553" t="str">
        <f t="shared" si="338"/>
        <v/>
      </c>
      <c r="D6553" s="245" t="str">
        <f t="shared" si="340"/>
        <v/>
      </c>
      <c r="E6553" s="534"/>
      <c r="F6553" s="534"/>
    </row>
    <row r="6554" spans="1:6" ht="15" customHeight="1">
      <c r="A6554" s="51"/>
      <c r="B6554" s="52" t="str">
        <f t="shared" si="339"/>
        <v/>
      </c>
      <c r="C6554" t="str">
        <f t="shared" si="338"/>
        <v/>
      </c>
      <c r="D6554" s="245" t="str">
        <f t="shared" si="340"/>
        <v/>
      </c>
      <c r="E6554" s="534"/>
      <c r="F6554" s="534"/>
    </row>
    <row r="6555" spans="1:6" ht="15" customHeight="1">
      <c r="A6555" s="51"/>
      <c r="B6555" s="52" t="str">
        <f t="shared" si="339"/>
        <v/>
      </c>
      <c r="C6555" t="str">
        <f t="shared" si="338"/>
        <v/>
      </c>
      <c r="D6555" s="245" t="str">
        <f t="shared" si="340"/>
        <v/>
      </c>
      <c r="E6555" s="534"/>
      <c r="F6555" s="534"/>
    </row>
    <row r="6556" spans="1:6" ht="15" customHeight="1">
      <c r="A6556" s="51"/>
      <c r="B6556" s="52" t="str">
        <f t="shared" si="339"/>
        <v/>
      </c>
      <c r="C6556" t="str">
        <f t="shared" si="338"/>
        <v/>
      </c>
      <c r="D6556" s="245" t="str">
        <f t="shared" si="340"/>
        <v/>
      </c>
      <c r="E6556" s="534"/>
      <c r="F6556" s="534"/>
    </row>
    <row r="6557" spans="1:6" ht="15" customHeight="1">
      <c r="A6557" s="51"/>
      <c r="B6557" s="52" t="str">
        <f t="shared" si="339"/>
        <v/>
      </c>
      <c r="C6557" t="str">
        <f t="shared" si="338"/>
        <v/>
      </c>
      <c r="D6557" s="245" t="str">
        <f t="shared" si="340"/>
        <v/>
      </c>
      <c r="E6557" s="534"/>
      <c r="F6557" s="534"/>
    </row>
    <row r="6558" spans="1:6" ht="15" customHeight="1">
      <c r="A6558" s="51"/>
      <c r="B6558" s="52" t="str">
        <f t="shared" si="339"/>
        <v/>
      </c>
      <c r="C6558" t="str">
        <f t="shared" si="338"/>
        <v/>
      </c>
      <c r="D6558" s="245" t="str">
        <f t="shared" si="340"/>
        <v/>
      </c>
      <c r="E6558" s="534"/>
      <c r="F6558" s="534"/>
    </row>
    <row r="6559" spans="1:6" ht="15" customHeight="1">
      <c r="A6559" s="51"/>
      <c r="B6559" s="52" t="str">
        <f t="shared" si="339"/>
        <v/>
      </c>
      <c r="C6559" t="str">
        <f t="shared" si="338"/>
        <v/>
      </c>
      <c r="D6559" s="245" t="str">
        <f t="shared" si="340"/>
        <v/>
      </c>
      <c r="E6559" s="534"/>
      <c r="F6559" s="534"/>
    </row>
    <row r="6560" spans="1:6" ht="15" customHeight="1">
      <c r="A6560" s="51"/>
      <c r="B6560" s="52" t="str">
        <f t="shared" si="339"/>
        <v/>
      </c>
      <c r="C6560" t="str">
        <f t="shared" si="338"/>
        <v/>
      </c>
      <c r="D6560" s="245" t="str">
        <f t="shared" si="340"/>
        <v/>
      </c>
      <c r="E6560" s="534"/>
      <c r="F6560" s="534"/>
    </row>
    <row r="6561" spans="1:6" ht="15" customHeight="1">
      <c r="A6561" s="51"/>
      <c r="B6561" s="52" t="str">
        <f t="shared" si="339"/>
        <v/>
      </c>
      <c r="C6561" t="str">
        <f t="shared" si="338"/>
        <v/>
      </c>
      <c r="D6561" s="245" t="str">
        <f t="shared" si="340"/>
        <v/>
      </c>
      <c r="E6561" s="534"/>
      <c r="F6561" s="534"/>
    </row>
    <row r="6562" spans="1:6" ht="15" customHeight="1">
      <c r="A6562" s="51"/>
      <c r="B6562" s="52" t="str">
        <f t="shared" si="339"/>
        <v/>
      </c>
      <c r="C6562" t="str">
        <f t="shared" si="338"/>
        <v/>
      </c>
      <c r="D6562" s="245" t="str">
        <f t="shared" si="340"/>
        <v/>
      </c>
      <c r="E6562" s="534"/>
      <c r="F6562" s="534"/>
    </row>
    <row r="6563" spans="1:6" ht="15" customHeight="1">
      <c r="A6563" s="51"/>
      <c r="B6563" s="52" t="str">
        <f t="shared" si="339"/>
        <v/>
      </c>
      <c r="C6563" t="str">
        <f t="shared" si="338"/>
        <v/>
      </c>
      <c r="D6563" s="245" t="str">
        <f t="shared" si="340"/>
        <v/>
      </c>
      <c r="E6563" s="534"/>
      <c r="F6563" s="534"/>
    </row>
    <row r="6564" spans="1:6" ht="15" customHeight="1">
      <c r="A6564" s="51"/>
      <c r="B6564" s="52" t="str">
        <f t="shared" si="339"/>
        <v/>
      </c>
      <c r="C6564" t="str">
        <f t="shared" si="338"/>
        <v/>
      </c>
      <c r="D6564" s="245" t="str">
        <f t="shared" si="340"/>
        <v/>
      </c>
      <c r="E6564" s="534"/>
      <c r="F6564" s="534"/>
    </row>
    <row r="6565" spans="1:6" ht="15" customHeight="1">
      <c r="A6565" s="51"/>
      <c r="B6565" s="52" t="str">
        <f t="shared" si="339"/>
        <v/>
      </c>
      <c r="C6565" t="str">
        <f t="shared" si="338"/>
        <v/>
      </c>
      <c r="D6565" s="245" t="str">
        <f t="shared" si="340"/>
        <v/>
      </c>
      <c r="E6565" s="534"/>
      <c r="F6565" s="534"/>
    </row>
    <row r="6566" spans="1:6" ht="15" customHeight="1">
      <c r="A6566" s="51"/>
      <c r="B6566" s="52" t="str">
        <f t="shared" si="339"/>
        <v/>
      </c>
      <c r="C6566" t="str">
        <f t="shared" si="338"/>
        <v/>
      </c>
      <c r="D6566" s="245" t="str">
        <f t="shared" si="340"/>
        <v/>
      </c>
      <c r="E6566" s="534"/>
      <c r="F6566" s="534"/>
    </row>
    <row r="6567" spans="1:6" ht="15" customHeight="1">
      <c r="A6567" s="51"/>
      <c r="B6567" s="52" t="str">
        <f t="shared" si="339"/>
        <v/>
      </c>
      <c r="C6567" t="str">
        <f t="shared" si="338"/>
        <v/>
      </c>
      <c r="D6567" s="245" t="str">
        <f t="shared" si="340"/>
        <v/>
      </c>
      <c r="E6567" s="534"/>
      <c r="F6567" s="534"/>
    </row>
    <row r="6568" spans="1:6" ht="15" customHeight="1">
      <c r="A6568" s="51"/>
      <c r="B6568" s="52" t="str">
        <f t="shared" si="339"/>
        <v/>
      </c>
      <c r="C6568" t="str">
        <f t="shared" si="338"/>
        <v/>
      </c>
      <c r="D6568" s="245" t="str">
        <f t="shared" si="340"/>
        <v/>
      </c>
      <c r="E6568" s="534"/>
      <c r="F6568" s="534"/>
    </row>
    <row r="6569" spans="1:6" ht="15" customHeight="1">
      <c r="A6569" s="51"/>
      <c r="B6569" s="52" t="str">
        <f t="shared" si="339"/>
        <v/>
      </c>
      <c r="C6569" t="str">
        <f t="shared" si="338"/>
        <v/>
      </c>
      <c r="D6569" s="245" t="str">
        <f t="shared" si="340"/>
        <v/>
      </c>
      <c r="E6569" s="534"/>
      <c r="F6569" s="534"/>
    </row>
    <row r="6570" spans="1:6" ht="15" customHeight="1">
      <c r="A6570" s="51"/>
      <c r="B6570" s="52" t="str">
        <f t="shared" si="339"/>
        <v/>
      </c>
      <c r="C6570" t="str">
        <f t="shared" si="338"/>
        <v/>
      </c>
      <c r="D6570" s="245" t="str">
        <f t="shared" si="340"/>
        <v/>
      </c>
      <c r="E6570" s="534"/>
      <c r="F6570" s="534"/>
    </row>
    <row r="6571" spans="1:6" ht="15" customHeight="1">
      <c r="A6571" s="51"/>
      <c r="B6571" s="52" t="str">
        <f t="shared" si="339"/>
        <v/>
      </c>
      <c r="C6571" t="str">
        <f t="shared" si="338"/>
        <v/>
      </c>
      <c r="D6571" s="245" t="str">
        <f t="shared" si="340"/>
        <v/>
      </c>
      <c r="E6571" s="534"/>
      <c r="F6571" s="534"/>
    </row>
    <row r="6572" spans="1:6" ht="15" customHeight="1">
      <c r="A6572" s="51"/>
      <c r="B6572" s="52" t="str">
        <f t="shared" si="339"/>
        <v/>
      </c>
      <c r="C6572" t="str">
        <f t="shared" si="338"/>
        <v/>
      </c>
      <c r="D6572" s="245" t="str">
        <f t="shared" si="340"/>
        <v/>
      </c>
      <c r="E6572" s="534"/>
      <c r="F6572" s="534"/>
    </row>
    <row r="6573" spans="1:6" ht="15" customHeight="1">
      <c r="A6573" s="51"/>
      <c r="B6573" s="52" t="str">
        <f t="shared" si="339"/>
        <v/>
      </c>
      <c r="C6573" t="str">
        <f t="shared" si="338"/>
        <v/>
      </c>
      <c r="D6573" s="245" t="str">
        <f t="shared" si="340"/>
        <v/>
      </c>
      <c r="E6573" s="534"/>
      <c r="F6573" s="534"/>
    </row>
    <row r="6574" spans="1:6" ht="15" customHeight="1">
      <c r="A6574" s="51"/>
      <c r="B6574" s="52" t="str">
        <f t="shared" si="339"/>
        <v/>
      </c>
      <c r="C6574" t="str">
        <f t="shared" si="338"/>
        <v/>
      </c>
      <c r="D6574" s="245" t="str">
        <f t="shared" si="340"/>
        <v/>
      </c>
      <c r="E6574" s="534"/>
      <c r="F6574" s="534"/>
    </row>
    <row r="6575" spans="1:6" ht="15" customHeight="1">
      <c r="A6575" s="51"/>
      <c r="B6575" s="52" t="str">
        <f t="shared" si="339"/>
        <v/>
      </c>
      <c r="C6575" t="str">
        <f t="shared" si="338"/>
        <v/>
      </c>
      <c r="D6575" s="245" t="str">
        <f t="shared" si="340"/>
        <v/>
      </c>
      <c r="E6575" s="534"/>
      <c r="F6575" s="534"/>
    </row>
    <row r="6576" spans="1:6" ht="15" customHeight="1">
      <c r="A6576" s="51"/>
      <c r="B6576" s="52" t="str">
        <f t="shared" si="339"/>
        <v/>
      </c>
      <c r="C6576" t="str">
        <f t="shared" si="338"/>
        <v/>
      </c>
      <c r="D6576" s="245" t="str">
        <f t="shared" si="340"/>
        <v/>
      </c>
      <c r="E6576" s="534"/>
      <c r="F6576" s="534"/>
    </row>
    <row r="6577" spans="1:6" ht="15" customHeight="1">
      <c r="A6577" s="51"/>
      <c r="B6577" s="52" t="str">
        <f t="shared" si="339"/>
        <v/>
      </c>
      <c r="C6577" t="str">
        <f t="shared" si="338"/>
        <v/>
      </c>
      <c r="D6577" s="245" t="str">
        <f t="shared" si="340"/>
        <v/>
      </c>
      <c r="E6577" s="534"/>
      <c r="F6577" s="534"/>
    </row>
    <row r="6578" spans="1:6" ht="15" customHeight="1">
      <c r="A6578" s="51"/>
      <c r="B6578" s="52" t="str">
        <f t="shared" si="339"/>
        <v/>
      </c>
      <c r="C6578" t="str">
        <f t="shared" si="338"/>
        <v/>
      </c>
      <c r="D6578" s="245" t="str">
        <f t="shared" si="340"/>
        <v/>
      </c>
      <c r="E6578" s="534"/>
      <c r="F6578" s="534"/>
    </row>
    <row r="6579" spans="1:6" ht="15" customHeight="1">
      <c r="A6579" s="51"/>
      <c r="B6579" s="52" t="str">
        <f t="shared" si="339"/>
        <v/>
      </c>
      <c r="C6579" t="str">
        <f t="shared" si="338"/>
        <v/>
      </c>
      <c r="D6579" s="245" t="str">
        <f t="shared" si="340"/>
        <v/>
      </c>
      <c r="E6579" s="534"/>
      <c r="F6579" s="534"/>
    </row>
    <row r="6580" spans="1:6" ht="15" customHeight="1">
      <c r="A6580" s="51"/>
      <c r="B6580" s="52" t="str">
        <f t="shared" si="339"/>
        <v/>
      </c>
      <c r="C6580" t="str">
        <f t="shared" si="338"/>
        <v/>
      </c>
      <c r="D6580" s="245" t="str">
        <f t="shared" si="340"/>
        <v/>
      </c>
      <c r="E6580" s="534"/>
      <c r="F6580" s="534"/>
    </row>
    <row r="6581" spans="1:6" ht="15" customHeight="1">
      <c r="A6581" s="51"/>
      <c r="B6581" s="52" t="str">
        <f t="shared" si="339"/>
        <v/>
      </c>
      <c r="C6581" t="str">
        <f t="shared" si="338"/>
        <v/>
      </c>
      <c r="D6581" s="245" t="str">
        <f t="shared" si="340"/>
        <v/>
      </c>
      <c r="E6581" s="534"/>
      <c r="F6581" s="534"/>
    </row>
    <row r="6582" spans="1:6" ht="15" customHeight="1">
      <c r="A6582" s="51"/>
      <c r="B6582" s="52" t="str">
        <f t="shared" si="339"/>
        <v/>
      </c>
      <c r="C6582" t="str">
        <f t="shared" si="338"/>
        <v/>
      </c>
      <c r="D6582" s="245" t="str">
        <f t="shared" si="340"/>
        <v/>
      </c>
      <c r="E6582" s="534"/>
      <c r="F6582" s="534"/>
    </row>
    <row r="6583" spans="1:6" ht="15" customHeight="1">
      <c r="A6583" s="51"/>
      <c r="B6583" s="52" t="str">
        <f t="shared" si="339"/>
        <v/>
      </c>
      <c r="C6583" t="str">
        <f t="shared" si="338"/>
        <v/>
      </c>
      <c r="D6583" s="245" t="str">
        <f t="shared" si="340"/>
        <v/>
      </c>
      <c r="E6583" s="534"/>
      <c r="F6583" s="534"/>
    </row>
    <row r="6584" spans="1:6" ht="15" customHeight="1">
      <c r="A6584" s="51"/>
      <c r="B6584" s="52" t="str">
        <f t="shared" si="339"/>
        <v/>
      </c>
      <c r="C6584" t="str">
        <f t="shared" si="338"/>
        <v/>
      </c>
      <c r="D6584" s="245" t="str">
        <f t="shared" si="340"/>
        <v/>
      </c>
      <c r="E6584" s="534"/>
      <c r="F6584" s="534"/>
    </row>
    <row r="6585" spans="1:6" ht="15" customHeight="1">
      <c r="A6585" s="51"/>
      <c r="B6585" s="52" t="str">
        <f t="shared" si="339"/>
        <v/>
      </c>
      <c r="C6585" t="str">
        <f t="shared" si="338"/>
        <v/>
      </c>
      <c r="D6585" s="245" t="str">
        <f t="shared" si="340"/>
        <v/>
      </c>
      <c r="E6585" s="534"/>
      <c r="F6585" s="534"/>
    </row>
    <row r="6586" spans="1:6" ht="15" customHeight="1">
      <c r="A6586" s="51"/>
      <c r="B6586" s="52" t="str">
        <f t="shared" si="339"/>
        <v/>
      </c>
      <c r="C6586" t="str">
        <f t="shared" si="338"/>
        <v/>
      </c>
      <c r="D6586" s="245" t="str">
        <f t="shared" si="340"/>
        <v/>
      </c>
      <c r="E6586" s="534"/>
      <c r="F6586" s="534"/>
    </row>
    <row r="6587" spans="1:6" ht="15" customHeight="1">
      <c r="A6587" s="51"/>
      <c r="B6587" s="52" t="str">
        <f t="shared" si="339"/>
        <v/>
      </c>
      <c r="C6587" t="str">
        <f t="shared" si="338"/>
        <v/>
      </c>
      <c r="D6587" s="245" t="str">
        <f t="shared" si="340"/>
        <v/>
      </c>
      <c r="E6587" s="534"/>
      <c r="F6587" s="534"/>
    </row>
    <row r="6588" spans="1:6" ht="15" customHeight="1">
      <c r="A6588" s="51"/>
      <c r="B6588" s="52" t="str">
        <f t="shared" si="339"/>
        <v/>
      </c>
      <c r="C6588" t="str">
        <f t="shared" si="338"/>
        <v/>
      </c>
      <c r="D6588" s="245" t="str">
        <f t="shared" si="340"/>
        <v/>
      </c>
      <c r="E6588" s="534"/>
      <c r="F6588" s="534"/>
    </row>
    <row r="6589" spans="1:6" ht="15" customHeight="1">
      <c r="A6589" s="51"/>
      <c r="B6589" s="52" t="str">
        <f t="shared" si="339"/>
        <v/>
      </c>
      <c r="C6589" t="str">
        <f t="shared" si="338"/>
        <v/>
      </c>
      <c r="D6589" s="245" t="str">
        <f t="shared" si="340"/>
        <v/>
      </c>
      <c r="E6589" s="534"/>
      <c r="F6589" s="534"/>
    </row>
    <row r="6590" spans="1:6" ht="15" customHeight="1">
      <c r="A6590" s="51"/>
      <c r="B6590" s="52" t="str">
        <f t="shared" si="339"/>
        <v/>
      </c>
      <c r="C6590" t="str">
        <f t="shared" si="338"/>
        <v/>
      </c>
      <c r="D6590" s="245" t="str">
        <f t="shared" si="340"/>
        <v/>
      </c>
      <c r="E6590" s="534"/>
      <c r="F6590" s="534"/>
    </row>
    <row r="6591" spans="1:6" ht="15" customHeight="1">
      <c r="A6591" s="51"/>
      <c r="B6591" s="52" t="str">
        <f t="shared" si="339"/>
        <v/>
      </c>
      <c r="C6591" t="str">
        <f t="shared" si="338"/>
        <v/>
      </c>
      <c r="D6591" s="245" t="str">
        <f t="shared" si="340"/>
        <v/>
      </c>
      <c r="E6591" s="534"/>
      <c r="F6591" s="534"/>
    </row>
    <row r="6592" spans="1:6" ht="15" customHeight="1">
      <c r="A6592" s="51"/>
      <c r="B6592" s="52" t="str">
        <f t="shared" si="339"/>
        <v/>
      </c>
      <c r="C6592" t="str">
        <f t="shared" si="338"/>
        <v/>
      </c>
      <c r="D6592" s="245" t="str">
        <f t="shared" si="340"/>
        <v/>
      </c>
      <c r="E6592" s="534"/>
      <c r="F6592" s="534"/>
    </row>
    <row r="6593" spans="1:6" ht="15" customHeight="1">
      <c r="A6593" s="51"/>
      <c r="B6593" s="52" t="str">
        <f t="shared" si="339"/>
        <v/>
      </c>
      <c r="C6593" t="str">
        <f t="shared" si="338"/>
        <v/>
      </c>
      <c r="D6593" s="245" t="str">
        <f t="shared" si="340"/>
        <v/>
      </c>
      <c r="E6593" s="534"/>
      <c r="F6593" s="534"/>
    </row>
    <row r="6594" spans="1:6" ht="15" customHeight="1">
      <c r="A6594" s="51"/>
      <c r="B6594" s="52" t="str">
        <f t="shared" si="339"/>
        <v/>
      </c>
      <c r="C6594" t="str">
        <f t="shared" ref="C6594:C6657" si="341">IF(A6594&lt;&gt;"",TEXT(A6594,"aaaa"),"")</f>
        <v/>
      </c>
      <c r="D6594" s="245" t="str">
        <f t="shared" si="340"/>
        <v/>
      </c>
      <c r="E6594" s="534"/>
      <c r="F6594" s="534"/>
    </row>
    <row r="6595" spans="1:6" ht="15" customHeight="1">
      <c r="A6595" s="51"/>
      <c r="B6595" s="52" t="str">
        <f t="shared" si="339"/>
        <v/>
      </c>
      <c r="C6595" t="str">
        <f t="shared" si="341"/>
        <v/>
      </c>
      <c r="D6595" s="245" t="str">
        <f t="shared" si="340"/>
        <v/>
      </c>
      <c r="E6595" s="534"/>
      <c r="F6595" s="534"/>
    </row>
    <row r="6596" spans="1:6" ht="15" customHeight="1">
      <c r="A6596" s="51"/>
      <c r="B6596" s="52" t="str">
        <f t="shared" si="339"/>
        <v/>
      </c>
      <c r="C6596" t="str">
        <f t="shared" si="341"/>
        <v/>
      </c>
      <c r="D6596" s="245" t="str">
        <f t="shared" si="340"/>
        <v/>
      </c>
      <c r="E6596" s="534"/>
      <c r="F6596" s="534"/>
    </row>
    <row r="6597" spans="1:6" ht="15" customHeight="1">
      <c r="A6597" s="51"/>
      <c r="B6597" s="52" t="str">
        <f t="shared" si="339"/>
        <v/>
      </c>
      <c r="C6597" t="str">
        <f t="shared" si="341"/>
        <v/>
      </c>
      <c r="D6597" s="245" t="str">
        <f t="shared" si="340"/>
        <v/>
      </c>
      <c r="E6597" s="534"/>
      <c r="F6597" s="534"/>
    </row>
    <row r="6598" spans="1:6" ht="15" customHeight="1">
      <c r="A6598" s="51"/>
      <c r="B6598" s="52" t="str">
        <f t="shared" si="339"/>
        <v/>
      </c>
      <c r="C6598" t="str">
        <f t="shared" si="341"/>
        <v/>
      </c>
      <c r="D6598" s="245" t="str">
        <f t="shared" si="340"/>
        <v/>
      </c>
      <c r="E6598" s="534"/>
      <c r="F6598" s="534"/>
    </row>
    <row r="6599" spans="1:6" ht="15" customHeight="1">
      <c r="A6599" s="51"/>
      <c r="B6599" s="52" t="str">
        <f t="shared" si="339"/>
        <v/>
      </c>
      <c r="C6599" t="str">
        <f t="shared" si="341"/>
        <v/>
      </c>
      <c r="D6599" s="245" t="str">
        <f t="shared" si="340"/>
        <v/>
      </c>
      <c r="E6599" s="534"/>
      <c r="F6599" s="534"/>
    </row>
    <row r="6600" spans="1:6" ht="15" customHeight="1">
      <c r="A6600" s="51"/>
      <c r="B6600" s="52" t="str">
        <f t="shared" ref="B6600:B6663" si="342">IF(A6600="","",TEXT(A6600,"DDDD"))</f>
        <v/>
      </c>
      <c r="C6600" t="str">
        <f t="shared" si="341"/>
        <v/>
      </c>
      <c r="D6600" s="245" t="str">
        <f t="shared" si="340"/>
        <v/>
      </c>
      <c r="E6600" s="534"/>
      <c r="F6600" s="534"/>
    </row>
    <row r="6601" spans="1:6" ht="15" customHeight="1">
      <c r="A6601" s="51"/>
      <c r="B6601" s="52" t="str">
        <f t="shared" si="342"/>
        <v/>
      </c>
      <c r="C6601" t="str">
        <f t="shared" si="341"/>
        <v/>
      </c>
      <c r="D6601" s="245" t="str">
        <f t="shared" ref="D6601:D6664" si="343">IF(A6601&lt;&gt;"",PROPER(TEXT(A6601,"Mmmm")),"")</f>
        <v/>
      </c>
      <c r="E6601" s="534"/>
      <c r="F6601" s="534"/>
    </row>
    <row r="6602" spans="1:6" ht="15" customHeight="1">
      <c r="A6602" s="51"/>
      <c r="B6602" s="52" t="str">
        <f t="shared" si="342"/>
        <v/>
      </c>
      <c r="C6602" t="str">
        <f t="shared" si="341"/>
        <v/>
      </c>
      <c r="D6602" s="245" t="str">
        <f t="shared" si="343"/>
        <v/>
      </c>
      <c r="E6602" s="534"/>
      <c r="F6602" s="534"/>
    </row>
    <row r="6603" spans="1:6" ht="15" customHeight="1">
      <c r="A6603" s="51"/>
      <c r="B6603" s="52" t="str">
        <f t="shared" si="342"/>
        <v/>
      </c>
      <c r="C6603" t="str">
        <f t="shared" si="341"/>
        <v/>
      </c>
      <c r="D6603" s="245" t="str">
        <f t="shared" si="343"/>
        <v/>
      </c>
      <c r="E6603" s="534"/>
      <c r="F6603" s="534"/>
    </row>
    <row r="6604" spans="1:6" ht="15" customHeight="1">
      <c r="A6604" s="51"/>
      <c r="B6604" s="52" t="str">
        <f t="shared" si="342"/>
        <v/>
      </c>
      <c r="C6604" t="str">
        <f t="shared" si="341"/>
        <v/>
      </c>
      <c r="D6604" s="245" t="str">
        <f t="shared" si="343"/>
        <v/>
      </c>
      <c r="E6604" s="534"/>
      <c r="F6604" s="534"/>
    </row>
    <row r="6605" spans="1:6" ht="15" customHeight="1">
      <c r="A6605" s="51"/>
      <c r="B6605" s="52" t="str">
        <f t="shared" si="342"/>
        <v/>
      </c>
      <c r="C6605" t="str">
        <f t="shared" si="341"/>
        <v/>
      </c>
      <c r="D6605" s="245" t="str">
        <f t="shared" si="343"/>
        <v/>
      </c>
      <c r="E6605" s="534"/>
      <c r="F6605" s="534"/>
    </row>
    <row r="6606" spans="1:6" ht="15" customHeight="1">
      <c r="A6606" s="51"/>
      <c r="B6606" s="52" t="str">
        <f t="shared" si="342"/>
        <v/>
      </c>
      <c r="C6606" t="str">
        <f t="shared" si="341"/>
        <v/>
      </c>
      <c r="D6606" s="245" t="str">
        <f t="shared" si="343"/>
        <v/>
      </c>
      <c r="E6606" s="534"/>
      <c r="F6606" s="534"/>
    </row>
    <row r="6607" spans="1:6" ht="15" customHeight="1">
      <c r="A6607" s="51"/>
      <c r="B6607" s="52" t="str">
        <f t="shared" si="342"/>
        <v/>
      </c>
      <c r="C6607" t="str">
        <f t="shared" si="341"/>
        <v/>
      </c>
      <c r="D6607" s="245" t="str">
        <f t="shared" si="343"/>
        <v/>
      </c>
      <c r="E6607" s="534"/>
      <c r="F6607" s="534"/>
    </row>
    <row r="6608" spans="1:6" ht="15" customHeight="1">
      <c r="A6608" s="51"/>
      <c r="B6608" s="52" t="str">
        <f t="shared" si="342"/>
        <v/>
      </c>
      <c r="C6608" t="str">
        <f t="shared" si="341"/>
        <v/>
      </c>
      <c r="D6608" s="245" t="str">
        <f t="shared" si="343"/>
        <v/>
      </c>
      <c r="E6608" s="534"/>
      <c r="F6608" s="534"/>
    </row>
    <row r="6609" spans="1:6" ht="15" customHeight="1">
      <c r="A6609" s="51"/>
      <c r="B6609" s="52" t="str">
        <f t="shared" si="342"/>
        <v/>
      </c>
      <c r="C6609" t="str">
        <f t="shared" si="341"/>
        <v/>
      </c>
      <c r="D6609" s="245" t="str">
        <f t="shared" si="343"/>
        <v/>
      </c>
      <c r="E6609" s="534"/>
      <c r="F6609" s="534"/>
    </row>
    <row r="6610" spans="1:6" ht="15" customHeight="1">
      <c r="A6610" s="51"/>
      <c r="B6610" s="52" t="str">
        <f t="shared" si="342"/>
        <v/>
      </c>
      <c r="C6610" t="str">
        <f t="shared" si="341"/>
        <v/>
      </c>
      <c r="D6610" s="245" t="str">
        <f t="shared" si="343"/>
        <v/>
      </c>
      <c r="E6610" s="534"/>
      <c r="F6610" s="534"/>
    </row>
    <row r="6611" spans="1:6" ht="15" customHeight="1">
      <c r="A6611" s="51"/>
      <c r="B6611" s="52" t="str">
        <f t="shared" si="342"/>
        <v/>
      </c>
      <c r="C6611" t="str">
        <f t="shared" si="341"/>
        <v/>
      </c>
      <c r="D6611" s="245" t="str">
        <f t="shared" si="343"/>
        <v/>
      </c>
      <c r="E6611" s="534"/>
      <c r="F6611" s="534"/>
    </row>
    <row r="6612" spans="1:6" ht="15" customHeight="1">
      <c r="A6612" s="51"/>
      <c r="B6612" s="52" t="str">
        <f t="shared" si="342"/>
        <v/>
      </c>
      <c r="C6612" t="str">
        <f t="shared" si="341"/>
        <v/>
      </c>
      <c r="D6612" s="245" t="str">
        <f t="shared" si="343"/>
        <v/>
      </c>
      <c r="E6612" s="534"/>
      <c r="F6612" s="534"/>
    </row>
    <row r="6613" spans="1:6" ht="15" customHeight="1">
      <c r="A6613" s="51"/>
      <c r="B6613" s="52" t="str">
        <f t="shared" si="342"/>
        <v/>
      </c>
      <c r="C6613" t="str">
        <f t="shared" si="341"/>
        <v/>
      </c>
      <c r="D6613" s="245" t="str">
        <f t="shared" si="343"/>
        <v/>
      </c>
      <c r="E6613" s="534"/>
      <c r="F6613" s="534"/>
    </row>
    <row r="6614" spans="1:6" ht="15" customHeight="1">
      <c r="A6614" s="51"/>
      <c r="B6614" s="52" t="str">
        <f t="shared" si="342"/>
        <v/>
      </c>
      <c r="C6614" t="str">
        <f t="shared" si="341"/>
        <v/>
      </c>
      <c r="D6614" s="245" t="str">
        <f t="shared" si="343"/>
        <v/>
      </c>
      <c r="E6614" s="534"/>
      <c r="F6614" s="534"/>
    </row>
    <row r="6615" spans="1:6" ht="15" customHeight="1">
      <c r="A6615" s="51"/>
      <c r="B6615" s="52" t="str">
        <f t="shared" si="342"/>
        <v/>
      </c>
      <c r="C6615" t="str">
        <f t="shared" si="341"/>
        <v/>
      </c>
      <c r="D6615" s="245" t="str">
        <f t="shared" si="343"/>
        <v/>
      </c>
      <c r="E6615" s="534"/>
      <c r="F6615" s="534"/>
    </row>
    <row r="6616" spans="1:6" ht="15" customHeight="1">
      <c r="A6616" s="51"/>
      <c r="B6616" s="52" t="str">
        <f t="shared" si="342"/>
        <v/>
      </c>
      <c r="C6616" t="str">
        <f t="shared" si="341"/>
        <v/>
      </c>
      <c r="D6616" s="245" t="str">
        <f t="shared" si="343"/>
        <v/>
      </c>
      <c r="E6616" s="534"/>
      <c r="F6616" s="534"/>
    </row>
    <row r="6617" spans="1:6" ht="15" customHeight="1">
      <c r="A6617" s="51"/>
      <c r="B6617" s="52" t="str">
        <f t="shared" si="342"/>
        <v/>
      </c>
      <c r="C6617" t="str">
        <f t="shared" si="341"/>
        <v/>
      </c>
      <c r="D6617" s="245" t="str">
        <f t="shared" si="343"/>
        <v/>
      </c>
      <c r="E6617" s="534"/>
      <c r="F6617" s="534"/>
    </row>
    <row r="6618" spans="1:6" ht="15" customHeight="1">
      <c r="A6618" s="51"/>
      <c r="B6618" s="52" t="str">
        <f t="shared" si="342"/>
        <v/>
      </c>
      <c r="C6618" t="str">
        <f t="shared" si="341"/>
        <v/>
      </c>
      <c r="D6618" s="245" t="str">
        <f t="shared" si="343"/>
        <v/>
      </c>
      <c r="E6618" s="534"/>
      <c r="F6618" s="534"/>
    </row>
    <row r="6619" spans="1:6" ht="15" customHeight="1">
      <c r="A6619" s="51"/>
      <c r="B6619" s="52" t="str">
        <f t="shared" si="342"/>
        <v/>
      </c>
      <c r="C6619" t="str">
        <f t="shared" si="341"/>
        <v/>
      </c>
      <c r="D6619" s="245" t="str">
        <f t="shared" si="343"/>
        <v/>
      </c>
      <c r="E6619" s="534"/>
      <c r="F6619" s="534"/>
    </row>
    <row r="6620" spans="1:6" ht="15" customHeight="1">
      <c r="A6620" s="51"/>
      <c r="B6620" s="52" t="str">
        <f t="shared" si="342"/>
        <v/>
      </c>
      <c r="C6620" t="str">
        <f t="shared" si="341"/>
        <v/>
      </c>
      <c r="D6620" s="245" t="str">
        <f t="shared" si="343"/>
        <v/>
      </c>
      <c r="E6620" s="534"/>
      <c r="F6620" s="534"/>
    </row>
    <row r="6621" spans="1:6" ht="15" customHeight="1">
      <c r="A6621" s="51"/>
      <c r="B6621" s="52" t="str">
        <f t="shared" si="342"/>
        <v/>
      </c>
      <c r="C6621" t="str">
        <f t="shared" si="341"/>
        <v/>
      </c>
      <c r="D6621" s="245" t="str">
        <f t="shared" si="343"/>
        <v/>
      </c>
      <c r="E6621" s="534"/>
      <c r="F6621" s="534"/>
    </row>
    <row r="6622" spans="1:6" ht="15" customHeight="1">
      <c r="A6622" s="51"/>
      <c r="B6622" s="52" t="str">
        <f t="shared" si="342"/>
        <v/>
      </c>
      <c r="C6622" t="str">
        <f t="shared" si="341"/>
        <v/>
      </c>
      <c r="D6622" s="245" t="str">
        <f t="shared" si="343"/>
        <v/>
      </c>
      <c r="E6622" s="534"/>
      <c r="F6622" s="534"/>
    </row>
    <row r="6623" spans="1:6" ht="15" customHeight="1">
      <c r="A6623" s="51"/>
      <c r="B6623" s="52" t="str">
        <f t="shared" si="342"/>
        <v/>
      </c>
      <c r="C6623" t="str">
        <f t="shared" si="341"/>
        <v/>
      </c>
      <c r="D6623" s="245" t="str">
        <f t="shared" si="343"/>
        <v/>
      </c>
      <c r="E6623" s="534"/>
      <c r="F6623" s="534"/>
    </row>
    <row r="6624" spans="1:6" ht="15" customHeight="1">
      <c r="A6624" s="51"/>
      <c r="B6624" s="52" t="str">
        <f t="shared" si="342"/>
        <v/>
      </c>
      <c r="C6624" t="str">
        <f t="shared" si="341"/>
        <v/>
      </c>
      <c r="D6624" s="245" t="str">
        <f t="shared" si="343"/>
        <v/>
      </c>
      <c r="E6624" s="534"/>
      <c r="F6624" s="534"/>
    </row>
    <row r="6625" spans="1:6" ht="15" customHeight="1">
      <c r="A6625" s="51"/>
      <c r="B6625" s="52" t="str">
        <f t="shared" si="342"/>
        <v/>
      </c>
      <c r="C6625" t="str">
        <f t="shared" si="341"/>
        <v/>
      </c>
      <c r="D6625" s="245" t="str">
        <f t="shared" si="343"/>
        <v/>
      </c>
      <c r="E6625" s="534"/>
      <c r="F6625" s="534"/>
    </row>
    <row r="6626" spans="1:6" ht="15" customHeight="1">
      <c r="A6626" s="51"/>
      <c r="B6626" s="52" t="str">
        <f t="shared" si="342"/>
        <v/>
      </c>
      <c r="C6626" t="str">
        <f t="shared" si="341"/>
        <v/>
      </c>
      <c r="D6626" s="245" t="str">
        <f t="shared" si="343"/>
        <v/>
      </c>
      <c r="E6626" s="534"/>
      <c r="F6626" s="534"/>
    </row>
    <row r="6627" spans="1:6" ht="15" customHeight="1">
      <c r="A6627" s="51"/>
      <c r="B6627" s="52" t="str">
        <f t="shared" si="342"/>
        <v/>
      </c>
      <c r="C6627" t="str">
        <f t="shared" si="341"/>
        <v/>
      </c>
      <c r="D6627" s="245" t="str">
        <f t="shared" si="343"/>
        <v/>
      </c>
      <c r="E6627" s="534"/>
      <c r="F6627" s="534"/>
    </row>
    <row r="6628" spans="1:6" ht="15" customHeight="1">
      <c r="A6628" s="51"/>
      <c r="B6628" s="52" t="str">
        <f t="shared" si="342"/>
        <v/>
      </c>
      <c r="C6628" t="str">
        <f t="shared" si="341"/>
        <v/>
      </c>
      <c r="D6628" s="245" t="str">
        <f t="shared" si="343"/>
        <v/>
      </c>
      <c r="E6628" s="534"/>
      <c r="F6628" s="534"/>
    </row>
    <row r="6629" spans="1:6" ht="15" customHeight="1">
      <c r="A6629" s="51"/>
      <c r="B6629" s="52" t="str">
        <f t="shared" si="342"/>
        <v/>
      </c>
      <c r="C6629" t="str">
        <f t="shared" si="341"/>
        <v/>
      </c>
      <c r="D6629" s="245" t="str">
        <f t="shared" si="343"/>
        <v/>
      </c>
      <c r="E6629" s="534"/>
      <c r="F6629" s="534"/>
    </row>
    <row r="6630" spans="1:6" ht="15" customHeight="1">
      <c r="A6630" s="51"/>
      <c r="B6630" s="52" t="str">
        <f t="shared" si="342"/>
        <v/>
      </c>
      <c r="C6630" t="str">
        <f t="shared" si="341"/>
        <v/>
      </c>
      <c r="D6630" s="245" t="str">
        <f t="shared" si="343"/>
        <v/>
      </c>
      <c r="E6630" s="534"/>
      <c r="F6630" s="534"/>
    </row>
    <row r="6631" spans="1:6" ht="15" customHeight="1">
      <c r="A6631" s="51"/>
      <c r="B6631" s="52" t="str">
        <f t="shared" si="342"/>
        <v/>
      </c>
      <c r="C6631" t="str">
        <f t="shared" si="341"/>
        <v/>
      </c>
      <c r="D6631" s="245" t="str">
        <f t="shared" si="343"/>
        <v/>
      </c>
      <c r="E6631" s="534"/>
      <c r="F6631" s="534"/>
    </row>
    <row r="6632" spans="1:6" ht="15" customHeight="1">
      <c r="A6632" s="51"/>
      <c r="B6632" s="52" t="str">
        <f t="shared" si="342"/>
        <v/>
      </c>
      <c r="C6632" t="str">
        <f t="shared" si="341"/>
        <v/>
      </c>
      <c r="D6632" s="245" t="str">
        <f t="shared" si="343"/>
        <v/>
      </c>
      <c r="E6632" s="534"/>
      <c r="F6632" s="534"/>
    </row>
    <row r="6633" spans="1:6" ht="15" customHeight="1">
      <c r="A6633" s="51"/>
      <c r="B6633" s="52" t="str">
        <f t="shared" si="342"/>
        <v/>
      </c>
      <c r="C6633" t="str">
        <f t="shared" si="341"/>
        <v/>
      </c>
      <c r="D6633" s="245" t="str">
        <f t="shared" si="343"/>
        <v/>
      </c>
      <c r="E6633" s="534"/>
      <c r="F6633" s="534"/>
    </row>
    <row r="6634" spans="1:6" ht="15" customHeight="1">
      <c r="A6634" s="51"/>
      <c r="B6634" s="52" t="str">
        <f t="shared" si="342"/>
        <v/>
      </c>
      <c r="C6634" t="str">
        <f t="shared" si="341"/>
        <v/>
      </c>
      <c r="D6634" s="245" t="str">
        <f t="shared" si="343"/>
        <v/>
      </c>
      <c r="E6634" s="534"/>
      <c r="F6634" s="534"/>
    </row>
    <row r="6635" spans="1:6" ht="15" customHeight="1">
      <c r="A6635" s="51"/>
      <c r="B6635" s="52" t="str">
        <f t="shared" si="342"/>
        <v/>
      </c>
      <c r="C6635" t="str">
        <f t="shared" si="341"/>
        <v/>
      </c>
      <c r="D6635" s="245" t="str">
        <f t="shared" si="343"/>
        <v/>
      </c>
      <c r="E6635" s="534"/>
      <c r="F6635" s="534"/>
    </row>
    <row r="6636" spans="1:6" ht="15" customHeight="1">
      <c r="A6636" s="51"/>
      <c r="B6636" s="52" t="str">
        <f t="shared" si="342"/>
        <v/>
      </c>
      <c r="C6636" t="str">
        <f t="shared" si="341"/>
        <v/>
      </c>
      <c r="D6636" s="245" t="str">
        <f t="shared" si="343"/>
        <v/>
      </c>
      <c r="E6636" s="534"/>
      <c r="F6636" s="534"/>
    </row>
    <row r="6637" spans="1:6" ht="15" customHeight="1">
      <c r="A6637" s="51"/>
      <c r="B6637" s="52" t="str">
        <f t="shared" si="342"/>
        <v/>
      </c>
      <c r="C6637" t="str">
        <f t="shared" si="341"/>
        <v/>
      </c>
      <c r="D6637" s="245" t="str">
        <f t="shared" si="343"/>
        <v/>
      </c>
      <c r="E6637" s="534"/>
      <c r="F6637" s="534"/>
    </row>
    <row r="6638" spans="1:6" ht="15" customHeight="1">
      <c r="A6638" s="51"/>
      <c r="B6638" s="52" t="str">
        <f t="shared" si="342"/>
        <v/>
      </c>
      <c r="C6638" t="str">
        <f t="shared" si="341"/>
        <v/>
      </c>
      <c r="D6638" s="245" t="str">
        <f t="shared" si="343"/>
        <v/>
      </c>
      <c r="E6638" s="534"/>
      <c r="F6638" s="534"/>
    </row>
    <row r="6639" spans="1:6" ht="15" customHeight="1">
      <c r="A6639" s="51"/>
      <c r="B6639" s="52" t="str">
        <f t="shared" si="342"/>
        <v/>
      </c>
      <c r="C6639" t="str">
        <f t="shared" si="341"/>
        <v/>
      </c>
      <c r="D6639" s="245" t="str">
        <f t="shared" si="343"/>
        <v/>
      </c>
      <c r="E6639" s="534"/>
      <c r="F6639" s="534"/>
    </row>
    <row r="6640" spans="1:6" ht="15" customHeight="1">
      <c r="A6640" s="51"/>
      <c r="B6640" s="52" t="str">
        <f t="shared" si="342"/>
        <v/>
      </c>
      <c r="C6640" t="str">
        <f t="shared" si="341"/>
        <v/>
      </c>
      <c r="D6640" s="245" t="str">
        <f t="shared" si="343"/>
        <v/>
      </c>
      <c r="E6640" s="534"/>
      <c r="F6640" s="534"/>
    </row>
    <row r="6641" spans="1:6" ht="15" customHeight="1">
      <c r="A6641" s="51"/>
      <c r="B6641" s="52" t="str">
        <f t="shared" si="342"/>
        <v/>
      </c>
      <c r="C6641" t="str">
        <f t="shared" si="341"/>
        <v/>
      </c>
      <c r="D6641" s="245" t="str">
        <f t="shared" si="343"/>
        <v/>
      </c>
      <c r="E6641" s="534"/>
      <c r="F6641" s="534"/>
    </row>
    <row r="6642" spans="1:6" ht="15" customHeight="1">
      <c r="A6642" s="51"/>
      <c r="B6642" s="52" t="str">
        <f t="shared" si="342"/>
        <v/>
      </c>
      <c r="C6642" t="str">
        <f t="shared" si="341"/>
        <v/>
      </c>
      <c r="D6642" s="245" t="str">
        <f t="shared" si="343"/>
        <v/>
      </c>
      <c r="E6642" s="534"/>
      <c r="F6642" s="534"/>
    </row>
    <row r="6643" spans="1:6" ht="15" customHeight="1">
      <c r="A6643" s="51"/>
      <c r="B6643" s="52" t="str">
        <f t="shared" si="342"/>
        <v/>
      </c>
      <c r="C6643" t="str">
        <f t="shared" si="341"/>
        <v/>
      </c>
      <c r="D6643" s="245" t="str">
        <f t="shared" si="343"/>
        <v/>
      </c>
      <c r="E6643" s="534"/>
      <c r="F6643" s="534"/>
    </row>
    <row r="6644" spans="1:6" ht="15" customHeight="1">
      <c r="A6644" s="51"/>
      <c r="B6644" s="52" t="str">
        <f t="shared" si="342"/>
        <v/>
      </c>
      <c r="C6644" t="str">
        <f t="shared" si="341"/>
        <v/>
      </c>
      <c r="D6644" s="245" t="str">
        <f t="shared" si="343"/>
        <v/>
      </c>
      <c r="E6644" s="534"/>
      <c r="F6644" s="534"/>
    </row>
    <row r="6645" spans="1:6" ht="15" customHeight="1">
      <c r="A6645" s="51"/>
      <c r="B6645" s="52" t="str">
        <f t="shared" si="342"/>
        <v/>
      </c>
      <c r="C6645" t="str">
        <f t="shared" si="341"/>
        <v/>
      </c>
      <c r="D6645" s="245" t="str">
        <f t="shared" si="343"/>
        <v/>
      </c>
      <c r="E6645" s="534"/>
      <c r="F6645" s="534"/>
    </row>
    <row r="6646" spans="1:6" ht="15" customHeight="1">
      <c r="A6646" s="51"/>
      <c r="B6646" s="52" t="str">
        <f t="shared" si="342"/>
        <v/>
      </c>
      <c r="C6646" t="str">
        <f t="shared" si="341"/>
        <v/>
      </c>
      <c r="D6646" s="245" t="str">
        <f t="shared" si="343"/>
        <v/>
      </c>
      <c r="E6646" s="534"/>
      <c r="F6646" s="534"/>
    </row>
    <row r="6647" spans="1:6" ht="15" customHeight="1">
      <c r="A6647" s="51"/>
      <c r="B6647" s="52" t="str">
        <f t="shared" si="342"/>
        <v/>
      </c>
      <c r="C6647" t="str">
        <f t="shared" si="341"/>
        <v/>
      </c>
      <c r="D6647" s="245" t="str">
        <f t="shared" si="343"/>
        <v/>
      </c>
      <c r="E6647" s="534"/>
      <c r="F6647" s="534"/>
    </row>
    <row r="6648" spans="1:6" ht="15" customHeight="1">
      <c r="A6648" s="51"/>
      <c r="B6648" s="52" t="str">
        <f t="shared" si="342"/>
        <v/>
      </c>
      <c r="C6648" t="str">
        <f t="shared" si="341"/>
        <v/>
      </c>
      <c r="D6648" s="245" t="str">
        <f t="shared" si="343"/>
        <v/>
      </c>
      <c r="E6648" s="534"/>
      <c r="F6648" s="534"/>
    </row>
    <row r="6649" spans="1:6" ht="15" customHeight="1">
      <c r="A6649" s="51"/>
      <c r="B6649" s="52" t="str">
        <f t="shared" si="342"/>
        <v/>
      </c>
      <c r="C6649" t="str">
        <f t="shared" si="341"/>
        <v/>
      </c>
      <c r="D6649" s="245" t="str">
        <f t="shared" si="343"/>
        <v/>
      </c>
      <c r="E6649" s="534"/>
      <c r="F6649" s="534"/>
    </row>
    <row r="6650" spans="1:6" ht="15" customHeight="1">
      <c r="A6650" s="51"/>
      <c r="B6650" s="52" t="str">
        <f t="shared" si="342"/>
        <v/>
      </c>
      <c r="C6650" t="str">
        <f t="shared" si="341"/>
        <v/>
      </c>
      <c r="D6650" s="245" t="str">
        <f t="shared" si="343"/>
        <v/>
      </c>
      <c r="E6650" s="534"/>
      <c r="F6650" s="534"/>
    </row>
    <row r="6651" spans="1:6" ht="15" customHeight="1">
      <c r="A6651" s="51"/>
      <c r="B6651" s="52" t="str">
        <f t="shared" si="342"/>
        <v/>
      </c>
      <c r="C6651" t="str">
        <f t="shared" si="341"/>
        <v/>
      </c>
      <c r="D6651" s="245" t="str">
        <f t="shared" si="343"/>
        <v/>
      </c>
      <c r="E6651" s="534"/>
      <c r="F6651" s="534"/>
    </row>
    <row r="6652" spans="1:6" ht="15" customHeight="1">
      <c r="A6652" s="51"/>
      <c r="B6652" s="52" t="str">
        <f t="shared" si="342"/>
        <v/>
      </c>
      <c r="C6652" t="str">
        <f t="shared" si="341"/>
        <v/>
      </c>
      <c r="D6652" s="245" t="str">
        <f t="shared" si="343"/>
        <v/>
      </c>
      <c r="E6652" s="534"/>
      <c r="F6652" s="534"/>
    </row>
    <row r="6653" spans="1:6" ht="15" customHeight="1">
      <c r="A6653" s="51"/>
      <c r="B6653" s="52" t="str">
        <f t="shared" si="342"/>
        <v/>
      </c>
      <c r="C6653" t="str">
        <f t="shared" si="341"/>
        <v/>
      </c>
      <c r="D6653" s="245" t="str">
        <f t="shared" si="343"/>
        <v/>
      </c>
      <c r="E6653" s="534"/>
      <c r="F6653" s="534"/>
    </row>
    <row r="6654" spans="1:6" ht="15" customHeight="1">
      <c r="A6654" s="51"/>
      <c r="B6654" s="52" t="str">
        <f t="shared" si="342"/>
        <v/>
      </c>
      <c r="C6654" t="str">
        <f t="shared" si="341"/>
        <v/>
      </c>
      <c r="D6654" s="245" t="str">
        <f t="shared" si="343"/>
        <v/>
      </c>
      <c r="E6654" s="534"/>
      <c r="F6654" s="534"/>
    </row>
    <row r="6655" spans="1:6" ht="15" customHeight="1">
      <c r="A6655" s="51"/>
      <c r="B6655" s="52" t="str">
        <f t="shared" si="342"/>
        <v/>
      </c>
      <c r="C6655" t="str">
        <f t="shared" si="341"/>
        <v/>
      </c>
      <c r="D6655" s="245" t="str">
        <f t="shared" si="343"/>
        <v/>
      </c>
      <c r="E6655" s="534"/>
      <c r="F6655" s="534"/>
    </row>
    <row r="6656" spans="1:6" ht="15" customHeight="1">
      <c r="A6656" s="51"/>
      <c r="B6656" s="52" t="str">
        <f t="shared" si="342"/>
        <v/>
      </c>
      <c r="C6656" t="str">
        <f t="shared" si="341"/>
        <v/>
      </c>
      <c r="D6656" s="245" t="str">
        <f t="shared" si="343"/>
        <v/>
      </c>
      <c r="E6656" s="534"/>
      <c r="F6656" s="534"/>
    </row>
    <row r="6657" spans="1:6" ht="15" customHeight="1">
      <c r="A6657" s="51"/>
      <c r="B6657" s="52" t="str">
        <f t="shared" si="342"/>
        <v/>
      </c>
      <c r="C6657" t="str">
        <f t="shared" si="341"/>
        <v/>
      </c>
      <c r="D6657" s="245" t="str">
        <f t="shared" si="343"/>
        <v/>
      </c>
      <c r="E6657" s="534"/>
      <c r="F6657" s="534"/>
    </row>
    <row r="6658" spans="1:6" ht="15" customHeight="1">
      <c r="A6658" s="51"/>
      <c r="B6658" s="52" t="str">
        <f t="shared" si="342"/>
        <v/>
      </c>
      <c r="C6658" t="str">
        <f t="shared" ref="C6658:C6721" si="344">IF(A6658&lt;&gt;"",TEXT(A6658,"aaaa"),"")</f>
        <v/>
      </c>
      <c r="D6658" s="245" t="str">
        <f t="shared" si="343"/>
        <v/>
      </c>
      <c r="E6658" s="534"/>
      <c r="F6658" s="534"/>
    </row>
    <row r="6659" spans="1:6" ht="15" customHeight="1">
      <c r="A6659" s="51"/>
      <c r="B6659" s="52" t="str">
        <f t="shared" si="342"/>
        <v/>
      </c>
      <c r="C6659" t="str">
        <f t="shared" si="344"/>
        <v/>
      </c>
      <c r="D6659" s="245" t="str">
        <f t="shared" si="343"/>
        <v/>
      </c>
      <c r="E6659" s="534"/>
      <c r="F6659" s="534"/>
    </row>
    <row r="6660" spans="1:6" ht="15" customHeight="1">
      <c r="A6660" s="51"/>
      <c r="B6660" s="52" t="str">
        <f t="shared" si="342"/>
        <v/>
      </c>
      <c r="C6660" t="str">
        <f t="shared" si="344"/>
        <v/>
      </c>
      <c r="D6660" s="245" t="str">
        <f t="shared" si="343"/>
        <v/>
      </c>
      <c r="E6660" s="534"/>
      <c r="F6660" s="534"/>
    </row>
    <row r="6661" spans="1:6" ht="15" customHeight="1">
      <c r="A6661" s="51"/>
      <c r="B6661" s="52" t="str">
        <f t="shared" si="342"/>
        <v/>
      </c>
      <c r="C6661" t="str">
        <f t="shared" si="344"/>
        <v/>
      </c>
      <c r="D6661" s="245" t="str">
        <f t="shared" si="343"/>
        <v/>
      </c>
      <c r="E6661" s="534"/>
      <c r="F6661" s="534"/>
    </row>
    <row r="6662" spans="1:6" ht="15" customHeight="1">
      <c r="A6662" s="51"/>
      <c r="B6662" s="52" t="str">
        <f t="shared" si="342"/>
        <v/>
      </c>
      <c r="C6662" t="str">
        <f t="shared" si="344"/>
        <v/>
      </c>
      <c r="D6662" s="245" t="str">
        <f t="shared" si="343"/>
        <v/>
      </c>
      <c r="E6662" s="534"/>
      <c r="F6662" s="534"/>
    </row>
    <row r="6663" spans="1:6" ht="15" customHeight="1">
      <c r="A6663" s="51"/>
      <c r="B6663" s="52" t="str">
        <f t="shared" si="342"/>
        <v/>
      </c>
      <c r="C6663" t="str">
        <f t="shared" si="344"/>
        <v/>
      </c>
      <c r="D6663" s="245" t="str">
        <f t="shared" si="343"/>
        <v/>
      </c>
      <c r="E6663" s="534"/>
      <c r="F6663" s="534"/>
    </row>
    <row r="6664" spans="1:6" ht="15" customHeight="1">
      <c r="A6664" s="51"/>
      <c r="B6664" s="52" t="str">
        <f t="shared" ref="B6664:B6727" si="345">IF(A6664="","",TEXT(A6664,"DDDD"))</f>
        <v/>
      </c>
      <c r="C6664" t="str">
        <f t="shared" si="344"/>
        <v/>
      </c>
      <c r="D6664" s="245" t="str">
        <f t="shared" si="343"/>
        <v/>
      </c>
      <c r="E6664" s="534"/>
      <c r="F6664" s="534"/>
    </row>
    <row r="6665" spans="1:6" ht="15" customHeight="1">
      <c r="A6665" s="51"/>
      <c r="B6665" s="52" t="str">
        <f t="shared" si="345"/>
        <v/>
      </c>
      <c r="C6665" t="str">
        <f t="shared" si="344"/>
        <v/>
      </c>
      <c r="D6665" s="245" t="str">
        <f t="shared" ref="D6665:D6728" si="346">IF(A6665&lt;&gt;"",PROPER(TEXT(A6665,"Mmmm")),"")</f>
        <v/>
      </c>
      <c r="E6665" s="534"/>
      <c r="F6665" s="534"/>
    </row>
    <row r="6666" spans="1:6" ht="15" customHeight="1">
      <c r="A6666" s="51"/>
      <c r="B6666" s="52" t="str">
        <f t="shared" si="345"/>
        <v/>
      </c>
      <c r="C6666" t="str">
        <f t="shared" si="344"/>
        <v/>
      </c>
      <c r="D6666" s="245" t="str">
        <f t="shared" si="346"/>
        <v/>
      </c>
      <c r="E6666" s="534"/>
      <c r="F6666" s="534"/>
    </row>
    <row r="6667" spans="1:6" ht="15" customHeight="1">
      <c r="A6667" s="51"/>
      <c r="B6667" s="52" t="str">
        <f t="shared" si="345"/>
        <v/>
      </c>
      <c r="C6667" t="str">
        <f t="shared" si="344"/>
        <v/>
      </c>
      <c r="D6667" s="245" t="str">
        <f t="shared" si="346"/>
        <v/>
      </c>
      <c r="E6667" s="534"/>
      <c r="F6667" s="534"/>
    </row>
    <row r="6668" spans="1:6" ht="15" customHeight="1">
      <c r="A6668" s="51"/>
      <c r="B6668" s="52" t="str">
        <f t="shared" si="345"/>
        <v/>
      </c>
      <c r="C6668" t="str">
        <f t="shared" si="344"/>
        <v/>
      </c>
      <c r="D6668" s="245" t="str">
        <f t="shared" si="346"/>
        <v/>
      </c>
      <c r="E6668" s="534"/>
      <c r="F6668" s="534"/>
    </row>
    <row r="6669" spans="1:6" ht="15" customHeight="1">
      <c r="A6669" s="51"/>
      <c r="B6669" s="52" t="str">
        <f t="shared" si="345"/>
        <v/>
      </c>
      <c r="C6669" t="str">
        <f t="shared" si="344"/>
        <v/>
      </c>
      <c r="D6669" s="245" t="str">
        <f t="shared" si="346"/>
        <v/>
      </c>
      <c r="E6669" s="534"/>
      <c r="F6669" s="534"/>
    </row>
    <row r="6670" spans="1:6" ht="15" customHeight="1">
      <c r="A6670" s="51"/>
      <c r="B6670" s="52" t="str">
        <f t="shared" si="345"/>
        <v/>
      </c>
      <c r="C6670" t="str">
        <f t="shared" si="344"/>
        <v/>
      </c>
      <c r="D6670" s="245" t="str">
        <f t="shared" si="346"/>
        <v/>
      </c>
      <c r="E6670" s="534"/>
      <c r="F6670" s="534"/>
    </row>
    <row r="6671" spans="1:6" ht="15" customHeight="1">
      <c r="A6671" s="51"/>
      <c r="B6671" s="52" t="str">
        <f t="shared" si="345"/>
        <v/>
      </c>
      <c r="C6671" t="str">
        <f t="shared" si="344"/>
        <v/>
      </c>
      <c r="D6671" s="245" t="str">
        <f t="shared" si="346"/>
        <v/>
      </c>
      <c r="E6671" s="534"/>
      <c r="F6671" s="534"/>
    </row>
    <row r="6672" spans="1:6" ht="15" customHeight="1">
      <c r="A6672" s="51"/>
      <c r="B6672" s="52" t="str">
        <f t="shared" si="345"/>
        <v/>
      </c>
      <c r="C6672" t="str">
        <f t="shared" si="344"/>
        <v/>
      </c>
      <c r="D6672" s="245" t="str">
        <f t="shared" si="346"/>
        <v/>
      </c>
      <c r="E6672" s="534"/>
      <c r="F6672" s="534"/>
    </row>
    <row r="6673" spans="1:6" ht="15" customHeight="1">
      <c r="A6673" s="51"/>
      <c r="B6673" s="52" t="str">
        <f t="shared" si="345"/>
        <v/>
      </c>
      <c r="C6673" t="str">
        <f t="shared" si="344"/>
        <v/>
      </c>
      <c r="D6673" s="245" t="str">
        <f t="shared" si="346"/>
        <v/>
      </c>
      <c r="E6673" s="534"/>
      <c r="F6673" s="534"/>
    </row>
    <row r="6674" spans="1:6" ht="15" customHeight="1">
      <c r="A6674" s="51"/>
      <c r="B6674" s="52" t="str">
        <f t="shared" si="345"/>
        <v/>
      </c>
      <c r="C6674" t="str">
        <f t="shared" si="344"/>
        <v/>
      </c>
      <c r="D6674" s="245" t="str">
        <f t="shared" si="346"/>
        <v/>
      </c>
      <c r="E6674" s="534"/>
      <c r="F6674" s="534"/>
    </row>
    <row r="6675" spans="1:6" ht="15" customHeight="1">
      <c r="A6675" s="51"/>
      <c r="B6675" s="52" t="str">
        <f t="shared" si="345"/>
        <v/>
      </c>
      <c r="C6675" t="str">
        <f t="shared" si="344"/>
        <v/>
      </c>
      <c r="D6675" s="245" t="str">
        <f t="shared" si="346"/>
        <v/>
      </c>
      <c r="E6675" s="534"/>
      <c r="F6675" s="534"/>
    </row>
    <row r="6676" spans="1:6" ht="15" customHeight="1">
      <c r="A6676" s="51"/>
      <c r="B6676" s="52" t="str">
        <f t="shared" si="345"/>
        <v/>
      </c>
      <c r="C6676" t="str">
        <f t="shared" si="344"/>
        <v/>
      </c>
      <c r="D6676" s="245" t="str">
        <f t="shared" si="346"/>
        <v/>
      </c>
      <c r="E6676" s="534"/>
      <c r="F6676" s="534"/>
    </row>
    <row r="6677" spans="1:6" ht="15" customHeight="1">
      <c r="A6677" s="51"/>
      <c r="B6677" s="52" t="str">
        <f t="shared" si="345"/>
        <v/>
      </c>
      <c r="C6677" t="str">
        <f t="shared" si="344"/>
        <v/>
      </c>
      <c r="D6677" s="245" t="str">
        <f t="shared" si="346"/>
        <v/>
      </c>
      <c r="E6677" s="534"/>
      <c r="F6677" s="534"/>
    </row>
    <row r="6678" spans="1:6" ht="15" customHeight="1">
      <c r="A6678" s="51"/>
      <c r="B6678" s="52" t="str">
        <f t="shared" si="345"/>
        <v/>
      </c>
      <c r="C6678" t="str">
        <f t="shared" si="344"/>
        <v/>
      </c>
      <c r="D6678" s="245" t="str">
        <f t="shared" si="346"/>
        <v/>
      </c>
      <c r="E6678" s="534"/>
      <c r="F6678" s="534"/>
    </row>
    <row r="6679" spans="1:6" ht="15" customHeight="1">
      <c r="A6679" s="51"/>
      <c r="B6679" s="52" t="str">
        <f t="shared" si="345"/>
        <v/>
      </c>
      <c r="C6679" t="str">
        <f t="shared" si="344"/>
        <v/>
      </c>
      <c r="D6679" s="245" t="str">
        <f t="shared" si="346"/>
        <v/>
      </c>
      <c r="E6679" s="534"/>
      <c r="F6679" s="534"/>
    </row>
    <row r="6680" spans="1:6" ht="15" customHeight="1">
      <c r="A6680" s="51"/>
      <c r="B6680" s="52" t="str">
        <f t="shared" si="345"/>
        <v/>
      </c>
      <c r="C6680" t="str">
        <f t="shared" si="344"/>
        <v/>
      </c>
      <c r="D6680" s="245" t="str">
        <f t="shared" si="346"/>
        <v/>
      </c>
      <c r="E6680" s="534"/>
      <c r="F6680" s="534"/>
    </row>
    <row r="6681" spans="1:6" ht="15" customHeight="1">
      <c r="A6681" s="51"/>
      <c r="B6681" s="52" t="str">
        <f t="shared" si="345"/>
        <v/>
      </c>
      <c r="C6681" t="str">
        <f t="shared" si="344"/>
        <v/>
      </c>
      <c r="D6681" s="245" t="str">
        <f t="shared" si="346"/>
        <v/>
      </c>
      <c r="E6681" s="534"/>
      <c r="F6681" s="534"/>
    </row>
    <row r="6682" spans="1:6" ht="15" customHeight="1">
      <c r="A6682" s="51"/>
      <c r="B6682" s="52" t="str">
        <f t="shared" si="345"/>
        <v/>
      </c>
      <c r="C6682" t="str">
        <f t="shared" si="344"/>
        <v/>
      </c>
      <c r="D6682" s="245" t="str">
        <f t="shared" si="346"/>
        <v/>
      </c>
      <c r="E6682" s="534"/>
      <c r="F6682" s="534"/>
    </row>
    <row r="6683" spans="1:6" ht="15" customHeight="1">
      <c r="A6683" s="51"/>
      <c r="B6683" s="52" t="str">
        <f t="shared" si="345"/>
        <v/>
      </c>
      <c r="C6683" t="str">
        <f t="shared" si="344"/>
        <v/>
      </c>
      <c r="D6683" s="245" t="str">
        <f t="shared" si="346"/>
        <v/>
      </c>
      <c r="E6683" s="534"/>
      <c r="F6683" s="534"/>
    </row>
    <row r="6684" spans="1:6" ht="15" customHeight="1">
      <c r="A6684" s="51"/>
      <c r="B6684" s="52" t="str">
        <f t="shared" si="345"/>
        <v/>
      </c>
      <c r="C6684" t="str">
        <f t="shared" si="344"/>
        <v/>
      </c>
      <c r="D6684" s="245" t="str">
        <f t="shared" si="346"/>
        <v/>
      </c>
      <c r="E6684" s="534"/>
      <c r="F6684" s="534"/>
    </row>
    <row r="6685" spans="1:6" ht="15" customHeight="1">
      <c r="A6685" s="51"/>
      <c r="B6685" s="52" t="str">
        <f t="shared" si="345"/>
        <v/>
      </c>
      <c r="C6685" t="str">
        <f t="shared" si="344"/>
        <v/>
      </c>
      <c r="D6685" s="245" t="str">
        <f t="shared" si="346"/>
        <v/>
      </c>
      <c r="E6685" s="534"/>
      <c r="F6685" s="534"/>
    </row>
    <row r="6686" spans="1:6" ht="15" customHeight="1">
      <c r="A6686" s="51"/>
      <c r="B6686" s="52" t="str">
        <f t="shared" si="345"/>
        <v/>
      </c>
      <c r="C6686" t="str">
        <f t="shared" si="344"/>
        <v/>
      </c>
      <c r="D6686" s="245" t="str">
        <f t="shared" si="346"/>
        <v/>
      </c>
      <c r="E6686" s="534"/>
      <c r="F6686" s="534"/>
    </row>
    <row r="6687" spans="1:6" ht="15" customHeight="1">
      <c r="A6687" s="51"/>
      <c r="B6687" s="52" t="str">
        <f t="shared" si="345"/>
        <v/>
      </c>
      <c r="C6687" t="str">
        <f t="shared" si="344"/>
        <v/>
      </c>
      <c r="D6687" s="245" t="str">
        <f t="shared" si="346"/>
        <v/>
      </c>
      <c r="E6687" s="534"/>
      <c r="F6687" s="534"/>
    </row>
    <row r="6688" spans="1:6" ht="15" customHeight="1">
      <c r="A6688" s="51"/>
      <c r="B6688" s="52" t="str">
        <f t="shared" si="345"/>
        <v/>
      </c>
      <c r="C6688" t="str">
        <f t="shared" si="344"/>
        <v/>
      </c>
      <c r="D6688" s="245" t="str">
        <f t="shared" si="346"/>
        <v/>
      </c>
      <c r="E6688" s="534"/>
      <c r="F6688" s="534"/>
    </row>
    <row r="6689" spans="1:6" ht="15" customHeight="1">
      <c r="A6689" s="51"/>
      <c r="B6689" s="52" t="str">
        <f t="shared" si="345"/>
        <v/>
      </c>
      <c r="C6689" t="str">
        <f t="shared" si="344"/>
        <v/>
      </c>
      <c r="D6689" s="245" t="str">
        <f t="shared" si="346"/>
        <v/>
      </c>
      <c r="E6689" s="534"/>
      <c r="F6689" s="534"/>
    </row>
    <row r="6690" spans="1:6" ht="15" customHeight="1">
      <c r="A6690" s="51"/>
      <c r="B6690" s="52" t="str">
        <f t="shared" si="345"/>
        <v/>
      </c>
      <c r="C6690" t="str">
        <f t="shared" si="344"/>
        <v/>
      </c>
      <c r="D6690" s="245" t="str">
        <f t="shared" si="346"/>
        <v/>
      </c>
      <c r="E6690" s="534"/>
      <c r="F6690" s="534"/>
    </row>
    <row r="6691" spans="1:6" ht="15" customHeight="1">
      <c r="A6691" s="51"/>
      <c r="B6691" s="52" t="str">
        <f t="shared" si="345"/>
        <v/>
      </c>
      <c r="C6691" t="str">
        <f t="shared" si="344"/>
        <v/>
      </c>
      <c r="D6691" s="245" t="str">
        <f t="shared" si="346"/>
        <v/>
      </c>
      <c r="E6691" s="534"/>
      <c r="F6691" s="534"/>
    </row>
    <row r="6692" spans="1:6" ht="15" customHeight="1">
      <c r="A6692" s="51"/>
      <c r="B6692" s="52" t="str">
        <f t="shared" si="345"/>
        <v/>
      </c>
      <c r="C6692" t="str">
        <f t="shared" si="344"/>
        <v/>
      </c>
      <c r="D6692" s="245" t="str">
        <f t="shared" si="346"/>
        <v/>
      </c>
      <c r="E6692" s="534"/>
      <c r="F6692" s="534"/>
    </row>
    <row r="6693" spans="1:6" ht="15" customHeight="1">
      <c r="A6693" s="51"/>
      <c r="B6693" s="52" t="str">
        <f t="shared" si="345"/>
        <v/>
      </c>
      <c r="C6693" t="str">
        <f t="shared" si="344"/>
        <v/>
      </c>
      <c r="D6693" s="245" t="str">
        <f t="shared" si="346"/>
        <v/>
      </c>
      <c r="E6693" s="534"/>
      <c r="F6693" s="534"/>
    </row>
    <row r="6694" spans="1:6" ht="15" customHeight="1">
      <c r="A6694" s="51"/>
      <c r="B6694" s="52" t="str">
        <f t="shared" si="345"/>
        <v/>
      </c>
      <c r="C6694" t="str">
        <f t="shared" si="344"/>
        <v/>
      </c>
      <c r="D6694" s="245" t="str">
        <f t="shared" si="346"/>
        <v/>
      </c>
      <c r="E6694" s="534"/>
      <c r="F6694" s="534"/>
    </row>
    <row r="6695" spans="1:6" ht="15" customHeight="1">
      <c r="A6695" s="51"/>
      <c r="B6695" s="52" t="str">
        <f t="shared" si="345"/>
        <v/>
      </c>
      <c r="C6695" t="str">
        <f t="shared" si="344"/>
        <v/>
      </c>
      <c r="D6695" s="245" t="str">
        <f t="shared" si="346"/>
        <v/>
      </c>
      <c r="E6695" s="534"/>
      <c r="F6695" s="534"/>
    </row>
    <row r="6696" spans="1:6" ht="15" customHeight="1">
      <c r="A6696" s="51"/>
      <c r="B6696" s="52" t="str">
        <f t="shared" si="345"/>
        <v/>
      </c>
      <c r="C6696" t="str">
        <f t="shared" si="344"/>
        <v/>
      </c>
      <c r="D6696" s="245" t="str">
        <f t="shared" si="346"/>
        <v/>
      </c>
      <c r="E6696" s="534"/>
      <c r="F6696" s="534"/>
    </row>
    <row r="6697" spans="1:6" ht="15" customHeight="1">
      <c r="A6697" s="51"/>
      <c r="B6697" s="52" t="str">
        <f t="shared" si="345"/>
        <v/>
      </c>
      <c r="C6697" t="str">
        <f t="shared" si="344"/>
        <v/>
      </c>
      <c r="D6697" s="245" t="str">
        <f t="shared" si="346"/>
        <v/>
      </c>
      <c r="E6697" s="534"/>
      <c r="F6697" s="534"/>
    </row>
    <row r="6698" spans="1:6" ht="15" customHeight="1">
      <c r="A6698" s="51"/>
      <c r="B6698" s="52" t="str">
        <f t="shared" si="345"/>
        <v/>
      </c>
      <c r="C6698" t="str">
        <f t="shared" si="344"/>
        <v/>
      </c>
      <c r="D6698" s="245" t="str">
        <f t="shared" si="346"/>
        <v/>
      </c>
      <c r="E6698" s="534"/>
      <c r="F6698" s="534"/>
    </row>
    <row r="6699" spans="1:6" ht="15" customHeight="1">
      <c r="A6699" s="51"/>
      <c r="B6699" s="52" t="str">
        <f t="shared" si="345"/>
        <v/>
      </c>
      <c r="C6699" t="str">
        <f t="shared" si="344"/>
        <v/>
      </c>
      <c r="D6699" s="245" t="str">
        <f t="shared" si="346"/>
        <v/>
      </c>
      <c r="E6699" s="534"/>
      <c r="F6699" s="534"/>
    </row>
    <row r="6700" spans="1:6" ht="15" customHeight="1">
      <c r="A6700" s="51"/>
      <c r="B6700" s="52" t="str">
        <f t="shared" si="345"/>
        <v/>
      </c>
      <c r="C6700" t="str">
        <f t="shared" si="344"/>
        <v/>
      </c>
      <c r="D6700" s="245" t="str">
        <f t="shared" si="346"/>
        <v/>
      </c>
      <c r="E6700" s="534"/>
      <c r="F6700" s="534"/>
    </row>
    <row r="6701" spans="1:6" ht="15" customHeight="1">
      <c r="A6701" s="51"/>
      <c r="B6701" s="52" t="str">
        <f t="shared" si="345"/>
        <v/>
      </c>
      <c r="C6701" t="str">
        <f t="shared" si="344"/>
        <v/>
      </c>
      <c r="D6701" s="245" t="str">
        <f t="shared" si="346"/>
        <v/>
      </c>
      <c r="E6701" s="534"/>
      <c r="F6701" s="534"/>
    </row>
    <row r="6702" spans="1:6" ht="15" customHeight="1">
      <c r="A6702" s="51"/>
      <c r="B6702" s="52" t="str">
        <f t="shared" si="345"/>
        <v/>
      </c>
      <c r="C6702" t="str">
        <f t="shared" si="344"/>
        <v/>
      </c>
      <c r="D6702" s="245" t="str">
        <f t="shared" si="346"/>
        <v/>
      </c>
      <c r="E6702" s="534"/>
      <c r="F6702" s="534"/>
    </row>
    <row r="6703" spans="1:6" ht="15" customHeight="1">
      <c r="A6703" s="51"/>
      <c r="B6703" s="52" t="str">
        <f t="shared" si="345"/>
        <v/>
      </c>
      <c r="C6703" t="str">
        <f t="shared" si="344"/>
        <v/>
      </c>
      <c r="D6703" s="245" t="str">
        <f t="shared" si="346"/>
        <v/>
      </c>
      <c r="E6703" s="534"/>
      <c r="F6703" s="534"/>
    </row>
    <row r="6704" spans="1:6" ht="15" customHeight="1">
      <c r="A6704" s="51"/>
      <c r="B6704" s="52" t="str">
        <f t="shared" si="345"/>
        <v/>
      </c>
      <c r="C6704" t="str">
        <f t="shared" si="344"/>
        <v/>
      </c>
      <c r="D6704" s="245" t="str">
        <f t="shared" si="346"/>
        <v/>
      </c>
      <c r="E6704" s="534"/>
      <c r="F6704" s="534"/>
    </row>
    <row r="6705" spans="1:6" ht="15" customHeight="1">
      <c r="A6705" s="51"/>
      <c r="B6705" s="52" t="str">
        <f t="shared" si="345"/>
        <v/>
      </c>
      <c r="C6705" t="str">
        <f t="shared" si="344"/>
        <v/>
      </c>
      <c r="D6705" s="245" t="str">
        <f t="shared" si="346"/>
        <v/>
      </c>
      <c r="E6705" s="534"/>
      <c r="F6705" s="534"/>
    </row>
    <row r="6706" spans="1:6" ht="15" customHeight="1">
      <c r="A6706" s="51"/>
      <c r="B6706" s="52" t="str">
        <f t="shared" si="345"/>
        <v/>
      </c>
      <c r="C6706" t="str">
        <f t="shared" si="344"/>
        <v/>
      </c>
      <c r="D6706" s="245" t="str">
        <f t="shared" si="346"/>
        <v/>
      </c>
      <c r="E6706" s="534"/>
      <c r="F6706" s="534"/>
    </row>
    <row r="6707" spans="1:6" ht="15" customHeight="1">
      <c r="A6707" s="51"/>
      <c r="B6707" s="52" t="str">
        <f t="shared" si="345"/>
        <v/>
      </c>
      <c r="C6707" t="str">
        <f t="shared" si="344"/>
        <v/>
      </c>
      <c r="D6707" s="245" t="str">
        <f t="shared" si="346"/>
        <v/>
      </c>
      <c r="E6707" s="534"/>
      <c r="F6707" s="534"/>
    </row>
    <row r="6708" spans="1:6" ht="15" customHeight="1">
      <c r="A6708" s="51"/>
      <c r="B6708" s="52" t="str">
        <f t="shared" si="345"/>
        <v/>
      </c>
      <c r="C6708" t="str">
        <f t="shared" si="344"/>
        <v/>
      </c>
      <c r="D6708" s="245" t="str">
        <f t="shared" si="346"/>
        <v/>
      </c>
      <c r="E6708" s="534"/>
      <c r="F6708" s="534"/>
    </row>
    <row r="6709" spans="1:6" ht="15" customHeight="1">
      <c r="A6709" s="51"/>
      <c r="B6709" s="52" t="str">
        <f t="shared" si="345"/>
        <v/>
      </c>
      <c r="C6709" t="str">
        <f t="shared" si="344"/>
        <v/>
      </c>
      <c r="D6709" s="245" t="str">
        <f t="shared" si="346"/>
        <v/>
      </c>
      <c r="E6709" s="534"/>
      <c r="F6709" s="534"/>
    </row>
    <row r="6710" spans="1:6" ht="15" customHeight="1">
      <c r="A6710" s="51"/>
      <c r="B6710" s="52" t="str">
        <f t="shared" si="345"/>
        <v/>
      </c>
      <c r="C6710" t="str">
        <f t="shared" si="344"/>
        <v/>
      </c>
      <c r="D6710" s="245" t="str">
        <f t="shared" si="346"/>
        <v/>
      </c>
      <c r="E6710" s="534"/>
      <c r="F6710" s="534"/>
    </row>
    <row r="6711" spans="1:6" ht="15" customHeight="1">
      <c r="A6711" s="51"/>
      <c r="B6711" s="52" t="str">
        <f t="shared" si="345"/>
        <v/>
      </c>
      <c r="C6711" t="str">
        <f t="shared" si="344"/>
        <v/>
      </c>
      <c r="D6711" s="245" t="str">
        <f t="shared" si="346"/>
        <v/>
      </c>
      <c r="E6711" s="534"/>
      <c r="F6711" s="534"/>
    </row>
    <row r="6712" spans="1:6" ht="15" customHeight="1">
      <c r="A6712" s="51"/>
      <c r="B6712" s="52" t="str">
        <f t="shared" si="345"/>
        <v/>
      </c>
      <c r="C6712" t="str">
        <f t="shared" si="344"/>
        <v/>
      </c>
      <c r="D6712" s="245" t="str">
        <f t="shared" si="346"/>
        <v/>
      </c>
      <c r="E6712" s="534"/>
      <c r="F6712" s="534"/>
    </row>
    <row r="6713" spans="1:6" ht="15" customHeight="1">
      <c r="A6713" s="51"/>
      <c r="B6713" s="52" t="str">
        <f t="shared" si="345"/>
        <v/>
      </c>
      <c r="C6713" t="str">
        <f t="shared" si="344"/>
        <v/>
      </c>
      <c r="D6713" s="245" t="str">
        <f t="shared" si="346"/>
        <v/>
      </c>
      <c r="E6713" s="534"/>
      <c r="F6713" s="534"/>
    </row>
    <row r="6714" spans="1:6" ht="15" customHeight="1">
      <c r="A6714" s="51"/>
      <c r="B6714" s="52" t="str">
        <f t="shared" si="345"/>
        <v/>
      </c>
      <c r="C6714" t="str">
        <f t="shared" si="344"/>
        <v/>
      </c>
      <c r="D6714" s="245" t="str">
        <f t="shared" si="346"/>
        <v/>
      </c>
      <c r="E6714" s="534"/>
      <c r="F6714" s="534"/>
    </row>
    <row r="6715" spans="1:6" ht="15" customHeight="1">
      <c r="A6715" s="51"/>
      <c r="B6715" s="52" t="str">
        <f t="shared" si="345"/>
        <v/>
      </c>
      <c r="C6715" t="str">
        <f t="shared" si="344"/>
        <v/>
      </c>
      <c r="D6715" s="245" t="str">
        <f t="shared" si="346"/>
        <v/>
      </c>
      <c r="E6715" s="534"/>
      <c r="F6715" s="534"/>
    </row>
    <row r="6716" spans="1:6" ht="15" customHeight="1">
      <c r="A6716" s="51"/>
      <c r="B6716" s="52" t="str">
        <f t="shared" si="345"/>
        <v/>
      </c>
      <c r="C6716" t="str">
        <f t="shared" si="344"/>
        <v/>
      </c>
      <c r="D6716" s="245" t="str">
        <f t="shared" si="346"/>
        <v/>
      </c>
      <c r="E6716" s="534"/>
      <c r="F6716" s="534"/>
    </row>
    <row r="6717" spans="1:6" ht="15" customHeight="1">
      <c r="A6717" s="51"/>
      <c r="B6717" s="52" t="str">
        <f t="shared" si="345"/>
        <v/>
      </c>
      <c r="C6717" t="str">
        <f t="shared" si="344"/>
        <v/>
      </c>
      <c r="D6717" s="245" t="str">
        <f t="shared" si="346"/>
        <v/>
      </c>
      <c r="E6717" s="534"/>
      <c r="F6717" s="534"/>
    </row>
    <row r="6718" spans="1:6" ht="15" customHeight="1">
      <c r="A6718" s="51"/>
      <c r="B6718" s="52" t="str">
        <f t="shared" si="345"/>
        <v/>
      </c>
      <c r="C6718" t="str">
        <f t="shared" si="344"/>
        <v/>
      </c>
      <c r="D6718" s="245" t="str">
        <f t="shared" si="346"/>
        <v/>
      </c>
      <c r="E6718" s="534"/>
      <c r="F6718" s="534"/>
    </row>
    <row r="6719" spans="1:6" ht="15" customHeight="1">
      <c r="A6719" s="51"/>
      <c r="B6719" s="52" t="str">
        <f t="shared" si="345"/>
        <v/>
      </c>
      <c r="C6719" t="str">
        <f t="shared" si="344"/>
        <v/>
      </c>
      <c r="D6719" s="245" t="str">
        <f t="shared" si="346"/>
        <v/>
      </c>
      <c r="E6719" s="534"/>
      <c r="F6719" s="534"/>
    </row>
    <row r="6720" spans="1:6" ht="15" customHeight="1">
      <c r="A6720" s="51"/>
      <c r="B6720" s="52" t="str">
        <f t="shared" si="345"/>
        <v/>
      </c>
      <c r="C6720" t="str">
        <f t="shared" si="344"/>
        <v/>
      </c>
      <c r="D6720" s="245" t="str">
        <f t="shared" si="346"/>
        <v/>
      </c>
      <c r="E6720" s="534"/>
      <c r="F6720" s="534"/>
    </row>
    <row r="6721" spans="1:6" ht="15" customHeight="1">
      <c r="A6721" s="51"/>
      <c r="B6721" s="52" t="str">
        <f t="shared" si="345"/>
        <v/>
      </c>
      <c r="C6721" t="str">
        <f t="shared" si="344"/>
        <v/>
      </c>
      <c r="D6721" s="245" t="str">
        <f t="shared" si="346"/>
        <v/>
      </c>
      <c r="E6721" s="534"/>
      <c r="F6721" s="534"/>
    </row>
    <row r="6722" spans="1:6" ht="15" customHeight="1">
      <c r="A6722" s="51"/>
      <c r="B6722" s="52" t="str">
        <f t="shared" si="345"/>
        <v/>
      </c>
      <c r="C6722" t="str">
        <f t="shared" ref="C6722:C6785" si="347">IF(A6722&lt;&gt;"",TEXT(A6722,"aaaa"),"")</f>
        <v/>
      </c>
      <c r="D6722" s="245" t="str">
        <f t="shared" si="346"/>
        <v/>
      </c>
      <c r="E6722" s="534"/>
      <c r="F6722" s="534"/>
    </row>
    <row r="6723" spans="1:6" ht="15" customHeight="1">
      <c r="A6723" s="51"/>
      <c r="B6723" s="52" t="str">
        <f t="shared" si="345"/>
        <v/>
      </c>
      <c r="C6723" t="str">
        <f t="shared" si="347"/>
        <v/>
      </c>
      <c r="D6723" s="245" t="str">
        <f t="shared" si="346"/>
        <v/>
      </c>
      <c r="E6723" s="534"/>
      <c r="F6723" s="534"/>
    </row>
    <row r="6724" spans="1:6" ht="15" customHeight="1">
      <c r="A6724" s="51"/>
      <c r="B6724" s="52" t="str">
        <f t="shared" si="345"/>
        <v/>
      </c>
      <c r="C6724" t="str">
        <f t="shared" si="347"/>
        <v/>
      </c>
      <c r="D6724" s="245" t="str">
        <f t="shared" si="346"/>
        <v/>
      </c>
      <c r="E6724" s="534"/>
      <c r="F6724" s="534"/>
    </row>
    <row r="6725" spans="1:6" ht="15" customHeight="1">
      <c r="A6725" s="51"/>
      <c r="B6725" s="52" t="str">
        <f t="shared" si="345"/>
        <v/>
      </c>
      <c r="C6725" t="str">
        <f t="shared" si="347"/>
        <v/>
      </c>
      <c r="D6725" s="245" t="str">
        <f t="shared" si="346"/>
        <v/>
      </c>
      <c r="E6725" s="534"/>
      <c r="F6725" s="534"/>
    </row>
    <row r="6726" spans="1:6" ht="15" customHeight="1">
      <c r="A6726" s="51"/>
      <c r="B6726" s="52" t="str">
        <f t="shared" si="345"/>
        <v/>
      </c>
      <c r="C6726" t="str">
        <f t="shared" si="347"/>
        <v/>
      </c>
      <c r="D6726" s="245" t="str">
        <f t="shared" si="346"/>
        <v/>
      </c>
      <c r="E6726" s="534"/>
      <c r="F6726" s="534"/>
    </row>
    <row r="6727" spans="1:6" ht="15" customHeight="1">
      <c r="A6727" s="51"/>
      <c r="B6727" s="52" t="str">
        <f t="shared" si="345"/>
        <v/>
      </c>
      <c r="C6727" t="str">
        <f t="shared" si="347"/>
        <v/>
      </c>
      <c r="D6727" s="245" t="str">
        <f t="shared" si="346"/>
        <v/>
      </c>
      <c r="E6727" s="534"/>
      <c r="F6727" s="534"/>
    </row>
    <row r="6728" spans="1:6" ht="15" customHeight="1">
      <c r="A6728" s="51"/>
      <c r="B6728" s="52" t="str">
        <f t="shared" ref="B6728:B6791" si="348">IF(A6728="","",TEXT(A6728,"DDDD"))</f>
        <v/>
      </c>
      <c r="C6728" t="str">
        <f t="shared" si="347"/>
        <v/>
      </c>
      <c r="D6728" s="245" t="str">
        <f t="shared" si="346"/>
        <v/>
      </c>
      <c r="E6728" s="534"/>
      <c r="F6728" s="534"/>
    </row>
    <row r="6729" spans="1:6" ht="15" customHeight="1">
      <c r="A6729" s="51"/>
      <c r="B6729" s="52" t="str">
        <f t="shared" si="348"/>
        <v/>
      </c>
      <c r="C6729" t="str">
        <f t="shared" si="347"/>
        <v/>
      </c>
      <c r="D6729" s="245" t="str">
        <f t="shared" ref="D6729:D6792" si="349">IF(A6729&lt;&gt;"",PROPER(TEXT(A6729,"Mmmm")),"")</f>
        <v/>
      </c>
      <c r="E6729" s="534"/>
      <c r="F6729" s="534"/>
    </row>
    <row r="6730" spans="1:6" ht="15" customHeight="1">
      <c r="A6730" s="51"/>
      <c r="B6730" s="52" t="str">
        <f t="shared" si="348"/>
        <v/>
      </c>
      <c r="C6730" t="str">
        <f t="shared" si="347"/>
        <v/>
      </c>
      <c r="D6730" s="245" t="str">
        <f t="shared" si="349"/>
        <v/>
      </c>
      <c r="E6730" s="534"/>
      <c r="F6730" s="534"/>
    </row>
    <row r="6731" spans="1:6" ht="15" customHeight="1">
      <c r="A6731" s="51"/>
      <c r="B6731" s="52" t="str">
        <f t="shared" si="348"/>
        <v/>
      </c>
      <c r="C6731" t="str">
        <f t="shared" si="347"/>
        <v/>
      </c>
      <c r="D6731" s="245" t="str">
        <f t="shared" si="349"/>
        <v/>
      </c>
      <c r="E6731" s="534"/>
      <c r="F6731" s="534"/>
    </row>
    <row r="6732" spans="1:6" ht="15" customHeight="1">
      <c r="A6732" s="51"/>
      <c r="B6732" s="52" t="str">
        <f t="shared" si="348"/>
        <v/>
      </c>
      <c r="C6732" t="str">
        <f t="shared" si="347"/>
        <v/>
      </c>
      <c r="D6732" s="245" t="str">
        <f t="shared" si="349"/>
        <v/>
      </c>
      <c r="E6732" s="534"/>
      <c r="F6732" s="534"/>
    </row>
    <row r="6733" spans="1:6" ht="15" customHeight="1">
      <c r="A6733" s="51"/>
      <c r="B6733" s="52" t="str">
        <f t="shared" si="348"/>
        <v/>
      </c>
      <c r="C6733" t="str">
        <f t="shared" si="347"/>
        <v/>
      </c>
      <c r="D6733" s="245" t="str">
        <f t="shared" si="349"/>
        <v/>
      </c>
      <c r="E6733" s="534"/>
      <c r="F6733" s="534"/>
    </row>
    <row r="6734" spans="1:6" ht="15" customHeight="1">
      <c r="A6734" s="51"/>
      <c r="B6734" s="52" t="str">
        <f t="shared" si="348"/>
        <v/>
      </c>
      <c r="C6734" t="str">
        <f t="shared" si="347"/>
        <v/>
      </c>
      <c r="D6734" s="245" t="str">
        <f t="shared" si="349"/>
        <v/>
      </c>
      <c r="E6734" s="534"/>
      <c r="F6734" s="534"/>
    </row>
    <row r="6735" spans="1:6" ht="15" customHeight="1">
      <c r="A6735" s="51"/>
      <c r="B6735" s="52" t="str">
        <f t="shared" si="348"/>
        <v/>
      </c>
      <c r="C6735" t="str">
        <f t="shared" si="347"/>
        <v/>
      </c>
      <c r="D6735" s="245" t="str">
        <f t="shared" si="349"/>
        <v/>
      </c>
      <c r="E6735" s="534"/>
      <c r="F6735" s="534"/>
    </row>
    <row r="6736" spans="1:6" ht="15" customHeight="1">
      <c r="A6736" s="51"/>
      <c r="B6736" s="52" t="str">
        <f t="shared" si="348"/>
        <v/>
      </c>
      <c r="C6736" t="str">
        <f t="shared" si="347"/>
        <v/>
      </c>
      <c r="D6736" s="245" t="str">
        <f t="shared" si="349"/>
        <v/>
      </c>
      <c r="E6736" s="534"/>
      <c r="F6736" s="534"/>
    </row>
    <row r="6737" spans="1:6" ht="15" customHeight="1">
      <c r="A6737" s="51"/>
      <c r="B6737" s="52" t="str">
        <f t="shared" si="348"/>
        <v/>
      </c>
      <c r="C6737" t="str">
        <f t="shared" si="347"/>
        <v/>
      </c>
      <c r="D6737" s="245" t="str">
        <f t="shared" si="349"/>
        <v/>
      </c>
      <c r="E6737" s="534"/>
      <c r="F6737" s="534"/>
    </row>
    <row r="6738" spans="1:6" ht="15" customHeight="1">
      <c r="A6738" s="51"/>
      <c r="B6738" s="52" t="str">
        <f t="shared" si="348"/>
        <v/>
      </c>
      <c r="C6738" t="str">
        <f t="shared" si="347"/>
        <v/>
      </c>
      <c r="D6738" s="245" t="str">
        <f t="shared" si="349"/>
        <v/>
      </c>
      <c r="E6738" s="534"/>
      <c r="F6738" s="534"/>
    </row>
    <row r="6739" spans="1:6" ht="15" customHeight="1">
      <c r="A6739" s="51"/>
      <c r="B6739" s="52" t="str">
        <f t="shared" si="348"/>
        <v/>
      </c>
      <c r="C6739" t="str">
        <f t="shared" si="347"/>
        <v/>
      </c>
      <c r="D6739" s="245" t="str">
        <f t="shared" si="349"/>
        <v/>
      </c>
      <c r="E6739" s="534"/>
      <c r="F6739" s="534"/>
    </row>
    <row r="6740" spans="1:6" ht="15" customHeight="1">
      <c r="A6740" s="51"/>
      <c r="B6740" s="52" t="str">
        <f t="shared" si="348"/>
        <v/>
      </c>
      <c r="C6740" t="str">
        <f t="shared" si="347"/>
        <v/>
      </c>
      <c r="D6740" s="245" t="str">
        <f t="shared" si="349"/>
        <v/>
      </c>
      <c r="E6740" s="534"/>
      <c r="F6740" s="534"/>
    </row>
    <row r="6741" spans="1:6" ht="15" customHeight="1">
      <c r="A6741" s="51"/>
      <c r="B6741" s="52" t="str">
        <f t="shared" si="348"/>
        <v/>
      </c>
      <c r="C6741" t="str">
        <f t="shared" si="347"/>
        <v/>
      </c>
      <c r="D6741" s="245" t="str">
        <f t="shared" si="349"/>
        <v/>
      </c>
      <c r="E6741" s="534"/>
      <c r="F6741" s="534"/>
    </row>
    <row r="6742" spans="1:6" ht="15" customHeight="1">
      <c r="A6742" s="51"/>
      <c r="B6742" s="52" t="str">
        <f t="shared" si="348"/>
        <v/>
      </c>
      <c r="C6742" t="str">
        <f t="shared" si="347"/>
        <v/>
      </c>
      <c r="D6742" s="245" t="str">
        <f t="shared" si="349"/>
        <v/>
      </c>
      <c r="E6742" s="534"/>
      <c r="F6742" s="534"/>
    </row>
    <row r="6743" spans="1:6" ht="15" customHeight="1">
      <c r="A6743" s="51"/>
      <c r="B6743" s="52" t="str">
        <f t="shared" si="348"/>
        <v/>
      </c>
      <c r="C6743" t="str">
        <f t="shared" si="347"/>
        <v/>
      </c>
      <c r="D6743" s="245" t="str">
        <f t="shared" si="349"/>
        <v/>
      </c>
      <c r="E6743" s="534"/>
      <c r="F6743" s="534"/>
    </row>
    <row r="6744" spans="1:6" ht="15" customHeight="1">
      <c r="A6744" s="51"/>
      <c r="B6744" s="52" t="str">
        <f t="shared" si="348"/>
        <v/>
      </c>
      <c r="C6744" t="str">
        <f t="shared" si="347"/>
        <v/>
      </c>
      <c r="D6744" s="245" t="str">
        <f t="shared" si="349"/>
        <v/>
      </c>
      <c r="E6744" s="534"/>
      <c r="F6744" s="534"/>
    </row>
    <row r="6745" spans="1:6" ht="15" customHeight="1">
      <c r="A6745" s="51"/>
      <c r="B6745" s="52" t="str">
        <f t="shared" si="348"/>
        <v/>
      </c>
      <c r="C6745" t="str">
        <f t="shared" si="347"/>
        <v/>
      </c>
      <c r="D6745" s="245" t="str">
        <f t="shared" si="349"/>
        <v/>
      </c>
      <c r="E6745" s="534"/>
      <c r="F6745" s="534"/>
    </row>
    <row r="6746" spans="1:6" ht="15" customHeight="1">
      <c r="A6746" s="51"/>
      <c r="B6746" s="52" t="str">
        <f t="shared" si="348"/>
        <v/>
      </c>
      <c r="C6746" t="str">
        <f t="shared" si="347"/>
        <v/>
      </c>
      <c r="D6746" s="245" t="str">
        <f t="shared" si="349"/>
        <v/>
      </c>
      <c r="E6746" s="534"/>
      <c r="F6746" s="534"/>
    </row>
    <row r="6747" spans="1:6" ht="15" customHeight="1">
      <c r="A6747" s="51"/>
      <c r="B6747" s="52" t="str">
        <f t="shared" si="348"/>
        <v/>
      </c>
      <c r="C6747" t="str">
        <f t="shared" si="347"/>
        <v/>
      </c>
      <c r="D6747" s="245" t="str">
        <f t="shared" si="349"/>
        <v/>
      </c>
      <c r="E6747" s="534"/>
      <c r="F6747" s="534"/>
    </row>
    <row r="6748" spans="1:6" ht="15" customHeight="1">
      <c r="A6748" s="51"/>
      <c r="B6748" s="52" t="str">
        <f t="shared" si="348"/>
        <v/>
      </c>
      <c r="C6748" t="str">
        <f t="shared" si="347"/>
        <v/>
      </c>
      <c r="D6748" s="245" t="str">
        <f t="shared" si="349"/>
        <v/>
      </c>
      <c r="E6748" s="534"/>
      <c r="F6748" s="534"/>
    </row>
    <row r="6749" spans="1:6" ht="15" customHeight="1">
      <c r="A6749" s="51"/>
      <c r="B6749" s="52" t="str">
        <f t="shared" si="348"/>
        <v/>
      </c>
      <c r="C6749" t="str">
        <f t="shared" si="347"/>
        <v/>
      </c>
      <c r="D6749" s="245" t="str">
        <f t="shared" si="349"/>
        <v/>
      </c>
      <c r="E6749" s="534"/>
      <c r="F6749" s="534"/>
    </row>
    <row r="6750" spans="1:6" ht="15" customHeight="1">
      <c r="A6750" s="51"/>
      <c r="B6750" s="52" t="str">
        <f t="shared" si="348"/>
        <v/>
      </c>
      <c r="C6750" t="str">
        <f t="shared" si="347"/>
        <v/>
      </c>
      <c r="D6750" s="245" t="str">
        <f t="shared" si="349"/>
        <v/>
      </c>
      <c r="E6750" s="534"/>
      <c r="F6750" s="534"/>
    </row>
    <row r="6751" spans="1:6" ht="15" customHeight="1">
      <c r="A6751" s="51"/>
      <c r="B6751" s="52" t="str">
        <f t="shared" si="348"/>
        <v/>
      </c>
      <c r="C6751" t="str">
        <f t="shared" si="347"/>
        <v/>
      </c>
      <c r="D6751" s="245" t="str">
        <f t="shared" si="349"/>
        <v/>
      </c>
      <c r="E6751" s="534"/>
      <c r="F6751" s="534"/>
    </row>
    <row r="6752" spans="1:6" ht="15" customHeight="1">
      <c r="A6752" s="51"/>
      <c r="B6752" s="52" t="str">
        <f t="shared" si="348"/>
        <v/>
      </c>
      <c r="C6752" t="str">
        <f t="shared" si="347"/>
        <v/>
      </c>
      <c r="D6752" s="245" t="str">
        <f t="shared" si="349"/>
        <v/>
      </c>
      <c r="E6752" s="534"/>
      <c r="F6752" s="534"/>
    </row>
    <row r="6753" spans="1:6" ht="15" customHeight="1">
      <c r="A6753" s="51"/>
      <c r="B6753" s="52" t="str">
        <f t="shared" si="348"/>
        <v/>
      </c>
      <c r="C6753" t="str">
        <f t="shared" si="347"/>
        <v/>
      </c>
      <c r="D6753" s="245" t="str">
        <f t="shared" si="349"/>
        <v/>
      </c>
      <c r="E6753" s="534"/>
      <c r="F6753" s="534"/>
    </row>
    <row r="6754" spans="1:6" ht="15" customHeight="1">
      <c r="A6754" s="51"/>
      <c r="B6754" s="52" t="str">
        <f t="shared" si="348"/>
        <v/>
      </c>
      <c r="C6754" t="str">
        <f t="shared" si="347"/>
        <v/>
      </c>
      <c r="D6754" s="245" t="str">
        <f t="shared" si="349"/>
        <v/>
      </c>
      <c r="E6754" s="534"/>
      <c r="F6754" s="534"/>
    </row>
    <row r="6755" spans="1:6" ht="15" customHeight="1">
      <c r="A6755" s="51"/>
      <c r="B6755" s="52" t="str">
        <f t="shared" si="348"/>
        <v/>
      </c>
      <c r="C6755" t="str">
        <f t="shared" si="347"/>
        <v/>
      </c>
      <c r="D6755" s="245" t="str">
        <f t="shared" si="349"/>
        <v/>
      </c>
      <c r="E6755" s="534"/>
      <c r="F6755" s="534"/>
    </row>
    <row r="6756" spans="1:6" ht="15" customHeight="1">
      <c r="A6756" s="51"/>
      <c r="B6756" s="52" t="str">
        <f t="shared" si="348"/>
        <v/>
      </c>
      <c r="C6756" t="str">
        <f t="shared" si="347"/>
        <v/>
      </c>
      <c r="D6756" s="245" t="str">
        <f t="shared" si="349"/>
        <v/>
      </c>
      <c r="E6756" s="534"/>
      <c r="F6756" s="534"/>
    </row>
    <row r="6757" spans="1:6" ht="15" customHeight="1">
      <c r="A6757" s="51"/>
      <c r="B6757" s="52" t="str">
        <f t="shared" si="348"/>
        <v/>
      </c>
      <c r="C6757" t="str">
        <f t="shared" si="347"/>
        <v/>
      </c>
      <c r="D6757" s="245" t="str">
        <f t="shared" si="349"/>
        <v/>
      </c>
      <c r="E6757" s="534"/>
      <c r="F6757" s="534"/>
    </row>
    <row r="6758" spans="1:6" ht="15" customHeight="1">
      <c r="A6758" s="51"/>
      <c r="B6758" s="52" t="str">
        <f t="shared" si="348"/>
        <v/>
      </c>
      <c r="C6758" t="str">
        <f t="shared" si="347"/>
        <v/>
      </c>
      <c r="D6758" s="245" t="str">
        <f t="shared" si="349"/>
        <v/>
      </c>
      <c r="E6758" s="534"/>
      <c r="F6758" s="534"/>
    </row>
    <row r="6759" spans="1:6" ht="15" customHeight="1">
      <c r="A6759" s="51"/>
      <c r="B6759" s="52" t="str">
        <f t="shared" si="348"/>
        <v/>
      </c>
      <c r="C6759" t="str">
        <f t="shared" si="347"/>
        <v/>
      </c>
      <c r="D6759" s="245" t="str">
        <f t="shared" si="349"/>
        <v/>
      </c>
      <c r="E6759" s="534"/>
      <c r="F6759" s="534"/>
    </row>
    <row r="6760" spans="1:6" ht="15" customHeight="1">
      <c r="A6760" s="51"/>
      <c r="B6760" s="52" t="str">
        <f t="shared" si="348"/>
        <v/>
      </c>
      <c r="C6760" t="str">
        <f t="shared" si="347"/>
        <v/>
      </c>
      <c r="D6760" s="245" t="str">
        <f t="shared" si="349"/>
        <v/>
      </c>
      <c r="E6760" s="534"/>
      <c r="F6760" s="534"/>
    </row>
    <row r="6761" spans="1:6" ht="15" customHeight="1">
      <c r="A6761" s="51"/>
      <c r="B6761" s="52" t="str">
        <f t="shared" si="348"/>
        <v/>
      </c>
      <c r="C6761" t="str">
        <f t="shared" si="347"/>
        <v/>
      </c>
      <c r="D6761" s="245" t="str">
        <f t="shared" si="349"/>
        <v/>
      </c>
      <c r="E6761" s="534"/>
      <c r="F6761" s="534"/>
    </row>
    <row r="6762" spans="1:6" ht="15" customHeight="1">
      <c r="A6762" s="51"/>
      <c r="B6762" s="52" t="str">
        <f t="shared" si="348"/>
        <v/>
      </c>
      <c r="C6762" t="str">
        <f t="shared" si="347"/>
        <v/>
      </c>
      <c r="D6762" s="245" t="str">
        <f t="shared" si="349"/>
        <v/>
      </c>
      <c r="E6762" s="534"/>
      <c r="F6762" s="534"/>
    </row>
    <row r="6763" spans="1:6" ht="15" customHeight="1">
      <c r="A6763" s="51"/>
      <c r="B6763" s="52" t="str">
        <f t="shared" si="348"/>
        <v/>
      </c>
      <c r="C6763" t="str">
        <f t="shared" si="347"/>
        <v/>
      </c>
      <c r="D6763" s="245" t="str">
        <f t="shared" si="349"/>
        <v/>
      </c>
      <c r="E6763" s="534"/>
      <c r="F6763" s="534"/>
    </row>
    <row r="6764" spans="1:6" ht="15" customHeight="1">
      <c r="A6764" s="51"/>
      <c r="B6764" s="52" t="str">
        <f t="shared" si="348"/>
        <v/>
      </c>
      <c r="C6764" t="str">
        <f t="shared" si="347"/>
        <v/>
      </c>
      <c r="D6764" s="245" t="str">
        <f t="shared" si="349"/>
        <v/>
      </c>
      <c r="E6764" s="534"/>
      <c r="F6764" s="534"/>
    </row>
    <row r="6765" spans="1:6" ht="15" customHeight="1">
      <c r="A6765" s="51"/>
      <c r="B6765" s="52" t="str">
        <f t="shared" si="348"/>
        <v/>
      </c>
      <c r="C6765" t="str">
        <f t="shared" si="347"/>
        <v/>
      </c>
      <c r="D6765" s="245" t="str">
        <f t="shared" si="349"/>
        <v/>
      </c>
      <c r="E6765" s="534"/>
      <c r="F6765" s="534"/>
    </row>
    <row r="6766" spans="1:6" ht="15" customHeight="1">
      <c r="A6766" s="51"/>
      <c r="B6766" s="52" t="str">
        <f t="shared" si="348"/>
        <v/>
      </c>
      <c r="C6766" t="str">
        <f t="shared" si="347"/>
        <v/>
      </c>
      <c r="D6766" s="245" t="str">
        <f t="shared" si="349"/>
        <v/>
      </c>
      <c r="E6766" s="534"/>
      <c r="F6766" s="534"/>
    </row>
    <row r="6767" spans="1:6" ht="15" customHeight="1">
      <c r="A6767" s="51"/>
      <c r="B6767" s="52" t="str">
        <f t="shared" si="348"/>
        <v/>
      </c>
      <c r="C6767" t="str">
        <f t="shared" si="347"/>
        <v/>
      </c>
      <c r="D6767" s="245" t="str">
        <f t="shared" si="349"/>
        <v/>
      </c>
      <c r="E6767" s="534"/>
      <c r="F6767" s="534"/>
    </row>
    <row r="6768" spans="1:6" ht="15" customHeight="1">
      <c r="A6768" s="51"/>
      <c r="B6768" s="52" t="str">
        <f t="shared" si="348"/>
        <v/>
      </c>
      <c r="C6768" t="str">
        <f t="shared" si="347"/>
        <v/>
      </c>
      <c r="D6768" s="245" t="str">
        <f t="shared" si="349"/>
        <v/>
      </c>
      <c r="E6768" s="534"/>
      <c r="F6768" s="534"/>
    </row>
    <row r="6769" spans="1:6" ht="15" customHeight="1">
      <c r="A6769" s="51"/>
      <c r="B6769" s="52" t="str">
        <f t="shared" si="348"/>
        <v/>
      </c>
      <c r="C6769" t="str">
        <f t="shared" si="347"/>
        <v/>
      </c>
      <c r="D6769" s="245" t="str">
        <f t="shared" si="349"/>
        <v/>
      </c>
      <c r="E6769" s="534"/>
      <c r="F6769" s="534"/>
    </row>
    <row r="6770" spans="1:6" ht="15" customHeight="1">
      <c r="A6770" s="51"/>
      <c r="B6770" s="52" t="str">
        <f t="shared" si="348"/>
        <v/>
      </c>
      <c r="C6770" t="str">
        <f t="shared" si="347"/>
        <v/>
      </c>
      <c r="D6770" s="245" t="str">
        <f t="shared" si="349"/>
        <v/>
      </c>
      <c r="E6770" s="534"/>
      <c r="F6770" s="534"/>
    </row>
    <row r="6771" spans="1:6" ht="15" customHeight="1">
      <c r="A6771" s="51"/>
      <c r="B6771" s="52" t="str">
        <f t="shared" si="348"/>
        <v/>
      </c>
      <c r="C6771" t="str">
        <f t="shared" si="347"/>
        <v/>
      </c>
      <c r="D6771" s="245" t="str">
        <f t="shared" si="349"/>
        <v/>
      </c>
      <c r="E6771" s="534"/>
      <c r="F6771" s="534"/>
    </row>
    <row r="6772" spans="1:6" ht="15" customHeight="1">
      <c r="A6772" s="51"/>
      <c r="B6772" s="52" t="str">
        <f t="shared" si="348"/>
        <v/>
      </c>
      <c r="C6772" t="str">
        <f t="shared" si="347"/>
        <v/>
      </c>
      <c r="D6772" s="245" t="str">
        <f t="shared" si="349"/>
        <v/>
      </c>
      <c r="E6772" s="534"/>
      <c r="F6772" s="534"/>
    </row>
    <row r="6773" spans="1:6" ht="15" customHeight="1">
      <c r="A6773" s="51"/>
      <c r="B6773" s="52" t="str">
        <f t="shared" si="348"/>
        <v/>
      </c>
      <c r="C6773" t="str">
        <f t="shared" si="347"/>
        <v/>
      </c>
      <c r="D6773" s="245" t="str">
        <f t="shared" si="349"/>
        <v/>
      </c>
      <c r="E6773" s="534"/>
      <c r="F6773" s="534"/>
    </row>
    <row r="6774" spans="1:6" ht="15" customHeight="1">
      <c r="A6774" s="51"/>
      <c r="B6774" s="52" t="str">
        <f t="shared" si="348"/>
        <v/>
      </c>
      <c r="C6774" t="str">
        <f t="shared" si="347"/>
        <v/>
      </c>
      <c r="D6774" s="245" t="str">
        <f t="shared" si="349"/>
        <v/>
      </c>
      <c r="E6774" s="534"/>
      <c r="F6774" s="534"/>
    </row>
    <row r="6775" spans="1:6" ht="15" customHeight="1">
      <c r="A6775" s="51"/>
      <c r="B6775" s="52" t="str">
        <f t="shared" si="348"/>
        <v/>
      </c>
      <c r="C6775" t="str">
        <f t="shared" si="347"/>
        <v/>
      </c>
      <c r="D6775" s="245" t="str">
        <f t="shared" si="349"/>
        <v/>
      </c>
      <c r="E6775" s="534"/>
      <c r="F6775" s="534"/>
    </row>
    <row r="6776" spans="1:6" ht="15" customHeight="1">
      <c r="A6776" s="51"/>
      <c r="B6776" s="52" t="str">
        <f t="shared" si="348"/>
        <v/>
      </c>
      <c r="C6776" t="str">
        <f t="shared" si="347"/>
        <v/>
      </c>
      <c r="D6776" s="245" t="str">
        <f t="shared" si="349"/>
        <v/>
      </c>
      <c r="E6776" s="534"/>
      <c r="F6776" s="534"/>
    </row>
    <row r="6777" spans="1:6" ht="15" customHeight="1">
      <c r="A6777" s="51"/>
      <c r="B6777" s="52" t="str">
        <f t="shared" si="348"/>
        <v/>
      </c>
      <c r="C6777" t="str">
        <f t="shared" si="347"/>
        <v/>
      </c>
      <c r="D6777" s="245" t="str">
        <f t="shared" si="349"/>
        <v/>
      </c>
      <c r="E6777" s="534"/>
      <c r="F6777" s="534"/>
    </row>
    <row r="6778" spans="1:6" ht="15" customHeight="1">
      <c r="A6778" s="51"/>
      <c r="B6778" s="52" t="str">
        <f t="shared" si="348"/>
        <v/>
      </c>
      <c r="C6778" t="str">
        <f t="shared" si="347"/>
        <v/>
      </c>
      <c r="D6778" s="245" t="str">
        <f t="shared" si="349"/>
        <v/>
      </c>
      <c r="E6778" s="534"/>
      <c r="F6778" s="534"/>
    </row>
    <row r="6779" spans="1:6" ht="15" customHeight="1">
      <c r="A6779" s="51"/>
      <c r="B6779" s="52" t="str">
        <f t="shared" si="348"/>
        <v/>
      </c>
      <c r="C6779" t="str">
        <f t="shared" si="347"/>
        <v/>
      </c>
      <c r="D6779" s="245" t="str">
        <f t="shared" si="349"/>
        <v/>
      </c>
      <c r="E6779" s="534"/>
      <c r="F6779" s="534"/>
    </row>
    <row r="6780" spans="1:6" ht="15" customHeight="1">
      <c r="A6780" s="51"/>
      <c r="B6780" s="52" t="str">
        <f t="shared" si="348"/>
        <v/>
      </c>
      <c r="C6780" t="str">
        <f t="shared" si="347"/>
        <v/>
      </c>
      <c r="D6780" s="245" t="str">
        <f t="shared" si="349"/>
        <v/>
      </c>
      <c r="E6780" s="534"/>
      <c r="F6780" s="534"/>
    </row>
    <row r="6781" spans="1:6" ht="15" customHeight="1">
      <c r="A6781" s="51"/>
      <c r="B6781" s="52" t="str">
        <f t="shared" si="348"/>
        <v/>
      </c>
      <c r="C6781" t="str">
        <f t="shared" si="347"/>
        <v/>
      </c>
      <c r="D6781" s="245" t="str">
        <f t="shared" si="349"/>
        <v/>
      </c>
      <c r="E6781" s="534"/>
      <c r="F6781" s="534"/>
    </row>
    <row r="6782" spans="1:6" ht="15" customHeight="1">
      <c r="A6782" s="51"/>
      <c r="B6782" s="52" t="str">
        <f t="shared" si="348"/>
        <v/>
      </c>
      <c r="C6782" t="str">
        <f t="shared" si="347"/>
        <v/>
      </c>
      <c r="D6782" s="245" t="str">
        <f t="shared" si="349"/>
        <v/>
      </c>
      <c r="E6782" s="534"/>
      <c r="F6782" s="534"/>
    </row>
    <row r="6783" spans="1:6" ht="15" customHeight="1">
      <c r="A6783" s="51"/>
      <c r="B6783" s="52" t="str">
        <f t="shared" si="348"/>
        <v/>
      </c>
      <c r="C6783" t="str">
        <f t="shared" si="347"/>
        <v/>
      </c>
      <c r="D6783" s="245" t="str">
        <f t="shared" si="349"/>
        <v/>
      </c>
      <c r="E6783" s="534"/>
      <c r="F6783" s="534"/>
    </row>
    <row r="6784" spans="1:6" ht="15" customHeight="1">
      <c r="A6784" s="51"/>
      <c r="B6784" s="52" t="str">
        <f t="shared" si="348"/>
        <v/>
      </c>
      <c r="C6784" t="str">
        <f t="shared" si="347"/>
        <v/>
      </c>
      <c r="D6784" s="245" t="str">
        <f t="shared" si="349"/>
        <v/>
      </c>
      <c r="E6784" s="534"/>
      <c r="F6784" s="534"/>
    </row>
    <row r="6785" spans="1:6" ht="15" customHeight="1">
      <c r="A6785" s="51"/>
      <c r="B6785" s="52" t="str">
        <f t="shared" si="348"/>
        <v/>
      </c>
      <c r="C6785" t="str">
        <f t="shared" si="347"/>
        <v/>
      </c>
      <c r="D6785" s="245" t="str">
        <f t="shared" si="349"/>
        <v/>
      </c>
      <c r="E6785" s="534"/>
      <c r="F6785" s="534"/>
    </row>
    <row r="6786" spans="1:6" ht="15" customHeight="1">
      <c r="A6786" s="51"/>
      <c r="B6786" s="52" t="str">
        <f t="shared" si="348"/>
        <v/>
      </c>
      <c r="C6786" t="str">
        <f t="shared" ref="C6786:C6849" si="350">IF(A6786&lt;&gt;"",TEXT(A6786,"aaaa"),"")</f>
        <v/>
      </c>
      <c r="D6786" s="245" t="str">
        <f t="shared" si="349"/>
        <v/>
      </c>
      <c r="E6786" s="534"/>
      <c r="F6786" s="534"/>
    </row>
    <row r="6787" spans="1:6" ht="15" customHeight="1">
      <c r="A6787" s="51"/>
      <c r="B6787" s="52" t="str">
        <f t="shared" si="348"/>
        <v/>
      </c>
      <c r="C6787" t="str">
        <f t="shared" si="350"/>
        <v/>
      </c>
      <c r="D6787" s="245" t="str">
        <f t="shared" si="349"/>
        <v/>
      </c>
      <c r="E6787" s="534"/>
      <c r="F6787" s="534"/>
    </row>
    <row r="6788" spans="1:6" ht="15" customHeight="1">
      <c r="A6788" s="51"/>
      <c r="B6788" s="52" t="str">
        <f t="shared" si="348"/>
        <v/>
      </c>
      <c r="C6788" t="str">
        <f t="shared" si="350"/>
        <v/>
      </c>
      <c r="D6788" s="245" t="str">
        <f t="shared" si="349"/>
        <v/>
      </c>
      <c r="E6788" s="534"/>
      <c r="F6788" s="534"/>
    </row>
    <row r="6789" spans="1:6" ht="15" customHeight="1">
      <c r="A6789" s="51"/>
      <c r="B6789" s="52" t="str">
        <f t="shared" si="348"/>
        <v/>
      </c>
      <c r="C6789" t="str">
        <f t="shared" si="350"/>
        <v/>
      </c>
      <c r="D6789" s="245" t="str">
        <f t="shared" si="349"/>
        <v/>
      </c>
      <c r="E6789" s="534"/>
      <c r="F6789" s="534"/>
    </row>
    <row r="6790" spans="1:6" ht="15" customHeight="1">
      <c r="A6790" s="51"/>
      <c r="B6790" s="52" t="str">
        <f t="shared" si="348"/>
        <v/>
      </c>
      <c r="C6790" t="str">
        <f t="shared" si="350"/>
        <v/>
      </c>
      <c r="D6790" s="245" t="str">
        <f t="shared" si="349"/>
        <v/>
      </c>
      <c r="E6790" s="534"/>
      <c r="F6790" s="534"/>
    </row>
    <row r="6791" spans="1:6" ht="15" customHeight="1">
      <c r="A6791" s="51"/>
      <c r="B6791" s="52" t="str">
        <f t="shared" si="348"/>
        <v/>
      </c>
      <c r="C6791" t="str">
        <f t="shared" si="350"/>
        <v/>
      </c>
      <c r="D6791" s="245" t="str">
        <f t="shared" si="349"/>
        <v/>
      </c>
      <c r="E6791" s="534"/>
      <c r="F6791" s="534"/>
    </row>
    <row r="6792" spans="1:6" ht="15" customHeight="1">
      <c r="A6792" s="51"/>
      <c r="B6792" s="52" t="str">
        <f t="shared" ref="B6792:B6855" si="351">IF(A6792="","",TEXT(A6792,"DDDD"))</f>
        <v/>
      </c>
      <c r="C6792" t="str">
        <f t="shared" si="350"/>
        <v/>
      </c>
      <c r="D6792" s="245" t="str">
        <f t="shared" si="349"/>
        <v/>
      </c>
      <c r="E6792" s="534"/>
      <c r="F6792" s="534"/>
    </row>
    <row r="6793" spans="1:6" ht="15" customHeight="1">
      <c r="A6793" s="51"/>
      <c r="B6793" s="52" t="str">
        <f t="shared" si="351"/>
        <v/>
      </c>
      <c r="C6793" t="str">
        <f t="shared" si="350"/>
        <v/>
      </c>
      <c r="D6793" s="245" t="str">
        <f t="shared" ref="D6793:D6856" si="352">IF(A6793&lt;&gt;"",PROPER(TEXT(A6793,"Mmmm")),"")</f>
        <v/>
      </c>
      <c r="E6793" s="534"/>
      <c r="F6793" s="534"/>
    </row>
    <row r="6794" spans="1:6" ht="15" customHeight="1">
      <c r="A6794" s="51"/>
      <c r="B6794" s="52" t="str">
        <f t="shared" si="351"/>
        <v/>
      </c>
      <c r="C6794" t="str">
        <f t="shared" si="350"/>
        <v/>
      </c>
      <c r="D6794" s="245" t="str">
        <f t="shared" si="352"/>
        <v/>
      </c>
      <c r="E6794" s="534"/>
      <c r="F6794" s="534"/>
    </row>
    <row r="6795" spans="1:6" ht="15" customHeight="1">
      <c r="A6795" s="51"/>
      <c r="B6795" s="52" t="str">
        <f t="shared" si="351"/>
        <v/>
      </c>
      <c r="C6795" t="str">
        <f t="shared" si="350"/>
        <v/>
      </c>
      <c r="D6795" s="245" t="str">
        <f t="shared" si="352"/>
        <v/>
      </c>
      <c r="E6795" s="534"/>
      <c r="F6795" s="534"/>
    </row>
    <row r="6796" spans="1:6" ht="15" customHeight="1">
      <c r="A6796" s="51"/>
      <c r="B6796" s="52" t="str">
        <f t="shared" si="351"/>
        <v/>
      </c>
      <c r="C6796" t="str">
        <f t="shared" si="350"/>
        <v/>
      </c>
      <c r="D6796" s="245" t="str">
        <f t="shared" si="352"/>
        <v/>
      </c>
      <c r="E6796" s="534"/>
      <c r="F6796" s="534"/>
    </row>
    <row r="6797" spans="1:6" ht="15" customHeight="1">
      <c r="A6797" s="51"/>
      <c r="B6797" s="52" t="str">
        <f t="shared" si="351"/>
        <v/>
      </c>
      <c r="C6797" t="str">
        <f t="shared" si="350"/>
        <v/>
      </c>
      <c r="D6797" s="245" t="str">
        <f t="shared" si="352"/>
        <v/>
      </c>
      <c r="E6797" s="534"/>
      <c r="F6797" s="534"/>
    </row>
    <row r="6798" spans="1:6" ht="15" customHeight="1">
      <c r="A6798" s="51"/>
      <c r="B6798" s="52" t="str">
        <f t="shared" si="351"/>
        <v/>
      </c>
      <c r="C6798" t="str">
        <f t="shared" si="350"/>
        <v/>
      </c>
      <c r="D6798" s="245" t="str">
        <f t="shared" si="352"/>
        <v/>
      </c>
      <c r="E6798" s="534"/>
      <c r="F6798" s="534"/>
    </row>
    <row r="6799" spans="1:6" ht="15" customHeight="1">
      <c r="A6799" s="51"/>
      <c r="B6799" s="52" t="str">
        <f t="shared" si="351"/>
        <v/>
      </c>
      <c r="C6799" t="str">
        <f t="shared" si="350"/>
        <v/>
      </c>
      <c r="D6799" s="245" t="str">
        <f t="shared" si="352"/>
        <v/>
      </c>
      <c r="E6799" s="534"/>
      <c r="F6799" s="534"/>
    </row>
    <row r="6800" spans="1:6" ht="15" customHeight="1">
      <c r="A6800" s="51"/>
      <c r="B6800" s="52" t="str">
        <f t="shared" si="351"/>
        <v/>
      </c>
      <c r="C6800" t="str">
        <f t="shared" si="350"/>
        <v/>
      </c>
      <c r="D6800" s="245" t="str">
        <f t="shared" si="352"/>
        <v/>
      </c>
      <c r="E6800" s="534"/>
      <c r="F6800" s="534"/>
    </row>
    <row r="6801" spans="1:6" ht="15" customHeight="1">
      <c r="A6801" s="51"/>
      <c r="B6801" s="52" t="str">
        <f t="shared" si="351"/>
        <v/>
      </c>
      <c r="C6801" t="str">
        <f t="shared" si="350"/>
        <v/>
      </c>
      <c r="D6801" s="245" t="str">
        <f t="shared" si="352"/>
        <v/>
      </c>
      <c r="E6801" s="534"/>
      <c r="F6801" s="534"/>
    </row>
    <row r="6802" spans="1:6" ht="15" customHeight="1">
      <c r="A6802" s="51"/>
      <c r="B6802" s="52" t="str">
        <f t="shared" si="351"/>
        <v/>
      </c>
      <c r="C6802" t="str">
        <f t="shared" si="350"/>
        <v/>
      </c>
      <c r="D6802" s="245" t="str">
        <f t="shared" si="352"/>
        <v/>
      </c>
      <c r="E6802" s="534"/>
      <c r="F6802" s="534"/>
    </row>
    <row r="6803" spans="1:6" ht="15" customHeight="1">
      <c r="A6803" s="51"/>
      <c r="B6803" s="52" t="str">
        <f t="shared" si="351"/>
        <v/>
      </c>
      <c r="C6803" t="str">
        <f t="shared" si="350"/>
        <v/>
      </c>
      <c r="D6803" s="245" t="str">
        <f t="shared" si="352"/>
        <v/>
      </c>
      <c r="E6803" s="534"/>
      <c r="F6803" s="534"/>
    </row>
    <row r="6804" spans="1:6" ht="15" customHeight="1">
      <c r="A6804" s="51"/>
      <c r="B6804" s="52" t="str">
        <f t="shared" si="351"/>
        <v/>
      </c>
      <c r="C6804" t="str">
        <f t="shared" si="350"/>
        <v/>
      </c>
      <c r="D6804" s="245" t="str">
        <f t="shared" si="352"/>
        <v/>
      </c>
      <c r="E6804" s="534"/>
      <c r="F6804" s="534"/>
    </row>
    <row r="6805" spans="1:6" ht="15" customHeight="1">
      <c r="A6805" s="51"/>
      <c r="B6805" s="52" t="str">
        <f t="shared" si="351"/>
        <v/>
      </c>
      <c r="C6805" t="str">
        <f t="shared" si="350"/>
        <v/>
      </c>
      <c r="D6805" s="245" t="str">
        <f t="shared" si="352"/>
        <v/>
      </c>
      <c r="E6805" s="534"/>
      <c r="F6805" s="534"/>
    </row>
    <row r="6806" spans="1:6" ht="15" customHeight="1">
      <c r="A6806" s="51"/>
      <c r="B6806" s="52" t="str">
        <f t="shared" si="351"/>
        <v/>
      </c>
      <c r="C6806" t="str">
        <f t="shared" si="350"/>
        <v/>
      </c>
      <c r="D6806" s="245" t="str">
        <f t="shared" si="352"/>
        <v/>
      </c>
      <c r="E6806" s="534"/>
      <c r="F6806" s="534"/>
    </row>
    <row r="6807" spans="1:6" ht="15" customHeight="1">
      <c r="A6807" s="51"/>
      <c r="B6807" s="52" t="str">
        <f t="shared" si="351"/>
        <v/>
      </c>
      <c r="C6807" t="str">
        <f t="shared" si="350"/>
        <v/>
      </c>
      <c r="D6807" s="245" t="str">
        <f t="shared" si="352"/>
        <v/>
      </c>
      <c r="E6807" s="534"/>
      <c r="F6807" s="534"/>
    </row>
    <row r="6808" spans="1:6" ht="15" customHeight="1">
      <c r="A6808" s="51"/>
      <c r="B6808" s="52" t="str">
        <f t="shared" si="351"/>
        <v/>
      </c>
      <c r="C6808" t="str">
        <f t="shared" si="350"/>
        <v/>
      </c>
      <c r="D6808" s="245" t="str">
        <f t="shared" si="352"/>
        <v/>
      </c>
      <c r="E6808" s="534"/>
      <c r="F6808" s="534"/>
    </row>
    <row r="6809" spans="1:6" ht="15" customHeight="1">
      <c r="A6809" s="51"/>
      <c r="B6809" s="52" t="str">
        <f t="shared" si="351"/>
        <v/>
      </c>
      <c r="C6809" t="str">
        <f t="shared" si="350"/>
        <v/>
      </c>
      <c r="D6809" s="245" t="str">
        <f t="shared" si="352"/>
        <v/>
      </c>
      <c r="E6809" s="534"/>
      <c r="F6809" s="534"/>
    </row>
    <row r="6810" spans="1:6" ht="15" customHeight="1">
      <c r="A6810" s="51"/>
      <c r="B6810" s="52" t="str">
        <f t="shared" si="351"/>
        <v/>
      </c>
      <c r="C6810" t="str">
        <f t="shared" si="350"/>
        <v/>
      </c>
      <c r="D6810" s="245" t="str">
        <f t="shared" si="352"/>
        <v/>
      </c>
      <c r="E6810" s="534"/>
      <c r="F6810" s="534"/>
    </row>
    <row r="6811" spans="1:6" ht="15" customHeight="1">
      <c r="A6811" s="51"/>
      <c r="B6811" s="52" t="str">
        <f t="shared" si="351"/>
        <v/>
      </c>
      <c r="C6811" t="str">
        <f t="shared" si="350"/>
        <v/>
      </c>
      <c r="D6811" s="245" t="str">
        <f t="shared" si="352"/>
        <v/>
      </c>
      <c r="E6811" s="534"/>
      <c r="F6811" s="534"/>
    </row>
    <row r="6812" spans="1:6" ht="15" customHeight="1">
      <c r="A6812" s="51"/>
      <c r="B6812" s="52" t="str">
        <f t="shared" si="351"/>
        <v/>
      </c>
      <c r="C6812" t="str">
        <f t="shared" si="350"/>
        <v/>
      </c>
      <c r="D6812" s="245" t="str">
        <f t="shared" si="352"/>
        <v/>
      </c>
      <c r="E6812" s="534"/>
      <c r="F6812" s="534"/>
    </row>
    <row r="6813" spans="1:6" ht="15" customHeight="1">
      <c r="A6813" s="51"/>
      <c r="B6813" s="52" t="str">
        <f t="shared" si="351"/>
        <v/>
      </c>
      <c r="C6813" t="str">
        <f t="shared" si="350"/>
        <v/>
      </c>
      <c r="D6813" s="245" t="str">
        <f t="shared" si="352"/>
        <v/>
      </c>
      <c r="E6813" s="534"/>
      <c r="F6813" s="534"/>
    </row>
    <row r="6814" spans="1:6" ht="15" customHeight="1">
      <c r="A6814" s="51"/>
      <c r="B6814" s="52" t="str">
        <f t="shared" si="351"/>
        <v/>
      </c>
      <c r="C6814" t="str">
        <f t="shared" si="350"/>
        <v/>
      </c>
      <c r="D6814" s="245" t="str">
        <f t="shared" si="352"/>
        <v/>
      </c>
      <c r="E6814" s="534"/>
      <c r="F6814" s="534"/>
    </row>
    <row r="6815" spans="1:6" ht="15" customHeight="1">
      <c r="A6815" s="51"/>
      <c r="B6815" s="52" t="str">
        <f t="shared" si="351"/>
        <v/>
      </c>
      <c r="C6815" t="str">
        <f t="shared" si="350"/>
        <v/>
      </c>
      <c r="D6815" s="245" t="str">
        <f t="shared" si="352"/>
        <v/>
      </c>
      <c r="E6815" s="534"/>
      <c r="F6815" s="534"/>
    </row>
    <row r="6816" spans="1:6" ht="15" customHeight="1">
      <c r="A6816" s="51"/>
      <c r="B6816" s="52" t="str">
        <f t="shared" si="351"/>
        <v/>
      </c>
      <c r="C6816" t="str">
        <f t="shared" si="350"/>
        <v/>
      </c>
      <c r="D6816" s="245" t="str">
        <f t="shared" si="352"/>
        <v/>
      </c>
      <c r="E6816" s="534"/>
      <c r="F6816" s="534"/>
    </row>
    <row r="6817" spans="1:6" ht="15" customHeight="1">
      <c r="A6817" s="51"/>
      <c r="B6817" s="52" t="str">
        <f t="shared" si="351"/>
        <v/>
      </c>
      <c r="C6817" t="str">
        <f t="shared" si="350"/>
        <v/>
      </c>
      <c r="D6817" s="245" t="str">
        <f t="shared" si="352"/>
        <v/>
      </c>
      <c r="E6817" s="534"/>
      <c r="F6817" s="534"/>
    </row>
    <row r="6818" spans="1:6" ht="15" customHeight="1">
      <c r="A6818" s="51"/>
      <c r="B6818" s="52" t="str">
        <f t="shared" si="351"/>
        <v/>
      </c>
      <c r="C6818" t="str">
        <f t="shared" si="350"/>
        <v/>
      </c>
      <c r="D6818" s="245" t="str">
        <f t="shared" si="352"/>
        <v/>
      </c>
      <c r="E6818" s="534"/>
      <c r="F6818" s="534"/>
    </row>
    <row r="6819" spans="1:6" ht="15" customHeight="1">
      <c r="A6819" s="51"/>
      <c r="B6819" s="52" t="str">
        <f t="shared" si="351"/>
        <v/>
      </c>
      <c r="C6819" t="str">
        <f t="shared" si="350"/>
        <v/>
      </c>
      <c r="D6819" s="245" t="str">
        <f t="shared" si="352"/>
        <v/>
      </c>
      <c r="E6819" s="534"/>
      <c r="F6819" s="534"/>
    </row>
    <row r="6820" spans="1:6" ht="15" customHeight="1">
      <c r="A6820" s="51"/>
      <c r="B6820" s="52" t="str">
        <f t="shared" si="351"/>
        <v/>
      </c>
      <c r="C6820" t="str">
        <f t="shared" si="350"/>
        <v/>
      </c>
      <c r="D6820" s="245" t="str">
        <f t="shared" si="352"/>
        <v/>
      </c>
      <c r="E6820" s="534"/>
      <c r="F6820" s="534"/>
    </row>
    <row r="6821" spans="1:6" ht="15" customHeight="1">
      <c r="A6821" s="51"/>
      <c r="B6821" s="52" t="str">
        <f t="shared" si="351"/>
        <v/>
      </c>
      <c r="C6821" t="str">
        <f t="shared" si="350"/>
        <v/>
      </c>
      <c r="D6821" s="245" t="str">
        <f t="shared" si="352"/>
        <v/>
      </c>
      <c r="E6821" s="534"/>
      <c r="F6821" s="534"/>
    </row>
    <row r="6822" spans="1:6" ht="15" customHeight="1">
      <c r="A6822" s="51"/>
      <c r="B6822" s="52" t="str">
        <f t="shared" si="351"/>
        <v/>
      </c>
      <c r="C6822" t="str">
        <f t="shared" si="350"/>
        <v/>
      </c>
      <c r="D6822" s="245" t="str">
        <f t="shared" si="352"/>
        <v/>
      </c>
      <c r="E6822" s="534"/>
      <c r="F6822" s="534"/>
    </row>
    <row r="6823" spans="1:6" ht="15" customHeight="1">
      <c r="A6823" s="51"/>
      <c r="B6823" s="52" t="str">
        <f t="shared" si="351"/>
        <v/>
      </c>
      <c r="C6823" t="str">
        <f t="shared" si="350"/>
        <v/>
      </c>
      <c r="D6823" s="245" t="str">
        <f t="shared" si="352"/>
        <v/>
      </c>
      <c r="E6823" s="534"/>
      <c r="F6823" s="534"/>
    </row>
    <row r="6824" spans="1:6" ht="15" customHeight="1">
      <c r="A6824" s="51"/>
      <c r="B6824" s="52" t="str">
        <f t="shared" si="351"/>
        <v/>
      </c>
      <c r="C6824" t="str">
        <f t="shared" si="350"/>
        <v/>
      </c>
      <c r="D6824" s="245" t="str">
        <f t="shared" si="352"/>
        <v/>
      </c>
      <c r="E6824" s="534"/>
      <c r="F6824" s="534"/>
    </row>
    <row r="6825" spans="1:6" ht="15" customHeight="1">
      <c r="A6825" s="51"/>
      <c r="B6825" s="52" t="str">
        <f t="shared" si="351"/>
        <v/>
      </c>
      <c r="C6825" t="str">
        <f t="shared" si="350"/>
        <v/>
      </c>
      <c r="D6825" s="245" t="str">
        <f t="shared" si="352"/>
        <v/>
      </c>
      <c r="E6825" s="534"/>
      <c r="F6825" s="534"/>
    </row>
    <row r="6826" spans="1:6" ht="15" customHeight="1">
      <c r="A6826" s="51"/>
      <c r="B6826" s="52" t="str">
        <f t="shared" si="351"/>
        <v/>
      </c>
      <c r="C6826" t="str">
        <f t="shared" si="350"/>
        <v/>
      </c>
      <c r="D6826" s="245" t="str">
        <f t="shared" si="352"/>
        <v/>
      </c>
      <c r="E6826" s="534"/>
      <c r="F6826" s="534"/>
    </row>
    <row r="6827" spans="1:6" ht="15" customHeight="1">
      <c r="A6827" s="51"/>
      <c r="B6827" s="52" t="str">
        <f t="shared" si="351"/>
        <v/>
      </c>
      <c r="C6827" t="str">
        <f t="shared" si="350"/>
        <v/>
      </c>
      <c r="D6827" s="245" t="str">
        <f t="shared" si="352"/>
        <v/>
      </c>
      <c r="E6827" s="534"/>
      <c r="F6827" s="534"/>
    </row>
    <row r="6828" spans="1:6" ht="15" customHeight="1">
      <c r="A6828" s="51"/>
      <c r="B6828" s="52" t="str">
        <f t="shared" si="351"/>
        <v/>
      </c>
      <c r="C6828" t="str">
        <f t="shared" si="350"/>
        <v/>
      </c>
      <c r="D6828" s="245" t="str">
        <f t="shared" si="352"/>
        <v/>
      </c>
      <c r="E6828" s="534"/>
      <c r="F6828" s="534"/>
    </row>
    <row r="6829" spans="1:6" ht="15" customHeight="1">
      <c r="A6829" s="51"/>
      <c r="B6829" s="52" t="str">
        <f t="shared" si="351"/>
        <v/>
      </c>
      <c r="C6829" t="str">
        <f t="shared" si="350"/>
        <v/>
      </c>
      <c r="D6829" s="245" t="str">
        <f t="shared" si="352"/>
        <v/>
      </c>
      <c r="E6829" s="534"/>
      <c r="F6829" s="534"/>
    </row>
    <row r="6830" spans="1:6" ht="15" customHeight="1">
      <c r="A6830" s="51"/>
      <c r="B6830" s="52" t="str">
        <f t="shared" si="351"/>
        <v/>
      </c>
      <c r="C6830" t="str">
        <f t="shared" si="350"/>
        <v/>
      </c>
      <c r="D6830" s="245" t="str">
        <f t="shared" si="352"/>
        <v/>
      </c>
      <c r="E6830" s="534"/>
      <c r="F6830" s="534"/>
    </row>
    <row r="6831" spans="1:6" ht="15" customHeight="1">
      <c r="A6831" s="51"/>
      <c r="B6831" s="52" t="str">
        <f t="shared" si="351"/>
        <v/>
      </c>
      <c r="C6831" t="str">
        <f t="shared" si="350"/>
        <v/>
      </c>
      <c r="D6831" s="245" t="str">
        <f t="shared" si="352"/>
        <v/>
      </c>
      <c r="E6831" s="534"/>
      <c r="F6831" s="534"/>
    </row>
    <row r="6832" spans="1:6" ht="15" customHeight="1">
      <c r="A6832" s="51"/>
      <c r="B6832" s="52" t="str">
        <f t="shared" si="351"/>
        <v/>
      </c>
      <c r="C6832" t="str">
        <f t="shared" si="350"/>
        <v/>
      </c>
      <c r="D6832" s="245" t="str">
        <f t="shared" si="352"/>
        <v/>
      </c>
      <c r="E6832" s="534"/>
      <c r="F6832" s="534"/>
    </row>
    <row r="6833" spans="1:6" ht="15" customHeight="1">
      <c r="A6833" s="51"/>
      <c r="B6833" s="52" t="str">
        <f t="shared" si="351"/>
        <v/>
      </c>
      <c r="C6833" t="str">
        <f t="shared" si="350"/>
        <v/>
      </c>
      <c r="D6833" s="245" t="str">
        <f t="shared" si="352"/>
        <v/>
      </c>
      <c r="E6833" s="534"/>
      <c r="F6833" s="534"/>
    </row>
    <row r="6834" spans="1:6" ht="15" customHeight="1">
      <c r="A6834" s="51"/>
      <c r="B6834" s="52" t="str">
        <f t="shared" si="351"/>
        <v/>
      </c>
      <c r="C6834" t="str">
        <f t="shared" si="350"/>
        <v/>
      </c>
      <c r="D6834" s="245" t="str">
        <f t="shared" si="352"/>
        <v/>
      </c>
      <c r="E6834" s="534"/>
      <c r="F6834" s="534"/>
    </row>
    <row r="6835" spans="1:6" ht="15" customHeight="1">
      <c r="A6835" s="51"/>
      <c r="B6835" s="52" t="str">
        <f t="shared" si="351"/>
        <v/>
      </c>
      <c r="C6835" t="str">
        <f t="shared" si="350"/>
        <v/>
      </c>
      <c r="D6835" s="245" t="str">
        <f t="shared" si="352"/>
        <v/>
      </c>
      <c r="E6835" s="534"/>
      <c r="F6835" s="534"/>
    </row>
    <row r="6836" spans="1:6" ht="15" customHeight="1">
      <c r="A6836" s="51"/>
      <c r="B6836" s="52" t="str">
        <f t="shared" si="351"/>
        <v/>
      </c>
      <c r="C6836" t="str">
        <f t="shared" si="350"/>
        <v/>
      </c>
      <c r="D6836" s="245" t="str">
        <f t="shared" si="352"/>
        <v/>
      </c>
      <c r="E6836" s="534"/>
      <c r="F6836" s="534"/>
    </row>
    <row r="6837" spans="1:6" ht="15" customHeight="1">
      <c r="A6837" s="51"/>
      <c r="B6837" s="52" t="str">
        <f t="shared" si="351"/>
        <v/>
      </c>
      <c r="C6837" t="str">
        <f t="shared" si="350"/>
        <v/>
      </c>
      <c r="D6837" s="245" t="str">
        <f t="shared" si="352"/>
        <v/>
      </c>
      <c r="E6837" s="534"/>
      <c r="F6837" s="534"/>
    </row>
    <row r="6838" spans="1:6" ht="15" customHeight="1">
      <c r="A6838" s="51"/>
      <c r="B6838" s="52" t="str">
        <f t="shared" si="351"/>
        <v/>
      </c>
      <c r="C6838" t="str">
        <f t="shared" si="350"/>
        <v/>
      </c>
      <c r="D6838" s="245" t="str">
        <f t="shared" si="352"/>
        <v/>
      </c>
      <c r="E6838" s="534"/>
      <c r="F6838" s="534"/>
    </row>
    <row r="6839" spans="1:6" ht="15" customHeight="1">
      <c r="A6839" s="51"/>
      <c r="B6839" s="52" t="str">
        <f t="shared" si="351"/>
        <v/>
      </c>
      <c r="C6839" t="str">
        <f t="shared" si="350"/>
        <v/>
      </c>
      <c r="D6839" s="245" t="str">
        <f t="shared" si="352"/>
        <v/>
      </c>
      <c r="E6839" s="534"/>
      <c r="F6839" s="534"/>
    </row>
    <row r="6840" spans="1:6" ht="15" customHeight="1">
      <c r="A6840" s="51"/>
      <c r="B6840" s="52" t="str">
        <f t="shared" si="351"/>
        <v/>
      </c>
      <c r="C6840" t="str">
        <f t="shared" si="350"/>
        <v/>
      </c>
      <c r="D6840" s="245" t="str">
        <f t="shared" si="352"/>
        <v/>
      </c>
      <c r="E6840" s="534"/>
      <c r="F6840" s="534"/>
    </row>
    <row r="6841" spans="1:6" ht="15" customHeight="1">
      <c r="A6841" s="51"/>
      <c r="B6841" s="52" t="str">
        <f t="shared" si="351"/>
        <v/>
      </c>
      <c r="C6841" t="str">
        <f t="shared" si="350"/>
        <v/>
      </c>
      <c r="D6841" s="245" t="str">
        <f t="shared" si="352"/>
        <v/>
      </c>
      <c r="E6841" s="534"/>
      <c r="F6841" s="534"/>
    </row>
    <row r="6842" spans="1:6" ht="15" customHeight="1">
      <c r="A6842" s="51"/>
      <c r="B6842" s="52" t="str">
        <f t="shared" si="351"/>
        <v/>
      </c>
      <c r="C6842" t="str">
        <f t="shared" si="350"/>
        <v/>
      </c>
      <c r="D6842" s="245" t="str">
        <f t="shared" si="352"/>
        <v/>
      </c>
      <c r="E6842" s="534"/>
      <c r="F6842" s="534"/>
    </row>
    <row r="6843" spans="1:6" ht="15" customHeight="1">
      <c r="A6843" s="51"/>
      <c r="B6843" s="52" t="str">
        <f t="shared" si="351"/>
        <v/>
      </c>
      <c r="C6843" t="str">
        <f t="shared" si="350"/>
        <v/>
      </c>
      <c r="D6843" s="245" t="str">
        <f t="shared" si="352"/>
        <v/>
      </c>
      <c r="E6843" s="534"/>
      <c r="F6843" s="534"/>
    </row>
    <row r="6844" spans="1:6" ht="15" customHeight="1">
      <c r="A6844" s="51"/>
      <c r="B6844" s="52" t="str">
        <f t="shared" si="351"/>
        <v/>
      </c>
      <c r="C6844" t="str">
        <f t="shared" si="350"/>
        <v/>
      </c>
      <c r="D6844" s="245" t="str">
        <f t="shared" si="352"/>
        <v/>
      </c>
      <c r="E6844" s="534"/>
      <c r="F6844" s="534"/>
    </row>
    <row r="6845" spans="1:6" ht="15" customHeight="1">
      <c r="A6845" s="51"/>
      <c r="B6845" s="52" t="str">
        <f t="shared" si="351"/>
        <v/>
      </c>
      <c r="C6845" t="str">
        <f t="shared" si="350"/>
        <v/>
      </c>
      <c r="D6845" s="245" t="str">
        <f t="shared" si="352"/>
        <v/>
      </c>
      <c r="E6845" s="534"/>
      <c r="F6845" s="534"/>
    </row>
    <row r="6846" spans="1:6" ht="15" customHeight="1">
      <c r="A6846" s="51"/>
      <c r="B6846" s="52" t="str">
        <f t="shared" si="351"/>
        <v/>
      </c>
      <c r="C6846" t="str">
        <f t="shared" si="350"/>
        <v/>
      </c>
      <c r="D6846" s="245" t="str">
        <f t="shared" si="352"/>
        <v/>
      </c>
      <c r="E6846" s="534"/>
      <c r="F6846" s="534"/>
    </row>
    <row r="6847" spans="1:6" ht="15" customHeight="1">
      <c r="A6847" s="51"/>
      <c r="B6847" s="52" t="str">
        <f t="shared" si="351"/>
        <v/>
      </c>
      <c r="C6847" t="str">
        <f t="shared" si="350"/>
        <v/>
      </c>
      <c r="D6847" s="245" t="str">
        <f t="shared" si="352"/>
        <v/>
      </c>
      <c r="E6847" s="534"/>
      <c r="F6847" s="534"/>
    </row>
    <row r="6848" spans="1:6" ht="15" customHeight="1">
      <c r="A6848" s="51"/>
      <c r="B6848" s="52" t="str">
        <f t="shared" si="351"/>
        <v/>
      </c>
      <c r="C6848" t="str">
        <f t="shared" si="350"/>
        <v/>
      </c>
      <c r="D6848" s="245" t="str">
        <f t="shared" si="352"/>
        <v/>
      </c>
      <c r="E6848" s="534"/>
      <c r="F6848" s="534"/>
    </row>
    <row r="6849" spans="1:6" ht="15" customHeight="1">
      <c r="A6849" s="51"/>
      <c r="B6849" s="52" t="str">
        <f t="shared" si="351"/>
        <v/>
      </c>
      <c r="C6849" t="str">
        <f t="shared" si="350"/>
        <v/>
      </c>
      <c r="D6849" s="245" t="str">
        <f t="shared" si="352"/>
        <v/>
      </c>
      <c r="E6849" s="534"/>
      <c r="F6849" s="534"/>
    </row>
    <row r="6850" spans="1:6" ht="15" customHeight="1">
      <c r="A6850" s="51"/>
      <c r="B6850" s="52" t="str">
        <f t="shared" si="351"/>
        <v/>
      </c>
      <c r="C6850" t="str">
        <f t="shared" ref="C6850:C6913" si="353">IF(A6850&lt;&gt;"",TEXT(A6850,"aaaa"),"")</f>
        <v/>
      </c>
      <c r="D6850" s="245" t="str">
        <f t="shared" si="352"/>
        <v/>
      </c>
      <c r="E6850" s="534"/>
      <c r="F6850" s="534"/>
    </row>
    <row r="6851" spans="1:6" ht="15" customHeight="1">
      <c r="A6851" s="51"/>
      <c r="B6851" s="52" t="str">
        <f t="shared" si="351"/>
        <v/>
      </c>
      <c r="C6851" t="str">
        <f t="shared" si="353"/>
        <v/>
      </c>
      <c r="D6851" s="245" t="str">
        <f t="shared" si="352"/>
        <v/>
      </c>
      <c r="E6851" s="534"/>
      <c r="F6851" s="534"/>
    </row>
    <row r="6852" spans="1:6" ht="15" customHeight="1">
      <c r="A6852" s="51"/>
      <c r="B6852" s="52" t="str">
        <f t="shared" si="351"/>
        <v/>
      </c>
      <c r="C6852" t="str">
        <f t="shared" si="353"/>
        <v/>
      </c>
      <c r="D6852" s="245" t="str">
        <f t="shared" si="352"/>
        <v/>
      </c>
      <c r="E6852" s="534"/>
      <c r="F6852" s="534"/>
    </row>
    <row r="6853" spans="1:6" ht="15" customHeight="1">
      <c r="A6853" s="51"/>
      <c r="B6853" s="52" t="str">
        <f t="shared" si="351"/>
        <v/>
      </c>
      <c r="C6853" t="str">
        <f t="shared" si="353"/>
        <v/>
      </c>
      <c r="D6853" s="245" t="str">
        <f t="shared" si="352"/>
        <v/>
      </c>
      <c r="E6853" s="534"/>
      <c r="F6853" s="534"/>
    </row>
    <row r="6854" spans="1:6" ht="15" customHeight="1">
      <c r="A6854" s="51"/>
      <c r="B6854" s="52" t="str">
        <f t="shared" si="351"/>
        <v/>
      </c>
      <c r="C6854" t="str">
        <f t="shared" si="353"/>
        <v/>
      </c>
      <c r="D6854" s="245" t="str">
        <f t="shared" si="352"/>
        <v/>
      </c>
      <c r="E6854" s="534"/>
      <c r="F6854" s="534"/>
    </row>
    <row r="6855" spans="1:6" ht="15" customHeight="1">
      <c r="A6855" s="51"/>
      <c r="B6855" s="52" t="str">
        <f t="shared" si="351"/>
        <v/>
      </c>
      <c r="C6855" t="str">
        <f t="shared" si="353"/>
        <v/>
      </c>
      <c r="D6855" s="245" t="str">
        <f t="shared" si="352"/>
        <v/>
      </c>
      <c r="E6855" s="534"/>
      <c r="F6855" s="534"/>
    </row>
    <row r="6856" spans="1:6" ht="15" customHeight="1">
      <c r="A6856" s="51"/>
      <c r="B6856" s="52" t="str">
        <f t="shared" ref="B6856:B6919" si="354">IF(A6856="","",TEXT(A6856,"DDDD"))</f>
        <v/>
      </c>
      <c r="C6856" t="str">
        <f t="shared" si="353"/>
        <v/>
      </c>
      <c r="D6856" s="245" t="str">
        <f t="shared" si="352"/>
        <v/>
      </c>
      <c r="E6856" s="534"/>
      <c r="F6856" s="534"/>
    </row>
    <row r="6857" spans="1:6" ht="15" customHeight="1">
      <c r="A6857" s="51"/>
      <c r="B6857" s="52" t="str">
        <f t="shared" si="354"/>
        <v/>
      </c>
      <c r="C6857" t="str">
        <f t="shared" si="353"/>
        <v/>
      </c>
      <c r="D6857" s="245" t="str">
        <f t="shared" ref="D6857:D6920" si="355">IF(A6857&lt;&gt;"",PROPER(TEXT(A6857,"Mmmm")),"")</f>
        <v/>
      </c>
      <c r="E6857" s="534"/>
      <c r="F6857" s="534"/>
    </row>
    <row r="6858" spans="1:6" ht="15" customHeight="1">
      <c r="A6858" s="51"/>
      <c r="B6858" s="52" t="str">
        <f t="shared" si="354"/>
        <v/>
      </c>
      <c r="C6858" t="str">
        <f t="shared" si="353"/>
        <v/>
      </c>
      <c r="D6858" s="245" t="str">
        <f t="shared" si="355"/>
        <v/>
      </c>
      <c r="E6858" s="534"/>
      <c r="F6858" s="534"/>
    </row>
    <row r="6859" spans="1:6" ht="15" customHeight="1">
      <c r="A6859" s="51"/>
      <c r="B6859" s="52" t="str">
        <f t="shared" si="354"/>
        <v/>
      </c>
      <c r="C6859" t="str">
        <f t="shared" si="353"/>
        <v/>
      </c>
      <c r="D6859" s="245" t="str">
        <f t="shared" si="355"/>
        <v/>
      </c>
      <c r="E6859" s="534"/>
      <c r="F6859" s="534"/>
    </row>
    <row r="6860" spans="1:6" ht="15" customHeight="1">
      <c r="A6860" s="51"/>
      <c r="B6860" s="52" t="str">
        <f t="shared" si="354"/>
        <v/>
      </c>
      <c r="C6860" t="str">
        <f t="shared" si="353"/>
        <v/>
      </c>
      <c r="D6860" s="245" t="str">
        <f t="shared" si="355"/>
        <v/>
      </c>
      <c r="E6860" s="534"/>
      <c r="F6860" s="534"/>
    </row>
    <row r="6861" spans="1:6" ht="15" customHeight="1">
      <c r="A6861" s="51"/>
      <c r="B6861" s="52" t="str">
        <f t="shared" si="354"/>
        <v/>
      </c>
      <c r="C6861" t="str">
        <f t="shared" si="353"/>
        <v/>
      </c>
      <c r="D6861" s="245" t="str">
        <f t="shared" si="355"/>
        <v/>
      </c>
      <c r="E6861" s="534"/>
      <c r="F6861" s="534"/>
    </row>
    <row r="6862" spans="1:6" ht="15" customHeight="1">
      <c r="A6862" s="51"/>
      <c r="B6862" s="52" t="str">
        <f t="shared" si="354"/>
        <v/>
      </c>
      <c r="C6862" t="str">
        <f t="shared" si="353"/>
        <v/>
      </c>
      <c r="D6862" s="245" t="str">
        <f t="shared" si="355"/>
        <v/>
      </c>
      <c r="E6862" s="534"/>
      <c r="F6862" s="534"/>
    </row>
    <row r="6863" spans="1:6" ht="15" customHeight="1">
      <c r="A6863" s="51"/>
      <c r="B6863" s="52" t="str">
        <f t="shared" si="354"/>
        <v/>
      </c>
      <c r="C6863" t="str">
        <f t="shared" si="353"/>
        <v/>
      </c>
      <c r="D6863" s="245" t="str">
        <f t="shared" si="355"/>
        <v/>
      </c>
      <c r="E6863" s="534"/>
      <c r="F6863" s="534"/>
    </row>
    <row r="6864" spans="1:6" ht="15" customHeight="1">
      <c r="A6864" s="51"/>
      <c r="B6864" s="52" t="str">
        <f t="shared" si="354"/>
        <v/>
      </c>
      <c r="C6864" t="str">
        <f t="shared" si="353"/>
        <v/>
      </c>
      <c r="D6864" s="245" t="str">
        <f t="shared" si="355"/>
        <v/>
      </c>
      <c r="E6864" s="534"/>
      <c r="F6864" s="534"/>
    </row>
    <row r="6865" spans="1:6" ht="15" customHeight="1">
      <c r="A6865" s="51"/>
      <c r="B6865" s="52" t="str">
        <f t="shared" si="354"/>
        <v/>
      </c>
      <c r="C6865" t="str">
        <f t="shared" si="353"/>
        <v/>
      </c>
      <c r="D6865" s="245" t="str">
        <f t="shared" si="355"/>
        <v/>
      </c>
      <c r="E6865" s="534"/>
      <c r="F6865" s="534"/>
    </row>
    <row r="6866" spans="1:6" ht="15" customHeight="1">
      <c r="A6866" s="51"/>
      <c r="B6866" s="52" t="str">
        <f t="shared" si="354"/>
        <v/>
      </c>
      <c r="C6866" t="str">
        <f t="shared" si="353"/>
        <v/>
      </c>
      <c r="D6866" s="245" t="str">
        <f t="shared" si="355"/>
        <v/>
      </c>
      <c r="E6866" s="534"/>
      <c r="F6866" s="534"/>
    </row>
    <row r="6867" spans="1:6" ht="15" customHeight="1">
      <c r="A6867" s="51"/>
      <c r="B6867" s="52" t="str">
        <f t="shared" si="354"/>
        <v/>
      </c>
      <c r="C6867" t="str">
        <f t="shared" si="353"/>
        <v/>
      </c>
      <c r="D6867" s="245" t="str">
        <f t="shared" si="355"/>
        <v/>
      </c>
      <c r="E6867" s="534"/>
      <c r="F6867" s="534"/>
    </row>
    <row r="6868" spans="1:6" ht="15" customHeight="1">
      <c r="A6868" s="51"/>
      <c r="B6868" s="52" t="str">
        <f t="shared" si="354"/>
        <v/>
      </c>
      <c r="C6868" t="str">
        <f t="shared" si="353"/>
        <v/>
      </c>
      <c r="D6868" s="245" t="str">
        <f t="shared" si="355"/>
        <v/>
      </c>
      <c r="E6868" s="534"/>
      <c r="F6868" s="534"/>
    </row>
    <row r="6869" spans="1:6" ht="15" customHeight="1">
      <c r="A6869" s="51"/>
      <c r="B6869" s="52" t="str">
        <f t="shared" si="354"/>
        <v/>
      </c>
      <c r="C6869" t="str">
        <f t="shared" si="353"/>
        <v/>
      </c>
      <c r="D6869" s="245" t="str">
        <f t="shared" si="355"/>
        <v/>
      </c>
      <c r="E6869" s="534"/>
      <c r="F6869" s="534"/>
    </row>
    <row r="6870" spans="1:6" ht="15" customHeight="1">
      <c r="A6870" s="51"/>
      <c r="B6870" s="52" t="str">
        <f t="shared" si="354"/>
        <v/>
      </c>
      <c r="C6870" t="str">
        <f t="shared" si="353"/>
        <v/>
      </c>
      <c r="D6870" s="245" t="str">
        <f t="shared" si="355"/>
        <v/>
      </c>
      <c r="E6870" s="534"/>
      <c r="F6870" s="534"/>
    </row>
    <row r="6871" spans="1:6" ht="15" customHeight="1">
      <c r="A6871" s="51"/>
      <c r="B6871" s="52" t="str">
        <f t="shared" si="354"/>
        <v/>
      </c>
      <c r="C6871" t="str">
        <f t="shared" si="353"/>
        <v/>
      </c>
      <c r="D6871" s="245" t="str">
        <f t="shared" si="355"/>
        <v/>
      </c>
      <c r="E6871" s="534"/>
      <c r="F6871" s="534"/>
    </row>
    <row r="6872" spans="1:6" ht="15" customHeight="1">
      <c r="A6872" s="51"/>
      <c r="B6872" s="52" t="str">
        <f t="shared" si="354"/>
        <v/>
      </c>
      <c r="C6872" t="str">
        <f t="shared" si="353"/>
        <v/>
      </c>
      <c r="D6872" s="245" t="str">
        <f t="shared" si="355"/>
        <v/>
      </c>
      <c r="E6872" s="534"/>
      <c r="F6872" s="534"/>
    </row>
    <row r="6873" spans="1:6" ht="15" customHeight="1">
      <c r="A6873" s="51"/>
      <c r="B6873" s="52" t="str">
        <f t="shared" si="354"/>
        <v/>
      </c>
      <c r="C6873" t="str">
        <f t="shared" si="353"/>
        <v/>
      </c>
      <c r="D6873" s="245" t="str">
        <f t="shared" si="355"/>
        <v/>
      </c>
      <c r="E6873" s="534"/>
      <c r="F6873" s="534"/>
    </row>
    <row r="6874" spans="1:6" ht="15" customHeight="1">
      <c r="A6874" s="51"/>
      <c r="B6874" s="52" t="str">
        <f t="shared" si="354"/>
        <v/>
      </c>
      <c r="C6874" t="str">
        <f t="shared" si="353"/>
        <v/>
      </c>
      <c r="D6874" s="245" t="str">
        <f t="shared" si="355"/>
        <v/>
      </c>
      <c r="E6874" s="534"/>
      <c r="F6874" s="534"/>
    </row>
    <row r="6875" spans="1:6" ht="15" customHeight="1">
      <c r="A6875" s="51"/>
      <c r="B6875" s="52" t="str">
        <f t="shared" si="354"/>
        <v/>
      </c>
      <c r="C6875" t="str">
        <f t="shared" si="353"/>
        <v/>
      </c>
      <c r="D6875" s="245" t="str">
        <f t="shared" si="355"/>
        <v/>
      </c>
      <c r="E6875" s="534"/>
      <c r="F6875" s="534"/>
    </row>
    <row r="6876" spans="1:6" ht="15" customHeight="1">
      <c r="A6876" s="51"/>
      <c r="B6876" s="52" t="str">
        <f t="shared" si="354"/>
        <v/>
      </c>
      <c r="C6876" t="str">
        <f t="shared" si="353"/>
        <v/>
      </c>
      <c r="D6876" s="245" t="str">
        <f t="shared" si="355"/>
        <v/>
      </c>
      <c r="E6876" s="534"/>
      <c r="F6876" s="534"/>
    </row>
    <row r="6877" spans="1:6" ht="15" customHeight="1">
      <c r="A6877" s="51"/>
      <c r="B6877" s="52" t="str">
        <f t="shared" si="354"/>
        <v/>
      </c>
      <c r="C6877" t="str">
        <f t="shared" si="353"/>
        <v/>
      </c>
      <c r="D6877" s="245" t="str">
        <f t="shared" si="355"/>
        <v/>
      </c>
      <c r="E6877" s="534"/>
      <c r="F6877" s="534"/>
    </row>
    <row r="6878" spans="1:6" ht="15" customHeight="1">
      <c r="A6878" s="51"/>
      <c r="B6878" s="52" t="str">
        <f t="shared" si="354"/>
        <v/>
      </c>
      <c r="C6878" t="str">
        <f t="shared" si="353"/>
        <v/>
      </c>
      <c r="D6878" s="245" t="str">
        <f t="shared" si="355"/>
        <v/>
      </c>
      <c r="E6878" s="534"/>
      <c r="F6878" s="534"/>
    </row>
    <row r="6879" spans="1:6" ht="15" customHeight="1">
      <c r="A6879" s="51"/>
      <c r="B6879" s="52" t="str">
        <f t="shared" si="354"/>
        <v/>
      </c>
      <c r="C6879" t="str">
        <f t="shared" si="353"/>
        <v/>
      </c>
      <c r="D6879" s="245" t="str">
        <f t="shared" si="355"/>
        <v/>
      </c>
      <c r="E6879" s="534"/>
      <c r="F6879" s="534"/>
    </row>
    <row r="6880" spans="1:6" ht="15" customHeight="1">
      <c r="A6880" s="51"/>
      <c r="B6880" s="52" t="str">
        <f t="shared" si="354"/>
        <v/>
      </c>
      <c r="C6880" t="str">
        <f t="shared" si="353"/>
        <v/>
      </c>
      <c r="D6880" s="245" t="str">
        <f t="shared" si="355"/>
        <v/>
      </c>
      <c r="E6880" s="534"/>
      <c r="F6880" s="534"/>
    </row>
    <row r="6881" spans="1:6" ht="15" customHeight="1">
      <c r="A6881" s="51"/>
      <c r="B6881" s="52" t="str">
        <f t="shared" si="354"/>
        <v/>
      </c>
      <c r="C6881" t="str">
        <f t="shared" si="353"/>
        <v/>
      </c>
      <c r="D6881" s="245" t="str">
        <f t="shared" si="355"/>
        <v/>
      </c>
      <c r="E6881" s="534"/>
      <c r="F6881" s="534"/>
    </row>
    <row r="6882" spans="1:6" ht="15" customHeight="1">
      <c r="A6882" s="51"/>
      <c r="B6882" s="52" t="str">
        <f t="shared" si="354"/>
        <v/>
      </c>
      <c r="C6882" t="str">
        <f t="shared" si="353"/>
        <v/>
      </c>
      <c r="D6882" s="245" t="str">
        <f t="shared" si="355"/>
        <v/>
      </c>
      <c r="E6882" s="534"/>
      <c r="F6882" s="534"/>
    </row>
    <row r="6883" spans="1:6" ht="15" customHeight="1">
      <c r="A6883" s="51"/>
      <c r="B6883" s="52" t="str">
        <f t="shared" si="354"/>
        <v/>
      </c>
      <c r="C6883" t="str">
        <f t="shared" si="353"/>
        <v/>
      </c>
      <c r="D6883" s="245" t="str">
        <f t="shared" si="355"/>
        <v/>
      </c>
      <c r="E6883" s="534"/>
      <c r="F6883" s="534"/>
    </row>
    <row r="6884" spans="1:6" ht="15" customHeight="1">
      <c r="A6884" s="51"/>
      <c r="B6884" s="52" t="str">
        <f t="shared" si="354"/>
        <v/>
      </c>
      <c r="C6884" t="str">
        <f t="shared" si="353"/>
        <v/>
      </c>
      <c r="D6884" s="245" t="str">
        <f t="shared" si="355"/>
        <v/>
      </c>
      <c r="E6884" s="534"/>
      <c r="F6884" s="534"/>
    </row>
    <row r="6885" spans="1:6" ht="15" customHeight="1">
      <c r="A6885" s="51"/>
      <c r="B6885" s="52" t="str">
        <f t="shared" si="354"/>
        <v/>
      </c>
      <c r="C6885" t="str">
        <f t="shared" si="353"/>
        <v/>
      </c>
      <c r="D6885" s="245" t="str">
        <f t="shared" si="355"/>
        <v/>
      </c>
      <c r="E6885" s="534"/>
      <c r="F6885" s="534"/>
    </row>
    <row r="6886" spans="1:6" ht="15" customHeight="1">
      <c r="A6886" s="51"/>
      <c r="B6886" s="52" t="str">
        <f t="shared" si="354"/>
        <v/>
      </c>
      <c r="C6886" t="str">
        <f t="shared" si="353"/>
        <v/>
      </c>
      <c r="D6886" s="245" t="str">
        <f t="shared" si="355"/>
        <v/>
      </c>
      <c r="E6886" s="534"/>
      <c r="F6886" s="534"/>
    </row>
    <row r="6887" spans="1:6" ht="15" customHeight="1">
      <c r="A6887" s="51"/>
      <c r="B6887" s="52" t="str">
        <f t="shared" si="354"/>
        <v/>
      </c>
      <c r="C6887" t="str">
        <f t="shared" si="353"/>
        <v/>
      </c>
      <c r="D6887" s="245" t="str">
        <f t="shared" si="355"/>
        <v/>
      </c>
      <c r="E6887" s="534"/>
      <c r="F6887" s="534"/>
    </row>
    <row r="6888" spans="1:6" ht="15" customHeight="1">
      <c r="A6888" s="51"/>
      <c r="B6888" s="52" t="str">
        <f t="shared" si="354"/>
        <v/>
      </c>
      <c r="C6888" t="str">
        <f t="shared" si="353"/>
        <v/>
      </c>
      <c r="D6888" s="245" t="str">
        <f t="shared" si="355"/>
        <v/>
      </c>
      <c r="E6888" s="534"/>
      <c r="F6888" s="534"/>
    </row>
    <row r="6889" spans="1:6" ht="15" customHeight="1">
      <c r="A6889" s="51"/>
      <c r="B6889" s="52" t="str">
        <f t="shared" si="354"/>
        <v/>
      </c>
      <c r="C6889" t="str">
        <f t="shared" si="353"/>
        <v/>
      </c>
      <c r="D6889" s="245" t="str">
        <f t="shared" si="355"/>
        <v/>
      </c>
      <c r="E6889" s="534"/>
      <c r="F6889" s="534"/>
    </row>
    <row r="6890" spans="1:6" ht="15" customHeight="1">
      <c r="A6890" s="51"/>
      <c r="B6890" s="52" t="str">
        <f t="shared" si="354"/>
        <v/>
      </c>
      <c r="C6890" t="str">
        <f t="shared" si="353"/>
        <v/>
      </c>
      <c r="D6890" s="245" t="str">
        <f t="shared" si="355"/>
        <v/>
      </c>
      <c r="E6890" s="534"/>
      <c r="F6890" s="534"/>
    </row>
    <row r="6891" spans="1:6" ht="15" customHeight="1">
      <c r="A6891" s="51"/>
      <c r="B6891" s="52" t="str">
        <f t="shared" si="354"/>
        <v/>
      </c>
      <c r="C6891" t="str">
        <f t="shared" si="353"/>
        <v/>
      </c>
      <c r="D6891" s="245" t="str">
        <f t="shared" si="355"/>
        <v/>
      </c>
      <c r="E6891" s="534"/>
      <c r="F6891" s="534"/>
    </row>
    <row r="6892" spans="1:6" ht="15" customHeight="1">
      <c r="A6892" s="51"/>
      <c r="B6892" s="52" t="str">
        <f t="shared" si="354"/>
        <v/>
      </c>
      <c r="C6892" t="str">
        <f t="shared" si="353"/>
        <v/>
      </c>
      <c r="D6892" s="245" t="str">
        <f t="shared" si="355"/>
        <v/>
      </c>
      <c r="E6892" s="534"/>
      <c r="F6892" s="534"/>
    </row>
    <row r="6893" spans="1:6" ht="15" customHeight="1">
      <c r="A6893" s="51"/>
      <c r="B6893" s="52" t="str">
        <f t="shared" si="354"/>
        <v/>
      </c>
      <c r="C6893" t="str">
        <f t="shared" si="353"/>
        <v/>
      </c>
      <c r="D6893" s="245" t="str">
        <f t="shared" si="355"/>
        <v/>
      </c>
      <c r="E6893" s="534"/>
      <c r="F6893" s="534"/>
    </row>
    <row r="6894" spans="1:6" ht="15" customHeight="1">
      <c r="A6894" s="51"/>
      <c r="B6894" s="52" t="str">
        <f t="shared" si="354"/>
        <v/>
      </c>
      <c r="C6894" t="str">
        <f t="shared" si="353"/>
        <v/>
      </c>
      <c r="D6894" s="245" t="str">
        <f t="shared" si="355"/>
        <v/>
      </c>
      <c r="E6894" s="534"/>
      <c r="F6894" s="534"/>
    </row>
    <row r="6895" spans="1:6" ht="15" customHeight="1">
      <c r="A6895" s="51"/>
      <c r="B6895" s="52" t="str">
        <f t="shared" si="354"/>
        <v/>
      </c>
      <c r="C6895" t="str">
        <f t="shared" si="353"/>
        <v/>
      </c>
      <c r="D6895" s="245" t="str">
        <f t="shared" si="355"/>
        <v/>
      </c>
      <c r="E6895" s="534"/>
      <c r="F6895" s="534"/>
    </row>
    <row r="6896" spans="1:6" ht="15" customHeight="1">
      <c r="A6896" s="51"/>
      <c r="B6896" s="52" t="str">
        <f t="shared" si="354"/>
        <v/>
      </c>
      <c r="C6896" t="str">
        <f t="shared" si="353"/>
        <v/>
      </c>
      <c r="D6896" s="245" t="str">
        <f t="shared" si="355"/>
        <v/>
      </c>
      <c r="E6896" s="534"/>
      <c r="F6896" s="534"/>
    </row>
    <row r="6897" spans="1:6" ht="15" customHeight="1">
      <c r="A6897" s="51"/>
      <c r="B6897" s="52" t="str">
        <f t="shared" si="354"/>
        <v/>
      </c>
      <c r="C6897" t="str">
        <f t="shared" si="353"/>
        <v/>
      </c>
      <c r="D6897" s="245" t="str">
        <f t="shared" si="355"/>
        <v/>
      </c>
      <c r="E6897" s="534"/>
      <c r="F6897" s="534"/>
    </row>
    <row r="6898" spans="1:6" ht="15" customHeight="1">
      <c r="A6898" s="51"/>
      <c r="B6898" s="52" t="str">
        <f t="shared" si="354"/>
        <v/>
      </c>
      <c r="C6898" t="str">
        <f t="shared" si="353"/>
        <v/>
      </c>
      <c r="D6898" s="245" t="str">
        <f t="shared" si="355"/>
        <v/>
      </c>
      <c r="E6898" s="534"/>
      <c r="F6898" s="534"/>
    </row>
    <row r="6899" spans="1:6" ht="15" customHeight="1">
      <c r="A6899" s="51"/>
      <c r="B6899" s="52" t="str">
        <f t="shared" si="354"/>
        <v/>
      </c>
      <c r="C6899" t="str">
        <f t="shared" si="353"/>
        <v/>
      </c>
      <c r="D6899" s="245" t="str">
        <f t="shared" si="355"/>
        <v/>
      </c>
      <c r="E6899" s="534"/>
      <c r="F6899" s="534"/>
    </row>
    <row r="6900" spans="1:6" ht="15" customHeight="1">
      <c r="A6900" s="51"/>
      <c r="B6900" s="52" t="str">
        <f t="shared" si="354"/>
        <v/>
      </c>
      <c r="C6900" t="str">
        <f t="shared" si="353"/>
        <v/>
      </c>
      <c r="D6900" s="245" t="str">
        <f t="shared" si="355"/>
        <v/>
      </c>
      <c r="E6900" s="534"/>
      <c r="F6900" s="534"/>
    </row>
    <row r="6901" spans="1:6" ht="15" customHeight="1">
      <c r="A6901" s="51"/>
      <c r="B6901" s="52" t="str">
        <f t="shared" si="354"/>
        <v/>
      </c>
      <c r="C6901" t="str">
        <f t="shared" si="353"/>
        <v/>
      </c>
      <c r="D6901" s="245" t="str">
        <f t="shared" si="355"/>
        <v/>
      </c>
      <c r="E6901" s="534"/>
      <c r="F6901" s="534"/>
    </row>
    <row r="6902" spans="1:6" ht="15" customHeight="1">
      <c r="A6902" s="51"/>
      <c r="B6902" s="52" t="str">
        <f t="shared" si="354"/>
        <v/>
      </c>
      <c r="C6902" t="str">
        <f t="shared" si="353"/>
        <v/>
      </c>
      <c r="D6902" s="245" t="str">
        <f t="shared" si="355"/>
        <v/>
      </c>
      <c r="E6902" s="534"/>
      <c r="F6902" s="534"/>
    </row>
    <row r="6903" spans="1:6" ht="15" customHeight="1">
      <c r="A6903" s="51"/>
      <c r="B6903" s="52" t="str">
        <f t="shared" si="354"/>
        <v/>
      </c>
      <c r="C6903" t="str">
        <f t="shared" si="353"/>
        <v/>
      </c>
      <c r="D6903" s="245" t="str">
        <f t="shared" si="355"/>
        <v/>
      </c>
      <c r="E6903" s="534"/>
      <c r="F6903" s="534"/>
    </row>
    <row r="6904" spans="1:6" ht="15" customHeight="1">
      <c r="A6904" s="51"/>
      <c r="B6904" s="52" t="str">
        <f t="shared" si="354"/>
        <v/>
      </c>
      <c r="C6904" t="str">
        <f t="shared" si="353"/>
        <v/>
      </c>
      <c r="D6904" s="245" t="str">
        <f t="shared" si="355"/>
        <v/>
      </c>
      <c r="E6904" s="534"/>
      <c r="F6904" s="534"/>
    </row>
    <row r="6905" spans="1:6" ht="15" customHeight="1">
      <c r="A6905" s="51"/>
      <c r="B6905" s="52" t="str">
        <f t="shared" si="354"/>
        <v/>
      </c>
      <c r="C6905" t="str">
        <f t="shared" si="353"/>
        <v/>
      </c>
      <c r="D6905" s="245" t="str">
        <f t="shared" si="355"/>
        <v/>
      </c>
      <c r="E6905" s="534"/>
      <c r="F6905" s="534"/>
    </row>
    <row r="6906" spans="1:6" ht="15" customHeight="1">
      <c r="A6906" s="51"/>
      <c r="B6906" s="52" t="str">
        <f t="shared" si="354"/>
        <v/>
      </c>
      <c r="C6906" t="str">
        <f t="shared" si="353"/>
        <v/>
      </c>
      <c r="D6906" s="245" t="str">
        <f t="shared" si="355"/>
        <v/>
      </c>
      <c r="E6906" s="534"/>
      <c r="F6906" s="534"/>
    </row>
    <row r="6907" spans="1:6" ht="15" customHeight="1">
      <c r="A6907" s="51"/>
      <c r="B6907" s="52" t="str">
        <f t="shared" si="354"/>
        <v/>
      </c>
      <c r="C6907" t="str">
        <f t="shared" si="353"/>
        <v/>
      </c>
      <c r="D6907" s="245" t="str">
        <f t="shared" si="355"/>
        <v/>
      </c>
      <c r="E6907" s="534"/>
      <c r="F6907" s="534"/>
    </row>
    <row r="6908" spans="1:6" ht="15" customHeight="1">
      <c r="A6908" s="51"/>
      <c r="B6908" s="52" t="str">
        <f t="shared" si="354"/>
        <v/>
      </c>
      <c r="C6908" t="str">
        <f t="shared" si="353"/>
        <v/>
      </c>
      <c r="D6908" s="245" t="str">
        <f t="shared" si="355"/>
        <v/>
      </c>
      <c r="E6908" s="534"/>
      <c r="F6908" s="534"/>
    </row>
    <row r="6909" spans="1:6" ht="15" customHeight="1">
      <c r="A6909" s="51"/>
      <c r="B6909" s="52" t="str">
        <f t="shared" si="354"/>
        <v/>
      </c>
      <c r="C6909" t="str">
        <f t="shared" si="353"/>
        <v/>
      </c>
      <c r="D6909" s="245" t="str">
        <f t="shared" si="355"/>
        <v/>
      </c>
      <c r="E6909" s="534"/>
      <c r="F6909" s="534"/>
    </row>
    <row r="6910" spans="1:6" ht="15" customHeight="1">
      <c r="A6910" s="51"/>
      <c r="B6910" s="52" t="str">
        <f t="shared" si="354"/>
        <v/>
      </c>
      <c r="C6910" t="str">
        <f t="shared" si="353"/>
        <v/>
      </c>
      <c r="D6910" s="245" t="str">
        <f t="shared" si="355"/>
        <v/>
      </c>
      <c r="E6910" s="534"/>
      <c r="F6910" s="534"/>
    </row>
    <row r="6911" spans="1:6" ht="15" customHeight="1">
      <c r="A6911" s="51"/>
      <c r="B6911" s="52" t="str">
        <f t="shared" si="354"/>
        <v/>
      </c>
      <c r="C6911" t="str">
        <f t="shared" si="353"/>
        <v/>
      </c>
      <c r="D6911" s="245" t="str">
        <f t="shared" si="355"/>
        <v/>
      </c>
      <c r="E6911" s="534"/>
      <c r="F6911" s="534"/>
    </row>
    <row r="6912" spans="1:6" ht="15" customHeight="1">
      <c r="A6912" s="51"/>
      <c r="B6912" s="52" t="str">
        <f t="shared" si="354"/>
        <v/>
      </c>
      <c r="C6912" t="str">
        <f t="shared" si="353"/>
        <v/>
      </c>
      <c r="D6912" s="245" t="str">
        <f t="shared" si="355"/>
        <v/>
      </c>
      <c r="E6912" s="534"/>
      <c r="F6912" s="534"/>
    </row>
    <row r="6913" spans="1:6" ht="15" customHeight="1">
      <c r="A6913" s="51"/>
      <c r="B6913" s="52" t="str">
        <f t="shared" si="354"/>
        <v/>
      </c>
      <c r="C6913" t="str">
        <f t="shared" si="353"/>
        <v/>
      </c>
      <c r="D6913" s="245" t="str">
        <f t="shared" si="355"/>
        <v/>
      </c>
      <c r="E6913" s="534"/>
      <c r="F6913" s="534"/>
    </row>
    <row r="6914" spans="1:6" ht="15" customHeight="1">
      <c r="A6914" s="51"/>
      <c r="B6914" s="52" t="str">
        <f t="shared" si="354"/>
        <v/>
      </c>
      <c r="C6914" t="str">
        <f t="shared" ref="C6914:C6977" si="356">IF(A6914&lt;&gt;"",TEXT(A6914,"aaaa"),"")</f>
        <v/>
      </c>
      <c r="D6914" s="245" t="str">
        <f t="shared" si="355"/>
        <v/>
      </c>
      <c r="E6914" s="534"/>
      <c r="F6914" s="534"/>
    </row>
    <row r="6915" spans="1:6" ht="15" customHeight="1">
      <c r="A6915" s="51"/>
      <c r="B6915" s="52" t="str">
        <f t="shared" si="354"/>
        <v/>
      </c>
      <c r="C6915" t="str">
        <f t="shared" si="356"/>
        <v/>
      </c>
      <c r="D6915" s="245" t="str">
        <f t="shared" si="355"/>
        <v/>
      </c>
      <c r="E6915" s="534"/>
      <c r="F6915" s="534"/>
    </row>
    <row r="6916" spans="1:6" ht="15" customHeight="1">
      <c r="A6916" s="51"/>
      <c r="B6916" s="52" t="str">
        <f t="shared" si="354"/>
        <v/>
      </c>
      <c r="C6916" t="str">
        <f t="shared" si="356"/>
        <v/>
      </c>
      <c r="D6916" s="245" t="str">
        <f t="shared" si="355"/>
        <v/>
      </c>
      <c r="E6916" s="534"/>
      <c r="F6916" s="534"/>
    </row>
    <row r="6917" spans="1:6" ht="15" customHeight="1">
      <c r="A6917" s="51"/>
      <c r="B6917" s="52" t="str">
        <f t="shared" si="354"/>
        <v/>
      </c>
      <c r="C6917" t="str">
        <f t="shared" si="356"/>
        <v/>
      </c>
      <c r="D6917" s="245" t="str">
        <f t="shared" si="355"/>
        <v/>
      </c>
      <c r="E6917" s="534"/>
      <c r="F6917" s="534"/>
    </row>
    <row r="6918" spans="1:6" ht="15" customHeight="1">
      <c r="A6918" s="51"/>
      <c r="B6918" s="52" t="str">
        <f t="shared" si="354"/>
        <v/>
      </c>
      <c r="C6918" t="str">
        <f t="shared" si="356"/>
        <v/>
      </c>
      <c r="D6918" s="245" t="str">
        <f t="shared" si="355"/>
        <v/>
      </c>
      <c r="E6918" s="534"/>
      <c r="F6918" s="534"/>
    </row>
    <row r="6919" spans="1:6" ht="15" customHeight="1">
      <c r="A6919" s="51"/>
      <c r="B6919" s="52" t="str">
        <f t="shared" si="354"/>
        <v/>
      </c>
      <c r="C6919" t="str">
        <f t="shared" si="356"/>
        <v/>
      </c>
      <c r="D6919" s="245" t="str">
        <f t="shared" si="355"/>
        <v/>
      </c>
      <c r="E6919" s="534"/>
      <c r="F6919" s="534"/>
    </row>
    <row r="6920" spans="1:6" ht="15" customHeight="1">
      <c r="A6920" s="51"/>
      <c r="B6920" s="52" t="str">
        <f t="shared" ref="B6920:B6983" si="357">IF(A6920="","",TEXT(A6920,"DDDD"))</f>
        <v/>
      </c>
      <c r="C6920" t="str">
        <f t="shared" si="356"/>
        <v/>
      </c>
      <c r="D6920" s="245" t="str">
        <f t="shared" si="355"/>
        <v/>
      </c>
      <c r="E6920" s="534"/>
      <c r="F6920" s="534"/>
    </row>
    <row r="6921" spans="1:6" ht="15" customHeight="1">
      <c r="A6921" s="51"/>
      <c r="B6921" s="52" t="str">
        <f t="shared" si="357"/>
        <v/>
      </c>
      <c r="C6921" t="str">
        <f t="shared" si="356"/>
        <v/>
      </c>
      <c r="D6921" s="245" t="str">
        <f t="shared" ref="D6921:D6984" si="358">IF(A6921&lt;&gt;"",PROPER(TEXT(A6921,"Mmmm")),"")</f>
        <v/>
      </c>
      <c r="E6921" s="534"/>
      <c r="F6921" s="534"/>
    </row>
    <row r="6922" spans="1:6" ht="15" customHeight="1">
      <c r="A6922" s="51"/>
      <c r="B6922" s="52" t="str">
        <f t="shared" si="357"/>
        <v/>
      </c>
      <c r="C6922" t="str">
        <f t="shared" si="356"/>
        <v/>
      </c>
      <c r="D6922" s="245" t="str">
        <f t="shared" si="358"/>
        <v/>
      </c>
      <c r="E6922" s="534"/>
      <c r="F6922" s="534"/>
    </row>
    <row r="6923" spans="1:6" ht="15" customHeight="1">
      <c r="A6923" s="51"/>
      <c r="B6923" s="52" t="str">
        <f t="shared" si="357"/>
        <v/>
      </c>
      <c r="C6923" t="str">
        <f t="shared" si="356"/>
        <v/>
      </c>
      <c r="D6923" s="245" t="str">
        <f t="shared" si="358"/>
        <v/>
      </c>
      <c r="E6923" s="534"/>
      <c r="F6923" s="534"/>
    </row>
    <row r="6924" spans="1:6" ht="15" customHeight="1">
      <c r="A6924" s="51"/>
      <c r="B6924" s="52" t="str">
        <f t="shared" si="357"/>
        <v/>
      </c>
      <c r="C6924" t="str">
        <f t="shared" si="356"/>
        <v/>
      </c>
      <c r="D6924" s="245" t="str">
        <f t="shared" si="358"/>
        <v/>
      </c>
      <c r="E6924" s="534"/>
      <c r="F6924" s="534"/>
    </row>
    <row r="6925" spans="1:6" ht="15" customHeight="1">
      <c r="A6925" s="51"/>
      <c r="B6925" s="52" t="str">
        <f t="shared" si="357"/>
        <v/>
      </c>
      <c r="C6925" t="str">
        <f t="shared" si="356"/>
        <v/>
      </c>
      <c r="D6925" s="245" t="str">
        <f t="shared" si="358"/>
        <v/>
      </c>
      <c r="E6925" s="534"/>
      <c r="F6925" s="534"/>
    </row>
    <row r="6926" spans="1:6" ht="15" customHeight="1">
      <c r="A6926" s="51"/>
      <c r="B6926" s="52" t="str">
        <f t="shared" si="357"/>
        <v/>
      </c>
      <c r="C6926" t="str">
        <f t="shared" si="356"/>
        <v/>
      </c>
      <c r="D6926" s="245" t="str">
        <f t="shared" si="358"/>
        <v/>
      </c>
      <c r="E6926" s="534"/>
      <c r="F6926" s="534"/>
    </row>
    <row r="6927" spans="1:6" ht="15" customHeight="1">
      <c r="A6927" s="51"/>
      <c r="B6927" s="52" t="str">
        <f t="shared" si="357"/>
        <v/>
      </c>
      <c r="C6927" t="str">
        <f t="shared" si="356"/>
        <v/>
      </c>
      <c r="D6927" s="245" t="str">
        <f t="shared" si="358"/>
        <v/>
      </c>
      <c r="E6927" s="534"/>
      <c r="F6927" s="534"/>
    </row>
    <row r="6928" spans="1:6" ht="15" customHeight="1">
      <c r="A6928" s="51"/>
      <c r="B6928" s="52" t="str">
        <f t="shared" si="357"/>
        <v/>
      </c>
      <c r="C6928" t="str">
        <f t="shared" si="356"/>
        <v/>
      </c>
      <c r="D6928" s="245" t="str">
        <f t="shared" si="358"/>
        <v/>
      </c>
      <c r="E6928" s="534"/>
      <c r="F6928" s="534"/>
    </row>
    <row r="6929" spans="1:6" ht="15" customHeight="1">
      <c r="A6929" s="51"/>
      <c r="B6929" s="52" t="str">
        <f t="shared" si="357"/>
        <v/>
      </c>
      <c r="C6929" t="str">
        <f t="shared" si="356"/>
        <v/>
      </c>
      <c r="D6929" s="245" t="str">
        <f t="shared" si="358"/>
        <v/>
      </c>
      <c r="E6929" s="534"/>
      <c r="F6929" s="534"/>
    </row>
    <row r="6930" spans="1:6" ht="15" customHeight="1">
      <c r="A6930" s="51"/>
      <c r="B6930" s="52" t="str">
        <f t="shared" si="357"/>
        <v/>
      </c>
      <c r="C6930" t="str">
        <f t="shared" si="356"/>
        <v/>
      </c>
      <c r="D6930" s="245" t="str">
        <f t="shared" si="358"/>
        <v/>
      </c>
      <c r="E6930" s="534"/>
      <c r="F6930" s="534"/>
    </row>
    <row r="6931" spans="1:6" ht="15" customHeight="1">
      <c r="A6931" s="51"/>
      <c r="B6931" s="52" t="str">
        <f t="shared" si="357"/>
        <v/>
      </c>
      <c r="C6931" t="str">
        <f t="shared" si="356"/>
        <v/>
      </c>
      <c r="D6931" s="245" t="str">
        <f t="shared" si="358"/>
        <v/>
      </c>
      <c r="E6931" s="534"/>
      <c r="F6931" s="534"/>
    </row>
    <row r="6932" spans="1:6" ht="15" customHeight="1">
      <c r="A6932" s="51"/>
      <c r="B6932" s="52" t="str">
        <f t="shared" si="357"/>
        <v/>
      </c>
      <c r="C6932" t="str">
        <f t="shared" si="356"/>
        <v/>
      </c>
      <c r="D6932" s="245" t="str">
        <f t="shared" si="358"/>
        <v/>
      </c>
      <c r="E6932" s="534"/>
      <c r="F6932" s="534"/>
    </row>
    <row r="6933" spans="1:6" ht="15" customHeight="1">
      <c r="A6933" s="51"/>
      <c r="B6933" s="52" t="str">
        <f t="shared" si="357"/>
        <v/>
      </c>
      <c r="C6933" t="str">
        <f t="shared" si="356"/>
        <v/>
      </c>
      <c r="D6933" s="245" t="str">
        <f t="shared" si="358"/>
        <v/>
      </c>
      <c r="E6933" s="534"/>
      <c r="F6933" s="534"/>
    </row>
    <row r="6934" spans="1:6" ht="15" customHeight="1">
      <c r="A6934" s="51"/>
      <c r="B6934" s="52" t="str">
        <f t="shared" si="357"/>
        <v/>
      </c>
      <c r="C6934" t="str">
        <f t="shared" si="356"/>
        <v/>
      </c>
      <c r="D6934" s="245" t="str">
        <f t="shared" si="358"/>
        <v/>
      </c>
      <c r="E6934" s="534"/>
      <c r="F6934" s="534"/>
    </row>
    <row r="6935" spans="1:6" ht="15" customHeight="1">
      <c r="A6935" s="51"/>
      <c r="B6935" s="52" t="str">
        <f t="shared" si="357"/>
        <v/>
      </c>
      <c r="C6935" t="str">
        <f t="shared" si="356"/>
        <v/>
      </c>
      <c r="D6935" s="245" t="str">
        <f t="shared" si="358"/>
        <v/>
      </c>
      <c r="E6935" s="534"/>
      <c r="F6935" s="534"/>
    </row>
    <row r="6936" spans="1:6" ht="15" customHeight="1">
      <c r="A6936" s="51"/>
      <c r="B6936" s="52" t="str">
        <f t="shared" si="357"/>
        <v/>
      </c>
      <c r="C6936" t="str">
        <f t="shared" si="356"/>
        <v/>
      </c>
      <c r="D6936" s="245" t="str">
        <f t="shared" si="358"/>
        <v/>
      </c>
      <c r="E6936" s="534"/>
      <c r="F6936" s="534"/>
    </row>
    <row r="6937" spans="1:6" ht="15" customHeight="1">
      <c r="A6937" s="51"/>
      <c r="B6937" s="52" t="str">
        <f t="shared" si="357"/>
        <v/>
      </c>
      <c r="C6937" t="str">
        <f t="shared" si="356"/>
        <v/>
      </c>
      <c r="D6937" s="245" t="str">
        <f t="shared" si="358"/>
        <v/>
      </c>
      <c r="E6937" s="534"/>
      <c r="F6937" s="534"/>
    </row>
    <row r="6938" spans="1:6" ht="15" customHeight="1">
      <c r="A6938" s="51"/>
      <c r="B6938" s="52" t="str">
        <f t="shared" si="357"/>
        <v/>
      </c>
      <c r="C6938" t="str">
        <f t="shared" si="356"/>
        <v/>
      </c>
      <c r="D6938" s="245" t="str">
        <f t="shared" si="358"/>
        <v/>
      </c>
      <c r="E6938" s="534"/>
      <c r="F6938" s="534"/>
    </row>
    <row r="6939" spans="1:6" ht="15" customHeight="1">
      <c r="A6939" s="51"/>
      <c r="B6939" s="52" t="str">
        <f t="shared" si="357"/>
        <v/>
      </c>
      <c r="C6939" t="str">
        <f t="shared" si="356"/>
        <v/>
      </c>
      <c r="D6939" s="245" t="str">
        <f t="shared" si="358"/>
        <v/>
      </c>
      <c r="E6939" s="534"/>
      <c r="F6939" s="534"/>
    </row>
    <row r="6940" spans="1:6" ht="15" customHeight="1">
      <c r="A6940" s="51"/>
      <c r="B6940" s="52" t="str">
        <f t="shared" si="357"/>
        <v/>
      </c>
      <c r="C6940" t="str">
        <f t="shared" si="356"/>
        <v/>
      </c>
      <c r="D6940" s="245" t="str">
        <f t="shared" si="358"/>
        <v/>
      </c>
      <c r="E6940" s="534"/>
      <c r="F6940" s="534"/>
    </row>
    <row r="6941" spans="1:6" ht="15" customHeight="1">
      <c r="A6941" s="51"/>
      <c r="B6941" s="52" t="str">
        <f t="shared" si="357"/>
        <v/>
      </c>
      <c r="C6941" t="str">
        <f t="shared" si="356"/>
        <v/>
      </c>
      <c r="D6941" s="245" t="str">
        <f t="shared" si="358"/>
        <v/>
      </c>
      <c r="E6941" s="534"/>
      <c r="F6941" s="534"/>
    </row>
    <row r="6942" spans="1:6" ht="15" customHeight="1">
      <c r="A6942" s="51"/>
      <c r="B6942" s="52" t="str">
        <f t="shared" si="357"/>
        <v/>
      </c>
      <c r="C6942" t="str">
        <f t="shared" si="356"/>
        <v/>
      </c>
      <c r="D6942" s="245" t="str">
        <f t="shared" si="358"/>
        <v/>
      </c>
      <c r="E6942" s="534"/>
      <c r="F6942" s="534"/>
    </row>
    <row r="6943" spans="1:6" ht="15" customHeight="1">
      <c r="A6943" s="51"/>
      <c r="B6943" s="52" t="str">
        <f t="shared" si="357"/>
        <v/>
      </c>
      <c r="C6943" t="str">
        <f t="shared" si="356"/>
        <v/>
      </c>
      <c r="D6943" s="245" t="str">
        <f t="shared" si="358"/>
        <v/>
      </c>
      <c r="E6943" s="534"/>
      <c r="F6943" s="534"/>
    </row>
    <row r="6944" spans="1:6" ht="15" customHeight="1">
      <c r="A6944" s="51"/>
      <c r="B6944" s="52" t="str">
        <f t="shared" si="357"/>
        <v/>
      </c>
      <c r="C6944" t="str">
        <f t="shared" si="356"/>
        <v/>
      </c>
      <c r="D6944" s="245" t="str">
        <f t="shared" si="358"/>
        <v/>
      </c>
      <c r="E6944" s="534"/>
      <c r="F6944" s="534"/>
    </row>
    <row r="6945" spans="1:6" ht="15" customHeight="1">
      <c r="A6945" s="51"/>
      <c r="B6945" s="52" t="str">
        <f t="shared" si="357"/>
        <v/>
      </c>
      <c r="C6945" t="str">
        <f t="shared" si="356"/>
        <v/>
      </c>
      <c r="D6945" s="245" t="str">
        <f t="shared" si="358"/>
        <v/>
      </c>
      <c r="E6945" s="534"/>
      <c r="F6945" s="534"/>
    </row>
    <row r="6946" spans="1:6" ht="15" customHeight="1">
      <c r="A6946" s="51"/>
      <c r="B6946" s="52" t="str">
        <f t="shared" si="357"/>
        <v/>
      </c>
      <c r="C6946" t="str">
        <f t="shared" si="356"/>
        <v/>
      </c>
      <c r="D6946" s="245" t="str">
        <f t="shared" si="358"/>
        <v/>
      </c>
      <c r="E6946" s="534"/>
      <c r="F6946" s="534"/>
    </row>
    <row r="6947" spans="1:6" ht="15" customHeight="1">
      <c r="A6947" s="51"/>
      <c r="B6947" s="52" t="str">
        <f t="shared" si="357"/>
        <v/>
      </c>
      <c r="C6947" t="str">
        <f t="shared" si="356"/>
        <v/>
      </c>
      <c r="D6947" s="245" t="str">
        <f t="shared" si="358"/>
        <v/>
      </c>
      <c r="E6947" s="534"/>
      <c r="F6947" s="534"/>
    </row>
    <row r="6948" spans="1:6" ht="15" customHeight="1">
      <c r="A6948" s="51"/>
      <c r="B6948" s="52" t="str">
        <f t="shared" si="357"/>
        <v/>
      </c>
      <c r="C6948" t="str">
        <f t="shared" si="356"/>
        <v/>
      </c>
      <c r="D6948" s="245" t="str">
        <f t="shared" si="358"/>
        <v/>
      </c>
      <c r="E6948" s="534"/>
      <c r="F6948" s="534"/>
    </row>
    <row r="6949" spans="1:6" ht="15" customHeight="1">
      <c r="A6949" s="51"/>
      <c r="B6949" s="52" t="str">
        <f t="shared" si="357"/>
        <v/>
      </c>
      <c r="C6949" t="str">
        <f t="shared" si="356"/>
        <v/>
      </c>
      <c r="D6949" s="245" t="str">
        <f t="shared" si="358"/>
        <v/>
      </c>
      <c r="E6949" s="534"/>
      <c r="F6949" s="534"/>
    </row>
    <row r="6950" spans="1:6" ht="15" customHeight="1">
      <c r="A6950" s="51"/>
      <c r="B6950" s="52" t="str">
        <f t="shared" si="357"/>
        <v/>
      </c>
      <c r="C6950" t="str">
        <f t="shared" si="356"/>
        <v/>
      </c>
      <c r="D6950" s="245" t="str">
        <f t="shared" si="358"/>
        <v/>
      </c>
      <c r="E6950" s="534"/>
      <c r="F6950" s="534"/>
    </row>
    <row r="6951" spans="1:6" ht="15" customHeight="1">
      <c r="A6951" s="51"/>
      <c r="B6951" s="52" t="str">
        <f t="shared" si="357"/>
        <v/>
      </c>
      <c r="C6951" t="str">
        <f t="shared" si="356"/>
        <v/>
      </c>
      <c r="D6951" s="245" t="str">
        <f t="shared" si="358"/>
        <v/>
      </c>
      <c r="E6951" s="534"/>
      <c r="F6951" s="534"/>
    </row>
    <row r="6952" spans="1:6" ht="15" customHeight="1">
      <c r="A6952" s="51"/>
      <c r="B6952" s="52" t="str">
        <f t="shared" si="357"/>
        <v/>
      </c>
      <c r="C6952" t="str">
        <f t="shared" si="356"/>
        <v/>
      </c>
      <c r="D6952" s="245" t="str">
        <f t="shared" si="358"/>
        <v/>
      </c>
      <c r="E6952" s="534"/>
      <c r="F6952" s="534"/>
    </row>
    <row r="6953" spans="1:6" ht="15" customHeight="1">
      <c r="A6953" s="51"/>
      <c r="B6953" s="52" t="str">
        <f t="shared" si="357"/>
        <v/>
      </c>
      <c r="C6953" t="str">
        <f t="shared" si="356"/>
        <v/>
      </c>
      <c r="D6953" s="245" t="str">
        <f t="shared" si="358"/>
        <v/>
      </c>
      <c r="E6953" s="534"/>
      <c r="F6953" s="534"/>
    </row>
    <row r="6954" spans="1:6" ht="15" customHeight="1">
      <c r="A6954" s="51"/>
      <c r="B6954" s="52" t="str">
        <f t="shared" si="357"/>
        <v/>
      </c>
      <c r="C6954" t="str">
        <f t="shared" si="356"/>
        <v/>
      </c>
      <c r="D6954" s="245" t="str">
        <f t="shared" si="358"/>
        <v/>
      </c>
      <c r="E6954" s="534"/>
      <c r="F6954" s="534"/>
    </row>
    <row r="6955" spans="1:6" ht="15" customHeight="1">
      <c r="A6955" s="51"/>
      <c r="B6955" s="52" t="str">
        <f t="shared" si="357"/>
        <v/>
      </c>
      <c r="C6955" t="str">
        <f t="shared" si="356"/>
        <v/>
      </c>
      <c r="D6955" s="245" t="str">
        <f t="shared" si="358"/>
        <v/>
      </c>
      <c r="E6955" s="534"/>
      <c r="F6955" s="534"/>
    </row>
    <row r="6956" spans="1:6" ht="15" customHeight="1">
      <c r="A6956" s="51"/>
      <c r="B6956" s="52" t="str">
        <f t="shared" si="357"/>
        <v/>
      </c>
      <c r="C6956" t="str">
        <f t="shared" si="356"/>
        <v/>
      </c>
      <c r="D6956" s="245" t="str">
        <f t="shared" si="358"/>
        <v/>
      </c>
      <c r="E6956" s="534"/>
      <c r="F6956" s="534"/>
    </row>
    <row r="6957" spans="1:6" ht="15" customHeight="1">
      <c r="A6957" s="51"/>
      <c r="B6957" s="52" t="str">
        <f t="shared" si="357"/>
        <v/>
      </c>
      <c r="C6957" t="str">
        <f t="shared" si="356"/>
        <v/>
      </c>
      <c r="D6957" s="245" t="str">
        <f t="shared" si="358"/>
        <v/>
      </c>
      <c r="E6957" s="534"/>
      <c r="F6957" s="534"/>
    </row>
    <row r="6958" spans="1:6" ht="15" customHeight="1">
      <c r="A6958" s="51"/>
      <c r="B6958" s="52" t="str">
        <f t="shared" si="357"/>
        <v/>
      </c>
      <c r="C6958" t="str">
        <f t="shared" si="356"/>
        <v/>
      </c>
      <c r="D6958" s="245" t="str">
        <f t="shared" si="358"/>
        <v/>
      </c>
      <c r="E6958" s="534"/>
      <c r="F6958" s="534"/>
    </row>
    <row r="6959" spans="1:6" ht="15" customHeight="1">
      <c r="A6959" s="51"/>
      <c r="B6959" s="52" t="str">
        <f t="shared" si="357"/>
        <v/>
      </c>
      <c r="C6959" t="str">
        <f t="shared" si="356"/>
        <v/>
      </c>
      <c r="D6959" s="245" t="str">
        <f t="shared" si="358"/>
        <v/>
      </c>
      <c r="E6959" s="534"/>
      <c r="F6959" s="534"/>
    </row>
    <row r="6960" spans="1:6" ht="15" customHeight="1">
      <c r="A6960" s="51"/>
      <c r="B6960" s="52" t="str">
        <f t="shared" si="357"/>
        <v/>
      </c>
      <c r="C6960" t="str">
        <f t="shared" si="356"/>
        <v/>
      </c>
      <c r="D6960" s="245" t="str">
        <f t="shared" si="358"/>
        <v/>
      </c>
      <c r="E6960" s="534"/>
      <c r="F6960" s="534"/>
    </row>
    <row r="6961" spans="1:6" ht="15" customHeight="1">
      <c r="A6961" s="51"/>
      <c r="B6961" s="52" t="str">
        <f t="shared" si="357"/>
        <v/>
      </c>
      <c r="C6961" t="str">
        <f t="shared" si="356"/>
        <v/>
      </c>
      <c r="D6961" s="245" t="str">
        <f t="shared" si="358"/>
        <v/>
      </c>
      <c r="E6961" s="534"/>
      <c r="F6961" s="534"/>
    </row>
    <row r="6962" spans="1:6" ht="15" customHeight="1">
      <c r="A6962" s="51"/>
      <c r="B6962" s="52" t="str">
        <f t="shared" si="357"/>
        <v/>
      </c>
      <c r="C6962" t="str">
        <f t="shared" si="356"/>
        <v/>
      </c>
      <c r="D6962" s="245" t="str">
        <f t="shared" si="358"/>
        <v/>
      </c>
      <c r="E6962" s="534"/>
      <c r="F6962" s="534"/>
    </row>
    <row r="6963" spans="1:6" ht="15" customHeight="1">
      <c r="A6963" s="51"/>
      <c r="B6963" s="52" t="str">
        <f t="shared" si="357"/>
        <v/>
      </c>
      <c r="C6963" t="str">
        <f t="shared" si="356"/>
        <v/>
      </c>
      <c r="D6963" s="245" t="str">
        <f t="shared" si="358"/>
        <v/>
      </c>
      <c r="E6963" s="534"/>
      <c r="F6963" s="534"/>
    </row>
    <row r="6964" spans="1:6" ht="15" customHeight="1">
      <c r="A6964" s="51"/>
      <c r="B6964" s="52" t="str">
        <f t="shared" si="357"/>
        <v/>
      </c>
      <c r="C6964" t="str">
        <f t="shared" si="356"/>
        <v/>
      </c>
      <c r="D6964" s="245" t="str">
        <f t="shared" si="358"/>
        <v/>
      </c>
      <c r="E6964" s="534"/>
      <c r="F6964" s="534"/>
    </row>
    <row r="6965" spans="1:6" ht="15" customHeight="1">
      <c r="A6965" s="51"/>
      <c r="B6965" s="52" t="str">
        <f t="shared" si="357"/>
        <v/>
      </c>
      <c r="C6965" t="str">
        <f t="shared" si="356"/>
        <v/>
      </c>
      <c r="D6965" s="245" t="str">
        <f t="shared" si="358"/>
        <v/>
      </c>
      <c r="E6965" s="534"/>
      <c r="F6965" s="534"/>
    </row>
    <row r="6966" spans="1:6" ht="15" customHeight="1">
      <c r="A6966" s="51"/>
      <c r="B6966" s="52" t="str">
        <f t="shared" si="357"/>
        <v/>
      </c>
      <c r="C6966" t="str">
        <f t="shared" si="356"/>
        <v/>
      </c>
      <c r="D6966" s="245" t="str">
        <f t="shared" si="358"/>
        <v/>
      </c>
      <c r="E6966" s="534"/>
      <c r="F6966" s="534"/>
    </row>
    <row r="6967" spans="1:6" ht="15" customHeight="1">
      <c r="A6967" s="51"/>
      <c r="B6967" s="52" t="str">
        <f t="shared" si="357"/>
        <v/>
      </c>
      <c r="C6967" t="str">
        <f t="shared" si="356"/>
        <v/>
      </c>
      <c r="D6967" s="245" t="str">
        <f t="shared" si="358"/>
        <v/>
      </c>
      <c r="E6967" s="534"/>
      <c r="F6967" s="534"/>
    </row>
    <row r="6968" spans="1:6" ht="15" customHeight="1">
      <c r="A6968" s="51"/>
      <c r="B6968" s="52" t="str">
        <f t="shared" si="357"/>
        <v/>
      </c>
      <c r="C6968" t="str">
        <f t="shared" si="356"/>
        <v/>
      </c>
      <c r="D6968" s="245" t="str">
        <f t="shared" si="358"/>
        <v/>
      </c>
      <c r="E6968" s="534"/>
      <c r="F6968" s="534"/>
    </row>
    <row r="6969" spans="1:6" ht="15" customHeight="1">
      <c r="A6969" s="51"/>
      <c r="B6969" s="52" t="str">
        <f t="shared" si="357"/>
        <v/>
      </c>
      <c r="C6969" t="str">
        <f t="shared" si="356"/>
        <v/>
      </c>
      <c r="D6969" s="245" t="str">
        <f t="shared" si="358"/>
        <v/>
      </c>
      <c r="E6969" s="534"/>
      <c r="F6969" s="534"/>
    </row>
    <row r="6970" spans="1:6" ht="15" customHeight="1">
      <c r="A6970" s="51"/>
      <c r="B6970" s="52" t="str">
        <f t="shared" si="357"/>
        <v/>
      </c>
      <c r="C6970" t="str">
        <f t="shared" si="356"/>
        <v/>
      </c>
      <c r="D6970" s="245" t="str">
        <f t="shared" si="358"/>
        <v/>
      </c>
      <c r="E6970" s="534"/>
      <c r="F6970" s="534"/>
    </row>
    <row r="6971" spans="1:6" ht="15" customHeight="1">
      <c r="A6971" s="51"/>
      <c r="B6971" s="52" t="str">
        <f t="shared" si="357"/>
        <v/>
      </c>
      <c r="C6971" t="str">
        <f t="shared" si="356"/>
        <v/>
      </c>
      <c r="D6971" s="245" t="str">
        <f t="shared" si="358"/>
        <v/>
      </c>
      <c r="E6971" s="534"/>
      <c r="F6971" s="534"/>
    </row>
    <row r="6972" spans="1:6" ht="15" customHeight="1">
      <c r="A6972" s="51"/>
      <c r="B6972" s="52" t="str">
        <f t="shared" si="357"/>
        <v/>
      </c>
      <c r="C6972" t="str">
        <f t="shared" si="356"/>
        <v/>
      </c>
      <c r="D6972" s="245" t="str">
        <f t="shared" si="358"/>
        <v/>
      </c>
      <c r="E6972" s="534"/>
      <c r="F6972" s="534"/>
    </row>
    <row r="6973" spans="1:6" ht="15" customHeight="1">
      <c r="A6973" s="51"/>
      <c r="B6973" s="52" t="str">
        <f t="shared" si="357"/>
        <v/>
      </c>
      <c r="C6973" t="str">
        <f t="shared" si="356"/>
        <v/>
      </c>
      <c r="D6973" s="245" t="str">
        <f t="shared" si="358"/>
        <v/>
      </c>
      <c r="E6973" s="534"/>
      <c r="F6973" s="534"/>
    </row>
    <row r="6974" spans="1:6" ht="15" customHeight="1">
      <c r="A6974" s="51"/>
      <c r="B6974" s="52" t="str">
        <f t="shared" si="357"/>
        <v/>
      </c>
      <c r="C6974" t="str">
        <f t="shared" si="356"/>
        <v/>
      </c>
      <c r="D6974" s="245" t="str">
        <f t="shared" si="358"/>
        <v/>
      </c>
      <c r="E6974" s="534"/>
      <c r="F6974" s="534"/>
    </row>
    <row r="6975" spans="1:6" ht="15" customHeight="1">
      <c r="A6975" s="51"/>
      <c r="B6975" s="52" t="str">
        <f t="shared" si="357"/>
        <v/>
      </c>
      <c r="C6975" t="str">
        <f t="shared" si="356"/>
        <v/>
      </c>
      <c r="D6975" s="245" t="str">
        <f t="shared" si="358"/>
        <v/>
      </c>
      <c r="E6975" s="534"/>
      <c r="F6975" s="534"/>
    </row>
    <row r="6976" spans="1:6" ht="15" customHeight="1">
      <c r="A6976" s="51"/>
      <c r="B6976" s="52" t="str">
        <f t="shared" si="357"/>
        <v/>
      </c>
      <c r="C6976" t="str">
        <f t="shared" si="356"/>
        <v/>
      </c>
      <c r="D6976" s="245" t="str">
        <f t="shared" si="358"/>
        <v/>
      </c>
      <c r="E6976" s="534"/>
      <c r="F6976" s="534"/>
    </row>
    <row r="6977" spans="1:6" ht="15" customHeight="1">
      <c r="A6977" s="51"/>
      <c r="B6977" s="52" t="str">
        <f t="shared" si="357"/>
        <v/>
      </c>
      <c r="C6977" t="str">
        <f t="shared" si="356"/>
        <v/>
      </c>
      <c r="D6977" s="245" t="str">
        <f t="shared" si="358"/>
        <v/>
      </c>
      <c r="E6977" s="534"/>
      <c r="F6977" s="534"/>
    </row>
    <row r="6978" spans="1:6" ht="15" customHeight="1">
      <c r="A6978" s="51"/>
      <c r="B6978" s="52" t="str">
        <f t="shared" si="357"/>
        <v/>
      </c>
      <c r="C6978" t="str">
        <f t="shared" ref="C6978:C7041" si="359">IF(A6978&lt;&gt;"",TEXT(A6978,"aaaa"),"")</f>
        <v/>
      </c>
      <c r="D6978" s="245" t="str">
        <f t="shared" si="358"/>
        <v/>
      </c>
      <c r="E6978" s="534"/>
      <c r="F6978" s="534"/>
    </row>
    <row r="6979" spans="1:6" ht="15" customHeight="1">
      <c r="A6979" s="51"/>
      <c r="B6979" s="52" t="str">
        <f t="shared" si="357"/>
        <v/>
      </c>
      <c r="C6979" t="str">
        <f t="shared" si="359"/>
        <v/>
      </c>
      <c r="D6979" s="245" t="str">
        <f t="shared" si="358"/>
        <v/>
      </c>
      <c r="E6979" s="534"/>
      <c r="F6979" s="534"/>
    </row>
    <row r="6980" spans="1:6" ht="15" customHeight="1">
      <c r="A6980" s="51"/>
      <c r="B6980" s="52" t="str">
        <f t="shared" si="357"/>
        <v/>
      </c>
      <c r="C6980" t="str">
        <f t="shared" si="359"/>
        <v/>
      </c>
      <c r="D6980" s="245" t="str">
        <f t="shared" si="358"/>
        <v/>
      </c>
      <c r="E6980" s="534"/>
      <c r="F6980" s="534"/>
    </row>
    <row r="6981" spans="1:6" ht="15" customHeight="1">
      <c r="A6981" s="51"/>
      <c r="B6981" s="52" t="str">
        <f t="shared" si="357"/>
        <v/>
      </c>
      <c r="C6981" t="str">
        <f t="shared" si="359"/>
        <v/>
      </c>
      <c r="D6981" s="245" t="str">
        <f t="shared" si="358"/>
        <v/>
      </c>
      <c r="E6981" s="534"/>
      <c r="F6981" s="534"/>
    </row>
    <row r="6982" spans="1:6" ht="15" customHeight="1">
      <c r="A6982" s="51"/>
      <c r="B6982" s="52" t="str">
        <f t="shared" si="357"/>
        <v/>
      </c>
      <c r="C6982" t="str">
        <f t="shared" si="359"/>
        <v/>
      </c>
      <c r="D6982" s="245" t="str">
        <f t="shared" si="358"/>
        <v/>
      </c>
      <c r="E6982" s="534"/>
      <c r="F6982" s="534"/>
    </row>
    <row r="6983" spans="1:6" ht="15" customHeight="1">
      <c r="A6983" s="51"/>
      <c r="B6983" s="52" t="str">
        <f t="shared" si="357"/>
        <v/>
      </c>
      <c r="C6983" t="str">
        <f t="shared" si="359"/>
        <v/>
      </c>
      <c r="D6983" s="245" t="str">
        <f t="shared" si="358"/>
        <v/>
      </c>
      <c r="E6983" s="534"/>
      <c r="F6983" s="534"/>
    </row>
    <row r="6984" spans="1:6" ht="15" customHeight="1">
      <c r="A6984" s="51"/>
      <c r="B6984" s="52" t="str">
        <f t="shared" ref="B6984:B7047" si="360">IF(A6984="","",TEXT(A6984,"DDDD"))</f>
        <v/>
      </c>
      <c r="C6984" t="str">
        <f t="shared" si="359"/>
        <v/>
      </c>
      <c r="D6984" s="245" t="str">
        <f t="shared" si="358"/>
        <v/>
      </c>
      <c r="E6984" s="534"/>
      <c r="F6984" s="534"/>
    </row>
    <row r="6985" spans="1:6" ht="15" customHeight="1">
      <c r="A6985" s="51"/>
      <c r="B6985" s="52" t="str">
        <f t="shared" si="360"/>
        <v/>
      </c>
      <c r="C6985" t="str">
        <f t="shared" si="359"/>
        <v/>
      </c>
      <c r="D6985" s="245" t="str">
        <f t="shared" ref="D6985:D7048" si="361">IF(A6985&lt;&gt;"",PROPER(TEXT(A6985,"Mmmm")),"")</f>
        <v/>
      </c>
      <c r="E6985" s="534"/>
      <c r="F6985" s="534"/>
    </row>
    <row r="6986" spans="1:6" ht="15" customHeight="1">
      <c r="A6986" s="51"/>
      <c r="B6986" s="52" t="str">
        <f t="shared" si="360"/>
        <v/>
      </c>
      <c r="C6986" t="str">
        <f t="shared" si="359"/>
        <v/>
      </c>
      <c r="D6986" s="245" t="str">
        <f t="shared" si="361"/>
        <v/>
      </c>
      <c r="E6986" s="534"/>
      <c r="F6986" s="534"/>
    </row>
    <row r="6987" spans="1:6" ht="15" customHeight="1">
      <c r="A6987" s="51"/>
      <c r="B6987" s="52" t="str">
        <f t="shared" si="360"/>
        <v/>
      </c>
      <c r="C6987" t="str">
        <f t="shared" si="359"/>
        <v/>
      </c>
      <c r="D6987" s="245" t="str">
        <f t="shared" si="361"/>
        <v/>
      </c>
      <c r="E6987" s="534"/>
      <c r="F6987" s="534"/>
    </row>
    <row r="6988" spans="1:6" ht="15" customHeight="1">
      <c r="A6988" s="51"/>
      <c r="B6988" s="52" t="str">
        <f t="shared" si="360"/>
        <v/>
      </c>
      <c r="C6988" t="str">
        <f t="shared" si="359"/>
        <v/>
      </c>
      <c r="D6988" s="245" t="str">
        <f t="shared" si="361"/>
        <v/>
      </c>
      <c r="E6988" s="534"/>
      <c r="F6988" s="534"/>
    </row>
    <row r="6989" spans="1:6" ht="15" customHeight="1">
      <c r="A6989" s="51"/>
      <c r="B6989" s="52" t="str">
        <f t="shared" si="360"/>
        <v/>
      </c>
      <c r="C6989" t="str">
        <f t="shared" si="359"/>
        <v/>
      </c>
      <c r="D6989" s="245" t="str">
        <f t="shared" si="361"/>
        <v/>
      </c>
      <c r="E6989" s="534"/>
      <c r="F6989" s="534"/>
    </row>
    <row r="6990" spans="1:6" ht="15" customHeight="1">
      <c r="A6990" s="51"/>
      <c r="B6990" s="52" t="str">
        <f t="shared" si="360"/>
        <v/>
      </c>
      <c r="C6990" t="str">
        <f t="shared" si="359"/>
        <v/>
      </c>
      <c r="D6990" s="245" t="str">
        <f t="shared" si="361"/>
        <v/>
      </c>
      <c r="E6990" s="534"/>
      <c r="F6990" s="534"/>
    </row>
    <row r="6991" spans="1:6" ht="15" customHeight="1">
      <c r="A6991" s="51"/>
      <c r="B6991" s="52" t="str">
        <f t="shared" si="360"/>
        <v/>
      </c>
      <c r="C6991" t="str">
        <f t="shared" si="359"/>
        <v/>
      </c>
      <c r="D6991" s="245" t="str">
        <f t="shared" si="361"/>
        <v/>
      </c>
      <c r="E6991" s="534"/>
      <c r="F6991" s="534"/>
    </row>
    <row r="6992" spans="1:6" ht="15" customHeight="1">
      <c r="A6992" s="51"/>
      <c r="B6992" s="52" t="str">
        <f t="shared" si="360"/>
        <v/>
      </c>
      <c r="C6992" t="str">
        <f t="shared" si="359"/>
        <v/>
      </c>
      <c r="D6992" s="245" t="str">
        <f t="shared" si="361"/>
        <v/>
      </c>
      <c r="E6992" s="534"/>
      <c r="F6992" s="534"/>
    </row>
    <row r="6993" spans="1:6" ht="15" customHeight="1">
      <c r="A6993" s="51"/>
      <c r="B6993" s="52" t="str">
        <f t="shared" si="360"/>
        <v/>
      </c>
      <c r="C6993" t="str">
        <f t="shared" si="359"/>
        <v/>
      </c>
      <c r="D6993" s="245" t="str">
        <f t="shared" si="361"/>
        <v/>
      </c>
      <c r="E6993" s="534"/>
      <c r="F6993" s="534"/>
    </row>
    <row r="6994" spans="1:6" ht="15" customHeight="1">
      <c r="A6994" s="51"/>
      <c r="B6994" s="52" t="str">
        <f t="shared" si="360"/>
        <v/>
      </c>
      <c r="C6994" t="str">
        <f t="shared" si="359"/>
        <v/>
      </c>
      <c r="D6994" s="245" t="str">
        <f t="shared" si="361"/>
        <v/>
      </c>
      <c r="E6994" s="534"/>
      <c r="F6994" s="534"/>
    </row>
    <row r="6995" spans="1:6" ht="15" customHeight="1">
      <c r="A6995" s="51"/>
      <c r="B6995" s="52" t="str">
        <f t="shared" si="360"/>
        <v/>
      </c>
      <c r="C6995" t="str">
        <f t="shared" si="359"/>
        <v/>
      </c>
      <c r="D6995" s="245" t="str">
        <f t="shared" si="361"/>
        <v/>
      </c>
      <c r="E6995" s="534"/>
      <c r="F6995" s="534"/>
    </row>
    <row r="6996" spans="1:6" ht="15" customHeight="1">
      <c r="A6996" s="51"/>
      <c r="B6996" s="52" t="str">
        <f t="shared" si="360"/>
        <v/>
      </c>
      <c r="C6996" t="str">
        <f t="shared" si="359"/>
        <v/>
      </c>
      <c r="D6996" s="245" t="str">
        <f t="shared" si="361"/>
        <v/>
      </c>
      <c r="E6996" s="534"/>
      <c r="F6996" s="534"/>
    </row>
    <row r="6997" spans="1:6" ht="15" customHeight="1">
      <c r="A6997" s="51"/>
      <c r="B6997" s="52" t="str">
        <f t="shared" si="360"/>
        <v/>
      </c>
      <c r="C6997" t="str">
        <f t="shared" si="359"/>
        <v/>
      </c>
      <c r="D6997" s="245" t="str">
        <f t="shared" si="361"/>
        <v/>
      </c>
      <c r="E6997" s="534"/>
      <c r="F6997" s="534"/>
    </row>
    <row r="6998" spans="1:6" ht="15" customHeight="1">
      <c r="A6998" s="51"/>
      <c r="B6998" s="52" t="str">
        <f t="shared" si="360"/>
        <v/>
      </c>
      <c r="C6998" t="str">
        <f t="shared" si="359"/>
        <v/>
      </c>
      <c r="D6998" s="245" t="str">
        <f t="shared" si="361"/>
        <v/>
      </c>
      <c r="E6998" s="534"/>
      <c r="F6998" s="534"/>
    </row>
    <row r="6999" spans="1:6" ht="15" customHeight="1">
      <c r="A6999" s="51"/>
      <c r="B6999" s="52" t="str">
        <f t="shared" si="360"/>
        <v/>
      </c>
      <c r="C6999" t="str">
        <f t="shared" si="359"/>
        <v/>
      </c>
      <c r="D6999" s="245" t="str">
        <f t="shared" si="361"/>
        <v/>
      </c>
      <c r="E6999" s="534"/>
      <c r="F6999" s="534"/>
    </row>
    <row r="7000" spans="1:6" ht="15" customHeight="1">
      <c r="A7000" s="51"/>
      <c r="B7000" s="52" t="str">
        <f t="shared" si="360"/>
        <v/>
      </c>
      <c r="C7000" t="str">
        <f t="shared" si="359"/>
        <v/>
      </c>
      <c r="D7000" s="245" t="str">
        <f t="shared" si="361"/>
        <v/>
      </c>
      <c r="E7000" s="534"/>
      <c r="F7000" s="534"/>
    </row>
    <row r="7001" spans="1:6" ht="15" customHeight="1">
      <c r="A7001" s="51"/>
      <c r="B7001" s="52" t="str">
        <f t="shared" si="360"/>
        <v/>
      </c>
      <c r="C7001" t="str">
        <f t="shared" si="359"/>
        <v/>
      </c>
      <c r="D7001" s="245" t="str">
        <f t="shared" si="361"/>
        <v/>
      </c>
      <c r="E7001" s="534"/>
      <c r="F7001" s="534"/>
    </row>
    <row r="7002" spans="1:6" ht="15" customHeight="1">
      <c r="A7002" s="51"/>
      <c r="B7002" s="52" t="str">
        <f t="shared" si="360"/>
        <v/>
      </c>
      <c r="C7002" t="str">
        <f t="shared" si="359"/>
        <v/>
      </c>
      <c r="D7002" s="245" t="str">
        <f t="shared" si="361"/>
        <v/>
      </c>
      <c r="E7002" s="534"/>
      <c r="F7002" s="534"/>
    </row>
    <row r="7003" spans="1:6" ht="15" customHeight="1">
      <c r="A7003" s="51"/>
      <c r="B7003" s="52" t="str">
        <f t="shared" si="360"/>
        <v/>
      </c>
      <c r="C7003" t="str">
        <f t="shared" si="359"/>
        <v/>
      </c>
      <c r="D7003" s="245" t="str">
        <f t="shared" si="361"/>
        <v/>
      </c>
      <c r="E7003" s="534"/>
      <c r="F7003" s="534"/>
    </row>
    <row r="7004" spans="1:6" ht="15" customHeight="1">
      <c r="A7004" s="51"/>
      <c r="B7004" s="52" t="str">
        <f t="shared" si="360"/>
        <v/>
      </c>
      <c r="C7004" t="str">
        <f t="shared" si="359"/>
        <v/>
      </c>
      <c r="D7004" s="245" t="str">
        <f t="shared" si="361"/>
        <v/>
      </c>
      <c r="E7004" s="534"/>
      <c r="F7004" s="534"/>
    </row>
    <row r="7005" spans="1:6" ht="15" customHeight="1">
      <c r="A7005" s="51"/>
      <c r="B7005" s="52" t="str">
        <f t="shared" si="360"/>
        <v/>
      </c>
      <c r="C7005" t="str">
        <f t="shared" si="359"/>
        <v/>
      </c>
      <c r="D7005" s="245" t="str">
        <f t="shared" si="361"/>
        <v/>
      </c>
      <c r="E7005" s="534"/>
      <c r="F7005" s="534"/>
    </row>
    <row r="7006" spans="1:6" ht="15" customHeight="1">
      <c r="A7006" s="51"/>
      <c r="B7006" s="52" t="str">
        <f t="shared" si="360"/>
        <v/>
      </c>
      <c r="C7006" t="str">
        <f t="shared" si="359"/>
        <v/>
      </c>
      <c r="D7006" s="245" t="str">
        <f t="shared" si="361"/>
        <v/>
      </c>
      <c r="E7006" s="534"/>
      <c r="F7006" s="534"/>
    </row>
    <row r="7007" spans="1:6" ht="15" customHeight="1">
      <c r="A7007" s="51"/>
      <c r="B7007" s="52" t="str">
        <f t="shared" si="360"/>
        <v/>
      </c>
      <c r="C7007" t="str">
        <f t="shared" si="359"/>
        <v/>
      </c>
      <c r="D7007" s="245" t="str">
        <f t="shared" si="361"/>
        <v/>
      </c>
      <c r="E7007" s="534"/>
      <c r="F7007" s="534"/>
    </row>
    <row r="7008" spans="1:6" ht="15" customHeight="1">
      <c r="A7008" s="51"/>
      <c r="B7008" s="52" t="str">
        <f t="shared" si="360"/>
        <v/>
      </c>
      <c r="C7008" t="str">
        <f t="shared" si="359"/>
        <v/>
      </c>
      <c r="D7008" s="245" t="str">
        <f t="shared" si="361"/>
        <v/>
      </c>
      <c r="E7008" s="534"/>
      <c r="F7008" s="534"/>
    </row>
    <row r="7009" spans="1:6" ht="15" customHeight="1">
      <c r="A7009" s="51"/>
      <c r="B7009" s="52" t="str">
        <f t="shared" si="360"/>
        <v/>
      </c>
      <c r="C7009" t="str">
        <f t="shared" si="359"/>
        <v/>
      </c>
      <c r="D7009" s="245" t="str">
        <f t="shared" si="361"/>
        <v/>
      </c>
      <c r="E7009" s="534"/>
      <c r="F7009" s="534"/>
    </row>
    <row r="7010" spans="1:6" ht="15" customHeight="1">
      <c r="A7010" s="51"/>
      <c r="B7010" s="52" t="str">
        <f t="shared" si="360"/>
        <v/>
      </c>
      <c r="C7010" t="str">
        <f t="shared" si="359"/>
        <v/>
      </c>
      <c r="D7010" s="245" t="str">
        <f t="shared" si="361"/>
        <v/>
      </c>
      <c r="E7010" s="534"/>
      <c r="F7010" s="534"/>
    </row>
    <row r="7011" spans="1:6" ht="15" customHeight="1">
      <c r="A7011" s="51"/>
      <c r="B7011" s="52" t="str">
        <f t="shared" si="360"/>
        <v/>
      </c>
      <c r="C7011" t="str">
        <f t="shared" si="359"/>
        <v/>
      </c>
      <c r="D7011" s="245" t="str">
        <f t="shared" si="361"/>
        <v/>
      </c>
      <c r="E7011" s="534"/>
      <c r="F7011" s="534"/>
    </row>
    <row r="7012" spans="1:6" ht="15" customHeight="1">
      <c r="A7012" s="51"/>
      <c r="B7012" s="52" t="str">
        <f t="shared" si="360"/>
        <v/>
      </c>
      <c r="C7012" t="str">
        <f t="shared" si="359"/>
        <v/>
      </c>
      <c r="D7012" s="245" t="str">
        <f t="shared" si="361"/>
        <v/>
      </c>
      <c r="E7012" s="534"/>
      <c r="F7012" s="534"/>
    </row>
    <row r="7013" spans="1:6" ht="15" customHeight="1">
      <c r="A7013" s="51"/>
      <c r="B7013" s="52" t="str">
        <f t="shared" si="360"/>
        <v/>
      </c>
      <c r="C7013" t="str">
        <f t="shared" si="359"/>
        <v/>
      </c>
      <c r="D7013" s="245" t="str">
        <f t="shared" si="361"/>
        <v/>
      </c>
      <c r="E7013" s="534"/>
      <c r="F7013" s="534"/>
    </row>
    <row r="7014" spans="1:6" ht="15" customHeight="1">
      <c r="A7014" s="51"/>
      <c r="B7014" s="52" t="str">
        <f t="shared" si="360"/>
        <v/>
      </c>
      <c r="C7014" t="str">
        <f t="shared" si="359"/>
        <v/>
      </c>
      <c r="D7014" s="245" t="str">
        <f t="shared" si="361"/>
        <v/>
      </c>
      <c r="E7014" s="534"/>
      <c r="F7014" s="534"/>
    </row>
    <row r="7015" spans="1:6" ht="15" customHeight="1">
      <c r="A7015" s="51"/>
      <c r="B7015" s="52" t="str">
        <f t="shared" si="360"/>
        <v/>
      </c>
      <c r="C7015" t="str">
        <f t="shared" si="359"/>
        <v/>
      </c>
      <c r="D7015" s="245" t="str">
        <f t="shared" si="361"/>
        <v/>
      </c>
      <c r="E7015" s="534"/>
      <c r="F7015" s="534"/>
    </row>
    <row r="7016" spans="1:6" ht="15" customHeight="1">
      <c r="A7016" s="51"/>
      <c r="B7016" s="52" t="str">
        <f t="shared" si="360"/>
        <v/>
      </c>
      <c r="C7016" t="str">
        <f t="shared" si="359"/>
        <v/>
      </c>
      <c r="D7016" s="245" t="str">
        <f t="shared" si="361"/>
        <v/>
      </c>
      <c r="E7016" s="534"/>
      <c r="F7016" s="534"/>
    </row>
    <row r="7017" spans="1:6" ht="15" customHeight="1">
      <c r="A7017" s="51"/>
      <c r="B7017" s="52" t="str">
        <f t="shared" si="360"/>
        <v/>
      </c>
      <c r="C7017" t="str">
        <f t="shared" si="359"/>
        <v/>
      </c>
      <c r="D7017" s="245" t="str">
        <f t="shared" si="361"/>
        <v/>
      </c>
      <c r="E7017" s="534"/>
      <c r="F7017" s="534"/>
    </row>
    <row r="7018" spans="1:6" ht="15" customHeight="1">
      <c r="A7018" s="51"/>
      <c r="B7018" s="52" t="str">
        <f t="shared" si="360"/>
        <v/>
      </c>
      <c r="C7018" t="str">
        <f t="shared" si="359"/>
        <v/>
      </c>
      <c r="D7018" s="245" t="str">
        <f t="shared" si="361"/>
        <v/>
      </c>
      <c r="E7018" s="534"/>
      <c r="F7018" s="534"/>
    </row>
    <row r="7019" spans="1:6" ht="15" customHeight="1">
      <c r="A7019" s="51"/>
      <c r="B7019" s="52" t="str">
        <f t="shared" si="360"/>
        <v/>
      </c>
      <c r="C7019" t="str">
        <f t="shared" si="359"/>
        <v/>
      </c>
      <c r="D7019" s="245" t="str">
        <f t="shared" si="361"/>
        <v/>
      </c>
      <c r="E7019" s="534"/>
      <c r="F7019" s="534"/>
    </row>
    <row r="7020" spans="1:6" ht="15" customHeight="1">
      <c r="A7020" s="51"/>
      <c r="B7020" s="52" t="str">
        <f t="shared" si="360"/>
        <v/>
      </c>
      <c r="C7020" t="str">
        <f t="shared" si="359"/>
        <v/>
      </c>
      <c r="D7020" s="245" t="str">
        <f t="shared" si="361"/>
        <v/>
      </c>
      <c r="E7020" s="534"/>
      <c r="F7020" s="534"/>
    </row>
    <row r="7021" spans="1:6" ht="15" customHeight="1">
      <c r="A7021" s="51"/>
      <c r="B7021" s="52" t="str">
        <f t="shared" si="360"/>
        <v/>
      </c>
      <c r="C7021" t="str">
        <f t="shared" si="359"/>
        <v/>
      </c>
      <c r="D7021" s="245" t="str">
        <f t="shared" si="361"/>
        <v/>
      </c>
      <c r="E7021" s="534"/>
      <c r="F7021" s="534"/>
    </row>
    <row r="7022" spans="1:6" ht="15" customHeight="1">
      <c r="A7022" s="51"/>
      <c r="B7022" s="52" t="str">
        <f t="shared" si="360"/>
        <v/>
      </c>
      <c r="C7022" t="str">
        <f t="shared" si="359"/>
        <v/>
      </c>
      <c r="D7022" s="245" t="str">
        <f t="shared" si="361"/>
        <v/>
      </c>
      <c r="E7022" s="534"/>
      <c r="F7022" s="534"/>
    </row>
    <row r="7023" spans="1:6" ht="15" customHeight="1">
      <c r="A7023" s="51"/>
      <c r="B7023" s="52" t="str">
        <f t="shared" si="360"/>
        <v/>
      </c>
      <c r="C7023" t="str">
        <f t="shared" si="359"/>
        <v/>
      </c>
      <c r="D7023" s="245" t="str">
        <f t="shared" si="361"/>
        <v/>
      </c>
      <c r="E7023" s="534"/>
      <c r="F7023" s="534"/>
    </row>
    <row r="7024" spans="1:6" ht="15" customHeight="1">
      <c r="A7024" s="51"/>
      <c r="B7024" s="52" t="str">
        <f t="shared" si="360"/>
        <v/>
      </c>
      <c r="C7024" t="str">
        <f t="shared" si="359"/>
        <v/>
      </c>
      <c r="D7024" s="245" t="str">
        <f t="shared" si="361"/>
        <v/>
      </c>
      <c r="E7024" s="534"/>
      <c r="F7024" s="534"/>
    </row>
    <row r="7025" spans="1:6" ht="15" customHeight="1">
      <c r="A7025" s="51"/>
      <c r="B7025" s="52" t="str">
        <f t="shared" si="360"/>
        <v/>
      </c>
      <c r="C7025" t="str">
        <f t="shared" si="359"/>
        <v/>
      </c>
      <c r="D7025" s="245" t="str">
        <f t="shared" si="361"/>
        <v/>
      </c>
      <c r="E7025" s="534"/>
      <c r="F7025" s="534"/>
    </row>
    <row r="7026" spans="1:6" ht="15" customHeight="1">
      <c r="A7026" s="51"/>
      <c r="B7026" s="52" t="str">
        <f t="shared" si="360"/>
        <v/>
      </c>
      <c r="C7026" t="str">
        <f t="shared" si="359"/>
        <v/>
      </c>
      <c r="D7026" s="245" t="str">
        <f t="shared" si="361"/>
        <v/>
      </c>
      <c r="E7026" s="534"/>
      <c r="F7026" s="534"/>
    </row>
    <row r="7027" spans="1:6" ht="15" customHeight="1">
      <c r="A7027" s="51"/>
      <c r="B7027" s="52" t="str">
        <f t="shared" si="360"/>
        <v/>
      </c>
      <c r="C7027" t="str">
        <f t="shared" si="359"/>
        <v/>
      </c>
      <c r="D7027" s="245" t="str">
        <f t="shared" si="361"/>
        <v/>
      </c>
      <c r="E7027" s="534"/>
      <c r="F7027" s="534"/>
    </row>
    <row r="7028" spans="1:6" ht="15" customHeight="1">
      <c r="A7028" s="51"/>
      <c r="B7028" s="52" t="str">
        <f t="shared" si="360"/>
        <v/>
      </c>
      <c r="C7028" t="str">
        <f t="shared" si="359"/>
        <v/>
      </c>
      <c r="D7028" s="245" t="str">
        <f t="shared" si="361"/>
        <v/>
      </c>
      <c r="E7028" s="534"/>
      <c r="F7028" s="534"/>
    </row>
    <row r="7029" spans="1:6" ht="15" customHeight="1">
      <c r="A7029" s="51"/>
      <c r="B7029" s="52" t="str">
        <f t="shared" si="360"/>
        <v/>
      </c>
      <c r="C7029" t="str">
        <f t="shared" si="359"/>
        <v/>
      </c>
      <c r="D7029" s="245" t="str">
        <f t="shared" si="361"/>
        <v/>
      </c>
      <c r="E7029" s="534"/>
      <c r="F7029" s="534"/>
    </row>
    <row r="7030" spans="1:6" ht="15" customHeight="1">
      <c r="A7030" s="51"/>
      <c r="B7030" s="52" t="str">
        <f t="shared" si="360"/>
        <v/>
      </c>
      <c r="C7030" t="str">
        <f t="shared" si="359"/>
        <v/>
      </c>
      <c r="D7030" s="245" t="str">
        <f t="shared" si="361"/>
        <v/>
      </c>
      <c r="E7030" s="534"/>
      <c r="F7030" s="534"/>
    </row>
    <row r="7031" spans="1:6" ht="15" customHeight="1">
      <c r="A7031" s="51"/>
      <c r="B7031" s="52" t="str">
        <f t="shared" si="360"/>
        <v/>
      </c>
      <c r="C7031" t="str">
        <f t="shared" si="359"/>
        <v/>
      </c>
      <c r="D7031" s="245" t="str">
        <f t="shared" si="361"/>
        <v/>
      </c>
      <c r="E7031" s="534"/>
      <c r="F7031" s="534"/>
    </row>
    <row r="7032" spans="1:6" ht="15" customHeight="1">
      <c r="A7032" s="51"/>
      <c r="B7032" s="52" t="str">
        <f t="shared" si="360"/>
        <v/>
      </c>
      <c r="C7032" t="str">
        <f t="shared" si="359"/>
        <v/>
      </c>
      <c r="D7032" s="245" t="str">
        <f t="shared" si="361"/>
        <v/>
      </c>
      <c r="E7032" s="534"/>
      <c r="F7032" s="534"/>
    </row>
    <row r="7033" spans="1:6" ht="15" customHeight="1">
      <c r="A7033" s="51"/>
      <c r="B7033" s="52" t="str">
        <f t="shared" si="360"/>
        <v/>
      </c>
      <c r="C7033" t="str">
        <f t="shared" si="359"/>
        <v/>
      </c>
      <c r="D7033" s="245" t="str">
        <f t="shared" si="361"/>
        <v/>
      </c>
      <c r="E7033" s="534"/>
      <c r="F7033" s="534"/>
    </row>
    <row r="7034" spans="1:6" ht="15" customHeight="1">
      <c r="A7034" s="51"/>
      <c r="B7034" s="52" t="str">
        <f t="shared" si="360"/>
        <v/>
      </c>
      <c r="C7034" t="str">
        <f t="shared" si="359"/>
        <v/>
      </c>
      <c r="D7034" s="245" t="str">
        <f t="shared" si="361"/>
        <v/>
      </c>
      <c r="E7034" s="534"/>
      <c r="F7034" s="534"/>
    </row>
    <row r="7035" spans="1:6" ht="15" customHeight="1">
      <c r="A7035" s="51"/>
      <c r="B7035" s="52" t="str">
        <f t="shared" si="360"/>
        <v/>
      </c>
      <c r="C7035" t="str">
        <f t="shared" si="359"/>
        <v/>
      </c>
      <c r="D7035" s="245" t="str">
        <f t="shared" si="361"/>
        <v/>
      </c>
      <c r="E7035" s="534"/>
      <c r="F7035" s="534"/>
    </row>
    <row r="7036" spans="1:6" ht="15" customHeight="1">
      <c r="A7036" s="51"/>
      <c r="B7036" s="52" t="str">
        <f t="shared" si="360"/>
        <v/>
      </c>
      <c r="C7036" t="str">
        <f t="shared" si="359"/>
        <v/>
      </c>
      <c r="D7036" s="245" t="str">
        <f t="shared" si="361"/>
        <v/>
      </c>
      <c r="E7036" s="534"/>
      <c r="F7036" s="534"/>
    </row>
    <row r="7037" spans="1:6" ht="15" customHeight="1">
      <c r="A7037" s="51"/>
      <c r="B7037" s="52" t="str">
        <f t="shared" si="360"/>
        <v/>
      </c>
      <c r="C7037" t="str">
        <f t="shared" si="359"/>
        <v/>
      </c>
      <c r="D7037" s="245" t="str">
        <f t="shared" si="361"/>
        <v/>
      </c>
      <c r="E7037" s="534"/>
      <c r="F7037" s="534"/>
    </row>
    <row r="7038" spans="1:6" ht="15" customHeight="1">
      <c r="A7038" s="51"/>
      <c r="B7038" s="52" t="str">
        <f t="shared" si="360"/>
        <v/>
      </c>
      <c r="C7038" t="str">
        <f t="shared" si="359"/>
        <v/>
      </c>
      <c r="D7038" s="245" t="str">
        <f t="shared" si="361"/>
        <v/>
      </c>
      <c r="E7038" s="534"/>
      <c r="F7038" s="534"/>
    </row>
    <row r="7039" spans="1:6" ht="15" customHeight="1">
      <c r="A7039" s="51"/>
      <c r="B7039" s="52" t="str">
        <f t="shared" si="360"/>
        <v/>
      </c>
      <c r="C7039" t="str">
        <f t="shared" si="359"/>
        <v/>
      </c>
      <c r="D7039" s="245" t="str">
        <f t="shared" si="361"/>
        <v/>
      </c>
      <c r="E7039" s="534"/>
      <c r="F7039" s="534"/>
    </row>
    <row r="7040" spans="1:6" ht="15" customHeight="1">
      <c r="A7040" s="51"/>
      <c r="B7040" s="52" t="str">
        <f t="shared" si="360"/>
        <v/>
      </c>
      <c r="C7040" t="str">
        <f t="shared" si="359"/>
        <v/>
      </c>
      <c r="D7040" s="245" t="str">
        <f t="shared" si="361"/>
        <v/>
      </c>
      <c r="E7040" s="534"/>
      <c r="F7040" s="534"/>
    </row>
    <row r="7041" spans="1:6" ht="15" customHeight="1">
      <c r="A7041" s="51"/>
      <c r="B7041" s="52" t="str">
        <f t="shared" si="360"/>
        <v/>
      </c>
      <c r="C7041" t="str">
        <f t="shared" si="359"/>
        <v/>
      </c>
      <c r="D7041" s="245" t="str">
        <f t="shared" si="361"/>
        <v/>
      </c>
      <c r="E7041" s="534"/>
      <c r="F7041" s="534"/>
    </row>
    <row r="7042" spans="1:6" ht="15" customHeight="1">
      <c r="A7042" s="51"/>
      <c r="B7042" s="52" t="str">
        <f t="shared" si="360"/>
        <v/>
      </c>
      <c r="C7042" t="str">
        <f t="shared" ref="C7042:C7105" si="362">IF(A7042&lt;&gt;"",TEXT(A7042,"aaaa"),"")</f>
        <v/>
      </c>
      <c r="D7042" s="245" t="str">
        <f t="shared" si="361"/>
        <v/>
      </c>
      <c r="E7042" s="534"/>
      <c r="F7042" s="534"/>
    </row>
    <row r="7043" spans="1:6" ht="15" customHeight="1">
      <c r="A7043" s="51"/>
      <c r="B7043" s="52" t="str">
        <f t="shared" si="360"/>
        <v/>
      </c>
      <c r="C7043" t="str">
        <f t="shared" si="362"/>
        <v/>
      </c>
      <c r="D7043" s="245" t="str">
        <f t="shared" si="361"/>
        <v/>
      </c>
      <c r="E7043" s="534"/>
      <c r="F7043" s="534"/>
    </row>
    <row r="7044" spans="1:6" ht="15" customHeight="1">
      <c r="A7044" s="51"/>
      <c r="B7044" s="52" t="str">
        <f t="shared" si="360"/>
        <v/>
      </c>
      <c r="C7044" t="str">
        <f t="shared" si="362"/>
        <v/>
      </c>
      <c r="D7044" s="245" t="str">
        <f t="shared" si="361"/>
        <v/>
      </c>
      <c r="E7044" s="534"/>
      <c r="F7044" s="534"/>
    </row>
    <row r="7045" spans="1:6" ht="15" customHeight="1">
      <c r="A7045" s="51"/>
      <c r="B7045" s="52" t="str">
        <f t="shared" si="360"/>
        <v/>
      </c>
      <c r="C7045" t="str">
        <f t="shared" si="362"/>
        <v/>
      </c>
      <c r="D7045" s="245" t="str">
        <f t="shared" si="361"/>
        <v/>
      </c>
      <c r="E7045" s="534"/>
      <c r="F7045" s="534"/>
    </row>
    <row r="7046" spans="1:6" ht="15" customHeight="1">
      <c r="A7046" s="51"/>
      <c r="B7046" s="52" t="str">
        <f t="shared" si="360"/>
        <v/>
      </c>
      <c r="C7046" t="str">
        <f t="shared" si="362"/>
        <v/>
      </c>
      <c r="D7046" s="245" t="str">
        <f t="shared" si="361"/>
        <v/>
      </c>
      <c r="E7046" s="534"/>
      <c r="F7046" s="534"/>
    </row>
    <row r="7047" spans="1:6" ht="15" customHeight="1">
      <c r="A7047" s="51"/>
      <c r="B7047" s="52" t="str">
        <f t="shared" si="360"/>
        <v/>
      </c>
      <c r="C7047" t="str">
        <f t="shared" si="362"/>
        <v/>
      </c>
      <c r="D7047" s="245" t="str">
        <f t="shared" si="361"/>
        <v/>
      </c>
      <c r="E7047" s="534"/>
      <c r="F7047" s="534"/>
    </row>
    <row r="7048" spans="1:6" ht="15" customHeight="1">
      <c r="A7048" s="51"/>
      <c r="B7048" s="52" t="str">
        <f t="shared" ref="B7048:B7111" si="363">IF(A7048="","",TEXT(A7048,"DDDD"))</f>
        <v/>
      </c>
      <c r="C7048" t="str">
        <f t="shared" si="362"/>
        <v/>
      </c>
      <c r="D7048" s="245" t="str">
        <f t="shared" si="361"/>
        <v/>
      </c>
      <c r="E7048" s="534"/>
      <c r="F7048" s="534"/>
    </row>
    <row r="7049" spans="1:6" ht="15" customHeight="1">
      <c r="A7049" s="51"/>
      <c r="B7049" s="52" t="str">
        <f t="shared" si="363"/>
        <v/>
      </c>
      <c r="C7049" t="str">
        <f t="shared" si="362"/>
        <v/>
      </c>
      <c r="D7049" s="245" t="str">
        <f t="shared" ref="D7049:D7112" si="364">IF(A7049&lt;&gt;"",PROPER(TEXT(A7049,"Mmmm")),"")</f>
        <v/>
      </c>
      <c r="E7049" s="534"/>
      <c r="F7049" s="534"/>
    </row>
    <row r="7050" spans="1:6" ht="15" customHeight="1">
      <c r="A7050" s="51"/>
      <c r="B7050" s="52" t="str">
        <f t="shared" si="363"/>
        <v/>
      </c>
      <c r="C7050" t="str">
        <f t="shared" si="362"/>
        <v/>
      </c>
      <c r="D7050" s="245" t="str">
        <f t="shared" si="364"/>
        <v/>
      </c>
      <c r="E7050" s="534"/>
      <c r="F7050" s="534"/>
    </row>
    <row r="7051" spans="1:6" ht="15" customHeight="1">
      <c r="A7051" s="51"/>
      <c r="B7051" s="52" t="str">
        <f t="shared" si="363"/>
        <v/>
      </c>
      <c r="C7051" t="str">
        <f t="shared" si="362"/>
        <v/>
      </c>
      <c r="D7051" s="245" t="str">
        <f t="shared" si="364"/>
        <v/>
      </c>
      <c r="E7051" s="534"/>
      <c r="F7051" s="534"/>
    </row>
    <row r="7052" spans="1:6" ht="15" customHeight="1">
      <c r="A7052" s="51"/>
      <c r="B7052" s="52" t="str">
        <f t="shared" si="363"/>
        <v/>
      </c>
      <c r="C7052" t="str">
        <f t="shared" si="362"/>
        <v/>
      </c>
      <c r="D7052" s="245" t="str">
        <f t="shared" si="364"/>
        <v/>
      </c>
      <c r="E7052" s="534"/>
      <c r="F7052" s="534"/>
    </row>
    <row r="7053" spans="1:6" ht="15" customHeight="1">
      <c r="A7053" s="51"/>
      <c r="B7053" s="52" t="str">
        <f t="shared" si="363"/>
        <v/>
      </c>
      <c r="C7053" t="str">
        <f t="shared" si="362"/>
        <v/>
      </c>
      <c r="D7053" s="245" t="str">
        <f t="shared" si="364"/>
        <v/>
      </c>
      <c r="E7053" s="534"/>
      <c r="F7053" s="534"/>
    </row>
    <row r="7054" spans="1:6" ht="15" customHeight="1">
      <c r="A7054" s="51"/>
      <c r="B7054" s="52" t="str">
        <f t="shared" si="363"/>
        <v/>
      </c>
      <c r="C7054" t="str">
        <f t="shared" si="362"/>
        <v/>
      </c>
      <c r="D7054" s="245" t="str">
        <f t="shared" si="364"/>
        <v/>
      </c>
      <c r="E7054" s="534"/>
      <c r="F7054" s="534"/>
    </row>
    <row r="7055" spans="1:6" ht="15" customHeight="1">
      <c r="A7055" s="51"/>
      <c r="B7055" s="52" t="str">
        <f t="shared" si="363"/>
        <v/>
      </c>
      <c r="C7055" t="str">
        <f t="shared" si="362"/>
        <v/>
      </c>
      <c r="D7055" s="245" t="str">
        <f t="shared" si="364"/>
        <v/>
      </c>
      <c r="E7055" s="534"/>
      <c r="F7055" s="534"/>
    </row>
    <row r="7056" spans="1:6" ht="15" customHeight="1">
      <c r="A7056" s="51"/>
      <c r="B7056" s="52" t="str">
        <f t="shared" si="363"/>
        <v/>
      </c>
      <c r="C7056" t="str">
        <f t="shared" si="362"/>
        <v/>
      </c>
      <c r="D7056" s="245" t="str">
        <f t="shared" si="364"/>
        <v/>
      </c>
      <c r="E7056" s="534"/>
      <c r="F7056" s="534"/>
    </row>
    <row r="7057" spans="1:6" ht="15" customHeight="1">
      <c r="A7057" s="51"/>
      <c r="B7057" s="52" t="str">
        <f t="shared" si="363"/>
        <v/>
      </c>
      <c r="C7057" t="str">
        <f t="shared" si="362"/>
        <v/>
      </c>
      <c r="D7057" s="245" t="str">
        <f t="shared" si="364"/>
        <v/>
      </c>
      <c r="E7057" s="534"/>
      <c r="F7057" s="534"/>
    </row>
    <row r="7058" spans="1:6" ht="15" customHeight="1">
      <c r="A7058" s="51"/>
      <c r="B7058" s="52" t="str">
        <f t="shared" si="363"/>
        <v/>
      </c>
      <c r="C7058" t="str">
        <f t="shared" si="362"/>
        <v/>
      </c>
      <c r="D7058" s="245" t="str">
        <f t="shared" si="364"/>
        <v/>
      </c>
      <c r="E7058" s="534"/>
      <c r="F7058" s="534"/>
    </row>
    <row r="7059" spans="1:6" ht="15" customHeight="1">
      <c r="A7059" s="51"/>
      <c r="B7059" s="52" t="str">
        <f t="shared" si="363"/>
        <v/>
      </c>
      <c r="C7059" t="str">
        <f t="shared" si="362"/>
        <v/>
      </c>
      <c r="D7059" s="245" t="str">
        <f t="shared" si="364"/>
        <v/>
      </c>
      <c r="E7059" s="534"/>
      <c r="F7059" s="534"/>
    </row>
    <row r="7060" spans="1:6" ht="15" customHeight="1">
      <c r="A7060" s="51"/>
      <c r="B7060" s="52" t="str">
        <f t="shared" si="363"/>
        <v/>
      </c>
      <c r="C7060" t="str">
        <f t="shared" si="362"/>
        <v/>
      </c>
      <c r="D7060" s="245" t="str">
        <f t="shared" si="364"/>
        <v/>
      </c>
      <c r="E7060" s="534"/>
      <c r="F7060" s="534"/>
    </row>
    <row r="7061" spans="1:6" ht="15" customHeight="1">
      <c r="A7061" s="51"/>
      <c r="B7061" s="52" t="str">
        <f t="shared" si="363"/>
        <v/>
      </c>
      <c r="C7061" t="str">
        <f t="shared" si="362"/>
        <v/>
      </c>
      <c r="D7061" s="245" t="str">
        <f t="shared" si="364"/>
        <v/>
      </c>
      <c r="E7061" s="534"/>
      <c r="F7061" s="534"/>
    </row>
    <row r="7062" spans="1:6" ht="15" customHeight="1">
      <c r="A7062" s="51"/>
      <c r="B7062" s="52" t="str">
        <f t="shared" si="363"/>
        <v/>
      </c>
      <c r="C7062" t="str">
        <f t="shared" si="362"/>
        <v/>
      </c>
      <c r="D7062" s="245" t="str">
        <f t="shared" si="364"/>
        <v/>
      </c>
      <c r="E7062" s="534"/>
      <c r="F7062" s="534"/>
    </row>
    <row r="7063" spans="1:6" ht="15" customHeight="1">
      <c r="A7063" s="51"/>
      <c r="B7063" s="52" t="str">
        <f t="shared" si="363"/>
        <v/>
      </c>
      <c r="C7063" t="str">
        <f t="shared" si="362"/>
        <v/>
      </c>
      <c r="D7063" s="245" t="str">
        <f t="shared" si="364"/>
        <v/>
      </c>
      <c r="E7063" s="534"/>
      <c r="F7063" s="534"/>
    </row>
    <row r="7064" spans="1:6" ht="15" customHeight="1">
      <c r="A7064" s="51"/>
      <c r="B7064" s="52" t="str">
        <f t="shared" si="363"/>
        <v/>
      </c>
      <c r="C7064" t="str">
        <f t="shared" si="362"/>
        <v/>
      </c>
      <c r="D7064" s="245" t="str">
        <f t="shared" si="364"/>
        <v/>
      </c>
      <c r="E7064" s="534"/>
      <c r="F7064" s="534"/>
    </row>
    <row r="7065" spans="1:6" ht="15" customHeight="1">
      <c r="A7065" s="51"/>
      <c r="B7065" s="52" t="str">
        <f t="shared" si="363"/>
        <v/>
      </c>
      <c r="C7065" t="str">
        <f t="shared" si="362"/>
        <v/>
      </c>
      <c r="D7065" s="245" t="str">
        <f t="shared" si="364"/>
        <v/>
      </c>
      <c r="E7065" s="534"/>
      <c r="F7065" s="534"/>
    </row>
    <row r="7066" spans="1:6" ht="15" customHeight="1">
      <c r="A7066" s="51"/>
      <c r="B7066" s="52" t="str">
        <f t="shared" si="363"/>
        <v/>
      </c>
      <c r="C7066" t="str">
        <f t="shared" si="362"/>
        <v/>
      </c>
      <c r="D7066" s="245" t="str">
        <f t="shared" si="364"/>
        <v/>
      </c>
      <c r="E7066" s="534"/>
      <c r="F7066" s="534"/>
    </row>
    <row r="7067" spans="1:6" ht="15" customHeight="1">
      <c r="A7067" s="51"/>
      <c r="B7067" s="52" t="str">
        <f t="shared" si="363"/>
        <v/>
      </c>
      <c r="C7067" t="str">
        <f t="shared" si="362"/>
        <v/>
      </c>
      <c r="D7067" s="245" t="str">
        <f t="shared" si="364"/>
        <v/>
      </c>
      <c r="E7067" s="534"/>
      <c r="F7067" s="534"/>
    </row>
    <row r="7068" spans="1:6" ht="15" customHeight="1">
      <c r="A7068" s="51"/>
      <c r="B7068" s="52" t="str">
        <f t="shared" si="363"/>
        <v/>
      </c>
      <c r="C7068" t="str">
        <f t="shared" si="362"/>
        <v/>
      </c>
      <c r="D7068" s="245" t="str">
        <f t="shared" si="364"/>
        <v/>
      </c>
      <c r="E7068" s="534"/>
      <c r="F7068" s="534"/>
    </row>
    <row r="7069" spans="1:6" ht="15" customHeight="1">
      <c r="A7069" s="51"/>
      <c r="B7069" s="52" t="str">
        <f t="shared" si="363"/>
        <v/>
      </c>
      <c r="C7069" t="str">
        <f t="shared" si="362"/>
        <v/>
      </c>
      <c r="D7069" s="245" t="str">
        <f t="shared" si="364"/>
        <v/>
      </c>
      <c r="E7069" s="534"/>
      <c r="F7069" s="534"/>
    </row>
    <row r="7070" spans="1:6" ht="15" customHeight="1">
      <c r="A7070" s="51"/>
      <c r="B7070" s="52" t="str">
        <f t="shared" si="363"/>
        <v/>
      </c>
      <c r="C7070" t="str">
        <f t="shared" si="362"/>
        <v/>
      </c>
      <c r="D7070" s="245" t="str">
        <f t="shared" si="364"/>
        <v/>
      </c>
      <c r="E7070" s="534"/>
      <c r="F7070" s="534"/>
    </row>
    <row r="7071" spans="1:6" ht="15" customHeight="1">
      <c r="A7071" s="51"/>
      <c r="B7071" s="52" t="str">
        <f t="shared" si="363"/>
        <v/>
      </c>
      <c r="C7071" t="str">
        <f t="shared" si="362"/>
        <v/>
      </c>
      <c r="D7071" s="245" t="str">
        <f t="shared" si="364"/>
        <v/>
      </c>
      <c r="E7071" s="534"/>
      <c r="F7071" s="534"/>
    </row>
    <row r="7072" spans="1:6" ht="15" customHeight="1">
      <c r="A7072" s="51"/>
      <c r="B7072" s="52" t="str">
        <f t="shared" si="363"/>
        <v/>
      </c>
      <c r="C7072" t="str">
        <f t="shared" si="362"/>
        <v/>
      </c>
      <c r="D7072" s="245" t="str">
        <f t="shared" si="364"/>
        <v/>
      </c>
      <c r="E7072" s="534"/>
      <c r="F7072" s="534"/>
    </row>
    <row r="7073" spans="1:6" ht="15" customHeight="1">
      <c r="A7073" s="51"/>
      <c r="B7073" s="52" t="str">
        <f t="shared" si="363"/>
        <v/>
      </c>
      <c r="C7073" t="str">
        <f t="shared" si="362"/>
        <v/>
      </c>
      <c r="D7073" s="245" t="str">
        <f t="shared" si="364"/>
        <v/>
      </c>
      <c r="E7073" s="534"/>
      <c r="F7073" s="534"/>
    </row>
    <row r="7074" spans="1:6" ht="15" customHeight="1">
      <c r="A7074" s="51"/>
      <c r="B7074" s="52" t="str">
        <f t="shared" si="363"/>
        <v/>
      </c>
      <c r="C7074" t="str">
        <f t="shared" si="362"/>
        <v/>
      </c>
      <c r="D7074" s="245" t="str">
        <f t="shared" si="364"/>
        <v/>
      </c>
      <c r="E7074" s="534"/>
      <c r="F7074" s="534"/>
    </row>
    <row r="7075" spans="1:6" ht="15" customHeight="1">
      <c r="A7075" s="51"/>
      <c r="B7075" s="52" t="str">
        <f t="shared" si="363"/>
        <v/>
      </c>
      <c r="C7075" t="str">
        <f t="shared" si="362"/>
        <v/>
      </c>
      <c r="D7075" s="245" t="str">
        <f t="shared" si="364"/>
        <v/>
      </c>
      <c r="E7075" s="534"/>
      <c r="F7075" s="534"/>
    </row>
    <row r="7076" spans="1:6" ht="15" customHeight="1">
      <c r="A7076" s="51"/>
      <c r="B7076" s="52" t="str">
        <f t="shared" si="363"/>
        <v/>
      </c>
      <c r="C7076" t="str">
        <f t="shared" si="362"/>
        <v/>
      </c>
      <c r="D7076" s="245" t="str">
        <f t="shared" si="364"/>
        <v/>
      </c>
      <c r="E7076" s="534"/>
      <c r="F7076" s="534"/>
    </row>
    <row r="7077" spans="1:6" ht="15" customHeight="1">
      <c r="A7077" s="51"/>
      <c r="B7077" s="52" t="str">
        <f t="shared" si="363"/>
        <v/>
      </c>
      <c r="C7077" t="str">
        <f t="shared" si="362"/>
        <v/>
      </c>
      <c r="D7077" s="245" t="str">
        <f t="shared" si="364"/>
        <v/>
      </c>
      <c r="E7077" s="534"/>
      <c r="F7077" s="534"/>
    </row>
    <row r="7078" spans="1:6" ht="15" customHeight="1">
      <c r="A7078" s="51"/>
      <c r="B7078" s="52" t="str">
        <f t="shared" si="363"/>
        <v/>
      </c>
      <c r="C7078" t="str">
        <f t="shared" si="362"/>
        <v/>
      </c>
      <c r="D7078" s="245" t="str">
        <f t="shared" si="364"/>
        <v/>
      </c>
      <c r="E7078" s="534"/>
      <c r="F7078" s="534"/>
    </row>
    <row r="7079" spans="1:6" ht="15" customHeight="1">
      <c r="A7079" s="51"/>
      <c r="B7079" s="52" t="str">
        <f t="shared" si="363"/>
        <v/>
      </c>
      <c r="C7079" t="str">
        <f t="shared" si="362"/>
        <v/>
      </c>
      <c r="D7079" s="245" t="str">
        <f t="shared" si="364"/>
        <v/>
      </c>
      <c r="E7079" s="534"/>
      <c r="F7079" s="534"/>
    </row>
    <row r="7080" spans="1:6" ht="15" customHeight="1">
      <c r="A7080" s="51"/>
      <c r="B7080" s="52" t="str">
        <f t="shared" si="363"/>
        <v/>
      </c>
      <c r="C7080" t="str">
        <f t="shared" si="362"/>
        <v/>
      </c>
      <c r="D7080" s="245" t="str">
        <f t="shared" si="364"/>
        <v/>
      </c>
      <c r="E7080" s="534"/>
      <c r="F7080" s="534"/>
    </row>
    <row r="7081" spans="1:6" ht="15" customHeight="1">
      <c r="A7081" s="51"/>
      <c r="B7081" s="52" t="str">
        <f t="shared" si="363"/>
        <v/>
      </c>
      <c r="C7081" t="str">
        <f t="shared" si="362"/>
        <v/>
      </c>
      <c r="D7081" s="245" t="str">
        <f t="shared" si="364"/>
        <v/>
      </c>
      <c r="E7081" s="534"/>
      <c r="F7081" s="534"/>
    </row>
    <row r="7082" spans="1:6" ht="15" customHeight="1">
      <c r="A7082" s="51"/>
      <c r="B7082" s="52" t="str">
        <f t="shared" si="363"/>
        <v/>
      </c>
      <c r="C7082" t="str">
        <f t="shared" si="362"/>
        <v/>
      </c>
      <c r="D7082" s="245" t="str">
        <f t="shared" si="364"/>
        <v/>
      </c>
      <c r="E7082" s="534"/>
      <c r="F7082" s="534"/>
    </row>
    <row r="7083" spans="1:6" ht="15" customHeight="1">
      <c r="A7083" s="51"/>
      <c r="B7083" s="52" t="str">
        <f t="shared" si="363"/>
        <v/>
      </c>
      <c r="C7083" t="str">
        <f t="shared" si="362"/>
        <v/>
      </c>
      <c r="D7083" s="245" t="str">
        <f t="shared" si="364"/>
        <v/>
      </c>
      <c r="E7083" s="534"/>
      <c r="F7083" s="534"/>
    </row>
    <row r="7084" spans="1:6" ht="15" customHeight="1">
      <c r="A7084" s="51"/>
      <c r="B7084" s="52" t="str">
        <f t="shared" si="363"/>
        <v/>
      </c>
      <c r="C7084" t="str">
        <f t="shared" si="362"/>
        <v/>
      </c>
      <c r="D7084" s="245" t="str">
        <f t="shared" si="364"/>
        <v/>
      </c>
      <c r="E7084" s="534"/>
      <c r="F7084" s="534"/>
    </row>
    <row r="7085" spans="1:6" ht="15" customHeight="1">
      <c r="A7085" s="51"/>
      <c r="B7085" s="52" t="str">
        <f t="shared" si="363"/>
        <v/>
      </c>
      <c r="C7085" t="str">
        <f t="shared" si="362"/>
        <v/>
      </c>
      <c r="D7085" s="245" t="str">
        <f t="shared" si="364"/>
        <v/>
      </c>
      <c r="E7085" s="534"/>
      <c r="F7085" s="534"/>
    </row>
    <row r="7086" spans="1:6" ht="15" customHeight="1">
      <c r="A7086" s="51"/>
      <c r="B7086" s="52" t="str">
        <f t="shared" si="363"/>
        <v/>
      </c>
      <c r="C7086" t="str">
        <f t="shared" si="362"/>
        <v/>
      </c>
      <c r="D7086" s="245" t="str">
        <f t="shared" si="364"/>
        <v/>
      </c>
      <c r="E7086" s="534"/>
      <c r="F7086" s="534"/>
    </row>
    <row r="7087" spans="1:6" ht="15" customHeight="1">
      <c r="A7087" s="51"/>
      <c r="B7087" s="52" t="str">
        <f t="shared" si="363"/>
        <v/>
      </c>
      <c r="C7087" t="str">
        <f t="shared" si="362"/>
        <v/>
      </c>
      <c r="D7087" s="245" t="str">
        <f t="shared" si="364"/>
        <v/>
      </c>
      <c r="E7087" s="534"/>
      <c r="F7087" s="534"/>
    </row>
    <row r="7088" spans="1:6" ht="15" customHeight="1">
      <c r="A7088" s="51"/>
      <c r="B7088" s="52" t="str">
        <f t="shared" si="363"/>
        <v/>
      </c>
      <c r="C7088" t="str">
        <f t="shared" si="362"/>
        <v/>
      </c>
      <c r="D7088" s="245" t="str">
        <f t="shared" si="364"/>
        <v/>
      </c>
      <c r="E7088" s="534"/>
      <c r="F7088" s="534"/>
    </row>
    <row r="7089" spans="1:6" ht="15" customHeight="1">
      <c r="A7089" s="51"/>
      <c r="B7089" s="52" t="str">
        <f t="shared" si="363"/>
        <v/>
      </c>
      <c r="C7089" t="str">
        <f t="shared" si="362"/>
        <v/>
      </c>
      <c r="D7089" s="245" t="str">
        <f t="shared" si="364"/>
        <v/>
      </c>
      <c r="E7089" s="534"/>
      <c r="F7089" s="534"/>
    </row>
    <row r="7090" spans="1:6" ht="15" customHeight="1">
      <c r="A7090" s="51"/>
      <c r="B7090" s="52" t="str">
        <f t="shared" si="363"/>
        <v/>
      </c>
      <c r="C7090" t="str">
        <f t="shared" si="362"/>
        <v/>
      </c>
      <c r="D7090" s="245" t="str">
        <f t="shared" si="364"/>
        <v/>
      </c>
      <c r="E7090" s="534"/>
      <c r="F7090" s="534"/>
    </row>
    <row r="7091" spans="1:6" ht="15" customHeight="1">
      <c r="A7091" s="51"/>
      <c r="B7091" s="52" t="str">
        <f t="shared" si="363"/>
        <v/>
      </c>
      <c r="C7091" t="str">
        <f t="shared" si="362"/>
        <v/>
      </c>
      <c r="D7091" s="245" t="str">
        <f t="shared" si="364"/>
        <v/>
      </c>
      <c r="E7091" s="534"/>
      <c r="F7091" s="534"/>
    </row>
    <row r="7092" spans="1:6" ht="15" customHeight="1">
      <c r="A7092" s="51"/>
      <c r="B7092" s="52" t="str">
        <f t="shared" si="363"/>
        <v/>
      </c>
      <c r="C7092" t="str">
        <f t="shared" si="362"/>
        <v/>
      </c>
      <c r="D7092" s="245" t="str">
        <f t="shared" si="364"/>
        <v/>
      </c>
      <c r="E7092" s="534"/>
      <c r="F7092" s="534"/>
    </row>
    <row r="7093" spans="1:6" ht="15" customHeight="1">
      <c r="A7093" s="51"/>
      <c r="B7093" s="52" t="str">
        <f t="shared" si="363"/>
        <v/>
      </c>
      <c r="C7093" t="str">
        <f t="shared" si="362"/>
        <v/>
      </c>
      <c r="D7093" s="245" t="str">
        <f t="shared" si="364"/>
        <v/>
      </c>
      <c r="E7093" s="534"/>
      <c r="F7093" s="534"/>
    </row>
    <row r="7094" spans="1:6" ht="15" customHeight="1">
      <c r="A7094" s="51"/>
      <c r="B7094" s="52" t="str">
        <f t="shared" si="363"/>
        <v/>
      </c>
      <c r="C7094" t="str">
        <f t="shared" si="362"/>
        <v/>
      </c>
      <c r="D7094" s="245" t="str">
        <f t="shared" si="364"/>
        <v/>
      </c>
      <c r="E7094" s="534"/>
      <c r="F7094" s="534"/>
    </row>
    <row r="7095" spans="1:6" ht="15" customHeight="1">
      <c r="A7095" s="51"/>
      <c r="B7095" s="52" t="str">
        <f t="shared" si="363"/>
        <v/>
      </c>
      <c r="C7095" t="str">
        <f t="shared" si="362"/>
        <v/>
      </c>
      <c r="D7095" s="245" t="str">
        <f t="shared" si="364"/>
        <v/>
      </c>
      <c r="E7095" s="534"/>
      <c r="F7095" s="534"/>
    </row>
    <row r="7096" spans="1:6" ht="15" customHeight="1">
      <c r="A7096" s="51"/>
      <c r="B7096" s="52" t="str">
        <f t="shared" si="363"/>
        <v/>
      </c>
      <c r="C7096" t="str">
        <f t="shared" si="362"/>
        <v/>
      </c>
      <c r="D7096" s="245" t="str">
        <f t="shared" si="364"/>
        <v/>
      </c>
      <c r="E7096" s="534"/>
      <c r="F7096" s="534"/>
    </row>
    <row r="7097" spans="1:6" ht="15" customHeight="1">
      <c r="A7097" s="51"/>
      <c r="B7097" s="52" t="str">
        <f t="shared" si="363"/>
        <v/>
      </c>
      <c r="C7097" t="str">
        <f t="shared" si="362"/>
        <v/>
      </c>
      <c r="D7097" s="245" t="str">
        <f t="shared" si="364"/>
        <v/>
      </c>
      <c r="E7097" s="534"/>
      <c r="F7097" s="534"/>
    </row>
    <row r="7098" spans="1:6" ht="15" customHeight="1">
      <c r="A7098" s="51"/>
      <c r="B7098" s="52" t="str">
        <f t="shared" si="363"/>
        <v/>
      </c>
      <c r="C7098" t="str">
        <f t="shared" si="362"/>
        <v/>
      </c>
      <c r="D7098" s="245" t="str">
        <f t="shared" si="364"/>
        <v/>
      </c>
      <c r="E7098" s="534"/>
      <c r="F7098" s="534"/>
    </row>
    <row r="7099" spans="1:6" ht="15" customHeight="1">
      <c r="A7099" s="51"/>
      <c r="B7099" s="52" t="str">
        <f t="shared" si="363"/>
        <v/>
      </c>
      <c r="C7099" t="str">
        <f t="shared" si="362"/>
        <v/>
      </c>
      <c r="D7099" s="245" t="str">
        <f t="shared" si="364"/>
        <v/>
      </c>
      <c r="E7099" s="534"/>
      <c r="F7099" s="534"/>
    </row>
    <row r="7100" spans="1:6" ht="15" customHeight="1">
      <c r="A7100" s="51"/>
      <c r="B7100" s="52" t="str">
        <f t="shared" si="363"/>
        <v/>
      </c>
      <c r="C7100" t="str">
        <f t="shared" si="362"/>
        <v/>
      </c>
      <c r="D7100" s="245" t="str">
        <f t="shared" si="364"/>
        <v/>
      </c>
      <c r="E7100" s="534"/>
      <c r="F7100" s="534"/>
    </row>
    <row r="7101" spans="1:6" ht="15" customHeight="1">
      <c r="A7101" s="51"/>
      <c r="B7101" s="52" t="str">
        <f t="shared" si="363"/>
        <v/>
      </c>
      <c r="C7101" t="str">
        <f t="shared" si="362"/>
        <v/>
      </c>
      <c r="D7101" s="245" t="str">
        <f t="shared" si="364"/>
        <v/>
      </c>
      <c r="E7101" s="534"/>
      <c r="F7101" s="534"/>
    </row>
    <row r="7102" spans="1:6" ht="15" customHeight="1">
      <c r="A7102" s="51"/>
      <c r="B7102" s="52" t="str">
        <f t="shared" si="363"/>
        <v/>
      </c>
      <c r="C7102" t="str">
        <f t="shared" si="362"/>
        <v/>
      </c>
      <c r="D7102" s="245" t="str">
        <f t="shared" si="364"/>
        <v/>
      </c>
      <c r="E7102" s="534"/>
      <c r="F7102" s="534"/>
    </row>
    <row r="7103" spans="1:6" ht="15" customHeight="1">
      <c r="A7103" s="51"/>
      <c r="B7103" s="52" t="str">
        <f t="shared" si="363"/>
        <v/>
      </c>
      <c r="C7103" t="str">
        <f t="shared" si="362"/>
        <v/>
      </c>
      <c r="D7103" s="245" t="str">
        <f t="shared" si="364"/>
        <v/>
      </c>
      <c r="E7103" s="534"/>
      <c r="F7103" s="534"/>
    </row>
    <row r="7104" spans="1:6" ht="15" customHeight="1">
      <c r="A7104" s="51"/>
      <c r="B7104" s="52" t="str">
        <f t="shared" si="363"/>
        <v/>
      </c>
      <c r="C7104" t="str">
        <f t="shared" si="362"/>
        <v/>
      </c>
      <c r="D7104" s="245" t="str">
        <f t="shared" si="364"/>
        <v/>
      </c>
      <c r="E7104" s="534"/>
      <c r="F7104" s="534"/>
    </row>
    <row r="7105" spans="1:6" ht="15" customHeight="1">
      <c r="A7105" s="51"/>
      <c r="B7105" s="52" t="str">
        <f t="shared" si="363"/>
        <v/>
      </c>
      <c r="C7105" t="str">
        <f t="shared" si="362"/>
        <v/>
      </c>
      <c r="D7105" s="245" t="str">
        <f t="shared" si="364"/>
        <v/>
      </c>
      <c r="E7105" s="534"/>
      <c r="F7105" s="534"/>
    </row>
    <row r="7106" spans="1:6" ht="15" customHeight="1">
      <c r="A7106" s="51"/>
      <c r="B7106" s="52" t="str">
        <f t="shared" si="363"/>
        <v/>
      </c>
      <c r="C7106" t="str">
        <f t="shared" ref="C7106:C7169" si="365">IF(A7106&lt;&gt;"",TEXT(A7106,"aaaa"),"")</f>
        <v/>
      </c>
      <c r="D7106" s="245" t="str">
        <f t="shared" si="364"/>
        <v/>
      </c>
      <c r="E7106" s="534"/>
      <c r="F7106" s="534"/>
    </row>
    <row r="7107" spans="1:6" ht="15" customHeight="1">
      <c r="A7107" s="51"/>
      <c r="B7107" s="52" t="str">
        <f t="shared" si="363"/>
        <v/>
      </c>
      <c r="C7107" t="str">
        <f t="shared" si="365"/>
        <v/>
      </c>
      <c r="D7107" s="245" t="str">
        <f t="shared" si="364"/>
        <v/>
      </c>
      <c r="E7107" s="534"/>
      <c r="F7107" s="534"/>
    </row>
    <row r="7108" spans="1:6" ht="15" customHeight="1">
      <c r="A7108" s="51"/>
      <c r="B7108" s="52" t="str">
        <f t="shared" si="363"/>
        <v/>
      </c>
      <c r="C7108" t="str">
        <f t="shared" si="365"/>
        <v/>
      </c>
      <c r="D7108" s="245" t="str">
        <f t="shared" si="364"/>
        <v/>
      </c>
      <c r="E7108" s="534"/>
      <c r="F7108" s="534"/>
    </row>
    <row r="7109" spans="1:6" ht="15" customHeight="1">
      <c r="A7109" s="51"/>
      <c r="B7109" s="52" t="str">
        <f t="shared" si="363"/>
        <v/>
      </c>
      <c r="C7109" t="str">
        <f t="shared" si="365"/>
        <v/>
      </c>
      <c r="D7109" s="245" t="str">
        <f t="shared" si="364"/>
        <v/>
      </c>
      <c r="E7109" s="534"/>
      <c r="F7109" s="534"/>
    </row>
    <row r="7110" spans="1:6" ht="15" customHeight="1">
      <c r="A7110" s="51"/>
      <c r="B7110" s="52" t="str">
        <f t="shared" si="363"/>
        <v/>
      </c>
      <c r="C7110" t="str">
        <f t="shared" si="365"/>
        <v/>
      </c>
      <c r="D7110" s="245" t="str">
        <f t="shared" si="364"/>
        <v/>
      </c>
      <c r="E7110" s="534"/>
      <c r="F7110" s="534"/>
    </row>
    <row r="7111" spans="1:6" ht="15" customHeight="1">
      <c r="A7111" s="51"/>
      <c r="B7111" s="52" t="str">
        <f t="shared" si="363"/>
        <v/>
      </c>
      <c r="C7111" t="str">
        <f t="shared" si="365"/>
        <v/>
      </c>
      <c r="D7111" s="245" t="str">
        <f t="shared" si="364"/>
        <v/>
      </c>
      <c r="E7111" s="534"/>
      <c r="F7111" s="534"/>
    </row>
    <row r="7112" spans="1:6" ht="15" customHeight="1">
      <c r="A7112" s="51"/>
      <c r="B7112" s="52" t="str">
        <f t="shared" ref="B7112:B7175" si="366">IF(A7112="","",TEXT(A7112,"DDDD"))</f>
        <v/>
      </c>
      <c r="C7112" t="str">
        <f t="shared" si="365"/>
        <v/>
      </c>
      <c r="D7112" s="245" t="str">
        <f t="shared" si="364"/>
        <v/>
      </c>
      <c r="E7112" s="534"/>
      <c r="F7112" s="534"/>
    </row>
    <row r="7113" spans="1:6" ht="15" customHeight="1">
      <c r="A7113" s="51"/>
      <c r="B7113" s="52" t="str">
        <f t="shared" si="366"/>
        <v/>
      </c>
      <c r="C7113" t="str">
        <f t="shared" si="365"/>
        <v/>
      </c>
      <c r="D7113" s="245" t="str">
        <f t="shared" ref="D7113:D7176" si="367">IF(A7113&lt;&gt;"",PROPER(TEXT(A7113,"Mmmm")),"")</f>
        <v/>
      </c>
      <c r="E7113" s="534"/>
      <c r="F7113" s="534"/>
    </row>
    <row r="7114" spans="1:6" ht="15" customHeight="1">
      <c r="A7114" s="51"/>
      <c r="B7114" s="52" t="str">
        <f t="shared" si="366"/>
        <v/>
      </c>
      <c r="C7114" t="str">
        <f t="shared" si="365"/>
        <v/>
      </c>
      <c r="D7114" s="245" t="str">
        <f t="shared" si="367"/>
        <v/>
      </c>
      <c r="E7114" s="534"/>
      <c r="F7114" s="534"/>
    </row>
    <row r="7115" spans="1:6" ht="15" customHeight="1">
      <c r="A7115" s="51"/>
      <c r="B7115" s="52" t="str">
        <f t="shared" si="366"/>
        <v/>
      </c>
      <c r="C7115" t="str">
        <f t="shared" si="365"/>
        <v/>
      </c>
      <c r="D7115" s="245" t="str">
        <f t="shared" si="367"/>
        <v/>
      </c>
      <c r="E7115" s="534"/>
      <c r="F7115" s="534"/>
    </row>
    <row r="7116" spans="1:6" ht="15" customHeight="1">
      <c r="A7116" s="51"/>
      <c r="B7116" s="52" t="str">
        <f t="shared" si="366"/>
        <v/>
      </c>
      <c r="C7116" t="str">
        <f t="shared" si="365"/>
        <v/>
      </c>
      <c r="D7116" s="245" t="str">
        <f t="shared" si="367"/>
        <v/>
      </c>
      <c r="E7116" s="534"/>
      <c r="F7116" s="534"/>
    </row>
    <row r="7117" spans="1:6" ht="15" customHeight="1">
      <c r="A7117" s="51"/>
      <c r="B7117" s="52" t="str">
        <f t="shared" si="366"/>
        <v/>
      </c>
      <c r="C7117" t="str">
        <f t="shared" si="365"/>
        <v/>
      </c>
      <c r="D7117" s="245" t="str">
        <f t="shared" si="367"/>
        <v/>
      </c>
      <c r="E7117" s="534"/>
      <c r="F7117" s="534"/>
    </row>
    <row r="7118" spans="1:6" ht="15" customHeight="1">
      <c r="A7118" s="51"/>
      <c r="B7118" s="52" t="str">
        <f t="shared" si="366"/>
        <v/>
      </c>
      <c r="C7118" t="str">
        <f t="shared" si="365"/>
        <v/>
      </c>
      <c r="D7118" s="245" t="str">
        <f t="shared" si="367"/>
        <v/>
      </c>
      <c r="E7118" s="534"/>
      <c r="F7118" s="534"/>
    </row>
    <row r="7119" spans="1:6" ht="15" customHeight="1">
      <c r="A7119" s="51"/>
      <c r="B7119" s="52" t="str">
        <f t="shared" si="366"/>
        <v/>
      </c>
      <c r="C7119" t="str">
        <f t="shared" si="365"/>
        <v/>
      </c>
      <c r="D7119" s="245" t="str">
        <f t="shared" si="367"/>
        <v/>
      </c>
      <c r="E7119" s="534"/>
      <c r="F7119" s="534"/>
    </row>
    <row r="7120" spans="1:6" ht="15" customHeight="1">
      <c r="A7120" s="51"/>
      <c r="B7120" s="52" t="str">
        <f t="shared" si="366"/>
        <v/>
      </c>
      <c r="C7120" t="str">
        <f t="shared" si="365"/>
        <v/>
      </c>
      <c r="D7120" s="245" t="str">
        <f t="shared" si="367"/>
        <v/>
      </c>
      <c r="E7120" s="534"/>
      <c r="F7120" s="534"/>
    </row>
    <row r="7121" spans="1:6" ht="15" customHeight="1">
      <c r="A7121" s="51"/>
      <c r="B7121" s="52" t="str">
        <f t="shared" si="366"/>
        <v/>
      </c>
      <c r="C7121" t="str">
        <f t="shared" si="365"/>
        <v/>
      </c>
      <c r="D7121" s="245" t="str">
        <f t="shared" si="367"/>
        <v/>
      </c>
      <c r="E7121" s="534"/>
      <c r="F7121" s="534"/>
    </row>
    <row r="7122" spans="1:6" ht="15" customHeight="1">
      <c r="A7122" s="51"/>
      <c r="B7122" s="52" t="str">
        <f t="shared" si="366"/>
        <v/>
      </c>
      <c r="C7122" t="str">
        <f t="shared" si="365"/>
        <v/>
      </c>
      <c r="D7122" s="245" t="str">
        <f t="shared" si="367"/>
        <v/>
      </c>
      <c r="E7122" s="534"/>
      <c r="F7122" s="534"/>
    </row>
    <row r="7123" spans="1:6" ht="15" customHeight="1">
      <c r="A7123" s="51"/>
      <c r="B7123" s="52" t="str">
        <f t="shared" si="366"/>
        <v/>
      </c>
      <c r="C7123" t="str">
        <f t="shared" si="365"/>
        <v/>
      </c>
      <c r="D7123" s="245" t="str">
        <f t="shared" si="367"/>
        <v/>
      </c>
      <c r="E7123" s="534"/>
      <c r="F7123" s="534"/>
    </row>
    <row r="7124" spans="1:6" ht="15" customHeight="1">
      <c r="A7124" s="51"/>
      <c r="B7124" s="52" t="str">
        <f t="shared" si="366"/>
        <v/>
      </c>
      <c r="C7124" t="str">
        <f t="shared" si="365"/>
        <v/>
      </c>
      <c r="D7124" s="245" t="str">
        <f t="shared" si="367"/>
        <v/>
      </c>
      <c r="E7124" s="534"/>
      <c r="F7124" s="534"/>
    </row>
    <row r="7125" spans="1:6" ht="15" customHeight="1">
      <c r="A7125" s="51"/>
      <c r="B7125" s="52" t="str">
        <f t="shared" si="366"/>
        <v/>
      </c>
      <c r="C7125" t="str">
        <f t="shared" si="365"/>
        <v/>
      </c>
      <c r="D7125" s="245" t="str">
        <f t="shared" si="367"/>
        <v/>
      </c>
      <c r="E7125" s="534"/>
      <c r="F7125" s="534"/>
    </row>
    <row r="7126" spans="1:6" ht="15" customHeight="1">
      <c r="A7126" s="51"/>
      <c r="B7126" s="52" t="str">
        <f t="shared" si="366"/>
        <v/>
      </c>
      <c r="C7126" t="str">
        <f t="shared" si="365"/>
        <v/>
      </c>
      <c r="D7126" s="245" t="str">
        <f t="shared" si="367"/>
        <v/>
      </c>
      <c r="E7126" s="534"/>
      <c r="F7126" s="534"/>
    </row>
    <row r="7127" spans="1:6" ht="15" customHeight="1">
      <c r="A7127" s="51"/>
      <c r="B7127" s="52" t="str">
        <f t="shared" si="366"/>
        <v/>
      </c>
      <c r="C7127" t="str">
        <f t="shared" si="365"/>
        <v/>
      </c>
      <c r="D7127" s="245" t="str">
        <f t="shared" si="367"/>
        <v/>
      </c>
      <c r="E7127" s="534"/>
      <c r="F7127" s="534"/>
    </row>
    <row r="7128" spans="1:6" ht="15" customHeight="1">
      <c r="A7128" s="51"/>
      <c r="B7128" s="52" t="str">
        <f t="shared" si="366"/>
        <v/>
      </c>
      <c r="C7128" t="str">
        <f t="shared" si="365"/>
        <v/>
      </c>
      <c r="D7128" s="245" t="str">
        <f t="shared" si="367"/>
        <v/>
      </c>
      <c r="E7128" s="534"/>
      <c r="F7128" s="534"/>
    </row>
    <row r="7129" spans="1:6" ht="15" customHeight="1">
      <c r="A7129" s="51"/>
      <c r="B7129" s="52" t="str">
        <f t="shared" si="366"/>
        <v/>
      </c>
      <c r="C7129" t="str">
        <f t="shared" si="365"/>
        <v/>
      </c>
      <c r="D7129" s="245" t="str">
        <f t="shared" si="367"/>
        <v/>
      </c>
      <c r="E7129" s="534"/>
      <c r="F7129" s="534"/>
    </row>
    <row r="7130" spans="1:6" ht="15" customHeight="1">
      <c r="A7130" s="51"/>
      <c r="B7130" s="52" t="str">
        <f t="shared" si="366"/>
        <v/>
      </c>
      <c r="C7130" t="str">
        <f t="shared" si="365"/>
        <v/>
      </c>
      <c r="D7130" s="245" t="str">
        <f t="shared" si="367"/>
        <v/>
      </c>
      <c r="E7130" s="534"/>
      <c r="F7130" s="534"/>
    </row>
    <row r="7131" spans="1:6" ht="15" customHeight="1">
      <c r="A7131" s="51"/>
      <c r="B7131" s="52" t="str">
        <f t="shared" si="366"/>
        <v/>
      </c>
      <c r="C7131" t="str">
        <f t="shared" si="365"/>
        <v/>
      </c>
      <c r="D7131" s="245" t="str">
        <f t="shared" si="367"/>
        <v/>
      </c>
      <c r="E7131" s="534"/>
      <c r="F7131" s="534"/>
    </row>
    <row r="7132" spans="1:6" ht="15" customHeight="1">
      <c r="A7132" s="51"/>
      <c r="B7132" s="52" t="str">
        <f t="shared" si="366"/>
        <v/>
      </c>
      <c r="C7132" t="str">
        <f t="shared" si="365"/>
        <v/>
      </c>
      <c r="D7132" s="245" t="str">
        <f t="shared" si="367"/>
        <v/>
      </c>
      <c r="E7132" s="534"/>
      <c r="F7132" s="534"/>
    </row>
    <row r="7133" spans="1:6" ht="15" customHeight="1">
      <c r="A7133" s="51"/>
      <c r="B7133" s="52" t="str">
        <f t="shared" si="366"/>
        <v/>
      </c>
      <c r="C7133" t="str">
        <f t="shared" si="365"/>
        <v/>
      </c>
      <c r="D7133" s="245" t="str">
        <f t="shared" si="367"/>
        <v/>
      </c>
      <c r="E7133" s="534"/>
      <c r="F7133" s="534"/>
    </row>
    <row r="7134" spans="1:6" ht="15" customHeight="1">
      <c r="A7134" s="51"/>
      <c r="B7134" s="52" t="str">
        <f t="shared" si="366"/>
        <v/>
      </c>
      <c r="C7134" t="str">
        <f t="shared" si="365"/>
        <v/>
      </c>
      <c r="D7134" s="245" t="str">
        <f t="shared" si="367"/>
        <v/>
      </c>
      <c r="E7134" s="534"/>
      <c r="F7134" s="534"/>
    </row>
    <row r="7135" spans="1:6" ht="15" customHeight="1">
      <c r="A7135" s="51"/>
      <c r="B7135" s="52" t="str">
        <f t="shared" si="366"/>
        <v/>
      </c>
      <c r="C7135" t="str">
        <f t="shared" si="365"/>
        <v/>
      </c>
      <c r="D7135" s="245" t="str">
        <f t="shared" si="367"/>
        <v/>
      </c>
      <c r="E7135" s="534"/>
      <c r="F7135" s="534"/>
    </row>
    <row r="7136" spans="1:6" ht="15" customHeight="1">
      <c r="A7136" s="51"/>
      <c r="B7136" s="52" t="str">
        <f t="shared" si="366"/>
        <v/>
      </c>
      <c r="C7136" t="str">
        <f t="shared" si="365"/>
        <v/>
      </c>
      <c r="D7136" s="245" t="str">
        <f t="shared" si="367"/>
        <v/>
      </c>
      <c r="E7136" s="534"/>
      <c r="F7136" s="534"/>
    </row>
    <row r="7137" spans="1:6" ht="15" customHeight="1">
      <c r="A7137" s="51"/>
      <c r="B7137" s="52" t="str">
        <f t="shared" si="366"/>
        <v/>
      </c>
      <c r="C7137" t="str">
        <f t="shared" si="365"/>
        <v/>
      </c>
      <c r="D7137" s="245" t="str">
        <f t="shared" si="367"/>
        <v/>
      </c>
      <c r="E7137" s="534"/>
      <c r="F7137" s="534"/>
    </row>
    <row r="7138" spans="1:6" ht="15" customHeight="1">
      <c r="A7138" s="51"/>
      <c r="B7138" s="52" t="str">
        <f t="shared" si="366"/>
        <v/>
      </c>
      <c r="C7138" t="str">
        <f t="shared" si="365"/>
        <v/>
      </c>
      <c r="D7138" s="245" t="str">
        <f t="shared" si="367"/>
        <v/>
      </c>
      <c r="E7138" s="534"/>
      <c r="F7138" s="534"/>
    </row>
    <row r="7139" spans="1:6" ht="15" customHeight="1">
      <c r="A7139" s="51"/>
      <c r="B7139" s="52" t="str">
        <f t="shared" si="366"/>
        <v/>
      </c>
      <c r="C7139" t="str">
        <f t="shared" si="365"/>
        <v/>
      </c>
      <c r="D7139" s="245" t="str">
        <f t="shared" si="367"/>
        <v/>
      </c>
      <c r="E7139" s="534"/>
      <c r="F7139" s="534"/>
    </row>
    <row r="7140" spans="1:6" ht="15" customHeight="1">
      <c r="A7140" s="51"/>
      <c r="B7140" s="52" t="str">
        <f t="shared" si="366"/>
        <v/>
      </c>
      <c r="C7140" t="str">
        <f t="shared" si="365"/>
        <v/>
      </c>
      <c r="D7140" s="245" t="str">
        <f t="shared" si="367"/>
        <v/>
      </c>
      <c r="E7140" s="534"/>
      <c r="F7140" s="534"/>
    </row>
    <row r="7141" spans="1:6" ht="15" customHeight="1">
      <c r="A7141" s="51"/>
      <c r="B7141" s="52" t="str">
        <f t="shared" si="366"/>
        <v/>
      </c>
      <c r="C7141" t="str">
        <f t="shared" si="365"/>
        <v/>
      </c>
      <c r="D7141" s="245" t="str">
        <f t="shared" si="367"/>
        <v/>
      </c>
      <c r="E7141" s="534"/>
      <c r="F7141" s="534"/>
    </row>
    <row r="7142" spans="1:6" ht="15" customHeight="1">
      <c r="A7142" s="51"/>
      <c r="B7142" s="52" t="str">
        <f t="shared" si="366"/>
        <v/>
      </c>
      <c r="C7142" t="str">
        <f t="shared" si="365"/>
        <v/>
      </c>
      <c r="D7142" s="245" t="str">
        <f t="shared" si="367"/>
        <v/>
      </c>
      <c r="E7142" s="534"/>
      <c r="F7142" s="534"/>
    </row>
    <row r="7143" spans="1:6" ht="15" customHeight="1">
      <c r="A7143" s="51"/>
      <c r="B7143" s="52" t="str">
        <f t="shared" si="366"/>
        <v/>
      </c>
      <c r="C7143" t="str">
        <f t="shared" si="365"/>
        <v/>
      </c>
      <c r="D7143" s="245" t="str">
        <f t="shared" si="367"/>
        <v/>
      </c>
      <c r="E7143" s="534"/>
      <c r="F7143" s="534"/>
    </row>
    <row r="7144" spans="1:6" ht="15" customHeight="1">
      <c r="A7144" s="51"/>
      <c r="B7144" s="52" t="str">
        <f t="shared" si="366"/>
        <v/>
      </c>
      <c r="C7144" t="str">
        <f t="shared" si="365"/>
        <v/>
      </c>
      <c r="D7144" s="245" t="str">
        <f t="shared" si="367"/>
        <v/>
      </c>
      <c r="E7144" s="534"/>
      <c r="F7144" s="534"/>
    </row>
    <row r="7145" spans="1:6" ht="15" customHeight="1">
      <c r="A7145" s="51"/>
      <c r="B7145" s="52" t="str">
        <f t="shared" si="366"/>
        <v/>
      </c>
      <c r="C7145" t="str">
        <f t="shared" si="365"/>
        <v/>
      </c>
      <c r="D7145" s="245" t="str">
        <f t="shared" si="367"/>
        <v/>
      </c>
      <c r="E7145" s="534"/>
      <c r="F7145" s="534"/>
    </row>
    <row r="7146" spans="1:6" ht="15" customHeight="1">
      <c r="A7146" s="51"/>
      <c r="B7146" s="52" t="str">
        <f t="shared" si="366"/>
        <v/>
      </c>
      <c r="C7146" t="str">
        <f t="shared" si="365"/>
        <v/>
      </c>
      <c r="D7146" s="245" t="str">
        <f t="shared" si="367"/>
        <v/>
      </c>
      <c r="E7146" s="534"/>
      <c r="F7146" s="534"/>
    </row>
    <row r="7147" spans="1:6" ht="15" customHeight="1">
      <c r="A7147" s="51"/>
      <c r="B7147" s="52" t="str">
        <f t="shared" si="366"/>
        <v/>
      </c>
      <c r="C7147" t="str">
        <f t="shared" si="365"/>
        <v/>
      </c>
      <c r="D7147" s="245" t="str">
        <f t="shared" si="367"/>
        <v/>
      </c>
      <c r="E7147" s="534"/>
      <c r="F7147" s="534"/>
    </row>
    <row r="7148" spans="1:6" ht="15" customHeight="1">
      <c r="A7148" s="51"/>
      <c r="B7148" s="52" t="str">
        <f t="shared" si="366"/>
        <v/>
      </c>
      <c r="C7148" t="str">
        <f t="shared" si="365"/>
        <v/>
      </c>
      <c r="D7148" s="245" t="str">
        <f t="shared" si="367"/>
        <v/>
      </c>
      <c r="E7148" s="534"/>
      <c r="F7148" s="534"/>
    </row>
    <row r="7149" spans="1:6" ht="15" customHeight="1">
      <c r="A7149" s="51"/>
      <c r="B7149" s="52" t="str">
        <f t="shared" si="366"/>
        <v/>
      </c>
      <c r="C7149" t="str">
        <f t="shared" si="365"/>
        <v/>
      </c>
      <c r="D7149" s="245" t="str">
        <f t="shared" si="367"/>
        <v/>
      </c>
      <c r="E7149" s="534"/>
      <c r="F7149" s="534"/>
    </row>
    <row r="7150" spans="1:6" ht="15" customHeight="1">
      <c r="A7150" s="51"/>
      <c r="B7150" s="52" t="str">
        <f t="shared" si="366"/>
        <v/>
      </c>
      <c r="C7150" t="str">
        <f t="shared" si="365"/>
        <v/>
      </c>
      <c r="D7150" s="245" t="str">
        <f t="shared" si="367"/>
        <v/>
      </c>
      <c r="E7150" s="534"/>
      <c r="F7150" s="534"/>
    </row>
    <row r="7151" spans="1:6" ht="15" customHeight="1">
      <c r="A7151" s="51"/>
      <c r="B7151" s="52" t="str">
        <f t="shared" si="366"/>
        <v/>
      </c>
      <c r="C7151" t="str">
        <f t="shared" si="365"/>
        <v/>
      </c>
      <c r="D7151" s="245" t="str">
        <f t="shared" si="367"/>
        <v/>
      </c>
      <c r="E7151" s="534"/>
      <c r="F7151" s="534"/>
    </row>
    <row r="7152" spans="1:6" ht="15" customHeight="1">
      <c r="A7152" s="51"/>
      <c r="B7152" s="52" t="str">
        <f t="shared" si="366"/>
        <v/>
      </c>
      <c r="C7152" t="str">
        <f t="shared" si="365"/>
        <v/>
      </c>
      <c r="D7152" s="245" t="str">
        <f t="shared" si="367"/>
        <v/>
      </c>
      <c r="E7152" s="534"/>
      <c r="F7152" s="534"/>
    </row>
    <row r="7153" spans="1:6" ht="15" customHeight="1">
      <c r="A7153" s="51"/>
      <c r="B7153" s="52" t="str">
        <f t="shared" si="366"/>
        <v/>
      </c>
      <c r="C7153" t="str">
        <f t="shared" si="365"/>
        <v/>
      </c>
      <c r="D7153" s="245" t="str">
        <f t="shared" si="367"/>
        <v/>
      </c>
      <c r="E7153" s="534"/>
      <c r="F7153" s="534"/>
    </row>
    <row r="7154" spans="1:6" ht="15" customHeight="1">
      <c r="A7154" s="51"/>
      <c r="B7154" s="52" t="str">
        <f t="shared" si="366"/>
        <v/>
      </c>
      <c r="C7154" t="str">
        <f t="shared" si="365"/>
        <v/>
      </c>
      <c r="D7154" s="245" t="str">
        <f t="shared" si="367"/>
        <v/>
      </c>
      <c r="E7154" s="534"/>
      <c r="F7154" s="534"/>
    </row>
    <row r="7155" spans="1:6" ht="15" customHeight="1">
      <c r="A7155" s="51"/>
      <c r="B7155" s="52" t="str">
        <f t="shared" si="366"/>
        <v/>
      </c>
      <c r="C7155" t="str">
        <f t="shared" si="365"/>
        <v/>
      </c>
      <c r="D7155" s="245" t="str">
        <f t="shared" si="367"/>
        <v/>
      </c>
      <c r="E7155" s="534"/>
      <c r="F7155" s="534"/>
    </row>
    <row r="7156" spans="1:6" ht="15" customHeight="1">
      <c r="A7156" s="51"/>
      <c r="B7156" s="52" t="str">
        <f t="shared" si="366"/>
        <v/>
      </c>
      <c r="C7156" t="str">
        <f t="shared" si="365"/>
        <v/>
      </c>
      <c r="D7156" s="245" t="str">
        <f t="shared" si="367"/>
        <v/>
      </c>
      <c r="E7156" s="534"/>
      <c r="F7156" s="534"/>
    </row>
    <row r="7157" spans="1:6" ht="15" customHeight="1">
      <c r="A7157" s="51"/>
      <c r="B7157" s="52" t="str">
        <f t="shared" si="366"/>
        <v/>
      </c>
      <c r="C7157" t="str">
        <f t="shared" si="365"/>
        <v/>
      </c>
      <c r="D7157" s="245" t="str">
        <f t="shared" si="367"/>
        <v/>
      </c>
      <c r="E7157" s="534"/>
      <c r="F7157" s="534"/>
    </row>
    <row r="7158" spans="1:6" ht="15" customHeight="1">
      <c r="A7158" s="51"/>
      <c r="B7158" s="52" t="str">
        <f t="shared" si="366"/>
        <v/>
      </c>
      <c r="C7158" t="str">
        <f t="shared" si="365"/>
        <v/>
      </c>
      <c r="D7158" s="245" t="str">
        <f t="shared" si="367"/>
        <v/>
      </c>
      <c r="E7158" s="534"/>
      <c r="F7158" s="534"/>
    </row>
    <row r="7159" spans="1:6" ht="15" customHeight="1">
      <c r="A7159" s="51"/>
      <c r="B7159" s="52" t="str">
        <f t="shared" si="366"/>
        <v/>
      </c>
      <c r="C7159" t="str">
        <f t="shared" si="365"/>
        <v/>
      </c>
      <c r="D7159" s="245" t="str">
        <f t="shared" si="367"/>
        <v/>
      </c>
      <c r="E7159" s="534"/>
      <c r="F7159" s="534"/>
    </row>
    <row r="7160" spans="1:6" ht="15" customHeight="1">
      <c r="A7160" s="51"/>
      <c r="B7160" s="52" t="str">
        <f t="shared" si="366"/>
        <v/>
      </c>
      <c r="C7160" t="str">
        <f t="shared" si="365"/>
        <v/>
      </c>
      <c r="D7160" s="245" t="str">
        <f t="shared" si="367"/>
        <v/>
      </c>
      <c r="E7160" s="534"/>
      <c r="F7160" s="534"/>
    </row>
    <row r="7161" spans="1:6" ht="15" customHeight="1">
      <c r="A7161" s="51"/>
      <c r="B7161" s="52" t="str">
        <f t="shared" si="366"/>
        <v/>
      </c>
      <c r="C7161" t="str">
        <f t="shared" si="365"/>
        <v/>
      </c>
      <c r="D7161" s="245" t="str">
        <f t="shared" si="367"/>
        <v/>
      </c>
      <c r="E7161" s="534"/>
      <c r="F7161" s="534"/>
    </row>
    <row r="7162" spans="1:6" ht="15" customHeight="1">
      <c r="A7162" s="51"/>
      <c r="B7162" s="52" t="str">
        <f t="shared" si="366"/>
        <v/>
      </c>
      <c r="C7162" t="str">
        <f t="shared" si="365"/>
        <v/>
      </c>
      <c r="D7162" s="245" t="str">
        <f t="shared" si="367"/>
        <v/>
      </c>
      <c r="E7162" s="534"/>
      <c r="F7162" s="534"/>
    </row>
    <row r="7163" spans="1:6" ht="15" customHeight="1">
      <c r="A7163" s="51"/>
      <c r="B7163" s="52" t="str">
        <f t="shared" si="366"/>
        <v/>
      </c>
      <c r="C7163" t="str">
        <f t="shared" si="365"/>
        <v/>
      </c>
      <c r="D7163" s="245" t="str">
        <f t="shared" si="367"/>
        <v/>
      </c>
      <c r="E7163" s="534"/>
      <c r="F7163" s="534"/>
    </row>
    <row r="7164" spans="1:6" ht="15" customHeight="1">
      <c r="A7164" s="51"/>
      <c r="B7164" s="52" t="str">
        <f t="shared" si="366"/>
        <v/>
      </c>
      <c r="C7164" t="str">
        <f t="shared" si="365"/>
        <v/>
      </c>
      <c r="D7164" s="245" t="str">
        <f t="shared" si="367"/>
        <v/>
      </c>
      <c r="E7164" s="534"/>
      <c r="F7164" s="534"/>
    </row>
    <row r="7165" spans="1:6" ht="15" customHeight="1">
      <c r="A7165" s="51"/>
      <c r="B7165" s="52" t="str">
        <f t="shared" si="366"/>
        <v/>
      </c>
      <c r="C7165" t="str">
        <f t="shared" si="365"/>
        <v/>
      </c>
      <c r="D7165" s="245" t="str">
        <f t="shared" si="367"/>
        <v/>
      </c>
      <c r="E7165" s="534"/>
      <c r="F7165" s="534"/>
    </row>
    <row r="7166" spans="1:6" ht="15" customHeight="1">
      <c r="A7166" s="51"/>
      <c r="B7166" s="52" t="str">
        <f t="shared" si="366"/>
        <v/>
      </c>
      <c r="C7166" t="str">
        <f t="shared" si="365"/>
        <v/>
      </c>
      <c r="D7166" s="245" t="str">
        <f t="shared" si="367"/>
        <v/>
      </c>
      <c r="E7166" s="534"/>
      <c r="F7166" s="534"/>
    </row>
    <row r="7167" spans="1:6" ht="15" customHeight="1">
      <c r="A7167" s="51"/>
      <c r="B7167" s="52" t="str">
        <f t="shared" si="366"/>
        <v/>
      </c>
      <c r="C7167" t="str">
        <f t="shared" si="365"/>
        <v/>
      </c>
      <c r="D7167" s="245" t="str">
        <f t="shared" si="367"/>
        <v/>
      </c>
      <c r="E7167" s="534"/>
      <c r="F7167" s="534"/>
    </row>
    <row r="7168" spans="1:6" ht="15" customHeight="1">
      <c r="A7168" s="51"/>
      <c r="B7168" s="52" t="str">
        <f t="shared" si="366"/>
        <v/>
      </c>
      <c r="C7168" t="str">
        <f t="shared" si="365"/>
        <v/>
      </c>
      <c r="D7168" s="245" t="str">
        <f t="shared" si="367"/>
        <v/>
      </c>
      <c r="E7168" s="534"/>
      <c r="F7168" s="534"/>
    </row>
    <row r="7169" spans="1:6" ht="15" customHeight="1">
      <c r="A7169" s="51"/>
      <c r="B7169" s="52" t="str">
        <f t="shared" si="366"/>
        <v/>
      </c>
      <c r="C7169" t="str">
        <f t="shared" si="365"/>
        <v/>
      </c>
      <c r="D7169" s="245" t="str">
        <f t="shared" si="367"/>
        <v/>
      </c>
      <c r="E7169" s="534"/>
      <c r="F7169" s="534"/>
    </row>
    <row r="7170" spans="1:6" ht="15" customHeight="1">
      <c r="A7170" s="51"/>
      <c r="B7170" s="52" t="str">
        <f t="shared" si="366"/>
        <v/>
      </c>
      <c r="C7170" t="str">
        <f t="shared" ref="C7170:C7233" si="368">IF(A7170&lt;&gt;"",TEXT(A7170,"aaaa"),"")</f>
        <v/>
      </c>
      <c r="D7170" s="245" t="str">
        <f t="shared" si="367"/>
        <v/>
      </c>
      <c r="E7170" s="534"/>
      <c r="F7170" s="534"/>
    </row>
    <row r="7171" spans="1:6" ht="15" customHeight="1">
      <c r="A7171" s="51"/>
      <c r="B7171" s="52" t="str">
        <f t="shared" si="366"/>
        <v/>
      </c>
      <c r="C7171" t="str">
        <f t="shared" si="368"/>
        <v/>
      </c>
      <c r="D7171" s="245" t="str">
        <f t="shared" si="367"/>
        <v/>
      </c>
      <c r="E7171" s="534"/>
      <c r="F7171" s="534"/>
    </row>
    <row r="7172" spans="1:6" ht="15" customHeight="1">
      <c r="A7172" s="51"/>
      <c r="B7172" s="52" t="str">
        <f t="shared" si="366"/>
        <v/>
      </c>
      <c r="C7172" t="str">
        <f t="shared" si="368"/>
        <v/>
      </c>
      <c r="D7172" s="245" t="str">
        <f t="shared" si="367"/>
        <v/>
      </c>
      <c r="E7172" s="534"/>
      <c r="F7172" s="534"/>
    </row>
    <row r="7173" spans="1:6" ht="15" customHeight="1">
      <c r="A7173" s="51"/>
      <c r="B7173" s="52" t="str">
        <f t="shared" si="366"/>
        <v/>
      </c>
      <c r="C7173" t="str">
        <f t="shared" si="368"/>
        <v/>
      </c>
      <c r="D7173" s="245" t="str">
        <f t="shared" si="367"/>
        <v/>
      </c>
      <c r="E7173" s="534"/>
      <c r="F7173" s="534"/>
    </row>
    <row r="7174" spans="1:6" ht="15" customHeight="1">
      <c r="A7174" s="51"/>
      <c r="B7174" s="52" t="str">
        <f t="shared" si="366"/>
        <v/>
      </c>
      <c r="C7174" t="str">
        <f t="shared" si="368"/>
        <v/>
      </c>
      <c r="D7174" s="245" t="str">
        <f t="shared" si="367"/>
        <v/>
      </c>
      <c r="E7174" s="534"/>
      <c r="F7174" s="534"/>
    </row>
    <row r="7175" spans="1:6" ht="15" customHeight="1">
      <c r="A7175" s="51"/>
      <c r="B7175" s="52" t="str">
        <f t="shared" si="366"/>
        <v/>
      </c>
      <c r="C7175" t="str">
        <f t="shared" si="368"/>
        <v/>
      </c>
      <c r="D7175" s="245" t="str">
        <f t="shared" si="367"/>
        <v/>
      </c>
      <c r="E7175" s="534"/>
      <c r="F7175" s="534"/>
    </row>
    <row r="7176" spans="1:6" ht="15" customHeight="1">
      <c r="A7176" s="51"/>
      <c r="B7176" s="52" t="str">
        <f t="shared" ref="B7176:B7239" si="369">IF(A7176="","",TEXT(A7176,"DDDD"))</f>
        <v/>
      </c>
      <c r="C7176" t="str">
        <f t="shared" si="368"/>
        <v/>
      </c>
      <c r="D7176" s="245" t="str">
        <f t="shared" si="367"/>
        <v/>
      </c>
      <c r="E7176" s="534"/>
      <c r="F7176" s="534"/>
    </row>
    <row r="7177" spans="1:6" ht="15" customHeight="1">
      <c r="A7177" s="51"/>
      <c r="B7177" s="52" t="str">
        <f t="shared" si="369"/>
        <v/>
      </c>
      <c r="C7177" t="str">
        <f t="shared" si="368"/>
        <v/>
      </c>
      <c r="D7177" s="245" t="str">
        <f t="shared" ref="D7177:D7240" si="370">IF(A7177&lt;&gt;"",PROPER(TEXT(A7177,"Mmmm")),"")</f>
        <v/>
      </c>
      <c r="E7177" s="534"/>
      <c r="F7177" s="534"/>
    </row>
    <row r="7178" spans="1:6" ht="15" customHeight="1">
      <c r="A7178" s="51"/>
      <c r="B7178" s="52" t="str">
        <f t="shared" si="369"/>
        <v/>
      </c>
      <c r="C7178" t="str">
        <f t="shared" si="368"/>
        <v/>
      </c>
      <c r="D7178" s="245" t="str">
        <f t="shared" si="370"/>
        <v/>
      </c>
      <c r="E7178" s="534"/>
      <c r="F7178" s="534"/>
    </row>
    <row r="7179" spans="1:6" ht="15" customHeight="1">
      <c r="A7179" s="51"/>
      <c r="B7179" s="52" t="str">
        <f t="shared" si="369"/>
        <v/>
      </c>
      <c r="C7179" t="str">
        <f t="shared" si="368"/>
        <v/>
      </c>
      <c r="D7179" s="245" t="str">
        <f t="shared" si="370"/>
        <v/>
      </c>
      <c r="E7179" s="534"/>
      <c r="F7179" s="534"/>
    </row>
    <row r="7180" spans="1:6" ht="15" customHeight="1">
      <c r="A7180" s="51"/>
      <c r="B7180" s="52" t="str">
        <f t="shared" si="369"/>
        <v/>
      </c>
      <c r="C7180" t="str">
        <f t="shared" si="368"/>
        <v/>
      </c>
      <c r="D7180" s="245" t="str">
        <f t="shared" si="370"/>
        <v/>
      </c>
      <c r="E7180" s="534"/>
      <c r="F7180" s="534"/>
    </row>
    <row r="7181" spans="1:6" ht="15" customHeight="1">
      <c r="A7181" s="51"/>
      <c r="B7181" s="52" t="str">
        <f t="shared" si="369"/>
        <v/>
      </c>
      <c r="C7181" t="str">
        <f t="shared" si="368"/>
        <v/>
      </c>
      <c r="D7181" s="245" t="str">
        <f t="shared" si="370"/>
        <v/>
      </c>
      <c r="E7181" s="534"/>
      <c r="F7181" s="534"/>
    </row>
    <row r="7182" spans="1:6" ht="15" customHeight="1">
      <c r="A7182" s="51"/>
      <c r="B7182" s="52" t="str">
        <f t="shared" si="369"/>
        <v/>
      </c>
      <c r="C7182" t="str">
        <f t="shared" si="368"/>
        <v/>
      </c>
      <c r="D7182" s="245" t="str">
        <f t="shared" si="370"/>
        <v/>
      </c>
      <c r="E7182" s="534"/>
      <c r="F7182" s="534"/>
    </row>
    <row r="7183" spans="1:6" ht="15" customHeight="1">
      <c r="A7183" s="51"/>
      <c r="B7183" s="52" t="str">
        <f t="shared" si="369"/>
        <v/>
      </c>
      <c r="C7183" t="str">
        <f t="shared" si="368"/>
        <v/>
      </c>
      <c r="D7183" s="245" t="str">
        <f t="shared" si="370"/>
        <v/>
      </c>
      <c r="E7183" s="534"/>
      <c r="F7183" s="534"/>
    </row>
    <row r="7184" spans="1:6" ht="15" customHeight="1">
      <c r="A7184" s="51"/>
      <c r="B7184" s="52" t="str">
        <f t="shared" si="369"/>
        <v/>
      </c>
      <c r="C7184" t="str">
        <f t="shared" si="368"/>
        <v/>
      </c>
      <c r="D7184" s="245" t="str">
        <f t="shared" si="370"/>
        <v/>
      </c>
      <c r="E7184" s="534"/>
      <c r="F7184" s="534"/>
    </row>
    <row r="7185" spans="1:6" ht="15" customHeight="1">
      <c r="A7185" s="51"/>
      <c r="B7185" s="52" t="str">
        <f t="shared" si="369"/>
        <v/>
      </c>
      <c r="C7185" t="str">
        <f t="shared" si="368"/>
        <v/>
      </c>
      <c r="D7185" s="245" t="str">
        <f t="shared" si="370"/>
        <v/>
      </c>
      <c r="E7185" s="534"/>
      <c r="F7185" s="534"/>
    </row>
    <row r="7186" spans="1:6" ht="15" customHeight="1">
      <c r="A7186" s="51"/>
      <c r="B7186" s="52" t="str">
        <f t="shared" si="369"/>
        <v/>
      </c>
      <c r="C7186" t="str">
        <f t="shared" si="368"/>
        <v/>
      </c>
      <c r="D7186" s="245" t="str">
        <f t="shared" si="370"/>
        <v/>
      </c>
      <c r="E7186" s="534"/>
      <c r="F7186" s="534"/>
    </row>
    <row r="7187" spans="1:6" ht="15" customHeight="1">
      <c r="A7187" s="51"/>
      <c r="B7187" s="52" t="str">
        <f t="shared" si="369"/>
        <v/>
      </c>
      <c r="C7187" t="str">
        <f t="shared" si="368"/>
        <v/>
      </c>
      <c r="D7187" s="245" t="str">
        <f t="shared" si="370"/>
        <v/>
      </c>
      <c r="E7187" s="534"/>
      <c r="F7187" s="534"/>
    </row>
    <row r="7188" spans="1:6" ht="15" customHeight="1">
      <c r="A7188" s="51"/>
      <c r="B7188" s="52" t="str">
        <f t="shared" si="369"/>
        <v/>
      </c>
      <c r="C7188" t="str">
        <f t="shared" si="368"/>
        <v/>
      </c>
      <c r="D7188" s="245" t="str">
        <f t="shared" si="370"/>
        <v/>
      </c>
      <c r="E7188" s="534"/>
      <c r="F7188" s="534"/>
    </row>
    <row r="7189" spans="1:6" ht="15" customHeight="1">
      <c r="A7189" s="51"/>
      <c r="B7189" s="52" t="str">
        <f t="shared" si="369"/>
        <v/>
      </c>
      <c r="C7189" t="str">
        <f t="shared" si="368"/>
        <v/>
      </c>
      <c r="D7189" s="245" t="str">
        <f t="shared" si="370"/>
        <v/>
      </c>
      <c r="E7189" s="534"/>
      <c r="F7189" s="534"/>
    </row>
    <row r="7190" spans="1:6" ht="15" customHeight="1">
      <c r="A7190" s="51"/>
      <c r="B7190" s="52" t="str">
        <f t="shared" si="369"/>
        <v/>
      </c>
      <c r="C7190" t="str">
        <f t="shared" si="368"/>
        <v/>
      </c>
      <c r="D7190" s="245" t="str">
        <f t="shared" si="370"/>
        <v/>
      </c>
      <c r="E7190" s="534"/>
      <c r="F7190" s="534"/>
    </row>
    <row r="7191" spans="1:6" ht="15" customHeight="1">
      <c r="A7191" s="51"/>
      <c r="B7191" s="52" t="str">
        <f t="shared" si="369"/>
        <v/>
      </c>
      <c r="C7191" t="str">
        <f t="shared" si="368"/>
        <v/>
      </c>
      <c r="D7191" s="245" t="str">
        <f t="shared" si="370"/>
        <v/>
      </c>
      <c r="E7191" s="534"/>
      <c r="F7191" s="534"/>
    </row>
    <row r="7192" spans="1:6" ht="15" customHeight="1">
      <c r="A7192" s="51"/>
      <c r="B7192" s="52" t="str">
        <f t="shared" si="369"/>
        <v/>
      </c>
      <c r="C7192" t="str">
        <f t="shared" si="368"/>
        <v/>
      </c>
      <c r="D7192" s="245" t="str">
        <f t="shared" si="370"/>
        <v/>
      </c>
      <c r="E7192" s="534"/>
      <c r="F7192" s="534"/>
    </row>
    <row r="7193" spans="1:6" ht="15" customHeight="1">
      <c r="A7193" s="51"/>
      <c r="B7193" s="52" t="str">
        <f t="shared" si="369"/>
        <v/>
      </c>
      <c r="C7193" t="str">
        <f t="shared" si="368"/>
        <v/>
      </c>
      <c r="D7193" s="245" t="str">
        <f t="shared" si="370"/>
        <v/>
      </c>
      <c r="E7193" s="534"/>
      <c r="F7193" s="534"/>
    </row>
    <row r="7194" spans="1:6" ht="15" customHeight="1">
      <c r="A7194" s="51"/>
      <c r="B7194" s="52" t="str">
        <f t="shared" si="369"/>
        <v/>
      </c>
      <c r="C7194" t="str">
        <f t="shared" si="368"/>
        <v/>
      </c>
      <c r="D7194" s="245" t="str">
        <f t="shared" si="370"/>
        <v/>
      </c>
      <c r="E7194" s="534"/>
      <c r="F7194" s="534"/>
    </row>
    <row r="7195" spans="1:6" ht="15" customHeight="1">
      <c r="A7195" s="51"/>
      <c r="B7195" s="52" t="str">
        <f t="shared" si="369"/>
        <v/>
      </c>
      <c r="C7195" t="str">
        <f t="shared" si="368"/>
        <v/>
      </c>
      <c r="D7195" s="245" t="str">
        <f t="shared" si="370"/>
        <v/>
      </c>
      <c r="E7195" s="534"/>
      <c r="F7195" s="534"/>
    </row>
    <row r="7196" spans="1:6" ht="15" customHeight="1">
      <c r="A7196" s="51"/>
      <c r="B7196" s="52" t="str">
        <f t="shared" si="369"/>
        <v/>
      </c>
      <c r="C7196" t="str">
        <f t="shared" si="368"/>
        <v/>
      </c>
      <c r="D7196" s="245" t="str">
        <f t="shared" si="370"/>
        <v/>
      </c>
      <c r="E7196" s="534"/>
      <c r="F7196" s="534"/>
    </row>
    <row r="7197" spans="1:6" ht="15" customHeight="1">
      <c r="A7197" s="51"/>
      <c r="B7197" s="52" t="str">
        <f t="shared" si="369"/>
        <v/>
      </c>
      <c r="C7197" t="str">
        <f t="shared" si="368"/>
        <v/>
      </c>
      <c r="D7197" s="245" t="str">
        <f t="shared" si="370"/>
        <v/>
      </c>
      <c r="E7197" s="534"/>
      <c r="F7197" s="534"/>
    </row>
    <row r="7198" spans="1:6" ht="15" customHeight="1">
      <c r="A7198" s="51"/>
      <c r="B7198" s="52" t="str">
        <f t="shared" si="369"/>
        <v/>
      </c>
      <c r="C7198" t="str">
        <f t="shared" si="368"/>
        <v/>
      </c>
      <c r="D7198" s="245" t="str">
        <f t="shared" si="370"/>
        <v/>
      </c>
      <c r="E7198" s="534"/>
      <c r="F7198" s="534"/>
    </row>
    <row r="7199" spans="1:6" ht="15" customHeight="1">
      <c r="A7199" s="51"/>
      <c r="B7199" s="52" t="str">
        <f t="shared" si="369"/>
        <v/>
      </c>
      <c r="C7199" t="str">
        <f t="shared" si="368"/>
        <v/>
      </c>
      <c r="D7199" s="245" t="str">
        <f t="shared" si="370"/>
        <v/>
      </c>
      <c r="E7199" s="534"/>
      <c r="F7199" s="534"/>
    </row>
    <row r="7200" spans="1:6" ht="15" customHeight="1">
      <c r="A7200" s="51"/>
      <c r="B7200" s="52" t="str">
        <f t="shared" si="369"/>
        <v/>
      </c>
      <c r="C7200" t="str">
        <f t="shared" si="368"/>
        <v/>
      </c>
      <c r="D7200" s="245" t="str">
        <f t="shared" si="370"/>
        <v/>
      </c>
      <c r="E7200" s="534"/>
      <c r="F7200" s="534"/>
    </row>
    <row r="7201" spans="1:6" ht="15" customHeight="1">
      <c r="A7201" s="51"/>
      <c r="B7201" s="52" t="str">
        <f t="shared" si="369"/>
        <v/>
      </c>
      <c r="C7201" t="str">
        <f t="shared" si="368"/>
        <v/>
      </c>
      <c r="D7201" s="245" t="str">
        <f t="shared" si="370"/>
        <v/>
      </c>
      <c r="E7201" s="534"/>
      <c r="F7201" s="534"/>
    </row>
    <row r="7202" spans="1:6" ht="15" customHeight="1">
      <c r="A7202" s="51"/>
      <c r="B7202" s="52" t="str">
        <f t="shared" si="369"/>
        <v/>
      </c>
      <c r="C7202" t="str">
        <f t="shared" si="368"/>
        <v/>
      </c>
      <c r="D7202" s="245" t="str">
        <f t="shared" si="370"/>
        <v/>
      </c>
      <c r="E7202" s="534"/>
      <c r="F7202" s="534"/>
    </row>
    <row r="7203" spans="1:6" ht="15" customHeight="1">
      <c r="A7203" s="51"/>
      <c r="B7203" s="52" t="str">
        <f t="shared" si="369"/>
        <v/>
      </c>
      <c r="C7203" t="str">
        <f t="shared" si="368"/>
        <v/>
      </c>
      <c r="D7203" s="245" t="str">
        <f t="shared" si="370"/>
        <v/>
      </c>
      <c r="E7203" s="534"/>
      <c r="F7203" s="534"/>
    </row>
    <row r="7204" spans="1:6" ht="15" customHeight="1">
      <c r="A7204" s="51"/>
      <c r="B7204" s="52" t="str">
        <f t="shared" si="369"/>
        <v/>
      </c>
      <c r="C7204" t="str">
        <f t="shared" si="368"/>
        <v/>
      </c>
      <c r="D7204" s="245" t="str">
        <f t="shared" si="370"/>
        <v/>
      </c>
      <c r="E7204" s="534"/>
      <c r="F7204" s="534"/>
    </row>
    <row r="7205" spans="1:6" ht="15" customHeight="1">
      <c r="A7205" s="51"/>
      <c r="B7205" s="52" t="str">
        <f t="shared" si="369"/>
        <v/>
      </c>
      <c r="C7205" t="str">
        <f t="shared" si="368"/>
        <v/>
      </c>
      <c r="D7205" s="245" t="str">
        <f t="shared" si="370"/>
        <v/>
      </c>
      <c r="E7205" s="534"/>
      <c r="F7205" s="534"/>
    </row>
    <row r="7206" spans="1:6" ht="15" customHeight="1">
      <c r="A7206" s="51"/>
      <c r="B7206" s="52" t="str">
        <f t="shared" si="369"/>
        <v/>
      </c>
      <c r="C7206" t="str">
        <f t="shared" si="368"/>
        <v/>
      </c>
      <c r="D7206" s="245" t="str">
        <f t="shared" si="370"/>
        <v/>
      </c>
      <c r="E7206" s="534"/>
      <c r="F7206" s="534"/>
    </row>
    <row r="7207" spans="1:6" ht="15" customHeight="1">
      <c r="A7207" s="51"/>
      <c r="B7207" s="52" t="str">
        <f t="shared" si="369"/>
        <v/>
      </c>
      <c r="C7207" t="str">
        <f t="shared" si="368"/>
        <v/>
      </c>
      <c r="D7207" s="245" t="str">
        <f t="shared" si="370"/>
        <v/>
      </c>
      <c r="E7207" s="534"/>
      <c r="F7207" s="534"/>
    </row>
    <row r="7208" spans="1:6" ht="15" customHeight="1">
      <c r="A7208" s="51"/>
      <c r="B7208" s="52" t="str">
        <f t="shared" si="369"/>
        <v/>
      </c>
      <c r="C7208" t="str">
        <f t="shared" si="368"/>
        <v/>
      </c>
      <c r="D7208" s="245" t="str">
        <f t="shared" si="370"/>
        <v/>
      </c>
      <c r="E7208" s="534"/>
      <c r="F7208" s="534"/>
    </row>
    <row r="7209" spans="1:6" ht="15" customHeight="1">
      <c r="A7209" s="51"/>
      <c r="B7209" s="52" t="str">
        <f t="shared" si="369"/>
        <v/>
      </c>
      <c r="C7209" t="str">
        <f t="shared" si="368"/>
        <v/>
      </c>
      <c r="D7209" s="245" t="str">
        <f t="shared" si="370"/>
        <v/>
      </c>
      <c r="E7209" s="534"/>
      <c r="F7209" s="534"/>
    </row>
    <row r="7210" spans="1:6" ht="15" customHeight="1">
      <c r="A7210" s="51"/>
      <c r="B7210" s="52" t="str">
        <f t="shared" si="369"/>
        <v/>
      </c>
      <c r="C7210" t="str">
        <f t="shared" si="368"/>
        <v/>
      </c>
      <c r="D7210" s="245" t="str">
        <f t="shared" si="370"/>
        <v/>
      </c>
      <c r="E7210" s="534"/>
      <c r="F7210" s="534"/>
    </row>
    <row r="7211" spans="1:6" ht="15" customHeight="1">
      <c r="A7211" s="51"/>
      <c r="B7211" s="52" t="str">
        <f t="shared" si="369"/>
        <v/>
      </c>
      <c r="C7211" t="str">
        <f t="shared" si="368"/>
        <v/>
      </c>
      <c r="D7211" s="245" t="str">
        <f t="shared" si="370"/>
        <v/>
      </c>
      <c r="E7211" s="534"/>
      <c r="F7211" s="534"/>
    </row>
    <row r="7212" spans="1:6" ht="15" customHeight="1">
      <c r="A7212" s="51"/>
      <c r="B7212" s="52" t="str">
        <f t="shared" si="369"/>
        <v/>
      </c>
      <c r="C7212" t="str">
        <f t="shared" si="368"/>
        <v/>
      </c>
      <c r="D7212" s="245" t="str">
        <f t="shared" si="370"/>
        <v/>
      </c>
      <c r="E7212" s="534"/>
      <c r="F7212" s="534"/>
    </row>
    <row r="7213" spans="1:6" ht="15" customHeight="1">
      <c r="A7213" s="51"/>
      <c r="B7213" s="52" t="str">
        <f t="shared" si="369"/>
        <v/>
      </c>
      <c r="C7213" t="str">
        <f t="shared" si="368"/>
        <v/>
      </c>
      <c r="D7213" s="245" t="str">
        <f t="shared" si="370"/>
        <v/>
      </c>
      <c r="E7213" s="534"/>
      <c r="F7213" s="534"/>
    </row>
    <row r="7214" spans="1:6" ht="15" customHeight="1">
      <c r="A7214" s="51"/>
      <c r="B7214" s="52" t="str">
        <f t="shared" si="369"/>
        <v/>
      </c>
      <c r="C7214" t="str">
        <f t="shared" si="368"/>
        <v/>
      </c>
      <c r="D7214" s="245" t="str">
        <f t="shared" si="370"/>
        <v/>
      </c>
      <c r="E7214" s="534"/>
      <c r="F7214" s="534"/>
    </row>
    <row r="7215" spans="1:6" ht="15" customHeight="1">
      <c r="A7215" s="51"/>
      <c r="B7215" s="52" t="str">
        <f t="shared" si="369"/>
        <v/>
      </c>
      <c r="C7215" t="str">
        <f t="shared" si="368"/>
        <v/>
      </c>
      <c r="D7215" s="245" t="str">
        <f t="shared" si="370"/>
        <v/>
      </c>
      <c r="E7215" s="534"/>
      <c r="F7215" s="534"/>
    </row>
    <row r="7216" spans="1:6" ht="15" customHeight="1">
      <c r="A7216" s="51"/>
      <c r="B7216" s="52" t="str">
        <f t="shared" si="369"/>
        <v/>
      </c>
      <c r="C7216" t="str">
        <f t="shared" si="368"/>
        <v/>
      </c>
      <c r="D7216" s="245" t="str">
        <f t="shared" si="370"/>
        <v/>
      </c>
      <c r="E7216" s="534"/>
      <c r="F7216" s="534"/>
    </row>
    <row r="7217" spans="1:6" ht="15" customHeight="1">
      <c r="A7217" s="51"/>
      <c r="B7217" s="52" t="str">
        <f t="shared" si="369"/>
        <v/>
      </c>
      <c r="C7217" t="str">
        <f t="shared" si="368"/>
        <v/>
      </c>
      <c r="D7217" s="245" t="str">
        <f t="shared" si="370"/>
        <v/>
      </c>
      <c r="E7217" s="534"/>
      <c r="F7217" s="534"/>
    </row>
    <row r="7218" spans="1:6" ht="15" customHeight="1">
      <c r="A7218" s="51"/>
      <c r="B7218" s="52" t="str">
        <f t="shared" si="369"/>
        <v/>
      </c>
      <c r="C7218" t="str">
        <f t="shared" si="368"/>
        <v/>
      </c>
      <c r="D7218" s="245" t="str">
        <f t="shared" si="370"/>
        <v/>
      </c>
      <c r="E7218" s="534"/>
      <c r="F7218" s="534"/>
    </row>
    <row r="7219" spans="1:6" ht="15" customHeight="1">
      <c r="A7219" s="51"/>
      <c r="B7219" s="52" t="str">
        <f t="shared" si="369"/>
        <v/>
      </c>
      <c r="C7219" t="str">
        <f t="shared" si="368"/>
        <v/>
      </c>
      <c r="D7219" s="245" t="str">
        <f t="shared" si="370"/>
        <v/>
      </c>
      <c r="E7219" s="534"/>
      <c r="F7219" s="534"/>
    </row>
    <row r="7220" spans="1:6" ht="15" customHeight="1">
      <c r="A7220" s="51"/>
      <c r="B7220" s="52" t="str">
        <f t="shared" si="369"/>
        <v/>
      </c>
      <c r="C7220" t="str">
        <f t="shared" si="368"/>
        <v/>
      </c>
      <c r="D7220" s="245" t="str">
        <f t="shared" si="370"/>
        <v/>
      </c>
      <c r="E7220" s="534"/>
      <c r="F7220" s="534"/>
    </row>
    <row r="7221" spans="1:6" ht="15" customHeight="1">
      <c r="A7221" s="51"/>
      <c r="B7221" s="52" t="str">
        <f t="shared" si="369"/>
        <v/>
      </c>
      <c r="C7221" t="str">
        <f t="shared" si="368"/>
        <v/>
      </c>
      <c r="D7221" s="245" t="str">
        <f t="shared" si="370"/>
        <v/>
      </c>
      <c r="E7221" s="534"/>
      <c r="F7221" s="534"/>
    </row>
    <row r="7222" spans="1:6" ht="15" customHeight="1">
      <c r="A7222" s="51"/>
      <c r="B7222" s="52" t="str">
        <f t="shared" si="369"/>
        <v/>
      </c>
      <c r="C7222" t="str">
        <f t="shared" si="368"/>
        <v/>
      </c>
      <c r="D7222" s="245" t="str">
        <f t="shared" si="370"/>
        <v/>
      </c>
      <c r="E7222" s="534"/>
      <c r="F7222" s="534"/>
    </row>
    <row r="7223" spans="1:6" ht="15" customHeight="1">
      <c r="A7223" s="51"/>
      <c r="B7223" s="52" t="str">
        <f t="shared" si="369"/>
        <v/>
      </c>
      <c r="C7223" t="str">
        <f t="shared" si="368"/>
        <v/>
      </c>
      <c r="D7223" s="245" t="str">
        <f t="shared" si="370"/>
        <v/>
      </c>
      <c r="E7223" s="534"/>
      <c r="F7223" s="534"/>
    </row>
    <row r="7224" spans="1:6" ht="15" customHeight="1">
      <c r="A7224" s="51"/>
      <c r="B7224" s="52" t="str">
        <f t="shared" si="369"/>
        <v/>
      </c>
      <c r="C7224" t="str">
        <f t="shared" si="368"/>
        <v/>
      </c>
      <c r="D7224" s="245" t="str">
        <f t="shared" si="370"/>
        <v/>
      </c>
      <c r="E7224" s="534"/>
      <c r="F7224" s="534"/>
    </row>
    <row r="7225" spans="1:6" ht="15" customHeight="1">
      <c r="A7225" s="51"/>
      <c r="B7225" s="52" t="str">
        <f t="shared" si="369"/>
        <v/>
      </c>
      <c r="C7225" t="str">
        <f t="shared" si="368"/>
        <v/>
      </c>
      <c r="D7225" s="245" t="str">
        <f t="shared" si="370"/>
        <v/>
      </c>
      <c r="E7225" s="534"/>
      <c r="F7225" s="534"/>
    </row>
    <row r="7226" spans="1:6" ht="15" customHeight="1">
      <c r="A7226" s="51"/>
      <c r="B7226" s="52" t="str">
        <f t="shared" si="369"/>
        <v/>
      </c>
      <c r="C7226" t="str">
        <f t="shared" si="368"/>
        <v/>
      </c>
      <c r="D7226" s="245" t="str">
        <f t="shared" si="370"/>
        <v/>
      </c>
      <c r="E7226" s="534"/>
      <c r="F7226" s="534"/>
    </row>
    <row r="7227" spans="1:6" ht="15" customHeight="1">
      <c r="A7227" s="51"/>
      <c r="B7227" s="52" t="str">
        <f t="shared" si="369"/>
        <v/>
      </c>
      <c r="C7227" t="str">
        <f t="shared" si="368"/>
        <v/>
      </c>
      <c r="D7227" s="245" t="str">
        <f t="shared" si="370"/>
        <v/>
      </c>
      <c r="E7227" s="534"/>
      <c r="F7227" s="534"/>
    </row>
    <row r="7228" spans="1:6" ht="15" customHeight="1">
      <c r="A7228" s="51"/>
      <c r="B7228" s="52" t="str">
        <f t="shared" si="369"/>
        <v/>
      </c>
      <c r="C7228" t="str">
        <f t="shared" si="368"/>
        <v/>
      </c>
      <c r="D7228" s="245" t="str">
        <f t="shared" si="370"/>
        <v/>
      </c>
      <c r="E7228" s="534"/>
      <c r="F7228" s="534"/>
    </row>
    <row r="7229" spans="1:6" ht="15" customHeight="1">
      <c r="A7229" s="51"/>
      <c r="B7229" s="52" t="str">
        <f t="shared" si="369"/>
        <v/>
      </c>
      <c r="C7229" t="str">
        <f t="shared" si="368"/>
        <v/>
      </c>
      <c r="D7229" s="245" t="str">
        <f t="shared" si="370"/>
        <v/>
      </c>
      <c r="E7229" s="534"/>
      <c r="F7229" s="534"/>
    </row>
    <row r="7230" spans="1:6" ht="15" customHeight="1">
      <c r="A7230" s="51"/>
      <c r="B7230" s="52" t="str">
        <f t="shared" si="369"/>
        <v/>
      </c>
      <c r="C7230" t="str">
        <f t="shared" si="368"/>
        <v/>
      </c>
      <c r="D7230" s="245" t="str">
        <f t="shared" si="370"/>
        <v/>
      </c>
      <c r="E7230" s="534"/>
      <c r="F7230" s="534"/>
    </row>
    <row r="7231" spans="1:6" ht="15" customHeight="1">
      <c r="A7231" s="51"/>
      <c r="B7231" s="52" t="str">
        <f t="shared" si="369"/>
        <v/>
      </c>
      <c r="C7231" t="str">
        <f t="shared" si="368"/>
        <v/>
      </c>
      <c r="D7231" s="245" t="str">
        <f t="shared" si="370"/>
        <v/>
      </c>
      <c r="E7231" s="534"/>
      <c r="F7231" s="534"/>
    </row>
    <row r="7232" spans="1:6" ht="15" customHeight="1">
      <c r="A7232" s="51"/>
      <c r="B7232" s="52" t="str">
        <f t="shared" si="369"/>
        <v/>
      </c>
      <c r="C7232" t="str">
        <f t="shared" si="368"/>
        <v/>
      </c>
      <c r="D7232" s="245" t="str">
        <f t="shared" si="370"/>
        <v/>
      </c>
      <c r="E7232" s="534"/>
      <c r="F7232" s="534"/>
    </row>
    <row r="7233" spans="1:6" ht="15" customHeight="1">
      <c r="A7233" s="51"/>
      <c r="B7233" s="52" t="str">
        <f t="shared" si="369"/>
        <v/>
      </c>
      <c r="C7233" t="str">
        <f t="shared" si="368"/>
        <v/>
      </c>
      <c r="D7233" s="245" t="str">
        <f t="shared" si="370"/>
        <v/>
      </c>
      <c r="E7233" s="534"/>
      <c r="F7233" s="534"/>
    </row>
    <row r="7234" spans="1:6" ht="15" customHeight="1">
      <c r="A7234" s="51"/>
      <c r="B7234" s="52" t="str">
        <f t="shared" si="369"/>
        <v/>
      </c>
      <c r="C7234" t="str">
        <f t="shared" ref="C7234:C7297" si="371">IF(A7234&lt;&gt;"",TEXT(A7234,"aaaa"),"")</f>
        <v/>
      </c>
      <c r="D7234" s="245" t="str">
        <f t="shared" si="370"/>
        <v/>
      </c>
      <c r="E7234" s="534"/>
      <c r="F7234" s="534"/>
    </row>
    <row r="7235" spans="1:6" ht="15" customHeight="1">
      <c r="A7235" s="51"/>
      <c r="B7235" s="52" t="str">
        <f t="shared" si="369"/>
        <v/>
      </c>
      <c r="C7235" t="str">
        <f t="shared" si="371"/>
        <v/>
      </c>
      <c r="D7235" s="245" t="str">
        <f t="shared" si="370"/>
        <v/>
      </c>
      <c r="E7235" s="534"/>
      <c r="F7235" s="534"/>
    </row>
    <row r="7236" spans="1:6" ht="15" customHeight="1">
      <c r="A7236" s="51"/>
      <c r="B7236" s="52" t="str">
        <f t="shared" si="369"/>
        <v/>
      </c>
      <c r="C7236" t="str">
        <f t="shared" si="371"/>
        <v/>
      </c>
      <c r="D7236" s="245" t="str">
        <f t="shared" si="370"/>
        <v/>
      </c>
      <c r="E7236" s="534"/>
      <c r="F7236" s="534"/>
    </row>
    <row r="7237" spans="1:6" ht="15" customHeight="1">
      <c r="A7237" s="51"/>
      <c r="B7237" s="52" t="str">
        <f t="shared" si="369"/>
        <v/>
      </c>
      <c r="C7237" t="str">
        <f t="shared" si="371"/>
        <v/>
      </c>
      <c r="D7237" s="245" t="str">
        <f t="shared" si="370"/>
        <v/>
      </c>
      <c r="E7237" s="534"/>
      <c r="F7237" s="534"/>
    </row>
    <row r="7238" spans="1:6" ht="15" customHeight="1">
      <c r="A7238" s="51"/>
      <c r="B7238" s="52" t="str">
        <f t="shared" si="369"/>
        <v/>
      </c>
      <c r="C7238" t="str">
        <f t="shared" si="371"/>
        <v/>
      </c>
      <c r="D7238" s="245" t="str">
        <f t="shared" si="370"/>
        <v/>
      </c>
      <c r="E7238" s="534"/>
      <c r="F7238" s="534"/>
    </row>
    <row r="7239" spans="1:6" ht="15" customHeight="1">
      <c r="A7239" s="51"/>
      <c r="B7239" s="52" t="str">
        <f t="shared" si="369"/>
        <v/>
      </c>
      <c r="C7239" t="str">
        <f t="shared" si="371"/>
        <v/>
      </c>
      <c r="D7239" s="245" t="str">
        <f t="shared" si="370"/>
        <v/>
      </c>
      <c r="E7239" s="534"/>
      <c r="F7239" s="534"/>
    </row>
    <row r="7240" spans="1:6" ht="15" customHeight="1">
      <c r="A7240" s="51"/>
      <c r="B7240" s="52" t="str">
        <f t="shared" ref="B7240:B7303" si="372">IF(A7240="","",TEXT(A7240,"DDDD"))</f>
        <v/>
      </c>
      <c r="C7240" t="str">
        <f t="shared" si="371"/>
        <v/>
      </c>
      <c r="D7240" s="245" t="str">
        <f t="shared" si="370"/>
        <v/>
      </c>
      <c r="E7240" s="534"/>
      <c r="F7240" s="534"/>
    </row>
    <row r="7241" spans="1:6" ht="15" customHeight="1">
      <c r="A7241" s="51"/>
      <c r="B7241" s="52" t="str">
        <f t="shared" si="372"/>
        <v/>
      </c>
      <c r="C7241" t="str">
        <f t="shared" si="371"/>
        <v/>
      </c>
      <c r="D7241" s="245" t="str">
        <f t="shared" ref="D7241:D7304" si="373">IF(A7241&lt;&gt;"",PROPER(TEXT(A7241,"Mmmm")),"")</f>
        <v/>
      </c>
      <c r="E7241" s="534"/>
      <c r="F7241" s="534"/>
    </row>
    <row r="7242" spans="1:6" ht="15" customHeight="1">
      <c r="A7242" s="51"/>
      <c r="B7242" s="52" t="str">
        <f t="shared" si="372"/>
        <v/>
      </c>
      <c r="C7242" t="str">
        <f t="shared" si="371"/>
        <v/>
      </c>
      <c r="D7242" s="245" t="str">
        <f t="shared" si="373"/>
        <v/>
      </c>
      <c r="E7242" s="534"/>
      <c r="F7242" s="534"/>
    </row>
    <row r="7243" spans="1:6" ht="15" customHeight="1">
      <c r="A7243" s="51"/>
      <c r="B7243" s="52" t="str">
        <f t="shared" si="372"/>
        <v/>
      </c>
      <c r="C7243" t="str">
        <f t="shared" si="371"/>
        <v/>
      </c>
      <c r="D7243" s="245" t="str">
        <f t="shared" si="373"/>
        <v/>
      </c>
      <c r="E7243" s="534"/>
      <c r="F7243" s="534"/>
    </row>
    <row r="7244" spans="1:6" ht="15" customHeight="1">
      <c r="A7244" s="51"/>
      <c r="B7244" s="52" t="str">
        <f t="shared" si="372"/>
        <v/>
      </c>
      <c r="C7244" t="str">
        <f t="shared" si="371"/>
        <v/>
      </c>
      <c r="D7244" s="245" t="str">
        <f t="shared" si="373"/>
        <v/>
      </c>
      <c r="E7244" s="534"/>
      <c r="F7244" s="534"/>
    </row>
    <row r="7245" spans="1:6" ht="15" customHeight="1">
      <c r="A7245" s="51"/>
      <c r="B7245" s="52" t="str">
        <f t="shared" si="372"/>
        <v/>
      </c>
      <c r="C7245" t="str">
        <f t="shared" si="371"/>
        <v/>
      </c>
      <c r="D7245" s="245" t="str">
        <f t="shared" si="373"/>
        <v/>
      </c>
      <c r="E7245" s="534"/>
      <c r="F7245" s="534"/>
    </row>
    <row r="7246" spans="1:6" ht="15" customHeight="1">
      <c r="A7246" s="51"/>
      <c r="B7246" s="52" t="str">
        <f t="shared" si="372"/>
        <v/>
      </c>
      <c r="C7246" t="str">
        <f t="shared" si="371"/>
        <v/>
      </c>
      <c r="D7246" s="245" t="str">
        <f t="shared" si="373"/>
        <v/>
      </c>
      <c r="E7246" s="534"/>
      <c r="F7246" s="534"/>
    </row>
    <row r="7247" spans="1:6" ht="15" customHeight="1">
      <c r="A7247" s="51"/>
      <c r="B7247" s="52" t="str">
        <f t="shared" si="372"/>
        <v/>
      </c>
      <c r="C7247" t="str">
        <f t="shared" si="371"/>
        <v/>
      </c>
      <c r="D7247" s="245" t="str">
        <f t="shared" si="373"/>
        <v/>
      </c>
      <c r="E7247" s="534"/>
      <c r="F7247" s="534"/>
    </row>
    <row r="7248" spans="1:6" ht="15" customHeight="1">
      <c r="A7248" s="51"/>
      <c r="B7248" s="52" t="str">
        <f t="shared" si="372"/>
        <v/>
      </c>
      <c r="C7248" t="str">
        <f t="shared" si="371"/>
        <v/>
      </c>
      <c r="D7248" s="245" t="str">
        <f t="shared" si="373"/>
        <v/>
      </c>
      <c r="E7248" s="534"/>
      <c r="F7248" s="534"/>
    </row>
    <row r="7249" spans="1:6" ht="15" customHeight="1">
      <c r="A7249" s="51"/>
      <c r="B7249" s="52" t="str">
        <f t="shared" si="372"/>
        <v/>
      </c>
      <c r="C7249" t="str">
        <f t="shared" si="371"/>
        <v/>
      </c>
      <c r="D7249" s="245" t="str">
        <f t="shared" si="373"/>
        <v/>
      </c>
      <c r="E7249" s="534"/>
      <c r="F7249" s="534"/>
    </row>
    <row r="7250" spans="1:6" ht="15" customHeight="1">
      <c r="A7250" s="51"/>
      <c r="B7250" s="52" t="str">
        <f t="shared" si="372"/>
        <v/>
      </c>
      <c r="C7250" t="str">
        <f t="shared" si="371"/>
        <v/>
      </c>
      <c r="D7250" s="245" t="str">
        <f t="shared" si="373"/>
        <v/>
      </c>
      <c r="E7250" s="534"/>
      <c r="F7250" s="534"/>
    </row>
    <row r="7251" spans="1:6" ht="15" customHeight="1">
      <c r="A7251" s="51"/>
      <c r="B7251" s="52" t="str">
        <f t="shared" si="372"/>
        <v/>
      </c>
      <c r="C7251" t="str">
        <f t="shared" si="371"/>
        <v/>
      </c>
      <c r="D7251" s="245" t="str">
        <f t="shared" si="373"/>
        <v/>
      </c>
      <c r="E7251" s="534"/>
      <c r="F7251" s="534"/>
    </row>
    <row r="7252" spans="1:6" ht="15" customHeight="1">
      <c r="A7252" s="51"/>
      <c r="B7252" s="52" t="str">
        <f t="shared" si="372"/>
        <v/>
      </c>
      <c r="C7252" t="str">
        <f t="shared" si="371"/>
        <v/>
      </c>
      <c r="D7252" s="245" t="str">
        <f t="shared" si="373"/>
        <v/>
      </c>
      <c r="E7252" s="534"/>
      <c r="F7252" s="534"/>
    </row>
    <row r="7253" spans="1:6" ht="15" customHeight="1">
      <c r="A7253" s="51"/>
      <c r="B7253" s="52" t="str">
        <f t="shared" si="372"/>
        <v/>
      </c>
      <c r="C7253" t="str">
        <f t="shared" si="371"/>
        <v/>
      </c>
      <c r="D7253" s="245" t="str">
        <f t="shared" si="373"/>
        <v/>
      </c>
      <c r="E7253" s="534"/>
      <c r="F7253" s="534"/>
    </row>
    <row r="7254" spans="1:6" ht="15" customHeight="1">
      <c r="A7254" s="51"/>
      <c r="B7254" s="52" t="str">
        <f t="shared" si="372"/>
        <v/>
      </c>
      <c r="C7254" t="str">
        <f t="shared" si="371"/>
        <v/>
      </c>
      <c r="D7254" s="245" t="str">
        <f t="shared" si="373"/>
        <v/>
      </c>
      <c r="E7254" s="534"/>
      <c r="F7254" s="534"/>
    </row>
    <row r="7255" spans="1:6" ht="15" customHeight="1">
      <c r="A7255" s="51"/>
      <c r="B7255" s="52" t="str">
        <f t="shared" si="372"/>
        <v/>
      </c>
      <c r="C7255" t="str">
        <f t="shared" si="371"/>
        <v/>
      </c>
      <c r="D7255" s="245" t="str">
        <f t="shared" si="373"/>
        <v/>
      </c>
      <c r="E7255" s="534"/>
      <c r="F7255" s="534"/>
    </row>
    <row r="7256" spans="1:6" ht="15" customHeight="1">
      <c r="A7256" s="51"/>
      <c r="B7256" s="52" t="str">
        <f t="shared" si="372"/>
        <v/>
      </c>
      <c r="C7256" t="str">
        <f t="shared" si="371"/>
        <v/>
      </c>
      <c r="D7256" s="245" t="str">
        <f t="shared" si="373"/>
        <v/>
      </c>
      <c r="E7256" s="534"/>
      <c r="F7256" s="534"/>
    </row>
    <row r="7257" spans="1:6" ht="15" customHeight="1">
      <c r="A7257" s="51"/>
      <c r="B7257" s="52" t="str">
        <f t="shared" si="372"/>
        <v/>
      </c>
      <c r="C7257" t="str">
        <f t="shared" si="371"/>
        <v/>
      </c>
      <c r="D7257" s="245" t="str">
        <f t="shared" si="373"/>
        <v/>
      </c>
      <c r="E7257" s="534"/>
      <c r="F7257" s="534"/>
    </row>
    <row r="7258" spans="1:6" ht="15" customHeight="1">
      <c r="A7258" s="51"/>
      <c r="B7258" s="52" t="str">
        <f t="shared" si="372"/>
        <v/>
      </c>
      <c r="C7258" t="str">
        <f t="shared" si="371"/>
        <v/>
      </c>
      <c r="D7258" s="245" t="str">
        <f t="shared" si="373"/>
        <v/>
      </c>
      <c r="E7258" s="534"/>
      <c r="F7258" s="534"/>
    </row>
    <row r="7259" spans="1:6" ht="15" customHeight="1">
      <c r="A7259" s="51"/>
      <c r="B7259" s="52" t="str">
        <f t="shared" si="372"/>
        <v/>
      </c>
      <c r="C7259" t="str">
        <f t="shared" si="371"/>
        <v/>
      </c>
      <c r="D7259" s="245" t="str">
        <f t="shared" si="373"/>
        <v/>
      </c>
      <c r="E7259" s="534"/>
      <c r="F7259" s="534"/>
    </row>
    <row r="7260" spans="1:6" ht="15" customHeight="1">
      <c r="A7260" s="51"/>
      <c r="B7260" s="52" t="str">
        <f t="shared" si="372"/>
        <v/>
      </c>
      <c r="C7260" t="str">
        <f t="shared" si="371"/>
        <v/>
      </c>
      <c r="D7260" s="245" t="str">
        <f t="shared" si="373"/>
        <v/>
      </c>
      <c r="E7260" s="534"/>
      <c r="F7260" s="534"/>
    </row>
    <row r="7261" spans="1:6" ht="15" customHeight="1">
      <c r="A7261" s="51"/>
      <c r="B7261" s="52" t="str">
        <f t="shared" si="372"/>
        <v/>
      </c>
      <c r="C7261" t="str">
        <f t="shared" si="371"/>
        <v/>
      </c>
      <c r="D7261" s="245" t="str">
        <f t="shared" si="373"/>
        <v/>
      </c>
      <c r="E7261" s="534"/>
      <c r="F7261" s="534"/>
    </row>
    <row r="7262" spans="1:6" ht="15" customHeight="1">
      <c r="A7262" s="51"/>
      <c r="B7262" s="52" t="str">
        <f t="shared" si="372"/>
        <v/>
      </c>
      <c r="C7262" t="str">
        <f t="shared" si="371"/>
        <v/>
      </c>
      <c r="D7262" s="245" t="str">
        <f t="shared" si="373"/>
        <v/>
      </c>
      <c r="E7262" s="534"/>
      <c r="F7262" s="534"/>
    </row>
    <row r="7263" spans="1:6" ht="15" customHeight="1">
      <c r="A7263" s="51"/>
      <c r="B7263" s="52" t="str">
        <f t="shared" si="372"/>
        <v/>
      </c>
      <c r="C7263" t="str">
        <f t="shared" si="371"/>
        <v/>
      </c>
      <c r="D7263" s="245" t="str">
        <f t="shared" si="373"/>
        <v/>
      </c>
      <c r="E7263" s="534"/>
      <c r="F7263" s="534"/>
    </row>
    <row r="7264" spans="1:6" ht="15" customHeight="1">
      <c r="A7264" s="51"/>
      <c r="B7264" s="52" t="str">
        <f t="shared" si="372"/>
        <v/>
      </c>
      <c r="C7264" t="str">
        <f t="shared" si="371"/>
        <v/>
      </c>
      <c r="D7264" s="245" t="str">
        <f t="shared" si="373"/>
        <v/>
      </c>
      <c r="E7264" s="534"/>
      <c r="F7264" s="534"/>
    </row>
    <row r="7265" spans="1:6" ht="15" customHeight="1">
      <c r="A7265" s="51"/>
      <c r="B7265" s="52" t="str">
        <f t="shared" si="372"/>
        <v/>
      </c>
      <c r="C7265" t="str">
        <f t="shared" si="371"/>
        <v/>
      </c>
      <c r="D7265" s="245" t="str">
        <f t="shared" si="373"/>
        <v/>
      </c>
      <c r="E7265" s="534"/>
      <c r="F7265" s="534"/>
    </row>
    <row r="7266" spans="1:6" ht="15" customHeight="1">
      <c r="A7266" s="51"/>
      <c r="B7266" s="52" t="str">
        <f t="shared" si="372"/>
        <v/>
      </c>
      <c r="C7266" t="str">
        <f t="shared" si="371"/>
        <v/>
      </c>
      <c r="D7266" s="245" t="str">
        <f t="shared" si="373"/>
        <v/>
      </c>
      <c r="E7266" s="534"/>
      <c r="F7266" s="534"/>
    </row>
    <row r="7267" spans="1:6" ht="15" customHeight="1">
      <c r="A7267" s="51"/>
      <c r="B7267" s="52" t="str">
        <f t="shared" si="372"/>
        <v/>
      </c>
      <c r="C7267" t="str">
        <f t="shared" si="371"/>
        <v/>
      </c>
      <c r="D7267" s="245" t="str">
        <f t="shared" si="373"/>
        <v/>
      </c>
      <c r="E7267" s="534"/>
      <c r="F7267" s="534"/>
    </row>
    <row r="7268" spans="1:6" ht="15" customHeight="1">
      <c r="A7268" s="51"/>
      <c r="B7268" s="52" t="str">
        <f t="shared" si="372"/>
        <v/>
      </c>
      <c r="C7268" t="str">
        <f t="shared" si="371"/>
        <v/>
      </c>
      <c r="D7268" s="245" t="str">
        <f t="shared" si="373"/>
        <v/>
      </c>
      <c r="E7268" s="534"/>
      <c r="F7268" s="534"/>
    </row>
    <row r="7269" spans="1:6" ht="15" customHeight="1">
      <c r="A7269" s="51"/>
      <c r="B7269" s="52" t="str">
        <f t="shared" si="372"/>
        <v/>
      </c>
      <c r="C7269" t="str">
        <f t="shared" si="371"/>
        <v/>
      </c>
      <c r="D7269" s="245" t="str">
        <f t="shared" si="373"/>
        <v/>
      </c>
      <c r="E7269" s="534"/>
      <c r="F7269" s="534"/>
    </row>
    <row r="7270" spans="1:6" ht="15" customHeight="1">
      <c r="A7270" s="51"/>
      <c r="B7270" s="52" t="str">
        <f t="shared" si="372"/>
        <v/>
      </c>
      <c r="C7270" t="str">
        <f t="shared" si="371"/>
        <v/>
      </c>
      <c r="D7270" s="245" t="str">
        <f t="shared" si="373"/>
        <v/>
      </c>
      <c r="E7270" s="534"/>
      <c r="F7270" s="534"/>
    </row>
    <row r="7271" spans="1:6" ht="15" customHeight="1">
      <c r="A7271" s="51"/>
      <c r="B7271" s="52" t="str">
        <f t="shared" si="372"/>
        <v/>
      </c>
      <c r="C7271" t="str">
        <f t="shared" si="371"/>
        <v/>
      </c>
      <c r="D7271" s="245" t="str">
        <f t="shared" si="373"/>
        <v/>
      </c>
      <c r="E7271" s="534"/>
      <c r="F7271" s="534"/>
    </row>
    <row r="7272" spans="1:6" ht="15" customHeight="1">
      <c r="A7272" s="51"/>
      <c r="B7272" s="52" t="str">
        <f t="shared" si="372"/>
        <v/>
      </c>
      <c r="C7272" t="str">
        <f t="shared" si="371"/>
        <v/>
      </c>
      <c r="D7272" s="245" t="str">
        <f t="shared" si="373"/>
        <v/>
      </c>
      <c r="E7272" s="534"/>
      <c r="F7272" s="534"/>
    </row>
    <row r="7273" spans="1:6" ht="15" customHeight="1">
      <c r="A7273" s="51"/>
      <c r="B7273" s="52" t="str">
        <f t="shared" si="372"/>
        <v/>
      </c>
      <c r="C7273" t="str">
        <f t="shared" si="371"/>
        <v/>
      </c>
      <c r="D7273" s="245" t="str">
        <f t="shared" si="373"/>
        <v/>
      </c>
      <c r="E7273" s="534"/>
      <c r="F7273" s="534"/>
    </row>
    <row r="7274" spans="1:6" ht="15" customHeight="1">
      <c r="A7274" s="51"/>
      <c r="B7274" s="52" t="str">
        <f t="shared" si="372"/>
        <v/>
      </c>
      <c r="C7274" t="str">
        <f t="shared" si="371"/>
        <v/>
      </c>
      <c r="D7274" s="245" t="str">
        <f t="shared" si="373"/>
        <v/>
      </c>
      <c r="E7274" s="534"/>
      <c r="F7274" s="534"/>
    </row>
    <row r="7275" spans="1:6" ht="15" customHeight="1">
      <c r="A7275" s="51"/>
      <c r="B7275" s="52" t="str">
        <f t="shared" si="372"/>
        <v/>
      </c>
      <c r="C7275" t="str">
        <f t="shared" si="371"/>
        <v/>
      </c>
      <c r="D7275" s="245" t="str">
        <f t="shared" si="373"/>
        <v/>
      </c>
      <c r="E7275" s="534"/>
      <c r="F7275" s="534"/>
    </row>
    <row r="7276" spans="1:6" ht="15" customHeight="1">
      <c r="A7276" s="51"/>
      <c r="B7276" s="52" t="str">
        <f t="shared" si="372"/>
        <v/>
      </c>
      <c r="C7276" t="str">
        <f t="shared" si="371"/>
        <v/>
      </c>
      <c r="D7276" s="245" t="str">
        <f t="shared" si="373"/>
        <v/>
      </c>
      <c r="E7276" s="534"/>
      <c r="F7276" s="534"/>
    </row>
    <row r="7277" spans="1:6" ht="15" customHeight="1">
      <c r="A7277" s="51"/>
      <c r="B7277" s="52" t="str">
        <f t="shared" si="372"/>
        <v/>
      </c>
      <c r="C7277" t="str">
        <f t="shared" si="371"/>
        <v/>
      </c>
      <c r="D7277" s="245" t="str">
        <f t="shared" si="373"/>
        <v/>
      </c>
      <c r="E7277" s="534"/>
      <c r="F7277" s="534"/>
    </row>
    <row r="7278" spans="1:6" ht="15" customHeight="1">
      <c r="A7278" s="51"/>
      <c r="B7278" s="52" t="str">
        <f t="shared" si="372"/>
        <v/>
      </c>
      <c r="C7278" t="str">
        <f t="shared" si="371"/>
        <v/>
      </c>
      <c r="D7278" s="245" t="str">
        <f t="shared" si="373"/>
        <v/>
      </c>
      <c r="E7278" s="534"/>
      <c r="F7278" s="534"/>
    </row>
    <row r="7279" spans="1:6" ht="15" customHeight="1">
      <c r="A7279" s="51"/>
      <c r="B7279" s="52" t="str">
        <f t="shared" si="372"/>
        <v/>
      </c>
      <c r="C7279" t="str">
        <f t="shared" si="371"/>
        <v/>
      </c>
      <c r="D7279" s="245" t="str">
        <f t="shared" si="373"/>
        <v/>
      </c>
      <c r="E7279" s="534"/>
      <c r="F7279" s="534"/>
    </row>
    <row r="7280" spans="1:6" ht="15" customHeight="1">
      <c r="A7280" s="51"/>
      <c r="B7280" s="52" t="str">
        <f t="shared" si="372"/>
        <v/>
      </c>
      <c r="C7280" t="str">
        <f t="shared" si="371"/>
        <v/>
      </c>
      <c r="D7280" s="245" t="str">
        <f t="shared" si="373"/>
        <v/>
      </c>
      <c r="E7280" s="534"/>
      <c r="F7280" s="534"/>
    </row>
    <row r="7281" spans="1:6" ht="15" customHeight="1">
      <c r="A7281" s="51"/>
      <c r="B7281" s="52" t="str">
        <f t="shared" si="372"/>
        <v/>
      </c>
      <c r="C7281" t="str">
        <f t="shared" si="371"/>
        <v/>
      </c>
      <c r="D7281" s="245" t="str">
        <f t="shared" si="373"/>
        <v/>
      </c>
      <c r="E7281" s="534"/>
      <c r="F7281" s="534"/>
    </row>
    <row r="7282" spans="1:6" ht="15" customHeight="1">
      <c r="A7282" s="51"/>
      <c r="B7282" s="52" t="str">
        <f t="shared" si="372"/>
        <v/>
      </c>
      <c r="C7282" t="str">
        <f t="shared" si="371"/>
        <v/>
      </c>
      <c r="D7282" s="245" t="str">
        <f t="shared" si="373"/>
        <v/>
      </c>
      <c r="E7282" s="534"/>
      <c r="F7282" s="534"/>
    </row>
    <row r="7283" spans="1:6" ht="15" customHeight="1">
      <c r="A7283" s="51"/>
      <c r="B7283" s="52" t="str">
        <f t="shared" si="372"/>
        <v/>
      </c>
      <c r="C7283" t="str">
        <f t="shared" si="371"/>
        <v/>
      </c>
      <c r="D7283" s="245" t="str">
        <f t="shared" si="373"/>
        <v/>
      </c>
      <c r="E7283" s="534"/>
      <c r="F7283" s="534"/>
    </row>
    <row r="7284" spans="1:6" ht="15" customHeight="1">
      <c r="A7284" s="51"/>
      <c r="B7284" s="52" t="str">
        <f t="shared" si="372"/>
        <v/>
      </c>
      <c r="C7284" t="str">
        <f t="shared" si="371"/>
        <v/>
      </c>
      <c r="D7284" s="245" t="str">
        <f t="shared" si="373"/>
        <v/>
      </c>
      <c r="E7284" s="534"/>
      <c r="F7284" s="534"/>
    </row>
    <row r="7285" spans="1:6" ht="15" customHeight="1">
      <c r="A7285" s="51"/>
      <c r="B7285" s="52" t="str">
        <f t="shared" si="372"/>
        <v/>
      </c>
      <c r="C7285" t="str">
        <f t="shared" si="371"/>
        <v/>
      </c>
      <c r="D7285" s="245" t="str">
        <f t="shared" si="373"/>
        <v/>
      </c>
      <c r="E7285" s="534"/>
      <c r="F7285" s="534"/>
    </row>
    <row r="7286" spans="1:6" ht="15" customHeight="1">
      <c r="A7286" s="51"/>
      <c r="B7286" s="52" t="str">
        <f t="shared" si="372"/>
        <v/>
      </c>
      <c r="C7286" t="str">
        <f t="shared" si="371"/>
        <v/>
      </c>
      <c r="D7286" s="245" t="str">
        <f t="shared" si="373"/>
        <v/>
      </c>
      <c r="E7286" s="534"/>
      <c r="F7286" s="534"/>
    </row>
    <row r="7287" spans="1:6" ht="15" customHeight="1">
      <c r="A7287" s="51"/>
      <c r="B7287" s="52" t="str">
        <f t="shared" si="372"/>
        <v/>
      </c>
      <c r="C7287" t="str">
        <f t="shared" si="371"/>
        <v/>
      </c>
      <c r="D7287" s="245" t="str">
        <f t="shared" si="373"/>
        <v/>
      </c>
      <c r="E7287" s="534"/>
      <c r="F7287" s="534"/>
    </row>
    <row r="7288" spans="1:6" ht="15" customHeight="1">
      <c r="A7288" s="51"/>
      <c r="B7288" s="52" t="str">
        <f t="shared" si="372"/>
        <v/>
      </c>
      <c r="C7288" t="str">
        <f t="shared" si="371"/>
        <v/>
      </c>
      <c r="D7288" s="245" t="str">
        <f t="shared" si="373"/>
        <v/>
      </c>
      <c r="E7288" s="534"/>
      <c r="F7288" s="534"/>
    </row>
    <row r="7289" spans="1:6" ht="15" customHeight="1">
      <c r="A7289" s="51"/>
      <c r="B7289" s="52" t="str">
        <f t="shared" si="372"/>
        <v/>
      </c>
      <c r="C7289" t="str">
        <f t="shared" si="371"/>
        <v/>
      </c>
      <c r="D7289" s="245" t="str">
        <f t="shared" si="373"/>
        <v/>
      </c>
      <c r="E7289" s="534"/>
      <c r="F7289" s="534"/>
    </row>
    <row r="7290" spans="1:6" ht="15" customHeight="1">
      <c r="A7290" s="51"/>
      <c r="B7290" s="52" t="str">
        <f t="shared" si="372"/>
        <v/>
      </c>
      <c r="C7290" t="str">
        <f t="shared" si="371"/>
        <v/>
      </c>
      <c r="D7290" s="245" t="str">
        <f t="shared" si="373"/>
        <v/>
      </c>
      <c r="E7290" s="534"/>
      <c r="F7290" s="534"/>
    </row>
    <row r="7291" spans="1:6" ht="15" customHeight="1">
      <c r="A7291" s="51"/>
      <c r="B7291" s="52" t="str">
        <f t="shared" si="372"/>
        <v/>
      </c>
      <c r="C7291" t="str">
        <f t="shared" si="371"/>
        <v/>
      </c>
      <c r="D7291" s="245" t="str">
        <f t="shared" si="373"/>
        <v/>
      </c>
      <c r="E7291" s="534"/>
      <c r="F7291" s="534"/>
    </row>
    <row r="7292" spans="1:6" ht="15" customHeight="1">
      <c r="A7292" s="51"/>
      <c r="B7292" s="52" t="str">
        <f t="shared" si="372"/>
        <v/>
      </c>
      <c r="C7292" t="str">
        <f t="shared" si="371"/>
        <v/>
      </c>
      <c r="D7292" s="245" t="str">
        <f t="shared" si="373"/>
        <v/>
      </c>
      <c r="E7292" s="534"/>
      <c r="F7292" s="534"/>
    </row>
    <row r="7293" spans="1:6" ht="15" customHeight="1">
      <c r="A7293" s="51"/>
      <c r="B7293" s="52" t="str">
        <f t="shared" si="372"/>
        <v/>
      </c>
      <c r="C7293" t="str">
        <f t="shared" si="371"/>
        <v/>
      </c>
      <c r="D7293" s="245" t="str">
        <f t="shared" si="373"/>
        <v/>
      </c>
      <c r="E7293" s="534"/>
      <c r="F7293" s="534"/>
    </row>
    <row r="7294" spans="1:6" ht="15" customHeight="1">
      <c r="A7294" s="51"/>
      <c r="B7294" s="52" t="str">
        <f t="shared" si="372"/>
        <v/>
      </c>
      <c r="C7294" t="str">
        <f t="shared" si="371"/>
        <v/>
      </c>
      <c r="D7294" s="245" t="str">
        <f t="shared" si="373"/>
        <v/>
      </c>
      <c r="E7294" s="534"/>
      <c r="F7294" s="534"/>
    </row>
    <row r="7295" spans="1:6" ht="15" customHeight="1">
      <c r="A7295" s="51"/>
      <c r="B7295" s="52" t="str">
        <f t="shared" si="372"/>
        <v/>
      </c>
      <c r="C7295" t="str">
        <f t="shared" si="371"/>
        <v/>
      </c>
      <c r="D7295" s="245" t="str">
        <f t="shared" si="373"/>
        <v/>
      </c>
      <c r="E7295" s="534"/>
      <c r="F7295" s="534"/>
    </row>
    <row r="7296" spans="1:6" ht="15" customHeight="1">
      <c r="A7296" s="51"/>
      <c r="B7296" s="52" t="str">
        <f t="shared" si="372"/>
        <v/>
      </c>
      <c r="C7296" t="str">
        <f t="shared" si="371"/>
        <v/>
      </c>
      <c r="D7296" s="245" t="str">
        <f t="shared" si="373"/>
        <v/>
      </c>
      <c r="E7296" s="534"/>
      <c r="F7296" s="534"/>
    </row>
    <row r="7297" spans="1:6" ht="15" customHeight="1">
      <c r="A7297" s="51"/>
      <c r="B7297" s="52" t="str">
        <f t="shared" si="372"/>
        <v/>
      </c>
      <c r="C7297" t="str">
        <f t="shared" si="371"/>
        <v/>
      </c>
      <c r="D7297" s="245" t="str">
        <f t="shared" si="373"/>
        <v/>
      </c>
      <c r="E7297" s="534"/>
      <c r="F7297" s="534"/>
    </row>
    <row r="7298" spans="1:6" ht="15" customHeight="1">
      <c r="A7298" s="51"/>
      <c r="B7298" s="52" t="str">
        <f t="shared" si="372"/>
        <v/>
      </c>
      <c r="C7298" t="str">
        <f t="shared" ref="C7298:C7361" si="374">IF(A7298&lt;&gt;"",TEXT(A7298,"aaaa"),"")</f>
        <v/>
      </c>
      <c r="D7298" s="245" t="str">
        <f t="shared" si="373"/>
        <v/>
      </c>
      <c r="E7298" s="534"/>
      <c r="F7298" s="534"/>
    </row>
    <row r="7299" spans="1:6" ht="15" customHeight="1">
      <c r="A7299" s="51"/>
      <c r="B7299" s="52" t="str">
        <f t="shared" si="372"/>
        <v/>
      </c>
      <c r="C7299" t="str">
        <f t="shared" si="374"/>
        <v/>
      </c>
      <c r="D7299" s="245" t="str">
        <f t="shared" si="373"/>
        <v/>
      </c>
      <c r="E7299" s="534"/>
      <c r="F7299" s="534"/>
    </row>
    <row r="7300" spans="1:6" ht="15" customHeight="1">
      <c r="A7300" s="51"/>
      <c r="B7300" s="52" t="str">
        <f t="shared" si="372"/>
        <v/>
      </c>
      <c r="C7300" t="str">
        <f t="shared" si="374"/>
        <v/>
      </c>
      <c r="D7300" s="245" t="str">
        <f t="shared" si="373"/>
        <v/>
      </c>
      <c r="E7300" s="534"/>
      <c r="F7300" s="534"/>
    </row>
    <row r="7301" spans="1:6" ht="15" customHeight="1">
      <c r="A7301" s="51"/>
      <c r="B7301" s="52" t="str">
        <f t="shared" si="372"/>
        <v/>
      </c>
      <c r="C7301" t="str">
        <f t="shared" si="374"/>
        <v/>
      </c>
      <c r="D7301" s="245" t="str">
        <f t="shared" si="373"/>
        <v/>
      </c>
      <c r="E7301" s="534"/>
      <c r="F7301" s="534"/>
    </row>
    <row r="7302" spans="1:6" ht="15" customHeight="1">
      <c r="A7302" s="51"/>
      <c r="B7302" s="52" t="str">
        <f t="shared" si="372"/>
        <v/>
      </c>
      <c r="C7302" t="str">
        <f t="shared" si="374"/>
        <v/>
      </c>
      <c r="D7302" s="245" t="str">
        <f t="shared" si="373"/>
        <v/>
      </c>
      <c r="E7302" s="534"/>
      <c r="F7302" s="534"/>
    </row>
    <row r="7303" spans="1:6" ht="15" customHeight="1">
      <c r="A7303" s="51"/>
      <c r="B7303" s="52" t="str">
        <f t="shared" si="372"/>
        <v/>
      </c>
      <c r="C7303" t="str">
        <f t="shared" si="374"/>
        <v/>
      </c>
      <c r="D7303" s="245" t="str">
        <f t="shared" si="373"/>
        <v/>
      </c>
      <c r="E7303" s="534"/>
      <c r="F7303" s="534"/>
    </row>
    <row r="7304" spans="1:6" ht="15" customHeight="1">
      <c r="A7304" s="51"/>
      <c r="B7304" s="52" t="str">
        <f t="shared" ref="B7304:B7367" si="375">IF(A7304="","",TEXT(A7304,"DDDD"))</f>
        <v/>
      </c>
      <c r="C7304" t="str">
        <f t="shared" si="374"/>
        <v/>
      </c>
      <c r="D7304" s="245" t="str">
        <f t="shared" si="373"/>
        <v/>
      </c>
      <c r="E7304" s="534"/>
      <c r="F7304" s="534"/>
    </row>
    <row r="7305" spans="1:6" ht="15" customHeight="1">
      <c r="A7305" s="51"/>
      <c r="B7305" s="52" t="str">
        <f t="shared" si="375"/>
        <v/>
      </c>
      <c r="C7305" t="str">
        <f t="shared" si="374"/>
        <v/>
      </c>
      <c r="D7305" s="245" t="str">
        <f t="shared" ref="D7305:D7368" si="376">IF(A7305&lt;&gt;"",PROPER(TEXT(A7305,"Mmmm")),"")</f>
        <v/>
      </c>
      <c r="E7305" s="534"/>
      <c r="F7305" s="534"/>
    </row>
    <row r="7306" spans="1:6" ht="15" customHeight="1">
      <c r="A7306" s="51"/>
      <c r="B7306" s="52" t="str">
        <f t="shared" si="375"/>
        <v/>
      </c>
      <c r="C7306" t="str">
        <f t="shared" si="374"/>
        <v/>
      </c>
      <c r="D7306" s="245" t="str">
        <f t="shared" si="376"/>
        <v/>
      </c>
      <c r="E7306" s="534"/>
      <c r="F7306" s="534"/>
    </row>
    <row r="7307" spans="1:6" ht="15" customHeight="1">
      <c r="A7307" s="51"/>
      <c r="B7307" s="52" t="str">
        <f t="shared" si="375"/>
        <v/>
      </c>
      <c r="C7307" t="str">
        <f t="shared" si="374"/>
        <v/>
      </c>
      <c r="D7307" s="245" t="str">
        <f t="shared" si="376"/>
        <v/>
      </c>
      <c r="E7307" s="534"/>
      <c r="F7307" s="534"/>
    </row>
    <row r="7308" spans="1:6" ht="15" customHeight="1">
      <c r="A7308" s="51"/>
      <c r="B7308" s="52" t="str">
        <f t="shared" si="375"/>
        <v/>
      </c>
      <c r="C7308" t="str">
        <f t="shared" si="374"/>
        <v/>
      </c>
      <c r="D7308" s="245" t="str">
        <f t="shared" si="376"/>
        <v/>
      </c>
      <c r="E7308" s="534"/>
      <c r="F7308" s="534"/>
    </row>
    <row r="7309" spans="1:6" ht="15" customHeight="1">
      <c r="A7309" s="51"/>
      <c r="B7309" s="52" t="str">
        <f t="shared" si="375"/>
        <v/>
      </c>
      <c r="C7309" t="str">
        <f t="shared" si="374"/>
        <v/>
      </c>
      <c r="D7309" s="245" t="str">
        <f t="shared" si="376"/>
        <v/>
      </c>
      <c r="E7309" s="534"/>
      <c r="F7309" s="534"/>
    </row>
    <row r="7310" spans="1:6" ht="15" customHeight="1">
      <c r="A7310" s="51"/>
      <c r="B7310" s="52" t="str">
        <f t="shared" si="375"/>
        <v/>
      </c>
      <c r="C7310" t="str">
        <f t="shared" si="374"/>
        <v/>
      </c>
      <c r="D7310" s="245" t="str">
        <f t="shared" si="376"/>
        <v/>
      </c>
      <c r="E7310" s="534"/>
      <c r="F7310" s="534"/>
    </row>
    <row r="7311" spans="1:6" ht="15" customHeight="1">
      <c r="A7311" s="51"/>
      <c r="B7311" s="52" t="str">
        <f t="shared" si="375"/>
        <v/>
      </c>
      <c r="C7311" t="str">
        <f t="shared" si="374"/>
        <v/>
      </c>
      <c r="D7311" s="245" t="str">
        <f t="shared" si="376"/>
        <v/>
      </c>
      <c r="E7311" s="534"/>
      <c r="F7311" s="534"/>
    </row>
    <row r="7312" spans="1:6" ht="15" customHeight="1">
      <c r="A7312" s="51"/>
      <c r="B7312" s="52" t="str">
        <f t="shared" si="375"/>
        <v/>
      </c>
      <c r="C7312" t="str">
        <f t="shared" si="374"/>
        <v/>
      </c>
      <c r="D7312" s="245" t="str">
        <f t="shared" si="376"/>
        <v/>
      </c>
      <c r="E7312" s="534"/>
      <c r="F7312" s="534"/>
    </row>
    <row r="7313" spans="1:6" ht="15" customHeight="1">
      <c r="A7313" s="51"/>
      <c r="B7313" s="52" t="str">
        <f t="shared" si="375"/>
        <v/>
      </c>
      <c r="C7313" t="str">
        <f t="shared" si="374"/>
        <v/>
      </c>
      <c r="D7313" s="245" t="str">
        <f t="shared" si="376"/>
        <v/>
      </c>
      <c r="E7313" s="534"/>
      <c r="F7313" s="534"/>
    </row>
    <row r="7314" spans="1:6" ht="15" customHeight="1">
      <c r="A7314" s="51"/>
      <c r="B7314" s="52" t="str">
        <f t="shared" si="375"/>
        <v/>
      </c>
      <c r="C7314" t="str">
        <f t="shared" si="374"/>
        <v/>
      </c>
      <c r="D7314" s="245" t="str">
        <f t="shared" si="376"/>
        <v/>
      </c>
      <c r="E7314" s="534"/>
      <c r="F7314" s="534"/>
    </row>
    <row r="7315" spans="1:6" ht="15" customHeight="1">
      <c r="A7315" s="51"/>
      <c r="B7315" s="52" t="str">
        <f t="shared" si="375"/>
        <v/>
      </c>
      <c r="C7315" t="str">
        <f t="shared" si="374"/>
        <v/>
      </c>
      <c r="D7315" s="245" t="str">
        <f t="shared" si="376"/>
        <v/>
      </c>
      <c r="E7315" s="534"/>
      <c r="F7315" s="534"/>
    </row>
    <row r="7316" spans="1:6" ht="15" customHeight="1">
      <c r="A7316" s="51"/>
      <c r="B7316" s="52" t="str">
        <f t="shared" si="375"/>
        <v/>
      </c>
      <c r="C7316" t="str">
        <f t="shared" si="374"/>
        <v/>
      </c>
      <c r="D7316" s="245" t="str">
        <f t="shared" si="376"/>
        <v/>
      </c>
      <c r="E7316" s="534"/>
      <c r="F7316" s="534"/>
    </row>
    <row r="7317" spans="1:6" ht="15" customHeight="1">
      <c r="A7317" s="51"/>
      <c r="B7317" s="52" t="str">
        <f t="shared" si="375"/>
        <v/>
      </c>
      <c r="C7317" t="str">
        <f t="shared" si="374"/>
        <v/>
      </c>
      <c r="D7317" s="245" t="str">
        <f t="shared" si="376"/>
        <v/>
      </c>
      <c r="E7317" s="534"/>
      <c r="F7317" s="534"/>
    </row>
    <row r="7318" spans="1:6" ht="15" customHeight="1">
      <c r="A7318" s="51"/>
      <c r="B7318" s="52" t="str">
        <f t="shared" si="375"/>
        <v/>
      </c>
      <c r="C7318" t="str">
        <f t="shared" si="374"/>
        <v/>
      </c>
      <c r="D7318" s="245" t="str">
        <f t="shared" si="376"/>
        <v/>
      </c>
      <c r="E7318" s="534"/>
      <c r="F7318" s="534"/>
    </row>
    <row r="7319" spans="1:6" ht="15" customHeight="1">
      <c r="A7319" s="51"/>
      <c r="B7319" s="52" t="str">
        <f t="shared" si="375"/>
        <v/>
      </c>
      <c r="C7319" t="str">
        <f t="shared" si="374"/>
        <v/>
      </c>
      <c r="D7319" s="245" t="str">
        <f t="shared" si="376"/>
        <v/>
      </c>
      <c r="E7319" s="534"/>
      <c r="F7319" s="534"/>
    </row>
    <row r="7320" spans="1:6" ht="15" customHeight="1">
      <c r="A7320" s="51"/>
      <c r="B7320" s="52" t="str">
        <f t="shared" si="375"/>
        <v/>
      </c>
      <c r="C7320" t="str">
        <f t="shared" si="374"/>
        <v/>
      </c>
      <c r="D7320" s="245" t="str">
        <f t="shared" si="376"/>
        <v/>
      </c>
      <c r="E7320" s="534"/>
      <c r="F7320" s="534"/>
    </row>
    <row r="7321" spans="1:6" ht="15" customHeight="1">
      <c r="A7321" s="51"/>
      <c r="B7321" s="52" t="str">
        <f t="shared" si="375"/>
        <v/>
      </c>
      <c r="C7321" t="str">
        <f t="shared" si="374"/>
        <v/>
      </c>
      <c r="D7321" s="245" t="str">
        <f t="shared" si="376"/>
        <v/>
      </c>
      <c r="E7321" s="534"/>
      <c r="F7321" s="534"/>
    </row>
    <row r="7322" spans="1:6" ht="15" customHeight="1">
      <c r="A7322" s="51"/>
      <c r="B7322" s="52" t="str">
        <f t="shared" si="375"/>
        <v/>
      </c>
      <c r="C7322" t="str">
        <f t="shared" si="374"/>
        <v/>
      </c>
      <c r="D7322" s="245" t="str">
        <f t="shared" si="376"/>
        <v/>
      </c>
      <c r="E7322" s="534"/>
      <c r="F7322" s="534"/>
    </row>
    <row r="7323" spans="1:6" ht="15" customHeight="1">
      <c r="A7323" s="51"/>
      <c r="B7323" s="52" t="str">
        <f t="shared" si="375"/>
        <v/>
      </c>
      <c r="C7323" t="str">
        <f t="shared" si="374"/>
        <v/>
      </c>
      <c r="D7323" s="245" t="str">
        <f t="shared" si="376"/>
        <v/>
      </c>
      <c r="E7323" s="534"/>
      <c r="F7323" s="534"/>
    </row>
    <row r="7324" spans="1:6" ht="15" customHeight="1">
      <c r="A7324" s="51"/>
      <c r="B7324" s="52" t="str">
        <f t="shared" si="375"/>
        <v/>
      </c>
      <c r="C7324" t="str">
        <f t="shared" si="374"/>
        <v/>
      </c>
      <c r="D7324" s="245" t="str">
        <f t="shared" si="376"/>
        <v/>
      </c>
      <c r="E7324" s="534"/>
      <c r="F7324" s="534"/>
    </row>
    <row r="7325" spans="1:6" ht="15" customHeight="1">
      <c r="A7325" s="51"/>
      <c r="B7325" s="52" t="str">
        <f t="shared" si="375"/>
        <v/>
      </c>
      <c r="C7325" t="str">
        <f t="shared" si="374"/>
        <v/>
      </c>
      <c r="D7325" s="245" t="str">
        <f t="shared" si="376"/>
        <v/>
      </c>
      <c r="E7325" s="534"/>
      <c r="F7325" s="534"/>
    </row>
    <row r="7326" spans="1:6" ht="15" customHeight="1">
      <c r="A7326" s="51"/>
      <c r="B7326" s="52" t="str">
        <f t="shared" si="375"/>
        <v/>
      </c>
      <c r="C7326" t="str">
        <f t="shared" si="374"/>
        <v/>
      </c>
      <c r="D7326" s="245" t="str">
        <f t="shared" si="376"/>
        <v/>
      </c>
      <c r="E7326" s="534"/>
      <c r="F7326" s="534"/>
    </row>
    <row r="7327" spans="1:6" ht="15" customHeight="1">
      <c r="A7327" s="51"/>
      <c r="B7327" s="52" t="str">
        <f t="shared" si="375"/>
        <v/>
      </c>
      <c r="C7327" t="str">
        <f t="shared" si="374"/>
        <v/>
      </c>
      <c r="D7327" s="245" t="str">
        <f t="shared" si="376"/>
        <v/>
      </c>
      <c r="E7327" s="534"/>
      <c r="F7327" s="534"/>
    </row>
    <row r="7328" spans="1:6" ht="15" customHeight="1">
      <c r="A7328" s="51"/>
      <c r="B7328" s="52" t="str">
        <f t="shared" si="375"/>
        <v/>
      </c>
      <c r="C7328" t="str">
        <f t="shared" si="374"/>
        <v/>
      </c>
      <c r="D7328" s="245" t="str">
        <f t="shared" si="376"/>
        <v/>
      </c>
      <c r="E7328" s="534"/>
      <c r="F7328" s="534"/>
    </row>
    <row r="7329" spans="1:6" ht="15" customHeight="1">
      <c r="A7329" s="51"/>
      <c r="B7329" s="52" t="str">
        <f t="shared" si="375"/>
        <v/>
      </c>
      <c r="C7329" t="str">
        <f t="shared" si="374"/>
        <v/>
      </c>
      <c r="D7329" s="245" t="str">
        <f t="shared" si="376"/>
        <v/>
      </c>
      <c r="E7329" s="534"/>
      <c r="F7329" s="534"/>
    </row>
    <row r="7330" spans="1:6" ht="15" customHeight="1">
      <c r="A7330" s="51"/>
      <c r="B7330" s="52" t="str">
        <f t="shared" si="375"/>
        <v/>
      </c>
      <c r="C7330" t="str">
        <f t="shared" si="374"/>
        <v/>
      </c>
      <c r="D7330" s="245" t="str">
        <f t="shared" si="376"/>
        <v/>
      </c>
      <c r="E7330" s="534"/>
      <c r="F7330" s="534"/>
    </row>
    <row r="7331" spans="1:6" ht="15" customHeight="1">
      <c r="A7331" s="51"/>
      <c r="B7331" s="52" t="str">
        <f t="shared" si="375"/>
        <v/>
      </c>
      <c r="C7331" t="str">
        <f t="shared" si="374"/>
        <v/>
      </c>
      <c r="D7331" s="245" t="str">
        <f t="shared" si="376"/>
        <v/>
      </c>
      <c r="E7331" s="534"/>
      <c r="F7331" s="534"/>
    </row>
    <row r="7332" spans="1:6" ht="15" customHeight="1">
      <c r="A7332" s="51"/>
      <c r="B7332" s="52" t="str">
        <f t="shared" si="375"/>
        <v/>
      </c>
      <c r="C7332" t="str">
        <f t="shared" si="374"/>
        <v/>
      </c>
      <c r="D7332" s="245" t="str">
        <f t="shared" si="376"/>
        <v/>
      </c>
      <c r="E7332" s="534"/>
      <c r="F7332" s="534"/>
    </row>
    <row r="7333" spans="1:6" ht="15" customHeight="1">
      <c r="A7333" s="51"/>
      <c r="B7333" s="52" t="str">
        <f t="shared" si="375"/>
        <v/>
      </c>
      <c r="C7333" t="str">
        <f t="shared" si="374"/>
        <v/>
      </c>
      <c r="D7333" s="245" t="str">
        <f t="shared" si="376"/>
        <v/>
      </c>
      <c r="E7333" s="534"/>
      <c r="F7333" s="534"/>
    </row>
    <row r="7334" spans="1:6" ht="15" customHeight="1">
      <c r="A7334" s="51"/>
      <c r="B7334" s="52" t="str">
        <f t="shared" si="375"/>
        <v/>
      </c>
      <c r="C7334" t="str">
        <f t="shared" si="374"/>
        <v/>
      </c>
      <c r="D7334" s="245" t="str">
        <f t="shared" si="376"/>
        <v/>
      </c>
      <c r="E7334" s="534"/>
      <c r="F7334" s="534"/>
    </row>
    <row r="7335" spans="1:6" ht="15" customHeight="1">
      <c r="A7335" s="51"/>
      <c r="B7335" s="52" t="str">
        <f t="shared" si="375"/>
        <v/>
      </c>
      <c r="C7335" t="str">
        <f t="shared" si="374"/>
        <v/>
      </c>
      <c r="D7335" s="245" t="str">
        <f t="shared" si="376"/>
        <v/>
      </c>
      <c r="E7335" s="534"/>
      <c r="F7335" s="534"/>
    </row>
    <row r="7336" spans="1:6" ht="15" customHeight="1">
      <c r="A7336" s="51"/>
      <c r="B7336" s="52" t="str">
        <f t="shared" si="375"/>
        <v/>
      </c>
      <c r="C7336" t="str">
        <f t="shared" si="374"/>
        <v/>
      </c>
      <c r="D7336" s="245" t="str">
        <f t="shared" si="376"/>
        <v/>
      </c>
      <c r="E7336" s="534"/>
      <c r="F7336" s="534"/>
    </row>
    <row r="7337" spans="1:6" ht="15" customHeight="1">
      <c r="A7337" s="51"/>
      <c r="B7337" s="52" t="str">
        <f t="shared" si="375"/>
        <v/>
      </c>
      <c r="C7337" t="str">
        <f t="shared" si="374"/>
        <v/>
      </c>
      <c r="D7337" s="245" t="str">
        <f t="shared" si="376"/>
        <v/>
      </c>
      <c r="E7337" s="534"/>
      <c r="F7337" s="534"/>
    </row>
    <row r="7338" spans="1:6" ht="15" customHeight="1">
      <c r="A7338" s="51"/>
      <c r="B7338" s="52" t="str">
        <f t="shared" si="375"/>
        <v/>
      </c>
      <c r="C7338" t="str">
        <f t="shared" si="374"/>
        <v/>
      </c>
      <c r="D7338" s="245" t="str">
        <f t="shared" si="376"/>
        <v/>
      </c>
      <c r="E7338" s="534"/>
      <c r="F7338" s="534"/>
    </row>
    <row r="7339" spans="1:6" ht="15" customHeight="1">
      <c r="A7339" s="51"/>
      <c r="B7339" s="52" t="str">
        <f t="shared" si="375"/>
        <v/>
      </c>
      <c r="C7339" t="str">
        <f t="shared" si="374"/>
        <v/>
      </c>
      <c r="D7339" s="245" t="str">
        <f t="shared" si="376"/>
        <v/>
      </c>
      <c r="E7339" s="534"/>
      <c r="F7339" s="534"/>
    </row>
    <row r="7340" spans="1:6" ht="15" customHeight="1">
      <c r="A7340" s="51"/>
      <c r="B7340" s="52" t="str">
        <f t="shared" si="375"/>
        <v/>
      </c>
      <c r="C7340" t="str">
        <f t="shared" si="374"/>
        <v/>
      </c>
      <c r="D7340" s="245" t="str">
        <f t="shared" si="376"/>
        <v/>
      </c>
      <c r="E7340" s="534"/>
      <c r="F7340" s="534"/>
    </row>
    <row r="7341" spans="1:6" ht="15" customHeight="1">
      <c r="A7341" s="51"/>
      <c r="B7341" s="52" t="str">
        <f t="shared" si="375"/>
        <v/>
      </c>
      <c r="C7341" t="str">
        <f t="shared" si="374"/>
        <v/>
      </c>
      <c r="D7341" s="245" t="str">
        <f t="shared" si="376"/>
        <v/>
      </c>
      <c r="E7341" s="534"/>
      <c r="F7341" s="534"/>
    </row>
    <row r="7342" spans="1:6" ht="15" customHeight="1">
      <c r="A7342" s="51"/>
      <c r="B7342" s="52" t="str">
        <f t="shared" si="375"/>
        <v/>
      </c>
      <c r="C7342" t="str">
        <f t="shared" si="374"/>
        <v/>
      </c>
      <c r="D7342" s="245" t="str">
        <f t="shared" si="376"/>
        <v/>
      </c>
      <c r="E7342" s="534"/>
      <c r="F7342" s="534"/>
    </row>
    <row r="7343" spans="1:6" ht="15" customHeight="1">
      <c r="A7343" s="51"/>
      <c r="B7343" s="52" t="str">
        <f t="shared" si="375"/>
        <v/>
      </c>
      <c r="C7343" t="str">
        <f t="shared" si="374"/>
        <v/>
      </c>
      <c r="D7343" s="245" t="str">
        <f t="shared" si="376"/>
        <v/>
      </c>
      <c r="E7343" s="534"/>
      <c r="F7343" s="534"/>
    </row>
    <row r="7344" spans="1:6" ht="15" customHeight="1">
      <c r="A7344" s="51"/>
      <c r="B7344" s="52" t="str">
        <f t="shared" si="375"/>
        <v/>
      </c>
      <c r="C7344" t="str">
        <f t="shared" si="374"/>
        <v/>
      </c>
      <c r="D7344" s="245" t="str">
        <f t="shared" si="376"/>
        <v/>
      </c>
      <c r="E7344" s="534"/>
      <c r="F7344" s="534"/>
    </row>
    <row r="7345" spans="1:6" ht="15" customHeight="1">
      <c r="A7345" s="51"/>
      <c r="B7345" s="52" t="str">
        <f t="shared" si="375"/>
        <v/>
      </c>
      <c r="C7345" t="str">
        <f t="shared" si="374"/>
        <v/>
      </c>
      <c r="D7345" s="245" t="str">
        <f t="shared" si="376"/>
        <v/>
      </c>
      <c r="E7345" s="534"/>
      <c r="F7345" s="534"/>
    </row>
    <row r="7346" spans="1:6" ht="15" customHeight="1">
      <c r="A7346" s="51"/>
      <c r="B7346" s="52" t="str">
        <f t="shared" si="375"/>
        <v/>
      </c>
      <c r="C7346" t="str">
        <f t="shared" si="374"/>
        <v/>
      </c>
      <c r="D7346" s="245" t="str">
        <f t="shared" si="376"/>
        <v/>
      </c>
      <c r="E7346" s="534"/>
      <c r="F7346" s="534"/>
    </row>
    <row r="7347" spans="1:6" ht="15" customHeight="1">
      <c r="A7347" s="51"/>
      <c r="B7347" s="52" t="str">
        <f t="shared" si="375"/>
        <v/>
      </c>
      <c r="C7347" t="str">
        <f t="shared" si="374"/>
        <v/>
      </c>
      <c r="D7347" s="245" t="str">
        <f t="shared" si="376"/>
        <v/>
      </c>
      <c r="E7347" s="534"/>
      <c r="F7347" s="534"/>
    </row>
    <row r="7348" spans="1:6" ht="15" customHeight="1">
      <c r="A7348" s="51"/>
      <c r="B7348" s="52" t="str">
        <f t="shared" si="375"/>
        <v/>
      </c>
      <c r="C7348" t="str">
        <f t="shared" si="374"/>
        <v/>
      </c>
      <c r="D7348" s="245" t="str">
        <f t="shared" si="376"/>
        <v/>
      </c>
      <c r="E7348" s="534"/>
      <c r="F7348" s="534"/>
    </row>
    <row r="7349" spans="1:6" ht="15" customHeight="1">
      <c r="A7349" s="51"/>
      <c r="B7349" s="52" t="str">
        <f t="shared" si="375"/>
        <v/>
      </c>
      <c r="C7349" t="str">
        <f t="shared" si="374"/>
        <v/>
      </c>
      <c r="D7349" s="245" t="str">
        <f t="shared" si="376"/>
        <v/>
      </c>
      <c r="E7349" s="534"/>
      <c r="F7349" s="534"/>
    </row>
    <row r="7350" spans="1:6" ht="15" customHeight="1">
      <c r="A7350" s="51"/>
      <c r="B7350" s="52" t="str">
        <f t="shared" si="375"/>
        <v/>
      </c>
      <c r="C7350" t="str">
        <f t="shared" si="374"/>
        <v/>
      </c>
      <c r="D7350" s="245" t="str">
        <f t="shared" si="376"/>
        <v/>
      </c>
      <c r="E7350" s="534"/>
      <c r="F7350" s="534"/>
    </row>
    <row r="7351" spans="1:6" ht="15" customHeight="1">
      <c r="A7351" s="51"/>
      <c r="B7351" s="52" t="str">
        <f t="shared" si="375"/>
        <v/>
      </c>
      <c r="C7351" t="str">
        <f t="shared" si="374"/>
        <v/>
      </c>
      <c r="D7351" s="245" t="str">
        <f t="shared" si="376"/>
        <v/>
      </c>
      <c r="E7351" s="534"/>
      <c r="F7351" s="534"/>
    </row>
    <row r="7352" spans="1:6" ht="15" customHeight="1">
      <c r="A7352" s="51"/>
      <c r="B7352" s="52" t="str">
        <f t="shared" si="375"/>
        <v/>
      </c>
      <c r="C7352" t="str">
        <f t="shared" si="374"/>
        <v/>
      </c>
      <c r="D7352" s="245" t="str">
        <f t="shared" si="376"/>
        <v/>
      </c>
      <c r="E7352" s="534"/>
      <c r="F7352" s="534"/>
    </row>
    <row r="7353" spans="1:6" ht="15" customHeight="1">
      <c r="A7353" s="51"/>
      <c r="B7353" s="52" t="str">
        <f t="shared" si="375"/>
        <v/>
      </c>
      <c r="C7353" t="str">
        <f t="shared" si="374"/>
        <v/>
      </c>
      <c r="D7353" s="245" t="str">
        <f t="shared" si="376"/>
        <v/>
      </c>
      <c r="E7353" s="534"/>
      <c r="F7353" s="534"/>
    </row>
    <row r="7354" spans="1:6" ht="15" customHeight="1">
      <c r="A7354" s="51"/>
      <c r="B7354" s="52" t="str">
        <f t="shared" si="375"/>
        <v/>
      </c>
      <c r="C7354" t="str">
        <f t="shared" si="374"/>
        <v/>
      </c>
      <c r="D7354" s="245" t="str">
        <f t="shared" si="376"/>
        <v/>
      </c>
      <c r="E7354" s="534"/>
      <c r="F7354" s="534"/>
    </row>
    <row r="7355" spans="1:6" ht="15" customHeight="1">
      <c r="A7355" s="51"/>
      <c r="B7355" s="52" t="str">
        <f t="shared" si="375"/>
        <v/>
      </c>
      <c r="C7355" t="str">
        <f t="shared" si="374"/>
        <v/>
      </c>
      <c r="D7355" s="245" t="str">
        <f t="shared" si="376"/>
        <v/>
      </c>
      <c r="E7355" s="534"/>
      <c r="F7355" s="534"/>
    </row>
    <row r="7356" spans="1:6" ht="15" customHeight="1">
      <c r="A7356" s="51"/>
      <c r="B7356" s="52" t="str">
        <f t="shared" si="375"/>
        <v/>
      </c>
      <c r="C7356" t="str">
        <f t="shared" si="374"/>
        <v/>
      </c>
      <c r="D7356" s="245" t="str">
        <f t="shared" si="376"/>
        <v/>
      </c>
      <c r="E7356" s="534"/>
      <c r="F7356" s="534"/>
    </row>
    <row r="7357" spans="1:6" ht="15" customHeight="1">
      <c r="A7357" s="51"/>
      <c r="B7357" s="52" t="str">
        <f t="shared" si="375"/>
        <v/>
      </c>
      <c r="C7357" t="str">
        <f t="shared" si="374"/>
        <v/>
      </c>
      <c r="D7357" s="245" t="str">
        <f t="shared" si="376"/>
        <v/>
      </c>
      <c r="E7357" s="534"/>
      <c r="F7357" s="534"/>
    </row>
    <row r="7358" spans="1:6" ht="15" customHeight="1">
      <c r="A7358" s="51"/>
      <c r="B7358" s="52" t="str">
        <f t="shared" si="375"/>
        <v/>
      </c>
      <c r="C7358" t="str">
        <f t="shared" si="374"/>
        <v/>
      </c>
      <c r="D7358" s="245" t="str">
        <f t="shared" si="376"/>
        <v/>
      </c>
      <c r="E7358" s="534"/>
      <c r="F7358" s="534"/>
    </row>
    <row r="7359" spans="1:6" ht="15" customHeight="1">
      <c r="A7359" s="51"/>
      <c r="B7359" s="52" t="str">
        <f t="shared" si="375"/>
        <v/>
      </c>
      <c r="C7359" t="str">
        <f t="shared" si="374"/>
        <v/>
      </c>
      <c r="D7359" s="245" t="str">
        <f t="shared" si="376"/>
        <v/>
      </c>
      <c r="E7359" s="534"/>
      <c r="F7359" s="534"/>
    </row>
    <row r="7360" spans="1:6" ht="15" customHeight="1">
      <c r="A7360" s="51"/>
      <c r="B7360" s="52" t="str">
        <f t="shared" si="375"/>
        <v/>
      </c>
      <c r="C7360" t="str">
        <f t="shared" si="374"/>
        <v/>
      </c>
      <c r="D7360" s="245" t="str">
        <f t="shared" si="376"/>
        <v/>
      </c>
      <c r="E7360" s="534"/>
      <c r="F7360" s="534"/>
    </row>
    <row r="7361" spans="1:6" ht="15" customHeight="1">
      <c r="A7361" s="51"/>
      <c r="B7361" s="52" t="str">
        <f t="shared" si="375"/>
        <v/>
      </c>
      <c r="C7361" t="str">
        <f t="shared" si="374"/>
        <v/>
      </c>
      <c r="D7361" s="245" t="str">
        <f t="shared" si="376"/>
        <v/>
      </c>
      <c r="E7361" s="534"/>
      <c r="F7361" s="534"/>
    </row>
    <row r="7362" spans="1:6" ht="15" customHeight="1">
      <c r="A7362" s="51"/>
      <c r="B7362" s="52" t="str">
        <f t="shared" si="375"/>
        <v/>
      </c>
      <c r="C7362" t="str">
        <f t="shared" ref="C7362:C7425" si="377">IF(A7362&lt;&gt;"",TEXT(A7362,"aaaa"),"")</f>
        <v/>
      </c>
      <c r="D7362" s="245" t="str">
        <f t="shared" si="376"/>
        <v/>
      </c>
      <c r="E7362" s="534"/>
      <c r="F7362" s="534"/>
    </row>
    <row r="7363" spans="1:6" ht="15" customHeight="1">
      <c r="A7363" s="51"/>
      <c r="B7363" s="52" t="str">
        <f t="shared" si="375"/>
        <v/>
      </c>
      <c r="C7363" t="str">
        <f t="shared" si="377"/>
        <v/>
      </c>
      <c r="D7363" s="245" t="str">
        <f t="shared" si="376"/>
        <v/>
      </c>
      <c r="E7363" s="534"/>
      <c r="F7363" s="534"/>
    </row>
    <row r="7364" spans="1:6" ht="15" customHeight="1">
      <c r="A7364" s="51"/>
      <c r="B7364" s="52" t="str">
        <f t="shared" si="375"/>
        <v/>
      </c>
      <c r="C7364" t="str">
        <f t="shared" si="377"/>
        <v/>
      </c>
      <c r="D7364" s="245" t="str">
        <f t="shared" si="376"/>
        <v/>
      </c>
      <c r="E7364" s="534"/>
      <c r="F7364" s="534"/>
    </row>
    <row r="7365" spans="1:6" ht="15" customHeight="1">
      <c r="A7365" s="51"/>
      <c r="B7365" s="52" t="str">
        <f t="shared" si="375"/>
        <v/>
      </c>
      <c r="C7365" t="str">
        <f t="shared" si="377"/>
        <v/>
      </c>
      <c r="D7365" s="245" t="str">
        <f t="shared" si="376"/>
        <v/>
      </c>
      <c r="E7365" s="534"/>
      <c r="F7365" s="534"/>
    </row>
    <row r="7366" spans="1:6" ht="15" customHeight="1">
      <c r="A7366" s="51"/>
      <c r="B7366" s="52" t="str">
        <f t="shared" si="375"/>
        <v/>
      </c>
      <c r="C7366" t="str">
        <f t="shared" si="377"/>
        <v/>
      </c>
      <c r="D7366" s="245" t="str">
        <f t="shared" si="376"/>
        <v/>
      </c>
      <c r="E7366" s="534"/>
      <c r="F7366" s="534"/>
    </row>
    <row r="7367" spans="1:6" ht="15" customHeight="1">
      <c r="A7367" s="51"/>
      <c r="B7367" s="52" t="str">
        <f t="shared" si="375"/>
        <v/>
      </c>
      <c r="C7367" t="str">
        <f t="shared" si="377"/>
        <v/>
      </c>
      <c r="D7367" s="245" t="str">
        <f t="shared" si="376"/>
        <v/>
      </c>
      <c r="E7367" s="534"/>
      <c r="F7367" s="534"/>
    </row>
    <row r="7368" spans="1:6" ht="15" customHeight="1">
      <c r="A7368" s="51"/>
      <c r="B7368" s="52" t="str">
        <f t="shared" ref="B7368:B7431" si="378">IF(A7368="","",TEXT(A7368,"DDDD"))</f>
        <v/>
      </c>
      <c r="C7368" t="str">
        <f t="shared" si="377"/>
        <v/>
      </c>
      <c r="D7368" s="245" t="str">
        <f t="shared" si="376"/>
        <v/>
      </c>
      <c r="E7368" s="534"/>
      <c r="F7368" s="534"/>
    </row>
    <row r="7369" spans="1:6" ht="15" customHeight="1">
      <c r="A7369" s="51"/>
      <c r="B7369" s="52" t="str">
        <f t="shared" si="378"/>
        <v/>
      </c>
      <c r="C7369" t="str">
        <f t="shared" si="377"/>
        <v/>
      </c>
      <c r="D7369" s="245" t="str">
        <f t="shared" ref="D7369:D7432" si="379">IF(A7369&lt;&gt;"",PROPER(TEXT(A7369,"Mmmm")),"")</f>
        <v/>
      </c>
      <c r="E7369" s="534"/>
      <c r="F7369" s="534"/>
    </row>
    <row r="7370" spans="1:6" ht="15" customHeight="1">
      <c r="A7370" s="51"/>
      <c r="B7370" s="52" t="str">
        <f t="shared" si="378"/>
        <v/>
      </c>
      <c r="C7370" t="str">
        <f t="shared" si="377"/>
        <v/>
      </c>
      <c r="D7370" s="245" t="str">
        <f t="shared" si="379"/>
        <v/>
      </c>
      <c r="E7370" s="534"/>
      <c r="F7370" s="534"/>
    </row>
    <row r="7371" spans="1:6" ht="15" customHeight="1">
      <c r="A7371" s="51"/>
      <c r="B7371" s="52" t="str">
        <f t="shared" si="378"/>
        <v/>
      </c>
      <c r="C7371" t="str">
        <f t="shared" si="377"/>
        <v/>
      </c>
      <c r="D7371" s="245" t="str">
        <f t="shared" si="379"/>
        <v/>
      </c>
      <c r="E7371" s="534"/>
      <c r="F7371" s="534"/>
    </row>
    <row r="7372" spans="1:6" ht="15" customHeight="1">
      <c r="A7372" s="51"/>
      <c r="B7372" s="52" t="str">
        <f t="shared" si="378"/>
        <v/>
      </c>
      <c r="C7372" t="str">
        <f t="shared" si="377"/>
        <v/>
      </c>
      <c r="D7372" s="245" t="str">
        <f t="shared" si="379"/>
        <v/>
      </c>
      <c r="E7372" s="534"/>
      <c r="F7372" s="534"/>
    </row>
    <row r="7373" spans="1:6" ht="15" customHeight="1">
      <c r="A7373" s="51"/>
      <c r="B7373" s="52" t="str">
        <f t="shared" si="378"/>
        <v/>
      </c>
      <c r="C7373" t="str">
        <f t="shared" si="377"/>
        <v/>
      </c>
      <c r="D7373" s="245" t="str">
        <f t="shared" si="379"/>
        <v/>
      </c>
      <c r="E7373" s="534"/>
      <c r="F7373" s="534"/>
    </row>
    <row r="7374" spans="1:6" ht="15" customHeight="1">
      <c r="A7374" s="51"/>
      <c r="B7374" s="52" t="str">
        <f t="shared" si="378"/>
        <v/>
      </c>
      <c r="C7374" t="str">
        <f t="shared" si="377"/>
        <v/>
      </c>
      <c r="D7374" s="245" t="str">
        <f t="shared" si="379"/>
        <v/>
      </c>
      <c r="E7374" s="534"/>
      <c r="F7374" s="534"/>
    </row>
    <row r="7375" spans="1:6" ht="15" customHeight="1">
      <c r="A7375" s="51"/>
      <c r="B7375" s="52" t="str">
        <f t="shared" si="378"/>
        <v/>
      </c>
      <c r="C7375" t="str">
        <f t="shared" si="377"/>
        <v/>
      </c>
      <c r="D7375" s="245" t="str">
        <f t="shared" si="379"/>
        <v/>
      </c>
      <c r="E7375" s="534"/>
      <c r="F7375" s="534"/>
    </row>
    <row r="7376" spans="1:6" ht="15" customHeight="1">
      <c r="A7376" s="51"/>
      <c r="B7376" s="52" t="str">
        <f t="shared" si="378"/>
        <v/>
      </c>
      <c r="C7376" t="str">
        <f t="shared" si="377"/>
        <v/>
      </c>
      <c r="D7376" s="245" t="str">
        <f t="shared" si="379"/>
        <v/>
      </c>
      <c r="E7376" s="534"/>
      <c r="F7376" s="534"/>
    </row>
    <row r="7377" spans="1:6" ht="15" customHeight="1">
      <c r="A7377" s="51"/>
      <c r="B7377" s="52" t="str">
        <f t="shared" si="378"/>
        <v/>
      </c>
      <c r="C7377" t="str">
        <f t="shared" si="377"/>
        <v/>
      </c>
      <c r="D7377" s="245" t="str">
        <f t="shared" si="379"/>
        <v/>
      </c>
      <c r="E7377" s="534"/>
      <c r="F7377" s="534"/>
    </row>
    <row r="7378" spans="1:6" ht="15" customHeight="1">
      <c r="A7378" s="51"/>
      <c r="B7378" s="52" t="str">
        <f t="shared" si="378"/>
        <v/>
      </c>
      <c r="C7378" t="str">
        <f t="shared" si="377"/>
        <v/>
      </c>
      <c r="D7378" s="245" t="str">
        <f t="shared" si="379"/>
        <v/>
      </c>
      <c r="E7378" s="534"/>
      <c r="F7378" s="534"/>
    </row>
    <row r="7379" spans="1:6" ht="15" customHeight="1">
      <c r="A7379" s="51"/>
      <c r="B7379" s="52" t="str">
        <f t="shared" si="378"/>
        <v/>
      </c>
      <c r="C7379" t="str">
        <f t="shared" si="377"/>
        <v/>
      </c>
      <c r="D7379" s="245" t="str">
        <f t="shared" si="379"/>
        <v/>
      </c>
      <c r="E7379" s="534"/>
      <c r="F7379" s="534"/>
    </row>
    <row r="7380" spans="1:6" ht="15" customHeight="1">
      <c r="A7380" s="51"/>
      <c r="B7380" s="52" t="str">
        <f t="shared" si="378"/>
        <v/>
      </c>
      <c r="C7380" t="str">
        <f t="shared" si="377"/>
        <v/>
      </c>
      <c r="D7380" s="245" t="str">
        <f t="shared" si="379"/>
        <v/>
      </c>
      <c r="E7380" s="534"/>
      <c r="F7380" s="534"/>
    </row>
    <row r="7381" spans="1:6" ht="15" customHeight="1">
      <c r="A7381" s="51"/>
      <c r="B7381" s="52" t="str">
        <f t="shared" si="378"/>
        <v/>
      </c>
      <c r="C7381" t="str">
        <f t="shared" si="377"/>
        <v/>
      </c>
      <c r="D7381" s="245" t="str">
        <f t="shared" si="379"/>
        <v/>
      </c>
      <c r="E7381" s="534"/>
      <c r="F7381" s="534"/>
    </row>
    <row r="7382" spans="1:6" ht="15" customHeight="1">
      <c r="A7382" s="51"/>
      <c r="B7382" s="52" t="str">
        <f t="shared" si="378"/>
        <v/>
      </c>
      <c r="C7382" t="str">
        <f t="shared" si="377"/>
        <v/>
      </c>
      <c r="D7382" s="245" t="str">
        <f t="shared" si="379"/>
        <v/>
      </c>
      <c r="E7382" s="534"/>
      <c r="F7382" s="534"/>
    </row>
    <row r="7383" spans="1:6" ht="15" customHeight="1">
      <c r="A7383" s="51"/>
      <c r="B7383" s="52" t="str">
        <f t="shared" si="378"/>
        <v/>
      </c>
      <c r="C7383" t="str">
        <f t="shared" si="377"/>
        <v/>
      </c>
      <c r="D7383" s="245" t="str">
        <f t="shared" si="379"/>
        <v/>
      </c>
      <c r="E7383" s="534"/>
      <c r="F7383" s="534"/>
    </row>
    <row r="7384" spans="1:6" ht="15" customHeight="1">
      <c r="A7384" s="51"/>
      <c r="B7384" s="52" t="str">
        <f t="shared" si="378"/>
        <v/>
      </c>
      <c r="C7384" t="str">
        <f t="shared" si="377"/>
        <v/>
      </c>
      <c r="D7384" s="245" t="str">
        <f t="shared" si="379"/>
        <v/>
      </c>
      <c r="E7384" s="534"/>
      <c r="F7384" s="534"/>
    </row>
    <row r="7385" spans="1:6" ht="15" customHeight="1">
      <c r="A7385" s="51"/>
      <c r="B7385" s="52" t="str">
        <f t="shared" si="378"/>
        <v/>
      </c>
      <c r="C7385" t="str">
        <f t="shared" si="377"/>
        <v/>
      </c>
      <c r="D7385" s="245" t="str">
        <f t="shared" si="379"/>
        <v/>
      </c>
      <c r="E7385" s="534"/>
      <c r="F7385" s="534"/>
    </row>
    <row r="7386" spans="1:6" ht="15" customHeight="1">
      <c r="A7386" s="51"/>
      <c r="B7386" s="52" t="str">
        <f t="shared" si="378"/>
        <v/>
      </c>
      <c r="C7386" t="str">
        <f t="shared" si="377"/>
        <v/>
      </c>
      <c r="D7386" s="245" t="str">
        <f t="shared" si="379"/>
        <v/>
      </c>
      <c r="E7386" s="534"/>
      <c r="F7386" s="534"/>
    </row>
    <row r="7387" spans="1:6" ht="15" customHeight="1">
      <c r="A7387" s="51"/>
      <c r="B7387" s="52" t="str">
        <f t="shared" si="378"/>
        <v/>
      </c>
      <c r="C7387" t="str">
        <f t="shared" si="377"/>
        <v/>
      </c>
      <c r="D7387" s="245" t="str">
        <f t="shared" si="379"/>
        <v/>
      </c>
      <c r="E7387" s="534"/>
      <c r="F7387" s="534"/>
    </row>
    <row r="7388" spans="1:6" ht="15" customHeight="1">
      <c r="A7388" s="51"/>
      <c r="B7388" s="52" t="str">
        <f t="shared" si="378"/>
        <v/>
      </c>
      <c r="C7388" t="str">
        <f t="shared" si="377"/>
        <v/>
      </c>
      <c r="D7388" s="245" t="str">
        <f t="shared" si="379"/>
        <v/>
      </c>
      <c r="E7388" s="534"/>
      <c r="F7388" s="534"/>
    </row>
    <row r="7389" spans="1:6" ht="15" customHeight="1">
      <c r="A7389" s="51"/>
      <c r="B7389" s="52" t="str">
        <f t="shared" si="378"/>
        <v/>
      </c>
      <c r="C7389" t="str">
        <f t="shared" si="377"/>
        <v/>
      </c>
      <c r="D7389" s="245" t="str">
        <f t="shared" si="379"/>
        <v/>
      </c>
      <c r="E7389" s="534"/>
      <c r="F7389" s="534"/>
    </row>
    <row r="7390" spans="1:6" ht="15" customHeight="1">
      <c r="A7390" s="51"/>
      <c r="B7390" s="52" t="str">
        <f t="shared" si="378"/>
        <v/>
      </c>
      <c r="C7390" t="str">
        <f t="shared" si="377"/>
        <v/>
      </c>
      <c r="D7390" s="245" t="str">
        <f t="shared" si="379"/>
        <v/>
      </c>
      <c r="E7390" s="534"/>
      <c r="F7390" s="534"/>
    </row>
    <row r="7391" spans="1:6" ht="15" customHeight="1">
      <c r="A7391" s="51"/>
      <c r="B7391" s="52" t="str">
        <f t="shared" si="378"/>
        <v/>
      </c>
      <c r="C7391" t="str">
        <f t="shared" si="377"/>
        <v/>
      </c>
      <c r="D7391" s="245" t="str">
        <f t="shared" si="379"/>
        <v/>
      </c>
      <c r="E7391" s="534"/>
      <c r="F7391" s="534"/>
    </row>
    <row r="7392" spans="1:6" ht="15" customHeight="1">
      <c r="A7392" s="51"/>
      <c r="B7392" s="52" t="str">
        <f t="shared" si="378"/>
        <v/>
      </c>
      <c r="C7392" t="str">
        <f t="shared" si="377"/>
        <v/>
      </c>
      <c r="D7392" s="245" t="str">
        <f t="shared" si="379"/>
        <v/>
      </c>
      <c r="E7392" s="534"/>
      <c r="F7392" s="534"/>
    </row>
    <row r="7393" spans="1:6" ht="15" customHeight="1">
      <c r="A7393" s="51"/>
      <c r="B7393" s="52" t="str">
        <f t="shared" si="378"/>
        <v/>
      </c>
      <c r="C7393" t="str">
        <f t="shared" si="377"/>
        <v/>
      </c>
      <c r="D7393" s="245" t="str">
        <f t="shared" si="379"/>
        <v/>
      </c>
      <c r="E7393" s="534"/>
      <c r="F7393" s="534"/>
    </row>
    <row r="7394" spans="1:6" ht="15" customHeight="1">
      <c r="A7394" s="51"/>
      <c r="B7394" s="52" t="str">
        <f t="shared" si="378"/>
        <v/>
      </c>
      <c r="C7394" t="str">
        <f t="shared" si="377"/>
        <v/>
      </c>
      <c r="D7394" s="245" t="str">
        <f t="shared" si="379"/>
        <v/>
      </c>
      <c r="E7394" s="534"/>
      <c r="F7394" s="534"/>
    </row>
    <row r="7395" spans="1:6" ht="15" customHeight="1">
      <c r="A7395" s="51"/>
      <c r="B7395" s="52" t="str">
        <f t="shared" si="378"/>
        <v/>
      </c>
      <c r="C7395" t="str">
        <f t="shared" si="377"/>
        <v/>
      </c>
      <c r="D7395" s="245" t="str">
        <f t="shared" si="379"/>
        <v/>
      </c>
      <c r="E7395" s="534"/>
      <c r="F7395" s="534"/>
    </row>
    <row r="7396" spans="1:6" ht="15" customHeight="1">
      <c r="A7396" s="51"/>
      <c r="B7396" s="52" t="str">
        <f t="shared" si="378"/>
        <v/>
      </c>
      <c r="C7396" t="str">
        <f t="shared" si="377"/>
        <v/>
      </c>
      <c r="D7396" s="245" t="str">
        <f t="shared" si="379"/>
        <v/>
      </c>
      <c r="E7396" s="534"/>
      <c r="F7396" s="534"/>
    </row>
    <row r="7397" spans="1:6" ht="15" customHeight="1">
      <c r="A7397" s="51"/>
      <c r="B7397" s="52" t="str">
        <f t="shared" si="378"/>
        <v/>
      </c>
      <c r="C7397" t="str">
        <f t="shared" si="377"/>
        <v/>
      </c>
      <c r="D7397" s="245" t="str">
        <f t="shared" si="379"/>
        <v/>
      </c>
      <c r="E7397" s="534"/>
      <c r="F7397" s="534"/>
    </row>
    <row r="7398" spans="1:6" ht="15" customHeight="1">
      <c r="A7398" s="51"/>
      <c r="B7398" s="52" t="str">
        <f t="shared" si="378"/>
        <v/>
      </c>
      <c r="C7398" t="str">
        <f t="shared" si="377"/>
        <v/>
      </c>
      <c r="D7398" s="245" t="str">
        <f t="shared" si="379"/>
        <v/>
      </c>
      <c r="E7398" s="534"/>
      <c r="F7398" s="534"/>
    </row>
    <row r="7399" spans="1:6" ht="15" customHeight="1">
      <c r="A7399" s="51"/>
      <c r="B7399" s="52" t="str">
        <f t="shared" si="378"/>
        <v/>
      </c>
      <c r="C7399" t="str">
        <f t="shared" si="377"/>
        <v/>
      </c>
      <c r="D7399" s="245" t="str">
        <f t="shared" si="379"/>
        <v/>
      </c>
      <c r="E7399" s="534"/>
      <c r="F7399" s="534"/>
    </row>
    <row r="7400" spans="1:6" ht="15" customHeight="1">
      <c r="A7400" s="51"/>
      <c r="B7400" s="52" t="str">
        <f t="shared" si="378"/>
        <v/>
      </c>
      <c r="C7400" t="str">
        <f t="shared" si="377"/>
        <v/>
      </c>
      <c r="D7400" s="245" t="str">
        <f t="shared" si="379"/>
        <v/>
      </c>
      <c r="E7400" s="534"/>
      <c r="F7400" s="534"/>
    </row>
    <row r="7401" spans="1:6" ht="15" customHeight="1">
      <c r="A7401" s="51"/>
      <c r="B7401" s="52" t="str">
        <f t="shared" si="378"/>
        <v/>
      </c>
      <c r="C7401" t="str">
        <f t="shared" si="377"/>
        <v/>
      </c>
      <c r="D7401" s="245" t="str">
        <f t="shared" si="379"/>
        <v/>
      </c>
      <c r="E7401" s="534"/>
      <c r="F7401" s="534"/>
    </row>
    <row r="7402" spans="1:6" ht="15" customHeight="1">
      <c r="A7402" s="51"/>
      <c r="B7402" s="52" t="str">
        <f t="shared" si="378"/>
        <v/>
      </c>
      <c r="C7402" t="str">
        <f t="shared" si="377"/>
        <v/>
      </c>
      <c r="D7402" s="245" t="str">
        <f t="shared" si="379"/>
        <v/>
      </c>
      <c r="E7402" s="534"/>
      <c r="F7402" s="534"/>
    </row>
    <row r="7403" spans="1:6" ht="15" customHeight="1">
      <c r="A7403" s="51"/>
      <c r="B7403" s="52" t="str">
        <f t="shared" si="378"/>
        <v/>
      </c>
      <c r="C7403" t="str">
        <f t="shared" si="377"/>
        <v/>
      </c>
      <c r="D7403" s="245" t="str">
        <f t="shared" si="379"/>
        <v/>
      </c>
      <c r="E7403" s="534"/>
      <c r="F7403" s="534"/>
    </row>
    <row r="7404" spans="1:6" ht="15" customHeight="1">
      <c r="A7404" s="51"/>
      <c r="B7404" s="52" t="str">
        <f t="shared" si="378"/>
        <v/>
      </c>
      <c r="C7404" t="str">
        <f t="shared" si="377"/>
        <v/>
      </c>
      <c r="D7404" s="245" t="str">
        <f t="shared" si="379"/>
        <v/>
      </c>
      <c r="E7404" s="534"/>
      <c r="F7404" s="534"/>
    </row>
    <row r="7405" spans="1:6" ht="15" customHeight="1">
      <c r="A7405" s="51"/>
      <c r="B7405" s="52" t="str">
        <f t="shared" si="378"/>
        <v/>
      </c>
      <c r="C7405" t="str">
        <f t="shared" si="377"/>
        <v/>
      </c>
      <c r="D7405" s="245" t="str">
        <f t="shared" si="379"/>
        <v/>
      </c>
      <c r="E7405" s="534"/>
      <c r="F7405" s="534"/>
    </row>
    <row r="7406" spans="1:6" ht="15" customHeight="1">
      <c r="A7406" s="51"/>
      <c r="B7406" s="52" t="str">
        <f t="shared" si="378"/>
        <v/>
      </c>
      <c r="C7406" t="str">
        <f t="shared" si="377"/>
        <v/>
      </c>
      <c r="D7406" s="245" t="str">
        <f t="shared" si="379"/>
        <v/>
      </c>
      <c r="E7406" s="534"/>
      <c r="F7406" s="534"/>
    </row>
    <row r="7407" spans="1:6" ht="15" customHeight="1">
      <c r="A7407" s="51"/>
      <c r="B7407" s="52" t="str">
        <f t="shared" si="378"/>
        <v/>
      </c>
      <c r="C7407" t="str">
        <f t="shared" si="377"/>
        <v/>
      </c>
      <c r="D7407" s="245" t="str">
        <f t="shared" si="379"/>
        <v/>
      </c>
      <c r="E7407" s="534"/>
      <c r="F7407" s="534"/>
    </row>
    <row r="7408" spans="1:6" ht="15" customHeight="1">
      <c r="A7408" s="51"/>
      <c r="B7408" s="52" t="str">
        <f t="shared" si="378"/>
        <v/>
      </c>
      <c r="C7408" t="str">
        <f t="shared" si="377"/>
        <v/>
      </c>
      <c r="D7408" s="245" t="str">
        <f t="shared" si="379"/>
        <v/>
      </c>
      <c r="E7408" s="534"/>
      <c r="F7408" s="534"/>
    </row>
    <row r="7409" spans="1:6" ht="15" customHeight="1">
      <c r="A7409" s="51"/>
      <c r="B7409" s="52" t="str">
        <f t="shared" si="378"/>
        <v/>
      </c>
      <c r="C7409" t="str">
        <f t="shared" si="377"/>
        <v/>
      </c>
      <c r="D7409" s="245" t="str">
        <f t="shared" si="379"/>
        <v/>
      </c>
      <c r="E7409" s="534"/>
      <c r="F7409" s="534"/>
    </row>
    <row r="7410" spans="1:6" ht="15" customHeight="1">
      <c r="A7410" s="51"/>
      <c r="B7410" s="52" t="str">
        <f t="shared" si="378"/>
        <v/>
      </c>
      <c r="C7410" t="str">
        <f t="shared" si="377"/>
        <v/>
      </c>
      <c r="D7410" s="245" t="str">
        <f t="shared" si="379"/>
        <v/>
      </c>
      <c r="E7410" s="534"/>
      <c r="F7410" s="534"/>
    </row>
    <row r="7411" spans="1:6" ht="15" customHeight="1">
      <c r="A7411" s="51"/>
      <c r="B7411" s="52" t="str">
        <f t="shared" si="378"/>
        <v/>
      </c>
      <c r="C7411" t="str">
        <f t="shared" si="377"/>
        <v/>
      </c>
      <c r="D7411" s="245" t="str">
        <f t="shared" si="379"/>
        <v/>
      </c>
      <c r="E7411" s="534"/>
      <c r="F7411" s="534"/>
    </row>
    <row r="7412" spans="1:6" ht="15" customHeight="1">
      <c r="A7412" s="51"/>
      <c r="B7412" s="52" t="str">
        <f t="shared" si="378"/>
        <v/>
      </c>
      <c r="C7412" t="str">
        <f t="shared" si="377"/>
        <v/>
      </c>
      <c r="D7412" s="245" t="str">
        <f t="shared" si="379"/>
        <v/>
      </c>
      <c r="E7412" s="534"/>
      <c r="F7412" s="534"/>
    </row>
    <row r="7413" spans="1:6" ht="15" customHeight="1">
      <c r="A7413" s="51"/>
      <c r="B7413" s="52" t="str">
        <f t="shared" si="378"/>
        <v/>
      </c>
      <c r="C7413" t="str">
        <f t="shared" si="377"/>
        <v/>
      </c>
      <c r="D7413" s="245" t="str">
        <f t="shared" si="379"/>
        <v/>
      </c>
      <c r="E7413" s="534"/>
      <c r="F7413" s="534"/>
    </row>
    <row r="7414" spans="1:6" ht="15" customHeight="1">
      <c r="A7414" s="51"/>
      <c r="B7414" s="52" t="str">
        <f t="shared" si="378"/>
        <v/>
      </c>
      <c r="C7414" t="str">
        <f t="shared" si="377"/>
        <v/>
      </c>
      <c r="D7414" s="245" t="str">
        <f t="shared" si="379"/>
        <v/>
      </c>
      <c r="E7414" s="534"/>
      <c r="F7414" s="534"/>
    </row>
    <row r="7415" spans="1:6" ht="15" customHeight="1">
      <c r="A7415" s="51"/>
      <c r="B7415" s="52" t="str">
        <f t="shared" si="378"/>
        <v/>
      </c>
      <c r="C7415" t="str">
        <f t="shared" si="377"/>
        <v/>
      </c>
      <c r="D7415" s="245" t="str">
        <f t="shared" si="379"/>
        <v/>
      </c>
      <c r="E7415" s="534"/>
      <c r="F7415" s="534"/>
    </row>
    <row r="7416" spans="1:6" ht="15" customHeight="1">
      <c r="A7416" s="51"/>
      <c r="B7416" s="52" t="str">
        <f t="shared" si="378"/>
        <v/>
      </c>
      <c r="C7416" t="str">
        <f t="shared" si="377"/>
        <v/>
      </c>
      <c r="D7416" s="245" t="str">
        <f t="shared" si="379"/>
        <v/>
      </c>
      <c r="E7416" s="534"/>
      <c r="F7416" s="534"/>
    </row>
    <row r="7417" spans="1:6" ht="15" customHeight="1">
      <c r="A7417" s="51"/>
      <c r="B7417" s="52" t="str">
        <f t="shared" si="378"/>
        <v/>
      </c>
      <c r="C7417" t="str">
        <f t="shared" si="377"/>
        <v/>
      </c>
      <c r="D7417" s="245" t="str">
        <f t="shared" si="379"/>
        <v/>
      </c>
      <c r="E7417" s="534"/>
      <c r="F7417" s="534"/>
    </row>
    <row r="7418" spans="1:6" ht="15" customHeight="1">
      <c r="A7418" s="51"/>
      <c r="B7418" s="52" t="str">
        <f t="shared" si="378"/>
        <v/>
      </c>
      <c r="C7418" t="str">
        <f t="shared" si="377"/>
        <v/>
      </c>
      <c r="D7418" s="245" t="str">
        <f t="shared" si="379"/>
        <v/>
      </c>
      <c r="E7418" s="534"/>
      <c r="F7418" s="534"/>
    </row>
    <row r="7419" spans="1:6" ht="15" customHeight="1">
      <c r="A7419" s="51"/>
      <c r="B7419" s="52" t="str">
        <f t="shared" si="378"/>
        <v/>
      </c>
      <c r="C7419" t="str">
        <f t="shared" si="377"/>
        <v/>
      </c>
      <c r="D7419" s="245" t="str">
        <f t="shared" si="379"/>
        <v/>
      </c>
      <c r="E7419" s="534"/>
      <c r="F7419" s="534"/>
    </row>
    <row r="7420" spans="1:6" ht="15" customHeight="1">
      <c r="A7420" s="51"/>
      <c r="B7420" s="52" t="str">
        <f t="shared" si="378"/>
        <v/>
      </c>
      <c r="C7420" t="str">
        <f t="shared" si="377"/>
        <v/>
      </c>
      <c r="D7420" s="245" t="str">
        <f t="shared" si="379"/>
        <v/>
      </c>
      <c r="E7420" s="534"/>
      <c r="F7420" s="534"/>
    </row>
    <row r="7421" spans="1:6" ht="15" customHeight="1">
      <c r="A7421" s="51"/>
      <c r="B7421" s="52" t="str">
        <f t="shared" si="378"/>
        <v/>
      </c>
      <c r="C7421" t="str">
        <f t="shared" si="377"/>
        <v/>
      </c>
      <c r="D7421" s="245" t="str">
        <f t="shared" si="379"/>
        <v/>
      </c>
      <c r="E7421" s="534"/>
      <c r="F7421" s="534"/>
    </row>
    <row r="7422" spans="1:6" ht="15" customHeight="1">
      <c r="A7422" s="51"/>
      <c r="B7422" s="52" t="str">
        <f t="shared" si="378"/>
        <v/>
      </c>
      <c r="C7422" t="str">
        <f t="shared" si="377"/>
        <v/>
      </c>
      <c r="D7422" s="245" t="str">
        <f t="shared" si="379"/>
        <v/>
      </c>
      <c r="E7422" s="534"/>
      <c r="F7422" s="534"/>
    </row>
    <row r="7423" spans="1:6" ht="15" customHeight="1">
      <c r="A7423" s="51"/>
      <c r="B7423" s="52" t="str">
        <f t="shared" si="378"/>
        <v/>
      </c>
      <c r="C7423" t="str">
        <f t="shared" si="377"/>
        <v/>
      </c>
      <c r="D7423" s="245" t="str">
        <f t="shared" si="379"/>
        <v/>
      </c>
      <c r="E7423" s="534"/>
      <c r="F7423" s="534"/>
    </row>
    <row r="7424" spans="1:6" ht="15" customHeight="1">
      <c r="A7424" s="51"/>
      <c r="B7424" s="52" t="str">
        <f t="shared" si="378"/>
        <v/>
      </c>
      <c r="C7424" t="str">
        <f t="shared" si="377"/>
        <v/>
      </c>
      <c r="D7424" s="245" t="str">
        <f t="shared" si="379"/>
        <v/>
      </c>
      <c r="E7424" s="534"/>
      <c r="F7424" s="534"/>
    </row>
    <row r="7425" spans="1:6" ht="15" customHeight="1">
      <c r="A7425" s="51"/>
      <c r="B7425" s="52" t="str">
        <f t="shared" si="378"/>
        <v/>
      </c>
      <c r="C7425" t="str">
        <f t="shared" si="377"/>
        <v/>
      </c>
      <c r="D7425" s="245" t="str">
        <f t="shared" si="379"/>
        <v/>
      </c>
      <c r="E7425" s="534"/>
      <c r="F7425" s="534"/>
    </row>
    <row r="7426" spans="1:6" ht="15" customHeight="1">
      <c r="A7426" s="51"/>
      <c r="B7426" s="52" t="str">
        <f t="shared" si="378"/>
        <v/>
      </c>
      <c r="C7426" t="str">
        <f t="shared" ref="C7426:C7489" si="380">IF(A7426&lt;&gt;"",TEXT(A7426,"aaaa"),"")</f>
        <v/>
      </c>
      <c r="D7426" s="245" t="str">
        <f t="shared" si="379"/>
        <v/>
      </c>
      <c r="E7426" s="534"/>
      <c r="F7426" s="534"/>
    </row>
    <row r="7427" spans="1:6" ht="15" customHeight="1">
      <c r="A7427" s="51"/>
      <c r="B7427" s="52" t="str">
        <f t="shared" si="378"/>
        <v/>
      </c>
      <c r="C7427" t="str">
        <f t="shared" si="380"/>
        <v/>
      </c>
      <c r="D7427" s="245" t="str">
        <f t="shared" si="379"/>
        <v/>
      </c>
      <c r="E7427" s="534"/>
      <c r="F7427" s="534"/>
    </row>
    <row r="7428" spans="1:6" ht="15" customHeight="1">
      <c r="A7428" s="51"/>
      <c r="B7428" s="52" t="str">
        <f t="shared" si="378"/>
        <v/>
      </c>
      <c r="C7428" t="str">
        <f t="shared" si="380"/>
        <v/>
      </c>
      <c r="D7428" s="245" t="str">
        <f t="shared" si="379"/>
        <v/>
      </c>
      <c r="E7428" s="534"/>
      <c r="F7428" s="534"/>
    </row>
    <row r="7429" spans="1:6" ht="15" customHeight="1">
      <c r="A7429" s="51"/>
      <c r="B7429" s="52" t="str">
        <f t="shared" si="378"/>
        <v/>
      </c>
      <c r="C7429" t="str">
        <f t="shared" si="380"/>
        <v/>
      </c>
      <c r="D7429" s="245" t="str">
        <f t="shared" si="379"/>
        <v/>
      </c>
      <c r="E7429" s="534"/>
      <c r="F7429" s="534"/>
    </row>
    <row r="7430" spans="1:6" ht="15" customHeight="1">
      <c r="A7430" s="51"/>
      <c r="B7430" s="52" t="str">
        <f t="shared" si="378"/>
        <v/>
      </c>
      <c r="C7430" t="str">
        <f t="shared" si="380"/>
        <v/>
      </c>
      <c r="D7430" s="245" t="str">
        <f t="shared" si="379"/>
        <v/>
      </c>
      <c r="E7430" s="534"/>
      <c r="F7430" s="534"/>
    </row>
    <row r="7431" spans="1:6" ht="15" customHeight="1">
      <c r="A7431" s="51"/>
      <c r="B7431" s="52" t="str">
        <f t="shared" si="378"/>
        <v/>
      </c>
      <c r="C7431" t="str">
        <f t="shared" si="380"/>
        <v/>
      </c>
      <c r="D7431" s="245" t="str">
        <f t="shared" si="379"/>
        <v/>
      </c>
      <c r="E7431" s="534"/>
      <c r="F7431" s="534"/>
    </row>
    <row r="7432" spans="1:6" ht="15" customHeight="1">
      <c r="A7432" s="51"/>
      <c r="B7432" s="52" t="str">
        <f t="shared" ref="B7432:B7495" si="381">IF(A7432="","",TEXT(A7432,"DDDD"))</f>
        <v/>
      </c>
      <c r="C7432" t="str">
        <f t="shared" si="380"/>
        <v/>
      </c>
      <c r="D7432" s="245" t="str">
        <f t="shared" si="379"/>
        <v/>
      </c>
      <c r="E7432" s="534"/>
      <c r="F7432" s="534"/>
    </row>
    <row r="7433" spans="1:6" ht="15" customHeight="1">
      <c r="A7433" s="51"/>
      <c r="B7433" s="52" t="str">
        <f t="shared" si="381"/>
        <v/>
      </c>
      <c r="C7433" t="str">
        <f t="shared" si="380"/>
        <v/>
      </c>
      <c r="D7433" s="245" t="str">
        <f t="shared" ref="D7433:D7496" si="382">IF(A7433&lt;&gt;"",PROPER(TEXT(A7433,"Mmmm")),"")</f>
        <v/>
      </c>
      <c r="E7433" s="534"/>
      <c r="F7433" s="534"/>
    </row>
    <row r="7434" spans="1:6" ht="15" customHeight="1">
      <c r="A7434" s="51"/>
      <c r="B7434" s="52" t="str">
        <f t="shared" si="381"/>
        <v/>
      </c>
      <c r="C7434" t="str">
        <f t="shared" si="380"/>
        <v/>
      </c>
      <c r="D7434" s="245" t="str">
        <f t="shared" si="382"/>
        <v/>
      </c>
      <c r="E7434" s="534"/>
      <c r="F7434" s="534"/>
    </row>
    <row r="7435" spans="1:6" ht="15" customHeight="1">
      <c r="A7435" s="51"/>
      <c r="B7435" s="52" t="str">
        <f t="shared" si="381"/>
        <v/>
      </c>
      <c r="C7435" t="str">
        <f t="shared" si="380"/>
        <v/>
      </c>
      <c r="D7435" s="245" t="str">
        <f t="shared" si="382"/>
        <v/>
      </c>
      <c r="E7435" s="534"/>
      <c r="F7435" s="534"/>
    </row>
    <row r="7436" spans="1:6" ht="15" customHeight="1">
      <c r="A7436" s="51"/>
      <c r="B7436" s="52" t="str">
        <f t="shared" si="381"/>
        <v/>
      </c>
      <c r="C7436" t="str">
        <f t="shared" si="380"/>
        <v/>
      </c>
      <c r="D7436" s="245" t="str">
        <f t="shared" si="382"/>
        <v/>
      </c>
      <c r="E7436" s="534"/>
      <c r="F7436" s="534"/>
    </row>
    <row r="7437" spans="1:6" ht="15" customHeight="1">
      <c r="A7437" s="51"/>
      <c r="B7437" s="52" t="str">
        <f t="shared" si="381"/>
        <v/>
      </c>
      <c r="C7437" t="str">
        <f t="shared" si="380"/>
        <v/>
      </c>
      <c r="D7437" s="245" t="str">
        <f t="shared" si="382"/>
        <v/>
      </c>
      <c r="E7437" s="534"/>
      <c r="F7437" s="534"/>
    </row>
    <row r="7438" spans="1:6" ht="15" customHeight="1">
      <c r="A7438" s="51"/>
      <c r="B7438" s="52" t="str">
        <f t="shared" si="381"/>
        <v/>
      </c>
      <c r="C7438" t="str">
        <f t="shared" si="380"/>
        <v/>
      </c>
      <c r="D7438" s="245" t="str">
        <f t="shared" si="382"/>
        <v/>
      </c>
      <c r="E7438" s="534"/>
      <c r="F7438" s="534"/>
    </row>
    <row r="7439" spans="1:6" ht="15" customHeight="1">
      <c r="A7439" s="51"/>
      <c r="B7439" s="52" t="str">
        <f t="shared" si="381"/>
        <v/>
      </c>
      <c r="C7439" t="str">
        <f t="shared" si="380"/>
        <v/>
      </c>
      <c r="D7439" s="245" t="str">
        <f t="shared" si="382"/>
        <v/>
      </c>
      <c r="E7439" s="534"/>
      <c r="F7439" s="534"/>
    </row>
    <row r="7440" spans="1:6" ht="15" customHeight="1">
      <c r="A7440" s="51"/>
      <c r="B7440" s="52" t="str">
        <f t="shared" si="381"/>
        <v/>
      </c>
      <c r="C7440" t="str">
        <f t="shared" si="380"/>
        <v/>
      </c>
      <c r="D7440" s="245" t="str">
        <f t="shared" si="382"/>
        <v/>
      </c>
      <c r="E7440" s="534"/>
      <c r="F7440" s="534"/>
    </row>
    <row r="7441" spans="1:6" ht="15" customHeight="1">
      <c r="A7441" s="51"/>
      <c r="B7441" s="52" t="str">
        <f t="shared" si="381"/>
        <v/>
      </c>
      <c r="C7441" t="str">
        <f t="shared" si="380"/>
        <v/>
      </c>
      <c r="D7441" s="245" t="str">
        <f t="shared" si="382"/>
        <v/>
      </c>
      <c r="E7441" s="534"/>
      <c r="F7441" s="534"/>
    </row>
    <row r="7442" spans="1:6" ht="15" customHeight="1">
      <c r="A7442" s="51"/>
      <c r="B7442" s="52" t="str">
        <f t="shared" si="381"/>
        <v/>
      </c>
      <c r="C7442" t="str">
        <f t="shared" si="380"/>
        <v/>
      </c>
      <c r="D7442" s="245" t="str">
        <f t="shared" si="382"/>
        <v/>
      </c>
      <c r="E7442" s="534"/>
      <c r="F7442" s="534"/>
    </row>
    <row r="7443" spans="1:6" ht="15" customHeight="1">
      <c r="A7443" s="51"/>
      <c r="B7443" s="52" t="str">
        <f t="shared" si="381"/>
        <v/>
      </c>
      <c r="C7443" t="str">
        <f t="shared" si="380"/>
        <v/>
      </c>
      <c r="D7443" s="245" t="str">
        <f t="shared" si="382"/>
        <v/>
      </c>
      <c r="E7443" s="534"/>
      <c r="F7443" s="534"/>
    </row>
    <row r="7444" spans="1:6" ht="15" customHeight="1">
      <c r="A7444" s="51"/>
      <c r="B7444" s="52" t="str">
        <f t="shared" si="381"/>
        <v/>
      </c>
      <c r="C7444" t="str">
        <f t="shared" si="380"/>
        <v/>
      </c>
      <c r="D7444" s="245" t="str">
        <f t="shared" si="382"/>
        <v/>
      </c>
      <c r="E7444" s="534"/>
      <c r="F7444" s="534"/>
    </row>
    <row r="7445" spans="1:6" ht="15" customHeight="1">
      <c r="A7445" s="51"/>
      <c r="B7445" s="52" t="str">
        <f t="shared" si="381"/>
        <v/>
      </c>
      <c r="C7445" t="str">
        <f t="shared" si="380"/>
        <v/>
      </c>
      <c r="D7445" s="245" t="str">
        <f t="shared" si="382"/>
        <v/>
      </c>
      <c r="E7445" s="534"/>
      <c r="F7445" s="534"/>
    </row>
    <row r="7446" spans="1:6" ht="15" customHeight="1">
      <c r="A7446" s="51"/>
      <c r="B7446" s="52" t="str">
        <f t="shared" si="381"/>
        <v/>
      </c>
      <c r="C7446" t="str">
        <f t="shared" si="380"/>
        <v/>
      </c>
      <c r="D7446" s="245" t="str">
        <f t="shared" si="382"/>
        <v/>
      </c>
      <c r="E7446" s="534"/>
      <c r="F7446" s="534"/>
    </row>
    <row r="7447" spans="1:6" ht="15" customHeight="1">
      <c r="A7447" s="51"/>
      <c r="B7447" s="52" t="str">
        <f t="shared" si="381"/>
        <v/>
      </c>
      <c r="C7447" t="str">
        <f t="shared" si="380"/>
        <v/>
      </c>
      <c r="D7447" s="245" t="str">
        <f t="shared" si="382"/>
        <v/>
      </c>
      <c r="E7447" s="534"/>
      <c r="F7447" s="534"/>
    </row>
    <row r="7448" spans="1:6" ht="15" customHeight="1">
      <c r="A7448" s="51"/>
      <c r="B7448" s="52" t="str">
        <f t="shared" si="381"/>
        <v/>
      </c>
      <c r="C7448" t="str">
        <f t="shared" si="380"/>
        <v/>
      </c>
      <c r="D7448" s="245" t="str">
        <f t="shared" si="382"/>
        <v/>
      </c>
      <c r="E7448" s="534"/>
      <c r="F7448" s="534"/>
    </row>
    <row r="7449" spans="1:6" ht="15" customHeight="1">
      <c r="A7449" s="51"/>
      <c r="B7449" s="52" t="str">
        <f t="shared" si="381"/>
        <v/>
      </c>
      <c r="C7449" t="str">
        <f t="shared" si="380"/>
        <v/>
      </c>
      <c r="D7449" s="245" t="str">
        <f t="shared" si="382"/>
        <v/>
      </c>
      <c r="E7449" s="534"/>
      <c r="F7449" s="534"/>
    </row>
    <row r="7450" spans="1:6" ht="15" customHeight="1">
      <c r="A7450" s="51"/>
      <c r="B7450" s="52" t="str">
        <f t="shared" si="381"/>
        <v/>
      </c>
      <c r="C7450" t="str">
        <f t="shared" si="380"/>
        <v/>
      </c>
      <c r="D7450" s="245" t="str">
        <f t="shared" si="382"/>
        <v/>
      </c>
      <c r="E7450" s="534"/>
      <c r="F7450" s="534"/>
    </row>
    <row r="7451" spans="1:6" ht="15" customHeight="1">
      <c r="A7451" s="51"/>
      <c r="B7451" s="52" t="str">
        <f t="shared" si="381"/>
        <v/>
      </c>
      <c r="C7451" t="str">
        <f t="shared" si="380"/>
        <v/>
      </c>
      <c r="D7451" s="245" t="str">
        <f t="shared" si="382"/>
        <v/>
      </c>
      <c r="E7451" s="534"/>
      <c r="F7451" s="534"/>
    </row>
    <row r="7452" spans="1:6" ht="15" customHeight="1">
      <c r="A7452" s="51"/>
      <c r="B7452" s="52" t="str">
        <f t="shared" si="381"/>
        <v/>
      </c>
      <c r="C7452" t="str">
        <f t="shared" si="380"/>
        <v/>
      </c>
      <c r="D7452" s="245" t="str">
        <f t="shared" si="382"/>
        <v/>
      </c>
      <c r="E7452" s="534"/>
      <c r="F7452" s="534"/>
    </row>
    <row r="7453" spans="1:6" ht="15" customHeight="1">
      <c r="A7453" s="51"/>
      <c r="B7453" s="52" t="str">
        <f t="shared" si="381"/>
        <v/>
      </c>
      <c r="C7453" t="str">
        <f t="shared" si="380"/>
        <v/>
      </c>
      <c r="D7453" s="245" t="str">
        <f t="shared" si="382"/>
        <v/>
      </c>
      <c r="E7453" s="534"/>
      <c r="F7453" s="534"/>
    </row>
    <row r="7454" spans="1:6" ht="15" customHeight="1">
      <c r="A7454" s="51"/>
      <c r="B7454" s="52" t="str">
        <f t="shared" si="381"/>
        <v/>
      </c>
      <c r="C7454" t="str">
        <f t="shared" si="380"/>
        <v/>
      </c>
      <c r="D7454" s="245" t="str">
        <f t="shared" si="382"/>
        <v/>
      </c>
      <c r="E7454" s="534"/>
      <c r="F7454" s="534"/>
    </row>
    <row r="7455" spans="1:6" ht="15" customHeight="1">
      <c r="A7455" s="51"/>
      <c r="B7455" s="52" t="str">
        <f t="shared" si="381"/>
        <v/>
      </c>
      <c r="C7455" t="str">
        <f t="shared" si="380"/>
        <v/>
      </c>
      <c r="D7455" s="245" t="str">
        <f t="shared" si="382"/>
        <v/>
      </c>
      <c r="E7455" s="534"/>
      <c r="F7455" s="534"/>
    </row>
    <row r="7456" spans="1:6" ht="15" customHeight="1">
      <c r="A7456" s="51"/>
      <c r="B7456" s="52" t="str">
        <f t="shared" si="381"/>
        <v/>
      </c>
      <c r="C7456" t="str">
        <f t="shared" si="380"/>
        <v/>
      </c>
      <c r="D7456" s="245" t="str">
        <f t="shared" si="382"/>
        <v/>
      </c>
      <c r="E7456" s="534"/>
      <c r="F7456" s="534"/>
    </row>
    <row r="7457" spans="1:6" ht="15" customHeight="1">
      <c r="A7457" s="51"/>
      <c r="B7457" s="52" t="str">
        <f t="shared" si="381"/>
        <v/>
      </c>
      <c r="C7457" t="str">
        <f t="shared" si="380"/>
        <v/>
      </c>
      <c r="D7457" s="245" t="str">
        <f t="shared" si="382"/>
        <v/>
      </c>
      <c r="E7457" s="534"/>
      <c r="F7457" s="534"/>
    </row>
    <row r="7458" spans="1:6" ht="15" customHeight="1">
      <c r="A7458" s="51"/>
      <c r="B7458" s="52" t="str">
        <f t="shared" si="381"/>
        <v/>
      </c>
      <c r="C7458" t="str">
        <f t="shared" si="380"/>
        <v/>
      </c>
      <c r="D7458" s="245" t="str">
        <f t="shared" si="382"/>
        <v/>
      </c>
      <c r="E7458" s="534"/>
      <c r="F7458" s="534"/>
    </row>
    <row r="7459" spans="1:6" ht="15" customHeight="1">
      <c r="A7459" s="51"/>
      <c r="B7459" s="52" t="str">
        <f t="shared" si="381"/>
        <v/>
      </c>
      <c r="C7459" t="str">
        <f t="shared" si="380"/>
        <v/>
      </c>
      <c r="D7459" s="245" t="str">
        <f t="shared" si="382"/>
        <v/>
      </c>
      <c r="E7459" s="534"/>
      <c r="F7459" s="534"/>
    </row>
    <row r="7460" spans="1:6" ht="15" customHeight="1">
      <c r="A7460" s="51"/>
      <c r="B7460" s="52" t="str">
        <f t="shared" si="381"/>
        <v/>
      </c>
      <c r="C7460" t="str">
        <f t="shared" si="380"/>
        <v/>
      </c>
      <c r="D7460" s="245" t="str">
        <f t="shared" si="382"/>
        <v/>
      </c>
      <c r="E7460" s="534"/>
      <c r="F7460" s="534"/>
    </row>
    <row r="7461" spans="1:6" ht="15" customHeight="1">
      <c r="A7461" s="51"/>
      <c r="B7461" s="52" t="str">
        <f t="shared" si="381"/>
        <v/>
      </c>
      <c r="C7461" t="str">
        <f t="shared" si="380"/>
        <v/>
      </c>
      <c r="D7461" s="245" t="str">
        <f t="shared" si="382"/>
        <v/>
      </c>
      <c r="E7461" s="534"/>
      <c r="F7461" s="534"/>
    </row>
    <row r="7462" spans="1:6" ht="15" customHeight="1">
      <c r="A7462" s="51"/>
      <c r="B7462" s="52" t="str">
        <f t="shared" si="381"/>
        <v/>
      </c>
      <c r="C7462" t="str">
        <f t="shared" si="380"/>
        <v/>
      </c>
      <c r="D7462" s="245" t="str">
        <f t="shared" si="382"/>
        <v/>
      </c>
      <c r="E7462" s="534"/>
      <c r="F7462" s="534"/>
    </row>
    <row r="7463" spans="1:6" ht="15" customHeight="1">
      <c r="A7463" s="51"/>
      <c r="B7463" s="52" t="str">
        <f t="shared" si="381"/>
        <v/>
      </c>
      <c r="C7463" t="str">
        <f t="shared" si="380"/>
        <v/>
      </c>
      <c r="D7463" s="245" t="str">
        <f t="shared" si="382"/>
        <v/>
      </c>
      <c r="E7463" s="534"/>
      <c r="F7463" s="534"/>
    </row>
    <row r="7464" spans="1:6" ht="15" customHeight="1">
      <c r="A7464" s="51"/>
      <c r="B7464" s="52" t="str">
        <f t="shared" si="381"/>
        <v/>
      </c>
      <c r="C7464" t="str">
        <f t="shared" si="380"/>
        <v/>
      </c>
      <c r="D7464" s="245" t="str">
        <f t="shared" si="382"/>
        <v/>
      </c>
      <c r="E7464" s="534"/>
      <c r="F7464" s="534"/>
    </row>
    <row r="7465" spans="1:6" ht="15" customHeight="1">
      <c r="A7465" s="51"/>
      <c r="B7465" s="52" t="str">
        <f t="shared" si="381"/>
        <v/>
      </c>
      <c r="C7465" t="str">
        <f t="shared" si="380"/>
        <v/>
      </c>
      <c r="D7465" s="245" t="str">
        <f t="shared" si="382"/>
        <v/>
      </c>
      <c r="E7465" s="534"/>
      <c r="F7465" s="534"/>
    </row>
    <row r="7466" spans="1:6" ht="15" customHeight="1">
      <c r="A7466" s="51"/>
      <c r="B7466" s="52" t="str">
        <f t="shared" si="381"/>
        <v/>
      </c>
      <c r="C7466" t="str">
        <f t="shared" si="380"/>
        <v/>
      </c>
      <c r="D7466" s="245" t="str">
        <f t="shared" si="382"/>
        <v/>
      </c>
      <c r="E7466" s="534"/>
      <c r="F7466" s="534"/>
    </row>
    <row r="7467" spans="1:6" ht="15" customHeight="1">
      <c r="A7467" s="51"/>
      <c r="B7467" s="52" t="str">
        <f t="shared" si="381"/>
        <v/>
      </c>
      <c r="C7467" t="str">
        <f t="shared" si="380"/>
        <v/>
      </c>
      <c r="D7467" s="245" t="str">
        <f t="shared" si="382"/>
        <v/>
      </c>
      <c r="E7467" s="534"/>
      <c r="F7467" s="534"/>
    </row>
    <row r="7468" spans="1:6" ht="15" customHeight="1">
      <c r="A7468" s="51"/>
      <c r="B7468" s="52" t="str">
        <f t="shared" si="381"/>
        <v/>
      </c>
      <c r="C7468" t="str">
        <f t="shared" si="380"/>
        <v/>
      </c>
      <c r="D7468" s="245" t="str">
        <f t="shared" si="382"/>
        <v/>
      </c>
      <c r="E7468" s="534"/>
      <c r="F7468" s="534"/>
    </row>
    <row r="7469" spans="1:6" ht="15" customHeight="1">
      <c r="A7469" s="51"/>
      <c r="B7469" s="52" t="str">
        <f t="shared" si="381"/>
        <v/>
      </c>
      <c r="C7469" t="str">
        <f t="shared" si="380"/>
        <v/>
      </c>
      <c r="D7469" s="245" t="str">
        <f t="shared" si="382"/>
        <v/>
      </c>
      <c r="E7469" s="534"/>
      <c r="F7469" s="534"/>
    </row>
    <row r="7470" spans="1:6" ht="15" customHeight="1">
      <c r="A7470" s="51"/>
      <c r="B7470" s="52" t="str">
        <f t="shared" si="381"/>
        <v/>
      </c>
      <c r="C7470" t="str">
        <f t="shared" si="380"/>
        <v/>
      </c>
      <c r="D7470" s="245" t="str">
        <f t="shared" si="382"/>
        <v/>
      </c>
      <c r="E7470" s="534"/>
      <c r="F7470" s="534"/>
    </row>
    <row r="7471" spans="1:6" ht="15" customHeight="1">
      <c r="A7471" s="51"/>
      <c r="B7471" s="52" t="str">
        <f t="shared" si="381"/>
        <v/>
      </c>
      <c r="C7471" t="str">
        <f t="shared" si="380"/>
        <v/>
      </c>
      <c r="D7471" s="245" t="str">
        <f t="shared" si="382"/>
        <v/>
      </c>
      <c r="E7471" s="534"/>
      <c r="F7471" s="534"/>
    </row>
    <row r="7472" spans="1:6" ht="15" customHeight="1">
      <c r="A7472" s="51"/>
      <c r="B7472" s="52" t="str">
        <f t="shared" si="381"/>
        <v/>
      </c>
      <c r="C7472" t="str">
        <f t="shared" si="380"/>
        <v/>
      </c>
      <c r="D7472" s="245" t="str">
        <f t="shared" si="382"/>
        <v/>
      </c>
      <c r="E7472" s="534"/>
      <c r="F7472" s="534"/>
    </row>
    <row r="7473" spans="1:6" ht="15" customHeight="1">
      <c r="A7473" s="51"/>
      <c r="B7473" s="52" t="str">
        <f t="shared" si="381"/>
        <v/>
      </c>
      <c r="C7473" t="str">
        <f t="shared" si="380"/>
        <v/>
      </c>
      <c r="D7473" s="245" t="str">
        <f t="shared" si="382"/>
        <v/>
      </c>
      <c r="E7473" s="534"/>
      <c r="F7473" s="534"/>
    </row>
    <row r="7474" spans="1:6" ht="15" customHeight="1">
      <c r="A7474" s="51"/>
      <c r="B7474" s="52" t="str">
        <f t="shared" si="381"/>
        <v/>
      </c>
      <c r="C7474" t="str">
        <f t="shared" si="380"/>
        <v/>
      </c>
      <c r="D7474" s="245" t="str">
        <f t="shared" si="382"/>
        <v/>
      </c>
      <c r="E7474" s="534"/>
      <c r="F7474" s="534"/>
    </row>
    <row r="7475" spans="1:6" ht="15" customHeight="1">
      <c r="A7475" s="51"/>
      <c r="B7475" s="52" t="str">
        <f t="shared" si="381"/>
        <v/>
      </c>
      <c r="C7475" t="str">
        <f t="shared" si="380"/>
        <v/>
      </c>
      <c r="D7475" s="245" t="str">
        <f t="shared" si="382"/>
        <v/>
      </c>
      <c r="E7475" s="534"/>
      <c r="F7475" s="534"/>
    </row>
    <row r="7476" spans="1:6" ht="15" customHeight="1">
      <c r="A7476" s="51"/>
      <c r="B7476" s="52" t="str">
        <f t="shared" si="381"/>
        <v/>
      </c>
      <c r="C7476" t="str">
        <f t="shared" si="380"/>
        <v/>
      </c>
      <c r="D7476" s="245" t="str">
        <f t="shared" si="382"/>
        <v/>
      </c>
      <c r="E7476" s="534"/>
      <c r="F7476" s="534"/>
    </row>
    <row r="7477" spans="1:6" ht="15" customHeight="1">
      <c r="A7477" s="51"/>
      <c r="B7477" s="52" t="str">
        <f t="shared" si="381"/>
        <v/>
      </c>
      <c r="C7477" t="str">
        <f t="shared" si="380"/>
        <v/>
      </c>
      <c r="D7477" s="245" t="str">
        <f t="shared" si="382"/>
        <v/>
      </c>
      <c r="E7477" s="534"/>
      <c r="F7477" s="534"/>
    </row>
    <row r="7478" spans="1:6" ht="15" customHeight="1">
      <c r="A7478" s="51"/>
      <c r="B7478" s="52" t="str">
        <f t="shared" si="381"/>
        <v/>
      </c>
      <c r="C7478" t="str">
        <f t="shared" si="380"/>
        <v/>
      </c>
      <c r="D7478" s="245" t="str">
        <f t="shared" si="382"/>
        <v/>
      </c>
      <c r="E7478" s="534"/>
      <c r="F7478" s="534"/>
    </row>
    <row r="7479" spans="1:6" ht="15" customHeight="1">
      <c r="A7479" s="51"/>
      <c r="B7479" s="52" t="str">
        <f t="shared" si="381"/>
        <v/>
      </c>
      <c r="C7479" t="str">
        <f t="shared" si="380"/>
        <v/>
      </c>
      <c r="D7479" s="245" t="str">
        <f t="shared" si="382"/>
        <v/>
      </c>
      <c r="E7479" s="534"/>
      <c r="F7479" s="534"/>
    </row>
    <row r="7480" spans="1:6" ht="15" customHeight="1">
      <c r="A7480" s="51"/>
      <c r="B7480" s="52" t="str">
        <f t="shared" si="381"/>
        <v/>
      </c>
      <c r="C7480" t="str">
        <f t="shared" si="380"/>
        <v/>
      </c>
      <c r="D7480" s="245" t="str">
        <f t="shared" si="382"/>
        <v/>
      </c>
      <c r="E7480" s="534"/>
      <c r="F7480" s="534"/>
    </row>
    <row r="7481" spans="1:6" ht="15" customHeight="1">
      <c r="A7481" s="51"/>
      <c r="B7481" s="52" t="str">
        <f t="shared" si="381"/>
        <v/>
      </c>
      <c r="C7481" t="str">
        <f t="shared" si="380"/>
        <v/>
      </c>
      <c r="D7481" s="245" t="str">
        <f t="shared" si="382"/>
        <v/>
      </c>
      <c r="E7481" s="534"/>
      <c r="F7481" s="534"/>
    </row>
    <row r="7482" spans="1:6" ht="15" customHeight="1">
      <c r="A7482" s="51"/>
      <c r="B7482" s="52" t="str">
        <f t="shared" si="381"/>
        <v/>
      </c>
      <c r="C7482" t="str">
        <f t="shared" si="380"/>
        <v/>
      </c>
      <c r="D7482" s="245" t="str">
        <f t="shared" si="382"/>
        <v/>
      </c>
      <c r="E7482" s="534"/>
      <c r="F7482" s="534"/>
    </row>
    <row r="7483" spans="1:6" ht="15" customHeight="1">
      <c r="A7483" s="51"/>
      <c r="B7483" s="52" t="str">
        <f t="shared" si="381"/>
        <v/>
      </c>
      <c r="C7483" t="str">
        <f t="shared" si="380"/>
        <v/>
      </c>
      <c r="D7483" s="245" t="str">
        <f t="shared" si="382"/>
        <v/>
      </c>
      <c r="E7483" s="534"/>
      <c r="F7483" s="534"/>
    </row>
    <row r="7484" spans="1:6" ht="15" customHeight="1">
      <c r="A7484" s="51"/>
      <c r="B7484" s="52" t="str">
        <f t="shared" si="381"/>
        <v/>
      </c>
      <c r="C7484" t="str">
        <f t="shared" si="380"/>
        <v/>
      </c>
      <c r="D7484" s="245" t="str">
        <f t="shared" si="382"/>
        <v/>
      </c>
      <c r="E7484" s="534"/>
      <c r="F7484" s="534"/>
    </row>
    <row r="7485" spans="1:6" ht="15" customHeight="1">
      <c r="A7485" s="51"/>
      <c r="B7485" s="52" t="str">
        <f t="shared" si="381"/>
        <v/>
      </c>
      <c r="C7485" t="str">
        <f t="shared" si="380"/>
        <v/>
      </c>
      <c r="D7485" s="245" t="str">
        <f t="shared" si="382"/>
        <v/>
      </c>
      <c r="E7485" s="534"/>
      <c r="F7485" s="534"/>
    </row>
    <row r="7486" spans="1:6" ht="15" customHeight="1">
      <c r="A7486" s="51"/>
      <c r="B7486" s="52" t="str">
        <f t="shared" si="381"/>
        <v/>
      </c>
      <c r="C7486" t="str">
        <f t="shared" si="380"/>
        <v/>
      </c>
      <c r="D7486" s="245" t="str">
        <f t="shared" si="382"/>
        <v/>
      </c>
      <c r="E7486" s="534"/>
      <c r="F7486" s="534"/>
    </row>
    <row r="7487" spans="1:6" ht="15" customHeight="1">
      <c r="A7487" s="51"/>
      <c r="B7487" s="52" t="str">
        <f t="shared" si="381"/>
        <v/>
      </c>
      <c r="C7487" t="str">
        <f t="shared" si="380"/>
        <v/>
      </c>
      <c r="D7487" s="245" t="str">
        <f t="shared" si="382"/>
        <v/>
      </c>
      <c r="E7487" s="534"/>
      <c r="F7487" s="534"/>
    </row>
    <row r="7488" spans="1:6" ht="15" customHeight="1">
      <c r="A7488" s="51"/>
      <c r="B7488" s="52" t="str">
        <f t="shared" si="381"/>
        <v/>
      </c>
      <c r="C7488" t="str">
        <f t="shared" si="380"/>
        <v/>
      </c>
      <c r="D7488" s="245" t="str">
        <f t="shared" si="382"/>
        <v/>
      </c>
      <c r="E7488" s="534"/>
      <c r="F7488" s="534"/>
    </row>
    <row r="7489" spans="1:6" ht="15" customHeight="1">
      <c r="A7489" s="51"/>
      <c r="B7489" s="52" t="str">
        <f t="shared" si="381"/>
        <v/>
      </c>
      <c r="C7489" t="str">
        <f t="shared" si="380"/>
        <v/>
      </c>
      <c r="D7489" s="245" t="str">
        <f t="shared" si="382"/>
        <v/>
      </c>
      <c r="E7489" s="534"/>
      <c r="F7489" s="534"/>
    </row>
    <row r="7490" spans="1:6" ht="15" customHeight="1">
      <c r="A7490" s="51"/>
      <c r="B7490" s="52" t="str">
        <f t="shared" si="381"/>
        <v/>
      </c>
      <c r="C7490" t="str">
        <f t="shared" ref="C7490:C7553" si="383">IF(A7490&lt;&gt;"",TEXT(A7490,"aaaa"),"")</f>
        <v/>
      </c>
      <c r="D7490" s="245" t="str">
        <f t="shared" si="382"/>
        <v/>
      </c>
      <c r="E7490" s="534"/>
      <c r="F7490" s="534"/>
    </row>
    <row r="7491" spans="1:6" ht="15" customHeight="1">
      <c r="A7491" s="51"/>
      <c r="B7491" s="52" t="str">
        <f t="shared" si="381"/>
        <v/>
      </c>
      <c r="C7491" t="str">
        <f t="shared" si="383"/>
        <v/>
      </c>
      <c r="D7491" s="245" t="str">
        <f t="shared" si="382"/>
        <v/>
      </c>
      <c r="E7491" s="534"/>
      <c r="F7491" s="534"/>
    </row>
    <row r="7492" spans="1:6" ht="15" customHeight="1">
      <c r="A7492" s="51"/>
      <c r="B7492" s="52" t="str">
        <f t="shared" si="381"/>
        <v/>
      </c>
      <c r="C7492" t="str">
        <f t="shared" si="383"/>
        <v/>
      </c>
      <c r="D7492" s="245" t="str">
        <f t="shared" si="382"/>
        <v/>
      </c>
      <c r="E7492" s="534"/>
      <c r="F7492" s="534"/>
    </row>
    <row r="7493" spans="1:6" ht="15" customHeight="1">
      <c r="A7493" s="51"/>
      <c r="B7493" s="52" t="str">
        <f t="shared" si="381"/>
        <v/>
      </c>
      <c r="C7493" t="str">
        <f t="shared" si="383"/>
        <v/>
      </c>
      <c r="D7493" s="245" t="str">
        <f t="shared" si="382"/>
        <v/>
      </c>
      <c r="E7493" s="534"/>
      <c r="F7493" s="534"/>
    </row>
    <row r="7494" spans="1:6" ht="15" customHeight="1">
      <c r="A7494" s="51"/>
      <c r="B7494" s="52" t="str">
        <f t="shared" si="381"/>
        <v/>
      </c>
      <c r="C7494" t="str">
        <f t="shared" si="383"/>
        <v/>
      </c>
      <c r="D7494" s="245" t="str">
        <f t="shared" si="382"/>
        <v/>
      </c>
      <c r="E7494" s="534"/>
      <c r="F7494" s="534"/>
    </row>
    <row r="7495" spans="1:6" ht="15" customHeight="1">
      <c r="A7495" s="51"/>
      <c r="B7495" s="52" t="str">
        <f t="shared" si="381"/>
        <v/>
      </c>
      <c r="C7495" t="str">
        <f t="shared" si="383"/>
        <v/>
      </c>
      <c r="D7495" s="245" t="str">
        <f t="shared" si="382"/>
        <v/>
      </c>
      <c r="E7495" s="534"/>
      <c r="F7495" s="534"/>
    </row>
    <row r="7496" spans="1:6" ht="15" customHeight="1">
      <c r="A7496" s="51"/>
      <c r="B7496" s="52" t="str">
        <f t="shared" ref="B7496:B7559" si="384">IF(A7496="","",TEXT(A7496,"DDDD"))</f>
        <v/>
      </c>
      <c r="C7496" t="str">
        <f t="shared" si="383"/>
        <v/>
      </c>
      <c r="D7496" s="245" t="str">
        <f t="shared" si="382"/>
        <v/>
      </c>
      <c r="E7496" s="534"/>
      <c r="F7496" s="534"/>
    </row>
    <row r="7497" spans="1:6" ht="15" customHeight="1">
      <c r="A7497" s="51"/>
      <c r="B7497" s="52" t="str">
        <f t="shared" si="384"/>
        <v/>
      </c>
      <c r="C7497" t="str">
        <f t="shared" si="383"/>
        <v/>
      </c>
      <c r="D7497" s="245" t="str">
        <f t="shared" ref="D7497:D7560" si="385">IF(A7497&lt;&gt;"",PROPER(TEXT(A7497,"Mmmm")),"")</f>
        <v/>
      </c>
      <c r="E7497" s="534"/>
      <c r="F7497" s="534"/>
    </row>
    <row r="7498" spans="1:6" ht="15" customHeight="1">
      <c r="A7498" s="51"/>
      <c r="B7498" s="52" t="str">
        <f t="shared" si="384"/>
        <v/>
      </c>
      <c r="C7498" t="str">
        <f t="shared" si="383"/>
        <v/>
      </c>
      <c r="D7498" s="245" t="str">
        <f t="shared" si="385"/>
        <v/>
      </c>
      <c r="E7498" s="534"/>
      <c r="F7498" s="534"/>
    </row>
    <row r="7499" spans="1:6" ht="15" customHeight="1">
      <c r="A7499" s="51"/>
      <c r="B7499" s="52" t="str">
        <f t="shared" si="384"/>
        <v/>
      </c>
      <c r="C7499" t="str">
        <f t="shared" si="383"/>
        <v/>
      </c>
      <c r="D7499" s="245" t="str">
        <f t="shared" si="385"/>
        <v/>
      </c>
      <c r="E7499" s="534"/>
      <c r="F7499" s="534"/>
    </row>
    <row r="7500" spans="1:6" ht="15" customHeight="1">
      <c r="A7500" s="51"/>
      <c r="B7500" s="52" t="str">
        <f t="shared" si="384"/>
        <v/>
      </c>
      <c r="C7500" t="str">
        <f t="shared" si="383"/>
        <v/>
      </c>
      <c r="D7500" s="245" t="str">
        <f t="shared" si="385"/>
        <v/>
      </c>
      <c r="E7500" s="534"/>
      <c r="F7500" s="534"/>
    </row>
    <row r="7501" spans="1:6" ht="15" customHeight="1">
      <c r="A7501" s="51"/>
      <c r="B7501" s="52" t="str">
        <f t="shared" si="384"/>
        <v/>
      </c>
      <c r="C7501" t="str">
        <f t="shared" si="383"/>
        <v/>
      </c>
      <c r="D7501" s="245" t="str">
        <f t="shared" si="385"/>
        <v/>
      </c>
      <c r="E7501" s="534"/>
      <c r="F7501" s="534"/>
    </row>
    <row r="7502" spans="1:6" ht="15" customHeight="1">
      <c r="A7502" s="51"/>
      <c r="B7502" s="52" t="str">
        <f t="shared" si="384"/>
        <v/>
      </c>
      <c r="C7502" t="str">
        <f t="shared" si="383"/>
        <v/>
      </c>
      <c r="D7502" s="245" t="str">
        <f t="shared" si="385"/>
        <v/>
      </c>
      <c r="E7502" s="534"/>
      <c r="F7502" s="534"/>
    </row>
    <row r="7503" spans="1:6" ht="15" customHeight="1">
      <c r="A7503" s="51"/>
      <c r="B7503" s="52" t="str">
        <f t="shared" si="384"/>
        <v/>
      </c>
      <c r="C7503" t="str">
        <f t="shared" si="383"/>
        <v/>
      </c>
      <c r="D7503" s="245" t="str">
        <f t="shared" si="385"/>
        <v/>
      </c>
      <c r="E7503" s="534"/>
      <c r="F7503" s="534"/>
    </row>
    <row r="7504" spans="1:6" ht="15" customHeight="1">
      <c r="A7504" s="51"/>
      <c r="B7504" s="52" t="str">
        <f t="shared" si="384"/>
        <v/>
      </c>
      <c r="C7504" t="str">
        <f t="shared" si="383"/>
        <v/>
      </c>
      <c r="D7504" s="245" t="str">
        <f t="shared" si="385"/>
        <v/>
      </c>
      <c r="E7504" s="534"/>
      <c r="F7504" s="534"/>
    </row>
    <row r="7505" spans="1:6" ht="15" customHeight="1">
      <c r="A7505" s="51"/>
      <c r="B7505" s="52" t="str">
        <f t="shared" si="384"/>
        <v/>
      </c>
      <c r="C7505" t="str">
        <f t="shared" si="383"/>
        <v/>
      </c>
      <c r="D7505" s="245" t="str">
        <f t="shared" si="385"/>
        <v/>
      </c>
      <c r="E7505" s="534"/>
      <c r="F7505" s="534"/>
    </row>
    <row r="7506" spans="1:6" ht="15" customHeight="1">
      <c r="A7506" s="51"/>
      <c r="B7506" s="52" t="str">
        <f t="shared" si="384"/>
        <v/>
      </c>
      <c r="C7506" t="str">
        <f t="shared" si="383"/>
        <v/>
      </c>
      <c r="D7506" s="245" t="str">
        <f t="shared" si="385"/>
        <v/>
      </c>
      <c r="E7506" s="534"/>
      <c r="F7506" s="534"/>
    </row>
    <row r="7507" spans="1:6" ht="15" customHeight="1">
      <c r="A7507" s="51"/>
      <c r="B7507" s="52" t="str">
        <f t="shared" si="384"/>
        <v/>
      </c>
      <c r="C7507" t="str">
        <f t="shared" si="383"/>
        <v/>
      </c>
      <c r="D7507" s="245" t="str">
        <f t="shared" si="385"/>
        <v/>
      </c>
      <c r="E7507" s="534"/>
      <c r="F7507" s="534"/>
    </row>
    <row r="7508" spans="1:6" ht="15" customHeight="1">
      <c r="A7508" s="51"/>
      <c r="B7508" s="52" t="str">
        <f t="shared" si="384"/>
        <v/>
      </c>
      <c r="C7508" t="str">
        <f t="shared" si="383"/>
        <v/>
      </c>
      <c r="D7508" s="245" t="str">
        <f t="shared" si="385"/>
        <v/>
      </c>
      <c r="E7508" s="534"/>
      <c r="F7508" s="534"/>
    </row>
    <row r="7509" spans="1:6" ht="15" customHeight="1">
      <c r="A7509" s="51"/>
      <c r="B7509" s="52" t="str">
        <f t="shared" si="384"/>
        <v/>
      </c>
      <c r="C7509" t="str">
        <f t="shared" si="383"/>
        <v/>
      </c>
      <c r="D7509" s="245" t="str">
        <f t="shared" si="385"/>
        <v/>
      </c>
      <c r="E7509" s="534"/>
      <c r="F7509" s="534"/>
    </row>
    <row r="7510" spans="1:6" ht="15" customHeight="1">
      <c r="A7510" s="51"/>
      <c r="B7510" s="52" t="str">
        <f t="shared" si="384"/>
        <v/>
      </c>
      <c r="C7510" t="str">
        <f t="shared" si="383"/>
        <v/>
      </c>
      <c r="D7510" s="245" t="str">
        <f t="shared" si="385"/>
        <v/>
      </c>
      <c r="E7510" s="534"/>
      <c r="F7510" s="534"/>
    </row>
    <row r="7511" spans="1:6" ht="15" customHeight="1">
      <c r="A7511" s="51"/>
      <c r="B7511" s="52" t="str">
        <f t="shared" si="384"/>
        <v/>
      </c>
      <c r="C7511" t="str">
        <f t="shared" si="383"/>
        <v/>
      </c>
      <c r="D7511" s="245" t="str">
        <f t="shared" si="385"/>
        <v/>
      </c>
      <c r="E7511" s="534"/>
      <c r="F7511" s="534"/>
    </row>
    <row r="7512" spans="1:6" ht="15" customHeight="1">
      <c r="A7512" s="51"/>
      <c r="B7512" s="52" t="str">
        <f t="shared" si="384"/>
        <v/>
      </c>
      <c r="C7512" t="str">
        <f t="shared" si="383"/>
        <v/>
      </c>
      <c r="D7512" s="245" t="str">
        <f t="shared" si="385"/>
        <v/>
      </c>
      <c r="E7512" s="534"/>
      <c r="F7512" s="534"/>
    </row>
    <row r="7513" spans="1:6" ht="15" customHeight="1">
      <c r="A7513" s="51"/>
      <c r="B7513" s="52" t="str">
        <f t="shared" si="384"/>
        <v/>
      </c>
      <c r="C7513" t="str">
        <f t="shared" si="383"/>
        <v/>
      </c>
      <c r="D7513" s="245" t="str">
        <f t="shared" si="385"/>
        <v/>
      </c>
      <c r="E7513" s="534"/>
      <c r="F7513" s="534"/>
    </row>
    <row r="7514" spans="1:6" ht="15" customHeight="1">
      <c r="A7514" s="51"/>
      <c r="B7514" s="52" t="str">
        <f t="shared" si="384"/>
        <v/>
      </c>
      <c r="C7514" t="str">
        <f t="shared" si="383"/>
        <v/>
      </c>
      <c r="D7514" s="245" t="str">
        <f t="shared" si="385"/>
        <v/>
      </c>
      <c r="E7514" s="534"/>
      <c r="F7514" s="534"/>
    </row>
    <row r="7515" spans="1:6" ht="15" customHeight="1">
      <c r="A7515" s="51"/>
      <c r="B7515" s="52" t="str">
        <f t="shared" si="384"/>
        <v/>
      </c>
      <c r="C7515" t="str">
        <f t="shared" si="383"/>
        <v/>
      </c>
      <c r="D7515" s="245" t="str">
        <f t="shared" si="385"/>
        <v/>
      </c>
      <c r="E7515" s="534"/>
      <c r="F7515" s="534"/>
    </row>
    <row r="7516" spans="1:6" ht="15" customHeight="1">
      <c r="A7516" s="51"/>
      <c r="B7516" s="52" t="str">
        <f t="shared" si="384"/>
        <v/>
      </c>
      <c r="C7516" t="str">
        <f t="shared" si="383"/>
        <v/>
      </c>
      <c r="D7516" s="245" t="str">
        <f t="shared" si="385"/>
        <v/>
      </c>
      <c r="E7516" s="534"/>
      <c r="F7516" s="534"/>
    </row>
    <row r="7517" spans="1:6" ht="15" customHeight="1">
      <c r="A7517" s="51"/>
      <c r="B7517" s="52" t="str">
        <f t="shared" si="384"/>
        <v/>
      </c>
      <c r="C7517" t="str">
        <f t="shared" si="383"/>
        <v/>
      </c>
      <c r="D7517" s="245" t="str">
        <f t="shared" si="385"/>
        <v/>
      </c>
      <c r="E7517" s="534"/>
      <c r="F7517" s="534"/>
    </row>
    <row r="7518" spans="1:6" ht="15" customHeight="1">
      <c r="A7518" s="51"/>
      <c r="B7518" s="52" t="str">
        <f t="shared" si="384"/>
        <v/>
      </c>
      <c r="C7518" t="str">
        <f t="shared" si="383"/>
        <v/>
      </c>
      <c r="D7518" s="245" t="str">
        <f t="shared" si="385"/>
        <v/>
      </c>
      <c r="E7518" s="534"/>
      <c r="F7518" s="534"/>
    </row>
    <row r="7519" spans="1:6" ht="15" customHeight="1">
      <c r="A7519" s="51"/>
      <c r="B7519" s="52" t="str">
        <f t="shared" si="384"/>
        <v/>
      </c>
      <c r="C7519" t="str">
        <f t="shared" si="383"/>
        <v/>
      </c>
      <c r="D7519" s="245" t="str">
        <f t="shared" si="385"/>
        <v/>
      </c>
      <c r="E7519" s="534"/>
      <c r="F7519" s="534"/>
    </row>
    <row r="7520" spans="1:6" ht="15" customHeight="1">
      <c r="A7520" s="51"/>
      <c r="B7520" s="52" t="str">
        <f t="shared" si="384"/>
        <v/>
      </c>
      <c r="C7520" t="str">
        <f t="shared" si="383"/>
        <v/>
      </c>
      <c r="D7520" s="245" t="str">
        <f t="shared" si="385"/>
        <v/>
      </c>
      <c r="E7520" s="534"/>
      <c r="F7520" s="534"/>
    </row>
    <row r="7521" spans="1:6" ht="15" customHeight="1">
      <c r="A7521" s="51"/>
      <c r="B7521" s="52" t="str">
        <f t="shared" si="384"/>
        <v/>
      </c>
      <c r="C7521" t="str">
        <f t="shared" si="383"/>
        <v/>
      </c>
      <c r="D7521" s="245" t="str">
        <f t="shared" si="385"/>
        <v/>
      </c>
      <c r="E7521" s="534"/>
      <c r="F7521" s="534"/>
    </row>
    <row r="7522" spans="1:6" ht="15" customHeight="1">
      <c r="A7522" s="51"/>
      <c r="B7522" s="52" t="str">
        <f t="shared" si="384"/>
        <v/>
      </c>
      <c r="C7522" t="str">
        <f t="shared" si="383"/>
        <v/>
      </c>
      <c r="D7522" s="245" t="str">
        <f t="shared" si="385"/>
        <v/>
      </c>
      <c r="E7522" s="534"/>
      <c r="F7522" s="534"/>
    </row>
    <row r="7523" spans="1:6" ht="15" customHeight="1">
      <c r="A7523" s="51"/>
      <c r="B7523" s="52" t="str">
        <f t="shared" si="384"/>
        <v/>
      </c>
      <c r="C7523" t="str">
        <f t="shared" si="383"/>
        <v/>
      </c>
      <c r="D7523" s="245" t="str">
        <f t="shared" si="385"/>
        <v/>
      </c>
      <c r="E7523" s="534"/>
      <c r="F7523" s="534"/>
    </row>
    <row r="7524" spans="1:6" ht="15" customHeight="1">
      <c r="A7524" s="51"/>
      <c r="B7524" s="52" t="str">
        <f t="shared" si="384"/>
        <v/>
      </c>
      <c r="C7524" t="str">
        <f t="shared" si="383"/>
        <v/>
      </c>
      <c r="D7524" s="245" t="str">
        <f t="shared" si="385"/>
        <v/>
      </c>
      <c r="E7524" s="534"/>
      <c r="F7524" s="534"/>
    </row>
    <row r="7525" spans="1:6" ht="15" customHeight="1">
      <c r="A7525" s="51"/>
      <c r="B7525" s="52" t="str">
        <f t="shared" si="384"/>
        <v/>
      </c>
      <c r="C7525" t="str">
        <f t="shared" si="383"/>
        <v/>
      </c>
      <c r="D7525" s="245" t="str">
        <f t="shared" si="385"/>
        <v/>
      </c>
      <c r="E7525" s="534"/>
      <c r="F7525" s="534"/>
    </row>
    <row r="7526" spans="1:6" ht="15" customHeight="1">
      <c r="A7526" s="51"/>
      <c r="B7526" s="52" t="str">
        <f t="shared" si="384"/>
        <v/>
      </c>
      <c r="C7526" t="str">
        <f t="shared" si="383"/>
        <v/>
      </c>
      <c r="D7526" s="245" t="str">
        <f t="shared" si="385"/>
        <v/>
      </c>
      <c r="E7526" s="534"/>
      <c r="F7526" s="534"/>
    </row>
    <row r="7527" spans="1:6" ht="15" customHeight="1">
      <c r="A7527" s="51"/>
      <c r="B7527" s="52" t="str">
        <f t="shared" si="384"/>
        <v/>
      </c>
      <c r="C7527" t="str">
        <f t="shared" si="383"/>
        <v/>
      </c>
      <c r="D7527" s="245" t="str">
        <f t="shared" si="385"/>
        <v/>
      </c>
      <c r="E7527" s="534"/>
      <c r="F7527" s="534"/>
    </row>
    <row r="7528" spans="1:6" ht="15" customHeight="1">
      <c r="A7528" s="51"/>
      <c r="B7528" s="52" t="str">
        <f t="shared" si="384"/>
        <v/>
      </c>
      <c r="C7528" t="str">
        <f t="shared" si="383"/>
        <v/>
      </c>
      <c r="D7528" s="245" t="str">
        <f t="shared" si="385"/>
        <v/>
      </c>
      <c r="E7528" s="534"/>
      <c r="F7528" s="534"/>
    </row>
    <row r="7529" spans="1:6" ht="15" customHeight="1">
      <c r="A7529" s="51"/>
      <c r="B7529" s="52" t="str">
        <f t="shared" si="384"/>
        <v/>
      </c>
      <c r="C7529" t="str">
        <f t="shared" si="383"/>
        <v/>
      </c>
      <c r="D7529" s="245" t="str">
        <f t="shared" si="385"/>
        <v/>
      </c>
      <c r="E7529" s="534"/>
      <c r="F7529" s="534"/>
    </row>
    <row r="7530" spans="1:6" ht="15" customHeight="1">
      <c r="A7530" s="51"/>
      <c r="B7530" s="52" t="str">
        <f t="shared" si="384"/>
        <v/>
      </c>
      <c r="C7530" t="str">
        <f t="shared" si="383"/>
        <v/>
      </c>
      <c r="D7530" s="245" t="str">
        <f t="shared" si="385"/>
        <v/>
      </c>
      <c r="E7530" s="534"/>
      <c r="F7530" s="534"/>
    </row>
    <row r="7531" spans="1:6" ht="15" customHeight="1">
      <c r="A7531" s="51"/>
      <c r="B7531" s="52" t="str">
        <f t="shared" si="384"/>
        <v/>
      </c>
      <c r="C7531" t="str">
        <f t="shared" si="383"/>
        <v/>
      </c>
      <c r="D7531" s="245" t="str">
        <f t="shared" si="385"/>
        <v/>
      </c>
      <c r="E7531" s="534"/>
      <c r="F7531" s="534"/>
    </row>
    <row r="7532" spans="1:6" ht="15" customHeight="1">
      <c r="A7532" s="51"/>
      <c r="B7532" s="52" t="str">
        <f t="shared" si="384"/>
        <v/>
      </c>
      <c r="C7532" t="str">
        <f t="shared" si="383"/>
        <v/>
      </c>
      <c r="D7532" s="245" t="str">
        <f t="shared" si="385"/>
        <v/>
      </c>
      <c r="E7532" s="534"/>
      <c r="F7532" s="534"/>
    </row>
    <row r="7533" spans="1:6" ht="15" customHeight="1">
      <c r="A7533" s="51"/>
      <c r="B7533" s="52" t="str">
        <f t="shared" si="384"/>
        <v/>
      </c>
      <c r="C7533" t="str">
        <f t="shared" si="383"/>
        <v/>
      </c>
      <c r="D7533" s="245" t="str">
        <f t="shared" si="385"/>
        <v/>
      </c>
      <c r="E7533" s="534"/>
      <c r="F7533" s="534"/>
    </row>
    <row r="7534" spans="1:6" ht="15" customHeight="1">
      <c r="A7534" s="51"/>
      <c r="B7534" s="52" t="str">
        <f t="shared" si="384"/>
        <v/>
      </c>
      <c r="C7534" t="str">
        <f t="shared" si="383"/>
        <v/>
      </c>
      <c r="D7534" s="245" t="str">
        <f t="shared" si="385"/>
        <v/>
      </c>
      <c r="E7534" s="534"/>
      <c r="F7534" s="534"/>
    </row>
    <row r="7535" spans="1:6" ht="15" customHeight="1">
      <c r="A7535" s="51"/>
      <c r="B7535" s="52" t="str">
        <f t="shared" si="384"/>
        <v/>
      </c>
      <c r="C7535" t="str">
        <f t="shared" si="383"/>
        <v/>
      </c>
      <c r="D7535" s="245" t="str">
        <f t="shared" si="385"/>
        <v/>
      </c>
      <c r="E7535" s="534"/>
      <c r="F7535" s="534"/>
    </row>
    <row r="7536" spans="1:6" ht="15" customHeight="1">
      <c r="A7536" s="51"/>
      <c r="B7536" s="52" t="str">
        <f t="shared" si="384"/>
        <v/>
      </c>
      <c r="C7536" t="str">
        <f t="shared" si="383"/>
        <v/>
      </c>
      <c r="D7536" s="245" t="str">
        <f t="shared" si="385"/>
        <v/>
      </c>
      <c r="E7536" s="534"/>
      <c r="F7536" s="534"/>
    </row>
    <row r="7537" spans="1:6" ht="15" customHeight="1">
      <c r="A7537" s="51"/>
      <c r="B7537" s="52" t="str">
        <f t="shared" si="384"/>
        <v/>
      </c>
      <c r="C7537" t="str">
        <f t="shared" si="383"/>
        <v/>
      </c>
      <c r="D7537" s="245" t="str">
        <f t="shared" si="385"/>
        <v/>
      </c>
      <c r="E7537" s="534"/>
      <c r="F7537" s="534"/>
    </row>
    <row r="7538" spans="1:6" ht="15" customHeight="1">
      <c r="A7538" s="51"/>
      <c r="B7538" s="52" t="str">
        <f t="shared" si="384"/>
        <v/>
      </c>
      <c r="C7538" t="str">
        <f t="shared" si="383"/>
        <v/>
      </c>
      <c r="D7538" s="245" t="str">
        <f t="shared" si="385"/>
        <v/>
      </c>
      <c r="E7538" s="534"/>
      <c r="F7538" s="534"/>
    </row>
    <row r="7539" spans="1:6" ht="15" customHeight="1">
      <c r="A7539" s="51"/>
      <c r="B7539" s="52" t="str">
        <f t="shared" si="384"/>
        <v/>
      </c>
      <c r="C7539" t="str">
        <f t="shared" si="383"/>
        <v/>
      </c>
      <c r="D7539" s="245" t="str">
        <f t="shared" si="385"/>
        <v/>
      </c>
      <c r="E7539" s="534"/>
      <c r="F7539" s="534"/>
    </row>
    <row r="7540" spans="1:6" ht="15" customHeight="1">
      <c r="A7540" s="51"/>
      <c r="B7540" s="52" t="str">
        <f t="shared" si="384"/>
        <v/>
      </c>
      <c r="C7540" t="str">
        <f t="shared" si="383"/>
        <v/>
      </c>
      <c r="D7540" s="245" t="str">
        <f t="shared" si="385"/>
        <v/>
      </c>
      <c r="E7540" s="534"/>
      <c r="F7540" s="534"/>
    </row>
    <row r="7541" spans="1:6" ht="15" customHeight="1">
      <c r="A7541" s="51"/>
      <c r="B7541" s="52" t="str">
        <f t="shared" si="384"/>
        <v/>
      </c>
      <c r="C7541" t="str">
        <f t="shared" si="383"/>
        <v/>
      </c>
      <c r="D7541" s="245" t="str">
        <f t="shared" si="385"/>
        <v/>
      </c>
      <c r="E7541" s="534"/>
      <c r="F7541" s="534"/>
    </row>
    <row r="7542" spans="1:6" ht="15" customHeight="1">
      <c r="A7542" s="51"/>
      <c r="B7542" s="52" t="str">
        <f t="shared" si="384"/>
        <v/>
      </c>
      <c r="C7542" t="str">
        <f t="shared" si="383"/>
        <v/>
      </c>
      <c r="D7542" s="245" t="str">
        <f t="shared" si="385"/>
        <v/>
      </c>
      <c r="E7542" s="534"/>
      <c r="F7542" s="534"/>
    </row>
    <row r="7543" spans="1:6" ht="15" customHeight="1">
      <c r="A7543" s="51"/>
      <c r="B7543" s="52" t="str">
        <f t="shared" si="384"/>
        <v/>
      </c>
      <c r="C7543" t="str">
        <f t="shared" si="383"/>
        <v/>
      </c>
      <c r="D7543" s="245" t="str">
        <f t="shared" si="385"/>
        <v/>
      </c>
      <c r="E7543" s="534"/>
      <c r="F7543" s="534"/>
    </row>
    <row r="7544" spans="1:6" ht="15" customHeight="1">
      <c r="A7544" s="51"/>
      <c r="B7544" s="52" t="str">
        <f t="shared" si="384"/>
        <v/>
      </c>
      <c r="C7544" t="str">
        <f t="shared" si="383"/>
        <v/>
      </c>
      <c r="D7544" s="245" t="str">
        <f t="shared" si="385"/>
        <v/>
      </c>
      <c r="E7544" s="534"/>
      <c r="F7544" s="534"/>
    </row>
    <row r="7545" spans="1:6" ht="15" customHeight="1">
      <c r="A7545" s="51"/>
      <c r="B7545" s="52" t="str">
        <f t="shared" si="384"/>
        <v/>
      </c>
      <c r="C7545" t="str">
        <f t="shared" si="383"/>
        <v/>
      </c>
      <c r="D7545" s="245" t="str">
        <f t="shared" si="385"/>
        <v/>
      </c>
      <c r="E7545" s="534"/>
      <c r="F7545" s="534"/>
    </row>
    <row r="7546" spans="1:6" ht="15" customHeight="1">
      <c r="A7546" s="51"/>
      <c r="B7546" s="52" t="str">
        <f t="shared" si="384"/>
        <v/>
      </c>
      <c r="C7546" t="str">
        <f t="shared" si="383"/>
        <v/>
      </c>
      <c r="D7546" s="245" t="str">
        <f t="shared" si="385"/>
        <v/>
      </c>
      <c r="E7546" s="534"/>
      <c r="F7546" s="534"/>
    </row>
    <row r="7547" spans="1:6" ht="15" customHeight="1">
      <c r="A7547" s="51"/>
      <c r="B7547" s="52" t="str">
        <f t="shared" si="384"/>
        <v/>
      </c>
      <c r="C7547" t="str">
        <f t="shared" si="383"/>
        <v/>
      </c>
      <c r="D7547" s="245" t="str">
        <f t="shared" si="385"/>
        <v/>
      </c>
      <c r="E7547" s="534"/>
      <c r="F7547" s="534"/>
    </row>
    <row r="7548" spans="1:6" ht="15" customHeight="1">
      <c r="A7548" s="51"/>
      <c r="B7548" s="52" t="str">
        <f t="shared" si="384"/>
        <v/>
      </c>
      <c r="C7548" t="str">
        <f t="shared" si="383"/>
        <v/>
      </c>
      <c r="D7548" s="245" t="str">
        <f t="shared" si="385"/>
        <v/>
      </c>
      <c r="E7548" s="534"/>
      <c r="F7548" s="534"/>
    </row>
    <row r="7549" spans="1:6" ht="15" customHeight="1">
      <c r="A7549" s="51"/>
      <c r="B7549" s="52" t="str">
        <f t="shared" si="384"/>
        <v/>
      </c>
      <c r="C7549" t="str">
        <f t="shared" si="383"/>
        <v/>
      </c>
      <c r="D7549" s="245" t="str">
        <f t="shared" si="385"/>
        <v/>
      </c>
      <c r="E7549" s="534"/>
      <c r="F7549" s="534"/>
    </row>
    <row r="7550" spans="1:6" ht="15" customHeight="1">
      <c r="A7550" s="51"/>
      <c r="B7550" s="52" t="str">
        <f t="shared" si="384"/>
        <v/>
      </c>
      <c r="C7550" t="str">
        <f t="shared" si="383"/>
        <v/>
      </c>
      <c r="D7550" s="245" t="str">
        <f t="shared" si="385"/>
        <v/>
      </c>
      <c r="E7550" s="534"/>
      <c r="F7550" s="534"/>
    </row>
    <row r="7551" spans="1:6" ht="15" customHeight="1">
      <c r="A7551" s="51"/>
      <c r="B7551" s="52" t="str">
        <f t="shared" si="384"/>
        <v/>
      </c>
      <c r="C7551" t="str">
        <f t="shared" si="383"/>
        <v/>
      </c>
      <c r="D7551" s="245" t="str">
        <f t="shared" si="385"/>
        <v/>
      </c>
      <c r="E7551" s="534"/>
      <c r="F7551" s="534"/>
    </row>
    <row r="7552" spans="1:6" ht="15" customHeight="1">
      <c r="A7552" s="51"/>
      <c r="B7552" s="52" t="str">
        <f t="shared" si="384"/>
        <v/>
      </c>
      <c r="C7552" t="str">
        <f t="shared" si="383"/>
        <v/>
      </c>
      <c r="D7552" s="245" t="str">
        <f t="shared" si="385"/>
        <v/>
      </c>
      <c r="E7552" s="534"/>
      <c r="F7552" s="534"/>
    </row>
    <row r="7553" spans="1:6" ht="15" customHeight="1">
      <c r="A7553" s="51"/>
      <c r="B7553" s="52" t="str">
        <f t="shared" si="384"/>
        <v/>
      </c>
      <c r="C7553" t="str">
        <f t="shared" si="383"/>
        <v/>
      </c>
      <c r="D7553" s="245" t="str">
        <f t="shared" si="385"/>
        <v/>
      </c>
      <c r="E7553" s="534"/>
      <c r="F7553" s="534"/>
    </row>
    <row r="7554" spans="1:6" ht="15" customHeight="1">
      <c r="A7554" s="51"/>
      <c r="B7554" s="52" t="str">
        <f t="shared" si="384"/>
        <v/>
      </c>
      <c r="C7554" t="str">
        <f t="shared" ref="C7554:C7617" si="386">IF(A7554&lt;&gt;"",TEXT(A7554,"aaaa"),"")</f>
        <v/>
      </c>
      <c r="D7554" s="245" t="str">
        <f t="shared" si="385"/>
        <v/>
      </c>
      <c r="E7554" s="534"/>
      <c r="F7554" s="534"/>
    </row>
    <row r="7555" spans="1:6" ht="15" customHeight="1">
      <c r="A7555" s="51"/>
      <c r="B7555" s="52" t="str">
        <f t="shared" si="384"/>
        <v/>
      </c>
      <c r="C7555" t="str">
        <f t="shared" si="386"/>
        <v/>
      </c>
      <c r="D7555" s="245" t="str">
        <f t="shared" si="385"/>
        <v/>
      </c>
      <c r="E7555" s="534"/>
      <c r="F7555" s="534"/>
    </row>
    <row r="7556" spans="1:6" ht="15" customHeight="1">
      <c r="A7556" s="51"/>
      <c r="B7556" s="52" t="str">
        <f t="shared" si="384"/>
        <v/>
      </c>
      <c r="C7556" t="str">
        <f t="shared" si="386"/>
        <v/>
      </c>
      <c r="D7556" s="245" t="str">
        <f t="shared" si="385"/>
        <v/>
      </c>
      <c r="E7556" s="534"/>
      <c r="F7556" s="534"/>
    </row>
    <row r="7557" spans="1:6" ht="15" customHeight="1">
      <c r="A7557" s="51"/>
      <c r="B7557" s="52" t="str">
        <f t="shared" si="384"/>
        <v/>
      </c>
      <c r="C7557" t="str">
        <f t="shared" si="386"/>
        <v/>
      </c>
      <c r="D7557" s="245" t="str">
        <f t="shared" si="385"/>
        <v/>
      </c>
      <c r="E7557" s="534"/>
      <c r="F7557" s="534"/>
    </row>
    <row r="7558" spans="1:6" ht="15" customHeight="1">
      <c r="A7558" s="51"/>
      <c r="B7558" s="52" t="str">
        <f t="shared" si="384"/>
        <v/>
      </c>
      <c r="C7558" t="str">
        <f t="shared" si="386"/>
        <v/>
      </c>
      <c r="D7558" s="245" t="str">
        <f t="shared" si="385"/>
        <v/>
      </c>
      <c r="E7558" s="534"/>
      <c r="F7558" s="534"/>
    </row>
    <row r="7559" spans="1:6" ht="15" customHeight="1">
      <c r="A7559" s="51"/>
      <c r="B7559" s="52" t="str">
        <f t="shared" si="384"/>
        <v/>
      </c>
      <c r="C7559" t="str">
        <f t="shared" si="386"/>
        <v/>
      </c>
      <c r="D7559" s="245" t="str">
        <f t="shared" si="385"/>
        <v/>
      </c>
      <c r="E7559" s="534"/>
      <c r="F7559" s="534"/>
    </row>
    <row r="7560" spans="1:6" ht="15" customHeight="1">
      <c r="A7560" s="51"/>
      <c r="B7560" s="52" t="str">
        <f t="shared" ref="B7560:B7623" si="387">IF(A7560="","",TEXT(A7560,"DDDD"))</f>
        <v/>
      </c>
      <c r="C7560" t="str">
        <f t="shared" si="386"/>
        <v/>
      </c>
      <c r="D7560" s="245" t="str">
        <f t="shared" si="385"/>
        <v/>
      </c>
      <c r="E7560" s="534"/>
      <c r="F7560" s="534"/>
    </row>
    <row r="7561" spans="1:6" ht="15" customHeight="1">
      <c r="A7561" s="51"/>
      <c r="B7561" s="52" t="str">
        <f t="shared" si="387"/>
        <v/>
      </c>
      <c r="C7561" t="str">
        <f t="shared" si="386"/>
        <v/>
      </c>
      <c r="D7561" s="245" t="str">
        <f t="shared" ref="D7561:D7624" si="388">IF(A7561&lt;&gt;"",PROPER(TEXT(A7561,"Mmmm")),"")</f>
        <v/>
      </c>
      <c r="E7561" s="534"/>
      <c r="F7561" s="534"/>
    </row>
    <row r="7562" spans="1:6" ht="15" customHeight="1">
      <c r="A7562" s="51"/>
      <c r="B7562" s="52" t="str">
        <f t="shared" si="387"/>
        <v/>
      </c>
      <c r="C7562" t="str">
        <f t="shared" si="386"/>
        <v/>
      </c>
      <c r="D7562" s="245" t="str">
        <f t="shared" si="388"/>
        <v/>
      </c>
      <c r="E7562" s="534"/>
      <c r="F7562" s="534"/>
    </row>
    <row r="7563" spans="1:6" ht="15" customHeight="1">
      <c r="A7563" s="51"/>
      <c r="B7563" s="52" t="str">
        <f t="shared" si="387"/>
        <v/>
      </c>
      <c r="C7563" t="str">
        <f t="shared" si="386"/>
        <v/>
      </c>
      <c r="D7563" s="245" t="str">
        <f t="shared" si="388"/>
        <v/>
      </c>
      <c r="E7563" s="534"/>
      <c r="F7563" s="534"/>
    </row>
    <row r="7564" spans="1:6" ht="15" customHeight="1">
      <c r="A7564" s="51"/>
      <c r="B7564" s="52" t="str">
        <f t="shared" si="387"/>
        <v/>
      </c>
      <c r="C7564" t="str">
        <f t="shared" si="386"/>
        <v/>
      </c>
      <c r="D7564" s="245" t="str">
        <f t="shared" si="388"/>
        <v/>
      </c>
      <c r="E7564" s="534"/>
      <c r="F7564" s="534"/>
    </row>
    <row r="7565" spans="1:6" ht="15" customHeight="1">
      <c r="A7565" s="51"/>
      <c r="B7565" s="52" t="str">
        <f t="shared" si="387"/>
        <v/>
      </c>
      <c r="C7565" t="str">
        <f t="shared" si="386"/>
        <v/>
      </c>
      <c r="D7565" s="245" t="str">
        <f t="shared" si="388"/>
        <v/>
      </c>
      <c r="E7565" s="534"/>
      <c r="F7565" s="534"/>
    </row>
    <row r="7566" spans="1:6" ht="15" customHeight="1">
      <c r="A7566" s="51"/>
      <c r="B7566" s="52" t="str">
        <f t="shared" si="387"/>
        <v/>
      </c>
      <c r="C7566" t="str">
        <f t="shared" si="386"/>
        <v/>
      </c>
      <c r="D7566" s="245" t="str">
        <f t="shared" si="388"/>
        <v/>
      </c>
      <c r="E7566" s="534"/>
      <c r="F7566" s="534"/>
    </row>
    <row r="7567" spans="1:6" ht="15" customHeight="1">
      <c r="A7567" s="51"/>
      <c r="B7567" s="52" t="str">
        <f t="shared" si="387"/>
        <v/>
      </c>
      <c r="C7567" t="str">
        <f t="shared" si="386"/>
        <v/>
      </c>
      <c r="D7567" s="245" t="str">
        <f t="shared" si="388"/>
        <v/>
      </c>
      <c r="E7567" s="534"/>
      <c r="F7567" s="534"/>
    </row>
    <row r="7568" spans="1:6" ht="15" customHeight="1">
      <c r="A7568" s="51"/>
      <c r="B7568" s="52" t="str">
        <f t="shared" si="387"/>
        <v/>
      </c>
      <c r="C7568" t="str">
        <f t="shared" si="386"/>
        <v/>
      </c>
      <c r="D7568" s="245" t="str">
        <f t="shared" si="388"/>
        <v/>
      </c>
      <c r="E7568" s="534"/>
      <c r="F7568" s="534"/>
    </row>
    <row r="7569" spans="1:6" ht="15" customHeight="1">
      <c r="A7569" s="51"/>
      <c r="B7569" s="52" t="str">
        <f t="shared" si="387"/>
        <v/>
      </c>
      <c r="C7569" t="str">
        <f t="shared" si="386"/>
        <v/>
      </c>
      <c r="D7569" s="245" t="str">
        <f t="shared" si="388"/>
        <v/>
      </c>
      <c r="E7569" s="534"/>
      <c r="F7569" s="534"/>
    </row>
    <row r="7570" spans="1:6" ht="15" customHeight="1">
      <c r="A7570" s="51"/>
      <c r="B7570" s="52" t="str">
        <f t="shared" si="387"/>
        <v/>
      </c>
      <c r="C7570" t="str">
        <f t="shared" si="386"/>
        <v/>
      </c>
      <c r="D7570" s="245" t="str">
        <f t="shared" si="388"/>
        <v/>
      </c>
      <c r="E7570" s="534"/>
      <c r="F7570" s="534"/>
    </row>
    <row r="7571" spans="1:6" ht="15" customHeight="1">
      <c r="A7571" s="51"/>
      <c r="B7571" s="52" t="str">
        <f t="shared" si="387"/>
        <v/>
      </c>
      <c r="C7571" t="str">
        <f t="shared" si="386"/>
        <v/>
      </c>
      <c r="D7571" s="245" t="str">
        <f t="shared" si="388"/>
        <v/>
      </c>
      <c r="E7571" s="534"/>
      <c r="F7571" s="534"/>
    </row>
    <row r="7572" spans="1:6" ht="15" customHeight="1">
      <c r="A7572" s="51"/>
      <c r="B7572" s="52" t="str">
        <f t="shared" si="387"/>
        <v/>
      </c>
      <c r="C7572" t="str">
        <f t="shared" si="386"/>
        <v/>
      </c>
      <c r="D7572" s="245" t="str">
        <f t="shared" si="388"/>
        <v/>
      </c>
      <c r="E7572" s="534"/>
      <c r="F7572" s="534"/>
    </row>
    <row r="7573" spans="1:6" ht="15" customHeight="1">
      <c r="A7573" s="51"/>
      <c r="B7573" s="52" t="str">
        <f t="shared" si="387"/>
        <v/>
      </c>
      <c r="C7573" t="str">
        <f t="shared" si="386"/>
        <v/>
      </c>
      <c r="D7573" s="245" t="str">
        <f t="shared" si="388"/>
        <v/>
      </c>
      <c r="E7573" s="534"/>
      <c r="F7573" s="534"/>
    </row>
    <row r="7574" spans="1:6" ht="15" customHeight="1">
      <c r="A7574" s="51"/>
      <c r="B7574" s="52" t="str">
        <f t="shared" si="387"/>
        <v/>
      </c>
      <c r="C7574" t="str">
        <f t="shared" si="386"/>
        <v/>
      </c>
      <c r="D7574" s="245" t="str">
        <f t="shared" si="388"/>
        <v/>
      </c>
      <c r="E7574" s="534"/>
      <c r="F7574" s="534"/>
    </row>
    <row r="7575" spans="1:6" ht="15" customHeight="1">
      <c r="A7575" s="51"/>
      <c r="B7575" s="52" t="str">
        <f t="shared" si="387"/>
        <v/>
      </c>
      <c r="C7575" t="str">
        <f t="shared" si="386"/>
        <v/>
      </c>
      <c r="D7575" s="245" t="str">
        <f t="shared" si="388"/>
        <v/>
      </c>
      <c r="E7575" s="534"/>
      <c r="F7575" s="534"/>
    </row>
    <row r="7576" spans="1:6" ht="15" customHeight="1">
      <c r="A7576" s="51"/>
      <c r="B7576" s="52" t="str">
        <f t="shared" si="387"/>
        <v/>
      </c>
      <c r="C7576" t="str">
        <f t="shared" si="386"/>
        <v/>
      </c>
      <c r="D7576" s="245" t="str">
        <f t="shared" si="388"/>
        <v/>
      </c>
      <c r="E7576" s="534"/>
      <c r="F7576" s="534"/>
    </row>
    <row r="7577" spans="1:6" ht="15" customHeight="1">
      <c r="A7577" s="51"/>
      <c r="B7577" s="52" t="str">
        <f t="shared" si="387"/>
        <v/>
      </c>
      <c r="C7577" t="str">
        <f t="shared" si="386"/>
        <v/>
      </c>
      <c r="D7577" s="245" t="str">
        <f t="shared" si="388"/>
        <v/>
      </c>
      <c r="E7577" s="534"/>
      <c r="F7577" s="534"/>
    </row>
    <row r="7578" spans="1:6" ht="15" customHeight="1">
      <c r="A7578" s="51"/>
      <c r="B7578" s="52" t="str">
        <f t="shared" si="387"/>
        <v/>
      </c>
      <c r="C7578" t="str">
        <f t="shared" si="386"/>
        <v/>
      </c>
      <c r="D7578" s="245" t="str">
        <f t="shared" si="388"/>
        <v/>
      </c>
      <c r="E7578" s="534"/>
      <c r="F7578" s="534"/>
    </row>
    <row r="7579" spans="1:6" ht="15" customHeight="1">
      <c r="A7579" s="51"/>
      <c r="B7579" s="52" t="str">
        <f t="shared" si="387"/>
        <v/>
      </c>
      <c r="C7579" t="str">
        <f t="shared" si="386"/>
        <v/>
      </c>
      <c r="D7579" s="245" t="str">
        <f t="shared" si="388"/>
        <v/>
      </c>
      <c r="E7579" s="534"/>
      <c r="F7579" s="534"/>
    </row>
    <row r="7580" spans="1:6" ht="15" customHeight="1">
      <c r="A7580" s="51"/>
      <c r="B7580" s="52" t="str">
        <f t="shared" si="387"/>
        <v/>
      </c>
      <c r="C7580" t="str">
        <f t="shared" si="386"/>
        <v/>
      </c>
      <c r="D7580" s="245" t="str">
        <f t="shared" si="388"/>
        <v/>
      </c>
      <c r="E7580" s="534"/>
      <c r="F7580" s="534"/>
    </row>
    <row r="7581" spans="1:6" ht="15" customHeight="1">
      <c r="A7581" s="51"/>
      <c r="B7581" s="52" t="str">
        <f t="shared" si="387"/>
        <v/>
      </c>
      <c r="C7581" t="str">
        <f t="shared" si="386"/>
        <v/>
      </c>
      <c r="D7581" s="245" t="str">
        <f t="shared" si="388"/>
        <v/>
      </c>
      <c r="E7581" s="534"/>
      <c r="F7581" s="534"/>
    </row>
    <row r="7582" spans="1:6" ht="15" customHeight="1">
      <c r="A7582" s="51"/>
      <c r="B7582" s="52" t="str">
        <f t="shared" si="387"/>
        <v/>
      </c>
      <c r="C7582" t="str">
        <f t="shared" si="386"/>
        <v/>
      </c>
      <c r="D7582" s="245" t="str">
        <f t="shared" si="388"/>
        <v/>
      </c>
      <c r="E7582" s="534"/>
      <c r="F7582" s="534"/>
    </row>
    <row r="7583" spans="1:6" ht="15" customHeight="1">
      <c r="A7583" s="51"/>
      <c r="B7583" s="52" t="str">
        <f t="shared" si="387"/>
        <v/>
      </c>
      <c r="C7583" t="str">
        <f t="shared" si="386"/>
        <v/>
      </c>
      <c r="D7583" s="245" t="str">
        <f t="shared" si="388"/>
        <v/>
      </c>
      <c r="E7583" s="534"/>
      <c r="F7583" s="534"/>
    </row>
    <row r="7584" spans="1:6" ht="15" customHeight="1">
      <c r="A7584" s="51"/>
      <c r="B7584" s="52" t="str">
        <f t="shared" si="387"/>
        <v/>
      </c>
      <c r="C7584" t="str">
        <f t="shared" si="386"/>
        <v/>
      </c>
      <c r="D7584" s="245" t="str">
        <f t="shared" si="388"/>
        <v/>
      </c>
      <c r="E7584" s="534"/>
      <c r="F7584" s="534"/>
    </row>
    <row r="7585" spans="1:6" ht="15" customHeight="1">
      <c r="A7585" s="51"/>
      <c r="B7585" s="52" t="str">
        <f t="shared" si="387"/>
        <v/>
      </c>
      <c r="C7585" t="str">
        <f t="shared" si="386"/>
        <v/>
      </c>
      <c r="D7585" s="245" t="str">
        <f t="shared" si="388"/>
        <v/>
      </c>
      <c r="E7585" s="534"/>
      <c r="F7585" s="534"/>
    </row>
    <row r="7586" spans="1:6" ht="15" customHeight="1">
      <c r="A7586" s="51"/>
      <c r="B7586" s="52" t="str">
        <f t="shared" si="387"/>
        <v/>
      </c>
      <c r="C7586" t="str">
        <f t="shared" si="386"/>
        <v/>
      </c>
      <c r="D7586" s="245" t="str">
        <f t="shared" si="388"/>
        <v/>
      </c>
      <c r="E7586" s="534"/>
      <c r="F7586" s="534"/>
    </row>
    <row r="7587" spans="1:6" ht="15" customHeight="1">
      <c r="A7587" s="51"/>
      <c r="B7587" s="52" t="str">
        <f t="shared" si="387"/>
        <v/>
      </c>
      <c r="C7587" t="str">
        <f t="shared" si="386"/>
        <v/>
      </c>
      <c r="D7587" s="245" t="str">
        <f t="shared" si="388"/>
        <v/>
      </c>
      <c r="E7587" s="534"/>
      <c r="F7587" s="534"/>
    </row>
    <row r="7588" spans="1:6" ht="15" customHeight="1">
      <c r="A7588" s="51"/>
      <c r="B7588" s="52" t="str">
        <f t="shared" si="387"/>
        <v/>
      </c>
      <c r="C7588" t="str">
        <f t="shared" si="386"/>
        <v/>
      </c>
      <c r="D7588" s="245" t="str">
        <f t="shared" si="388"/>
        <v/>
      </c>
      <c r="E7588" s="534"/>
      <c r="F7588" s="534"/>
    </row>
    <row r="7589" spans="1:6" ht="15" customHeight="1">
      <c r="A7589" s="51"/>
      <c r="B7589" s="52" t="str">
        <f t="shared" si="387"/>
        <v/>
      </c>
      <c r="C7589" t="str">
        <f t="shared" si="386"/>
        <v/>
      </c>
      <c r="D7589" s="245" t="str">
        <f t="shared" si="388"/>
        <v/>
      </c>
      <c r="E7589" s="534"/>
      <c r="F7589" s="534"/>
    </row>
    <row r="7590" spans="1:6" ht="15" customHeight="1">
      <c r="A7590" s="51"/>
      <c r="B7590" s="52" t="str">
        <f t="shared" si="387"/>
        <v/>
      </c>
      <c r="C7590" t="str">
        <f t="shared" si="386"/>
        <v/>
      </c>
      <c r="D7590" s="245" t="str">
        <f t="shared" si="388"/>
        <v/>
      </c>
      <c r="E7590" s="534"/>
      <c r="F7590" s="534"/>
    </row>
    <row r="7591" spans="1:6" ht="15" customHeight="1">
      <c r="A7591" s="51"/>
      <c r="B7591" s="52" t="str">
        <f t="shared" si="387"/>
        <v/>
      </c>
      <c r="C7591" t="str">
        <f t="shared" si="386"/>
        <v/>
      </c>
      <c r="D7591" s="245" t="str">
        <f t="shared" si="388"/>
        <v/>
      </c>
      <c r="E7591" s="534"/>
      <c r="F7591" s="534"/>
    </row>
    <row r="7592" spans="1:6" ht="15" customHeight="1">
      <c r="A7592" s="51"/>
      <c r="B7592" s="52" t="str">
        <f t="shared" si="387"/>
        <v/>
      </c>
      <c r="C7592" t="str">
        <f t="shared" si="386"/>
        <v/>
      </c>
      <c r="D7592" s="245" t="str">
        <f t="shared" si="388"/>
        <v/>
      </c>
      <c r="E7592" s="534"/>
      <c r="F7592" s="534"/>
    </row>
    <row r="7593" spans="1:6" ht="15" customHeight="1">
      <c r="A7593" s="51"/>
      <c r="B7593" s="52" t="str">
        <f t="shared" si="387"/>
        <v/>
      </c>
      <c r="C7593" t="str">
        <f t="shared" si="386"/>
        <v/>
      </c>
      <c r="D7593" s="245" t="str">
        <f t="shared" si="388"/>
        <v/>
      </c>
      <c r="E7593" s="534"/>
      <c r="F7593" s="534"/>
    </row>
    <row r="7594" spans="1:6" ht="15" customHeight="1">
      <c r="A7594" s="51"/>
      <c r="B7594" s="52" t="str">
        <f t="shared" si="387"/>
        <v/>
      </c>
      <c r="C7594" t="str">
        <f t="shared" si="386"/>
        <v/>
      </c>
      <c r="D7594" s="245" t="str">
        <f t="shared" si="388"/>
        <v/>
      </c>
      <c r="E7594" s="534"/>
      <c r="F7594" s="534"/>
    </row>
    <row r="7595" spans="1:6" ht="15" customHeight="1">
      <c r="A7595" s="51"/>
      <c r="B7595" s="52" t="str">
        <f t="shared" si="387"/>
        <v/>
      </c>
      <c r="C7595" t="str">
        <f t="shared" si="386"/>
        <v/>
      </c>
      <c r="D7595" s="245" t="str">
        <f t="shared" si="388"/>
        <v/>
      </c>
      <c r="E7595" s="534"/>
      <c r="F7595" s="534"/>
    </row>
    <row r="7596" spans="1:6" ht="15" customHeight="1">
      <c r="A7596" s="51"/>
      <c r="B7596" s="52" t="str">
        <f t="shared" si="387"/>
        <v/>
      </c>
      <c r="C7596" t="str">
        <f t="shared" si="386"/>
        <v/>
      </c>
      <c r="D7596" s="245" t="str">
        <f t="shared" si="388"/>
        <v/>
      </c>
      <c r="E7596" s="534"/>
      <c r="F7596" s="534"/>
    </row>
    <row r="7597" spans="1:6" ht="15" customHeight="1">
      <c r="A7597" s="51"/>
      <c r="B7597" s="52" t="str">
        <f t="shared" si="387"/>
        <v/>
      </c>
      <c r="C7597" t="str">
        <f t="shared" si="386"/>
        <v/>
      </c>
      <c r="D7597" s="245" t="str">
        <f t="shared" si="388"/>
        <v/>
      </c>
      <c r="E7597" s="534"/>
      <c r="F7597" s="534"/>
    </row>
    <row r="7598" spans="1:6" ht="15" customHeight="1">
      <c r="A7598" s="51"/>
      <c r="B7598" s="52" t="str">
        <f t="shared" si="387"/>
        <v/>
      </c>
      <c r="C7598" t="str">
        <f t="shared" si="386"/>
        <v/>
      </c>
      <c r="D7598" s="245" t="str">
        <f t="shared" si="388"/>
        <v/>
      </c>
      <c r="E7598" s="534"/>
      <c r="F7598" s="534"/>
    </row>
    <row r="7599" spans="1:6" ht="15" customHeight="1">
      <c r="A7599" s="51"/>
      <c r="B7599" s="52" t="str">
        <f t="shared" si="387"/>
        <v/>
      </c>
      <c r="C7599" t="str">
        <f t="shared" si="386"/>
        <v/>
      </c>
      <c r="D7599" s="245" t="str">
        <f t="shared" si="388"/>
        <v/>
      </c>
      <c r="E7599" s="534"/>
      <c r="F7599" s="534"/>
    </row>
    <row r="7600" spans="1:6" ht="15" customHeight="1">
      <c r="A7600" s="51"/>
      <c r="B7600" s="52" t="str">
        <f t="shared" si="387"/>
        <v/>
      </c>
      <c r="C7600" t="str">
        <f t="shared" si="386"/>
        <v/>
      </c>
      <c r="D7600" s="245" t="str">
        <f t="shared" si="388"/>
        <v/>
      </c>
      <c r="E7600" s="534"/>
      <c r="F7600" s="534"/>
    </row>
    <row r="7601" spans="1:6" ht="15" customHeight="1">
      <c r="A7601" s="51"/>
      <c r="B7601" s="52" t="str">
        <f t="shared" si="387"/>
        <v/>
      </c>
      <c r="C7601" t="str">
        <f t="shared" si="386"/>
        <v/>
      </c>
      <c r="D7601" s="245" t="str">
        <f t="shared" si="388"/>
        <v/>
      </c>
      <c r="E7601" s="534"/>
      <c r="F7601" s="534"/>
    </row>
    <row r="7602" spans="1:6" ht="15" customHeight="1">
      <c r="A7602" s="51"/>
      <c r="B7602" s="52" t="str">
        <f t="shared" si="387"/>
        <v/>
      </c>
      <c r="C7602" t="str">
        <f t="shared" si="386"/>
        <v/>
      </c>
      <c r="D7602" s="245" t="str">
        <f t="shared" si="388"/>
        <v/>
      </c>
      <c r="E7602" s="534"/>
      <c r="F7602" s="534"/>
    </row>
    <row r="7603" spans="1:6" ht="15" customHeight="1">
      <c r="A7603" s="51"/>
      <c r="B7603" s="52" t="str">
        <f t="shared" si="387"/>
        <v/>
      </c>
      <c r="C7603" t="str">
        <f t="shared" si="386"/>
        <v/>
      </c>
      <c r="D7603" s="245" t="str">
        <f t="shared" si="388"/>
        <v/>
      </c>
      <c r="E7603" s="534"/>
      <c r="F7603" s="534"/>
    </row>
    <row r="7604" spans="1:6" ht="15" customHeight="1">
      <c r="A7604" s="51"/>
      <c r="B7604" s="52" t="str">
        <f t="shared" si="387"/>
        <v/>
      </c>
      <c r="C7604" t="str">
        <f t="shared" si="386"/>
        <v/>
      </c>
      <c r="D7604" s="245" t="str">
        <f t="shared" si="388"/>
        <v/>
      </c>
      <c r="E7604" s="534"/>
      <c r="F7604" s="534"/>
    </row>
    <row r="7605" spans="1:6" ht="15" customHeight="1">
      <c r="A7605" s="51"/>
      <c r="B7605" s="52" t="str">
        <f t="shared" si="387"/>
        <v/>
      </c>
      <c r="C7605" t="str">
        <f t="shared" si="386"/>
        <v/>
      </c>
      <c r="D7605" s="245" t="str">
        <f t="shared" si="388"/>
        <v/>
      </c>
      <c r="E7605" s="534"/>
      <c r="F7605" s="534"/>
    </row>
    <row r="7606" spans="1:6" ht="15" customHeight="1">
      <c r="A7606" s="51"/>
      <c r="B7606" s="52" t="str">
        <f t="shared" si="387"/>
        <v/>
      </c>
      <c r="C7606" t="str">
        <f t="shared" si="386"/>
        <v/>
      </c>
      <c r="D7606" s="245" t="str">
        <f t="shared" si="388"/>
        <v/>
      </c>
      <c r="E7606" s="534"/>
      <c r="F7606" s="534"/>
    </row>
    <row r="7607" spans="1:6" ht="15" customHeight="1">
      <c r="A7607" s="51"/>
      <c r="B7607" s="52" t="str">
        <f t="shared" si="387"/>
        <v/>
      </c>
      <c r="C7607" t="str">
        <f t="shared" si="386"/>
        <v/>
      </c>
      <c r="D7607" s="245" t="str">
        <f t="shared" si="388"/>
        <v/>
      </c>
      <c r="E7607" s="534"/>
      <c r="F7607" s="534"/>
    </row>
    <row r="7608" spans="1:6" ht="15" customHeight="1">
      <c r="A7608" s="51"/>
      <c r="B7608" s="52" t="str">
        <f t="shared" si="387"/>
        <v/>
      </c>
      <c r="C7608" t="str">
        <f t="shared" si="386"/>
        <v/>
      </c>
      <c r="D7608" s="245" t="str">
        <f t="shared" si="388"/>
        <v/>
      </c>
      <c r="E7608" s="534"/>
      <c r="F7608" s="534"/>
    </row>
    <row r="7609" spans="1:6" ht="15" customHeight="1">
      <c r="A7609" s="51"/>
      <c r="B7609" s="52" t="str">
        <f t="shared" si="387"/>
        <v/>
      </c>
      <c r="C7609" t="str">
        <f t="shared" si="386"/>
        <v/>
      </c>
      <c r="D7609" s="245" t="str">
        <f t="shared" si="388"/>
        <v/>
      </c>
      <c r="E7609" s="534"/>
      <c r="F7609" s="534"/>
    </row>
    <row r="7610" spans="1:6" ht="15" customHeight="1">
      <c r="A7610" s="51"/>
      <c r="B7610" s="52" t="str">
        <f t="shared" si="387"/>
        <v/>
      </c>
      <c r="C7610" t="str">
        <f t="shared" si="386"/>
        <v/>
      </c>
      <c r="D7610" s="245" t="str">
        <f t="shared" si="388"/>
        <v/>
      </c>
      <c r="E7610" s="534"/>
      <c r="F7610" s="534"/>
    </row>
    <row r="7611" spans="1:6" ht="15" customHeight="1">
      <c r="A7611" s="51"/>
      <c r="B7611" s="52" t="str">
        <f t="shared" si="387"/>
        <v/>
      </c>
      <c r="C7611" t="str">
        <f t="shared" si="386"/>
        <v/>
      </c>
      <c r="D7611" s="245" t="str">
        <f t="shared" si="388"/>
        <v/>
      </c>
      <c r="E7611" s="534"/>
      <c r="F7611" s="534"/>
    </row>
    <row r="7612" spans="1:6" ht="15" customHeight="1">
      <c r="A7612" s="51"/>
      <c r="B7612" s="52" t="str">
        <f t="shared" si="387"/>
        <v/>
      </c>
      <c r="C7612" t="str">
        <f t="shared" si="386"/>
        <v/>
      </c>
      <c r="D7612" s="245" t="str">
        <f t="shared" si="388"/>
        <v/>
      </c>
      <c r="E7612" s="534"/>
      <c r="F7612" s="534"/>
    </row>
    <row r="7613" spans="1:6" ht="15" customHeight="1">
      <c r="A7613" s="51"/>
      <c r="B7613" s="52" t="str">
        <f t="shared" si="387"/>
        <v/>
      </c>
      <c r="C7613" t="str">
        <f t="shared" si="386"/>
        <v/>
      </c>
      <c r="D7613" s="245" t="str">
        <f t="shared" si="388"/>
        <v/>
      </c>
      <c r="E7613" s="534"/>
      <c r="F7613" s="534"/>
    </row>
    <row r="7614" spans="1:6" ht="15" customHeight="1">
      <c r="A7614" s="51"/>
      <c r="B7614" s="52" t="str">
        <f t="shared" si="387"/>
        <v/>
      </c>
      <c r="C7614" t="str">
        <f t="shared" si="386"/>
        <v/>
      </c>
      <c r="D7614" s="245" t="str">
        <f t="shared" si="388"/>
        <v/>
      </c>
      <c r="E7614" s="534"/>
      <c r="F7614" s="534"/>
    </row>
    <row r="7615" spans="1:6" ht="15" customHeight="1">
      <c r="A7615" s="51"/>
      <c r="B7615" s="52" t="str">
        <f t="shared" si="387"/>
        <v/>
      </c>
      <c r="C7615" t="str">
        <f t="shared" si="386"/>
        <v/>
      </c>
      <c r="D7615" s="245" t="str">
        <f t="shared" si="388"/>
        <v/>
      </c>
      <c r="E7615" s="534"/>
      <c r="F7615" s="534"/>
    </row>
    <row r="7616" spans="1:6" ht="15" customHeight="1">
      <c r="A7616" s="51"/>
      <c r="B7616" s="52" t="str">
        <f t="shared" si="387"/>
        <v/>
      </c>
      <c r="C7616" t="str">
        <f t="shared" si="386"/>
        <v/>
      </c>
      <c r="D7616" s="245" t="str">
        <f t="shared" si="388"/>
        <v/>
      </c>
      <c r="E7616" s="534"/>
      <c r="F7616" s="534"/>
    </row>
    <row r="7617" spans="1:6" ht="15" customHeight="1">
      <c r="A7617" s="51"/>
      <c r="B7617" s="52" t="str">
        <f t="shared" si="387"/>
        <v/>
      </c>
      <c r="C7617" t="str">
        <f t="shared" si="386"/>
        <v/>
      </c>
      <c r="D7617" s="245" t="str">
        <f t="shared" si="388"/>
        <v/>
      </c>
      <c r="E7617" s="534"/>
      <c r="F7617" s="534"/>
    </row>
    <row r="7618" spans="1:6" ht="15" customHeight="1">
      <c r="A7618" s="51"/>
      <c r="B7618" s="52" t="str">
        <f t="shared" si="387"/>
        <v/>
      </c>
      <c r="C7618" t="str">
        <f t="shared" ref="C7618:C7681" si="389">IF(A7618&lt;&gt;"",TEXT(A7618,"aaaa"),"")</f>
        <v/>
      </c>
      <c r="D7618" s="245" t="str">
        <f t="shared" si="388"/>
        <v/>
      </c>
      <c r="E7618" s="534"/>
      <c r="F7618" s="534"/>
    </row>
    <row r="7619" spans="1:6" ht="15" customHeight="1">
      <c r="A7619" s="51"/>
      <c r="B7619" s="52" t="str">
        <f t="shared" si="387"/>
        <v/>
      </c>
      <c r="C7619" t="str">
        <f t="shared" si="389"/>
        <v/>
      </c>
      <c r="D7619" s="245" t="str">
        <f t="shared" si="388"/>
        <v/>
      </c>
      <c r="E7619" s="534"/>
      <c r="F7619" s="534"/>
    </row>
    <row r="7620" spans="1:6" ht="15" customHeight="1">
      <c r="A7620" s="51"/>
      <c r="B7620" s="52" t="str">
        <f t="shared" si="387"/>
        <v/>
      </c>
      <c r="C7620" t="str">
        <f t="shared" si="389"/>
        <v/>
      </c>
      <c r="D7620" s="245" t="str">
        <f t="shared" si="388"/>
        <v/>
      </c>
      <c r="E7620" s="534"/>
      <c r="F7620" s="534"/>
    </row>
    <row r="7621" spans="1:6" ht="15" customHeight="1">
      <c r="A7621" s="51"/>
      <c r="B7621" s="52" t="str">
        <f t="shared" si="387"/>
        <v/>
      </c>
      <c r="C7621" t="str">
        <f t="shared" si="389"/>
        <v/>
      </c>
      <c r="D7621" s="245" t="str">
        <f t="shared" si="388"/>
        <v/>
      </c>
      <c r="E7621" s="534"/>
      <c r="F7621" s="534"/>
    </row>
    <row r="7622" spans="1:6" ht="15" customHeight="1">
      <c r="A7622" s="51"/>
      <c r="B7622" s="52" t="str">
        <f t="shared" si="387"/>
        <v/>
      </c>
      <c r="C7622" t="str">
        <f t="shared" si="389"/>
        <v/>
      </c>
      <c r="D7622" s="245" t="str">
        <f t="shared" si="388"/>
        <v/>
      </c>
      <c r="E7622" s="534"/>
      <c r="F7622" s="534"/>
    </row>
    <row r="7623" spans="1:6" ht="15" customHeight="1">
      <c r="A7623" s="51"/>
      <c r="B7623" s="52" t="str">
        <f t="shared" si="387"/>
        <v/>
      </c>
      <c r="C7623" t="str">
        <f t="shared" si="389"/>
        <v/>
      </c>
      <c r="D7623" s="245" t="str">
        <f t="shared" si="388"/>
        <v/>
      </c>
      <c r="E7623" s="534"/>
      <c r="F7623" s="534"/>
    </row>
    <row r="7624" spans="1:6" ht="15" customHeight="1">
      <c r="A7624" s="51"/>
      <c r="B7624" s="52" t="str">
        <f t="shared" ref="B7624:B7687" si="390">IF(A7624="","",TEXT(A7624,"DDDD"))</f>
        <v/>
      </c>
      <c r="C7624" t="str">
        <f t="shared" si="389"/>
        <v/>
      </c>
      <c r="D7624" s="245" t="str">
        <f t="shared" si="388"/>
        <v/>
      </c>
      <c r="E7624" s="534"/>
      <c r="F7624" s="534"/>
    </row>
    <row r="7625" spans="1:6" ht="15" customHeight="1">
      <c r="A7625" s="51"/>
      <c r="B7625" s="52" t="str">
        <f t="shared" si="390"/>
        <v/>
      </c>
      <c r="C7625" t="str">
        <f t="shared" si="389"/>
        <v/>
      </c>
      <c r="D7625" s="245" t="str">
        <f t="shared" ref="D7625:D7688" si="391">IF(A7625&lt;&gt;"",PROPER(TEXT(A7625,"Mmmm")),"")</f>
        <v/>
      </c>
      <c r="E7625" s="534"/>
      <c r="F7625" s="534"/>
    </row>
    <row r="7626" spans="1:6" ht="15" customHeight="1">
      <c r="A7626" s="51"/>
      <c r="B7626" s="52" t="str">
        <f t="shared" si="390"/>
        <v/>
      </c>
      <c r="C7626" t="str">
        <f t="shared" si="389"/>
        <v/>
      </c>
      <c r="D7626" s="245" t="str">
        <f t="shared" si="391"/>
        <v/>
      </c>
      <c r="E7626" s="534"/>
      <c r="F7626" s="534"/>
    </row>
    <row r="7627" spans="1:6" ht="15" customHeight="1">
      <c r="A7627" s="51"/>
      <c r="B7627" s="52" t="str">
        <f t="shared" si="390"/>
        <v/>
      </c>
      <c r="C7627" t="str">
        <f t="shared" si="389"/>
        <v/>
      </c>
      <c r="D7627" s="245" t="str">
        <f t="shared" si="391"/>
        <v/>
      </c>
      <c r="E7627" s="534"/>
      <c r="F7627" s="534"/>
    </row>
    <row r="7628" spans="1:6" ht="15" customHeight="1">
      <c r="A7628" s="51"/>
      <c r="B7628" s="52" t="str">
        <f t="shared" si="390"/>
        <v/>
      </c>
      <c r="C7628" t="str">
        <f t="shared" si="389"/>
        <v/>
      </c>
      <c r="D7628" s="245" t="str">
        <f t="shared" si="391"/>
        <v/>
      </c>
      <c r="E7628" s="534"/>
      <c r="F7628" s="534"/>
    </row>
    <row r="7629" spans="1:6" ht="15" customHeight="1">
      <c r="A7629" s="51"/>
      <c r="B7629" s="52" t="str">
        <f t="shared" si="390"/>
        <v/>
      </c>
      <c r="C7629" t="str">
        <f t="shared" si="389"/>
        <v/>
      </c>
      <c r="D7629" s="245" t="str">
        <f t="shared" si="391"/>
        <v/>
      </c>
      <c r="E7629" s="534"/>
      <c r="F7629" s="534"/>
    </row>
    <row r="7630" spans="1:6" ht="15" customHeight="1">
      <c r="A7630" s="51"/>
      <c r="B7630" s="52" t="str">
        <f t="shared" si="390"/>
        <v/>
      </c>
      <c r="C7630" t="str">
        <f t="shared" si="389"/>
        <v/>
      </c>
      <c r="D7630" s="245" t="str">
        <f t="shared" si="391"/>
        <v/>
      </c>
      <c r="E7630" s="534"/>
      <c r="F7630" s="534"/>
    </row>
    <row r="7631" spans="1:6" ht="15" customHeight="1">
      <c r="A7631" s="51"/>
      <c r="B7631" s="52" t="str">
        <f t="shared" si="390"/>
        <v/>
      </c>
      <c r="C7631" t="str">
        <f t="shared" si="389"/>
        <v/>
      </c>
      <c r="D7631" s="245" t="str">
        <f t="shared" si="391"/>
        <v/>
      </c>
      <c r="E7631" s="534"/>
      <c r="F7631" s="534"/>
    </row>
    <row r="7632" spans="1:6" ht="15" customHeight="1">
      <c r="A7632" s="51"/>
      <c r="B7632" s="52" t="str">
        <f t="shared" si="390"/>
        <v/>
      </c>
      <c r="C7632" t="str">
        <f t="shared" si="389"/>
        <v/>
      </c>
      <c r="D7632" s="245" t="str">
        <f t="shared" si="391"/>
        <v/>
      </c>
      <c r="E7632" s="534"/>
      <c r="F7632" s="534"/>
    </row>
    <row r="7633" spans="1:6" ht="15" customHeight="1">
      <c r="A7633" s="51"/>
      <c r="B7633" s="52" t="str">
        <f t="shared" si="390"/>
        <v/>
      </c>
      <c r="C7633" t="str">
        <f t="shared" si="389"/>
        <v/>
      </c>
      <c r="D7633" s="245" t="str">
        <f t="shared" si="391"/>
        <v/>
      </c>
      <c r="E7633" s="534"/>
      <c r="F7633" s="534"/>
    </row>
    <row r="7634" spans="1:6" ht="15" customHeight="1">
      <c r="A7634" s="51"/>
      <c r="B7634" s="52" t="str">
        <f t="shared" si="390"/>
        <v/>
      </c>
      <c r="C7634" t="str">
        <f t="shared" si="389"/>
        <v/>
      </c>
      <c r="D7634" s="245" t="str">
        <f t="shared" si="391"/>
        <v/>
      </c>
      <c r="E7634" s="534"/>
      <c r="F7634" s="534"/>
    </row>
    <row r="7635" spans="1:6" ht="15" customHeight="1">
      <c r="A7635" s="51"/>
      <c r="B7635" s="52" t="str">
        <f t="shared" si="390"/>
        <v/>
      </c>
      <c r="C7635" t="str">
        <f t="shared" si="389"/>
        <v/>
      </c>
      <c r="D7635" s="245" t="str">
        <f t="shared" si="391"/>
        <v/>
      </c>
      <c r="E7635" s="534"/>
      <c r="F7635" s="534"/>
    </row>
    <row r="7636" spans="1:6" ht="15" customHeight="1">
      <c r="A7636" s="51"/>
      <c r="B7636" s="52" t="str">
        <f t="shared" si="390"/>
        <v/>
      </c>
      <c r="C7636" t="str">
        <f t="shared" si="389"/>
        <v/>
      </c>
      <c r="D7636" s="245" t="str">
        <f t="shared" si="391"/>
        <v/>
      </c>
      <c r="E7636" s="534"/>
      <c r="F7636" s="534"/>
    </row>
    <row r="7637" spans="1:6" ht="15" customHeight="1">
      <c r="A7637" s="51"/>
      <c r="B7637" s="52" t="str">
        <f t="shared" si="390"/>
        <v/>
      </c>
      <c r="C7637" t="str">
        <f t="shared" si="389"/>
        <v/>
      </c>
      <c r="D7637" s="245" t="str">
        <f t="shared" si="391"/>
        <v/>
      </c>
      <c r="E7637" s="534"/>
      <c r="F7637" s="534"/>
    </row>
    <row r="7638" spans="1:6" ht="15" customHeight="1">
      <c r="A7638" s="51"/>
      <c r="B7638" s="52" t="str">
        <f t="shared" si="390"/>
        <v/>
      </c>
      <c r="C7638" t="str">
        <f t="shared" si="389"/>
        <v/>
      </c>
      <c r="D7638" s="245" t="str">
        <f t="shared" si="391"/>
        <v/>
      </c>
      <c r="E7638" s="534"/>
      <c r="F7638" s="534"/>
    </row>
    <row r="7639" spans="1:6" ht="15" customHeight="1">
      <c r="A7639" s="51"/>
      <c r="B7639" s="52" t="str">
        <f t="shared" si="390"/>
        <v/>
      </c>
      <c r="C7639" t="str">
        <f t="shared" si="389"/>
        <v/>
      </c>
      <c r="D7639" s="245" t="str">
        <f t="shared" si="391"/>
        <v/>
      </c>
      <c r="E7639" s="534"/>
      <c r="F7639" s="534"/>
    </row>
    <row r="7640" spans="1:6" ht="15" customHeight="1">
      <c r="A7640" s="51"/>
      <c r="B7640" s="52" t="str">
        <f t="shared" si="390"/>
        <v/>
      </c>
      <c r="C7640" t="str">
        <f t="shared" si="389"/>
        <v/>
      </c>
      <c r="D7640" s="245" t="str">
        <f t="shared" si="391"/>
        <v/>
      </c>
      <c r="E7640" s="534"/>
      <c r="F7640" s="534"/>
    </row>
    <row r="7641" spans="1:6" ht="15" customHeight="1">
      <c r="A7641" s="51"/>
      <c r="B7641" s="52" t="str">
        <f t="shared" si="390"/>
        <v/>
      </c>
      <c r="C7641" t="str">
        <f t="shared" si="389"/>
        <v/>
      </c>
      <c r="D7641" s="245" t="str">
        <f t="shared" si="391"/>
        <v/>
      </c>
      <c r="E7641" s="534"/>
      <c r="F7641" s="534"/>
    </row>
    <row r="7642" spans="1:6" ht="15" customHeight="1">
      <c r="A7642" s="51"/>
      <c r="B7642" s="52" t="str">
        <f t="shared" si="390"/>
        <v/>
      </c>
      <c r="C7642" t="str">
        <f t="shared" si="389"/>
        <v/>
      </c>
      <c r="D7642" s="245" t="str">
        <f t="shared" si="391"/>
        <v/>
      </c>
      <c r="E7642" s="534"/>
      <c r="F7642" s="534"/>
    </row>
    <row r="7643" spans="1:6" ht="15" customHeight="1">
      <c r="A7643" s="51"/>
      <c r="B7643" s="52" t="str">
        <f t="shared" si="390"/>
        <v/>
      </c>
      <c r="C7643" t="str">
        <f t="shared" si="389"/>
        <v/>
      </c>
      <c r="D7643" s="245" t="str">
        <f t="shared" si="391"/>
        <v/>
      </c>
      <c r="E7643" s="534"/>
      <c r="F7643" s="534"/>
    </row>
    <row r="7644" spans="1:6" ht="15" customHeight="1">
      <c r="A7644" s="51"/>
      <c r="B7644" s="52" t="str">
        <f t="shared" si="390"/>
        <v/>
      </c>
      <c r="C7644" t="str">
        <f t="shared" si="389"/>
        <v/>
      </c>
      <c r="D7644" s="245" t="str">
        <f t="shared" si="391"/>
        <v/>
      </c>
      <c r="E7644" s="534"/>
      <c r="F7644" s="534"/>
    </row>
    <row r="7645" spans="1:6" ht="15" customHeight="1">
      <c r="A7645" s="51"/>
      <c r="B7645" s="52" t="str">
        <f t="shared" si="390"/>
        <v/>
      </c>
      <c r="C7645" t="str">
        <f t="shared" si="389"/>
        <v/>
      </c>
      <c r="D7645" s="245" t="str">
        <f t="shared" si="391"/>
        <v/>
      </c>
      <c r="E7645" s="534"/>
      <c r="F7645" s="534"/>
    </row>
    <row r="7646" spans="1:6" ht="15" customHeight="1">
      <c r="A7646" s="51"/>
      <c r="B7646" s="52" t="str">
        <f t="shared" si="390"/>
        <v/>
      </c>
      <c r="C7646" t="str">
        <f t="shared" si="389"/>
        <v/>
      </c>
      <c r="D7646" s="245" t="str">
        <f t="shared" si="391"/>
        <v/>
      </c>
      <c r="E7646" s="534"/>
      <c r="F7646" s="534"/>
    </row>
    <row r="7647" spans="1:6" ht="15" customHeight="1">
      <c r="A7647" s="51"/>
      <c r="B7647" s="52" t="str">
        <f t="shared" si="390"/>
        <v/>
      </c>
      <c r="C7647" t="str">
        <f t="shared" si="389"/>
        <v/>
      </c>
      <c r="D7647" s="245" t="str">
        <f t="shared" si="391"/>
        <v/>
      </c>
      <c r="E7647" s="534"/>
      <c r="F7647" s="534"/>
    </row>
    <row r="7648" spans="1:6" ht="15" customHeight="1">
      <c r="A7648" s="51"/>
      <c r="B7648" s="52" t="str">
        <f t="shared" si="390"/>
        <v/>
      </c>
      <c r="C7648" t="str">
        <f t="shared" si="389"/>
        <v/>
      </c>
      <c r="D7648" s="245" t="str">
        <f t="shared" si="391"/>
        <v/>
      </c>
      <c r="E7648" s="534"/>
      <c r="F7648" s="534"/>
    </row>
    <row r="7649" spans="1:6" ht="15" customHeight="1">
      <c r="A7649" s="51"/>
      <c r="B7649" s="52" t="str">
        <f t="shared" si="390"/>
        <v/>
      </c>
      <c r="C7649" t="str">
        <f t="shared" si="389"/>
        <v/>
      </c>
      <c r="D7649" s="245" t="str">
        <f t="shared" si="391"/>
        <v/>
      </c>
      <c r="E7649" s="534"/>
      <c r="F7649" s="534"/>
    </row>
    <row r="7650" spans="1:6" ht="15" customHeight="1">
      <c r="A7650" s="51"/>
      <c r="B7650" s="52" t="str">
        <f t="shared" si="390"/>
        <v/>
      </c>
      <c r="C7650" t="str">
        <f t="shared" si="389"/>
        <v/>
      </c>
      <c r="D7650" s="245" t="str">
        <f t="shared" si="391"/>
        <v/>
      </c>
      <c r="E7650" s="534"/>
      <c r="F7650" s="534"/>
    </row>
    <row r="7651" spans="1:6" ht="15" customHeight="1">
      <c r="A7651" s="51"/>
      <c r="B7651" s="52" t="str">
        <f t="shared" si="390"/>
        <v/>
      </c>
      <c r="C7651" t="str">
        <f t="shared" si="389"/>
        <v/>
      </c>
      <c r="D7651" s="245" t="str">
        <f t="shared" si="391"/>
        <v/>
      </c>
      <c r="E7651" s="534"/>
      <c r="F7651" s="534"/>
    </row>
    <row r="7652" spans="1:6" ht="15" customHeight="1">
      <c r="A7652" s="51"/>
      <c r="B7652" s="52" t="str">
        <f t="shared" si="390"/>
        <v/>
      </c>
      <c r="C7652" t="str">
        <f t="shared" si="389"/>
        <v/>
      </c>
      <c r="D7652" s="245" t="str">
        <f t="shared" si="391"/>
        <v/>
      </c>
      <c r="E7652" s="534"/>
      <c r="F7652" s="534"/>
    </row>
    <row r="7653" spans="1:6" ht="15" customHeight="1">
      <c r="A7653" s="51"/>
      <c r="B7653" s="52" t="str">
        <f t="shared" si="390"/>
        <v/>
      </c>
      <c r="C7653" t="str">
        <f t="shared" si="389"/>
        <v/>
      </c>
      <c r="D7653" s="245" t="str">
        <f t="shared" si="391"/>
        <v/>
      </c>
      <c r="E7653" s="534"/>
      <c r="F7653" s="534"/>
    </row>
    <row r="7654" spans="1:6" ht="15" customHeight="1">
      <c r="A7654" s="51"/>
      <c r="B7654" s="52" t="str">
        <f t="shared" si="390"/>
        <v/>
      </c>
      <c r="C7654" t="str">
        <f t="shared" si="389"/>
        <v/>
      </c>
      <c r="D7654" s="245" t="str">
        <f t="shared" si="391"/>
        <v/>
      </c>
      <c r="E7654" s="534"/>
      <c r="F7654" s="534"/>
    </row>
    <row r="7655" spans="1:6" ht="15" customHeight="1">
      <c r="A7655" s="51"/>
      <c r="B7655" s="52" t="str">
        <f t="shared" si="390"/>
        <v/>
      </c>
      <c r="C7655" t="str">
        <f t="shared" si="389"/>
        <v/>
      </c>
      <c r="D7655" s="245" t="str">
        <f t="shared" si="391"/>
        <v/>
      </c>
      <c r="E7655" s="534"/>
      <c r="F7655" s="534"/>
    </row>
    <row r="7656" spans="1:6" ht="15" customHeight="1">
      <c r="A7656" s="51"/>
      <c r="B7656" s="52" t="str">
        <f t="shared" si="390"/>
        <v/>
      </c>
      <c r="C7656" t="str">
        <f t="shared" si="389"/>
        <v/>
      </c>
      <c r="D7656" s="245" t="str">
        <f t="shared" si="391"/>
        <v/>
      </c>
      <c r="E7656" s="534"/>
      <c r="F7656" s="534"/>
    </row>
    <row r="7657" spans="1:6" ht="15" customHeight="1">
      <c r="A7657" s="51"/>
      <c r="B7657" s="52" t="str">
        <f t="shared" si="390"/>
        <v/>
      </c>
      <c r="C7657" t="str">
        <f t="shared" si="389"/>
        <v/>
      </c>
      <c r="D7657" s="245" t="str">
        <f t="shared" si="391"/>
        <v/>
      </c>
      <c r="E7657" s="534"/>
      <c r="F7657" s="534"/>
    </row>
    <row r="7658" spans="1:6" ht="15" customHeight="1">
      <c r="A7658" s="51"/>
      <c r="B7658" s="52" t="str">
        <f t="shared" si="390"/>
        <v/>
      </c>
      <c r="C7658" t="str">
        <f t="shared" si="389"/>
        <v/>
      </c>
      <c r="D7658" s="245" t="str">
        <f t="shared" si="391"/>
        <v/>
      </c>
      <c r="E7658" s="534"/>
      <c r="F7658" s="534"/>
    </row>
    <row r="7659" spans="1:6" ht="15" customHeight="1">
      <c r="A7659" s="51"/>
      <c r="B7659" s="52" t="str">
        <f t="shared" si="390"/>
        <v/>
      </c>
      <c r="C7659" t="str">
        <f t="shared" si="389"/>
        <v/>
      </c>
      <c r="D7659" s="245" t="str">
        <f t="shared" si="391"/>
        <v/>
      </c>
      <c r="E7659" s="534"/>
      <c r="F7659" s="534"/>
    </row>
    <row r="7660" spans="1:6" ht="15" customHeight="1">
      <c r="A7660" s="51"/>
      <c r="B7660" s="52" t="str">
        <f t="shared" si="390"/>
        <v/>
      </c>
      <c r="C7660" t="str">
        <f t="shared" si="389"/>
        <v/>
      </c>
      <c r="D7660" s="245" t="str">
        <f t="shared" si="391"/>
        <v/>
      </c>
      <c r="E7660" s="534"/>
      <c r="F7660" s="534"/>
    </row>
    <row r="7661" spans="1:6" ht="15" customHeight="1">
      <c r="A7661" s="51"/>
      <c r="B7661" s="52" t="str">
        <f t="shared" si="390"/>
        <v/>
      </c>
      <c r="C7661" t="str">
        <f t="shared" si="389"/>
        <v/>
      </c>
      <c r="D7661" s="245" t="str">
        <f t="shared" si="391"/>
        <v/>
      </c>
      <c r="E7661" s="534"/>
      <c r="F7661" s="534"/>
    </row>
    <row r="7662" spans="1:6" ht="15" customHeight="1">
      <c r="A7662" s="51"/>
      <c r="B7662" s="52" t="str">
        <f t="shared" si="390"/>
        <v/>
      </c>
      <c r="C7662" t="str">
        <f t="shared" si="389"/>
        <v/>
      </c>
      <c r="D7662" s="245" t="str">
        <f t="shared" si="391"/>
        <v/>
      </c>
      <c r="E7662" s="534"/>
      <c r="F7662" s="534"/>
    </row>
    <row r="7663" spans="1:6" ht="15" customHeight="1">
      <c r="A7663" s="51"/>
      <c r="B7663" s="52" t="str">
        <f t="shared" si="390"/>
        <v/>
      </c>
      <c r="C7663" t="str">
        <f t="shared" si="389"/>
        <v/>
      </c>
      <c r="D7663" s="245" t="str">
        <f t="shared" si="391"/>
        <v/>
      </c>
      <c r="E7663" s="534"/>
      <c r="F7663" s="534"/>
    </row>
    <row r="7664" spans="1:6" ht="15" customHeight="1">
      <c r="A7664" s="51"/>
      <c r="B7664" s="52" t="str">
        <f t="shared" si="390"/>
        <v/>
      </c>
      <c r="C7664" t="str">
        <f t="shared" si="389"/>
        <v/>
      </c>
      <c r="D7664" s="245" t="str">
        <f t="shared" si="391"/>
        <v/>
      </c>
      <c r="E7664" s="534"/>
      <c r="F7664" s="534"/>
    </row>
    <row r="7665" spans="1:6" ht="15" customHeight="1">
      <c r="A7665" s="51"/>
      <c r="B7665" s="52" t="str">
        <f t="shared" si="390"/>
        <v/>
      </c>
      <c r="C7665" t="str">
        <f t="shared" si="389"/>
        <v/>
      </c>
      <c r="D7665" s="245" t="str">
        <f t="shared" si="391"/>
        <v/>
      </c>
      <c r="E7665" s="534"/>
      <c r="F7665" s="534"/>
    </row>
    <row r="7666" spans="1:6" ht="15" customHeight="1">
      <c r="A7666" s="51"/>
      <c r="B7666" s="52" t="str">
        <f t="shared" si="390"/>
        <v/>
      </c>
      <c r="C7666" t="str">
        <f t="shared" si="389"/>
        <v/>
      </c>
      <c r="D7666" s="245" t="str">
        <f t="shared" si="391"/>
        <v/>
      </c>
      <c r="E7666" s="534"/>
      <c r="F7666" s="534"/>
    </row>
    <row r="7667" spans="1:6" ht="15" customHeight="1">
      <c r="A7667" s="51"/>
      <c r="B7667" s="52" t="str">
        <f t="shared" si="390"/>
        <v/>
      </c>
      <c r="C7667" t="str">
        <f t="shared" si="389"/>
        <v/>
      </c>
      <c r="D7667" s="245" t="str">
        <f t="shared" si="391"/>
        <v/>
      </c>
      <c r="E7667" s="534"/>
      <c r="F7667" s="534"/>
    </row>
    <row r="7668" spans="1:6" ht="15" customHeight="1">
      <c r="A7668" s="51"/>
      <c r="B7668" s="52" t="str">
        <f t="shared" si="390"/>
        <v/>
      </c>
      <c r="C7668" t="str">
        <f t="shared" si="389"/>
        <v/>
      </c>
      <c r="D7668" s="245" t="str">
        <f t="shared" si="391"/>
        <v/>
      </c>
      <c r="E7668" s="534"/>
      <c r="F7668" s="534"/>
    </row>
    <row r="7669" spans="1:6" ht="15" customHeight="1">
      <c r="A7669" s="51"/>
      <c r="B7669" s="52" t="str">
        <f t="shared" si="390"/>
        <v/>
      </c>
      <c r="C7669" t="str">
        <f t="shared" si="389"/>
        <v/>
      </c>
      <c r="D7669" s="245" t="str">
        <f t="shared" si="391"/>
        <v/>
      </c>
      <c r="E7669" s="534"/>
      <c r="F7669" s="534"/>
    </row>
    <row r="7670" spans="1:6" ht="15" customHeight="1">
      <c r="A7670" s="51"/>
      <c r="B7670" s="52" t="str">
        <f t="shared" si="390"/>
        <v/>
      </c>
      <c r="C7670" t="str">
        <f t="shared" si="389"/>
        <v/>
      </c>
      <c r="D7670" s="245" t="str">
        <f t="shared" si="391"/>
        <v/>
      </c>
      <c r="E7670" s="534"/>
      <c r="F7670" s="534"/>
    </row>
    <row r="7671" spans="1:6" ht="15" customHeight="1">
      <c r="A7671" s="51"/>
      <c r="B7671" s="52" t="str">
        <f t="shared" si="390"/>
        <v/>
      </c>
      <c r="C7671" t="str">
        <f t="shared" si="389"/>
        <v/>
      </c>
      <c r="D7671" s="245" t="str">
        <f t="shared" si="391"/>
        <v/>
      </c>
      <c r="E7671" s="534"/>
      <c r="F7671" s="534"/>
    </row>
    <row r="7672" spans="1:6" ht="15" customHeight="1">
      <c r="A7672" s="51"/>
      <c r="B7672" s="52" t="str">
        <f t="shared" si="390"/>
        <v/>
      </c>
      <c r="C7672" t="str">
        <f t="shared" si="389"/>
        <v/>
      </c>
      <c r="D7672" s="245" t="str">
        <f t="shared" si="391"/>
        <v/>
      </c>
      <c r="E7672" s="534"/>
      <c r="F7672" s="534"/>
    </row>
    <row r="7673" spans="1:6" ht="15" customHeight="1">
      <c r="A7673" s="51"/>
      <c r="B7673" s="52" t="str">
        <f t="shared" si="390"/>
        <v/>
      </c>
      <c r="C7673" t="str">
        <f t="shared" si="389"/>
        <v/>
      </c>
      <c r="D7673" s="245" t="str">
        <f t="shared" si="391"/>
        <v/>
      </c>
      <c r="E7673" s="534"/>
      <c r="F7673" s="534"/>
    </row>
    <row r="7674" spans="1:6" ht="15" customHeight="1">
      <c r="A7674" s="51"/>
      <c r="B7674" s="52" t="str">
        <f t="shared" si="390"/>
        <v/>
      </c>
      <c r="C7674" t="str">
        <f t="shared" si="389"/>
        <v/>
      </c>
      <c r="D7674" s="245" t="str">
        <f t="shared" si="391"/>
        <v/>
      </c>
      <c r="E7674" s="534"/>
      <c r="F7674" s="534"/>
    </row>
    <row r="7675" spans="1:6" ht="15" customHeight="1">
      <c r="A7675" s="51"/>
      <c r="B7675" s="52" t="str">
        <f t="shared" si="390"/>
        <v/>
      </c>
      <c r="C7675" t="str">
        <f t="shared" si="389"/>
        <v/>
      </c>
      <c r="D7675" s="245" t="str">
        <f t="shared" si="391"/>
        <v/>
      </c>
      <c r="E7675" s="534"/>
      <c r="F7675" s="534"/>
    </row>
    <row r="7676" spans="1:6" ht="15" customHeight="1">
      <c r="A7676" s="51"/>
      <c r="B7676" s="52" t="str">
        <f t="shared" si="390"/>
        <v/>
      </c>
      <c r="C7676" t="str">
        <f t="shared" si="389"/>
        <v/>
      </c>
      <c r="D7676" s="245" t="str">
        <f t="shared" si="391"/>
        <v/>
      </c>
      <c r="E7676" s="534"/>
      <c r="F7676" s="534"/>
    </row>
    <row r="7677" spans="1:6" ht="15" customHeight="1">
      <c r="A7677" s="51"/>
      <c r="B7677" s="52" t="str">
        <f t="shared" si="390"/>
        <v/>
      </c>
      <c r="C7677" t="str">
        <f t="shared" si="389"/>
        <v/>
      </c>
      <c r="D7677" s="245" t="str">
        <f t="shared" si="391"/>
        <v/>
      </c>
      <c r="E7677" s="534"/>
      <c r="F7677" s="534"/>
    </row>
    <row r="7678" spans="1:6" ht="15" customHeight="1">
      <c r="A7678" s="51"/>
      <c r="B7678" s="52" t="str">
        <f t="shared" si="390"/>
        <v/>
      </c>
      <c r="C7678" t="str">
        <f t="shared" si="389"/>
        <v/>
      </c>
      <c r="D7678" s="245" t="str">
        <f t="shared" si="391"/>
        <v/>
      </c>
      <c r="E7678" s="534"/>
      <c r="F7678" s="534"/>
    </row>
    <row r="7679" spans="1:6" ht="15" customHeight="1">
      <c r="A7679" s="51"/>
      <c r="B7679" s="52" t="str">
        <f t="shared" si="390"/>
        <v/>
      </c>
      <c r="C7679" t="str">
        <f t="shared" si="389"/>
        <v/>
      </c>
      <c r="D7679" s="245" t="str">
        <f t="shared" si="391"/>
        <v/>
      </c>
      <c r="E7679" s="534"/>
      <c r="F7679" s="534"/>
    </row>
    <row r="7680" spans="1:6" ht="15" customHeight="1">
      <c r="A7680" s="51"/>
      <c r="B7680" s="52" t="str">
        <f t="shared" si="390"/>
        <v/>
      </c>
      <c r="C7680" t="str">
        <f t="shared" si="389"/>
        <v/>
      </c>
      <c r="D7680" s="245" t="str">
        <f t="shared" si="391"/>
        <v/>
      </c>
      <c r="E7680" s="534"/>
      <c r="F7680" s="534"/>
    </row>
    <row r="7681" spans="1:6" ht="15" customHeight="1">
      <c r="A7681" s="51"/>
      <c r="B7681" s="52" t="str">
        <f t="shared" si="390"/>
        <v/>
      </c>
      <c r="C7681" t="str">
        <f t="shared" si="389"/>
        <v/>
      </c>
      <c r="D7681" s="245" t="str">
        <f t="shared" si="391"/>
        <v/>
      </c>
      <c r="E7681" s="534"/>
      <c r="F7681" s="534"/>
    </row>
    <row r="7682" spans="1:6" ht="15" customHeight="1">
      <c r="A7682" s="51"/>
      <c r="B7682" s="52" t="str">
        <f t="shared" si="390"/>
        <v/>
      </c>
      <c r="C7682" t="str">
        <f t="shared" ref="C7682:C7745" si="392">IF(A7682&lt;&gt;"",TEXT(A7682,"aaaa"),"")</f>
        <v/>
      </c>
      <c r="D7682" s="245" t="str">
        <f t="shared" si="391"/>
        <v/>
      </c>
      <c r="E7682" s="534"/>
      <c r="F7682" s="534"/>
    </row>
    <row r="7683" spans="1:6" ht="15" customHeight="1">
      <c r="A7683" s="51"/>
      <c r="B7683" s="52" t="str">
        <f t="shared" si="390"/>
        <v/>
      </c>
      <c r="C7683" t="str">
        <f t="shared" si="392"/>
        <v/>
      </c>
      <c r="D7683" s="245" t="str">
        <f t="shared" si="391"/>
        <v/>
      </c>
      <c r="E7683" s="534"/>
      <c r="F7683" s="534"/>
    </row>
    <row r="7684" spans="1:6" ht="15" customHeight="1">
      <c r="A7684" s="51"/>
      <c r="B7684" s="52" t="str">
        <f t="shared" si="390"/>
        <v/>
      </c>
      <c r="C7684" t="str">
        <f t="shared" si="392"/>
        <v/>
      </c>
      <c r="D7684" s="245" t="str">
        <f t="shared" si="391"/>
        <v/>
      </c>
      <c r="E7684" s="534"/>
      <c r="F7684" s="534"/>
    </row>
    <row r="7685" spans="1:6" ht="15" customHeight="1">
      <c r="A7685" s="51"/>
      <c r="B7685" s="52" t="str">
        <f t="shared" si="390"/>
        <v/>
      </c>
      <c r="C7685" t="str">
        <f t="shared" si="392"/>
        <v/>
      </c>
      <c r="D7685" s="245" t="str">
        <f t="shared" si="391"/>
        <v/>
      </c>
      <c r="E7685" s="534"/>
      <c r="F7685" s="534"/>
    </row>
    <row r="7686" spans="1:6" ht="15" customHeight="1">
      <c r="A7686" s="51"/>
      <c r="B7686" s="52" t="str">
        <f t="shared" si="390"/>
        <v/>
      </c>
      <c r="C7686" t="str">
        <f t="shared" si="392"/>
        <v/>
      </c>
      <c r="D7686" s="245" t="str">
        <f t="shared" si="391"/>
        <v/>
      </c>
      <c r="E7686" s="534"/>
      <c r="F7686" s="534"/>
    </row>
    <row r="7687" spans="1:6" ht="15" customHeight="1">
      <c r="A7687" s="51"/>
      <c r="B7687" s="52" t="str">
        <f t="shared" si="390"/>
        <v/>
      </c>
      <c r="C7687" t="str">
        <f t="shared" si="392"/>
        <v/>
      </c>
      <c r="D7687" s="245" t="str">
        <f t="shared" si="391"/>
        <v/>
      </c>
      <c r="E7687" s="534"/>
      <c r="F7687" s="534"/>
    </row>
    <row r="7688" spans="1:6" ht="15" customHeight="1">
      <c r="A7688" s="51"/>
      <c r="B7688" s="52" t="str">
        <f t="shared" ref="B7688:B7751" si="393">IF(A7688="","",TEXT(A7688,"DDDD"))</f>
        <v/>
      </c>
      <c r="C7688" t="str">
        <f t="shared" si="392"/>
        <v/>
      </c>
      <c r="D7688" s="245" t="str">
        <f t="shared" si="391"/>
        <v/>
      </c>
      <c r="E7688" s="534"/>
      <c r="F7688" s="534"/>
    </row>
    <row r="7689" spans="1:6" ht="15" customHeight="1">
      <c r="A7689" s="51"/>
      <c r="B7689" s="52" t="str">
        <f t="shared" si="393"/>
        <v/>
      </c>
      <c r="C7689" t="str">
        <f t="shared" si="392"/>
        <v/>
      </c>
      <c r="D7689" s="245" t="str">
        <f t="shared" ref="D7689:D7752" si="394">IF(A7689&lt;&gt;"",PROPER(TEXT(A7689,"Mmmm")),"")</f>
        <v/>
      </c>
      <c r="E7689" s="534"/>
      <c r="F7689" s="534"/>
    </row>
    <row r="7690" spans="1:6" ht="15" customHeight="1">
      <c r="A7690" s="51"/>
      <c r="B7690" s="52" t="str">
        <f t="shared" si="393"/>
        <v/>
      </c>
      <c r="C7690" t="str">
        <f t="shared" si="392"/>
        <v/>
      </c>
      <c r="D7690" s="245" t="str">
        <f t="shared" si="394"/>
        <v/>
      </c>
      <c r="E7690" s="534"/>
      <c r="F7690" s="534"/>
    </row>
    <row r="7691" spans="1:6" ht="15" customHeight="1">
      <c r="A7691" s="51"/>
      <c r="B7691" s="52" t="str">
        <f t="shared" si="393"/>
        <v/>
      </c>
      <c r="C7691" t="str">
        <f t="shared" si="392"/>
        <v/>
      </c>
      <c r="D7691" s="245" t="str">
        <f t="shared" si="394"/>
        <v/>
      </c>
      <c r="E7691" s="534"/>
      <c r="F7691" s="534"/>
    </row>
    <row r="7692" spans="1:6" ht="15" customHeight="1">
      <c r="A7692" s="51"/>
      <c r="B7692" s="52" t="str">
        <f t="shared" si="393"/>
        <v/>
      </c>
      <c r="C7692" t="str">
        <f t="shared" si="392"/>
        <v/>
      </c>
      <c r="D7692" s="245" t="str">
        <f t="shared" si="394"/>
        <v/>
      </c>
      <c r="E7692" s="534"/>
      <c r="F7692" s="534"/>
    </row>
    <row r="7693" spans="1:6" ht="15" customHeight="1">
      <c r="A7693" s="51"/>
      <c r="B7693" s="52" t="str">
        <f t="shared" si="393"/>
        <v/>
      </c>
      <c r="C7693" t="str">
        <f t="shared" si="392"/>
        <v/>
      </c>
      <c r="D7693" s="245" t="str">
        <f t="shared" si="394"/>
        <v/>
      </c>
      <c r="E7693" s="534"/>
      <c r="F7693" s="534"/>
    </row>
    <row r="7694" spans="1:6" ht="15" customHeight="1">
      <c r="A7694" s="51"/>
      <c r="B7694" s="52" t="str">
        <f t="shared" si="393"/>
        <v/>
      </c>
      <c r="C7694" t="str">
        <f t="shared" si="392"/>
        <v/>
      </c>
      <c r="D7694" s="245" t="str">
        <f t="shared" si="394"/>
        <v/>
      </c>
      <c r="E7694" s="534"/>
      <c r="F7694" s="534"/>
    </row>
    <row r="7695" spans="1:6" ht="15" customHeight="1">
      <c r="A7695" s="51"/>
      <c r="B7695" s="52" t="str">
        <f t="shared" si="393"/>
        <v/>
      </c>
      <c r="C7695" t="str">
        <f t="shared" si="392"/>
        <v/>
      </c>
      <c r="D7695" s="245" t="str">
        <f t="shared" si="394"/>
        <v/>
      </c>
      <c r="E7695" s="534"/>
      <c r="F7695" s="534"/>
    </row>
    <row r="7696" spans="1:6" ht="15" customHeight="1">
      <c r="A7696" s="51"/>
      <c r="B7696" s="52" t="str">
        <f t="shared" si="393"/>
        <v/>
      </c>
      <c r="C7696" t="str">
        <f t="shared" si="392"/>
        <v/>
      </c>
      <c r="D7696" s="245" t="str">
        <f t="shared" si="394"/>
        <v/>
      </c>
      <c r="E7696" s="534"/>
      <c r="F7696" s="534"/>
    </row>
    <row r="7697" spans="1:6" ht="15" customHeight="1">
      <c r="A7697" s="51"/>
      <c r="B7697" s="52" t="str">
        <f t="shared" si="393"/>
        <v/>
      </c>
      <c r="C7697" t="str">
        <f t="shared" si="392"/>
        <v/>
      </c>
      <c r="D7697" s="245" t="str">
        <f t="shared" si="394"/>
        <v/>
      </c>
      <c r="E7697" s="534"/>
      <c r="F7697" s="534"/>
    </row>
    <row r="7698" spans="1:6" ht="15" customHeight="1">
      <c r="A7698" s="51"/>
      <c r="B7698" s="52" t="str">
        <f t="shared" si="393"/>
        <v/>
      </c>
      <c r="C7698" t="str">
        <f t="shared" si="392"/>
        <v/>
      </c>
      <c r="D7698" s="245" t="str">
        <f t="shared" si="394"/>
        <v/>
      </c>
      <c r="E7698" s="534"/>
      <c r="F7698" s="534"/>
    </row>
    <row r="7699" spans="1:6" ht="15" customHeight="1">
      <c r="A7699" s="51"/>
      <c r="B7699" s="52" t="str">
        <f t="shared" si="393"/>
        <v/>
      </c>
      <c r="C7699" t="str">
        <f t="shared" si="392"/>
        <v/>
      </c>
      <c r="D7699" s="245" t="str">
        <f t="shared" si="394"/>
        <v/>
      </c>
      <c r="E7699" s="534"/>
      <c r="F7699" s="534"/>
    </row>
    <row r="7700" spans="1:6" ht="15" customHeight="1">
      <c r="A7700" s="51"/>
      <c r="B7700" s="52" t="str">
        <f t="shared" si="393"/>
        <v/>
      </c>
      <c r="C7700" t="str">
        <f t="shared" si="392"/>
        <v/>
      </c>
      <c r="D7700" s="245" t="str">
        <f t="shared" si="394"/>
        <v/>
      </c>
      <c r="E7700" s="534"/>
      <c r="F7700" s="534"/>
    </row>
    <row r="7701" spans="1:6" ht="15" customHeight="1">
      <c r="A7701" s="51"/>
      <c r="B7701" s="52" t="str">
        <f t="shared" si="393"/>
        <v/>
      </c>
      <c r="C7701" t="str">
        <f t="shared" si="392"/>
        <v/>
      </c>
      <c r="D7701" s="245" t="str">
        <f t="shared" si="394"/>
        <v/>
      </c>
      <c r="E7701" s="534"/>
      <c r="F7701" s="534"/>
    </row>
    <row r="7702" spans="1:6" ht="15" customHeight="1">
      <c r="A7702" s="51"/>
      <c r="B7702" s="52" t="str">
        <f t="shared" si="393"/>
        <v/>
      </c>
      <c r="C7702" t="str">
        <f t="shared" si="392"/>
        <v/>
      </c>
      <c r="D7702" s="245" t="str">
        <f t="shared" si="394"/>
        <v/>
      </c>
      <c r="E7702" s="534"/>
      <c r="F7702" s="534"/>
    </row>
    <row r="7703" spans="1:6" ht="15" customHeight="1">
      <c r="A7703" s="51"/>
      <c r="B7703" s="52" t="str">
        <f t="shared" si="393"/>
        <v/>
      </c>
      <c r="C7703" t="str">
        <f t="shared" si="392"/>
        <v/>
      </c>
      <c r="D7703" s="245" t="str">
        <f t="shared" si="394"/>
        <v/>
      </c>
      <c r="E7703" s="534"/>
      <c r="F7703" s="534"/>
    </row>
    <row r="7704" spans="1:6" ht="15" customHeight="1">
      <c r="A7704" s="51"/>
      <c r="B7704" s="52" t="str">
        <f t="shared" si="393"/>
        <v/>
      </c>
      <c r="C7704" t="str">
        <f t="shared" si="392"/>
        <v/>
      </c>
      <c r="D7704" s="245" t="str">
        <f t="shared" si="394"/>
        <v/>
      </c>
      <c r="E7704" s="534"/>
      <c r="F7704" s="534"/>
    </row>
    <row r="7705" spans="1:6" ht="15" customHeight="1">
      <c r="A7705" s="51"/>
      <c r="B7705" s="52" t="str">
        <f t="shared" si="393"/>
        <v/>
      </c>
      <c r="C7705" t="str">
        <f t="shared" si="392"/>
        <v/>
      </c>
      <c r="D7705" s="245" t="str">
        <f t="shared" si="394"/>
        <v/>
      </c>
      <c r="E7705" s="534"/>
      <c r="F7705" s="534"/>
    </row>
    <row r="7706" spans="1:6" ht="15" customHeight="1">
      <c r="A7706" s="51"/>
      <c r="B7706" s="52" t="str">
        <f t="shared" si="393"/>
        <v/>
      </c>
      <c r="C7706" t="str">
        <f t="shared" si="392"/>
        <v/>
      </c>
      <c r="D7706" s="245" t="str">
        <f t="shared" si="394"/>
        <v/>
      </c>
      <c r="E7706" s="534"/>
      <c r="F7706" s="534"/>
    </row>
    <row r="7707" spans="1:6" ht="15" customHeight="1">
      <c r="A7707" s="51"/>
      <c r="B7707" s="52" t="str">
        <f t="shared" si="393"/>
        <v/>
      </c>
      <c r="C7707" t="str">
        <f t="shared" si="392"/>
        <v/>
      </c>
      <c r="D7707" s="245" t="str">
        <f t="shared" si="394"/>
        <v/>
      </c>
      <c r="E7707" s="534"/>
      <c r="F7707" s="534"/>
    </row>
    <row r="7708" spans="1:6" ht="15" customHeight="1">
      <c r="A7708" s="51"/>
      <c r="B7708" s="52" t="str">
        <f t="shared" si="393"/>
        <v/>
      </c>
      <c r="C7708" t="str">
        <f t="shared" si="392"/>
        <v/>
      </c>
      <c r="D7708" s="245" t="str">
        <f t="shared" si="394"/>
        <v/>
      </c>
      <c r="E7708" s="534"/>
      <c r="F7708" s="534"/>
    </row>
    <row r="7709" spans="1:6" ht="15" customHeight="1">
      <c r="A7709" s="51"/>
      <c r="B7709" s="52" t="str">
        <f t="shared" si="393"/>
        <v/>
      </c>
      <c r="C7709" t="str">
        <f t="shared" si="392"/>
        <v/>
      </c>
      <c r="D7709" s="245" t="str">
        <f t="shared" si="394"/>
        <v/>
      </c>
      <c r="E7709" s="534"/>
      <c r="F7709" s="534"/>
    </row>
    <row r="7710" spans="1:6" ht="15" customHeight="1">
      <c r="A7710" s="51"/>
      <c r="B7710" s="52" t="str">
        <f t="shared" si="393"/>
        <v/>
      </c>
      <c r="C7710" t="str">
        <f t="shared" si="392"/>
        <v/>
      </c>
      <c r="D7710" s="245" t="str">
        <f t="shared" si="394"/>
        <v/>
      </c>
      <c r="E7710" s="534"/>
      <c r="F7710" s="534"/>
    </row>
    <row r="7711" spans="1:6" ht="15" customHeight="1">
      <c r="A7711" s="51"/>
      <c r="B7711" s="52" t="str">
        <f t="shared" si="393"/>
        <v/>
      </c>
      <c r="C7711" t="str">
        <f t="shared" si="392"/>
        <v/>
      </c>
      <c r="D7711" s="245" t="str">
        <f t="shared" si="394"/>
        <v/>
      </c>
      <c r="E7711" s="534"/>
      <c r="F7711" s="534"/>
    </row>
    <row r="7712" spans="1:6" ht="15" customHeight="1">
      <c r="A7712" s="51"/>
      <c r="B7712" s="52" t="str">
        <f t="shared" si="393"/>
        <v/>
      </c>
      <c r="C7712" t="str">
        <f t="shared" si="392"/>
        <v/>
      </c>
      <c r="D7712" s="245" t="str">
        <f t="shared" si="394"/>
        <v/>
      </c>
      <c r="E7712" s="534"/>
      <c r="F7712" s="534"/>
    </row>
    <row r="7713" spans="1:6" ht="15" customHeight="1">
      <c r="A7713" s="51"/>
      <c r="B7713" s="52" t="str">
        <f t="shared" si="393"/>
        <v/>
      </c>
      <c r="C7713" t="str">
        <f t="shared" si="392"/>
        <v/>
      </c>
      <c r="D7713" s="245" t="str">
        <f t="shared" si="394"/>
        <v/>
      </c>
      <c r="E7713" s="534"/>
      <c r="F7713" s="534"/>
    </row>
    <row r="7714" spans="1:6" ht="15" customHeight="1">
      <c r="A7714" s="51"/>
      <c r="B7714" s="52" t="str">
        <f t="shared" si="393"/>
        <v/>
      </c>
      <c r="C7714" t="str">
        <f t="shared" si="392"/>
        <v/>
      </c>
      <c r="D7714" s="245" t="str">
        <f t="shared" si="394"/>
        <v/>
      </c>
      <c r="E7714" s="534"/>
      <c r="F7714" s="534"/>
    </row>
    <row r="7715" spans="1:6" ht="15" customHeight="1">
      <c r="A7715" s="51"/>
      <c r="B7715" s="52" t="str">
        <f t="shared" si="393"/>
        <v/>
      </c>
      <c r="C7715" t="str">
        <f t="shared" si="392"/>
        <v/>
      </c>
      <c r="D7715" s="245" t="str">
        <f t="shared" si="394"/>
        <v/>
      </c>
      <c r="E7715" s="534"/>
      <c r="F7715" s="534"/>
    </row>
    <row r="7716" spans="1:6" ht="15" customHeight="1">
      <c r="A7716" s="51"/>
      <c r="B7716" s="52" t="str">
        <f t="shared" si="393"/>
        <v/>
      </c>
      <c r="C7716" t="str">
        <f t="shared" si="392"/>
        <v/>
      </c>
      <c r="D7716" s="245" t="str">
        <f t="shared" si="394"/>
        <v/>
      </c>
      <c r="E7716" s="534"/>
      <c r="F7716" s="534"/>
    </row>
    <row r="7717" spans="1:6" ht="15" customHeight="1">
      <c r="A7717" s="51"/>
      <c r="B7717" s="52" t="str">
        <f t="shared" si="393"/>
        <v/>
      </c>
      <c r="C7717" t="str">
        <f t="shared" si="392"/>
        <v/>
      </c>
      <c r="D7717" s="245" t="str">
        <f t="shared" si="394"/>
        <v/>
      </c>
      <c r="E7717" s="534"/>
      <c r="F7717" s="534"/>
    </row>
    <row r="7718" spans="1:6" ht="15" customHeight="1">
      <c r="A7718" s="51"/>
      <c r="B7718" s="52" t="str">
        <f t="shared" si="393"/>
        <v/>
      </c>
      <c r="C7718" t="str">
        <f t="shared" si="392"/>
        <v/>
      </c>
      <c r="D7718" s="245" t="str">
        <f t="shared" si="394"/>
        <v/>
      </c>
      <c r="E7718" s="534"/>
      <c r="F7718" s="534"/>
    </row>
    <row r="7719" spans="1:6" ht="15" customHeight="1">
      <c r="A7719" s="51"/>
      <c r="B7719" s="52" t="str">
        <f t="shared" si="393"/>
        <v/>
      </c>
      <c r="C7719" t="str">
        <f t="shared" si="392"/>
        <v/>
      </c>
      <c r="D7719" s="245" t="str">
        <f t="shared" si="394"/>
        <v/>
      </c>
      <c r="E7719" s="534"/>
      <c r="F7719" s="534"/>
    </row>
    <row r="7720" spans="1:6" ht="15" customHeight="1">
      <c r="A7720" s="51"/>
      <c r="B7720" s="52" t="str">
        <f t="shared" si="393"/>
        <v/>
      </c>
      <c r="C7720" t="str">
        <f t="shared" si="392"/>
        <v/>
      </c>
      <c r="D7720" s="245" t="str">
        <f t="shared" si="394"/>
        <v/>
      </c>
      <c r="E7720" s="534"/>
      <c r="F7720" s="534"/>
    </row>
    <row r="7721" spans="1:6" ht="15" customHeight="1">
      <c r="A7721" s="51"/>
      <c r="B7721" s="52" t="str">
        <f t="shared" si="393"/>
        <v/>
      </c>
      <c r="C7721" t="str">
        <f t="shared" si="392"/>
        <v/>
      </c>
      <c r="D7721" s="245" t="str">
        <f t="shared" si="394"/>
        <v/>
      </c>
      <c r="E7721" s="534"/>
      <c r="F7721" s="534"/>
    </row>
    <row r="7722" spans="1:6" ht="15" customHeight="1">
      <c r="A7722" s="51"/>
      <c r="B7722" s="52" t="str">
        <f t="shared" si="393"/>
        <v/>
      </c>
      <c r="C7722" t="str">
        <f t="shared" si="392"/>
        <v/>
      </c>
      <c r="D7722" s="245" t="str">
        <f t="shared" si="394"/>
        <v/>
      </c>
      <c r="E7722" s="534"/>
      <c r="F7722" s="534"/>
    </row>
    <row r="7723" spans="1:6" ht="15" customHeight="1">
      <c r="A7723" s="51"/>
      <c r="B7723" s="52" t="str">
        <f t="shared" si="393"/>
        <v/>
      </c>
      <c r="C7723" t="str">
        <f t="shared" si="392"/>
        <v/>
      </c>
      <c r="D7723" s="245" t="str">
        <f t="shared" si="394"/>
        <v/>
      </c>
      <c r="E7723" s="534"/>
      <c r="F7723" s="534"/>
    </row>
    <row r="7724" spans="1:6" ht="15" customHeight="1">
      <c r="A7724" s="51"/>
      <c r="B7724" s="52" t="str">
        <f t="shared" si="393"/>
        <v/>
      </c>
      <c r="C7724" t="str">
        <f t="shared" si="392"/>
        <v/>
      </c>
      <c r="D7724" s="245" t="str">
        <f t="shared" si="394"/>
        <v/>
      </c>
      <c r="E7724" s="534"/>
      <c r="F7724" s="534"/>
    </row>
    <row r="7725" spans="1:6" ht="15" customHeight="1">
      <c r="A7725" s="51"/>
      <c r="B7725" s="52" t="str">
        <f t="shared" si="393"/>
        <v/>
      </c>
      <c r="C7725" t="str">
        <f t="shared" si="392"/>
        <v/>
      </c>
      <c r="D7725" s="245" t="str">
        <f t="shared" si="394"/>
        <v/>
      </c>
      <c r="E7725" s="534"/>
      <c r="F7725" s="534"/>
    </row>
    <row r="7726" spans="1:6" ht="15" customHeight="1">
      <c r="A7726" s="51"/>
      <c r="B7726" s="52" t="str">
        <f t="shared" si="393"/>
        <v/>
      </c>
      <c r="C7726" t="str">
        <f t="shared" si="392"/>
        <v/>
      </c>
      <c r="D7726" s="245" t="str">
        <f t="shared" si="394"/>
        <v/>
      </c>
      <c r="E7726" s="534"/>
      <c r="F7726" s="534"/>
    </row>
    <row r="7727" spans="1:6" ht="15" customHeight="1">
      <c r="A7727" s="51"/>
      <c r="B7727" s="52" t="str">
        <f t="shared" si="393"/>
        <v/>
      </c>
      <c r="C7727" t="str">
        <f t="shared" si="392"/>
        <v/>
      </c>
      <c r="D7727" s="245" t="str">
        <f t="shared" si="394"/>
        <v/>
      </c>
      <c r="E7727" s="534"/>
      <c r="F7727" s="534"/>
    </row>
    <row r="7728" spans="1:6" ht="15" customHeight="1">
      <c r="A7728" s="51"/>
      <c r="B7728" s="52" t="str">
        <f t="shared" si="393"/>
        <v/>
      </c>
      <c r="C7728" t="str">
        <f t="shared" si="392"/>
        <v/>
      </c>
      <c r="D7728" s="245" t="str">
        <f t="shared" si="394"/>
        <v/>
      </c>
      <c r="E7728" s="534"/>
      <c r="F7728" s="534"/>
    </row>
    <row r="7729" spans="1:6" ht="15" customHeight="1">
      <c r="A7729" s="51"/>
      <c r="B7729" s="52" t="str">
        <f t="shared" si="393"/>
        <v/>
      </c>
      <c r="C7729" t="str">
        <f t="shared" si="392"/>
        <v/>
      </c>
      <c r="D7729" s="245" t="str">
        <f t="shared" si="394"/>
        <v/>
      </c>
      <c r="E7729" s="534"/>
      <c r="F7729" s="534"/>
    </row>
    <row r="7730" spans="1:6" ht="15" customHeight="1">
      <c r="A7730" s="51"/>
      <c r="B7730" s="52" t="str">
        <f t="shared" si="393"/>
        <v/>
      </c>
      <c r="C7730" t="str">
        <f t="shared" si="392"/>
        <v/>
      </c>
      <c r="D7730" s="245" t="str">
        <f t="shared" si="394"/>
        <v/>
      </c>
      <c r="E7730" s="534"/>
      <c r="F7730" s="534"/>
    </row>
    <row r="7731" spans="1:6" ht="15" customHeight="1">
      <c r="A7731" s="51"/>
      <c r="B7731" s="52" t="str">
        <f t="shared" si="393"/>
        <v/>
      </c>
      <c r="C7731" t="str">
        <f t="shared" si="392"/>
        <v/>
      </c>
      <c r="D7731" s="245" t="str">
        <f t="shared" si="394"/>
        <v/>
      </c>
      <c r="E7731" s="534"/>
      <c r="F7731" s="534"/>
    </row>
    <row r="7732" spans="1:6" ht="15" customHeight="1">
      <c r="A7732" s="51"/>
      <c r="B7732" s="52" t="str">
        <f t="shared" si="393"/>
        <v/>
      </c>
      <c r="C7732" t="str">
        <f t="shared" si="392"/>
        <v/>
      </c>
      <c r="D7732" s="245" t="str">
        <f t="shared" si="394"/>
        <v/>
      </c>
      <c r="E7732" s="534"/>
      <c r="F7732" s="534"/>
    </row>
    <row r="7733" spans="1:6" ht="15" customHeight="1">
      <c r="A7733" s="51"/>
      <c r="B7733" s="52" t="str">
        <f t="shared" si="393"/>
        <v/>
      </c>
      <c r="C7733" t="str">
        <f t="shared" si="392"/>
        <v/>
      </c>
      <c r="D7733" s="245" t="str">
        <f t="shared" si="394"/>
        <v/>
      </c>
      <c r="E7733" s="534"/>
      <c r="F7733" s="534"/>
    </row>
    <row r="7734" spans="1:6" ht="15" customHeight="1">
      <c r="A7734" s="51"/>
      <c r="B7734" s="52" t="str">
        <f t="shared" si="393"/>
        <v/>
      </c>
      <c r="C7734" t="str">
        <f t="shared" si="392"/>
        <v/>
      </c>
      <c r="D7734" s="245" t="str">
        <f t="shared" si="394"/>
        <v/>
      </c>
      <c r="E7734" s="534"/>
      <c r="F7734" s="534"/>
    </row>
    <row r="7735" spans="1:6" ht="15" customHeight="1">
      <c r="A7735" s="51"/>
      <c r="B7735" s="52" t="str">
        <f t="shared" si="393"/>
        <v/>
      </c>
      <c r="C7735" t="str">
        <f t="shared" si="392"/>
        <v/>
      </c>
      <c r="D7735" s="245" t="str">
        <f t="shared" si="394"/>
        <v/>
      </c>
      <c r="E7735" s="534"/>
      <c r="F7735" s="534"/>
    </row>
    <row r="7736" spans="1:6" ht="15" customHeight="1">
      <c r="A7736" s="51"/>
      <c r="B7736" s="52" t="str">
        <f t="shared" si="393"/>
        <v/>
      </c>
      <c r="C7736" t="str">
        <f t="shared" si="392"/>
        <v/>
      </c>
      <c r="D7736" s="245" t="str">
        <f t="shared" si="394"/>
        <v/>
      </c>
      <c r="E7736" s="534"/>
      <c r="F7736" s="534"/>
    </row>
    <row r="7737" spans="1:6" ht="15" customHeight="1">
      <c r="A7737" s="51"/>
      <c r="B7737" s="52" t="str">
        <f t="shared" si="393"/>
        <v/>
      </c>
      <c r="C7737" t="str">
        <f t="shared" si="392"/>
        <v/>
      </c>
      <c r="D7737" s="245" t="str">
        <f t="shared" si="394"/>
        <v/>
      </c>
      <c r="E7737" s="534"/>
      <c r="F7737" s="534"/>
    </row>
    <row r="7738" spans="1:6" ht="15" customHeight="1">
      <c r="A7738" s="51"/>
      <c r="B7738" s="52" t="str">
        <f t="shared" si="393"/>
        <v/>
      </c>
      <c r="C7738" t="str">
        <f t="shared" si="392"/>
        <v/>
      </c>
      <c r="D7738" s="245" t="str">
        <f t="shared" si="394"/>
        <v/>
      </c>
      <c r="E7738" s="534"/>
      <c r="F7738" s="534"/>
    </row>
    <row r="7739" spans="1:6" ht="15" customHeight="1">
      <c r="A7739" s="51"/>
      <c r="B7739" s="52" t="str">
        <f t="shared" si="393"/>
        <v/>
      </c>
      <c r="C7739" t="str">
        <f t="shared" si="392"/>
        <v/>
      </c>
      <c r="D7739" s="245" t="str">
        <f t="shared" si="394"/>
        <v/>
      </c>
      <c r="E7739" s="534"/>
      <c r="F7739" s="534"/>
    </row>
    <row r="7740" spans="1:6" ht="15" customHeight="1">
      <c r="A7740" s="51"/>
      <c r="B7740" s="52" t="str">
        <f t="shared" si="393"/>
        <v/>
      </c>
      <c r="C7740" t="str">
        <f t="shared" si="392"/>
        <v/>
      </c>
      <c r="D7740" s="245" t="str">
        <f t="shared" si="394"/>
        <v/>
      </c>
      <c r="E7740" s="534"/>
      <c r="F7740" s="534"/>
    </row>
    <row r="7741" spans="1:6" ht="15" customHeight="1">
      <c r="A7741" s="51"/>
      <c r="B7741" s="52" t="str">
        <f t="shared" si="393"/>
        <v/>
      </c>
      <c r="C7741" t="str">
        <f t="shared" si="392"/>
        <v/>
      </c>
      <c r="D7741" s="245" t="str">
        <f t="shared" si="394"/>
        <v/>
      </c>
      <c r="E7741" s="534"/>
      <c r="F7741" s="534"/>
    </row>
    <row r="7742" spans="1:6" ht="15" customHeight="1">
      <c r="A7742" s="51"/>
      <c r="B7742" s="52" t="str">
        <f t="shared" si="393"/>
        <v/>
      </c>
      <c r="C7742" t="str">
        <f t="shared" si="392"/>
        <v/>
      </c>
      <c r="D7742" s="245" t="str">
        <f t="shared" si="394"/>
        <v/>
      </c>
      <c r="E7742" s="534"/>
      <c r="F7742" s="534"/>
    </row>
    <row r="7743" spans="1:6" ht="15" customHeight="1">
      <c r="A7743" s="51"/>
      <c r="B7743" s="52" t="str">
        <f t="shared" si="393"/>
        <v/>
      </c>
      <c r="C7743" t="str">
        <f t="shared" si="392"/>
        <v/>
      </c>
      <c r="D7743" s="245" t="str">
        <f t="shared" si="394"/>
        <v/>
      </c>
      <c r="E7743" s="534"/>
      <c r="F7743" s="534"/>
    </row>
    <row r="7744" spans="1:6" ht="15" customHeight="1">
      <c r="A7744" s="51"/>
      <c r="B7744" s="52" t="str">
        <f t="shared" si="393"/>
        <v/>
      </c>
      <c r="C7744" t="str">
        <f t="shared" si="392"/>
        <v/>
      </c>
      <c r="D7744" s="245" t="str">
        <f t="shared" si="394"/>
        <v/>
      </c>
      <c r="E7744" s="534"/>
      <c r="F7744" s="534"/>
    </row>
    <row r="7745" spans="1:6" ht="15" customHeight="1">
      <c r="A7745" s="51"/>
      <c r="B7745" s="52" t="str">
        <f t="shared" si="393"/>
        <v/>
      </c>
      <c r="C7745" t="str">
        <f t="shared" si="392"/>
        <v/>
      </c>
      <c r="D7745" s="245" t="str">
        <f t="shared" si="394"/>
        <v/>
      </c>
      <c r="E7745" s="534"/>
      <c r="F7745" s="534"/>
    </row>
    <row r="7746" spans="1:6" ht="15" customHeight="1">
      <c r="A7746" s="51"/>
      <c r="B7746" s="52" t="str">
        <f t="shared" si="393"/>
        <v/>
      </c>
      <c r="C7746" t="str">
        <f t="shared" ref="C7746:C7809" si="395">IF(A7746&lt;&gt;"",TEXT(A7746,"aaaa"),"")</f>
        <v/>
      </c>
      <c r="D7746" s="245" t="str">
        <f t="shared" si="394"/>
        <v/>
      </c>
      <c r="E7746" s="534"/>
      <c r="F7746" s="534"/>
    </row>
    <row r="7747" spans="1:6" ht="15" customHeight="1">
      <c r="A7747" s="51"/>
      <c r="B7747" s="52" t="str">
        <f t="shared" si="393"/>
        <v/>
      </c>
      <c r="C7747" t="str">
        <f t="shared" si="395"/>
        <v/>
      </c>
      <c r="D7747" s="245" t="str">
        <f t="shared" si="394"/>
        <v/>
      </c>
      <c r="E7747" s="534"/>
      <c r="F7747" s="534"/>
    </row>
    <row r="7748" spans="1:6" ht="15" customHeight="1">
      <c r="A7748" s="51"/>
      <c r="B7748" s="52" t="str">
        <f t="shared" si="393"/>
        <v/>
      </c>
      <c r="C7748" t="str">
        <f t="shared" si="395"/>
        <v/>
      </c>
      <c r="D7748" s="245" t="str">
        <f t="shared" si="394"/>
        <v/>
      </c>
      <c r="E7748" s="534"/>
      <c r="F7748" s="534"/>
    </row>
    <row r="7749" spans="1:6" ht="15" customHeight="1">
      <c r="A7749" s="51"/>
      <c r="B7749" s="52" t="str">
        <f t="shared" si="393"/>
        <v/>
      </c>
      <c r="C7749" t="str">
        <f t="shared" si="395"/>
        <v/>
      </c>
      <c r="D7749" s="245" t="str">
        <f t="shared" si="394"/>
        <v/>
      </c>
      <c r="E7749" s="534"/>
      <c r="F7749" s="534"/>
    </row>
    <row r="7750" spans="1:6" ht="15" customHeight="1">
      <c r="A7750" s="51"/>
      <c r="B7750" s="52" t="str">
        <f t="shared" si="393"/>
        <v/>
      </c>
      <c r="C7750" t="str">
        <f t="shared" si="395"/>
        <v/>
      </c>
      <c r="D7750" s="245" t="str">
        <f t="shared" si="394"/>
        <v/>
      </c>
      <c r="E7750" s="534"/>
      <c r="F7750" s="534"/>
    </row>
    <row r="7751" spans="1:6" ht="15" customHeight="1">
      <c r="A7751" s="51"/>
      <c r="B7751" s="52" t="str">
        <f t="shared" si="393"/>
        <v/>
      </c>
      <c r="C7751" t="str">
        <f t="shared" si="395"/>
        <v/>
      </c>
      <c r="D7751" s="245" t="str">
        <f t="shared" si="394"/>
        <v/>
      </c>
      <c r="E7751" s="534"/>
      <c r="F7751" s="534"/>
    </row>
    <row r="7752" spans="1:6" ht="15" customHeight="1">
      <c r="A7752" s="51"/>
      <c r="B7752" s="52" t="str">
        <f t="shared" ref="B7752:B7815" si="396">IF(A7752="","",TEXT(A7752,"DDDD"))</f>
        <v/>
      </c>
      <c r="C7752" t="str">
        <f t="shared" si="395"/>
        <v/>
      </c>
      <c r="D7752" s="245" t="str">
        <f t="shared" si="394"/>
        <v/>
      </c>
      <c r="E7752" s="534"/>
      <c r="F7752" s="534"/>
    </row>
    <row r="7753" spans="1:6" ht="15" customHeight="1">
      <c r="A7753" s="51"/>
      <c r="B7753" s="52" t="str">
        <f t="shared" si="396"/>
        <v/>
      </c>
      <c r="C7753" t="str">
        <f t="shared" si="395"/>
        <v/>
      </c>
      <c r="D7753" s="245" t="str">
        <f t="shared" ref="D7753:D7816" si="397">IF(A7753&lt;&gt;"",PROPER(TEXT(A7753,"Mmmm")),"")</f>
        <v/>
      </c>
      <c r="E7753" s="534"/>
      <c r="F7753" s="534"/>
    </row>
    <row r="7754" spans="1:6" ht="15" customHeight="1">
      <c r="A7754" s="51"/>
      <c r="B7754" s="52" t="str">
        <f t="shared" si="396"/>
        <v/>
      </c>
      <c r="C7754" t="str">
        <f t="shared" si="395"/>
        <v/>
      </c>
      <c r="D7754" s="245" t="str">
        <f t="shared" si="397"/>
        <v/>
      </c>
      <c r="E7754" s="534"/>
      <c r="F7754" s="534"/>
    </row>
    <row r="7755" spans="1:6" ht="15" customHeight="1">
      <c r="A7755" s="51"/>
      <c r="B7755" s="52" t="str">
        <f t="shared" si="396"/>
        <v/>
      </c>
      <c r="C7755" t="str">
        <f t="shared" si="395"/>
        <v/>
      </c>
      <c r="D7755" s="245" t="str">
        <f t="shared" si="397"/>
        <v/>
      </c>
      <c r="E7755" s="534"/>
      <c r="F7755" s="534"/>
    </row>
    <row r="7756" spans="1:6" ht="15" customHeight="1">
      <c r="A7756" s="51"/>
      <c r="B7756" s="52" t="str">
        <f t="shared" si="396"/>
        <v/>
      </c>
      <c r="C7756" t="str">
        <f t="shared" si="395"/>
        <v/>
      </c>
      <c r="D7756" s="245" t="str">
        <f t="shared" si="397"/>
        <v/>
      </c>
      <c r="E7756" s="534"/>
      <c r="F7756" s="534"/>
    </row>
    <row r="7757" spans="1:6" ht="15" customHeight="1">
      <c r="A7757" s="51"/>
      <c r="B7757" s="52" t="str">
        <f t="shared" si="396"/>
        <v/>
      </c>
      <c r="C7757" t="str">
        <f t="shared" si="395"/>
        <v/>
      </c>
      <c r="D7757" s="245" t="str">
        <f t="shared" si="397"/>
        <v/>
      </c>
      <c r="E7757" s="534"/>
      <c r="F7757" s="534"/>
    </row>
    <row r="7758" spans="1:6" ht="15" customHeight="1">
      <c r="A7758" s="51"/>
      <c r="B7758" s="52" t="str">
        <f t="shared" si="396"/>
        <v/>
      </c>
      <c r="C7758" t="str">
        <f t="shared" si="395"/>
        <v/>
      </c>
      <c r="D7758" s="245" t="str">
        <f t="shared" si="397"/>
        <v/>
      </c>
      <c r="E7758" s="534"/>
      <c r="F7758" s="534"/>
    </row>
    <row r="7759" spans="1:6" ht="15" customHeight="1">
      <c r="A7759" s="51"/>
      <c r="B7759" s="52" t="str">
        <f t="shared" si="396"/>
        <v/>
      </c>
      <c r="C7759" t="str">
        <f t="shared" si="395"/>
        <v/>
      </c>
      <c r="D7759" s="245" t="str">
        <f t="shared" si="397"/>
        <v/>
      </c>
      <c r="E7759" s="534"/>
      <c r="F7759" s="534"/>
    </row>
    <row r="7760" spans="1:6" ht="15" customHeight="1">
      <c r="A7760" s="51"/>
      <c r="B7760" s="52" t="str">
        <f t="shared" si="396"/>
        <v/>
      </c>
      <c r="C7760" t="str">
        <f t="shared" si="395"/>
        <v/>
      </c>
      <c r="D7760" s="245" t="str">
        <f t="shared" si="397"/>
        <v/>
      </c>
      <c r="E7760" s="534"/>
      <c r="F7760" s="534"/>
    </row>
    <row r="7761" spans="1:6" ht="15" customHeight="1">
      <c r="A7761" s="51"/>
      <c r="B7761" s="52" t="str">
        <f t="shared" si="396"/>
        <v/>
      </c>
      <c r="C7761" t="str">
        <f t="shared" si="395"/>
        <v/>
      </c>
      <c r="D7761" s="245" t="str">
        <f t="shared" si="397"/>
        <v/>
      </c>
      <c r="E7761" s="534"/>
      <c r="F7761" s="534"/>
    </row>
    <row r="7762" spans="1:6" ht="15" customHeight="1">
      <c r="A7762" s="51"/>
      <c r="B7762" s="52" t="str">
        <f t="shared" si="396"/>
        <v/>
      </c>
      <c r="C7762" t="str">
        <f t="shared" si="395"/>
        <v/>
      </c>
      <c r="D7762" s="245" t="str">
        <f t="shared" si="397"/>
        <v/>
      </c>
      <c r="E7762" s="534"/>
      <c r="F7762" s="534"/>
    </row>
    <row r="7763" spans="1:6" ht="15" customHeight="1">
      <c r="A7763" s="51"/>
      <c r="B7763" s="52" t="str">
        <f t="shared" si="396"/>
        <v/>
      </c>
      <c r="C7763" t="str">
        <f t="shared" si="395"/>
        <v/>
      </c>
      <c r="D7763" s="245" t="str">
        <f t="shared" si="397"/>
        <v/>
      </c>
      <c r="E7763" s="534"/>
      <c r="F7763" s="534"/>
    </row>
    <row r="7764" spans="1:6" ht="15" customHeight="1">
      <c r="A7764" s="51"/>
      <c r="B7764" s="52" t="str">
        <f t="shared" si="396"/>
        <v/>
      </c>
      <c r="C7764" t="str">
        <f t="shared" si="395"/>
        <v/>
      </c>
      <c r="D7764" s="245" t="str">
        <f t="shared" si="397"/>
        <v/>
      </c>
      <c r="E7764" s="534"/>
      <c r="F7764" s="534"/>
    </row>
    <row r="7765" spans="1:6" ht="15" customHeight="1">
      <c r="A7765" s="51"/>
      <c r="B7765" s="52" t="str">
        <f t="shared" si="396"/>
        <v/>
      </c>
      <c r="C7765" t="str">
        <f t="shared" si="395"/>
        <v/>
      </c>
      <c r="D7765" s="245" t="str">
        <f t="shared" si="397"/>
        <v/>
      </c>
      <c r="E7765" s="534"/>
      <c r="F7765" s="534"/>
    </row>
    <row r="7766" spans="1:6" ht="15" customHeight="1">
      <c r="A7766" s="51"/>
      <c r="B7766" s="52" t="str">
        <f t="shared" si="396"/>
        <v/>
      </c>
      <c r="C7766" t="str">
        <f t="shared" si="395"/>
        <v/>
      </c>
      <c r="D7766" s="245" t="str">
        <f t="shared" si="397"/>
        <v/>
      </c>
      <c r="E7766" s="534"/>
      <c r="F7766" s="534"/>
    </row>
    <row r="7767" spans="1:6" ht="15" customHeight="1">
      <c r="A7767" s="51"/>
      <c r="B7767" s="52" t="str">
        <f t="shared" si="396"/>
        <v/>
      </c>
      <c r="C7767" t="str">
        <f t="shared" si="395"/>
        <v/>
      </c>
      <c r="D7767" s="245" t="str">
        <f t="shared" si="397"/>
        <v/>
      </c>
      <c r="E7767" s="534"/>
      <c r="F7767" s="534"/>
    </row>
    <row r="7768" spans="1:6" ht="15" customHeight="1">
      <c r="A7768" s="51"/>
      <c r="B7768" s="52" t="str">
        <f t="shared" si="396"/>
        <v/>
      </c>
      <c r="C7768" t="str">
        <f t="shared" si="395"/>
        <v/>
      </c>
      <c r="D7768" s="245" t="str">
        <f t="shared" si="397"/>
        <v/>
      </c>
      <c r="E7768" s="534"/>
      <c r="F7768" s="534"/>
    </row>
    <row r="7769" spans="1:6" ht="15" customHeight="1">
      <c r="A7769" s="51"/>
      <c r="B7769" s="52" t="str">
        <f t="shared" si="396"/>
        <v/>
      </c>
      <c r="C7769" t="str">
        <f t="shared" si="395"/>
        <v/>
      </c>
      <c r="D7769" s="245" t="str">
        <f t="shared" si="397"/>
        <v/>
      </c>
      <c r="E7769" s="534"/>
      <c r="F7769" s="534"/>
    </row>
    <row r="7770" spans="1:6" ht="15" customHeight="1">
      <c r="A7770" s="51"/>
      <c r="B7770" s="52" t="str">
        <f t="shared" si="396"/>
        <v/>
      </c>
      <c r="C7770" t="str">
        <f t="shared" si="395"/>
        <v/>
      </c>
      <c r="D7770" s="245" t="str">
        <f t="shared" si="397"/>
        <v/>
      </c>
      <c r="E7770" s="534"/>
      <c r="F7770" s="534"/>
    </row>
    <row r="7771" spans="1:6" ht="15" customHeight="1">
      <c r="A7771" s="51"/>
      <c r="B7771" s="52" t="str">
        <f t="shared" si="396"/>
        <v/>
      </c>
      <c r="C7771" t="str">
        <f t="shared" si="395"/>
        <v/>
      </c>
      <c r="D7771" s="245" t="str">
        <f t="shared" si="397"/>
        <v/>
      </c>
      <c r="E7771" s="534"/>
      <c r="F7771" s="534"/>
    </row>
    <row r="7772" spans="1:6" ht="15" customHeight="1">
      <c r="A7772" s="51"/>
      <c r="B7772" s="52" t="str">
        <f t="shared" si="396"/>
        <v/>
      </c>
      <c r="C7772" t="str">
        <f t="shared" si="395"/>
        <v/>
      </c>
      <c r="D7772" s="245" t="str">
        <f t="shared" si="397"/>
        <v/>
      </c>
      <c r="E7772" s="534"/>
      <c r="F7772" s="534"/>
    </row>
    <row r="7773" spans="1:6" ht="15" customHeight="1">
      <c r="A7773" s="51"/>
      <c r="B7773" s="52" t="str">
        <f t="shared" si="396"/>
        <v/>
      </c>
      <c r="C7773" t="str">
        <f t="shared" si="395"/>
        <v/>
      </c>
      <c r="D7773" s="245" t="str">
        <f t="shared" si="397"/>
        <v/>
      </c>
      <c r="E7773" s="534"/>
      <c r="F7773" s="534"/>
    </row>
    <row r="7774" spans="1:6" ht="15" customHeight="1">
      <c r="A7774" s="51"/>
      <c r="B7774" s="52" t="str">
        <f t="shared" si="396"/>
        <v/>
      </c>
      <c r="C7774" t="str">
        <f t="shared" si="395"/>
        <v/>
      </c>
      <c r="D7774" s="245" t="str">
        <f t="shared" si="397"/>
        <v/>
      </c>
      <c r="E7774" s="534"/>
      <c r="F7774" s="534"/>
    </row>
    <row r="7775" spans="1:6" ht="15" customHeight="1">
      <c r="A7775" s="51"/>
      <c r="B7775" s="52" t="str">
        <f t="shared" si="396"/>
        <v/>
      </c>
      <c r="C7775" t="str">
        <f t="shared" si="395"/>
        <v/>
      </c>
      <c r="D7775" s="245" t="str">
        <f t="shared" si="397"/>
        <v/>
      </c>
      <c r="E7775" s="534"/>
      <c r="F7775" s="534"/>
    </row>
    <row r="7776" spans="1:6" ht="15" customHeight="1">
      <c r="A7776" s="51"/>
      <c r="B7776" s="52" t="str">
        <f t="shared" si="396"/>
        <v/>
      </c>
      <c r="C7776" t="str">
        <f t="shared" si="395"/>
        <v/>
      </c>
      <c r="D7776" s="245" t="str">
        <f t="shared" si="397"/>
        <v/>
      </c>
      <c r="E7776" s="534"/>
      <c r="F7776" s="534"/>
    </row>
    <row r="7777" spans="1:6" ht="15" customHeight="1">
      <c r="A7777" s="51"/>
      <c r="B7777" s="52" t="str">
        <f t="shared" si="396"/>
        <v/>
      </c>
      <c r="C7777" t="str">
        <f t="shared" si="395"/>
        <v/>
      </c>
      <c r="D7777" s="245" t="str">
        <f t="shared" si="397"/>
        <v/>
      </c>
      <c r="E7777" s="534"/>
      <c r="F7777" s="534"/>
    </row>
    <row r="7778" spans="1:6" ht="15" customHeight="1">
      <c r="A7778" s="51"/>
      <c r="B7778" s="52" t="str">
        <f t="shared" si="396"/>
        <v/>
      </c>
      <c r="C7778" t="str">
        <f t="shared" si="395"/>
        <v/>
      </c>
      <c r="D7778" s="245" t="str">
        <f t="shared" si="397"/>
        <v/>
      </c>
      <c r="E7778" s="534"/>
      <c r="F7778" s="534"/>
    </row>
    <row r="7779" spans="1:6" ht="15" customHeight="1">
      <c r="A7779" s="51"/>
      <c r="B7779" s="52" t="str">
        <f t="shared" si="396"/>
        <v/>
      </c>
      <c r="C7779" t="str">
        <f t="shared" si="395"/>
        <v/>
      </c>
      <c r="D7779" s="245" t="str">
        <f t="shared" si="397"/>
        <v/>
      </c>
      <c r="E7779" s="534"/>
      <c r="F7779" s="534"/>
    </row>
    <row r="7780" spans="1:6" ht="15" customHeight="1">
      <c r="A7780" s="51"/>
      <c r="B7780" s="52" t="str">
        <f t="shared" si="396"/>
        <v/>
      </c>
      <c r="C7780" t="str">
        <f t="shared" si="395"/>
        <v/>
      </c>
      <c r="D7780" s="245" t="str">
        <f t="shared" si="397"/>
        <v/>
      </c>
      <c r="E7780" s="534"/>
      <c r="F7780" s="534"/>
    </row>
    <row r="7781" spans="1:6" ht="15" customHeight="1">
      <c r="A7781" s="51"/>
      <c r="B7781" s="52" t="str">
        <f t="shared" si="396"/>
        <v/>
      </c>
      <c r="C7781" t="str">
        <f t="shared" si="395"/>
        <v/>
      </c>
      <c r="D7781" s="245" t="str">
        <f t="shared" si="397"/>
        <v/>
      </c>
      <c r="E7781" s="534"/>
      <c r="F7781" s="534"/>
    </row>
    <row r="7782" spans="1:6" ht="15" customHeight="1">
      <c r="A7782" s="51"/>
      <c r="B7782" s="52" t="str">
        <f t="shared" si="396"/>
        <v/>
      </c>
      <c r="C7782" t="str">
        <f t="shared" si="395"/>
        <v/>
      </c>
      <c r="D7782" s="245" t="str">
        <f t="shared" si="397"/>
        <v/>
      </c>
      <c r="E7782" s="534"/>
      <c r="F7782" s="534"/>
    </row>
    <row r="7783" spans="1:6" ht="15" customHeight="1">
      <c r="A7783" s="51"/>
      <c r="B7783" s="52" t="str">
        <f t="shared" si="396"/>
        <v/>
      </c>
      <c r="C7783" t="str">
        <f t="shared" si="395"/>
        <v/>
      </c>
      <c r="D7783" s="245" t="str">
        <f t="shared" si="397"/>
        <v/>
      </c>
      <c r="E7783" s="534"/>
      <c r="F7783" s="534"/>
    </row>
    <row r="7784" spans="1:6" ht="15" customHeight="1">
      <c r="A7784" s="51"/>
      <c r="B7784" s="52" t="str">
        <f t="shared" si="396"/>
        <v/>
      </c>
      <c r="C7784" t="str">
        <f t="shared" si="395"/>
        <v/>
      </c>
      <c r="D7784" s="245" t="str">
        <f t="shared" si="397"/>
        <v/>
      </c>
      <c r="E7784" s="534"/>
      <c r="F7784" s="534"/>
    </row>
    <row r="7785" spans="1:6" ht="15" customHeight="1">
      <c r="A7785" s="51"/>
      <c r="B7785" s="52" t="str">
        <f t="shared" si="396"/>
        <v/>
      </c>
      <c r="C7785" t="str">
        <f t="shared" si="395"/>
        <v/>
      </c>
      <c r="D7785" s="245" t="str">
        <f t="shared" si="397"/>
        <v/>
      </c>
      <c r="E7785" s="534"/>
      <c r="F7785" s="534"/>
    </row>
    <row r="7786" spans="1:6" ht="15" customHeight="1">
      <c r="A7786" s="51"/>
      <c r="B7786" s="52" t="str">
        <f t="shared" si="396"/>
        <v/>
      </c>
      <c r="C7786" t="str">
        <f t="shared" si="395"/>
        <v/>
      </c>
      <c r="D7786" s="245" t="str">
        <f t="shared" si="397"/>
        <v/>
      </c>
      <c r="E7786" s="534"/>
      <c r="F7786" s="534"/>
    </row>
    <row r="7787" spans="1:6" ht="15" customHeight="1">
      <c r="A7787" s="51"/>
      <c r="B7787" s="52" t="str">
        <f t="shared" si="396"/>
        <v/>
      </c>
      <c r="C7787" t="str">
        <f t="shared" si="395"/>
        <v/>
      </c>
      <c r="D7787" s="245" t="str">
        <f t="shared" si="397"/>
        <v/>
      </c>
      <c r="E7787" s="534"/>
      <c r="F7787" s="534"/>
    </row>
    <row r="7788" spans="1:6" ht="15" customHeight="1">
      <c r="A7788" s="51"/>
      <c r="B7788" s="52" t="str">
        <f t="shared" si="396"/>
        <v/>
      </c>
      <c r="C7788" t="str">
        <f t="shared" si="395"/>
        <v/>
      </c>
      <c r="D7788" s="245" t="str">
        <f t="shared" si="397"/>
        <v/>
      </c>
      <c r="E7788" s="534"/>
      <c r="F7788" s="534"/>
    </row>
    <row r="7789" spans="1:6" ht="15" customHeight="1">
      <c r="A7789" s="51"/>
      <c r="B7789" s="52" t="str">
        <f t="shared" si="396"/>
        <v/>
      </c>
      <c r="C7789" t="str">
        <f t="shared" si="395"/>
        <v/>
      </c>
      <c r="D7789" s="245" t="str">
        <f t="shared" si="397"/>
        <v/>
      </c>
      <c r="E7789" s="534"/>
      <c r="F7789" s="534"/>
    </row>
    <row r="7790" spans="1:6" ht="15" customHeight="1">
      <c r="A7790" s="51"/>
      <c r="B7790" s="52" t="str">
        <f t="shared" si="396"/>
        <v/>
      </c>
      <c r="C7790" t="str">
        <f t="shared" si="395"/>
        <v/>
      </c>
      <c r="D7790" s="245" t="str">
        <f t="shared" si="397"/>
        <v/>
      </c>
      <c r="E7790" s="534"/>
      <c r="F7790" s="534"/>
    </row>
    <row r="7791" spans="1:6" ht="15" customHeight="1">
      <c r="A7791" s="51"/>
      <c r="B7791" s="52" t="str">
        <f t="shared" si="396"/>
        <v/>
      </c>
      <c r="C7791" t="str">
        <f t="shared" si="395"/>
        <v/>
      </c>
      <c r="D7791" s="245" t="str">
        <f t="shared" si="397"/>
        <v/>
      </c>
      <c r="E7791" s="534"/>
      <c r="F7791" s="534"/>
    </row>
    <row r="7792" spans="1:6" ht="15" customHeight="1">
      <c r="A7792" s="51"/>
      <c r="B7792" s="52" t="str">
        <f t="shared" si="396"/>
        <v/>
      </c>
      <c r="C7792" t="str">
        <f t="shared" si="395"/>
        <v/>
      </c>
      <c r="D7792" s="245" t="str">
        <f t="shared" si="397"/>
        <v/>
      </c>
      <c r="E7792" s="534"/>
      <c r="F7792" s="534"/>
    </row>
    <row r="7793" spans="1:6" ht="15" customHeight="1">
      <c r="A7793" s="51"/>
      <c r="B7793" s="52" t="str">
        <f t="shared" si="396"/>
        <v/>
      </c>
      <c r="C7793" t="str">
        <f t="shared" si="395"/>
        <v/>
      </c>
      <c r="D7793" s="245" t="str">
        <f t="shared" si="397"/>
        <v/>
      </c>
      <c r="E7793" s="534"/>
      <c r="F7793" s="534"/>
    </row>
    <row r="7794" spans="1:6" ht="15" customHeight="1">
      <c r="A7794" s="51"/>
      <c r="B7794" s="52" t="str">
        <f t="shared" si="396"/>
        <v/>
      </c>
      <c r="C7794" t="str">
        <f t="shared" si="395"/>
        <v/>
      </c>
      <c r="D7794" s="245" t="str">
        <f t="shared" si="397"/>
        <v/>
      </c>
      <c r="E7794" s="534"/>
      <c r="F7794" s="534"/>
    </row>
    <row r="7795" spans="1:6" ht="15" customHeight="1">
      <c r="A7795" s="51"/>
      <c r="B7795" s="52" t="str">
        <f t="shared" si="396"/>
        <v/>
      </c>
      <c r="C7795" t="str">
        <f t="shared" si="395"/>
        <v/>
      </c>
      <c r="D7795" s="245" t="str">
        <f t="shared" si="397"/>
        <v/>
      </c>
      <c r="E7795" s="534"/>
      <c r="F7795" s="534"/>
    </row>
    <row r="7796" spans="1:6" ht="15" customHeight="1">
      <c r="A7796" s="51"/>
      <c r="B7796" s="52" t="str">
        <f t="shared" si="396"/>
        <v/>
      </c>
      <c r="C7796" t="str">
        <f t="shared" si="395"/>
        <v/>
      </c>
      <c r="D7796" s="245" t="str">
        <f t="shared" si="397"/>
        <v/>
      </c>
      <c r="E7796" s="534"/>
      <c r="F7796" s="534"/>
    </row>
    <row r="7797" spans="1:6" ht="15" customHeight="1">
      <c r="A7797" s="51"/>
      <c r="B7797" s="52" t="str">
        <f t="shared" si="396"/>
        <v/>
      </c>
      <c r="C7797" t="str">
        <f t="shared" si="395"/>
        <v/>
      </c>
      <c r="D7797" s="245" t="str">
        <f t="shared" si="397"/>
        <v/>
      </c>
      <c r="E7797" s="534"/>
      <c r="F7797" s="534"/>
    </row>
    <row r="7798" spans="1:6" ht="15" customHeight="1">
      <c r="A7798" s="51"/>
      <c r="B7798" s="52" t="str">
        <f t="shared" si="396"/>
        <v/>
      </c>
      <c r="C7798" t="str">
        <f t="shared" si="395"/>
        <v/>
      </c>
      <c r="D7798" s="245" t="str">
        <f t="shared" si="397"/>
        <v/>
      </c>
      <c r="E7798" s="534"/>
      <c r="F7798" s="534"/>
    </row>
    <row r="7799" spans="1:6" ht="15" customHeight="1">
      <c r="A7799" s="51"/>
      <c r="B7799" s="52" t="str">
        <f t="shared" si="396"/>
        <v/>
      </c>
      <c r="C7799" t="str">
        <f t="shared" si="395"/>
        <v/>
      </c>
      <c r="D7799" s="245" t="str">
        <f t="shared" si="397"/>
        <v/>
      </c>
      <c r="E7799" s="534"/>
      <c r="F7799" s="534"/>
    </row>
    <row r="7800" spans="1:6" ht="15" customHeight="1">
      <c r="A7800" s="51"/>
      <c r="B7800" s="52" t="str">
        <f t="shared" si="396"/>
        <v/>
      </c>
      <c r="C7800" t="str">
        <f t="shared" si="395"/>
        <v/>
      </c>
      <c r="D7800" s="245" t="str">
        <f t="shared" si="397"/>
        <v/>
      </c>
      <c r="E7800" s="534"/>
      <c r="F7800" s="534"/>
    </row>
    <row r="7801" spans="1:6" ht="15" customHeight="1">
      <c r="A7801" s="51"/>
      <c r="B7801" s="52" t="str">
        <f t="shared" si="396"/>
        <v/>
      </c>
      <c r="C7801" t="str">
        <f t="shared" si="395"/>
        <v/>
      </c>
      <c r="D7801" s="245" t="str">
        <f t="shared" si="397"/>
        <v/>
      </c>
      <c r="E7801" s="534"/>
      <c r="F7801" s="534"/>
    </row>
    <row r="7802" spans="1:6" ht="15" customHeight="1">
      <c r="A7802" s="51"/>
      <c r="B7802" s="52" t="str">
        <f t="shared" si="396"/>
        <v/>
      </c>
      <c r="C7802" t="str">
        <f t="shared" si="395"/>
        <v/>
      </c>
      <c r="D7802" s="245" t="str">
        <f t="shared" si="397"/>
        <v/>
      </c>
      <c r="E7802" s="534"/>
      <c r="F7802" s="534"/>
    </row>
    <row r="7803" spans="1:6" ht="15" customHeight="1">
      <c r="A7803" s="51"/>
      <c r="B7803" s="52" t="str">
        <f t="shared" si="396"/>
        <v/>
      </c>
      <c r="C7803" t="str">
        <f t="shared" si="395"/>
        <v/>
      </c>
      <c r="D7803" s="245" t="str">
        <f t="shared" si="397"/>
        <v/>
      </c>
      <c r="E7803" s="534"/>
      <c r="F7803" s="534"/>
    </row>
    <row r="7804" spans="1:6" ht="15" customHeight="1">
      <c r="A7804" s="51"/>
      <c r="B7804" s="52" t="str">
        <f t="shared" si="396"/>
        <v/>
      </c>
      <c r="C7804" t="str">
        <f t="shared" si="395"/>
        <v/>
      </c>
      <c r="D7804" s="245" t="str">
        <f t="shared" si="397"/>
        <v/>
      </c>
      <c r="E7804" s="534"/>
      <c r="F7804" s="534"/>
    </row>
    <row r="7805" spans="1:6" ht="15" customHeight="1">
      <c r="A7805" s="51"/>
      <c r="B7805" s="52" t="str">
        <f t="shared" si="396"/>
        <v/>
      </c>
      <c r="C7805" t="str">
        <f t="shared" si="395"/>
        <v/>
      </c>
      <c r="D7805" s="245" t="str">
        <f t="shared" si="397"/>
        <v/>
      </c>
      <c r="E7805" s="534"/>
      <c r="F7805" s="534"/>
    </row>
    <row r="7806" spans="1:6" ht="15" customHeight="1">
      <c r="A7806" s="51"/>
      <c r="B7806" s="52" t="str">
        <f t="shared" si="396"/>
        <v/>
      </c>
      <c r="C7806" t="str">
        <f t="shared" si="395"/>
        <v/>
      </c>
      <c r="D7806" s="245" t="str">
        <f t="shared" si="397"/>
        <v/>
      </c>
      <c r="E7806" s="534"/>
      <c r="F7806" s="534"/>
    </row>
    <row r="7807" spans="1:6" ht="15" customHeight="1">
      <c r="A7807" s="51"/>
      <c r="B7807" s="52" t="str">
        <f t="shared" si="396"/>
        <v/>
      </c>
      <c r="C7807" t="str">
        <f t="shared" si="395"/>
        <v/>
      </c>
      <c r="D7807" s="245" t="str">
        <f t="shared" si="397"/>
        <v/>
      </c>
      <c r="E7807" s="534"/>
      <c r="F7807" s="534"/>
    </row>
    <row r="7808" spans="1:6" ht="15" customHeight="1">
      <c r="A7808" s="51"/>
      <c r="B7808" s="52" t="str">
        <f t="shared" si="396"/>
        <v/>
      </c>
      <c r="C7808" t="str">
        <f t="shared" si="395"/>
        <v/>
      </c>
      <c r="D7808" s="245" t="str">
        <f t="shared" si="397"/>
        <v/>
      </c>
      <c r="E7808" s="534"/>
      <c r="F7808" s="534"/>
    </row>
    <row r="7809" spans="1:6" ht="15" customHeight="1">
      <c r="A7809" s="51"/>
      <c r="B7809" s="52" t="str">
        <f t="shared" si="396"/>
        <v/>
      </c>
      <c r="C7809" t="str">
        <f t="shared" si="395"/>
        <v/>
      </c>
      <c r="D7809" s="245" t="str">
        <f t="shared" si="397"/>
        <v/>
      </c>
      <c r="E7809" s="534"/>
      <c r="F7809" s="534"/>
    </row>
    <row r="7810" spans="1:6" ht="15" customHeight="1">
      <c r="A7810" s="51"/>
      <c r="B7810" s="52" t="str">
        <f t="shared" si="396"/>
        <v/>
      </c>
      <c r="C7810" t="str">
        <f t="shared" ref="C7810:C7873" si="398">IF(A7810&lt;&gt;"",TEXT(A7810,"aaaa"),"")</f>
        <v/>
      </c>
      <c r="D7810" s="245" t="str">
        <f t="shared" si="397"/>
        <v/>
      </c>
      <c r="E7810" s="534"/>
      <c r="F7810" s="534"/>
    </row>
    <row r="7811" spans="1:6" ht="15" customHeight="1">
      <c r="A7811" s="51"/>
      <c r="B7811" s="52" t="str">
        <f t="shared" si="396"/>
        <v/>
      </c>
      <c r="C7811" t="str">
        <f t="shared" si="398"/>
        <v/>
      </c>
      <c r="D7811" s="245" t="str">
        <f t="shared" si="397"/>
        <v/>
      </c>
      <c r="E7811" s="534"/>
      <c r="F7811" s="534"/>
    </row>
    <row r="7812" spans="1:6" ht="15" customHeight="1">
      <c r="A7812" s="51"/>
      <c r="B7812" s="52" t="str">
        <f t="shared" si="396"/>
        <v/>
      </c>
      <c r="C7812" t="str">
        <f t="shared" si="398"/>
        <v/>
      </c>
      <c r="D7812" s="245" t="str">
        <f t="shared" si="397"/>
        <v/>
      </c>
      <c r="E7812" s="534"/>
      <c r="F7812" s="534"/>
    </row>
    <row r="7813" spans="1:6" ht="15" customHeight="1">
      <c r="A7813" s="51"/>
      <c r="B7813" s="52" t="str">
        <f t="shared" si="396"/>
        <v/>
      </c>
      <c r="C7813" t="str">
        <f t="shared" si="398"/>
        <v/>
      </c>
      <c r="D7813" s="245" t="str">
        <f t="shared" si="397"/>
        <v/>
      </c>
      <c r="E7813" s="534"/>
      <c r="F7813" s="534"/>
    </row>
    <row r="7814" spans="1:6" ht="15" customHeight="1">
      <c r="A7814" s="51"/>
      <c r="B7814" s="52" t="str">
        <f t="shared" si="396"/>
        <v/>
      </c>
      <c r="C7814" t="str">
        <f t="shared" si="398"/>
        <v/>
      </c>
      <c r="D7814" s="245" t="str">
        <f t="shared" si="397"/>
        <v/>
      </c>
      <c r="E7814" s="534"/>
      <c r="F7814" s="534"/>
    </row>
    <row r="7815" spans="1:6" ht="15" customHeight="1">
      <c r="A7815" s="51"/>
      <c r="B7815" s="52" t="str">
        <f t="shared" si="396"/>
        <v/>
      </c>
      <c r="C7815" t="str">
        <f t="shared" si="398"/>
        <v/>
      </c>
      <c r="D7815" s="245" t="str">
        <f t="shared" si="397"/>
        <v/>
      </c>
      <c r="E7815" s="534"/>
      <c r="F7815" s="534"/>
    </row>
    <row r="7816" spans="1:6" ht="15" customHeight="1">
      <c r="A7816" s="51"/>
      <c r="B7816" s="52" t="str">
        <f t="shared" ref="B7816:B7879" si="399">IF(A7816="","",TEXT(A7816,"DDDD"))</f>
        <v/>
      </c>
      <c r="C7816" t="str">
        <f t="shared" si="398"/>
        <v/>
      </c>
      <c r="D7816" s="245" t="str">
        <f t="shared" si="397"/>
        <v/>
      </c>
      <c r="E7816" s="534"/>
      <c r="F7816" s="534"/>
    </row>
    <row r="7817" spans="1:6" ht="15" customHeight="1">
      <c r="A7817" s="51"/>
      <c r="B7817" s="52" t="str">
        <f t="shared" si="399"/>
        <v/>
      </c>
      <c r="C7817" t="str">
        <f t="shared" si="398"/>
        <v/>
      </c>
      <c r="D7817" s="245" t="str">
        <f t="shared" ref="D7817:D7880" si="400">IF(A7817&lt;&gt;"",PROPER(TEXT(A7817,"Mmmm")),"")</f>
        <v/>
      </c>
      <c r="E7817" s="534"/>
      <c r="F7817" s="534"/>
    </row>
    <row r="7818" spans="1:6" ht="15" customHeight="1">
      <c r="A7818" s="51"/>
      <c r="B7818" s="52" t="str">
        <f t="shared" si="399"/>
        <v/>
      </c>
      <c r="C7818" t="str">
        <f t="shared" si="398"/>
        <v/>
      </c>
      <c r="D7818" s="245" t="str">
        <f t="shared" si="400"/>
        <v/>
      </c>
      <c r="E7818" s="534"/>
      <c r="F7818" s="534"/>
    </row>
    <row r="7819" spans="1:6" ht="15" customHeight="1">
      <c r="A7819" s="51"/>
      <c r="B7819" s="52" t="str">
        <f t="shared" si="399"/>
        <v/>
      </c>
      <c r="C7819" t="str">
        <f t="shared" si="398"/>
        <v/>
      </c>
      <c r="D7819" s="245" t="str">
        <f t="shared" si="400"/>
        <v/>
      </c>
      <c r="E7819" s="534"/>
      <c r="F7819" s="534"/>
    </row>
    <row r="7820" spans="1:6" ht="15" customHeight="1">
      <c r="A7820" s="51"/>
      <c r="B7820" s="52" t="str">
        <f t="shared" si="399"/>
        <v/>
      </c>
      <c r="C7820" t="str">
        <f t="shared" si="398"/>
        <v/>
      </c>
      <c r="D7820" s="245" t="str">
        <f t="shared" si="400"/>
        <v/>
      </c>
      <c r="E7820" s="534"/>
      <c r="F7820" s="534"/>
    </row>
    <row r="7821" spans="1:6" ht="15" customHeight="1">
      <c r="A7821" s="51"/>
      <c r="B7821" s="52" t="str">
        <f t="shared" si="399"/>
        <v/>
      </c>
      <c r="C7821" t="str">
        <f t="shared" si="398"/>
        <v/>
      </c>
      <c r="D7821" s="245" t="str">
        <f t="shared" si="400"/>
        <v/>
      </c>
      <c r="E7821" s="534"/>
      <c r="F7821" s="534"/>
    </row>
    <row r="7822" spans="1:6" ht="15" customHeight="1">
      <c r="A7822" s="51"/>
      <c r="B7822" s="52" t="str">
        <f t="shared" si="399"/>
        <v/>
      </c>
      <c r="C7822" t="str">
        <f t="shared" si="398"/>
        <v/>
      </c>
      <c r="D7822" s="245" t="str">
        <f t="shared" si="400"/>
        <v/>
      </c>
      <c r="E7822" s="534"/>
      <c r="F7822" s="534"/>
    </row>
    <row r="7823" spans="1:6" ht="15" customHeight="1">
      <c r="A7823" s="51"/>
      <c r="B7823" s="52" t="str">
        <f t="shared" si="399"/>
        <v/>
      </c>
      <c r="C7823" t="str">
        <f t="shared" si="398"/>
        <v/>
      </c>
      <c r="D7823" s="245" t="str">
        <f t="shared" si="400"/>
        <v/>
      </c>
      <c r="E7823" s="534"/>
      <c r="F7823" s="534"/>
    </row>
    <row r="7824" spans="1:6" ht="15" customHeight="1">
      <c r="A7824" s="51"/>
      <c r="B7824" s="52" t="str">
        <f t="shared" si="399"/>
        <v/>
      </c>
      <c r="C7824" t="str">
        <f t="shared" si="398"/>
        <v/>
      </c>
      <c r="D7824" s="245" t="str">
        <f t="shared" si="400"/>
        <v/>
      </c>
      <c r="E7824" s="534"/>
      <c r="F7824" s="534"/>
    </row>
    <row r="7825" spans="1:6" ht="15" customHeight="1">
      <c r="A7825" s="51"/>
      <c r="B7825" s="52" t="str">
        <f t="shared" si="399"/>
        <v/>
      </c>
      <c r="C7825" t="str">
        <f t="shared" si="398"/>
        <v/>
      </c>
      <c r="D7825" s="245" t="str">
        <f t="shared" si="400"/>
        <v/>
      </c>
      <c r="E7825" s="534"/>
      <c r="F7825" s="534"/>
    </row>
    <row r="7826" spans="1:6" ht="15" customHeight="1">
      <c r="A7826" s="51"/>
      <c r="B7826" s="52" t="str">
        <f t="shared" si="399"/>
        <v/>
      </c>
      <c r="C7826" t="str">
        <f t="shared" si="398"/>
        <v/>
      </c>
      <c r="D7826" s="245" t="str">
        <f t="shared" si="400"/>
        <v/>
      </c>
      <c r="E7826" s="534"/>
      <c r="F7826" s="534"/>
    </row>
    <row r="7827" spans="1:6" ht="15" customHeight="1">
      <c r="A7827" s="51"/>
      <c r="B7827" s="52" t="str">
        <f t="shared" si="399"/>
        <v/>
      </c>
      <c r="C7827" t="str">
        <f t="shared" si="398"/>
        <v/>
      </c>
      <c r="D7827" s="245" t="str">
        <f t="shared" si="400"/>
        <v/>
      </c>
      <c r="E7827" s="534"/>
      <c r="F7827" s="534"/>
    </row>
    <row r="7828" spans="1:6" ht="15" customHeight="1">
      <c r="A7828" s="51"/>
      <c r="B7828" s="52" t="str">
        <f t="shared" si="399"/>
        <v/>
      </c>
      <c r="C7828" t="str">
        <f t="shared" si="398"/>
        <v/>
      </c>
      <c r="D7828" s="245" t="str">
        <f t="shared" si="400"/>
        <v/>
      </c>
      <c r="E7828" s="534"/>
      <c r="F7828" s="534"/>
    </row>
    <row r="7829" spans="1:6" ht="15" customHeight="1">
      <c r="A7829" s="51"/>
      <c r="B7829" s="52" t="str">
        <f t="shared" si="399"/>
        <v/>
      </c>
      <c r="C7829" t="str">
        <f t="shared" si="398"/>
        <v/>
      </c>
      <c r="D7829" s="245" t="str">
        <f t="shared" si="400"/>
        <v/>
      </c>
      <c r="E7829" s="534"/>
      <c r="F7829" s="534"/>
    </row>
    <row r="7830" spans="1:6" ht="15" customHeight="1">
      <c r="A7830" s="51"/>
      <c r="B7830" s="52" t="str">
        <f t="shared" si="399"/>
        <v/>
      </c>
      <c r="C7830" t="str">
        <f t="shared" si="398"/>
        <v/>
      </c>
      <c r="D7830" s="245" t="str">
        <f t="shared" si="400"/>
        <v/>
      </c>
      <c r="E7830" s="534"/>
      <c r="F7830" s="534"/>
    </row>
    <row r="7831" spans="1:6" ht="15" customHeight="1">
      <c r="A7831" s="51"/>
      <c r="B7831" s="52" t="str">
        <f t="shared" si="399"/>
        <v/>
      </c>
      <c r="C7831" t="str">
        <f t="shared" si="398"/>
        <v/>
      </c>
      <c r="D7831" s="245" t="str">
        <f t="shared" si="400"/>
        <v/>
      </c>
      <c r="E7831" s="534"/>
      <c r="F7831" s="534"/>
    </row>
    <row r="7832" spans="1:6" ht="15" customHeight="1">
      <c r="A7832" s="51"/>
      <c r="B7832" s="52" t="str">
        <f t="shared" si="399"/>
        <v/>
      </c>
      <c r="C7832" t="str">
        <f t="shared" si="398"/>
        <v/>
      </c>
      <c r="D7832" s="245" t="str">
        <f t="shared" si="400"/>
        <v/>
      </c>
      <c r="E7832" s="534"/>
      <c r="F7832" s="534"/>
    </row>
    <row r="7833" spans="1:6" ht="15" customHeight="1">
      <c r="A7833" s="51"/>
      <c r="B7833" s="52" t="str">
        <f t="shared" si="399"/>
        <v/>
      </c>
      <c r="C7833" t="str">
        <f t="shared" si="398"/>
        <v/>
      </c>
      <c r="D7833" s="245" t="str">
        <f t="shared" si="400"/>
        <v/>
      </c>
      <c r="E7833" s="534"/>
      <c r="F7833" s="534"/>
    </row>
    <row r="7834" spans="1:6" ht="15" customHeight="1">
      <c r="A7834" s="51"/>
      <c r="B7834" s="52" t="str">
        <f t="shared" si="399"/>
        <v/>
      </c>
      <c r="C7834" t="str">
        <f t="shared" si="398"/>
        <v/>
      </c>
      <c r="D7834" s="245" t="str">
        <f t="shared" si="400"/>
        <v/>
      </c>
      <c r="E7834" s="534"/>
      <c r="F7834" s="534"/>
    </row>
    <row r="7835" spans="1:6" ht="15" customHeight="1">
      <c r="A7835" s="51"/>
      <c r="B7835" s="52" t="str">
        <f t="shared" si="399"/>
        <v/>
      </c>
      <c r="C7835" t="str">
        <f t="shared" si="398"/>
        <v/>
      </c>
      <c r="D7835" s="245" t="str">
        <f t="shared" si="400"/>
        <v/>
      </c>
      <c r="E7835" s="534"/>
      <c r="F7835" s="534"/>
    </row>
    <row r="7836" spans="1:6" ht="15" customHeight="1">
      <c r="A7836" s="51"/>
      <c r="B7836" s="52" t="str">
        <f t="shared" si="399"/>
        <v/>
      </c>
      <c r="C7836" t="str">
        <f t="shared" si="398"/>
        <v/>
      </c>
      <c r="D7836" s="245" t="str">
        <f t="shared" si="400"/>
        <v/>
      </c>
      <c r="E7836" s="534"/>
      <c r="F7836" s="534"/>
    </row>
    <row r="7837" spans="1:6" ht="15" customHeight="1">
      <c r="A7837" s="51"/>
      <c r="B7837" s="52" t="str">
        <f t="shared" si="399"/>
        <v/>
      </c>
      <c r="C7837" t="str">
        <f t="shared" si="398"/>
        <v/>
      </c>
      <c r="D7837" s="245" t="str">
        <f t="shared" si="400"/>
        <v/>
      </c>
      <c r="E7837" s="534"/>
      <c r="F7837" s="534"/>
    </row>
    <row r="7838" spans="1:6" ht="15" customHeight="1">
      <c r="A7838" s="51"/>
      <c r="B7838" s="52" t="str">
        <f t="shared" si="399"/>
        <v/>
      </c>
      <c r="C7838" t="str">
        <f t="shared" si="398"/>
        <v/>
      </c>
      <c r="D7838" s="245" t="str">
        <f t="shared" si="400"/>
        <v/>
      </c>
      <c r="E7838" s="534"/>
      <c r="F7838" s="534"/>
    </row>
    <row r="7839" spans="1:6" ht="15" customHeight="1">
      <c r="A7839" s="51"/>
      <c r="B7839" s="52" t="str">
        <f t="shared" si="399"/>
        <v/>
      </c>
      <c r="C7839" t="str">
        <f t="shared" si="398"/>
        <v/>
      </c>
      <c r="D7839" s="245" t="str">
        <f t="shared" si="400"/>
        <v/>
      </c>
      <c r="E7839" s="534"/>
      <c r="F7839" s="534"/>
    </row>
    <row r="7840" spans="1:6" ht="15" customHeight="1">
      <c r="A7840" s="51"/>
      <c r="B7840" s="52" t="str">
        <f t="shared" si="399"/>
        <v/>
      </c>
      <c r="C7840" t="str">
        <f t="shared" si="398"/>
        <v/>
      </c>
      <c r="D7840" s="245" t="str">
        <f t="shared" si="400"/>
        <v/>
      </c>
      <c r="E7840" s="534"/>
      <c r="F7840" s="534"/>
    </row>
    <row r="7841" spans="1:6" ht="15" customHeight="1">
      <c r="A7841" s="51"/>
      <c r="B7841" s="52" t="str">
        <f t="shared" si="399"/>
        <v/>
      </c>
      <c r="C7841" t="str">
        <f t="shared" si="398"/>
        <v/>
      </c>
      <c r="D7841" s="245" t="str">
        <f t="shared" si="400"/>
        <v/>
      </c>
      <c r="E7841" s="534"/>
      <c r="F7841" s="534"/>
    </row>
    <row r="7842" spans="1:6" ht="15" customHeight="1">
      <c r="A7842" s="51"/>
      <c r="B7842" s="52" t="str">
        <f t="shared" si="399"/>
        <v/>
      </c>
      <c r="C7842" t="str">
        <f t="shared" si="398"/>
        <v/>
      </c>
      <c r="D7842" s="245" t="str">
        <f t="shared" si="400"/>
        <v/>
      </c>
      <c r="E7842" s="534"/>
      <c r="F7842" s="534"/>
    </row>
    <row r="7843" spans="1:6" ht="15" customHeight="1">
      <c r="A7843" s="51"/>
      <c r="B7843" s="52" t="str">
        <f t="shared" si="399"/>
        <v/>
      </c>
      <c r="C7843" t="str">
        <f t="shared" si="398"/>
        <v/>
      </c>
      <c r="D7843" s="245" t="str">
        <f t="shared" si="400"/>
        <v/>
      </c>
      <c r="E7843" s="534"/>
      <c r="F7843" s="534"/>
    </row>
    <row r="7844" spans="1:6" ht="15" customHeight="1">
      <c r="A7844" s="51"/>
      <c r="B7844" s="52" t="str">
        <f t="shared" si="399"/>
        <v/>
      </c>
      <c r="C7844" t="str">
        <f t="shared" si="398"/>
        <v/>
      </c>
      <c r="D7844" s="245" t="str">
        <f t="shared" si="400"/>
        <v/>
      </c>
      <c r="E7844" s="534"/>
      <c r="F7844" s="534"/>
    </row>
    <row r="7845" spans="1:6" ht="15" customHeight="1">
      <c r="A7845" s="51"/>
      <c r="B7845" s="52" t="str">
        <f t="shared" si="399"/>
        <v/>
      </c>
      <c r="C7845" t="str">
        <f t="shared" si="398"/>
        <v/>
      </c>
      <c r="D7845" s="245" t="str">
        <f t="shared" si="400"/>
        <v/>
      </c>
      <c r="E7845" s="534"/>
      <c r="F7845" s="534"/>
    </row>
    <row r="7846" spans="1:6" ht="15" customHeight="1">
      <c r="A7846" s="51"/>
      <c r="B7846" s="52" t="str">
        <f t="shared" si="399"/>
        <v/>
      </c>
      <c r="C7846" t="str">
        <f t="shared" si="398"/>
        <v/>
      </c>
      <c r="D7846" s="245" t="str">
        <f t="shared" si="400"/>
        <v/>
      </c>
      <c r="E7846" s="534"/>
      <c r="F7846" s="534"/>
    </row>
    <row r="7847" spans="1:6" ht="15" customHeight="1">
      <c r="A7847" s="51"/>
      <c r="B7847" s="52" t="str">
        <f t="shared" si="399"/>
        <v/>
      </c>
      <c r="C7847" t="str">
        <f t="shared" si="398"/>
        <v/>
      </c>
      <c r="D7847" s="245" t="str">
        <f t="shared" si="400"/>
        <v/>
      </c>
      <c r="E7847" s="534"/>
      <c r="F7847" s="534"/>
    </row>
    <row r="7848" spans="1:6" ht="15" customHeight="1">
      <c r="A7848" s="51"/>
      <c r="B7848" s="52" t="str">
        <f t="shared" si="399"/>
        <v/>
      </c>
      <c r="C7848" t="str">
        <f t="shared" si="398"/>
        <v/>
      </c>
      <c r="D7848" s="245" t="str">
        <f t="shared" si="400"/>
        <v/>
      </c>
      <c r="E7848" s="534"/>
      <c r="F7848" s="534"/>
    </row>
    <row r="7849" spans="1:6" ht="15" customHeight="1">
      <c r="A7849" s="51"/>
      <c r="B7849" s="52" t="str">
        <f t="shared" si="399"/>
        <v/>
      </c>
      <c r="C7849" t="str">
        <f t="shared" si="398"/>
        <v/>
      </c>
      <c r="D7849" s="245" t="str">
        <f t="shared" si="400"/>
        <v/>
      </c>
      <c r="E7849" s="534"/>
      <c r="F7849" s="534"/>
    </row>
    <row r="7850" spans="1:6" ht="15" customHeight="1">
      <c r="A7850" s="51"/>
      <c r="B7850" s="52" t="str">
        <f t="shared" si="399"/>
        <v/>
      </c>
      <c r="C7850" t="str">
        <f t="shared" si="398"/>
        <v/>
      </c>
      <c r="D7850" s="245" t="str">
        <f t="shared" si="400"/>
        <v/>
      </c>
      <c r="E7850" s="534"/>
      <c r="F7850" s="534"/>
    </row>
    <row r="7851" spans="1:6" ht="15" customHeight="1">
      <c r="A7851" s="51"/>
      <c r="B7851" s="52" t="str">
        <f t="shared" si="399"/>
        <v/>
      </c>
      <c r="C7851" t="str">
        <f t="shared" si="398"/>
        <v/>
      </c>
      <c r="D7851" s="245" t="str">
        <f t="shared" si="400"/>
        <v/>
      </c>
      <c r="E7851" s="534"/>
      <c r="F7851" s="534"/>
    </row>
    <row r="7852" spans="1:6" ht="15" customHeight="1">
      <c r="A7852" s="51"/>
      <c r="B7852" s="52" t="str">
        <f t="shared" si="399"/>
        <v/>
      </c>
      <c r="C7852" t="str">
        <f t="shared" si="398"/>
        <v/>
      </c>
      <c r="D7852" s="245" t="str">
        <f t="shared" si="400"/>
        <v/>
      </c>
      <c r="E7852" s="534"/>
      <c r="F7852" s="534"/>
    </row>
    <row r="7853" spans="1:6" ht="15" customHeight="1">
      <c r="A7853" s="51"/>
      <c r="B7853" s="52" t="str">
        <f t="shared" si="399"/>
        <v/>
      </c>
      <c r="C7853" t="str">
        <f t="shared" si="398"/>
        <v/>
      </c>
      <c r="D7853" s="245" t="str">
        <f t="shared" si="400"/>
        <v/>
      </c>
      <c r="E7853" s="534"/>
      <c r="F7853" s="534"/>
    </row>
    <row r="7854" spans="1:6" ht="15" customHeight="1">
      <c r="A7854" s="51"/>
      <c r="B7854" s="52" t="str">
        <f t="shared" si="399"/>
        <v/>
      </c>
      <c r="C7854" t="str">
        <f t="shared" si="398"/>
        <v/>
      </c>
      <c r="D7854" s="245" t="str">
        <f t="shared" si="400"/>
        <v/>
      </c>
      <c r="E7854" s="534"/>
      <c r="F7854" s="534"/>
    </row>
    <row r="7855" spans="1:6" ht="15" customHeight="1">
      <c r="A7855" s="51"/>
      <c r="B7855" s="52" t="str">
        <f t="shared" si="399"/>
        <v/>
      </c>
      <c r="C7855" t="str">
        <f t="shared" si="398"/>
        <v/>
      </c>
      <c r="D7855" s="245" t="str">
        <f t="shared" si="400"/>
        <v/>
      </c>
      <c r="E7855" s="534"/>
      <c r="F7855" s="534"/>
    </row>
    <row r="7856" spans="1:6" ht="15" customHeight="1">
      <c r="A7856" s="51"/>
      <c r="B7856" s="52" t="str">
        <f t="shared" si="399"/>
        <v/>
      </c>
      <c r="C7856" t="str">
        <f t="shared" si="398"/>
        <v/>
      </c>
      <c r="D7856" s="245" t="str">
        <f t="shared" si="400"/>
        <v/>
      </c>
      <c r="E7856" s="534"/>
      <c r="F7856" s="534"/>
    </row>
    <row r="7857" spans="1:6" ht="15" customHeight="1">
      <c r="A7857" s="51"/>
      <c r="B7857" s="52" t="str">
        <f t="shared" si="399"/>
        <v/>
      </c>
      <c r="C7857" t="str">
        <f t="shared" si="398"/>
        <v/>
      </c>
      <c r="D7857" s="245" t="str">
        <f t="shared" si="400"/>
        <v/>
      </c>
      <c r="E7857" s="534"/>
      <c r="F7857" s="534"/>
    </row>
    <row r="7858" spans="1:6" ht="15" customHeight="1">
      <c r="A7858" s="51"/>
      <c r="B7858" s="52" t="str">
        <f t="shared" si="399"/>
        <v/>
      </c>
      <c r="C7858" t="str">
        <f t="shared" si="398"/>
        <v/>
      </c>
      <c r="D7858" s="245" t="str">
        <f t="shared" si="400"/>
        <v/>
      </c>
      <c r="E7858" s="534"/>
      <c r="F7858" s="534"/>
    </row>
    <row r="7859" spans="1:6" ht="15" customHeight="1">
      <c r="A7859" s="51"/>
      <c r="B7859" s="52" t="str">
        <f t="shared" si="399"/>
        <v/>
      </c>
      <c r="C7859" t="str">
        <f t="shared" si="398"/>
        <v/>
      </c>
      <c r="D7859" s="245" t="str">
        <f t="shared" si="400"/>
        <v/>
      </c>
      <c r="E7859" s="534"/>
      <c r="F7859" s="534"/>
    </row>
    <row r="7860" spans="1:6" ht="15" customHeight="1">
      <c r="A7860" s="51"/>
      <c r="B7860" s="52" t="str">
        <f t="shared" si="399"/>
        <v/>
      </c>
      <c r="C7860" t="str">
        <f t="shared" si="398"/>
        <v/>
      </c>
      <c r="D7860" s="245" t="str">
        <f t="shared" si="400"/>
        <v/>
      </c>
      <c r="E7860" s="534"/>
      <c r="F7860" s="534"/>
    </row>
    <row r="7861" spans="1:6" ht="15" customHeight="1">
      <c r="A7861" s="51"/>
      <c r="B7861" s="52" t="str">
        <f t="shared" si="399"/>
        <v/>
      </c>
      <c r="C7861" t="str">
        <f t="shared" si="398"/>
        <v/>
      </c>
      <c r="D7861" s="245" t="str">
        <f t="shared" si="400"/>
        <v/>
      </c>
      <c r="E7861" s="534"/>
      <c r="F7861" s="534"/>
    </row>
    <row r="7862" spans="1:6" ht="15" customHeight="1">
      <c r="A7862" s="51"/>
      <c r="B7862" s="52" t="str">
        <f t="shared" si="399"/>
        <v/>
      </c>
      <c r="C7862" t="str">
        <f t="shared" si="398"/>
        <v/>
      </c>
      <c r="D7862" s="245" t="str">
        <f t="shared" si="400"/>
        <v/>
      </c>
      <c r="E7862" s="534"/>
      <c r="F7862" s="534"/>
    </row>
    <row r="7863" spans="1:6" ht="15" customHeight="1">
      <c r="A7863" s="51"/>
      <c r="B7863" s="52" t="str">
        <f t="shared" si="399"/>
        <v/>
      </c>
      <c r="C7863" t="str">
        <f t="shared" si="398"/>
        <v/>
      </c>
      <c r="D7863" s="245" t="str">
        <f t="shared" si="400"/>
        <v/>
      </c>
      <c r="E7863" s="534"/>
      <c r="F7863" s="534"/>
    </row>
    <row r="7864" spans="1:6" ht="15" customHeight="1">
      <c r="A7864" s="51"/>
      <c r="B7864" s="52" t="str">
        <f t="shared" si="399"/>
        <v/>
      </c>
      <c r="C7864" t="str">
        <f t="shared" si="398"/>
        <v/>
      </c>
      <c r="D7864" s="245" t="str">
        <f t="shared" si="400"/>
        <v/>
      </c>
      <c r="E7864" s="534"/>
      <c r="F7864" s="534"/>
    </row>
    <row r="7865" spans="1:6" ht="15" customHeight="1">
      <c r="A7865" s="51"/>
      <c r="B7865" s="52" t="str">
        <f t="shared" si="399"/>
        <v/>
      </c>
      <c r="C7865" t="str">
        <f t="shared" si="398"/>
        <v/>
      </c>
      <c r="D7865" s="245" t="str">
        <f t="shared" si="400"/>
        <v/>
      </c>
      <c r="E7865" s="534"/>
      <c r="F7865" s="534"/>
    </row>
    <row r="7866" spans="1:6" ht="15" customHeight="1">
      <c r="A7866" s="51"/>
      <c r="B7866" s="52" t="str">
        <f t="shared" si="399"/>
        <v/>
      </c>
      <c r="C7866" t="str">
        <f t="shared" si="398"/>
        <v/>
      </c>
      <c r="D7866" s="245" t="str">
        <f t="shared" si="400"/>
        <v/>
      </c>
      <c r="E7866" s="534"/>
      <c r="F7866" s="534"/>
    </row>
    <row r="7867" spans="1:6" ht="15" customHeight="1">
      <c r="A7867" s="51"/>
      <c r="B7867" s="52" t="str">
        <f t="shared" si="399"/>
        <v/>
      </c>
      <c r="C7867" t="str">
        <f t="shared" si="398"/>
        <v/>
      </c>
      <c r="D7867" s="245" t="str">
        <f t="shared" si="400"/>
        <v/>
      </c>
      <c r="E7867" s="534"/>
      <c r="F7867" s="534"/>
    </row>
    <row r="7868" spans="1:6" ht="15" customHeight="1">
      <c r="A7868" s="51"/>
      <c r="B7868" s="52" t="str">
        <f t="shared" si="399"/>
        <v/>
      </c>
      <c r="C7868" t="str">
        <f t="shared" si="398"/>
        <v/>
      </c>
      <c r="D7868" s="245" t="str">
        <f t="shared" si="400"/>
        <v/>
      </c>
      <c r="E7868" s="534"/>
      <c r="F7868" s="534"/>
    </row>
    <row r="7869" spans="1:6" ht="15" customHeight="1">
      <c r="A7869" s="51"/>
      <c r="B7869" s="52" t="str">
        <f t="shared" si="399"/>
        <v/>
      </c>
      <c r="C7869" t="str">
        <f t="shared" si="398"/>
        <v/>
      </c>
      <c r="D7869" s="245" t="str">
        <f t="shared" si="400"/>
        <v/>
      </c>
      <c r="E7869" s="534"/>
      <c r="F7869" s="534"/>
    </row>
    <row r="7870" spans="1:6" ht="15" customHeight="1">
      <c r="A7870" s="51"/>
      <c r="B7870" s="52" t="str">
        <f t="shared" si="399"/>
        <v/>
      </c>
      <c r="C7870" t="str">
        <f t="shared" si="398"/>
        <v/>
      </c>
      <c r="D7870" s="245" t="str">
        <f t="shared" si="400"/>
        <v/>
      </c>
      <c r="E7870" s="534"/>
      <c r="F7870" s="534"/>
    </row>
    <row r="7871" spans="1:6" ht="15" customHeight="1">
      <c r="A7871" s="51"/>
      <c r="B7871" s="52" t="str">
        <f t="shared" si="399"/>
        <v/>
      </c>
      <c r="C7871" t="str">
        <f t="shared" si="398"/>
        <v/>
      </c>
      <c r="D7871" s="245" t="str">
        <f t="shared" si="400"/>
        <v/>
      </c>
      <c r="E7871" s="534"/>
      <c r="F7871" s="534"/>
    </row>
    <row r="7872" spans="1:6" ht="15" customHeight="1">
      <c r="A7872" s="51"/>
      <c r="B7872" s="52" t="str">
        <f t="shared" si="399"/>
        <v/>
      </c>
      <c r="C7872" t="str">
        <f t="shared" si="398"/>
        <v/>
      </c>
      <c r="D7872" s="245" t="str">
        <f t="shared" si="400"/>
        <v/>
      </c>
      <c r="E7872" s="534"/>
      <c r="F7872" s="534"/>
    </row>
    <row r="7873" spans="1:6" ht="15" customHeight="1">
      <c r="A7873" s="51"/>
      <c r="B7873" s="52" t="str">
        <f t="shared" si="399"/>
        <v/>
      </c>
      <c r="C7873" t="str">
        <f t="shared" si="398"/>
        <v/>
      </c>
      <c r="D7873" s="245" t="str">
        <f t="shared" si="400"/>
        <v/>
      </c>
      <c r="E7873" s="534"/>
      <c r="F7873" s="534"/>
    </row>
    <row r="7874" spans="1:6" ht="15" customHeight="1">
      <c r="A7874" s="51"/>
      <c r="B7874" s="52" t="str">
        <f t="shared" si="399"/>
        <v/>
      </c>
      <c r="C7874" t="str">
        <f t="shared" ref="C7874:C7937" si="401">IF(A7874&lt;&gt;"",TEXT(A7874,"aaaa"),"")</f>
        <v/>
      </c>
      <c r="D7874" s="245" t="str">
        <f t="shared" si="400"/>
        <v/>
      </c>
      <c r="E7874" s="534"/>
      <c r="F7874" s="534"/>
    </row>
    <row r="7875" spans="1:6" ht="15" customHeight="1">
      <c r="A7875" s="51"/>
      <c r="B7875" s="52" t="str">
        <f t="shared" si="399"/>
        <v/>
      </c>
      <c r="C7875" t="str">
        <f t="shared" si="401"/>
        <v/>
      </c>
      <c r="D7875" s="245" t="str">
        <f t="shared" si="400"/>
        <v/>
      </c>
      <c r="E7875" s="534"/>
      <c r="F7875" s="534"/>
    </row>
    <row r="7876" spans="1:6" ht="15" customHeight="1">
      <c r="A7876" s="51"/>
      <c r="B7876" s="52" t="str">
        <f t="shared" si="399"/>
        <v/>
      </c>
      <c r="C7876" t="str">
        <f t="shared" si="401"/>
        <v/>
      </c>
      <c r="D7876" s="245" t="str">
        <f t="shared" si="400"/>
        <v/>
      </c>
      <c r="E7876" s="534"/>
      <c r="F7876" s="534"/>
    </row>
    <row r="7877" spans="1:6" ht="15" customHeight="1">
      <c r="A7877" s="51"/>
      <c r="B7877" s="52" t="str">
        <f t="shared" si="399"/>
        <v/>
      </c>
      <c r="C7877" t="str">
        <f t="shared" si="401"/>
        <v/>
      </c>
      <c r="D7877" s="245" t="str">
        <f t="shared" si="400"/>
        <v/>
      </c>
      <c r="E7877" s="534"/>
      <c r="F7877" s="534"/>
    </row>
    <row r="7878" spans="1:6" ht="15" customHeight="1">
      <c r="A7878" s="51"/>
      <c r="B7878" s="52" t="str">
        <f t="shared" si="399"/>
        <v/>
      </c>
      <c r="C7878" t="str">
        <f t="shared" si="401"/>
        <v/>
      </c>
      <c r="D7878" s="245" t="str">
        <f t="shared" si="400"/>
        <v/>
      </c>
      <c r="E7878" s="534"/>
      <c r="F7878" s="534"/>
    </row>
    <row r="7879" spans="1:6" ht="15" customHeight="1">
      <c r="A7879" s="51"/>
      <c r="B7879" s="52" t="str">
        <f t="shared" si="399"/>
        <v/>
      </c>
      <c r="C7879" t="str">
        <f t="shared" si="401"/>
        <v/>
      </c>
      <c r="D7879" s="245" t="str">
        <f t="shared" si="400"/>
        <v/>
      </c>
      <c r="E7879" s="534"/>
      <c r="F7879" s="534"/>
    </row>
    <row r="7880" spans="1:6" ht="15" customHeight="1">
      <c r="A7880" s="51"/>
      <c r="B7880" s="52" t="str">
        <f t="shared" ref="B7880:B7943" si="402">IF(A7880="","",TEXT(A7880,"DDDD"))</f>
        <v/>
      </c>
      <c r="C7880" t="str">
        <f t="shared" si="401"/>
        <v/>
      </c>
      <c r="D7880" s="245" t="str">
        <f t="shared" si="400"/>
        <v/>
      </c>
      <c r="E7880" s="534"/>
      <c r="F7880" s="534"/>
    </row>
    <row r="7881" spans="1:6" ht="15" customHeight="1">
      <c r="A7881" s="51"/>
      <c r="B7881" s="52" t="str">
        <f t="shared" si="402"/>
        <v/>
      </c>
      <c r="C7881" t="str">
        <f t="shared" si="401"/>
        <v/>
      </c>
      <c r="D7881" s="245" t="str">
        <f t="shared" ref="D7881:D7944" si="403">IF(A7881&lt;&gt;"",PROPER(TEXT(A7881,"Mmmm")),"")</f>
        <v/>
      </c>
      <c r="E7881" s="534"/>
      <c r="F7881" s="534"/>
    </row>
    <row r="7882" spans="1:6" ht="15" customHeight="1">
      <c r="A7882" s="51"/>
      <c r="B7882" s="52" t="str">
        <f t="shared" si="402"/>
        <v/>
      </c>
      <c r="C7882" t="str">
        <f t="shared" si="401"/>
        <v/>
      </c>
      <c r="D7882" s="245" t="str">
        <f t="shared" si="403"/>
        <v/>
      </c>
      <c r="E7882" s="534"/>
      <c r="F7882" s="534"/>
    </row>
    <row r="7883" spans="1:6" ht="15" customHeight="1">
      <c r="A7883" s="51"/>
      <c r="B7883" s="52" t="str">
        <f t="shared" si="402"/>
        <v/>
      </c>
      <c r="C7883" t="str">
        <f t="shared" si="401"/>
        <v/>
      </c>
      <c r="D7883" s="245" t="str">
        <f t="shared" si="403"/>
        <v/>
      </c>
      <c r="E7883" s="534"/>
      <c r="F7883" s="534"/>
    </row>
    <row r="7884" spans="1:6" ht="15" customHeight="1">
      <c r="A7884" s="51"/>
      <c r="B7884" s="52" t="str">
        <f t="shared" si="402"/>
        <v/>
      </c>
      <c r="C7884" t="str">
        <f t="shared" si="401"/>
        <v/>
      </c>
      <c r="D7884" s="245" t="str">
        <f t="shared" si="403"/>
        <v/>
      </c>
      <c r="E7884" s="534"/>
      <c r="F7884" s="534"/>
    </row>
    <row r="7885" spans="1:6" ht="15" customHeight="1">
      <c r="A7885" s="51"/>
      <c r="B7885" s="52" t="str">
        <f t="shared" si="402"/>
        <v/>
      </c>
      <c r="C7885" t="str">
        <f t="shared" si="401"/>
        <v/>
      </c>
      <c r="D7885" s="245" t="str">
        <f t="shared" si="403"/>
        <v/>
      </c>
      <c r="E7885" s="534"/>
      <c r="F7885" s="534"/>
    </row>
    <row r="7886" spans="1:6" ht="15" customHeight="1">
      <c r="A7886" s="51"/>
      <c r="B7886" s="52" t="str">
        <f t="shared" si="402"/>
        <v/>
      </c>
      <c r="C7886" t="str">
        <f t="shared" si="401"/>
        <v/>
      </c>
      <c r="D7886" s="245" t="str">
        <f t="shared" si="403"/>
        <v/>
      </c>
      <c r="E7886" s="534"/>
      <c r="F7886" s="534"/>
    </row>
    <row r="7887" spans="1:6" ht="15" customHeight="1">
      <c r="A7887" s="51"/>
      <c r="B7887" s="52" t="str">
        <f t="shared" si="402"/>
        <v/>
      </c>
      <c r="C7887" t="str">
        <f t="shared" si="401"/>
        <v/>
      </c>
      <c r="D7887" s="245" t="str">
        <f t="shared" si="403"/>
        <v/>
      </c>
      <c r="E7887" s="534"/>
      <c r="F7887" s="534"/>
    </row>
    <row r="7888" spans="1:6" ht="15" customHeight="1">
      <c r="A7888" s="51"/>
      <c r="B7888" s="52" t="str">
        <f t="shared" si="402"/>
        <v/>
      </c>
      <c r="C7888" t="str">
        <f t="shared" si="401"/>
        <v/>
      </c>
      <c r="D7888" s="245" t="str">
        <f t="shared" si="403"/>
        <v/>
      </c>
      <c r="E7888" s="534"/>
      <c r="F7888" s="534"/>
    </row>
    <row r="7889" spans="1:6" ht="15" customHeight="1">
      <c r="A7889" s="51"/>
      <c r="B7889" s="52" t="str">
        <f t="shared" si="402"/>
        <v/>
      </c>
      <c r="C7889" t="str">
        <f t="shared" si="401"/>
        <v/>
      </c>
      <c r="D7889" s="245" t="str">
        <f t="shared" si="403"/>
        <v/>
      </c>
      <c r="E7889" s="534"/>
      <c r="F7889" s="534"/>
    </row>
    <row r="7890" spans="1:6" ht="15" customHeight="1">
      <c r="A7890" s="51"/>
      <c r="B7890" s="52" t="str">
        <f t="shared" si="402"/>
        <v/>
      </c>
      <c r="C7890" t="str">
        <f t="shared" si="401"/>
        <v/>
      </c>
      <c r="D7890" s="245" t="str">
        <f t="shared" si="403"/>
        <v/>
      </c>
      <c r="E7890" s="534"/>
      <c r="F7890" s="534"/>
    </row>
    <row r="7891" spans="1:6" ht="15" customHeight="1">
      <c r="A7891" s="51"/>
      <c r="B7891" s="52" t="str">
        <f t="shared" si="402"/>
        <v/>
      </c>
      <c r="C7891" t="str">
        <f t="shared" si="401"/>
        <v/>
      </c>
      <c r="D7891" s="245" t="str">
        <f t="shared" si="403"/>
        <v/>
      </c>
      <c r="E7891" s="534"/>
      <c r="F7891" s="534"/>
    </row>
    <row r="7892" spans="1:6" ht="15" customHeight="1">
      <c r="A7892" s="51"/>
      <c r="B7892" s="52" t="str">
        <f t="shared" si="402"/>
        <v/>
      </c>
      <c r="C7892" t="str">
        <f t="shared" si="401"/>
        <v/>
      </c>
      <c r="D7892" s="245" t="str">
        <f t="shared" si="403"/>
        <v/>
      </c>
      <c r="E7892" s="534"/>
      <c r="F7892" s="534"/>
    </row>
    <row r="7893" spans="1:6" ht="15" customHeight="1">
      <c r="A7893" s="51"/>
      <c r="B7893" s="52" t="str">
        <f t="shared" si="402"/>
        <v/>
      </c>
      <c r="C7893" t="str">
        <f t="shared" si="401"/>
        <v/>
      </c>
      <c r="D7893" s="245" t="str">
        <f t="shared" si="403"/>
        <v/>
      </c>
      <c r="E7893" s="534"/>
      <c r="F7893" s="534"/>
    </row>
    <row r="7894" spans="1:6" ht="15" customHeight="1">
      <c r="A7894" s="51"/>
      <c r="B7894" s="52" t="str">
        <f t="shared" si="402"/>
        <v/>
      </c>
      <c r="C7894" t="str">
        <f t="shared" si="401"/>
        <v/>
      </c>
      <c r="D7894" s="245" t="str">
        <f t="shared" si="403"/>
        <v/>
      </c>
      <c r="E7894" s="534"/>
      <c r="F7894" s="534"/>
    </row>
    <row r="7895" spans="1:6" ht="15" customHeight="1">
      <c r="A7895" s="51"/>
      <c r="B7895" s="52" t="str">
        <f t="shared" si="402"/>
        <v/>
      </c>
      <c r="C7895" t="str">
        <f t="shared" si="401"/>
        <v/>
      </c>
      <c r="D7895" s="245" t="str">
        <f t="shared" si="403"/>
        <v/>
      </c>
      <c r="E7895" s="534"/>
      <c r="F7895" s="534"/>
    </row>
    <row r="7896" spans="1:6" ht="15" customHeight="1">
      <c r="A7896" s="51"/>
      <c r="B7896" s="52" t="str">
        <f t="shared" si="402"/>
        <v/>
      </c>
      <c r="C7896" t="str">
        <f t="shared" si="401"/>
        <v/>
      </c>
      <c r="D7896" s="245" t="str">
        <f t="shared" si="403"/>
        <v/>
      </c>
      <c r="E7896" s="534"/>
      <c r="F7896" s="534"/>
    </row>
    <row r="7897" spans="1:6" ht="15" customHeight="1">
      <c r="A7897" s="51"/>
      <c r="B7897" s="52" t="str">
        <f t="shared" si="402"/>
        <v/>
      </c>
      <c r="C7897" t="str">
        <f t="shared" si="401"/>
        <v/>
      </c>
      <c r="D7897" s="245" t="str">
        <f t="shared" si="403"/>
        <v/>
      </c>
      <c r="E7897" s="534"/>
      <c r="F7897" s="534"/>
    </row>
    <row r="7898" spans="1:6" ht="15" customHeight="1">
      <c r="A7898" s="51"/>
      <c r="B7898" s="52" t="str">
        <f t="shared" si="402"/>
        <v/>
      </c>
      <c r="C7898" t="str">
        <f t="shared" si="401"/>
        <v/>
      </c>
      <c r="D7898" s="245" t="str">
        <f t="shared" si="403"/>
        <v/>
      </c>
      <c r="E7898" s="534"/>
      <c r="F7898" s="534"/>
    </row>
    <row r="7899" spans="1:6" ht="15" customHeight="1">
      <c r="A7899" s="51"/>
      <c r="B7899" s="52" t="str">
        <f t="shared" si="402"/>
        <v/>
      </c>
      <c r="C7899" t="str">
        <f t="shared" si="401"/>
        <v/>
      </c>
      <c r="D7899" s="245" t="str">
        <f t="shared" si="403"/>
        <v/>
      </c>
      <c r="E7899" s="534"/>
      <c r="F7899" s="534"/>
    </row>
    <row r="7900" spans="1:6" ht="15" customHeight="1">
      <c r="A7900" s="51"/>
      <c r="B7900" s="52" t="str">
        <f t="shared" si="402"/>
        <v/>
      </c>
      <c r="C7900" t="str">
        <f t="shared" si="401"/>
        <v/>
      </c>
      <c r="D7900" s="245" t="str">
        <f t="shared" si="403"/>
        <v/>
      </c>
      <c r="E7900" s="534"/>
      <c r="F7900" s="534"/>
    </row>
    <row r="7901" spans="1:6" ht="15" customHeight="1">
      <c r="A7901" s="51"/>
      <c r="B7901" s="52" t="str">
        <f t="shared" si="402"/>
        <v/>
      </c>
      <c r="C7901" t="str">
        <f t="shared" si="401"/>
        <v/>
      </c>
      <c r="D7901" s="245" t="str">
        <f t="shared" si="403"/>
        <v/>
      </c>
      <c r="E7901" s="534"/>
      <c r="F7901" s="534"/>
    </row>
    <row r="7902" spans="1:6" ht="15" customHeight="1">
      <c r="A7902" s="51"/>
      <c r="B7902" s="52" t="str">
        <f t="shared" si="402"/>
        <v/>
      </c>
      <c r="C7902" t="str">
        <f t="shared" si="401"/>
        <v/>
      </c>
      <c r="D7902" s="245" t="str">
        <f t="shared" si="403"/>
        <v/>
      </c>
      <c r="E7902" s="534"/>
      <c r="F7902" s="534"/>
    </row>
    <row r="7903" spans="1:6" ht="15" customHeight="1">
      <c r="A7903" s="51"/>
      <c r="B7903" s="52" t="str">
        <f t="shared" si="402"/>
        <v/>
      </c>
      <c r="C7903" t="str">
        <f t="shared" si="401"/>
        <v/>
      </c>
      <c r="D7903" s="245" t="str">
        <f t="shared" si="403"/>
        <v/>
      </c>
      <c r="E7903" s="534"/>
      <c r="F7903" s="534"/>
    </row>
    <row r="7904" spans="1:6" ht="15" customHeight="1">
      <c r="A7904" s="51"/>
      <c r="B7904" s="52" t="str">
        <f t="shared" si="402"/>
        <v/>
      </c>
      <c r="C7904" t="str">
        <f t="shared" si="401"/>
        <v/>
      </c>
      <c r="D7904" s="245" t="str">
        <f t="shared" si="403"/>
        <v/>
      </c>
      <c r="E7904" s="534"/>
      <c r="F7904" s="534"/>
    </row>
    <row r="7905" spans="1:6" ht="15" customHeight="1">
      <c r="A7905" s="51"/>
      <c r="B7905" s="52" t="str">
        <f t="shared" si="402"/>
        <v/>
      </c>
      <c r="C7905" t="str">
        <f t="shared" si="401"/>
        <v/>
      </c>
      <c r="D7905" s="245" t="str">
        <f t="shared" si="403"/>
        <v/>
      </c>
      <c r="E7905" s="534"/>
      <c r="F7905" s="534"/>
    </row>
    <row r="7906" spans="1:6" ht="15" customHeight="1">
      <c r="A7906" s="51"/>
      <c r="B7906" s="52" t="str">
        <f t="shared" si="402"/>
        <v/>
      </c>
      <c r="C7906" t="str">
        <f t="shared" si="401"/>
        <v/>
      </c>
      <c r="D7906" s="245" t="str">
        <f t="shared" si="403"/>
        <v/>
      </c>
      <c r="E7906" s="534"/>
      <c r="F7906" s="534"/>
    </row>
    <row r="7907" spans="1:6" ht="15" customHeight="1">
      <c r="A7907" s="51"/>
      <c r="B7907" s="52" t="str">
        <f t="shared" si="402"/>
        <v/>
      </c>
      <c r="C7907" t="str">
        <f t="shared" si="401"/>
        <v/>
      </c>
      <c r="D7907" s="245" t="str">
        <f t="shared" si="403"/>
        <v/>
      </c>
      <c r="E7907" s="534"/>
      <c r="F7907" s="534"/>
    </row>
    <row r="7908" spans="1:6" ht="15" customHeight="1">
      <c r="A7908" s="51"/>
      <c r="B7908" s="52" t="str">
        <f t="shared" si="402"/>
        <v/>
      </c>
      <c r="C7908" t="str">
        <f t="shared" si="401"/>
        <v/>
      </c>
      <c r="D7908" s="245" t="str">
        <f t="shared" si="403"/>
        <v/>
      </c>
      <c r="E7908" s="534"/>
      <c r="F7908" s="534"/>
    </row>
    <row r="7909" spans="1:6" ht="15" customHeight="1">
      <c r="A7909" s="51"/>
      <c r="B7909" s="52" t="str">
        <f t="shared" si="402"/>
        <v/>
      </c>
      <c r="C7909" t="str">
        <f t="shared" si="401"/>
        <v/>
      </c>
      <c r="D7909" s="245" t="str">
        <f t="shared" si="403"/>
        <v/>
      </c>
      <c r="E7909" s="534"/>
      <c r="F7909" s="534"/>
    </row>
    <row r="7910" spans="1:6" ht="15" customHeight="1">
      <c r="A7910" s="51"/>
      <c r="B7910" s="52" t="str">
        <f t="shared" si="402"/>
        <v/>
      </c>
      <c r="C7910" t="str">
        <f t="shared" si="401"/>
        <v/>
      </c>
      <c r="D7910" s="245" t="str">
        <f t="shared" si="403"/>
        <v/>
      </c>
      <c r="E7910" s="534"/>
      <c r="F7910" s="534"/>
    </row>
    <row r="7911" spans="1:6" ht="15" customHeight="1">
      <c r="A7911" s="51"/>
      <c r="B7911" s="52" t="str">
        <f t="shared" si="402"/>
        <v/>
      </c>
      <c r="C7911" t="str">
        <f t="shared" si="401"/>
        <v/>
      </c>
      <c r="D7911" s="245" t="str">
        <f t="shared" si="403"/>
        <v/>
      </c>
      <c r="E7911" s="534"/>
      <c r="F7911" s="534"/>
    </row>
    <row r="7912" spans="1:6" ht="15" customHeight="1">
      <c r="A7912" s="51"/>
      <c r="B7912" s="52" t="str">
        <f t="shared" si="402"/>
        <v/>
      </c>
      <c r="C7912" t="str">
        <f t="shared" si="401"/>
        <v/>
      </c>
      <c r="D7912" s="245" t="str">
        <f t="shared" si="403"/>
        <v/>
      </c>
      <c r="E7912" s="534"/>
      <c r="F7912" s="534"/>
    </row>
    <row r="7913" spans="1:6" ht="15" customHeight="1">
      <c r="A7913" s="51"/>
      <c r="B7913" s="52" t="str">
        <f t="shared" si="402"/>
        <v/>
      </c>
      <c r="C7913" t="str">
        <f t="shared" si="401"/>
        <v/>
      </c>
      <c r="D7913" s="245" t="str">
        <f t="shared" si="403"/>
        <v/>
      </c>
      <c r="E7913" s="534"/>
      <c r="F7913" s="534"/>
    </row>
    <row r="7914" spans="1:6" ht="15" customHeight="1">
      <c r="A7914" s="51"/>
      <c r="B7914" s="52" t="str">
        <f t="shared" si="402"/>
        <v/>
      </c>
      <c r="C7914" t="str">
        <f t="shared" si="401"/>
        <v/>
      </c>
      <c r="D7914" s="245" t="str">
        <f t="shared" si="403"/>
        <v/>
      </c>
      <c r="E7914" s="534"/>
      <c r="F7914" s="534"/>
    </row>
    <row r="7915" spans="1:6" ht="15" customHeight="1">
      <c r="A7915" s="51"/>
      <c r="B7915" s="52" t="str">
        <f t="shared" si="402"/>
        <v/>
      </c>
      <c r="C7915" t="str">
        <f t="shared" si="401"/>
        <v/>
      </c>
      <c r="D7915" s="245" t="str">
        <f t="shared" si="403"/>
        <v/>
      </c>
      <c r="E7915" s="534"/>
      <c r="F7915" s="534"/>
    </row>
    <row r="7916" spans="1:6" ht="15" customHeight="1">
      <c r="A7916" s="51"/>
      <c r="B7916" s="52" t="str">
        <f t="shared" si="402"/>
        <v/>
      </c>
      <c r="C7916" t="str">
        <f t="shared" si="401"/>
        <v/>
      </c>
      <c r="D7916" s="245" t="str">
        <f t="shared" si="403"/>
        <v/>
      </c>
      <c r="E7916" s="534"/>
      <c r="F7916" s="534"/>
    </row>
    <row r="7917" spans="1:6" ht="15" customHeight="1">
      <c r="A7917" s="51"/>
      <c r="B7917" s="52" t="str">
        <f t="shared" si="402"/>
        <v/>
      </c>
      <c r="C7917" t="str">
        <f t="shared" si="401"/>
        <v/>
      </c>
      <c r="D7917" s="245" t="str">
        <f t="shared" si="403"/>
        <v/>
      </c>
      <c r="E7917" s="534"/>
      <c r="F7917" s="534"/>
    </row>
    <row r="7918" spans="1:6" ht="15" customHeight="1">
      <c r="A7918" s="51"/>
      <c r="B7918" s="52" t="str">
        <f t="shared" si="402"/>
        <v/>
      </c>
      <c r="C7918" t="str">
        <f t="shared" si="401"/>
        <v/>
      </c>
      <c r="D7918" s="245" t="str">
        <f t="shared" si="403"/>
        <v/>
      </c>
      <c r="E7918" s="534"/>
      <c r="F7918" s="534"/>
    </row>
    <row r="7919" spans="1:6" ht="15" customHeight="1">
      <c r="A7919" s="51"/>
      <c r="B7919" s="52" t="str">
        <f t="shared" si="402"/>
        <v/>
      </c>
      <c r="C7919" t="str">
        <f t="shared" si="401"/>
        <v/>
      </c>
      <c r="D7919" s="245" t="str">
        <f t="shared" si="403"/>
        <v/>
      </c>
      <c r="E7919" s="534"/>
      <c r="F7919" s="534"/>
    </row>
    <row r="7920" spans="1:6" ht="15" customHeight="1">
      <c r="A7920" s="51"/>
      <c r="B7920" s="52" t="str">
        <f t="shared" si="402"/>
        <v/>
      </c>
      <c r="C7920" t="str">
        <f t="shared" si="401"/>
        <v/>
      </c>
      <c r="D7920" s="245" t="str">
        <f t="shared" si="403"/>
        <v/>
      </c>
      <c r="E7920" s="534"/>
      <c r="F7920" s="534"/>
    </row>
    <row r="7921" spans="1:6" ht="15" customHeight="1">
      <c r="A7921" s="51"/>
      <c r="B7921" s="52" t="str">
        <f t="shared" si="402"/>
        <v/>
      </c>
      <c r="C7921" t="str">
        <f t="shared" si="401"/>
        <v/>
      </c>
      <c r="D7921" s="245" t="str">
        <f t="shared" si="403"/>
        <v/>
      </c>
      <c r="E7921" s="534"/>
      <c r="F7921" s="534"/>
    </row>
    <row r="7922" spans="1:6" ht="15" customHeight="1">
      <c r="A7922" s="51"/>
      <c r="B7922" s="52" t="str">
        <f t="shared" si="402"/>
        <v/>
      </c>
      <c r="C7922" t="str">
        <f t="shared" si="401"/>
        <v/>
      </c>
      <c r="D7922" s="245" t="str">
        <f t="shared" si="403"/>
        <v/>
      </c>
      <c r="E7922" s="534"/>
      <c r="F7922" s="534"/>
    </row>
    <row r="7923" spans="1:6" ht="15" customHeight="1">
      <c r="A7923" s="51"/>
      <c r="B7923" s="52" t="str">
        <f t="shared" si="402"/>
        <v/>
      </c>
      <c r="C7923" t="str">
        <f t="shared" si="401"/>
        <v/>
      </c>
      <c r="D7923" s="245" t="str">
        <f t="shared" si="403"/>
        <v/>
      </c>
      <c r="E7923" s="534"/>
      <c r="F7923" s="534"/>
    </row>
    <row r="7924" spans="1:6" ht="15" customHeight="1">
      <c r="A7924" s="51"/>
      <c r="B7924" s="52" t="str">
        <f t="shared" si="402"/>
        <v/>
      </c>
      <c r="C7924" t="str">
        <f t="shared" si="401"/>
        <v/>
      </c>
      <c r="D7924" s="245" t="str">
        <f t="shared" si="403"/>
        <v/>
      </c>
      <c r="E7924" s="534"/>
      <c r="F7924" s="534"/>
    </row>
    <row r="7925" spans="1:6" ht="15" customHeight="1">
      <c r="A7925" s="51"/>
      <c r="B7925" s="52" t="str">
        <f t="shared" si="402"/>
        <v/>
      </c>
      <c r="C7925" t="str">
        <f t="shared" si="401"/>
        <v/>
      </c>
      <c r="D7925" s="245" t="str">
        <f t="shared" si="403"/>
        <v/>
      </c>
      <c r="E7925" s="534"/>
      <c r="F7925" s="534"/>
    </row>
    <row r="7926" spans="1:6" ht="15" customHeight="1">
      <c r="A7926" s="51"/>
      <c r="B7926" s="52" t="str">
        <f t="shared" si="402"/>
        <v/>
      </c>
      <c r="C7926" t="str">
        <f t="shared" si="401"/>
        <v/>
      </c>
      <c r="D7926" s="245" t="str">
        <f t="shared" si="403"/>
        <v/>
      </c>
      <c r="E7926" s="534"/>
      <c r="F7926" s="534"/>
    </row>
    <row r="7927" spans="1:6" ht="15" customHeight="1">
      <c r="A7927" s="51"/>
      <c r="B7927" s="52" t="str">
        <f t="shared" si="402"/>
        <v/>
      </c>
      <c r="C7927" t="str">
        <f t="shared" si="401"/>
        <v/>
      </c>
      <c r="D7927" s="245" t="str">
        <f t="shared" si="403"/>
        <v/>
      </c>
      <c r="E7927" s="534"/>
      <c r="F7927" s="534"/>
    </row>
    <row r="7928" spans="1:6" ht="15" customHeight="1">
      <c r="A7928" s="51"/>
      <c r="B7928" s="52" t="str">
        <f t="shared" si="402"/>
        <v/>
      </c>
      <c r="C7928" t="str">
        <f t="shared" si="401"/>
        <v/>
      </c>
      <c r="D7928" s="245" t="str">
        <f t="shared" si="403"/>
        <v/>
      </c>
      <c r="E7928" s="534"/>
      <c r="F7928" s="534"/>
    </row>
    <row r="7929" spans="1:6" ht="15" customHeight="1">
      <c r="A7929" s="51"/>
      <c r="B7929" s="52" t="str">
        <f t="shared" si="402"/>
        <v/>
      </c>
      <c r="C7929" t="str">
        <f t="shared" si="401"/>
        <v/>
      </c>
      <c r="D7929" s="245" t="str">
        <f t="shared" si="403"/>
        <v/>
      </c>
      <c r="E7929" s="534"/>
      <c r="F7929" s="534"/>
    </row>
    <row r="7930" spans="1:6" ht="15" customHeight="1">
      <c r="A7930" s="51"/>
      <c r="B7930" s="52" t="str">
        <f t="shared" si="402"/>
        <v/>
      </c>
      <c r="C7930" t="str">
        <f t="shared" si="401"/>
        <v/>
      </c>
      <c r="D7930" s="245" t="str">
        <f t="shared" si="403"/>
        <v/>
      </c>
      <c r="E7930" s="534"/>
      <c r="F7930" s="534"/>
    </row>
    <row r="7931" spans="1:6" ht="15" customHeight="1">
      <c r="A7931" s="51"/>
      <c r="B7931" s="52" t="str">
        <f t="shared" si="402"/>
        <v/>
      </c>
      <c r="C7931" t="str">
        <f t="shared" si="401"/>
        <v/>
      </c>
      <c r="D7931" s="245" t="str">
        <f t="shared" si="403"/>
        <v/>
      </c>
      <c r="E7931" s="534"/>
      <c r="F7931" s="534"/>
    </row>
    <row r="7932" spans="1:6" ht="15" customHeight="1">
      <c r="A7932" s="51"/>
      <c r="B7932" s="52" t="str">
        <f t="shared" si="402"/>
        <v/>
      </c>
      <c r="C7932" t="str">
        <f t="shared" si="401"/>
        <v/>
      </c>
      <c r="D7932" s="245" t="str">
        <f t="shared" si="403"/>
        <v/>
      </c>
      <c r="E7932" s="534"/>
      <c r="F7932" s="534"/>
    </row>
    <row r="7933" spans="1:6" ht="15" customHeight="1">
      <c r="A7933" s="51"/>
      <c r="B7933" s="52" t="str">
        <f t="shared" si="402"/>
        <v/>
      </c>
      <c r="C7933" t="str">
        <f t="shared" si="401"/>
        <v/>
      </c>
      <c r="D7933" s="245" t="str">
        <f t="shared" si="403"/>
        <v/>
      </c>
      <c r="E7933" s="534"/>
      <c r="F7933" s="534"/>
    </row>
    <row r="7934" spans="1:6" ht="15" customHeight="1">
      <c r="A7934" s="51"/>
      <c r="B7934" s="52" t="str">
        <f t="shared" si="402"/>
        <v/>
      </c>
      <c r="C7934" t="str">
        <f t="shared" si="401"/>
        <v/>
      </c>
      <c r="D7934" s="245" t="str">
        <f t="shared" si="403"/>
        <v/>
      </c>
      <c r="E7934" s="534"/>
      <c r="F7934" s="534"/>
    </row>
    <row r="7935" spans="1:6" ht="15" customHeight="1">
      <c r="A7935" s="51"/>
      <c r="B7935" s="52" t="str">
        <f t="shared" si="402"/>
        <v/>
      </c>
      <c r="C7935" t="str">
        <f t="shared" si="401"/>
        <v/>
      </c>
      <c r="D7935" s="245" t="str">
        <f t="shared" si="403"/>
        <v/>
      </c>
      <c r="E7935" s="534"/>
      <c r="F7935" s="534"/>
    </row>
    <row r="7936" spans="1:6" ht="15" customHeight="1">
      <c r="A7936" s="51"/>
      <c r="B7936" s="52" t="str">
        <f t="shared" si="402"/>
        <v/>
      </c>
      <c r="C7936" t="str">
        <f t="shared" si="401"/>
        <v/>
      </c>
      <c r="D7936" s="245" t="str">
        <f t="shared" si="403"/>
        <v/>
      </c>
      <c r="E7936" s="534"/>
      <c r="F7936" s="534"/>
    </row>
    <row r="7937" spans="1:6" ht="15" customHeight="1">
      <c r="A7937" s="51"/>
      <c r="B7937" s="52" t="str">
        <f t="shared" si="402"/>
        <v/>
      </c>
      <c r="C7937" t="str">
        <f t="shared" si="401"/>
        <v/>
      </c>
      <c r="D7937" s="245" t="str">
        <f t="shared" si="403"/>
        <v/>
      </c>
      <c r="E7937" s="534"/>
      <c r="F7937" s="534"/>
    </row>
    <row r="7938" spans="1:6" ht="15" customHeight="1">
      <c r="A7938" s="51"/>
      <c r="B7938" s="52" t="str">
        <f t="shared" si="402"/>
        <v/>
      </c>
      <c r="C7938" t="str">
        <f t="shared" ref="C7938:C8001" si="404">IF(A7938&lt;&gt;"",TEXT(A7938,"aaaa"),"")</f>
        <v/>
      </c>
      <c r="D7938" s="245" t="str">
        <f t="shared" si="403"/>
        <v/>
      </c>
      <c r="E7938" s="534"/>
      <c r="F7938" s="534"/>
    </row>
    <row r="7939" spans="1:6" ht="15" customHeight="1">
      <c r="A7939" s="51"/>
      <c r="B7939" s="52" t="str">
        <f t="shared" si="402"/>
        <v/>
      </c>
      <c r="C7939" t="str">
        <f t="shared" si="404"/>
        <v/>
      </c>
      <c r="D7939" s="245" t="str">
        <f t="shared" si="403"/>
        <v/>
      </c>
      <c r="E7939" s="534"/>
      <c r="F7939" s="534"/>
    </row>
    <row r="7940" spans="1:6" ht="15" customHeight="1">
      <c r="A7940" s="51"/>
      <c r="B7940" s="52" t="str">
        <f t="shared" si="402"/>
        <v/>
      </c>
      <c r="C7940" t="str">
        <f t="shared" si="404"/>
        <v/>
      </c>
      <c r="D7940" s="245" t="str">
        <f t="shared" si="403"/>
        <v/>
      </c>
      <c r="E7940" s="534"/>
      <c r="F7940" s="534"/>
    </row>
    <row r="7941" spans="1:6" ht="15" customHeight="1">
      <c r="A7941" s="51"/>
      <c r="B7941" s="52" t="str">
        <f t="shared" si="402"/>
        <v/>
      </c>
      <c r="C7941" t="str">
        <f t="shared" si="404"/>
        <v/>
      </c>
      <c r="D7941" s="245" t="str">
        <f t="shared" si="403"/>
        <v/>
      </c>
      <c r="E7941" s="534"/>
      <c r="F7941" s="534"/>
    </row>
    <row r="7942" spans="1:6" ht="15" customHeight="1">
      <c r="A7942" s="51"/>
      <c r="B7942" s="52" t="str">
        <f t="shared" si="402"/>
        <v/>
      </c>
      <c r="C7942" t="str">
        <f t="shared" si="404"/>
        <v/>
      </c>
      <c r="D7942" s="245" t="str">
        <f t="shared" si="403"/>
        <v/>
      </c>
      <c r="E7942" s="534"/>
      <c r="F7942" s="534"/>
    </row>
    <row r="7943" spans="1:6" ht="15" customHeight="1">
      <c r="A7943" s="51"/>
      <c r="B7943" s="52" t="str">
        <f t="shared" si="402"/>
        <v/>
      </c>
      <c r="C7943" t="str">
        <f t="shared" si="404"/>
        <v/>
      </c>
      <c r="D7943" s="245" t="str">
        <f t="shared" si="403"/>
        <v/>
      </c>
      <c r="E7943" s="534"/>
      <c r="F7943" s="534"/>
    </row>
    <row r="7944" spans="1:6" ht="15" customHeight="1">
      <c r="A7944" s="51"/>
      <c r="B7944" s="52" t="str">
        <f t="shared" ref="B7944:B8007" si="405">IF(A7944="","",TEXT(A7944,"DDDD"))</f>
        <v/>
      </c>
      <c r="C7944" t="str">
        <f t="shared" si="404"/>
        <v/>
      </c>
      <c r="D7944" s="245" t="str">
        <f t="shared" si="403"/>
        <v/>
      </c>
      <c r="E7944" s="534"/>
      <c r="F7944" s="534"/>
    </row>
    <row r="7945" spans="1:6" ht="15" customHeight="1">
      <c r="A7945" s="51"/>
      <c r="B7945" s="52" t="str">
        <f t="shared" si="405"/>
        <v/>
      </c>
      <c r="C7945" t="str">
        <f t="shared" si="404"/>
        <v/>
      </c>
      <c r="D7945" s="245" t="str">
        <f t="shared" ref="D7945:D8008" si="406">IF(A7945&lt;&gt;"",PROPER(TEXT(A7945,"Mmmm")),"")</f>
        <v/>
      </c>
      <c r="E7945" s="534"/>
      <c r="F7945" s="534"/>
    </row>
    <row r="7946" spans="1:6" ht="15" customHeight="1">
      <c r="A7946" s="51"/>
      <c r="B7946" s="52" t="str">
        <f t="shared" si="405"/>
        <v/>
      </c>
      <c r="C7946" t="str">
        <f t="shared" si="404"/>
        <v/>
      </c>
      <c r="D7946" s="245" t="str">
        <f t="shared" si="406"/>
        <v/>
      </c>
      <c r="E7946" s="534"/>
      <c r="F7946" s="534"/>
    </row>
    <row r="7947" spans="1:6" ht="15" customHeight="1">
      <c r="A7947" s="51"/>
      <c r="B7947" s="52" t="str">
        <f t="shared" si="405"/>
        <v/>
      </c>
      <c r="C7947" t="str">
        <f t="shared" si="404"/>
        <v/>
      </c>
      <c r="D7947" s="245" t="str">
        <f t="shared" si="406"/>
        <v/>
      </c>
      <c r="E7947" s="534"/>
      <c r="F7947" s="534"/>
    </row>
    <row r="7948" spans="1:6" ht="15" customHeight="1">
      <c r="A7948" s="51"/>
      <c r="B7948" s="52" t="str">
        <f t="shared" si="405"/>
        <v/>
      </c>
      <c r="C7948" t="str">
        <f t="shared" si="404"/>
        <v/>
      </c>
      <c r="D7948" s="245" t="str">
        <f t="shared" si="406"/>
        <v/>
      </c>
      <c r="E7948" s="534"/>
      <c r="F7948" s="534"/>
    </row>
    <row r="7949" spans="1:6" ht="15" customHeight="1">
      <c r="A7949" s="51"/>
      <c r="B7949" s="52" t="str">
        <f t="shared" si="405"/>
        <v/>
      </c>
      <c r="C7949" t="str">
        <f t="shared" si="404"/>
        <v/>
      </c>
      <c r="D7949" s="245" t="str">
        <f t="shared" si="406"/>
        <v/>
      </c>
      <c r="E7949" s="534"/>
      <c r="F7949" s="534"/>
    </row>
    <row r="7950" spans="1:6" ht="15" customHeight="1">
      <c r="A7950" s="51"/>
      <c r="B7950" s="52" t="str">
        <f t="shared" si="405"/>
        <v/>
      </c>
      <c r="C7950" t="str">
        <f t="shared" si="404"/>
        <v/>
      </c>
      <c r="D7950" s="245" t="str">
        <f t="shared" si="406"/>
        <v/>
      </c>
      <c r="E7950" s="534"/>
      <c r="F7950" s="534"/>
    </row>
    <row r="7951" spans="1:6" ht="15" customHeight="1">
      <c r="A7951" s="51"/>
      <c r="B7951" s="52" t="str">
        <f t="shared" si="405"/>
        <v/>
      </c>
      <c r="C7951" t="str">
        <f t="shared" si="404"/>
        <v/>
      </c>
      <c r="D7951" s="245" t="str">
        <f t="shared" si="406"/>
        <v/>
      </c>
      <c r="E7951" s="534"/>
      <c r="F7951" s="534"/>
    </row>
    <row r="7952" spans="1:6" ht="15" customHeight="1">
      <c r="A7952" s="51"/>
      <c r="B7952" s="52" t="str">
        <f t="shared" si="405"/>
        <v/>
      </c>
      <c r="C7952" t="str">
        <f t="shared" si="404"/>
        <v/>
      </c>
      <c r="D7952" s="245" t="str">
        <f t="shared" si="406"/>
        <v/>
      </c>
      <c r="E7952" s="534"/>
      <c r="F7952" s="534"/>
    </row>
    <row r="7953" spans="1:6" ht="15" customHeight="1">
      <c r="A7953" s="51"/>
      <c r="B7953" s="52" t="str">
        <f t="shared" si="405"/>
        <v/>
      </c>
      <c r="C7953" t="str">
        <f t="shared" si="404"/>
        <v/>
      </c>
      <c r="D7953" s="245" t="str">
        <f t="shared" si="406"/>
        <v/>
      </c>
      <c r="E7953" s="534"/>
      <c r="F7953" s="534"/>
    </row>
    <row r="7954" spans="1:6" ht="15" customHeight="1">
      <c r="A7954" s="51"/>
      <c r="B7954" s="52" t="str">
        <f t="shared" si="405"/>
        <v/>
      </c>
      <c r="C7954" t="str">
        <f t="shared" si="404"/>
        <v/>
      </c>
      <c r="D7954" s="245" t="str">
        <f t="shared" si="406"/>
        <v/>
      </c>
      <c r="E7954" s="534"/>
      <c r="F7954" s="534"/>
    </row>
    <row r="7955" spans="1:6" ht="15" customHeight="1">
      <c r="A7955" s="51"/>
      <c r="B7955" s="52" t="str">
        <f t="shared" si="405"/>
        <v/>
      </c>
      <c r="C7955" t="str">
        <f t="shared" si="404"/>
        <v/>
      </c>
      <c r="D7955" s="245" t="str">
        <f t="shared" si="406"/>
        <v/>
      </c>
      <c r="E7955" s="534"/>
      <c r="F7955" s="534"/>
    </row>
    <row r="7956" spans="1:6" ht="15" customHeight="1">
      <c r="A7956" s="51"/>
      <c r="B7956" s="52" t="str">
        <f t="shared" si="405"/>
        <v/>
      </c>
      <c r="C7956" t="str">
        <f t="shared" si="404"/>
        <v/>
      </c>
      <c r="D7956" s="245" t="str">
        <f t="shared" si="406"/>
        <v/>
      </c>
      <c r="E7956" s="534"/>
      <c r="F7956" s="534"/>
    </row>
    <row r="7957" spans="1:6" ht="15" customHeight="1">
      <c r="A7957" s="51"/>
      <c r="B7957" s="52" t="str">
        <f t="shared" si="405"/>
        <v/>
      </c>
      <c r="C7957" t="str">
        <f t="shared" si="404"/>
        <v/>
      </c>
      <c r="D7957" s="245" t="str">
        <f t="shared" si="406"/>
        <v/>
      </c>
      <c r="E7957" s="534"/>
      <c r="F7957" s="534"/>
    </row>
    <row r="7958" spans="1:6" ht="15" customHeight="1">
      <c r="A7958" s="51"/>
      <c r="B7958" s="52" t="str">
        <f t="shared" si="405"/>
        <v/>
      </c>
      <c r="C7958" t="str">
        <f t="shared" si="404"/>
        <v/>
      </c>
      <c r="D7958" s="245" t="str">
        <f t="shared" si="406"/>
        <v/>
      </c>
      <c r="E7958" s="534"/>
      <c r="F7958" s="534"/>
    </row>
    <row r="7959" spans="1:6" ht="15" customHeight="1">
      <c r="A7959" s="51"/>
      <c r="B7959" s="52" t="str">
        <f t="shared" si="405"/>
        <v/>
      </c>
      <c r="C7959" t="str">
        <f t="shared" si="404"/>
        <v/>
      </c>
      <c r="D7959" s="245" t="str">
        <f t="shared" si="406"/>
        <v/>
      </c>
      <c r="E7959" s="534"/>
      <c r="F7959" s="534"/>
    </row>
    <row r="7960" spans="1:6" ht="15" customHeight="1">
      <c r="A7960" s="51"/>
      <c r="B7960" s="52" t="str">
        <f t="shared" si="405"/>
        <v/>
      </c>
      <c r="C7960" t="str">
        <f t="shared" si="404"/>
        <v/>
      </c>
      <c r="D7960" s="245" t="str">
        <f t="shared" si="406"/>
        <v/>
      </c>
      <c r="E7960" s="534"/>
      <c r="F7960" s="534"/>
    </row>
    <row r="7961" spans="1:6" ht="15" customHeight="1">
      <c r="A7961" s="51"/>
      <c r="B7961" s="52" t="str">
        <f t="shared" si="405"/>
        <v/>
      </c>
      <c r="C7961" t="str">
        <f t="shared" si="404"/>
        <v/>
      </c>
      <c r="D7961" s="245" t="str">
        <f t="shared" si="406"/>
        <v/>
      </c>
      <c r="E7961" s="534"/>
      <c r="F7961" s="534"/>
    </row>
    <row r="7962" spans="1:6" ht="15" customHeight="1">
      <c r="A7962" s="51"/>
      <c r="B7962" s="52" t="str">
        <f t="shared" si="405"/>
        <v/>
      </c>
      <c r="C7962" t="str">
        <f t="shared" si="404"/>
        <v/>
      </c>
      <c r="D7962" s="245" t="str">
        <f t="shared" si="406"/>
        <v/>
      </c>
      <c r="E7962" s="534"/>
      <c r="F7962" s="534"/>
    </row>
    <row r="7963" spans="1:6" ht="15" customHeight="1">
      <c r="A7963" s="51"/>
      <c r="B7963" s="52" t="str">
        <f t="shared" si="405"/>
        <v/>
      </c>
      <c r="C7963" t="str">
        <f t="shared" si="404"/>
        <v/>
      </c>
      <c r="D7963" s="245" t="str">
        <f t="shared" si="406"/>
        <v/>
      </c>
      <c r="E7963" s="534"/>
      <c r="F7963" s="534"/>
    </row>
    <row r="7964" spans="1:6" ht="15" customHeight="1">
      <c r="A7964" s="51"/>
      <c r="B7964" s="52" t="str">
        <f t="shared" si="405"/>
        <v/>
      </c>
      <c r="C7964" t="str">
        <f t="shared" si="404"/>
        <v/>
      </c>
      <c r="D7964" s="245" t="str">
        <f t="shared" si="406"/>
        <v/>
      </c>
      <c r="E7964" s="534"/>
      <c r="F7964" s="534"/>
    </row>
    <row r="7965" spans="1:6" ht="15" customHeight="1">
      <c r="A7965" s="51"/>
      <c r="B7965" s="52" t="str">
        <f t="shared" si="405"/>
        <v/>
      </c>
      <c r="C7965" t="str">
        <f t="shared" si="404"/>
        <v/>
      </c>
      <c r="D7965" s="245" t="str">
        <f t="shared" si="406"/>
        <v/>
      </c>
      <c r="E7965" s="534"/>
      <c r="F7965" s="534"/>
    </row>
    <row r="7966" spans="1:6" ht="15" customHeight="1">
      <c r="A7966" s="51"/>
      <c r="B7966" s="52" t="str">
        <f t="shared" si="405"/>
        <v/>
      </c>
      <c r="C7966" t="str">
        <f t="shared" si="404"/>
        <v/>
      </c>
      <c r="D7966" s="245" t="str">
        <f t="shared" si="406"/>
        <v/>
      </c>
      <c r="E7966" s="534"/>
      <c r="F7966" s="534"/>
    </row>
    <row r="7967" spans="1:6" ht="15" customHeight="1">
      <c r="A7967" s="51"/>
      <c r="B7967" s="52" t="str">
        <f t="shared" si="405"/>
        <v/>
      </c>
      <c r="C7967" t="str">
        <f t="shared" si="404"/>
        <v/>
      </c>
      <c r="D7967" s="245" t="str">
        <f t="shared" si="406"/>
        <v/>
      </c>
      <c r="E7967" s="534"/>
      <c r="F7967" s="534"/>
    </row>
    <row r="7968" spans="1:6" ht="15" customHeight="1">
      <c r="A7968" s="51"/>
      <c r="B7968" s="52" t="str">
        <f t="shared" si="405"/>
        <v/>
      </c>
      <c r="C7968" t="str">
        <f t="shared" si="404"/>
        <v/>
      </c>
      <c r="D7968" s="245" t="str">
        <f t="shared" si="406"/>
        <v/>
      </c>
      <c r="E7968" s="534"/>
      <c r="F7968" s="534"/>
    </row>
    <row r="7969" spans="1:6" ht="15" customHeight="1">
      <c r="A7969" s="51"/>
      <c r="B7969" s="52" t="str">
        <f t="shared" si="405"/>
        <v/>
      </c>
      <c r="C7969" t="str">
        <f t="shared" si="404"/>
        <v/>
      </c>
      <c r="D7969" s="245" t="str">
        <f t="shared" si="406"/>
        <v/>
      </c>
      <c r="E7969" s="534"/>
      <c r="F7969" s="534"/>
    </row>
    <row r="7970" spans="1:6" ht="15" customHeight="1">
      <c r="A7970" s="51"/>
      <c r="B7970" s="52" t="str">
        <f t="shared" si="405"/>
        <v/>
      </c>
      <c r="C7970" t="str">
        <f t="shared" si="404"/>
        <v/>
      </c>
      <c r="D7970" s="245" t="str">
        <f t="shared" si="406"/>
        <v/>
      </c>
      <c r="E7970" s="534"/>
      <c r="F7970" s="534"/>
    </row>
    <row r="7971" spans="1:6" ht="15" customHeight="1">
      <c r="A7971" s="51"/>
      <c r="B7971" s="52" t="str">
        <f t="shared" si="405"/>
        <v/>
      </c>
      <c r="C7971" t="str">
        <f t="shared" si="404"/>
        <v/>
      </c>
      <c r="D7971" s="245" t="str">
        <f t="shared" si="406"/>
        <v/>
      </c>
      <c r="E7971" s="534"/>
      <c r="F7971" s="534"/>
    </row>
    <row r="7972" spans="1:6" ht="15" customHeight="1">
      <c r="A7972" s="51"/>
      <c r="B7972" s="52" t="str">
        <f t="shared" si="405"/>
        <v/>
      </c>
      <c r="C7972" t="str">
        <f t="shared" si="404"/>
        <v/>
      </c>
      <c r="D7972" s="245" t="str">
        <f t="shared" si="406"/>
        <v/>
      </c>
      <c r="E7972" s="534"/>
      <c r="F7972" s="534"/>
    </row>
    <row r="7973" spans="1:6" ht="15" customHeight="1">
      <c r="A7973" s="51"/>
      <c r="B7973" s="52" t="str">
        <f t="shared" si="405"/>
        <v/>
      </c>
      <c r="C7973" t="str">
        <f t="shared" si="404"/>
        <v/>
      </c>
      <c r="D7973" s="245" t="str">
        <f t="shared" si="406"/>
        <v/>
      </c>
      <c r="E7973" s="534"/>
      <c r="F7973" s="534"/>
    </row>
    <row r="7974" spans="1:6" ht="15" customHeight="1">
      <c r="A7974" s="51"/>
      <c r="B7974" s="52" t="str">
        <f t="shared" si="405"/>
        <v/>
      </c>
      <c r="C7974" t="str">
        <f t="shared" si="404"/>
        <v/>
      </c>
      <c r="D7974" s="245" t="str">
        <f t="shared" si="406"/>
        <v/>
      </c>
      <c r="E7974" s="534"/>
      <c r="F7974" s="534"/>
    </row>
    <row r="7975" spans="1:6" ht="15" customHeight="1">
      <c r="A7975" s="51"/>
      <c r="B7975" s="52" t="str">
        <f t="shared" si="405"/>
        <v/>
      </c>
      <c r="C7975" t="str">
        <f t="shared" si="404"/>
        <v/>
      </c>
      <c r="D7975" s="245" t="str">
        <f t="shared" si="406"/>
        <v/>
      </c>
      <c r="E7975" s="534"/>
      <c r="F7975" s="534"/>
    </row>
    <row r="7976" spans="1:6" ht="15" customHeight="1">
      <c r="A7976" s="51"/>
      <c r="B7976" s="52" t="str">
        <f t="shared" si="405"/>
        <v/>
      </c>
      <c r="C7976" t="str">
        <f t="shared" si="404"/>
        <v/>
      </c>
      <c r="D7976" s="245" t="str">
        <f t="shared" si="406"/>
        <v/>
      </c>
      <c r="E7976" s="534"/>
      <c r="F7976" s="534"/>
    </row>
    <row r="7977" spans="1:6" ht="15" customHeight="1">
      <c r="A7977" s="51"/>
      <c r="B7977" s="52" t="str">
        <f t="shared" si="405"/>
        <v/>
      </c>
      <c r="C7977" t="str">
        <f t="shared" si="404"/>
        <v/>
      </c>
      <c r="D7977" s="245" t="str">
        <f t="shared" si="406"/>
        <v/>
      </c>
      <c r="E7977" s="534"/>
      <c r="F7977" s="534"/>
    </row>
    <row r="7978" spans="1:6" ht="15" customHeight="1">
      <c r="A7978" s="51"/>
      <c r="B7978" s="52" t="str">
        <f t="shared" si="405"/>
        <v/>
      </c>
      <c r="C7978" t="str">
        <f t="shared" si="404"/>
        <v/>
      </c>
      <c r="D7978" s="245" t="str">
        <f t="shared" si="406"/>
        <v/>
      </c>
      <c r="E7978" s="534"/>
      <c r="F7978" s="534"/>
    </row>
    <row r="7979" spans="1:6" ht="15" customHeight="1">
      <c r="A7979" s="51"/>
      <c r="B7979" s="52" t="str">
        <f t="shared" si="405"/>
        <v/>
      </c>
      <c r="C7979" t="str">
        <f t="shared" si="404"/>
        <v/>
      </c>
      <c r="D7979" s="245" t="str">
        <f t="shared" si="406"/>
        <v/>
      </c>
      <c r="E7979" s="534"/>
      <c r="F7979" s="534"/>
    </row>
    <row r="7980" spans="1:6" ht="15" customHeight="1">
      <c r="A7980" s="51"/>
      <c r="B7980" s="52" t="str">
        <f t="shared" si="405"/>
        <v/>
      </c>
      <c r="C7980" t="str">
        <f t="shared" si="404"/>
        <v/>
      </c>
      <c r="D7980" s="245" t="str">
        <f t="shared" si="406"/>
        <v/>
      </c>
      <c r="E7980" s="534"/>
      <c r="F7980" s="534"/>
    </row>
    <row r="7981" spans="1:6" ht="15" customHeight="1">
      <c r="A7981" s="51"/>
      <c r="B7981" s="52" t="str">
        <f t="shared" si="405"/>
        <v/>
      </c>
      <c r="C7981" t="str">
        <f t="shared" si="404"/>
        <v/>
      </c>
      <c r="D7981" s="245" t="str">
        <f t="shared" si="406"/>
        <v/>
      </c>
      <c r="E7981" s="534"/>
      <c r="F7981" s="534"/>
    </row>
    <row r="7982" spans="1:6" ht="15" customHeight="1">
      <c r="A7982" s="51"/>
      <c r="B7982" s="52" t="str">
        <f t="shared" si="405"/>
        <v/>
      </c>
      <c r="C7982" t="str">
        <f t="shared" si="404"/>
        <v/>
      </c>
      <c r="D7982" s="245" t="str">
        <f t="shared" si="406"/>
        <v/>
      </c>
      <c r="E7982" s="534"/>
      <c r="F7982" s="534"/>
    </row>
    <row r="7983" spans="1:6" ht="15" customHeight="1">
      <c r="A7983" s="51"/>
      <c r="B7983" s="52" t="str">
        <f t="shared" si="405"/>
        <v/>
      </c>
      <c r="C7983" t="str">
        <f t="shared" si="404"/>
        <v/>
      </c>
      <c r="D7983" s="245" t="str">
        <f t="shared" si="406"/>
        <v/>
      </c>
      <c r="E7983" s="534"/>
      <c r="F7983" s="534"/>
    </row>
    <row r="7984" spans="1:6" ht="15" customHeight="1">
      <c r="A7984" s="51"/>
      <c r="B7984" s="52" t="str">
        <f t="shared" si="405"/>
        <v/>
      </c>
      <c r="C7984" t="str">
        <f t="shared" si="404"/>
        <v/>
      </c>
      <c r="D7984" s="245" t="str">
        <f t="shared" si="406"/>
        <v/>
      </c>
      <c r="E7984" s="534"/>
      <c r="F7984" s="534"/>
    </row>
    <row r="7985" spans="1:6" ht="15" customHeight="1">
      <c r="A7985" s="51"/>
      <c r="B7985" s="52" t="str">
        <f t="shared" si="405"/>
        <v/>
      </c>
      <c r="C7985" t="str">
        <f t="shared" si="404"/>
        <v/>
      </c>
      <c r="D7985" s="245" t="str">
        <f t="shared" si="406"/>
        <v/>
      </c>
      <c r="E7985" s="534"/>
      <c r="F7985" s="534"/>
    </row>
    <row r="7986" spans="1:6" ht="15" customHeight="1">
      <c r="A7986" s="51"/>
      <c r="B7986" s="52" t="str">
        <f t="shared" si="405"/>
        <v/>
      </c>
      <c r="C7986" t="str">
        <f t="shared" si="404"/>
        <v/>
      </c>
      <c r="D7986" s="245" t="str">
        <f t="shared" si="406"/>
        <v/>
      </c>
      <c r="E7986" s="534"/>
      <c r="F7986" s="534"/>
    </row>
    <row r="7987" spans="1:6" ht="15" customHeight="1">
      <c r="A7987" s="51"/>
      <c r="B7987" s="52" t="str">
        <f t="shared" si="405"/>
        <v/>
      </c>
      <c r="C7987" t="str">
        <f t="shared" si="404"/>
        <v/>
      </c>
      <c r="D7987" s="245" t="str">
        <f t="shared" si="406"/>
        <v/>
      </c>
      <c r="E7987" s="534"/>
      <c r="F7987" s="534"/>
    </row>
    <row r="7988" spans="1:6" ht="15" customHeight="1">
      <c r="A7988" s="51"/>
      <c r="B7988" s="52" t="str">
        <f t="shared" si="405"/>
        <v/>
      </c>
      <c r="C7988" t="str">
        <f t="shared" si="404"/>
        <v/>
      </c>
      <c r="D7988" s="245" t="str">
        <f t="shared" si="406"/>
        <v/>
      </c>
      <c r="E7988" s="534"/>
      <c r="F7988" s="534"/>
    </row>
    <row r="7989" spans="1:6" ht="15" customHeight="1">
      <c r="A7989" s="51"/>
      <c r="B7989" s="52" t="str">
        <f t="shared" si="405"/>
        <v/>
      </c>
      <c r="C7989" t="str">
        <f t="shared" si="404"/>
        <v/>
      </c>
      <c r="D7989" s="245" t="str">
        <f t="shared" si="406"/>
        <v/>
      </c>
      <c r="E7989" s="534"/>
      <c r="F7989" s="534"/>
    </row>
    <row r="7990" spans="1:6" ht="15" customHeight="1">
      <c r="A7990" s="51"/>
      <c r="B7990" s="52" t="str">
        <f t="shared" si="405"/>
        <v/>
      </c>
      <c r="C7990" t="str">
        <f t="shared" si="404"/>
        <v/>
      </c>
      <c r="D7990" s="245" t="str">
        <f t="shared" si="406"/>
        <v/>
      </c>
      <c r="E7990" s="534"/>
      <c r="F7990" s="534"/>
    </row>
    <row r="7991" spans="1:6" ht="15" customHeight="1">
      <c r="A7991" s="51"/>
      <c r="B7991" s="52" t="str">
        <f t="shared" si="405"/>
        <v/>
      </c>
      <c r="C7991" t="str">
        <f t="shared" si="404"/>
        <v/>
      </c>
      <c r="D7991" s="245" t="str">
        <f t="shared" si="406"/>
        <v/>
      </c>
      <c r="E7991" s="534"/>
      <c r="F7991" s="534"/>
    </row>
    <row r="7992" spans="1:6" ht="15" customHeight="1">
      <c r="A7992" s="51"/>
      <c r="B7992" s="52" t="str">
        <f t="shared" si="405"/>
        <v/>
      </c>
      <c r="C7992" t="str">
        <f t="shared" si="404"/>
        <v/>
      </c>
      <c r="D7992" s="245" t="str">
        <f t="shared" si="406"/>
        <v/>
      </c>
      <c r="E7992" s="534"/>
      <c r="F7992" s="534"/>
    </row>
    <row r="7993" spans="1:6" ht="15" customHeight="1">
      <c r="A7993" s="51"/>
      <c r="B7993" s="52" t="str">
        <f t="shared" si="405"/>
        <v/>
      </c>
      <c r="C7993" t="str">
        <f t="shared" si="404"/>
        <v/>
      </c>
      <c r="D7993" s="245" t="str">
        <f t="shared" si="406"/>
        <v/>
      </c>
      <c r="E7993" s="534"/>
      <c r="F7993" s="534"/>
    </row>
    <row r="7994" spans="1:6" ht="15" customHeight="1">
      <c r="A7994" s="51"/>
      <c r="B7994" s="52" t="str">
        <f t="shared" si="405"/>
        <v/>
      </c>
      <c r="C7994" t="str">
        <f t="shared" si="404"/>
        <v/>
      </c>
      <c r="D7994" s="245" t="str">
        <f t="shared" si="406"/>
        <v/>
      </c>
      <c r="E7994" s="534"/>
      <c r="F7994" s="534"/>
    </row>
    <row r="7995" spans="1:6" ht="15" customHeight="1">
      <c r="A7995" s="51"/>
      <c r="B7995" s="52" t="str">
        <f t="shared" si="405"/>
        <v/>
      </c>
      <c r="C7995" t="str">
        <f t="shared" si="404"/>
        <v/>
      </c>
      <c r="D7995" s="245" t="str">
        <f t="shared" si="406"/>
        <v/>
      </c>
      <c r="E7995" s="534"/>
      <c r="F7995" s="534"/>
    </row>
    <row r="7996" spans="1:6" ht="15" customHeight="1">
      <c r="A7996" s="51"/>
      <c r="B7996" s="52" t="str">
        <f t="shared" si="405"/>
        <v/>
      </c>
      <c r="C7996" t="str">
        <f t="shared" si="404"/>
        <v/>
      </c>
      <c r="D7996" s="245" t="str">
        <f t="shared" si="406"/>
        <v/>
      </c>
      <c r="E7996" s="534"/>
      <c r="F7996" s="534"/>
    </row>
    <row r="7997" spans="1:6" ht="15" customHeight="1">
      <c r="A7997" s="51"/>
      <c r="B7997" s="52" t="str">
        <f t="shared" si="405"/>
        <v/>
      </c>
      <c r="C7997" t="str">
        <f t="shared" si="404"/>
        <v/>
      </c>
      <c r="D7997" s="245" t="str">
        <f t="shared" si="406"/>
        <v/>
      </c>
      <c r="E7997" s="534"/>
      <c r="F7997" s="534"/>
    </row>
    <row r="7998" spans="1:6" ht="15" customHeight="1">
      <c r="A7998" s="51"/>
      <c r="B7998" s="52" t="str">
        <f t="shared" si="405"/>
        <v/>
      </c>
      <c r="C7998" t="str">
        <f t="shared" si="404"/>
        <v/>
      </c>
      <c r="D7998" s="245" t="str">
        <f t="shared" si="406"/>
        <v/>
      </c>
      <c r="E7998" s="534"/>
      <c r="F7998" s="534"/>
    </row>
    <row r="7999" spans="1:6" ht="15" customHeight="1">
      <c r="A7999" s="51"/>
      <c r="B7999" s="52" t="str">
        <f t="shared" si="405"/>
        <v/>
      </c>
      <c r="C7999" t="str">
        <f t="shared" si="404"/>
        <v/>
      </c>
      <c r="D7999" s="245" t="str">
        <f t="shared" si="406"/>
        <v/>
      </c>
      <c r="E7999" s="534"/>
      <c r="F7999" s="534"/>
    </row>
    <row r="8000" spans="1:6" ht="15" customHeight="1">
      <c r="A8000" s="51"/>
      <c r="B8000" s="52" t="str">
        <f t="shared" si="405"/>
        <v/>
      </c>
      <c r="C8000" t="str">
        <f t="shared" si="404"/>
        <v/>
      </c>
      <c r="D8000" s="245" t="str">
        <f t="shared" si="406"/>
        <v/>
      </c>
      <c r="E8000" s="534"/>
      <c r="F8000" s="534"/>
    </row>
    <row r="8001" spans="1:6" ht="15" customHeight="1">
      <c r="A8001" s="51"/>
      <c r="B8001" s="52" t="str">
        <f t="shared" si="405"/>
        <v/>
      </c>
      <c r="C8001" t="str">
        <f t="shared" si="404"/>
        <v/>
      </c>
      <c r="D8001" s="245" t="str">
        <f t="shared" si="406"/>
        <v/>
      </c>
      <c r="E8001" s="534"/>
      <c r="F8001" s="534"/>
    </row>
    <row r="8002" spans="1:6" ht="15" customHeight="1">
      <c r="A8002" s="51"/>
      <c r="B8002" s="52" t="str">
        <f t="shared" si="405"/>
        <v/>
      </c>
      <c r="C8002" t="str">
        <f t="shared" ref="C8002:C8065" si="407">IF(A8002&lt;&gt;"",TEXT(A8002,"aaaa"),"")</f>
        <v/>
      </c>
      <c r="D8002" s="245" t="str">
        <f t="shared" si="406"/>
        <v/>
      </c>
      <c r="E8002" s="534"/>
      <c r="F8002" s="534"/>
    </row>
    <row r="8003" spans="1:6" ht="15" customHeight="1">
      <c r="A8003" s="51"/>
      <c r="B8003" s="52" t="str">
        <f t="shared" si="405"/>
        <v/>
      </c>
      <c r="C8003" t="str">
        <f t="shared" si="407"/>
        <v/>
      </c>
      <c r="D8003" s="245" t="str">
        <f t="shared" si="406"/>
        <v/>
      </c>
      <c r="E8003" s="534"/>
      <c r="F8003" s="534"/>
    </row>
    <row r="8004" spans="1:6" ht="15" customHeight="1">
      <c r="A8004" s="51"/>
      <c r="B8004" s="52" t="str">
        <f t="shared" si="405"/>
        <v/>
      </c>
      <c r="C8004" t="str">
        <f t="shared" si="407"/>
        <v/>
      </c>
      <c r="D8004" s="245" t="str">
        <f t="shared" si="406"/>
        <v/>
      </c>
      <c r="E8004" s="534"/>
      <c r="F8004" s="534"/>
    </row>
    <row r="8005" spans="1:6" ht="15" customHeight="1">
      <c r="A8005" s="51"/>
      <c r="B8005" s="52" t="str">
        <f t="shared" si="405"/>
        <v/>
      </c>
      <c r="C8005" t="str">
        <f t="shared" si="407"/>
        <v/>
      </c>
      <c r="D8005" s="245" t="str">
        <f t="shared" si="406"/>
        <v/>
      </c>
      <c r="E8005" s="534"/>
      <c r="F8005" s="534"/>
    </row>
    <row r="8006" spans="1:6" ht="15" customHeight="1">
      <c r="A8006" s="51"/>
      <c r="B8006" s="52" t="str">
        <f t="shared" si="405"/>
        <v/>
      </c>
      <c r="C8006" t="str">
        <f t="shared" si="407"/>
        <v/>
      </c>
      <c r="D8006" s="245" t="str">
        <f t="shared" si="406"/>
        <v/>
      </c>
      <c r="E8006" s="534"/>
      <c r="F8006" s="534"/>
    </row>
    <row r="8007" spans="1:6" ht="15" customHeight="1">
      <c r="A8007" s="51"/>
      <c r="B8007" s="52" t="str">
        <f t="shared" si="405"/>
        <v/>
      </c>
      <c r="C8007" t="str">
        <f t="shared" si="407"/>
        <v/>
      </c>
      <c r="D8007" s="245" t="str">
        <f t="shared" si="406"/>
        <v/>
      </c>
      <c r="E8007" s="534"/>
      <c r="F8007" s="534"/>
    </row>
    <row r="8008" spans="1:6" ht="15" customHeight="1">
      <c r="A8008" s="51"/>
      <c r="B8008" s="52" t="str">
        <f t="shared" ref="B8008:B8071" si="408">IF(A8008="","",TEXT(A8008,"DDDD"))</f>
        <v/>
      </c>
      <c r="C8008" t="str">
        <f t="shared" si="407"/>
        <v/>
      </c>
      <c r="D8008" s="245" t="str">
        <f t="shared" si="406"/>
        <v/>
      </c>
      <c r="E8008" s="534"/>
      <c r="F8008" s="534"/>
    </row>
    <row r="8009" spans="1:6" ht="15" customHeight="1">
      <c r="A8009" s="51"/>
      <c r="B8009" s="52" t="str">
        <f t="shared" si="408"/>
        <v/>
      </c>
      <c r="C8009" t="str">
        <f t="shared" si="407"/>
        <v/>
      </c>
      <c r="D8009" s="245" t="str">
        <f t="shared" ref="D8009:D8072" si="409">IF(A8009&lt;&gt;"",PROPER(TEXT(A8009,"Mmmm")),"")</f>
        <v/>
      </c>
      <c r="E8009" s="534"/>
      <c r="F8009" s="534"/>
    </row>
    <row r="8010" spans="1:6" ht="15" customHeight="1">
      <c r="A8010" s="51"/>
      <c r="B8010" s="52" t="str">
        <f t="shared" si="408"/>
        <v/>
      </c>
      <c r="C8010" t="str">
        <f t="shared" si="407"/>
        <v/>
      </c>
      <c r="D8010" s="245" t="str">
        <f t="shared" si="409"/>
        <v/>
      </c>
      <c r="E8010" s="534"/>
      <c r="F8010" s="534"/>
    </row>
    <row r="8011" spans="1:6" ht="15" customHeight="1">
      <c r="A8011" s="51"/>
      <c r="B8011" s="52" t="str">
        <f t="shared" si="408"/>
        <v/>
      </c>
      <c r="C8011" t="str">
        <f t="shared" si="407"/>
        <v/>
      </c>
      <c r="D8011" s="245" t="str">
        <f t="shared" si="409"/>
        <v/>
      </c>
      <c r="E8011" s="534"/>
      <c r="F8011" s="534"/>
    </row>
    <row r="8012" spans="1:6" ht="15" customHeight="1">
      <c r="A8012" s="51"/>
      <c r="B8012" s="52" t="str">
        <f t="shared" si="408"/>
        <v/>
      </c>
      <c r="C8012" t="str">
        <f t="shared" si="407"/>
        <v/>
      </c>
      <c r="D8012" s="245" t="str">
        <f t="shared" si="409"/>
        <v/>
      </c>
      <c r="E8012" s="534"/>
      <c r="F8012" s="534"/>
    </row>
    <row r="8013" spans="1:6" ht="15" customHeight="1">
      <c r="A8013" s="51"/>
      <c r="B8013" s="52" t="str">
        <f t="shared" si="408"/>
        <v/>
      </c>
      <c r="C8013" t="str">
        <f t="shared" si="407"/>
        <v/>
      </c>
      <c r="D8013" s="245" t="str">
        <f t="shared" si="409"/>
        <v/>
      </c>
      <c r="E8013" s="534"/>
      <c r="F8013" s="534"/>
    </row>
    <row r="8014" spans="1:6" ht="15" customHeight="1">
      <c r="A8014" s="51"/>
      <c r="B8014" s="52" t="str">
        <f t="shared" si="408"/>
        <v/>
      </c>
      <c r="C8014" t="str">
        <f t="shared" si="407"/>
        <v/>
      </c>
      <c r="D8014" s="245" t="str">
        <f t="shared" si="409"/>
        <v/>
      </c>
      <c r="E8014" s="534"/>
      <c r="F8014" s="534"/>
    </row>
    <row r="8015" spans="1:6" ht="15" customHeight="1">
      <c r="A8015" s="51"/>
      <c r="B8015" s="52" t="str">
        <f t="shared" si="408"/>
        <v/>
      </c>
      <c r="C8015" t="str">
        <f t="shared" si="407"/>
        <v/>
      </c>
      <c r="D8015" s="245" t="str">
        <f t="shared" si="409"/>
        <v/>
      </c>
      <c r="E8015" s="534"/>
      <c r="F8015" s="534"/>
    </row>
    <row r="8016" spans="1:6" ht="15" customHeight="1">
      <c r="A8016" s="51"/>
      <c r="B8016" s="52" t="str">
        <f t="shared" si="408"/>
        <v/>
      </c>
      <c r="C8016" t="str">
        <f t="shared" si="407"/>
        <v/>
      </c>
      <c r="D8016" s="245" t="str">
        <f t="shared" si="409"/>
        <v/>
      </c>
      <c r="E8016" s="534"/>
      <c r="F8016" s="534"/>
    </row>
    <row r="8017" spans="1:6" ht="15" customHeight="1">
      <c r="A8017" s="51"/>
      <c r="B8017" s="52" t="str">
        <f t="shared" si="408"/>
        <v/>
      </c>
      <c r="C8017" t="str">
        <f t="shared" si="407"/>
        <v/>
      </c>
      <c r="D8017" s="245" t="str">
        <f t="shared" si="409"/>
        <v/>
      </c>
      <c r="E8017" s="534"/>
      <c r="F8017" s="534"/>
    </row>
    <row r="8018" spans="1:6" ht="15" customHeight="1">
      <c r="A8018" s="51"/>
      <c r="B8018" s="52" t="str">
        <f t="shared" si="408"/>
        <v/>
      </c>
      <c r="C8018" t="str">
        <f t="shared" si="407"/>
        <v/>
      </c>
      <c r="D8018" s="245" t="str">
        <f t="shared" si="409"/>
        <v/>
      </c>
      <c r="E8018" s="534"/>
      <c r="F8018" s="534"/>
    </row>
    <row r="8019" spans="1:6" ht="15" customHeight="1">
      <c r="A8019" s="51"/>
      <c r="B8019" s="52" t="str">
        <f t="shared" si="408"/>
        <v/>
      </c>
      <c r="C8019" t="str">
        <f t="shared" si="407"/>
        <v/>
      </c>
      <c r="D8019" s="245" t="str">
        <f t="shared" si="409"/>
        <v/>
      </c>
      <c r="E8019" s="534"/>
      <c r="F8019" s="534"/>
    </row>
    <row r="8020" spans="1:6" ht="15" customHeight="1">
      <c r="A8020" s="51"/>
      <c r="B8020" s="52" t="str">
        <f t="shared" si="408"/>
        <v/>
      </c>
      <c r="C8020" t="str">
        <f t="shared" si="407"/>
        <v/>
      </c>
      <c r="D8020" s="245" t="str">
        <f t="shared" si="409"/>
        <v/>
      </c>
      <c r="E8020" s="534"/>
      <c r="F8020" s="534"/>
    </row>
    <row r="8021" spans="1:6" ht="15" customHeight="1">
      <c r="A8021" s="51"/>
      <c r="B8021" s="52" t="str">
        <f t="shared" si="408"/>
        <v/>
      </c>
      <c r="C8021" t="str">
        <f t="shared" si="407"/>
        <v/>
      </c>
      <c r="D8021" s="245" t="str">
        <f t="shared" si="409"/>
        <v/>
      </c>
      <c r="E8021" s="534"/>
      <c r="F8021" s="534"/>
    </row>
    <row r="8022" spans="1:6" ht="15" customHeight="1">
      <c r="A8022" s="51"/>
      <c r="B8022" s="52" t="str">
        <f t="shared" si="408"/>
        <v/>
      </c>
      <c r="C8022" t="str">
        <f t="shared" si="407"/>
        <v/>
      </c>
      <c r="D8022" s="245" t="str">
        <f t="shared" si="409"/>
        <v/>
      </c>
      <c r="E8022" s="534"/>
      <c r="F8022" s="534"/>
    </row>
    <row r="8023" spans="1:6" ht="15" customHeight="1">
      <c r="A8023" s="51"/>
      <c r="B8023" s="52" t="str">
        <f t="shared" si="408"/>
        <v/>
      </c>
      <c r="C8023" t="str">
        <f t="shared" si="407"/>
        <v/>
      </c>
      <c r="D8023" s="245" t="str">
        <f t="shared" si="409"/>
        <v/>
      </c>
      <c r="E8023" s="534"/>
      <c r="F8023" s="534"/>
    </row>
    <row r="8024" spans="1:6" ht="15" customHeight="1">
      <c r="A8024" s="51"/>
      <c r="B8024" s="52" t="str">
        <f t="shared" si="408"/>
        <v/>
      </c>
      <c r="C8024" t="str">
        <f t="shared" si="407"/>
        <v/>
      </c>
      <c r="D8024" s="245" t="str">
        <f t="shared" si="409"/>
        <v/>
      </c>
      <c r="E8024" s="534"/>
      <c r="F8024" s="534"/>
    </row>
    <row r="8025" spans="1:6" ht="15" customHeight="1">
      <c r="A8025" s="51"/>
      <c r="B8025" s="52" t="str">
        <f t="shared" si="408"/>
        <v/>
      </c>
      <c r="C8025" t="str">
        <f t="shared" si="407"/>
        <v/>
      </c>
      <c r="D8025" s="245" t="str">
        <f t="shared" si="409"/>
        <v/>
      </c>
      <c r="E8025" s="534"/>
      <c r="F8025" s="534"/>
    </row>
    <row r="8026" spans="1:6" ht="15" customHeight="1">
      <c r="A8026" s="51"/>
      <c r="B8026" s="52" t="str">
        <f t="shared" si="408"/>
        <v/>
      </c>
      <c r="C8026" t="str">
        <f t="shared" si="407"/>
        <v/>
      </c>
      <c r="D8026" s="245" t="str">
        <f t="shared" si="409"/>
        <v/>
      </c>
      <c r="E8026" s="534"/>
      <c r="F8026" s="534"/>
    </row>
    <row r="8027" spans="1:6" ht="15" customHeight="1">
      <c r="A8027" s="51"/>
      <c r="B8027" s="52" t="str">
        <f t="shared" si="408"/>
        <v/>
      </c>
      <c r="C8027" t="str">
        <f t="shared" si="407"/>
        <v/>
      </c>
      <c r="D8027" s="245" t="str">
        <f t="shared" si="409"/>
        <v/>
      </c>
      <c r="E8027" s="534"/>
      <c r="F8027" s="534"/>
    </row>
    <row r="8028" spans="1:6" ht="15" customHeight="1">
      <c r="A8028" s="51"/>
      <c r="B8028" s="52" t="str">
        <f t="shared" si="408"/>
        <v/>
      </c>
      <c r="C8028" t="str">
        <f t="shared" si="407"/>
        <v/>
      </c>
      <c r="D8028" s="245" t="str">
        <f t="shared" si="409"/>
        <v/>
      </c>
      <c r="E8028" s="534"/>
      <c r="F8028" s="534"/>
    </row>
    <row r="8029" spans="1:6" ht="15" customHeight="1">
      <c r="A8029" s="51"/>
      <c r="B8029" s="52" t="str">
        <f t="shared" si="408"/>
        <v/>
      </c>
      <c r="C8029" t="str">
        <f t="shared" si="407"/>
        <v/>
      </c>
      <c r="D8029" s="245" t="str">
        <f t="shared" si="409"/>
        <v/>
      </c>
      <c r="E8029" s="534"/>
      <c r="F8029" s="534"/>
    </row>
    <row r="8030" spans="1:6" ht="15" customHeight="1">
      <c r="A8030" s="51"/>
      <c r="B8030" s="52" t="str">
        <f t="shared" si="408"/>
        <v/>
      </c>
      <c r="C8030" t="str">
        <f t="shared" si="407"/>
        <v/>
      </c>
      <c r="D8030" s="245" t="str">
        <f t="shared" si="409"/>
        <v/>
      </c>
      <c r="E8030" s="534"/>
      <c r="F8030" s="534"/>
    </row>
    <row r="8031" spans="1:6" ht="15" customHeight="1">
      <c r="A8031" s="51"/>
      <c r="B8031" s="52" t="str">
        <f t="shared" si="408"/>
        <v/>
      </c>
      <c r="C8031" t="str">
        <f t="shared" si="407"/>
        <v/>
      </c>
      <c r="D8031" s="245" t="str">
        <f t="shared" si="409"/>
        <v/>
      </c>
      <c r="E8031" s="534"/>
      <c r="F8031" s="534"/>
    </row>
    <row r="8032" spans="1:6" ht="15" customHeight="1">
      <c r="A8032" s="51"/>
      <c r="B8032" s="52" t="str">
        <f t="shared" si="408"/>
        <v/>
      </c>
      <c r="C8032" t="str">
        <f t="shared" si="407"/>
        <v/>
      </c>
      <c r="D8032" s="245" t="str">
        <f t="shared" si="409"/>
        <v/>
      </c>
      <c r="E8032" s="534"/>
      <c r="F8032" s="534"/>
    </row>
    <row r="8033" spans="1:6" ht="15" customHeight="1">
      <c r="A8033" s="51"/>
      <c r="B8033" s="52" t="str">
        <f t="shared" si="408"/>
        <v/>
      </c>
      <c r="C8033" t="str">
        <f t="shared" si="407"/>
        <v/>
      </c>
      <c r="D8033" s="245" t="str">
        <f t="shared" si="409"/>
        <v/>
      </c>
      <c r="E8033" s="534"/>
      <c r="F8033" s="534"/>
    </row>
    <row r="8034" spans="1:6" ht="15" customHeight="1">
      <c r="A8034" s="51"/>
      <c r="B8034" s="52" t="str">
        <f t="shared" si="408"/>
        <v/>
      </c>
      <c r="C8034" t="str">
        <f t="shared" si="407"/>
        <v/>
      </c>
      <c r="D8034" s="245" t="str">
        <f t="shared" si="409"/>
        <v/>
      </c>
      <c r="E8034" s="534"/>
      <c r="F8034" s="534"/>
    </row>
    <row r="8035" spans="1:6" ht="15" customHeight="1">
      <c r="A8035" s="51"/>
      <c r="B8035" s="52" t="str">
        <f t="shared" si="408"/>
        <v/>
      </c>
      <c r="C8035" t="str">
        <f t="shared" si="407"/>
        <v/>
      </c>
      <c r="D8035" s="245" t="str">
        <f t="shared" si="409"/>
        <v/>
      </c>
      <c r="E8035" s="534"/>
      <c r="F8035" s="534"/>
    </row>
    <row r="8036" spans="1:6" ht="15" customHeight="1">
      <c r="A8036" s="51"/>
      <c r="B8036" s="52" t="str">
        <f t="shared" si="408"/>
        <v/>
      </c>
      <c r="C8036" t="str">
        <f t="shared" si="407"/>
        <v/>
      </c>
      <c r="D8036" s="245" t="str">
        <f t="shared" si="409"/>
        <v/>
      </c>
      <c r="E8036" s="534"/>
      <c r="F8036" s="534"/>
    </row>
    <row r="8037" spans="1:6" ht="15" customHeight="1">
      <c r="A8037" s="51"/>
      <c r="B8037" s="52" t="str">
        <f t="shared" si="408"/>
        <v/>
      </c>
      <c r="C8037" t="str">
        <f t="shared" si="407"/>
        <v/>
      </c>
      <c r="D8037" s="245" t="str">
        <f t="shared" si="409"/>
        <v/>
      </c>
      <c r="E8037" s="534"/>
      <c r="F8037" s="534"/>
    </row>
    <row r="8038" spans="1:6" ht="15" customHeight="1">
      <c r="A8038" s="51"/>
      <c r="B8038" s="52" t="str">
        <f t="shared" si="408"/>
        <v/>
      </c>
      <c r="C8038" t="str">
        <f t="shared" si="407"/>
        <v/>
      </c>
      <c r="D8038" s="245" t="str">
        <f t="shared" si="409"/>
        <v/>
      </c>
      <c r="E8038" s="534"/>
      <c r="F8038" s="534"/>
    </row>
    <row r="8039" spans="1:6" ht="15" customHeight="1">
      <c r="A8039" s="51"/>
      <c r="B8039" s="52" t="str">
        <f t="shared" si="408"/>
        <v/>
      </c>
      <c r="C8039" t="str">
        <f t="shared" si="407"/>
        <v/>
      </c>
      <c r="D8039" s="245" t="str">
        <f t="shared" si="409"/>
        <v/>
      </c>
      <c r="E8039" s="534"/>
      <c r="F8039" s="534"/>
    </row>
    <row r="8040" spans="1:6" ht="15" customHeight="1">
      <c r="A8040" s="51"/>
      <c r="B8040" s="52" t="str">
        <f t="shared" si="408"/>
        <v/>
      </c>
      <c r="C8040" t="str">
        <f t="shared" si="407"/>
        <v/>
      </c>
      <c r="D8040" s="245" t="str">
        <f t="shared" si="409"/>
        <v/>
      </c>
      <c r="E8040" s="534"/>
      <c r="F8040" s="534"/>
    </row>
    <row r="8041" spans="1:6" ht="15" customHeight="1">
      <c r="A8041" s="51"/>
      <c r="B8041" s="52" t="str">
        <f t="shared" si="408"/>
        <v/>
      </c>
      <c r="C8041" t="str">
        <f t="shared" si="407"/>
        <v/>
      </c>
      <c r="D8041" s="245" t="str">
        <f t="shared" si="409"/>
        <v/>
      </c>
      <c r="E8041" s="534"/>
      <c r="F8041" s="534"/>
    </row>
    <row r="8042" spans="1:6" ht="15" customHeight="1">
      <c r="A8042" s="51"/>
      <c r="B8042" s="52" t="str">
        <f t="shared" si="408"/>
        <v/>
      </c>
      <c r="C8042" t="str">
        <f t="shared" si="407"/>
        <v/>
      </c>
      <c r="D8042" s="245" t="str">
        <f t="shared" si="409"/>
        <v/>
      </c>
      <c r="E8042" s="534"/>
      <c r="F8042" s="534"/>
    </row>
    <row r="8043" spans="1:6" ht="15" customHeight="1">
      <c r="A8043" s="51"/>
      <c r="B8043" s="52" t="str">
        <f t="shared" si="408"/>
        <v/>
      </c>
      <c r="C8043" t="str">
        <f t="shared" si="407"/>
        <v/>
      </c>
      <c r="D8043" s="245" t="str">
        <f t="shared" si="409"/>
        <v/>
      </c>
      <c r="E8043" s="534"/>
      <c r="F8043" s="534"/>
    </row>
    <row r="8044" spans="1:6" ht="15" customHeight="1">
      <c r="A8044" s="51"/>
      <c r="B8044" s="52" t="str">
        <f t="shared" si="408"/>
        <v/>
      </c>
      <c r="C8044" t="str">
        <f t="shared" si="407"/>
        <v/>
      </c>
      <c r="D8044" s="245" t="str">
        <f t="shared" si="409"/>
        <v/>
      </c>
      <c r="E8044" s="534"/>
      <c r="F8044" s="534"/>
    </row>
    <row r="8045" spans="1:6" ht="15" customHeight="1">
      <c r="A8045" s="51"/>
      <c r="B8045" s="52" t="str">
        <f t="shared" si="408"/>
        <v/>
      </c>
      <c r="C8045" t="str">
        <f t="shared" si="407"/>
        <v/>
      </c>
      <c r="D8045" s="245" t="str">
        <f t="shared" si="409"/>
        <v/>
      </c>
      <c r="E8045" s="534"/>
      <c r="F8045" s="534"/>
    </row>
    <row r="8046" spans="1:6" ht="15" customHeight="1">
      <c r="A8046" s="51"/>
      <c r="B8046" s="52" t="str">
        <f t="shared" si="408"/>
        <v/>
      </c>
      <c r="C8046" t="str">
        <f t="shared" si="407"/>
        <v/>
      </c>
      <c r="D8046" s="245" t="str">
        <f t="shared" si="409"/>
        <v/>
      </c>
      <c r="E8046" s="534"/>
      <c r="F8046" s="534"/>
    </row>
    <row r="8047" spans="1:6" ht="15" customHeight="1">
      <c r="A8047" s="51"/>
      <c r="B8047" s="52" t="str">
        <f t="shared" si="408"/>
        <v/>
      </c>
      <c r="C8047" t="str">
        <f t="shared" si="407"/>
        <v/>
      </c>
      <c r="D8047" s="245" t="str">
        <f t="shared" si="409"/>
        <v/>
      </c>
      <c r="E8047" s="534"/>
      <c r="F8047" s="534"/>
    </row>
    <row r="8048" spans="1:6" ht="15" customHeight="1">
      <c r="A8048" s="51"/>
      <c r="B8048" s="52" t="str">
        <f t="shared" si="408"/>
        <v/>
      </c>
      <c r="C8048" t="str">
        <f t="shared" si="407"/>
        <v/>
      </c>
      <c r="D8048" s="245" t="str">
        <f t="shared" si="409"/>
        <v/>
      </c>
      <c r="E8048" s="534"/>
      <c r="F8048" s="534"/>
    </row>
    <row r="8049" spans="1:6" ht="15" customHeight="1">
      <c r="A8049" s="51"/>
      <c r="B8049" s="52" t="str">
        <f t="shared" si="408"/>
        <v/>
      </c>
      <c r="C8049" t="str">
        <f t="shared" si="407"/>
        <v/>
      </c>
      <c r="D8049" s="245" t="str">
        <f t="shared" si="409"/>
        <v/>
      </c>
      <c r="E8049" s="534"/>
      <c r="F8049" s="534"/>
    </row>
    <row r="8050" spans="1:6" ht="15" customHeight="1">
      <c r="A8050" s="51"/>
      <c r="B8050" s="52" t="str">
        <f t="shared" si="408"/>
        <v/>
      </c>
      <c r="C8050" t="str">
        <f t="shared" si="407"/>
        <v/>
      </c>
      <c r="D8050" s="245" t="str">
        <f t="shared" si="409"/>
        <v/>
      </c>
      <c r="E8050" s="534"/>
      <c r="F8050" s="534"/>
    </row>
    <row r="8051" spans="1:6" ht="15" customHeight="1">
      <c r="A8051" s="51"/>
      <c r="B8051" s="52" t="str">
        <f t="shared" si="408"/>
        <v/>
      </c>
      <c r="C8051" t="str">
        <f t="shared" si="407"/>
        <v/>
      </c>
      <c r="D8051" s="245" t="str">
        <f t="shared" si="409"/>
        <v/>
      </c>
      <c r="E8051" s="534"/>
      <c r="F8051" s="534"/>
    </row>
    <row r="8052" spans="1:6" ht="15" customHeight="1">
      <c r="A8052" s="51"/>
      <c r="B8052" s="52" t="str">
        <f t="shared" si="408"/>
        <v/>
      </c>
      <c r="C8052" t="str">
        <f t="shared" si="407"/>
        <v/>
      </c>
      <c r="D8052" s="245" t="str">
        <f t="shared" si="409"/>
        <v/>
      </c>
      <c r="E8052" s="534"/>
      <c r="F8052" s="534"/>
    </row>
    <row r="8053" spans="1:6" ht="15" customHeight="1">
      <c r="A8053" s="51"/>
      <c r="B8053" s="52" t="str">
        <f t="shared" si="408"/>
        <v/>
      </c>
      <c r="C8053" t="str">
        <f t="shared" si="407"/>
        <v/>
      </c>
      <c r="D8053" s="245" t="str">
        <f t="shared" si="409"/>
        <v/>
      </c>
      <c r="E8053" s="534"/>
      <c r="F8053" s="534"/>
    </row>
    <row r="8054" spans="1:6" ht="15" customHeight="1">
      <c r="A8054" s="51"/>
      <c r="B8054" s="52" t="str">
        <f t="shared" si="408"/>
        <v/>
      </c>
      <c r="C8054" t="str">
        <f t="shared" si="407"/>
        <v/>
      </c>
      <c r="D8054" s="245" t="str">
        <f t="shared" si="409"/>
        <v/>
      </c>
      <c r="E8054" s="534"/>
      <c r="F8054" s="534"/>
    </row>
    <row r="8055" spans="1:6" ht="15" customHeight="1">
      <c r="A8055" s="51"/>
      <c r="B8055" s="52" t="str">
        <f t="shared" si="408"/>
        <v/>
      </c>
      <c r="C8055" t="str">
        <f t="shared" si="407"/>
        <v/>
      </c>
      <c r="D8055" s="245" t="str">
        <f t="shared" si="409"/>
        <v/>
      </c>
      <c r="E8055" s="534"/>
      <c r="F8055" s="534"/>
    </row>
    <row r="8056" spans="1:6" ht="15" customHeight="1">
      <c r="A8056" s="51"/>
      <c r="B8056" s="52" t="str">
        <f t="shared" si="408"/>
        <v/>
      </c>
      <c r="C8056" t="str">
        <f t="shared" si="407"/>
        <v/>
      </c>
      <c r="D8056" s="245" t="str">
        <f t="shared" si="409"/>
        <v/>
      </c>
      <c r="E8056" s="534"/>
      <c r="F8056" s="534"/>
    </row>
    <row r="8057" spans="1:6" ht="15" customHeight="1">
      <c r="A8057" s="51"/>
      <c r="B8057" s="52" t="str">
        <f t="shared" si="408"/>
        <v/>
      </c>
      <c r="C8057" t="str">
        <f t="shared" si="407"/>
        <v/>
      </c>
      <c r="D8057" s="245" t="str">
        <f t="shared" si="409"/>
        <v/>
      </c>
      <c r="E8057" s="534"/>
      <c r="F8057" s="534"/>
    </row>
    <row r="8058" spans="1:6" ht="15" customHeight="1">
      <c r="A8058" s="51"/>
      <c r="B8058" s="52" t="str">
        <f t="shared" si="408"/>
        <v/>
      </c>
      <c r="C8058" t="str">
        <f t="shared" si="407"/>
        <v/>
      </c>
      <c r="D8058" s="245" t="str">
        <f t="shared" si="409"/>
        <v/>
      </c>
      <c r="E8058" s="534"/>
      <c r="F8058" s="534"/>
    </row>
    <row r="8059" spans="1:6" ht="15" customHeight="1">
      <c r="A8059" s="51"/>
      <c r="B8059" s="52" t="str">
        <f t="shared" si="408"/>
        <v/>
      </c>
      <c r="C8059" t="str">
        <f t="shared" si="407"/>
        <v/>
      </c>
      <c r="D8059" s="245" t="str">
        <f t="shared" si="409"/>
        <v/>
      </c>
      <c r="E8059" s="534"/>
      <c r="F8059" s="534"/>
    </row>
    <row r="8060" spans="1:6" ht="15" customHeight="1">
      <c r="A8060" s="51"/>
      <c r="B8060" s="52" t="str">
        <f t="shared" si="408"/>
        <v/>
      </c>
      <c r="C8060" t="str">
        <f t="shared" si="407"/>
        <v/>
      </c>
      <c r="D8060" s="245" t="str">
        <f t="shared" si="409"/>
        <v/>
      </c>
      <c r="E8060" s="534"/>
      <c r="F8060" s="534"/>
    </row>
    <row r="8061" spans="1:6" ht="15" customHeight="1">
      <c r="A8061" s="51"/>
      <c r="B8061" s="52" t="str">
        <f t="shared" si="408"/>
        <v/>
      </c>
      <c r="C8061" t="str">
        <f t="shared" si="407"/>
        <v/>
      </c>
      <c r="D8061" s="245" t="str">
        <f t="shared" si="409"/>
        <v/>
      </c>
      <c r="E8061" s="534"/>
      <c r="F8061" s="534"/>
    </row>
    <row r="8062" spans="1:6" ht="15" customHeight="1">
      <c r="A8062" s="51"/>
      <c r="B8062" s="52" t="str">
        <f t="shared" si="408"/>
        <v/>
      </c>
      <c r="C8062" t="str">
        <f t="shared" si="407"/>
        <v/>
      </c>
      <c r="D8062" s="245" t="str">
        <f t="shared" si="409"/>
        <v/>
      </c>
      <c r="E8062" s="534"/>
      <c r="F8062" s="534"/>
    </row>
    <row r="8063" spans="1:6" ht="15" customHeight="1">
      <c r="A8063" s="51"/>
      <c r="B8063" s="52" t="str">
        <f t="shared" si="408"/>
        <v/>
      </c>
      <c r="C8063" t="str">
        <f t="shared" si="407"/>
        <v/>
      </c>
      <c r="D8063" s="245" t="str">
        <f t="shared" si="409"/>
        <v/>
      </c>
      <c r="E8063" s="534"/>
      <c r="F8063" s="534"/>
    </row>
    <row r="8064" spans="1:6" ht="15" customHeight="1">
      <c r="A8064" s="51"/>
      <c r="B8064" s="52" t="str">
        <f t="shared" si="408"/>
        <v/>
      </c>
      <c r="C8064" t="str">
        <f t="shared" si="407"/>
        <v/>
      </c>
      <c r="D8064" s="245" t="str">
        <f t="shared" si="409"/>
        <v/>
      </c>
      <c r="E8064" s="534"/>
      <c r="F8064" s="534"/>
    </row>
    <row r="8065" spans="1:6" ht="15" customHeight="1">
      <c r="A8065" s="51"/>
      <c r="B8065" s="52" t="str">
        <f t="shared" si="408"/>
        <v/>
      </c>
      <c r="C8065" t="str">
        <f t="shared" si="407"/>
        <v/>
      </c>
      <c r="D8065" s="245" t="str">
        <f t="shared" si="409"/>
        <v/>
      </c>
      <c r="E8065" s="534"/>
      <c r="F8065" s="534"/>
    </row>
    <row r="8066" spans="1:6" ht="15" customHeight="1">
      <c r="A8066" s="51"/>
      <c r="B8066" s="52" t="str">
        <f t="shared" si="408"/>
        <v/>
      </c>
      <c r="C8066" t="str">
        <f t="shared" ref="C8066:C8129" si="410">IF(A8066&lt;&gt;"",TEXT(A8066,"aaaa"),"")</f>
        <v/>
      </c>
      <c r="D8066" s="245" t="str">
        <f t="shared" si="409"/>
        <v/>
      </c>
      <c r="E8066" s="534"/>
      <c r="F8066" s="534"/>
    </row>
    <row r="8067" spans="1:6" ht="15" customHeight="1">
      <c r="A8067" s="51"/>
      <c r="B8067" s="52" t="str">
        <f t="shared" si="408"/>
        <v/>
      </c>
      <c r="C8067" t="str">
        <f t="shared" si="410"/>
        <v/>
      </c>
      <c r="D8067" s="245" t="str">
        <f t="shared" si="409"/>
        <v/>
      </c>
      <c r="E8067" s="534"/>
      <c r="F8067" s="534"/>
    </row>
    <row r="8068" spans="1:6" ht="15" customHeight="1">
      <c r="A8068" s="51"/>
      <c r="B8068" s="52" t="str">
        <f t="shared" si="408"/>
        <v/>
      </c>
      <c r="C8068" t="str">
        <f t="shared" si="410"/>
        <v/>
      </c>
      <c r="D8068" s="245" t="str">
        <f t="shared" si="409"/>
        <v/>
      </c>
      <c r="E8068" s="534"/>
      <c r="F8068" s="534"/>
    </row>
    <row r="8069" spans="1:6" ht="15" customHeight="1">
      <c r="A8069" s="51"/>
      <c r="B8069" s="52" t="str">
        <f t="shared" si="408"/>
        <v/>
      </c>
      <c r="C8069" t="str">
        <f t="shared" si="410"/>
        <v/>
      </c>
      <c r="D8069" s="245" t="str">
        <f t="shared" si="409"/>
        <v/>
      </c>
      <c r="E8069" s="534"/>
      <c r="F8069" s="534"/>
    </row>
    <row r="8070" spans="1:6" ht="15" customHeight="1">
      <c r="A8070" s="51"/>
      <c r="B8070" s="52" t="str">
        <f t="shared" si="408"/>
        <v/>
      </c>
      <c r="C8070" t="str">
        <f t="shared" si="410"/>
        <v/>
      </c>
      <c r="D8070" s="245" t="str">
        <f t="shared" si="409"/>
        <v/>
      </c>
      <c r="E8070" s="534"/>
      <c r="F8070" s="534"/>
    </row>
    <row r="8071" spans="1:6" ht="15" customHeight="1">
      <c r="A8071" s="51"/>
      <c r="B8071" s="52" t="str">
        <f t="shared" si="408"/>
        <v/>
      </c>
      <c r="C8071" t="str">
        <f t="shared" si="410"/>
        <v/>
      </c>
      <c r="D8071" s="245" t="str">
        <f t="shared" si="409"/>
        <v/>
      </c>
      <c r="E8071" s="534"/>
      <c r="F8071" s="534"/>
    </row>
    <row r="8072" spans="1:6" ht="15" customHeight="1">
      <c r="A8072" s="51"/>
      <c r="B8072" s="52" t="str">
        <f t="shared" ref="B8072:B8135" si="411">IF(A8072="","",TEXT(A8072,"DDDD"))</f>
        <v/>
      </c>
      <c r="C8072" t="str">
        <f t="shared" si="410"/>
        <v/>
      </c>
      <c r="D8072" s="245" t="str">
        <f t="shared" si="409"/>
        <v/>
      </c>
      <c r="E8072" s="534"/>
      <c r="F8072" s="534"/>
    </row>
    <row r="8073" spans="1:6" ht="15" customHeight="1">
      <c r="A8073" s="51"/>
      <c r="B8073" s="52" t="str">
        <f t="shared" si="411"/>
        <v/>
      </c>
      <c r="C8073" t="str">
        <f t="shared" si="410"/>
        <v/>
      </c>
      <c r="D8073" s="245" t="str">
        <f t="shared" ref="D8073:D8136" si="412">IF(A8073&lt;&gt;"",PROPER(TEXT(A8073,"Mmmm")),"")</f>
        <v/>
      </c>
      <c r="E8073" s="534"/>
      <c r="F8073" s="534"/>
    </row>
    <row r="8074" spans="1:6" ht="15" customHeight="1">
      <c r="A8074" s="51"/>
      <c r="B8074" s="52" t="str">
        <f t="shared" si="411"/>
        <v/>
      </c>
      <c r="C8074" t="str">
        <f t="shared" si="410"/>
        <v/>
      </c>
      <c r="D8074" s="245" t="str">
        <f t="shared" si="412"/>
        <v/>
      </c>
      <c r="E8074" s="534"/>
      <c r="F8074" s="534"/>
    </row>
    <row r="8075" spans="1:6" ht="15" customHeight="1">
      <c r="A8075" s="51"/>
      <c r="B8075" s="52" t="str">
        <f t="shared" si="411"/>
        <v/>
      </c>
      <c r="C8075" t="str">
        <f t="shared" si="410"/>
        <v/>
      </c>
      <c r="D8075" s="245" t="str">
        <f t="shared" si="412"/>
        <v/>
      </c>
      <c r="E8075" s="534"/>
      <c r="F8075" s="534"/>
    </row>
    <row r="8076" spans="1:6" ht="15" customHeight="1">
      <c r="A8076" s="51"/>
      <c r="B8076" s="52" t="str">
        <f t="shared" si="411"/>
        <v/>
      </c>
      <c r="C8076" t="str">
        <f t="shared" si="410"/>
        <v/>
      </c>
      <c r="D8076" s="245" t="str">
        <f t="shared" si="412"/>
        <v/>
      </c>
      <c r="E8076" s="534"/>
      <c r="F8076" s="534"/>
    </row>
    <row r="8077" spans="1:6" ht="15" customHeight="1">
      <c r="A8077" s="51"/>
      <c r="B8077" s="52" t="str">
        <f t="shared" si="411"/>
        <v/>
      </c>
      <c r="C8077" t="str">
        <f t="shared" si="410"/>
        <v/>
      </c>
      <c r="D8077" s="245" t="str">
        <f t="shared" si="412"/>
        <v/>
      </c>
      <c r="E8077" s="534"/>
      <c r="F8077" s="534"/>
    </row>
    <row r="8078" spans="1:6" ht="15" customHeight="1">
      <c r="A8078" s="51"/>
      <c r="B8078" s="52" t="str">
        <f t="shared" si="411"/>
        <v/>
      </c>
      <c r="C8078" t="str">
        <f t="shared" si="410"/>
        <v/>
      </c>
      <c r="D8078" s="245" t="str">
        <f t="shared" si="412"/>
        <v/>
      </c>
      <c r="E8078" s="534"/>
      <c r="F8078" s="534"/>
    </row>
    <row r="8079" spans="1:6" ht="15" customHeight="1">
      <c r="A8079" s="51"/>
      <c r="B8079" s="52" t="str">
        <f t="shared" si="411"/>
        <v/>
      </c>
      <c r="C8079" t="str">
        <f t="shared" si="410"/>
        <v/>
      </c>
      <c r="D8079" s="245" t="str">
        <f t="shared" si="412"/>
        <v/>
      </c>
      <c r="E8079" s="534"/>
      <c r="F8079" s="534"/>
    </row>
    <row r="8080" spans="1:6" ht="15" customHeight="1">
      <c r="A8080" s="51"/>
      <c r="B8080" s="52" t="str">
        <f t="shared" si="411"/>
        <v/>
      </c>
      <c r="C8080" t="str">
        <f t="shared" si="410"/>
        <v/>
      </c>
      <c r="D8080" s="245" t="str">
        <f t="shared" si="412"/>
        <v/>
      </c>
      <c r="E8080" s="534"/>
      <c r="F8080" s="534"/>
    </row>
    <row r="8081" spans="1:6" ht="15" customHeight="1">
      <c r="A8081" s="51"/>
      <c r="B8081" s="52" t="str">
        <f t="shared" si="411"/>
        <v/>
      </c>
      <c r="C8081" t="str">
        <f t="shared" si="410"/>
        <v/>
      </c>
      <c r="D8081" s="245" t="str">
        <f t="shared" si="412"/>
        <v/>
      </c>
      <c r="E8081" s="534"/>
      <c r="F8081" s="534"/>
    </row>
    <row r="8082" spans="1:6" ht="15" customHeight="1">
      <c r="A8082" s="51"/>
      <c r="B8082" s="52" t="str">
        <f t="shared" si="411"/>
        <v/>
      </c>
      <c r="C8082" t="str">
        <f t="shared" si="410"/>
        <v/>
      </c>
      <c r="D8082" s="245" t="str">
        <f t="shared" si="412"/>
        <v/>
      </c>
      <c r="E8082" s="534"/>
      <c r="F8082" s="534"/>
    </row>
    <row r="8083" spans="1:6" ht="15" customHeight="1">
      <c r="A8083" s="51"/>
      <c r="B8083" s="52" t="str">
        <f t="shared" si="411"/>
        <v/>
      </c>
      <c r="C8083" t="str">
        <f t="shared" si="410"/>
        <v/>
      </c>
      <c r="D8083" s="245" t="str">
        <f t="shared" si="412"/>
        <v/>
      </c>
      <c r="E8083" s="534"/>
      <c r="F8083" s="534"/>
    </row>
    <row r="8084" spans="1:6" ht="15" customHeight="1">
      <c r="A8084" s="51"/>
      <c r="B8084" s="52" t="str">
        <f t="shared" si="411"/>
        <v/>
      </c>
      <c r="C8084" t="str">
        <f t="shared" si="410"/>
        <v/>
      </c>
      <c r="D8084" s="245" t="str">
        <f t="shared" si="412"/>
        <v/>
      </c>
      <c r="E8084" s="534"/>
      <c r="F8084" s="534"/>
    </row>
    <row r="8085" spans="1:6" ht="15" customHeight="1">
      <c r="A8085" s="51"/>
      <c r="B8085" s="52" t="str">
        <f t="shared" si="411"/>
        <v/>
      </c>
      <c r="C8085" t="str">
        <f t="shared" si="410"/>
        <v/>
      </c>
      <c r="D8085" s="245" t="str">
        <f t="shared" si="412"/>
        <v/>
      </c>
      <c r="E8085" s="534"/>
      <c r="F8085" s="534"/>
    </row>
    <row r="8086" spans="1:6" ht="15" customHeight="1">
      <c r="A8086" s="51"/>
      <c r="B8086" s="52" t="str">
        <f t="shared" si="411"/>
        <v/>
      </c>
      <c r="C8086" t="str">
        <f t="shared" si="410"/>
        <v/>
      </c>
      <c r="D8086" s="245" t="str">
        <f t="shared" si="412"/>
        <v/>
      </c>
      <c r="E8086" s="534"/>
      <c r="F8086" s="534"/>
    </row>
    <row r="8087" spans="1:6" ht="15" customHeight="1">
      <c r="A8087" s="51"/>
      <c r="B8087" s="52" t="str">
        <f t="shared" si="411"/>
        <v/>
      </c>
      <c r="C8087" t="str">
        <f t="shared" si="410"/>
        <v/>
      </c>
      <c r="D8087" s="245" t="str">
        <f t="shared" si="412"/>
        <v/>
      </c>
      <c r="E8087" s="534"/>
      <c r="F8087" s="534"/>
    </row>
    <row r="8088" spans="1:6" ht="15" customHeight="1">
      <c r="A8088" s="51"/>
      <c r="B8088" s="52" t="str">
        <f t="shared" si="411"/>
        <v/>
      </c>
      <c r="C8088" t="str">
        <f t="shared" si="410"/>
        <v/>
      </c>
      <c r="D8088" s="245" t="str">
        <f t="shared" si="412"/>
        <v/>
      </c>
      <c r="E8088" s="534"/>
      <c r="F8088" s="534"/>
    </row>
    <row r="8089" spans="1:6" ht="15" customHeight="1">
      <c r="A8089" s="51"/>
      <c r="B8089" s="52" t="str">
        <f t="shared" si="411"/>
        <v/>
      </c>
      <c r="C8089" t="str">
        <f t="shared" si="410"/>
        <v/>
      </c>
      <c r="D8089" s="245" t="str">
        <f t="shared" si="412"/>
        <v/>
      </c>
      <c r="E8089" s="534"/>
      <c r="F8089" s="534"/>
    </row>
    <row r="8090" spans="1:6" ht="15" customHeight="1">
      <c r="A8090" s="51"/>
      <c r="B8090" s="52" t="str">
        <f t="shared" si="411"/>
        <v/>
      </c>
      <c r="C8090" t="str">
        <f t="shared" si="410"/>
        <v/>
      </c>
      <c r="D8090" s="245" t="str">
        <f t="shared" si="412"/>
        <v/>
      </c>
      <c r="E8090" s="534"/>
      <c r="F8090" s="534"/>
    </row>
    <row r="8091" spans="1:6" ht="15" customHeight="1">
      <c r="A8091" s="51"/>
      <c r="B8091" s="52" t="str">
        <f t="shared" si="411"/>
        <v/>
      </c>
      <c r="C8091" t="str">
        <f t="shared" si="410"/>
        <v/>
      </c>
      <c r="D8091" s="245" t="str">
        <f t="shared" si="412"/>
        <v/>
      </c>
      <c r="E8091" s="534"/>
      <c r="F8091" s="534"/>
    </row>
    <row r="8092" spans="1:6" ht="15" customHeight="1">
      <c r="A8092" s="51"/>
      <c r="B8092" s="52" t="str">
        <f t="shared" si="411"/>
        <v/>
      </c>
      <c r="C8092" t="str">
        <f t="shared" si="410"/>
        <v/>
      </c>
      <c r="D8092" s="245" t="str">
        <f t="shared" si="412"/>
        <v/>
      </c>
      <c r="E8092" s="534"/>
      <c r="F8092" s="534"/>
    </row>
    <row r="8093" spans="1:6" ht="15" customHeight="1">
      <c r="A8093" s="51"/>
      <c r="B8093" s="52" t="str">
        <f t="shared" si="411"/>
        <v/>
      </c>
      <c r="C8093" t="str">
        <f t="shared" si="410"/>
        <v/>
      </c>
      <c r="D8093" s="245" t="str">
        <f t="shared" si="412"/>
        <v/>
      </c>
      <c r="E8093" s="534"/>
      <c r="F8093" s="534"/>
    </row>
    <row r="8094" spans="1:6" ht="15" customHeight="1">
      <c r="A8094" s="51"/>
      <c r="B8094" s="52" t="str">
        <f t="shared" si="411"/>
        <v/>
      </c>
      <c r="C8094" t="str">
        <f t="shared" si="410"/>
        <v/>
      </c>
      <c r="D8094" s="245" t="str">
        <f t="shared" si="412"/>
        <v/>
      </c>
      <c r="E8094" s="534"/>
      <c r="F8094" s="534"/>
    </row>
    <row r="8095" spans="1:6" ht="15" customHeight="1">
      <c r="A8095" s="51"/>
      <c r="B8095" s="52" t="str">
        <f t="shared" si="411"/>
        <v/>
      </c>
      <c r="C8095" t="str">
        <f t="shared" si="410"/>
        <v/>
      </c>
      <c r="D8095" s="245" t="str">
        <f t="shared" si="412"/>
        <v/>
      </c>
      <c r="E8095" s="534"/>
      <c r="F8095" s="534"/>
    </row>
    <row r="8096" spans="1:6" ht="15" customHeight="1">
      <c r="A8096" s="51"/>
      <c r="B8096" s="52" t="str">
        <f t="shared" si="411"/>
        <v/>
      </c>
      <c r="C8096" t="str">
        <f t="shared" si="410"/>
        <v/>
      </c>
      <c r="D8096" s="245" t="str">
        <f t="shared" si="412"/>
        <v/>
      </c>
      <c r="E8096" s="534"/>
      <c r="F8096" s="534"/>
    </row>
    <row r="8097" spans="1:6" ht="15" customHeight="1">
      <c r="A8097" s="51"/>
      <c r="B8097" s="52" t="str">
        <f t="shared" si="411"/>
        <v/>
      </c>
      <c r="C8097" t="str">
        <f t="shared" si="410"/>
        <v/>
      </c>
      <c r="D8097" s="245" t="str">
        <f t="shared" si="412"/>
        <v/>
      </c>
      <c r="E8097" s="534"/>
      <c r="F8097" s="534"/>
    </row>
    <row r="8098" spans="1:6" ht="15" customHeight="1">
      <c r="A8098" s="51"/>
      <c r="B8098" s="52" t="str">
        <f t="shared" si="411"/>
        <v/>
      </c>
      <c r="C8098" t="str">
        <f t="shared" si="410"/>
        <v/>
      </c>
      <c r="D8098" s="245" t="str">
        <f t="shared" si="412"/>
        <v/>
      </c>
      <c r="E8098" s="534"/>
      <c r="F8098" s="534"/>
    </row>
    <row r="8099" spans="1:6" ht="15" customHeight="1">
      <c r="A8099" s="51"/>
      <c r="B8099" s="52" t="str">
        <f t="shared" si="411"/>
        <v/>
      </c>
      <c r="C8099" t="str">
        <f t="shared" si="410"/>
        <v/>
      </c>
      <c r="D8099" s="245" t="str">
        <f t="shared" si="412"/>
        <v/>
      </c>
      <c r="E8099" s="534"/>
      <c r="F8099" s="534"/>
    </row>
    <row r="8100" spans="1:6" ht="15" customHeight="1">
      <c r="A8100" s="51"/>
      <c r="B8100" s="52" t="str">
        <f t="shared" si="411"/>
        <v/>
      </c>
      <c r="C8100" t="str">
        <f t="shared" si="410"/>
        <v/>
      </c>
      <c r="D8100" s="245" t="str">
        <f t="shared" si="412"/>
        <v/>
      </c>
      <c r="E8100" s="534"/>
      <c r="F8100" s="534"/>
    </row>
    <row r="8101" spans="1:6" ht="15" customHeight="1">
      <c r="A8101" s="51"/>
      <c r="B8101" s="52" t="str">
        <f t="shared" si="411"/>
        <v/>
      </c>
      <c r="C8101" t="str">
        <f t="shared" si="410"/>
        <v/>
      </c>
      <c r="D8101" s="245" t="str">
        <f t="shared" si="412"/>
        <v/>
      </c>
      <c r="E8101" s="534"/>
      <c r="F8101" s="534"/>
    </row>
    <row r="8102" spans="1:6" ht="15" customHeight="1">
      <c r="A8102" s="51"/>
      <c r="B8102" s="52" t="str">
        <f t="shared" si="411"/>
        <v/>
      </c>
      <c r="C8102" t="str">
        <f t="shared" si="410"/>
        <v/>
      </c>
      <c r="D8102" s="245" t="str">
        <f t="shared" si="412"/>
        <v/>
      </c>
      <c r="E8102" s="534"/>
      <c r="F8102" s="534"/>
    </row>
    <row r="8103" spans="1:6" ht="15" customHeight="1">
      <c r="A8103" s="51"/>
      <c r="B8103" s="52" t="str">
        <f t="shared" si="411"/>
        <v/>
      </c>
      <c r="C8103" t="str">
        <f t="shared" si="410"/>
        <v/>
      </c>
      <c r="D8103" s="245" t="str">
        <f t="shared" si="412"/>
        <v/>
      </c>
      <c r="E8103" s="534"/>
      <c r="F8103" s="534"/>
    </row>
    <row r="8104" spans="1:6" ht="15" customHeight="1">
      <c r="A8104" s="51"/>
      <c r="B8104" s="52" t="str">
        <f t="shared" si="411"/>
        <v/>
      </c>
      <c r="C8104" t="str">
        <f t="shared" si="410"/>
        <v/>
      </c>
      <c r="D8104" s="245" t="str">
        <f t="shared" si="412"/>
        <v/>
      </c>
      <c r="E8104" s="534"/>
      <c r="F8104" s="534"/>
    </row>
    <row r="8105" spans="1:6" ht="15" customHeight="1">
      <c r="A8105" s="51"/>
      <c r="B8105" s="52" t="str">
        <f t="shared" si="411"/>
        <v/>
      </c>
      <c r="C8105" t="str">
        <f t="shared" si="410"/>
        <v/>
      </c>
      <c r="D8105" s="245" t="str">
        <f t="shared" si="412"/>
        <v/>
      </c>
      <c r="E8105" s="534"/>
      <c r="F8105" s="534"/>
    </row>
    <row r="8106" spans="1:6" ht="15" customHeight="1">
      <c r="A8106" s="51"/>
      <c r="B8106" s="52" t="str">
        <f t="shared" si="411"/>
        <v/>
      </c>
      <c r="C8106" t="str">
        <f t="shared" si="410"/>
        <v/>
      </c>
      <c r="D8106" s="245" t="str">
        <f t="shared" si="412"/>
        <v/>
      </c>
      <c r="E8106" s="534"/>
      <c r="F8106" s="534"/>
    </row>
    <row r="8107" spans="1:6" ht="15" customHeight="1">
      <c r="A8107" s="51"/>
      <c r="B8107" s="52" t="str">
        <f t="shared" si="411"/>
        <v/>
      </c>
      <c r="C8107" t="str">
        <f t="shared" si="410"/>
        <v/>
      </c>
      <c r="D8107" s="245" t="str">
        <f t="shared" si="412"/>
        <v/>
      </c>
      <c r="E8107" s="534"/>
      <c r="F8107" s="534"/>
    </row>
    <row r="8108" spans="1:6" ht="15" customHeight="1">
      <c r="A8108" s="51"/>
      <c r="B8108" s="52" t="str">
        <f t="shared" si="411"/>
        <v/>
      </c>
      <c r="C8108" t="str">
        <f t="shared" si="410"/>
        <v/>
      </c>
      <c r="D8108" s="245" t="str">
        <f t="shared" si="412"/>
        <v/>
      </c>
      <c r="E8108" s="534"/>
      <c r="F8108" s="534"/>
    </row>
    <row r="8109" spans="1:6" ht="15" customHeight="1">
      <c r="A8109" s="51"/>
      <c r="B8109" s="52" t="str">
        <f t="shared" si="411"/>
        <v/>
      </c>
      <c r="C8109" t="str">
        <f t="shared" si="410"/>
        <v/>
      </c>
      <c r="D8109" s="245" t="str">
        <f t="shared" si="412"/>
        <v/>
      </c>
      <c r="E8109" s="534"/>
      <c r="F8109" s="534"/>
    </row>
    <row r="8110" spans="1:6" ht="15" customHeight="1">
      <c r="A8110" s="51"/>
      <c r="B8110" s="52" t="str">
        <f t="shared" si="411"/>
        <v/>
      </c>
      <c r="C8110" t="str">
        <f t="shared" si="410"/>
        <v/>
      </c>
      <c r="D8110" s="245" t="str">
        <f t="shared" si="412"/>
        <v/>
      </c>
      <c r="E8110" s="534"/>
      <c r="F8110" s="534"/>
    </row>
    <row r="8111" spans="1:6" ht="15" customHeight="1">
      <c r="A8111" s="51"/>
      <c r="B8111" s="52" t="str">
        <f t="shared" si="411"/>
        <v/>
      </c>
      <c r="C8111" t="str">
        <f t="shared" si="410"/>
        <v/>
      </c>
      <c r="D8111" s="245" t="str">
        <f t="shared" si="412"/>
        <v/>
      </c>
      <c r="E8111" s="534"/>
      <c r="F8111" s="534"/>
    </row>
    <row r="8112" spans="1:6" ht="15" customHeight="1">
      <c r="A8112" s="51"/>
      <c r="B8112" s="52" t="str">
        <f t="shared" si="411"/>
        <v/>
      </c>
      <c r="C8112" t="str">
        <f t="shared" si="410"/>
        <v/>
      </c>
      <c r="D8112" s="245" t="str">
        <f t="shared" si="412"/>
        <v/>
      </c>
      <c r="E8112" s="534"/>
      <c r="F8112" s="534"/>
    </row>
    <row r="8113" spans="1:6" ht="15" customHeight="1">
      <c r="A8113" s="51"/>
      <c r="B8113" s="52" t="str">
        <f t="shared" si="411"/>
        <v/>
      </c>
      <c r="C8113" t="str">
        <f t="shared" si="410"/>
        <v/>
      </c>
      <c r="D8113" s="245" t="str">
        <f t="shared" si="412"/>
        <v/>
      </c>
      <c r="E8113" s="534"/>
      <c r="F8113" s="534"/>
    </row>
    <row r="8114" spans="1:6" ht="15" customHeight="1">
      <c r="A8114" s="51"/>
      <c r="B8114" s="52" t="str">
        <f t="shared" si="411"/>
        <v/>
      </c>
      <c r="C8114" t="str">
        <f t="shared" si="410"/>
        <v/>
      </c>
      <c r="D8114" s="245" t="str">
        <f t="shared" si="412"/>
        <v/>
      </c>
      <c r="E8114" s="534"/>
      <c r="F8114" s="534"/>
    </row>
    <row r="8115" spans="1:6" ht="15" customHeight="1">
      <c r="A8115" s="51"/>
      <c r="B8115" s="52" t="str">
        <f t="shared" si="411"/>
        <v/>
      </c>
      <c r="C8115" t="str">
        <f t="shared" si="410"/>
        <v/>
      </c>
      <c r="D8115" s="245" t="str">
        <f t="shared" si="412"/>
        <v/>
      </c>
      <c r="E8115" s="534"/>
      <c r="F8115" s="534"/>
    </row>
    <row r="8116" spans="1:6" ht="15" customHeight="1">
      <c r="A8116" s="51"/>
      <c r="B8116" s="52" t="str">
        <f t="shared" si="411"/>
        <v/>
      </c>
      <c r="C8116" t="str">
        <f t="shared" si="410"/>
        <v/>
      </c>
      <c r="D8116" s="245" t="str">
        <f t="shared" si="412"/>
        <v/>
      </c>
      <c r="E8116" s="534"/>
      <c r="F8116" s="534"/>
    </row>
    <row r="8117" spans="1:6" ht="15" customHeight="1">
      <c r="A8117" s="51"/>
      <c r="B8117" s="52" t="str">
        <f t="shared" si="411"/>
        <v/>
      </c>
      <c r="C8117" t="str">
        <f t="shared" si="410"/>
        <v/>
      </c>
      <c r="D8117" s="245" t="str">
        <f t="shared" si="412"/>
        <v/>
      </c>
      <c r="E8117" s="534"/>
      <c r="F8117" s="534"/>
    </row>
    <row r="8118" spans="1:6" ht="15" customHeight="1">
      <c r="A8118" s="51"/>
      <c r="B8118" s="52" t="str">
        <f t="shared" si="411"/>
        <v/>
      </c>
      <c r="C8118" t="str">
        <f t="shared" si="410"/>
        <v/>
      </c>
      <c r="D8118" s="245" t="str">
        <f t="shared" si="412"/>
        <v/>
      </c>
      <c r="E8118" s="534"/>
      <c r="F8118" s="534"/>
    </row>
    <row r="8119" spans="1:6" ht="15" customHeight="1">
      <c r="A8119" s="51"/>
      <c r="B8119" s="52" t="str">
        <f t="shared" si="411"/>
        <v/>
      </c>
      <c r="C8119" t="str">
        <f t="shared" si="410"/>
        <v/>
      </c>
      <c r="D8119" s="245" t="str">
        <f t="shared" si="412"/>
        <v/>
      </c>
      <c r="E8119" s="534"/>
      <c r="F8119" s="534"/>
    </row>
    <row r="8120" spans="1:6" ht="15" customHeight="1">
      <c r="A8120" s="51"/>
      <c r="B8120" s="52" t="str">
        <f t="shared" si="411"/>
        <v/>
      </c>
      <c r="C8120" t="str">
        <f t="shared" si="410"/>
        <v/>
      </c>
      <c r="D8120" s="245" t="str">
        <f t="shared" si="412"/>
        <v/>
      </c>
      <c r="E8120" s="534"/>
      <c r="F8120" s="534"/>
    </row>
    <row r="8121" spans="1:6" ht="15" customHeight="1">
      <c r="A8121" s="51"/>
      <c r="B8121" s="52" t="str">
        <f t="shared" si="411"/>
        <v/>
      </c>
      <c r="C8121" t="str">
        <f t="shared" si="410"/>
        <v/>
      </c>
      <c r="D8121" s="245" t="str">
        <f t="shared" si="412"/>
        <v/>
      </c>
      <c r="E8121" s="534"/>
      <c r="F8121" s="534"/>
    </row>
    <row r="8122" spans="1:6" ht="15" customHeight="1">
      <c r="A8122" s="51"/>
      <c r="B8122" s="52" t="str">
        <f t="shared" si="411"/>
        <v/>
      </c>
      <c r="C8122" t="str">
        <f t="shared" si="410"/>
        <v/>
      </c>
      <c r="D8122" s="245" t="str">
        <f t="shared" si="412"/>
        <v/>
      </c>
      <c r="E8122" s="534"/>
      <c r="F8122" s="534"/>
    </row>
    <row r="8123" spans="1:6" ht="15" customHeight="1">
      <c r="A8123" s="51"/>
      <c r="B8123" s="52" t="str">
        <f t="shared" si="411"/>
        <v/>
      </c>
      <c r="C8123" t="str">
        <f t="shared" si="410"/>
        <v/>
      </c>
      <c r="D8123" s="245" t="str">
        <f t="shared" si="412"/>
        <v/>
      </c>
      <c r="E8123" s="534"/>
      <c r="F8123" s="534"/>
    </row>
    <row r="8124" spans="1:6" ht="15" customHeight="1">
      <c r="A8124" s="51"/>
      <c r="B8124" s="52" t="str">
        <f t="shared" si="411"/>
        <v/>
      </c>
      <c r="C8124" t="str">
        <f t="shared" si="410"/>
        <v/>
      </c>
      <c r="D8124" s="245" t="str">
        <f t="shared" si="412"/>
        <v/>
      </c>
      <c r="E8124" s="534"/>
      <c r="F8124" s="534"/>
    </row>
    <row r="8125" spans="1:6" ht="15" customHeight="1">
      <c r="A8125" s="51"/>
      <c r="B8125" s="52" t="str">
        <f t="shared" si="411"/>
        <v/>
      </c>
      <c r="C8125" t="str">
        <f t="shared" si="410"/>
        <v/>
      </c>
      <c r="D8125" s="245" t="str">
        <f t="shared" si="412"/>
        <v/>
      </c>
      <c r="E8125" s="534"/>
      <c r="F8125" s="534"/>
    </row>
    <row r="8126" spans="1:6" ht="15" customHeight="1">
      <c r="A8126" s="51"/>
      <c r="B8126" s="52" t="str">
        <f t="shared" si="411"/>
        <v/>
      </c>
      <c r="C8126" t="str">
        <f t="shared" si="410"/>
        <v/>
      </c>
      <c r="D8126" s="245" t="str">
        <f t="shared" si="412"/>
        <v/>
      </c>
      <c r="E8126" s="534"/>
      <c r="F8126" s="534"/>
    </row>
    <row r="8127" spans="1:6" ht="15" customHeight="1">
      <c r="A8127" s="51"/>
      <c r="B8127" s="52" t="str">
        <f t="shared" si="411"/>
        <v/>
      </c>
      <c r="C8127" t="str">
        <f t="shared" si="410"/>
        <v/>
      </c>
      <c r="D8127" s="245" t="str">
        <f t="shared" si="412"/>
        <v/>
      </c>
      <c r="E8127" s="534"/>
      <c r="F8127" s="534"/>
    </row>
    <row r="8128" spans="1:6" ht="15" customHeight="1">
      <c r="A8128" s="51"/>
      <c r="B8128" s="52" t="str">
        <f t="shared" si="411"/>
        <v/>
      </c>
      <c r="C8128" t="str">
        <f t="shared" si="410"/>
        <v/>
      </c>
      <c r="D8128" s="245" t="str">
        <f t="shared" si="412"/>
        <v/>
      </c>
      <c r="E8128" s="534"/>
      <c r="F8128" s="534"/>
    </row>
    <row r="8129" spans="1:6" ht="15" customHeight="1">
      <c r="A8129" s="51"/>
      <c r="B8129" s="52" t="str">
        <f t="shared" si="411"/>
        <v/>
      </c>
      <c r="C8129" t="str">
        <f t="shared" si="410"/>
        <v/>
      </c>
      <c r="D8129" s="245" t="str">
        <f t="shared" si="412"/>
        <v/>
      </c>
      <c r="E8129" s="534"/>
      <c r="F8129" s="534"/>
    </row>
    <row r="8130" spans="1:6" ht="15" customHeight="1">
      <c r="A8130" s="51"/>
      <c r="B8130" s="52" t="str">
        <f t="shared" si="411"/>
        <v/>
      </c>
      <c r="C8130" t="str">
        <f t="shared" ref="C8130:C8193" si="413">IF(A8130&lt;&gt;"",TEXT(A8130,"aaaa"),"")</f>
        <v/>
      </c>
      <c r="D8130" s="245" t="str">
        <f t="shared" si="412"/>
        <v/>
      </c>
      <c r="E8130" s="534"/>
      <c r="F8130" s="534"/>
    </row>
    <row r="8131" spans="1:6" ht="15" customHeight="1">
      <c r="A8131" s="51"/>
      <c r="B8131" s="52" t="str">
        <f t="shared" si="411"/>
        <v/>
      </c>
      <c r="C8131" t="str">
        <f t="shared" si="413"/>
        <v/>
      </c>
      <c r="D8131" s="245" t="str">
        <f t="shared" si="412"/>
        <v/>
      </c>
      <c r="E8131" s="534"/>
      <c r="F8131" s="534"/>
    </row>
    <row r="8132" spans="1:6" ht="15" customHeight="1">
      <c r="A8132" s="51"/>
      <c r="B8132" s="52" t="str">
        <f t="shared" si="411"/>
        <v/>
      </c>
      <c r="C8132" t="str">
        <f t="shared" si="413"/>
        <v/>
      </c>
      <c r="D8132" s="245" t="str">
        <f t="shared" si="412"/>
        <v/>
      </c>
      <c r="E8132" s="534"/>
      <c r="F8132" s="534"/>
    </row>
    <row r="8133" spans="1:6" ht="15" customHeight="1">
      <c r="A8133" s="51"/>
      <c r="B8133" s="52" t="str">
        <f t="shared" si="411"/>
        <v/>
      </c>
      <c r="C8133" t="str">
        <f t="shared" si="413"/>
        <v/>
      </c>
      <c r="D8133" s="245" t="str">
        <f t="shared" si="412"/>
        <v/>
      </c>
      <c r="E8133" s="534"/>
      <c r="F8133" s="534"/>
    </row>
    <row r="8134" spans="1:6" ht="15" customHeight="1">
      <c r="A8134" s="51"/>
      <c r="B8134" s="52" t="str">
        <f t="shared" si="411"/>
        <v/>
      </c>
      <c r="C8134" t="str">
        <f t="shared" si="413"/>
        <v/>
      </c>
      <c r="D8134" s="245" t="str">
        <f t="shared" si="412"/>
        <v/>
      </c>
      <c r="E8134" s="534"/>
      <c r="F8134" s="534"/>
    </row>
    <row r="8135" spans="1:6" ht="15" customHeight="1">
      <c r="A8135" s="51"/>
      <c r="B8135" s="52" t="str">
        <f t="shared" si="411"/>
        <v/>
      </c>
      <c r="C8135" t="str">
        <f t="shared" si="413"/>
        <v/>
      </c>
      <c r="D8135" s="245" t="str">
        <f t="shared" si="412"/>
        <v/>
      </c>
      <c r="E8135" s="534"/>
      <c r="F8135" s="534"/>
    </row>
    <row r="8136" spans="1:6" ht="15" customHeight="1">
      <c r="A8136" s="51"/>
      <c r="B8136" s="52" t="str">
        <f t="shared" ref="B8136:B8199" si="414">IF(A8136="","",TEXT(A8136,"DDDD"))</f>
        <v/>
      </c>
      <c r="C8136" t="str">
        <f t="shared" si="413"/>
        <v/>
      </c>
      <c r="D8136" s="245" t="str">
        <f t="shared" si="412"/>
        <v/>
      </c>
      <c r="E8136" s="534"/>
      <c r="F8136" s="534"/>
    </row>
    <row r="8137" spans="1:6" ht="15" customHeight="1">
      <c r="A8137" s="51"/>
      <c r="B8137" s="52" t="str">
        <f t="shared" si="414"/>
        <v/>
      </c>
      <c r="C8137" t="str">
        <f t="shared" si="413"/>
        <v/>
      </c>
      <c r="D8137" s="245" t="str">
        <f t="shared" ref="D8137:D8200" si="415">IF(A8137&lt;&gt;"",PROPER(TEXT(A8137,"Mmmm")),"")</f>
        <v/>
      </c>
      <c r="E8137" s="534"/>
      <c r="F8137" s="534"/>
    </row>
    <row r="8138" spans="1:6" ht="15" customHeight="1">
      <c r="A8138" s="51"/>
      <c r="B8138" s="52" t="str">
        <f t="shared" si="414"/>
        <v/>
      </c>
      <c r="C8138" t="str">
        <f t="shared" si="413"/>
        <v/>
      </c>
      <c r="D8138" s="245" t="str">
        <f t="shared" si="415"/>
        <v/>
      </c>
      <c r="E8138" s="534"/>
      <c r="F8138" s="534"/>
    </row>
    <row r="8139" spans="1:6" ht="15" customHeight="1">
      <c r="A8139" s="51"/>
      <c r="B8139" s="52" t="str">
        <f t="shared" si="414"/>
        <v/>
      </c>
      <c r="C8139" t="str">
        <f t="shared" si="413"/>
        <v/>
      </c>
      <c r="D8139" s="245" t="str">
        <f t="shared" si="415"/>
        <v/>
      </c>
      <c r="E8139" s="534"/>
      <c r="F8139" s="534"/>
    </row>
    <row r="8140" spans="1:6" ht="15" customHeight="1">
      <c r="A8140" s="51"/>
      <c r="B8140" s="52" t="str">
        <f t="shared" si="414"/>
        <v/>
      </c>
      <c r="C8140" t="str">
        <f t="shared" si="413"/>
        <v/>
      </c>
      <c r="D8140" s="245" t="str">
        <f t="shared" si="415"/>
        <v/>
      </c>
      <c r="E8140" s="534"/>
      <c r="F8140" s="534"/>
    </row>
    <row r="8141" spans="1:6" ht="15" customHeight="1">
      <c r="A8141" s="51"/>
      <c r="B8141" s="52" t="str">
        <f t="shared" si="414"/>
        <v/>
      </c>
      <c r="C8141" t="str">
        <f t="shared" si="413"/>
        <v/>
      </c>
      <c r="D8141" s="245" t="str">
        <f t="shared" si="415"/>
        <v/>
      </c>
      <c r="E8141" s="534"/>
      <c r="F8141" s="534"/>
    </row>
    <row r="8142" spans="1:6" ht="15" customHeight="1">
      <c r="A8142" s="51"/>
      <c r="B8142" s="52" t="str">
        <f t="shared" si="414"/>
        <v/>
      </c>
      <c r="C8142" t="str">
        <f t="shared" si="413"/>
        <v/>
      </c>
      <c r="D8142" s="245" t="str">
        <f t="shared" si="415"/>
        <v/>
      </c>
      <c r="E8142" s="534"/>
      <c r="F8142" s="534"/>
    </row>
    <row r="8143" spans="1:6" ht="15" customHeight="1">
      <c r="A8143" s="51"/>
      <c r="B8143" s="52" t="str">
        <f t="shared" si="414"/>
        <v/>
      </c>
      <c r="C8143" t="str">
        <f t="shared" si="413"/>
        <v/>
      </c>
      <c r="D8143" s="245" t="str">
        <f t="shared" si="415"/>
        <v/>
      </c>
      <c r="E8143" s="534"/>
      <c r="F8143" s="534"/>
    </row>
    <row r="8144" spans="1:6" ht="15" customHeight="1">
      <c r="A8144" s="51"/>
      <c r="B8144" s="52" t="str">
        <f t="shared" si="414"/>
        <v/>
      </c>
      <c r="C8144" t="str">
        <f t="shared" si="413"/>
        <v/>
      </c>
      <c r="D8144" s="245" t="str">
        <f t="shared" si="415"/>
        <v/>
      </c>
      <c r="E8144" s="534"/>
      <c r="F8144" s="534"/>
    </row>
    <row r="8145" spans="1:6" ht="15" customHeight="1">
      <c r="A8145" s="51"/>
      <c r="B8145" s="52" t="str">
        <f t="shared" si="414"/>
        <v/>
      </c>
      <c r="C8145" t="str">
        <f t="shared" si="413"/>
        <v/>
      </c>
      <c r="D8145" s="245" t="str">
        <f t="shared" si="415"/>
        <v/>
      </c>
      <c r="E8145" s="534"/>
      <c r="F8145" s="534"/>
    </row>
    <row r="8146" spans="1:6" ht="15" customHeight="1">
      <c r="A8146" s="51"/>
      <c r="B8146" s="52" t="str">
        <f t="shared" si="414"/>
        <v/>
      </c>
      <c r="C8146" t="str">
        <f t="shared" si="413"/>
        <v/>
      </c>
      <c r="D8146" s="245" t="str">
        <f t="shared" si="415"/>
        <v/>
      </c>
      <c r="E8146" s="534"/>
      <c r="F8146" s="534"/>
    </row>
    <row r="8147" spans="1:6" ht="15" customHeight="1">
      <c r="A8147" s="51"/>
      <c r="B8147" s="52" t="str">
        <f t="shared" si="414"/>
        <v/>
      </c>
      <c r="C8147" t="str">
        <f t="shared" si="413"/>
        <v/>
      </c>
      <c r="D8147" s="245" t="str">
        <f t="shared" si="415"/>
        <v/>
      </c>
      <c r="E8147" s="534"/>
      <c r="F8147" s="534"/>
    </row>
    <row r="8148" spans="1:6" ht="15" customHeight="1">
      <c r="A8148" s="51"/>
      <c r="B8148" s="52" t="str">
        <f t="shared" si="414"/>
        <v/>
      </c>
      <c r="C8148" t="str">
        <f t="shared" si="413"/>
        <v/>
      </c>
      <c r="D8148" s="245" t="str">
        <f t="shared" si="415"/>
        <v/>
      </c>
      <c r="E8148" s="534"/>
      <c r="F8148" s="534"/>
    </row>
    <row r="8149" spans="1:6" ht="15" customHeight="1">
      <c r="A8149" s="51"/>
      <c r="B8149" s="52" t="str">
        <f t="shared" si="414"/>
        <v/>
      </c>
      <c r="C8149" t="str">
        <f t="shared" si="413"/>
        <v/>
      </c>
      <c r="D8149" s="245" t="str">
        <f t="shared" si="415"/>
        <v/>
      </c>
      <c r="E8149" s="534"/>
      <c r="F8149" s="534"/>
    </row>
    <row r="8150" spans="1:6" ht="15" customHeight="1">
      <c r="A8150" s="51"/>
      <c r="B8150" s="52" t="str">
        <f t="shared" si="414"/>
        <v/>
      </c>
      <c r="C8150" t="str">
        <f t="shared" si="413"/>
        <v/>
      </c>
      <c r="D8150" s="245" t="str">
        <f t="shared" si="415"/>
        <v/>
      </c>
      <c r="E8150" s="534"/>
      <c r="F8150" s="534"/>
    </row>
    <row r="8151" spans="1:6" ht="15" customHeight="1">
      <c r="A8151" s="51"/>
      <c r="B8151" s="52" t="str">
        <f t="shared" si="414"/>
        <v/>
      </c>
      <c r="C8151" t="str">
        <f t="shared" si="413"/>
        <v/>
      </c>
      <c r="D8151" s="245" t="str">
        <f t="shared" si="415"/>
        <v/>
      </c>
      <c r="E8151" s="534"/>
      <c r="F8151" s="534"/>
    </row>
    <row r="8152" spans="1:6" ht="15" customHeight="1">
      <c r="A8152" s="51"/>
      <c r="B8152" s="52" t="str">
        <f t="shared" si="414"/>
        <v/>
      </c>
      <c r="C8152" t="str">
        <f t="shared" si="413"/>
        <v/>
      </c>
      <c r="D8152" s="245" t="str">
        <f t="shared" si="415"/>
        <v/>
      </c>
      <c r="E8152" s="534"/>
      <c r="F8152" s="534"/>
    </row>
    <row r="8153" spans="1:6" ht="15" customHeight="1">
      <c r="A8153" s="51"/>
      <c r="B8153" s="52" t="str">
        <f t="shared" si="414"/>
        <v/>
      </c>
      <c r="C8153" t="str">
        <f t="shared" si="413"/>
        <v/>
      </c>
      <c r="D8153" s="245" t="str">
        <f t="shared" si="415"/>
        <v/>
      </c>
      <c r="E8153" s="534"/>
      <c r="F8153" s="534"/>
    </row>
    <row r="8154" spans="1:6" ht="15" customHeight="1">
      <c r="A8154" s="51"/>
      <c r="B8154" s="52" t="str">
        <f t="shared" si="414"/>
        <v/>
      </c>
      <c r="C8154" t="str">
        <f t="shared" si="413"/>
        <v/>
      </c>
      <c r="D8154" s="245" t="str">
        <f t="shared" si="415"/>
        <v/>
      </c>
      <c r="E8154" s="534"/>
      <c r="F8154" s="534"/>
    </row>
    <row r="8155" spans="1:6" ht="15" customHeight="1">
      <c r="A8155" s="51"/>
      <c r="B8155" s="52" t="str">
        <f t="shared" si="414"/>
        <v/>
      </c>
      <c r="C8155" t="str">
        <f t="shared" si="413"/>
        <v/>
      </c>
      <c r="D8155" s="245" t="str">
        <f t="shared" si="415"/>
        <v/>
      </c>
      <c r="E8155" s="534"/>
      <c r="F8155" s="534"/>
    </row>
    <row r="8156" spans="1:6" ht="15" customHeight="1">
      <c r="A8156" s="51"/>
      <c r="B8156" s="52" t="str">
        <f t="shared" si="414"/>
        <v/>
      </c>
      <c r="C8156" t="str">
        <f t="shared" si="413"/>
        <v/>
      </c>
      <c r="D8156" s="245" t="str">
        <f t="shared" si="415"/>
        <v/>
      </c>
      <c r="E8156" s="534"/>
      <c r="F8156" s="534"/>
    </row>
    <row r="8157" spans="1:6" ht="15" customHeight="1">
      <c r="A8157" s="51"/>
      <c r="B8157" s="52" t="str">
        <f t="shared" si="414"/>
        <v/>
      </c>
      <c r="C8157" t="str">
        <f t="shared" si="413"/>
        <v/>
      </c>
      <c r="D8157" s="245" t="str">
        <f t="shared" si="415"/>
        <v/>
      </c>
      <c r="E8157" s="534"/>
      <c r="F8157" s="534"/>
    </row>
    <row r="8158" spans="1:6" ht="15" customHeight="1">
      <c r="A8158" s="51"/>
      <c r="B8158" s="52" t="str">
        <f t="shared" si="414"/>
        <v/>
      </c>
      <c r="C8158" t="str">
        <f t="shared" si="413"/>
        <v/>
      </c>
      <c r="D8158" s="245" t="str">
        <f t="shared" si="415"/>
        <v/>
      </c>
      <c r="E8158" s="534"/>
      <c r="F8158" s="534"/>
    </row>
    <row r="8159" spans="1:6" ht="15" customHeight="1">
      <c r="A8159" s="51"/>
      <c r="B8159" s="52" t="str">
        <f t="shared" si="414"/>
        <v/>
      </c>
      <c r="C8159" t="str">
        <f t="shared" si="413"/>
        <v/>
      </c>
      <c r="D8159" s="245" t="str">
        <f t="shared" si="415"/>
        <v/>
      </c>
      <c r="E8159" s="534"/>
      <c r="F8159" s="534"/>
    </row>
    <row r="8160" spans="1:6" ht="15" customHeight="1">
      <c r="A8160" s="51"/>
      <c r="B8160" s="52" t="str">
        <f t="shared" si="414"/>
        <v/>
      </c>
      <c r="C8160" t="str">
        <f t="shared" si="413"/>
        <v/>
      </c>
      <c r="D8160" s="245" t="str">
        <f t="shared" si="415"/>
        <v/>
      </c>
      <c r="E8160" s="534"/>
      <c r="F8160" s="534"/>
    </row>
    <row r="8161" spans="1:6" ht="15" customHeight="1">
      <c r="A8161" s="51"/>
      <c r="B8161" s="52" t="str">
        <f t="shared" si="414"/>
        <v/>
      </c>
      <c r="C8161" t="str">
        <f t="shared" si="413"/>
        <v/>
      </c>
      <c r="D8161" s="245" t="str">
        <f t="shared" si="415"/>
        <v/>
      </c>
      <c r="E8161" s="534"/>
      <c r="F8161" s="534"/>
    </row>
    <row r="8162" spans="1:6" ht="15" customHeight="1">
      <c r="A8162" s="51"/>
      <c r="B8162" s="52" t="str">
        <f t="shared" si="414"/>
        <v/>
      </c>
      <c r="C8162" t="str">
        <f t="shared" si="413"/>
        <v/>
      </c>
      <c r="D8162" s="245" t="str">
        <f t="shared" si="415"/>
        <v/>
      </c>
      <c r="E8162" s="534"/>
      <c r="F8162" s="534"/>
    </row>
    <row r="8163" spans="1:6" ht="15" customHeight="1">
      <c r="A8163" s="51"/>
      <c r="B8163" s="52" t="str">
        <f t="shared" si="414"/>
        <v/>
      </c>
      <c r="C8163" t="str">
        <f t="shared" si="413"/>
        <v/>
      </c>
      <c r="D8163" s="245" t="str">
        <f t="shared" si="415"/>
        <v/>
      </c>
      <c r="E8163" s="534"/>
      <c r="F8163" s="534"/>
    </row>
    <row r="8164" spans="1:6" ht="15" customHeight="1">
      <c r="A8164" s="51"/>
      <c r="B8164" s="52" t="str">
        <f t="shared" si="414"/>
        <v/>
      </c>
      <c r="C8164" t="str">
        <f t="shared" si="413"/>
        <v/>
      </c>
      <c r="D8164" s="245" t="str">
        <f t="shared" si="415"/>
        <v/>
      </c>
      <c r="E8164" s="534"/>
      <c r="F8164" s="534"/>
    </row>
    <row r="8165" spans="1:6" ht="15" customHeight="1">
      <c r="A8165" s="51"/>
      <c r="B8165" s="52" t="str">
        <f t="shared" si="414"/>
        <v/>
      </c>
      <c r="C8165" t="str">
        <f t="shared" si="413"/>
        <v/>
      </c>
      <c r="D8165" s="245" t="str">
        <f t="shared" si="415"/>
        <v/>
      </c>
      <c r="E8165" s="534"/>
      <c r="F8165" s="534"/>
    </row>
    <row r="8166" spans="1:6" ht="15" customHeight="1">
      <c r="A8166" s="51"/>
      <c r="B8166" s="52" t="str">
        <f t="shared" si="414"/>
        <v/>
      </c>
      <c r="C8166" t="str">
        <f t="shared" si="413"/>
        <v/>
      </c>
      <c r="D8166" s="245" t="str">
        <f t="shared" si="415"/>
        <v/>
      </c>
      <c r="E8166" s="534"/>
      <c r="F8166" s="534"/>
    </row>
    <row r="8167" spans="1:6" ht="15" customHeight="1">
      <c r="A8167" s="51"/>
      <c r="B8167" s="52" t="str">
        <f t="shared" si="414"/>
        <v/>
      </c>
      <c r="C8167" t="str">
        <f t="shared" si="413"/>
        <v/>
      </c>
      <c r="D8167" s="245" t="str">
        <f t="shared" si="415"/>
        <v/>
      </c>
      <c r="E8167" s="534"/>
      <c r="F8167" s="534"/>
    </row>
    <row r="8168" spans="1:6" ht="15" customHeight="1">
      <c r="A8168" s="51"/>
      <c r="B8168" s="52" t="str">
        <f t="shared" si="414"/>
        <v/>
      </c>
      <c r="C8168" t="str">
        <f t="shared" si="413"/>
        <v/>
      </c>
      <c r="D8168" s="245" t="str">
        <f t="shared" si="415"/>
        <v/>
      </c>
      <c r="E8168" s="534"/>
      <c r="F8168" s="534"/>
    </row>
    <row r="8169" spans="1:6" ht="15" customHeight="1">
      <c r="A8169" s="51"/>
      <c r="B8169" s="52" t="str">
        <f t="shared" si="414"/>
        <v/>
      </c>
      <c r="C8169" t="str">
        <f t="shared" si="413"/>
        <v/>
      </c>
      <c r="D8169" s="245" t="str">
        <f t="shared" si="415"/>
        <v/>
      </c>
      <c r="E8169" s="534"/>
      <c r="F8169" s="534"/>
    </row>
    <row r="8170" spans="1:6" ht="15" customHeight="1">
      <c r="A8170" s="51"/>
      <c r="B8170" s="52" t="str">
        <f t="shared" si="414"/>
        <v/>
      </c>
      <c r="C8170" t="str">
        <f t="shared" si="413"/>
        <v/>
      </c>
      <c r="D8170" s="245" t="str">
        <f t="shared" si="415"/>
        <v/>
      </c>
      <c r="E8170" s="534"/>
      <c r="F8170" s="534"/>
    </row>
    <row r="8171" spans="1:6" ht="15" customHeight="1">
      <c r="A8171" s="51"/>
      <c r="B8171" s="52" t="str">
        <f t="shared" si="414"/>
        <v/>
      </c>
      <c r="C8171" t="str">
        <f t="shared" si="413"/>
        <v/>
      </c>
      <c r="D8171" s="245" t="str">
        <f t="shared" si="415"/>
        <v/>
      </c>
      <c r="E8171" s="534"/>
      <c r="F8171" s="534"/>
    </row>
    <row r="8172" spans="1:6" ht="15" customHeight="1">
      <c r="A8172" s="51"/>
      <c r="B8172" s="52" t="str">
        <f t="shared" si="414"/>
        <v/>
      </c>
      <c r="C8172" t="str">
        <f t="shared" si="413"/>
        <v/>
      </c>
      <c r="D8172" s="245" t="str">
        <f t="shared" si="415"/>
        <v/>
      </c>
      <c r="E8172" s="534"/>
      <c r="F8172" s="534"/>
    </row>
    <row r="8173" spans="1:6" ht="15" customHeight="1">
      <c r="A8173" s="51"/>
      <c r="B8173" s="52" t="str">
        <f t="shared" si="414"/>
        <v/>
      </c>
      <c r="C8173" t="str">
        <f t="shared" si="413"/>
        <v/>
      </c>
      <c r="D8173" s="245" t="str">
        <f t="shared" si="415"/>
        <v/>
      </c>
      <c r="E8173" s="534"/>
      <c r="F8173" s="534"/>
    </row>
    <row r="8174" spans="1:6" ht="15" customHeight="1">
      <c r="A8174" s="51"/>
      <c r="B8174" s="52" t="str">
        <f t="shared" si="414"/>
        <v/>
      </c>
      <c r="C8174" t="str">
        <f t="shared" si="413"/>
        <v/>
      </c>
      <c r="D8174" s="245" t="str">
        <f t="shared" si="415"/>
        <v/>
      </c>
      <c r="E8174" s="534"/>
      <c r="F8174" s="534"/>
    </row>
    <row r="8175" spans="1:6" ht="15" customHeight="1">
      <c r="A8175" s="51"/>
      <c r="B8175" s="52" t="str">
        <f t="shared" si="414"/>
        <v/>
      </c>
      <c r="C8175" t="str">
        <f t="shared" si="413"/>
        <v/>
      </c>
      <c r="D8175" s="245" t="str">
        <f t="shared" si="415"/>
        <v/>
      </c>
      <c r="E8175" s="534"/>
      <c r="F8175" s="534"/>
    </row>
    <row r="8176" spans="1:6" ht="15" customHeight="1">
      <c r="A8176" s="51"/>
      <c r="B8176" s="52" t="str">
        <f t="shared" si="414"/>
        <v/>
      </c>
      <c r="C8176" t="str">
        <f t="shared" si="413"/>
        <v/>
      </c>
      <c r="D8176" s="245" t="str">
        <f t="shared" si="415"/>
        <v/>
      </c>
      <c r="E8176" s="534"/>
      <c r="F8176" s="534"/>
    </row>
    <row r="8177" spans="1:6" ht="15" customHeight="1">
      <c r="A8177" s="51"/>
      <c r="B8177" s="52" t="str">
        <f t="shared" si="414"/>
        <v/>
      </c>
      <c r="C8177" t="str">
        <f t="shared" si="413"/>
        <v/>
      </c>
      <c r="D8177" s="245" t="str">
        <f t="shared" si="415"/>
        <v/>
      </c>
      <c r="E8177" s="534"/>
      <c r="F8177" s="534"/>
    </row>
    <row r="8178" spans="1:6" ht="15" customHeight="1">
      <c r="A8178" s="51"/>
      <c r="B8178" s="52" t="str">
        <f t="shared" si="414"/>
        <v/>
      </c>
      <c r="C8178" t="str">
        <f t="shared" si="413"/>
        <v/>
      </c>
      <c r="D8178" s="245" t="str">
        <f t="shared" si="415"/>
        <v/>
      </c>
      <c r="E8178" s="534"/>
      <c r="F8178" s="534"/>
    </row>
    <row r="8179" spans="1:6" ht="15" customHeight="1">
      <c r="A8179" s="51"/>
      <c r="B8179" s="52" t="str">
        <f t="shared" si="414"/>
        <v/>
      </c>
      <c r="C8179" t="str">
        <f t="shared" si="413"/>
        <v/>
      </c>
      <c r="D8179" s="245" t="str">
        <f t="shared" si="415"/>
        <v/>
      </c>
      <c r="E8179" s="534"/>
      <c r="F8179" s="534"/>
    </row>
    <row r="8180" spans="1:6" ht="15" customHeight="1">
      <c r="A8180" s="51"/>
      <c r="B8180" s="52" t="str">
        <f t="shared" si="414"/>
        <v/>
      </c>
      <c r="C8180" t="str">
        <f t="shared" si="413"/>
        <v/>
      </c>
      <c r="D8180" s="245" t="str">
        <f t="shared" si="415"/>
        <v/>
      </c>
      <c r="E8180" s="534"/>
      <c r="F8180" s="534"/>
    </row>
    <row r="8181" spans="1:6" ht="15" customHeight="1">
      <c r="A8181" s="51"/>
      <c r="B8181" s="52" t="str">
        <f t="shared" si="414"/>
        <v/>
      </c>
      <c r="C8181" t="str">
        <f t="shared" si="413"/>
        <v/>
      </c>
      <c r="D8181" s="245" t="str">
        <f t="shared" si="415"/>
        <v/>
      </c>
      <c r="E8181" s="534"/>
      <c r="F8181" s="534"/>
    </row>
    <row r="8182" spans="1:6" ht="15" customHeight="1">
      <c r="A8182" s="51"/>
      <c r="B8182" s="52" t="str">
        <f t="shared" si="414"/>
        <v/>
      </c>
      <c r="C8182" t="str">
        <f t="shared" si="413"/>
        <v/>
      </c>
      <c r="D8182" s="245" t="str">
        <f t="shared" si="415"/>
        <v/>
      </c>
      <c r="E8182" s="534"/>
      <c r="F8182" s="534"/>
    </row>
    <row r="8183" spans="1:6" ht="15" customHeight="1">
      <c r="A8183" s="51"/>
      <c r="B8183" s="52" t="str">
        <f t="shared" si="414"/>
        <v/>
      </c>
      <c r="C8183" t="str">
        <f t="shared" si="413"/>
        <v/>
      </c>
      <c r="D8183" s="245" t="str">
        <f t="shared" si="415"/>
        <v/>
      </c>
      <c r="E8183" s="534"/>
      <c r="F8183" s="534"/>
    </row>
    <row r="8184" spans="1:6" ht="15" customHeight="1">
      <c r="A8184" s="51"/>
      <c r="B8184" s="52" t="str">
        <f t="shared" si="414"/>
        <v/>
      </c>
      <c r="C8184" t="str">
        <f t="shared" si="413"/>
        <v/>
      </c>
      <c r="D8184" s="245" t="str">
        <f t="shared" si="415"/>
        <v/>
      </c>
      <c r="E8184" s="534"/>
      <c r="F8184" s="534"/>
    </row>
    <row r="8185" spans="1:6" ht="15" customHeight="1">
      <c r="A8185" s="51"/>
      <c r="B8185" s="52" t="str">
        <f t="shared" si="414"/>
        <v/>
      </c>
      <c r="C8185" t="str">
        <f t="shared" si="413"/>
        <v/>
      </c>
      <c r="D8185" s="245" t="str">
        <f t="shared" si="415"/>
        <v/>
      </c>
      <c r="E8185" s="534"/>
      <c r="F8185" s="534"/>
    </row>
    <row r="8186" spans="1:6" ht="15" customHeight="1">
      <c r="A8186" s="51"/>
      <c r="B8186" s="52" t="str">
        <f t="shared" si="414"/>
        <v/>
      </c>
      <c r="C8186" t="str">
        <f t="shared" si="413"/>
        <v/>
      </c>
      <c r="D8186" s="245" t="str">
        <f t="shared" si="415"/>
        <v/>
      </c>
      <c r="E8186" s="534"/>
      <c r="F8186" s="534"/>
    </row>
    <row r="8187" spans="1:6" ht="15" customHeight="1">
      <c r="A8187" s="51"/>
      <c r="B8187" s="52" t="str">
        <f t="shared" si="414"/>
        <v/>
      </c>
      <c r="C8187" t="str">
        <f t="shared" si="413"/>
        <v/>
      </c>
      <c r="D8187" s="245" t="str">
        <f t="shared" si="415"/>
        <v/>
      </c>
      <c r="E8187" s="534"/>
      <c r="F8187" s="534"/>
    </row>
    <row r="8188" spans="1:6" ht="15" customHeight="1">
      <c r="A8188" s="51"/>
      <c r="B8188" s="52" t="str">
        <f t="shared" si="414"/>
        <v/>
      </c>
      <c r="C8188" t="str">
        <f t="shared" si="413"/>
        <v/>
      </c>
      <c r="D8188" s="245" t="str">
        <f t="shared" si="415"/>
        <v/>
      </c>
      <c r="E8188" s="534"/>
      <c r="F8188" s="534"/>
    </row>
    <row r="8189" spans="1:6" ht="15" customHeight="1">
      <c r="A8189" s="51"/>
      <c r="B8189" s="52" t="str">
        <f t="shared" si="414"/>
        <v/>
      </c>
      <c r="C8189" t="str">
        <f t="shared" si="413"/>
        <v/>
      </c>
      <c r="D8189" s="245" t="str">
        <f t="shared" si="415"/>
        <v/>
      </c>
      <c r="E8189" s="534"/>
      <c r="F8189" s="534"/>
    </row>
    <row r="8190" spans="1:6" ht="15" customHeight="1">
      <c r="A8190" s="51"/>
      <c r="B8190" s="52" t="str">
        <f t="shared" si="414"/>
        <v/>
      </c>
      <c r="C8190" t="str">
        <f t="shared" si="413"/>
        <v/>
      </c>
      <c r="D8190" s="245" t="str">
        <f t="shared" si="415"/>
        <v/>
      </c>
      <c r="E8190" s="534"/>
      <c r="F8190" s="534"/>
    </row>
    <row r="8191" spans="1:6" ht="15" customHeight="1">
      <c r="A8191" s="51"/>
      <c r="B8191" s="52" t="str">
        <f t="shared" si="414"/>
        <v/>
      </c>
      <c r="C8191" t="str">
        <f t="shared" si="413"/>
        <v/>
      </c>
      <c r="D8191" s="245" t="str">
        <f t="shared" si="415"/>
        <v/>
      </c>
      <c r="E8191" s="534"/>
      <c r="F8191" s="534"/>
    </row>
    <row r="8192" spans="1:6" ht="15" customHeight="1">
      <c r="A8192" s="51"/>
      <c r="B8192" s="52" t="str">
        <f t="shared" si="414"/>
        <v/>
      </c>
      <c r="C8192" t="str">
        <f t="shared" si="413"/>
        <v/>
      </c>
      <c r="D8192" s="245" t="str">
        <f t="shared" si="415"/>
        <v/>
      </c>
      <c r="E8192" s="534"/>
      <c r="F8192" s="534"/>
    </row>
    <row r="8193" spans="1:6" ht="15" customHeight="1">
      <c r="A8193" s="51"/>
      <c r="B8193" s="52" t="str">
        <f t="shared" si="414"/>
        <v/>
      </c>
      <c r="C8193" t="str">
        <f t="shared" si="413"/>
        <v/>
      </c>
      <c r="D8193" s="245" t="str">
        <f t="shared" si="415"/>
        <v/>
      </c>
      <c r="E8193" s="534"/>
      <c r="F8193" s="534"/>
    </row>
    <row r="8194" spans="1:6" ht="15" customHeight="1">
      <c r="A8194" s="51"/>
      <c r="B8194" s="52" t="str">
        <f t="shared" si="414"/>
        <v/>
      </c>
      <c r="C8194" t="str">
        <f t="shared" ref="C8194:C8257" si="416">IF(A8194&lt;&gt;"",TEXT(A8194,"aaaa"),"")</f>
        <v/>
      </c>
      <c r="D8194" s="245" t="str">
        <f t="shared" si="415"/>
        <v/>
      </c>
      <c r="E8194" s="534"/>
      <c r="F8194" s="534"/>
    </row>
    <row r="8195" spans="1:6" ht="15" customHeight="1">
      <c r="A8195" s="51"/>
      <c r="B8195" s="52" t="str">
        <f t="shared" si="414"/>
        <v/>
      </c>
      <c r="C8195" t="str">
        <f t="shared" si="416"/>
        <v/>
      </c>
      <c r="D8195" s="245" t="str">
        <f t="shared" si="415"/>
        <v/>
      </c>
      <c r="E8195" s="534"/>
      <c r="F8195" s="534"/>
    </row>
    <row r="8196" spans="1:6" ht="15" customHeight="1">
      <c r="A8196" s="51"/>
      <c r="B8196" s="52" t="str">
        <f t="shared" si="414"/>
        <v/>
      </c>
      <c r="C8196" t="str">
        <f t="shared" si="416"/>
        <v/>
      </c>
      <c r="D8196" s="245" t="str">
        <f t="shared" si="415"/>
        <v/>
      </c>
      <c r="E8196" s="534"/>
      <c r="F8196" s="534"/>
    </row>
    <row r="8197" spans="1:6" ht="15" customHeight="1">
      <c r="A8197" s="51"/>
      <c r="B8197" s="52" t="str">
        <f t="shared" si="414"/>
        <v/>
      </c>
      <c r="C8197" t="str">
        <f t="shared" si="416"/>
        <v/>
      </c>
      <c r="D8197" s="245" t="str">
        <f t="shared" si="415"/>
        <v/>
      </c>
      <c r="E8197" s="534"/>
      <c r="F8197" s="534"/>
    </row>
    <row r="8198" spans="1:6" ht="15" customHeight="1">
      <c r="A8198" s="51"/>
      <c r="B8198" s="52" t="str">
        <f t="shared" si="414"/>
        <v/>
      </c>
      <c r="C8198" t="str">
        <f t="shared" si="416"/>
        <v/>
      </c>
      <c r="D8198" s="245" t="str">
        <f t="shared" si="415"/>
        <v/>
      </c>
      <c r="E8198" s="534"/>
      <c r="F8198" s="534"/>
    </row>
    <row r="8199" spans="1:6" ht="15" customHeight="1">
      <c r="A8199" s="51"/>
      <c r="B8199" s="52" t="str">
        <f t="shared" si="414"/>
        <v/>
      </c>
      <c r="C8199" t="str">
        <f t="shared" si="416"/>
        <v/>
      </c>
      <c r="D8199" s="245" t="str">
        <f t="shared" si="415"/>
        <v/>
      </c>
      <c r="E8199" s="534"/>
      <c r="F8199" s="534"/>
    </row>
    <row r="8200" spans="1:6" ht="15" customHeight="1">
      <c r="A8200" s="51"/>
      <c r="B8200" s="52" t="str">
        <f t="shared" ref="B8200:B8263" si="417">IF(A8200="","",TEXT(A8200,"DDDD"))</f>
        <v/>
      </c>
      <c r="C8200" t="str">
        <f t="shared" si="416"/>
        <v/>
      </c>
      <c r="D8200" s="245" t="str">
        <f t="shared" si="415"/>
        <v/>
      </c>
      <c r="E8200" s="534"/>
      <c r="F8200" s="534"/>
    </row>
    <row r="8201" spans="1:6" ht="15" customHeight="1">
      <c r="A8201" s="51"/>
      <c r="B8201" s="52" t="str">
        <f t="shared" si="417"/>
        <v/>
      </c>
      <c r="C8201" t="str">
        <f t="shared" si="416"/>
        <v/>
      </c>
      <c r="D8201" s="245" t="str">
        <f t="shared" ref="D8201:D8264" si="418">IF(A8201&lt;&gt;"",PROPER(TEXT(A8201,"Mmmm")),"")</f>
        <v/>
      </c>
      <c r="E8201" s="534"/>
      <c r="F8201" s="534"/>
    </row>
    <row r="8202" spans="1:6" ht="15" customHeight="1">
      <c r="A8202" s="51"/>
      <c r="B8202" s="52" t="str">
        <f t="shared" si="417"/>
        <v/>
      </c>
      <c r="C8202" t="str">
        <f t="shared" si="416"/>
        <v/>
      </c>
      <c r="D8202" s="245" t="str">
        <f t="shared" si="418"/>
        <v/>
      </c>
      <c r="E8202" s="534"/>
      <c r="F8202" s="534"/>
    </row>
    <row r="8203" spans="1:6" ht="15" customHeight="1">
      <c r="A8203" s="51"/>
      <c r="B8203" s="52" t="str">
        <f t="shared" si="417"/>
        <v/>
      </c>
      <c r="C8203" t="str">
        <f t="shared" si="416"/>
        <v/>
      </c>
      <c r="D8203" s="245" t="str">
        <f t="shared" si="418"/>
        <v/>
      </c>
      <c r="E8203" s="534"/>
      <c r="F8203" s="534"/>
    </row>
    <row r="8204" spans="1:6" ht="15" customHeight="1">
      <c r="A8204" s="51"/>
      <c r="B8204" s="52" t="str">
        <f t="shared" si="417"/>
        <v/>
      </c>
      <c r="C8204" t="str">
        <f t="shared" si="416"/>
        <v/>
      </c>
      <c r="D8204" s="245" t="str">
        <f t="shared" si="418"/>
        <v/>
      </c>
      <c r="E8204" s="534"/>
      <c r="F8204" s="534"/>
    </row>
    <row r="8205" spans="1:6" ht="15" customHeight="1">
      <c r="A8205" s="51"/>
      <c r="B8205" s="52" t="str">
        <f t="shared" si="417"/>
        <v/>
      </c>
      <c r="C8205" t="str">
        <f t="shared" si="416"/>
        <v/>
      </c>
      <c r="D8205" s="245" t="str">
        <f t="shared" si="418"/>
        <v/>
      </c>
      <c r="E8205" s="534"/>
      <c r="F8205" s="534"/>
    </row>
    <row r="8206" spans="1:6" ht="15" customHeight="1">
      <c r="A8206" s="51"/>
      <c r="B8206" s="52" t="str">
        <f t="shared" si="417"/>
        <v/>
      </c>
      <c r="C8206" t="str">
        <f t="shared" si="416"/>
        <v/>
      </c>
      <c r="D8206" s="245" t="str">
        <f t="shared" si="418"/>
        <v/>
      </c>
      <c r="E8206" s="534"/>
      <c r="F8206" s="534"/>
    </row>
    <row r="8207" spans="1:6" ht="15" customHeight="1">
      <c r="A8207" s="51"/>
      <c r="B8207" s="52" t="str">
        <f t="shared" si="417"/>
        <v/>
      </c>
      <c r="C8207" t="str">
        <f t="shared" si="416"/>
        <v/>
      </c>
      <c r="D8207" s="245" t="str">
        <f t="shared" si="418"/>
        <v/>
      </c>
      <c r="E8207" s="534"/>
      <c r="F8207" s="534"/>
    </row>
    <row r="8208" spans="1:6" ht="15" customHeight="1">
      <c r="A8208" s="51"/>
      <c r="B8208" s="52" t="str">
        <f t="shared" si="417"/>
        <v/>
      </c>
      <c r="C8208" t="str">
        <f t="shared" si="416"/>
        <v/>
      </c>
      <c r="D8208" s="245" t="str">
        <f t="shared" si="418"/>
        <v/>
      </c>
      <c r="E8208" s="534"/>
      <c r="F8208" s="534"/>
    </row>
    <row r="8209" spans="1:6" ht="15" customHeight="1">
      <c r="A8209" s="51"/>
      <c r="B8209" s="52" t="str">
        <f t="shared" si="417"/>
        <v/>
      </c>
      <c r="C8209" t="str">
        <f t="shared" si="416"/>
        <v/>
      </c>
      <c r="D8209" s="245" t="str">
        <f t="shared" si="418"/>
        <v/>
      </c>
      <c r="E8209" s="534"/>
      <c r="F8209" s="534"/>
    </row>
    <row r="8210" spans="1:6" ht="15" customHeight="1">
      <c r="A8210" s="51"/>
      <c r="B8210" s="52" t="str">
        <f t="shared" si="417"/>
        <v/>
      </c>
      <c r="C8210" t="str">
        <f t="shared" si="416"/>
        <v/>
      </c>
      <c r="D8210" s="245" t="str">
        <f t="shared" si="418"/>
        <v/>
      </c>
      <c r="E8210" s="534"/>
      <c r="F8210" s="534"/>
    </row>
    <row r="8211" spans="1:6" ht="15" customHeight="1">
      <c r="A8211" s="51"/>
      <c r="B8211" s="52" t="str">
        <f t="shared" si="417"/>
        <v/>
      </c>
      <c r="C8211" t="str">
        <f t="shared" si="416"/>
        <v/>
      </c>
      <c r="D8211" s="245" t="str">
        <f t="shared" si="418"/>
        <v/>
      </c>
      <c r="E8211" s="534"/>
      <c r="F8211" s="534"/>
    </row>
    <row r="8212" spans="1:6" ht="15" customHeight="1">
      <c r="A8212" s="51"/>
      <c r="B8212" s="52" t="str">
        <f t="shared" si="417"/>
        <v/>
      </c>
      <c r="C8212" t="str">
        <f t="shared" si="416"/>
        <v/>
      </c>
      <c r="D8212" s="245" t="str">
        <f t="shared" si="418"/>
        <v/>
      </c>
      <c r="E8212" s="534"/>
      <c r="F8212" s="534"/>
    </row>
    <row r="8213" spans="1:6" ht="15" customHeight="1">
      <c r="A8213" s="51"/>
      <c r="B8213" s="52" t="str">
        <f t="shared" si="417"/>
        <v/>
      </c>
      <c r="C8213" t="str">
        <f t="shared" si="416"/>
        <v/>
      </c>
      <c r="D8213" s="245" t="str">
        <f t="shared" si="418"/>
        <v/>
      </c>
      <c r="E8213" s="534"/>
      <c r="F8213" s="534"/>
    </row>
    <row r="8214" spans="1:6" ht="15" customHeight="1">
      <c r="A8214" s="51"/>
      <c r="B8214" s="52" t="str">
        <f t="shared" si="417"/>
        <v/>
      </c>
      <c r="C8214" t="str">
        <f t="shared" si="416"/>
        <v/>
      </c>
      <c r="D8214" s="245" t="str">
        <f t="shared" si="418"/>
        <v/>
      </c>
      <c r="E8214" s="534"/>
      <c r="F8214" s="534"/>
    </row>
    <row r="8215" spans="1:6" ht="15" customHeight="1">
      <c r="A8215" s="51"/>
      <c r="B8215" s="52" t="str">
        <f t="shared" si="417"/>
        <v/>
      </c>
      <c r="C8215" t="str">
        <f t="shared" si="416"/>
        <v/>
      </c>
      <c r="D8215" s="245" t="str">
        <f t="shared" si="418"/>
        <v/>
      </c>
      <c r="E8215" s="534"/>
      <c r="F8215" s="534"/>
    </row>
    <row r="8216" spans="1:6" ht="15" customHeight="1">
      <c r="A8216" s="51"/>
      <c r="B8216" s="52" t="str">
        <f t="shared" si="417"/>
        <v/>
      </c>
      <c r="C8216" t="str">
        <f t="shared" si="416"/>
        <v/>
      </c>
      <c r="D8216" s="245" t="str">
        <f t="shared" si="418"/>
        <v/>
      </c>
      <c r="E8216" s="534"/>
      <c r="F8216" s="534"/>
    </row>
    <row r="8217" spans="1:6" ht="15" customHeight="1">
      <c r="A8217" s="51"/>
      <c r="B8217" s="52" t="str">
        <f t="shared" si="417"/>
        <v/>
      </c>
      <c r="C8217" t="str">
        <f t="shared" si="416"/>
        <v/>
      </c>
      <c r="D8217" s="245" t="str">
        <f t="shared" si="418"/>
        <v/>
      </c>
      <c r="E8217" s="534"/>
      <c r="F8217" s="534"/>
    </row>
    <row r="8218" spans="1:6" ht="15" customHeight="1">
      <c r="A8218" s="51"/>
      <c r="B8218" s="52" t="str">
        <f t="shared" si="417"/>
        <v/>
      </c>
      <c r="C8218" t="str">
        <f t="shared" si="416"/>
        <v/>
      </c>
      <c r="D8218" s="245" t="str">
        <f t="shared" si="418"/>
        <v/>
      </c>
      <c r="E8218" s="534"/>
      <c r="F8218" s="534"/>
    </row>
    <row r="8219" spans="1:6" ht="15" customHeight="1">
      <c r="A8219" s="51"/>
      <c r="B8219" s="52" t="str">
        <f t="shared" si="417"/>
        <v/>
      </c>
      <c r="C8219" t="str">
        <f t="shared" si="416"/>
        <v/>
      </c>
      <c r="D8219" s="245" t="str">
        <f t="shared" si="418"/>
        <v/>
      </c>
      <c r="E8219" s="534"/>
      <c r="F8219" s="534"/>
    </row>
    <row r="8220" spans="1:6" ht="15" customHeight="1">
      <c r="A8220" s="51"/>
      <c r="B8220" s="52" t="str">
        <f t="shared" si="417"/>
        <v/>
      </c>
      <c r="C8220" t="str">
        <f t="shared" si="416"/>
        <v/>
      </c>
      <c r="D8220" s="245" t="str">
        <f t="shared" si="418"/>
        <v/>
      </c>
      <c r="E8220" s="534"/>
      <c r="F8220" s="534"/>
    </row>
    <row r="8221" spans="1:6" ht="15" customHeight="1">
      <c r="A8221" s="51"/>
      <c r="B8221" s="52" t="str">
        <f t="shared" si="417"/>
        <v/>
      </c>
      <c r="C8221" t="str">
        <f t="shared" si="416"/>
        <v/>
      </c>
      <c r="D8221" s="245" t="str">
        <f t="shared" si="418"/>
        <v/>
      </c>
      <c r="E8221" s="534"/>
      <c r="F8221" s="534"/>
    </row>
    <row r="8222" spans="1:6" ht="15" customHeight="1">
      <c r="A8222" s="51"/>
      <c r="B8222" s="52" t="str">
        <f t="shared" si="417"/>
        <v/>
      </c>
      <c r="C8222" t="str">
        <f t="shared" si="416"/>
        <v/>
      </c>
      <c r="D8222" s="245" t="str">
        <f t="shared" si="418"/>
        <v/>
      </c>
      <c r="E8222" s="534"/>
      <c r="F8222" s="534"/>
    </row>
    <row r="8223" spans="1:6" ht="15" customHeight="1">
      <c r="A8223" s="51"/>
      <c r="B8223" s="52" t="str">
        <f t="shared" si="417"/>
        <v/>
      </c>
      <c r="C8223" t="str">
        <f t="shared" si="416"/>
        <v/>
      </c>
      <c r="D8223" s="245" t="str">
        <f t="shared" si="418"/>
        <v/>
      </c>
      <c r="E8223" s="534"/>
      <c r="F8223" s="534"/>
    </row>
    <row r="8224" spans="1:6" ht="15" customHeight="1">
      <c r="A8224" s="51"/>
      <c r="B8224" s="52" t="str">
        <f t="shared" si="417"/>
        <v/>
      </c>
      <c r="C8224" t="str">
        <f t="shared" si="416"/>
        <v/>
      </c>
      <c r="D8224" s="245" t="str">
        <f t="shared" si="418"/>
        <v/>
      </c>
      <c r="E8224" s="534"/>
      <c r="F8224" s="534"/>
    </row>
    <row r="8225" spans="1:6" ht="15" customHeight="1">
      <c r="A8225" s="51"/>
      <c r="B8225" s="52" t="str">
        <f t="shared" si="417"/>
        <v/>
      </c>
      <c r="C8225" t="str">
        <f t="shared" si="416"/>
        <v/>
      </c>
      <c r="D8225" s="245" t="str">
        <f t="shared" si="418"/>
        <v/>
      </c>
      <c r="E8225" s="534"/>
      <c r="F8225" s="534"/>
    </row>
    <row r="8226" spans="1:6" ht="15" customHeight="1">
      <c r="A8226" s="51"/>
      <c r="B8226" s="52" t="str">
        <f t="shared" si="417"/>
        <v/>
      </c>
      <c r="C8226" t="str">
        <f t="shared" si="416"/>
        <v/>
      </c>
      <c r="D8226" s="245" t="str">
        <f t="shared" si="418"/>
        <v/>
      </c>
      <c r="E8226" s="534"/>
      <c r="F8226" s="534"/>
    </row>
    <row r="8227" spans="1:6" ht="15" customHeight="1">
      <c r="A8227" s="51"/>
      <c r="B8227" s="52" t="str">
        <f t="shared" si="417"/>
        <v/>
      </c>
      <c r="C8227" t="str">
        <f t="shared" si="416"/>
        <v/>
      </c>
      <c r="D8227" s="245" t="str">
        <f t="shared" si="418"/>
        <v/>
      </c>
      <c r="E8227" s="534"/>
      <c r="F8227" s="534"/>
    </row>
    <row r="8228" spans="1:6" ht="15" customHeight="1">
      <c r="A8228" s="51"/>
      <c r="B8228" s="52" t="str">
        <f t="shared" si="417"/>
        <v/>
      </c>
      <c r="C8228" t="str">
        <f t="shared" si="416"/>
        <v/>
      </c>
      <c r="D8228" s="245" t="str">
        <f t="shared" si="418"/>
        <v/>
      </c>
      <c r="E8228" s="534"/>
      <c r="F8228" s="534"/>
    </row>
    <row r="8229" spans="1:6" ht="15" customHeight="1">
      <c r="A8229" s="51"/>
      <c r="B8229" s="52" t="str">
        <f t="shared" si="417"/>
        <v/>
      </c>
      <c r="C8229" t="str">
        <f t="shared" si="416"/>
        <v/>
      </c>
      <c r="D8229" s="245" t="str">
        <f t="shared" si="418"/>
        <v/>
      </c>
      <c r="E8229" s="534"/>
      <c r="F8229" s="534"/>
    </row>
    <row r="8230" spans="1:6" ht="15" customHeight="1">
      <c r="A8230" s="51"/>
      <c r="B8230" s="52" t="str">
        <f t="shared" si="417"/>
        <v/>
      </c>
      <c r="C8230" t="str">
        <f t="shared" si="416"/>
        <v/>
      </c>
      <c r="D8230" s="245" t="str">
        <f t="shared" si="418"/>
        <v/>
      </c>
      <c r="E8230" s="534"/>
      <c r="F8230" s="534"/>
    </row>
    <row r="8231" spans="1:6" ht="15" customHeight="1">
      <c r="A8231" s="51"/>
      <c r="B8231" s="52" t="str">
        <f t="shared" si="417"/>
        <v/>
      </c>
      <c r="C8231" t="str">
        <f t="shared" si="416"/>
        <v/>
      </c>
      <c r="D8231" s="245" t="str">
        <f t="shared" si="418"/>
        <v/>
      </c>
      <c r="E8231" s="534"/>
      <c r="F8231" s="534"/>
    </row>
    <row r="8232" spans="1:6" ht="15" customHeight="1">
      <c r="A8232" s="51"/>
      <c r="B8232" s="52" t="str">
        <f t="shared" si="417"/>
        <v/>
      </c>
      <c r="C8232" t="str">
        <f t="shared" si="416"/>
        <v/>
      </c>
      <c r="D8232" s="245" t="str">
        <f t="shared" si="418"/>
        <v/>
      </c>
      <c r="E8232" s="534"/>
      <c r="F8232" s="534"/>
    </row>
    <row r="8233" spans="1:6" ht="15" customHeight="1">
      <c r="A8233" s="51"/>
      <c r="B8233" s="52" t="str">
        <f t="shared" si="417"/>
        <v/>
      </c>
      <c r="C8233" t="str">
        <f t="shared" si="416"/>
        <v/>
      </c>
      <c r="D8233" s="245" t="str">
        <f t="shared" si="418"/>
        <v/>
      </c>
      <c r="E8233" s="534"/>
      <c r="F8233" s="534"/>
    </row>
    <row r="8234" spans="1:6" ht="15" customHeight="1">
      <c r="A8234" s="51"/>
      <c r="B8234" s="52" t="str">
        <f t="shared" si="417"/>
        <v/>
      </c>
      <c r="C8234" t="str">
        <f t="shared" si="416"/>
        <v/>
      </c>
      <c r="D8234" s="245" t="str">
        <f t="shared" si="418"/>
        <v/>
      </c>
      <c r="E8234" s="534"/>
      <c r="F8234" s="534"/>
    </row>
    <row r="8235" spans="1:6" ht="15" customHeight="1">
      <c r="A8235" s="51"/>
      <c r="B8235" s="52" t="str">
        <f t="shared" si="417"/>
        <v/>
      </c>
      <c r="C8235" t="str">
        <f t="shared" si="416"/>
        <v/>
      </c>
      <c r="D8235" s="245" t="str">
        <f t="shared" si="418"/>
        <v/>
      </c>
      <c r="E8235" s="534"/>
      <c r="F8235" s="534"/>
    </row>
    <row r="8236" spans="1:6" ht="15" customHeight="1">
      <c r="A8236" s="51"/>
      <c r="B8236" s="52" t="str">
        <f t="shared" si="417"/>
        <v/>
      </c>
      <c r="C8236" t="str">
        <f t="shared" si="416"/>
        <v/>
      </c>
      <c r="D8236" s="245" t="str">
        <f t="shared" si="418"/>
        <v/>
      </c>
      <c r="E8236" s="534"/>
      <c r="F8236" s="534"/>
    </row>
    <row r="8237" spans="1:6" ht="15" customHeight="1">
      <c r="A8237" s="51"/>
      <c r="B8237" s="52" t="str">
        <f t="shared" si="417"/>
        <v/>
      </c>
      <c r="C8237" t="str">
        <f t="shared" si="416"/>
        <v/>
      </c>
      <c r="D8237" s="245" t="str">
        <f t="shared" si="418"/>
        <v/>
      </c>
      <c r="E8237" s="534"/>
      <c r="F8237" s="534"/>
    </row>
    <row r="8238" spans="1:6" ht="15" customHeight="1">
      <c r="A8238" s="51"/>
      <c r="B8238" s="52" t="str">
        <f t="shared" si="417"/>
        <v/>
      </c>
      <c r="C8238" t="str">
        <f t="shared" si="416"/>
        <v/>
      </c>
      <c r="D8238" s="245" t="str">
        <f t="shared" si="418"/>
        <v/>
      </c>
      <c r="E8238" s="534"/>
      <c r="F8238" s="534"/>
    </row>
    <row r="8239" spans="1:6" ht="15" customHeight="1">
      <c r="A8239" s="51"/>
      <c r="B8239" s="52" t="str">
        <f t="shared" si="417"/>
        <v/>
      </c>
      <c r="C8239" t="str">
        <f t="shared" si="416"/>
        <v/>
      </c>
      <c r="D8239" s="245" t="str">
        <f t="shared" si="418"/>
        <v/>
      </c>
      <c r="E8239" s="534"/>
      <c r="F8239" s="534"/>
    </row>
    <row r="8240" spans="1:6" ht="15" customHeight="1">
      <c r="A8240" s="51"/>
      <c r="B8240" s="52" t="str">
        <f t="shared" si="417"/>
        <v/>
      </c>
      <c r="C8240" t="str">
        <f t="shared" si="416"/>
        <v/>
      </c>
      <c r="D8240" s="245" t="str">
        <f t="shared" si="418"/>
        <v/>
      </c>
      <c r="E8240" s="534"/>
      <c r="F8240" s="534"/>
    </row>
    <row r="8241" spans="1:6" ht="15" customHeight="1">
      <c r="A8241" s="51"/>
      <c r="B8241" s="52" t="str">
        <f t="shared" si="417"/>
        <v/>
      </c>
      <c r="C8241" t="str">
        <f t="shared" si="416"/>
        <v/>
      </c>
      <c r="D8241" s="245" t="str">
        <f t="shared" si="418"/>
        <v/>
      </c>
      <c r="E8241" s="534"/>
      <c r="F8241" s="534"/>
    </row>
    <row r="8242" spans="1:6" ht="15" customHeight="1">
      <c r="A8242" s="51"/>
      <c r="B8242" s="52" t="str">
        <f t="shared" si="417"/>
        <v/>
      </c>
      <c r="C8242" t="str">
        <f t="shared" si="416"/>
        <v/>
      </c>
      <c r="D8242" s="245" t="str">
        <f t="shared" si="418"/>
        <v/>
      </c>
      <c r="E8242" s="534"/>
      <c r="F8242" s="534"/>
    </row>
    <row r="8243" spans="1:6" ht="15" customHeight="1">
      <c r="A8243" s="51"/>
      <c r="B8243" s="52" t="str">
        <f t="shared" si="417"/>
        <v/>
      </c>
      <c r="C8243" t="str">
        <f t="shared" si="416"/>
        <v/>
      </c>
      <c r="D8243" s="245" t="str">
        <f t="shared" si="418"/>
        <v/>
      </c>
      <c r="E8243" s="534"/>
      <c r="F8243" s="534"/>
    </row>
    <row r="8244" spans="1:6" ht="15" customHeight="1">
      <c r="A8244" s="51"/>
      <c r="B8244" s="52" t="str">
        <f t="shared" si="417"/>
        <v/>
      </c>
      <c r="C8244" t="str">
        <f t="shared" si="416"/>
        <v/>
      </c>
      <c r="D8244" s="245" t="str">
        <f t="shared" si="418"/>
        <v/>
      </c>
      <c r="E8244" s="534"/>
      <c r="F8244" s="534"/>
    </row>
    <row r="8245" spans="1:6" ht="15" customHeight="1">
      <c r="A8245" s="51"/>
      <c r="B8245" s="52" t="str">
        <f t="shared" si="417"/>
        <v/>
      </c>
      <c r="C8245" t="str">
        <f t="shared" si="416"/>
        <v/>
      </c>
      <c r="D8245" s="245" t="str">
        <f t="shared" si="418"/>
        <v/>
      </c>
      <c r="E8245" s="534"/>
      <c r="F8245" s="534"/>
    </row>
    <row r="8246" spans="1:6" ht="15" customHeight="1">
      <c r="A8246" s="51"/>
      <c r="B8246" s="52" t="str">
        <f t="shared" si="417"/>
        <v/>
      </c>
      <c r="C8246" t="str">
        <f t="shared" si="416"/>
        <v/>
      </c>
      <c r="D8246" s="245" t="str">
        <f t="shared" si="418"/>
        <v/>
      </c>
      <c r="E8246" s="534"/>
      <c r="F8246" s="534"/>
    </row>
    <row r="8247" spans="1:6" ht="15" customHeight="1">
      <c r="A8247" s="51"/>
      <c r="B8247" s="52" t="str">
        <f t="shared" si="417"/>
        <v/>
      </c>
      <c r="C8247" t="str">
        <f t="shared" si="416"/>
        <v/>
      </c>
      <c r="D8247" s="245" t="str">
        <f t="shared" si="418"/>
        <v/>
      </c>
      <c r="E8247" s="534"/>
      <c r="F8247" s="534"/>
    </row>
    <row r="8248" spans="1:6" ht="15" customHeight="1">
      <c r="A8248" s="51"/>
      <c r="B8248" s="52" t="str">
        <f t="shared" si="417"/>
        <v/>
      </c>
      <c r="C8248" t="str">
        <f t="shared" si="416"/>
        <v/>
      </c>
      <c r="D8248" s="245" t="str">
        <f t="shared" si="418"/>
        <v/>
      </c>
      <c r="E8248" s="534"/>
      <c r="F8248" s="534"/>
    </row>
    <row r="8249" spans="1:6" ht="15" customHeight="1">
      <c r="A8249" s="51"/>
      <c r="B8249" s="52" t="str">
        <f t="shared" si="417"/>
        <v/>
      </c>
      <c r="C8249" t="str">
        <f t="shared" si="416"/>
        <v/>
      </c>
      <c r="D8249" s="245" t="str">
        <f t="shared" si="418"/>
        <v/>
      </c>
      <c r="E8249" s="534"/>
      <c r="F8249" s="534"/>
    </row>
    <row r="8250" spans="1:6" ht="15" customHeight="1">
      <c r="A8250" s="51"/>
      <c r="B8250" s="52" t="str">
        <f t="shared" si="417"/>
        <v/>
      </c>
      <c r="C8250" t="str">
        <f t="shared" si="416"/>
        <v/>
      </c>
      <c r="D8250" s="245" t="str">
        <f t="shared" si="418"/>
        <v/>
      </c>
      <c r="E8250" s="534"/>
      <c r="F8250" s="534"/>
    </row>
    <row r="8251" spans="1:6" ht="15" customHeight="1">
      <c r="A8251" s="51"/>
      <c r="B8251" s="52" t="str">
        <f t="shared" si="417"/>
        <v/>
      </c>
      <c r="C8251" t="str">
        <f t="shared" si="416"/>
        <v/>
      </c>
      <c r="D8251" s="245" t="str">
        <f t="shared" si="418"/>
        <v/>
      </c>
      <c r="E8251" s="534"/>
      <c r="F8251" s="534"/>
    </row>
    <row r="8252" spans="1:6" ht="15" customHeight="1">
      <c r="A8252" s="51"/>
      <c r="B8252" s="52" t="str">
        <f t="shared" si="417"/>
        <v/>
      </c>
      <c r="C8252" t="str">
        <f t="shared" si="416"/>
        <v/>
      </c>
      <c r="D8252" s="245" t="str">
        <f t="shared" si="418"/>
        <v/>
      </c>
      <c r="E8252" s="534"/>
      <c r="F8252" s="534"/>
    </row>
    <row r="8253" spans="1:6" ht="15" customHeight="1">
      <c r="A8253" s="51"/>
      <c r="B8253" s="52" t="str">
        <f t="shared" si="417"/>
        <v/>
      </c>
      <c r="C8253" t="str">
        <f t="shared" si="416"/>
        <v/>
      </c>
      <c r="D8253" s="245" t="str">
        <f t="shared" si="418"/>
        <v/>
      </c>
      <c r="E8253" s="534"/>
      <c r="F8253" s="534"/>
    </row>
    <row r="8254" spans="1:6" ht="15" customHeight="1">
      <c r="A8254" s="51"/>
      <c r="B8254" s="52" t="str">
        <f t="shared" si="417"/>
        <v/>
      </c>
      <c r="C8254" t="str">
        <f t="shared" si="416"/>
        <v/>
      </c>
      <c r="D8254" s="245" t="str">
        <f t="shared" si="418"/>
        <v/>
      </c>
      <c r="E8254" s="534"/>
      <c r="F8254" s="534"/>
    </row>
    <row r="8255" spans="1:6" ht="15" customHeight="1">
      <c r="A8255" s="51"/>
      <c r="B8255" s="52" t="str">
        <f t="shared" si="417"/>
        <v/>
      </c>
      <c r="C8255" t="str">
        <f t="shared" si="416"/>
        <v/>
      </c>
      <c r="D8255" s="245" t="str">
        <f t="shared" si="418"/>
        <v/>
      </c>
      <c r="E8255" s="534"/>
      <c r="F8255" s="534"/>
    </row>
    <row r="8256" spans="1:6" ht="15" customHeight="1">
      <c r="A8256" s="51"/>
      <c r="B8256" s="52" t="str">
        <f t="shared" si="417"/>
        <v/>
      </c>
      <c r="C8256" t="str">
        <f t="shared" si="416"/>
        <v/>
      </c>
      <c r="D8256" s="245" t="str">
        <f t="shared" si="418"/>
        <v/>
      </c>
      <c r="E8256" s="534"/>
      <c r="F8256" s="534"/>
    </row>
    <row r="8257" spans="1:6" ht="15" customHeight="1">
      <c r="A8257" s="51"/>
      <c r="B8257" s="52" t="str">
        <f t="shared" si="417"/>
        <v/>
      </c>
      <c r="C8257" t="str">
        <f t="shared" si="416"/>
        <v/>
      </c>
      <c r="D8257" s="245" t="str">
        <f t="shared" si="418"/>
        <v/>
      </c>
      <c r="E8257" s="534"/>
      <c r="F8257" s="534"/>
    </row>
    <row r="8258" spans="1:6" ht="15" customHeight="1">
      <c r="A8258" s="51"/>
      <c r="B8258" s="52" t="str">
        <f t="shared" si="417"/>
        <v/>
      </c>
      <c r="C8258" t="str">
        <f t="shared" ref="C8258:C8321" si="419">IF(A8258&lt;&gt;"",TEXT(A8258,"aaaa"),"")</f>
        <v/>
      </c>
      <c r="D8258" s="245" t="str">
        <f t="shared" si="418"/>
        <v/>
      </c>
      <c r="E8258" s="534"/>
      <c r="F8258" s="534"/>
    </row>
    <row r="8259" spans="1:6" ht="15" customHeight="1">
      <c r="A8259" s="51"/>
      <c r="B8259" s="52" t="str">
        <f t="shared" si="417"/>
        <v/>
      </c>
      <c r="C8259" t="str">
        <f t="shared" si="419"/>
        <v/>
      </c>
      <c r="D8259" s="245" t="str">
        <f t="shared" si="418"/>
        <v/>
      </c>
      <c r="E8259" s="534"/>
      <c r="F8259" s="534"/>
    </row>
    <row r="8260" spans="1:6" ht="15" customHeight="1">
      <c r="A8260" s="51"/>
      <c r="B8260" s="52" t="str">
        <f t="shared" si="417"/>
        <v/>
      </c>
      <c r="C8260" t="str">
        <f t="shared" si="419"/>
        <v/>
      </c>
      <c r="D8260" s="245" t="str">
        <f t="shared" si="418"/>
        <v/>
      </c>
      <c r="E8260" s="534"/>
      <c r="F8260" s="534"/>
    </row>
    <row r="8261" spans="1:6" ht="15" customHeight="1">
      <c r="A8261" s="51"/>
      <c r="B8261" s="52" t="str">
        <f t="shared" si="417"/>
        <v/>
      </c>
      <c r="C8261" t="str">
        <f t="shared" si="419"/>
        <v/>
      </c>
      <c r="D8261" s="245" t="str">
        <f t="shared" si="418"/>
        <v/>
      </c>
      <c r="E8261" s="534"/>
      <c r="F8261" s="534"/>
    </row>
    <row r="8262" spans="1:6" ht="15" customHeight="1">
      <c r="A8262" s="51"/>
      <c r="B8262" s="52" t="str">
        <f t="shared" si="417"/>
        <v/>
      </c>
      <c r="C8262" t="str">
        <f t="shared" si="419"/>
        <v/>
      </c>
      <c r="D8262" s="245" t="str">
        <f t="shared" si="418"/>
        <v/>
      </c>
      <c r="E8262" s="534"/>
      <c r="F8262" s="534"/>
    </row>
    <row r="8263" spans="1:6" ht="15" customHeight="1">
      <c r="A8263" s="51"/>
      <c r="B8263" s="52" t="str">
        <f t="shared" si="417"/>
        <v/>
      </c>
      <c r="C8263" t="str">
        <f t="shared" si="419"/>
        <v/>
      </c>
      <c r="D8263" s="245" t="str">
        <f t="shared" si="418"/>
        <v/>
      </c>
      <c r="E8263" s="534"/>
      <c r="F8263" s="534"/>
    </row>
    <row r="8264" spans="1:6" ht="15" customHeight="1">
      <c r="A8264" s="51"/>
      <c r="B8264" s="52" t="str">
        <f t="shared" ref="B8264:B8327" si="420">IF(A8264="","",TEXT(A8264,"DDDD"))</f>
        <v/>
      </c>
      <c r="C8264" t="str">
        <f t="shared" si="419"/>
        <v/>
      </c>
      <c r="D8264" s="245" t="str">
        <f t="shared" si="418"/>
        <v/>
      </c>
      <c r="E8264" s="534"/>
      <c r="F8264" s="534"/>
    </row>
    <row r="8265" spans="1:6" ht="15" customHeight="1">
      <c r="A8265" s="51"/>
      <c r="B8265" s="52" t="str">
        <f t="shared" si="420"/>
        <v/>
      </c>
      <c r="C8265" t="str">
        <f t="shared" si="419"/>
        <v/>
      </c>
      <c r="D8265" s="245" t="str">
        <f t="shared" ref="D8265:D8328" si="421">IF(A8265&lt;&gt;"",PROPER(TEXT(A8265,"Mmmm")),"")</f>
        <v/>
      </c>
      <c r="E8265" s="534"/>
      <c r="F8265" s="534"/>
    </row>
    <row r="8266" spans="1:6" ht="15" customHeight="1">
      <c r="A8266" s="51"/>
      <c r="B8266" s="52" t="str">
        <f t="shared" si="420"/>
        <v/>
      </c>
      <c r="C8266" t="str">
        <f t="shared" si="419"/>
        <v/>
      </c>
      <c r="D8266" s="245" t="str">
        <f t="shared" si="421"/>
        <v/>
      </c>
      <c r="E8266" s="534"/>
      <c r="F8266" s="534"/>
    </row>
    <row r="8267" spans="1:6" ht="15" customHeight="1">
      <c r="A8267" s="51"/>
      <c r="B8267" s="52" t="str">
        <f t="shared" si="420"/>
        <v/>
      </c>
      <c r="C8267" t="str">
        <f t="shared" si="419"/>
        <v/>
      </c>
      <c r="D8267" s="245" t="str">
        <f t="shared" si="421"/>
        <v/>
      </c>
      <c r="E8267" s="534"/>
      <c r="F8267" s="534"/>
    </row>
    <row r="8268" spans="1:6" ht="15" customHeight="1">
      <c r="A8268" s="51"/>
      <c r="B8268" s="52" t="str">
        <f t="shared" si="420"/>
        <v/>
      </c>
      <c r="C8268" t="str">
        <f t="shared" si="419"/>
        <v/>
      </c>
      <c r="D8268" s="245" t="str">
        <f t="shared" si="421"/>
        <v/>
      </c>
      <c r="E8268" s="534"/>
      <c r="F8268" s="534"/>
    </row>
    <row r="8269" spans="1:6" ht="15" customHeight="1">
      <c r="A8269" s="51"/>
      <c r="B8269" s="52" t="str">
        <f t="shared" si="420"/>
        <v/>
      </c>
      <c r="C8269" t="str">
        <f t="shared" si="419"/>
        <v/>
      </c>
      <c r="D8269" s="245" t="str">
        <f t="shared" si="421"/>
        <v/>
      </c>
      <c r="E8269" s="534"/>
      <c r="F8269" s="534"/>
    </row>
    <row r="8270" spans="1:6" ht="15" customHeight="1">
      <c r="A8270" s="51"/>
      <c r="B8270" s="52" t="str">
        <f t="shared" si="420"/>
        <v/>
      </c>
      <c r="C8270" t="str">
        <f t="shared" si="419"/>
        <v/>
      </c>
      <c r="D8270" s="245" t="str">
        <f t="shared" si="421"/>
        <v/>
      </c>
      <c r="E8270" s="534"/>
      <c r="F8270" s="534"/>
    </row>
    <row r="8271" spans="1:6" ht="15" customHeight="1">
      <c r="A8271" s="51"/>
      <c r="B8271" s="52" t="str">
        <f t="shared" si="420"/>
        <v/>
      </c>
      <c r="C8271" t="str">
        <f t="shared" si="419"/>
        <v/>
      </c>
      <c r="D8271" s="245" t="str">
        <f t="shared" si="421"/>
        <v/>
      </c>
      <c r="E8271" s="534"/>
      <c r="F8271" s="534"/>
    </row>
    <row r="8272" spans="1:6" ht="15" customHeight="1">
      <c r="A8272" s="51"/>
      <c r="B8272" s="52" t="str">
        <f t="shared" si="420"/>
        <v/>
      </c>
      <c r="C8272" t="str">
        <f t="shared" si="419"/>
        <v/>
      </c>
      <c r="D8272" s="245" t="str">
        <f t="shared" si="421"/>
        <v/>
      </c>
      <c r="E8272" s="534"/>
      <c r="F8272" s="534"/>
    </row>
    <row r="8273" spans="1:6" ht="15" customHeight="1">
      <c r="A8273" s="51"/>
      <c r="B8273" s="52" t="str">
        <f t="shared" si="420"/>
        <v/>
      </c>
      <c r="C8273" t="str">
        <f t="shared" si="419"/>
        <v/>
      </c>
      <c r="D8273" s="245" t="str">
        <f t="shared" si="421"/>
        <v/>
      </c>
      <c r="E8273" s="534"/>
      <c r="F8273" s="534"/>
    </row>
    <row r="8274" spans="1:6" ht="15" customHeight="1">
      <c r="A8274" s="51"/>
      <c r="B8274" s="52" t="str">
        <f t="shared" si="420"/>
        <v/>
      </c>
      <c r="C8274" t="str">
        <f t="shared" si="419"/>
        <v/>
      </c>
      <c r="D8274" s="245" t="str">
        <f t="shared" si="421"/>
        <v/>
      </c>
      <c r="E8274" s="534"/>
      <c r="F8274" s="534"/>
    </row>
    <row r="8275" spans="1:6" ht="15" customHeight="1">
      <c r="A8275" s="51"/>
      <c r="B8275" s="52" t="str">
        <f t="shared" si="420"/>
        <v/>
      </c>
      <c r="C8275" t="str">
        <f t="shared" si="419"/>
        <v/>
      </c>
      <c r="D8275" s="245" t="str">
        <f t="shared" si="421"/>
        <v/>
      </c>
      <c r="E8275" s="534"/>
      <c r="F8275" s="534"/>
    </row>
    <row r="8276" spans="1:6" ht="15" customHeight="1">
      <c r="A8276" s="51"/>
      <c r="B8276" s="52" t="str">
        <f t="shared" si="420"/>
        <v/>
      </c>
      <c r="C8276" t="str">
        <f t="shared" si="419"/>
        <v/>
      </c>
      <c r="D8276" s="245" t="str">
        <f t="shared" si="421"/>
        <v/>
      </c>
      <c r="E8276" s="534"/>
      <c r="F8276" s="534"/>
    </row>
    <row r="8277" spans="1:6" ht="15" customHeight="1">
      <c r="A8277" s="51"/>
      <c r="B8277" s="52" t="str">
        <f t="shared" si="420"/>
        <v/>
      </c>
      <c r="C8277" t="str">
        <f t="shared" si="419"/>
        <v/>
      </c>
      <c r="D8277" s="245" t="str">
        <f t="shared" si="421"/>
        <v/>
      </c>
      <c r="E8277" s="534"/>
      <c r="F8277" s="534"/>
    </row>
    <row r="8278" spans="1:6" ht="15" customHeight="1">
      <c r="A8278" s="51"/>
      <c r="B8278" s="52" t="str">
        <f t="shared" si="420"/>
        <v/>
      </c>
      <c r="C8278" t="str">
        <f t="shared" si="419"/>
        <v/>
      </c>
      <c r="D8278" s="245" t="str">
        <f t="shared" si="421"/>
        <v/>
      </c>
      <c r="E8278" s="534"/>
      <c r="F8278" s="534"/>
    </row>
    <row r="8279" spans="1:6" ht="15" customHeight="1">
      <c r="A8279" s="51"/>
      <c r="B8279" s="52" t="str">
        <f t="shared" si="420"/>
        <v/>
      </c>
      <c r="C8279" t="str">
        <f t="shared" si="419"/>
        <v/>
      </c>
      <c r="D8279" s="245" t="str">
        <f t="shared" si="421"/>
        <v/>
      </c>
      <c r="E8279" s="534"/>
      <c r="F8279" s="534"/>
    </row>
    <row r="8280" spans="1:6" ht="15" customHeight="1">
      <c r="A8280" s="51"/>
      <c r="B8280" s="52" t="str">
        <f t="shared" si="420"/>
        <v/>
      </c>
      <c r="C8280" t="str">
        <f t="shared" si="419"/>
        <v/>
      </c>
      <c r="D8280" s="245" t="str">
        <f t="shared" si="421"/>
        <v/>
      </c>
      <c r="E8280" s="534"/>
      <c r="F8280" s="534"/>
    </row>
    <row r="8281" spans="1:6" ht="15" customHeight="1">
      <c r="A8281" s="51"/>
      <c r="B8281" s="52" t="str">
        <f t="shared" si="420"/>
        <v/>
      </c>
      <c r="C8281" t="str">
        <f t="shared" si="419"/>
        <v/>
      </c>
      <c r="D8281" s="245" t="str">
        <f t="shared" si="421"/>
        <v/>
      </c>
      <c r="E8281" s="534"/>
      <c r="F8281" s="534"/>
    </row>
    <row r="8282" spans="1:6" ht="15" customHeight="1">
      <c r="A8282" s="51"/>
      <c r="B8282" s="52" t="str">
        <f t="shared" si="420"/>
        <v/>
      </c>
      <c r="C8282" t="str">
        <f t="shared" si="419"/>
        <v/>
      </c>
      <c r="D8282" s="245" t="str">
        <f t="shared" si="421"/>
        <v/>
      </c>
      <c r="E8282" s="534"/>
      <c r="F8282" s="534"/>
    </row>
    <row r="8283" spans="1:6" ht="15" customHeight="1">
      <c r="A8283" s="51"/>
      <c r="B8283" s="52" t="str">
        <f t="shared" si="420"/>
        <v/>
      </c>
      <c r="C8283" t="str">
        <f t="shared" si="419"/>
        <v/>
      </c>
      <c r="D8283" s="245" t="str">
        <f t="shared" si="421"/>
        <v/>
      </c>
      <c r="E8283" s="534"/>
      <c r="F8283" s="534"/>
    </row>
    <row r="8284" spans="1:6" ht="15" customHeight="1">
      <c r="A8284" s="51"/>
      <c r="B8284" s="52" t="str">
        <f t="shared" si="420"/>
        <v/>
      </c>
      <c r="C8284" t="str">
        <f t="shared" si="419"/>
        <v/>
      </c>
      <c r="D8284" s="245" t="str">
        <f t="shared" si="421"/>
        <v/>
      </c>
      <c r="E8284" s="534"/>
      <c r="F8284" s="534"/>
    </row>
    <row r="8285" spans="1:6" ht="15" customHeight="1">
      <c r="A8285" s="51"/>
      <c r="B8285" s="52" t="str">
        <f t="shared" si="420"/>
        <v/>
      </c>
      <c r="C8285" t="str">
        <f t="shared" si="419"/>
        <v/>
      </c>
      <c r="D8285" s="245" t="str">
        <f t="shared" si="421"/>
        <v/>
      </c>
      <c r="E8285" s="534"/>
      <c r="F8285" s="534"/>
    </row>
    <row r="8286" spans="1:6" ht="15" customHeight="1">
      <c r="A8286" s="51"/>
      <c r="B8286" s="52" t="str">
        <f t="shared" si="420"/>
        <v/>
      </c>
      <c r="C8286" t="str">
        <f t="shared" si="419"/>
        <v/>
      </c>
      <c r="D8286" s="245" t="str">
        <f t="shared" si="421"/>
        <v/>
      </c>
      <c r="E8286" s="534"/>
      <c r="F8286" s="534"/>
    </row>
    <row r="8287" spans="1:6" ht="15" customHeight="1">
      <c r="A8287" s="51"/>
      <c r="B8287" s="52" t="str">
        <f t="shared" si="420"/>
        <v/>
      </c>
      <c r="C8287" t="str">
        <f t="shared" si="419"/>
        <v/>
      </c>
      <c r="D8287" s="245" t="str">
        <f t="shared" si="421"/>
        <v/>
      </c>
      <c r="E8287" s="534"/>
      <c r="F8287" s="534"/>
    </row>
    <row r="8288" spans="1:6" ht="15" customHeight="1">
      <c r="A8288" s="51"/>
      <c r="B8288" s="52" t="str">
        <f t="shared" si="420"/>
        <v/>
      </c>
      <c r="C8288" t="str">
        <f t="shared" si="419"/>
        <v/>
      </c>
      <c r="D8288" s="245" t="str">
        <f t="shared" si="421"/>
        <v/>
      </c>
      <c r="E8288" s="534"/>
      <c r="F8288" s="534"/>
    </row>
    <row r="8289" spans="1:6" ht="15" customHeight="1">
      <c r="A8289" s="51"/>
      <c r="B8289" s="52" t="str">
        <f t="shared" si="420"/>
        <v/>
      </c>
      <c r="C8289" t="str">
        <f t="shared" si="419"/>
        <v/>
      </c>
      <c r="D8289" s="245" t="str">
        <f t="shared" si="421"/>
        <v/>
      </c>
      <c r="E8289" s="534"/>
      <c r="F8289" s="534"/>
    </row>
    <row r="8290" spans="1:6" ht="15" customHeight="1">
      <c r="A8290" s="51"/>
      <c r="B8290" s="52" t="str">
        <f t="shared" si="420"/>
        <v/>
      </c>
      <c r="C8290" t="str">
        <f t="shared" si="419"/>
        <v/>
      </c>
      <c r="D8290" s="245" t="str">
        <f t="shared" si="421"/>
        <v/>
      </c>
      <c r="E8290" s="534"/>
      <c r="F8290" s="534"/>
    </row>
    <row r="8291" spans="1:6" ht="15" customHeight="1">
      <c r="A8291" s="51"/>
      <c r="B8291" s="52" t="str">
        <f t="shared" si="420"/>
        <v/>
      </c>
      <c r="C8291" t="str">
        <f t="shared" si="419"/>
        <v/>
      </c>
      <c r="D8291" s="245" t="str">
        <f t="shared" si="421"/>
        <v/>
      </c>
      <c r="E8291" s="534"/>
      <c r="F8291" s="534"/>
    </row>
    <row r="8292" spans="1:6" ht="15" customHeight="1">
      <c r="A8292" s="51"/>
      <c r="B8292" s="52" t="str">
        <f t="shared" si="420"/>
        <v/>
      </c>
      <c r="C8292" t="str">
        <f t="shared" si="419"/>
        <v/>
      </c>
      <c r="D8292" s="245" t="str">
        <f t="shared" si="421"/>
        <v/>
      </c>
      <c r="E8292" s="534"/>
      <c r="F8292" s="534"/>
    </row>
    <row r="8293" spans="1:6" ht="15" customHeight="1">
      <c r="A8293" s="51"/>
      <c r="B8293" s="52" t="str">
        <f t="shared" si="420"/>
        <v/>
      </c>
      <c r="C8293" t="str">
        <f t="shared" si="419"/>
        <v/>
      </c>
      <c r="D8293" s="245" t="str">
        <f t="shared" si="421"/>
        <v/>
      </c>
      <c r="E8293" s="534"/>
      <c r="F8293" s="534"/>
    </row>
    <row r="8294" spans="1:6" ht="15" customHeight="1">
      <c r="A8294" s="51"/>
      <c r="B8294" s="52" t="str">
        <f t="shared" si="420"/>
        <v/>
      </c>
      <c r="C8294" t="str">
        <f t="shared" si="419"/>
        <v/>
      </c>
      <c r="D8294" s="245" t="str">
        <f t="shared" si="421"/>
        <v/>
      </c>
      <c r="E8294" s="534"/>
      <c r="F8294" s="534"/>
    </row>
    <row r="8295" spans="1:6" ht="15" customHeight="1">
      <c r="A8295" s="51"/>
      <c r="B8295" s="52" t="str">
        <f t="shared" si="420"/>
        <v/>
      </c>
      <c r="C8295" t="str">
        <f t="shared" si="419"/>
        <v/>
      </c>
      <c r="D8295" s="245" t="str">
        <f t="shared" si="421"/>
        <v/>
      </c>
      <c r="E8295" s="534"/>
      <c r="F8295" s="534"/>
    </row>
    <row r="8296" spans="1:6" ht="15" customHeight="1">
      <c r="A8296" s="51"/>
      <c r="B8296" s="52" t="str">
        <f t="shared" si="420"/>
        <v/>
      </c>
      <c r="C8296" t="str">
        <f t="shared" si="419"/>
        <v/>
      </c>
      <c r="D8296" s="245" t="str">
        <f t="shared" si="421"/>
        <v/>
      </c>
      <c r="E8296" s="534"/>
      <c r="F8296" s="534"/>
    </row>
    <row r="8297" spans="1:6" ht="15" customHeight="1">
      <c r="A8297" s="51"/>
      <c r="B8297" s="52" t="str">
        <f t="shared" si="420"/>
        <v/>
      </c>
      <c r="C8297" t="str">
        <f t="shared" si="419"/>
        <v/>
      </c>
      <c r="D8297" s="245" t="str">
        <f t="shared" si="421"/>
        <v/>
      </c>
      <c r="E8297" s="534"/>
      <c r="F8297" s="534"/>
    </row>
    <row r="8298" spans="1:6" ht="15" customHeight="1">
      <c r="A8298" s="51"/>
      <c r="B8298" s="52" t="str">
        <f t="shared" si="420"/>
        <v/>
      </c>
      <c r="C8298" t="str">
        <f t="shared" si="419"/>
        <v/>
      </c>
      <c r="D8298" s="245" t="str">
        <f t="shared" si="421"/>
        <v/>
      </c>
      <c r="E8298" s="534"/>
      <c r="F8298" s="534"/>
    </row>
    <row r="8299" spans="1:6" ht="15" customHeight="1">
      <c r="A8299" s="51"/>
      <c r="B8299" s="52" t="str">
        <f t="shared" si="420"/>
        <v/>
      </c>
      <c r="C8299" t="str">
        <f t="shared" si="419"/>
        <v/>
      </c>
      <c r="D8299" s="245" t="str">
        <f t="shared" si="421"/>
        <v/>
      </c>
      <c r="E8299" s="534"/>
      <c r="F8299" s="534"/>
    </row>
    <row r="8300" spans="1:6" ht="15" customHeight="1">
      <c r="A8300" s="51"/>
      <c r="B8300" s="52" t="str">
        <f t="shared" si="420"/>
        <v/>
      </c>
      <c r="C8300" t="str">
        <f t="shared" si="419"/>
        <v/>
      </c>
      <c r="D8300" s="245" t="str">
        <f t="shared" si="421"/>
        <v/>
      </c>
      <c r="E8300" s="534"/>
      <c r="F8300" s="534"/>
    </row>
    <row r="8301" spans="1:6" ht="15" customHeight="1">
      <c r="A8301" s="51"/>
      <c r="B8301" s="52" t="str">
        <f t="shared" si="420"/>
        <v/>
      </c>
      <c r="C8301" t="str">
        <f t="shared" si="419"/>
        <v/>
      </c>
      <c r="D8301" s="245" t="str">
        <f t="shared" si="421"/>
        <v/>
      </c>
      <c r="E8301" s="534"/>
      <c r="F8301" s="534"/>
    </row>
    <row r="8302" spans="1:6" ht="15" customHeight="1">
      <c r="A8302" s="51"/>
      <c r="B8302" s="52" t="str">
        <f t="shared" si="420"/>
        <v/>
      </c>
      <c r="C8302" t="str">
        <f t="shared" si="419"/>
        <v/>
      </c>
      <c r="D8302" s="245" t="str">
        <f t="shared" si="421"/>
        <v/>
      </c>
      <c r="E8302" s="534"/>
      <c r="F8302" s="534"/>
    </row>
    <row r="8303" spans="1:6" ht="15" customHeight="1">
      <c r="A8303" s="51"/>
      <c r="B8303" s="52" t="str">
        <f t="shared" si="420"/>
        <v/>
      </c>
      <c r="C8303" t="str">
        <f t="shared" si="419"/>
        <v/>
      </c>
      <c r="D8303" s="245" t="str">
        <f t="shared" si="421"/>
        <v/>
      </c>
      <c r="E8303" s="534"/>
      <c r="F8303" s="534"/>
    </row>
    <row r="8304" spans="1:6" ht="15" customHeight="1">
      <c r="A8304" s="51"/>
      <c r="B8304" s="52" t="str">
        <f t="shared" si="420"/>
        <v/>
      </c>
      <c r="C8304" t="str">
        <f t="shared" si="419"/>
        <v/>
      </c>
      <c r="D8304" s="245" t="str">
        <f t="shared" si="421"/>
        <v/>
      </c>
      <c r="E8304" s="534"/>
      <c r="F8304" s="534"/>
    </row>
    <row r="8305" spans="1:6" ht="15" customHeight="1">
      <c r="A8305" s="51"/>
      <c r="B8305" s="52" t="str">
        <f t="shared" si="420"/>
        <v/>
      </c>
      <c r="C8305" t="str">
        <f t="shared" si="419"/>
        <v/>
      </c>
      <c r="D8305" s="245" t="str">
        <f t="shared" si="421"/>
        <v/>
      </c>
      <c r="E8305" s="534"/>
      <c r="F8305" s="534"/>
    </row>
    <row r="8306" spans="1:6" ht="15" customHeight="1">
      <c r="A8306" s="51"/>
      <c r="B8306" s="52" t="str">
        <f t="shared" si="420"/>
        <v/>
      </c>
      <c r="C8306" t="str">
        <f t="shared" si="419"/>
        <v/>
      </c>
      <c r="D8306" s="245" t="str">
        <f t="shared" si="421"/>
        <v/>
      </c>
      <c r="E8306" s="534"/>
      <c r="F8306" s="534"/>
    </row>
    <row r="8307" spans="1:6" ht="15" customHeight="1">
      <c r="A8307" s="51"/>
      <c r="B8307" s="52" t="str">
        <f t="shared" si="420"/>
        <v/>
      </c>
      <c r="C8307" t="str">
        <f t="shared" si="419"/>
        <v/>
      </c>
      <c r="D8307" s="245" t="str">
        <f t="shared" si="421"/>
        <v/>
      </c>
      <c r="E8307" s="534"/>
      <c r="F8307" s="534"/>
    </row>
    <row r="8308" spans="1:6" ht="15" customHeight="1">
      <c r="A8308" s="51"/>
      <c r="B8308" s="52" t="str">
        <f t="shared" si="420"/>
        <v/>
      </c>
      <c r="C8308" t="str">
        <f t="shared" si="419"/>
        <v/>
      </c>
      <c r="D8308" s="245" t="str">
        <f t="shared" si="421"/>
        <v/>
      </c>
      <c r="E8308" s="534"/>
      <c r="F8308" s="534"/>
    </row>
    <row r="8309" spans="1:6" ht="15" customHeight="1">
      <c r="A8309" s="51"/>
      <c r="B8309" s="52" t="str">
        <f t="shared" si="420"/>
        <v/>
      </c>
      <c r="C8309" t="str">
        <f t="shared" si="419"/>
        <v/>
      </c>
      <c r="D8309" s="245" t="str">
        <f t="shared" si="421"/>
        <v/>
      </c>
      <c r="E8309" s="534"/>
      <c r="F8309" s="534"/>
    </row>
    <row r="8310" spans="1:6" ht="15" customHeight="1">
      <c r="A8310" s="51"/>
      <c r="B8310" s="52" t="str">
        <f t="shared" si="420"/>
        <v/>
      </c>
      <c r="C8310" t="str">
        <f t="shared" si="419"/>
        <v/>
      </c>
      <c r="D8310" s="245" t="str">
        <f t="shared" si="421"/>
        <v/>
      </c>
      <c r="E8310" s="534"/>
      <c r="F8310" s="534"/>
    </row>
    <row r="8311" spans="1:6" ht="15" customHeight="1">
      <c r="A8311" s="51"/>
      <c r="B8311" s="52" t="str">
        <f t="shared" si="420"/>
        <v/>
      </c>
      <c r="C8311" t="str">
        <f t="shared" si="419"/>
        <v/>
      </c>
      <c r="D8311" s="245" t="str">
        <f t="shared" si="421"/>
        <v/>
      </c>
      <c r="E8311" s="534"/>
      <c r="F8311" s="534"/>
    </row>
    <row r="8312" spans="1:6" ht="15" customHeight="1">
      <c r="A8312" s="51"/>
      <c r="B8312" s="52" t="str">
        <f t="shared" si="420"/>
        <v/>
      </c>
      <c r="C8312" t="str">
        <f t="shared" si="419"/>
        <v/>
      </c>
      <c r="D8312" s="245" t="str">
        <f t="shared" si="421"/>
        <v/>
      </c>
      <c r="E8312" s="534"/>
      <c r="F8312" s="534"/>
    </row>
    <row r="8313" spans="1:6" ht="15" customHeight="1">
      <c r="A8313" s="51"/>
      <c r="B8313" s="52" t="str">
        <f t="shared" si="420"/>
        <v/>
      </c>
      <c r="C8313" t="str">
        <f t="shared" si="419"/>
        <v/>
      </c>
      <c r="D8313" s="245" t="str">
        <f t="shared" si="421"/>
        <v/>
      </c>
      <c r="E8313" s="534"/>
      <c r="F8313" s="534"/>
    </row>
    <row r="8314" spans="1:6" ht="15" customHeight="1">
      <c r="A8314" s="51"/>
      <c r="B8314" s="52" t="str">
        <f t="shared" si="420"/>
        <v/>
      </c>
      <c r="C8314" t="str">
        <f t="shared" si="419"/>
        <v/>
      </c>
      <c r="D8314" s="245" t="str">
        <f t="shared" si="421"/>
        <v/>
      </c>
      <c r="E8314" s="534"/>
      <c r="F8314" s="534"/>
    </row>
    <row r="8315" spans="1:6" ht="15" customHeight="1">
      <c r="A8315" s="51"/>
      <c r="B8315" s="52" t="str">
        <f t="shared" si="420"/>
        <v/>
      </c>
      <c r="C8315" t="str">
        <f t="shared" si="419"/>
        <v/>
      </c>
      <c r="D8315" s="245" t="str">
        <f t="shared" si="421"/>
        <v/>
      </c>
      <c r="E8315" s="534"/>
      <c r="F8315" s="534"/>
    </row>
    <row r="8316" spans="1:6" ht="15" customHeight="1">
      <c r="A8316" s="51"/>
      <c r="B8316" s="52" t="str">
        <f t="shared" si="420"/>
        <v/>
      </c>
      <c r="C8316" t="str">
        <f t="shared" si="419"/>
        <v/>
      </c>
      <c r="D8316" s="245" t="str">
        <f t="shared" si="421"/>
        <v/>
      </c>
      <c r="E8316" s="534"/>
      <c r="F8316" s="534"/>
    </row>
    <row r="8317" spans="1:6" ht="15" customHeight="1">
      <c r="A8317" s="51"/>
      <c r="B8317" s="52" t="str">
        <f t="shared" si="420"/>
        <v/>
      </c>
      <c r="C8317" t="str">
        <f t="shared" si="419"/>
        <v/>
      </c>
      <c r="D8317" s="245" t="str">
        <f t="shared" si="421"/>
        <v/>
      </c>
      <c r="E8317" s="534"/>
      <c r="F8317" s="534"/>
    </row>
    <row r="8318" spans="1:6" ht="15" customHeight="1">
      <c r="A8318" s="51"/>
      <c r="B8318" s="52" t="str">
        <f t="shared" si="420"/>
        <v/>
      </c>
      <c r="C8318" t="str">
        <f t="shared" si="419"/>
        <v/>
      </c>
      <c r="D8318" s="245" t="str">
        <f t="shared" si="421"/>
        <v/>
      </c>
      <c r="E8318" s="534"/>
      <c r="F8318" s="534"/>
    </row>
    <row r="8319" spans="1:6" ht="15" customHeight="1">
      <c r="A8319" s="51"/>
      <c r="B8319" s="52" t="str">
        <f t="shared" si="420"/>
        <v/>
      </c>
      <c r="C8319" t="str">
        <f t="shared" si="419"/>
        <v/>
      </c>
      <c r="D8319" s="245" t="str">
        <f t="shared" si="421"/>
        <v/>
      </c>
      <c r="E8319" s="534"/>
      <c r="F8319" s="534"/>
    </row>
    <row r="8320" spans="1:6" ht="15" customHeight="1">
      <c r="A8320" s="51"/>
      <c r="B8320" s="52" t="str">
        <f t="shared" si="420"/>
        <v/>
      </c>
      <c r="C8320" t="str">
        <f t="shared" si="419"/>
        <v/>
      </c>
      <c r="D8320" s="245" t="str">
        <f t="shared" si="421"/>
        <v/>
      </c>
      <c r="E8320" s="534"/>
      <c r="F8320" s="534"/>
    </row>
    <row r="8321" spans="1:6" ht="15" customHeight="1">
      <c r="A8321" s="51"/>
      <c r="B8321" s="52" t="str">
        <f t="shared" si="420"/>
        <v/>
      </c>
      <c r="C8321" t="str">
        <f t="shared" si="419"/>
        <v/>
      </c>
      <c r="D8321" s="245" t="str">
        <f t="shared" si="421"/>
        <v/>
      </c>
      <c r="E8321" s="534"/>
      <c r="F8321" s="534"/>
    </row>
    <row r="8322" spans="1:6" ht="15" customHeight="1">
      <c r="A8322" s="51"/>
      <c r="B8322" s="52" t="str">
        <f t="shared" si="420"/>
        <v/>
      </c>
      <c r="C8322" t="str">
        <f t="shared" ref="C8322:C8385" si="422">IF(A8322&lt;&gt;"",TEXT(A8322,"aaaa"),"")</f>
        <v/>
      </c>
      <c r="D8322" s="245" t="str">
        <f t="shared" si="421"/>
        <v/>
      </c>
      <c r="E8322" s="534"/>
      <c r="F8322" s="534"/>
    </row>
    <row r="8323" spans="1:6" ht="15" customHeight="1">
      <c r="A8323" s="51"/>
      <c r="B8323" s="52" t="str">
        <f t="shared" si="420"/>
        <v/>
      </c>
      <c r="C8323" t="str">
        <f t="shared" si="422"/>
        <v/>
      </c>
      <c r="D8323" s="245" t="str">
        <f t="shared" si="421"/>
        <v/>
      </c>
      <c r="E8323" s="534"/>
      <c r="F8323" s="534"/>
    </row>
    <row r="8324" spans="1:6" ht="15" customHeight="1">
      <c r="A8324" s="51"/>
      <c r="B8324" s="52" t="str">
        <f t="shared" si="420"/>
        <v/>
      </c>
      <c r="C8324" t="str">
        <f t="shared" si="422"/>
        <v/>
      </c>
      <c r="D8324" s="245" t="str">
        <f t="shared" si="421"/>
        <v/>
      </c>
      <c r="E8324" s="534"/>
      <c r="F8324" s="534"/>
    </row>
    <row r="8325" spans="1:6" ht="15" customHeight="1">
      <c r="A8325" s="51"/>
      <c r="B8325" s="52" t="str">
        <f t="shared" si="420"/>
        <v/>
      </c>
      <c r="C8325" t="str">
        <f t="shared" si="422"/>
        <v/>
      </c>
      <c r="D8325" s="245" t="str">
        <f t="shared" si="421"/>
        <v/>
      </c>
      <c r="E8325" s="534"/>
      <c r="F8325" s="534"/>
    </row>
    <row r="8326" spans="1:6" ht="15" customHeight="1">
      <c r="A8326" s="51"/>
      <c r="B8326" s="52" t="str">
        <f t="shared" si="420"/>
        <v/>
      </c>
      <c r="C8326" t="str">
        <f t="shared" si="422"/>
        <v/>
      </c>
      <c r="D8326" s="245" t="str">
        <f t="shared" si="421"/>
        <v/>
      </c>
      <c r="E8326" s="534"/>
      <c r="F8326" s="534"/>
    </row>
    <row r="8327" spans="1:6" ht="15" customHeight="1">
      <c r="A8327" s="51"/>
      <c r="B8327" s="52" t="str">
        <f t="shared" si="420"/>
        <v/>
      </c>
      <c r="C8327" t="str">
        <f t="shared" si="422"/>
        <v/>
      </c>
      <c r="D8327" s="245" t="str">
        <f t="shared" si="421"/>
        <v/>
      </c>
      <c r="E8327" s="534"/>
      <c r="F8327" s="534"/>
    </row>
    <row r="8328" spans="1:6" ht="15" customHeight="1">
      <c r="A8328" s="51"/>
      <c r="B8328" s="52" t="str">
        <f t="shared" ref="B8328:B8391" si="423">IF(A8328="","",TEXT(A8328,"DDDD"))</f>
        <v/>
      </c>
      <c r="C8328" t="str">
        <f t="shared" si="422"/>
        <v/>
      </c>
      <c r="D8328" s="245" t="str">
        <f t="shared" si="421"/>
        <v/>
      </c>
      <c r="E8328" s="534"/>
      <c r="F8328" s="534"/>
    </row>
    <row r="8329" spans="1:6" ht="15" customHeight="1">
      <c r="A8329" s="51"/>
      <c r="B8329" s="52" t="str">
        <f t="shared" si="423"/>
        <v/>
      </c>
      <c r="C8329" t="str">
        <f t="shared" si="422"/>
        <v/>
      </c>
      <c r="D8329" s="245" t="str">
        <f t="shared" ref="D8329:D8392" si="424">IF(A8329&lt;&gt;"",PROPER(TEXT(A8329,"Mmmm")),"")</f>
        <v/>
      </c>
      <c r="E8329" s="534"/>
      <c r="F8329" s="534"/>
    </row>
    <row r="8330" spans="1:6" ht="15" customHeight="1">
      <c r="A8330" s="51"/>
      <c r="B8330" s="52" t="str">
        <f t="shared" si="423"/>
        <v/>
      </c>
      <c r="C8330" t="str">
        <f t="shared" si="422"/>
        <v/>
      </c>
      <c r="D8330" s="245" t="str">
        <f t="shared" si="424"/>
        <v/>
      </c>
      <c r="E8330" s="534"/>
      <c r="F8330" s="534"/>
    </row>
    <row r="8331" spans="1:6" ht="15" customHeight="1">
      <c r="A8331" s="51"/>
      <c r="B8331" s="52" t="str">
        <f t="shared" si="423"/>
        <v/>
      </c>
      <c r="C8331" t="str">
        <f t="shared" si="422"/>
        <v/>
      </c>
      <c r="D8331" s="245" t="str">
        <f t="shared" si="424"/>
        <v/>
      </c>
      <c r="E8331" s="534"/>
      <c r="F8331" s="534"/>
    </row>
    <row r="8332" spans="1:6" ht="15" customHeight="1">
      <c r="A8332" s="51"/>
      <c r="B8332" s="52" t="str">
        <f t="shared" si="423"/>
        <v/>
      </c>
      <c r="C8332" t="str">
        <f t="shared" si="422"/>
        <v/>
      </c>
      <c r="D8332" s="245" t="str">
        <f t="shared" si="424"/>
        <v/>
      </c>
      <c r="E8332" s="534"/>
      <c r="F8332" s="534"/>
    </row>
    <row r="8333" spans="1:6" ht="15" customHeight="1">
      <c r="A8333" s="51"/>
      <c r="B8333" s="52" t="str">
        <f t="shared" si="423"/>
        <v/>
      </c>
      <c r="C8333" t="str">
        <f t="shared" si="422"/>
        <v/>
      </c>
      <c r="D8333" s="245" t="str">
        <f t="shared" si="424"/>
        <v/>
      </c>
      <c r="E8333" s="534"/>
      <c r="F8333" s="534"/>
    </row>
    <row r="8334" spans="1:6" ht="15" customHeight="1">
      <c r="A8334" s="51"/>
      <c r="B8334" s="52" t="str">
        <f t="shared" si="423"/>
        <v/>
      </c>
      <c r="C8334" t="str">
        <f t="shared" si="422"/>
        <v/>
      </c>
      <c r="D8334" s="245" t="str">
        <f t="shared" si="424"/>
        <v/>
      </c>
      <c r="E8334" s="534"/>
      <c r="F8334" s="534"/>
    </row>
    <row r="8335" spans="1:6" ht="15" customHeight="1">
      <c r="A8335" s="51"/>
      <c r="B8335" s="52" t="str">
        <f t="shared" si="423"/>
        <v/>
      </c>
      <c r="C8335" t="str">
        <f t="shared" si="422"/>
        <v/>
      </c>
      <c r="D8335" s="245" t="str">
        <f t="shared" si="424"/>
        <v/>
      </c>
      <c r="E8335" s="534"/>
      <c r="F8335" s="534"/>
    </row>
    <row r="8336" spans="1:6" ht="15" customHeight="1">
      <c r="A8336" s="51"/>
      <c r="B8336" s="52" t="str">
        <f t="shared" si="423"/>
        <v/>
      </c>
      <c r="C8336" t="str">
        <f t="shared" si="422"/>
        <v/>
      </c>
      <c r="D8336" s="245" t="str">
        <f t="shared" si="424"/>
        <v/>
      </c>
      <c r="E8336" s="534"/>
      <c r="F8336" s="534"/>
    </row>
    <row r="8337" spans="1:6" ht="15" customHeight="1">
      <c r="A8337" s="51"/>
      <c r="B8337" s="52" t="str">
        <f t="shared" si="423"/>
        <v/>
      </c>
      <c r="C8337" t="str">
        <f t="shared" si="422"/>
        <v/>
      </c>
      <c r="D8337" s="245" t="str">
        <f t="shared" si="424"/>
        <v/>
      </c>
      <c r="E8337" s="534"/>
      <c r="F8337" s="534"/>
    </row>
    <row r="8338" spans="1:6" ht="15" customHeight="1">
      <c r="A8338" s="51"/>
      <c r="B8338" s="52" t="str">
        <f t="shared" si="423"/>
        <v/>
      </c>
      <c r="C8338" t="str">
        <f t="shared" si="422"/>
        <v/>
      </c>
      <c r="D8338" s="245" t="str">
        <f t="shared" si="424"/>
        <v/>
      </c>
      <c r="E8338" s="534"/>
      <c r="F8338" s="534"/>
    </row>
    <row r="8339" spans="1:6" ht="15" customHeight="1">
      <c r="A8339" s="51"/>
      <c r="B8339" s="52" t="str">
        <f t="shared" si="423"/>
        <v/>
      </c>
      <c r="C8339" t="str">
        <f t="shared" si="422"/>
        <v/>
      </c>
      <c r="D8339" s="245" t="str">
        <f t="shared" si="424"/>
        <v/>
      </c>
      <c r="E8339" s="534"/>
      <c r="F8339" s="534"/>
    </row>
    <row r="8340" spans="1:6" ht="15" customHeight="1">
      <c r="A8340" s="51"/>
      <c r="B8340" s="52" t="str">
        <f t="shared" si="423"/>
        <v/>
      </c>
      <c r="C8340" t="str">
        <f t="shared" si="422"/>
        <v/>
      </c>
      <c r="D8340" s="245" t="str">
        <f t="shared" si="424"/>
        <v/>
      </c>
      <c r="E8340" s="534"/>
      <c r="F8340" s="534"/>
    </row>
    <row r="8341" spans="1:6" ht="15" customHeight="1">
      <c r="A8341" s="51"/>
      <c r="B8341" s="52" t="str">
        <f t="shared" si="423"/>
        <v/>
      </c>
      <c r="C8341" t="str">
        <f t="shared" si="422"/>
        <v/>
      </c>
      <c r="D8341" s="245" t="str">
        <f t="shared" si="424"/>
        <v/>
      </c>
      <c r="E8341" s="534"/>
      <c r="F8341" s="534"/>
    </row>
    <row r="8342" spans="1:6" ht="15" customHeight="1">
      <c r="A8342" s="51"/>
      <c r="B8342" s="52" t="str">
        <f t="shared" si="423"/>
        <v/>
      </c>
      <c r="C8342" t="str">
        <f t="shared" si="422"/>
        <v/>
      </c>
      <c r="D8342" s="245" t="str">
        <f t="shared" si="424"/>
        <v/>
      </c>
      <c r="E8342" s="534"/>
      <c r="F8342" s="534"/>
    </row>
    <row r="8343" spans="1:6" ht="15" customHeight="1">
      <c r="A8343" s="51"/>
      <c r="B8343" s="52" t="str">
        <f t="shared" si="423"/>
        <v/>
      </c>
      <c r="C8343" t="str">
        <f t="shared" si="422"/>
        <v/>
      </c>
      <c r="D8343" s="245" t="str">
        <f t="shared" si="424"/>
        <v/>
      </c>
      <c r="E8343" s="534"/>
      <c r="F8343" s="534"/>
    </row>
    <row r="8344" spans="1:6" ht="15" customHeight="1">
      <c r="A8344" s="51"/>
      <c r="B8344" s="52" t="str">
        <f t="shared" si="423"/>
        <v/>
      </c>
      <c r="C8344" t="str">
        <f t="shared" si="422"/>
        <v/>
      </c>
      <c r="D8344" s="245" t="str">
        <f t="shared" si="424"/>
        <v/>
      </c>
      <c r="E8344" s="534"/>
      <c r="F8344" s="534"/>
    </row>
    <row r="8345" spans="1:6" ht="15" customHeight="1">
      <c r="A8345" s="51"/>
      <c r="B8345" s="52" t="str">
        <f t="shared" si="423"/>
        <v/>
      </c>
      <c r="C8345" t="str">
        <f t="shared" si="422"/>
        <v/>
      </c>
      <c r="D8345" s="245" t="str">
        <f t="shared" si="424"/>
        <v/>
      </c>
      <c r="E8345" s="534"/>
      <c r="F8345" s="534"/>
    </row>
    <row r="8346" spans="1:6" ht="15" customHeight="1">
      <c r="A8346" s="51"/>
      <c r="B8346" s="52" t="str">
        <f t="shared" si="423"/>
        <v/>
      </c>
      <c r="C8346" t="str">
        <f t="shared" si="422"/>
        <v/>
      </c>
      <c r="D8346" s="245" t="str">
        <f t="shared" si="424"/>
        <v/>
      </c>
      <c r="E8346" s="534"/>
      <c r="F8346" s="534"/>
    </row>
    <row r="8347" spans="1:6" ht="15" customHeight="1">
      <c r="A8347" s="51"/>
      <c r="B8347" s="52" t="str">
        <f t="shared" si="423"/>
        <v/>
      </c>
      <c r="C8347" t="str">
        <f t="shared" si="422"/>
        <v/>
      </c>
      <c r="D8347" s="245" t="str">
        <f t="shared" si="424"/>
        <v/>
      </c>
      <c r="E8347" s="534"/>
      <c r="F8347" s="534"/>
    </row>
    <row r="8348" spans="1:6" ht="15" customHeight="1">
      <c r="A8348" s="51"/>
      <c r="B8348" s="52" t="str">
        <f t="shared" si="423"/>
        <v/>
      </c>
      <c r="C8348" t="str">
        <f t="shared" si="422"/>
        <v/>
      </c>
      <c r="D8348" s="245" t="str">
        <f t="shared" si="424"/>
        <v/>
      </c>
      <c r="E8348" s="534"/>
      <c r="F8348" s="534"/>
    </row>
    <row r="8349" spans="1:6" ht="15" customHeight="1">
      <c r="A8349" s="51"/>
      <c r="B8349" s="52" t="str">
        <f t="shared" si="423"/>
        <v/>
      </c>
      <c r="C8349" t="str">
        <f t="shared" si="422"/>
        <v/>
      </c>
      <c r="D8349" s="245" t="str">
        <f t="shared" si="424"/>
        <v/>
      </c>
      <c r="E8349" s="534"/>
      <c r="F8349" s="534"/>
    </row>
    <row r="8350" spans="1:6" ht="15" customHeight="1">
      <c r="A8350" s="51"/>
      <c r="B8350" s="52" t="str">
        <f t="shared" si="423"/>
        <v/>
      </c>
      <c r="C8350" t="str">
        <f t="shared" si="422"/>
        <v/>
      </c>
      <c r="D8350" s="245" t="str">
        <f t="shared" si="424"/>
        <v/>
      </c>
      <c r="E8350" s="534"/>
      <c r="F8350" s="534"/>
    </row>
    <row r="8351" spans="1:6" ht="15" customHeight="1">
      <c r="A8351" s="51"/>
      <c r="B8351" s="52" t="str">
        <f t="shared" si="423"/>
        <v/>
      </c>
      <c r="C8351" t="str">
        <f t="shared" si="422"/>
        <v/>
      </c>
      <c r="D8351" s="245" t="str">
        <f t="shared" si="424"/>
        <v/>
      </c>
      <c r="E8351" s="534"/>
      <c r="F8351" s="534"/>
    </row>
    <row r="8352" spans="1:6" ht="15" customHeight="1">
      <c r="A8352" s="51"/>
      <c r="B8352" s="52" t="str">
        <f t="shared" si="423"/>
        <v/>
      </c>
      <c r="C8352" t="str">
        <f t="shared" si="422"/>
        <v/>
      </c>
      <c r="D8352" s="245" t="str">
        <f t="shared" si="424"/>
        <v/>
      </c>
      <c r="E8352" s="534"/>
      <c r="F8352" s="534"/>
    </row>
    <row r="8353" spans="1:6" ht="15" customHeight="1">
      <c r="A8353" s="51"/>
      <c r="B8353" s="52" t="str">
        <f t="shared" si="423"/>
        <v/>
      </c>
      <c r="C8353" t="str">
        <f t="shared" si="422"/>
        <v/>
      </c>
      <c r="D8353" s="245" t="str">
        <f t="shared" si="424"/>
        <v/>
      </c>
      <c r="E8353" s="534"/>
      <c r="F8353" s="534"/>
    </row>
    <row r="8354" spans="1:6" ht="15" customHeight="1">
      <c r="A8354" s="51"/>
      <c r="B8354" s="52" t="str">
        <f t="shared" si="423"/>
        <v/>
      </c>
      <c r="C8354" t="str">
        <f t="shared" si="422"/>
        <v/>
      </c>
      <c r="D8354" s="245" t="str">
        <f t="shared" si="424"/>
        <v/>
      </c>
      <c r="E8354" s="534"/>
      <c r="F8354" s="534"/>
    </row>
    <row r="8355" spans="1:6" ht="15" customHeight="1">
      <c r="A8355" s="51"/>
      <c r="B8355" s="52" t="str">
        <f t="shared" si="423"/>
        <v/>
      </c>
      <c r="C8355" t="str">
        <f t="shared" si="422"/>
        <v/>
      </c>
      <c r="D8355" s="245" t="str">
        <f t="shared" si="424"/>
        <v/>
      </c>
      <c r="E8355" s="534"/>
      <c r="F8355" s="534"/>
    </row>
    <row r="8356" spans="1:6" ht="15" customHeight="1">
      <c r="A8356" s="51"/>
      <c r="B8356" s="52" t="str">
        <f t="shared" si="423"/>
        <v/>
      </c>
      <c r="C8356" t="str">
        <f t="shared" si="422"/>
        <v/>
      </c>
      <c r="D8356" s="245" t="str">
        <f t="shared" si="424"/>
        <v/>
      </c>
      <c r="E8356" s="534"/>
      <c r="F8356" s="534"/>
    </row>
    <row r="8357" spans="1:6" ht="15" customHeight="1">
      <c r="A8357" s="51"/>
      <c r="B8357" s="52" t="str">
        <f t="shared" si="423"/>
        <v/>
      </c>
      <c r="C8357" t="str">
        <f t="shared" si="422"/>
        <v/>
      </c>
      <c r="D8357" s="245" t="str">
        <f t="shared" si="424"/>
        <v/>
      </c>
      <c r="E8357" s="534"/>
      <c r="F8357" s="534"/>
    </row>
    <row r="8358" spans="1:6" ht="15" customHeight="1">
      <c r="A8358" s="51"/>
      <c r="B8358" s="52" t="str">
        <f t="shared" si="423"/>
        <v/>
      </c>
      <c r="C8358" t="str">
        <f t="shared" si="422"/>
        <v/>
      </c>
      <c r="D8358" s="245" t="str">
        <f t="shared" si="424"/>
        <v/>
      </c>
      <c r="E8358" s="534"/>
      <c r="F8358" s="534"/>
    </row>
    <row r="8359" spans="1:6" ht="15" customHeight="1">
      <c r="A8359" s="51"/>
      <c r="B8359" s="52" t="str">
        <f t="shared" si="423"/>
        <v/>
      </c>
      <c r="C8359" t="str">
        <f t="shared" si="422"/>
        <v/>
      </c>
      <c r="D8359" s="245" t="str">
        <f t="shared" si="424"/>
        <v/>
      </c>
      <c r="E8359" s="534"/>
      <c r="F8359" s="534"/>
    </row>
    <row r="8360" spans="1:6" ht="15" customHeight="1">
      <c r="A8360" s="51"/>
      <c r="B8360" s="52" t="str">
        <f t="shared" si="423"/>
        <v/>
      </c>
      <c r="C8360" t="str">
        <f t="shared" si="422"/>
        <v/>
      </c>
      <c r="D8360" s="245" t="str">
        <f t="shared" si="424"/>
        <v/>
      </c>
      <c r="E8360" s="534"/>
      <c r="F8360" s="534"/>
    </row>
    <row r="8361" spans="1:6" ht="15" customHeight="1">
      <c r="A8361" s="51"/>
      <c r="B8361" s="52" t="str">
        <f t="shared" si="423"/>
        <v/>
      </c>
      <c r="C8361" t="str">
        <f t="shared" si="422"/>
        <v/>
      </c>
      <c r="D8361" s="245" t="str">
        <f t="shared" si="424"/>
        <v/>
      </c>
      <c r="E8361" s="534"/>
      <c r="F8361" s="534"/>
    </row>
    <row r="8362" spans="1:6" ht="15" customHeight="1">
      <c r="A8362" s="51"/>
      <c r="B8362" s="52" t="str">
        <f t="shared" si="423"/>
        <v/>
      </c>
      <c r="C8362" t="str">
        <f t="shared" si="422"/>
        <v/>
      </c>
      <c r="D8362" s="245" t="str">
        <f t="shared" si="424"/>
        <v/>
      </c>
      <c r="E8362" s="534"/>
      <c r="F8362" s="534"/>
    </row>
    <row r="8363" spans="1:6" ht="15" customHeight="1">
      <c r="A8363" s="51"/>
      <c r="B8363" s="52" t="str">
        <f t="shared" si="423"/>
        <v/>
      </c>
      <c r="C8363" t="str">
        <f t="shared" si="422"/>
        <v/>
      </c>
      <c r="D8363" s="245" t="str">
        <f t="shared" si="424"/>
        <v/>
      </c>
      <c r="E8363" s="534"/>
      <c r="F8363" s="534"/>
    </row>
    <row r="8364" spans="1:6" ht="15" customHeight="1">
      <c r="A8364" s="51"/>
      <c r="B8364" s="52" t="str">
        <f t="shared" si="423"/>
        <v/>
      </c>
      <c r="C8364" t="str">
        <f t="shared" si="422"/>
        <v/>
      </c>
      <c r="D8364" s="245" t="str">
        <f t="shared" si="424"/>
        <v/>
      </c>
      <c r="E8364" s="534"/>
      <c r="F8364" s="534"/>
    </row>
    <row r="8365" spans="1:6" ht="15" customHeight="1">
      <c r="A8365" s="51"/>
      <c r="B8365" s="52" t="str">
        <f t="shared" si="423"/>
        <v/>
      </c>
      <c r="C8365" t="str">
        <f t="shared" si="422"/>
        <v/>
      </c>
      <c r="D8365" s="245" t="str">
        <f t="shared" si="424"/>
        <v/>
      </c>
      <c r="E8365" s="534"/>
      <c r="F8365" s="534"/>
    </row>
    <row r="8366" spans="1:6" ht="15" customHeight="1">
      <c r="A8366" s="51"/>
      <c r="B8366" s="52" t="str">
        <f t="shared" si="423"/>
        <v/>
      </c>
      <c r="C8366" t="str">
        <f t="shared" si="422"/>
        <v/>
      </c>
      <c r="D8366" s="245" t="str">
        <f t="shared" si="424"/>
        <v/>
      </c>
      <c r="E8366" s="534"/>
      <c r="F8366" s="534"/>
    </row>
    <row r="8367" spans="1:6" ht="15" customHeight="1">
      <c r="A8367" s="51"/>
      <c r="B8367" s="52" t="str">
        <f t="shared" si="423"/>
        <v/>
      </c>
      <c r="C8367" t="str">
        <f t="shared" si="422"/>
        <v/>
      </c>
      <c r="D8367" s="245" t="str">
        <f t="shared" si="424"/>
        <v/>
      </c>
      <c r="E8367" s="534"/>
      <c r="F8367" s="534"/>
    </row>
    <row r="8368" spans="1:6" ht="15" customHeight="1">
      <c r="A8368" s="51"/>
      <c r="B8368" s="52" t="str">
        <f t="shared" si="423"/>
        <v/>
      </c>
      <c r="C8368" t="str">
        <f t="shared" si="422"/>
        <v/>
      </c>
      <c r="D8368" s="245" t="str">
        <f t="shared" si="424"/>
        <v/>
      </c>
      <c r="E8368" s="534"/>
      <c r="F8368" s="534"/>
    </row>
    <row r="8369" spans="1:6" ht="15" customHeight="1">
      <c r="A8369" s="51"/>
      <c r="B8369" s="52" t="str">
        <f t="shared" si="423"/>
        <v/>
      </c>
      <c r="C8369" t="str">
        <f t="shared" si="422"/>
        <v/>
      </c>
      <c r="D8369" s="245" t="str">
        <f t="shared" si="424"/>
        <v/>
      </c>
      <c r="E8369" s="534"/>
      <c r="F8369" s="534"/>
    </row>
    <row r="8370" spans="1:6" ht="15" customHeight="1">
      <c r="A8370" s="51"/>
      <c r="B8370" s="52" t="str">
        <f t="shared" si="423"/>
        <v/>
      </c>
      <c r="C8370" t="str">
        <f t="shared" si="422"/>
        <v/>
      </c>
      <c r="D8370" s="245" t="str">
        <f t="shared" si="424"/>
        <v/>
      </c>
      <c r="E8370" s="534"/>
      <c r="F8370" s="534"/>
    </row>
    <row r="8371" spans="1:6" ht="15" customHeight="1">
      <c r="A8371" s="51"/>
      <c r="B8371" s="52" t="str">
        <f t="shared" si="423"/>
        <v/>
      </c>
      <c r="C8371" t="str">
        <f t="shared" si="422"/>
        <v/>
      </c>
      <c r="D8371" s="245" t="str">
        <f t="shared" si="424"/>
        <v/>
      </c>
      <c r="E8371" s="534"/>
      <c r="F8371" s="534"/>
    </row>
    <row r="8372" spans="1:6" ht="15" customHeight="1">
      <c r="A8372" s="51"/>
      <c r="B8372" s="52" t="str">
        <f t="shared" si="423"/>
        <v/>
      </c>
      <c r="C8372" t="str">
        <f t="shared" si="422"/>
        <v/>
      </c>
      <c r="D8372" s="245" t="str">
        <f t="shared" si="424"/>
        <v/>
      </c>
      <c r="E8372" s="534"/>
      <c r="F8372" s="534"/>
    </row>
    <row r="8373" spans="1:6" ht="15" customHeight="1">
      <c r="A8373" s="51"/>
      <c r="B8373" s="52" t="str">
        <f t="shared" si="423"/>
        <v/>
      </c>
      <c r="C8373" t="str">
        <f t="shared" si="422"/>
        <v/>
      </c>
      <c r="D8373" s="245" t="str">
        <f t="shared" si="424"/>
        <v/>
      </c>
      <c r="E8373" s="534"/>
      <c r="F8373" s="534"/>
    </row>
    <row r="8374" spans="1:6" ht="15" customHeight="1">
      <c r="A8374" s="51"/>
      <c r="B8374" s="52" t="str">
        <f t="shared" si="423"/>
        <v/>
      </c>
      <c r="C8374" t="str">
        <f t="shared" si="422"/>
        <v/>
      </c>
      <c r="D8374" s="245" t="str">
        <f t="shared" si="424"/>
        <v/>
      </c>
      <c r="E8374" s="534"/>
      <c r="F8374" s="534"/>
    </row>
    <row r="8375" spans="1:6" ht="15" customHeight="1">
      <c r="A8375" s="51"/>
      <c r="B8375" s="52" t="str">
        <f t="shared" si="423"/>
        <v/>
      </c>
      <c r="C8375" t="str">
        <f t="shared" si="422"/>
        <v/>
      </c>
      <c r="D8375" s="245" t="str">
        <f t="shared" si="424"/>
        <v/>
      </c>
      <c r="E8375" s="534"/>
      <c r="F8375" s="534"/>
    </row>
    <row r="8376" spans="1:6" ht="15" customHeight="1">
      <c r="A8376" s="51"/>
      <c r="B8376" s="52" t="str">
        <f t="shared" si="423"/>
        <v/>
      </c>
      <c r="C8376" t="str">
        <f t="shared" si="422"/>
        <v/>
      </c>
      <c r="D8376" s="245" t="str">
        <f t="shared" si="424"/>
        <v/>
      </c>
      <c r="E8376" s="534"/>
      <c r="F8376" s="534"/>
    </row>
    <row r="8377" spans="1:6" ht="15" customHeight="1">
      <c r="A8377" s="51"/>
      <c r="B8377" s="52" t="str">
        <f t="shared" si="423"/>
        <v/>
      </c>
      <c r="C8377" t="str">
        <f t="shared" si="422"/>
        <v/>
      </c>
      <c r="D8377" s="245" t="str">
        <f t="shared" si="424"/>
        <v/>
      </c>
      <c r="E8377" s="534"/>
      <c r="F8377" s="534"/>
    </row>
    <row r="8378" spans="1:6" ht="15" customHeight="1">
      <c r="A8378" s="51"/>
      <c r="B8378" s="52" t="str">
        <f t="shared" si="423"/>
        <v/>
      </c>
      <c r="C8378" t="str">
        <f t="shared" si="422"/>
        <v/>
      </c>
      <c r="D8378" s="245" t="str">
        <f t="shared" si="424"/>
        <v/>
      </c>
      <c r="E8378" s="534"/>
      <c r="F8378" s="534"/>
    </row>
    <row r="8379" spans="1:6" ht="15" customHeight="1">
      <c r="A8379" s="51"/>
      <c r="B8379" s="52" t="str">
        <f t="shared" si="423"/>
        <v/>
      </c>
      <c r="C8379" t="str">
        <f t="shared" si="422"/>
        <v/>
      </c>
      <c r="D8379" s="245" t="str">
        <f t="shared" si="424"/>
        <v/>
      </c>
      <c r="E8379" s="534"/>
      <c r="F8379" s="534"/>
    </row>
    <row r="8380" spans="1:6" ht="15" customHeight="1">
      <c r="A8380" s="51"/>
      <c r="B8380" s="52" t="str">
        <f t="shared" si="423"/>
        <v/>
      </c>
      <c r="C8380" t="str">
        <f t="shared" si="422"/>
        <v/>
      </c>
      <c r="D8380" s="245" t="str">
        <f t="shared" si="424"/>
        <v/>
      </c>
      <c r="E8380" s="534"/>
      <c r="F8380" s="534"/>
    </row>
    <row r="8381" spans="1:6" ht="15" customHeight="1">
      <c r="A8381" s="51"/>
      <c r="B8381" s="52" t="str">
        <f t="shared" si="423"/>
        <v/>
      </c>
      <c r="C8381" t="str">
        <f t="shared" si="422"/>
        <v/>
      </c>
      <c r="D8381" s="245" t="str">
        <f t="shared" si="424"/>
        <v/>
      </c>
      <c r="E8381" s="534"/>
      <c r="F8381" s="534"/>
    </row>
    <row r="8382" spans="1:6" ht="15" customHeight="1">
      <c r="A8382" s="51"/>
      <c r="B8382" s="52" t="str">
        <f t="shared" si="423"/>
        <v/>
      </c>
      <c r="C8382" t="str">
        <f t="shared" si="422"/>
        <v/>
      </c>
      <c r="D8382" s="245" t="str">
        <f t="shared" si="424"/>
        <v/>
      </c>
      <c r="E8382" s="534"/>
      <c r="F8382" s="534"/>
    </row>
    <row r="8383" spans="1:6" ht="15" customHeight="1">
      <c r="A8383" s="51"/>
      <c r="B8383" s="52" t="str">
        <f t="shared" si="423"/>
        <v/>
      </c>
      <c r="C8383" t="str">
        <f t="shared" si="422"/>
        <v/>
      </c>
      <c r="D8383" s="245" t="str">
        <f t="shared" si="424"/>
        <v/>
      </c>
      <c r="E8383" s="534"/>
      <c r="F8383" s="534"/>
    </row>
    <row r="8384" spans="1:6" ht="15" customHeight="1">
      <c r="A8384" s="51"/>
      <c r="B8384" s="52" t="str">
        <f t="shared" si="423"/>
        <v/>
      </c>
      <c r="C8384" t="str">
        <f t="shared" si="422"/>
        <v/>
      </c>
      <c r="D8384" s="245" t="str">
        <f t="shared" si="424"/>
        <v/>
      </c>
      <c r="E8384" s="534"/>
      <c r="F8384" s="534"/>
    </row>
    <row r="8385" spans="1:6" ht="15" customHeight="1">
      <c r="A8385" s="51"/>
      <c r="B8385" s="52" t="str">
        <f t="shared" si="423"/>
        <v/>
      </c>
      <c r="C8385" t="str">
        <f t="shared" si="422"/>
        <v/>
      </c>
      <c r="D8385" s="245" t="str">
        <f t="shared" si="424"/>
        <v/>
      </c>
      <c r="E8385" s="534"/>
      <c r="F8385" s="534"/>
    </row>
    <row r="8386" spans="1:6" ht="15" customHeight="1">
      <c r="A8386" s="51"/>
      <c r="B8386" s="52" t="str">
        <f t="shared" si="423"/>
        <v/>
      </c>
      <c r="C8386" t="str">
        <f t="shared" ref="C8386:C8449" si="425">IF(A8386&lt;&gt;"",TEXT(A8386,"aaaa"),"")</f>
        <v/>
      </c>
      <c r="D8386" s="245" t="str">
        <f t="shared" si="424"/>
        <v/>
      </c>
      <c r="E8386" s="534"/>
      <c r="F8386" s="534"/>
    </row>
    <row r="8387" spans="1:6" ht="15" customHeight="1">
      <c r="A8387" s="51"/>
      <c r="B8387" s="52" t="str">
        <f t="shared" si="423"/>
        <v/>
      </c>
      <c r="C8387" t="str">
        <f t="shared" si="425"/>
        <v/>
      </c>
      <c r="D8387" s="245" t="str">
        <f t="shared" si="424"/>
        <v/>
      </c>
      <c r="E8387" s="534"/>
      <c r="F8387" s="534"/>
    </row>
    <row r="8388" spans="1:6" ht="15" customHeight="1">
      <c r="A8388" s="51"/>
      <c r="B8388" s="52" t="str">
        <f t="shared" si="423"/>
        <v/>
      </c>
      <c r="C8388" t="str">
        <f t="shared" si="425"/>
        <v/>
      </c>
      <c r="D8388" s="245" t="str">
        <f t="shared" si="424"/>
        <v/>
      </c>
      <c r="E8388" s="534"/>
      <c r="F8388" s="534"/>
    </row>
    <row r="8389" spans="1:6" ht="15" customHeight="1">
      <c r="A8389" s="51"/>
      <c r="B8389" s="52" t="str">
        <f t="shared" si="423"/>
        <v/>
      </c>
      <c r="C8389" t="str">
        <f t="shared" si="425"/>
        <v/>
      </c>
      <c r="D8389" s="245" t="str">
        <f t="shared" si="424"/>
        <v/>
      </c>
      <c r="E8389" s="534"/>
      <c r="F8389" s="534"/>
    </row>
    <row r="8390" spans="1:6" ht="15" customHeight="1">
      <c r="A8390" s="51"/>
      <c r="B8390" s="52" t="str">
        <f t="shared" si="423"/>
        <v/>
      </c>
      <c r="C8390" t="str">
        <f t="shared" si="425"/>
        <v/>
      </c>
      <c r="D8390" s="245" t="str">
        <f t="shared" si="424"/>
        <v/>
      </c>
      <c r="E8390" s="534"/>
      <c r="F8390" s="534"/>
    </row>
    <row r="8391" spans="1:6" ht="15" customHeight="1">
      <c r="A8391" s="51"/>
      <c r="B8391" s="52" t="str">
        <f t="shared" si="423"/>
        <v/>
      </c>
      <c r="C8391" t="str">
        <f t="shared" si="425"/>
        <v/>
      </c>
      <c r="D8391" s="245" t="str">
        <f t="shared" si="424"/>
        <v/>
      </c>
      <c r="E8391" s="534"/>
      <c r="F8391" s="534"/>
    </row>
    <row r="8392" spans="1:6" ht="15" customHeight="1">
      <c r="A8392" s="51"/>
      <c r="B8392" s="52" t="str">
        <f t="shared" ref="B8392:B8455" si="426">IF(A8392="","",TEXT(A8392,"DDDD"))</f>
        <v/>
      </c>
      <c r="C8392" t="str">
        <f t="shared" si="425"/>
        <v/>
      </c>
      <c r="D8392" s="245" t="str">
        <f t="shared" si="424"/>
        <v/>
      </c>
      <c r="E8392" s="534"/>
      <c r="F8392" s="534"/>
    </row>
    <row r="8393" spans="1:6" ht="15" customHeight="1">
      <c r="A8393" s="51"/>
      <c r="B8393" s="52" t="str">
        <f t="shared" si="426"/>
        <v/>
      </c>
      <c r="C8393" t="str">
        <f t="shared" si="425"/>
        <v/>
      </c>
      <c r="D8393" s="245" t="str">
        <f t="shared" ref="D8393:D8456" si="427">IF(A8393&lt;&gt;"",PROPER(TEXT(A8393,"Mmmm")),"")</f>
        <v/>
      </c>
      <c r="E8393" s="534"/>
      <c r="F8393" s="534"/>
    </row>
    <row r="8394" spans="1:6" ht="15" customHeight="1">
      <c r="A8394" s="51"/>
      <c r="B8394" s="52" t="str">
        <f t="shared" si="426"/>
        <v/>
      </c>
      <c r="C8394" t="str">
        <f t="shared" si="425"/>
        <v/>
      </c>
      <c r="D8394" s="245" t="str">
        <f t="shared" si="427"/>
        <v/>
      </c>
      <c r="E8394" s="534"/>
      <c r="F8394" s="534"/>
    </row>
    <row r="8395" spans="1:6" ht="15" customHeight="1">
      <c r="A8395" s="51"/>
      <c r="B8395" s="52" t="str">
        <f t="shared" si="426"/>
        <v/>
      </c>
      <c r="C8395" t="str">
        <f t="shared" si="425"/>
        <v/>
      </c>
      <c r="D8395" s="245" t="str">
        <f t="shared" si="427"/>
        <v/>
      </c>
      <c r="E8395" s="534"/>
      <c r="F8395" s="534"/>
    </row>
    <row r="8396" spans="1:6" ht="15" customHeight="1">
      <c r="A8396" s="51"/>
      <c r="B8396" s="52" t="str">
        <f t="shared" si="426"/>
        <v/>
      </c>
      <c r="C8396" t="str">
        <f t="shared" si="425"/>
        <v/>
      </c>
      <c r="D8396" s="245" t="str">
        <f t="shared" si="427"/>
        <v/>
      </c>
      <c r="E8396" s="534"/>
      <c r="F8396" s="534"/>
    </row>
    <row r="8397" spans="1:6" ht="15" customHeight="1">
      <c r="A8397" s="51"/>
      <c r="B8397" s="52" t="str">
        <f t="shared" si="426"/>
        <v/>
      </c>
      <c r="C8397" t="str">
        <f t="shared" si="425"/>
        <v/>
      </c>
      <c r="D8397" s="245" t="str">
        <f t="shared" si="427"/>
        <v/>
      </c>
      <c r="E8397" s="534"/>
      <c r="F8397" s="534"/>
    </row>
    <row r="8398" spans="1:6" ht="15" customHeight="1">
      <c r="A8398" s="51"/>
      <c r="B8398" s="52" t="str">
        <f t="shared" si="426"/>
        <v/>
      </c>
      <c r="C8398" t="str">
        <f t="shared" si="425"/>
        <v/>
      </c>
      <c r="D8398" s="245" t="str">
        <f t="shared" si="427"/>
        <v/>
      </c>
      <c r="E8398" s="534"/>
      <c r="F8398" s="534"/>
    </row>
    <row r="8399" spans="1:6" ht="15" customHeight="1">
      <c r="A8399" s="51"/>
      <c r="B8399" s="52" t="str">
        <f t="shared" si="426"/>
        <v/>
      </c>
      <c r="C8399" t="str">
        <f t="shared" si="425"/>
        <v/>
      </c>
      <c r="D8399" s="245" t="str">
        <f t="shared" si="427"/>
        <v/>
      </c>
      <c r="E8399" s="534"/>
      <c r="F8399" s="534"/>
    </row>
    <row r="8400" spans="1:6" ht="15" customHeight="1">
      <c r="A8400" s="51"/>
      <c r="B8400" s="52" t="str">
        <f t="shared" si="426"/>
        <v/>
      </c>
      <c r="C8400" t="str">
        <f t="shared" si="425"/>
        <v/>
      </c>
      <c r="D8400" s="245" t="str">
        <f t="shared" si="427"/>
        <v/>
      </c>
      <c r="E8400" s="534"/>
      <c r="F8400" s="534"/>
    </row>
    <row r="8401" spans="1:6" ht="15" customHeight="1">
      <c r="A8401" s="51"/>
      <c r="B8401" s="52" t="str">
        <f t="shared" si="426"/>
        <v/>
      </c>
      <c r="C8401" t="str">
        <f t="shared" si="425"/>
        <v/>
      </c>
      <c r="D8401" s="245" t="str">
        <f t="shared" si="427"/>
        <v/>
      </c>
      <c r="E8401" s="534"/>
      <c r="F8401" s="534"/>
    </row>
    <row r="8402" spans="1:6" ht="15" customHeight="1">
      <c r="A8402" s="51"/>
      <c r="B8402" s="52" t="str">
        <f t="shared" si="426"/>
        <v/>
      </c>
      <c r="C8402" t="str">
        <f t="shared" si="425"/>
        <v/>
      </c>
      <c r="D8402" s="245" t="str">
        <f t="shared" si="427"/>
        <v/>
      </c>
      <c r="E8402" s="534"/>
      <c r="F8402" s="534"/>
    </row>
    <row r="8403" spans="1:6" ht="15" customHeight="1">
      <c r="A8403" s="51"/>
      <c r="B8403" s="52" t="str">
        <f t="shared" si="426"/>
        <v/>
      </c>
      <c r="C8403" t="str">
        <f t="shared" si="425"/>
        <v/>
      </c>
      <c r="D8403" s="245" t="str">
        <f t="shared" si="427"/>
        <v/>
      </c>
      <c r="E8403" s="534"/>
      <c r="F8403" s="534"/>
    </row>
    <row r="8404" spans="1:6" ht="15" customHeight="1">
      <c r="A8404" s="51"/>
      <c r="B8404" s="52" t="str">
        <f t="shared" si="426"/>
        <v/>
      </c>
      <c r="C8404" t="str">
        <f t="shared" si="425"/>
        <v/>
      </c>
      <c r="D8404" s="245" t="str">
        <f t="shared" si="427"/>
        <v/>
      </c>
      <c r="E8404" s="534"/>
      <c r="F8404" s="534"/>
    </row>
    <row r="8405" spans="1:6" ht="15" customHeight="1">
      <c r="A8405" s="51"/>
      <c r="B8405" s="52" t="str">
        <f t="shared" si="426"/>
        <v/>
      </c>
      <c r="C8405" t="str">
        <f t="shared" si="425"/>
        <v/>
      </c>
      <c r="D8405" s="245" t="str">
        <f t="shared" si="427"/>
        <v/>
      </c>
      <c r="E8405" s="534"/>
      <c r="F8405" s="534"/>
    </row>
    <row r="8406" spans="1:6" ht="15" customHeight="1">
      <c r="A8406" s="51"/>
      <c r="B8406" s="52" t="str">
        <f t="shared" si="426"/>
        <v/>
      </c>
      <c r="C8406" t="str">
        <f t="shared" si="425"/>
        <v/>
      </c>
      <c r="D8406" s="245" t="str">
        <f t="shared" si="427"/>
        <v/>
      </c>
      <c r="E8406" s="534"/>
      <c r="F8406" s="534"/>
    </row>
    <row r="8407" spans="1:6" ht="15" customHeight="1">
      <c r="A8407" s="51"/>
      <c r="B8407" s="52" t="str">
        <f t="shared" si="426"/>
        <v/>
      </c>
      <c r="C8407" t="str">
        <f t="shared" si="425"/>
        <v/>
      </c>
      <c r="D8407" s="245" t="str">
        <f t="shared" si="427"/>
        <v/>
      </c>
      <c r="E8407" s="534"/>
      <c r="F8407" s="534"/>
    </row>
    <row r="8408" spans="1:6" ht="15" customHeight="1">
      <c r="A8408" s="51"/>
      <c r="B8408" s="52" t="str">
        <f t="shared" si="426"/>
        <v/>
      </c>
      <c r="C8408" t="str">
        <f t="shared" si="425"/>
        <v/>
      </c>
      <c r="D8408" s="245" t="str">
        <f t="shared" si="427"/>
        <v/>
      </c>
      <c r="E8408" s="534"/>
      <c r="F8408" s="534"/>
    </row>
    <row r="8409" spans="1:6" ht="15" customHeight="1">
      <c r="A8409" s="51"/>
      <c r="B8409" s="52" t="str">
        <f t="shared" si="426"/>
        <v/>
      </c>
      <c r="C8409" t="str">
        <f t="shared" si="425"/>
        <v/>
      </c>
      <c r="D8409" s="245" t="str">
        <f t="shared" si="427"/>
        <v/>
      </c>
      <c r="E8409" s="534"/>
      <c r="F8409" s="534"/>
    </row>
    <row r="8410" spans="1:6" ht="15" customHeight="1">
      <c r="A8410" s="51"/>
      <c r="B8410" s="52" t="str">
        <f t="shared" si="426"/>
        <v/>
      </c>
      <c r="C8410" t="str">
        <f t="shared" si="425"/>
        <v/>
      </c>
      <c r="D8410" s="245" t="str">
        <f t="shared" si="427"/>
        <v/>
      </c>
      <c r="E8410" s="534"/>
      <c r="F8410" s="534"/>
    </row>
    <row r="8411" spans="1:6" ht="15" customHeight="1">
      <c r="A8411" s="51"/>
      <c r="B8411" s="52" t="str">
        <f t="shared" si="426"/>
        <v/>
      </c>
      <c r="C8411" t="str">
        <f t="shared" si="425"/>
        <v/>
      </c>
      <c r="D8411" s="245" t="str">
        <f t="shared" si="427"/>
        <v/>
      </c>
      <c r="E8411" s="534"/>
      <c r="F8411" s="534"/>
    </row>
    <row r="8412" spans="1:6" ht="15" customHeight="1">
      <c r="A8412" s="51"/>
      <c r="B8412" s="52" t="str">
        <f t="shared" si="426"/>
        <v/>
      </c>
      <c r="C8412" t="str">
        <f t="shared" si="425"/>
        <v/>
      </c>
      <c r="D8412" s="245" t="str">
        <f t="shared" si="427"/>
        <v/>
      </c>
      <c r="E8412" s="534"/>
      <c r="F8412" s="534"/>
    </row>
    <row r="8413" spans="1:6" ht="15" customHeight="1">
      <c r="A8413" s="51"/>
      <c r="B8413" s="52" t="str">
        <f t="shared" si="426"/>
        <v/>
      </c>
      <c r="C8413" t="str">
        <f t="shared" si="425"/>
        <v/>
      </c>
      <c r="D8413" s="245" t="str">
        <f t="shared" si="427"/>
        <v/>
      </c>
      <c r="E8413" s="534"/>
      <c r="F8413" s="534"/>
    </row>
    <row r="8414" spans="1:6" ht="15" customHeight="1">
      <c r="A8414" s="51"/>
      <c r="B8414" s="52" t="str">
        <f t="shared" si="426"/>
        <v/>
      </c>
      <c r="C8414" t="str">
        <f t="shared" si="425"/>
        <v/>
      </c>
      <c r="D8414" s="245" t="str">
        <f t="shared" si="427"/>
        <v/>
      </c>
      <c r="E8414" s="534"/>
      <c r="F8414" s="534"/>
    </row>
    <row r="8415" spans="1:6" ht="15" customHeight="1">
      <c r="A8415" s="51"/>
      <c r="B8415" s="52" t="str">
        <f t="shared" si="426"/>
        <v/>
      </c>
      <c r="C8415" t="str">
        <f t="shared" si="425"/>
        <v/>
      </c>
      <c r="D8415" s="245" t="str">
        <f t="shared" si="427"/>
        <v/>
      </c>
      <c r="E8415" s="534"/>
      <c r="F8415" s="534"/>
    </row>
    <row r="8416" spans="1:6" ht="15" customHeight="1">
      <c r="A8416" s="51"/>
      <c r="B8416" s="52" t="str">
        <f t="shared" si="426"/>
        <v/>
      </c>
      <c r="C8416" t="str">
        <f t="shared" si="425"/>
        <v/>
      </c>
      <c r="D8416" s="245" t="str">
        <f t="shared" si="427"/>
        <v/>
      </c>
      <c r="E8416" s="534"/>
      <c r="F8416" s="534"/>
    </row>
    <row r="8417" spans="1:6" ht="15" customHeight="1">
      <c r="A8417" s="51"/>
      <c r="B8417" s="52" t="str">
        <f t="shared" si="426"/>
        <v/>
      </c>
      <c r="C8417" t="str">
        <f t="shared" si="425"/>
        <v/>
      </c>
      <c r="D8417" s="245" t="str">
        <f t="shared" si="427"/>
        <v/>
      </c>
      <c r="E8417" s="534"/>
      <c r="F8417" s="534"/>
    </row>
    <row r="8418" spans="1:6" ht="15" customHeight="1">
      <c r="A8418" s="51"/>
      <c r="B8418" s="52" t="str">
        <f t="shared" si="426"/>
        <v/>
      </c>
      <c r="C8418" t="str">
        <f t="shared" si="425"/>
        <v/>
      </c>
      <c r="D8418" s="245" t="str">
        <f t="shared" si="427"/>
        <v/>
      </c>
      <c r="E8418" s="534"/>
      <c r="F8418" s="534"/>
    </row>
    <row r="8419" spans="1:6" ht="15" customHeight="1">
      <c r="A8419" s="51"/>
      <c r="B8419" s="52" t="str">
        <f t="shared" si="426"/>
        <v/>
      </c>
      <c r="C8419" t="str">
        <f t="shared" si="425"/>
        <v/>
      </c>
      <c r="D8419" s="245" t="str">
        <f t="shared" si="427"/>
        <v/>
      </c>
      <c r="E8419" s="534"/>
      <c r="F8419" s="534"/>
    </row>
    <row r="8420" spans="1:6" ht="15" customHeight="1">
      <c r="A8420" s="51"/>
      <c r="B8420" s="52" t="str">
        <f t="shared" si="426"/>
        <v/>
      </c>
      <c r="C8420" t="str">
        <f t="shared" si="425"/>
        <v/>
      </c>
      <c r="D8420" s="245" t="str">
        <f t="shared" si="427"/>
        <v/>
      </c>
      <c r="E8420" s="534"/>
      <c r="F8420" s="534"/>
    </row>
    <row r="8421" spans="1:6" ht="15" customHeight="1">
      <c r="A8421" s="51"/>
      <c r="B8421" s="52" t="str">
        <f t="shared" si="426"/>
        <v/>
      </c>
      <c r="C8421" t="str">
        <f t="shared" si="425"/>
        <v/>
      </c>
      <c r="D8421" s="245" t="str">
        <f t="shared" si="427"/>
        <v/>
      </c>
      <c r="E8421" s="534"/>
      <c r="F8421" s="534"/>
    </row>
    <row r="8422" spans="1:6" ht="15" customHeight="1">
      <c r="A8422" s="51"/>
      <c r="B8422" s="52" t="str">
        <f t="shared" si="426"/>
        <v/>
      </c>
      <c r="C8422" t="str">
        <f t="shared" si="425"/>
        <v/>
      </c>
      <c r="D8422" s="245" t="str">
        <f t="shared" si="427"/>
        <v/>
      </c>
      <c r="E8422" s="534"/>
      <c r="F8422" s="534"/>
    </row>
    <row r="8423" spans="1:6" ht="15" customHeight="1">
      <c r="A8423" s="51"/>
      <c r="B8423" s="52" t="str">
        <f t="shared" si="426"/>
        <v/>
      </c>
      <c r="C8423" t="str">
        <f t="shared" si="425"/>
        <v/>
      </c>
      <c r="D8423" s="245" t="str">
        <f t="shared" si="427"/>
        <v/>
      </c>
      <c r="E8423" s="534"/>
      <c r="F8423" s="534"/>
    </row>
    <row r="8424" spans="1:6" ht="15" customHeight="1">
      <c r="A8424" s="51"/>
      <c r="B8424" s="52" t="str">
        <f t="shared" si="426"/>
        <v/>
      </c>
      <c r="C8424" t="str">
        <f t="shared" si="425"/>
        <v/>
      </c>
      <c r="D8424" s="245" t="str">
        <f t="shared" si="427"/>
        <v/>
      </c>
      <c r="E8424" s="534"/>
      <c r="F8424" s="534"/>
    </row>
    <row r="8425" spans="1:6" ht="15" customHeight="1">
      <c r="A8425" s="51"/>
      <c r="B8425" s="52" t="str">
        <f t="shared" si="426"/>
        <v/>
      </c>
      <c r="C8425" t="str">
        <f t="shared" si="425"/>
        <v/>
      </c>
      <c r="D8425" s="245" t="str">
        <f t="shared" si="427"/>
        <v/>
      </c>
      <c r="E8425" s="534"/>
      <c r="F8425" s="534"/>
    </row>
    <row r="8426" spans="1:6" ht="15" customHeight="1">
      <c r="A8426" s="51"/>
      <c r="B8426" s="52" t="str">
        <f t="shared" si="426"/>
        <v/>
      </c>
      <c r="C8426" t="str">
        <f t="shared" si="425"/>
        <v/>
      </c>
      <c r="D8426" s="245" t="str">
        <f t="shared" si="427"/>
        <v/>
      </c>
      <c r="E8426" s="534"/>
      <c r="F8426" s="534"/>
    </row>
    <row r="8427" spans="1:6" ht="15" customHeight="1">
      <c r="A8427" s="51"/>
      <c r="B8427" s="52" t="str">
        <f t="shared" si="426"/>
        <v/>
      </c>
      <c r="C8427" t="str">
        <f t="shared" si="425"/>
        <v/>
      </c>
      <c r="D8427" s="245" t="str">
        <f t="shared" si="427"/>
        <v/>
      </c>
      <c r="E8427" s="534"/>
      <c r="F8427" s="534"/>
    </row>
    <row r="8428" spans="1:6" ht="15" customHeight="1">
      <c r="A8428" s="51"/>
      <c r="B8428" s="52" t="str">
        <f t="shared" si="426"/>
        <v/>
      </c>
      <c r="C8428" t="str">
        <f t="shared" si="425"/>
        <v/>
      </c>
      <c r="D8428" s="245" t="str">
        <f t="shared" si="427"/>
        <v/>
      </c>
      <c r="E8428" s="534"/>
      <c r="F8428" s="534"/>
    </row>
    <row r="8429" spans="1:6" ht="15" customHeight="1">
      <c r="A8429" s="51"/>
      <c r="B8429" s="52" t="str">
        <f t="shared" si="426"/>
        <v/>
      </c>
      <c r="C8429" t="str">
        <f t="shared" si="425"/>
        <v/>
      </c>
      <c r="D8429" s="245" t="str">
        <f t="shared" si="427"/>
        <v/>
      </c>
      <c r="E8429" s="534"/>
      <c r="F8429" s="534"/>
    </row>
    <row r="8430" spans="1:6" ht="15" customHeight="1">
      <c r="A8430" s="51"/>
      <c r="B8430" s="52" t="str">
        <f t="shared" si="426"/>
        <v/>
      </c>
      <c r="C8430" t="str">
        <f t="shared" si="425"/>
        <v/>
      </c>
      <c r="D8430" s="245" t="str">
        <f t="shared" si="427"/>
        <v/>
      </c>
      <c r="E8430" s="534"/>
      <c r="F8430" s="534"/>
    </row>
    <row r="8431" spans="1:6" ht="15" customHeight="1">
      <c r="A8431" s="51"/>
      <c r="B8431" s="52" t="str">
        <f t="shared" si="426"/>
        <v/>
      </c>
      <c r="C8431" t="str">
        <f t="shared" si="425"/>
        <v/>
      </c>
      <c r="D8431" s="245" t="str">
        <f t="shared" si="427"/>
        <v/>
      </c>
      <c r="E8431" s="534"/>
      <c r="F8431" s="534"/>
    </row>
    <row r="8432" spans="1:6" ht="15" customHeight="1">
      <c r="A8432" s="51"/>
      <c r="B8432" s="52" t="str">
        <f t="shared" si="426"/>
        <v/>
      </c>
      <c r="C8432" t="str">
        <f t="shared" si="425"/>
        <v/>
      </c>
      <c r="D8432" s="245" t="str">
        <f t="shared" si="427"/>
        <v/>
      </c>
      <c r="E8432" s="534"/>
      <c r="F8432" s="534"/>
    </row>
    <row r="8433" spans="1:6" ht="15" customHeight="1">
      <c r="A8433" s="51"/>
      <c r="B8433" s="52" t="str">
        <f t="shared" si="426"/>
        <v/>
      </c>
      <c r="C8433" t="str">
        <f t="shared" si="425"/>
        <v/>
      </c>
      <c r="D8433" s="245" t="str">
        <f t="shared" si="427"/>
        <v/>
      </c>
      <c r="E8433" s="534"/>
      <c r="F8433" s="534"/>
    </row>
    <row r="8434" spans="1:6" ht="15" customHeight="1">
      <c r="A8434" s="51"/>
      <c r="B8434" s="52" t="str">
        <f t="shared" si="426"/>
        <v/>
      </c>
      <c r="C8434" t="str">
        <f t="shared" si="425"/>
        <v/>
      </c>
      <c r="D8434" s="245" t="str">
        <f t="shared" si="427"/>
        <v/>
      </c>
      <c r="E8434" s="534"/>
      <c r="F8434" s="534"/>
    </row>
    <row r="8435" spans="1:6" ht="15" customHeight="1">
      <c r="A8435" s="51"/>
      <c r="B8435" s="52" t="str">
        <f t="shared" si="426"/>
        <v/>
      </c>
      <c r="C8435" t="str">
        <f t="shared" si="425"/>
        <v/>
      </c>
      <c r="D8435" s="245" t="str">
        <f t="shared" si="427"/>
        <v/>
      </c>
      <c r="E8435" s="534"/>
      <c r="F8435" s="534"/>
    </row>
    <row r="8436" spans="1:6" ht="15" customHeight="1">
      <c r="A8436" s="51"/>
      <c r="B8436" s="52" t="str">
        <f t="shared" si="426"/>
        <v/>
      </c>
      <c r="C8436" t="str">
        <f t="shared" si="425"/>
        <v/>
      </c>
      <c r="D8436" s="245" t="str">
        <f t="shared" si="427"/>
        <v/>
      </c>
      <c r="E8436" s="534"/>
      <c r="F8436" s="534"/>
    </row>
    <row r="8437" spans="1:6" ht="15" customHeight="1">
      <c r="A8437" s="51"/>
      <c r="B8437" s="52" t="str">
        <f t="shared" si="426"/>
        <v/>
      </c>
      <c r="C8437" t="str">
        <f t="shared" si="425"/>
        <v/>
      </c>
      <c r="D8437" s="245" t="str">
        <f t="shared" si="427"/>
        <v/>
      </c>
      <c r="E8437" s="534"/>
      <c r="F8437" s="534"/>
    </row>
    <row r="8438" spans="1:6" ht="15" customHeight="1">
      <c r="A8438" s="51"/>
      <c r="B8438" s="52" t="str">
        <f t="shared" si="426"/>
        <v/>
      </c>
      <c r="C8438" t="str">
        <f t="shared" si="425"/>
        <v/>
      </c>
      <c r="D8438" s="245" t="str">
        <f t="shared" si="427"/>
        <v/>
      </c>
      <c r="E8438" s="534"/>
      <c r="F8438" s="534"/>
    </row>
    <row r="8439" spans="1:6" ht="15" customHeight="1">
      <c r="A8439" s="51"/>
      <c r="B8439" s="52" t="str">
        <f t="shared" si="426"/>
        <v/>
      </c>
      <c r="C8439" t="str">
        <f t="shared" si="425"/>
        <v/>
      </c>
      <c r="D8439" s="245" t="str">
        <f t="shared" si="427"/>
        <v/>
      </c>
      <c r="E8439" s="534"/>
      <c r="F8439" s="534"/>
    </row>
    <row r="8440" spans="1:6" ht="15" customHeight="1">
      <c r="A8440" s="51"/>
      <c r="B8440" s="52" t="str">
        <f t="shared" si="426"/>
        <v/>
      </c>
      <c r="C8440" t="str">
        <f t="shared" si="425"/>
        <v/>
      </c>
      <c r="D8440" s="245" t="str">
        <f t="shared" si="427"/>
        <v/>
      </c>
      <c r="E8440" s="534"/>
      <c r="F8440" s="534"/>
    </row>
    <row r="8441" spans="1:6" ht="15" customHeight="1">
      <c r="A8441" s="51"/>
      <c r="B8441" s="52" t="str">
        <f t="shared" si="426"/>
        <v/>
      </c>
      <c r="C8441" t="str">
        <f t="shared" si="425"/>
        <v/>
      </c>
      <c r="D8441" s="245" t="str">
        <f t="shared" si="427"/>
        <v/>
      </c>
      <c r="E8441" s="534"/>
      <c r="F8441" s="534"/>
    </row>
    <row r="8442" spans="1:6" ht="15" customHeight="1">
      <c r="A8442" s="51"/>
      <c r="B8442" s="52" t="str">
        <f t="shared" si="426"/>
        <v/>
      </c>
      <c r="C8442" t="str">
        <f t="shared" si="425"/>
        <v/>
      </c>
      <c r="D8442" s="245" t="str">
        <f t="shared" si="427"/>
        <v/>
      </c>
      <c r="E8442" s="534"/>
      <c r="F8442" s="534"/>
    </row>
    <row r="8443" spans="1:6" ht="15" customHeight="1">
      <c r="A8443" s="51"/>
      <c r="B8443" s="52" t="str">
        <f t="shared" si="426"/>
        <v/>
      </c>
      <c r="C8443" t="str">
        <f t="shared" si="425"/>
        <v/>
      </c>
      <c r="D8443" s="245" t="str">
        <f t="shared" si="427"/>
        <v/>
      </c>
      <c r="E8443" s="534"/>
      <c r="F8443" s="534"/>
    </row>
    <row r="8444" spans="1:6" ht="15" customHeight="1">
      <c r="A8444" s="51"/>
      <c r="B8444" s="52" t="str">
        <f t="shared" si="426"/>
        <v/>
      </c>
      <c r="C8444" t="str">
        <f t="shared" si="425"/>
        <v/>
      </c>
      <c r="D8444" s="245" t="str">
        <f t="shared" si="427"/>
        <v/>
      </c>
      <c r="E8444" s="534"/>
      <c r="F8444" s="534"/>
    </row>
    <row r="8445" spans="1:6" ht="15" customHeight="1">
      <c r="A8445" s="51"/>
      <c r="B8445" s="52" t="str">
        <f t="shared" si="426"/>
        <v/>
      </c>
      <c r="C8445" t="str">
        <f t="shared" si="425"/>
        <v/>
      </c>
      <c r="D8445" s="245" t="str">
        <f t="shared" si="427"/>
        <v/>
      </c>
      <c r="E8445" s="534"/>
      <c r="F8445" s="534"/>
    </row>
    <row r="8446" spans="1:6" ht="15" customHeight="1">
      <c r="A8446" s="51"/>
      <c r="B8446" s="52" t="str">
        <f t="shared" si="426"/>
        <v/>
      </c>
      <c r="C8446" t="str">
        <f t="shared" si="425"/>
        <v/>
      </c>
      <c r="D8446" s="245" t="str">
        <f t="shared" si="427"/>
        <v/>
      </c>
      <c r="E8446" s="534"/>
      <c r="F8446" s="534"/>
    </row>
    <row r="8447" spans="1:6" ht="15" customHeight="1">
      <c r="A8447" s="51"/>
      <c r="B8447" s="52" t="str">
        <f t="shared" si="426"/>
        <v/>
      </c>
      <c r="C8447" t="str">
        <f t="shared" si="425"/>
        <v/>
      </c>
      <c r="D8447" s="245" t="str">
        <f t="shared" si="427"/>
        <v/>
      </c>
      <c r="E8447" s="534"/>
      <c r="F8447" s="534"/>
    </row>
    <row r="8448" spans="1:6" ht="15" customHeight="1">
      <c r="A8448" s="51"/>
      <c r="B8448" s="52" t="str">
        <f t="shared" si="426"/>
        <v/>
      </c>
      <c r="C8448" t="str">
        <f t="shared" si="425"/>
        <v/>
      </c>
      <c r="D8448" s="245" t="str">
        <f t="shared" si="427"/>
        <v/>
      </c>
      <c r="E8448" s="534"/>
      <c r="F8448" s="534"/>
    </row>
    <row r="8449" spans="1:6" ht="15" customHeight="1">
      <c r="A8449" s="51"/>
      <c r="B8449" s="52" t="str">
        <f t="shared" si="426"/>
        <v/>
      </c>
      <c r="C8449" t="str">
        <f t="shared" si="425"/>
        <v/>
      </c>
      <c r="D8449" s="245" t="str">
        <f t="shared" si="427"/>
        <v/>
      </c>
      <c r="E8449" s="534"/>
      <c r="F8449" s="534"/>
    </row>
    <row r="8450" spans="1:6" ht="15" customHeight="1">
      <c r="A8450" s="51"/>
      <c r="B8450" s="52" t="str">
        <f t="shared" si="426"/>
        <v/>
      </c>
      <c r="C8450" t="str">
        <f t="shared" ref="C8450:C8513" si="428">IF(A8450&lt;&gt;"",TEXT(A8450,"aaaa"),"")</f>
        <v/>
      </c>
      <c r="D8450" s="245" t="str">
        <f t="shared" si="427"/>
        <v/>
      </c>
      <c r="E8450" s="534"/>
      <c r="F8450" s="534"/>
    </row>
    <row r="8451" spans="1:6" ht="15" customHeight="1">
      <c r="A8451" s="51"/>
      <c r="B8451" s="52" t="str">
        <f t="shared" si="426"/>
        <v/>
      </c>
      <c r="C8451" t="str">
        <f t="shared" si="428"/>
        <v/>
      </c>
      <c r="D8451" s="245" t="str">
        <f t="shared" si="427"/>
        <v/>
      </c>
      <c r="E8451" s="534"/>
      <c r="F8451" s="534"/>
    </row>
    <row r="8452" spans="1:6" ht="15" customHeight="1">
      <c r="A8452" s="51"/>
      <c r="B8452" s="52" t="str">
        <f t="shared" si="426"/>
        <v/>
      </c>
      <c r="C8452" t="str">
        <f t="shared" si="428"/>
        <v/>
      </c>
      <c r="D8452" s="245" t="str">
        <f t="shared" si="427"/>
        <v/>
      </c>
      <c r="E8452" s="534"/>
      <c r="F8452" s="534"/>
    </row>
    <row r="8453" spans="1:6" ht="15" customHeight="1">
      <c r="A8453" s="51"/>
      <c r="B8453" s="52" t="str">
        <f t="shared" si="426"/>
        <v/>
      </c>
      <c r="C8453" t="str">
        <f t="shared" si="428"/>
        <v/>
      </c>
      <c r="D8453" s="245" t="str">
        <f t="shared" si="427"/>
        <v/>
      </c>
      <c r="E8453" s="534"/>
      <c r="F8453" s="534"/>
    </row>
    <row r="8454" spans="1:6" ht="15" customHeight="1">
      <c r="A8454" s="51"/>
      <c r="B8454" s="52" t="str">
        <f t="shared" si="426"/>
        <v/>
      </c>
      <c r="C8454" t="str">
        <f t="shared" si="428"/>
        <v/>
      </c>
      <c r="D8454" s="245" t="str">
        <f t="shared" si="427"/>
        <v/>
      </c>
      <c r="E8454" s="534"/>
      <c r="F8454" s="534"/>
    </row>
    <row r="8455" spans="1:6" ht="15" customHeight="1">
      <c r="A8455" s="51"/>
      <c r="B8455" s="52" t="str">
        <f t="shared" si="426"/>
        <v/>
      </c>
      <c r="C8455" t="str">
        <f t="shared" si="428"/>
        <v/>
      </c>
      <c r="D8455" s="245" t="str">
        <f t="shared" si="427"/>
        <v/>
      </c>
      <c r="E8455" s="534"/>
      <c r="F8455" s="534"/>
    </row>
    <row r="8456" spans="1:6" ht="15" customHeight="1">
      <c r="A8456" s="51"/>
      <c r="B8456" s="52" t="str">
        <f t="shared" ref="B8456:B8519" si="429">IF(A8456="","",TEXT(A8456,"DDDD"))</f>
        <v/>
      </c>
      <c r="C8456" t="str">
        <f t="shared" si="428"/>
        <v/>
      </c>
      <c r="D8456" s="245" t="str">
        <f t="shared" si="427"/>
        <v/>
      </c>
      <c r="E8456" s="534"/>
      <c r="F8456" s="534"/>
    </row>
    <row r="8457" spans="1:6" ht="15" customHeight="1">
      <c r="A8457" s="51"/>
      <c r="B8457" s="52" t="str">
        <f t="shared" si="429"/>
        <v/>
      </c>
      <c r="C8457" t="str">
        <f t="shared" si="428"/>
        <v/>
      </c>
      <c r="D8457" s="245" t="str">
        <f t="shared" ref="D8457:D8520" si="430">IF(A8457&lt;&gt;"",PROPER(TEXT(A8457,"Mmmm")),"")</f>
        <v/>
      </c>
      <c r="E8457" s="534"/>
      <c r="F8457" s="534"/>
    </row>
    <row r="8458" spans="1:6" ht="15" customHeight="1">
      <c r="A8458" s="51"/>
      <c r="B8458" s="52" t="str">
        <f t="shared" si="429"/>
        <v/>
      </c>
      <c r="C8458" t="str">
        <f t="shared" si="428"/>
        <v/>
      </c>
      <c r="D8458" s="245" t="str">
        <f t="shared" si="430"/>
        <v/>
      </c>
      <c r="E8458" s="534"/>
      <c r="F8458" s="534"/>
    </row>
    <row r="8459" spans="1:6" ht="15" customHeight="1">
      <c r="A8459" s="51"/>
      <c r="B8459" s="52" t="str">
        <f t="shared" si="429"/>
        <v/>
      </c>
      <c r="C8459" t="str">
        <f t="shared" si="428"/>
        <v/>
      </c>
      <c r="D8459" s="245" t="str">
        <f t="shared" si="430"/>
        <v/>
      </c>
      <c r="E8459" s="534"/>
      <c r="F8459" s="534"/>
    </row>
    <row r="8460" spans="1:6" ht="15" customHeight="1">
      <c r="A8460" s="51"/>
      <c r="B8460" s="52" t="str">
        <f t="shared" si="429"/>
        <v/>
      </c>
      <c r="C8460" t="str">
        <f t="shared" si="428"/>
        <v/>
      </c>
      <c r="D8460" s="245" t="str">
        <f t="shared" si="430"/>
        <v/>
      </c>
      <c r="E8460" s="534"/>
      <c r="F8460" s="534"/>
    </row>
    <row r="8461" spans="1:6" ht="15" customHeight="1">
      <c r="A8461" s="51"/>
      <c r="B8461" s="52" t="str">
        <f t="shared" si="429"/>
        <v/>
      </c>
      <c r="C8461" t="str">
        <f t="shared" si="428"/>
        <v/>
      </c>
      <c r="D8461" s="245" t="str">
        <f t="shared" si="430"/>
        <v/>
      </c>
      <c r="E8461" s="534"/>
      <c r="F8461" s="534"/>
    </row>
    <row r="8462" spans="1:6" ht="15" customHeight="1">
      <c r="A8462" s="51"/>
      <c r="B8462" s="52" t="str">
        <f t="shared" si="429"/>
        <v/>
      </c>
      <c r="C8462" t="str">
        <f t="shared" si="428"/>
        <v/>
      </c>
      <c r="D8462" s="245" t="str">
        <f t="shared" si="430"/>
        <v/>
      </c>
      <c r="E8462" s="534"/>
      <c r="F8462" s="534"/>
    </row>
    <row r="8463" spans="1:6" ht="15" customHeight="1">
      <c r="A8463" s="51"/>
      <c r="B8463" s="52" t="str">
        <f t="shared" si="429"/>
        <v/>
      </c>
      <c r="C8463" t="str">
        <f t="shared" si="428"/>
        <v/>
      </c>
      <c r="D8463" s="245" t="str">
        <f t="shared" si="430"/>
        <v/>
      </c>
      <c r="E8463" s="534"/>
      <c r="F8463" s="534"/>
    </row>
    <row r="8464" spans="1:6" ht="15" customHeight="1">
      <c r="A8464" s="51"/>
      <c r="B8464" s="52" t="str">
        <f t="shared" si="429"/>
        <v/>
      </c>
      <c r="C8464" t="str">
        <f t="shared" si="428"/>
        <v/>
      </c>
      <c r="D8464" s="245" t="str">
        <f t="shared" si="430"/>
        <v/>
      </c>
      <c r="E8464" s="534"/>
      <c r="F8464" s="534"/>
    </row>
    <row r="8465" spans="1:6" ht="15" customHeight="1">
      <c r="A8465" s="51"/>
      <c r="B8465" s="52" t="str">
        <f t="shared" si="429"/>
        <v/>
      </c>
      <c r="C8465" t="str">
        <f t="shared" si="428"/>
        <v/>
      </c>
      <c r="D8465" s="245" t="str">
        <f t="shared" si="430"/>
        <v/>
      </c>
      <c r="E8465" s="534"/>
      <c r="F8465" s="534"/>
    </row>
    <row r="8466" spans="1:6" ht="15" customHeight="1">
      <c r="A8466" s="51"/>
      <c r="B8466" s="52" t="str">
        <f t="shared" si="429"/>
        <v/>
      </c>
      <c r="C8466" t="str">
        <f t="shared" si="428"/>
        <v/>
      </c>
      <c r="D8466" s="245" t="str">
        <f t="shared" si="430"/>
        <v/>
      </c>
      <c r="E8466" s="534"/>
      <c r="F8466" s="534"/>
    </row>
    <row r="8467" spans="1:6" ht="15" customHeight="1">
      <c r="A8467" s="51"/>
      <c r="B8467" s="52" t="str">
        <f t="shared" si="429"/>
        <v/>
      </c>
      <c r="C8467" t="str">
        <f t="shared" si="428"/>
        <v/>
      </c>
      <c r="D8467" s="245" t="str">
        <f t="shared" si="430"/>
        <v/>
      </c>
      <c r="E8467" s="534"/>
      <c r="F8467" s="534"/>
    </row>
    <row r="8468" spans="1:6" ht="15" customHeight="1">
      <c r="A8468" s="51"/>
      <c r="B8468" s="52" t="str">
        <f t="shared" si="429"/>
        <v/>
      </c>
      <c r="C8468" t="str">
        <f t="shared" si="428"/>
        <v/>
      </c>
      <c r="D8468" s="245" t="str">
        <f t="shared" si="430"/>
        <v/>
      </c>
      <c r="E8468" s="534"/>
      <c r="F8468" s="534"/>
    </row>
    <row r="8469" spans="1:6" ht="15" customHeight="1">
      <c r="A8469" s="51"/>
      <c r="B8469" s="52" t="str">
        <f t="shared" si="429"/>
        <v/>
      </c>
      <c r="C8469" t="str">
        <f t="shared" si="428"/>
        <v/>
      </c>
      <c r="D8469" s="245" t="str">
        <f t="shared" si="430"/>
        <v/>
      </c>
      <c r="E8469" s="534"/>
      <c r="F8469" s="534"/>
    </row>
    <row r="8470" spans="1:6" ht="15" customHeight="1">
      <c r="A8470" s="51"/>
      <c r="B8470" s="52" t="str">
        <f t="shared" si="429"/>
        <v/>
      </c>
      <c r="C8470" t="str">
        <f t="shared" si="428"/>
        <v/>
      </c>
      <c r="D8470" s="245" t="str">
        <f t="shared" si="430"/>
        <v/>
      </c>
      <c r="E8470" s="534"/>
      <c r="F8470" s="534"/>
    </row>
    <row r="8471" spans="1:6" ht="15" customHeight="1">
      <c r="A8471" s="51"/>
      <c r="B8471" s="52" t="str">
        <f t="shared" si="429"/>
        <v/>
      </c>
      <c r="C8471" t="str">
        <f t="shared" si="428"/>
        <v/>
      </c>
      <c r="D8471" s="245" t="str">
        <f t="shared" si="430"/>
        <v/>
      </c>
      <c r="E8471" s="534"/>
      <c r="F8471" s="534"/>
    </row>
    <row r="8472" spans="1:6" ht="15" customHeight="1">
      <c r="A8472" s="51"/>
      <c r="B8472" s="52" t="str">
        <f t="shared" si="429"/>
        <v/>
      </c>
      <c r="C8472" t="str">
        <f t="shared" si="428"/>
        <v/>
      </c>
      <c r="D8472" s="245" t="str">
        <f t="shared" si="430"/>
        <v/>
      </c>
      <c r="E8472" s="534"/>
      <c r="F8472" s="534"/>
    </row>
    <row r="8473" spans="1:6" ht="15" customHeight="1">
      <c r="A8473" s="51"/>
      <c r="B8473" s="52" t="str">
        <f t="shared" si="429"/>
        <v/>
      </c>
      <c r="C8473" t="str">
        <f t="shared" si="428"/>
        <v/>
      </c>
      <c r="D8473" s="245" t="str">
        <f t="shared" si="430"/>
        <v/>
      </c>
      <c r="E8473" s="534"/>
      <c r="F8473" s="534"/>
    </row>
    <row r="8474" spans="1:6" ht="15" customHeight="1">
      <c r="A8474" s="51"/>
      <c r="B8474" s="52" t="str">
        <f t="shared" si="429"/>
        <v/>
      </c>
      <c r="C8474" t="str">
        <f t="shared" si="428"/>
        <v/>
      </c>
      <c r="D8474" s="245" t="str">
        <f t="shared" si="430"/>
        <v/>
      </c>
      <c r="E8474" s="534"/>
      <c r="F8474" s="534"/>
    </row>
    <row r="8475" spans="1:6" ht="15" customHeight="1">
      <c r="A8475" s="51"/>
      <c r="B8475" s="52" t="str">
        <f t="shared" si="429"/>
        <v/>
      </c>
      <c r="C8475" t="str">
        <f t="shared" si="428"/>
        <v/>
      </c>
      <c r="D8475" s="245" t="str">
        <f t="shared" si="430"/>
        <v/>
      </c>
      <c r="E8475" s="534"/>
      <c r="F8475" s="534"/>
    </row>
    <row r="8476" spans="1:6" ht="15" customHeight="1">
      <c r="A8476" s="51"/>
      <c r="B8476" s="52" t="str">
        <f t="shared" si="429"/>
        <v/>
      </c>
      <c r="C8476" t="str">
        <f t="shared" si="428"/>
        <v/>
      </c>
      <c r="D8476" s="245" t="str">
        <f t="shared" si="430"/>
        <v/>
      </c>
      <c r="E8476" s="534"/>
      <c r="F8476" s="534"/>
    </row>
    <row r="8477" spans="1:6" ht="15" customHeight="1">
      <c r="A8477" s="51"/>
      <c r="B8477" s="52" t="str">
        <f t="shared" si="429"/>
        <v/>
      </c>
      <c r="C8477" t="str">
        <f t="shared" si="428"/>
        <v/>
      </c>
      <c r="D8477" s="245" t="str">
        <f t="shared" si="430"/>
        <v/>
      </c>
      <c r="E8477" s="534"/>
      <c r="F8477" s="534"/>
    </row>
    <row r="8478" spans="1:6" ht="15" customHeight="1">
      <c r="A8478" s="51"/>
      <c r="B8478" s="52" t="str">
        <f t="shared" si="429"/>
        <v/>
      </c>
      <c r="C8478" t="str">
        <f t="shared" si="428"/>
        <v/>
      </c>
      <c r="D8478" s="245" t="str">
        <f t="shared" si="430"/>
        <v/>
      </c>
      <c r="E8478" s="534"/>
      <c r="F8478" s="534"/>
    </row>
    <row r="8479" spans="1:6" ht="15" customHeight="1">
      <c r="A8479" s="51"/>
      <c r="B8479" s="52" t="str">
        <f t="shared" si="429"/>
        <v/>
      </c>
      <c r="C8479" t="str">
        <f t="shared" si="428"/>
        <v/>
      </c>
      <c r="D8479" s="245" t="str">
        <f t="shared" si="430"/>
        <v/>
      </c>
      <c r="E8479" s="534"/>
      <c r="F8479" s="534"/>
    </row>
    <row r="8480" spans="1:6" ht="15" customHeight="1">
      <c r="A8480" s="51"/>
      <c r="B8480" s="52" t="str">
        <f t="shared" si="429"/>
        <v/>
      </c>
      <c r="C8480" t="str">
        <f t="shared" si="428"/>
        <v/>
      </c>
      <c r="D8480" s="245" t="str">
        <f t="shared" si="430"/>
        <v/>
      </c>
      <c r="E8480" s="534"/>
      <c r="F8480" s="534"/>
    </row>
    <row r="8481" spans="1:6" ht="15" customHeight="1">
      <c r="A8481" s="51"/>
      <c r="B8481" s="52" t="str">
        <f t="shared" si="429"/>
        <v/>
      </c>
      <c r="C8481" t="str">
        <f t="shared" si="428"/>
        <v/>
      </c>
      <c r="D8481" s="245" t="str">
        <f t="shared" si="430"/>
        <v/>
      </c>
      <c r="E8481" s="534"/>
      <c r="F8481" s="534"/>
    </row>
    <row r="8482" spans="1:6" ht="15" customHeight="1">
      <c r="A8482" s="51"/>
      <c r="B8482" s="52" t="str">
        <f t="shared" si="429"/>
        <v/>
      </c>
      <c r="C8482" t="str">
        <f t="shared" si="428"/>
        <v/>
      </c>
      <c r="D8482" s="245" t="str">
        <f t="shared" si="430"/>
        <v/>
      </c>
      <c r="E8482" s="534"/>
      <c r="F8482" s="534"/>
    </row>
    <row r="8483" spans="1:6" ht="15" customHeight="1">
      <c r="A8483" s="51"/>
      <c r="B8483" s="52" t="str">
        <f t="shared" si="429"/>
        <v/>
      </c>
      <c r="C8483" t="str">
        <f t="shared" si="428"/>
        <v/>
      </c>
      <c r="D8483" s="245" t="str">
        <f t="shared" si="430"/>
        <v/>
      </c>
      <c r="E8483" s="534"/>
      <c r="F8483" s="534"/>
    </row>
    <row r="8484" spans="1:6" ht="15" customHeight="1">
      <c r="A8484" s="51"/>
      <c r="B8484" s="52" t="str">
        <f t="shared" si="429"/>
        <v/>
      </c>
      <c r="C8484" t="str">
        <f t="shared" si="428"/>
        <v/>
      </c>
      <c r="D8484" s="245" t="str">
        <f t="shared" si="430"/>
        <v/>
      </c>
      <c r="E8484" s="534"/>
      <c r="F8484" s="534"/>
    </row>
    <row r="8485" spans="1:6" ht="15" customHeight="1">
      <c r="A8485" s="51"/>
      <c r="B8485" s="52" t="str">
        <f t="shared" si="429"/>
        <v/>
      </c>
      <c r="C8485" t="str">
        <f t="shared" si="428"/>
        <v/>
      </c>
      <c r="D8485" s="245" t="str">
        <f t="shared" si="430"/>
        <v/>
      </c>
      <c r="E8485" s="534"/>
      <c r="F8485" s="534"/>
    </row>
    <row r="8486" spans="1:6" ht="15" customHeight="1">
      <c r="A8486" s="51"/>
      <c r="B8486" s="52" t="str">
        <f t="shared" si="429"/>
        <v/>
      </c>
      <c r="C8486" t="str">
        <f t="shared" si="428"/>
        <v/>
      </c>
      <c r="D8486" s="245" t="str">
        <f t="shared" si="430"/>
        <v/>
      </c>
      <c r="E8486" s="534"/>
      <c r="F8486" s="534"/>
    </row>
    <row r="8487" spans="1:6" ht="15" customHeight="1">
      <c r="A8487" s="51"/>
      <c r="B8487" s="52" t="str">
        <f t="shared" si="429"/>
        <v/>
      </c>
      <c r="C8487" t="str">
        <f t="shared" si="428"/>
        <v/>
      </c>
      <c r="D8487" s="245" t="str">
        <f t="shared" si="430"/>
        <v/>
      </c>
      <c r="E8487" s="534"/>
      <c r="F8487" s="534"/>
    </row>
    <row r="8488" spans="1:6" ht="15" customHeight="1">
      <c r="A8488" s="51"/>
      <c r="B8488" s="52" t="str">
        <f t="shared" si="429"/>
        <v/>
      </c>
      <c r="C8488" t="str">
        <f t="shared" si="428"/>
        <v/>
      </c>
      <c r="D8488" s="245" t="str">
        <f t="shared" si="430"/>
        <v/>
      </c>
      <c r="E8488" s="534"/>
      <c r="F8488" s="534"/>
    </row>
    <row r="8489" spans="1:6" ht="15" customHeight="1">
      <c r="A8489" s="51"/>
      <c r="B8489" s="52" t="str">
        <f t="shared" si="429"/>
        <v/>
      </c>
      <c r="C8489" t="str">
        <f t="shared" si="428"/>
        <v/>
      </c>
      <c r="D8489" s="245" t="str">
        <f t="shared" si="430"/>
        <v/>
      </c>
      <c r="E8489" s="534"/>
      <c r="F8489" s="534"/>
    </row>
    <row r="8490" spans="1:6" ht="15" customHeight="1">
      <c r="A8490" s="51"/>
      <c r="B8490" s="52" t="str">
        <f t="shared" si="429"/>
        <v/>
      </c>
      <c r="C8490" t="str">
        <f t="shared" si="428"/>
        <v/>
      </c>
      <c r="D8490" s="245" t="str">
        <f t="shared" si="430"/>
        <v/>
      </c>
      <c r="E8490" s="534"/>
      <c r="F8490" s="534"/>
    </row>
    <row r="8491" spans="1:6" ht="15" customHeight="1">
      <c r="A8491" s="51"/>
      <c r="B8491" s="52" t="str">
        <f t="shared" si="429"/>
        <v/>
      </c>
      <c r="C8491" t="str">
        <f t="shared" si="428"/>
        <v/>
      </c>
      <c r="D8491" s="245" t="str">
        <f t="shared" si="430"/>
        <v/>
      </c>
      <c r="E8491" s="534"/>
      <c r="F8491" s="534"/>
    </row>
    <row r="8492" spans="1:6" ht="15" customHeight="1">
      <c r="A8492" s="51"/>
      <c r="B8492" s="52" t="str">
        <f t="shared" si="429"/>
        <v/>
      </c>
      <c r="C8492" t="str">
        <f t="shared" si="428"/>
        <v/>
      </c>
      <c r="D8492" s="245" t="str">
        <f t="shared" si="430"/>
        <v/>
      </c>
      <c r="E8492" s="534"/>
      <c r="F8492" s="534"/>
    </row>
    <row r="8493" spans="1:6" ht="15" customHeight="1">
      <c r="A8493" s="51"/>
      <c r="B8493" s="52" t="str">
        <f t="shared" si="429"/>
        <v/>
      </c>
      <c r="C8493" t="str">
        <f t="shared" si="428"/>
        <v/>
      </c>
      <c r="D8493" s="245" t="str">
        <f t="shared" si="430"/>
        <v/>
      </c>
      <c r="E8493" s="534"/>
      <c r="F8493" s="534"/>
    </row>
    <row r="8494" spans="1:6" ht="15" customHeight="1">
      <c r="A8494" s="51"/>
      <c r="B8494" s="52" t="str">
        <f t="shared" si="429"/>
        <v/>
      </c>
      <c r="C8494" t="str">
        <f t="shared" si="428"/>
        <v/>
      </c>
      <c r="D8494" s="245" t="str">
        <f t="shared" si="430"/>
        <v/>
      </c>
      <c r="E8494" s="534"/>
      <c r="F8494" s="534"/>
    </row>
    <row r="8495" spans="1:6" ht="15" customHeight="1">
      <c r="A8495" s="51"/>
      <c r="B8495" s="52" t="str">
        <f t="shared" si="429"/>
        <v/>
      </c>
      <c r="C8495" t="str">
        <f t="shared" si="428"/>
        <v/>
      </c>
      <c r="D8495" s="245" t="str">
        <f t="shared" si="430"/>
        <v/>
      </c>
      <c r="E8495" s="534"/>
      <c r="F8495" s="534"/>
    </row>
    <row r="8496" spans="1:6" ht="15" customHeight="1">
      <c r="A8496" s="51"/>
      <c r="B8496" s="52" t="str">
        <f t="shared" si="429"/>
        <v/>
      </c>
      <c r="C8496" t="str">
        <f t="shared" si="428"/>
        <v/>
      </c>
      <c r="D8496" s="245" t="str">
        <f t="shared" si="430"/>
        <v/>
      </c>
      <c r="E8496" s="534"/>
      <c r="F8496" s="534"/>
    </row>
    <row r="8497" spans="1:6" ht="15" customHeight="1">
      <c r="A8497" s="51"/>
      <c r="B8497" s="52" t="str">
        <f t="shared" si="429"/>
        <v/>
      </c>
      <c r="C8497" t="str">
        <f t="shared" si="428"/>
        <v/>
      </c>
      <c r="D8497" s="245" t="str">
        <f t="shared" si="430"/>
        <v/>
      </c>
      <c r="E8497" s="534"/>
      <c r="F8497" s="534"/>
    </row>
    <row r="8498" spans="1:6" ht="15" customHeight="1">
      <c r="A8498" s="51"/>
      <c r="B8498" s="52" t="str">
        <f t="shared" si="429"/>
        <v/>
      </c>
      <c r="C8498" t="str">
        <f t="shared" si="428"/>
        <v/>
      </c>
      <c r="D8498" s="245" t="str">
        <f t="shared" si="430"/>
        <v/>
      </c>
      <c r="E8498" s="534"/>
      <c r="F8498" s="534"/>
    </row>
    <row r="8499" spans="1:6" ht="15" customHeight="1">
      <c r="A8499" s="51"/>
      <c r="B8499" s="52" t="str">
        <f t="shared" si="429"/>
        <v/>
      </c>
      <c r="C8499" t="str">
        <f t="shared" si="428"/>
        <v/>
      </c>
      <c r="D8499" s="245" t="str">
        <f t="shared" si="430"/>
        <v/>
      </c>
      <c r="E8499" s="534"/>
      <c r="F8499" s="534"/>
    </row>
    <row r="8500" spans="1:6" ht="15" customHeight="1">
      <c r="A8500" s="51"/>
      <c r="B8500" s="52" t="str">
        <f t="shared" si="429"/>
        <v/>
      </c>
      <c r="C8500" t="str">
        <f t="shared" si="428"/>
        <v/>
      </c>
      <c r="D8500" s="245" t="str">
        <f t="shared" si="430"/>
        <v/>
      </c>
      <c r="E8500" s="534"/>
      <c r="F8500" s="534"/>
    </row>
    <row r="8501" spans="1:6" ht="15" customHeight="1">
      <c r="A8501" s="51"/>
      <c r="B8501" s="52" t="str">
        <f t="shared" si="429"/>
        <v/>
      </c>
      <c r="C8501" t="str">
        <f t="shared" si="428"/>
        <v/>
      </c>
      <c r="D8501" s="245" t="str">
        <f t="shared" si="430"/>
        <v/>
      </c>
      <c r="E8501" s="534"/>
      <c r="F8501" s="534"/>
    </row>
    <row r="8502" spans="1:6" ht="15" customHeight="1">
      <c r="A8502" s="51"/>
      <c r="B8502" s="52" t="str">
        <f t="shared" si="429"/>
        <v/>
      </c>
      <c r="C8502" t="str">
        <f t="shared" si="428"/>
        <v/>
      </c>
      <c r="D8502" s="245" t="str">
        <f t="shared" si="430"/>
        <v/>
      </c>
      <c r="E8502" s="534"/>
      <c r="F8502" s="534"/>
    </row>
    <row r="8503" spans="1:6" ht="15" customHeight="1">
      <c r="A8503" s="51"/>
      <c r="B8503" s="52" t="str">
        <f t="shared" si="429"/>
        <v/>
      </c>
      <c r="C8503" t="str">
        <f t="shared" si="428"/>
        <v/>
      </c>
      <c r="D8503" s="245" t="str">
        <f t="shared" si="430"/>
        <v/>
      </c>
      <c r="E8503" s="534"/>
      <c r="F8503" s="534"/>
    </row>
    <row r="8504" spans="1:6" ht="15" customHeight="1">
      <c r="A8504" s="51"/>
      <c r="B8504" s="52" t="str">
        <f t="shared" si="429"/>
        <v/>
      </c>
      <c r="C8504" t="str">
        <f t="shared" si="428"/>
        <v/>
      </c>
      <c r="D8504" s="245" t="str">
        <f t="shared" si="430"/>
        <v/>
      </c>
      <c r="E8504" s="534"/>
      <c r="F8504" s="534"/>
    </row>
    <row r="8505" spans="1:6" ht="15" customHeight="1">
      <c r="A8505" s="51"/>
      <c r="B8505" s="52" t="str">
        <f t="shared" si="429"/>
        <v/>
      </c>
      <c r="C8505" t="str">
        <f t="shared" si="428"/>
        <v/>
      </c>
      <c r="D8505" s="245" t="str">
        <f t="shared" si="430"/>
        <v/>
      </c>
      <c r="E8505" s="534"/>
      <c r="F8505" s="534"/>
    </row>
    <row r="8506" spans="1:6" ht="15" customHeight="1">
      <c r="A8506" s="51"/>
      <c r="B8506" s="52" t="str">
        <f t="shared" si="429"/>
        <v/>
      </c>
      <c r="C8506" t="str">
        <f t="shared" si="428"/>
        <v/>
      </c>
      <c r="D8506" s="245" t="str">
        <f t="shared" si="430"/>
        <v/>
      </c>
      <c r="E8506" s="534"/>
      <c r="F8506" s="534"/>
    </row>
    <row r="8507" spans="1:6" ht="15" customHeight="1">
      <c r="A8507" s="51"/>
      <c r="B8507" s="52" t="str">
        <f t="shared" si="429"/>
        <v/>
      </c>
      <c r="C8507" t="str">
        <f t="shared" si="428"/>
        <v/>
      </c>
      <c r="D8507" s="245" t="str">
        <f t="shared" si="430"/>
        <v/>
      </c>
      <c r="E8507" s="534"/>
      <c r="F8507" s="534"/>
    </row>
    <row r="8508" spans="1:6" ht="15" customHeight="1">
      <c r="A8508" s="51"/>
      <c r="B8508" s="52" t="str">
        <f t="shared" si="429"/>
        <v/>
      </c>
      <c r="C8508" t="str">
        <f t="shared" si="428"/>
        <v/>
      </c>
      <c r="D8508" s="245" t="str">
        <f t="shared" si="430"/>
        <v/>
      </c>
      <c r="E8508" s="534"/>
      <c r="F8508" s="534"/>
    </row>
    <row r="8509" spans="1:6" ht="15" customHeight="1">
      <c r="A8509" s="51"/>
      <c r="B8509" s="52" t="str">
        <f t="shared" si="429"/>
        <v/>
      </c>
      <c r="C8509" t="str">
        <f t="shared" si="428"/>
        <v/>
      </c>
      <c r="D8509" s="245" t="str">
        <f t="shared" si="430"/>
        <v/>
      </c>
      <c r="E8509" s="534"/>
      <c r="F8509" s="534"/>
    </row>
    <row r="8510" spans="1:6" ht="15" customHeight="1">
      <c r="A8510" s="51"/>
      <c r="B8510" s="52" t="str">
        <f t="shared" si="429"/>
        <v/>
      </c>
      <c r="C8510" t="str">
        <f t="shared" si="428"/>
        <v/>
      </c>
      <c r="D8510" s="245" t="str">
        <f t="shared" si="430"/>
        <v/>
      </c>
      <c r="E8510" s="534"/>
      <c r="F8510" s="534"/>
    </row>
    <row r="8511" spans="1:6" ht="15" customHeight="1">
      <c r="A8511" s="51"/>
      <c r="B8511" s="52" t="str">
        <f t="shared" si="429"/>
        <v/>
      </c>
      <c r="C8511" t="str">
        <f t="shared" si="428"/>
        <v/>
      </c>
      <c r="D8511" s="245" t="str">
        <f t="shared" si="430"/>
        <v/>
      </c>
      <c r="E8511" s="534"/>
      <c r="F8511" s="534"/>
    </row>
    <row r="8512" spans="1:6" ht="15" customHeight="1">
      <c r="A8512" s="51"/>
      <c r="B8512" s="52" t="str">
        <f t="shared" si="429"/>
        <v/>
      </c>
      <c r="C8512" t="str">
        <f t="shared" si="428"/>
        <v/>
      </c>
      <c r="D8512" s="245" t="str">
        <f t="shared" si="430"/>
        <v/>
      </c>
      <c r="E8512" s="534"/>
      <c r="F8512" s="534"/>
    </row>
    <row r="8513" spans="1:6" ht="15" customHeight="1">
      <c r="A8513" s="51"/>
      <c r="B8513" s="52" t="str">
        <f t="shared" si="429"/>
        <v/>
      </c>
      <c r="C8513" t="str">
        <f t="shared" si="428"/>
        <v/>
      </c>
      <c r="D8513" s="245" t="str">
        <f t="shared" si="430"/>
        <v/>
      </c>
      <c r="E8513" s="534"/>
      <c r="F8513" s="534"/>
    </row>
    <row r="8514" spans="1:6" ht="15" customHeight="1">
      <c r="A8514" s="51"/>
      <c r="B8514" s="52" t="str">
        <f t="shared" si="429"/>
        <v/>
      </c>
      <c r="C8514" t="str">
        <f t="shared" ref="C8514:C8577" si="431">IF(A8514&lt;&gt;"",TEXT(A8514,"aaaa"),"")</f>
        <v/>
      </c>
      <c r="D8514" s="245" t="str">
        <f t="shared" si="430"/>
        <v/>
      </c>
      <c r="E8514" s="534"/>
      <c r="F8514" s="534"/>
    </row>
    <row r="8515" spans="1:6" ht="15" customHeight="1">
      <c r="A8515" s="51"/>
      <c r="B8515" s="52" t="str">
        <f t="shared" si="429"/>
        <v/>
      </c>
      <c r="C8515" t="str">
        <f t="shared" si="431"/>
        <v/>
      </c>
      <c r="D8515" s="245" t="str">
        <f t="shared" si="430"/>
        <v/>
      </c>
      <c r="E8515" s="534"/>
      <c r="F8515" s="534"/>
    </row>
    <row r="8516" spans="1:6" ht="15" customHeight="1">
      <c r="A8516" s="51"/>
      <c r="B8516" s="52" t="str">
        <f t="shared" si="429"/>
        <v/>
      </c>
      <c r="C8516" t="str">
        <f t="shared" si="431"/>
        <v/>
      </c>
      <c r="D8516" s="245" t="str">
        <f t="shared" si="430"/>
        <v/>
      </c>
      <c r="E8516" s="534"/>
      <c r="F8516" s="534"/>
    </row>
    <row r="8517" spans="1:6" ht="15" customHeight="1">
      <c r="A8517" s="51"/>
      <c r="B8517" s="52" t="str">
        <f t="shared" si="429"/>
        <v/>
      </c>
      <c r="C8517" t="str">
        <f t="shared" si="431"/>
        <v/>
      </c>
      <c r="D8517" s="245" t="str">
        <f t="shared" si="430"/>
        <v/>
      </c>
      <c r="E8517" s="534"/>
      <c r="F8517" s="534"/>
    </row>
    <row r="8518" spans="1:6" ht="15" customHeight="1">
      <c r="A8518" s="51"/>
      <c r="B8518" s="52" t="str">
        <f t="shared" si="429"/>
        <v/>
      </c>
      <c r="C8518" t="str">
        <f t="shared" si="431"/>
        <v/>
      </c>
      <c r="D8518" s="245" t="str">
        <f t="shared" si="430"/>
        <v/>
      </c>
      <c r="E8518" s="534"/>
      <c r="F8518" s="534"/>
    </row>
    <row r="8519" spans="1:6" ht="15" customHeight="1">
      <c r="A8519" s="51"/>
      <c r="B8519" s="52" t="str">
        <f t="shared" si="429"/>
        <v/>
      </c>
      <c r="C8519" t="str">
        <f t="shared" si="431"/>
        <v/>
      </c>
      <c r="D8519" s="245" t="str">
        <f t="shared" si="430"/>
        <v/>
      </c>
      <c r="E8519" s="534"/>
      <c r="F8519" s="534"/>
    </row>
    <row r="8520" spans="1:6" ht="15" customHeight="1">
      <c r="A8520" s="51"/>
      <c r="B8520" s="52" t="str">
        <f t="shared" ref="B8520:B8583" si="432">IF(A8520="","",TEXT(A8520,"DDDD"))</f>
        <v/>
      </c>
      <c r="C8520" t="str">
        <f t="shared" si="431"/>
        <v/>
      </c>
      <c r="D8520" s="245" t="str">
        <f t="shared" si="430"/>
        <v/>
      </c>
      <c r="E8520" s="534"/>
      <c r="F8520" s="534"/>
    </row>
    <row r="8521" spans="1:6" ht="15" customHeight="1">
      <c r="A8521" s="51"/>
      <c r="B8521" s="52" t="str">
        <f t="shared" si="432"/>
        <v/>
      </c>
      <c r="C8521" t="str">
        <f t="shared" si="431"/>
        <v/>
      </c>
      <c r="D8521" s="245" t="str">
        <f t="shared" ref="D8521:D8584" si="433">IF(A8521&lt;&gt;"",PROPER(TEXT(A8521,"Mmmm")),"")</f>
        <v/>
      </c>
      <c r="E8521" s="534"/>
      <c r="F8521" s="534"/>
    </row>
    <row r="8522" spans="1:6" ht="15" customHeight="1">
      <c r="A8522" s="51"/>
      <c r="B8522" s="52" t="str">
        <f t="shared" si="432"/>
        <v/>
      </c>
      <c r="C8522" t="str">
        <f t="shared" si="431"/>
        <v/>
      </c>
      <c r="D8522" s="245" t="str">
        <f t="shared" si="433"/>
        <v/>
      </c>
      <c r="E8522" s="534"/>
      <c r="F8522" s="534"/>
    </row>
    <row r="8523" spans="1:6" ht="15" customHeight="1">
      <c r="A8523" s="51"/>
      <c r="B8523" s="52" t="str">
        <f t="shared" si="432"/>
        <v/>
      </c>
      <c r="C8523" t="str">
        <f t="shared" si="431"/>
        <v/>
      </c>
      <c r="D8523" s="245" t="str">
        <f t="shared" si="433"/>
        <v/>
      </c>
      <c r="E8523" s="534"/>
      <c r="F8523" s="534"/>
    </row>
    <row r="8524" spans="1:6" ht="15" customHeight="1">
      <c r="A8524" s="51"/>
      <c r="B8524" s="52" t="str">
        <f t="shared" si="432"/>
        <v/>
      </c>
      <c r="C8524" t="str">
        <f t="shared" si="431"/>
        <v/>
      </c>
      <c r="D8524" s="245" t="str">
        <f t="shared" si="433"/>
        <v/>
      </c>
      <c r="E8524" s="534"/>
      <c r="F8524" s="534"/>
    </row>
    <row r="8525" spans="1:6" ht="15" customHeight="1">
      <c r="A8525" s="51"/>
      <c r="B8525" s="52" t="str">
        <f t="shared" si="432"/>
        <v/>
      </c>
      <c r="C8525" t="str">
        <f t="shared" si="431"/>
        <v/>
      </c>
      <c r="D8525" s="245" t="str">
        <f t="shared" si="433"/>
        <v/>
      </c>
      <c r="E8525" s="534"/>
      <c r="F8525" s="534"/>
    </row>
    <row r="8526" spans="1:6" ht="15" customHeight="1">
      <c r="A8526" s="51"/>
      <c r="B8526" s="52" t="str">
        <f t="shared" si="432"/>
        <v/>
      </c>
      <c r="C8526" t="str">
        <f t="shared" si="431"/>
        <v/>
      </c>
      <c r="D8526" s="245" t="str">
        <f t="shared" si="433"/>
        <v/>
      </c>
      <c r="E8526" s="534"/>
      <c r="F8526" s="534"/>
    </row>
    <row r="8527" spans="1:6" ht="15" customHeight="1">
      <c r="A8527" s="51"/>
      <c r="B8527" s="52" t="str">
        <f t="shared" si="432"/>
        <v/>
      </c>
      <c r="C8527" t="str">
        <f t="shared" si="431"/>
        <v/>
      </c>
      <c r="D8527" s="245" t="str">
        <f t="shared" si="433"/>
        <v/>
      </c>
      <c r="E8527" s="534"/>
      <c r="F8527" s="534"/>
    </row>
    <row r="8528" spans="1:6" ht="15" customHeight="1">
      <c r="A8528" s="51"/>
      <c r="B8528" s="52" t="str">
        <f t="shared" si="432"/>
        <v/>
      </c>
      <c r="C8528" t="str">
        <f t="shared" si="431"/>
        <v/>
      </c>
      <c r="D8528" s="245" t="str">
        <f t="shared" si="433"/>
        <v/>
      </c>
      <c r="E8528" s="534"/>
      <c r="F8528" s="534"/>
    </row>
    <row r="8529" spans="1:6" ht="15" customHeight="1">
      <c r="A8529" s="51"/>
      <c r="B8529" s="52" t="str">
        <f t="shared" si="432"/>
        <v/>
      </c>
      <c r="C8529" t="str">
        <f t="shared" si="431"/>
        <v/>
      </c>
      <c r="D8529" s="245" t="str">
        <f t="shared" si="433"/>
        <v/>
      </c>
      <c r="E8529" s="534"/>
      <c r="F8529" s="534"/>
    </row>
    <row r="8530" spans="1:6" ht="15" customHeight="1">
      <c r="A8530" s="51"/>
      <c r="B8530" s="52" t="str">
        <f t="shared" si="432"/>
        <v/>
      </c>
      <c r="C8530" t="str">
        <f t="shared" si="431"/>
        <v/>
      </c>
      <c r="D8530" s="245" t="str">
        <f t="shared" si="433"/>
        <v/>
      </c>
      <c r="E8530" s="534"/>
      <c r="F8530" s="534"/>
    </row>
    <row r="8531" spans="1:6" ht="15" customHeight="1">
      <c r="A8531" s="51"/>
      <c r="B8531" s="52" t="str">
        <f t="shared" si="432"/>
        <v/>
      </c>
      <c r="C8531" t="str">
        <f t="shared" si="431"/>
        <v/>
      </c>
      <c r="D8531" s="245" t="str">
        <f t="shared" si="433"/>
        <v/>
      </c>
      <c r="E8531" s="534"/>
      <c r="F8531" s="534"/>
    </row>
    <row r="8532" spans="1:6" ht="15" customHeight="1">
      <c r="A8532" s="51"/>
      <c r="B8532" s="52" t="str">
        <f t="shared" si="432"/>
        <v/>
      </c>
      <c r="C8532" t="str">
        <f t="shared" si="431"/>
        <v/>
      </c>
      <c r="D8532" s="245" t="str">
        <f t="shared" si="433"/>
        <v/>
      </c>
      <c r="E8532" s="534"/>
      <c r="F8532" s="534"/>
    </row>
    <row r="8533" spans="1:6" ht="15" customHeight="1">
      <c r="A8533" s="51"/>
      <c r="B8533" s="52" t="str">
        <f t="shared" si="432"/>
        <v/>
      </c>
      <c r="C8533" t="str">
        <f t="shared" si="431"/>
        <v/>
      </c>
      <c r="D8533" s="245" t="str">
        <f t="shared" si="433"/>
        <v/>
      </c>
      <c r="E8533" s="534"/>
      <c r="F8533" s="534"/>
    </row>
    <row r="8534" spans="1:6" ht="15" customHeight="1">
      <c r="A8534" s="51"/>
      <c r="B8534" s="52" t="str">
        <f t="shared" si="432"/>
        <v/>
      </c>
      <c r="C8534" t="str">
        <f t="shared" si="431"/>
        <v/>
      </c>
      <c r="D8534" s="245" t="str">
        <f t="shared" si="433"/>
        <v/>
      </c>
      <c r="E8534" s="534"/>
      <c r="F8534" s="534"/>
    </row>
    <row r="8535" spans="1:6" ht="15" customHeight="1">
      <c r="A8535" s="51"/>
      <c r="B8535" s="52" t="str">
        <f t="shared" si="432"/>
        <v/>
      </c>
      <c r="C8535" t="str">
        <f t="shared" si="431"/>
        <v/>
      </c>
      <c r="D8535" s="245" t="str">
        <f t="shared" si="433"/>
        <v/>
      </c>
      <c r="E8535" s="534"/>
      <c r="F8535" s="534"/>
    </row>
    <row r="8536" spans="1:6" ht="15" customHeight="1">
      <c r="A8536" s="51"/>
      <c r="B8536" s="52" t="str">
        <f t="shared" si="432"/>
        <v/>
      </c>
      <c r="C8536" t="str">
        <f t="shared" si="431"/>
        <v/>
      </c>
      <c r="D8536" s="245" t="str">
        <f t="shared" si="433"/>
        <v/>
      </c>
      <c r="E8536" s="534"/>
      <c r="F8536" s="534"/>
    </row>
    <row r="8537" spans="1:6" ht="15" customHeight="1">
      <c r="A8537" s="51"/>
      <c r="B8537" s="52" t="str">
        <f t="shared" si="432"/>
        <v/>
      </c>
      <c r="C8537" t="str">
        <f t="shared" si="431"/>
        <v/>
      </c>
      <c r="D8537" s="245" t="str">
        <f t="shared" si="433"/>
        <v/>
      </c>
      <c r="E8537" s="534"/>
      <c r="F8537" s="534"/>
    </row>
    <row r="8538" spans="1:6" ht="15" customHeight="1">
      <c r="A8538" s="51"/>
      <c r="B8538" s="52" t="str">
        <f t="shared" si="432"/>
        <v/>
      </c>
      <c r="C8538" t="str">
        <f t="shared" si="431"/>
        <v/>
      </c>
      <c r="D8538" s="245" t="str">
        <f t="shared" si="433"/>
        <v/>
      </c>
      <c r="E8538" s="534"/>
      <c r="F8538" s="534"/>
    </row>
    <row r="8539" spans="1:6" ht="15" customHeight="1">
      <c r="A8539" s="51"/>
      <c r="B8539" s="52" t="str">
        <f t="shared" si="432"/>
        <v/>
      </c>
      <c r="C8539" t="str">
        <f t="shared" si="431"/>
        <v/>
      </c>
      <c r="D8539" s="245" t="str">
        <f t="shared" si="433"/>
        <v/>
      </c>
      <c r="E8539" s="534"/>
      <c r="F8539" s="534"/>
    </row>
    <row r="8540" spans="1:6" ht="15" customHeight="1">
      <c r="A8540" s="51"/>
      <c r="B8540" s="52" t="str">
        <f t="shared" si="432"/>
        <v/>
      </c>
      <c r="C8540" t="str">
        <f t="shared" si="431"/>
        <v/>
      </c>
      <c r="D8540" s="245" t="str">
        <f t="shared" si="433"/>
        <v/>
      </c>
      <c r="E8540" s="534"/>
      <c r="F8540" s="534"/>
    </row>
    <row r="8541" spans="1:6" ht="15" customHeight="1">
      <c r="A8541" s="51"/>
      <c r="B8541" s="52" t="str">
        <f t="shared" si="432"/>
        <v/>
      </c>
      <c r="C8541" t="str">
        <f t="shared" si="431"/>
        <v/>
      </c>
      <c r="D8541" s="245" t="str">
        <f t="shared" si="433"/>
        <v/>
      </c>
      <c r="E8541" s="534"/>
      <c r="F8541" s="534"/>
    </row>
    <row r="8542" spans="1:6" ht="15" customHeight="1">
      <c r="A8542" s="51"/>
      <c r="B8542" s="52" t="str">
        <f t="shared" si="432"/>
        <v/>
      </c>
      <c r="C8542" t="str">
        <f t="shared" si="431"/>
        <v/>
      </c>
      <c r="D8542" s="245" t="str">
        <f t="shared" si="433"/>
        <v/>
      </c>
      <c r="E8542" s="534"/>
      <c r="F8542" s="534"/>
    </row>
    <row r="8543" spans="1:6" ht="15" customHeight="1">
      <c r="A8543" s="51"/>
      <c r="B8543" s="52" t="str">
        <f t="shared" si="432"/>
        <v/>
      </c>
      <c r="C8543" t="str">
        <f t="shared" si="431"/>
        <v/>
      </c>
      <c r="D8543" s="245" t="str">
        <f t="shared" si="433"/>
        <v/>
      </c>
      <c r="E8543" s="534"/>
      <c r="F8543" s="534"/>
    </row>
    <row r="8544" spans="1:6" ht="15" customHeight="1">
      <c r="A8544" s="51"/>
      <c r="B8544" s="52" t="str">
        <f t="shared" si="432"/>
        <v/>
      </c>
      <c r="C8544" t="str">
        <f t="shared" si="431"/>
        <v/>
      </c>
      <c r="D8544" s="245" t="str">
        <f t="shared" si="433"/>
        <v/>
      </c>
      <c r="E8544" s="534"/>
      <c r="F8544" s="534"/>
    </row>
    <row r="8545" spans="1:6" ht="15" customHeight="1">
      <c r="A8545" s="51"/>
      <c r="B8545" s="52" t="str">
        <f t="shared" si="432"/>
        <v/>
      </c>
      <c r="C8545" t="str">
        <f t="shared" si="431"/>
        <v/>
      </c>
      <c r="D8545" s="245" t="str">
        <f t="shared" si="433"/>
        <v/>
      </c>
      <c r="E8545" s="534"/>
      <c r="F8545" s="534"/>
    </row>
    <row r="8546" spans="1:6" ht="15" customHeight="1">
      <c r="A8546" s="51"/>
      <c r="B8546" s="52" t="str">
        <f t="shared" si="432"/>
        <v/>
      </c>
      <c r="C8546" t="str">
        <f t="shared" si="431"/>
        <v/>
      </c>
      <c r="D8546" s="245" t="str">
        <f t="shared" si="433"/>
        <v/>
      </c>
      <c r="E8546" s="534"/>
      <c r="F8546" s="534"/>
    </row>
    <row r="8547" spans="1:6" ht="15" customHeight="1">
      <c r="A8547" s="51"/>
      <c r="B8547" s="52" t="str">
        <f t="shared" si="432"/>
        <v/>
      </c>
      <c r="C8547" t="str">
        <f t="shared" si="431"/>
        <v/>
      </c>
      <c r="D8547" s="245" t="str">
        <f t="shared" si="433"/>
        <v/>
      </c>
      <c r="E8547" s="534"/>
      <c r="F8547" s="534"/>
    </row>
    <row r="8548" spans="1:6" ht="15" customHeight="1">
      <c r="A8548" s="51"/>
      <c r="B8548" s="52" t="str">
        <f t="shared" si="432"/>
        <v/>
      </c>
      <c r="C8548" t="str">
        <f t="shared" si="431"/>
        <v/>
      </c>
      <c r="D8548" s="245" t="str">
        <f t="shared" si="433"/>
        <v/>
      </c>
      <c r="E8548" s="534"/>
      <c r="F8548" s="534"/>
    </row>
    <row r="8549" spans="1:6" ht="15" customHeight="1">
      <c r="A8549" s="51"/>
      <c r="B8549" s="52" t="str">
        <f t="shared" si="432"/>
        <v/>
      </c>
      <c r="C8549" t="str">
        <f t="shared" si="431"/>
        <v/>
      </c>
      <c r="D8549" s="245" t="str">
        <f t="shared" si="433"/>
        <v/>
      </c>
      <c r="E8549" s="534"/>
      <c r="F8549" s="534"/>
    </row>
    <row r="8550" spans="1:6" ht="15" customHeight="1">
      <c r="A8550" s="51"/>
      <c r="B8550" s="52" t="str">
        <f t="shared" si="432"/>
        <v/>
      </c>
      <c r="C8550" t="str">
        <f t="shared" si="431"/>
        <v/>
      </c>
      <c r="D8550" s="245" t="str">
        <f t="shared" si="433"/>
        <v/>
      </c>
      <c r="E8550" s="534"/>
      <c r="F8550" s="534"/>
    </row>
    <row r="8551" spans="1:6" ht="15" customHeight="1">
      <c r="A8551" s="51"/>
      <c r="B8551" s="52" t="str">
        <f t="shared" si="432"/>
        <v/>
      </c>
      <c r="C8551" t="str">
        <f t="shared" si="431"/>
        <v/>
      </c>
      <c r="D8551" s="245" t="str">
        <f t="shared" si="433"/>
        <v/>
      </c>
      <c r="E8551" s="534"/>
      <c r="F8551" s="534"/>
    </row>
    <row r="8552" spans="1:6" ht="15" customHeight="1">
      <c r="A8552" s="51"/>
      <c r="B8552" s="52" t="str">
        <f t="shared" si="432"/>
        <v/>
      </c>
      <c r="C8552" t="str">
        <f t="shared" si="431"/>
        <v/>
      </c>
      <c r="D8552" s="245" t="str">
        <f t="shared" si="433"/>
        <v/>
      </c>
      <c r="E8552" s="534"/>
      <c r="F8552" s="534"/>
    </row>
    <row r="8553" spans="1:6" ht="15" customHeight="1">
      <c r="A8553" s="51"/>
      <c r="B8553" s="52" t="str">
        <f t="shared" si="432"/>
        <v/>
      </c>
      <c r="C8553" t="str">
        <f t="shared" si="431"/>
        <v/>
      </c>
      <c r="D8553" s="245" t="str">
        <f t="shared" si="433"/>
        <v/>
      </c>
      <c r="E8553" s="534"/>
      <c r="F8553" s="534"/>
    </row>
    <row r="8554" spans="1:6" ht="15" customHeight="1">
      <c r="A8554" s="51"/>
      <c r="B8554" s="52" t="str">
        <f t="shared" si="432"/>
        <v/>
      </c>
      <c r="C8554" t="str">
        <f t="shared" si="431"/>
        <v/>
      </c>
      <c r="D8554" s="245" t="str">
        <f t="shared" si="433"/>
        <v/>
      </c>
      <c r="E8554" s="534"/>
      <c r="F8554" s="534"/>
    </row>
    <row r="8555" spans="1:6" ht="15" customHeight="1">
      <c r="A8555" s="51"/>
      <c r="B8555" s="52" t="str">
        <f t="shared" si="432"/>
        <v/>
      </c>
      <c r="C8555" t="str">
        <f t="shared" si="431"/>
        <v/>
      </c>
      <c r="D8555" s="245" t="str">
        <f t="shared" si="433"/>
        <v/>
      </c>
      <c r="E8555" s="534"/>
      <c r="F8555" s="534"/>
    </row>
    <row r="8556" spans="1:6" ht="15" customHeight="1">
      <c r="A8556" s="51"/>
      <c r="B8556" s="52" t="str">
        <f t="shared" si="432"/>
        <v/>
      </c>
      <c r="C8556" t="str">
        <f t="shared" si="431"/>
        <v/>
      </c>
      <c r="D8556" s="245" t="str">
        <f t="shared" si="433"/>
        <v/>
      </c>
      <c r="E8556" s="534"/>
      <c r="F8556" s="534"/>
    </row>
    <row r="8557" spans="1:6" ht="15" customHeight="1">
      <c r="A8557" s="51"/>
      <c r="B8557" s="52" t="str">
        <f t="shared" si="432"/>
        <v/>
      </c>
      <c r="C8557" t="str">
        <f t="shared" si="431"/>
        <v/>
      </c>
      <c r="D8557" s="245" t="str">
        <f t="shared" si="433"/>
        <v/>
      </c>
      <c r="E8557" s="534"/>
      <c r="F8557" s="534"/>
    </row>
    <row r="8558" spans="1:6" ht="15" customHeight="1">
      <c r="A8558" s="51"/>
      <c r="B8558" s="52" t="str">
        <f t="shared" si="432"/>
        <v/>
      </c>
      <c r="C8558" t="str">
        <f t="shared" si="431"/>
        <v/>
      </c>
      <c r="D8558" s="245" t="str">
        <f t="shared" si="433"/>
        <v/>
      </c>
      <c r="E8558" s="534"/>
      <c r="F8558" s="534"/>
    </row>
    <row r="8559" spans="1:6" ht="15" customHeight="1">
      <c r="A8559" s="51"/>
      <c r="B8559" s="52" t="str">
        <f t="shared" si="432"/>
        <v/>
      </c>
      <c r="C8559" t="str">
        <f t="shared" si="431"/>
        <v/>
      </c>
      <c r="D8559" s="245" t="str">
        <f t="shared" si="433"/>
        <v/>
      </c>
      <c r="E8559" s="534"/>
      <c r="F8559" s="534"/>
    </row>
    <row r="8560" spans="1:6" ht="15" customHeight="1">
      <c r="A8560" s="51"/>
      <c r="B8560" s="52" t="str">
        <f t="shared" si="432"/>
        <v/>
      </c>
      <c r="C8560" t="str">
        <f t="shared" si="431"/>
        <v/>
      </c>
      <c r="D8560" s="245" t="str">
        <f t="shared" si="433"/>
        <v/>
      </c>
      <c r="E8560" s="534"/>
      <c r="F8560" s="534"/>
    </row>
    <row r="8561" spans="1:6" ht="15" customHeight="1">
      <c r="A8561" s="51"/>
      <c r="B8561" s="52" t="str">
        <f t="shared" si="432"/>
        <v/>
      </c>
      <c r="C8561" t="str">
        <f t="shared" si="431"/>
        <v/>
      </c>
      <c r="D8561" s="245" t="str">
        <f t="shared" si="433"/>
        <v/>
      </c>
      <c r="E8561" s="534"/>
      <c r="F8561" s="534"/>
    </row>
    <row r="8562" spans="1:6" ht="15" customHeight="1">
      <c r="A8562" s="51"/>
      <c r="B8562" s="52" t="str">
        <f t="shared" si="432"/>
        <v/>
      </c>
      <c r="C8562" t="str">
        <f t="shared" si="431"/>
        <v/>
      </c>
      <c r="D8562" s="245" t="str">
        <f t="shared" si="433"/>
        <v/>
      </c>
      <c r="E8562" s="534"/>
      <c r="F8562" s="534"/>
    </row>
    <row r="8563" spans="1:6" ht="15" customHeight="1">
      <c r="A8563" s="51"/>
      <c r="B8563" s="52" t="str">
        <f t="shared" si="432"/>
        <v/>
      </c>
      <c r="C8563" t="str">
        <f t="shared" si="431"/>
        <v/>
      </c>
      <c r="D8563" s="245" t="str">
        <f t="shared" si="433"/>
        <v/>
      </c>
      <c r="E8563" s="534"/>
      <c r="F8563" s="534"/>
    </row>
    <row r="8564" spans="1:6" ht="15" customHeight="1">
      <c r="A8564" s="51"/>
      <c r="B8564" s="52" t="str">
        <f t="shared" si="432"/>
        <v/>
      </c>
      <c r="C8564" t="str">
        <f t="shared" si="431"/>
        <v/>
      </c>
      <c r="D8564" s="245" t="str">
        <f t="shared" si="433"/>
        <v/>
      </c>
      <c r="E8564" s="534"/>
      <c r="F8564" s="534"/>
    </row>
    <row r="8565" spans="1:6" ht="15" customHeight="1">
      <c r="A8565" s="51"/>
      <c r="B8565" s="52" t="str">
        <f t="shared" si="432"/>
        <v/>
      </c>
      <c r="C8565" t="str">
        <f t="shared" si="431"/>
        <v/>
      </c>
      <c r="D8565" s="245" t="str">
        <f t="shared" si="433"/>
        <v/>
      </c>
      <c r="E8565" s="534"/>
      <c r="F8565" s="534"/>
    </row>
    <row r="8566" spans="1:6" ht="15" customHeight="1">
      <c r="A8566" s="51"/>
      <c r="B8566" s="52" t="str">
        <f t="shared" si="432"/>
        <v/>
      </c>
      <c r="C8566" t="str">
        <f t="shared" si="431"/>
        <v/>
      </c>
      <c r="D8566" s="245" t="str">
        <f t="shared" si="433"/>
        <v/>
      </c>
      <c r="E8566" s="534"/>
      <c r="F8566" s="534"/>
    </row>
    <row r="8567" spans="1:6" ht="15" customHeight="1">
      <c r="A8567" s="51"/>
      <c r="B8567" s="52" t="str">
        <f t="shared" si="432"/>
        <v/>
      </c>
      <c r="C8567" t="str">
        <f t="shared" si="431"/>
        <v/>
      </c>
      <c r="D8567" s="245" t="str">
        <f t="shared" si="433"/>
        <v/>
      </c>
      <c r="E8567" s="534"/>
      <c r="F8567" s="534"/>
    </row>
    <row r="8568" spans="1:6" ht="15" customHeight="1">
      <c r="A8568" s="51"/>
      <c r="B8568" s="52" t="str">
        <f t="shared" si="432"/>
        <v/>
      </c>
      <c r="C8568" t="str">
        <f t="shared" si="431"/>
        <v/>
      </c>
      <c r="D8568" s="245" t="str">
        <f t="shared" si="433"/>
        <v/>
      </c>
      <c r="E8568" s="534"/>
      <c r="F8568" s="534"/>
    </row>
    <row r="8569" spans="1:6" ht="15" customHeight="1">
      <c r="A8569" s="51"/>
      <c r="B8569" s="52" t="str">
        <f t="shared" si="432"/>
        <v/>
      </c>
      <c r="C8569" t="str">
        <f t="shared" si="431"/>
        <v/>
      </c>
      <c r="D8569" s="245" t="str">
        <f t="shared" si="433"/>
        <v/>
      </c>
      <c r="E8569" s="534"/>
      <c r="F8569" s="534"/>
    </row>
    <row r="8570" spans="1:6" ht="15" customHeight="1">
      <c r="A8570" s="51"/>
      <c r="B8570" s="52" t="str">
        <f t="shared" si="432"/>
        <v/>
      </c>
      <c r="C8570" t="str">
        <f t="shared" si="431"/>
        <v/>
      </c>
      <c r="D8570" s="245" t="str">
        <f t="shared" si="433"/>
        <v/>
      </c>
      <c r="E8570" s="534"/>
      <c r="F8570" s="534"/>
    </row>
    <row r="8571" spans="1:6" ht="15" customHeight="1">
      <c r="A8571" s="51"/>
      <c r="B8571" s="52" t="str">
        <f t="shared" si="432"/>
        <v/>
      </c>
      <c r="C8571" t="str">
        <f t="shared" si="431"/>
        <v/>
      </c>
      <c r="D8571" s="245" t="str">
        <f t="shared" si="433"/>
        <v/>
      </c>
      <c r="E8571" s="534"/>
      <c r="F8571" s="534"/>
    </row>
    <row r="8572" spans="1:6" ht="15" customHeight="1">
      <c r="A8572" s="51"/>
      <c r="B8572" s="52" t="str">
        <f t="shared" si="432"/>
        <v/>
      </c>
      <c r="C8572" t="str">
        <f t="shared" si="431"/>
        <v/>
      </c>
      <c r="D8572" s="245" t="str">
        <f t="shared" si="433"/>
        <v/>
      </c>
      <c r="E8572" s="534"/>
      <c r="F8572" s="534"/>
    </row>
    <row r="8573" spans="1:6" ht="15" customHeight="1">
      <c r="A8573" s="51"/>
      <c r="B8573" s="52" t="str">
        <f t="shared" si="432"/>
        <v/>
      </c>
      <c r="C8573" t="str">
        <f t="shared" si="431"/>
        <v/>
      </c>
      <c r="D8573" s="245" t="str">
        <f t="shared" si="433"/>
        <v/>
      </c>
      <c r="E8573" s="534"/>
      <c r="F8573" s="534"/>
    </row>
    <row r="8574" spans="1:6" ht="15" customHeight="1">
      <c r="A8574" s="51"/>
      <c r="B8574" s="52" t="str">
        <f t="shared" si="432"/>
        <v/>
      </c>
      <c r="C8574" t="str">
        <f t="shared" si="431"/>
        <v/>
      </c>
      <c r="D8574" s="245" t="str">
        <f t="shared" si="433"/>
        <v/>
      </c>
      <c r="E8574" s="534"/>
      <c r="F8574" s="534"/>
    </row>
    <row r="8575" spans="1:6" ht="15" customHeight="1">
      <c r="A8575" s="51"/>
      <c r="B8575" s="52" t="str">
        <f t="shared" si="432"/>
        <v/>
      </c>
      <c r="C8575" t="str">
        <f t="shared" si="431"/>
        <v/>
      </c>
      <c r="D8575" s="245" t="str">
        <f t="shared" si="433"/>
        <v/>
      </c>
      <c r="E8575" s="534"/>
      <c r="F8575" s="534"/>
    </row>
    <row r="8576" spans="1:6" ht="15" customHeight="1">
      <c r="A8576" s="51"/>
      <c r="B8576" s="52" t="str">
        <f t="shared" si="432"/>
        <v/>
      </c>
      <c r="C8576" t="str">
        <f t="shared" si="431"/>
        <v/>
      </c>
      <c r="D8576" s="245" t="str">
        <f t="shared" si="433"/>
        <v/>
      </c>
      <c r="E8576" s="534"/>
      <c r="F8576" s="534"/>
    </row>
    <row r="8577" spans="1:6" ht="15" customHeight="1">
      <c r="A8577" s="51"/>
      <c r="B8577" s="52" t="str">
        <f t="shared" si="432"/>
        <v/>
      </c>
      <c r="C8577" t="str">
        <f t="shared" si="431"/>
        <v/>
      </c>
      <c r="D8577" s="245" t="str">
        <f t="shared" si="433"/>
        <v/>
      </c>
      <c r="E8577" s="534"/>
      <c r="F8577" s="534"/>
    </row>
    <row r="8578" spans="1:6" ht="15" customHeight="1">
      <c r="A8578" s="51"/>
      <c r="B8578" s="52" t="str">
        <f t="shared" si="432"/>
        <v/>
      </c>
      <c r="C8578" t="str">
        <f t="shared" ref="C8578:C8641" si="434">IF(A8578&lt;&gt;"",TEXT(A8578,"aaaa"),"")</f>
        <v/>
      </c>
      <c r="D8578" s="245" t="str">
        <f t="shared" si="433"/>
        <v/>
      </c>
      <c r="E8578" s="534"/>
      <c r="F8578" s="534"/>
    </row>
    <row r="8579" spans="1:6" ht="15" customHeight="1">
      <c r="A8579" s="51"/>
      <c r="B8579" s="52" t="str">
        <f t="shared" si="432"/>
        <v/>
      </c>
      <c r="C8579" t="str">
        <f t="shared" si="434"/>
        <v/>
      </c>
      <c r="D8579" s="245" t="str">
        <f t="shared" si="433"/>
        <v/>
      </c>
      <c r="E8579" s="534"/>
      <c r="F8579" s="534"/>
    </row>
    <row r="8580" spans="1:6" ht="15" customHeight="1">
      <c r="A8580" s="51"/>
      <c r="B8580" s="52" t="str">
        <f t="shared" si="432"/>
        <v/>
      </c>
      <c r="C8580" t="str">
        <f t="shared" si="434"/>
        <v/>
      </c>
      <c r="D8580" s="245" t="str">
        <f t="shared" si="433"/>
        <v/>
      </c>
      <c r="E8580" s="534"/>
      <c r="F8580" s="534"/>
    </row>
    <row r="8581" spans="1:6" ht="15" customHeight="1">
      <c r="A8581" s="51"/>
      <c r="B8581" s="52" t="str">
        <f t="shared" si="432"/>
        <v/>
      </c>
      <c r="C8581" t="str">
        <f t="shared" si="434"/>
        <v/>
      </c>
      <c r="D8581" s="245" t="str">
        <f t="shared" si="433"/>
        <v/>
      </c>
      <c r="E8581" s="534"/>
      <c r="F8581" s="534"/>
    </row>
    <row r="8582" spans="1:6" ht="15" customHeight="1">
      <c r="A8582" s="51"/>
      <c r="B8582" s="52" t="str">
        <f t="shared" si="432"/>
        <v/>
      </c>
      <c r="C8582" t="str">
        <f t="shared" si="434"/>
        <v/>
      </c>
      <c r="D8582" s="245" t="str">
        <f t="shared" si="433"/>
        <v/>
      </c>
      <c r="E8582" s="534"/>
      <c r="F8582" s="534"/>
    </row>
    <row r="8583" spans="1:6" ht="15" customHeight="1">
      <c r="A8583" s="51"/>
      <c r="B8583" s="52" t="str">
        <f t="shared" si="432"/>
        <v/>
      </c>
      <c r="C8583" t="str">
        <f t="shared" si="434"/>
        <v/>
      </c>
      <c r="D8583" s="245" t="str">
        <f t="shared" si="433"/>
        <v/>
      </c>
      <c r="E8583" s="534"/>
      <c r="F8583" s="534"/>
    </row>
    <row r="8584" spans="1:6" ht="15" customHeight="1">
      <c r="A8584" s="51"/>
      <c r="B8584" s="52" t="str">
        <f t="shared" ref="B8584:B8647" si="435">IF(A8584="","",TEXT(A8584,"DDDD"))</f>
        <v/>
      </c>
      <c r="C8584" t="str">
        <f t="shared" si="434"/>
        <v/>
      </c>
      <c r="D8584" s="245" t="str">
        <f t="shared" si="433"/>
        <v/>
      </c>
      <c r="E8584" s="534"/>
      <c r="F8584" s="534"/>
    </row>
    <row r="8585" spans="1:6" ht="15" customHeight="1">
      <c r="A8585" s="51"/>
      <c r="B8585" s="52" t="str">
        <f t="shared" si="435"/>
        <v/>
      </c>
      <c r="C8585" t="str">
        <f t="shared" si="434"/>
        <v/>
      </c>
      <c r="D8585" s="245" t="str">
        <f t="shared" ref="D8585:D8648" si="436">IF(A8585&lt;&gt;"",PROPER(TEXT(A8585,"Mmmm")),"")</f>
        <v/>
      </c>
      <c r="E8585" s="534"/>
      <c r="F8585" s="534"/>
    </row>
    <row r="8586" spans="1:6" ht="15" customHeight="1">
      <c r="A8586" s="51"/>
      <c r="B8586" s="52" t="str">
        <f t="shared" si="435"/>
        <v/>
      </c>
      <c r="C8586" t="str">
        <f t="shared" si="434"/>
        <v/>
      </c>
      <c r="D8586" s="245" t="str">
        <f t="shared" si="436"/>
        <v/>
      </c>
      <c r="E8586" s="534"/>
      <c r="F8586" s="534"/>
    </row>
    <row r="8587" spans="1:6" ht="15" customHeight="1">
      <c r="A8587" s="51"/>
      <c r="B8587" s="52" t="str">
        <f t="shared" si="435"/>
        <v/>
      </c>
      <c r="C8587" t="str">
        <f t="shared" si="434"/>
        <v/>
      </c>
      <c r="D8587" s="245" t="str">
        <f t="shared" si="436"/>
        <v/>
      </c>
      <c r="E8587" s="534"/>
      <c r="F8587" s="534"/>
    </row>
    <row r="8588" spans="1:6" ht="15" customHeight="1">
      <c r="A8588" s="51"/>
      <c r="B8588" s="52" t="str">
        <f t="shared" si="435"/>
        <v/>
      </c>
      <c r="C8588" t="str">
        <f t="shared" si="434"/>
        <v/>
      </c>
      <c r="D8588" s="245" t="str">
        <f t="shared" si="436"/>
        <v/>
      </c>
      <c r="E8588" s="534"/>
      <c r="F8588" s="534"/>
    </row>
    <row r="8589" spans="1:6" ht="15" customHeight="1">
      <c r="A8589" s="51"/>
      <c r="B8589" s="52" t="str">
        <f t="shared" si="435"/>
        <v/>
      </c>
      <c r="C8589" t="str">
        <f t="shared" si="434"/>
        <v/>
      </c>
      <c r="D8589" s="245" t="str">
        <f t="shared" si="436"/>
        <v/>
      </c>
      <c r="E8589" s="534"/>
      <c r="F8589" s="534"/>
    </row>
    <row r="8590" spans="1:6" ht="15" customHeight="1">
      <c r="A8590" s="51"/>
      <c r="B8590" s="52" t="str">
        <f t="shared" si="435"/>
        <v/>
      </c>
      <c r="C8590" t="str">
        <f t="shared" si="434"/>
        <v/>
      </c>
      <c r="D8590" s="245" t="str">
        <f t="shared" si="436"/>
        <v/>
      </c>
      <c r="E8590" s="534"/>
      <c r="F8590" s="534"/>
    </row>
    <row r="8591" spans="1:6" ht="15" customHeight="1">
      <c r="A8591" s="51"/>
      <c r="B8591" s="52" t="str">
        <f t="shared" si="435"/>
        <v/>
      </c>
      <c r="C8591" t="str">
        <f t="shared" si="434"/>
        <v/>
      </c>
      <c r="D8591" s="245" t="str">
        <f t="shared" si="436"/>
        <v/>
      </c>
      <c r="E8591" s="534"/>
      <c r="F8591" s="534"/>
    </row>
    <row r="8592" spans="1:6" ht="15" customHeight="1">
      <c r="A8592" s="51"/>
      <c r="B8592" s="52" t="str">
        <f t="shared" si="435"/>
        <v/>
      </c>
      <c r="C8592" t="str">
        <f t="shared" si="434"/>
        <v/>
      </c>
      <c r="D8592" s="245" t="str">
        <f t="shared" si="436"/>
        <v/>
      </c>
      <c r="E8592" s="534"/>
      <c r="F8592" s="534"/>
    </row>
    <row r="8593" spans="1:6" ht="15" customHeight="1">
      <c r="A8593" s="51"/>
      <c r="B8593" s="52" t="str">
        <f t="shared" si="435"/>
        <v/>
      </c>
      <c r="C8593" t="str">
        <f t="shared" si="434"/>
        <v/>
      </c>
      <c r="D8593" s="245" t="str">
        <f t="shared" si="436"/>
        <v/>
      </c>
      <c r="E8593" s="534"/>
      <c r="F8593" s="534"/>
    </row>
    <row r="8594" spans="1:6" ht="15" customHeight="1">
      <c r="A8594" s="51"/>
      <c r="B8594" s="52" t="str">
        <f t="shared" si="435"/>
        <v/>
      </c>
      <c r="C8594" t="str">
        <f t="shared" si="434"/>
        <v/>
      </c>
      <c r="D8594" s="245" t="str">
        <f t="shared" si="436"/>
        <v/>
      </c>
      <c r="E8594" s="534"/>
      <c r="F8594" s="534"/>
    </row>
    <row r="8595" spans="1:6" ht="15" customHeight="1">
      <c r="A8595" s="51"/>
      <c r="B8595" s="52" t="str">
        <f t="shared" si="435"/>
        <v/>
      </c>
      <c r="C8595" t="str">
        <f t="shared" si="434"/>
        <v/>
      </c>
      <c r="D8595" s="245" t="str">
        <f t="shared" si="436"/>
        <v/>
      </c>
      <c r="E8595" s="534"/>
      <c r="F8595" s="534"/>
    </row>
    <row r="8596" spans="1:6" ht="15" customHeight="1">
      <c r="A8596" s="51"/>
      <c r="B8596" s="52" t="str">
        <f t="shared" si="435"/>
        <v/>
      </c>
      <c r="C8596" t="str">
        <f t="shared" si="434"/>
        <v/>
      </c>
      <c r="D8596" s="245" t="str">
        <f t="shared" si="436"/>
        <v/>
      </c>
      <c r="E8596" s="534"/>
      <c r="F8596" s="534"/>
    </row>
    <row r="8597" spans="1:6" ht="15" customHeight="1">
      <c r="A8597" s="51"/>
      <c r="B8597" s="52" t="str">
        <f t="shared" si="435"/>
        <v/>
      </c>
      <c r="C8597" t="str">
        <f t="shared" si="434"/>
        <v/>
      </c>
      <c r="D8597" s="245" t="str">
        <f t="shared" si="436"/>
        <v/>
      </c>
      <c r="E8597" s="534"/>
      <c r="F8597" s="534"/>
    </row>
    <row r="8598" spans="1:6" ht="15" customHeight="1">
      <c r="A8598" s="51"/>
      <c r="B8598" s="52" t="str">
        <f t="shared" si="435"/>
        <v/>
      </c>
      <c r="C8598" t="str">
        <f t="shared" si="434"/>
        <v/>
      </c>
      <c r="D8598" s="245" t="str">
        <f t="shared" si="436"/>
        <v/>
      </c>
      <c r="E8598" s="534"/>
      <c r="F8598" s="534"/>
    </row>
    <row r="8599" spans="1:6" ht="15" customHeight="1">
      <c r="A8599" s="51"/>
      <c r="B8599" s="52" t="str">
        <f t="shared" si="435"/>
        <v/>
      </c>
      <c r="C8599" t="str">
        <f t="shared" si="434"/>
        <v/>
      </c>
      <c r="D8599" s="245" t="str">
        <f t="shared" si="436"/>
        <v/>
      </c>
      <c r="E8599" s="534"/>
      <c r="F8599" s="534"/>
    </row>
    <row r="8600" spans="1:6" ht="15" customHeight="1">
      <c r="A8600" s="51"/>
      <c r="B8600" s="52" t="str">
        <f t="shared" si="435"/>
        <v/>
      </c>
      <c r="C8600" t="str">
        <f t="shared" si="434"/>
        <v/>
      </c>
      <c r="D8600" s="245" t="str">
        <f t="shared" si="436"/>
        <v/>
      </c>
      <c r="E8600" s="534"/>
      <c r="F8600" s="534"/>
    </row>
    <row r="8601" spans="1:6" ht="15" customHeight="1">
      <c r="A8601" s="51"/>
      <c r="B8601" s="52" t="str">
        <f t="shared" si="435"/>
        <v/>
      </c>
      <c r="C8601" t="str">
        <f t="shared" si="434"/>
        <v/>
      </c>
      <c r="D8601" s="245" t="str">
        <f t="shared" si="436"/>
        <v/>
      </c>
      <c r="E8601" s="534"/>
      <c r="F8601" s="534"/>
    </row>
    <row r="8602" spans="1:6" ht="15" customHeight="1">
      <c r="A8602" s="51"/>
      <c r="B8602" s="52" t="str">
        <f t="shared" si="435"/>
        <v/>
      </c>
      <c r="C8602" t="str">
        <f t="shared" si="434"/>
        <v/>
      </c>
      <c r="D8602" s="245" t="str">
        <f t="shared" si="436"/>
        <v/>
      </c>
      <c r="E8602" s="534"/>
      <c r="F8602" s="534"/>
    </row>
    <row r="8603" spans="1:6" ht="15" customHeight="1">
      <c r="A8603" s="51"/>
      <c r="B8603" s="52" t="str">
        <f t="shared" si="435"/>
        <v/>
      </c>
      <c r="C8603" t="str">
        <f t="shared" si="434"/>
        <v/>
      </c>
      <c r="D8603" s="245" t="str">
        <f t="shared" si="436"/>
        <v/>
      </c>
      <c r="E8603" s="534"/>
      <c r="F8603" s="534"/>
    </row>
    <row r="8604" spans="1:6" ht="15" customHeight="1">
      <c r="A8604" s="51"/>
      <c r="B8604" s="52" t="str">
        <f t="shared" si="435"/>
        <v/>
      </c>
      <c r="C8604" t="str">
        <f t="shared" si="434"/>
        <v/>
      </c>
      <c r="D8604" s="245" t="str">
        <f t="shared" si="436"/>
        <v/>
      </c>
      <c r="E8604" s="534"/>
      <c r="F8604" s="534"/>
    </row>
    <row r="8605" spans="1:6" ht="15" customHeight="1">
      <c r="A8605" s="51"/>
      <c r="B8605" s="52" t="str">
        <f t="shared" si="435"/>
        <v/>
      </c>
      <c r="C8605" t="str">
        <f t="shared" si="434"/>
        <v/>
      </c>
      <c r="D8605" s="245" t="str">
        <f t="shared" si="436"/>
        <v/>
      </c>
      <c r="E8605" s="534"/>
      <c r="F8605" s="534"/>
    </row>
    <row r="8606" spans="1:6" ht="15" customHeight="1">
      <c r="A8606" s="51"/>
      <c r="B8606" s="52" t="str">
        <f t="shared" si="435"/>
        <v/>
      </c>
      <c r="C8606" t="str">
        <f t="shared" si="434"/>
        <v/>
      </c>
      <c r="D8606" s="245" t="str">
        <f t="shared" si="436"/>
        <v/>
      </c>
      <c r="E8606" s="534"/>
      <c r="F8606" s="534"/>
    </row>
    <row r="8607" spans="1:6" ht="15" customHeight="1">
      <c r="A8607" s="51"/>
      <c r="B8607" s="52" t="str">
        <f t="shared" si="435"/>
        <v/>
      </c>
      <c r="C8607" t="str">
        <f t="shared" si="434"/>
        <v/>
      </c>
      <c r="D8607" s="245" t="str">
        <f t="shared" si="436"/>
        <v/>
      </c>
      <c r="E8607" s="534"/>
      <c r="F8607" s="534"/>
    </row>
    <row r="8608" spans="1:6" ht="15" customHeight="1">
      <c r="A8608" s="51"/>
      <c r="B8608" s="52" t="str">
        <f t="shared" si="435"/>
        <v/>
      </c>
      <c r="C8608" t="str">
        <f t="shared" si="434"/>
        <v/>
      </c>
      <c r="D8608" s="245" t="str">
        <f t="shared" si="436"/>
        <v/>
      </c>
      <c r="E8608" s="534"/>
      <c r="F8608" s="534"/>
    </row>
    <row r="8609" spans="1:6" ht="15" customHeight="1">
      <c r="A8609" s="51"/>
      <c r="B8609" s="52" t="str">
        <f t="shared" si="435"/>
        <v/>
      </c>
      <c r="C8609" t="str">
        <f t="shared" si="434"/>
        <v/>
      </c>
      <c r="D8609" s="245" t="str">
        <f t="shared" si="436"/>
        <v/>
      </c>
      <c r="E8609" s="534"/>
      <c r="F8609" s="534"/>
    </row>
    <row r="8610" spans="1:6" ht="15" customHeight="1">
      <c r="A8610" s="51"/>
      <c r="B8610" s="52" t="str">
        <f t="shared" si="435"/>
        <v/>
      </c>
      <c r="C8610" t="str">
        <f t="shared" si="434"/>
        <v/>
      </c>
      <c r="D8610" s="245" t="str">
        <f t="shared" si="436"/>
        <v/>
      </c>
      <c r="E8610" s="534"/>
      <c r="F8610" s="534"/>
    </row>
    <row r="8611" spans="1:6" ht="15" customHeight="1">
      <c r="A8611" s="51"/>
      <c r="B8611" s="52" t="str">
        <f t="shared" si="435"/>
        <v/>
      </c>
      <c r="C8611" t="str">
        <f t="shared" si="434"/>
        <v/>
      </c>
      <c r="D8611" s="245" t="str">
        <f t="shared" si="436"/>
        <v/>
      </c>
      <c r="E8611" s="534"/>
      <c r="F8611" s="534"/>
    </row>
    <row r="8612" spans="1:6" ht="15" customHeight="1">
      <c r="A8612" s="51"/>
      <c r="B8612" s="52" t="str">
        <f t="shared" si="435"/>
        <v/>
      </c>
      <c r="C8612" t="str">
        <f t="shared" si="434"/>
        <v/>
      </c>
      <c r="D8612" s="245" t="str">
        <f t="shared" si="436"/>
        <v/>
      </c>
      <c r="E8612" s="534"/>
      <c r="F8612" s="534"/>
    </row>
    <row r="8613" spans="1:6" ht="15" customHeight="1">
      <c r="A8613" s="51"/>
      <c r="B8613" s="52" t="str">
        <f t="shared" si="435"/>
        <v/>
      </c>
      <c r="C8613" t="str">
        <f t="shared" si="434"/>
        <v/>
      </c>
      <c r="D8613" s="245" t="str">
        <f t="shared" si="436"/>
        <v/>
      </c>
      <c r="E8613" s="534"/>
      <c r="F8613" s="534"/>
    </row>
    <row r="8614" spans="1:6" ht="15" customHeight="1">
      <c r="A8614" s="51"/>
      <c r="B8614" s="52" t="str">
        <f t="shared" si="435"/>
        <v/>
      </c>
      <c r="C8614" t="str">
        <f t="shared" si="434"/>
        <v/>
      </c>
      <c r="D8614" s="245" t="str">
        <f t="shared" si="436"/>
        <v/>
      </c>
      <c r="E8614" s="534"/>
      <c r="F8614" s="534"/>
    </row>
    <row r="8615" spans="1:6" ht="15" customHeight="1">
      <c r="A8615" s="51"/>
      <c r="B8615" s="52" t="str">
        <f t="shared" si="435"/>
        <v/>
      </c>
      <c r="C8615" t="str">
        <f t="shared" si="434"/>
        <v/>
      </c>
      <c r="D8615" s="245" t="str">
        <f t="shared" si="436"/>
        <v/>
      </c>
      <c r="E8615" s="534"/>
      <c r="F8615" s="534"/>
    </row>
    <row r="8616" spans="1:6" ht="15" customHeight="1">
      <c r="A8616" s="51"/>
      <c r="B8616" s="52" t="str">
        <f t="shared" si="435"/>
        <v/>
      </c>
      <c r="C8616" t="str">
        <f t="shared" si="434"/>
        <v/>
      </c>
      <c r="D8616" s="245" t="str">
        <f t="shared" si="436"/>
        <v/>
      </c>
      <c r="E8616" s="534"/>
      <c r="F8616" s="534"/>
    </row>
    <row r="8617" spans="1:6" ht="15" customHeight="1">
      <c r="A8617" s="51"/>
      <c r="B8617" s="52" t="str">
        <f t="shared" si="435"/>
        <v/>
      </c>
      <c r="C8617" t="str">
        <f t="shared" si="434"/>
        <v/>
      </c>
      <c r="D8617" s="245" t="str">
        <f t="shared" si="436"/>
        <v/>
      </c>
      <c r="E8617" s="534"/>
      <c r="F8617" s="534"/>
    </row>
    <row r="8618" spans="1:6" ht="15" customHeight="1">
      <c r="A8618" s="51"/>
      <c r="B8618" s="52" t="str">
        <f t="shared" si="435"/>
        <v/>
      </c>
      <c r="C8618" t="str">
        <f t="shared" si="434"/>
        <v/>
      </c>
      <c r="D8618" s="245" t="str">
        <f t="shared" si="436"/>
        <v/>
      </c>
      <c r="E8618" s="534"/>
      <c r="F8618" s="534"/>
    </row>
    <row r="8619" spans="1:6" ht="15" customHeight="1">
      <c r="A8619" s="51"/>
      <c r="B8619" s="52" t="str">
        <f t="shared" si="435"/>
        <v/>
      </c>
      <c r="C8619" t="str">
        <f t="shared" si="434"/>
        <v/>
      </c>
      <c r="D8619" s="245" t="str">
        <f t="shared" si="436"/>
        <v/>
      </c>
      <c r="E8619" s="534"/>
      <c r="F8619" s="534"/>
    </row>
    <row r="8620" spans="1:6" ht="15" customHeight="1">
      <c r="A8620" s="51"/>
      <c r="B8620" s="52" t="str">
        <f t="shared" si="435"/>
        <v/>
      </c>
      <c r="C8620" t="str">
        <f t="shared" si="434"/>
        <v/>
      </c>
      <c r="D8620" s="245" t="str">
        <f t="shared" si="436"/>
        <v/>
      </c>
      <c r="E8620" s="534"/>
      <c r="F8620" s="534"/>
    </row>
    <row r="8621" spans="1:6" ht="15" customHeight="1">
      <c r="A8621" s="51"/>
      <c r="B8621" s="52" t="str">
        <f t="shared" si="435"/>
        <v/>
      </c>
      <c r="C8621" t="str">
        <f t="shared" si="434"/>
        <v/>
      </c>
      <c r="D8621" s="245" t="str">
        <f t="shared" si="436"/>
        <v/>
      </c>
      <c r="E8621" s="534"/>
      <c r="F8621" s="534"/>
    </row>
    <row r="8622" spans="1:6" ht="15" customHeight="1">
      <c r="A8622" s="51"/>
      <c r="B8622" s="52" t="str">
        <f t="shared" si="435"/>
        <v/>
      </c>
      <c r="C8622" t="str">
        <f t="shared" si="434"/>
        <v/>
      </c>
      <c r="D8622" s="245" t="str">
        <f t="shared" si="436"/>
        <v/>
      </c>
      <c r="E8622" s="534"/>
      <c r="F8622" s="534"/>
    </row>
    <row r="8623" spans="1:6" ht="15" customHeight="1">
      <c r="A8623" s="51"/>
      <c r="B8623" s="52" t="str">
        <f t="shared" si="435"/>
        <v/>
      </c>
      <c r="C8623" t="str">
        <f t="shared" si="434"/>
        <v/>
      </c>
      <c r="D8623" s="245" t="str">
        <f t="shared" si="436"/>
        <v/>
      </c>
      <c r="E8623" s="534"/>
      <c r="F8623" s="534"/>
    </row>
    <row r="8624" spans="1:6" ht="15" customHeight="1">
      <c r="A8624" s="51"/>
      <c r="B8624" s="52" t="str">
        <f t="shared" si="435"/>
        <v/>
      </c>
      <c r="C8624" t="str">
        <f t="shared" si="434"/>
        <v/>
      </c>
      <c r="D8624" s="245" t="str">
        <f t="shared" si="436"/>
        <v/>
      </c>
      <c r="E8624" s="534"/>
      <c r="F8624" s="534"/>
    </row>
    <row r="8625" spans="1:6" ht="15" customHeight="1">
      <c r="A8625" s="51"/>
      <c r="B8625" s="52" t="str">
        <f t="shared" si="435"/>
        <v/>
      </c>
      <c r="C8625" t="str">
        <f t="shared" si="434"/>
        <v/>
      </c>
      <c r="D8625" s="245" t="str">
        <f t="shared" si="436"/>
        <v/>
      </c>
      <c r="E8625" s="534"/>
      <c r="F8625" s="534"/>
    </row>
    <row r="8626" spans="1:6" ht="15" customHeight="1">
      <c r="A8626" s="51"/>
      <c r="B8626" s="52" t="str">
        <f t="shared" si="435"/>
        <v/>
      </c>
      <c r="C8626" t="str">
        <f t="shared" si="434"/>
        <v/>
      </c>
      <c r="D8626" s="245" t="str">
        <f t="shared" si="436"/>
        <v/>
      </c>
      <c r="E8626" s="534"/>
      <c r="F8626" s="534"/>
    </row>
    <row r="8627" spans="1:6" ht="15" customHeight="1">
      <c r="A8627" s="51"/>
      <c r="B8627" s="52" t="str">
        <f t="shared" si="435"/>
        <v/>
      </c>
      <c r="C8627" t="str">
        <f t="shared" si="434"/>
        <v/>
      </c>
      <c r="D8627" s="245" t="str">
        <f t="shared" si="436"/>
        <v/>
      </c>
      <c r="E8627" s="534"/>
      <c r="F8627" s="534"/>
    </row>
    <row r="8628" spans="1:6" ht="15" customHeight="1">
      <c r="A8628" s="51"/>
      <c r="B8628" s="52" t="str">
        <f t="shared" si="435"/>
        <v/>
      </c>
      <c r="C8628" t="str">
        <f t="shared" si="434"/>
        <v/>
      </c>
      <c r="D8628" s="245" t="str">
        <f t="shared" si="436"/>
        <v/>
      </c>
      <c r="E8628" s="534"/>
      <c r="F8628" s="534"/>
    </row>
    <row r="8629" spans="1:6" ht="15" customHeight="1">
      <c r="A8629" s="51"/>
      <c r="B8629" s="52" t="str">
        <f t="shared" si="435"/>
        <v/>
      </c>
      <c r="C8629" t="str">
        <f t="shared" si="434"/>
        <v/>
      </c>
      <c r="D8629" s="245" t="str">
        <f t="shared" si="436"/>
        <v/>
      </c>
      <c r="E8629" s="534"/>
      <c r="F8629" s="534"/>
    </row>
    <row r="8630" spans="1:6" ht="15" customHeight="1">
      <c r="A8630" s="51"/>
      <c r="B8630" s="52" t="str">
        <f t="shared" si="435"/>
        <v/>
      </c>
      <c r="C8630" t="str">
        <f t="shared" si="434"/>
        <v/>
      </c>
      <c r="D8630" s="245" t="str">
        <f t="shared" si="436"/>
        <v/>
      </c>
      <c r="E8630" s="534"/>
      <c r="F8630" s="534"/>
    </row>
    <row r="8631" spans="1:6" ht="15" customHeight="1">
      <c r="A8631" s="51"/>
      <c r="B8631" s="52" t="str">
        <f t="shared" si="435"/>
        <v/>
      </c>
      <c r="C8631" t="str">
        <f t="shared" si="434"/>
        <v/>
      </c>
      <c r="D8631" s="245" t="str">
        <f t="shared" si="436"/>
        <v/>
      </c>
      <c r="E8631" s="534"/>
      <c r="F8631" s="534"/>
    </row>
    <row r="8632" spans="1:6" ht="15" customHeight="1">
      <c r="A8632" s="51"/>
      <c r="B8632" s="52" t="str">
        <f t="shared" si="435"/>
        <v/>
      </c>
      <c r="C8632" t="str">
        <f t="shared" si="434"/>
        <v/>
      </c>
      <c r="D8632" s="245" t="str">
        <f t="shared" si="436"/>
        <v/>
      </c>
      <c r="E8632" s="534"/>
      <c r="F8632" s="534"/>
    </row>
    <row r="8633" spans="1:6" ht="15" customHeight="1">
      <c r="A8633" s="51"/>
      <c r="B8633" s="52" t="str">
        <f t="shared" si="435"/>
        <v/>
      </c>
      <c r="C8633" t="str">
        <f t="shared" si="434"/>
        <v/>
      </c>
      <c r="D8633" s="245" t="str">
        <f t="shared" si="436"/>
        <v/>
      </c>
      <c r="E8633" s="534"/>
      <c r="F8633" s="534"/>
    </row>
    <row r="8634" spans="1:6" ht="15" customHeight="1">
      <c r="A8634" s="51"/>
      <c r="B8634" s="52" t="str">
        <f t="shared" si="435"/>
        <v/>
      </c>
      <c r="C8634" t="str">
        <f t="shared" si="434"/>
        <v/>
      </c>
      <c r="D8634" s="245" t="str">
        <f t="shared" si="436"/>
        <v/>
      </c>
      <c r="E8634" s="534"/>
      <c r="F8634" s="534"/>
    </row>
    <row r="8635" spans="1:6" ht="15" customHeight="1">
      <c r="A8635" s="51"/>
      <c r="B8635" s="52" t="str">
        <f t="shared" si="435"/>
        <v/>
      </c>
      <c r="C8635" t="str">
        <f t="shared" si="434"/>
        <v/>
      </c>
      <c r="D8635" s="245" t="str">
        <f t="shared" si="436"/>
        <v/>
      </c>
      <c r="E8635" s="534"/>
      <c r="F8635" s="534"/>
    </row>
    <row r="8636" spans="1:6" ht="15" customHeight="1">
      <c r="A8636" s="51"/>
      <c r="B8636" s="52" t="str">
        <f t="shared" si="435"/>
        <v/>
      </c>
      <c r="C8636" t="str">
        <f t="shared" si="434"/>
        <v/>
      </c>
      <c r="D8636" s="245" t="str">
        <f t="shared" si="436"/>
        <v/>
      </c>
      <c r="E8636" s="534"/>
      <c r="F8636" s="534"/>
    </row>
    <row r="8637" spans="1:6" ht="15" customHeight="1">
      <c r="A8637" s="51"/>
      <c r="B8637" s="52" t="str">
        <f t="shared" si="435"/>
        <v/>
      </c>
      <c r="C8637" t="str">
        <f t="shared" si="434"/>
        <v/>
      </c>
      <c r="D8637" s="245" t="str">
        <f t="shared" si="436"/>
        <v/>
      </c>
      <c r="E8637" s="534"/>
      <c r="F8637" s="534"/>
    </row>
    <row r="8638" spans="1:6" ht="15" customHeight="1">
      <c r="A8638" s="51"/>
      <c r="B8638" s="52" t="str">
        <f t="shared" si="435"/>
        <v/>
      </c>
      <c r="C8638" t="str">
        <f t="shared" si="434"/>
        <v/>
      </c>
      <c r="D8638" s="245" t="str">
        <f t="shared" si="436"/>
        <v/>
      </c>
      <c r="E8638" s="534"/>
      <c r="F8638" s="534"/>
    </row>
    <row r="8639" spans="1:6" ht="15" customHeight="1">
      <c r="A8639" s="51"/>
      <c r="B8639" s="52" t="str">
        <f t="shared" si="435"/>
        <v/>
      </c>
      <c r="C8639" t="str">
        <f t="shared" si="434"/>
        <v/>
      </c>
      <c r="D8639" s="245" t="str">
        <f t="shared" si="436"/>
        <v/>
      </c>
      <c r="E8639" s="534"/>
      <c r="F8639" s="534"/>
    </row>
    <row r="8640" spans="1:6" ht="15" customHeight="1">
      <c r="A8640" s="51"/>
      <c r="B8640" s="52" t="str">
        <f t="shared" si="435"/>
        <v/>
      </c>
      <c r="C8640" t="str">
        <f t="shared" si="434"/>
        <v/>
      </c>
      <c r="D8640" s="245" t="str">
        <f t="shared" si="436"/>
        <v/>
      </c>
      <c r="E8640" s="534"/>
      <c r="F8640" s="534"/>
    </row>
    <row r="8641" spans="1:6" ht="15" customHeight="1">
      <c r="A8641" s="51"/>
      <c r="B8641" s="52" t="str">
        <f t="shared" si="435"/>
        <v/>
      </c>
      <c r="C8641" t="str">
        <f t="shared" si="434"/>
        <v/>
      </c>
      <c r="D8641" s="245" t="str">
        <f t="shared" si="436"/>
        <v/>
      </c>
      <c r="E8641" s="534"/>
      <c r="F8641" s="534"/>
    </row>
    <row r="8642" spans="1:6" ht="15" customHeight="1">
      <c r="A8642" s="51"/>
      <c r="B8642" s="52" t="str">
        <f t="shared" si="435"/>
        <v/>
      </c>
      <c r="C8642" t="str">
        <f t="shared" ref="C8642:C8705" si="437">IF(A8642&lt;&gt;"",TEXT(A8642,"aaaa"),"")</f>
        <v/>
      </c>
      <c r="D8642" s="245" t="str">
        <f t="shared" si="436"/>
        <v/>
      </c>
      <c r="E8642" s="534"/>
      <c r="F8642" s="534"/>
    </row>
    <row r="8643" spans="1:6" ht="15" customHeight="1">
      <c r="A8643" s="51"/>
      <c r="B8643" s="52" t="str">
        <f t="shared" si="435"/>
        <v/>
      </c>
      <c r="C8643" t="str">
        <f t="shared" si="437"/>
        <v/>
      </c>
      <c r="D8643" s="245" t="str">
        <f t="shared" si="436"/>
        <v/>
      </c>
      <c r="E8643" s="534"/>
      <c r="F8643" s="534"/>
    </row>
    <row r="8644" spans="1:6" ht="15" customHeight="1">
      <c r="A8644" s="51"/>
      <c r="B8644" s="52" t="str">
        <f t="shared" si="435"/>
        <v/>
      </c>
      <c r="C8644" t="str">
        <f t="shared" si="437"/>
        <v/>
      </c>
      <c r="D8644" s="245" t="str">
        <f t="shared" si="436"/>
        <v/>
      </c>
      <c r="E8644" s="534"/>
      <c r="F8644" s="534"/>
    </row>
    <row r="8645" spans="1:6" ht="15" customHeight="1">
      <c r="A8645" s="51"/>
      <c r="B8645" s="52" t="str">
        <f t="shared" si="435"/>
        <v/>
      </c>
      <c r="C8645" t="str">
        <f t="shared" si="437"/>
        <v/>
      </c>
      <c r="D8645" s="245" t="str">
        <f t="shared" si="436"/>
        <v/>
      </c>
      <c r="E8645" s="534"/>
      <c r="F8645" s="534"/>
    </row>
    <row r="8646" spans="1:6" ht="15" customHeight="1">
      <c r="A8646" s="51"/>
      <c r="B8646" s="52" t="str">
        <f t="shared" si="435"/>
        <v/>
      </c>
      <c r="C8646" t="str">
        <f t="shared" si="437"/>
        <v/>
      </c>
      <c r="D8646" s="245" t="str">
        <f t="shared" si="436"/>
        <v/>
      </c>
      <c r="E8646" s="534"/>
      <c r="F8646" s="534"/>
    </row>
    <row r="8647" spans="1:6" ht="15" customHeight="1">
      <c r="A8647" s="51"/>
      <c r="B8647" s="52" t="str">
        <f t="shared" si="435"/>
        <v/>
      </c>
      <c r="C8647" t="str">
        <f t="shared" si="437"/>
        <v/>
      </c>
      <c r="D8647" s="245" t="str">
        <f t="shared" si="436"/>
        <v/>
      </c>
      <c r="E8647" s="534"/>
      <c r="F8647" s="534"/>
    </row>
    <row r="8648" spans="1:6" ht="15" customHeight="1">
      <c r="A8648" s="51"/>
      <c r="B8648" s="52" t="str">
        <f t="shared" ref="B8648:B8711" si="438">IF(A8648="","",TEXT(A8648,"DDDD"))</f>
        <v/>
      </c>
      <c r="C8648" t="str">
        <f t="shared" si="437"/>
        <v/>
      </c>
      <c r="D8648" s="245" t="str">
        <f t="shared" si="436"/>
        <v/>
      </c>
      <c r="E8648" s="534"/>
      <c r="F8648" s="534"/>
    </row>
    <row r="8649" spans="1:6" ht="15" customHeight="1">
      <c r="A8649" s="51"/>
      <c r="B8649" s="52" t="str">
        <f t="shared" si="438"/>
        <v/>
      </c>
      <c r="C8649" t="str">
        <f t="shared" si="437"/>
        <v/>
      </c>
      <c r="D8649" s="245" t="str">
        <f t="shared" ref="D8649:D8712" si="439">IF(A8649&lt;&gt;"",PROPER(TEXT(A8649,"Mmmm")),"")</f>
        <v/>
      </c>
      <c r="E8649" s="534"/>
      <c r="F8649" s="534"/>
    </row>
    <row r="8650" spans="1:6" ht="15" customHeight="1">
      <c r="A8650" s="51"/>
      <c r="B8650" s="52" t="str">
        <f t="shared" si="438"/>
        <v/>
      </c>
      <c r="C8650" t="str">
        <f t="shared" si="437"/>
        <v/>
      </c>
      <c r="D8650" s="245" t="str">
        <f t="shared" si="439"/>
        <v/>
      </c>
      <c r="E8650" s="534"/>
      <c r="F8650" s="534"/>
    </row>
    <row r="8651" spans="1:6" ht="15" customHeight="1">
      <c r="A8651" s="51"/>
      <c r="B8651" s="52" t="str">
        <f t="shared" si="438"/>
        <v/>
      </c>
      <c r="C8651" t="str">
        <f t="shared" si="437"/>
        <v/>
      </c>
      <c r="D8651" s="245" t="str">
        <f t="shared" si="439"/>
        <v/>
      </c>
      <c r="E8651" s="534"/>
      <c r="F8651" s="534"/>
    </row>
    <row r="8652" spans="1:6" ht="15" customHeight="1">
      <c r="A8652" s="51"/>
      <c r="B8652" s="52" t="str">
        <f t="shared" si="438"/>
        <v/>
      </c>
      <c r="C8652" t="str">
        <f t="shared" si="437"/>
        <v/>
      </c>
      <c r="D8652" s="245" t="str">
        <f t="shared" si="439"/>
        <v/>
      </c>
      <c r="E8652" s="534"/>
      <c r="F8652" s="534"/>
    </row>
    <row r="8653" spans="1:6" ht="15" customHeight="1">
      <c r="A8653" s="51"/>
      <c r="B8653" s="52" t="str">
        <f t="shared" si="438"/>
        <v/>
      </c>
      <c r="C8653" t="str">
        <f t="shared" si="437"/>
        <v/>
      </c>
      <c r="D8653" s="245" t="str">
        <f t="shared" si="439"/>
        <v/>
      </c>
      <c r="E8653" s="534"/>
      <c r="F8653" s="534"/>
    </row>
    <row r="8654" spans="1:6" ht="15" customHeight="1">
      <c r="A8654" s="51"/>
      <c r="B8654" s="52" t="str">
        <f t="shared" si="438"/>
        <v/>
      </c>
      <c r="C8654" t="str">
        <f t="shared" si="437"/>
        <v/>
      </c>
      <c r="D8654" s="245" t="str">
        <f t="shared" si="439"/>
        <v/>
      </c>
      <c r="E8654" s="534"/>
      <c r="F8654" s="534"/>
    </row>
    <row r="8655" spans="1:6" ht="15" customHeight="1">
      <c r="A8655" s="51"/>
      <c r="B8655" s="52" t="str">
        <f t="shared" si="438"/>
        <v/>
      </c>
      <c r="C8655" t="str">
        <f t="shared" si="437"/>
        <v/>
      </c>
      <c r="D8655" s="245" t="str">
        <f t="shared" si="439"/>
        <v/>
      </c>
      <c r="E8655" s="534"/>
      <c r="F8655" s="534"/>
    </row>
    <row r="8656" spans="1:6" ht="15" customHeight="1">
      <c r="A8656" s="51"/>
      <c r="B8656" s="52" t="str">
        <f t="shared" si="438"/>
        <v/>
      </c>
      <c r="C8656" t="str">
        <f t="shared" si="437"/>
        <v/>
      </c>
      <c r="D8656" s="245" t="str">
        <f t="shared" si="439"/>
        <v/>
      </c>
      <c r="E8656" s="534"/>
      <c r="F8656" s="534"/>
    </row>
    <row r="8657" spans="1:6" ht="15" customHeight="1">
      <c r="A8657" s="51"/>
      <c r="B8657" s="52" t="str">
        <f t="shared" si="438"/>
        <v/>
      </c>
      <c r="C8657" t="str">
        <f t="shared" si="437"/>
        <v/>
      </c>
      <c r="D8657" s="245" t="str">
        <f t="shared" si="439"/>
        <v/>
      </c>
      <c r="E8657" s="534"/>
      <c r="F8657" s="534"/>
    </row>
    <row r="8658" spans="1:6" ht="15" customHeight="1">
      <c r="A8658" s="51"/>
      <c r="B8658" s="52" t="str">
        <f t="shared" si="438"/>
        <v/>
      </c>
      <c r="C8658" t="str">
        <f t="shared" si="437"/>
        <v/>
      </c>
      <c r="D8658" s="245" t="str">
        <f t="shared" si="439"/>
        <v/>
      </c>
      <c r="E8658" s="534"/>
      <c r="F8658" s="534"/>
    </row>
    <row r="8659" spans="1:6" ht="15" customHeight="1">
      <c r="A8659" s="51"/>
      <c r="B8659" s="52" t="str">
        <f t="shared" si="438"/>
        <v/>
      </c>
      <c r="C8659" t="str">
        <f t="shared" si="437"/>
        <v/>
      </c>
      <c r="D8659" s="245" t="str">
        <f t="shared" si="439"/>
        <v/>
      </c>
      <c r="E8659" s="534"/>
      <c r="F8659" s="534"/>
    </row>
    <row r="8660" spans="1:6" ht="15" customHeight="1">
      <c r="A8660" s="51"/>
      <c r="B8660" s="52" t="str">
        <f t="shared" si="438"/>
        <v/>
      </c>
      <c r="C8660" t="str">
        <f t="shared" si="437"/>
        <v/>
      </c>
      <c r="D8660" s="245" t="str">
        <f t="shared" si="439"/>
        <v/>
      </c>
      <c r="E8660" s="534"/>
      <c r="F8660" s="534"/>
    </row>
    <row r="8661" spans="1:6" ht="15" customHeight="1">
      <c r="A8661" s="51"/>
      <c r="B8661" s="52" t="str">
        <f t="shared" si="438"/>
        <v/>
      </c>
      <c r="C8661" t="str">
        <f t="shared" si="437"/>
        <v/>
      </c>
      <c r="D8661" s="245" t="str">
        <f t="shared" si="439"/>
        <v/>
      </c>
      <c r="E8661" s="534"/>
      <c r="F8661" s="534"/>
    </row>
    <row r="8662" spans="1:6" ht="15" customHeight="1">
      <c r="A8662" s="51"/>
      <c r="B8662" s="52" t="str">
        <f t="shared" si="438"/>
        <v/>
      </c>
      <c r="C8662" t="str">
        <f t="shared" si="437"/>
        <v/>
      </c>
      <c r="D8662" s="245" t="str">
        <f t="shared" si="439"/>
        <v/>
      </c>
      <c r="E8662" s="534"/>
      <c r="F8662" s="534"/>
    </row>
    <row r="8663" spans="1:6" ht="15" customHeight="1">
      <c r="A8663" s="51"/>
      <c r="B8663" s="52" t="str">
        <f t="shared" si="438"/>
        <v/>
      </c>
      <c r="C8663" t="str">
        <f t="shared" si="437"/>
        <v/>
      </c>
      <c r="D8663" s="245" t="str">
        <f t="shared" si="439"/>
        <v/>
      </c>
      <c r="E8663" s="534"/>
      <c r="F8663" s="534"/>
    </row>
    <row r="8664" spans="1:6" ht="15" customHeight="1">
      <c r="A8664" s="51"/>
      <c r="B8664" s="52" t="str">
        <f t="shared" si="438"/>
        <v/>
      </c>
      <c r="C8664" t="str">
        <f t="shared" si="437"/>
        <v/>
      </c>
      <c r="D8664" s="245" t="str">
        <f t="shared" si="439"/>
        <v/>
      </c>
      <c r="E8664" s="534"/>
      <c r="F8664" s="534"/>
    </row>
    <row r="8665" spans="1:6" ht="15" customHeight="1">
      <c r="A8665" s="51"/>
      <c r="B8665" s="52" t="str">
        <f t="shared" si="438"/>
        <v/>
      </c>
      <c r="C8665" t="str">
        <f t="shared" si="437"/>
        <v/>
      </c>
      <c r="D8665" s="245" t="str">
        <f t="shared" si="439"/>
        <v/>
      </c>
      <c r="E8665" s="534"/>
      <c r="F8665" s="534"/>
    </row>
    <row r="8666" spans="1:6" ht="15" customHeight="1">
      <c r="A8666" s="51"/>
      <c r="B8666" s="52" t="str">
        <f t="shared" si="438"/>
        <v/>
      </c>
      <c r="C8666" t="str">
        <f t="shared" si="437"/>
        <v/>
      </c>
      <c r="D8666" s="245" t="str">
        <f t="shared" si="439"/>
        <v/>
      </c>
      <c r="E8666" s="534"/>
      <c r="F8666" s="534"/>
    </row>
    <row r="8667" spans="1:6" ht="15" customHeight="1">
      <c r="A8667" s="51"/>
      <c r="B8667" s="52" t="str">
        <f t="shared" si="438"/>
        <v/>
      </c>
      <c r="C8667" t="str">
        <f t="shared" si="437"/>
        <v/>
      </c>
      <c r="D8667" s="245" t="str">
        <f t="shared" si="439"/>
        <v/>
      </c>
      <c r="E8667" s="534"/>
      <c r="F8667" s="534"/>
    </row>
    <row r="8668" spans="1:6" ht="15" customHeight="1">
      <c r="A8668" s="51"/>
      <c r="B8668" s="52" t="str">
        <f t="shared" si="438"/>
        <v/>
      </c>
      <c r="C8668" t="str">
        <f t="shared" si="437"/>
        <v/>
      </c>
      <c r="D8668" s="245" t="str">
        <f t="shared" si="439"/>
        <v/>
      </c>
      <c r="E8668" s="534"/>
      <c r="F8668" s="534"/>
    </row>
    <row r="8669" spans="1:6" ht="15" customHeight="1">
      <c r="A8669" s="51"/>
      <c r="B8669" s="52" t="str">
        <f t="shared" si="438"/>
        <v/>
      </c>
      <c r="C8669" t="str">
        <f t="shared" si="437"/>
        <v/>
      </c>
      <c r="D8669" s="245" t="str">
        <f t="shared" si="439"/>
        <v/>
      </c>
      <c r="E8669" s="534"/>
      <c r="F8669" s="534"/>
    </row>
    <row r="8670" spans="1:6" ht="15" customHeight="1">
      <c r="A8670" s="51"/>
      <c r="B8670" s="52" t="str">
        <f t="shared" si="438"/>
        <v/>
      </c>
      <c r="C8670" t="str">
        <f t="shared" si="437"/>
        <v/>
      </c>
      <c r="D8670" s="245" t="str">
        <f t="shared" si="439"/>
        <v/>
      </c>
      <c r="E8670" s="534"/>
      <c r="F8670" s="534"/>
    </row>
    <row r="8671" spans="1:6" ht="15" customHeight="1">
      <c r="A8671" s="51"/>
      <c r="B8671" s="52" t="str">
        <f t="shared" si="438"/>
        <v/>
      </c>
      <c r="C8671" t="str">
        <f t="shared" si="437"/>
        <v/>
      </c>
      <c r="D8671" s="245" t="str">
        <f t="shared" si="439"/>
        <v/>
      </c>
      <c r="E8671" s="534"/>
      <c r="F8671" s="534"/>
    </row>
    <row r="8672" spans="1:6" ht="15" customHeight="1">
      <c r="A8672" s="51"/>
      <c r="B8672" s="52" t="str">
        <f t="shared" si="438"/>
        <v/>
      </c>
      <c r="C8672" t="str">
        <f t="shared" si="437"/>
        <v/>
      </c>
      <c r="D8672" s="245" t="str">
        <f t="shared" si="439"/>
        <v/>
      </c>
      <c r="E8672" s="534"/>
      <c r="F8672" s="534"/>
    </row>
    <row r="8673" spans="1:6" ht="15" customHeight="1">
      <c r="A8673" s="51"/>
      <c r="B8673" s="52" t="str">
        <f t="shared" si="438"/>
        <v/>
      </c>
      <c r="C8673" t="str">
        <f t="shared" si="437"/>
        <v/>
      </c>
      <c r="D8673" s="245" t="str">
        <f t="shared" si="439"/>
        <v/>
      </c>
      <c r="E8673" s="534"/>
      <c r="F8673" s="534"/>
    </row>
    <row r="8674" spans="1:6" ht="15" customHeight="1">
      <c r="A8674" s="51"/>
      <c r="B8674" s="52" t="str">
        <f t="shared" si="438"/>
        <v/>
      </c>
      <c r="C8674" t="str">
        <f t="shared" si="437"/>
        <v/>
      </c>
      <c r="D8674" s="245" t="str">
        <f t="shared" si="439"/>
        <v/>
      </c>
      <c r="E8674" s="534"/>
      <c r="F8674" s="534"/>
    </row>
    <row r="8675" spans="1:6" ht="15" customHeight="1">
      <c r="A8675" s="51"/>
      <c r="B8675" s="52" t="str">
        <f t="shared" si="438"/>
        <v/>
      </c>
      <c r="C8675" t="str">
        <f t="shared" si="437"/>
        <v/>
      </c>
      <c r="D8675" s="245" t="str">
        <f t="shared" si="439"/>
        <v/>
      </c>
      <c r="E8675" s="534"/>
      <c r="F8675" s="534"/>
    </row>
    <row r="8676" spans="1:6" ht="15" customHeight="1">
      <c r="A8676" s="51"/>
      <c r="B8676" s="52" t="str">
        <f t="shared" si="438"/>
        <v/>
      </c>
      <c r="C8676" t="str">
        <f t="shared" si="437"/>
        <v/>
      </c>
      <c r="D8676" s="245" t="str">
        <f t="shared" si="439"/>
        <v/>
      </c>
      <c r="E8676" s="534"/>
      <c r="F8676" s="534"/>
    </row>
    <row r="8677" spans="1:6" ht="15" customHeight="1">
      <c r="A8677" s="51"/>
      <c r="B8677" s="52" t="str">
        <f t="shared" si="438"/>
        <v/>
      </c>
      <c r="C8677" t="str">
        <f t="shared" si="437"/>
        <v/>
      </c>
      <c r="D8677" s="245" t="str">
        <f t="shared" si="439"/>
        <v/>
      </c>
      <c r="E8677" s="534"/>
      <c r="F8677" s="534"/>
    </row>
    <row r="8678" spans="1:6" ht="15" customHeight="1">
      <c r="A8678" s="51"/>
      <c r="B8678" s="52" t="str">
        <f t="shared" si="438"/>
        <v/>
      </c>
      <c r="C8678" t="str">
        <f t="shared" si="437"/>
        <v/>
      </c>
      <c r="D8678" s="245" t="str">
        <f t="shared" si="439"/>
        <v/>
      </c>
      <c r="E8678" s="534"/>
      <c r="F8678" s="534"/>
    </row>
    <row r="8679" spans="1:6" ht="15" customHeight="1">
      <c r="A8679" s="51"/>
      <c r="B8679" s="52" t="str">
        <f t="shared" si="438"/>
        <v/>
      </c>
      <c r="C8679" t="str">
        <f t="shared" si="437"/>
        <v/>
      </c>
      <c r="D8679" s="245" t="str">
        <f t="shared" si="439"/>
        <v/>
      </c>
      <c r="E8679" s="534"/>
      <c r="F8679" s="534"/>
    </row>
    <row r="8680" spans="1:6" ht="15" customHeight="1">
      <c r="A8680" s="51"/>
      <c r="B8680" s="52" t="str">
        <f t="shared" si="438"/>
        <v/>
      </c>
      <c r="C8680" t="str">
        <f t="shared" si="437"/>
        <v/>
      </c>
      <c r="D8680" s="245" t="str">
        <f t="shared" si="439"/>
        <v/>
      </c>
      <c r="E8680" s="534"/>
      <c r="F8680" s="534"/>
    </row>
    <row r="8681" spans="1:6" ht="15" customHeight="1">
      <c r="A8681" s="51"/>
      <c r="B8681" s="52" t="str">
        <f t="shared" si="438"/>
        <v/>
      </c>
      <c r="C8681" t="str">
        <f t="shared" si="437"/>
        <v/>
      </c>
      <c r="D8681" s="245" t="str">
        <f t="shared" si="439"/>
        <v/>
      </c>
      <c r="E8681" s="534"/>
      <c r="F8681" s="534"/>
    </row>
    <row r="8682" spans="1:6" ht="15" customHeight="1">
      <c r="A8682" s="51"/>
      <c r="B8682" s="52" t="str">
        <f t="shared" si="438"/>
        <v/>
      </c>
      <c r="C8682" t="str">
        <f t="shared" si="437"/>
        <v/>
      </c>
      <c r="D8682" s="245" t="str">
        <f t="shared" si="439"/>
        <v/>
      </c>
      <c r="E8682" s="534"/>
      <c r="F8682" s="534"/>
    </row>
    <row r="8683" spans="1:6" ht="15" customHeight="1">
      <c r="A8683" s="51"/>
      <c r="B8683" s="52" t="str">
        <f t="shared" si="438"/>
        <v/>
      </c>
      <c r="C8683" t="str">
        <f t="shared" si="437"/>
        <v/>
      </c>
      <c r="D8683" s="245" t="str">
        <f t="shared" si="439"/>
        <v/>
      </c>
      <c r="E8683" s="534"/>
      <c r="F8683" s="534"/>
    </row>
    <row r="8684" spans="1:6" ht="15" customHeight="1">
      <c r="A8684" s="51"/>
      <c r="B8684" s="52" t="str">
        <f t="shared" si="438"/>
        <v/>
      </c>
      <c r="C8684" t="str">
        <f t="shared" si="437"/>
        <v/>
      </c>
      <c r="D8684" s="245" t="str">
        <f t="shared" si="439"/>
        <v/>
      </c>
      <c r="E8684" s="534"/>
      <c r="F8684" s="534"/>
    </row>
    <row r="8685" spans="1:6" ht="15" customHeight="1">
      <c r="A8685" s="51"/>
      <c r="B8685" s="52" t="str">
        <f t="shared" si="438"/>
        <v/>
      </c>
      <c r="C8685" t="str">
        <f t="shared" si="437"/>
        <v/>
      </c>
      <c r="D8685" s="245" t="str">
        <f t="shared" si="439"/>
        <v/>
      </c>
      <c r="E8685" s="534"/>
      <c r="F8685" s="534"/>
    </row>
    <row r="8686" spans="1:6" ht="15" customHeight="1">
      <c r="A8686" s="51"/>
      <c r="B8686" s="52" t="str">
        <f t="shared" si="438"/>
        <v/>
      </c>
      <c r="C8686" t="str">
        <f t="shared" si="437"/>
        <v/>
      </c>
      <c r="D8686" s="245" t="str">
        <f t="shared" si="439"/>
        <v/>
      </c>
      <c r="E8686" s="534"/>
      <c r="F8686" s="534"/>
    </row>
    <row r="8687" spans="1:6" ht="15" customHeight="1">
      <c r="A8687" s="51"/>
      <c r="B8687" s="52" t="str">
        <f t="shared" si="438"/>
        <v/>
      </c>
      <c r="C8687" t="str">
        <f t="shared" si="437"/>
        <v/>
      </c>
      <c r="D8687" s="245" t="str">
        <f t="shared" si="439"/>
        <v/>
      </c>
      <c r="E8687" s="534"/>
      <c r="F8687" s="534"/>
    </row>
    <row r="8688" spans="1:6" ht="15" customHeight="1">
      <c r="A8688" s="51"/>
      <c r="B8688" s="52" t="str">
        <f t="shared" si="438"/>
        <v/>
      </c>
      <c r="C8688" t="str">
        <f t="shared" si="437"/>
        <v/>
      </c>
      <c r="D8688" s="245" t="str">
        <f t="shared" si="439"/>
        <v/>
      </c>
      <c r="E8688" s="534"/>
      <c r="F8688" s="534"/>
    </row>
    <row r="8689" spans="1:6" ht="15" customHeight="1">
      <c r="A8689" s="51"/>
      <c r="B8689" s="52" t="str">
        <f t="shared" si="438"/>
        <v/>
      </c>
      <c r="C8689" t="str">
        <f t="shared" si="437"/>
        <v/>
      </c>
      <c r="D8689" s="245" t="str">
        <f t="shared" si="439"/>
        <v/>
      </c>
      <c r="E8689" s="534"/>
      <c r="F8689" s="534"/>
    </row>
    <row r="8690" spans="1:6" ht="15" customHeight="1">
      <c r="A8690" s="51"/>
      <c r="B8690" s="52" t="str">
        <f t="shared" si="438"/>
        <v/>
      </c>
      <c r="C8690" t="str">
        <f t="shared" si="437"/>
        <v/>
      </c>
      <c r="D8690" s="245" t="str">
        <f t="shared" si="439"/>
        <v/>
      </c>
      <c r="E8690" s="534"/>
      <c r="F8690" s="534"/>
    </row>
    <row r="8691" spans="1:6" ht="15" customHeight="1">
      <c r="A8691" s="51"/>
      <c r="B8691" s="52" t="str">
        <f t="shared" si="438"/>
        <v/>
      </c>
      <c r="C8691" t="str">
        <f t="shared" si="437"/>
        <v/>
      </c>
      <c r="D8691" s="245" t="str">
        <f t="shared" si="439"/>
        <v/>
      </c>
      <c r="E8691" s="534"/>
      <c r="F8691" s="534"/>
    </row>
    <row r="8692" spans="1:6" ht="15" customHeight="1">
      <c r="A8692" s="51"/>
      <c r="B8692" s="52" t="str">
        <f t="shared" si="438"/>
        <v/>
      </c>
      <c r="C8692" t="str">
        <f t="shared" si="437"/>
        <v/>
      </c>
      <c r="D8692" s="245" t="str">
        <f t="shared" si="439"/>
        <v/>
      </c>
      <c r="E8692" s="534"/>
      <c r="F8692" s="534"/>
    </row>
    <row r="8693" spans="1:6" ht="15" customHeight="1">
      <c r="A8693" s="51"/>
      <c r="B8693" s="52" t="str">
        <f t="shared" si="438"/>
        <v/>
      </c>
      <c r="C8693" t="str">
        <f t="shared" si="437"/>
        <v/>
      </c>
      <c r="D8693" s="245" t="str">
        <f t="shared" si="439"/>
        <v/>
      </c>
      <c r="E8693" s="534"/>
      <c r="F8693" s="534"/>
    </row>
    <row r="8694" spans="1:6" ht="15" customHeight="1">
      <c r="A8694" s="51"/>
      <c r="B8694" s="52" t="str">
        <f t="shared" si="438"/>
        <v/>
      </c>
      <c r="C8694" t="str">
        <f t="shared" si="437"/>
        <v/>
      </c>
      <c r="D8694" s="245" t="str">
        <f t="shared" si="439"/>
        <v/>
      </c>
      <c r="E8694" s="534"/>
      <c r="F8694" s="534"/>
    </row>
    <row r="8695" spans="1:6" ht="15" customHeight="1">
      <c r="A8695" s="51"/>
      <c r="B8695" s="52" t="str">
        <f t="shared" si="438"/>
        <v/>
      </c>
      <c r="C8695" t="str">
        <f t="shared" si="437"/>
        <v/>
      </c>
      <c r="D8695" s="245" t="str">
        <f t="shared" si="439"/>
        <v/>
      </c>
      <c r="E8695" s="534"/>
      <c r="F8695" s="534"/>
    </row>
    <row r="8696" spans="1:6" ht="15" customHeight="1">
      <c r="A8696" s="51"/>
      <c r="B8696" s="52" t="str">
        <f t="shared" si="438"/>
        <v/>
      </c>
      <c r="C8696" t="str">
        <f t="shared" si="437"/>
        <v/>
      </c>
      <c r="D8696" s="245" t="str">
        <f t="shared" si="439"/>
        <v/>
      </c>
      <c r="E8696" s="534"/>
      <c r="F8696" s="534"/>
    </row>
    <row r="8697" spans="1:6" ht="15" customHeight="1">
      <c r="A8697" s="51"/>
      <c r="B8697" s="52" t="str">
        <f t="shared" si="438"/>
        <v/>
      </c>
      <c r="C8697" t="str">
        <f t="shared" si="437"/>
        <v/>
      </c>
      <c r="D8697" s="245" t="str">
        <f t="shared" si="439"/>
        <v/>
      </c>
      <c r="E8697" s="534"/>
      <c r="F8697" s="534"/>
    </row>
    <row r="8698" spans="1:6" ht="15" customHeight="1">
      <c r="A8698" s="51"/>
      <c r="B8698" s="52" t="str">
        <f t="shared" si="438"/>
        <v/>
      </c>
      <c r="C8698" t="str">
        <f t="shared" si="437"/>
        <v/>
      </c>
      <c r="D8698" s="245" t="str">
        <f t="shared" si="439"/>
        <v/>
      </c>
      <c r="E8698" s="534"/>
      <c r="F8698" s="534"/>
    </row>
    <row r="8699" spans="1:6" ht="15" customHeight="1">
      <c r="A8699" s="51"/>
      <c r="B8699" s="52" t="str">
        <f t="shared" si="438"/>
        <v/>
      </c>
      <c r="C8699" t="str">
        <f t="shared" si="437"/>
        <v/>
      </c>
      <c r="D8699" s="245" t="str">
        <f t="shared" si="439"/>
        <v/>
      </c>
      <c r="E8699" s="534"/>
      <c r="F8699" s="534"/>
    </row>
    <row r="8700" spans="1:6" ht="15" customHeight="1">
      <c r="A8700" s="51"/>
      <c r="B8700" s="52" t="str">
        <f t="shared" si="438"/>
        <v/>
      </c>
      <c r="C8700" t="str">
        <f t="shared" si="437"/>
        <v/>
      </c>
      <c r="D8700" s="245" t="str">
        <f t="shared" si="439"/>
        <v/>
      </c>
      <c r="E8700" s="534"/>
      <c r="F8700" s="534"/>
    </row>
    <row r="8701" spans="1:6" ht="15" customHeight="1">
      <c r="A8701" s="51"/>
      <c r="B8701" s="52" t="str">
        <f t="shared" si="438"/>
        <v/>
      </c>
      <c r="C8701" t="str">
        <f t="shared" si="437"/>
        <v/>
      </c>
      <c r="D8701" s="245" t="str">
        <f t="shared" si="439"/>
        <v/>
      </c>
      <c r="E8701" s="534"/>
      <c r="F8701" s="534"/>
    </row>
    <row r="8702" spans="1:6" ht="15" customHeight="1">
      <c r="A8702" s="51"/>
      <c r="B8702" s="52" t="str">
        <f t="shared" si="438"/>
        <v/>
      </c>
      <c r="C8702" t="str">
        <f t="shared" si="437"/>
        <v/>
      </c>
      <c r="D8702" s="245" t="str">
        <f t="shared" si="439"/>
        <v/>
      </c>
      <c r="E8702" s="534"/>
      <c r="F8702" s="534"/>
    </row>
    <row r="8703" spans="1:6" ht="15" customHeight="1">
      <c r="A8703" s="51"/>
      <c r="B8703" s="52" t="str">
        <f t="shared" si="438"/>
        <v/>
      </c>
      <c r="C8703" t="str">
        <f t="shared" si="437"/>
        <v/>
      </c>
      <c r="D8703" s="245" t="str">
        <f t="shared" si="439"/>
        <v/>
      </c>
      <c r="E8703" s="534"/>
      <c r="F8703" s="534"/>
    </row>
    <row r="8704" spans="1:6" ht="15" customHeight="1">
      <c r="A8704" s="51"/>
      <c r="B8704" s="52" t="str">
        <f t="shared" si="438"/>
        <v/>
      </c>
      <c r="C8704" t="str">
        <f t="shared" si="437"/>
        <v/>
      </c>
      <c r="D8704" s="245" t="str">
        <f t="shared" si="439"/>
        <v/>
      </c>
      <c r="E8704" s="534"/>
      <c r="F8704" s="534"/>
    </row>
    <row r="8705" spans="1:6" ht="15" customHeight="1">
      <c r="A8705" s="51"/>
      <c r="B8705" s="52" t="str">
        <f t="shared" si="438"/>
        <v/>
      </c>
      <c r="C8705" t="str">
        <f t="shared" si="437"/>
        <v/>
      </c>
      <c r="D8705" s="245" t="str">
        <f t="shared" si="439"/>
        <v/>
      </c>
      <c r="E8705" s="534"/>
      <c r="F8705" s="534"/>
    </row>
    <row r="8706" spans="1:6" ht="15" customHeight="1">
      <c r="A8706" s="51"/>
      <c r="B8706" s="52" t="str">
        <f t="shared" si="438"/>
        <v/>
      </c>
      <c r="C8706" t="str">
        <f t="shared" ref="C8706:C8769" si="440">IF(A8706&lt;&gt;"",TEXT(A8706,"aaaa"),"")</f>
        <v/>
      </c>
      <c r="D8706" s="245" t="str">
        <f t="shared" si="439"/>
        <v/>
      </c>
      <c r="E8706" s="534"/>
      <c r="F8706" s="534"/>
    </row>
    <row r="8707" spans="1:6" ht="15" customHeight="1">
      <c r="A8707" s="51"/>
      <c r="B8707" s="52" t="str">
        <f t="shared" si="438"/>
        <v/>
      </c>
      <c r="C8707" t="str">
        <f t="shared" si="440"/>
        <v/>
      </c>
      <c r="D8707" s="245" t="str">
        <f t="shared" si="439"/>
        <v/>
      </c>
      <c r="E8707" s="534"/>
      <c r="F8707" s="534"/>
    </row>
    <row r="8708" spans="1:6" ht="15" customHeight="1">
      <c r="A8708" s="51"/>
      <c r="B8708" s="52" t="str">
        <f t="shared" si="438"/>
        <v/>
      </c>
      <c r="C8708" t="str">
        <f t="shared" si="440"/>
        <v/>
      </c>
      <c r="D8708" s="245" t="str">
        <f t="shared" si="439"/>
        <v/>
      </c>
      <c r="E8708" s="534"/>
      <c r="F8708" s="534"/>
    </row>
    <row r="8709" spans="1:6" ht="15" customHeight="1">
      <c r="A8709" s="51"/>
      <c r="B8709" s="52" t="str">
        <f t="shared" si="438"/>
        <v/>
      </c>
      <c r="C8709" t="str">
        <f t="shared" si="440"/>
        <v/>
      </c>
      <c r="D8709" s="245" t="str">
        <f t="shared" si="439"/>
        <v/>
      </c>
      <c r="E8709" s="534"/>
      <c r="F8709" s="534"/>
    </row>
    <row r="8710" spans="1:6" ht="15" customHeight="1">
      <c r="A8710" s="51"/>
      <c r="B8710" s="52" t="str">
        <f t="shared" si="438"/>
        <v/>
      </c>
      <c r="C8710" t="str">
        <f t="shared" si="440"/>
        <v/>
      </c>
      <c r="D8710" s="245" t="str">
        <f t="shared" si="439"/>
        <v/>
      </c>
      <c r="E8710" s="534"/>
      <c r="F8710" s="534"/>
    </row>
    <row r="8711" spans="1:6" ht="15" customHeight="1">
      <c r="A8711" s="51"/>
      <c r="B8711" s="52" t="str">
        <f t="shared" si="438"/>
        <v/>
      </c>
      <c r="C8711" t="str">
        <f t="shared" si="440"/>
        <v/>
      </c>
      <c r="D8711" s="245" t="str">
        <f t="shared" si="439"/>
        <v/>
      </c>
      <c r="E8711" s="534"/>
      <c r="F8711" s="534"/>
    </row>
    <row r="8712" spans="1:6" ht="15" customHeight="1">
      <c r="A8712" s="51"/>
      <c r="B8712" s="52" t="str">
        <f t="shared" ref="B8712:B8775" si="441">IF(A8712="","",TEXT(A8712,"DDDD"))</f>
        <v/>
      </c>
      <c r="C8712" t="str">
        <f t="shared" si="440"/>
        <v/>
      </c>
      <c r="D8712" s="245" t="str">
        <f t="shared" si="439"/>
        <v/>
      </c>
      <c r="E8712" s="534"/>
      <c r="F8712" s="534"/>
    </row>
    <row r="8713" spans="1:6" ht="15" customHeight="1">
      <c r="A8713" s="51"/>
      <c r="B8713" s="52" t="str">
        <f t="shared" si="441"/>
        <v/>
      </c>
      <c r="C8713" t="str">
        <f t="shared" si="440"/>
        <v/>
      </c>
      <c r="D8713" s="245" t="str">
        <f t="shared" ref="D8713:D8776" si="442">IF(A8713&lt;&gt;"",PROPER(TEXT(A8713,"Mmmm")),"")</f>
        <v/>
      </c>
      <c r="E8713" s="534"/>
      <c r="F8713" s="534"/>
    </row>
    <row r="8714" spans="1:6" ht="15" customHeight="1">
      <c r="A8714" s="51"/>
      <c r="B8714" s="52" t="str">
        <f t="shared" si="441"/>
        <v/>
      </c>
      <c r="C8714" t="str">
        <f t="shared" si="440"/>
        <v/>
      </c>
      <c r="D8714" s="245" t="str">
        <f t="shared" si="442"/>
        <v/>
      </c>
      <c r="E8714" s="534"/>
      <c r="F8714" s="534"/>
    </row>
    <row r="8715" spans="1:6" ht="15" customHeight="1">
      <c r="A8715" s="51"/>
      <c r="B8715" s="52" t="str">
        <f t="shared" si="441"/>
        <v/>
      </c>
      <c r="C8715" t="str">
        <f t="shared" si="440"/>
        <v/>
      </c>
      <c r="D8715" s="245" t="str">
        <f t="shared" si="442"/>
        <v/>
      </c>
      <c r="E8715" s="534"/>
      <c r="F8715" s="534"/>
    </row>
    <row r="8716" spans="1:6" ht="15" customHeight="1">
      <c r="A8716" s="51"/>
      <c r="B8716" s="52" t="str">
        <f t="shared" si="441"/>
        <v/>
      </c>
      <c r="C8716" t="str">
        <f t="shared" si="440"/>
        <v/>
      </c>
      <c r="D8716" s="245" t="str">
        <f t="shared" si="442"/>
        <v/>
      </c>
      <c r="E8716" s="534"/>
      <c r="F8716" s="534"/>
    </row>
    <row r="8717" spans="1:6" ht="15" customHeight="1">
      <c r="A8717" s="51"/>
      <c r="B8717" s="52" t="str">
        <f t="shared" si="441"/>
        <v/>
      </c>
      <c r="C8717" t="str">
        <f t="shared" si="440"/>
        <v/>
      </c>
      <c r="D8717" s="245" t="str">
        <f t="shared" si="442"/>
        <v/>
      </c>
      <c r="E8717" s="534"/>
      <c r="F8717" s="534"/>
    </row>
    <row r="8718" spans="1:6" ht="15" customHeight="1">
      <c r="A8718" s="51"/>
      <c r="B8718" s="52" t="str">
        <f t="shared" si="441"/>
        <v/>
      </c>
      <c r="C8718" t="str">
        <f t="shared" si="440"/>
        <v/>
      </c>
      <c r="D8718" s="245" t="str">
        <f t="shared" si="442"/>
        <v/>
      </c>
      <c r="E8718" s="534"/>
      <c r="F8718" s="534"/>
    </row>
    <row r="8719" spans="1:6" ht="15" customHeight="1">
      <c r="A8719" s="51"/>
      <c r="B8719" s="52" t="str">
        <f t="shared" si="441"/>
        <v/>
      </c>
      <c r="C8719" t="str">
        <f t="shared" si="440"/>
        <v/>
      </c>
      <c r="D8719" s="245" t="str">
        <f t="shared" si="442"/>
        <v/>
      </c>
      <c r="E8719" s="534"/>
      <c r="F8719" s="534"/>
    </row>
    <row r="8720" spans="1:6" ht="15" customHeight="1">
      <c r="A8720" s="51"/>
      <c r="B8720" s="52" t="str">
        <f t="shared" si="441"/>
        <v/>
      </c>
      <c r="C8720" t="str">
        <f t="shared" si="440"/>
        <v/>
      </c>
      <c r="D8720" s="245" t="str">
        <f t="shared" si="442"/>
        <v/>
      </c>
      <c r="E8720" s="534"/>
      <c r="F8720" s="534"/>
    </row>
    <row r="8721" spans="1:6" ht="15" customHeight="1">
      <c r="A8721" s="51"/>
      <c r="B8721" s="52" t="str">
        <f t="shared" si="441"/>
        <v/>
      </c>
      <c r="C8721" t="str">
        <f t="shared" si="440"/>
        <v/>
      </c>
      <c r="D8721" s="245" t="str">
        <f t="shared" si="442"/>
        <v/>
      </c>
      <c r="E8721" s="534"/>
      <c r="F8721" s="534"/>
    </row>
    <row r="8722" spans="1:6" ht="15" customHeight="1">
      <c r="A8722" s="51"/>
      <c r="B8722" s="52" t="str">
        <f t="shared" si="441"/>
        <v/>
      </c>
      <c r="C8722" t="str">
        <f t="shared" si="440"/>
        <v/>
      </c>
      <c r="D8722" s="245" t="str">
        <f t="shared" si="442"/>
        <v/>
      </c>
      <c r="E8722" s="534"/>
      <c r="F8722" s="534"/>
    </row>
    <row r="8723" spans="1:6" ht="15" customHeight="1">
      <c r="A8723" s="51"/>
      <c r="B8723" s="52" t="str">
        <f t="shared" si="441"/>
        <v/>
      </c>
      <c r="C8723" t="str">
        <f t="shared" si="440"/>
        <v/>
      </c>
      <c r="D8723" s="245" t="str">
        <f t="shared" si="442"/>
        <v/>
      </c>
      <c r="E8723" s="534"/>
      <c r="F8723" s="534"/>
    </row>
    <row r="8724" spans="1:6" ht="15" customHeight="1">
      <c r="A8724" s="51"/>
      <c r="B8724" s="52" t="str">
        <f t="shared" si="441"/>
        <v/>
      </c>
      <c r="C8724" t="str">
        <f t="shared" si="440"/>
        <v/>
      </c>
      <c r="D8724" s="245" t="str">
        <f t="shared" si="442"/>
        <v/>
      </c>
      <c r="E8724" s="534"/>
      <c r="F8724" s="534"/>
    </row>
    <row r="8725" spans="1:6" ht="15" customHeight="1">
      <c r="A8725" s="51"/>
      <c r="B8725" s="52" t="str">
        <f t="shared" si="441"/>
        <v/>
      </c>
      <c r="C8725" t="str">
        <f t="shared" si="440"/>
        <v/>
      </c>
      <c r="D8725" s="245" t="str">
        <f t="shared" si="442"/>
        <v/>
      </c>
      <c r="E8725" s="534"/>
      <c r="F8725" s="534"/>
    </row>
    <row r="8726" spans="1:6" ht="15" customHeight="1">
      <c r="A8726" s="51"/>
      <c r="B8726" s="52" t="str">
        <f t="shared" si="441"/>
        <v/>
      </c>
      <c r="C8726" t="str">
        <f t="shared" si="440"/>
        <v/>
      </c>
      <c r="D8726" s="245" t="str">
        <f t="shared" si="442"/>
        <v/>
      </c>
      <c r="E8726" s="534"/>
      <c r="F8726" s="534"/>
    </row>
    <row r="8727" spans="1:6" ht="15" customHeight="1">
      <c r="A8727" s="51"/>
      <c r="B8727" s="52" t="str">
        <f t="shared" si="441"/>
        <v/>
      </c>
      <c r="C8727" t="str">
        <f t="shared" si="440"/>
        <v/>
      </c>
      <c r="D8727" s="245" t="str">
        <f t="shared" si="442"/>
        <v/>
      </c>
      <c r="E8727" s="534"/>
      <c r="F8727" s="534"/>
    </row>
    <row r="8728" spans="1:6" ht="15" customHeight="1">
      <c r="A8728" s="51"/>
      <c r="B8728" s="52" t="str">
        <f t="shared" si="441"/>
        <v/>
      </c>
      <c r="C8728" t="str">
        <f t="shared" si="440"/>
        <v/>
      </c>
      <c r="D8728" s="245" t="str">
        <f t="shared" si="442"/>
        <v/>
      </c>
      <c r="E8728" s="534"/>
      <c r="F8728" s="534"/>
    </row>
    <row r="8729" spans="1:6" ht="15" customHeight="1">
      <c r="A8729" s="51"/>
      <c r="B8729" s="52" t="str">
        <f t="shared" si="441"/>
        <v/>
      </c>
      <c r="C8729" t="str">
        <f t="shared" si="440"/>
        <v/>
      </c>
      <c r="D8729" s="245" t="str">
        <f t="shared" si="442"/>
        <v/>
      </c>
      <c r="E8729" s="534"/>
      <c r="F8729" s="534"/>
    </row>
    <row r="8730" spans="1:6" ht="15" customHeight="1">
      <c r="A8730" s="51"/>
      <c r="B8730" s="52" t="str">
        <f t="shared" si="441"/>
        <v/>
      </c>
      <c r="C8730" t="str">
        <f t="shared" si="440"/>
        <v/>
      </c>
      <c r="D8730" s="245" t="str">
        <f t="shared" si="442"/>
        <v/>
      </c>
      <c r="E8730" s="534"/>
      <c r="F8730" s="534"/>
    </row>
    <row r="8731" spans="1:6" ht="15" customHeight="1">
      <c r="A8731" s="51"/>
      <c r="B8731" s="52" t="str">
        <f t="shared" si="441"/>
        <v/>
      </c>
      <c r="C8731" t="str">
        <f t="shared" si="440"/>
        <v/>
      </c>
      <c r="D8731" s="245" t="str">
        <f t="shared" si="442"/>
        <v/>
      </c>
      <c r="E8731" s="534"/>
      <c r="F8731" s="534"/>
    </row>
    <row r="8732" spans="1:6" ht="15" customHeight="1">
      <c r="A8732" s="51"/>
      <c r="B8732" s="52" t="str">
        <f t="shared" si="441"/>
        <v/>
      </c>
      <c r="C8732" t="str">
        <f t="shared" si="440"/>
        <v/>
      </c>
      <c r="D8732" s="245" t="str">
        <f t="shared" si="442"/>
        <v/>
      </c>
      <c r="E8732" s="534"/>
      <c r="F8732" s="534"/>
    </row>
    <row r="8733" spans="1:6" ht="15" customHeight="1">
      <c r="A8733" s="51"/>
      <c r="B8733" s="52" t="str">
        <f t="shared" si="441"/>
        <v/>
      </c>
      <c r="C8733" t="str">
        <f t="shared" si="440"/>
        <v/>
      </c>
      <c r="D8733" s="245" t="str">
        <f t="shared" si="442"/>
        <v/>
      </c>
      <c r="E8733" s="534"/>
      <c r="F8733" s="534"/>
    </row>
    <row r="8734" spans="1:6" ht="15" customHeight="1">
      <c r="A8734" s="51"/>
      <c r="B8734" s="52" t="str">
        <f t="shared" si="441"/>
        <v/>
      </c>
      <c r="C8734" t="str">
        <f t="shared" si="440"/>
        <v/>
      </c>
      <c r="D8734" s="245" t="str">
        <f t="shared" si="442"/>
        <v/>
      </c>
      <c r="E8734" s="534"/>
      <c r="F8734" s="534"/>
    </row>
    <row r="8735" spans="1:6" ht="15" customHeight="1">
      <c r="A8735" s="51"/>
      <c r="B8735" s="52" t="str">
        <f t="shared" si="441"/>
        <v/>
      </c>
      <c r="C8735" t="str">
        <f t="shared" si="440"/>
        <v/>
      </c>
      <c r="D8735" s="245" t="str">
        <f t="shared" si="442"/>
        <v/>
      </c>
      <c r="E8735" s="534"/>
      <c r="F8735" s="534"/>
    </row>
    <row r="8736" spans="1:6" ht="15" customHeight="1">
      <c r="A8736" s="51"/>
      <c r="B8736" s="52" t="str">
        <f t="shared" si="441"/>
        <v/>
      </c>
      <c r="C8736" t="str">
        <f t="shared" si="440"/>
        <v/>
      </c>
      <c r="D8736" s="245" t="str">
        <f t="shared" si="442"/>
        <v/>
      </c>
      <c r="E8736" s="534"/>
      <c r="F8736" s="534"/>
    </row>
    <row r="8737" spans="1:6" ht="15" customHeight="1">
      <c r="A8737" s="51"/>
      <c r="B8737" s="52" t="str">
        <f t="shared" si="441"/>
        <v/>
      </c>
      <c r="C8737" t="str">
        <f t="shared" si="440"/>
        <v/>
      </c>
      <c r="D8737" s="245" t="str">
        <f t="shared" si="442"/>
        <v/>
      </c>
      <c r="E8737" s="534"/>
      <c r="F8737" s="534"/>
    </row>
    <row r="8738" spans="1:6" ht="15" customHeight="1">
      <c r="A8738" s="51"/>
      <c r="B8738" s="52" t="str">
        <f t="shared" si="441"/>
        <v/>
      </c>
      <c r="C8738" t="str">
        <f t="shared" si="440"/>
        <v/>
      </c>
      <c r="D8738" s="245" t="str">
        <f t="shared" si="442"/>
        <v/>
      </c>
      <c r="E8738" s="534"/>
      <c r="F8738" s="534"/>
    </row>
    <row r="8739" spans="1:6" ht="15" customHeight="1">
      <c r="A8739" s="51"/>
      <c r="B8739" s="52" t="str">
        <f t="shared" si="441"/>
        <v/>
      </c>
      <c r="C8739" t="str">
        <f t="shared" si="440"/>
        <v/>
      </c>
      <c r="D8739" s="245" t="str">
        <f t="shared" si="442"/>
        <v/>
      </c>
      <c r="E8739" s="534"/>
      <c r="F8739" s="534"/>
    </row>
    <row r="8740" spans="1:6" ht="15" customHeight="1">
      <c r="A8740" s="51"/>
      <c r="B8740" s="52" t="str">
        <f t="shared" si="441"/>
        <v/>
      </c>
      <c r="C8740" t="str">
        <f t="shared" si="440"/>
        <v/>
      </c>
      <c r="D8740" s="245" t="str">
        <f t="shared" si="442"/>
        <v/>
      </c>
      <c r="E8740" s="534"/>
      <c r="F8740" s="534"/>
    </row>
    <row r="8741" spans="1:6" ht="15" customHeight="1">
      <c r="A8741" s="51"/>
      <c r="B8741" s="52" t="str">
        <f t="shared" si="441"/>
        <v/>
      </c>
      <c r="C8741" t="str">
        <f t="shared" si="440"/>
        <v/>
      </c>
      <c r="D8741" s="245" t="str">
        <f t="shared" si="442"/>
        <v/>
      </c>
      <c r="E8741" s="534"/>
      <c r="F8741" s="534"/>
    </row>
    <row r="8742" spans="1:6" ht="15" customHeight="1">
      <c r="A8742" s="51"/>
      <c r="B8742" s="52" t="str">
        <f t="shared" si="441"/>
        <v/>
      </c>
      <c r="C8742" t="str">
        <f t="shared" si="440"/>
        <v/>
      </c>
      <c r="D8742" s="245" t="str">
        <f t="shared" si="442"/>
        <v/>
      </c>
      <c r="E8742" s="534"/>
      <c r="F8742" s="534"/>
    </row>
    <row r="8743" spans="1:6" ht="15" customHeight="1">
      <c r="A8743" s="51"/>
      <c r="B8743" s="52" t="str">
        <f t="shared" si="441"/>
        <v/>
      </c>
      <c r="C8743" t="str">
        <f t="shared" si="440"/>
        <v/>
      </c>
      <c r="D8743" s="245" t="str">
        <f t="shared" si="442"/>
        <v/>
      </c>
      <c r="E8743" s="534"/>
      <c r="F8743" s="534"/>
    </row>
    <row r="8744" spans="1:6" ht="15" customHeight="1">
      <c r="A8744" s="51"/>
      <c r="B8744" s="52" t="str">
        <f t="shared" si="441"/>
        <v/>
      </c>
      <c r="C8744" t="str">
        <f t="shared" si="440"/>
        <v/>
      </c>
      <c r="D8744" s="245" t="str">
        <f t="shared" si="442"/>
        <v/>
      </c>
      <c r="E8744" s="534"/>
      <c r="F8744" s="534"/>
    </row>
    <row r="8745" spans="1:6" ht="15" customHeight="1">
      <c r="A8745" s="51"/>
      <c r="B8745" s="52" t="str">
        <f t="shared" si="441"/>
        <v/>
      </c>
      <c r="C8745" t="str">
        <f t="shared" si="440"/>
        <v/>
      </c>
      <c r="D8745" s="245" t="str">
        <f t="shared" si="442"/>
        <v/>
      </c>
      <c r="E8745" s="534"/>
      <c r="F8745" s="534"/>
    </row>
    <row r="8746" spans="1:6" ht="15" customHeight="1">
      <c r="A8746" s="51"/>
      <c r="B8746" s="52" t="str">
        <f t="shared" si="441"/>
        <v/>
      </c>
      <c r="C8746" t="str">
        <f t="shared" si="440"/>
        <v/>
      </c>
      <c r="D8746" s="245" t="str">
        <f t="shared" si="442"/>
        <v/>
      </c>
      <c r="E8746" s="534"/>
      <c r="F8746" s="534"/>
    </row>
    <row r="8747" spans="1:6" ht="15" customHeight="1">
      <c r="A8747" s="51"/>
      <c r="B8747" s="52" t="str">
        <f t="shared" si="441"/>
        <v/>
      </c>
      <c r="C8747" t="str">
        <f t="shared" si="440"/>
        <v/>
      </c>
      <c r="D8747" s="245" t="str">
        <f t="shared" si="442"/>
        <v/>
      </c>
      <c r="E8747" s="534"/>
      <c r="F8747" s="534"/>
    </row>
    <row r="8748" spans="1:6" ht="15" customHeight="1">
      <c r="A8748" s="51"/>
      <c r="B8748" s="52" t="str">
        <f t="shared" si="441"/>
        <v/>
      </c>
      <c r="C8748" t="str">
        <f t="shared" si="440"/>
        <v/>
      </c>
      <c r="D8748" s="245" t="str">
        <f t="shared" si="442"/>
        <v/>
      </c>
      <c r="E8748" s="534"/>
      <c r="F8748" s="534"/>
    </row>
    <row r="8749" spans="1:6" ht="15" customHeight="1">
      <c r="A8749" s="51"/>
      <c r="B8749" s="52" t="str">
        <f t="shared" si="441"/>
        <v/>
      </c>
      <c r="C8749" t="str">
        <f t="shared" si="440"/>
        <v/>
      </c>
      <c r="D8749" s="245" t="str">
        <f t="shared" si="442"/>
        <v/>
      </c>
      <c r="E8749" s="534"/>
      <c r="F8749" s="534"/>
    </row>
    <row r="8750" spans="1:6" ht="15" customHeight="1">
      <c r="A8750" s="51"/>
      <c r="B8750" s="52" t="str">
        <f t="shared" si="441"/>
        <v/>
      </c>
      <c r="C8750" t="str">
        <f t="shared" si="440"/>
        <v/>
      </c>
      <c r="D8750" s="245" t="str">
        <f t="shared" si="442"/>
        <v/>
      </c>
      <c r="E8750" s="534"/>
      <c r="F8750" s="534"/>
    </row>
    <row r="8751" spans="1:6" ht="15" customHeight="1">
      <c r="A8751" s="51"/>
      <c r="B8751" s="52" t="str">
        <f t="shared" si="441"/>
        <v/>
      </c>
      <c r="C8751" t="str">
        <f t="shared" si="440"/>
        <v/>
      </c>
      <c r="D8751" s="245" t="str">
        <f t="shared" si="442"/>
        <v/>
      </c>
      <c r="E8751" s="534"/>
      <c r="F8751" s="534"/>
    </row>
    <row r="8752" spans="1:6" ht="15" customHeight="1">
      <c r="A8752" s="51"/>
      <c r="B8752" s="52" t="str">
        <f t="shared" si="441"/>
        <v/>
      </c>
      <c r="C8752" t="str">
        <f t="shared" si="440"/>
        <v/>
      </c>
      <c r="D8752" s="245" t="str">
        <f t="shared" si="442"/>
        <v/>
      </c>
      <c r="E8752" s="534"/>
      <c r="F8752" s="534"/>
    </row>
    <row r="8753" spans="1:6" ht="15" customHeight="1">
      <c r="A8753" s="51"/>
      <c r="B8753" s="52" t="str">
        <f t="shared" si="441"/>
        <v/>
      </c>
      <c r="C8753" t="str">
        <f t="shared" si="440"/>
        <v/>
      </c>
      <c r="D8753" s="245" t="str">
        <f t="shared" si="442"/>
        <v/>
      </c>
      <c r="E8753" s="534"/>
      <c r="F8753" s="534"/>
    </row>
    <row r="8754" spans="1:6" ht="15" customHeight="1">
      <c r="A8754" s="51"/>
      <c r="B8754" s="52" t="str">
        <f t="shared" si="441"/>
        <v/>
      </c>
      <c r="C8754" t="str">
        <f t="shared" si="440"/>
        <v/>
      </c>
      <c r="D8754" s="245" t="str">
        <f t="shared" si="442"/>
        <v/>
      </c>
      <c r="E8754" s="534"/>
      <c r="F8754" s="534"/>
    </row>
    <row r="8755" spans="1:6" ht="15" customHeight="1">
      <c r="A8755" s="51"/>
      <c r="B8755" s="52" t="str">
        <f t="shared" si="441"/>
        <v/>
      </c>
      <c r="C8755" t="str">
        <f t="shared" si="440"/>
        <v/>
      </c>
      <c r="D8755" s="245" t="str">
        <f t="shared" si="442"/>
        <v/>
      </c>
      <c r="E8755" s="534"/>
      <c r="F8755" s="534"/>
    </row>
    <row r="8756" spans="1:6" ht="15" customHeight="1">
      <c r="A8756" s="51"/>
      <c r="B8756" s="52" t="str">
        <f t="shared" si="441"/>
        <v/>
      </c>
      <c r="C8756" t="str">
        <f t="shared" si="440"/>
        <v/>
      </c>
      <c r="D8756" s="245" t="str">
        <f t="shared" si="442"/>
        <v/>
      </c>
      <c r="E8756" s="534"/>
      <c r="F8756" s="534"/>
    </row>
    <row r="8757" spans="1:6" ht="15" customHeight="1">
      <c r="A8757" s="51"/>
      <c r="B8757" s="52" t="str">
        <f t="shared" si="441"/>
        <v/>
      </c>
      <c r="C8757" t="str">
        <f t="shared" si="440"/>
        <v/>
      </c>
      <c r="D8757" s="245" t="str">
        <f t="shared" si="442"/>
        <v/>
      </c>
      <c r="E8757" s="534"/>
      <c r="F8757" s="534"/>
    </row>
    <row r="8758" spans="1:6" ht="15" customHeight="1">
      <c r="A8758" s="51"/>
      <c r="B8758" s="52" t="str">
        <f t="shared" si="441"/>
        <v/>
      </c>
      <c r="C8758" t="str">
        <f t="shared" si="440"/>
        <v/>
      </c>
      <c r="D8758" s="245" t="str">
        <f t="shared" si="442"/>
        <v/>
      </c>
      <c r="E8758" s="534"/>
      <c r="F8758" s="534"/>
    </row>
    <row r="8759" spans="1:6" ht="15" customHeight="1">
      <c r="A8759" s="51"/>
      <c r="B8759" s="52" t="str">
        <f t="shared" si="441"/>
        <v/>
      </c>
      <c r="C8759" t="str">
        <f t="shared" si="440"/>
        <v/>
      </c>
      <c r="D8759" s="245" t="str">
        <f t="shared" si="442"/>
        <v/>
      </c>
      <c r="E8759" s="534"/>
      <c r="F8759" s="534"/>
    </row>
    <row r="8760" spans="1:6" ht="15" customHeight="1">
      <c r="A8760" s="51"/>
      <c r="B8760" s="52" t="str">
        <f t="shared" si="441"/>
        <v/>
      </c>
      <c r="C8760" t="str">
        <f t="shared" si="440"/>
        <v/>
      </c>
      <c r="D8760" s="245" t="str">
        <f t="shared" si="442"/>
        <v/>
      </c>
      <c r="E8760" s="534"/>
      <c r="F8760" s="534"/>
    </row>
    <row r="8761" spans="1:6" ht="15" customHeight="1">
      <c r="A8761" s="51"/>
      <c r="B8761" s="52" t="str">
        <f t="shared" si="441"/>
        <v/>
      </c>
      <c r="C8761" t="str">
        <f t="shared" si="440"/>
        <v/>
      </c>
      <c r="D8761" s="245" t="str">
        <f t="shared" si="442"/>
        <v/>
      </c>
      <c r="E8761" s="534"/>
      <c r="F8761" s="534"/>
    </row>
    <row r="8762" spans="1:6" ht="15" customHeight="1">
      <c r="A8762" s="51"/>
      <c r="B8762" s="52" t="str">
        <f t="shared" si="441"/>
        <v/>
      </c>
      <c r="C8762" t="str">
        <f t="shared" si="440"/>
        <v/>
      </c>
      <c r="D8762" s="245" t="str">
        <f t="shared" si="442"/>
        <v/>
      </c>
      <c r="E8762" s="534"/>
      <c r="F8762" s="534"/>
    </row>
    <row r="8763" spans="1:6" ht="15" customHeight="1">
      <c r="A8763" s="51"/>
      <c r="B8763" s="52" t="str">
        <f t="shared" si="441"/>
        <v/>
      </c>
      <c r="C8763" t="str">
        <f t="shared" si="440"/>
        <v/>
      </c>
      <c r="D8763" s="245" t="str">
        <f t="shared" si="442"/>
        <v/>
      </c>
      <c r="E8763" s="534"/>
      <c r="F8763" s="534"/>
    </row>
    <row r="8764" spans="1:6" ht="15" customHeight="1">
      <c r="A8764" s="51"/>
      <c r="B8764" s="52" t="str">
        <f t="shared" si="441"/>
        <v/>
      </c>
      <c r="C8764" t="str">
        <f t="shared" si="440"/>
        <v/>
      </c>
      <c r="D8764" s="245" t="str">
        <f t="shared" si="442"/>
        <v/>
      </c>
      <c r="E8764" s="534"/>
      <c r="F8764" s="534"/>
    </row>
    <row r="8765" spans="1:6" ht="15" customHeight="1">
      <c r="A8765" s="51"/>
      <c r="B8765" s="52" t="str">
        <f t="shared" si="441"/>
        <v/>
      </c>
      <c r="C8765" t="str">
        <f t="shared" si="440"/>
        <v/>
      </c>
      <c r="D8765" s="245" t="str">
        <f t="shared" si="442"/>
        <v/>
      </c>
      <c r="E8765" s="534"/>
      <c r="F8765" s="534"/>
    </row>
    <row r="8766" spans="1:6" ht="15" customHeight="1">
      <c r="A8766" s="51"/>
      <c r="B8766" s="52" t="str">
        <f t="shared" si="441"/>
        <v/>
      </c>
      <c r="C8766" t="str">
        <f t="shared" si="440"/>
        <v/>
      </c>
      <c r="D8766" s="245" t="str">
        <f t="shared" si="442"/>
        <v/>
      </c>
      <c r="E8766" s="534"/>
      <c r="F8766" s="534"/>
    </row>
    <row r="8767" spans="1:6" ht="15" customHeight="1">
      <c r="A8767" s="51"/>
      <c r="B8767" s="52" t="str">
        <f t="shared" si="441"/>
        <v/>
      </c>
      <c r="C8767" t="str">
        <f t="shared" si="440"/>
        <v/>
      </c>
      <c r="D8767" s="245" t="str">
        <f t="shared" si="442"/>
        <v/>
      </c>
      <c r="E8767" s="534"/>
      <c r="F8767" s="534"/>
    </row>
    <row r="8768" spans="1:6" ht="15" customHeight="1">
      <c r="A8768" s="51"/>
      <c r="B8768" s="52" t="str">
        <f t="shared" si="441"/>
        <v/>
      </c>
      <c r="C8768" t="str">
        <f t="shared" si="440"/>
        <v/>
      </c>
      <c r="D8768" s="245" t="str">
        <f t="shared" si="442"/>
        <v/>
      </c>
      <c r="E8768" s="534"/>
      <c r="F8768" s="534"/>
    </row>
    <row r="8769" spans="1:6" ht="15" customHeight="1">
      <c r="A8769" s="51"/>
      <c r="B8769" s="52" t="str">
        <f t="shared" si="441"/>
        <v/>
      </c>
      <c r="C8769" t="str">
        <f t="shared" si="440"/>
        <v/>
      </c>
      <c r="D8769" s="245" t="str">
        <f t="shared" si="442"/>
        <v/>
      </c>
      <c r="E8769" s="534"/>
      <c r="F8769" s="534"/>
    </row>
    <row r="8770" spans="1:6" ht="15" customHeight="1">
      <c r="A8770" s="51"/>
      <c r="B8770" s="52" t="str">
        <f t="shared" si="441"/>
        <v/>
      </c>
      <c r="C8770" t="str">
        <f t="shared" ref="C8770:C8833" si="443">IF(A8770&lt;&gt;"",TEXT(A8770,"aaaa"),"")</f>
        <v/>
      </c>
      <c r="D8770" s="245" t="str">
        <f t="shared" si="442"/>
        <v/>
      </c>
      <c r="E8770" s="534"/>
      <c r="F8770" s="534"/>
    </row>
    <row r="8771" spans="1:6" ht="15" customHeight="1">
      <c r="A8771" s="51"/>
      <c r="B8771" s="52" t="str">
        <f t="shared" si="441"/>
        <v/>
      </c>
      <c r="C8771" t="str">
        <f t="shared" si="443"/>
        <v/>
      </c>
      <c r="D8771" s="245" t="str">
        <f t="shared" si="442"/>
        <v/>
      </c>
      <c r="E8771" s="534"/>
      <c r="F8771" s="534"/>
    </row>
    <row r="8772" spans="1:6" ht="15" customHeight="1">
      <c r="A8772" s="51"/>
      <c r="B8772" s="52" t="str">
        <f t="shared" si="441"/>
        <v/>
      </c>
      <c r="C8772" t="str">
        <f t="shared" si="443"/>
        <v/>
      </c>
      <c r="D8772" s="245" t="str">
        <f t="shared" si="442"/>
        <v/>
      </c>
      <c r="E8772" s="534"/>
      <c r="F8772" s="534"/>
    </row>
    <row r="8773" spans="1:6" ht="15" customHeight="1">
      <c r="A8773" s="51"/>
      <c r="B8773" s="52" t="str">
        <f t="shared" si="441"/>
        <v/>
      </c>
      <c r="C8773" t="str">
        <f t="shared" si="443"/>
        <v/>
      </c>
      <c r="D8773" s="245" t="str">
        <f t="shared" si="442"/>
        <v/>
      </c>
      <c r="E8773" s="534"/>
      <c r="F8773" s="534"/>
    </row>
    <row r="8774" spans="1:6" ht="15" customHeight="1">
      <c r="A8774" s="51"/>
      <c r="B8774" s="52" t="str">
        <f t="shared" si="441"/>
        <v/>
      </c>
      <c r="C8774" t="str">
        <f t="shared" si="443"/>
        <v/>
      </c>
      <c r="D8774" s="245" t="str">
        <f t="shared" si="442"/>
        <v/>
      </c>
      <c r="E8774" s="534"/>
      <c r="F8774" s="534"/>
    </row>
    <row r="8775" spans="1:6" ht="15" customHeight="1">
      <c r="A8775" s="51"/>
      <c r="B8775" s="52" t="str">
        <f t="shared" si="441"/>
        <v/>
      </c>
      <c r="C8775" t="str">
        <f t="shared" si="443"/>
        <v/>
      </c>
      <c r="D8775" s="245" t="str">
        <f t="shared" si="442"/>
        <v/>
      </c>
      <c r="E8775" s="534"/>
      <c r="F8775" s="534"/>
    </row>
    <row r="8776" spans="1:6" ht="15" customHeight="1">
      <c r="A8776" s="51"/>
      <c r="B8776" s="52" t="str">
        <f t="shared" ref="B8776:B8839" si="444">IF(A8776="","",TEXT(A8776,"DDDD"))</f>
        <v/>
      </c>
      <c r="C8776" t="str">
        <f t="shared" si="443"/>
        <v/>
      </c>
      <c r="D8776" s="245" t="str">
        <f t="shared" si="442"/>
        <v/>
      </c>
      <c r="E8776" s="534"/>
      <c r="F8776" s="534"/>
    </row>
    <row r="8777" spans="1:6" ht="15" customHeight="1">
      <c r="A8777" s="51"/>
      <c r="B8777" s="52" t="str">
        <f t="shared" si="444"/>
        <v/>
      </c>
      <c r="C8777" t="str">
        <f t="shared" si="443"/>
        <v/>
      </c>
      <c r="D8777" s="245" t="str">
        <f t="shared" ref="D8777:D8840" si="445">IF(A8777&lt;&gt;"",PROPER(TEXT(A8777,"Mmmm")),"")</f>
        <v/>
      </c>
      <c r="E8777" s="534"/>
      <c r="F8777" s="534"/>
    </row>
    <row r="8778" spans="1:6" ht="15" customHeight="1">
      <c r="A8778" s="51"/>
      <c r="B8778" s="52" t="str">
        <f t="shared" si="444"/>
        <v/>
      </c>
      <c r="C8778" t="str">
        <f t="shared" si="443"/>
        <v/>
      </c>
      <c r="D8778" s="245" t="str">
        <f t="shared" si="445"/>
        <v/>
      </c>
      <c r="E8778" s="534"/>
      <c r="F8778" s="534"/>
    </row>
    <row r="8779" spans="1:6" ht="15" customHeight="1">
      <c r="A8779" s="51"/>
      <c r="B8779" s="52" t="str">
        <f t="shared" si="444"/>
        <v/>
      </c>
      <c r="C8779" t="str">
        <f t="shared" si="443"/>
        <v/>
      </c>
      <c r="D8779" s="245" t="str">
        <f t="shared" si="445"/>
        <v/>
      </c>
      <c r="E8779" s="534"/>
      <c r="F8779" s="534"/>
    </row>
    <row r="8780" spans="1:6" ht="15" customHeight="1">
      <c r="A8780" s="51"/>
      <c r="B8780" s="52" t="str">
        <f t="shared" si="444"/>
        <v/>
      </c>
      <c r="C8780" t="str">
        <f t="shared" si="443"/>
        <v/>
      </c>
      <c r="D8780" s="245" t="str">
        <f t="shared" si="445"/>
        <v/>
      </c>
      <c r="E8780" s="534"/>
      <c r="F8780" s="534"/>
    </row>
    <row r="8781" spans="1:6" ht="15" customHeight="1">
      <c r="A8781" s="51"/>
      <c r="B8781" s="52" t="str">
        <f t="shared" si="444"/>
        <v/>
      </c>
      <c r="C8781" t="str">
        <f t="shared" si="443"/>
        <v/>
      </c>
      <c r="D8781" s="245" t="str">
        <f t="shared" si="445"/>
        <v/>
      </c>
      <c r="E8781" s="534"/>
      <c r="F8781" s="534"/>
    </row>
    <row r="8782" spans="1:6" ht="15" customHeight="1">
      <c r="A8782" s="51"/>
      <c r="B8782" s="52" t="str">
        <f t="shared" si="444"/>
        <v/>
      </c>
      <c r="C8782" t="str">
        <f t="shared" si="443"/>
        <v/>
      </c>
      <c r="D8782" s="245" t="str">
        <f t="shared" si="445"/>
        <v/>
      </c>
      <c r="E8782" s="534"/>
      <c r="F8782" s="534"/>
    </row>
    <row r="8783" spans="1:6" ht="15" customHeight="1">
      <c r="A8783" s="51"/>
      <c r="B8783" s="52" t="str">
        <f t="shared" si="444"/>
        <v/>
      </c>
      <c r="C8783" t="str">
        <f t="shared" si="443"/>
        <v/>
      </c>
      <c r="D8783" s="245" t="str">
        <f t="shared" si="445"/>
        <v/>
      </c>
      <c r="E8783" s="534"/>
      <c r="F8783" s="534"/>
    </row>
    <row r="8784" spans="1:6" ht="15" customHeight="1">
      <c r="A8784" s="51"/>
      <c r="B8784" s="52" t="str">
        <f t="shared" si="444"/>
        <v/>
      </c>
      <c r="C8784" t="str">
        <f t="shared" si="443"/>
        <v/>
      </c>
      <c r="D8784" s="245" t="str">
        <f t="shared" si="445"/>
        <v/>
      </c>
      <c r="E8784" s="534"/>
      <c r="F8784" s="534"/>
    </row>
    <row r="8785" spans="1:6" ht="15" customHeight="1">
      <c r="A8785" s="51"/>
      <c r="B8785" s="52" t="str">
        <f t="shared" si="444"/>
        <v/>
      </c>
      <c r="C8785" t="str">
        <f t="shared" si="443"/>
        <v/>
      </c>
      <c r="D8785" s="245" t="str">
        <f t="shared" si="445"/>
        <v/>
      </c>
      <c r="E8785" s="534"/>
      <c r="F8785" s="534"/>
    </row>
    <row r="8786" spans="1:6" ht="15" customHeight="1">
      <c r="A8786" s="51"/>
      <c r="B8786" s="52" t="str">
        <f t="shared" si="444"/>
        <v/>
      </c>
      <c r="C8786" t="str">
        <f t="shared" si="443"/>
        <v/>
      </c>
      <c r="D8786" s="245" t="str">
        <f t="shared" si="445"/>
        <v/>
      </c>
      <c r="E8786" s="534"/>
      <c r="F8786" s="534"/>
    </row>
    <row r="8787" spans="1:6" ht="15" customHeight="1">
      <c r="A8787" s="51"/>
      <c r="B8787" s="52" t="str">
        <f t="shared" si="444"/>
        <v/>
      </c>
      <c r="C8787" t="str">
        <f t="shared" si="443"/>
        <v/>
      </c>
      <c r="D8787" s="245" t="str">
        <f t="shared" si="445"/>
        <v/>
      </c>
      <c r="E8787" s="534"/>
      <c r="F8787" s="534"/>
    </row>
    <row r="8788" spans="1:6" ht="15" customHeight="1">
      <c r="A8788" s="51"/>
      <c r="B8788" s="52" t="str">
        <f t="shared" si="444"/>
        <v/>
      </c>
      <c r="C8788" t="str">
        <f t="shared" si="443"/>
        <v/>
      </c>
      <c r="D8788" s="245" t="str">
        <f t="shared" si="445"/>
        <v/>
      </c>
      <c r="E8788" s="534"/>
      <c r="F8788" s="534"/>
    </row>
    <row r="8789" spans="1:6" ht="15" customHeight="1">
      <c r="A8789" s="51"/>
      <c r="B8789" s="52" t="str">
        <f t="shared" si="444"/>
        <v/>
      </c>
      <c r="C8789" t="str">
        <f t="shared" si="443"/>
        <v/>
      </c>
      <c r="D8789" s="245" t="str">
        <f t="shared" si="445"/>
        <v/>
      </c>
      <c r="E8789" s="534"/>
      <c r="F8789" s="534"/>
    </row>
    <row r="8790" spans="1:6" ht="15" customHeight="1">
      <c r="A8790" s="51"/>
      <c r="B8790" s="52" t="str">
        <f t="shared" si="444"/>
        <v/>
      </c>
      <c r="C8790" t="str">
        <f t="shared" si="443"/>
        <v/>
      </c>
      <c r="D8790" s="245" t="str">
        <f t="shared" si="445"/>
        <v/>
      </c>
      <c r="E8790" s="534"/>
      <c r="F8790" s="534"/>
    </row>
    <row r="8791" spans="1:6" ht="15" customHeight="1">
      <c r="A8791" s="51"/>
      <c r="B8791" s="52" t="str">
        <f t="shared" si="444"/>
        <v/>
      </c>
      <c r="C8791" t="str">
        <f t="shared" si="443"/>
        <v/>
      </c>
      <c r="D8791" s="245" t="str">
        <f t="shared" si="445"/>
        <v/>
      </c>
      <c r="E8791" s="534"/>
      <c r="F8791" s="534"/>
    </row>
    <row r="8792" spans="1:6" ht="15" customHeight="1">
      <c r="A8792" s="51"/>
      <c r="B8792" s="52" t="str">
        <f t="shared" si="444"/>
        <v/>
      </c>
      <c r="C8792" t="str">
        <f t="shared" si="443"/>
        <v/>
      </c>
      <c r="D8792" s="245" t="str">
        <f t="shared" si="445"/>
        <v/>
      </c>
      <c r="E8792" s="534"/>
      <c r="F8792" s="534"/>
    </row>
    <row r="8793" spans="1:6" ht="15" customHeight="1">
      <c r="A8793" s="51"/>
      <c r="B8793" s="52" t="str">
        <f t="shared" si="444"/>
        <v/>
      </c>
      <c r="C8793" t="str">
        <f t="shared" si="443"/>
        <v/>
      </c>
      <c r="D8793" s="245" t="str">
        <f t="shared" si="445"/>
        <v/>
      </c>
      <c r="E8793" s="534"/>
      <c r="F8793" s="534"/>
    </row>
    <row r="8794" spans="1:6" ht="15" customHeight="1">
      <c r="A8794" s="51"/>
      <c r="B8794" s="52" t="str">
        <f t="shared" si="444"/>
        <v/>
      </c>
      <c r="C8794" t="str">
        <f t="shared" si="443"/>
        <v/>
      </c>
      <c r="D8794" s="245" t="str">
        <f t="shared" si="445"/>
        <v/>
      </c>
      <c r="E8794" s="534"/>
      <c r="F8794" s="534"/>
    </row>
    <row r="8795" spans="1:6" ht="15" customHeight="1">
      <c r="A8795" s="51"/>
      <c r="B8795" s="52" t="str">
        <f t="shared" si="444"/>
        <v/>
      </c>
      <c r="C8795" t="str">
        <f t="shared" si="443"/>
        <v/>
      </c>
      <c r="D8795" s="245" t="str">
        <f t="shared" si="445"/>
        <v/>
      </c>
      <c r="E8795" s="534"/>
      <c r="F8795" s="534"/>
    </row>
    <row r="8796" spans="1:6" ht="15" customHeight="1">
      <c r="A8796" s="51"/>
      <c r="B8796" s="52" t="str">
        <f t="shared" si="444"/>
        <v/>
      </c>
      <c r="C8796" t="str">
        <f t="shared" si="443"/>
        <v/>
      </c>
      <c r="D8796" s="245" t="str">
        <f t="shared" si="445"/>
        <v/>
      </c>
      <c r="E8796" s="534"/>
      <c r="F8796" s="534"/>
    </row>
    <row r="8797" spans="1:6" ht="15" customHeight="1">
      <c r="A8797" s="51"/>
      <c r="B8797" s="52" t="str">
        <f t="shared" si="444"/>
        <v/>
      </c>
      <c r="C8797" t="str">
        <f t="shared" si="443"/>
        <v/>
      </c>
      <c r="D8797" s="245" t="str">
        <f t="shared" si="445"/>
        <v/>
      </c>
      <c r="E8797" s="534"/>
      <c r="F8797" s="534"/>
    </row>
    <row r="8798" spans="1:6" ht="15" customHeight="1">
      <c r="A8798" s="51"/>
      <c r="B8798" s="52" t="str">
        <f t="shared" si="444"/>
        <v/>
      </c>
      <c r="C8798" t="str">
        <f t="shared" si="443"/>
        <v/>
      </c>
      <c r="D8798" s="245" t="str">
        <f t="shared" si="445"/>
        <v/>
      </c>
      <c r="E8798" s="534"/>
      <c r="F8798" s="534"/>
    </row>
    <row r="8799" spans="1:6" ht="15" customHeight="1">
      <c r="A8799" s="51"/>
      <c r="B8799" s="52" t="str">
        <f t="shared" si="444"/>
        <v/>
      </c>
      <c r="C8799" t="str">
        <f t="shared" si="443"/>
        <v/>
      </c>
      <c r="D8799" s="245" t="str">
        <f t="shared" si="445"/>
        <v/>
      </c>
      <c r="E8799" s="534"/>
      <c r="F8799" s="534"/>
    </row>
    <row r="8800" spans="1:6" ht="15" customHeight="1">
      <c r="A8800" s="51"/>
      <c r="B8800" s="52" t="str">
        <f t="shared" si="444"/>
        <v/>
      </c>
      <c r="C8800" t="str">
        <f t="shared" si="443"/>
        <v/>
      </c>
      <c r="D8800" s="245" t="str">
        <f t="shared" si="445"/>
        <v/>
      </c>
      <c r="E8800" s="534"/>
      <c r="F8800" s="534"/>
    </row>
    <row r="8801" spans="1:6" ht="15" customHeight="1">
      <c r="A8801" s="51"/>
      <c r="B8801" s="52" t="str">
        <f t="shared" si="444"/>
        <v/>
      </c>
      <c r="C8801" t="str">
        <f t="shared" si="443"/>
        <v/>
      </c>
      <c r="D8801" s="245" t="str">
        <f t="shared" si="445"/>
        <v/>
      </c>
      <c r="E8801" s="534"/>
      <c r="F8801" s="534"/>
    </row>
    <row r="8802" spans="1:6" ht="15" customHeight="1">
      <c r="A8802" s="51"/>
      <c r="B8802" s="52" t="str">
        <f t="shared" si="444"/>
        <v/>
      </c>
      <c r="C8802" t="str">
        <f t="shared" si="443"/>
        <v/>
      </c>
      <c r="D8802" s="245" t="str">
        <f t="shared" si="445"/>
        <v/>
      </c>
      <c r="E8802" s="534"/>
      <c r="F8802" s="534"/>
    </row>
    <row r="8803" spans="1:6" ht="15" customHeight="1">
      <c r="A8803" s="51"/>
      <c r="B8803" s="52" t="str">
        <f t="shared" si="444"/>
        <v/>
      </c>
      <c r="C8803" t="str">
        <f t="shared" si="443"/>
        <v/>
      </c>
      <c r="D8803" s="245" t="str">
        <f t="shared" si="445"/>
        <v/>
      </c>
      <c r="E8803" s="534"/>
      <c r="F8803" s="534"/>
    </row>
    <row r="8804" spans="1:6" ht="15" customHeight="1">
      <c r="A8804" s="51"/>
      <c r="B8804" s="52" t="str">
        <f t="shared" si="444"/>
        <v/>
      </c>
      <c r="C8804" t="str">
        <f t="shared" si="443"/>
        <v/>
      </c>
      <c r="D8804" s="245" t="str">
        <f t="shared" si="445"/>
        <v/>
      </c>
      <c r="E8804" s="534"/>
      <c r="F8804" s="534"/>
    </row>
    <row r="8805" spans="1:6" ht="15" customHeight="1">
      <c r="A8805" s="51"/>
      <c r="B8805" s="52" t="str">
        <f t="shared" si="444"/>
        <v/>
      </c>
      <c r="C8805" t="str">
        <f t="shared" si="443"/>
        <v/>
      </c>
      <c r="D8805" s="245" t="str">
        <f t="shared" si="445"/>
        <v/>
      </c>
      <c r="E8805" s="534"/>
      <c r="F8805" s="534"/>
    </row>
    <row r="8806" spans="1:6" ht="15" customHeight="1">
      <c r="A8806" s="51"/>
      <c r="B8806" s="52" t="str">
        <f t="shared" si="444"/>
        <v/>
      </c>
      <c r="C8806" t="str">
        <f t="shared" si="443"/>
        <v/>
      </c>
      <c r="D8806" s="245" t="str">
        <f t="shared" si="445"/>
        <v/>
      </c>
      <c r="E8806" s="534"/>
      <c r="F8806" s="534"/>
    </row>
    <row r="8807" spans="1:6" ht="15" customHeight="1">
      <c r="A8807" s="51"/>
      <c r="B8807" s="52" t="str">
        <f t="shared" si="444"/>
        <v/>
      </c>
      <c r="C8807" t="str">
        <f t="shared" si="443"/>
        <v/>
      </c>
      <c r="D8807" s="245" t="str">
        <f t="shared" si="445"/>
        <v/>
      </c>
      <c r="E8807" s="534"/>
      <c r="F8807" s="534"/>
    </row>
    <row r="8808" spans="1:6" ht="15" customHeight="1">
      <c r="A8808" s="51"/>
      <c r="B8808" s="52" t="str">
        <f t="shared" si="444"/>
        <v/>
      </c>
      <c r="C8808" t="str">
        <f t="shared" si="443"/>
        <v/>
      </c>
      <c r="D8808" s="245" t="str">
        <f t="shared" si="445"/>
        <v/>
      </c>
      <c r="E8808" s="534"/>
      <c r="F8808" s="534"/>
    </row>
    <row r="8809" spans="1:6" ht="15" customHeight="1">
      <c r="A8809" s="51"/>
      <c r="B8809" s="52" t="str">
        <f t="shared" si="444"/>
        <v/>
      </c>
      <c r="C8809" t="str">
        <f t="shared" si="443"/>
        <v/>
      </c>
      <c r="D8809" s="245" t="str">
        <f t="shared" si="445"/>
        <v/>
      </c>
      <c r="E8809" s="534"/>
      <c r="F8809" s="534"/>
    </row>
    <row r="8810" spans="1:6" ht="15" customHeight="1">
      <c r="A8810" s="51"/>
      <c r="B8810" s="52" t="str">
        <f t="shared" si="444"/>
        <v/>
      </c>
      <c r="C8810" t="str">
        <f t="shared" si="443"/>
        <v/>
      </c>
      <c r="D8810" s="245" t="str">
        <f t="shared" si="445"/>
        <v/>
      </c>
      <c r="E8810" s="534"/>
      <c r="F8810" s="534"/>
    </row>
    <row r="8811" spans="1:6" ht="15" customHeight="1">
      <c r="A8811" s="51"/>
      <c r="B8811" s="52" t="str">
        <f t="shared" si="444"/>
        <v/>
      </c>
      <c r="C8811" t="str">
        <f t="shared" si="443"/>
        <v/>
      </c>
      <c r="D8811" s="245" t="str">
        <f t="shared" si="445"/>
        <v/>
      </c>
      <c r="E8811" s="534"/>
      <c r="F8811" s="534"/>
    </row>
    <row r="8812" spans="1:6" ht="15" customHeight="1">
      <c r="A8812" s="51"/>
      <c r="B8812" s="52" t="str">
        <f t="shared" si="444"/>
        <v/>
      </c>
      <c r="C8812" t="str">
        <f t="shared" si="443"/>
        <v/>
      </c>
      <c r="D8812" s="245" t="str">
        <f t="shared" si="445"/>
        <v/>
      </c>
      <c r="E8812" s="534"/>
      <c r="F8812" s="534"/>
    </row>
    <row r="8813" spans="1:6" ht="15" customHeight="1">
      <c r="A8813" s="51"/>
      <c r="B8813" s="52" t="str">
        <f t="shared" si="444"/>
        <v/>
      </c>
      <c r="C8813" t="str">
        <f t="shared" si="443"/>
        <v/>
      </c>
      <c r="D8813" s="245" t="str">
        <f t="shared" si="445"/>
        <v/>
      </c>
      <c r="E8813" s="534"/>
      <c r="F8813" s="534"/>
    </row>
    <row r="8814" spans="1:6" ht="15" customHeight="1">
      <c r="A8814" s="51"/>
      <c r="B8814" s="52" t="str">
        <f t="shared" si="444"/>
        <v/>
      </c>
      <c r="C8814" t="str">
        <f t="shared" si="443"/>
        <v/>
      </c>
      <c r="D8814" s="245" t="str">
        <f t="shared" si="445"/>
        <v/>
      </c>
      <c r="E8814" s="534"/>
      <c r="F8814" s="534"/>
    </row>
    <row r="8815" spans="1:6" ht="15" customHeight="1">
      <c r="A8815" s="51"/>
      <c r="B8815" s="52" t="str">
        <f t="shared" si="444"/>
        <v/>
      </c>
      <c r="C8815" t="str">
        <f t="shared" si="443"/>
        <v/>
      </c>
      <c r="D8815" s="245" t="str">
        <f t="shared" si="445"/>
        <v/>
      </c>
      <c r="E8815" s="534"/>
      <c r="F8815" s="534"/>
    </row>
    <row r="8816" spans="1:6" ht="15" customHeight="1">
      <c r="A8816" s="51"/>
      <c r="B8816" s="52" t="str">
        <f t="shared" si="444"/>
        <v/>
      </c>
      <c r="C8816" t="str">
        <f t="shared" si="443"/>
        <v/>
      </c>
      <c r="D8816" s="245" t="str">
        <f t="shared" si="445"/>
        <v/>
      </c>
      <c r="E8816" s="534"/>
      <c r="F8816" s="534"/>
    </row>
    <row r="8817" spans="1:6" ht="15" customHeight="1">
      <c r="A8817" s="51"/>
      <c r="B8817" s="52" t="str">
        <f t="shared" si="444"/>
        <v/>
      </c>
      <c r="C8817" t="str">
        <f t="shared" si="443"/>
        <v/>
      </c>
      <c r="D8817" s="245" t="str">
        <f t="shared" si="445"/>
        <v/>
      </c>
      <c r="E8817" s="534"/>
      <c r="F8817" s="534"/>
    </row>
    <row r="8818" spans="1:6" ht="15" customHeight="1">
      <c r="A8818" s="51"/>
      <c r="B8818" s="52" t="str">
        <f t="shared" si="444"/>
        <v/>
      </c>
      <c r="C8818" t="str">
        <f t="shared" si="443"/>
        <v/>
      </c>
      <c r="D8818" s="245" t="str">
        <f t="shared" si="445"/>
        <v/>
      </c>
      <c r="E8818" s="534"/>
      <c r="F8818" s="534"/>
    </row>
    <row r="8819" spans="1:6" ht="15" customHeight="1">
      <c r="A8819" s="51"/>
      <c r="B8819" s="52" t="str">
        <f t="shared" si="444"/>
        <v/>
      </c>
      <c r="C8819" t="str">
        <f t="shared" si="443"/>
        <v/>
      </c>
      <c r="D8819" s="245" t="str">
        <f t="shared" si="445"/>
        <v/>
      </c>
      <c r="E8819" s="534"/>
      <c r="F8819" s="534"/>
    </row>
    <row r="8820" spans="1:6" ht="15" customHeight="1">
      <c r="A8820" s="51"/>
      <c r="B8820" s="52" t="str">
        <f t="shared" si="444"/>
        <v/>
      </c>
      <c r="C8820" t="str">
        <f t="shared" si="443"/>
        <v/>
      </c>
      <c r="D8820" s="245" t="str">
        <f t="shared" si="445"/>
        <v/>
      </c>
      <c r="E8820" s="534"/>
      <c r="F8820" s="534"/>
    </row>
    <row r="8821" spans="1:6" ht="15" customHeight="1">
      <c r="A8821" s="51"/>
      <c r="B8821" s="52" t="str">
        <f t="shared" si="444"/>
        <v/>
      </c>
      <c r="C8821" t="str">
        <f t="shared" si="443"/>
        <v/>
      </c>
      <c r="D8821" s="245" t="str">
        <f t="shared" si="445"/>
        <v/>
      </c>
      <c r="E8821" s="534"/>
      <c r="F8821" s="534"/>
    </row>
    <row r="8822" spans="1:6" ht="15" customHeight="1">
      <c r="A8822" s="51"/>
      <c r="B8822" s="52" t="str">
        <f t="shared" si="444"/>
        <v/>
      </c>
      <c r="C8822" t="str">
        <f t="shared" si="443"/>
        <v/>
      </c>
      <c r="D8822" s="245" t="str">
        <f t="shared" si="445"/>
        <v/>
      </c>
      <c r="E8822" s="534"/>
      <c r="F8822" s="534"/>
    </row>
    <row r="8823" spans="1:6" ht="15" customHeight="1">
      <c r="A8823" s="51"/>
      <c r="B8823" s="52" t="str">
        <f t="shared" si="444"/>
        <v/>
      </c>
      <c r="C8823" t="str">
        <f t="shared" si="443"/>
        <v/>
      </c>
      <c r="D8823" s="245" t="str">
        <f t="shared" si="445"/>
        <v/>
      </c>
      <c r="E8823" s="534"/>
      <c r="F8823" s="534"/>
    </row>
    <row r="8824" spans="1:6" ht="15" customHeight="1">
      <c r="A8824" s="51"/>
      <c r="B8824" s="52" t="str">
        <f t="shared" si="444"/>
        <v/>
      </c>
      <c r="C8824" t="str">
        <f t="shared" si="443"/>
        <v/>
      </c>
      <c r="D8824" s="245" t="str">
        <f t="shared" si="445"/>
        <v/>
      </c>
      <c r="E8824" s="534"/>
      <c r="F8824" s="534"/>
    </row>
    <row r="8825" spans="1:6" ht="15" customHeight="1">
      <c r="A8825" s="51"/>
      <c r="B8825" s="52" t="str">
        <f t="shared" si="444"/>
        <v/>
      </c>
      <c r="C8825" t="str">
        <f t="shared" si="443"/>
        <v/>
      </c>
      <c r="D8825" s="245" t="str">
        <f t="shared" si="445"/>
        <v/>
      </c>
      <c r="E8825" s="534"/>
      <c r="F8825" s="534"/>
    </row>
    <row r="8826" spans="1:6" ht="15" customHeight="1">
      <c r="A8826" s="51"/>
      <c r="B8826" s="52" t="str">
        <f t="shared" si="444"/>
        <v/>
      </c>
      <c r="C8826" t="str">
        <f t="shared" si="443"/>
        <v/>
      </c>
      <c r="D8826" s="245" t="str">
        <f t="shared" si="445"/>
        <v/>
      </c>
      <c r="E8826" s="534"/>
      <c r="F8826" s="534"/>
    </row>
    <row r="8827" spans="1:6" ht="15" customHeight="1">
      <c r="A8827" s="51"/>
      <c r="B8827" s="52" t="str">
        <f t="shared" si="444"/>
        <v/>
      </c>
      <c r="C8827" t="str">
        <f t="shared" si="443"/>
        <v/>
      </c>
      <c r="D8827" s="245" t="str">
        <f t="shared" si="445"/>
        <v/>
      </c>
      <c r="E8827" s="534"/>
      <c r="F8827" s="534"/>
    </row>
    <row r="8828" spans="1:6" ht="15" customHeight="1">
      <c r="A8828" s="51"/>
      <c r="B8828" s="52" t="str">
        <f t="shared" si="444"/>
        <v/>
      </c>
      <c r="C8828" t="str">
        <f t="shared" si="443"/>
        <v/>
      </c>
      <c r="D8828" s="245" t="str">
        <f t="shared" si="445"/>
        <v/>
      </c>
      <c r="E8828" s="534"/>
      <c r="F8828" s="534"/>
    </row>
    <row r="8829" spans="1:6" ht="15" customHeight="1">
      <c r="A8829" s="51"/>
      <c r="B8829" s="52" t="str">
        <f t="shared" si="444"/>
        <v/>
      </c>
      <c r="C8829" t="str">
        <f t="shared" si="443"/>
        <v/>
      </c>
      <c r="D8829" s="245" t="str">
        <f t="shared" si="445"/>
        <v/>
      </c>
      <c r="E8829" s="534"/>
      <c r="F8829" s="534"/>
    </row>
    <row r="8830" spans="1:6" ht="15" customHeight="1">
      <c r="A8830" s="51"/>
      <c r="B8830" s="52" t="str">
        <f t="shared" si="444"/>
        <v/>
      </c>
      <c r="C8830" t="str">
        <f t="shared" si="443"/>
        <v/>
      </c>
      <c r="D8830" s="245" t="str">
        <f t="shared" si="445"/>
        <v/>
      </c>
      <c r="E8830" s="534"/>
      <c r="F8830" s="534"/>
    </row>
    <row r="8831" spans="1:6" ht="15" customHeight="1">
      <c r="A8831" s="51"/>
      <c r="B8831" s="52" t="str">
        <f t="shared" si="444"/>
        <v/>
      </c>
      <c r="C8831" t="str">
        <f t="shared" si="443"/>
        <v/>
      </c>
      <c r="D8831" s="245" t="str">
        <f t="shared" si="445"/>
        <v/>
      </c>
      <c r="E8831" s="534"/>
      <c r="F8831" s="534"/>
    </row>
    <row r="8832" spans="1:6" ht="15" customHeight="1">
      <c r="A8832" s="51"/>
      <c r="B8832" s="52" t="str">
        <f t="shared" si="444"/>
        <v/>
      </c>
      <c r="C8832" t="str">
        <f t="shared" si="443"/>
        <v/>
      </c>
      <c r="D8832" s="245" t="str">
        <f t="shared" si="445"/>
        <v/>
      </c>
      <c r="E8832" s="534"/>
      <c r="F8832" s="534"/>
    </row>
    <row r="8833" spans="1:6" ht="15" customHeight="1">
      <c r="A8833" s="51"/>
      <c r="B8833" s="52" t="str">
        <f t="shared" si="444"/>
        <v/>
      </c>
      <c r="C8833" t="str">
        <f t="shared" si="443"/>
        <v/>
      </c>
      <c r="D8833" s="245" t="str">
        <f t="shared" si="445"/>
        <v/>
      </c>
      <c r="E8833" s="534"/>
      <c r="F8833" s="534"/>
    </row>
    <row r="8834" spans="1:6" ht="15" customHeight="1">
      <c r="A8834" s="51"/>
      <c r="B8834" s="52" t="str">
        <f t="shared" si="444"/>
        <v/>
      </c>
      <c r="C8834" t="str">
        <f t="shared" ref="C8834:C8897" si="446">IF(A8834&lt;&gt;"",TEXT(A8834,"aaaa"),"")</f>
        <v/>
      </c>
      <c r="D8834" s="245" t="str">
        <f t="shared" si="445"/>
        <v/>
      </c>
      <c r="E8834" s="534"/>
      <c r="F8834" s="534"/>
    </row>
    <row r="8835" spans="1:6" ht="15" customHeight="1">
      <c r="A8835" s="51"/>
      <c r="B8835" s="52" t="str">
        <f t="shared" si="444"/>
        <v/>
      </c>
      <c r="C8835" t="str">
        <f t="shared" si="446"/>
        <v/>
      </c>
      <c r="D8835" s="245" t="str">
        <f t="shared" si="445"/>
        <v/>
      </c>
      <c r="E8835" s="534"/>
      <c r="F8835" s="534"/>
    </row>
    <row r="8836" spans="1:6" ht="15" customHeight="1">
      <c r="A8836" s="51"/>
      <c r="B8836" s="52" t="str">
        <f t="shared" si="444"/>
        <v/>
      </c>
      <c r="C8836" t="str">
        <f t="shared" si="446"/>
        <v/>
      </c>
      <c r="D8836" s="245" t="str">
        <f t="shared" si="445"/>
        <v/>
      </c>
      <c r="E8836" s="534"/>
      <c r="F8836" s="534"/>
    </row>
    <row r="8837" spans="1:6" ht="15" customHeight="1">
      <c r="A8837" s="51"/>
      <c r="B8837" s="52" t="str">
        <f t="shared" si="444"/>
        <v/>
      </c>
      <c r="C8837" t="str">
        <f t="shared" si="446"/>
        <v/>
      </c>
      <c r="D8837" s="245" t="str">
        <f t="shared" si="445"/>
        <v/>
      </c>
      <c r="E8837" s="534"/>
      <c r="F8837" s="534"/>
    </row>
    <row r="8838" spans="1:6" ht="15" customHeight="1">
      <c r="A8838" s="51"/>
      <c r="B8838" s="52" t="str">
        <f t="shared" si="444"/>
        <v/>
      </c>
      <c r="C8838" t="str">
        <f t="shared" si="446"/>
        <v/>
      </c>
      <c r="D8838" s="245" t="str">
        <f t="shared" si="445"/>
        <v/>
      </c>
      <c r="E8838" s="534"/>
      <c r="F8838" s="534"/>
    </row>
    <row r="8839" spans="1:6" ht="15" customHeight="1">
      <c r="A8839" s="51"/>
      <c r="B8839" s="52" t="str">
        <f t="shared" si="444"/>
        <v/>
      </c>
      <c r="C8839" t="str">
        <f t="shared" si="446"/>
        <v/>
      </c>
      <c r="D8839" s="245" t="str">
        <f t="shared" si="445"/>
        <v/>
      </c>
      <c r="E8839" s="534"/>
      <c r="F8839" s="534"/>
    </row>
    <row r="8840" spans="1:6" ht="15" customHeight="1">
      <c r="A8840" s="51"/>
      <c r="B8840" s="52" t="str">
        <f t="shared" ref="B8840:B8903" si="447">IF(A8840="","",TEXT(A8840,"DDDD"))</f>
        <v/>
      </c>
      <c r="C8840" t="str">
        <f t="shared" si="446"/>
        <v/>
      </c>
      <c r="D8840" s="245" t="str">
        <f t="shared" si="445"/>
        <v/>
      </c>
      <c r="E8840" s="534"/>
      <c r="F8840" s="534"/>
    </row>
    <row r="8841" spans="1:6" ht="15" customHeight="1">
      <c r="A8841" s="51"/>
      <c r="B8841" s="52" t="str">
        <f t="shared" si="447"/>
        <v/>
      </c>
      <c r="C8841" t="str">
        <f t="shared" si="446"/>
        <v/>
      </c>
      <c r="D8841" s="245" t="str">
        <f t="shared" ref="D8841:D8904" si="448">IF(A8841&lt;&gt;"",PROPER(TEXT(A8841,"Mmmm")),"")</f>
        <v/>
      </c>
      <c r="E8841" s="534"/>
      <c r="F8841" s="534"/>
    </row>
    <row r="8842" spans="1:6" ht="15" customHeight="1">
      <c r="A8842" s="51"/>
      <c r="B8842" s="52" t="str">
        <f t="shared" si="447"/>
        <v/>
      </c>
      <c r="C8842" t="str">
        <f t="shared" si="446"/>
        <v/>
      </c>
      <c r="D8842" s="245" t="str">
        <f t="shared" si="448"/>
        <v/>
      </c>
      <c r="E8842" s="534"/>
      <c r="F8842" s="534"/>
    </row>
    <row r="8843" spans="1:6" ht="15" customHeight="1">
      <c r="A8843" s="51"/>
      <c r="B8843" s="52" t="str">
        <f t="shared" si="447"/>
        <v/>
      </c>
      <c r="C8843" t="str">
        <f t="shared" si="446"/>
        <v/>
      </c>
      <c r="D8843" s="245" t="str">
        <f t="shared" si="448"/>
        <v/>
      </c>
      <c r="E8843" s="534"/>
      <c r="F8843" s="534"/>
    </row>
    <row r="8844" spans="1:6" ht="15" customHeight="1">
      <c r="A8844" s="51"/>
      <c r="B8844" s="52" t="str">
        <f t="shared" si="447"/>
        <v/>
      </c>
      <c r="C8844" t="str">
        <f t="shared" si="446"/>
        <v/>
      </c>
      <c r="D8844" s="245" t="str">
        <f t="shared" si="448"/>
        <v/>
      </c>
      <c r="E8844" s="534"/>
      <c r="F8844" s="534"/>
    </row>
    <row r="8845" spans="1:6" ht="15" customHeight="1">
      <c r="A8845" s="51"/>
      <c r="B8845" s="52" t="str">
        <f t="shared" si="447"/>
        <v/>
      </c>
      <c r="C8845" t="str">
        <f t="shared" si="446"/>
        <v/>
      </c>
      <c r="D8845" s="245" t="str">
        <f t="shared" si="448"/>
        <v/>
      </c>
      <c r="E8845" s="534"/>
      <c r="F8845" s="534"/>
    </row>
    <row r="8846" spans="1:6" ht="15" customHeight="1">
      <c r="A8846" s="51"/>
      <c r="B8846" s="52" t="str">
        <f t="shared" si="447"/>
        <v/>
      </c>
      <c r="C8846" t="str">
        <f t="shared" si="446"/>
        <v/>
      </c>
      <c r="D8846" s="245" t="str">
        <f t="shared" si="448"/>
        <v/>
      </c>
      <c r="E8846" s="534"/>
      <c r="F8846" s="534"/>
    </row>
    <row r="8847" spans="1:6" ht="15" customHeight="1">
      <c r="A8847" s="51"/>
      <c r="B8847" s="52" t="str">
        <f t="shared" si="447"/>
        <v/>
      </c>
      <c r="C8847" t="str">
        <f t="shared" si="446"/>
        <v/>
      </c>
      <c r="D8847" s="245" t="str">
        <f t="shared" si="448"/>
        <v/>
      </c>
      <c r="E8847" s="534"/>
      <c r="F8847" s="534"/>
    </row>
    <row r="8848" spans="1:6" ht="15" customHeight="1">
      <c r="A8848" s="51"/>
      <c r="B8848" s="52" t="str">
        <f t="shared" si="447"/>
        <v/>
      </c>
      <c r="C8848" t="str">
        <f t="shared" si="446"/>
        <v/>
      </c>
      <c r="D8848" s="245" t="str">
        <f t="shared" si="448"/>
        <v/>
      </c>
      <c r="E8848" s="534"/>
      <c r="F8848" s="534"/>
    </row>
    <row r="8849" spans="1:6" ht="15" customHeight="1">
      <c r="A8849" s="51"/>
      <c r="B8849" s="52" t="str">
        <f t="shared" si="447"/>
        <v/>
      </c>
      <c r="C8849" t="str">
        <f t="shared" si="446"/>
        <v/>
      </c>
      <c r="D8849" s="245" t="str">
        <f t="shared" si="448"/>
        <v/>
      </c>
      <c r="E8849" s="534"/>
      <c r="F8849" s="534"/>
    </row>
    <row r="8850" spans="1:6" ht="15" customHeight="1">
      <c r="A8850" s="51"/>
      <c r="B8850" s="52" t="str">
        <f t="shared" si="447"/>
        <v/>
      </c>
      <c r="C8850" t="str">
        <f t="shared" si="446"/>
        <v/>
      </c>
      <c r="D8850" s="245" t="str">
        <f t="shared" si="448"/>
        <v/>
      </c>
      <c r="E8850" s="534"/>
      <c r="F8850" s="534"/>
    </row>
    <row r="8851" spans="1:6" ht="15" customHeight="1">
      <c r="A8851" s="51"/>
      <c r="B8851" s="52" t="str">
        <f t="shared" si="447"/>
        <v/>
      </c>
      <c r="C8851" t="str">
        <f t="shared" si="446"/>
        <v/>
      </c>
      <c r="D8851" s="245" t="str">
        <f t="shared" si="448"/>
        <v/>
      </c>
      <c r="E8851" s="534"/>
      <c r="F8851" s="534"/>
    </row>
    <row r="8852" spans="1:6" ht="15" customHeight="1">
      <c r="A8852" s="51"/>
      <c r="B8852" s="52" t="str">
        <f t="shared" si="447"/>
        <v/>
      </c>
      <c r="C8852" t="str">
        <f t="shared" si="446"/>
        <v/>
      </c>
      <c r="D8852" s="245" t="str">
        <f t="shared" si="448"/>
        <v/>
      </c>
      <c r="E8852" s="534"/>
      <c r="F8852" s="534"/>
    </row>
    <row r="8853" spans="1:6" ht="15" customHeight="1">
      <c r="A8853" s="51"/>
      <c r="B8853" s="52" t="str">
        <f t="shared" si="447"/>
        <v/>
      </c>
      <c r="C8853" t="str">
        <f t="shared" si="446"/>
        <v/>
      </c>
      <c r="D8853" s="245" t="str">
        <f t="shared" si="448"/>
        <v/>
      </c>
      <c r="E8853" s="534"/>
      <c r="F8853" s="534"/>
    </row>
    <row r="8854" spans="1:6" ht="15" customHeight="1">
      <c r="A8854" s="51"/>
      <c r="B8854" s="52" t="str">
        <f t="shared" si="447"/>
        <v/>
      </c>
      <c r="C8854" t="str">
        <f t="shared" si="446"/>
        <v/>
      </c>
      <c r="D8854" s="245" t="str">
        <f t="shared" si="448"/>
        <v/>
      </c>
      <c r="E8854" s="534"/>
      <c r="F8854" s="534"/>
    </row>
    <row r="8855" spans="1:6" ht="15" customHeight="1">
      <c r="A8855" s="51"/>
      <c r="B8855" s="52" t="str">
        <f t="shared" si="447"/>
        <v/>
      </c>
      <c r="C8855" t="str">
        <f t="shared" si="446"/>
        <v/>
      </c>
      <c r="D8855" s="245" t="str">
        <f t="shared" si="448"/>
        <v/>
      </c>
      <c r="E8855" s="534"/>
      <c r="F8855" s="534"/>
    </row>
    <row r="8856" spans="1:6" ht="15" customHeight="1">
      <c r="A8856" s="51"/>
      <c r="B8856" s="52" t="str">
        <f t="shared" si="447"/>
        <v/>
      </c>
      <c r="C8856" t="str">
        <f t="shared" si="446"/>
        <v/>
      </c>
      <c r="D8856" s="245" t="str">
        <f t="shared" si="448"/>
        <v/>
      </c>
      <c r="E8856" s="534"/>
      <c r="F8856" s="534"/>
    </row>
    <row r="8857" spans="1:6" ht="15" customHeight="1">
      <c r="A8857" s="51"/>
      <c r="B8857" s="52" t="str">
        <f t="shared" si="447"/>
        <v/>
      </c>
      <c r="C8857" t="str">
        <f t="shared" si="446"/>
        <v/>
      </c>
      <c r="D8857" s="245" t="str">
        <f t="shared" si="448"/>
        <v/>
      </c>
      <c r="E8857" s="534"/>
      <c r="F8857" s="534"/>
    </row>
    <row r="8858" spans="1:6" ht="15" customHeight="1">
      <c r="A8858" s="51"/>
      <c r="B8858" s="52" t="str">
        <f t="shared" si="447"/>
        <v/>
      </c>
      <c r="C8858" t="str">
        <f t="shared" si="446"/>
        <v/>
      </c>
      <c r="D8858" s="245" t="str">
        <f t="shared" si="448"/>
        <v/>
      </c>
      <c r="E8858" s="534"/>
      <c r="F8858" s="534"/>
    </row>
    <row r="8859" spans="1:6" ht="15" customHeight="1">
      <c r="A8859" s="51"/>
      <c r="B8859" s="52" t="str">
        <f t="shared" si="447"/>
        <v/>
      </c>
      <c r="C8859" t="str">
        <f t="shared" si="446"/>
        <v/>
      </c>
      <c r="D8859" s="245" t="str">
        <f t="shared" si="448"/>
        <v/>
      </c>
      <c r="E8859" s="534"/>
      <c r="F8859" s="534"/>
    </row>
    <row r="8860" spans="1:6" ht="15" customHeight="1">
      <c r="A8860" s="51"/>
      <c r="B8860" s="52" t="str">
        <f t="shared" si="447"/>
        <v/>
      </c>
      <c r="C8860" t="str">
        <f t="shared" si="446"/>
        <v/>
      </c>
      <c r="D8860" s="245" t="str">
        <f t="shared" si="448"/>
        <v/>
      </c>
      <c r="E8860" s="534"/>
      <c r="F8860" s="534"/>
    </row>
    <row r="8861" spans="1:6" ht="15" customHeight="1">
      <c r="A8861" s="51"/>
      <c r="B8861" s="52" t="str">
        <f t="shared" si="447"/>
        <v/>
      </c>
      <c r="C8861" t="str">
        <f t="shared" si="446"/>
        <v/>
      </c>
      <c r="D8861" s="245" t="str">
        <f t="shared" si="448"/>
        <v/>
      </c>
      <c r="E8861" s="534"/>
      <c r="F8861" s="534"/>
    </row>
    <row r="8862" spans="1:6" ht="15" customHeight="1">
      <c r="A8862" s="51"/>
      <c r="B8862" s="52" t="str">
        <f t="shared" si="447"/>
        <v/>
      </c>
      <c r="C8862" t="str">
        <f t="shared" si="446"/>
        <v/>
      </c>
      <c r="D8862" s="245" t="str">
        <f t="shared" si="448"/>
        <v/>
      </c>
      <c r="E8862" s="534"/>
      <c r="F8862" s="534"/>
    </row>
    <row r="8863" spans="1:6" ht="15" customHeight="1">
      <c r="A8863" s="51"/>
      <c r="B8863" s="52" t="str">
        <f t="shared" si="447"/>
        <v/>
      </c>
      <c r="C8863" t="str">
        <f t="shared" si="446"/>
        <v/>
      </c>
      <c r="D8863" s="245" t="str">
        <f t="shared" si="448"/>
        <v/>
      </c>
      <c r="E8863" s="534"/>
      <c r="F8863" s="534"/>
    </row>
    <row r="8864" spans="1:6" ht="15" customHeight="1">
      <c r="A8864" s="51"/>
      <c r="B8864" s="52" t="str">
        <f t="shared" si="447"/>
        <v/>
      </c>
      <c r="C8864" t="str">
        <f t="shared" si="446"/>
        <v/>
      </c>
      <c r="D8864" s="245" t="str">
        <f t="shared" si="448"/>
        <v/>
      </c>
      <c r="E8864" s="534"/>
      <c r="F8864" s="534"/>
    </row>
    <row r="8865" spans="1:6" ht="15" customHeight="1">
      <c r="A8865" s="51"/>
      <c r="B8865" s="52" t="str">
        <f t="shared" si="447"/>
        <v/>
      </c>
      <c r="C8865" t="str">
        <f t="shared" si="446"/>
        <v/>
      </c>
      <c r="D8865" s="245" t="str">
        <f t="shared" si="448"/>
        <v/>
      </c>
      <c r="E8865" s="534"/>
      <c r="F8865" s="534"/>
    </row>
    <row r="8866" spans="1:6" ht="15" customHeight="1">
      <c r="A8866" s="51"/>
      <c r="B8866" s="52" t="str">
        <f t="shared" si="447"/>
        <v/>
      </c>
      <c r="C8866" t="str">
        <f t="shared" si="446"/>
        <v/>
      </c>
      <c r="D8866" s="245" t="str">
        <f t="shared" si="448"/>
        <v/>
      </c>
      <c r="E8866" s="534"/>
      <c r="F8866" s="534"/>
    </row>
    <row r="8867" spans="1:6" ht="15" customHeight="1">
      <c r="A8867" s="51"/>
      <c r="B8867" s="52" t="str">
        <f t="shared" si="447"/>
        <v/>
      </c>
      <c r="C8867" t="str">
        <f t="shared" si="446"/>
        <v/>
      </c>
      <c r="D8867" s="245" t="str">
        <f t="shared" si="448"/>
        <v/>
      </c>
      <c r="E8867" s="534"/>
      <c r="F8867" s="534"/>
    </row>
    <row r="8868" spans="1:6" ht="15" customHeight="1">
      <c r="A8868" s="51"/>
      <c r="B8868" s="52" t="str">
        <f t="shared" si="447"/>
        <v/>
      </c>
      <c r="C8868" t="str">
        <f t="shared" si="446"/>
        <v/>
      </c>
      <c r="D8868" s="245" t="str">
        <f t="shared" si="448"/>
        <v/>
      </c>
      <c r="E8868" s="534"/>
      <c r="F8868" s="534"/>
    </row>
    <row r="8869" spans="1:6" ht="15" customHeight="1">
      <c r="A8869" s="51"/>
      <c r="B8869" s="52" t="str">
        <f t="shared" si="447"/>
        <v/>
      </c>
      <c r="C8869" t="str">
        <f t="shared" si="446"/>
        <v/>
      </c>
      <c r="D8869" s="245" t="str">
        <f t="shared" si="448"/>
        <v/>
      </c>
      <c r="E8869" s="534"/>
      <c r="F8869" s="534"/>
    </row>
    <row r="8870" spans="1:6" ht="15" customHeight="1">
      <c r="A8870" s="51"/>
      <c r="B8870" s="52" t="str">
        <f t="shared" si="447"/>
        <v/>
      </c>
      <c r="C8870" t="str">
        <f t="shared" si="446"/>
        <v/>
      </c>
      <c r="D8870" s="245" t="str">
        <f t="shared" si="448"/>
        <v/>
      </c>
      <c r="E8870" s="534"/>
      <c r="F8870" s="534"/>
    </row>
    <row r="8871" spans="1:6" ht="15" customHeight="1">
      <c r="A8871" s="51"/>
      <c r="B8871" s="52" t="str">
        <f t="shared" si="447"/>
        <v/>
      </c>
      <c r="C8871" t="str">
        <f t="shared" si="446"/>
        <v/>
      </c>
      <c r="D8871" s="245" t="str">
        <f t="shared" si="448"/>
        <v/>
      </c>
      <c r="E8871" s="534"/>
      <c r="F8871" s="534"/>
    </row>
    <row r="8872" spans="1:6" ht="15" customHeight="1">
      <c r="A8872" s="51"/>
      <c r="B8872" s="52" t="str">
        <f t="shared" si="447"/>
        <v/>
      </c>
      <c r="C8872" t="str">
        <f t="shared" si="446"/>
        <v/>
      </c>
      <c r="D8872" s="245" t="str">
        <f t="shared" si="448"/>
        <v/>
      </c>
      <c r="E8872" s="534"/>
      <c r="F8872" s="534"/>
    </row>
    <row r="8873" spans="1:6" ht="15" customHeight="1">
      <c r="A8873" s="51"/>
      <c r="B8873" s="52" t="str">
        <f t="shared" si="447"/>
        <v/>
      </c>
      <c r="C8873" t="str">
        <f t="shared" si="446"/>
        <v/>
      </c>
      <c r="D8873" s="245" t="str">
        <f t="shared" si="448"/>
        <v/>
      </c>
      <c r="E8873" s="534"/>
      <c r="F8873" s="534"/>
    </row>
    <row r="8874" spans="1:6" ht="15" customHeight="1">
      <c r="A8874" s="51"/>
      <c r="B8874" s="52" t="str">
        <f t="shared" si="447"/>
        <v/>
      </c>
      <c r="C8874" t="str">
        <f t="shared" si="446"/>
        <v/>
      </c>
      <c r="D8874" s="245" t="str">
        <f t="shared" si="448"/>
        <v/>
      </c>
      <c r="E8874" s="534"/>
      <c r="F8874" s="534"/>
    </row>
    <row r="8875" spans="1:6" ht="15" customHeight="1">
      <c r="A8875" s="51"/>
      <c r="B8875" s="52" t="str">
        <f t="shared" si="447"/>
        <v/>
      </c>
      <c r="C8875" t="str">
        <f t="shared" si="446"/>
        <v/>
      </c>
      <c r="D8875" s="245" t="str">
        <f t="shared" si="448"/>
        <v/>
      </c>
      <c r="E8875" s="534"/>
      <c r="F8875" s="534"/>
    </row>
    <row r="8876" spans="1:6" ht="15" customHeight="1">
      <c r="A8876" s="51"/>
      <c r="B8876" s="52" t="str">
        <f t="shared" si="447"/>
        <v/>
      </c>
      <c r="C8876" t="str">
        <f t="shared" si="446"/>
        <v/>
      </c>
      <c r="D8876" s="245" t="str">
        <f t="shared" si="448"/>
        <v/>
      </c>
      <c r="E8876" s="534"/>
      <c r="F8876" s="534"/>
    </row>
    <row r="8877" spans="1:6" ht="15" customHeight="1">
      <c r="A8877" s="51"/>
      <c r="B8877" s="52" t="str">
        <f t="shared" si="447"/>
        <v/>
      </c>
      <c r="C8877" t="str">
        <f t="shared" si="446"/>
        <v/>
      </c>
      <c r="D8877" s="245" t="str">
        <f t="shared" si="448"/>
        <v/>
      </c>
      <c r="E8877" s="534"/>
      <c r="F8877" s="534"/>
    </row>
    <row r="8878" spans="1:6" ht="15" customHeight="1">
      <c r="A8878" s="51"/>
      <c r="B8878" s="52" t="str">
        <f t="shared" si="447"/>
        <v/>
      </c>
      <c r="C8878" t="str">
        <f t="shared" si="446"/>
        <v/>
      </c>
      <c r="D8878" s="245" t="str">
        <f t="shared" si="448"/>
        <v/>
      </c>
      <c r="E8878" s="534"/>
      <c r="F8878" s="534"/>
    </row>
    <row r="8879" spans="1:6" ht="15" customHeight="1">
      <c r="A8879" s="51"/>
      <c r="B8879" s="52" t="str">
        <f t="shared" si="447"/>
        <v/>
      </c>
      <c r="C8879" t="str">
        <f t="shared" si="446"/>
        <v/>
      </c>
      <c r="D8879" s="245" t="str">
        <f t="shared" si="448"/>
        <v/>
      </c>
      <c r="E8879" s="534"/>
      <c r="F8879" s="534"/>
    </row>
    <row r="8880" spans="1:6" ht="15" customHeight="1">
      <c r="A8880" s="51"/>
      <c r="B8880" s="52" t="str">
        <f t="shared" si="447"/>
        <v/>
      </c>
      <c r="C8880" t="str">
        <f t="shared" si="446"/>
        <v/>
      </c>
      <c r="D8880" s="245" t="str">
        <f t="shared" si="448"/>
        <v/>
      </c>
      <c r="E8880" s="534"/>
      <c r="F8880" s="534"/>
    </row>
    <row r="8881" spans="1:6" ht="15" customHeight="1">
      <c r="A8881" s="51"/>
      <c r="B8881" s="52" t="str">
        <f t="shared" si="447"/>
        <v/>
      </c>
      <c r="C8881" t="str">
        <f t="shared" si="446"/>
        <v/>
      </c>
      <c r="D8881" s="245" t="str">
        <f t="shared" si="448"/>
        <v/>
      </c>
      <c r="E8881" s="534"/>
      <c r="F8881" s="534"/>
    </row>
    <row r="8882" spans="1:6" ht="15" customHeight="1">
      <c r="A8882" s="51"/>
      <c r="B8882" s="52" t="str">
        <f t="shared" si="447"/>
        <v/>
      </c>
      <c r="C8882" t="str">
        <f t="shared" si="446"/>
        <v/>
      </c>
      <c r="D8882" s="245" t="str">
        <f t="shared" si="448"/>
        <v/>
      </c>
      <c r="E8882" s="534"/>
      <c r="F8882" s="534"/>
    </row>
    <row r="8883" spans="1:6" ht="15" customHeight="1">
      <c r="A8883" s="51"/>
      <c r="B8883" s="52" t="str">
        <f t="shared" si="447"/>
        <v/>
      </c>
      <c r="C8883" t="str">
        <f t="shared" si="446"/>
        <v/>
      </c>
      <c r="D8883" s="245" t="str">
        <f t="shared" si="448"/>
        <v/>
      </c>
      <c r="E8883" s="534"/>
      <c r="F8883" s="534"/>
    </row>
    <row r="8884" spans="1:6" ht="15" customHeight="1">
      <c r="A8884" s="51"/>
      <c r="B8884" s="52" t="str">
        <f t="shared" si="447"/>
        <v/>
      </c>
      <c r="C8884" t="str">
        <f t="shared" si="446"/>
        <v/>
      </c>
      <c r="D8884" s="245" t="str">
        <f t="shared" si="448"/>
        <v/>
      </c>
      <c r="E8884" s="534"/>
      <c r="F8884" s="534"/>
    </row>
    <row r="8885" spans="1:6" ht="15" customHeight="1">
      <c r="A8885" s="51"/>
      <c r="B8885" s="52" t="str">
        <f t="shared" si="447"/>
        <v/>
      </c>
      <c r="C8885" t="str">
        <f t="shared" si="446"/>
        <v/>
      </c>
      <c r="D8885" s="245" t="str">
        <f t="shared" si="448"/>
        <v/>
      </c>
      <c r="E8885" s="534"/>
      <c r="F8885" s="534"/>
    </row>
    <row r="8886" spans="1:6" ht="15" customHeight="1">
      <c r="A8886" s="51"/>
      <c r="B8886" s="52" t="str">
        <f t="shared" si="447"/>
        <v/>
      </c>
      <c r="C8886" t="str">
        <f t="shared" si="446"/>
        <v/>
      </c>
      <c r="D8886" s="245" t="str">
        <f t="shared" si="448"/>
        <v/>
      </c>
      <c r="E8886" s="534"/>
      <c r="F8886" s="534"/>
    </row>
    <row r="8887" spans="1:6" ht="15" customHeight="1">
      <c r="A8887" s="51"/>
      <c r="B8887" s="52" t="str">
        <f t="shared" si="447"/>
        <v/>
      </c>
      <c r="C8887" t="str">
        <f t="shared" si="446"/>
        <v/>
      </c>
      <c r="D8887" s="245" t="str">
        <f t="shared" si="448"/>
        <v/>
      </c>
      <c r="E8887" s="534"/>
      <c r="F8887" s="534"/>
    </row>
    <row r="8888" spans="1:6" ht="15" customHeight="1">
      <c r="A8888" s="51"/>
      <c r="B8888" s="52" t="str">
        <f t="shared" si="447"/>
        <v/>
      </c>
      <c r="C8888" t="str">
        <f t="shared" si="446"/>
        <v/>
      </c>
      <c r="D8888" s="245" t="str">
        <f t="shared" si="448"/>
        <v/>
      </c>
      <c r="E8888" s="534"/>
      <c r="F8888" s="534"/>
    </row>
    <row r="8889" spans="1:6" ht="15" customHeight="1">
      <c r="A8889" s="51"/>
      <c r="B8889" s="52" t="str">
        <f t="shared" si="447"/>
        <v/>
      </c>
      <c r="C8889" t="str">
        <f t="shared" si="446"/>
        <v/>
      </c>
      <c r="D8889" s="245" t="str">
        <f t="shared" si="448"/>
        <v/>
      </c>
      <c r="E8889" s="534"/>
      <c r="F8889" s="534"/>
    </row>
    <row r="8890" spans="1:6" ht="15" customHeight="1">
      <c r="A8890" s="51"/>
      <c r="B8890" s="52" t="str">
        <f t="shared" si="447"/>
        <v/>
      </c>
      <c r="C8890" t="str">
        <f t="shared" si="446"/>
        <v/>
      </c>
      <c r="D8890" s="245" t="str">
        <f t="shared" si="448"/>
        <v/>
      </c>
      <c r="E8890" s="534"/>
      <c r="F8890" s="534"/>
    </row>
    <row r="8891" spans="1:6" ht="15" customHeight="1">
      <c r="A8891" s="51"/>
      <c r="B8891" s="52" t="str">
        <f t="shared" si="447"/>
        <v/>
      </c>
      <c r="C8891" t="str">
        <f t="shared" si="446"/>
        <v/>
      </c>
      <c r="D8891" s="245" t="str">
        <f t="shared" si="448"/>
        <v/>
      </c>
      <c r="E8891" s="534"/>
      <c r="F8891" s="534"/>
    </row>
    <row r="8892" spans="1:6" ht="15" customHeight="1">
      <c r="A8892" s="51"/>
      <c r="B8892" s="52" t="str">
        <f t="shared" si="447"/>
        <v/>
      </c>
      <c r="C8892" t="str">
        <f t="shared" si="446"/>
        <v/>
      </c>
      <c r="D8892" s="245" t="str">
        <f t="shared" si="448"/>
        <v/>
      </c>
      <c r="E8892" s="534"/>
      <c r="F8892" s="534"/>
    </row>
    <row r="8893" spans="1:6" ht="15" customHeight="1">
      <c r="A8893" s="51"/>
      <c r="B8893" s="52" t="str">
        <f t="shared" si="447"/>
        <v/>
      </c>
      <c r="C8893" t="str">
        <f t="shared" si="446"/>
        <v/>
      </c>
      <c r="D8893" s="245" t="str">
        <f t="shared" si="448"/>
        <v/>
      </c>
      <c r="E8893" s="534"/>
      <c r="F8893" s="534"/>
    </row>
    <row r="8894" spans="1:6" ht="15" customHeight="1">
      <c r="A8894" s="51"/>
      <c r="B8894" s="52" t="str">
        <f t="shared" si="447"/>
        <v/>
      </c>
      <c r="C8894" t="str">
        <f t="shared" si="446"/>
        <v/>
      </c>
      <c r="D8894" s="245" t="str">
        <f t="shared" si="448"/>
        <v/>
      </c>
      <c r="E8894" s="534"/>
      <c r="F8894" s="534"/>
    </row>
    <row r="8895" spans="1:6" ht="15" customHeight="1">
      <c r="A8895" s="51"/>
      <c r="B8895" s="52" t="str">
        <f t="shared" si="447"/>
        <v/>
      </c>
      <c r="C8895" t="str">
        <f t="shared" si="446"/>
        <v/>
      </c>
      <c r="D8895" s="245" t="str">
        <f t="shared" si="448"/>
        <v/>
      </c>
      <c r="E8895" s="534"/>
      <c r="F8895" s="534"/>
    </row>
    <row r="8896" spans="1:6" ht="15" customHeight="1">
      <c r="A8896" s="51"/>
      <c r="B8896" s="52" t="str">
        <f t="shared" si="447"/>
        <v/>
      </c>
      <c r="C8896" t="str">
        <f t="shared" si="446"/>
        <v/>
      </c>
      <c r="D8896" s="245" t="str">
        <f t="shared" si="448"/>
        <v/>
      </c>
      <c r="E8896" s="534"/>
      <c r="F8896" s="534"/>
    </row>
    <row r="8897" spans="1:6" ht="15" customHeight="1">
      <c r="A8897" s="51"/>
      <c r="B8897" s="52" t="str">
        <f t="shared" si="447"/>
        <v/>
      </c>
      <c r="C8897" t="str">
        <f t="shared" si="446"/>
        <v/>
      </c>
      <c r="D8897" s="245" t="str">
        <f t="shared" si="448"/>
        <v/>
      </c>
      <c r="E8897" s="534"/>
      <c r="F8897" s="534"/>
    </row>
    <row r="8898" spans="1:6" ht="15" customHeight="1">
      <c r="A8898" s="51"/>
      <c r="B8898" s="52" t="str">
        <f t="shared" si="447"/>
        <v/>
      </c>
      <c r="C8898" t="str">
        <f t="shared" ref="C8898:C8961" si="449">IF(A8898&lt;&gt;"",TEXT(A8898,"aaaa"),"")</f>
        <v/>
      </c>
      <c r="D8898" s="245" t="str">
        <f t="shared" si="448"/>
        <v/>
      </c>
      <c r="E8898" s="534"/>
      <c r="F8898" s="534"/>
    </row>
    <row r="8899" spans="1:6" ht="15" customHeight="1">
      <c r="A8899" s="51"/>
      <c r="B8899" s="52" t="str">
        <f t="shared" si="447"/>
        <v/>
      </c>
      <c r="C8899" t="str">
        <f t="shared" si="449"/>
        <v/>
      </c>
      <c r="D8899" s="245" t="str">
        <f t="shared" si="448"/>
        <v/>
      </c>
      <c r="E8899" s="534"/>
      <c r="F8899" s="534"/>
    </row>
    <row r="8900" spans="1:6" ht="15" customHeight="1">
      <c r="A8900" s="51"/>
      <c r="B8900" s="52" t="str">
        <f t="shared" si="447"/>
        <v/>
      </c>
      <c r="C8900" t="str">
        <f t="shared" si="449"/>
        <v/>
      </c>
      <c r="D8900" s="245" t="str">
        <f t="shared" si="448"/>
        <v/>
      </c>
      <c r="E8900" s="534"/>
      <c r="F8900" s="534"/>
    </row>
    <row r="8901" spans="1:6" ht="15" customHeight="1">
      <c r="A8901" s="51"/>
      <c r="B8901" s="52" t="str">
        <f t="shared" si="447"/>
        <v/>
      </c>
      <c r="C8901" t="str">
        <f t="shared" si="449"/>
        <v/>
      </c>
      <c r="D8901" s="245" t="str">
        <f t="shared" si="448"/>
        <v/>
      </c>
      <c r="E8901" s="534"/>
      <c r="F8901" s="534"/>
    </row>
    <row r="8902" spans="1:6" ht="15" customHeight="1">
      <c r="A8902" s="51"/>
      <c r="B8902" s="52" t="str">
        <f t="shared" si="447"/>
        <v/>
      </c>
      <c r="C8902" t="str">
        <f t="shared" si="449"/>
        <v/>
      </c>
      <c r="D8902" s="245" t="str">
        <f t="shared" si="448"/>
        <v/>
      </c>
      <c r="E8902" s="534"/>
      <c r="F8902" s="534"/>
    </row>
    <row r="8903" spans="1:6" ht="15" customHeight="1">
      <c r="A8903" s="51"/>
      <c r="B8903" s="52" t="str">
        <f t="shared" si="447"/>
        <v/>
      </c>
      <c r="C8903" t="str">
        <f t="shared" si="449"/>
        <v/>
      </c>
      <c r="D8903" s="245" t="str">
        <f t="shared" si="448"/>
        <v/>
      </c>
      <c r="E8903" s="534"/>
      <c r="F8903" s="534"/>
    </row>
    <row r="8904" spans="1:6" ht="15" customHeight="1">
      <c r="A8904" s="51"/>
      <c r="B8904" s="52" t="str">
        <f t="shared" ref="B8904:B8967" si="450">IF(A8904="","",TEXT(A8904,"DDDD"))</f>
        <v/>
      </c>
      <c r="C8904" t="str">
        <f t="shared" si="449"/>
        <v/>
      </c>
      <c r="D8904" s="245" t="str">
        <f t="shared" si="448"/>
        <v/>
      </c>
      <c r="E8904" s="534"/>
      <c r="F8904" s="534"/>
    </row>
    <row r="8905" spans="1:6" ht="15" customHeight="1">
      <c r="A8905" s="51"/>
      <c r="B8905" s="52" t="str">
        <f t="shared" si="450"/>
        <v/>
      </c>
      <c r="C8905" t="str">
        <f t="shared" si="449"/>
        <v/>
      </c>
      <c r="D8905" s="245" t="str">
        <f t="shared" ref="D8905:D8968" si="451">IF(A8905&lt;&gt;"",PROPER(TEXT(A8905,"Mmmm")),"")</f>
        <v/>
      </c>
      <c r="E8905" s="534"/>
      <c r="F8905" s="534"/>
    </row>
    <row r="8906" spans="1:6" ht="15" customHeight="1">
      <c r="A8906" s="51"/>
      <c r="B8906" s="52" t="str">
        <f t="shared" si="450"/>
        <v/>
      </c>
      <c r="C8906" t="str">
        <f t="shared" si="449"/>
        <v/>
      </c>
      <c r="D8906" s="245" t="str">
        <f t="shared" si="451"/>
        <v/>
      </c>
      <c r="E8906" s="534"/>
      <c r="F8906" s="534"/>
    </row>
    <row r="8907" spans="1:6" ht="15" customHeight="1">
      <c r="A8907" s="51"/>
      <c r="B8907" s="52" t="str">
        <f t="shared" si="450"/>
        <v/>
      </c>
      <c r="C8907" t="str">
        <f t="shared" si="449"/>
        <v/>
      </c>
      <c r="D8907" s="245" t="str">
        <f t="shared" si="451"/>
        <v/>
      </c>
      <c r="E8907" s="534"/>
      <c r="F8907" s="534"/>
    </row>
    <row r="8908" spans="1:6" ht="15" customHeight="1">
      <c r="A8908" s="51"/>
      <c r="B8908" s="52" t="str">
        <f t="shared" si="450"/>
        <v/>
      </c>
      <c r="C8908" t="str">
        <f t="shared" si="449"/>
        <v/>
      </c>
      <c r="D8908" s="245" t="str">
        <f t="shared" si="451"/>
        <v/>
      </c>
      <c r="E8908" s="534"/>
      <c r="F8908" s="534"/>
    </row>
    <row r="8909" spans="1:6" ht="15" customHeight="1">
      <c r="A8909" s="51"/>
      <c r="B8909" s="52" t="str">
        <f t="shared" si="450"/>
        <v/>
      </c>
      <c r="C8909" t="str">
        <f t="shared" si="449"/>
        <v/>
      </c>
      <c r="D8909" s="245" t="str">
        <f t="shared" si="451"/>
        <v/>
      </c>
      <c r="E8909" s="534"/>
      <c r="F8909" s="534"/>
    </row>
    <row r="8910" spans="1:6" ht="15" customHeight="1">
      <c r="A8910" s="51"/>
      <c r="B8910" s="52" t="str">
        <f t="shared" si="450"/>
        <v/>
      </c>
      <c r="C8910" t="str">
        <f t="shared" si="449"/>
        <v/>
      </c>
      <c r="D8910" s="245" t="str">
        <f t="shared" si="451"/>
        <v/>
      </c>
      <c r="E8910" s="534"/>
      <c r="F8910" s="534"/>
    </row>
    <row r="8911" spans="1:6" ht="15" customHeight="1">
      <c r="A8911" s="51"/>
      <c r="B8911" s="52" t="str">
        <f t="shared" si="450"/>
        <v/>
      </c>
      <c r="C8911" t="str">
        <f t="shared" si="449"/>
        <v/>
      </c>
      <c r="D8911" s="245" t="str">
        <f t="shared" si="451"/>
        <v/>
      </c>
      <c r="E8911" s="534"/>
      <c r="F8911" s="534"/>
    </row>
    <row r="8912" spans="1:6" ht="15" customHeight="1">
      <c r="A8912" s="51"/>
      <c r="B8912" s="52" t="str">
        <f t="shared" si="450"/>
        <v/>
      </c>
      <c r="C8912" t="str">
        <f t="shared" si="449"/>
        <v/>
      </c>
      <c r="D8912" s="245" t="str">
        <f t="shared" si="451"/>
        <v/>
      </c>
      <c r="E8912" s="534"/>
      <c r="F8912" s="534"/>
    </row>
    <row r="8913" spans="1:6" ht="15" customHeight="1">
      <c r="A8913" s="51"/>
      <c r="B8913" s="52" t="str">
        <f t="shared" si="450"/>
        <v/>
      </c>
      <c r="C8913" t="str">
        <f t="shared" si="449"/>
        <v/>
      </c>
      <c r="D8913" s="245" t="str">
        <f t="shared" si="451"/>
        <v/>
      </c>
      <c r="E8913" s="534"/>
      <c r="F8913" s="534"/>
    </row>
    <row r="8914" spans="1:6" ht="15" customHeight="1">
      <c r="A8914" s="51"/>
      <c r="B8914" s="52" t="str">
        <f t="shared" si="450"/>
        <v/>
      </c>
      <c r="C8914" t="str">
        <f t="shared" si="449"/>
        <v/>
      </c>
      <c r="D8914" s="245" t="str">
        <f t="shared" si="451"/>
        <v/>
      </c>
      <c r="E8914" s="534"/>
      <c r="F8914" s="534"/>
    </row>
    <row r="8915" spans="1:6" ht="15" customHeight="1">
      <c r="A8915" s="51"/>
      <c r="B8915" s="52" t="str">
        <f t="shared" si="450"/>
        <v/>
      </c>
      <c r="C8915" t="str">
        <f t="shared" si="449"/>
        <v/>
      </c>
      <c r="D8915" s="245" t="str">
        <f t="shared" si="451"/>
        <v/>
      </c>
      <c r="E8915" s="534"/>
      <c r="F8915" s="534"/>
    </row>
    <row r="8916" spans="1:6" ht="15" customHeight="1">
      <c r="A8916" s="51"/>
      <c r="B8916" s="52" t="str">
        <f t="shared" si="450"/>
        <v/>
      </c>
      <c r="C8916" t="str">
        <f t="shared" si="449"/>
        <v/>
      </c>
      <c r="D8916" s="245" t="str">
        <f t="shared" si="451"/>
        <v/>
      </c>
      <c r="E8916" s="534"/>
      <c r="F8916" s="534"/>
    </row>
    <row r="8917" spans="1:6" ht="15" customHeight="1">
      <c r="A8917" s="51"/>
      <c r="B8917" s="52" t="str">
        <f t="shared" si="450"/>
        <v/>
      </c>
      <c r="C8917" t="str">
        <f t="shared" si="449"/>
        <v/>
      </c>
      <c r="D8917" s="245" t="str">
        <f t="shared" si="451"/>
        <v/>
      </c>
      <c r="E8917" s="534"/>
      <c r="F8917" s="534"/>
    </row>
    <row r="8918" spans="1:6" ht="15" customHeight="1">
      <c r="A8918" s="51"/>
      <c r="B8918" s="52" t="str">
        <f t="shared" si="450"/>
        <v/>
      </c>
      <c r="C8918" t="str">
        <f t="shared" si="449"/>
        <v/>
      </c>
      <c r="D8918" s="245" t="str">
        <f t="shared" si="451"/>
        <v/>
      </c>
      <c r="E8918" s="534"/>
      <c r="F8918" s="534"/>
    </row>
    <row r="8919" spans="1:6" ht="15" customHeight="1">
      <c r="A8919" s="51"/>
      <c r="B8919" s="52" t="str">
        <f t="shared" si="450"/>
        <v/>
      </c>
      <c r="C8919" t="str">
        <f t="shared" si="449"/>
        <v/>
      </c>
      <c r="D8919" s="245" t="str">
        <f t="shared" si="451"/>
        <v/>
      </c>
      <c r="E8919" s="534"/>
      <c r="F8919" s="534"/>
    </row>
    <row r="8920" spans="1:6" ht="15" customHeight="1">
      <c r="A8920" s="51"/>
      <c r="B8920" s="52" t="str">
        <f t="shared" si="450"/>
        <v/>
      </c>
      <c r="C8920" t="str">
        <f t="shared" si="449"/>
        <v/>
      </c>
      <c r="D8920" s="245" t="str">
        <f t="shared" si="451"/>
        <v/>
      </c>
      <c r="E8920" s="534"/>
      <c r="F8920" s="534"/>
    </row>
    <row r="8921" spans="1:6" ht="15" customHeight="1">
      <c r="A8921" s="51"/>
      <c r="B8921" s="52" t="str">
        <f t="shared" si="450"/>
        <v/>
      </c>
      <c r="C8921" t="str">
        <f t="shared" si="449"/>
        <v/>
      </c>
      <c r="D8921" s="245" t="str">
        <f t="shared" si="451"/>
        <v/>
      </c>
      <c r="E8921" s="534"/>
      <c r="F8921" s="534"/>
    </row>
    <row r="8922" spans="1:6" ht="15" customHeight="1">
      <c r="A8922" s="51"/>
      <c r="B8922" s="52" t="str">
        <f t="shared" si="450"/>
        <v/>
      </c>
      <c r="C8922" t="str">
        <f t="shared" si="449"/>
        <v/>
      </c>
      <c r="D8922" s="245" t="str">
        <f t="shared" si="451"/>
        <v/>
      </c>
      <c r="E8922" s="534"/>
      <c r="F8922" s="534"/>
    </row>
    <row r="8923" spans="1:6" ht="15" customHeight="1">
      <c r="A8923" s="51"/>
      <c r="B8923" s="52" t="str">
        <f t="shared" si="450"/>
        <v/>
      </c>
      <c r="C8923" t="str">
        <f t="shared" si="449"/>
        <v/>
      </c>
      <c r="D8923" s="245" t="str">
        <f t="shared" si="451"/>
        <v/>
      </c>
      <c r="E8923" s="534"/>
      <c r="F8923" s="534"/>
    </row>
    <row r="8924" spans="1:6" ht="15" customHeight="1">
      <c r="A8924" s="51"/>
      <c r="B8924" s="52" t="str">
        <f t="shared" si="450"/>
        <v/>
      </c>
      <c r="C8924" t="str">
        <f t="shared" si="449"/>
        <v/>
      </c>
      <c r="D8924" s="245" t="str">
        <f t="shared" si="451"/>
        <v/>
      </c>
      <c r="E8924" s="534"/>
      <c r="F8924" s="534"/>
    </row>
    <row r="8925" spans="1:6" ht="15" customHeight="1">
      <c r="A8925" s="51"/>
      <c r="B8925" s="52" t="str">
        <f t="shared" si="450"/>
        <v/>
      </c>
      <c r="C8925" t="str">
        <f t="shared" si="449"/>
        <v/>
      </c>
      <c r="D8925" s="245" t="str">
        <f t="shared" si="451"/>
        <v/>
      </c>
      <c r="E8925" s="534"/>
      <c r="F8925" s="534"/>
    </row>
    <row r="8926" spans="1:6" ht="15" customHeight="1">
      <c r="A8926" s="51"/>
      <c r="B8926" s="52" t="str">
        <f t="shared" si="450"/>
        <v/>
      </c>
      <c r="C8926" t="str">
        <f t="shared" si="449"/>
        <v/>
      </c>
      <c r="D8926" s="245" t="str">
        <f t="shared" si="451"/>
        <v/>
      </c>
      <c r="E8926" s="534"/>
      <c r="F8926" s="534"/>
    </row>
    <row r="8927" spans="1:6" ht="15" customHeight="1">
      <c r="A8927" s="51"/>
      <c r="B8927" s="52" t="str">
        <f t="shared" si="450"/>
        <v/>
      </c>
      <c r="C8927" t="str">
        <f t="shared" si="449"/>
        <v/>
      </c>
      <c r="D8927" s="245" t="str">
        <f t="shared" si="451"/>
        <v/>
      </c>
      <c r="E8927" s="534"/>
      <c r="F8927" s="534"/>
    </row>
    <row r="8928" spans="1:6" ht="15" customHeight="1">
      <c r="A8928" s="51"/>
      <c r="B8928" s="52" t="str">
        <f t="shared" si="450"/>
        <v/>
      </c>
      <c r="C8928" t="str">
        <f t="shared" si="449"/>
        <v/>
      </c>
      <c r="D8928" s="245" t="str">
        <f t="shared" si="451"/>
        <v/>
      </c>
      <c r="E8928" s="534"/>
      <c r="F8928" s="534"/>
    </row>
    <row r="8929" spans="1:6" ht="15" customHeight="1">
      <c r="A8929" s="51"/>
      <c r="B8929" s="52" t="str">
        <f t="shared" si="450"/>
        <v/>
      </c>
      <c r="C8929" t="str">
        <f t="shared" si="449"/>
        <v/>
      </c>
      <c r="D8929" s="245" t="str">
        <f t="shared" si="451"/>
        <v/>
      </c>
      <c r="E8929" s="534"/>
      <c r="F8929" s="534"/>
    </row>
    <row r="8930" spans="1:6" ht="15" customHeight="1">
      <c r="A8930" s="51"/>
      <c r="B8930" s="52" t="str">
        <f t="shared" si="450"/>
        <v/>
      </c>
      <c r="C8930" t="str">
        <f t="shared" si="449"/>
        <v/>
      </c>
      <c r="D8930" s="245" t="str">
        <f t="shared" si="451"/>
        <v/>
      </c>
      <c r="E8930" s="534"/>
      <c r="F8930" s="534"/>
    </row>
    <row r="8931" spans="1:6" ht="15" customHeight="1">
      <c r="A8931" s="51"/>
      <c r="B8931" s="52" t="str">
        <f t="shared" si="450"/>
        <v/>
      </c>
      <c r="C8931" t="str">
        <f t="shared" si="449"/>
        <v/>
      </c>
      <c r="D8931" s="245" t="str">
        <f t="shared" si="451"/>
        <v/>
      </c>
      <c r="E8931" s="534"/>
      <c r="F8931" s="534"/>
    </row>
    <row r="8932" spans="1:6" ht="15" customHeight="1">
      <c r="A8932" s="51"/>
      <c r="B8932" s="52" t="str">
        <f t="shared" si="450"/>
        <v/>
      </c>
      <c r="C8932" t="str">
        <f t="shared" si="449"/>
        <v/>
      </c>
      <c r="D8932" s="245" t="str">
        <f t="shared" si="451"/>
        <v/>
      </c>
      <c r="E8932" s="534"/>
      <c r="F8932" s="534"/>
    </row>
    <row r="8933" spans="1:6" ht="15" customHeight="1">
      <c r="A8933" s="51"/>
      <c r="B8933" s="52" t="str">
        <f t="shared" si="450"/>
        <v/>
      </c>
      <c r="C8933" t="str">
        <f t="shared" si="449"/>
        <v/>
      </c>
      <c r="D8933" s="245" t="str">
        <f t="shared" si="451"/>
        <v/>
      </c>
      <c r="E8933" s="534"/>
      <c r="F8933" s="534"/>
    </row>
    <row r="8934" spans="1:6" ht="15" customHeight="1">
      <c r="A8934" s="51"/>
      <c r="B8934" s="52" t="str">
        <f t="shared" si="450"/>
        <v/>
      </c>
      <c r="C8934" t="str">
        <f t="shared" si="449"/>
        <v/>
      </c>
      <c r="D8934" s="245" t="str">
        <f t="shared" si="451"/>
        <v/>
      </c>
      <c r="E8934" s="534"/>
      <c r="F8934" s="534"/>
    </row>
    <row r="8935" spans="1:6" ht="15" customHeight="1">
      <c r="A8935" s="51"/>
      <c r="B8935" s="52" t="str">
        <f t="shared" si="450"/>
        <v/>
      </c>
      <c r="C8935" t="str">
        <f t="shared" si="449"/>
        <v/>
      </c>
      <c r="D8935" s="245" t="str">
        <f t="shared" si="451"/>
        <v/>
      </c>
      <c r="E8935" s="534"/>
      <c r="F8935" s="534"/>
    </row>
    <row r="8936" spans="1:6" ht="15" customHeight="1">
      <c r="A8936" s="51"/>
      <c r="B8936" s="52" t="str">
        <f t="shared" si="450"/>
        <v/>
      </c>
      <c r="C8936" t="str">
        <f t="shared" si="449"/>
        <v/>
      </c>
      <c r="D8936" s="245" t="str">
        <f t="shared" si="451"/>
        <v/>
      </c>
      <c r="E8936" s="534"/>
      <c r="F8936" s="534"/>
    </row>
    <row r="8937" spans="1:6" ht="15" customHeight="1">
      <c r="A8937" s="51"/>
      <c r="B8937" s="52" t="str">
        <f t="shared" si="450"/>
        <v/>
      </c>
      <c r="C8937" t="str">
        <f t="shared" si="449"/>
        <v/>
      </c>
      <c r="D8937" s="245" t="str">
        <f t="shared" si="451"/>
        <v/>
      </c>
      <c r="E8937" s="534"/>
      <c r="F8937" s="534"/>
    </row>
    <row r="8938" spans="1:6" ht="15" customHeight="1">
      <c r="A8938" s="51"/>
      <c r="B8938" s="52" t="str">
        <f t="shared" si="450"/>
        <v/>
      </c>
      <c r="C8938" t="str">
        <f t="shared" si="449"/>
        <v/>
      </c>
      <c r="D8938" s="245" t="str">
        <f t="shared" si="451"/>
        <v/>
      </c>
      <c r="E8938" s="534"/>
      <c r="F8938" s="534"/>
    </row>
    <row r="8939" spans="1:6" ht="15" customHeight="1">
      <c r="A8939" s="51"/>
      <c r="B8939" s="52" t="str">
        <f t="shared" si="450"/>
        <v/>
      </c>
      <c r="C8939" t="str">
        <f t="shared" si="449"/>
        <v/>
      </c>
      <c r="D8939" s="245" t="str">
        <f t="shared" si="451"/>
        <v/>
      </c>
      <c r="E8939" s="534"/>
      <c r="F8939" s="534"/>
    </row>
    <row r="8940" spans="1:6" ht="15" customHeight="1">
      <c r="A8940" s="51"/>
      <c r="B8940" s="52" t="str">
        <f t="shared" si="450"/>
        <v/>
      </c>
      <c r="C8940" t="str">
        <f t="shared" si="449"/>
        <v/>
      </c>
      <c r="D8940" s="245" t="str">
        <f t="shared" si="451"/>
        <v/>
      </c>
      <c r="E8940" s="534"/>
      <c r="F8940" s="534"/>
    </row>
    <row r="8941" spans="1:6" ht="15" customHeight="1">
      <c r="A8941" s="51"/>
      <c r="B8941" s="52" t="str">
        <f t="shared" si="450"/>
        <v/>
      </c>
      <c r="C8941" t="str">
        <f t="shared" si="449"/>
        <v/>
      </c>
      <c r="D8941" s="245" t="str">
        <f t="shared" si="451"/>
        <v/>
      </c>
      <c r="E8941" s="534"/>
      <c r="F8941" s="534"/>
    </row>
    <row r="8942" spans="1:6" ht="15" customHeight="1">
      <c r="A8942" s="51"/>
      <c r="B8942" s="52" t="str">
        <f t="shared" si="450"/>
        <v/>
      </c>
      <c r="C8942" t="str">
        <f t="shared" si="449"/>
        <v/>
      </c>
      <c r="D8942" s="245" t="str">
        <f t="shared" si="451"/>
        <v/>
      </c>
      <c r="E8942" s="534"/>
      <c r="F8942" s="534"/>
    </row>
    <row r="8943" spans="1:6" ht="15" customHeight="1">
      <c r="A8943" s="51"/>
      <c r="B8943" s="52" t="str">
        <f t="shared" si="450"/>
        <v/>
      </c>
      <c r="C8943" t="str">
        <f t="shared" si="449"/>
        <v/>
      </c>
      <c r="D8943" s="245" t="str">
        <f t="shared" si="451"/>
        <v/>
      </c>
      <c r="E8943" s="534"/>
      <c r="F8943" s="534"/>
    </row>
    <row r="8944" spans="1:6" ht="15" customHeight="1">
      <c r="A8944" s="51"/>
      <c r="B8944" s="52" t="str">
        <f t="shared" si="450"/>
        <v/>
      </c>
      <c r="C8944" t="str">
        <f t="shared" si="449"/>
        <v/>
      </c>
      <c r="D8944" s="245" t="str">
        <f t="shared" si="451"/>
        <v/>
      </c>
      <c r="E8944" s="534"/>
      <c r="F8944" s="534"/>
    </row>
    <row r="8945" spans="1:6" ht="15" customHeight="1">
      <c r="A8945" s="51"/>
      <c r="B8945" s="52" t="str">
        <f t="shared" si="450"/>
        <v/>
      </c>
      <c r="C8945" t="str">
        <f t="shared" si="449"/>
        <v/>
      </c>
      <c r="D8945" s="245" t="str">
        <f t="shared" si="451"/>
        <v/>
      </c>
      <c r="E8945" s="534"/>
      <c r="F8945" s="534"/>
    </row>
    <row r="8946" spans="1:6" ht="15" customHeight="1">
      <c r="A8946" s="51"/>
      <c r="B8946" s="52" t="str">
        <f t="shared" si="450"/>
        <v/>
      </c>
      <c r="C8946" t="str">
        <f t="shared" si="449"/>
        <v/>
      </c>
      <c r="D8946" s="245" t="str">
        <f t="shared" si="451"/>
        <v/>
      </c>
      <c r="E8946" s="534"/>
      <c r="F8946" s="534"/>
    </row>
    <row r="8947" spans="1:6" ht="15" customHeight="1">
      <c r="A8947" s="51"/>
      <c r="B8947" s="52" t="str">
        <f t="shared" si="450"/>
        <v/>
      </c>
      <c r="C8947" t="str">
        <f t="shared" si="449"/>
        <v/>
      </c>
      <c r="D8947" s="245" t="str">
        <f t="shared" si="451"/>
        <v/>
      </c>
      <c r="E8947" s="534"/>
      <c r="F8947" s="534"/>
    </row>
    <row r="8948" spans="1:6" ht="15" customHeight="1">
      <c r="A8948" s="51"/>
      <c r="B8948" s="52" t="str">
        <f t="shared" si="450"/>
        <v/>
      </c>
      <c r="C8948" t="str">
        <f t="shared" si="449"/>
        <v/>
      </c>
      <c r="D8948" s="245" t="str">
        <f t="shared" si="451"/>
        <v/>
      </c>
      <c r="E8948" s="534"/>
      <c r="F8948" s="534"/>
    </row>
    <row r="8949" spans="1:6" ht="15" customHeight="1">
      <c r="A8949" s="51"/>
      <c r="B8949" s="52" t="str">
        <f t="shared" si="450"/>
        <v/>
      </c>
      <c r="C8949" t="str">
        <f t="shared" si="449"/>
        <v/>
      </c>
      <c r="D8949" s="245" t="str">
        <f t="shared" si="451"/>
        <v/>
      </c>
      <c r="E8949" s="534"/>
      <c r="F8949" s="534"/>
    </row>
    <row r="8950" spans="1:6" ht="15" customHeight="1">
      <c r="A8950" s="51"/>
      <c r="B8950" s="52" t="str">
        <f t="shared" si="450"/>
        <v/>
      </c>
      <c r="C8950" t="str">
        <f t="shared" si="449"/>
        <v/>
      </c>
      <c r="D8950" s="245" t="str">
        <f t="shared" si="451"/>
        <v/>
      </c>
      <c r="E8950" s="534"/>
      <c r="F8950" s="534"/>
    </row>
    <row r="8951" spans="1:6" ht="15" customHeight="1">
      <c r="A8951" s="51"/>
      <c r="B8951" s="52" t="str">
        <f t="shared" si="450"/>
        <v/>
      </c>
      <c r="C8951" t="str">
        <f t="shared" si="449"/>
        <v/>
      </c>
      <c r="D8951" s="245" t="str">
        <f t="shared" si="451"/>
        <v/>
      </c>
      <c r="E8951" s="534"/>
      <c r="F8951" s="534"/>
    </row>
    <row r="8952" spans="1:6" ht="15" customHeight="1">
      <c r="A8952" s="51"/>
      <c r="B8952" s="52" t="str">
        <f t="shared" si="450"/>
        <v/>
      </c>
      <c r="C8952" t="str">
        <f t="shared" si="449"/>
        <v/>
      </c>
      <c r="D8952" s="245" t="str">
        <f t="shared" si="451"/>
        <v/>
      </c>
      <c r="E8952" s="534"/>
      <c r="F8952" s="534"/>
    </row>
    <row r="8953" spans="1:6" ht="15" customHeight="1">
      <c r="A8953" s="51"/>
      <c r="B8953" s="52" t="str">
        <f t="shared" si="450"/>
        <v/>
      </c>
      <c r="C8953" t="str">
        <f t="shared" si="449"/>
        <v/>
      </c>
      <c r="D8953" s="245" t="str">
        <f t="shared" si="451"/>
        <v/>
      </c>
      <c r="E8953" s="534"/>
      <c r="F8953" s="534"/>
    </row>
    <row r="8954" spans="1:6" ht="15" customHeight="1">
      <c r="A8954" s="51"/>
      <c r="B8954" s="52" t="str">
        <f t="shared" si="450"/>
        <v/>
      </c>
      <c r="C8954" t="str">
        <f t="shared" si="449"/>
        <v/>
      </c>
      <c r="D8954" s="245" t="str">
        <f t="shared" si="451"/>
        <v/>
      </c>
      <c r="E8954" s="534"/>
      <c r="F8954" s="534"/>
    </row>
    <row r="8955" spans="1:6" ht="15" customHeight="1">
      <c r="A8955" s="51"/>
      <c r="B8955" s="52" t="str">
        <f t="shared" si="450"/>
        <v/>
      </c>
      <c r="C8955" t="str">
        <f t="shared" si="449"/>
        <v/>
      </c>
      <c r="D8955" s="245" t="str">
        <f t="shared" si="451"/>
        <v/>
      </c>
      <c r="E8955" s="534"/>
      <c r="F8955" s="534"/>
    </row>
    <row r="8956" spans="1:6" ht="15" customHeight="1">
      <c r="A8956" s="51"/>
      <c r="B8956" s="52" t="str">
        <f t="shared" si="450"/>
        <v/>
      </c>
      <c r="C8956" t="str">
        <f t="shared" si="449"/>
        <v/>
      </c>
      <c r="D8956" s="245" t="str">
        <f t="shared" si="451"/>
        <v/>
      </c>
      <c r="E8956" s="534"/>
      <c r="F8956" s="534"/>
    </row>
    <row r="8957" spans="1:6" ht="15" customHeight="1">
      <c r="A8957" s="51"/>
      <c r="B8957" s="52" t="str">
        <f t="shared" si="450"/>
        <v/>
      </c>
      <c r="C8957" t="str">
        <f t="shared" si="449"/>
        <v/>
      </c>
      <c r="D8957" s="245" t="str">
        <f t="shared" si="451"/>
        <v/>
      </c>
      <c r="E8957" s="534"/>
      <c r="F8957" s="534"/>
    </row>
    <row r="8958" spans="1:6" ht="15" customHeight="1">
      <c r="A8958" s="51"/>
      <c r="B8958" s="52" t="str">
        <f t="shared" si="450"/>
        <v/>
      </c>
      <c r="C8958" t="str">
        <f t="shared" si="449"/>
        <v/>
      </c>
      <c r="D8958" s="245" t="str">
        <f t="shared" si="451"/>
        <v/>
      </c>
      <c r="E8958" s="534"/>
      <c r="F8958" s="534"/>
    </row>
    <row r="8959" spans="1:6" ht="15" customHeight="1">
      <c r="A8959" s="51"/>
      <c r="B8959" s="52" t="str">
        <f t="shared" si="450"/>
        <v/>
      </c>
      <c r="C8959" t="str">
        <f t="shared" si="449"/>
        <v/>
      </c>
      <c r="D8959" s="245" t="str">
        <f t="shared" si="451"/>
        <v/>
      </c>
      <c r="E8959" s="534"/>
      <c r="F8959" s="534"/>
    </row>
    <row r="8960" spans="1:6" ht="15" customHeight="1">
      <c r="A8960" s="51"/>
      <c r="B8960" s="52" t="str">
        <f t="shared" si="450"/>
        <v/>
      </c>
      <c r="C8960" t="str">
        <f t="shared" si="449"/>
        <v/>
      </c>
      <c r="D8960" s="245" t="str">
        <f t="shared" si="451"/>
        <v/>
      </c>
      <c r="E8960" s="534"/>
      <c r="F8960" s="534"/>
    </row>
    <row r="8961" spans="1:6" ht="15" customHeight="1">
      <c r="A8961" s="51"/>
      <c r="B8961" s="52" t="str">
        <f t="shared" si="450"/>
        <v/>
      </c>
      <c r="C8961" t="str">
        <f t="shared" si="449"/>
        <v/>
      </c>
      <c r="D8961" s="245" t="str">
        <f t="shared" si="451"/>
        <v/>
      </c>
      <c r="E8961" s="534"/>
      <c r="F8961" s="534"/>
    </row>
    <row r="8962" spans="1:6" ht="15" customHeight="1">
      <c r="A8962" s="51"/>
      <c r="B8962" s="52" t="str">
        <f t="shared" si="450"/>
        <v/>
      </c>
      <c r="C8962" t="str">
        <f t="shared" ref="C8962:C9025" si="452">IF(A8962&lt;&gt;"",TEXT(A8962,"aaaa"),"")</f>
        <v/>
      </c>
      <c r="D8962" s="245" t="str">
        <f t="shared" si="451"/>
        <v/>
      </c>
      <c r="E8962" s="534"/>
      <c r="F8962" s="534"/>
    </row>
    <row r="8963" spans="1:6" ht="15" customHeight="1">
      <c r="A8963" s="51"/>
      <c r="B8963" s="52" t="str">
        <f t="shared" si="450"/>
        <v/>
      </c>
      <c r="C8963" t="str">
        <f t="shared" si="452"/>
        <v/>
      </c>
      <c r="D8963" s="245" t="str">
        <f t="shared" si="451"/>
        <v/>
      </c>
      <c r="E8963" s="534"/>
      <c r="F8963" s="534"/>
    </row>
    <row r="8964" spans="1:6" ht="15" customHeight="1">
      <c r="A8964" s="51"/>
      <c r="B8964" s="52" t="str">
        <f t="shared" si="450"/>
        <v/>
      </c>
      <c r="C8964" t="str">
        <f t="shared" si="452"/>
        <v/>
      </c>
      <c r="D8964" s="245" t="str">
        <f t="shared" si="451"/>
        <v/>
      </c>
      <c r="E8964" s="534"/>
      <c r="F8964" s="534"/>
    </row>
    <row r="8965" spans="1:6" ht="15" customHeight="1">
      <c r="A8965" s="51"/>
      <c r="B8965" s="52" t="str">
        <f t="shared" si="450"/>
        <v/>
      </c>
      <c r="C8965" t="str">
        <f t="shared" si="452"/>
        <v/>
      </c>
      <c r="D8965" s="245" t="str">
        <f t="shared" si="451"/>
        <v/>
      </c>
      <c r="E8965" s="534"/>
      <c r="F8965" s="534"/>
    </row>
    <row r="8966" spans="1:6" ht="15" customHeight="1">
      <c r="A8966" s="51"/>
      <c r="B8966" s="52" t="str">
        <f t="shared" si="450"/>
        <v/>
      </c>
      <c r="C8966" t="str">
        <f t="shared" si="452"/>
        <v/>
      </c>
      <c r="D8966" s="245" t="str">
        <f t="shared" si="451"/>
        <v/>
      </c>
      <c r="E8966" s="534"/>
      <c r="F8966" s="534"/>
    </row>
    <row r="8967" spans="1:6" ht="15" customHeight="1">
      <c r="A8967" s="51"/>
      <c r="B8967" s="52" t="str">
        <f t="shared" si="450"/>
        <v/>
      </c>
      <c r="C8967" t="str">
        <f t="shared" si="452"/>
        <v/>
      </c>
      <c r="D8967" s="245" t="str">
        <f t="shared" si="451"/>
        <v/>
      </c>
      <c r="E8967" s="534"/>
      <c r="F8967" s="534"/>
    </row>
    <row r="8968" spans="1:6" ht="15" customHeight="1">
      <c r="A8968" s="51"/>
      <c r="B8968" s="52" t="str">
        <f t="shared" ref="B8968:B9031" si="453">IF(A8968="","",TEXT(A8968,"DDDD"))</f>
        <v/>
      </c>
      <c r="C8968" t="str">
        <f t="shared" si="452"/>
        <v/>
      </c>
      <c r="D8968" s="245" t="str">
        <f t="shared" si="451"/>
        <v/>
      </c>
      <c r="E8968" s="534"/>
      <c r="F8968" s="534"/>
    </row>
    <row r="8969" spans="1:6" ht="15" customHeight="1">
      <c r="A8969" s="51"/>
      <c r="B8969" s="52" t="str">
        <f t="shared" si="453"/>
        <v/>
      </c>
      <c r="C8969" t="str">
        <f t="shared" si="452"/>
        <v/>
      </c>
      <c r="D8969" s="245" t="str">
        <f t="shared" ref="D8969:D9032" si="454">IF(A8969&lt;&gt;"",PROPER(TEXT(A8969,"Mmmm")),"")</f>
        <v/>
      </c>
      <c r="E8969" s="534"/>
      <c r="F8969" s="534"/>
    </row>
    <row r="8970" spans="1:6" ht="15" customHeight="1">
      <c r="A8970" s="51"/>
      <c r="B8970" s="52" t="str">
        <f t="shared" si="453"/>
        <v/>
      </c>
      <c r="C8970" t="str">
        <f t="shared" si="452"/>
        <v/>
      </c>
      <c r="D8970" s="245" t="str">
        <f t="shared" si="454"/>
        <v/>
      </c>
      <c r="E8970" s="534"/>
      <c r="F8970" s="534"/>
    </row>
    <row r="8971" spans="1:6" ht="15" customHeight="1">
      <c r="A8971" s="51"/>
      <c r="B8971" s="52" t="str">
        <f t="shared" si="453"/>
        <v/>
      </c>
      <c r="C8971" t="str">
        <f t="shared" si="452"/>
        <v/>
      </c>
      <c r="D8971" s="245" t="str">
        <f t="shared" si="454"/>
        <v/>
      </c>
      <c r="E8971" s="534"/>
      <c r="F8971" s="534"/>
    </row>
    <row r="8972" spans="1:6" ht="15" customHeight="1">
      <c r="A8972" s="51"/>
      <c r="B8972" s="52" t="str">
        <f t="shared" si="453"/>
        <v/>
      </c>
      <c r="C8972" t="str">
        <f t="shared" si="452"/>
        <v/>
      </c>
      <c r="D8972" s="245" t="str">
        <f t="shared" si="454"/>
        <v/>
      </c>
      <c r="E8972" s="534"/>
      <c r="F8972" s="534"/>
    </row>
    <row r="8973" spans="1:6" ht="15" customHeight="1">
      <c r="A8973" s="51"/>
      <c r="B8973" s="52" t="str">
        <f t="shared" si="453"/>
        <v/>
      </c>
      <c r="C8973" t="str">
        <f t="shared" si="452"/>
        <v/>
      </c>
      <c r="D8973" s="245" t="str">
        <f t="shared" si="454"/>
        <v/>
      </c>
      <c r="E8973" s="534"/>
      <c r="F8973" s="534"/>
    </row>
    <row r="8974" spans="1:6" ht="15" customHeight="1">
      <c r="A8974" s="51"/>
      <c r="B8974" s="52" t="str">
        <f t="shared" si="453"/>
        <v/>
      </c>
      <c r="C8974" t="str">
        <f t="shared" si="452"/>
        <v/>
      </c>
      <c r="D8974" s="245" t="str">
        <f t="shared" si="454"/>
        <v/>
      </c>
      <c r="E8974" s="534"/>
      <c r="F8974" s="534"/>
    </row>
    <row r="8975" spans="1:6" ht="15" customHeight="1">
      <c r="A8975" s="51"/>
      <c r="B8975" s="52" t="str">
        <f t="shared" si="453"/>
        <v/>
      </c>
      <c r="C8975" t="str">
        <f t="shared" si="452"/>
        <v/>
      </c>
      <c r="D8975" s="245" t="str">
        <f t="shared" si="454"/>
        <v/>
      </c>
      <c r="E8975" s="534"/>
      <c r="F8975" s="534"/>
    </row>
    <row r="8976" spans="1:6" ht="15" customHeight="1">
      <c r="A8976" s="51"/>
      <c r="B8976" s="52" t="str">
        <f t="shared" si="453"/>
        <v/>
      </c>
      <c r="C8976" t="str">
        <f t="shared" si="452"/>
        <v/>
      </c>
      <c r="D8976" s="245" t="str">
        <f t="shared" si="454"/>
        <v/>
      </c>
      <c r="E8976" s="534"/>
      <c r="F8976" s="534"/>
    </row>
    <row r="8977" spans="1:6" ht="15" customHeight="1">
      <c r="A8977" s="51"/>
      <c r="B8977" s="52" t="str">
        <f t="shared" si="453"/>
        <v/>
      </c>
      <c r="C8977" t="str">
        <f t="shared" si="452"/>
        <v/>
      </c>
      <c r="D8977" s="245" t="str">
        <f t="shared" si="454"/>
        <v/>
      </c>
      <c r="E8977" s="534"/>
      <c r="F8977" s="534"/>
    </row>
    <row r="8978" spans="1:6" ht="15" customHeight="1">
      <c r="A8978" s="51"/>
      <c r="B8978" s="52" t="str">
        <f t="shared" si="453"/>
        <v/>
      </c>
      <c r="C8978" t="str">
        <f t="shared" si="452"/>
        <v/>
      </c>
      <c r="D8978" s="245" t="str">
        <f t="shared" si="454"/>
        <v/>
      </c>
      <c r="E8978" s="534"/>
      <c r="F8978" s="534"/>
    </row>
    <row r="8979" spans="1:6" ht="15" customHeight="1">
      <c r="A8979" s="51"/>
      <c r="B8979" s="52" t="str">
        <f t="shared" si="453"/>
        <v/>
      </c>
      <c r="C8979" t="str">
        <f t="shared" si="452"/>
        <v/>
      </c>
      <c r="D8979" s="245" t="str">
        <f t="shared" si="454"/>
        <v/>
      </c>
      <c r="E8979" s="534"/>
      <c r="F8979" s="534"/>
    </row>
    <row r="8980" spans="1:6" ht="15" customHeight="1">
      <c r="A8980" s="51"/>
      <c r="B8980" s="52" t="str">
        <f t="shared" si="453"/>
        <v/>
      </c>
      <c r="C8980" t="str">
        <f t="shared" si="452"/>
        <v/>
      </c>
      <c r="D8980" s="245" t="str">
        <f t="shared" si="454"/>
        <v/>
      </c>
      <c r="E8980" s="534"/>
      <c r="F8980" s="534"/>
    </row>
    <row r="8981" spans="1:6" ht="15" customHeight="1">
      <c r="A8981" s="51"/>
      <c r="B8981" s="52" t="str">
        <f t="shared" si="453"/>
        <v/>
      </c>
      <c r="C8981" t="str">
        <f t="shared" si="452"/>
        <v/>
      </c>
      <c r="D8981" s="245" t="str">
        <f t="shared" si="454"/>
        <v/>
      </c>
      <c r="E8981" s="534"/>
      <c r="F8981" s="534"/>
    </row>
    <row r="8982" spans="1:6" ht="15" customHeight="1">
      <c r="A8982" s="51"/>
      <c r="B8982" s="52" t="str">
        <f t="shared" si="453"/>
        <v/>
      </c>
      <c r="C8982" t="str">
        <f t="shared" si="452"/>
        <v/>
      </c>
      <c r="D8982" s="245" t="str">
        <f t="shared" si="454"/>
        <v/>
      </c>
      <c r="E8982" s="534"/>
      <c r="F8982" s="534"/>
    </row>
    <row r="8983" spans="1:6" ht="15" customHeight="1">
      <c r="A8983" s="51"/>
      <c r="B8983" s="52" t="str">
        <f t="shared" si="453"/>
        <v/>
      </c>
      <c r="C8983" t="str">
        <f t="shared" si="452"/>
        <v/>
      </c>
      <c r="D8983" s="245" t="str">
        <f t="shared" si="454"/>
        <v/>
      </c>
      <c r="E8983" s="534"/>
      <c r="F8983" s="534"/>
    </row>
    <row r="8984" spans="1:6" ht="15" customHeight="1">
      <c r="A8984" s="51"/>
      <c r="B8984" s="52" t="str">
        <f t="shared" si="453"/>
        <v/>
      </c>
      <c r="C8984" t="str">
        <f t="shared" si="452"/>
        <v/>
      </c>
      <c r="D8984" s="245" t="str">
        <f t="shared" si="454"/>
        <v/>
      </c>
      <c r="E8984" s="534"/>
      <c r="F8984" s="534"/>
    </row>
    <row r="8985" spans="1:6" ht="15" customHeight="1">
      <c r="A8985" s="51"/>
      <c r="B8985" s="52" t="str">
        <f t="shared" si="453"/>
        <v/>
      </c>
      <c r="C8985" t="str">
        <f t="shared" si="452"/>
        <v/>
      </c>
      <c r="D8985" s="245" t="str">
        <f t="shared" si="454"/>
        <v/>
      </c>
      <c r="E8985" s="534"/>
      <c r="F8985" s="534"/>
    </row>
    <row r="8986" spans="1:6" ht="15" customHeight="1">
      <c r="A8986" s="51"/>
      <c r="B8986" s="52" t="str">
        <f t="shared" si="453"/>
        <v/>
      </c>
      <c r="C8986" t="str">
        <f t="shared" si="452"/>
        <v/>
      </c>
      <c r="D8986" s="245" t="str">
        <f t="shared" si="454"/>
        <v/>
      </c>
      <c r="E8986" s="534"/>
      <c r="F8986" s="534"/>
    </row>
    <row r="8987" spans="1:6" ht="15" customHeight="1">
      <c r="A8987" s="51"/>
      <c r="B8987" s="52" t="str">
        <f t="shared" si="453"/>
        <v/>
      </c>
      <c r="C8987" t="str">
        <f t="shared" si="452"/>
        <v/>
      </c>
      <c r="D8987" s="245" t="str">
        <f t="shared" si="454"/>
        <v/>
      </c>
      <c r="E8987" s="534"/>
      <c r="F8987" s="534"/>
    </row>
    <row r="8988" spans="1:6" ht="15" customHeight="1">
      <c r="A8988" s="51"/>
      <c r="B8988" s="52" t="str">
        <f t="shared" si="453"/>
        <v/>
      </c>
      <c r="C8988" t="str">
        <f t="shared" si="452"/>
        <v/>
      </c>
      <c r="D8988" s="245" t="str">
        <f t="shared" si="454"/>
        <v/>
      </c>
      <c r="E8988" s="534"/>
      <c r="F8988" s="534"/>
    </row>
    <row r="8989" spans="1:6" ht="15" customHeight="1">
      <c r="A8989" s="51"/>
      <c r="B8989" s="52" t="str">
        <f t="shared" si="453"/>
        <v/>
      </c>
      <c r="C8989" t="str">
        <f t="shared" si="452"/>
        <v/>
      </c>
      <c r="D8989" s="245" t="str">
        <f t="shared" si="454"/>
        <v/>
      </c>
      <c r="E8989" s="534"/>
      <c r="F8989" s="534"/>
    </row>
    <row r="8990" spans="1:6" ht="15" customHeight="1">
      <c r="A8990" s="51"/>
      <c r="B8990" s="52" t="str">
        <f t="shared" si="453"/>
        <v/>
      </c>
      <c r="C8990" t="str">
        <f t="shared" si="452"/>
        <v/>
      </c>
      <c r="D8990" s="245" t="str">
        <f t="shared" si="454"/>
        <v/>
      </c>
      <c r="E8990" s="534"/>
      <c r="F8990" s="534"/>
    </row>
    <row r="8991" spans="1:6" ht="15" customHeight="1">
      <c r="A8991" s="51"/>
      <c r="B8991" s="52" t="str">
        <f t="shared" si="453"/>
        <v/>
      </c>
      <c r="C8991" t="str">
        <f t="shared" si="452"/>
        <v/>
      </c>
      <c r="D8991" s="245" t="str">
        <f t="shared" si="454"/>
        <v/>
      </c>
      <c r="E8991" s="534"/>
      <c r="F8991" s="534"/>
    </row>
    <row r="8992" spans="1:6" ht="15" customHeight="1">
      <c r="A8992" s="51"/>
      <c r="B8992" s="52" t="str">
        <f t="shared" si="453"/>
        <v/>
      </c>
      <c r="C8992" t="str">
        <f t="shared" si="452"/>
        <v/>
      </c>
      <c r="D8992" s="245" t="str">
        <f t="shared" si="454"/>
        <v/>
      </c>
      <c r="E8992" s="534"/>
      <c r="F8992" s="534"/>
    </row>
    <row r="8993" spans="1:6" ht="15" customHeight="1">
      <c r="A8993" s="51"/>
      <c r="B8993" s="52" t="str">
        <f t="shared" si="453"/>
        <v/>
      </c>
      <c r="C8993" t="str">
        <f t="shared" si="452"/>
        <v/>
      </c>
      <c r="D8993" s="245" t="str">
        <f t="shared" si="454"/>
        <v/>
      </c>
      <c r="E8993" s="534"/>
      <c r="F8993" s="534"/>
    </row>
    <row r="8994" spans="1:6" ht="15" customHeight="1">
      <c r="A8994" s="51"/>
      <c r="B8994" s="52" t="str">
        <f t="shared" si="453"/>
        <v/>
      </c>
      <c r="C8994" t="str">
        <f t="shared" si="452"/>
        <v/>
      </c>
      <c r="D8994" s="245" t="str">
        <f t="shared" si="454"/>
        <v/>
      </c>
      <c r="E8994" s="534"/>
      <c r="F8994" s="534"/>
    </row>
    <row r="8995" spans="1:6" ht="15" customHeight="1">
      <c r="A8995" s="51"/>
      <c r="B8995" s="52" t="str">
        <f t="shared" si="453"/>
        <v/>
      </c>
      <c r="C8995" t="str">
        <f t="shared" si="452"/>
        <v/>
      </c>
      <c r="D8995" s="245" t="str">
        <f t="shared" si="454"/>
        <v/>
      </c>
      <c r="E8995" s="534"/>
      <c r="F8995" s="534"/>
    </row>
    <row r="8996" spans="1:6" ht="15" customHeight="1">
      <c r="A8996" s="51"/>
      <c r="B8996" s="52" t="str">
        <f t="shared" si="453"/>
        <v/>
      </c>
      <c r="C8996" t="str">
        <f t="shared" si="452"/>
        <v/>
      </c>
      <c r="D8996" s="245" t="str">
        <f t="shared" si="454"/>
        <v/>
      </c>
      <c r="E8996" s="534"/>
      <c r="F8996" s="534"/>
    </row>
    <row r="8997" spans="1:6" ht="15" customHeight="1">
      <c r="A8997" s="51"/>
      <c r="B8997" s="52" t="str">
        <f t="shared" si="453"/>
        <v/>
      </c>
      <c r="C8997" t="str">
        <f t="shared" si="452"/>
        <v/>
      </c>
      <c r="D8997" s="245" t="str">
        <f t="shared" si="454"/>
        <v/>
      </c>
      <c r="E8997" s="534"/>
      <c r="F8997" s="534"/>
    </row>
    <row r="8998" spans="1:6" ht="15" customHeight="1">
      <c r="A8998" s="51"/>
      <c r="B8998" s="52" t="str">
        <f t="shared" si="453"/>
        <v/>
      </c>
      <c r="C8998" t="str">
        <f t="shared" si="452"/>
        <v/>
      </c>
      <c r="D8998" s="245" t="str">
        <f t="shared" si="454"/>
        <v/>
      </c>
      <c r="E8998" s="534"/>
      <c r="F8998" s="534"/>
    </row>
    <row r="8999" spans="1:6" ht="15" customHeight="1">
      <c r="A8999" s="51"/>
      <c r="B8999" s="52" t="str">
        <f t="shared" si="453"/>
        <v/>
      </c>
      <c r="C8999" t="str">
        <f t="shared" si="452"/>
        <v/>
      </c>
      <c r="D8999" s="245" t="str">
        <f t="shared" si="454"/>
        <v/>
      </c>
      <c r="E8999" s="534"/>
      <c r="F8999" s="534"/>
    </row>
    <row r="9000" spans="1:6" ht="15" customHeight="1">
      <c r="A9000" s="51"/>
      <c r="B9000" s="52" t="str">
        <f t="shared" si="453"/>
        <v/>
      </c>
      <c r="C9000" t="str">
        <f t="shared" si="452"/>
        <v/>
      </c>
      <c r="D9000" s="245" t="str">
        <f t="shared" si="454"/>
        <v/>
      </c>
      <c r="E9000" s="534"/>
      <c r="F9000" s="534"/>
    </row>
    <row r="9001" spans="1:6" ht="15" customHeight="1">
      <c r="A9001" s="51"/>
      <c r="B9001" s="52" t="str">
        <f t="shared" si="453"/>
        <v/>
      </c>
      <c r="C9001" t="str">
        <f t="shared" si="452"/>
        <v/>
      </c>
      <c r="D9001" s="245" t="str">
        <f t="shared" si="454"/>
        <v/>
      </c>
      <c r="E9001" s="534"/>
      <c r="F9001" s="534"/>
    </row>
    <row r="9002" spans="1:6" ht="15" customHeight="1">
      <c r="A9002" s="51"/>
      <c r="B9002" s="52" t="str">
        <f t="shared" si="453"/>
        <v/>
      </c>
      <c r="C9002" t="str">
        <f t="shared" si="452"/>
        <v/>
      </c>
      <c r="D9002" s="245" t="str">
        <f t="shared" si="454"/>
        <v/>
      </c>
      <c r="E9002" s="534"/>
      <c r="F9002" s="534"/>
    </row>
    <row r="9003" spans="1:6" ht="15" customHeight="1">
      <c r="A9003" s="51"/>
      <c r="B9003" s="52" t="str">
        <f t="shared" si="453"/>
        <v/>
      </c>
      <c r="C9003" t="str">
        <f t="shared" si="452"/>
        <v/>
      </c>
      <c r="D9003" s="245" t="str">
        <f t="shared" si="454"/>
        <v/>
      </c>
      <c r="E9003" s="534"/>
      <c r="F9003" s="534"/>
    </row>
    <row r="9004" spans="1:6" ht="15" customHeight="1">
      <c r="A9004" s="51"/>
      <c r="B9004" s="52" t="str">
        <f t="shared" si="453"/>
        <v/>
      </c>
      <c r="C9004" t="str">
        <f t="shared" si="452"/>
        <v/>
      </c>
      <c r="D9004" s="245" t="str">
        <f t="shared" si="454"/>
        <v/>
      </c>
      <c r="E9004" s="534"/>
      <c r="F9004" s="534"/>
    </row>
    <row r="9005" spans="1:6" ht="15" customHeight="1">
      <c r="A9005" s="51"/>
      <c r="B9005" s="52" t="str">
        <f t="shared" si="453"/>
        <v/>
      </c>
      <c r="C9005" t="str">
        <f t="shared" si="452"/>
        <v/>
      </c>
      <c r="D9005" s="245" t="str">
        <f t="shared" si="454"/>
        <v/>
      </c>
      <c r="E9005" s="534"/>
      <c r="F9005" s="534"/>
    </row>
    <row r="9006" spans="1:6" ht="15" customHeight="1">
      <c r="A9006" s="51"/>
      <c r="B9006" s="52" t="str">
        <f t="shared" si="453"/>
        <v/>
      </c>
      <c r="C9006" t="str">
        <f t="shared" si="452"/>
        <v/>
      </c>
      <c r="D9006" s="245" t="str">
        <f t="shared" si="454"/>
        <v/>
      </c>
      <c r="E9006" s="534"/>
      <c r="F9006" s="534"/>
    </row>
    <row r="9007" spans="1:6" ht="15" customHeight="1">
      <c r="A9007" s="51"/>
      <c r="B9007" s="52" t="str">
        <f t="shared" si="453"/>
        <v/>
      </c>
      <c r="C9007" t="str">
        <f t="shared" si="452"/>
        <v/>
      </c>
      <c r="D9007" s="245" t="str">
        <f t="shared" si="454"/>
        <v/>
      </c>
      <c r="E9007" s="534"/>
      <c r="F9007" s="534"/>
    </row>
    <row r="9008" spans="1:6" ht="15" customHeight="1">
      <c r="A9008" s="51"/>
      <c r="B9008" s="52" t="str">
        <f t="shared" si="453"/>
        <v/>
      </c>
      <c r="C9008" t="str">
        <f t="shared" si="452"/>
        <v/>
      </c>
      <c r="D9008" s="245" t="str">
        <f t="shared" si="454"/>
        <v/>
      </c>
      <c r="E9008" s="534"/>
      <c r="F9008" s="534"/>
    </row>
    <row r="9009" spans="1:6" ht="15" customHeight="1">
      <c r="A9009" s="51"/>
      <c r="B9009" s="52" t="str">
        <f t="shared" si="453"/>
        <v/>
      </c>
      <c r="C9009" t="str">
        <f t="shared" si="452"/>
        <v/>
      </c>
      <c r="D9009" s="245" t="str">
        <f t="shared" si="454"/>
        <v/>
      </c>
      <c r="E9009" s="534"/>
      <c r="F9009" s="534"/>
    </row>
    <row r="9010" spans="1:6" ht="15" customHeight="1">
      <c r="A9010" s="51"/>
      <c r="B9010" s="52" t="str">
        <f t="shared" si="453"/>
        <v/>
      </c>
      <c r="C9010" t="str">
        <f t="shared" si="452"/>
        <v/>
      </c>
      <c r="D9010" s="245" t="str">
        <f t="shared" si="454"/>
        <v/>
      </c>
      <c r="E9010" s="534"/>
      <c r="F9010" s="534"/>
    </row>
    <row r="9011" spans="1:6" ht="15" customHeight="1">
      <c r="A9011" s="51"/>
      <c r="B9011" s="52" t="str">
        <f t="shared" si="453"/>
        <v/>
      </c>
      <c r="C9011" t="str">
        <f t="shared" si="452"/>
        <v/>
      </c>
      <c r="D9011" s="245" t="str">
        <f t="shared" si="454"/>
        <v/>
      </c>
      <c r="E9011" s="534"/>
      <c r="F9011" s="534"/>
    </row>
    <row r="9012" spans="1:6" ht="15" customHeight="1">
      <c r="A9012" s="51"/>
      <c r="B9012" s="52" t="str">
        <f t="shared" si="453"/>
        <v/>
      </c>
      <c r="C9012" t="str">
        <f t="shared" si="452"/>
        <v/>
      </c>
      <c r="D9012" s="245" t="str">
        <f t="shared" si="454"/>
        <v/>
      </c>
      <c r="E9012" s="534"/>
      <c r="F9012" s="534"/>
    </row>
    <row r="9013" spans="1:6" ht="15" customHeight="1">
      <c r="A9013" s="51"/>
      <c r="B9013" s="52" t="str">
        <f t="shared" si="453"/>
        <v/>
      </c>
      <c r="C9013" t="str">
        <f t="shared" si="452"/>
        <v/>
      </c>
      <c r="D9013" s="245" t="str">
        <f t="shared" si="454"/>
        <v/>
      </c>
      <c r="E9013" s="534"/>
      <c r="F9013" s="534"/>
    </row>
    <row r="9014" spans="1:6" ht="15" customHeight="1">
      <c r="A9014" s="51"/>
      <c r="B9014" s="52" t="str">
        <f t="shared" si="453"/>
        <v/>
      </c>
      <c r="C9014" t="str">
        <f t="shared" si="452"/>
        <v/>
      </c>
      <c r="D9014" s="245" t="str">
        <f t="shared" si="454"/>
        <v/>
      </c>
      <c r="E9014" s="534"/>
      <c r="F9014" s="534"/>
    </row>
    <row r="9015" spans="1:6" ht="15" customHeight="1">
      <c r="A9015" s="51"/>
      <c r="B9015" s="52" t="str">
        <f t="shared" si="453"/>
        <v/>
      </c>
      <c r="C9015" t="str">
        <f t="shared" si="452"/>
        <v/>
      </c>
      <c r="D9015" s="245" t="str">
        <f t="shared" si="454"/>
        <v/>
      </c>
      <c r="E9015" s="534"/>
      <c r="F9015" s="534"/>
    </row>
    <row r="9016" spans="1:6" ht="15" customHeight="1">
      <c r="A9016" s="51"/>
      <c r="B9016" s="52" t="str">
        <f t="shared" si="453"/>
        <v/>
      </c>
      <c r="C9016" t="str">
        <f t="shared" si="452"/>
        <v/>
      </c>
      <c r="D9016" s="245" t="str">
        <f t="shared" si="454"/>
        <v/>
      </c>
      <c r="E9016" s="534"/>
      <c r="F9016" s="534"/>
    </row>
    <row r="9017" spans="1:6" ht="15" customHeight="1">
      <c r="A9017" s="51"/>
      <c r="B9017" s="52" t="str">
        <f t="shared" si="453"/>
        <v/>
      </c>
      <c r="C9017" t="str">
        <f t="shared" si="452"/>
        <v/>
      </c>
      <c r="D9017" s="245" t="str">
        <f t="shared" si="454"/>
        <v/>
      </c>
      <c r="E9017" s="534"/>
      <c r="F9017" s="534"/>
    </row>
    <row r="9018" spans="1:6" ht="15" customHeight="1">
      <c r="A9018" s="51"/>
      <c r="B9018" s="52" t="str">
        <f t="shared" si="453"/>
        <v/>
      </c>
      <c r="C9018" t="str">
        <f t="shared" si="452"/>
        <v/>
      </c>
      <c r="D9018" s="245" t="str">
        <f t="shared" si="454"/>
        <v/>
      </c>
      <c r="E9018" s="534"/>
      <c r="F9018" s="534"/>
    </row>
    <row r="9019" spans="1:6" ht="15" customHeight="1">
      <c r="A9019" s="51"/>
      <c r="B9019" s="52" t="str">
        <f t="shared" si="453"/>
        <v/>
      </c>
      <c r="C9019" t="str">
        <f t="shared" si="452"/>
        <v/>
      </c>
      <c r="D9019" s="245" t="str">
        <f t="shared" si="454"/>
        <v/>
      </c>
      <c r="E9019" s="534"/>
      <c r="F9019" s="534"/>
    </row>
    <row r="9020" spans="1:6" ht="15" customHeight="1">
      <c r="A9020" s="51"/>
      <c r="B9020" s="52" t="str">
        <f t="shared" si="453"/>
        <v/>
      </c>
      <c r="C9020" t="str">
        <f t="shared" si="452"/>
        <v/>
      </c>
      <c r="D9020" s="245" t="str">
        <f t="shared" si="454"/>
        <v/>
      </c>
      <c r="E9020" s="534"/>
      <c r="F9020" s="534"/>
    </row>
    <row r="9021" spans="1:6" ht="15" customHeight="1">
      <c r="A9021" s="51"/>
      <c r="B9021" s="52" t="str">
        <f t="shared" si="453"/>
        <v/>
      </c>
      <c r="C9021" t="str">
        <f t="shared" si="452"/>
        <v/>
      </c>
      <c r="D9021" s="245" t="str">
        <f t="shared" si="454"/>
        <v/>
      </c>
      <c r="E9021" s="534"/>
      <c r="F9021" s="534"/>
    </row>
    <row r="9022" spans="1:6" ht="15" customHeight="1">
      <c r="A9022" s="51"/>
      <c r="B9022" s="52" t="str">
        <f t="shared" si="453"/>
        <v/>
      </c>
      <c r="C9022" t="str">
        <f t="shared" si="452"/>
        <v/>
      </c>
      <c r="D9022" s="245" t="str">
        <f t="shared" si="454"/>
        <v/>
      </c>
      <c r="E9022" s="534"/>
      <c r="F9022" s="534"/>
    </row>
    <row r="9023" spans="1:6" ht="15" customHeight="1">
      <c r="A9023" s="51"/>
      <c r="B9023" s="52" t="str">
        <f t="shared" si="453"/>
        <v/>
      </c>
      <c r="C9023" t="str">
        <f t="shared" si="452"/>
        <v/>
      </c>
      <c r="D9023" s="245" t="str">
        <f t="shared" si="454"/>
        <v/>
      </c>
      <c r="E9023" s="534"/>
      <c r="F9023" s="534"/>
    </row>
    <row r="9024" spans="1:6" ht="15" customHeight="1">
      <c r="A9024" s="51"/>
      <c r="B9024" s="52" t="str">
        <f t="shared" si="453"/>
        <v/>
      </c>
      <c r="C9024" t="str">
        <f t="shared" si="452"/>
        <v/>
      </c>
      <c r="D9024" s="245" t="str">
        <f t="shared" si="454"/>
        <v/>
      </c>
      <c r="E9024" s="534"/>
      <c r="F9024" s="534"/>
    </row>
    <row r="9025" spans="1:6" ht="15" customHeight="1">
      <c r="A9025" s="51"/>
      <c r="B9025" s="52" t="str">
        <f t="shared" si="453"/>
        <v/>
      </c>
      <c r="C9025" t="str">
        <f t="shared" si="452"/>
        <v/>
      </c>
      <c r="D9025" s="245" t="str">
        <f t="shared" si="454"/>
        <v/>
      </c>
      <c r="E9025" s="534"/>
      <c r="F9025" s="534"/>
    </row>
    <row r="9026" spans="1:6" ht="15" customHeight="1">
      <c r="A9026" s="51"/>
      <c r="B9026" s="52" t="str">
        <f t="shared" si="453"/>
        <v/>
      </c>
      <c r="C9026" t="str">
        <f t="shared" ref="C9026:C9089" si="455">IF(A9026&lt;&gt;"",TEXT(A9026,"aaaa"),"")</f>
        <v/>
      </c>
      <c r="D9026" s="245" t="str">
        <f t="shared" si="454"/>
        <v/>
      </c>
      <c r="E9026" s="534"/>
      <c r="F9026" s="534"/>
    </row>
    <row r="9027" spans="1:6" ht="15" customHeight="1">
      <c r="A9027" s="51"/>
      <c r="B9027" s="52" t="str">
        <f t="shared" si="453"/>
        <v/>
      </c>
      <c r="C9027" t="str">
        <f t="shared" si="455"/>
        <v/>
      </c>
      <c r="D9027" s="245" t="str">
        <f t="shared" si="454"/>
        <v/>
      </c>
      <c r="E9027" s="534"/>
      <c r="F9027" s="534"/>
    </row>
    <row r="9028" spans="1:6" ht="15" customHeight="1">
      <c r="A9028" s="51"/>
      <c r="B9028" s="52" t="str">
        <f t="shared" si="453"/>
        <v/>
      </c>
      <c r="C9028" t="str">
        <f t="shared" si="455"/>
        <v/>
      </c>
      <c r="D9028" s="245" t="str">
        <f t="shared" si="454"/>
        <v/>
      </c>
      <c r="E9028" s="534"/>
      <c r="F9028" s="534"/>
    </row>
    <row r="9029" spans="1:6" ht="15" customHeight="1">
      <c r="A9029" s="51"/>
      <c r="B9029" s="52" t="str">
        <f t="shared" si="453"/>
        <v/>
      </c>
      <c r="C9029" t="str">
        <f t="shared" si="455"/>
        <v/>
      </c>
      <c r="D9029" s="245" t="str">
        <f t="shared" si="454"/>
        <v/>
      </c>
      <c r="E9029" s="534"/>
      <c r="F9029" s="534"/>
    </row>
    <row r="9030" spans="1:6" ht="15" customHeight="1">
      <c r="A9030" s="51"/>
      <c r="B9030" s="52" t="str">
        <f t="shared" si="453"/>
        <v/>
      </c>
      <c r="C9030" t="str">
        <f t="shared" si="455"/>
        <v/>
      </c>
      <c r="D9030" s="245" t="str">
        <f t="shared" si="454"/>
        <v/>
      </c>
      <c r="E9030" s="534"/>
      <c r="F9030" s="534"/>
    </row>
    <row r="9031" spans="1:6" ht="15" customHeight="1">
      <c r="A9031" s="51"/>
      <c r="B9031" s="52" t="str">
        <f t="shared" si="453"/>
        <v/>
      </c>
      <c r="C9031" t="str">
        <f t="shared" si="455"/>
        <v/>
      </c>
      <c r="D9031" s="245" t="str">
        <f t="shared" si="454"/>
        <v/>
      </c>
      <c r="E9031" s="534"/>
      <c r="F9031" s="534"/>
    </row>
    <row r="9032" spans="1:6" ht="15" customHeight="1">
      <c r="A9032" s="51"/>
      <c r="B9032" s="52" t="str">
        <f t="shared" ref="B9032:B9095" si="456">IF(A9032="","",TEXT(A9032,"DDDD"))</f>
        <v/>
      </c>
      <c r="C9032" t="str">
        <f t="shared" si="455"/>
        <v/>
      </c>
      <c r="D9032" s="245" t="str">
        <f t="shared" si="454"/>
        <v/>
      </c>
      <c r="E9032" s="534"/>
      <c r="F9032" s="534"/>
    </row>
    <row r="9033" spans="1:6" ht="15" customHeight="1">
      <c r="A9033" s="51"/>
      <c r="B9033" s="52" t="str">
        <f t="shared" si="456"/>
        <v/>
      </c>
      <c r="C9033" t="str">
        <f t="shared" si="455"/>
        <v/>
      </c>
      <c r="D9033" s="245" t="str">
        <f t="shared" ref="D9033:D9096" si="457">IF(A9033&lt;&gt;"",PROPER(TEXT(A9033,"Mmmm")),"")</f>
        <v/>
      </c>
      <c r="E9033" s="534"/>
      <c r="F9033" s="534"/>
    </row>
    <row r="9034" spans="1:6" ht="15" customHeight="1">
      <c r="A9034" s="51"/>
      <c r="B9034" s="52" t="str">
        <f t="shared" si="456"/>
        <v/>
      </c>
      <c r="C9034" t="str">
        <f t="shared" si="455"/>
        <v/>
      </c>
      <c r="D9034" s="245" t="str">
        <f t="shared" si="457"/>
        <v/>
      </c>
      <c r="E9034" s="534"/>
      <c r="F9034" s="534"/>
    </row>
    <row r="9035" spans="1:6" ht="15" customHeight="1">
      <c r="A9035" s="51"/>
      <c r="B9035" s="52" t="str">
        <f t="shared" si="456"/>
        <v/>
      </c>
      <c r="C9035" t="str">
        <f t="shared" si="455"/>
        <v/>
      </c>
      <c r="D9035" s="245" t="str">
        <f t="shared" si="457"/>
        <v/>
      </c>
      <c r="E9035" s="534"/>
      <c r="F9035" s="534"/>
    </row>
    <row r="9036" spans="1:6" ht="15" customHeight="1">
      <c r="A9036" s="51"/>
      <c r="B9036" s="52" t="str">
        <f t="shared" si="456"/>
        <v/>
      </c>
      <c r="C9036" t="str">
        <f t="shared" si="455"/>
        <v/>
      </c>
      <c r="D9036" s="245" t="str">
        <f t="shared" si="457"/>
        <v/>
      </c>
      <c r="E9036" s="534"/>
      <c r="F9036" s="534"/>
    </row>
    <row r="9037" spans="1:6" ht="15" customHeight="1">
      <c r="A9037" s="51"/>
      <c r="B9037" s="52" t="str">
        <f t="shared" si="456"/>
        <v/>
      </c>
      <c r="C9037" t="str">
        <f t="shared" si="455"/>
        <v/>
      </c>
      <c r="D9037" s="245" t="str">
        <f t="shared" si="457"/>
        <v/>
      </c>
      <c r="E9037" s="534"/>
      <c r="F9037" s="534"/>
    </row>
    <row r="9038" spans="1:6" ht="15" customHeight="1">
      <c r="A9038" s="51"/>
      <c r="B9038" s="52" t="str">
        <f t="shared" si="456"/>
        <v/>
      </c>
      <c r="C9038" t="str">
        <f t="shared" si="455"/>
        <v/>
      </c>
      <c r="D9038" s="245" t="str">
        <f t="shared" si="457"/>
        <v/>
      </c>
      <c r="E9038" s="534"/>
      <c r="F9038" s="534"/>
    </row>
    <row r="9039" spans="1:6" ht="15" customHeight="1">
      <c r="A9039" s="51"/>
      <c r="B9039" s="52" t="str">
        <f t="shared" si="456"/>
        <v/>
      </c>
      <c r="C9039" t="str">
        <f t="shared" si="455"/>
        <v/>
      </c>
      <c r="D9039" s="245" t="str">
        <f t="shared" si="457"/>
        <v/>
      </c>
      <c r="E9039" s="534"/>
      <c r="F9039" s="534"/>
    </row>
    <row r="9040" spans="1:6" ht="15" customHeight="1">
      <c r="A9040" s="51"/>
      <c r="B9040" s="52" t="str">
        <f t="shared" si="456"/>
        <v/>
      </c>
      <c r="C9040" t="str">
        <f t="shared" si="455"/>
        <v/>
      </c>
      <c r="D9040" s="245" t="str">
        <f t="shared" si="457"/>
        <v/>
      </c>
      <c r="E9040" s="534"/>
      <c r="F9040" s="534"/>
    </row>
    <row r="9041" spans="1:6" ht="15" customHeight="1">
      <c r="A9041" s="51"/>
      <c r="B9041" s="52" t="str">
        <f t="shared" si="456"/>
        <v/>
      </c>
      <c r="C9041" t="str">
        <f t="shared" si="455"/>
        <v/>
      </c>
      <c r="D9041" s="245" t="str">
        <f t="shared" si="457"/>
        <v/>
      </c>
      <c r="E9041" s="534"/>
      <c r="F9041" s="534"/>
    </row>
    <row r="9042" spans="1:6" ht="15" customHeight="1">
      <c r="A9042" s="51"/>
      <c r="B9042" s="52" t="str">
        <f t="shared" si="456"/>
        <v/>
      </c>
      <c r="C9042" t="str">
        <f t="shared" si="455"/>
        <v/>
      </c>
      <c r="D9042" s="245" t="str">
        <f t="shared" si="457"/>
        <v/>
      </c>
      <c r="E9042" s="534"/>
      <c r="F9042" s="534"/>
    </row>
    <row r="9043" spans="1:6" ht="15" customHeight="1">
      <c r="A9043" s="51"/>
      <c r="B9043" s="52" t="str">
        <f t="shared" si="456"/>
        <v/>
      </c>
      <c r="C9043" t="str">
        <f t="shared" si="455"/>
        <v/>
      </c>
      <c r="D9043" s="245" t="str">
        <f t="shared" si="457"/>
        <v/>
      </c>
      <c r="E9043" s="534"/>
      <c r="F9043" s="534"/>
    </row>
    <row r="9044" spans="1:6" ht="15" customHeight="1">
      <c r="A9044" s="51"/>
      <c r="B9044" s="52" t="str">
        <f t="shared" si="456"/>
        <v/>
      </c>
      <c r="C9044" t="str">
        <f t="shared" si="455"/>
        <v/>
      </c>
      <c r="D9044" s="245" t="str">
        <f t="shared" si="457"/>
        <v/>
      </c>
      <c r="E9044" s="534"/>
      <c r="F9044" s="534"/>
    </row>
    <row r="9045" spans="1:6" ht="15" customHeight="1">
      <c r="A9045" s="51"/>
      <c r="B9045" s="52" t="str">
        <f t="shared" si="456"/>
        <v/>
      </c>
      <c r="C9045" t="str">
        <f t="shared" si="455"/>
        <v/>
      </c>
      <c r="D9045" s="245" t="str">
        <f t="shared" si="457"/>
        <v/>
      </c>
      <c r="E9045" s="534"/>
      <c r="F9045" s="534"/>
    </row>
    <row r="9046" spans="1:6" ht="15" customHeight="1">
      <c r="A9046" s="51"/>
      <c r="B9046" s="52" t="str">
        <f t="shared" si="456"/>
        <v/>
      </c>
      <c r="C9046" t="str">
        <f t="shared" si="455"/>
        <v/>
      </c>
      <c r="D9046" s="245" t="str">
        <f t="shared" si="457"/>
        <v/>
      </c>
      <c r="E9046" s="534"/>
      <c r="F9046" s="534"/>
    </row>
    <row r="9047" spans="1:6" ht="15" customHeight="1">
      <c r="A9047" s="51"/>
      <c r="B9047" s="52" t="str">
        <f t="shared" si="456"/>
        <v/>
      </c>
      <c r="C9047" t="str">
        <f t="shared" si="455"/>
        <v/>
      </c>
      <c r="D9047" s="245" t="str">
        <f t="shared" si="457"/>
        <v/>
      </c>
      <c r="E9047" s="534"/>
      <c r="F9047" s="534"/>
    </row>
    <row r="9048" spans="1:6" ht="15" customHeight="1">
      <c r="A9048" s="51"/>
      <c r="B9048" s="52" t="str">
        <f t="shared" si="456"/>
        <v/>
      </c>
      <c r="C9048" t="str">
        <f t="shared" si="455"/>
        <v/>
      </c>
      <c r="D9048" s="245" t="str">
        <f t="shared" si="457"/>
        <v/>
      </c>
      <c r="E9048" s="534"/>
      <c r="F9048" s="534"/>
    </row>
    <row r="9049" spans="1:6" ht="15" customHeight="1">
      <c r="A9049" s="51"/>
      <c r="B9049" s="52" t="str">
        <f t="shared" si="456"/>
        <v/>
      </c>
      <c r="C9049" t="str">
        <f t="shared" si="455"/>
        <v/>
      </c>
      <c r="D9049" s="245" t="str">
        <f t="shared" si="457"/>
        <v/>
      </c>
      <c r="E9049" s="534"/>
      <c r="F9049" s="534"/>
    </row>
    <row r="9050" spans="1:6" ht="15" customHeight="1">
      <c r="A9050" s="51"/>
      <c r="B9050" s="52" t="str">
        <f t="shared" si="456"/>
        <v/>
      </c>
      <c r="C9050" t="str">
        <f t="shared" si="455"/>
        <v/>
      </c>
      <c r="D9050" s="245" t="str">
        <f t="shared" si="457"/>
        <v/>
      </c>
      <c r="E9050" s="534"/>
      <c r="F9050" s="534"/>
    </row>
    <row r="9051" spans="1:6" ht="15" customHeight="1">
      <c r="A9051" s="51"/>
      <c r="B9051" s="52" t="str">
        <f t="shared" si="456"/>
        <v/>
      </c>
      <c r="C9051" t="str">
        <f t="shared" si="455"/>
        <v/>
      </c>
      <c r="D9051" s="245" t="str">
        <f t="shared" si="457"/>
        <v/>
      </c>
      <c r="E9051" s="534"/>
      <c r="F9051" s="534"/>
    </row>
    <row r="9052" spans="1:6" ht="15" customHeight="1">
      <c r="A9052" s="51"/>
      <c r="B9052" s="52" t="str">
        <f t="shared" si="456"/>
        <v/>
      </c>
      <c r="C9052" t="str">
        <f t="shared" si="455"/>
        <v/>
      </c>
      <c r="D9052" s="245" t="str">
        <f t="shared" si="457"/>
        <v/>
      </c>
      <c r="E9052" s="534"/>
      <c r="F9052" s="534"/>
    </row>
    <row r="9053" spans="1:6" ht="15" customHeight="1">
      <c r="A9053" s="51"/>
      <c r="B9053" s="52" t="str">
        <f t="shared" si="456"/>
        <v/>
      </c>
      <c r="C9053" t="str">
        <f t="shared" si="455"/>
        <v/>
      </c>
      <c r="D9053" s="245" t="str">
        <f t="shared" si="457"/>
        <v/>
      </c>
      <c r="E9053" s="534"/>
      <c r="F9053" s="534"/>
    </row>
    <row r="9054" spans="1:6" ht="15" customHeight="1">
      <c r="A9054" s="51"/>
      <c r="B9054" s="52" t="str">
        <f t="shared" si="456"/>
        <v/>
      </c>
      <c r="C9054" t="str">
        <f t="shared" si="455"/>
        <v/>
      </c>
      <c r="D9054" s="245" t="str">
        <f t="shared" si="457"/>
        <v/>
      </c>
      <c r="E9054" s="534"/>
      <c r="F9054" s="534"/>
    </row>
    <row r="9055" spans="1:6" ht="15" customHeight="1">
      <c r="A9055" s="51"/>
      <c r="B9055" s="52" t="str">
        <f t="shared" si="456"/>
        <v/>
      </c>
      <c r="C9055" t="str">
        <f t="shared" si="455"/>
        <v/>
      </c>
      <c r="D9055" s="245" t="str">
        <f t="shared" si="457"/>
        <v/>
      </c>
      <c r="E9055" s="534"/>
      <c r="F9055" s="534"/>
    </row>
    <row r="9056" spans="1:6" ht="15" customHeight="1">
      <c r="A9056" s="51"/>
      <c r="B9056" s="52" t="str">
        <f t="shared" si="456"/>
        <v/>
      </c>
      <c r="C9056" t="str">
        <f t="shared" si="455"/>
        <v/>
      </c>
      <c r="D9056" s="245" t="str">
        <f t="shared" si="457"/>
        <v/>
      </c>
      <c r="E9056" s="534"/>
      <c r="F9056" s="534"/>
    </row>
    <row r="9057" spans="1:6" ht="15" customHeight="1">
      <c r="A9057" s="51"/>
      <c r="B9057" s="52" t="str">
        <f t="shared" si="456"/>
        <v/>
      </c>
      <c r="C9057" t="str">
        <f t="shared" si="455"/>
        <v/>
      </c>
      <c r="D9057" s="245" t="str">
        <f t="shared" si="457"/>
        <v/>
      </c>
      <c r="E9057" s="534"/>
      <c r="F9057" s="534"/>
    </row>
    <row r="9058" spans="1:6" ht="15" customHeight="1">
      <c r="A9058" s="51"/>
      <c r="B9058" s="52" t="str">
        <f t="shared" si="456"/>
        <v/>
      </c>
      <c r="C9058" t="str">
        <f t="shared" si="455"/>
        <v/>
      </c>
      <c r="D9058" s="245" t="str">
        <f t="shared" si="457"/>
        <v/>
      </c>
      <c r="E9058" s="534"/>
      <c r="F9058" s="534"/>
    </row>
    <row r="9059" spans="1:6" ht="15" customHeight="1">
      <c r="A9059" s="51"/>
      <c r="B9059" s="52" t="str">
        <f t="shared" si="456"/>
        <v/>
      </c>
      <c r="C9059" t="str">
        <f t="shared" si="455"/>
        <v/>
      </c>
      <c r="D9059" s="245" t="str">
        <f t="shared" si="457"/>
        <v/>
      </c>
      <c r="E9059" s="534"/>
      <c r="F9059" s="534"/>
    </row>
    <row r="9060" spans="1:6" ht="15" customHeight="1">
      <c r="A9060" s="51"/>
      <c r="B9060" s="52" t="str">
        <f t="shared" si="456"/>
        <v/>
      </c>
      <c r="C9060" t="str">
        <f t="shared" si="455"/>
        <v/>
      </c>
      <c r="D9060" s="245" t="str">
        <f t="shared" si="457"/>
        <v/>
      </c>
      <c r="E9060" s="534"/>
      <c r="F9060" s="534"/>
    </row>
    <row r="9061" spans="1:6" ht="15" customHeight="1">
      <c r="A9061" s="51"/>
      <c r="B9061" s="52" t="str">
        <f t="shared" si="456"/>
        <v/>
      </c>
      <c r="C9061" t="str">
        <f t="shared" si="455"/>
        <v/>
      </c>
      <c r="D9061" s="245" t="str">
        <f t="shared" si="457"/>
        <v/>
      </c>
      <c r="E9061" s="534"/>
      <c r="F9061" s="534"/>
    </row>
    <row r="9062" spans="1:6" ht="15" customHeight="1">
      <c r="A9062" s="51"/>
      <c r="B9062" s="52" t="str">
        <f t="shared" si="456"/>
        <v/>
      </c>
      <c r="C9062" t="str">
        <f t="shared" si="455"/>
        <v/>
      </c>
      <c r="D9062" s="245" t="str">
        <f t="shared" si="457"/>
        <v/>
      </c>
      <c r="E9062" s="534"/>
      <c r="F9062" s="534"/>
    </row>
    <row r="9063" spans="1:6" ht="15" customHeight="1">
      <c r="A9063" s="51"/>
      <c r="B9063" s="52" t="str">
        <f t="shared" si="456"/>
        <v/>
      </c>
      <c r="C9063" t="str">
        <f t="shared" si="455"/>
        <v/>
      </c>
      <c r="D9063" s="245" t="str">
        <f t="shared" si="457"/>
        <v/>
      </c>
      <c r="E9063" s="534"/>
      <c r="F9063" s="534"/>
    </row>
    <row r="9064" spans="1:6" ht="15" customHeight="1">
      <c r="A9064" s="51"/>
      <c r="B9064" s="52" t="str">
        <f t="shared" si="456"/>
        <v/>
      </c>
      <c r="C9064" t="str">
        <f t="shared" si="455"/>
        <v/>
      </c>
      <c r="D9064" s="245" t="str">
        <f t="shared" si="457"/>
        <v/>
      </c>
      <c r="E9064" s="534"/>
      <c r="F9064" s="534"/>
    </row>
    <row r="9065" spans="1:6" ht="15" customHeight="1">
      <c r="A9065" s="51"/>
      <c r="B9065" s="52" t="str">
        <f t="shared" si="456"/>
        <v/>
      </c>
      <c r="C9065" t="str">
        <f t="shared" si="455"/>
        <v/>
      </c>
      <c r="D9065" s="245" t="str">
        <f t="shared" si="457"/>
        <v/>
      </c>
      <c r="E9065" s="534"/>
      <c r="F9065" s="534"/>
    </row>
    <row r="9066" spans="1:6" ht="15" customHeight="1">
      <c r="A9066" s="51"/>
      <c r="B9066" s="52" t="str">
        <f t="shared" si="456"/>
        <v/>
      </c>
      <c r="C9066" t="str">
        <f t="shared" si="455"/>
        <v/>
      </c>
      <c r="D9066" s="245" t="str">
        <f t="shared" si="457"/>
        <v/>
      </c>
      <c r="E9066" s="534"/>
      <c r="F9066" s="534"/>
    </row>
    <row r="9067" spans="1:6" ht="15" customHeight="1">
      <c r="A9067" s="51"/>
      <c r="B9067" s="52" t="str">
        <f t="shared" si="456"/>
        <v/>
      </c>
      <c r="C9067" t="str">
        <f t="shared" si="455"/>
        <v/>
      </c>
      <c r="D9067" s="245" t="str">
        <f t="shared" si="457"/>
        <v/>
      </c>
      <c r="E9067" s="534"/>
      <c r="F9067" s="534"/>
    </row>
    <row r="9068" spans="1:6" ht="15" customHeight="1">
      <c r="A9068" s="51"/>
      <c r="B9068" s="52" t="str">
        <f t="shared" si="456"/>
        <v/>
      </c>
      <c r="C9068" t="str">
        <f t="shared" si="455"/>
        <v/>
      </c>
      <c r="D9068" s="245" t="str">
        <f t="shared" si="457"/>
        <v/>
      </c>
      <c r="E9068" s="534"/>
      <c r="F9068" s="534"/>
    </row>
    <row r="9069" spans="1:6" ht="15" customHeight="1">
      <c r="A9069" s="51"/>
      <c r="B9069" s="52" t="str">
        <f t="shared" si="456"/>
        <v/>
      </c>
      <c r="C9069" t="str">
        <f t="shared" si="455"/>
        <v/>
      </c>
      <c r="D9069" s="245" t="str">
        <f t="shared" si="457"/>
        <v/>
      </c>
      <c r="E9069" s="534"/>
      <c r="F9069" s="534"/>
    </row>
    <row r="9070" spans="1:6" ht="15" customHeight="1">
      <c r="A9070" s="51"/>
      <c r="B9070" s="52" t="str">
        <f t="shared" si="456"/>
        <v/>
      </c>
      <c r="C9070" t="str">
        <f t="shared" si="455"/>
        <v/>
      </c>
      <c r="D9070" s="245" t="str">
        <f t="shared" si="457"/>
        <v/>
      </c>
      <c r="E9070" s="534"/>
      <c r="F9070" s="534"/>
    </row>
    <row r="9071" spans="1:6" ht="15" customHeight="1">
      <c r="A9071" s="51"/>
      <c r="B9071" s="52" t="str">
        <f t="shared" si="456"/>
        <v/>
      </c>
      <c r="C9071" t="str">
        <f t="shared" si="455"/>
        <v/>
      </c>
      <c r="D9071" s="245" t="str">
        <f t="shared" si="457"/>
        <v/>
      </c>
      <c r="E9071" s="534"/>
      <c r="F9071" s="534"/>
    </row>
    <row r="9072" spans="1:6" ht="15" customHeight="1">
      <c r="A9072" s="51"/>
      <c r="B9072" s="52" t="str">
        <f t="shared" si="456"/>
        <v/>
      </c>
      <c r="C9072" t="str">
        <f t="shared" si="455"/>
        <v/>
      </c>
      <c r="D9072" s="245" t="str">
        <f t="shared" si="457"/>
        <v/>
      </c>
      <c r="E9072" s="534"/>
      <c r="F9072" s="534"/>
    </row>
    <row r="9073" spans="1:6" ht="15" customHeight="1">
      <c r="A9073" s="51"/>
      <c r="B9073" s="52" t="str">
        <f t="shared" si="456"/>
        <v/>
      </c>
      <c r="C9073" t="str">
        <f t="shared" si="455"/>
        <v/>
      </c>
      <c r="D9073" s="245" t="str">
        <f t="shared" si="457"/>
        <v/>
      </c>
      <c r="E9073" s="534"/>
      <c r="F9073" s="534"/>
    </row>
    <row r="9074" spans="1:6" ht="15" customHeight="1">
      <c r="A9074" s="51"/>
      <c r="B9074" s="52" t="str">
        <f t="shared" si="456"/>
        <v/>
      </c>
      <c r="C9074" t="str">
        <f t="shared" si="455"/>
        <v/>
      </c>
      <c r="D9074" s="245" t="str">
        <f t="shared" si="457"/>
        <v/>
      </c>
      <c r="E9074" s="534"/>
      <c r="F9074" s="534"/>
    </row>
    <row r="9075" spans="1:6" ht="15" customHeight="1">
      <c r="A9075" s="51"/>
      <c r="B9075" s="52" t="str">
        <f t="shared" si="456"/>
        <v/>
      </c>
      <c r="C9075" t="str">
        <f t="shared" si="455"/>
        <v/>
      </c>
      <c r="D9075" s="245" t="str">
        <f t="shared" si="457"/>
        <v/>
      </c>
      <c r="E9075" s="534"/>
      <c r="F9075" s="534"/>
    </row>
    <row r="9076" spans="1:6" ht="15" customHeight="1">
      <c r="A9076" s="51"/>
      <c r="B9076" s="52" t="str">
        <f t="shared" si="456"/>
        <v/>
      </c>
      <c r="C9076" t="str">
        <f t="shared" si="455"/>
        <v/>
      </c>
      <c r="D9076" s="245" t="str">
        <f t="shared" si="457"/>
        <v/>
      </c>
      <c r="E9076" s="534"/>
      <c r="F9076" s="534"/>
    </row>
    <row r="9077" spans="1:6" ht="15" customHeight="1">
      <c r="A9077" s="51"/>
      <c r="B9077" s="52" t="str">
        <f t="shared" si="456"/>
        <v/>
      </c>
      <c r="C9077" t="str">
        <f t="shared" si="455"/>
        <v/>
      </c>
      <c r="D9077" s="245" t="str">
        <f t="shared" si="457"/>
        <v/>
      </c>
      <c r="E9077" s="534"/>
      <c r="F9077" s="534"/>
    </row>
    <row r="9078" spans="1:6" ht="15" customHeight="1">
      <c r="A9078" s="51"/>
      <c r="B9078" s="52" t="str">
        <f t="shared" si="456"/>
        <v/>
      </c>
      <c r="C9078" t="str">
        <f t="shared" si="455"/>
        <v/>
      </c>
      <c r="D9078" s="245" t="str">
        <f t="shared" si="457"/>
        <v/>
      </c>
      <c r="E9078" s="534"/>
      <c r="F9078" s="534"/>
    </row>
    <row r="9079" spans="1:6" ht="15" customHeight="1">
      <c r="A9079" s="51"/>
      <c r="B9079" s="52" t="str">
        <f t="shared" si="456"/>
        <v/>
      </c>
      <c r="C9079" t="str">
        <f t="shared" si="455"/>
        <v/>
      </c>
      <c r="D9079" s="245" t="str">
        <f t="shared" si="457"/>
        <v/>
      </c>
      <c r="E9079" s="534"/>
      <c r="F9079" s="534"/>
    </row>
    <row r="9080" spans="1:6" ht="15" customHeight="1">
      <c r="A9080" s="51"/>
      <c r="B9080" s="52" t="str">
        <f t="shared" si="456"/>
        <v/>
      </c>
      <c r="C9080" t="str">
        <f t="shared" si="455"/>
        <v/>
      </c>
      <c r="D9080" s="245" t="str">
        <f t="shared" si="457"/>
        <v/>
      </c>
      <c r="E9080" s="534"/>
      <c r="F9080" s="534"/>
    </row>
    <row r="9081" spans="1:6" ht="15" customHeight="1">
      <c r="A9081" s="51"/>
      <c r="B9081" s="52" t="str">
        <f t="shared" si="456"/>
        <v/>
      </c>
      <c r="C9081" t="str">
        <f t="shared" si="455"/>
        <v/>
      </c>
      <c r="D9081" s="245" t="str">
        <f t="shared" si="457"/>
        <v/>
      </c>
      <c r="E9081" s="534"/>
      <c r="F9081" s="534"/>
    </row>
    <row r="9082" spans="1:6" ht="15" customHeight="1">
      <c r="A9082" s="51"/>
      <c r="B9082" s="52" t="str">
        <f t="shared" si="456"/>
        <v/>
      </c>
      <c r="C9082" t="str">
        <f t="shared" si="455"/>
        <v/>
      </c>
      <c r="D9082" s="245" t="str">
        <f t="shared" si="457"/>
        <v/>
      </c>
      <c r="E9082" s="534"/>
      <c r="F9082" s="534"/>
    </row>
    <row r="9083" spans="1:6" ht="15" customHeight="1">
      <c r="A9083" s="51"/>
      <c r="B9083" s="52" t="str">
        <f t="shared" si="456"/>
        <v/>
      </c>
      <c r="C9083" t="str">
        <f t="shared" si="455"/>
        <v/>
      </c>
      <c r="D9083" s="245" t="str">
        <f t="shared" si="457"/>
        <v/>
      </c>
      <c r="E9083" s="534"/>
      <c r="F9083" s="534"/>
    </row>
    <row r="9084" spans="1:6" ht="15" customHeight="1">
      <c r="A9084" s="51"/>
      <c r="B9084" s="52" t="str">
        <f t="shared" si="456"/>
        <v/>
      </c>
      <c r="C9084" t="str">
        <f t="shared" si="455"/>
        <v/>
      </c>
      <c r="D9084" s="245" t="str">
        <f t="shared" si="457"/>
        <v/>
      </c>
      <c r="E9084" s="534"/>
      <c r="F9084" s="534"/>
    </row>
    <row r="9085" spans="1:6" ht="15" customHeight="1">
      <c r="A9085" s="51"/>
      <c r="B9085" s="52" t="str">
        <f t="shared" si="456"/>
        <v/>
      </c>
      <c r="C9085" t="str">
        <f t="shared" si="455"/>
        <v/>
      </c>
      <c r="D9085" s="245" t="str">
        <f t="shared" si="457"/>
        <v/>
      </c>
      <c r="E9085" s="534"/>
      <c r="F9085" s="534"/>
    </row>
    <row r="9086" spans="1:6" ht="15" customHeight="1">
      <c r="A9086" s="51"/>
      <c r="B9086" s="52" t="str">
        <f t="shared" si="456"/>
        <v/>
      </c>
      <c r="C9086" t="str">
        <f t="shared" si="455"/>
        <v/>
      </c>
      <c r="D9086" s="245" t="str">
        <f t="shared" si="457"/>
        <v/>
      </c>
      <c r="E9086" s="534"/>
      <c r="F9086" s="534"/>
    </row>
    <row r="9087" spans="1:6" ht="15" customHeight="1">
      <c r="A9087" s="51"/>
      <c r="B9087" s="52" t="str">
        <f t="shared" si="456"/>
        <v/>
      </c>
      <c r="C9087" t="str">
        <f t="shared" si="455"/>
        <v/>
      </c>
      <c r="D9087" s="245" t="str">
        <f t="shared" si="457"/>
        <v/>
      </c>
      <c r="E9087" s="534"/>
      <c r="F9087" s="534"/>
    </row>
    <row r="9088" spans="1:6" ht="15" customHeight="1">
      <c r="A9088" s="51"/>
      <c r="B9088" s="52" t="str">
        <f t="shared" si="456"/>
        <v/>
      </c>
      <c r="C9088" t="str">
        <f t="shared" si="455"/>
        <v/>
      </c>
      <c r="D9088" s="245" t="str">
        <f t="shared" si="457"/>
        <v/>
      </c>
      <c r="E9088" s="534"/>
      <c r="F9088" s="534"/>
    </row>
    <row r="9089" spans="1:6" ht="15" customHeight="1">
      <c r="A9089" s="51"/>
      <c r="B9089" s="52" t="str">
        <f t="shared" si="456"/>
        <v/>
      </c>
      <c r="C9089" t="str">
        <f t="shared" si="455"/>
        <v/>
      </c>
      <c r="D9089" s="245" t="str">
        <f t="shared" si="457"/>
        <v/>
      </c>
      <c r="E9089" s="534"/>
      <c r="F9089" s="534"/>
    </row>
    <row r="9090" spans="1:6" ht="15" customHeight="1">
      <c r="A9090" s="51"/>
      <c r="B9090" s="52" t="str">
        <f t="shared" si="456"/>
        <v/>
      </c>
      <c r="C9090" t="str">
        <f t="shared" ref="C9090:C9153" si="458">IF(A9090&lt;&gt;"",TEXT(A9090,"aaaa"),"")</f>
        <v/>
      </c>
      <c r="D9090" s="245" t="str">
        <f t="shared" si="457"/>
        <v/>
      </c>
      <c r="E9090" s="534"/>
      <c r="F9090" s="534"/>
    </row>
    <row r="9091" spans="1:6" ht="15" customHeight="1">
      <c r="A9091" s="51"/>
      <c r="B9091" s="52" t="str">
        <f t="shared" si="456"/>
        <v/>
      </c>
      <c r="C9091" t="str">
        <f t="shared" si="458"/>
        <v/>
      </c>
      <c r="D9091" s="245" t="str">
        <f t="shared" si="457"/>
        <v/>
      </c>
      <c r="E9091" s="534"/>
      <c r="F9091" s="534"/>
    </row>
    <row r="9092" spans="1:6" ht="15" customHeight="1">
      <c r="A9092" s="51"/>
      <c r="B9092" s="52" t="str">
        <f t="shared" si="456"/>
        <v/>
      </c>
      <c r="C9092" t="str">
        <f t="shared" si="458"/>
        <v/>
      </c>
      <c r="D9092" s="245" t="str">
        <f t="shared" si="457"/>
        <v/>
      </c>
      <c r="E9092" s="534"/>
      <c r="F9092" s="534"/>
    </row>
    <row r="9093" spans="1:6" ht="15" customHeight="1">
      <c r="A9093" s="51"/>
      <c r="B9093" s="52" t="str">
        <f t="shared" si="456"/>
        <v/>
      </c>
      <c r="C9093" t="str">
        <f t="shared" si="458"/>
        <v/>
      </c>
      <c r="D9093" s="245" t="str">
        <f t="shared" si="457"/>
        <v/>
      </c>
      <c r="E9093" s="534"/>
      <c r="F9093" s="534"/>
    </row>
    <row r="9094" spans="1:6" ht="15" customHeight="1">
      <c r="A9094" s="51"/>
      <c r="B9094" s="52" t="str">
        <f t="shared" si="456"/>
        <v/>
      </c>
      <c r="C9094" t="str">
        <f t="shared" si="458"/>
        <v/>
      </c>
      <c r="D9094" s="245" t="str">
        <f t="shared" si="457"/>
        <v/>
      </c>
      <c r="E9094" s="534"/>
      <c r="F9094" s="534"/>
    </row>
    <row r="9095" spans="1:6" ht="15" customHeight="1">
      <c r="A9095" s="51"/>
      <c r="B9095" s="52" t="str">
        <f t="shared" si="456"/>
        <v/>
      </c>
      <c r="C9095" t="str">
        <f t="shared" si="458"/>
        <v/>
      </c>
      <c r="D9095" s="245" t="str">
        <f t="shared" si="457"/>
        <v/>
      </c>
      <c r="E9095" s="534"/>
      <c r="F9095" s="534"/>
    </row>
    <row r="9096" spans="1:6" ht="15" customHeight="1">
      <c r="A9096" s="51"/>
      <c r="B9096" s="52" t="str">
        <f t="shared" ref="B9096:B9159" si="459">IF(A9096="","",TEXT(A9096,"DDDD"))</f>
        <v/>
      </c>
      <c r="C9096" t="str">
        <f t="shared" si="458"/>
        <v/>
      </c>
      <c r="D9096" s="245" t="str">
        <f t="shared" si="457"/>
        <v/>
      </c>
      <c r="E9096" s="534"/>
      <c r="F9096" s="534"/>
    </row>
    <row r="9097" spans="1:6" ht="15" customHeight="1">
      <c r="A9097" s="51"/>
      <c r="B9097" s="52" t="str">
        <f t="shared" si="459"/>
        <v/>
      </c>
      <c r="C9097" t="str">
        <f t="shared" si="458"/>
        <v/>
      </c>
      <c r="D9097" s="245" t="str">
        <f t="shared" ref="D9097:D9160" si="460">IF(A9097&lt;&gt;"",PROPER(TEXT(A9097,"Mmmm")),"")</f>
        <v/>
      </c>
      <c r="E9097" s="534"/>
      <c r="F9097" s="534"/>
    </row>
    <row r="9098" spans="1:6" ht="15" customHeight="1">
      <c r="A9098" s="51"/>
      <c r="B9098" s="52" t="str">
        <f t="shared" si="459"/>
        <v/>
      </c>
      <c r="C9098" t="str">
        <f t="shared" si="458"/>
        <v/>
      </c>
      <c r="D9098" s="245" t="str">
        <f t="shared" si="460"/>
        <v/>
      </c>
      <c r="E9098" s="534"/>
      <c r="F9098" s="534"/>
    </row>
    <row r="9099" spans="1:6" ht="15" customHeight="1">
      <c r="A9099" s="51"/>
      <c r="B9099" s="52" t="str">
        <f t="shared" si="459"/>
        <v/>
      </c>
      <c r="C9099" t="str">
        <f t="shared" si="458"/>
        <v/>
      </c>
      <c r="D9099" s="245" t="str">
        <f t="shared" si="460"/>
        <v/>
      </c>
      <c r="E9099" s="534"/>
      <c r="F9099" s="534"/>
    </row>
    <row r="9100" spans="1:6" ht="15" customHeight="1">
      <c r="A9100" s="51"/>
      <c r="B9100" s="52" t="str">
        <f t="shared" si="459"/>
        <v/>
      </c>
      <c r="C9100" t="str">
        <f t="shared" si="458"/>
        <v/>
      </c>
      <c r="D9100" s="245" t="str">
        <f t="shared" si="460"/>
        <v/>
      </c>
      <c r="E9100" s="534"/>
      <c r="F9100" s="534"/>
    </row>
    <row r="9101" spans="1:6" ht="15" customHeight="1">
      <c r="A9101" s="51"/>
      <c r="B9101" s="52" t="str">
        <f t="shared" si="459"/>
        <v/>
      </c>
      <c r="C9101" t="str">
        <f t="shared" si="458"/>
        <v/>
      </c>
      <c r="D9101" s="245" t="str">
        <f t="shared" si="460"/>
        <v/>
      </c>
      <c r="E9101" s="534"/>
      <c r="F9101" s="534"/>
    </row>
    <row r="9102" spans="1:6" ht="15" customHeight="1">
      <c r="A9102" s="51"/>
      <c r="B9102" s="52" t="str">
        <f t="shared" si="459"/>
        <v/>
      </c>
      <c r="C9102" t="str">
        <f t="shared" si="458"/>
        <v/>
      </c>
      <c r="D9102" s="245" t="str">
        <f t="shared" si="460"/>
        <v/>
      </c>
      <c r="E9102" s="534"/>
      <c r="F9102" s="534"/>
    </row>
    <row r="9103" spans="1:6" ht="15" customHeight="1">
      <c r="A9103" s="51"/>
      <c r="B9103" s="52" t="str">
        <f t="shared" si="459"/>
        <v/>
      </c>
      <c r="C9103" t="str">
        <f t="shared" si="458"/>
        <v/>
      </c>
      <c r="D9103" s="245" t="str">
        <f t="shared" si="460"/>
        <v/>
      </c>
      <c r="E9103" s="534"/>
      <c r="F9103" s="534"/>
    </row>
    <row r="9104" spans="1:6" ht="15" customHeight="1">
      <c r="A9104" s="51"/>
      <c r="B9104" s="52" t="str">
        <f t="shared" si="459"/>
        <v/>
      </c>
      <c r="C9104" t="str">
        <f t="shared" si="458"/>
        <v/>
      </c>
      <c r="D9104" s="245" t="str">
        <f t="shared" si="460"/>
        <v/>
      </c>
      <c r="E9104" s="534"/>
      <c r="F9104" s="534"/>
    </row>
    <row r="9105" spans="1:6" ht="15" customHeight="1">
      <c r="A9105" s="51"/>
      <c r="B9105" s="52" t="str">
        <f t="shared" si="459"/>
        <v/>
      </c>
      <c r="C9105" t="str">
        <f t="shared" si="458"/>
        <v/>
      </c>
      <c r="D9105" s="245" t="str">
        <f t="shared" si="460"/>
        <v/>
      </c>
      <c r="E9105" s="534"/>
      <c r="F9105" s="534"/>
    </row>
    <row r="9106" spans="1:6" ht="15" customHeight="1">
      <c r="A9106" s="51"/>
      <c r="B9106" s="52" t="str">
        <f t="shared" si="459"/>
        <v/>
      </c>
      <c r="C9106" t="str">
        <f t="shared" si="458"/>
        <v/>
      </c>
      <c r="D9106" s="245" t="str">
        <f t="shared" si="460"/>
        <v/>
      </c>
      <c r="E9106" s="534"/>
      <c r="F9106" s="534"/>
    </row>
    <row r="9107" spans="1:6" ht="15" customHeight="1">
      <c r="A9107" s="51"/>
      <c r="B9107" s="52" t="str">
        <f t="shared" si="459"/>
        <v/>
      </c>
      <c r="C9107" t="str">
        <f t="shared" si="458"/>
        <v/>
      </c>
      <c r="D9107" s="245" t="str">
        <f t="shared" si="460"/>
        <v/>
      </c>
      <c r="E9107" s="534"/>
      <c r="F9107" s="534"/>
    </row>
    <row r="9108" spans="1:6" ht="15" customHeight="1">
      <c r="A9108" s="51"/>
      <c r="B9108" s="52" t="str">
        <f t="shared" si="459"/>
        <v/>
      </c>
      <c r="C9108" t="str">
        <f t="shared" si="458"/>
        <v/>
      </c>
      <c r="D9108" s="245" t="str">
        <f t="shared" si="460"/>
        <v/>
      </c>
      <c r="E9108" s="534"/>
      <c r="F9108" s="534"/>
    </row>
    <row r="9109" spans="1:6" ht="15" customHeight="1">
      <c r="A9109" s="51"/>
      <c r="B9109" s="52" t="str">
        <f t="shared" si="459"/>
        <v/>
      </c>
      <c r="C9109" t="str">
        <f t="shared" si="458"/>
        <v/>
      </c>
      <c r="D9109" s="245" t="str">
        <f t="shared" si="460"/>
        <v/>
      </c>
      <c r="E9109" s="534"/>
      <c r="F9109" s="534"/>
    </row>
    <row r="9110" spans="1:6" ht="15" customHeight="1">
      <c r="A9110" s="51"/>
      <c r="B9110" s="52" t="str">
        <f t="shared" si="459"/>
        <v/>
      </c>
      <c r="C9110" t="str">
        <f t="shared" si="458"/>
        <v/>
      </c>
      <c r="D9110" s="245" t="str">
        <f t="shared" si="460"/>
        <v/>
      </c>
      <c r="E9110" s="534"/>
      <c r="F9110" s="534"/>
    </row>
    <row r="9111" spans="1:6" ht="15" customHeight="1">
      <c r="A9111" s="51"/>
      <c r="B9111" s="52" t="str">
        <f t="shared" si="459"/>
        <v/>
      </c>
      <c r="C9111" t="str">
        <f t="shared" si="458"/>
        <v/>
      </c>
      <c r="D9111" s="245" t="str">
        <f t="shared" si="460"/>
        <v/>
      </c>
      <c r="E9111" s="534"/>
      <c r="F9111" s="534"/>
    </row>
    <row r="9112" spans="1:6" ht="15" customHeight="1">
      <c r="A9112" s="51"/>
      <c r="B9112" s="52" t="str">
        <f t="shared" si="459"/>
        <v/>
      </c>
      <c r="C9112" t="str">
        <f t="shared" si="458"/>
        <v/>
      </c>
      <c r="D9112" s="245" t="str">
        <f t="shared" si="460"/>
        <v/>
      </c>
      <c r="E9112" s="534"/>
      <c r="F9112" s="534"/>
    </row>
    <row r="9113" spans="1:6" ht="15" customHeight="1">
      <c r="A9113" s="51"/>
      <c r="B9113" s="52" t="str">
        <f t="shared" si="459"/>
        <v/>
      </c>
      <c r="C9113" t="str">
        <f t="shared" si="458"/>
        <v/>
      </c>
      <c r="D9113" s="245" t="str">
        <f t="shared" si="460"/>
        <v/>
      </c>
      <c r="E9113" s="534"/>
      <c r="F9113" s="534"/>
    </row>
    <row r="9114" spans="1:6" ht="15" customHeight="1">
      <c r="A9114" s="51"/>
      <c r="B9114" s="52" t="str">
        <f t="shared" si="459"/>
        <v/>
      </c>
      <c r="C9114" t="str">
        <f t="shared" si="458"/>
        <v/>
      </c>
      <c r="D9114" s="245" t="str">
        <f t="shared" si="460"/>
        <v/>
      </c>
      <c r="E9114" s="534"/>
      <c r="F9114" s="534"/>
    </row>
    <row r="9115" spans="1:6" ht="15" customHeight="1">
      <c r="A9115" s="51"/>
      <c r="B9115" s="52" t="str">
        <f t="shared" si="459"/>
        <v/>
      </c>
      <c r="C9115" t="str">
        <f t="shared" si="458"/>
        <v/>
      </c>
      <c r="D9115" s="245" t="str">
        <f t="shared" si="460"/>
        <v/>
      </c>
      <c r="E9115" s="534"/>
      <c r="F9115" s="534"/>
    </row>
    <row r="9116" spans="1:6" ht="15" customHeight="1">
      <c r="A9116" s="51"/>
      <c r="B9116" s="52" t="str">
        <f t="shared" si="459"/>
        <v/>
      </c>
      <c r="C9116" t="str">
        <f t="shared" si="458"/>
        <v/>
      </c>
      <c r="D9116" s="245" t="str">
        <f t="shared" si="460"/>
        <v/>
      </c>
      <c r="E9116" s="534"/>
      <c r="F9116" s="534"/>
    </row>
    <row r="9117" spans="1:6" ht="15" customHeight="1">
      <c r="A9117" s="51"/>
      <c r="B9117" s="52" t="str">
        <f t="shared" si="459"/>
        <v/>
      </c>
      <c r="C9117" t="str">
        <f t="shared" si="458"/>
        <v/>
      </c>
      <c r="D9117" s="245" t="str">
        <f t="shared" si="460"/>
        <v/>
      </c>
      <c r="E9117" s="534"/>
      <c r="F9117" s="534"/>
    </row>
    <row r="9118" spans="1:6" ht="15" customHeight="1">
      <c r="A9118" s="51"/>
      <c r="B9118" s="52" t="str">
        <f t="shared" si="459"/>
        <v/>
      </c>
      <c r="C9118" t="str">
        <f t="shared" si="458"/>
        <v/>
      </c>
      <c r="D9118" s="245" t="str">
        <f t="shared" si="460"/>
        <v/>
      </c>
      <c r="E9118" s="534"/>
      <c r="F9118" s="534"/>
    </row>
    <row r="9119" spans="1:6" ht="15" customHeight="1">
      <c r="A9119" s="51"/>
      <c r="B9119" s="52" t="str">
        <f t="shared" si="459"/>
        <v/>
      </c>
      <c r="C9119" t="str">
        <f t="shared" si="458"/>
        <v/>
      </c>
      <c r="D9119" s="245" t="str">
        <f t="shared" si="460"/>
        <v/>
      </c>
      <c r="E9119" s="534"/>
      <c r="F9119" s="534"/>
    </row>
    <row r="9120" spans="1:6" ht="15" customHeight="1">
      <c r="A9120" s="51"/>
      <c r="B9120" s="52" t="str">
        <f t="shared" si="459"/>
        <v/>
      </c>
      <c r="C9120" t="str">
        <f t="shared" si="458"/>
        <v/>
      </c>
      <c r="D9120" s="245" t="str">
        <f t="shared" si="460"/>
        <v/>
      </c>
      <c r="E9120" s="534"/>
      <c r="F9120" s="534"/>
    </row>
    <row r="9121" spans="1:6" ht="15" customHeight="1">
      <c r="A9121" s="51"/>
      <c r="B9121" s="52" t="str">
        <f t="shared" si="459"/>
        <v/>
      </c>
      <c r="C9121" t="str">
        <f t="shared" si="458"/>
        <v/>
      </c>
      <c r="D9121" s="245" t="str">
        <f t="shared" si="460"/>
        <v/>
      </c>
      <c r="E9121" s="534"/>
      <c r="F9121" s="534"/>
    </row>
    <row r="9122" spans="1:6" ht="15" customHeight="1">
      <c r="A9122" s="51"/>
      <c r="B9122" s="52" t="str">
        <f t="shared" si="459"/>
        <v/>
      </c>
      <c r="C9122" t="str">
        <f t="shared" si="458"/>
        <v/>
      </c>
      <c r="D9122" s="245" t="str">
        <f t="shared" si="460"/>
        <v/>
      </c>
      <c r="E9122" s="534"/>
      <c r="F9122" s="534"/>
    </row>
    <row r="9123" spans="1:6" ht="15" customHeight="1">
      <c r="A9123" s="51"/>
      <c r="B9123" s="52" t="str">
        <f t="shared" si="459"/>
        <v/>
      </c>
      <c r="C9123" t="str">
        <f t="shared" si="458"/>
        <v/>
      </c>
      <c r="D9123" s="245" t="str">
        <f t="shared" si="460"/>
        <v/>
      </c>
      <c r="E9123" s="534"/>
      <c r="F9123" s="534"/>
    </row>
    <row r="9124" spans="1:6" ht="15" customHeight="1">
      <c r="A9124" s="51"/>
      <c r="B9124" s="52" t="str">
        <f t="shared" si="459"/>
        <v/>
      </c>
      <c r="C9124" t="str">
        <f t="shared" si="458"/>
        <v/>
      </c>
      <c r="D9124" s="245" t="str">
        <f t="shared" si="460"/>
        <v/>
      </c>
      <c r="E9124" s="534"/>
      <c r="F9124" s="534"/>
    </row>
    <row r="9125" spans="1:6" ht="15" customHeight="1">
      <c r="A9125" s="51"/>
      <c r="B9125" s="52" t="str">
        <f t="shared" si="459"/>
        <v/>
      </c>
      <c r="C9125" t="str">
        <f t="shared" si="458"/>
        <v/>
      </c>
      <c r="D9125" s="245" t="str">
        <f t="shared" si="460"/>
        <v/>
      </c>
      <c r="E9125" s="534"/>
      <c r="F9125" s="534"/>
    </row>
    <row r="9126" spans="1:6" ht="15" customHeight="1">
      <c r="A9126" s="51"/>
      <c r="B9126" s="52" t="str">
        <f t="shared" si="459"/>
        <v/>
      </c>
      <c r="C9126" t="str">
        <f t="shared" si="458"/>
        <v/>
      </c>
      <c r="D9126" s="245" t="str">
        <f t="shared" si="460"/>
        <v/>
      </c>
      <c r="E9126" s="534"/>
      <c r="F9126" s="534"/>
    </row>
    <row r="9127" spans="1:6" ht="15" customHeight="1">
      <c r="A9127" s="51"/>
      <c r="B9127" s="52" t="str">
        <f t="shared" si="459"/>
        <v/>
      </c>
      <c r="C9127" t="str">
        <f t="shared" si="458"/>
        <v/>
      </c>
      <c r="D9127" s="245" t="str">
        <f t="shared" si="460"/>
        <v/>
      </c>
      <c r="E9127" s="534"/>
      <c r="F9127" s="534"/>
    </row>
    <row r="9128" spans="1:6" ht="15" customHeight="1">
      <c r="A9128" s="51"/>
      <c r="B9128" s="52" t="str">
        <f t="shared" si="459"/>
        <v/>
      </c>
      <c r="C9128" t="str">
        <f t="shared" si="458"/>
        <v/>
      </c>
      <c r="D9128" s="245" t="str">
        <f t="shared" si="460"/>
        <v/>
      </c>
      <c r="E9128" s="534"/>
      <c r="F9128" s="534"/>
    </row>
    <row r="9129" spans="1:6" ht="15" customHeight="1">
      <c r="A9129" s="51"/>
      <c r="B9129" s="52" t="str">
        <f t="shared" si="459"/>
        <v/>
      </c>
      <c r="C9129" t="str">
        <f t="shared" si="458"/>
        <v/>
      </c>
      <c r="D9129" s="245" t="str">
        <f t="shared" si="460"/>
        <v/>
      </c>
      <c r="E9129" s="534"/>
      <c r="F9129" s="534"/>
    </row>
    <row r="9130" spans="1:6" ht="15" customHeight="1">
      <c r="A9130" s="51"/>
      <c r="B9130" s="52" t="str">
        <f t="shared" si="459"/>
        <v/>
      </c>
      <c r="C9130" t="str">
        <f t="shared" si="458"/>
        <v/>
      </c>
      <c r="D9130" s="245" t="str">
        <f t="shared" si="460"/>
        <v/>
      </c>
      <c r="E9130" s="534"/>
      <c r="F9130" s="534"/>
    </row>
    <row r="9131" spans="1:6" ht="15" customHeight="1">
      <c r="A9131" s="51"/>
      <c r="B9131" s="52" t="str">
        <f t="shared" si="459"/>
        <v/>
      </c>
      <c r="C9131" t="str">
        <f t="shared" si="458"/>
        <v/>
      </c>
      <c r="D9131" s="245" t="str">
        <f t="shared" si="460"/>
        <v/>
      </c>
      <c r="E9131" s="534"/>
      <c r="F9131" s="534"/>
    </row>
    <row r="9132" spans="1:6" ht="15" customHeight="1">
      <c r="A9132" s="51"/>
      <c r="B9132" s="52" t="str">
        <f t="shared" si="459"/>
        <v/>
      </c>
      <c r="C9132" t="str">
        <f t="shared" si="458"/>
        <v/>
      </c>
      <c r="D9132" s="245" t="str">
        <f t="shared" si="460"/>
        <v/>
      </c>
      <c r="E9132" s="534"/>
      <c r="F9132" s="534"/>
    </row>
    <row r="9133" spans="1:6" ht="15" customHeight="1">
      <c r="A9133" s="51"/>
      <c r="B9133" s="52" t="str">
        <f t="shared" si="459"/>
        <v/>
      </c>
      <c r="C9133" t="str">
        <f t="shared" si="458"/>
        <v/>
      </c>
      <c r="D9133" s="245" t="str">
        <f t="shared" si="460"/>
        <v/>
      </c>
      <c r="E9133" s="534"/>
      <c r="F9133" s="534"/>
    </row>
    <row r="9134" spans="1:6" ht="15" customHeight="1">
      <c r="A9134" s="51"/>
      <c r="B9134" s="52" t="str">
        <f t="shared" si="459"/>
        <v/>
      </c>
      <c r="C9134" t="str">
        <f t="shared" si="458"/>
        <v/>
      </c>
      <c r="D9134" s="245" t="str">
        <f t="shared" si="460"/>
        <v/>
      </c>
      <c r="E9134" s="534"/>
      <c r="F9134" s="534"/>
    </row>
    <row r="9135" spans="1:6" ht="15" customHeight="1">
      <c r="A9135" s="51"/>
      <c r="B9135" s="52" t="str">
        <f t="shared" si="459"/>
        <v/>
      </c>
      <c r="C9135" t="str">
        <f t="shared" si="458"/>
        <v/>
      </c>
      <c r="D9135" s="245" t="str">
        <f t="shared" si="460"/>
        <v/>
      </c>
      <c r="E9135" s="534"/>
      <c r="F9135" s="534"/>
    </row>
    <row r="9136" spans="1:6" ht="15" customHeight="1">
      <c r="A9136" s="51"/>
      <c r="B9136" s="52" t="str">
        <f t="shared" si="459"/>
        <v/>
      </c>
      <c r="C9136" t="str">
        <f t="shared" si="458"/>
        <v/>
      </c>
      <c r="D9136" s="245" t="str">
        <f t="shared" si="460"/>
        <v/>
      </c>
      <c r="E9136" s="534"/>
      <c r="F9136" s="534"/>
    </row>
    <row r="9137" spans="1:6" ht="15" customHeight="1">
      <c r="A9137" s="51"/>
      <c r="B9137" s="52" t="str">
        <f t="shared" si="459"/>
        <v/>
      </c>
      <c r="C9137" t="str">
        <f t="shared" si="458"/>
        <v/>
      </c>
      <c r="D9137" s="245" t="str">
        <f t="shared" si="460"/>
        <v/>
      </c>
      <c r="E9137" s="534"/>
      <c r="F9137" s="534"/>
    </row>
    <row r="9138" spans="1:6" ht="15" customHeight="1">
      <c r="A9138" s="51"/>
      <c r="B9138" s="52" t="str">
        <f t="shared" si="459"/>
        <v/>
      </c>
      <c r="C9138" t="str">
        <f t="shared" si="458"/>
        <v/>
      </c>
      <c r="D9138" s="245" t="str">
        <f t="shared" si="460"/>
        <v/>
      </c>
      <c r="E9138" s="534"/>
      <c r="F9138" s="534"/>
    </row>
    <row r="9139" spans="1:6" ht="15" customHeight="1">
      <c r="A9139" s="51"/>
      <c r="B9139" s="52" t="str">
        <f t="shared" si="459"/>
        <v/>
      </c>
      <c r="C9139" t="str">
        <f t="shared" si="458"/>
        <v/>
      </c>
      <c r="D9139" s="245" t="str">
        <f t="shared" si="460"/>
        <v/>
      </c>
      <c r="E9139" s="534"/>
      <c r="F9139" s="534"/>
    </row>
    <row r="9140" spans="1:6" ht="15" customHeight="1">
      <c r="A9140" s="51"/>
      <c r="B9140" s="52" t="str">
        <f t="shared" si="459"/>
        <v/>
      </c>
      <c r="C9140" t="str">
        <f t="shared" si="458"/>
        <v/>
      </c>
      <c r="D9140" s="245" t="str">
        <f t="shared" si="460"/>
        <v/>
      </c>
      <c r="E9140" s="534"/>
      <c r="F9140" s="534"/>
    </row>
    <row r="9141" spans="1:6" ht="15" customHeight="1">
      <c r="A9141" s="51"/>
      <c r="B9141" s="52" t="str">
        <f t="shared" si="459"/>
        <v/>
      </c>
      <c r="C9141" t="str">
        <f t="shared" si="458"/>
        <v/>
      </c>
      <c r="D9141" s="245" t="str">
        <f t="shared" si="460"/>
        <v/>
      </c>
      <c r="E9141" s="534"/>
      <c r="F9141" s="534"/>
    </row>
    <row r="9142" spans="1:6" ht="15" customHeight="1">
      <c r="A9142" s="51"/>
      <c r="B9142" s="52" t="str">
        <f t="shared" si="459"/>
        <v/>
      </c>
      <c r="C9142" t="str">
        <f t="shared" si="458"/>
        <v/>
      </c>
      <c r="D9142" s="245" t="str">
        <f t="shared" si="460"/>
        <v/>
      </c>
      <c r="E9142" s="534"/>
      <c r="F9142" s="534"/>
    </row>
    <row r="9143" spans="1:6" ht="15" customHeight="1">
      <c r="A9143" s="51"/>
      <c r="B9143" s="52" t="str">
        <f t="shared" si="459"/>
        <v/>
      </c>
      <c r="C9143" t="str">
        <f t="shared" si="458"/>
        <v/>
      </c>
      <c r="D9143" s="245" t="str">
        <f t="shared" si="460"/>
        <v/>
      </c>
      <c r="E9143" s="534"/>
      <c r="F9143" s="534"/>
    </row>
    <row r="9144" spans="1:6" ht="15" customHeight="1">
      <c r="A9144" s="51"/>
      <c r="B9144" s="52" t="str">
        <f t="shared" si="459"/>
        <v/>
      </c>
      <c r="C9144" t="str">
        <f t="shared" si="458"/>
        <v/>
      </c>
      <c r="D9144" s="245" t="str">
        <f t="shared" si="460"/>
        <v/>
      </c>
      <c r="E9144" s="534"/>
      <c r="F9144" s="534"/>
    </row>
    <row r="9145" spans="1:6" ht="15" customHeight="1">
      <c r="A9145" s="51"/>
      <c r="B9145" s="52" t="str">
        <f t="shared" si="459"/>
        <v/>
      </c>
      <c r="C9145" t="str">
        <f t="shared" si="458"/>
        <v/>
      </c>
      <c r="D9145" s="245" t="str">
        <f t="shared" si="460"/>
        <v/>
      </c>
      <c r="E9145" s="534"/>
      <c r="F9145" s="534"/>
    </row>
    <row r="9146" spans="1:6" ht="15" customHeight="1">
      <c r="A9146" s="51"/>
      <c r="B9146" s="52" t="str">
        <f t="shared" si="459"/>
        <v/>
      </c>
      <c r="C9146" t="str">
        <f t="shared" si="458"/>
        <v/>
      </c>
      <c r="D9146" s="245" t="str">
        <f t="shared" si="460"/>
        <v/>
      </c>
      <c r="E9146" s="534"/>
      <c r="F9146" s="534"/>
    </row>
    <row r="9147" spans="1:6" ht="15" customHeight="1">
      <c r="A9147" s="51"/>
      <c r="B9147" s="52" t="str">
        <f t="shared" si="459"/>
        <v/>
      </c>
      <c r="C9147" t="str">
        <f t="shared" si="458"/>
        <v/>
      </c>
      <c r="D9147" s="245" t="str">
        <f t="shared" si="460"/>
        <v/>
      </c>
      <c r="E9147" s="534"/>
      <c r="F9147" s="534"/>
    </row>
    <row r="9148" spans="1:6" ht="15" customHeight="1">
      <c r="A9148" s="51"/>
      <c r="B9148" s="52" t="str">
        <f t="shared" si="459"/>
        <v/>
      </c>
      <c r="C9148" t="str">
        <f t="shared" si="458"/>
        <v/>
      </c>
      <c r="D9148" s="245" t="str">
        <f t="shared" si="460"/>
        <v/>
      </c>
      <c r="E9148" s="534"/>
      <c r="F9148" s="534"/>
    </row>
    <row r="9149" spans="1:6" ht="15" customHeight="1">
      <c r="A9149" s="51"/>
      <c r="B9149" s="52" t="str">
        <f t="shared" si="459"/>
        <v/>
      </c>
      <c r="C9149" t="str">
        <f t="shared" si="458"/>
        <v/>
      </c>
      <c r="D9149" s="245" t="str">
        <f t="shared" si="460"/>
        <v/>
      </c>
      <c r="E9149" s="534"/>
      <c r="F9149" s="534"/>
    </row>
    <row r="9150" spans="1:6" ht="15" customHeight="1">
      <c r="A9150" s="51"/>
      <c r="B9150" s="52" t="str">
        <f t="shared" si="459"/>
        <v/>
      </c>
      <c r="C9150" t="str">
        <f t="shared" si="458"/>
        <v/>
      </c>
      <c r="D9150" s="245" t="str">
        <f t="shared" si="460"/>
        <v/>
      </c>
      <c r="E9150" s="534"/>
      <c r="F9150" s="534"/>
    </row>
    <row r="9151" spans="1:6" ht="15" customHeight="1">
      <c r="A9151" s="51"/>
      <c r="B9151" s="52" t="str">
        <f t="shared" si="459"/>
        <v/>
      </c>
      <c r="C9151" t="str">
        <f t="shared" si="458"/>
        <v/>
      </c>
      <c r="D9151" s="245" t="str">
        <f t="shared" si="460"/>
        <v/>
      </c>
      <c r="E9151" s="534"/>
      <c r="F9151" s="534"/>
    </row>
    <row r="9152" spans="1:6" ht="15" customHeight="1">
      <c r="A9152" s="51"/>
      <c r="B9152" s="52" t="str">
        <f t="shared" si="459"/>
        <v/>
      </c>
      <c r="C9152" t="str">
        <f t="shared" si="458"/>
        <v/>
      </c>
      <c r="D9152" s="245" t="str">
        <f t="shared" si="460"/>
        <v/>
      </c>
      <c r="E9152" s="534"/>
      <c r="F9152" s="534"/>
    </row>
    <row r="9153" spans="1:6" ht="15" customHeight="1">
      <c r="A9153" s="51"/>
      <c r="B9153" s="52" t="str">
        <f t="shared" si="459"/>
        <v/>
      </c>
      <c r="C9153" t="str">
        <f t="shared" si="458"/>
        <v/>
      </c>
      <c r="D9153" s="245" t="str">
        <f t="shared" si="460"/>
        <v/>
      </c>
      <c r="E9153" s="534"/>
      <c r="F9153" s="534"/>
    </row>
    <row r="9154" spans="1:6" ht="15" customHeight="1">
      <c r="A9154" s="51"/>
      <c r="B9154" s="52" t="str">
        <f t="shared" si="459"/>
        <v/>
      </c>
      <c r="C9154" t="str">
        <f t="shared" ref="C9154:C9217" si="461">IF(A9154&lt;&gt;"",TEXT(A9154,"aaaa"),"")</f>
        <v/>
      </c>
      <c r="D9154" s="245" t="str">
        <f t="shared" si="460"/>
        <v/>
      </c>
      <c r="E9154" s="534"/>
      <c r="F9154" s="534"/>
    </row>
    <row r="9155" spans="1:6" ht="15" customHeight="1">
      <c r="A9155" s="51"/>
      <c r="B9155" s="52" t="str">
        <f t="shared" si="459"/>
        <v/>
      </c>
      <c r="C9155" t="str">
        <f t="shared" si="461"/>
        <v/>
      </c>
      <c r="D9155" s="245" t="str">
        <f t="shared" si="460"/>
        <v/>
      </c>
      <c r="E9155" s="534"/>
      <c r="F9155" s="534"/>
    </row>
    <row r="9156" spans="1:6" ht="15" customHeight="1">
      <c r="A9156" s="51"/>
      <c r="B9156" s="52" t="str">
        <f t="shared" si="459"/>
        <v/>
      </c>
      <c r="C9156" t="str">
        <f t="shared" si="461"/>
        <v/>
      </c>
      <c r="D9156" s="245" t="str">
        <f t="shared" si="460"/>
        <v/>
      </c>
      <c r="E9156" s="534"/>
      <c r="F9156" s="534"/>
    </row>
    <row r="9157" spans="1:6" ht="15" customHeight="1">
      <c r="A9157" s="51"/>
      <c r="B9157" s="52" t="str">
        <f t="shared" si="459"/>
        <v/>
      </c>
      <c r="C9157" t="str">
        <f t="shared" si="461"/>
        <v/>
      </c>
      <c r="D9157" s="245" t="str">
        <f t="shared" si="460"/>
        <v/>
      </c>
      <c r="E9157" s="534"/>
      <c r="F9157" s="534"/>
    </row>
    <row r="9158" spans="1:6" ht="15" customHeight="1">
      <c r="A9158" s="51"/>
      <c r="B9158" s="52" t="str">
        <f t="shared" si="459"/>
        <v/>
      </c>
      <c r="C9158" t="str">
        <f t="shared" si="461"/>
        <v/>
      </c>
      <c r="D9158" s="245" t="str">
        <f t="shared" si="460"/>
        <v/>
      </c>
      <c r="E9158" s="534"/>
      <c r="F9158" s="534"/>
    </row>
    <row r="9159" spans="1:6" ht="15" customHeight="1">
      <c r="A9159" s="51"/>
      <c r="B9159" s="52" t="str">
        <f t="shared" si="459"/>
        <v/>
      </c>
      <c r="C9159" t="str">
        <f t="shared" si="461"/>
        <v/>
      </c>
      <c r="D9159" s="245" t="str">
        <f t="shared" si="460"/>
        <v/>
      </c>
      <c r="E9159" s="534"/>
      <c r="F9159" s="534"/>
    </row>
    <row r="9160" spans="1:6" ht="15" customHeight="1">
      <c r="A9160" s="51"/>
      <c r="B9160" s="52" t="str">
        <f t="shared" ref="B9160:B9223" si="462">IF(A9160="","",TEXT(A9160,"DDDD"))</f>
        <v/>
      </c>
      <c r="C9160" t="str">
        <f t="shared" si="461"/>
        <v/>
      </c>
      <c r="D9160" s="245" t="str">
        <f t="shared" si="460"/>
        <v/>
      </c>
      <c r="E9160" s="534"/>
      <c r="F9160" s="534"/>
    </row>
    <row r="9161" spans="1:6" ht="15" customHeight="1">
      <c r="A9161" s="51"/>
      <c r="B9161" s="52" t="str">
        <f t="shared" si="462"/>
        <v/>
      </c>
      <c r="C9161" t="str">
        <f t="shared" si="461"/>
        <v/>
      </c>
      <c r="D9161" s="245" t="str">
        <f t="shared" ref="D9161:D9224" si="463">IF(A9161&lt;&gt;"",PROPER(TEXT(A9161,"Mmmm")),"")</f>
        <v/>
      </c>
      <c r="E9161" s="534"/>
      <c r="F9161" s="534"/>
    </row>
    <row r="9162" spans="1:6" ht="15" customHeight="1">
      <c r="A9162" s="51"/>
      <c r="B9162" s="52" t="str">
        <f t="shared" si="462"/>
        <v/>
      </c>
      <c r="C9162" t="str">
        <f t="shared" si="461"/>
        <v/>
      </c>
      <c r="D9162" s="245" t="str">
        <f t="shared" si="463"/>
        <v/>
      </c>
      <c r="E9162" s="534"/>
      <c r="F9162" s="534"/>
    </row>
    <row r="9163" spans="1:6" ht="15" customHeight="1">
      <c r="A9163" s="51"/>
      <c r="B9163" s="52" t="str">
        <f t="shared" si="462"/>
        <v/>
      </c>
      <c r="C9163" t="str">
        <f t="shared" si="461"/>
        <v/>
      </c>
      <c r="D9163" s="245" t="str">
        <f t="shared" si="463"/>
        <v/>
      </c>
      <c r="E9163" s="534"/>
      <c r="F9163" s="534"/>
    </row>
    <row r="9164" spans="1:6" ht="15" customHeight="1">
      <c r="A9164" s="51"/>
      <c r="B9164" s="52" t="str">
        <f t="shared" si="462"/>
        <v/>
      </c>
      <c r="C9164" t="str">
        <f t="shared" si="461"/>
        <v/>
      </c>
      <c r="D9164" s="245" t="str">
        <f t="shared" si="463"/>
        <v/>
      </c>
      <c r="E9164" s="534"/>
      <c r="F9164" s="534"/>
    </row>
    <row r="9165" spans="1:6" ht="15" customHeight="1">
      <c r="A9165" s="51"/>
      <c r="B9165" s="52" t="str">
        <f t="shared" si="462"/>
        <v/>
      </c>
      <c r="C9165" t="str">
        <f t="shared" si="461"/>
        <v/>
      </c>
      <c r="D9165" s="245" t="str">
        <f t="shared" si="463"/>
        <v/>
      </c>
      <c r="E9165" s="534"/>
      <c r="F9165" s="534"/>
    </row>
    <row r="9166" spans="1:6" ht="15" customHeight="1">
      <c r="A9166" s="51"/>
      <c r="B9166" s="52" t="str">
        <f t="shared" si="462"/>
        <v/>
      </c>
      <c r="C9166" t="str">
        <f t="shared" si="461"/>
        <v/>
      </c>
      <c r="D9166" s="245" t="str">
        <f t="shared" si="463"/>
        <v/>
      </c>
      <c r="E9166" s="534"/>
      <c r="F9166" s="534"/>
    </row>
    <row r="9167" spans="1:6" ht="15" customHeight="1">
      <c r="A9167" s="51"/>
      <c r="B9167" s="52" t="str">
        <f t="shared" si="462"/>
        <v/>
      </c>
      <c r="C9167" t="str">
        <f t="shared" si="461"/>
        <v/>
      </c>
      <c r="D9167" s="245" t="str">
        <f t="shared" si="463"/>
        <v/>
      </c>
      <c r="E9167" s="534"/>
      <c r="F9167" s="534"/>
    </row>
    <row r="9168" spans="1:6" ht="15" customHeight="1">
      <c r="A9168" s="51"/>
      <c r="B9168" s="52" t="str">
        <f t="shared" si="462"/>
        <v/>
      </c>
      <c r="C9168" t="str">
        <f t="shared" si="461"/>
        <v/>
      </c>
      <c r="D9168" s="245" t="str">
        <f t="shared" si="463"/>
        <v/>
      </c>
      <c r="E9168" s="534"/>
      <c r="F9168" s="534"/>
    </row>
    <row r="9169" spans="1:6" ht="15" customHeight="1">
      <c r="A9169" s="51"/>
      <c r="B9169" s="52" t="str">
        <f t="shared" si="462"/>
        <v/>
      </c>
      <c r="C9169" t="str">
        <f t="shared" si="461"/>
        <v/>
      </c>
      <c r="D9169" s="245" t="str">
        <f t="shared" si="463"/>
        <v/>
      </c>
      <c r="E9169" s="534"/>
      <c r="F9169" s="534"/>
    </row>
    <row r="9170" spans="1:6" ht="15" customHeight="1">
      <c r="A9170" s="51"/>
      <c r="B9170" s="52" t="str">
        <f t="shared" si="462"/>
        <v/>
      </c>
      <c r="C9170" t="str">
        <f t="shared" si="461"/>
        <v/>
      </c>
      <c r="D9170" s="245" t="str">
        <f t="shared" si="463"/>
        <v/>
      </c>
      <c r="E9170" s="534"/>
      <c r="F9170" s="534"/>
    </row>
    <row r="9171" spans="1:6" ht="15" customHeight="1">
      <c r="A9171" s="51"/>
      <c r="B9171" s="52" t="str">
        <f t="shared" si="462"/>
        <v/>
      </c>
      <c r="C9171" t="str">
        <f t="shared" si="461"/>
        <v/>
      </c>
      <c r="D9171" s="245" t="str">
        <f t="shared" si="463"/>
        <v/>
      </c>
      <c r="E9171" s="534"/>
      <c r="F9171" s="534"/>
    </row>
    <row r="9172" spans="1:6" ht="15" customHeight="1">
      <c r="A9172" s="51"/>
      <c r="B9172" s="52" t="str">
        <f t="shared" si="462"/>
        <v/>
      </c>
      <c r="C9172" t="str">
        <f t="shared" si="461"/>
        <v/>
      </c>
      <c r="D9172" s="245" t="str">
        <f t="shared" si="463"/>
        <v/>
      </c>
      <c r="E9172" s="534"/>
      <c r="F9172" s="534"/>
    </row>
    <row r="9173" spans="1:6" ht="15" customHeight="1">
      <c r="A9173" s="51"/>
      <c r="B9173" s="52" t="str">
        <f t="shared" si="462"/>
        <v/>
      </c>
      <c r="C9173" t="str">
        <f t="shared" si="461"/>
        <v/>
      </c>
      <c r="D9173" s="245" t="str">
        <f t="shared" si="463"/>
        <v/>
      </c>
      <c r="E9173" s="534"/>
      <c r="F9173" s="534"/>
    </row>
    <row r="9174" spans="1:6" ht="15" customHeight="1">
      <c r="A9174" s="51"/>
      <c r="B9174" s="52" t="str">
        <f t="shared" si="462"/>
        <v/>
      </c>
      <c r="C9174" t="str">
        <f t="shared" si="461"/>
        <v/>
      </c>
      <c r="D9174" s="245" t="str">
        <f t="shared" si="463"/>
        <v/>
      </c>
      <c r="E9174" s="534"/>
      <c r="F9174" s="534"/>
    </row>
    <row r="9175" spans="1:6" ht="15" customHeight="1">
      <c r="A9175" s="51"/>
      <c r="B9175" s="52" t="str">
        <f t="shared" si="462"/>
        <v/>
      </c>
      <c r="C9175" t="str">
        <f t="shared" si="461"/>
        <v/>
      </c>
      <c r="D9175" s="245" t="str">
        <f t="shared" si="463"/>
        <v/>
      </c>
      <c r="E9175" s="534"/>
      <c r="F9175" s="534"/>
    </row>
    <row r="9176" spans="1:6" ht="15" customHeight="1">
      <c r="A9176" s="51"/>
      <c r="B9176" s="52" t="str">
        <f t="shared" si="462"/>
        <v/>
      </c>
      <c r="C9176" t="str">
        <f t="shared" si="461"/>
        <v/>
      </c>
      <c r="D9176" s="245" t="str">
        <f t="shared" si="463"/>
        <v/>
      </c>
      <c r="E9176" s="534"/>
      <c r="F9176" s="534"/>
    </row>
    <row r="9177" spans="1:6" ht="15" customHeight="1">
      <c r="A9177" s="51"/>
      <c r="B9177" s="52" t="str">
        <f t="shared" si="462"/>
        <v/>
      </c>
      <c r="C9177" t="str">
        <f t="shared" si="461"/>
        <v/>
      </c>
      <c r="D9177" s="245" t="str">
        <f t="shared" si="463"/>
        <v/>
      </c>
      <c r="E9177" s="534"/>
      <c r="F9177" s="534"/>
    </row>
    <row r="9178" spans="1:6" ht="15" customHeight="1">
      <c r="A9178" s="51"/>
      <c r="B9178" s="52" t="str">
        <f t="shared" si="462"/>
        <v/>
      </c>
      <c r="C9178" t="str">
        <f t="shared" si="461"/>
        <v/>
      </c>
      <c r="D9178" s="245" t="str">
        <f t="shared" si="463"/>
        <v/>
      </c>
      <c r="E9178" s="534"/>
      <c r="F9178" s="534"/>
    </row>
    <row r="9179" spans="1:6" ht="15" customHeight="1">
      <c r="A9179" s="51"/>
      <c r="B9179" s="52" t="str">
        <f t="shared" si="462"/>
        <v/>
      </c>
      <c r="C9179" t="str">
        <f t="shared" si="461"/>
        <v/>
      </c>
      <c r="D9179" s="245" t="str">
        <f t="shared" si="463"/>
        <v/>
      </c>
      <c r="E9179" s="534"/>
      <c r="F9179" s="534"/>
    </row>
    <row r="9180" spans="1:6" ht="15" customHeight="1">
      <c r="A9180" s="51"/>
      <c r="B9180" s="52" t="str">
        <f t="shared" si="462"/>
        <v/>
      </c>
      <c r="C9180" t="str">
        <f t="shared" si="461"/>
        <v/>
      </c>
      <c r="D9180" s="245" t="str">
        <f t="shared" si="463"/>
        <v/>
      </c>
      <c r="E9180" s="534"/>
      <c r="F9180" s="534"/>
    </row>
    <row r="9181" spans="1:6" ht="15" customHeight="1">
      <c r="A9181" s="51"/>
      <c r="B9181" s="52" t="str">
        <f t="shared" si="462"/>
        <v/>
      </c>
      <c r="C9181" t="str">
        <f t="shared" si="461"/>
        <v/>
      </c>
      <c r="D9181" s="245" t="str">
        <f t="shared" si="463"/>
        <v/>
      </c>
      <c r="E9181" s="534"/>
      <c r="F9181" s="534"/>
    </row>
    <row r="9182" spans="1:6" ht="15" customHeight="1">
      <c r="A9182" s="51"/>
      <c r="B9182" s="52" t="str">
        <f t="shared" si="462"/>
        <v/>
      </c>
      <c r="C9182" t="str">
        <f t="shared" si="461"/>
        <v/>
      </c>
      <c r="D9182" s="245" t="str">
        <f t="shared" si="463"/>
        <v/>
      </c>
      <c r="E9182" s="534"/>
      <c r="F9182" s="534"/>
    </row>
    <row r="9183" spans="1:6" ht="15" customHeight="1">
      <c r="A9183" s="51"/>
      <c r="B9183" s="52" t="str">
        <f t="shared" si="462"/>
        <v/>
      </c>
      <c r="C9183" t="str">
        <f t="shared" si="461"/>
        <v/>
      </c>
      <c r="D9183" s="245" t="str">
        <f t="shared" si="463"/>
        <v/>
      </c>
      <c r="E9183" s="534"/>
      <c r="F9183" s="534"/>
    </row>
    <row r="9184" spans="1:6" ht="15" customHeight="1">
      <c r="A9184" s="51"/>
      <c r="B9184" s="52" t="str">
        <f t="shared" si="462"/>
        <v/>
      </c>
      <c r="C9184" t="str">
        <f t="shared" si="461"/>
        <v/>
      </c>
      <c r="D9184" s="245" t="str">
        <f t="shared" si="463"/>
        <v/>
      </c>
      <c r="E9184" s="534"/>
      <c r="F9184" s="534"/>
    </row>
    <row r="9185" spans="1:6" ht="15" customHeight="1">
      <c r="A9185" s="51"/>
      <c r="B9185" s="52" t="str">
        <f t="shared" si="462"/>
        <v/>
      </c>
      <c r="C9185" t="str">
        <f t="shared" si="461"/>
        <v/>
      </c>
      <c r="D9185" s="245" t="str">
        <f t="shared" si="463"/>
        <v/>
      </c>
      <c r="E9185" s="534"/>
      <c r="F9185" s="534"/>
    </row>
    <row r="9186" spans="1:6" ht="15" customHeight="1">
      <c r="A9186" s="51"/>
      <c r="B9186" s="52" t="str">
        <f t="shared" si="462"/>
        <v/>
      </c>
      <c r="C9186" t="str">
        <f t="shared" si="461"/>
        <v/>
      </c>
      <c r="D9186" s="245" t="str">
        <f t="shared" si="463"/>
        <v/>
      </c>
      <c r="E9186" s="534"/>
      <c r="F9186" s="534"/>
    </row>
    <row r="9187" spans="1:6" ht="15" customHeight="1">
      <c r="A9187" s="51"/>
      <c r="B9187" s="52" t="str">
        <f t="shared" si="462"/>
        <v/>
      </c>
      <c r="C9187" t="str">
        <f t="shared" si="461"/>
        <v/>
      </c>
      <c r="D9187" s="245" t="str">
        <f t="shared" si="463"/>
        <v/>
      </c>
      <c r="E9187" s="534"/>
      <c r="F9187" s="534"/>
    </row>
    <row r="9188" spans="1:6" ht="15" customHeight="1">
      <c r="A9188" s="51"/>
      <c r="B9188" s="52" t="str">
        <f t="shared" si="462"/>
        <v/>
      </c>
      <c r="C9188" t="str">
        <f t="shared" si="461"/>
        <v/>
      </c>
      <c r="D9188" s="245" t="str">
        <f t="shared" si="463"/>
        <v/>
      </c>
      <c r="E9188" s="534"/>
      <c r="F9188" s="534"/>
    </row>
    <row r="9189" spans="1:6" ht="15" customHeight="1">
      <c r="A9189" s="51"/>
      <c r="B9189" s="52" t="str">
        <f t="shared" si="462"/>
        <v/>
      </c>
      <c r="C9189" t="str">
        <f t="shared" si="461"/>
        <v/>
      </c>
      <c r="D9189" s="245" t="str">
        <f t="shared" si="463"/>
        <v/>
      </c>
      <c r="E9189" s="534"/>
      <c r="F9189" s="534"/>
    </row>
    <row r="9190" spans="1:6" ht="15" customHeight="1">
      <c r="A9190" s="51"/>
      <c r="B9190" s="52" t="str">
        <f t="shared" si="462"/>
        <v/>
      </c>
      <c r="C9190" t="str">
        <f t="shared" si="461"/>
        <v/>
      </c>
      <c r="D9190" s="245" t="str">
        <f t="shared" si="463"/>
        <v/>
      </c>
      <c r="E9190" s="534"/>
      <c r="F9190" s="534"/>
    </row>
    <row r="9191" spans="1:6" ht="15" customHeight="1">
      <c r="A9191" s="51"/>
      <c r="B9191" s="52" t="str">
        <f t="shared" si="462"/>
        <v/>
      </c>
      <c r="C9191" t="str">
        <f t="shared" si="461"/>
        <v/>
      </c>
      <c r="D9191" s="245" t="str">
        <f t="shared" si="463"/>
        <v/>
      </c>
      <c r="E9191" s="534"/>
      <c r="F9191" s="534"/>
    </row>
    <row r="9192" spans="1:6" ht="15" customHeight="1">
      <c r="A9192" s="51"/>
      <c r="B9192" s="52" t="str">
        <f t="shared" si="462"/>
        <v/>
      </c>
      <c r="C9192" t="str">
        <f t="shared" si="461"/>
        <v/>
      </c>
      <c r="D9192" s="245" t="str">
        <f t="shared" si="463"/>
        <v/>
      </c>
      <c r="E9192" s="534"/>
      <c r="F9192" s="534"/>
    </row>
    <row r="9193" spans="1:6" ht="15" customHeight="1">
      <c r="A9193" s="51"/>
      <c r="B9193" s="52" t="str">
        <f t="shared" si="462"/>
        <v/>
      </c>
      <c r="C9193" t="str">
        <f t="shared" si="461"/>
        <v/>
      </c>
      <c r="D9193" s="245" t="str">
        <f t="shared" si="463"/>
        <v/>
      </c>
      <c r="E9193" s="534"/>
      <c r="F9193" s="534"/>
    </row>
    <row r="9194" spans="1:6" ht="15" customHeight="1">
      <c r="A9194" s="51"/>
      <c r="B9194" s="52" t="str">
        <f t="shared" si="462"/>
        <v/>
      </c>
      <c r="C9194" t="str">
        <f t="shared" si="461"/>
        <v/>
      </c>
      <c r="D9194" s="245" t="str">
        <f t="shared" si="463"/>
        <v/>
      </c>
      <c r="E9194" s="534"/>
      <c r="F9194" s="534"/>
    </row>
    <row r="9195" spans="1:6" ht="15" customHeight="1">
      <c r="A9195" s="51"/>
      <c r="B9195" s="52" t="str">
        <f t="shared" si="462"/>
        <v/>
      </c>
      <c r="C9195" t="str">
        <f t="shared" si="461"/>
        <v/>
      </c>
      <c r="D9195" s="245" t="str">
        <f t="shared" si="463"/>
        <v/>
      </c>
      <c r="E9195" s="534"/>
      <c r="F9195" s="534"/>
    </row>
    <row r="9196" spans="1:6" ht="15" customHeight="1">
      <c r="A9196" s="51"/>
      <c r="B9196" s="52" t="str">
        <f t="shared" si="462"/>
        <v/>
      </c>
      <c r="C9196" t="str">
        <f t="shared" si="461"/>
        <v/>
      </c>
      <c r="D9196" s="245" t="str">
        <f t="shared" si="463"/>
        <v/>
      </c>
      <c r="E9196" s="534"/>
      <c r="F9196" s="534"/>
    </row>
    <row r="9197" spans="1:6" ht="15" customHeight="1">
      <c r="A9197" s="51"/>
      <c r="B9197" s="52" t="str">
        <f t="shared" si="462"/>
        <v/>
      </c>
      <c r="C9197" t="str">
        <f t="shared" si="461"/>
        <v/>
      </c>
      <c r="D9197" s="245" t="str">
        <f t="shared" si="463"/>
        <v/>
      </c>
      <c r="E9197" s="534"/>
      <c r="F9197" s="534"/>
    </row>
    <row r="9198" spans="1:6" ht="15" customHeight="1">
      <c r="A9198" s="51"/>
      <c r="B9198" s="52" t="str">
        <f t="shared" si="462"/>
        <v/>
      </c>
      <c r="C9198" t="str">
        <f t="shared" si="461"/>
        <v/>
      </c>
      <c r="D9198" s="245" t="str">
        <f t="shared" si="463"/>
        <v/>
      </c>
      <c r="E9198" s="534"/>
      <c r="F9198" s="534"/>
    </row>
    <row r="9199" spans="1:6" ht="15" customHeight="1">
      <c r="A9199" s="51"/>
      <c r="B9199" s="52" t="str">
        <f t="shared" si="462"/>
        <v/>
      </c>
      <c r="C9199" t="str">
        <f t="shared" si="461"/>
        <v/>
      </c>
      <c r="D9199" s="245" t="str">
        <f t="shared" si="463"/>
        <v/>
      </c>
      <c r="E9199" s="534"/>
      <c r="F9199" s="534"/>
    </row>
    <row r="9200" spans="1:6" ht="15" customHeight="1">
      <c r="A9200" s="51"/>
      <c r="B9200" s="52" t="str">
        <f t="shared" si="462"/>
        <v/>
      </c>
      <c r="C9200" t="str">
        <f t="shared" si="461"/>
        <v/>
      </c>
      <c r="D9200" s="245" t="str">
        <f t="shared" si="463"/>
        <v/>
      </c>
      <c r="E9200" s="534"/>
      <c r="F9200" s="534"/>
    </row>
    <row r="9201" spans="1:6" ht="15" customHeight="1">
      <c r="A9201" s="51"/>
      <c r="B9201" s="52" t="str">
        <f t="shared" si="462"/>
        <v/>
      </c>
      <c r="C9201" t="str">
        <f t="shared" si="461"/>
        <v/>
      </c>
      <c r="D9201" s="245" t="str">
        <f t="shared" si="463"/>
        <v/>
      </c>
      <c r="E9201" s="534"/>
      <c r="F9201" s="534"/>
    </row>
    <row r="9202" spans="1:6" ht="15" customHeight="1">
      <c r="A9202" s="51"/>
      <c r="B9202" s="52" t="str">
        <f t="shared" si="462"/>
        <v/>
      </c>
      <c r="C9202" t="str">
        <f t="shared" si="461"/>
        <v/>
      </c>
      <c r="D9202" s="245" t="str">
        <f t="shared" si="463"/>
        <v/>
      </c>
      <c r="E9202" s="534"/>
      <c r="F9202" s="534"/>
    </row>
    <row r="9203" spans="1:6" ht="15" customHeight="1">
      <c r="A9203" s="51"/>
      <c r="B9203" s="52" t="str">
        <f t="shared" si="462"/>
        <v/>
      </c>
      <c r="C9203" t="str">
        <f t="shared" si="461"/>
        <v/>
      </c>
      <c r="D9203" s="245" t="str">
        <f t="shared" si="463"/>
        <v/>
      </c>
      <c r="E9203" s="534"/>
      <c r="F9203" s="534"/>
    </row>
    <row r="9204" spans="1:6" ht="15" customHeight="1">
      <c r="A9204" s="51"/>
      <c r="B9204" s="52" t="str">
        <f t="shared" si="462"/>
        <v/>
      </c>
      <c r="C9204" t="str">
        <f t="shared" si="461"/>
        <v/>
      </c>
      <c r="D9204" s="245" t="str">
        <f t="shared" si="463"/>
        <v/>
      </c>
      <c r="E9204" s="534"/>
      <c r="F9204" s="534"/>
    </row>
    <row r="9205" spans="1:6" ht="15" customHeight="1">
      <c r="A9205" s="51"/>
      <c r="B9205" s="52" t="str">
        <f t="shared" si="462"/>
        <v/>
      </c>
      <c r="C9205" t="str">
        <f t="shared" si="461"/>
        <v/>
      </c>
      <c r="D9205" s="245" t="str">
        <f t="shared" si="463"/>
        <v/>
      </c>
      <c r="E9205" s="534"/>
      <c r="F9205" s="534"/>
    </row>
    <row r="9206" spans="1:6" ht="15" customHeight="1">
      <c r="A9206" s="51"/>
      <c r="B9206" s="52" t="str">
        <f t="shared" si="462"/>
        <v/>
      </c>
      <c r="C9206" t="str">
        <f t="shared" si="461"/>
        <v/>
      </c>
      <c r="D9206" s="245" t="str">
        <f t="shared" si="463"/>
        <v/>
      </c>
      <c r="E9206" s="534"/>
      <c r="F9206" s="534"/>
    </row>
    <row r="9207" spans="1:6" ht="15" customHeight="1">
      <c r="A9207" s="51"/>
      <c r="B9207" s="52" t="str">
        <f t="shared" si="462"/>
        <v/>
      </c>
      <c r="C9207" t="str">
        <f t="shared" si="461"/>
        <v/>
      </c>
      <c r="D9207" s="245" t="str">
        <f t="shared" si="463"/>
        <v/>
      </c>
      <c r="E9207" s="534"/>
      <c r="F9207" s="534"/>
    </row>
    <row r="9208" spans="1:6" ht="15" customHeight="1">
      <c r="A9208" s="51"/>
      <c r="B9208" s="52" t="str">
        <f t="shared" si="462"/>
        <v/>
      </c>
      <c r="C9208" t="str">
        <f t="shared" si="461"/>
        <v/>
      </c>
      <c r="D9208" s="245" t="str">
        <f t="shared" si="463"/>
        <v/>
      </c>
      <c r="E9208" s="534"/>
      <c r="F9208" s="534"/>
    </row>
    <row r="9209" spans="1:6" ht="15" customHeight="1">
      <c r="A9209" s="51"/>
      <c r="B9209" s="52" t="str">
        <f t="shared" si="462"/>
        <v/>
      </c>
      <c r="C9209" t="str">
        <f t="shared" si="461"/>
        <v/>
      </c>
      <c r="D9209" s="245" t="str">
        <f t="shared" si="463"/>
        <v/>
      </c>
      <c r="E9209" s="534"/>
      <c r="F9209" s="534"/>
    </row>
    <row r="9210" spans="1:6" ht="15" customHeight="1">
      <c r="A9210" s="51"/>
      <c r="B9210" s="52" t="str">
        <f t="shared" si="462"/>
        <v/>
      </c>
      <c r="C9210" t="str">
        <f t="shared" si="461"/>
        <v/>
      </c>
      <c r="D9210" s="245" t="str">
        <f t="shared" si="463"/>
        <v/>
      </c>
      <c r="E9210" s="534"/>
      <c r="F9210" s="534"/>
    </row>
    <row r="9211" spans="1:6" ht="15" customHeight="1">
      <c r="A9211" s="51"/>
      <c r="B9211" s="52" t="str">
        <f t="shared" si="462"/>
        <v/>
      </c>
      <c r="C9211" t="str">
        <f t="shared" si="461"/>
        <v/>
      </c>
      <c r="D9211" s="245" t="str">
        <f t="shared" si="463"/>
        <v/>
      </c>
      <c r="E9211" s="534"/>
      <c r="F9211" s="534"/>
    </row>
    <row r="9212" spans="1:6" ht="15" customHeight="1">
      <c r="A9212" s="51"/>
      <c r="B9212" s="52" t="str">
        <f t="shared" si="462"/>
        <v/>
      </c>
      <c r="C9212" t="str">
        <f t="shared" si="461"/>
        <v/>
      </c>
      <c r="D9212" s="245" t="str">
        <f t="shared" si="463"/>
        <v/>
      </c>
      <c r="E9212" s="534"/>
      <c r="F9212" s="534"/>
    </row>
    <row r="9213" spans="1:6" ht="15" customHeight="1">
      <c r="A9213" s="51"/>
      <c r="B9213" s="52" t="str">
        <f t="shared" si="462"/>
        <v/>
      </c>
      <c r="C9213" t="str">
        <f t="shared" si="461"/>
        <v/>
      </c>
      <c r="D9213" s="245" t="str">
        <f t="shared" si="463"/>
        <v/>
      </c>
      <c r="E9213" s="534"/>
      <c r="F9213" s="534"/>
    </row>
    <row r="9214" spans="1:6" ht="15" customHeight="1">
      <c r="A9214" s="51"/>
      <c r="B9214" s="52" t="str">
        <f t="shared" si="462"/>
        <v/>
      </c>
      <c r="C9214" t="str">
        <f t="shared" si="461"/>
        <v/>
      </c>
      <c r="D9214" s="245" t="str">
        <f t="shared" si="463"/>
        <v/>
      </c>
      <c r="E9214" s="534"/>
      <c r="F9214" s="534"/>
    </row>
    <row r="9215" spans="1:6" ht="15" customHeight="1">
      <c r="A9215" s="51"/>
      <c r="B9215" s="52" t="str">
        <f t="shared" si="462"/>
        <v/>
      </c>
      <c r="C9215" t="str">
        <f t="shared" si="461"/>
        <v/>
      </c>
      <c r="D9215" s="245" t="str">
        <f t="shared" si="463"/>
        <v/>
      </c>
      <c r="E9215" s="534"/>
      <c r="F9215" s="534"/>
    </row>
    <row r="9216" spans="1:6" ht="15" customHeight="1">
      <c r="A9216" s="51"/>
      <c r="B9216" s="52" t="str">
        <f t="shared" si="462"/>
        <v/>
      </c>
      <c r="C9216" t="str">
        <f t="shared" si="461"/>
        <v/>
      </c>
      <c r="D9216" s="245" t="str">
        <f t="shared" si="463"/>
        <v/>
      </c>
      <c r="E9216" s="534"/>
      <c r="F9216" s="534"/>
    </row>
    <row r="9217" spans="1:6" ht="15" customHeight="1">
      <c r="A9217" s="51"/>
      <c r="B9217" s="52" t="str">
        <f t="shared" si="462"/>
        <v/>
      </c>
      <c r="C9217" t="str">
        <f t="shared" si="461"/>
        <v/>
      </c>
      <c r="D9217" s="245" t="str">
        <f t="shared" si="463"/>
        <v/>
      </c>
      <c r="E9217" s="534"/>
      <c r="F9217" s="534"/>
    </row>
    <row r="9218" spans="1:6" ht="15" customHeight="1">
      <c r="A9218" s="51"/>
      <c r="B9218" s="52" t="str">
        <f t="shared" si="462"/>
        <v/>
      </c>
      <c r="C9218" t="str">
        <f t="shared" ref="C9218:C9281" si="464">IF(A9218&lt;&gt;"",TEXT(A9218,"aaaa"),"")</f>
        <v/>
      </c>
      <c r="D9218" s="245" t="str">
        <f t="shared" si="463"/>
        <v/>
      </c>
      <c r="E9218" s="534"/>
      <c r="F9218" s="534"/>
    </row>
    <row r="9219" spans="1:6" ht="15" customHeight="1">
      <c r="A9219" s="51"/>
      <c r="B9219" s="52" t="str">
        <f t="shared" si="462"/>
        <v/>
      </c>
      <c r="C9219" t="str">
        <f t="shared" si="464"/>
        <v/>
      </c>
      <c r="D9219" s="245" t="str">
        <f t="shared" si="463"/>
        <v/>
      </c>
      <c r="E9219" s="534"/>
      <c r="F9219" s="534"/>
    </row>
    <row r="9220" spans="1:6" ht="15" customHeight="1">
      <c r="A9220" s="51"/>
      <c r="B9220" s="52" t="str">
        <f t="shared" si="462"/>
        <v/>
      </c>
      <c r="C9220" t="str">
        <f t="shared" si="464"/>
        <v/>
      </c>
      <c r="D9220" s="245" t="str">
        <f t="shared" si="463"/>
        <v/>
      </c>
      <c r="E9220" s="534"/>
      <c r="F9220" s="534"/>
    </row>
    <row r="9221" spans="1:6" ht="15" customHeight="1">
      <c r="A9221" s="51"/>
      <c r="B9221" s="52" t="str">
        <f t="shared" si="462"/>
        <v/>
      </c>
      <c r="C9221" t="str">
        <f t="shared" si="464"/>
        <v/>
      </c>
      <c r="D9221" s="245" t="str">
        <f t="shared" si="463"/>
        <v/>
      </c>
      <c r="E9221" s="534"/>
      <c r="F9221" s="534"/>
    </row>
    <row r="9222" spans="1:6" ht="15" customHeight="1">
      <c r="A9222" s="51"/>
      <c r="B9222" s="52" t="str">
        <f t="shared" si="462"/>
        <v/>
      </c>
      <c r="C9222" t="str">
        <f t="shared" si="464"/>
        <v/>
      </c>
      <c r="D9222" s="245" t="str">
        <f t="shared" si="463"/>
        <v/>
      </c>
      <c r="E9222" s="534"/>
      <c r="F9222" s="534"/>
    </row>
    <row r="9223" spans="1:6" ht="15" customHeight="1">
      <c r="A9223" s="51"/>
      <c r="B9223" s="52" t="str">
        <f t="shared" si="462"/>
        <v/>
      </c>
      <c r="C9223" t="str">
        <f t="shared" si="464"/>
        <v/>
      </c>
      <c r="D9223" s="245" t="str">
        <f t="shared" si="463"/>
        <v/>
      </c>
      <c r="E9223" s="534"/>
      <c r="F9223" s="534"/>
    </row>
    <row r="9224" spans="1:6" ht="15" customHeight="1">
      <c r="A9224" s="51"/>
      <c r="B9224" s="52" t="str">
        <f t="shared" ref="B9224:B9287" si="465">IF(A9224="","",TEXT(A9224,"DDDD"))</f>
        <v/>
      </c>
      <c r="C9224" t="str">
        <f t="shared" si="464"/>
        <v/>
      </c>
      <c r="D9224" s="245" t="str">
        <f t="shared" si="463"/>
        <v/>
      </c>
      <c r="E9224" s="534"/>
      <c r="F9224" s="534"/>
    </row>
    <row r="9225" spans="1:6" ht="15" customHeight="1">
      <c r="A9225" s="51"/>
      <c r="B9225" s="52" t="str">
        <f t="shared" si="465"/>
        <v/>
      </c>
      <c r="C9225" t="str">
        <f t="shared" si="464"/>
        <v/>
      </c>
      <c r="D9225" s="245" t="str">
        <f t="shared" ref="D9225:D9288" si="466">IF(A9225&lt;&gt;"",PROPER(TEXT(A9225,"Mmmm")),"")</f>
        <v/>
      </c>
      <c r="E9225" s="534"/>
      <c r="F9225" s="534"/>
    </row>
    <row r="9226" spans="1:6" ht="15" customHeight="1">
      <c r="A9226" s="51"/>
      <c r="B9226" s="52" t="str">
        <f t="shared" si="465"/>
        <v/>
      </c>
      <c r="C9226" t="str">
        <f t="shared" si="464"/>
        <v/>
      </c>
      <c r="D9226" s="245" t="str">
        <f t="shared" si="466"/>
        <v/>
      </c>
      <c r="E9226" s="534"/>
      <c r="F9226" s="534"/>
    </row>
    <row r="9227" spans="1:6" ht="15" customHeight="1">
      <c r="A9227" s="51"/>
      <c r="B9227" s="52" t="str">
        <f t="shared" si="465"/>
        <v/>
      </c>
      <c r="C9227" t="str">
        <f t="shared" si="464"/>
        <v/>
      </c>
      <c r="D9227" s="245" t="str">
        <f t="shared" si="466"/>
        <v/>
      </c>
      <c r="E9227" s="534"/>
      <c r="F9227" s="534"/>
    </row>
    <row r="9228" spans="1:6" ht="15" customHeight="1">
      <c r="A9228" s="51"/>
      <c r="B9228" s="52" t="str">
        <f t="shared" si="465"/>
        <v/>
      </c>
      <c r="C9228" t="str">
        <f t="shared" si="464"/>
        <v/>
      </c>
      <c r="D9228" s="245" t="str">
        <f t="shared" si="466"/>
        <v/>
      </c>
      <c r="E9228" s="534"/>
      <c r="F9228" s="534"/>
    </row>
    <row r="9229" spans="1:6" ht="15" customHeight="1">
      <c r="A9229" s="51"/>
      <c r="B9229" s="52" t="str">
        <f t="shared" si="465"/>
        <v/>
      </c>
      <c r="C9229" t="str">
        <f t="shared" si="464"/>
        <v/>
      </c>
      <c r="D9229" s="245" t="str">
        <f t="shared" si="466"/>
        <v/>
      </c>
      <c r="E9229" s="534"/>
      <c r="F9229" s="534"/>
    </row>
    <row r="9230" spans="1:6" ht="15" customHeight="1">
      <c r="A9230" s="51"/>
      <c r="B9230" s="52" t="str">
        <f t="shared" si="465"/>
        <v/>
      </c>
      <c r="C9230" t="str">
        <f t="shared" si="464"/>
        <v/>
      </c>
      <c r="D9230" s="245" t="str">
        <f t="shared" si="466"/>
        <v/>
      </c>
      <c r="E9230" s="534"/>
      <c r="F9230" s="534"/>
    </row>
    <row r="9231" spans="1:6" ht="15" customHeight="1">
      <c r="A9231" s="51"/>
      <c r="B9231" s="52" t="str">
        <f t="shared" si="465"/>
        <v/>
      </c>
      <c r="C9231" t="str">
        <f t="shared" si="464"/>
        <v/>
      </c>
      <c r="D9231" s="245" t="str">
        <f t="shared" si="466"/>
        <v/>
      </c>
      <c r="E9231" s="534"/>
      <c r="F9231" s="534"/>
    </row>
    <row r="9232" spans="1:6" ht="15" customHeight="1">
      <c r="A9232" s="51"/>
      <c r="B9232" s="52" t="str">
        <f t="shared" si="465"/>
        <v/>
      </c>
      <c r="C9232" t="str">
        <f t="shared" si="464"/>
        <v/>
      </c>
      <c r="D9232" s="245" t="str">
        <f t="shared" si="466"/>
        <v/>
      </c>
      <c r="E9232" s="534"/>
      <c r="F9232" s="534"/>
    </row>
    <row r="9233" spans="1:6" ht="15" customHeight="1">
      <c r="A9233" s="51"/>
      <c r="B9233" s="52" t="str">
        <f t="shared" si="465"/>
        <v/>
      </c>
      <c r="C9233" t="str">
        <f t="shared" si="464"/>
        <v/>
      </c>
      <c r="D9233" s="245" t="str">
        <f t="shared" si="466"/>
        <v/>
      </c>
      <c r="E9233" s="534"/>
      <c r="F9233" s="534"/>
    </row>
    <row r="9234" spans="1:6" ht="15" customHeight="1">
      <c r="A9234" s="51"/>
      <c r="B9234" s="52" t="str">
        <f t="shared" si="465"/>
        <v/>
      </c>
      <c r="C9234" t="str">
        <f t="shared" si="464"/>
        <v/>
      </c>
      <c r="D9234" s="245" t="str">
        <f t="shared" si="466"/>
        <v/>
      </c>
      <c r="E9234" s="534"/>
      <c r="F9234" s="534"/>
    </row>
    <row r="9235" spans="1:6" ht="15" customHeight="1">
      <c r="A9235" s="51"/>
      <c r="B9235" s="52" t="str">
        <f t="shared" si="465"/>
        <v/>
      </c>
      <c r="C9235" t="str">
        <f t="shared" si="464"/>
        <v/>
      </c>
      <c r="D9235" s="245" t="str">
        <f t="shared" si="466"/>
        <v/>
      </c>
      <c r="E9235" s="534"/>
      <c r="F9235" s="534"/>
    </row>
    <row r="9236" spans="1:6" ht="15" customHeight="1">
      <c r="A9236" s="51"/>
      <c r="B9236" s="52" t="str">
        <f t="shared" si="465"/>
        <v/>
      </c>
      <c r="C9236" t="str">
        <f t="shared" si="464"/>
        <v/>
      </c>
      <c r="D9236" s="245" t="str">
        <f t="shared" si="466"/>
        <v/>
      </c>
      <c r="E9236" s="534"/>
      <c r="F9236" s="534"/>
    </row>
    <row r="9237" spans="1:6" ht="15" customHeight="1">
      <c r="A9237" s="51"/>
      <c r="B9237" s="52" t="str">
        <f t="shared" si="465"/>
        <v/>
      </c>
      <c r="C9237" t="str">
        <f t="shared" si="464"/>
        <v/>
      </c>
      <c r="D9237" s="245" t="str">
        <f t="shared" si="466"/>
        <v/>
      </c>
      <c r="E9237" s="534"/>
      <c r="F9237" s="534"/>
    </row>
    <row r="9238" spans="1:6" ht="15" customHeight="1">
      <c r="A9238" s="51"/>
      <c r="B9238" s="52" t="str">
        <f t="shared" si="465"/>
        <v/>
      </c>
      <c r="C9238" t="str">
        <f t="shared" si="464"/>
        <v/>
      </c>
      <c r="D9238" s="245" t="str">
        <f t="shared" si="466"/>
        <v/>
      </c>
      <c r="E9238" s="534"/>
      <c r="F9238" s="534"/>
    </row>
    <row r="9239" spans="1:6" ht="15" customHeight="1">
      <c r="A9239" s="51"/>
      <c r="B9239" s="52" t="str">
        <f t="shared" si="465"/>
        <v/>
      </c>
      <c r="C9239" t="str">
        <f t="shared" si="464"/>
        <v/>
      </c>
      <c r="D9239" s="245" t="str">
        <f t="shared" si="466"/>
        <v/>
      </c>
      <c r="E9239" s="534"/>
      <c r="F9239" s="534"/>
    </row>
    <row r="9240" spans="1:6" ht="15" customHeight="1">
      <c r="A9240" s="51"/>
      <c r="B9240" s="52" t="str">
        <f t="shared" si="465"/>
        <v/>
      </c>
      <c r="C9240" t="str">
        <f t="shared" si="464"/>
        <v/>
      </c>
      <c r="D9240" s="245" t="str">
        <f t="shared" si="466"/>
        <v/>
      </c>
      <c r="E9240" s="534"/>
      <c r="F9240" s="534"/>
    </row>
    <row r="9241" spans="1:6" ht="15" customHeight="1">
      <c r="A9241" s="51"/>
      <c r="B9241" s="52" t="str">
        <f t="shared" si="465"/>
        <v/>
      </c>
      <c r="C9241" t="str">
        <f t="shared" si="464"/>
        <v/>
      </c>
      <c r="D9241" s="245" t="str">
        <f t="shared" si="466"/>
        <v/>
      </c>
      <c r="E9241" s="534"/>
      <c r="F9241" s="534"/>
    </row>
    <row r="9242" spans="1:6" ht="15" customHeight="1">
      <c r="A9242" s="51"/>
      <c r="B9242" s="52" t="str">
        <f t="shared" si="465"/>
        <v/>
      </c>
      <c r="C9242" t="str">
        <f t="shared" si="464"/>
        <v/>
      </c>
      <c r="D9242" s="245" t="str">
        <f t="shared" si="466"/>
        <v/>
      </c>
      <c r="E9242" s="534"/>
      <c r="F9242" s="534"/>
    </row>
    <row r="9243" spans="1:6" ht="15" customHeight="1">
      <c r="A9243" s="51"/>
      <c r="B9243" s="52" t="str">
        <f t="shared" si="465"/>
        <v/>
      </c>
      <c r="C9243" t="str">
        <f t="shared" si="464"/>
        <v/>
      </c>
      <c r="D9243" s="245" t="str">
        <f t="shared" si="466"/>
        <v/>
      </c>
      <c r="E9243" s="534"/>
      <c r="F9243" s="534"/>
    </row>
    <row r="9244" spans="1:6" ht="15" customHeight="1">
      <c r="A9244" s="51"/>
      <c r="B9244" s="52" t="str">
        <f t="shared" si="465"/>
        <v/>
      </c>
      <c r="C9244" t="str">
        <f t="shared" si="464"/>
        <v/>
      </c>
      <c r="D9244" s="245" t="str">
        <f t="shared" si="466"/>
        <v/>
      </c>
      <c r="E9244" s="534"/>
      <c r="F9244" s="534"/>
    </row>
    <row r="9245" spans="1:6" ht="15" customHeight="1">
      <c r="A9245" s="51"/>
      <c r="B9245" s="52" t="str">
        <f t="shared" si="465"/>
        <v/>
      </c>
      <c r="C9245" t="str">
        <f t="shared" si="464"/>
        <v/>
      </c>
      <c r="D9245" s="245" t="str">
        <f t="shared" si="466"/>
        <v/>
      </c>
      <c r="E9245" s="534"/>
      <c r="F9245" s="534"/>
    </row>
    <row r="9246" spans="1:6" ht="15" customHeight="1">
      <c r="A9246" s="51"/>
      <c r="B9246" s="52" t="str">
        <f t="shared" si="465"/>
        <v/>
      </c>
      <c r="C9246" t="str">
        <f t="shared" si="464"/>
        <v/>
      </c>
      <c r="D9246" s="245" t="str">
        <f t="shared" si="466"/>
        <v/>
      </c>
      <c r="E9246" s="534"/>
      <c r="F9246" s="534"/>
    </row>
    <row r="9247" spans="1:6" ht="15" customHeight="1">
      <c r="A9247" s="51"/>
      <c r="B9247" s="52" t="str">
        <f t="shared" si="465"/>
        <v/>
      </c>
      <c r="C9247" t="str">
        <f t="shared" si="464"/>
        <v/>
      </c>
      <c r="D9247" s="245" t="str">
        <f t="shared" si="466"/>
        <v/>
      </c>
      <c r="E9247" s="534"/>
      <c r="F9247" s="534"/>
    </row>
    <row r="9248" spans="1:6" ht="15" customHeight="1">
      <c r="A9248" s="51"/>
      <c r="B9248" s="52" t="str">
        <f t="shared" si="465"/>
        <v/>
      </c>
      <c r="C9248" t="str">
        <f t="shared" si="464"/>
        <v/>
      </c>
      <c r="D9248" s="245" t="str">
        <f t="shared" si="466"/>
        <v/>
      </c>
      <c r="E9248" s="534"/>
      <c r="F9248" s="534"/>
    </row>
    <row r="9249" spans="1:6" ht="15" customHeight="1">
      <c r="A9249" s="51"/>
      <c r="B9249" s="52" t="str">
        <f t="shared" si="465"/>
        <v/>
      </c>
      <c r="C9249" t="str">
        <f t="shared" si="464"/>
        <v/>
      </c>
      <c r="D9249" s="245" t="str">
        <f t="shared" si="466"/>
        <v/>
      </c>
      <c r="E9249" s="534"/>
      <c r="F9249" s="534"/>
    </row>
    <row r="9250" spans="1:6" ht="15" customHeight="1">
      <c r="A9250" s="51"/>
      <c r="B9250" s="52" t="str">
        <f t="shared" si="465"/>
        <v/>
      </c>
      <c r="C9250" t="str">
        <f t="shared" si="464"/>
        <v/>
      </c>
      <c r="D9250" s="245" t="str">
        <f t="shared" si="466"/>
        <v/>
      </c>
      <c r="E9250" s="534"/>
      <c r="F9250" s="534"/>
    </row>
    <row r="9251" spans="1:6" ht="15" customHeight="1">
      <c r="A9251" s="51"/>
      <c r="B9251" s="52" t="str">
        <f t="shared" si="465"/>
        <v/>
      </c>
      <c r="C9251" t="str">
        <f t="shared" si="464"/>
        <v/>
      </c>
      <c r="D9251" s="245" t="str">
        <f t="shared" si="466"/>
        <v/>
      </c>
      <c r="E9251" s="534"/>
      <c r="F9251" s="534"/>
    </row>
    <row r="9252" spans="1:6" ht="15" customHeight="1">
      <c r="A9252" s="51"/>
      <c r="B9252" s="52" t="str">
        <f t="shared" si="465"/>
        <v/>
      </c>
      <c r="C9252" t="str">
        <f t="shared" si="464"/>
        <v/>
      </c>
      <c r="D9252" s="245" t="str">
        <f t="shared" si="466"/>
        <v/>
      </c>
      <c r="E9252" s="534"/>
      <c r="F9252" s="534"/>
    </row>
    <row r="9253" spans="1:6" ht="15" customHeight="1">
      <c r="A9253" s="51"/>
      <c r="B9253" s="52" t="str">
        <f t="shared" si="465"/>
        <v/>
      </c>
      <c r="C9253" t="str">
        <f t="shared" si="464"/>
        <v/>
      </c>
      <c r="D9253" s="245" t="str">
        <f t="shared" si="466"/>
        <v/>
      </c>
      <c r="E9253" s="534"/>
      <c r="F9253" s="534"/>
    </row>
    <row r="9254" spans="1:6" ht="15" customHeight="1">
      <c r="A9254" s="51"/>
      <c r="B9254" s="52" t="str">
        <f t="shared" si="465"/>
        <v/>
      </c>
      <c r="C9254" t="str">
        <f t="shared" si="464"/>
        <v/>
      </c>
      <c r="D9254" s="245" t="str">
        <f t="shared" si="466"/>
        <v/>
      </c>
      <c r="E9254" s="534"/>
      <c r="F9254" s="534"/>
    </row>
    <row r="9255" spans="1:6" ht="15" customHeight="1">
      <c r="A9255" s="51"/>
      <c r="B9255" s="52" t="str">
        <f t="shared" si="465"/>
        <v/>
      </c>
      <c r="C9255" t="str">
        <f t="shared" si="464"/>
        <v/>
      </c>
      <c r="D9255" s="245" t="str">
        <f t="shared" si="466"/>
        <v/>
      </c>
      <c r="E9255" s="534"/>
      <c r="F9255" s="534"/>
    </row>
    <row r="9256" spans="1:6" ht="15" customHeight="1">
      <c r="A9256" s="51"/>
      <c r="B9256" s="52" t="str">
        <f t="shared" si="465"/>
        <v/>
      </c>
      <c r="C9256" t="str">
        <f t="shared" si="464"/>
        <v/>
      </c>
      <c r="D9256" s="245" t="str">
        <f t="shared" si="466"/>
        <v/>
      </c>
      <c r="E9256" s="534"/>
      <c r="F9256" s="534"/>
    </row>
    <row r="9257" spans="1:6" ht="15" customHeight="1">
      <c r="A9257" s="51"/>
      <c r="B9257" s="52" t="str">
        <f t="shared" si="465"/>
        <v/>
      </c>
      <c r="C9257" t="str">
        <f t="shared" si="464"/>
        <v/>
      </c>
      <c r="D9257" s="245" t="str">
        <f t="shared" si="466"/>
        <v/>
      </c>
      <c r="E9257" s="534"/>
      <c r="F9257" s="534"/>
    </row>
    <row r="9258" spans="1:6" ht="15" customHeight="1">
      <c r="A9258" s="51"/>
      <c r="B9258" s="52" t="str">
        <f t="shared" si="465"/>
        <v/>
      </c>
      <c r="C9258" t="str">
        <f t="shared" si="464"/>
        <v/>
      </c>
      <c r="D9258" s="245" t="str">
        <f t="shared" si="466"/>
        <v/>
      </c>
      <c r="E9258" s="534"/>
      <c r="F9258" s="534"/>
    </row>
    <row r="9259" spans="1:6" ht="15" customHeight="1">
      <c r="A9259" s="51"/>
      <c r="B9259" s="52" t="str">
        <f t="shared" si="465"/>
        <v/>
      </c>
      <c r="C9259" t="str">
        <f t="shared" si="464"/>
        <v/>
      </c>
      <c r="D9259" s="245" t="str">
        <f t="shared" si="466"/>
        <v/>
      </c>
      <c r="E9259" s="534"/>
      <c r="F9259" s="534"/>
    </row>
    <row r="9260" spans="1:6" ht="15" customHeight="1">
      <c r="A9260" s="51"/>
      <c r="B9260" s="52" t="str">
        <f t="shared" si="465"/>
        <v/>
      </c>
      <c r="C9260" t="str">
        <f t="shared" si="464"/>
        <v/>
      </c>
      <c r="D9260" s="245" t="str">
        <f t="shared" si="466"/>
        <v/>
      </c>
      <c r="E9260" s="534"/>
      <c r="F9260" s="534"/>
    </row>
    <row r="9261" spans="1:6" ht="15" customHeight="1">
      <c r="A9261" s="51"/>
      <c r="B9261" s="52" t="str">
        <f t="shared" si="465"/>
        <v/>
      </c>
      <c r="C9261" t="str">
        <f t="shared" si="464"/>
        <v/>
      </c>
      <c r="D9261" s="245" t="str">
        <f t="shared" si="466"/>
        <v/>
      </c>
      <c r="E9261" s="534"/>
      <c r="F9261" s="534"/>
    </row>
    <row r="9262" spans="1:6" ht="15" customHeight="1">
      <c r="A9262" s="51"/>
      <c r="B9262" s="52" t="str">
        <f t="shared" si="465"/>
        <v/>
      </c>
      <c r="C9262" t="str">
        <f t="shared" si="464"/>
        <v/>
      </c>
      <c r="D9262" s="245" t="str">
        <f t="shared" si="466"/>
        <v/>
      </c>
      <c r="E9262" s="534"/>
      <c r="F9262" s="534"/>
    </row>
    <row r="9263" spans="1:6" ht="15" customHeight="1">
      <c r="A9263" s="51"/>
      <c r="B9263" s="52" t="str">
        <f t="shared" si="465"/>
        <v/>
      </c>
      <c r="C9263" t="str">
        <f t="shared" si="464"/>
        <v/>
      </c>
      <c r="D9263" s="245" t="str">
        <f t="shared" si="466"/>
        <v/>
      </c>
      <c r="E9263" s="534"/>
      <c r="F9263" s="534"/>
    </row>
    <row r="9264" spans="1:6" ht="15" customHeight="1">
      <c r="A9264" s="51"/>
      <c r="B9264" s="52" t="str">
        <f t="shared" si="465"/>
        <v/>
      </c>
      <c r="C9264" t="str">
        <f t="shared" si="464"/>
        <v/>
      </c>
      <c r="D9264" s="245" t="str">
        <f t="shared" si="466"/>
        <v/>
      </c>
      <c r="E9264" s="534"/>
      <c r="F9264" s="534"/>
    </row>
    <row r="9265" spans="1:6" ht="15" customHeight="1">
      <c r="A9265" s="51"/>
      <c r="B9265" s="52" t="str">
        <f t="shared" si="465"/>
        <v/>
      </c>
      <c r="C9265" t="str">
        <f t="shared" si="464"/>
        <v/>
      </c>
      <c r="D9265" s="245" t="str">
        <f t="shared" si="466"/>
        <v/>
      </c>
      <c r="E9265" s="534"/>
      <c r="F9265" s="534"/>
    </row>
    <row r="9266" spans="1:6" ht="15" customHeight="1">
      <c r="A9266" s="51"/>
      <c r="B9266" s="52" t="str">
        <f t="shared" si="465"/>
        <v/>
      </c>
      <c r="C9266" t="str">
        <f t="shared" si="464"/>
        <v/>
      </c>
      <c r="D9266" s="245" t="str">
        <f t="shared" si="466"/>
        <v/>
      </c>
      <c r="E9266" s="534"/>
      <c r="F9266" s="534"/>
    </row>
    <row r="9267" spans="1:6" ht="15" customHeight="1">
      <c r="A9267" s="51"/>
      <c r="B9267" s="52" t="str">
        <f t="shared" si="465"/>
        <v/>
      </c>
      <c r="C9267" t="str">
        <f t="shared" si="464"/>
        <v/>
      </c>
      <c r="D9267" s="245" t="str">
        <f t="shared" si="466"/>
        <v/>
      </c>
      <c r="E9267" s="534"/>
      <c r="F9267" s="534"/>
    </row>
    <row r="9268" spans="1:6" ht="15" customHeight="1">
      <c r="A9268" s="51"/>
      <c r="B9268" s="52" t="str">
        <f t="shared" si="465"/>
        <v/>
      </c>
      <c r="C9268" t="str">
        <f t="shared" si="464"/>
        <v/>
      </c>
      <c r="D9268" s="245" t="str">
        <f t="shared" si="466"/>
        <v/>
      </c>
      <c r="E9268" s="534"/>
      <c r="F9268" s="534"/>
    </row>
    <row r="9269" spans="1:6" ht="15" customHeight="1">
      <c r="A9269" s="51"/>
      <c r="B9269" s="52" t="str">
        <f t="shared" si="465"/>
        <v/>
      </c>
      <c r="C9269" t="str">
        <f t="shared" si="464"/>
        <v/>
      </c>
      <c r="D9269" s="245" t="str">
        <f t="shared" si="466"/>
        <v/>
      </c>
      <c r="E9269" s="534"/>
      <c r="F9269" s="534"/>
    </row>
    <row r="9270" spans="1:6" ht="15" customHeight="1">
      <c r="A9270" s="51"/>
      <c r="B9270" s="52" t="str">
        <f t="shared" si="465"/>
        <v/>
      </c>
      <c r="C9270" t="str">
        <f t="shared" si="464"/>
        <v/>
      </c>
      <c r="D9270" s="245" t="str">
        <f t="shared" si="466"/>
        <v/>
      </c>
      <c r="E9270" s="534"/>
      <c r="F9270" s="534"/>
    </row>
    <row r="9271" spans="1:6" ht="15" customHeight="1">
      <c r="A9271" s="51"/>
      <c r="B9271" s="52" t="str">
        <f t="shared" si="465"/>
        <v/>
      </c>
      <c r="C9271" t="str">
        <f t="shared" si="464"/>
        <v/>
      </c>
      <c r="D9271" s="245" t="str">
        <f t="shared" si="466"/>
        <v/>
      </c>
      <c r="E9271" s="534"/>
      <c r="F9271" s="534"/>
    </row>
    <row r="9272" spans="1:6" ht="15" customHeight="1">
      <c r="A9272" s="51"/>
      <c r="B9272" s="52" t="str">
        <f t="shared" si="465"/>
        <v/>
      </c>
      <c r="C9272" t="str">
        <f t="shared" si="464"/>
        <v/>
      </c>
      <c r="D9272" s="245" t="str">
        <f t="shared" si="466"/>
        <v/>
      </c>
      <c r="E9272" s="534"/>
      <c r="F9272" s="534"/>
    </row>
    <row r="9273" spans="1:6" ht="15" customHeight="1">
      <c r="A9273" s="51"/>
      <c r="B9273" s="52" t="str">
        <f t="shared" si="465"/>
        <v/>
      </c>
      <c r="C9273" t="str">
        <f t="shared" si="464"/>
        <v/>
      </c>
      <c r="D9273" s="245" t="str">
        <f t="shared" si="466"/>
        <v/>
      </c>
      <c r="E9273" s="534"/>
      <c r="F9273" s="534"/>
    </row>
    <row r="9274" spans="1:6" ht="15" customHeight="1">
      <c r="A9274" s="51"/>
      <c r="B9274" s="52" t="str">
        <f t="shared" si="465"/>
        <v/>
      </c>
      <c r="C9274" t="str">
        <f t="shared" si="464"/>
        <v/>
      </c>
      <c r="D9274" s="245" t="str">
        <f t="shared" si="466"/>
        <v/>
      </c>
      <c r="E9274" s="534"/>
      <c r="F9274" s="534"/>
    </row>
    <row r="9275" spans="1:6" ht="15" customHeight="1">
      <c r="A9275" s="51"/>
      <c r="B9275" s="52" t="str">
        <f t="shared" si="465"/>
        <v/>
      </c>
      <c r="C9275" t="str">
        <f t="shared" si="464"/>
        <v/>
      </c>
      <c r="D9275" s="245" t="str">
        <f t="shared" si="466"/>
        <v/>
      </c>
      <c r="E9275" s="534"/>
      <c r="F9275" s="534"/>
    </row>
    <row r="9276" spans="1:6" ht="15" customHeight="1">
      <c r="A9276" s="51"/>
      <c r="B9276" s="52" t="str">
        <f t="shared" si="465"/>
        <v/>
      </c>
      <c r="C9276" t="str">
        <f t="shared" si="464"/>
        <v/>
      </c>
      <c r="D9276" s="245" t="str">
        <f t="shared" si="466"/>
        <v/>
      </c>
      <c r="E9276" s="534"/>
      <c r="F9276" s="534"/>
    </row>
    <row r="9277" spans="1:6" ht="15" customHeight="1">
      <c r="A9277" s="51"/>
      <c r="B9277" s="52" t="str">
        <f t="shared" si="465"/>
        <v/>
      </c>
      <c r="C9277" t="str">
        <f t="shared" si="464"/>
        <v/>
      </c>
      <c r="D9277" s="245" t="str">
        <f t="shared" si="466"/>
        <v/>
      </c>
      <c r="E9277" s="534"/>
      <c r="F9277" s="534"/>
    </row>
    <row r="9278" spans="1:6" ht="15" customHeight="1">
      <c r="A9278" s="51"/>
      <c r="B9278" s="52" t="str">
        <f t="shared" si="465"/>
        <v/>
      </c>
      <c r="C9278" t="str">
        <f t="shared" si="464"/>
        <v/>
      </c>
      <c r="D9278" s="245" t="str">
        <f t="shared" si="466"/>
        <v/>
      </c>
      <c r="E9278" s="534"/>
      <c r="F9278" s="534"/>
    </row>
    <row r="9279" spans="1:6" ht="15" customHeight="1">
      <c r="A9279" s="51"/>
      <c r="B9279" s="52" t="str">
        <f t="shared" si="465"/>
        <v/>
      </c>
      <c r="C9279" t="str">
        <f t="shared" si="464"/>
        <v/>
      </c>
      <c r="D9279" s="245" t="str">
        <f t="shared" si="466"/>
        <v/>
      </c>
      <c r="E9279" s="534"/>
      <c r="F9279" s="534"/>
    </row>
    <row r="9280" spans="1:6" ht="15" customHeight="1">
      <c r="A9280" s="51"/>
      <c r="B9280" s="52" t="str">
        <f t="shared" si="465"/>
        <v/>
      </c>
      <c r="C9280" t="str">
        <f t="shared" si="464"/>
        <v/>
      </c>
      <c r="D9280" s="245" t="str">
        <f t="shared" si="466"/>
        <v/>
      </c>
      <c r="E9280" s="534"/>
      <c r="F9280" s="534"/>
    </row>
    <row r="9281" spans="1:6" ht="15" customHeight="1">
      <c r="A9281" s="51"/>
      <c r="B9281" s="52" t="str">
        <f t="shared" si="465"/>
        <v/>
      </c>
      <c r="C9281" t="str">
        <f t="shared" si="464"/>
        <v/>
      </c>
      <c r="D9281" s="245" t="str">
        <f t="shared" si="466"/>
        <v/>
      </c>
      <c r="E9281" s="534"/>
      <c r="F9281" s="534"/>
    </row>
    <row r="9282" spans="1:6" ht="15" customHeight="1">
      <c r="A9282" s="51"/>
      <c r="B9282" s="52" t="str">
        <f t="shared" si="465"/>
        <v/>
      </c>
      <c r="C9282" t="str">
        <f t="shared" ref="C9282:C9345" si="467">IF(A9282&lt;&gt;"",TEXT(A9282,"aaaa"),"")</f>
        <v/>
      </c>
      <c r="D9282" s="245" t="str">
        <f t="shared" si="466"/>
        <v/>
      </c>
      <c r="E9282" s="534"/>
      <c r="F9282" s="534"/>
    </row>
    <row r="9283" spans="1:6" ht="15" customHeight="1">
      <c r="A9283" s="51"/>
      <c r="B9283" s="52" t="str">
        <f t="shared" si="465"/>
        <v/>
      </c>
      <c r="C9283" t="str">
        <f t="shared" si="467"/>
        <v/>
      </c>
      <c r="D9283" s="245" t="str">
        <f t="shared" si="466"/>
        <v/>
      </c>
      <c r="E9283" s="534"/>
      <c r="F9283" s="534"/>
    </row>
    <row r="9284" spans="1:6" ht="15" customHeight="1">
      <c r="A9284" s="51"/>
      <c r="B9284" s="52" t="str">
        <f t="shared" si="465"/>
        <v/>
      </c>
      <c r="C9284" t="str">
        <f t="shared" si="467"/>
        <v/>
      </c>
      <c r="D9284" s="245" t="str">
        <f t="shared" si="466"/>
        <v/>
      </c>
      <c r="E9284" s="534"/>
      <c r="F9284" s="534"/>
    </row>
    <row r="9285" spans="1:6" ht="15" customHeight="1">
      <c r="A9285" s="51"/>
      <c r="B9285" s="52" t="str">
        <f t="shared" si="465"/>
        <v/>
      </c>
      <c r="C9285" t="str">
        <f t="shared" si="467"/>
        <v/>
      </c>
      <c r="D9285" s="245" t="str">
        <f t="shared" si="466"/>
        <v/>
      </c>
      <c r="E9285" s="534"/>
      <c r="F9285" s="534"/>
    </row>
    <row r="9286" spans="1:6" ht="15" customHeight="1">
      <c r="A9286" s="51"/>
      <c r="B9286" s="52" t="str">
        <f t="shared" si="465"/>
        <v/>
      </c>
      <c r="C9286" t="str">
        <f t="shared" si="467"/>
        <v/>
      </c>
      <c r="D9286" s="245" t="str">
        <f t="shared" si="466"/>
        <v/>
      </c>
      <c r="E9286" s="534"/>
      <c r="F9286" s="534"/>
    </row>
    <row r="9287" spans="1:6" ht="15" customHeight="1">
      <c r="A9287" s="51"/>
      <c r="B9287" s="52" t="str">
        <f t="shared" si="465"/>
        <v/>
      </c>
      <c r="C9287" t="str">
        <f t="shared" si="467"/>
        <v/>
      </c>
      <c r="D9287" s="245" t="str">
        <f t="shared" si="466"/>
        <v/>
      </c>
      <c r="E9287" s="534"/>
      <c r="F9287" s="534"/>
    </row>
    <row r="9288" spans="1:6" ht="15" customHeight="1">
      <c r="A9288" s="51"/>
      <c r="B9288" s="52" t="str">
        <f t="shared" ref="B9288:B9351" si="468">IF(A9288="","",TEXT(A9288,"DDDD"))</f>
        <v/>
      </c>
      <c r="C9288" t="str">
        <f t="shared" si="467"/>
        <v/>
      </c>
      <c r="D9288" s="245" t="str">
        <f t="shared" si="466"/>
        <v/>
      </c>
      <c r="E9288" s="534"/>
      <c r="F9288" s="534"/>
    </row>
    <row r="9289" spans="1:6" ht="15" customHeight="1">
      <c r="A9289" s="51"/>
      <c r="B9289" s="52" t="str">
        <f t="shared" si="468"/>
        <v/>
      </c>
      <c r="C9289" t="str">
        <f t="shared" si="467"/>
        <v/>
      </c>
      <c r="D9289" s="245" t="str">
        <f t="shared" ref="D9289:D9352" si="469">IF(A9289&lt;&gt;"",PROPER(TEXT(A9289,"Mmmm")),"")</f>
        <v/>
      </c>
      <c r="E9289" s="534"/>
      <c r="F9289" s="534"/>
    </row>
    <row r="9290" spans="1:6" ht="15" customHeight="1">
      <c r="A9290" s="51"/>
      <c r="B9290" s="52" t="str">
        <f t="shared" si="468"/>
        <v/>
      </c>
      <c r="C9290" t="str">
        <f t="shared" si="467"/>
        <v/>
      </c>
      <c r="D9290" s="245" t="str">
        <f t="shared" si="469"/>
        <v/>
      </c>
      <c r="E9290" s="534"/>
      <c r="F9290" s="534"/>
    </row>
    <row r="9291" spans="1:6" ht="15" customHeight="1">
      <c r="A9291" s="51"/>
      <c r="B9291" s="52" t="str">
        <f t="shared" si="468"/>
        <v/>
      </c>
      <c r="C9291" t="str">
        <f t="shared" si="467"/>
        <v/>
      </c>
      <c r="D9291" s="245" t="str">
        <f t="shared" si="469"/>
        <v/>
      </c>
      <c r="E9291" s="534"/>
      <c r="F9291" s="534"/>
    </row>
    <row r="9292" spans="1:6" ht="15" customHeight="1">
      <c r="A9292" s="51"/>
      <c r="B9292" s="52" t="str">
        <f t="shared" si="468"/>
        <v/>
      </c>
      <c r="C9292" t="str">
        <f t="shared" si="467"/>
        <v/>
      </c>
      <c r="D9292" s="245" t="str">
        <f t="shared" si="469"/>
        <v/>
      </c>
      <c r="E9292" s="534"/>
      <c r="F9292" s="534"/>
    </row>
    <row r="9293" spans="1:6" ht="15" customHeight="1">
      <c r="A9293" s="51"/>
      <c r="B9293" s="52" t="str">
        <f t="shared" si="468"/>
        <v/>
      </c>
      <c r="C9293" t="str">
        <f t="shared" si="467"/>
        <v/>
      </c>
      <c r="D9293" s="245" t="str">
        <f t="shared" si="469"/>
        <v/>
      </c>
      <c r="E9293" s="534"/>
      <c r="F9293" s="534"/>
    </row>
    <row r="9294" spans="1:6" ht="15" customHeight="1">
      <c r="A9294" s="51"/>
      <c r="B9294" s="52" t="str">
        <f t="shared" si="468"/>
        <v/>
      </c>
      <c r="C9294" t="str">
        <f t="shared" si="467"/>
        <v/>
      </c>
      <c r="D9294" s="245" t="str">
        <f t="shared" si="469"/>
        <v/>
      </c>
      <c r="E9294" s="534"/>
      <c r="F9294" s="534"/>
    </row>
    <row r="9295" spans="1:6" ht="15" customHeight="1">
      <c r="A9295" s="51"/>
      <c r="B9295" s="52" t="str">
        <f t="shared" si="468"/>
        <v/>
      </c>
      <c r="C9295" t="str">
        <f t="shared" si="467"/>
        <v/>
      </c>
      <c r="D9295" s="245" t="str">
        <f t="shared" si="469"/>
        <v/>
      </c>
      <c r="E9295" s="534"/>
      <c r="F9295" s="534"/>
    </row>
    <row r="9296" spans="1:6" ht="15" customHeight="1">
      <c r="A9296" s="51"/>
      <c r="B9296" s="52" t="str">
        <f t="shared" si="468"/>
        <v/>
      </c>
      <c r="C9296" t="str">
        <f t="shared" si="467"/>
        <v/>
      </c>
      <c r="D9296" s="245" t="str">
        <f t="shared" si="469"/>
        <v/>
      </c>
      <c r="E9296" s="534"/>
      <c r="F9296" s="534"/>
    </row>
    <row r="9297" spans="1:6" ht="15" customHeight="1">
      <c r="A9297" s="51"/>
      <c r="B9297" s="52" t="str">
        <f t="shared" si="468"/>
        <v/>
      </c>
      <c r="C9297" t="str">
        <f t="shared" si="467"/>
        <v/>
      </c>
      <c r="D9297" s="245" t="str">
        <f t="shared" si="469"/>
        <v/>
      </c>
      <c r="E9297" s="534"/>
      <c r="F9297" s="534"/>
    </row>
    <row r="9298" spans="1:6" ht="15" customHeight="1">
      <c r="A9298" s="51"/>
      <c r="B9298" s="52" t="str">
        <f t="shared" si="468"/>
        <v/>
      </c>
      <c r="C9298" t="str">
        <f t="shared" si="467"/>
        <v/>
      </c>
      <c r="D9298" s="245" t="str">
        <f t="shared" si="469"/>
        <v/>
      </c>
      <c r="E9298" s="534"/>
      <c r="F9298" s="534"/>
    </row>
    <row r="9299" spans="1:6" ht="15" customHeight="1">
      <c r="A9299" s="51"/>
      <c r="B9299" s="52" t="str">
        <f t="shared" si="468"/>
        <v/>
      </c>
      <c r="C9299" t="str">
        <f t="shared" si="467"/>
        <v/>
      </c>
      <c r="D9299" s="245" t="str">
        <f t="shared" si="469"/>
        <v/>
      </c>
      <c r="E9299" s="534"/>
      <c r="F9299" s="534"/>
    </row>
    <row r="9300" spans="1:6" ht="15" customHeight="1">
      <c r="A9300" s="51"/>
      <c r="B9300" s="52" t="str">
        <f t="shared" si="468"/>
        <v/>
      </c>
      <c r="C9300" t="str">
        <f t="shared" si="467"/>
        <v/>
      </c>
      <c r="D9300" s="245" t="str">
        <f t="shared" si="469"/>
        <v/>
      </c>
      <c r="E9300" s="534"/>
      <c r="F9300" s="534"/>
    </row>
    <row r="9301" spans="1:6" ht="15" customHeight="1">
      <c r="A9301" s="51"/>
      <c r="B9301" s="52" t="str">
        <f t="shared" si="468"/>
        <v/>
      </c>
      <c r="C9301" t="str">
        <f t="shared" si="467"/>
        <v/>
      </c>
      <c r="D9301" s="245" t="str">
        <f t="shared" si="469"/>
        <v/>
      </c>
      <c r="E9301" s="534"/>
      <c r="F9301" s="534"/>
    </row>
    <row r="9302" spans="1:6" ht="15" customHeight="1">
      <c r="A9302" s="51"/>
      <c r="B9302" s="52" t="str">
        <f t="shared" si="468"/>
        <v/>
      </c>
      <c r="C9302" t="str">
        <f t="shared" si="467"/>
        <v/>
      </c>
      <c r="D9302" s="245" t="str">
        <f t="shared" si="469"/>
        <v/>
      </c>
      <c r="E9302" s="534"/>
      <c r="F9302" s="534"/>
    </row>
    <row r="9303" spans="1:6" ht="15" customHeight="1">
      <c r="A9303" s="51"/>
      <c r="B9303" s="52" t="str">
        <f t="shared" si="468"/>
        <v/>
      </c>
      <c r="C9303" t="str">
        <f t="shared" si="467"/>
        <v/>
      </c>
      <c r="D9303" s="245" t="str">
        <f t="shared" si="469"/>
        <v/>
      </c>
      <c r="E9303" s="534"/>
      <c r="F9303" s="534"/>
    </row>
    <row r="9304" spans="1:6" ht="15" customHeight="1">
      <c r="A9304" s="51"/>
      <c r="B9304" s="52" t="str">
        <f t="shared" si="468"/>
        <v/>
      </c>
      <c r="C9304" t="str">
        <f t="shared" si="467"/>
        <v/>
      </c>
      <c r="D9304" s="245" t="str">
        <f t="shared" si="469"/>
        <v/>
      </c>
      <c r="E9304" s="534"/>
      <c r="F9304" s="534"/>
    </row>
    <row r="9305" spans="1:6" ht="15" customHeight="1">
      <c r="A9305" s="51"/>
      <c r="B9305" s="52" t="str">
        <f t="shared" si="468"/>
        <v/>
      </c>
      <c r="C9305" t="str">
        <f t="shared" si="467"/>
        <v/>
      </c>
      <c r="D9305" s="245" t="str">
        <f t="shared" si="469"/>
        <v/>
      </c>
      <c r="E9305" s="534"/>
      <c r="F9305" s="534"/>
    </row>
    <row r="9306" spans="1:6" ht="15" customHeight="1">
      <c r="A9306" s="51"/>
      <c r="B9306" s="52" t="str">
        <f t="shared" si="468"/>
        <v/>
      </c>
      <c r="C9306" t="str">
        <f t="shared" si="467"/>
        <v/>
      </c>
      <c r="D9306" s="245" t="str">
        <f t="shared" si="469"/>
        <v/>
      </c>
      <c r="E9306" s="534"/>
      <c r="F9306" s="534"/>
    </row>
    <row r="9307" spans="1:6" ht="15" customHeight="1">
      <c r="A9307" s="51"/>
      <c r="B9307" s="52" t="str">
        <f t="shared" si="468"/>
        <v/>
      </c>
      <c r="C9307" t="str">
        <f t="shared" si="467"/>
        <v/>
      </c>
      <c r="D9307" s="245" t="str">
        <f t="shared" si="469"/>
        <v/>
      </c>
      <c r="E9307" s="534"/>
      <c r="F9307" s="534"/>
    </row>
    <row r="9308" spans="1:6" ht="15" customHeight="1">
      <c r="A9308" s="51"/>
      <c r="B9308" s="52" t="str">
        <f t="shared" si="468"/>
        <v/>
      </c>
      <c r="C9308" t="str">
        <f t="shared" si="467"/>
        <v/>
      </c>
      <c r="D9308" s="245" t="str">
        <f t="shared" si="469"/>
        <v/>
      </c>
      <c r="E9308" s="534"/>
      <c r="F9308" s="534"/>
    </row>
    <row r="9309" spans="1:6" ht="15" customHeight="1">
      <c r="A9309" s="51"/>
      <c r="B9309" s="52" t="str">
        <f t="shared" si="468"/>
        <v/>
      </c>
      <c r="C9309" t="str">
        <f t="shared" si="467"/>
        <v/>
      </c>
      <c r="D9309" s="245" t="str">
        <f t="shared" si="469"/>
        <v/>
      </c>
      <c r="E9309" s="534"/>
      <c r="F9309" s="534"/>
    </row>
    <row r="9310" spans="1:6" ht="15" customHeight="1">
      <c r="A9310" s="51"/>
      <c r="B9310" s="52" t="str">
        <f t="shared" si="468"/>
        <v/>
      </c>
      <c r="C9310" t="str">
        <f t="shared" si="467"/>
        <v/>
      </c>
      <c r="D9310" s="245" t="str">
        <f t="shared" si="469"/>
        <v/>
      </c>
      <c r="E9310" s="534"/>
      <c r="F9310" s="534"/>
    </row>
    <row r="9311" spans="1:6" ht="15" customHeight="1">
      <c r="A9311" s="51"/>
      <c r="B9311" s="52" t="str">
        <f t="shared" si="468"/>
        <v/>
      </c>
      <c r="C9311" t="str">
        <f t="shared" si="467"/>
        <v/>
      </c>
      <c r="D9311" s="245" t="str">
        <f t="shared" si="469"/>
        <v/>
      </c>
      <c r="E9311" s="534"/>
      <c r="F9311" s="534"/>
    </row>
    <row r="9312" spans="1:6" ht="15" customHeight="1">
      <c r="A9312" s="51"/>
      <c r="B9312" s="52" t="str">
        <f t="shared" si="468"/>
        <v/>
      </c>
      <c r="C9312" t="str">
        <f t="shared" si="467"/>
        <v/>
      </c>
      <c r="D9312" s="245" t="str">
        <f t="shared" si="469"/>
        <v/>
      </c>
      <c r="E9312" s="534"/>
      <c r="F9312" s="534"/>
    </row>
    <row r="9313" spans="1:6" ht="15" customHeight="1">
      <c r="A9313" s="51"/>
      <c r="B9313" s="52" t="str">
        <f t="shared" si="468"/>
        <v/>
      </c>
      <c r="C9313" t="str">
        <f t="shared" si="467"/>
        <v/>
      </c>
      <c r="D9313" s="245" t="str">
        <f t="shared" si="469"/>
        <v/>
      </c>
      <c r="E9313" s="534"/>
      <c r="F9313" s="534"/>
    </row>
    <row r="9314" spans="1:6" ht="15" customHeight="1">
      <c r="A9314" s="51"/>
      <c r="B9314" s="52" t="str">
        <f t="shared" si="468"/>
        <v/>
      </c>
      <c r="C9314" t="str">
        <f t="shared" si="467"/>
        <v/>
      </c>
      <c r="D9314" s="245" t="str">
        <f t="shared" si="469"/>
        <v/>
      </c>
      <c r="E9314" s="534"/>
      <c r="F9314" s="534"/>
    </row>
    <row r="9315" spans="1:6" ht="15" customHeight="1">
      <c r="A9315" s="51"/>
      <c r="B9315" s="52" t="str">
        <f t="shared" si="468"/>
        <v/>
      </c>
      <c r="C9315" t="str">
        <f t="shared" si="467"/>
        <v/>
      </c>
      <c r="D9315" s="245" t="str">
        <f t="shared" si="469"/>
        <v/>
      </c>
      <c r="E9315" s="534"/>
      <c r="F9315" s="534"/>
    </row>
    <row r="9316" spans="1:6" ht="15" customHeight="1">
      <c r="A9316" s="51"/>
      <c r="B9316" s="52" t="str">
        <f t="shared" si="468"/>
        <v/>
      </c>
      <c r="C9316" t="str">
        <f t="shared" si="467"/>
        <v/>
      </c>
      <c r="D9316" s="245" t="str">
        <f t="shared" si="469"/>
        <v/>
      </c>
      <c r="E9316" s="534"/>
      <c r="F9316" s="534"/>
    </row>
    <row r="9317" spans="1:6" ht="15" customHeight="1">
      <c r="A9317" s="51"/>
      <c r="B9317" s="52" t="str">
        <f t="shared" si="468"/>
        <v/>
      </c>
      <c r="C9317" t="str">
        <f t="shared" si="467"/>
        <v/>
      </c>
      <c r="D9317" s="245" t="str">
        <f t="shared" si="469"/>
        <v/>
      </c>
      <c r="E9317" s="534"/>
      <c r="F9317" s="534"/>
    </row>
    <row r="9318" spans="1:6" ht="15" customHeight="1">
      <c r="A9318" s="51"/>
      <c r="B9318" s="52" t="str">
        <f t="shared" si="468"/>
        <v/>
      </c>
      <c r="C9318" t="str">
        <f t="shared" si="467"/>
        <v/>
      </c>
      <c r="D9318" s="245" t="str">
        <f t="shared" si="469"/>
        <v/>
      </c>
      <c r="E9318" s="534"/>
      <c r="F9318" s="534"/>
    </row>
    <row r="9319" spans="1:6" ht="15" customHeight="1">
      <c r="A9319" s="51"/>
      <c r="B9319" s="52" t="str">
        <f t="shared" si="468"/>
        <v/>
      </c>
      <c r="C9319" t="str">
        <f t="shared" si="467"/>
        <v/>
      </c>
      <c r="D9319" s="245" t="str">
        <f t="shared" si="469"/>
        <v/>
      </c>
      <c r="E9319" s="534"/>
      <c r="F9319" s="534"/>
    </row>
    <row r="9320" spans="1:6" ht="15" customHeight="1">
      <c r="A9320" s="51"/>
      <c r="B9320" s="52" t="str">
        <f t="shared" si="468"/>
        <v/>
      </c>
      <c r="C9320" t="str">
        <f t="shared" si="467"/>
        <v/>
      </c>
      <c r="D9320" s="245" t="str">
        <f t="shared" si="469"/>
        <v/>
      </c>
      <c r="E9320" s="534"/>
      <c r="F9320" s="534"/>
    </row>
    <row r="9321" spans="1:6" ht="15" customHeight="1">
      <c r="A9321" s="51"/>
      <c r="B9321" s="52" t="str">
        <f t="shared" si="468"/>
        <v/>
      </c>
      <c r="C9321" t="str">
        <f t="shared" si="467"/>
        <v/>
      </c>
      <c r="D9321" s="245" t="str">
        <f t="shared" si="469"/>
        <v/>
      </c>
      <c r="E9321" s="534"/>
      <c r="F9321" s="534"/>
    </row>
    <row r="9322" spans="1:6" ht="15" customHeight="1">
      <c r="A9322" s="51"/>
      <c r="B9322" s="52" t="str">
        <f t="shared" si="468"/>
        <v/>
      </c>
      <c r="C9322" t="str">
        <f t="shared" si="467"/>
        <v/>
      </c>
      <c r="D9322" s="245" t="str">
        <f t="shared" si="469"/>
        <v/>
      </c>
      <c r="E9322" s="534"/>
      <c r="F9322" s="534"/>
    </row>
    <row r="9323" spans="1:6" ht="15" customHeight="1">
      <c r="A9323" s="51"/>
      <c r="B9323" s="52" t="str">
        <f t="shared" si="468"/>
        <v/>
      </c>
      <c r="C9323" t="str">
        <f t="shared" si="467"/>
        <v/>
      </c>
      <c r="D9323" s="245" t="str">
        <f t="shared" si="469"/>
        <v/>
      </c>
      <c r="E9323" s="534"/>
      <c r="F9323" s="534"/>
    </row>
    <row r="9324" spans="1:6" ht="15" customHeight="1">
      <c r="A9324" s="51"/>
      <c r="B9324" s="52" t="str">
        <f t="shared" si="468"/>
        <v/>
      </c>
      <c r="C9324" t="str">
        <f t="shared" si="467"/>
        <v/>
      </c>
      <c r="D9324" s="245" t="str">
        <f t="shared" si="469"/>
        <v/>
      </c>
      <c r="E9324" s="534"/>
      <c r="F9324" s="534"/>
    </row>
    <row r="9325" spans="1:6" ht="15" customHeight="1">
      <c r="A9325" s="51"/>
      <c r="B9325" s="52" t="str">
        <f t="shared" si="468"/>
        <v/>
      </c>
      <c r="C9325" t="str">
        <f t="shared" si="467"/>
        <v/>
      </c>
      <c r="D9325" s="245" t="str">
        <f t="shared" si="469"/>
        <v/>
      </c>
      <c r="E9325" s="534"/>
      <c r="F9325" s="534"/>
    </row>
    <row r="9326" spans="1:6" ht="15" customHeight="1">
      <c r="A9326" s="51"/>
      <c r="B9326" s="52" t="str">
        <f t="shared" si="468"/>
        <v/>
      </c>
      <c r="C9326" t="str">
        <f t="shared" si="467"/>
        <v/>
      </c>
      <c r="D9326" s="245" t="str">
        <f t="shared" si="469"/>
        <v/>
      </c>
      <c r="E9326" s="534"/>
      <c r="F9326" s="534"/>
    </row>
    <row r="9327" spans="1:6" ht="15" customHeight="1">
      <c r="A9327" s="51"/>
      <c r="B9327" s="52" t="str">
        <f t="shared" si="468"/>
        <v/>
      </c>
      <c r="C9327" t="str">
        <f t="shared" si="467"/>
        <v/>
      </c>
      <c r="D9327" s="245" t="str">
        <f t="shared" si="469"/>
        <v/>
      </c>
      <c r="E9327" s="534"/>
      <c r="F9327" s="534"/>
    </row>
    <row r="9328" spans="1:6" ht="15" customHeight="1">
      <c r="A9328" s="51"/>
      <c r="B9328" s="52" t="str">
        <f t="shared" si="468"/>
        <v/>
      </c>
      <c r="C9328" t="str">
        <f t="shared" si="467"/>
        <v/>
      </c>
      <c r="D9328" s="245" t="str">
        <f t="shared" si="469"/>
        <v/>
      </c>
      <c r="E9328" s="534"/>
      <c r="F9328" s="534"/>
    </row>
    <row r="9329" spans="1:6" ht="15" customHeight="1">
      <c r="A9329" s="51"/>
      <c r="B9329" s="52" t="str">
        <f t="shared" si="468"/>
        <v/>
      </c>
      <c r="C9329" t="str">
        <f t="shared" si="467"/>
        <v/>
      </c>
      <c r="D9329" s="245" t="str">
        <f t="shared" si="469"/>
        <v/>
      </c>
      <c r="E9329" s="534"/>
      <c r="F9329" s="534"/>
    </row>
    <row r="9330" spans="1:6" ht="15" customHeight="1">
      <c r="A9330" s="51"/>
      <c r="B9330" s="52" t="str">
        <f t="shared" si="468"/>
        <v/>
      </c>
      <c r="C9330" t="str">
        <f t="shared" si="467"/>
        <v/>
      </c>
      <c r="D9330" s="245" t="str">
        <f t="shared" si="469"/>
        <v/>
      </c>
      <c r="E9330" s="534"/>
      <c r="F9330" s="534"/>
    </row>
    <row r="9331" spans="1:6" ht="15" customHeight="1">
      <c r="A9331" s="51"/>
      <c r="B9331" s="52" t="str">
        <f t="shared" si="468"/>
        <v/>
      </c>
      <c r="C9331" t="str">
        <f t="shared" si="467"/>
        <v/>
      </c>
      <c r="D9331" s="245" t="str">
        <f t="shared" si="469"/>
        <v/>
      </c>
      <c r="E9331" s="534"/>
      <c r="F9331" s="534"/>
    </row>
    <row r="9332" spans="1:6" ht="15" customHeight="1">
      <c r="A9332" s="51"/>
      <c r="B9332" s="52" t="str">
        <f t="shared" si="468"/>
        <v/>
      </c>
      <c r="C9332" t="str">
        <f t="shared" si="467"/>
        <v/>
      </c>
      <c r="D9332" s="245" t="str">
        <f t="shared" si="469"/>
        <v/>
      </c>
      <c r="E9332" s="534"/>
      <c r="F9332" s="534"/>
    </row>
    <row r="9333" spans="1:6" ht="15" customHeight="1">
      <c r="A9333" s="51"/>
      <c r="B9333" s="52" t="str">
        <f t="shared" si="468"/>
        <v/>
      </c>
      <c r="C9333" t="str">
        <f t="shared" si="467"/>
        <v/>
      </c>
      <c r="D9333" s="245" t="str">
        <f t="shared" si="469"/>
        <v/>
      </c>
      <c r="E9333" s="534"/>
      <c r="F9333" s="534"/>
    </row>
    <row r="9334" spans="1:6" ht="15" customHeight="1">
      <c r="A9334" s="51"/>
      <c r="B9334" s="52" t="str">
        <f t="shared" si="468"/>
        <v/>
      </c>
      <c r="C9334" t="str">
        <f t="shared" si="467"/>
        <v/>
      </c>
      <c r="D9334" s="245" t="str">
        <f t="shared" si="469"/>
        <v/>
      </c>
      <c r="E9334" s="534"/>
      <c r="F9334" s="534"/>
    </row>
    <row r="9335" spans="1:6" ht="15" customHeight="1">
      <c r="A9335" s="51"/>
      <c r="B9335" s="52" t="str">
        <f t="shared" si="468"/>
        <v/>
      </c>
      <c r="C9335" t="str">
        <f t="shared" si="467"/>
        <v/>
      </c>
      <c r="D9335" s="245" t="str">
        <f t="shared" si="469"/>
        <v/>
      </c>
      <c r="E9335" s="534"/>
      <c r="F9335" s="534"/>
    </row>
    <row r="9336" spans="1:6" ht="15" customHeight="1">
      <c r="A9336" s="51"/>
      <c r="B9336" s="52" t="str">
        <f t="shared" si="468"/>
        <v/>
      </c>
      <c r="C9336" t="str">
        <f t="shared" si="467"/>
        <v/>
      </c>
      <c r="D9336" s="245" t="str">
        <f t="shared" si="469"/>
        <v/>
      </c>
      <c r="E9336" s="534"/>
      <c r="F9336" s="534"/>
    </row>
    <row r="9337" spans="1:6" ht="15" customHeight="1">
      <c r="A9337" s="51"/>
      <c r="B9337" s="52" t="str">
        <f t="shared" si="468"/>
        <v/>
      </c>
      <c r="C9337" t="str">
        <f t="shared" si="467"/>
        <v/>
      </c>
      <c r="D9337" s="245" t="str">
        <f t="shared" si="469"/>
        <v/>
      </c>
      <c r="E9337" s="534"/>
      <c r="F9337" s="534"/>
    </row>
    <row r="9338" spans="1:6" ht="15" customHeight="1">
      <c r="A9338" s="51"/>
      <c r="B9338" s="52" t="str">
        <f t="shared" si="468"/>
        <v/>
      </c>
      <c r="C9338" t="str">
        <f t="shared" si="467"/>
        <v/>
      </c>
      <c r="D9338" s="245" t="str">
        <f t="shared" si="469"/>
        <v/>
      </c>
      <c r="E9338" s="534"/>
      <c r="F9338" s="534"/>
    </row>
    <row r="9339" spans="1:6" ht="15" customHeight="1">
      <c r="A9339" s="51"/>
      <c r="B9339" s="52" t="str">
        <f t="shared" si="468"/>
        <v/>
      </c>
      <c r="C9339" t="str">
        <f t="shared" si="467"/>
        <v/>
      </c>
      <c r="D9339" s="245" t="str">
        <f t="shared" si="469"/>
        <v/>
      </c>
      <c r="E9339" s="534"/>
      <c r="F9339" s="534"/>
    </row>
    <row r="9340" spans="1:6" ht="15" customHeight="1">
      <c r="A9340" s="51"/>
      <c r="B9340" s="52" t="str">
        <f t="shared" si="468"/>
        <v/>
      </c>
      <c r="C9340" t="str">
        <f t="shared" si="467"/>
        <v/>
      </c>
      <c r="D9340" s="245" t="str">
        <f t="shared" si="469"/>
        <v/>
      </c>
      <c r="E9340" s="534"/>
      <c r="F9340" s="534"/>
    </row>
    <row r="9341" spans="1:6" ht="15" customHeight="1">
      <c r="A9341" s="51"/>
      <c r="B9341" s="52" t="str">
        <f t="shared" si="468"/>
        <v/>
      </c>
      <c r="C9341" t="str">
        <f t="shared" si="467"/>
        <v/>
      </c>
      <c r="D9341" s="245" t="str">
        <f t="shared" si="469"/>
        <v/>
      </c>
      <c r="E9341" s="534"/>
      <c r="F9341" s="534"/>
    </row>
    <row r="9342" spans="1:6" ht="15" customHeight="1">
      <c r="A9342" s="51"/>
      <c r="B9342" s="52" t="str">
        <f t="shared" si="468"/>
        <v/>
      </c>
      <c r="C9342" t="str">
        <f t="shared" si="467"/>
        <v/>
      </c>
      <c r="D9342" s="245" t="str">
        <f t="shared" si="469"/>
        <v/>
      </c>
      <c r="E9342" s="534"/>
      <c r="F9342" s="534"/>
    </row>
    <row r="9343" spans="1:6" ht="15" customHeight="1">
      <c r="A9343" s="51"/>
      <c r="B9343" s="52" t="str">
        <f t="shared" si="468"/>
        <v/>
      </c>
      <c r="C9343" t="str">
        <f t="shared" si="467"/>
        <v/>
      </c>
      <c r="D9343" s="245" t="str">
        <f t="shared" si="469"/>
        <v/>
      </c>
      <c r="E9343" s="534"/>
      <c r="F9343" s="534"/>
    </row>
    <row r="9344" spans="1:6" ht="15" customHeight="1">
      <c r="A9344" s="51"/>
      <c r="B9344" s="52" t="str">
        <f t="shared" si="468"/>
        <v/>
      </c>
      <c r="C9344" t="str">
        <f t="shared" si="467"/>
        <v/>
      </c>
      <c r="D9344" s="245" t="str">
        <f t="shared" si="469"/>
        <v/>
      </c>
      <c r="E9344" s="534"/>
      <c r="F9344" s="534"/>
    </row>
    <row r="9345" spans="1:6" ht="15" customHeight="1">
      <c r="A9345" s="51"/>
      <c r="B9345" s="52" t="str">
        <f t="shared" si="468"/>
        <v/>
      </c>
      <c r="C9345" t="str">
        <f t="shared" si="467"/>
        <v/>
      </c>
      <c r="D9345" s="245" t="str">
        <f t="shared" si="469"/>
        <v/>
      </c>
      <c r="E9345" s="534"/>
      <c r="F9345" s="534"/>
    </row>
    <row r="9346" spans="1:6" ht="15" customHeight="1">
      <c r="A9346" s="51"/>
      <c r="B9346" s="52" t="str">
        <f t="shared" si="468"/>
        <v/>
      </c>
      <c r="C9346" t="str">
        <f t="shared" ref="C9346:C9409" si="470">IF(A9346&lt;&gt;"",TEXT(A9346,"aaaa"),"")</f>
        <v/>
      </c>
      <c r="D9346" s="245" t="str">
        <f t="shared" si="469"/>
        <v/>
      </c>
      <c r="E9346" s="534"/>
      <c r="F9346" s="534"/>
    </row>
    <row r="9347" spans="1:6" ht="15" customHeight="1">
      <c r="A9347" s="51"/>
      <c r="B9347" s="52" t="str">
        <f t="shared" si="468"/>
        <v/>
      </c>
      <c r="C9347" t="str">
        <f t="shared" si="470"/>
        <v/>
      </c>
      <c r="D9347" s="245" t="str">
        <f t="shared" si="469"/>
        <v/>
      </c>
      <c r="E9347" s="534"/>
      <c r="F9347" s="534"/>
    </row>
    <row r="9348" spans="1:6" ht="15" customHeight="1">
      <c r="A9348" s="51"/>
      <c r="B9348" s="52" t="str">
        <f t="shared" si="468"/>
        <v/>
      </c>
      <c r="C9348" t="str">
        <f t="shared" si="470"/>
        <v/>
      </c>
      <c r="D9348" s="245" t="str">
        <f t="shared" si="469"/>
        <v/>
      </c>
      <c r="E9348" s="534"/>
      <c r="F9348" s="534"/>
    </row>
    <row r="9349" spans="1:6" ht="15" customHeight="1">
      <c r="A9349" s="51"/>
      <c r="B9349" s="52" t="str">
        <f t="shared" si="468"/>
        <v/>
      </c>
      <c r="C9349" t="str">
        <f t="shared" si="470"/>
        <v/>
      </c>
      <c r="D9349" s="245" t="str">
        <f t="shared" si="469"/>
        <v/>
      </c>
      <c r="E9349" s="534"/>
      <c r="F9349" s="534"/>
    </row>
    <row r="9350" spans="1:6" ht="15" customHeight="1">
      <c r="A9350" s="51"/>
      <c r="B9350" s="52" t="str">
        <f t="shared" si="468"/>
        <v/>
      </c>
      <c r="C9350" t="str">
        <f t="shared" si="470"/>
        <v/>
      </c>
      <c r="D9350" s="245" t="str">
        <f t="shared" si="469"/>
        <v/>
      </c>
      <c r="E9350" s="534"/>
      <c r="F9350" s="534"/>
    </row>
    <row r="9351" spans="1:6" ht="15" customHeight="1">
      <c r="A9351" s="51"/>
      <c r="B9351" s="52" t="str">
        <f t="shared" si="468"/>
        <v/>
      </c>
      <c r="C9351" t="str">
        <f t="shared" si="470"/>
        <v/>
      </c>
      <c r="D9351" s="245" t="str">
        <f t="shared" si="469"/>
        <v/>
      </c>
      <c r="E9351" s="534"/>
      <c r="F9351" s="534"/>
    </row>
    <row r="9352" spans="1:6" ht="15" customHeight="1">
      <c r="A9352" s="51"/>
      <c r="B9352" s="52" t="str">
        <f t="shared" ref="B9352:B9415" si="471">IF(A9352="","",TEXT(A9352,"DDDD"))</f>
        <v/>
      </c>
      <c r="C9352" t="str">
        <f t="shared" si="470"/>
        <v/>
      </c>
      <c r="D9352" s="245" t="str">
        <f t="shared" si="469"/>
        <v/>
      </c>
      <c r="E9352" s="534"/>
      <c r="F9352" s="534"/>
    </row>
    <row r="9353" spans="1:6" ht="15" customHeight="1">
      <c r="A9353" s="51"/>
      <c r="B9353" s="52" t="str">
        <f t="shared" si="471"/>
        <v/>
      </c>
      <c r="C9353" t="str">
        <f t="shared" si="470"/>
        <v/>
      </c>
      <c r="D9353" s="245" t="str">
        <f t="shared" ref="D9353:D9416" si="472">IF(A9353&lt;&gt;"",PROPER(TEXT(A9353,"Mmmm")),"")</f>
        <v/>
      </c>
      <c r="E9353" s="534"/>
      <c r="F9353" s="534"/>
    </row>
    <row r="9354" spans="1:6" ht="15" customHeight="1">
      <c r="A9354" s="51"/>
      <c r="B9354" s="52" t="str">
        <f t="shared" si="471"/>
        <v/>
      </c>
      <c r="C9354" t="str">
        <f t="shared" si="470"/>
        <v/>
      </c>
      <c r="D9354" s="245" t="str">
        <f t="shared" si="472"/>
        <v/>
      </c>
      <c r="E9354" s="534"/>
      <c r="F9354" s="534"/>
    </row>
    <row r="9355" spans="1:6" ht="15" customHeight="1">
      <c r="A9355" s="51"/>
      <c r="B9355" s="52" t="str">
        <f t="shared" si="471"/>
        <v/>
      </c>
      <c r="C9355" t="str">
        <f t="shared" si="470"/>
        <v/>
      </c>
      <c r="D9355" s="245" t="str">
        <f t="shared" si="472"/>
        <v/>
      </c>
      <c r="E9355" s="534"/>
      <c r="F9355" s="534"/>
    </row>
    <row r="9356" spans="1:6" ht="15" customHeight="1">
      <c r="A9356" s="51"/>
      <c r="B9356" s="52" t="str">
        <f t="shared" si="471"/>
        <v/>
      </c>
      <c r="C9356" t="str">
        <f t="shared" si="470"/>
        <v/>
      </c>
      <c r="D9356" s="245" t="str">
        <f t="shared" si="472"/>
        <v/>
      </c>
      <c r="E9356" s="534"/>
      <c r="F9356" s="534"/>
    </row>
    <row r="9357" spans="1:6" ht="15" customHeight="1">
      <c r="A9357" s="51"/>
      <c r="B9357" s="52" t="str">
        <f t="shared" si="471"/>
        <v/>
      </c>
      <c r="C9357" t="str">
        <f t="shared" si="470"/>
        <v/>
      </c>
      <c r="D9357" s="245" t="str">
        <f t="shared" si="472"/>
        <v/>
      </c>
      <c r="E9357" s="534"/>
      <c r="F9357" s="534"/>
    </row>
    <row r="9358" spans="1:6" ht="15" customHeight="1">
      <c r="A9358" s="51"/>
      <c r="B9358" s="52" t="str">
        <f t="shared" si="471"/>
        <v/>
      </c>
      <c r="C9358" t="str">
        <f t="shared" si="470"/>
        <v/>
      </c>
      <c r="D9358" s="245" t="str">
        <f t="shared" si="472"/>
        <v/>
      </c>
      <c r="E9358" s="534"/>
      <c r="F9358" s="534"/>
    </row>
    <row r="9359" spans="1:6" ht="15" customHeight="1">
      <c r="A9359" s="51"/>
      <c r="B9359" s="52" t="str">
        <f t="shared" si="471"/>
        <v/>
      </c>
      <c r="C9359" t="str">
        <f t="shared" si="470"/>
        <v/>
      </c>
      <c r="D9359" s="245" t="str">
        <f t="shared" si="472"/>
        <v/>
      </c>
      <c r="E9359" s="534"/>
      <c r="F9359" s="534"/>
    </row>
    <row r="9360" spans="1:6" ht="15" customHeight="1">
      <c r="A9360" s="51"/>
      <c r="B9360" s="52" t="str">
        <f t="shared" si="471"/>
        <v/>
      </c>
      <c r="C9360" t="str">
        <f t="shared" si="470"/>
        <v/>
      </c>
      <c r="D9360" s="245" t="str">
        <f t="shared" si="472"/>
        <v/>
      </c>
      <c r="E9360" s="534"/>
      <c r="F9360" s="534"/>
    </row>
    <row r="9361" spans="1:6" ht="15" customHeight="1">
      <c r="A9361" s="51"/>
      <c r="B9361" s="52" t="str">
        <f t="shared" si="471"/>
        <v/>
      </c>
      <c r="C9361" t="str">
        <f t="shared" si="470"/>
        <v/>
      </c>
      <c r="D9361" s="245" t="str">
        <f t="shared" si="472"/>
        <v/>
      </c>
      <c r="E9361" s="534"/>
      <c r="F9361" s="534"/>
    </row>
    <row r="9362" spans="1:6" ht="15" customHeight="1">
      <c r="A9362" s="51"/>
      <c r="B9362" s="52" t="str">
        <f t="shared" si="471"/>
        <v/>
      </c>
      <c r="C9362" t="str">
        <f t="shared" si="470"/>
        <v/>
      </c>
      <c r="D9362" s="245" t="str">
        <f t="shared" si="472"/>
        <v/>
      </c>
      <c r="E9362" s="534"/>
      <c r="F9362" s="534"/>
    </row>
    <row r="9363" spans="1:6" ht="15" customHeight="1">
      <c r="A9363" s="51"/>
      <c r="B9363" s="52" t="str">
        <f t="shared" si="471"/>
        <v/>
      </c>
      <c r="C9363" t="str">
        <f t="shared" si="470"/>
        <v/>
      </c>
      <c r="D9363" s="245" t="str">
        <f t="shared" si="472"/>
        <v/>
      </c>
      <c r="E9363" s="534"/>
      <c r="F9363" s="534"/>
    </row>
    <row r="9364" spans="1:6" ht="15" customHeight="1">
      <c r="A9364" s="51"/>
      <c r="B9364" s="52" t="str">
        <f t="shared" si="471"/>
        <v/>
      </c>
      <c r="C9364" t="str">
        <f t="shared" si="470"/>
        <v/>
      </c>
      <c r="D9364" s="245" t="str">
        <f t="shared" si="472"/>
        <v/>
      </c>
      <c r="E9364" s="534"/>
      <c r="F9364" s="534"/>
    </row>
    <row r="9365" spans="1:6" ht="15" customHeight="1">
      <c r="A9365" s="51"/>
      <c r="B9365" s="52" t="str">
        <f t="shared" si="471"/>
        <v/>
      </c>
      <c r="C9365" t="str">
        <f t="shared" si="470"/>
        <v/>
      </c>
      <c r="D9365" s="245" t="str">
        <f t="shared" si="472"/>
        <v/>
      </c>
      <c r="E9365" s="534"/>
      <c r="F9365" s="534"/>
    </row>
    <row r="9366" spans="1:6" ht="15" customHeight="1">
      <c r="A9366" s="51"/>
      <c r="B9366" s="52" t="str">
        <f t="shared" si="471"/>
        <v/>
      </c>
      <c r="C9366" t="str">
        <f t="shared" si="470"/>
        <v/>
      </c>
      <c r="D9366" s="245" t="str">
        <f t="shared" si="472"/>
        <v/>
      </c>
      <c r="E9366" s="534"/>
      <c r="F9366" s="534"/>
    </row>
    <row r="9367" spans="1:6" ht="15" customHeight="1">
      <c r="A9367" s="51"/>
      <c r="B9367" s="52" t="str">
        <f t="shared" si="471"/>
        <v/>
      </c>
      <c r="C9367" t="str">
        <f t="shared" si="470"/>
        <v/>
      </c>
      <c r="D9367" s="245" t="str">
        <f t="shared" si="472"/>
        <v/>
      </c>
      <c r="E9367" s="534"/>
      <c r="F9367" s="534"/>
    </row>
    <row r="9368" spans="1:6" ht="15" customHeight="1">
      <c r="A9368" s="51"/>
      <c r="B9368" s="52" t="str">
        <f t="shared" si="471"/>
        <v/>
      </c>
      <c r="C9368" t="str">
        <f t="shared" si="470"/>
        <v/>
      </c>
      <c r="D9368" s="245" t="str">
        <f t="shared" si="472"/>
        <v/>
      </c>
      <c r="E9368" s="534"/>
      <c r="F9368" s="534"/>
    </row>
    <row r="9369" spans="1:6" ht="15" customHeight="1">
      <c r="A9369" s="51"/>
      <c r="B9369" s="52" t="str">
        <f t="shared" si="471"/>
        <v/>
      </c>
      <c r="C9369" t="str">
        <f t="shared" si="470"/>
        <v/>
      </c>
      <c r="D9369" s="245" t="str">
        <f t="shared" si="472"/>
        <v/>
      </c>
      <c r="E9369" s="534"/>
      <c r="F9369" s="534"/>
    </row>
    <row r="9370" spans="1:6" ht="15" customHeight="1">
      <c r="A9370" s="51"/>
      <c r="B9370" s="52" t="str">
        <f t="shared" si="471"/>
        <v/>
      </c>
      <c r="C9370" t="str">
        <f t="shared" si="470"/>
        <v/>
      </c>
      <c r="D9370" s="245" t="str">
        <f t="shared" si="472"/>
        <v/>
      </c>
      <c r="E9370" s="534"/>
      <c r="F9370" s="534"/>
    </row>
    <row r="9371" spans="1:6" ht="15" customHeight="1">
      <c r="A9371" s="51"/>
      <c r="B9371" s="52" t="str">
        <f t="shared" si="471"/>
        <v/>
      </c>
      <c r="C9371" t="str">
        <f t="shared" si="470"/>
        <v/>
      </c>
      <c r="D9371" s="245" t="str">
        <f t="shared" si="472"/>
        <v/>
      </c>
      <c r="E9371" s="534"/>
      <c r="F9371" s="534"/>
    </row>
    <row r="9372" spans="1:6" ht="15" customHeight="1">
      <c r="A9372" s="51"/>
      <c r="B9372" s="52" t="str">
        <f t="shared" si="471"/>
        <v/>
      </c>
      <c r="C9372" t="str">
        <f t="shared" si="470"/>
        <v/>
      </c>
      <c r="D9372" s="245" t="str">
        <f t="shared" si="472"/>
        <v/>
      </c>
      <c r="E9372" s="534"/>
      <c r="F9372" s="534"/>
    </row>
    <row r="9373" spans="1:6" ht="15" customHeight="1">
      <c r="A9373" s="51"/>
      <c r="B9373" s="52" t="str">
        <f t="shared" si="471"/>
        <v/>
      </c>
      <c r="C9373" t="str">
        <f t="shared" si="470"/>
        <v/>
      </c>
      <c r="D9373" s="245" t="str">
        <f t="shared" si="472"/>
        <v/>
      </c>
      <c r="E9373" s="534"/>
      <c r="F9373" s="534"/>
    </row>
    <row r="9374" spans="1:6" ht="15" customHeight="1">
      <c r="A9374" s="51"/>
      <c r="B9374" s="52" t="str">
        <f t="shared" si="471"/>
        <v/>
      </c>
      <c r="C9374" t="str">
        <f t="shared" si="470"/>
        <v/>
      </c>
      <c r="D9374" s="245" t="str">
        <f t="shared" si="472"/>
        <v/>
      </c>
      <c r="E9374" s="534"/>
      <c r="F9374" s="534"/>
    </row>
    <row r="9375" spans="1:6" ht="15" customHeight="1">
      <c r="A9375" s="51"/>
      <c r="B9375" s="52" t="str">
        <f t="shared" si="471"/>
        <v/>
      </c>
      <c r="C9375" t="str">
        <f t="shared" si="470"/>
        <v/>
      </c>
      <c r="D9375" s="245" t="str">
        <f t="shared" si="472"/>
        <v/>
      </c>
      <c r="E9375" s="534"/>
      <c r="F9375" s="534"/>
    </row>
    <row r="9376" spans="1:6" ht="15" customHeight="1">
      <c r="A9376" s="51"/>
      <c r="B9376" s="52" t="str">
        <f t="shared" si="471"/>
        <v/>
      </c>
      <c r="C9376" t="str">
        <f t="shared" si="470"/>
        <v/>
      </c>
      <c r="D9376" s="245" t="str">
        <f t="shared" si="472"/>
        <v/>
      </c>
      <c r="E9376" s="534"/>
      <c r="F9376" s="534"/>
    </row>
    <row r="9377" spans="1:6" ht="15" customHeight="1">
      <c r="A9377" s="51"/>
      <c r="B9377" s="52" t="str">
        <f t="shared" si="471"/>
        <v/>
      </c>
      <c r="C9377" t="str">
        <f t="shared" si="470"/>
        <v/>
      </c>
      <c r="D9377" s="245" t="str">
        <f t="shared" si="472"/>
        <v/>
      </c>
      <c r="E9377" s="534"/>
      <c r="F9377" s="534"/>
    </row>
    <row r="9378" spans="1:6" ht="15" customHeight="1">
      <c r="A9378" s="51"/>
      <c r="B9378" s="52" t="str">
        <f t="shared" si="471"/>
        <v/>
      </c>
      <c r="C9378" t="str">
        <f t="shared" si="470"/>
        <v/>
      </c>
      <c r="D9378" s="245" t="str">
        <f t="shared" si="472"/>
        <v/>
      </c>
      <c r="E9378" s="534"/>
      <c r="F9378" s="534"/>
    </row>
    <row r="9379" spans="1:6" ht="15" customHeight="1">
      <c r="A9379" s="51"/>
      <c r="B9379" s="52" t="str">
        <f t="shared" si="471"/>
        <v/>
      </c>
      <c r="C9379" t="str">
        <f t="shared" si="470"/>
        <v/>
      </c>
      <c r="D9379" s="245" t="str">
        <f t="shared" si="472"/>
        <v/>
      </c>
      <c r="E9379" s="534"/>
      <c r="F9379" s="534"/>
    </row>
    <row r="9380" spans="1:6" ht="15" customHeight="1">
      <c r="A9380" s="51"/>
      <c r="B9380" s="52" t="str">
        <f t="shared" si="471"/>
        <v/>
      </c>
      <c r="C9380" t="str">
        <f t="shared" si="470"/>
        <v/>
      </c>
      <c r="D9380" s="245" t="str">
        <f t="shared" si="472"/>
        <v/>
      </c>
      <c r="E9380" s="534"/>
      <c r="F9380" s="534"/>
    </row>
    <row r="9381" spans="1:6" ht="15" customHeight="1">
      <c r="A9381" s="51"/>
      <c r="B9381" s="52" t="str">
        <f t="shared" si="471"/>
        <v/>
      </c>
      <c r="C9381" t="str">
        <f t="shared" si="470"/>
        <v/>
      </c>
      <c r="D9381" s="245" t="str">
        <f t="shared" si="472"/>
        <v/>
      </c>
      <c r="E9381" s="534"/>
      <c r="F9381" s="534"/>
    </row>
    <row r="9382" spans="1:6" ht="15" customHeight="1">
      <c r="A9382" s="51"/>
      <c r="B9382" s="52" t="str">
        <f t="shared" si="471"/>
        <v/>
      </c>
      <c r="C9382" t="str">
        <f t="shared" si="470"/>
        <v/>
      </c>
      <c r="D9382" s="245" t="str">
        <f t="shared" si="472"/>
        <v/>
      </c>
      <c r="E9382" s="534"/>
      <c r="F9382" s="534"/>
    </row>
    <row r="9383" spans="1:6" ht="15" customHeight="1">
      <c r="A9383" s="51"/>
      <c r="B9383" s="52" t="str">
        <f t="shared" si="471"/>
        <v/>
      </c>
      <c r="C9383" t="str">
        <f t="shared" si="470"/>
        <v/>
      </c>
      <c r="D9383" s="245" t="str">
        <f t="shared" si="472"/>
        <v/>
      </c>
      <c r="E9383" s="534"/>
      <c r="F9383" s="534"/>
    </row>
    <row r="9384" spans="1:6" ht="15" customHeight="1">
      <c r="A9384" s="51"/>
      <c r="B9384" s="52" t="str">
        <f t="shared" si="471"/>
        <v/>
      </c>
      <c r="C9384" t="str">
        <f t="shared" si="470"/>
        <v/>
      </c>
      <c r="D9384" s="245" t="str">
        <f t="shared" si="472"/>
        <v/>
      </c>
      <c r="E9384" s="534"/>
      <c r="F9384" s="534"/>
    </row>
    <row r="9385" spans="1:6" ht="15" customHeight="1">
      <c r="A9385" s="51"/>
      <c r="B9385" s="52" t="str">
        <f t="shared" si="471"/>
        <v/>
      </c>
      <c r="C9385" t="str">
        <f t="shared" si="470"/>
        <v/>
      </c>
      <c r="D9385" s="245" t="str">
        <f t="shared" si="472"/>
        <v/>
      </c>
      <c r="E9385" s="534"/>
      <c r="F9385" s="534"/>
    </row>
    <row r="9386" spans="1:6" ht="15" customHeight="1">
      <c r="A9386" s="51"/>
      <c r="B9386" s="52" t="str">
        <f t="shared" si="471"/>
        <v/>
      </c>
      <c r="C9386" t="str">
        <f t="shared" si="470"/>
        <v/>
      </c>
      <c r="D9386" s="245" t="str">
        <f t="shared" si="472"/>
        <v/>
      </c>
      <c r="E9386" s="534"/>
      <c r="F9386" s="534"/>
    </row>
    <row r="9387" spans="1:6" ht="15" customHeight="1">
      <c r="A9387" s="51"/>
      <c r="B9387" s="52" t="str">
        <f t="shared" si="471"/>
        <v/>
      </c>
      <c r="C9387" t="str">
        <f t="shared" si="470"/>
        <v/>
      </c>
      <c r="D9387" s="245" t="str">
        <f t="shared" si="472"/>
        <v/>
      </c>
      <c r="E9387" s="534"/>
      <c r="F9387" s="534"/>
    </row>
    <row r="9388" spans="1:6" ht="15" customHeight="1">
      <c r="A9388" s="51"/>
      <c r="B9388" s="52" t="str">
        <f t="shared" si="471"/>
        <v/>
      </c>
      <c r="C9388" t="str">
        <f t="shared" si="470"/>
        <v/>
      </c>
      <c r="D9388" s="245" t="str">
        <f t="shared" si="472"/>
        <v/>
      </c>
      <c r="E9388" s="534"/>
      <c r="F9388" s="534"/>
    </row>
    <row r="9389" spans="1:6" ht="15" customHeight="1">
      <c r="A9389" s="51"/>
      <c r="B9389" s="52" t="str">
        <f t="shared" si="471"/>
        <v/>
      </c>
      <c r="C9389" t="str">
        <f t="shared" si="470"/>
        <v/>
      </c>
      <c r="D9389" s="245" t="str">
        <f t="shared" si="472"/>
        <v/>
      </c>
      <c r="E9389" s="534"/>
      <c r="F9389" s="534"/>
    </row>
    <row r="9390" spans="1:6" ht="15" customHeight="1">
      <c r="A9390" s="51"/>
      <c r="B9390" s="52" t="str">
        <f t="shared" si="471"/>
        <v/>
      </c>
      <c r="C9390" t="str">
        <f t="shared" si="470"/>
        <v/>
      </c>
      <c r="D9390" s="245" t="str">
        <f t="shared" si="472"/>
        <v/>
      </c>
      <c r="E9390" s="534"/>
      <c r="F9390" s="534"/>
    </row>
    <row r="9391" spans="1:6" ht="15" customHeight="1">
      <c r="A9391" s="51"/>
      <c r="B9391" s="52" t="str">
        <f t="shared" si="471"/>
        <v/>
      </c>
      <c r="C9391" t="str">
        <f t="shared" si="470"/>
        <v/>
      </c>
      <c r="D9391" s="245" t="str">
        <f t="shared" si="472"/>
        <v/>
      </c>
      <c r="E9391" s="534"/>
      <c r="F9391" s="534"/>
    </row>
    <row r="9392" spans="1:6" ht="15" customHeight="1">
      <c r="A9392" s="51"/>
      <c r="B9392" s="52" t="str">
        <f t="shared" si="471"/>
        <v/>
      </c>
      <c r="C9392" t="str">
        <f t="shared" si="470"/>
        <v/>
      </c>
      <c r="D9392" s="245" t="str">
        <f t="shared" si="472"/>
        <v/>
      </c>
      <c r="E9392" s="534"/>
      <c r="F9392" s="534"/>
    </row>
    <row r="9393" spans="1:6" ht="15" customHeight="1">
      <c r="A9393" s="51"/>
      <c r="B9393" s="52" t="str">
        <f t="shared" si="471"/>
        <v/>
      </c>
      <c r="C9393" t="str">
        <f t="shared" si="470"/>
        <v/>
      </c>
      <c r="D9393" s="245" t="str">
        <f t="shared" si="472"/>
        <v/>
      </c>
      <c r="E9393" s="534"/>
      <c r="F9393" s="534"/>
    </row>
    <row r="9394" spans="1:6" ht="15" customHeight="1">
      <c r="A9394" s="51"/>
      <c r="B9394" s="52" t="str">
        <f t="shared" si="471"/>
        <v/>
      </c>
      <c r="C9394" t="str">
        <f t="shared" si="470"/>
        <v/>
      </c>
      <c r="D9394" s="245" t="str">
        <f t="shared" si="472"/>
        <v/>
      </c>
      <c r="E9394" s="534"/>
      <c r="F9394" s="534"/>
    </row>
    <row r="9395" spans="1:6" ht="15" customHeight="1">
      <c r="A9395" s="51"/>
      <c r="B9395" s="52" t="str">
        <f t="shared" si="471"/>
        <v/>
      </c>
      <c r="C9395" t="str">
        <f t="shared" si="470"/>
        <v/>
      </c>
      <c r="D9395" s="245" t="str">
        <f t="shared" si="472"/>
        <v/>
      </c>
      <c r="E9395" s="534"/>
      <c r="F9395" s="534"/>
    </row>
    <row r="9396" spans="1:6" ht="15" customHeight="1">
      <c r="A9396" s="51"/>
      <c r="B9396" s="52" t="str">
        <f t="shared" si="471"/>
        <v/>
      </c>
      <c r="C9396" t="str">
        <f t="shared" si="470"/>
        <v/>
      </c>
      <c r="D9396" s="245" t="str">
        <f t="shared" si="472"/>
        <v/>
      </c>
      <c r="E9396" s="534"/>
      <c r="F9396" s="534"/>
    </row>
    <row r="9397" spans="1:6" ht="15" customHeight="1">
      <c r="A9397" s="51"/>
      <c r="B9397" s="52" t="str">
        <f t="shared" si="471"/>
        <v/>
      </c>
      <c r="C9397" t="str">
        <f t="shared" si="470"/>
        <v/>
      </c>
      <c r="D9397" s="245" t="str">
        <f t="shared" si="472"/>
        <v/>
      </c>
      <c r="E9397" s="534"/>
      <c r="F9397" s="534"/>
    </row>
    <row r="9398" spans="1:6" ht="15" customHeight="1">
      <c r="A9398" s="51"/>
      <c r="B9398" s="52" t="str">
        <f t="shared" si="471"/>
        <v/>
      </c>
      <c r="C9398" t="str">
        <f t="shared" si="470"/>
        <v/>
      </c>
      <c r="D9398" s="245" t="str">
        <f t="shared" si="472"/>
        <v/>
      </c>
      <c r="E9398" s="534"/>
      <c r="F9398" s="534"/>
    </row>
    <row r="9399" spans="1:6" ht="15" customHeight="1">
      <c r="A9399" s="51"/>
      <c r="B9399" s="52" t="str">
        <f t="shared" si="471"/>
        <v/>
      </c>
      <c r="C9399" t="str">
        <f t="shared" si="470"/>
        <v/>
      </c>
      <c r="D9399" s="245" t="str">
        <f t="shared" si="472"/>
        <v/>
      </c>
      <c r="E9399" s="534"/>
      <c r="F9399" s="534"/>
    </row>
    <row r="9400" spans="1:6" ht="15" customHeight="1">
      <c r="A9400" s="51"/>
      <c r="B9400" s="52" t="str">
        <f t="shared" si="471"/>
        <v/>
      </c>
      <c r="C9400" t="str">
        <f t="shared" si="470"/>
        <v/>
      </c>
      <c r="D9400" s="245" t="str">
        <f t="shared" si="472"/>
        <v/>
      </c>
      <c r="E9400" s="534"/>
      <c r="F9400" s="534"/>
    </row>
    <row r="9401" spans="1:6" ht="15" customHeight="1">
      <c r="A9401" s="51"/>
      <c r="B9401" s="52" t="str">
        <f t="shared" si="471"/>
        <v/>
      </c>
      <c r="C9401" t="str">
        <f t="shared" si="470"/>
        <v/>
      </c>
      <c r="D9401" s="245" t="str">
        <f t="shared" si="472"/>
        <v/>
      </c>
      <c r="E9401" s="534"/>
      <c r="F9401" s="534"/>
    </row>
    <row r="9402" spans="1:6" ht="15" customHeight="1">
      <c r="A9402" s="51"/>
      <c r="B9402" s="52" t="str">
        <f t="shared" si="471"/>
        <v/>
      </c>
      <c r="C9402" t="str">
        <f t="shared" si="470"/>
        <v/>
      </c>
      <c r="D9402" s="245" t="str">
        <f t="shared" si="472"/>
        <v/>
      </c>
      <c r="E9402" s="534"/>
      <c r="F9402" s="534"/>
    </row>
    <row r="9403" spans="1:6" ht="15" customHeight="1">
      <c r="A9403" s="51"/>
      <c r="B9403" s="52" t="str">
        <f t="shared" si="471"/>
        <v/>
      </c>
      <c r="C9403" t="str">
        <f t="shared" si="470"/>
        <v/>
      </c>
      <c r="D9403" s="245" t="str">
        <f t="shared" si="472"/>
        <v/>
      </c>
      <c r="E9403" s="534"/>
      <c r="F9403" s="534"/>
    </row>
    <row r="9404" spans="1:6" ht="15" customHeight="1">
      <c r="A9404" s="51"/>
      <c r="B9404" s="52" t="str">
        <f t="shared" si="471"/>
        <v/>
      </c>
      <c r="C9404" t="str">
        <f t="shared" si="470"/>
        <v/>
      </c>
      <c r="D9404" s="245" t="str">
        <f t="shared" si="472"/>
        <v/>
      </c>
      <c r="E9404" s="534"/>
      <c r="F9404" s="534"/>
    </row>
    <row r="9405" spans="1:6" ht="15" customHeight="1">
      <c r="A9405" s="51"/>
      <c r="B9405" s="52" t="str">
        <f t="shared" si="471"/>
        <v/>
      </c>
      <c r="C9405" t="str">
        <f t="shared" si="470"/>
        <v/>
      </c>
      <c r="D9405" s="245" t="str">
        <f t="shared" si="472"/>
        <v/>
      </c>
      <c r="E9405" s="534"/>
      <c r="F9405" s="534"/>
    </row>
    <row r="9406" spans="1:6" ht="15" customHeight="1">
      <c r="A9406" s="51"/>
      <c r="B9406" s="52" t="str">
        <f t="shared" si="471"/>
        <v/>
      </c>
      <c r="C9406" t="str">
        <f t="shared" si="470"/>
        <v/>
      </c>
      <c r="D9406" s="245" t="str">
        <f t="shared" si="472"/>
        <v/>
      </c>
      <c r="E9406" s="534"/>
      <c r="F9406" s="534"/>
    </row>
    <row r="9407" spans="1:6" ht="15" customHeight="1">
      <c r="A9407" s="51"/>
      <c r="B9407" s="52" t="str">
        <f t="shared" si="471"/>
        <v/>
      </c>
      <c r="C9407" t="str">
        <f t="shared" si="470"/>
        <v/>
      </c>
      <c r="D9407" s="245" t="str">
        <f t="shared" si="472"/>
        <v/>
      </c>
      <c r="E9407" s="534"/>
      <c r="F9407" s="534"/>
    </row>
    <row r="9408" spans="1:6" ht="15" customHeight="1">
      <c r="A9408" s="51"/>
      <c r="B9408" s="52" t="str">
        <f t="shared" si="471"/>
        <v/>
      </c>
      <c r="C9408" t="str">
        <f t="shared" si="470"/>
        <v/>
      </c>
      <c r="D9408" s="245" t="str">
        <f t="shared" si="472"/>
        <v/>
      </c>
      <c r="E9408" s="534"/>
      <c r="F9408" s="534"/>
    </row>
    <row r="9409" spans="1:6" ht="15" customHeight="1">
      <c r="A9409" s="51"/>
      <c r="B9409" s="52" t="str">
        <f t="shared" si="471"/>
        <v/>
      </c>
      <c r="C9409" t="str">
        <f t="shared" si="470"/>
        <v/>
      </c>
      <c r="D9409" s="245" t="str">
        <f t="shared" si="472"/>
        <v/>
      </c>
      <c r="E9409" s="534"/>
      <c r="F9409" s="534"/>
    </row>
    <row r="9410" spans="1:6" ht="15" customHeight="1">
      <c r="A9410" s="51"/>
      <c r="B9410" s="52" t="str">
        <f t="shared" si="471"/>
        <v/>
      </c>
      <c r="C9410" t="str">
        <f t="shared" ref="C9410:C9473" si="473">IF(A9410&lt;&gt;"",TEXT(A9410,"aaaa"),"")</f>
        <v/>
      </c>
      <c r="D9410" s="245" t="str">
        <f t="shared" si="472"/>
        <v/>
      </c>
      <c r="E9410" s="534"/>
      <c r="F9410" s="534"/>
    </row>
    <row r="9411" spans="1:6" ht="15" customHeight="1">
      <c r="A9411" s="51"/>
      <c r="B9411" s="52" t="str">
        <f t="shared" si="471"/>
        <v/>
      </c>
      <c r="C9411" t="str">
        <f t="shared" si="473"/>
        <v/>
      </c>
      <c r="D9411" s="245" t="str">
        <f t="shared" si="472"/>
        <v/>
      </c>
      <c r="E9411" s="534"/>
      <c r="F9411" s="534"/>
    </row>
    <row r="9412" spans="1:6" ht="15" customHeight="1">
      <c r="A9412" s="51"/>
      <c r="B9412" s="52" t="str">
        <f t="shared" si="471"/>
        <v/>
      </c>
      <c r="C9412" t="str">
        <f t="shared" si="473"/>
        <v/>
      </c>
      <c r="D9412" s="245" t="str">
        <f t="shared" si="472"/>
        <v/>
      </c>
      <c r="E9412" s="534"/>
      <c r="F9412" s="534"/>
    </row>
    <row r="9413" spans="1:6" ht="15" customHeight="1">
      <c r="A9413" s="51"/>
      <c r="B9413" s="52" t="str">
        <f t="shared" si="471"/>
        <v/>
      </c>
      <c r="C9413" t="str">
        <f t="shared" si="473"/>
        <v/>
      </c>
      <c r="D9413" s="245" t="str">
        <f t="shared" si="472"/>
        <v/>
      </c>
      <c r="E9413" s="534"/>
      <c r="F9413" s="534"/>
    </row>
    <row r="9414" spans="1:6" ht="15" customHeight="1">
      <c r="A9414" s="51"/>
      <c r="B9414" s="52" t="str">
        <f t="shared" si="471"/>
        <v/>
      </c>
      <c r="C9414" t="str">
        <f t="shared" si="473"/>
        <v/>
      </c>
      <c r="D9414" s="245" t="str">
        <f t="shared" si="472"/>
        <v/>
      </c>
      <c r="E9414" s="534"/>
      <c r="F9414" s="534"/>
    </row>
    <row r="9415" spans="1:6" ht="15" customHeight="1">
      <c r="A9415" s="51"/>
      <c r="B9415" s="52" t="str">
        <f t="shared" si="471"/>
        <v/>
      </c>
      <c r="C9415" t="str">
        <f t="shared" si="473"/>
        <v/>
      </c>
      <c r="D9415" s="245" t="str">
        <f t="shared" si="472"/>
        <v/>
      </c>
      <c r="E9415" s="534"/>
      <c r="F9415" s="534"/>
    </row>
    <row r="9416" spans="1:6" ht="15" customHeight="1">
      <c r="A9416" s="51"/>
      <c r="B9416" s="52" t="str">
        <f t="shared" ref="B9416:B9479" si="474">IF(A9416="","",TEXT(A9416,"DDDD"))</f>
        <v/>
      </c>
      <c r="C9416" t="str">
        <f t="shared" si="473"/>
        <v/>
      </c>
      <c r="D9416" s="245" t="str">
        <f t="shared" si="472"/>
        <v/>
      </c>
      <c r="E9416" s="534"/>
      <c r="F9416" s="534"/>
    </row>
    <row r="9417" spans="1:6" ht="15" customHeight="1">
      <c r="A9417" s="51"/>
      <c r="B9417" s="52" t="str">
        <f t="shared" si="474"/>
        <v/>
      </c>
      <c r="C9417" t="str">
        <f t="shared" si="473"/>
        <v/>
      </c>
      <c r="D9417" s="245" t="str">
        <f t="shared" ref="D9417:D9480" si="475">IF(A9417&lt;&gt;"",PROPER(TEXT(A9417,"Mmmm")),"")</f>
        <v/>
      </c>
      <c r="E9417" s="534"/>
      <c r="F9417" s="534"/>
    </row>
    <row r="9418" spans="1:6" ht="15" customHeight="1">
      <c r="A9418" s="51"/>
      <c r="B9418" s="52" t="str">
        <f t="shared" si="474"/>
        <v/>
      </c>
      <c r="C9418" t="str">
        <f t="shared" si="473"/>
        <v/>
      </c>
      <c r="D9418" s="245" t="str">
        <f t="shared" si="475"/>
        <v/>
      </c>
      <c r="E9418" s="534"/>
      <c r="F9418" s="534"/>
    </row>
    <row r="9419" spans="1:6" ht="15" customHeight="1">
      <c r="A9419" s="51"/>
      <c r="B9419" s="52" t="str">
        <f t="shared" si="474"/>
        <v/>
      </c>
      <c r="C9419" t="str">
        <f t="shared" si="473"/>
        <v/>
      </c>
      <c r="D9419" s="245" t="str">
        <f t="shared" si="475"/>
        <v/>
      </c>
      <c r="E9419" s="534"/>
      <c r="F9419" s="534"/>
    </row>
    <row r="9420" spans="1:6" ht="15" customHeight="1">
      <c r="A9420" s="51"/>
      <c r="B9420" s="52" t="str">
        <f t="shared" si="474"/>
        <v/>
      </c>
      <c r="C9420" t="str">
        <f t="shared" si="473"/>
        <v/>
      </c>
      <c r="D9420" s="245" t="str">
        <f t="shared" si="475"/>
        <v/>
      </c>
      <c r="E9420" s="534"/>
      <c r="F9420" s="534"/>
    </row>
    <row r="9421" spans="1:6" ht="15" customHeight="1">
      <c r="A9421" s="51"/>
      <c r="B9421" s="52" t="str">
        <f t="shared" si="474"/>
        <v/>
      </c>
      <c r="C9421" t="str">
        <f t="shared" si="473"/>
        <v/>
      </c>
      <c r="D9421" s="245" t="str">
        <f t="shared" si="475"/>
        <v/>
      </c>
      <c r="E9421" s="534"/>
      <c r="F9421" s="534"/>
    </row>
    <row r="9422" spans="1:6" ht="15" customHeight="1">
      <c r="A9422" s="51"/>
      <c r="B9422" s="52" t="str">
        <f t="shared" si="474"/>
        <v/>
      </c>
      <c r="C9422" t="str">
        <f t="shared" si="473"/>
        <v/>
      </c>
      <c r="D9422" s="245" t="str">
        <f t="shared" si="475"/>
        <v/>
      </c>
      <c r="E9422" s="534"/>
      <c r="F9422" s="534"/>
    </row>
    <row r="9423" spans="1:6" ht="15" customHeight="1">
      <c r="A9423" s="51"/>
      <c r="B9423" s="52" t="str">
        <f t="shared" si="474"/>
        <v/>
      </c>
      <c r="C9423" t="str">
        <f t="shared" si="473"/>
        <v/>
      </c>
      <c r="D9423" s="245" t="str">
        <f t="shared" si="475"/>
        <v/>
      </c>
      <c r="E9423" s="534"/>
      <c r="F9423" s="534"/>
    </row>
    <row r="9424" spans="1:6" ht="15" customHeight="1">
      <c r="A9424" s="51"/>
      <c r="B9424" s="52" t="str">
        <f t="shared" si="474"/>
        <v/>
      </c>
      <c r="C9424" t="str">
        <f t="shared" si="473"/>
        <v/>
      </c>
      <c r="D9424" s="245" t="str">
        <f t="shared" si="475"/>
        <v/>
      </c>
      <c r="E9424" s="534"/>
      <c r="F9424" s="534"/>
    </row>
    <row r="9425" spans="1:6" ht="15" customHeight="1">
      <c r="A9425" s="51"/>
      <c r="B9425" s="52" t="str">
        <f t="shared" si="474"/>
        <v/>
      </c>
      <c r="C9425" t="str">
        <f t="shared" si="473"/>
        <v/>
      </c>
      <c r="D9425" s="245" t="str">
        <f t="shared" si="475"/>
        <v/>
      </c>
      <c r="E9425" s="534"/>
      <c r="F9425" s="534"/>
    </row>
    <row r="9426" spans="1:6" ht="15" customHeight="1">
      <c r="A9426" s="51"/>
      <c r="B9426" s="52" t="str">
        <f t="shared" si="474"/>
        <v/>
      </c>
      <c r="C9426" t="str">
        <f t="shared" si="473"/>
        <v/>
      </c>
      <c r="D9426" s="245" t="str">
        <f t="shared" si="475"/>
        <v/>
      </c>
      <c r="E9426" s="534"/>
      <c r="F9426" s="534"/>
    </row>
    <row r="9427" spans="1:6" ht="15" customHeight="1">
      <c r="A9427" s="51"/>
      <c r="B9427" s="52" t="str">
        <f t="shared" si="474"/>
        <v/>
      </c>
      <c r="C9427" t="str">
        <f t="shared" si="473"/>
        <v/>
      </c>
      <c r="D9427" s="245" t="str">
        <f t="shared" si="475"/>
        <v/>
      </c>
      <c r="E9427" s="534"/>
      <c r="F9427" s="534"/>
    </row>
    <row r="9428" spans="1:6" ht="15" customHeight="1">
      <c r="A9428" s="51"/>
      <c r="B9428" s="52" t="str">
        <f t="shared" si="474"/>
        <v/>
      </c>
      <c r="C9428" t="str">
        <f t="shared" si="473"/>
        <v/>
      </c>
      <c r="D9428" s="245" t="str">
        <f t="shared" si="475"/>
        <v/>
      </c>
      <c r="E9428" s="534"/>
      <c r="F9428" s="534"/>
    </row>
    <row r="9429" spans="1:6" ht="15" customHeight="1">
      <c r="A9429" s="51"/>
      <c r="B9429" s="52" t="str">
        <f t="shared" si="474"/>
        <v/>
      </c>
      <c r="C9429" t="str">
        <f t="shared" si="473"/>
        <v/>
      </c>
      <c r="D9429" s="245" t="str">
        <f t="shared" si="475"/>
        <v/>
      </c>
      <c r="E9429" s="534"/>
      <c r="F9429" s="534"/>
    </row>
    <row r="9430" spans="1:6" ht="15" customHeight="1">
      <c r="A9430" s="51"/>
      <c r="B9430" s="52" t="str">
        <f t="shared" si="474"/>
        <v/>
      </c>
      <c r="C9430" t="str">
        <f t="shared" si="473"/>
        <v/>
      </c>
      <c r="D9430" s="245" t="str">
        <f t="shared" si="475"/>
        <v/>
      </c>
      <c r="E9430" s="534"/>
      <c r="F9430" s="534"/>
    </row>
    <row r="9431" spans="1:6" ht="15" customHeight="1">
      <c r="A9431" s="51"/>
      <c r="B9431" s="52" t="str">
        <f t="shared" si="474"/>
        <v/>
      </c>
      <c r="C9431" t="str">
        <f t="shared" si="473"/>
        <v/>
      </c>
      <c r="D9431" s="245" t="str">
        <f t="shared" si="475"/>
        <v/>
      </c>
      <c r="E9431" s="534"/>
      <c r="F9431" s="534"/>
    </row>
    <row r="9432" spans="1:6" ht="15" customHeight="1">
      <c r="A9432" s="51"/>
      <c r="B9432" s="52" t="str">
        <f t="shared" si="474"/>
        <v/>
      </c>
      <c r="C9432" t="str">
        <f t="shared" si="473"/>
        <v/>
      </c>
      <c r="D9432" s="245" t="str">
        <f t="shared" si="475"/>
        <v/>
      </c>
      <c r="E9432" s="534"/>
      <c r="F9432" s="534"/>
    </row>
    <row r="9433" spans="1:6" ht="15" customHeight="1">
      <c r="A9433" s="51"/>
      <c r="B9433" s="52" t="str">
        <f t="shared" si="474"/>
        <v/>
      </c>
      <c r="C9433" t="str">
        <f t="shared" si="473"/>
        <v/>
      </c>
      <c r="D9433" s="245" t="str">
        <f t="shared" si="475"/>
        <v/>
      </c>
      <c r="E9433" s="534"/>
      <c r="F9433" s="534"/>
    </row>
    <row r="9434" spans="1:6" ht="15" customHeight="1">
      <c r="A9434" s="51"/>
      <c r="B9434" s="52" t="str">
        <f t="shared" si="474"/>
        <v/>
      </c>
      <c r="C9434" t="str">
        <f t="shared" si="473"/>
        <v/>
      </c>
      <c r="D9434" s="245" t="str">
        <f t="shared" si="475"/>
        <v/>
      </c>
      <c r="E9434" s="534"/>
      <c r="F9434" s="534"/>
    </row>
    <row r="9435" spans="1:6" ht="15" customHeight="1">
      <c r="A9435" s="51"/>
      <c r="B9435" s="52" t="str">
        <f t="shared" si="474"/>
        <v/>
      </c>
      <c r="C9435" t="str">
        <f t="shared" si="473"/>
        <v/>
      </c>
      <c r="D9435" s="245" t="str">
        <f t="shared" si="475"/>
        <v/>
      </c>
      <c r="E9435" s="534"/>
      <c r="F9435" s="534"/>
    </row>
    <row r="9436" spans="1:6" ht="15" customHeight="1">
      <c r="A9436" s="51"/>
      <c r="B9436" s="52" t="str">
        <f t="shared" si="474"/>
        <v/>
      </c>
      <c r="C9436" t="str">
        <f t="shared" si="473"/>
        <v/>
      </c>
      <c r="D9436" s="245" t="str">
        <f t="shared" si="475"/>
        <v/>
      </c>
      <c r="E9436" s="534"/>
      <c r="F9436" s="534"/>
    </row>
    <row r="9437" spans="1:6" ht="15" customHeight="1">
      <c r="A9437" s="51"/>
      <c r="B9437" s="52" t="str">
        <f t="shared" si="474"/>
        <v/>
      </c>
      <c r="C9437" t="str">
        <f t="shared" si="473"/>
        <v/>
      </c>
      <c r="D9437" s="245" t="str">
        <f t="shared" si="475"/>
        <v/>
      </c>
      <c r="E9437" s="534"/>
      <c r="F9437" s="534"/>
    </row>
    <row r="9438" spans="1:6" ht="15" customHeight="1">
      <c r="A9438" s="51"/>
      <c r="B9438" s="52" t="str">
        <f t="shared" si="474"/>
        <v/>
      </c>
      <c r="C9438" t="str">
        <f t="shared" si="473"/>
        <v/>
      </c>
      <c r="D9438" s="245" t="str">
        <f t="shared" si="475"/>
        <v/>
      </c>
      <c r="E9438" s="534"/>
      <c r="F9438" s="534"/>
    </row>
    <row r="9439" spans="1:6" ht="15" customHeight="1">
      <c r="A9439" s="51"/>
      <c r="B9439" s="52" t="str">
        <f t="shared" si="474"/>
        <v/>
      </c>
      <c r="C9439" t="str">
        <f t="shared" si="473"/>
        <v/>
      </c>
      <c r="D9439" s="245" t="str">
        <f t="shared" si="475"/>
        <v/>
      </c>
      <c r="E9439" s="534"/>
      <c r="F9439" s="534"/>
    </row>
    <row r="9440" spans="1:6" ht="15" customHeight="1">
      <c r="A9440" s="51"/>
      <c r="B9440" s="52" t="str">
        <f t="shared" si="474"/>
        <v/>
      </c>
      <c r="C9440" t="str">
        <f t="shared" si="473"/>
        <v/>
      </c>
      <c r="D9440" s="245" t="str">
        <f t="shared" si="475"/>
        <v/>
      </c>
      <c r="E9440" s="534"/>
      <c r="F9440" s="534"/>
    </row>
    <row r="9441" spans="1:6" ht="15" customHeight="1">
      <c r="A9441" s="51"/>
      <c r="B9441" s="52" t="str">
        <f t="shared" si="474"/>
        <v/>
      </c>
      <c r="C9441" t="str">
        <f t="shared" si="473"/>
        <v/>
      </c>
      <c r="D9441" s="245" t="str">
        <f t="shared" si="475"/>
        <v/>
      </c>
      <c r="E9441" s="534"/>
      <c r="F9441" s="534"/>
    </row>
    <row r="9442" spans="1:6" ht="15" customHeight="1">
      <c r="A9442" s="51"/>
      <c r="B9442" s="52" t="str">
        <f t="shared" si="474"/>
        <v/>
      </c>
      <c r="C9442" t="str">
        <f t="shared" si="473"/>
        <v/>
      </c>
      <c r="D9442" s="245" t="str">
        <f t="shared" si="475"/>
        <v/>
      </c>
      <c r="E9442" s="534"/>
      <c r="F9442" s="534"/>
    </row>
    <row r="9443" spans="1:6" ht="15" customHeight="1">
      <c r="A9443" s="51"/>
      <c r="B9443" s="52" t="str">
        <f t="shared" si="474"/>
        <v/>
      </c>
      <c r="C9443" t="str">
        <f t="shared" si="473"/>
        <v/>
      </c>
      <c r="D9443" s="245" t="str">
        <f t="shared" si="475"/>
        <v/>
      </c>
      <c r="E9443" s="534"/>
      <c r="F9443" s="534"/>
    </row>
    <row r="9444" spans="1:6" ht="15" customHeight="1">
      <c r="A9444" s="51"/>
      <c r="B9444" s="52" t="str">
        <f t="shared" si="474"/>
        <v/>
      </c>
      <c r="C9444" t="str">
        <f t="shared" si="473"/>
        <v/>
      </c>
      <c r="D9444" s="245" t="str">
        <f t="shared" si="475"/>
        <v/>
      </c>
      <c r="E9444" s="534"/>
      <c r="F9444" s="534"/>
    </row>
    <row r="9445" spans="1:6" ht="15" customHeight="1">
      <c r="A9445" s="51"/>
      <c r="B9445" s="52" t="str">
        <f t="shared" si="474"/>
        <v/>
      </c>
      <c r="C9445" t="str">
        <f t="shared" si="473"/>
        <v/>
      </c>
      <c r="D9445" s="245" t="str">
        <f t="shared" si="475"/>
        <v/>
      </c>
      <c r="E9445" s="534"/>
      <c r="F9445" s="534"/>
    </row>
    <row r="9446" spans="1:6" ht="15" customHeight="1">
      <c r="A9446" s="51"/>
      <c r="B9446" s="52" t="str">
        <f t="shared" si="474"/>
        <v/>
      </c>
      <c r="C9446" t="str">
        <f t="shared" si="473"/>
        <v/>
      </c>
      <c r="D9446" s="245" t="str">
        <f t="shared" si="475"/>
        <v/>
      </c>
      <c r="E9446" s="534"/>
      <c r="F9446" s="534"/>
    </row>
    <row r="9447" spans="1:6" ht="15" customHeight="1">
      <c r="A9447" s="51"/>
      <c r="B9447" s="52" t="str">
        <f t="shared" si="474"/>
        <v/>
      </c>
      <c r="C9447" t="str">
        <f t="shared" si="473"/>
        <v/>
      </c>
      <c r="D9447" s="245" t="str">
        <f t="shared" si="475"/>
        <v/>
      </c>
      <c r="E9447" s="534"/>
      <c r="F9447" s="534"/>
    </row>
    <row r="9448" spans="1:6" ht="15" customHeight="1">
      <c r="A9448" s="51"/>
      <c r="B9448" s="52" t="str">
        <f t="shared" si="474"/>
        <v/>
      </c>
      <c r="C9448" t="str">
        <f t="shared" si="473"/>
        <v/>
      </c>
      <c r="D9448" s="245" t="str">
        <f t="shared" si="475"/>
        <v/>
      </c>
      <c r="E9448" s="534"/>
      <c r="F9448" s="534"/>
    </row>
    <row r="9449" spans="1:6" ht="15" customHeight="1">
      <c r="A9449" s="51"/>
      <c r="B9449" s="52" t="str">
        <f t="shared" si="474"/>
        <v/>
      </c>
      <c r="C9449" t="str">
        <f t="shared" si="473"/>
        <v/>
      </c>
      <c r="D9449" s="245" t="str">
        <f t="shared" si="475"/>
        <v/>
      </c>
      <c r="E9449" s="534"/>
      <c r="F9449" s="534"/>
    </row>
    <row r="9450" spans="1:6" ht="15" customHeight="1">
      <c r="A9450" s="51"/>
      <c r="B9450" s="52" t="str">
        <f t="shared" si="474"/>
        <v/>
      </c>
      <c r="C9450" t="str">
        <f t="shared" si="473"/>
        <v/>
      </c>
      <c r="D9450" s="245" t="str">
        <f t="shared" si="475"/>
        <v/>
      </c>
      <c r="E9450" s="534"/>
      <c r="F9450" s="534"/>
    </row>
    <row r="9451" spans="1:6" ht="15" customHeight="1">
      <c r="A9451" s="51"/>
      <c r="B9451" s="52" t="str">
        <f t="shared" si="474"/>
        <v/>
      </c>
      <c r="C9451" t="str">
        <f t="shared" si="473"/>
        <v/>
      </c>
      <c r="D9451" s="245" t="str">
        <f t="shared" si="475"/>
        <v/>
      </c>
      <c r="E9451" s="534"/>
      <c r="F9451" s="534"/>
    </row>
    <row r="9452" spans="1:6" ht="15" customHeight="1">
      <c r="A9452" s="51"/>
      <c r="B9452" s="52" t="str">
        <f t="shared" si="474"/>
        <v/>
      </c>
      <c r="C9452" t="str">
        <f t="shared" si="473"/>
        <v/>
      </c>
      <c r="D9452" s="245" t="str">
        <f t="shared" si="475"/>
        <v/>
      </c>
      <c r="E9452" s="534"/>
      <c r="F9452" s="534"/>
    </row>
    <row r="9453" spans="1:6" ht="15" customHeight="1">
      <c r="A9453" s="51"/>
      <c r="B9453" s="52" t="str">
        <f t="shared" si="474"/>
        <v/>
      </c>
      <c r="C9453" t="str">
        <f t="shared" si="473"/>
        <v/>
      </c>
      <c r="D9453" s="245" t="str">
        <f t="shared" si="475"/>
        <v/>
      </c>
      <c r="E9453" s="534"/>
      <c r="F9453" s="534"/>
    </row>
    <row r="9454" spans="1:6" ht="15" customHeight="1">
      <c r="A9454" s="51"/>
      <c r="B9454" s="52" t="str">
        <f t="shared" si="474"/>
        <v/>
      </c>
      <c r="C9454" t="str">
        <f t="shared" si="473"/>
        <v/>
      </c>
      <c r="D9454" s="245" t="str">
        <f t="shared" si="475"/>
        <v/>
      </c>
      <c r="E9454" s="534"/>
      <c r="F9454" s="534"/>
    </row>
    <row r="9455" spans="1:6" ht="15" customHeight="1">
      <c r="A9455" s="51"/>
      <c r="B9455" s="52" t="str">
        <f t="shared" si="474"/>
        <v/>
      </c>
      <c r="C9455" t="str">
        <f t="shared" si="473"/>
        <v/>
      </c>
      <c r="D9455" s="245" t="str">
        <f t="shared" si="475"/>
        <v/>
      </c>
      <c r="E9455" s="534"/>
      <c r="F9455" s="534"/>
    </row>
    <row r="9456" spans="1:6" ht="15" customHeight="1">
      <c r="A9456" s="51"/>
      <c r="B9456" s="52" t="str">
        <f t="shared" si="474"/>
        <v/>
      </c>
      <c r="C9456" t="str">
        <f t="shared" si="473"/>
        <v/>
      </c>
      <c r="D9456" s="245" t="str">
        <f t="shared" si="475"/>
        <v/>
      </c>
      <c r="E9456" s="534"/>
      <c r="F9456" s="534"/>
    </row>
    <row r="9457" spans="1:6" ht="15" customHeight="1">
      <c r="A9457" s="51"/>
      <c r="B9457" s="52" t="str">
        <f t="shared" si="474"/>
        <v/>
      </c>
      <c r="C9457" t="str">
        <f t="shared" si="473"/>
        <v/>
      </c>
      <c r="D9457" s="245" t="str">
        <f t="shared" si="475"/>
        <v/>
      </c>
      <c r="E9457" s="534"/>
      <c r="F9457" s="534"/>
    </row>
    <row r="9458" spans="1:6" ht="15" customHeight="1">
      <c r="A9458" s="51"/>
      <c r="B9458" s="52" t="str">
        <f t="shared" si="474"/>
        <v/>
      </c>
      <c r="C9458" t="str">
        <f t="shared" si="473"/>
        <v/>
      </c>
      <c r="D9458" s="245" t="str">
        <f t="shared" si="475"/>
        <v/>
      </c>
      <c r="E9458" s="534"/>
      <c r="F9458" s="534"/>
    </row>
    <row r="9459" spans="1:6" ht="15" customHeight="1">
      <c r="A9459" s="51"/>
      <c r="B9459" s="52" t="str">
        <f t="shared" si="474"/>
        <v/>
      </c>
      <c r="C9459" t="str">
        <f t="shared" si="473"/>
        <v/>
      </c>
      <c r="D9459" s="245" t="str">
        <f t="shared" si="475"/>
        <v/>
      </c>
      <c r="E9459" s="534"/>
      <c r="F9459" s="534"/>
    </row>
    <row r="9460" spans="1:6" ht="15" customHeight="1">
      <c r="A9460" s="51"/>
      <c r="B9460" s="52" t="str">
        <f t="shared" si="474"/>
        <v/>
      </c>
      <c r="C9460" t="str">
        <f t="shared" si="473"/>
        <v/>
      </c>
      <c r="D9460" s="245" t="str">
        <f t="shared" si="475"/>
        <v/>
      </c>
      <c r="E9460" s="534"/>
      <c r="F9460" s="534"/>
    </row>
    <row r="9461" spans="1:6" ht="15" customHeight="1">
      <c r="A9461" s="51"/>
      <c r="B9461" s="52" t="str">
        <f t="shared" si="474"/>
        <v/>
      </c>
      <c r="C9461" t="str">
        <f t="shared" si="473"/>
        <v/>
      </c>
      <c r="D9461" s="245" t="str">
        <f t="shared" si="475"/>
        <v/>
      </c>
      <c r="E9461" s="534"/>
      <c r="F9461" s="534"/>
    </row>
    <row r="9462" spans="1:6" ht="15" customHeight="1">
      <c r="A9462" s="51"/>
      <c r="B9462" s="52" t="str">
        <f t="shared" si="474"/>
        <v/>
      </c>
      <c r="C9462" t="str">
        <f t="shared" si="473"/>
        <v/>
      </c>
      <c r="D9462" s="245" t="str">
        <f t="shared" si="475"/>
        <v/>
      </c>
      <c r="E9462" s="534"/>
      <c r="F9462" s="534"/>
    </row>
    <row r="9463" spans="1:6" ht="15" customHeight="1">
      <c r="A9463" s="51"/>
      <c r="B9463" s="52" t="str">
        <f t="shared" si="474"/>
        <v/>
      </c>
      <c r="C9463" t="str">
        <f t="shared" si="473"/>
        <v/>
      </c>
      <c r="D9463" s="245" t="str">
        <f t="shared" si="475"/>
        <v/>
      </c>
      <c r="E9463" s="534"/>
      <c r="F9463" s="534"/>
    </row>
    <row r="9464" spans="1:6" ht="15" customHeight="1">
      <c r="A9464" s="51"/>
      <c r="B9464" s="52" t="str">
        <f t="shared" si="474"/>
        <v/>
      </c>
      <c r="C9464" t="str">
        <f t="shared" si="473"/>
        <v/>
      </c>
      <c r="D9464" s="245" t="str">
        <f t="shared" si="475"/>
        <v/>
      </c>
      <c r="E9464" s="534"/>
      <c r="F9464" s="534"/>
    </row>
    <row r="9465" spans="1:6" ht="15" customHeight="1">
      <c r="A9465" s="51"/>
      <c r="B9465" s="52" t="str">
        <f t="shared" si="474"/>
        <v/>
      </c>
      <c r="C9465" t="str">
        <f t="shared" si="473"/>
        <v/>
      </c>
      <c r="D9465" s="245" t="str">
        <f t="shared" si="475"/>
        <v/>
      </c>
      <c r="E9465" s="534"/>
      <c r="F9465" s="534"/>
    </row>
    <row r="9466" spans="1:6" ht="15" customHeight="1">
      <c r="A9466" s="51"/>
      <c r="B9466" s="52" t="str">
        <f t="shared" si="474"/>
        <v/>
      </c>
      <c r="C9466" t="str">
        <f t="shared" si="473"/>
        <v/>
      </c>
      <c r="D9466" s="245" t="str">
        <f t="shared" si="475"/>
        <v/>
      </c>
      <c r="E9466" s="534"/>
      <c r="F9466" s="534"/>
    </row>
    <row r="9467" spans="1:6" ht="15" customHeight="1">
      <c r="A9467" s="51"/>
      <c r="B9467" s="52" t="str">
        <f t="shared" si="474"/>
        <v/>
      </c>
      <c r="C9467" t="str">
        <f t="shared" si="473"/>
        <v/>
      </c>
      <c r="D9467" s="245" t="str">
        <f t="shared" si="475"/>
        <v/>
      </c>
      <c r="E9467" s="534"/>
      <c r="F9467" s="534"/>
    </row>
    <row r="9468" spans="1:6" ht="15" customHeight="1">
      <c r="A9468" s="51"/>
      <c r="B9468" s="52" t="str">
        <f t="shared" si="474"/>
        <v/>
      </c>
      <c r="C9468" t="str">
        <f t="shared" si="473"/>
        <v/>
      </c>
      <c r="D9468" s="245" t="str">
        <f t="shared" si="475"/>
        <v/>
      </c>
      <c r="E9468" s="534"/>
      <c r="F9468" s="534"/>
    </row>
    <row r="9469" spans="1:6" ht="15" customHeight="1">
      <c r="A9469" s="51"/>
      <c r="B9469" s="52" t="str">
        <f t="shared" si="474"/>
        <v/>
      </c>
      <c r="C9469" t="str">
        <f t="shared" si="473"/>
        <v/>
      </c>
      <c r="D9469" s="245" t="str">
        <f t="shared" si="475"/>
        <v/>
      </c>
      <c r="E9469" s="534"/>
      <c r="F9469" s="534"/>
    </row>
    <row r="9470" spans="1:6" ht="15" customHeight="1">
      <c r="A9470" s="51"/>
      <c r="B9470" s="52" t="str">
        <f t="shared" si="474"/>
        <v/>
      </c>
      <c r="C9470" t="str">
        <f t="shared" si="473"/>
        <v/>
      </c>
      <c r="D9470" s="245" t="str">
        <f t="shared" si="475"/>
        <v/>
      </c>
      <c r="E9470" s="534"/>
      <c r="F9470" s="534"/>
    </row>
    <row r="9471" spans="1:6" ht="15" customHeight="1">
      <c r="A9471" s="51"/>
      <c r="B9471" s="52" t="str">
        <f t="shared" si="474"/>
        <v/>
      </c>
      <c r="C9471" t="str">
        <f t="shared" si="473"/>
        <v/>
      </c>
      <c r="D9471" s="245" t="str">
        <f t="shared" si="475"/>
        <v/>
      </c>
      <c r="E9471" s="534"/>
      <c r="F9471" s="534"/>
    </row>
    <row r="9472" spans="1:6" ht="15" customHeight="1">
      <c r="A9472" s="51"/>
      <c r="B9472" s="52" t="str">
        <f t="shared" si="474"/>
        <v/>
      </c>
      <c r="C9472" t="str">
        <f t="shared" si="473"/>
        <v/>
      </c>
      <c r="D9472" s="245" t="str">
        <f t="shared" si="475"/>
        <v/>
      </c>
      <c r="E9472" s="534"/>
      <c r="F9472" s="534"/>
    </row>
    <row r="9473" spans="1:6" ht="15" customHeight="1">
      <c r="A9473" s="51"/>
      <c r="B9473" s="52" t="str">
        <f t="shared" si="474"/>
        <v/>
      </c>
      <c r="C9473" t="str">
        <f t="shared" si="473"/>
        <v/>
      </c>
      <c r="D9473" s="245" t="str">
        <f t="shared" si="475"/>
        <v/>
      </c>
      <c r="E9473" s="534"/>
      <c r="F9473" s="534"/>
    </row>
    <row r="9474" spans="1:6" ht="15" customHeight="1">
      <c r="A9474" s="51"/>
      <c r="B9474" s="52" t="str">
        <f t="shared" si="474"/>
        <v/>
      </c>
      <c r="C9474" t="str">
        <f t="shared" ref="C9474:C9537" si="476">IF(A9474&lt;&gt;"",TEXT(A9474,"aaaa"),"")</f>
        <v/>
      </c>
      <c r="D9474" s="245" t="str">
        <f t="shared" si="475"/>
        <v/>
      </c>
      <c r="E9474" s="534"/>
      <c r="F9474" s="534"/>
    </row>
    <row r="9475" spans="1:6" ht="15" customHeight="1">
      <c r="A9475" s="51"/>
      <c r="B9475" s="52" t="str">
        <f t="shared" si="474"/>
        <v/>
      </c>
      <c r="C9475" t="str">
        <f t="shared" si="476"/>
        <v/>
      </c>
      <c r="D9475" s="245" t="str">
        <f t="shared" si="475"/>
        <v/>
      </c>
      <c r="E9475" s="534"/>
      <c r="F9475" s="534"/>
    </row>
    <row r="9476" spans="1:6" ht="15" customHeight="1">
      <c r="A9476" s="51"/>
      <c r="B9476" s="52" t="str">
        <f t="shared" si="474"/>
        <v/>
      </c>
      <c r="C9476" t="str">
        <f t="shared" si="476"/>
        <v/>
      </c>
      <c r="D9476" s="245" t="str">
        <f t="shared" si="475"/>
        <v/>
      </c>
      <c r="E9476" s="534"/>
      <c r="F9476" s="534"/>
    </row>
    <row r="9477" spans="1:6" ht="15" customHeight="1">
      <c r="A9477" s="51"/>
      <c r="B9477" s="52" t="str">
        <f t="shared" si="474"/>
        <v/>
      </c>
      <c r="C9477" t="str">
        <f t="shared" si="476"/>
        <v/>
      </c>
      <c r="D9477" s="245" t="str">
        <f t="shared" si="475"/>
        <v/>
      </c>
      <c r="E9477" s="534"/>
      <c r="F9477" s="534"/>
    </row>
    <row r="9478" spans="1:6" ht="15" customHeight="1">
      <c r="A9478" s="51"/>
      <c r="B9478" s="52" t="str">
        <f t="shared" si="474"/>
        <v/>
      </c>
      <c r="C9478" t="str">
        <f t="shared" si="476"/>
        <v/>
      </c>
      <c r="D9478" s="245" t="str">
        <f t="shared" si="475"/>
        <v/>
      </c>
      <c r="E9478" s="534"/>
      <c r="F9478" s="534"/>
    </row>
    <row r="9479" spans="1:6" ht="15" customHeight="1">
      <c r="A9479" s="51"/>
      <c r="B9479" s="52" t="str">
        <f t="shared" si="474"/>
        <v/>
      </c>
      <c r="C9479" t="str">
        <f t="shared" si="476"/>
        <v/>
      </c>
      <c r="D9479" s="245" t="str">
        <f t="shared" si="475"/>
        <v/>
      </c>
      <c r="E9479" s="534"/>
      <c r="F9479" s="534"/>
    </row>
    <row r="9480" spans="1:6" ht="15" customHeight="1">
      <c r="A9480" s="51"/>
      <c r="B9480" s="52" t="str">
        <f t="shared" ref="B9480:B9543" si="477">IF(A9480="","",TEXT(A9480,"DDDD"))</f>
        <v/>
      </c>
      <c r="C9480" t="str">
        <f t="shared" si="476"/>
        <v/>
      </c>
      <c r="D9480" s="245" t="str">
        <f t="shared" si="475"/>
        <v/>
      </c>
      <c r="E9480" s="534"/>
      <c r="F9480" s="534"/>
    </row>
    <row r="9481" spans="1:6" ht="15" customHeight="1">
      <c r="A9481" s="51"/>
      <c r="B9481" s="52" t="str">
        <f t="shared" si="477"/>
        <v/>
      </c>
      <c r="C9481" t="str">
        <f t="shared" si="476"/>
        <v/>
      </c>
      <c r="D9481" s="245" t="str">
        <f t="shared" ref="D9481:D9544" si="478">IF(A9481&lt;&gt;"",PROPER(TEXT(A9481,"Mmmm")),"")</f>
        <v/>
      </c>
      <c r="E9481" s="534"/>
      <c r="F9481" s="534"/>
    </row>
    <row r="9482" spans="1:6" ht="15" customHeight="1">
      <c r="A9482" s="51"/>
      <c r="B9482" s="52" t="str">
        <f t="shared" si="477"/>
        <v/>
      </c>
      <c r="C9482" t="str">
        <f t="shared" si="476"/>
        <v/>
      </c>
      <c r="D9482" s="245" t="str">
        <f t="shared" si="478"/>
        <v/>
      </c>
      <c r="E9482" s="534"/>
      <c r="F9482" s="534"/>
    </row>
    <row r="9483" spans="1:6" ht="15" customHeight="1">
      <c r="A9483" s="51"/>
      <c r="B9483" s="52" t="str">
        <f t="shared" si="477"/>
        <v/>
      </c>
      <c r="C9483" t="str">
        <f t="shared" si="476"/>
        <v/>
      </c>
      <c r="D9483" s="245" t="str">
        <f t="shared" si="478"/>
        <v/>
      </c>
      <c r="E9483" s="534"/>
      <c r="F9483" s="534"/>
    </row>
    <row r="9484" spans="1:6" ht="15" customHeight="1">
      <c r="A9484" s="51"/>
      <c r="B9484" s="52" t="str">
        <f t="shared" si="477"/>
        <v/>
      </c>
      <c r="C9484" t="str">
        <f t="shared" si="476"/>
        <v/>
      </c>
      <c r="D9484" s="245" t="str">
        <f t="shared" si="478"/>
        <v/>
      </c>
      <c r="E9484" s="534"/>
      <c r="F9484" s="534"/>
    </row>
    <row r="9485" spans="1:6" ht="15" customHeight="1">
      <c r="A9485" s="51"/>
      <c r="B9485" s="52" t="str">
        <f t="shared" si="477"/>
        <v/>
      </c>
      <c r="C9485" t="str">
        <f t="shared" si="476"/>
        <v/>
      </c>
      <c r="D9485" s="245" t="str">
        <f t="shared" si="478"/>
        <v/>
      </c>
      <c r="E9485" s="534"/>
      <c r="F9485" s="534"/>
    </row>
    <row r="9486" spans="1:6" ht="15" customHeight="1">
      <c r="A9486" s="51"/>
      <c r="B9486" s="52" t="str">
        <f t="shared" si="477"/>
        <v/>
      </c>
      <c r="C9486" t="str">
        <f t="shared" si="476"/>
        <v/>
      </c>
      <c r="D9486" s="245" t="str">
        <f t="shared" si="478"/>
        <v/>
      </c>
      <c r="E9486" s="534"/>
      <c r="F9486" s="534"/>
    </row>
    <row r="9487" spans="1:6" ht="15" customHeight="1">
      <c r="A9487" s="51"/>
      <c r="B9487" s="52" t="str">
        <f t="shared" si="477"/>
        <v/>
      </c>
      <c r="C9487" t="str">
        <f t="shared" si="476"/>
        <v/>
      </c>
      <c r="D9487" s="245" t="str">
        <f t="shared" si="478"/>
        <v/>
      </c>
      <c r="E9487" s="534"/>
      <c r="F9487" s="534"/>
    </row>
    <row r="9488" spans="1:6" ht="15" customHeight="1">
      <c r="A9488" s="51"/>
      <c r="B9488" s="52" t="str">
        <f t="shared" si="477"/>
        <v/>
      </c>
      <c r="C9488" t="str">
        <f t="shared" si="476"/>
        <v/>
      </c>
      <c r="D9488" s="245" t="str">
        <f t="shared" si="478"/>
        <v/>
      </c>
      <c r="E9488" s="534"/>
      <c r="F9488" s="534"/>
    </row>
    <row r="9489" spans="1:6" ht="15" customHeight="1">
      <c r="A9489" s="51"/>
      <c r="B9489" s="52" t="str">
        <f t="shared" si="477"/>
        <v/>
      </c>
      <c r="C9489" t="str">
        <f t="shared" si="476"/>
        <v/>
      </c>
      <c r="D9489" s="245" t="str">
        <f t="shared" si="478"/>
        <v/>
      </c>
      <c r="E9489" s="534"/>
      <c r="F9489" s="534"/>
    </row>
    <row r="9490" spans="1:6" ht="15" customHeight="1">
      <c r="A9490" s="51"/>
      <c r="B9490" s="52" t="str">
        <f t="shared" si="477"/>
        <v/>
      </c>
      <c r="C9490" t="str">
        <f t="shared" si="476"/>
        <v/>
      </c>
      <c r="D9490" s="245" t="str">
        <f t="shared" si="478"/>
        <v/>
      </c>
      <c r="E9490" s="534"/>
      <c r="F9490" s="534"/>
    </row>
    <row r="9491" spans="1:6" ht="15" customHeight="1">
      <c r="A9491" s="51"/>
      <c r="B9491" s="52" t="str">
        <f t="shared" si="477"/>
        <v/>
      </c>
      <c r="C9491" t="str">
        <f t="shared" si="476"/>
        <v/>
      </c>
      <c r="D9491" s="245" t="str">
        <f t="shared" si="478"/>
        <v/>
      </c>
      <c r="E9491" s="534"/>
      <c r="F9491" s="534"/>
    </row>
    <row r="9492" spans="1:6" ht="15" customHeight="1">
      <c r="A9492" s="51"/>
      <c r="B9492" s="52" t="str">
        <f t="shared" si="477"/>
        <v/>
      </c>
      <c r="C9492" t="str">
        <f t="shared" si="476"/>
        <v/>
      </c>
      <c r="D9492" s="245" t="str">
        <f t="shared" si="478"/>
        <v/>
      </c>
      <c r="E9492" s="534"/>
      <c r="F9492" s="534"/>
    </row>
    <row r="9493" spans="1:6" ht="15" customHeight="1">
      <c r="A9493" s="51"/>
      <c r="B9493" s="52" t="str">
        <f t="shared" si="477"/>
        <v/>
      </c>
      <c r="C9493" t="str">
        <f t="shared" si="476"/>
        <v/>
      </c>
      <c r="D9493" s="245" t="str">
        <f t="shared" si="478"/>
        <v/>
      </c>
      <c r="E9493" s="534"/>
      <c r="F9493" s="534"/>
    </row>
    <row r="9494" spans="1:6" ht="15" customHeight="1">
      <c r="A9494" s="51"/>
      <c r="B9494" s="52" t="str">
        <f t="shared" si="477"/>
        <v/>
      </c>
      <c r="C9494" t="str">
        <f t="shared" si="476"/>
        <v/>
      </c>
      <c r="D9494" s="245" t="str">
        <f t="shared" si="478"/>
        <v/>
      </c>
      <c r="E9494" s="534"/>
      <c r="F9494" s="534"/>
    </row>
    <row r="9495" spans="1:6" ht="15" customHeight="1">
      <c r="A9495" s="51"/>
      <c r="B9495" s="52" t="str">
        <f t="shared" si="477"/>
        <v/>
      </c>
      <c r="C9495" t="str">
        <f t="shared" si="476"/>
        <v/>
      </c>
      <c r="D9495" s="245" t="str">
        <f t="shared" si="478"/>
        <v/>
      </c>
      <c r="E9495" s="534"/>
      <c r="F9495" s="534"/>
    </row>
    <row r="9496" spans="1:6" ht="15" customHeight="1">
      <c r="A9496" s="51"/>
      <c r="B9496" s="52" t="str">
        <f t="shared" si="477"/>
        <v/>
      </c>
      <c r="C9496" t="str">
        <f t="shared" si="476"/>
        <v/>
      </c>
      <c r="D9496" s="245" t="str">
        <f t="shared" si="478"/>
        <v/>
      </c>
      <c r="E9496" s="534"/>
      <c r="F9496" s="534"/>
    </row>
    <row r="9497" spans="1:6" ht="15" customHeight="1">
      <c r="A9497" s="51"/>
      <c r="B9497" s="52" t="str">
        <f t="shared" si="477"/>
        <v/>
      </c>
      <c r="C9497" t="str">
        <f t="shared" si="476"/>
        <v/>
      </c>
      <c r="D9497" s="245" t="str">
        <f t="shared" si="478"/>
        <v/>
      </c>
      <c r="E9497" s="534"/>
      <c r="F9497" s="534"/>
    </row>
    <row r="9498" spans="1:6" ht="15" customHeight="1">
      <c r="A9498" s="51"/>
      <c r="B9498" s="52" t="str">
        <f t="shared" si="477"/>
        <v/>
      </c>
      <c r="C9498" t="str">
        <f t="shared" si="476"/>
        <v/>
      </c>
      <c r="D9498" s="245" t="str">
        <f t="shared" si="478"/>
        <v/>
      </c>
      <c r="E9498" s="534"/>
      <c r="F9498" s="534"/>
    </row>
    <row r="9499" spans="1:6" ht="15" customHeight="1">
      <c r="A9499" s="51"/>
      <c r="B9499" s="52" t="str">
        <f t="shared" si="477"/>
        <v/>
      </c>
      <c r="C9499" t="str">
        <f t="shared" si="476"/>
        <v/>
      </c>
      <c r="D9499" s="245" t="str">
        <f t="shared" si="478"/>
        <v/>
      </c>
      <c r="E9499" s="534"/>
      <c r="F9499" s="534"/>
    </row>
    <row r="9500" spans="1:6" ht="15" customHeight="1">
      <c r="A9500" s="51"/>
      <c r="B9500" s="52" t="str">
        <f t="shared" si="477"/>
        <v/>
      </c>
      <c r="C9500" t="str">
        <f t="shared" si="476"/>
        <v/>
      </c>
      <c r="D9500" s="245" t="str">
        <f t="shared" si="478"/>
        <v/>
      </c>
      <c r="E9500" s="534"/>
      <c r="F9500" s="534"/>
    </row>
    <row r="9501" spans="1:6" ht="15" customHeight="1">
      <c r="A9501" s="51"/>
      <c r="B9501" s="52" t="str">
        <f t="shared" si="477"/>
        <v/>
      </c>
      <c r="C9501" t="str">
        <f t="shared" si="476"/>
        <v/>
      </c>
      <c r="D9501" s="245" t="str">
        <f t="shared" si="478"/>
        <v/>
      </c>
      <c r="E9501" s="534"/>
      <c r="F9501" s="534"/>
    </row>
    <row r="9502" spans="1:6" ht="15" customHeight="1">
      <c r="A9502" s="51"/>
      <c r="B9502" s="52" t="str">
        <f t="shared" si="477"/>
        <v/>
      </c>
      <c r="C9502" t="str">
        <f t="shared" si="476"/>
        <v/>
      </c>
      <c r="D9502" s="245" t="str">
        <f t="shared" si="478"/>
        <v/>
      </c>
      <c r="E9502" s="534"/>
      <c r="F9502" s="534"/>
    </row>
    <row r="9503" spans="1:6" ht="15" customHeight="1">
      <c r="A9503" s="51"/>
      <c r="B9503" s="52" t="str">
        <f t="shared" si="477"/>
        <v/>
      </c>
      <c r="C9503" t="str">
        <f t="shared" si="476"/>
        <v/>
      </c>
      <c r="D9503" s="245" t="str">
        <f t="shared" si="478"/>
        <v/>
      </c>
      <c r="E9503" s="534"/>
      <c r="F9503" s="534"/>
    </row>
    <row r="9504" spans="1:6" ht="15" customHeight="1">
      <c r="A9504" s="51"/>
      <c r="B9504" s="52" t="str">
        <f t="shared" si="477"/>
        <v/>
      </c>
      <c r="C9504" t="str">
        <f t="shared" si="476"/>
        <v/>
      </c>
      <c r="D9504" s="245" t="str">
        <f t="shared" si="478"/>
        <v/>
      </c>
      <c r="E9504" s="534"/>
      <c r="F9504" s="534"/>
    </row>
    <row r="9505" spans="1:6" ht="15" customHeight="1">
      <c r="A9505" s="51"/>
      <c r="B9505" s="52" t="str">
        <f t="shared" si="477"/>
        <v/>
      </c>
      <c r="C9505" t="str">
        <f t="shared" si="476"/>
        <v/>
      </c>
      <c r="D9505" s="245" t="str">
        <f t="shared" si="478"/>
        <v/>
      </c>
      <c r="E9505" s="534"/>
      <c r="F9505" s="534"/>
    </row>
    <row r="9506" spans="1:6" ht="15" customHeight="1">
      <c r="A9506" s="51"/>
      <c r="B9506" s="52" t="str">
        <f t="shared" si="477"/>
        <v/>
      </c>
      <c r="C9506" t="str">
        <f t="shared" si="476"/>
        <v/>
      </c>
      <c r="D9506" s="245" t="str">
        <f t="shared" si="478"/>
        <v/>
      </c>
      <c r="E9506" s="534"/>
      <c r="F9506" s="534"/>
    </row>
    <row r="9507" spans="1:6" ht="15" customHeight="1">
      <c r="A9507" s="51"/>
      <c r="B9507" s="52" t="str">
        <f t="shared" si="477"/>
        <v/>
      </c>
      <c r="C9507" t="str">
        <f t="shared" si="476"/>
        <v/>
      </c>
      <c r="D9507" s="245" t="str">
        <f t="shared" si="478"/>
        <v/>
      </c>
      <c r="E9507" s="534"/>
      <c r="F9507" s="534"/>
    </row>
    <row r="9508" spans="1:6" ht="15" customHeight="1">
      <c r="A9508" s="51"/>
      <c r="B9508" s="52" t="str">
        <f t="shared" si="477"/>
        <v/>
      </c>
      <c r="C9508" t="str">
        <f t="shared" si="476"/>
        <v/>
      </c>
      <c r="D9508" s="245" t="str">
        <f t="shared" si="478"/>
        <v/>
      </c>
      <c r="E9508" s="534"/>
      <c r="F9508" s="534"/>
    </row>
    <row r="9509" spans="1:6" ht="15" customHeight="1">
      <c r="A9509" s="51"/>
      <c r="B9509" s="52" t="str">
        <f t="shared" si="477"/>
        <v/>
      </c>
      <c r="C9509" t="str">
        <f t="shared" si="476"/>
        <v/>
      </c>
      <c r="D9509" s="245" t="str">
        <f t="shared" si="478"/>
        <v/>
      </c>
      <c r="E9509" s="534"/>
      <c r="F9509" s="534"/>
    </row>
    <row r="9510" spans="1:6" ht="15" customHeight="1">
      <c r="A9510" s="51"/>
      <c r="B9510" s="52" t="str">
        <f t="shared" si="477"/>
        <v/>
      </c>
      <c r="C9510" t="str">
        <f t="shared" si="476"/>
        <v/>
      </c>
      <c r="D9510" s="245" t="str">
        <f t="shared" si="478"/>
        <v/>
      </c>
      <c r="E9510" s="534"/>
      <c r="F9510" s="534"/>
    </row>
    <row r="9511" spans="1:6" ht="15" customHeight="1">
      <c r="A9511" s="51"/>
      <c r="B9511" s="52" t="str">
        <f t="shared" si="477"/>
        <v/>
      </c>
      <c r="C9511" t="str">
        <f t="shared" si="476"/>
        <v/>
      </c>
      <c r="D9511" s="245" t="str">
        <f t="shared" si="478"/>
        <v/>
      </c>
      <c r="E9511" s="534"/>
      <c r="F9511" s="534"/>
    </row>
    <row r="9512" spans="1:6" ht="15" customHeight="1">
      <c r="A9512" s="51"/>
      <c r="B9512" s="52" t="str">
        <f t="shared" si="477"/>
        <v/>
      </c>
      <c r="C9512" t="str">
        <f t="shared" si="476"/>
        <v/>
      </c>
      <c r="D9512" s="245" t="str">
        <f t="shared" si="478"/>
        <v/>
      </c>
      <c r="E9512" s="534"/>
      <c r="F9512" s="534"/>
    </row>
    <row r="9513" spans="1:6" ht="15" customHeight="1">
      <c r="A9513" s="51"/>
      <c r="B9513" s="52" t="str">
        <f t="shared" si="477"/>
        <v/>
      </c>
      <c r="C9513" t="str">
        <f t="shared" si="476"/>
        <v/>
      </c>
      <c r="D9513" s="245" t="str">
        <f t="shared" si="478"/>
        <v/>
      </c>
      <c r="E9513" s="534"/>
      <c r="F9513" s="534"/>
    </row>
    <row r="9514" spans="1:6" ht="15" customHeight="1">
      <c r="A9514" s="51"/>
      <c r="B9514" s="52" t="str">
        <f t="shared" si="477"/>
        <v/>
      </c>
      <c r="C9514" t="str">
        <f t="shared" si="476"/>
        <v/>
      </c>
      <c r="D9514" s="245" t="str">
        <f t="shared" si="478"/>
        <v/>
      </c>
      <c r="E9514" s="534"/>
      <c r="F9514" s="534"/>
    </row>
    <row r="9515" spans="1:6" ht="15" customHeight="1">
      <c r="A9515" s="51"/>
      <c r="B9515" s="52" t="str">
        <f t="shared" si="477"/>
        <v/>
      </c>
      <c r="C9515" t="str">
        <f t="shared" si="476"/>
        <v/>
      </c>
      <c r="D9515" s="245" t="str">
        <f t="shared" si="478"/>
        <v/>
      </c>
      <c r="E9515" s="534"/>
      <c r="F9515" s="534"/>
    </row>
    <row r="9516" spans="1:6" ht="15" customHeight="1">
      <c r="A9516" s="51"/>
      <c r="B9516" s="52" t="str">
        <f t="shared" si="477"/>
        <v/>
      </c>
      <c r="C9516" t="str">
        <f t="shared" si="476"/>
        <v/>
      </c>
      <c r="D9516" s="245" t="str">
        <f t="shared" si="478"/>
        <v/>
      </c>
      <c r="E9516" s="534"/>
      <c r="F9516" s="534"/>
    </row>
    <row r="9517" spans="1:6" ht="15" customHeight="1">
      <c r="A9517" s="51"/>
      <c r="B9517" s="52" t="str">
        <f t="shared" si="477"/>
        <v/>
      </c>
      <c r="C9517" t="str">
        <f t="shared" si="476"/>
        <v/>
      </c>
      <c r="D9517" s="245" t="str">
        <f t="shared" si="478"/>
        <v/>
      </c>
      <c r="E9517" s="534"/>
      <c r="F9517" s="534"/>
    </row>
    <row r="9518" spans="1:6" ht="15" customHeight="1">
      <c r="A9518" s="51"/>
      <c r="B9518" s="52" t="str">
        <f t="shared" si="477"/>
        <v/>
      </c>
      <c r="C9518" t="str">
        <f t="shared" si="476"/>
        <v/>
      </c>
      <c r="D9518" s="245" t="str">
        <f t="shared" si="478"/>
        <v/>
      </c>
      <c r="E9518" s="534"/>
      <c r="F9518" s="534"/>
    </row>
    <row r="9519" spans="1:6" ht="15" customHeight="1">
      <c r="A9519" s="51"/>
      <c r="B9519" s="52" t="str">
        <f t="shared" si="477"/>
        <v/>
      </c>
      <c r="C9519" t="str">
        <f t="shared" si="476"/>
        <v/>
      </c>
      <c r="D9519" s="245" t="str">
        <f t="shared" si="478"/>
        <v/>
      </c>
      <c r="E9519" s="534"/>
      <c r="F9519" s="534"/>
    </row>
    <row r="9520" spans="1:6" ht="15" customHeight="1">
      <c r="A9520" s="51"/>
      <c r="B9520" s="52" t="str">
        <f t="shared" si="477"/>
        <v/>
      </c>
      <c r="C9520" t="str">
        <f t="shared" si="476"/>
        <v/>
      </c>
      <c r="D9520" s="245" t="str">
        <f t="shared" si="478"/>
        <v/>
      </c>
      <c r="E9520" s="534"/>
      <c r="F9520" s="534"/>
    </row>
    <row r="9521" spans="1:6" ht="15" customHeight="1">
      <c r="A9521" s="51"/>
      <c r="B9521" s="52" t="str">
        <f t="shared" si="477"/>
        <v/>
      </c>
      <c r="C9521" t="str">
        <f t="shared" si="476"/>
        <v/>
      </c>
      <c r="D9521" s="245" t="str">
        <f t="shared" si="478"/>
        <v/>
      </c>
      <c r="E9521" s="534"/>
      <c r="F9521" s="534"/>
    </row>
    <row r="9522" spans="1:6" ht="15" customHeight="1">
      <c r="A9522" s="51"/>
      <c r="B9522" s="52" t="str">
        <f t="shared" si="477"/>
        <v/>
      </c>
      <c r="C9522" t="str">
        <f t="shared" si="476"/>
        <v/>
      </c>
      <c r="D9522" s="245" t="str">
        <f t="shared" si="478"/>
        <v/>
      </c>
      <c r="E9522" s="534"/>
      <c r="F9522" s="534"/>
    </row>
    <row r="9523" spans="1:6" ht="15" customHeight="1">
      <c r="A9523" s="51"/>
      <c r="B9523" s="52" t="str">
        <f t="shared" si="477"/>
        <v/>
      </c>
      <c r="C9523" t="str">
        <f t="shared" si="476"/>
        <v/>
      </c>
      <c r="D9523" s="245" t="str">
        <f t="shared" si="478"/>
        <v/>
      </c>
      <c r="E9523" s="534"/>
      <c r="F9523" s="534"/>
    </row>
    <row r="9524" spans="1:6" ht="15" customHeight="1">
      <c r="A9524" s="51"/>
      <c r="B9524" s="52" t="str">
        <f t="shared" si="477"/>
        <v/>
      </c>
      <c r="C9524" t="str">
        <f t="shared" si="476"/>
        <v/>
      </c>
      <c r="D9524" s="245" t="str">
        <f t="shared" si="478"/>
        <v/>
      </c>
      <c r="E9524" s="534"/>
      <c r="F9524" s="534"/>
    </row>
    <row r="9525" spans="1:6" ht="15" customHeight="1">
      <c r="A9525" s="51"/>
      <c r="B9525" s="52" t="str">
        <f t="shared" si="477"/>
        <v/>
      </c>
      <c r="C9525" t="str">
        <f t="shared" si="476"/>
        <v/>
      </c>
      <c r="D9525" s="245" t="str">
        <f t="shared" si="478"/>
        <v/>
      </c>
      <c r="E9525" s="534"/>
      <c r="F9525" s="534"/>
    </row>
    <row r="9526" spans="1:6" ht="15" customHeight="1">
      <c r="A9526" s="51"/>
      <c r="B9526" s="52" t="str">
        <f t="shared" si="477"/>
        <v/>
      </c>
      <c r="C9526" t="str">
        <f t="shared" si="476"/>
        <v/>
      </c>
      <c r="D9526" s="245" t="str">
        <f t="shared" si="478"/>
        <v/>
      </c>
      <c r="E9526" s="534"/>
      <c r="F9526" s="534"/>
    </row>
    <row r="9527" spans="1:6" ht="15" customHeight="1">
      <c r="A9527" s="51"/>
      <c r="B9527" s="52" t="str">
        <f t="shared" si="477"/>
        <v/>
      </c>
      <c r="C9527" t="str">
        <f t="shared" si="476"/>
        <v/>
      </c>
      <c r="D9527" s="245" t="str">
        <f t="shared" si="478"/>
        <v/>
      </c>
      <c r="E9527" s="534"/>
      <c r="F9527" s="534"/>
    </row>
    <row r="9528" spans="1:6" ht="15" customHeight="1">
      <c r="A9528" s="51"/>
      <c r="B9528" s="52" t="str">
        <f t="shared" si="477"/>
        <v/>
      </c>
      <c r="C9528" t="str">
        <f t="shared" si="476"/>
        <v/>
      </c>
      <c r="D9528" s="245" t="str">
        <f t="shared" si="478"/>
        <v/>
      </c>
      <c r="E9528" s="534"/>
      <c r="F9528" s="534"/>
    </row>
    <row r="9529" spans="1:6" ht="15" customHeight="1">
      <c r="A9529" s="51"/>
      <c r="B9529" s="52" t="str">
        <f t="shared" si="477"/>
        <v/>
      </c>
      <c r="C9529" t="str">
        <f t="shared" si="476"/>
        <v/>
      </c>
      <c r="D9529" s="245" t="str">
        <f t="shared" si="478"/>
        <v/>
      </c>
      <c r="E9529" s="534"/>
      <c r="F9529" s="534"/>
    </row>
    <row r="9530" spans="1:6" ht="15" customHeight="1">
      <c r="A9530" s="51"/>
      <c r="B9530" s="52" t="str">
        <f t="shared" si="477"/>
        <v/>
      </c>
      <c r="C9530" t="str">
        <f t="shared" si="476"/>
        <v/>
      </c>
      <c r="D9530" s="245" t="str">
        <f t="shared" si="478"/>
        <v/>
      </c>
      <c r="E9530" s="534"/>
      <c r="F9530" s="534"/>
    </row>
    <row r="9531" spans="1:6" ht="15" customHeight="1">
      <c r="A9531" s="51"/>
      <c r="B9531" s="52" t="str">
        <f t="shared" si="477"/>
        <v/>
      </c>
      <c r="C9531" t="str">
        <f t="shared" si="476"/>
        <v/>
      </c>
      <c r="D9531" s="245" t="str">
        <f t="shared" si="478"/>
        <v/>
      </c>
      <c r="E9531" s="534"/>
      <c r="F9531" s="534"/>
    </row>
    <row r="9532" spans="1:6" ht="15" customHeight="1">
      <c r="A9532" s="51"/>
      <c r="B9532" s="52" t="str">
        <f t="shared" si="477"/>
        <v/>
      </c>
      <c r="C9532" t="str">
        <f t="shared" si="476"/>
        <v/>
      </c>
      <c r="D9532" s="245" t="str">
        <f t="shared" si="478"/>
        <v/>
      </c>
      <c r="E9532" s="534"/>
      <c r="F9532" s="534"/>
    </row>
    <row r="9533" spans="1:6" ht="15" customHeight="1">
      <c r="A9533" s="51"/>
      <c r="B9533" s="52" t="str">
        <f t="shared" si="477"/>
        <v/>
      </c>
      <c r="C9533" t="str">
        <f t="shared" si="476"/>
        <v/>
      </c>
      <c r="D9533" s="245" t="str">
        <f t="shared" si="478"/>
        <v/>
      </c>
      <c r="E9533" s="534"/>
      <c r="F9533" s="534"/>
    </row>
    <row r="9534" spans="1:6" ht="15" customHeight="1">
      <c r="A9534" s="51"/>
      <c r="B9534" s="52" t="str">
        <f t="shared" si="477"/>
        <v/>
      </c>
      <c r="C9534" t="str">
        <f t="shared" si="476"/>
        <v/>
      </c>
      <c r="D9534" s="245" t="str">
        <f t="shared" si="478"/>
        <v/>
      </c>
      <c r="E9534" s="534"/>
      <c r="F9534" s="534"/>
    </row>
    <row r="9535" spans="1:6" ht="15" customHeight="1">
      <c r="A9535" s="51"/>
      <c r="B9535" s="52" t="str">
        <f t="shared" si="477"/>
        <v/>
      </c>
      <c r="C9535" t="str">
        <f t="shared" si="476"/>
        <v/>
      </c>
      <c r="D9535" s="245" t="str">
        <f t="shared" si="478"/>
        <v/>
      </c>
      <c r="E9535" s="534"/>
      <c r="F9535" s="534"/>
    </row>
    <row r="9536" spans="1:6" ht="15" customHeight="1">
      <c r="A9536" s="51"/>
      <c r="B9536" s="52" t="str">
        <f t="shared" si="477"/>
        <v/>
      </c>
      <c r="C9536" t="str">
        <f t="shared" si="476"/>
        <v/>
      </c>
      <c r="D9536" s="245" t="str">
        <f t="shared" si="478"/>
        <v/>
      </c>
      <c r="E9536" s="534"/>
      <c r="F9536" s="534"/>
    </row>
    <row r="9537" spans="1:6" ht="15" customHeight="1">
      <c r="A9537" s="51"/>
      <c r="B9537" s="52" t="str">
        <f t="shared" si="477"/>
        <v/>
      </c>
      <c r="C9537" t="str">
        <f t="shared" si="476"/>
        <v/>
      </c>
      <c r="D9537" s="245" t="str">
        <f t="shared" si="478"/>
        <v/>
      </c>
      <c r="E9537" s="534"/>
      <c r="F9537" s="534"/>
    </row>
    <row r="9538" spans="1:6" ht="15" customHeight="1">
      <c r="A9538" s="51"/>
      <c r="B9538" s="52" t="str">
        <f t="shared" si="477"/>
        <v/>
      </c>
      <c r="C9538" t="str">
        <f t="shared" ref="C9538:C9601" si="479">IF(A9538&lt;&gt;"",TEXT(A9538,"aaaa"),"")</f>
        <v/>
      </c>
      <c r="D9538" s="245" t="str">
        <f t="shared" si="478"/>
        <v/>
      </c>
      <c r="E9538" s="534"/>
      <c r="F9538" s="534"/>
    </row>
    <row r="9539" spans="1:6" ht="15" customHeight="1">
      <c r="A9539" s="51"/>
      <c r="B9539" s="52" t="str">
        <f t="shared" si="477"/>
        <v/>
      </c>
      <c r="C9539" t="str">
        <f t="shared" si="479"/>
        <v/>
      </c>
      <c r="D9539" s="245" t="str">
        <f t="shared" si="478"/>
        <v/>
      </c>
      <c r="E9539" s="534"/>
      <c r="F9539" s="534"/>
    </row>
    <row r="9540" spans="1:6" ht="15" customHeight="1">
      <c r="A9540" s="51"/>
      <c r="B9540" s="52" t="str">
        <f t="shared" si="477"/>
        <v/>
      </c>
      <c r="C9540" t="str">
        <f t="shared" si="479"/>
        <v/>
      </c>
      <c r="D9540" s="245" t="str">
        <f t="shared" si="478"/>
        <v/>
      </c>
      <c r="E9540" s="534"/>
      <c r="F9540" s="534"/>
    </row>
    <row r="9541" spans="1:6" ht="15" customHeight="1">
      <c r="A9541" s="51"/>
      <c r="B9541" s="52" t="str">
        <f t="shared" si="477"/>
        <v/>
      </c>
      <c r="C9541" t="str">
        <f t="shared" si="479"/>
        <v/>
      </c>
      <c r="D9541" s="245" t="str">
        <f t="shared" si="478"/>
        <v/>
      </c>
      <c r="E9541" s="534"/>
      <c r="F9541" s="534"/>
    </row>
    <row r="9542" spans="1:6" ht="15" customHeight="1">
      <c r="A9542" s="51"/>
      <c r="B9542" s="52" t="str">
        <f t="shared" si="477"/>
        <v/>
      </c>
      <c r="C9542" t="str">
        <f t="shared" si="479"/>
        <v/>
      </c>
      <c r="D9542" s="245" t="str">
        <f t="shared" si="478"/>
        <v/>
      </c>
      <c r="E9542" s="534"/>
      <c r="F9542" s="534"/>
    </row>
    <row r="9543" spans="1:6" ht="15" customHeight="1">
      <c r="A9543" s="51"/>
      <c r="B9543" s="52" t="str">
        <f t="shared" si="477"/>
        <v/>
      </c>
      <c r="C9543" t="str">
        <f t="shared" si="479"/>
        <v/>
      </c>
      <c r="D9543" s="245" t="str">
        <f t="shared" si="478"/>
        <v/>
      </c>
      <c r="E9543" s="534"/>
      <c r="F9543" s="534"/>
    </row>
    <row r="9544" spans="1:6" ht="15" customHeight="1">
      <c r="A9544" s="51"/>
      <c r="B9544" s="52" t="str">
        <f t="shared" ref="B9544:B9607" si="480">IF(A9544="","",TEXT(A9544,"DDDD"))</f>
        <v/>
      </c>
      <c r="C9544" t="str">
        <f t="shared" si="479"/>
        <v/>
      </c>
      <c r="D9544" s="245" t="str">
        <f t="shared" si="478"/>
        <v/>
      </c>
      <c r="E9544" s="534"/>
      <c r="F9544" s="534"/>
    </row>
    <row r="9545" spans="1:6" ht="15" customHeight="1">
      <c r="A9545" s="51"/>
      <c r="B9545" s="52" t="str">
        <f t="shared" si="480"/>
        <v/>
      </c>
      <c r="C9545" t="str">
        <f t="shared" si="479"/>
        <v/>
      </c>
      <c r="D9545" s="245" t="str">
        <f t="shared" ref="D9545:D9608" si="481">IF(A9545&lt;&gt;"",PROPER(TEXT(A9545,"Mmmm")),"")</f>
        <v/>
      </c>
      <c r="E9545" s="534"/>
      <c r="F9545" s="534"/>
    </row>
    <row r="9546" spans="1:6" ht="15" customHeight="1">
      <c r="A9546" s="51"/>
      <c r="B9546" s="52" t="str">
        <f t="shared" si="480"/>
        <v/>
      </c>
      <c r="C9546" t="str">
        <f t="shared" si="479"/>
        <v/>
      </c>
      <c r="D9546" s="245" t="str">
        <f t="shared" si="481"/>
        <v/>
      </c>
      <c r="E9546" s="534"/>
      <c r="F9546" s="534"/>
    </row>
    <row r="9547" spans="1:6" ht="15" customHeight="1">
      <c r="A9547" s="51"/>
      <c r="B9547" s="52" t="str">
        <f t="shared" si="480"/>
        <v/>
      </c>
      <c r="C9547" t="str">
        <f t="shared" si="479"/>
        <v/>
      </c>
      <c r="D9547" s="245" t="str">
        <f t="shared" si="481"/>
        <v/>
      </c>
      <c r="E9547" s="534"/>
      <c r="F9547" s="534"/>
    </row>
    <row r="9548" spans="1:6" ht="15" customHeight="1">
      <c r="A9548" s="51"/>
      <c r="B9548" s="52" t="str">
        <f t="shared" si="480"/>
        <v/>
      </c>
      <c r="C9548" t="str">
        <f t="shared" si="479"/>
        <v/>
      </c>
      <c r="D9548" s="245" t="str">
        <f t="shared" si="481"/>
        <v/>
      </c>
      <c r="E9548" s="534"/>
      <c r="F9548" s="534"/>
    </row>
    <row r="9549" spans="1:6" ht="15" customHeight="1">
      <c r="A9549" s="51"/>
      <c r="B9549" s="52" t="str">
        <f t="shared" si="480"/>
        <v/>
      </c>
      <c r="C9549" t="str">
        <f t="shared" si="479"/>
        <v/>
      </c>
      <c r="D9549" s="245" t="str">
        <f t="shared" si="481"/>
        <v/>
      </c>
      <c r="E9549" s="534"/>
      <c r="F9549" s="534"/>
    </row>
    <row r="9550" spans="1:6" ht="15" customHeight="1">
      <c r="A9550" s="51"/>
      <c r="B9550" s="52" t="str">
        <f t="shared" si="480"/>
        <v/>
      </c>
      <c r="C9550" t="str">
        <f t="shared" si="479"/>
        <v/>
      </c>
      <c r="D9550" s="245" t="str">
        <f t="shared" si="481"/>
        <v/>
      </c>
      <c r="E9550" s="534"/>
      <c r="F9550" s="534"/>
    </row>
    <row r="9551" spans="1:6" ht="15" customHeight="1">
      <c r="A9551" s="51"/>
      <c r="B9551" s="52" t="str">
        <f t="shared" si="480"/>
        <v/>
      </c>
      <c r="C9551" t="str">
        <f t="shared" si="479"/>
        <v/>
      </c>
      <c r="D9551" s="245" t="str">
        <f t="shared" si="481"/>
        <v/>
      </c>
      <c r="E9551" s="534"/>
      <c r="F9551" s="534"/>
    </row>
    <row r="9552" spans="1:6" ht="15" customHeight="1">
      <c r="A9552" s="51"/>
      <c r="B9552" s="52" t="str">
        <f t="shared" si="480"/>
        <v/>
      </c>
      <c r="C9552" t="str">
        <f t="shared" si="479"/>
        <v/>
      </c>
      <c r="D9552" s="245" t="str">
        <f t="shared" si="481"/>
        <v/>
      </c>
      <c r="E9552" s="534"/>
      <c r="F9552" s="534"/>
    </row>
    <row r="9553" spans="1:6" ht="15" customHeight="1">
      <c r="A9553" s="51"/>
      <c r="B9553" s="52" t="str">
        <f t="shared" si="480"/>
        <v/>
      </c>
      <c r="C9553" t="str">
        <f t="shared" si="479"/>
        <v/>
      </c>
      <c r="D9553" s="245" t="str">
        <f t="shared" si="481"/>
        <v/>
      </c>
      <c r="E9553" s="534"/>
      <c r="F9553" s="534"/>
    </row>
    <row r="9554" spans="1:6" ht="15" customHeight="1">
      <c r="A9554" s="51"/>
      <c r="B9554" s="52" t="str">
        <f t="shared" si="480"/>
        <v/>
      </c>
      <c r="C9554" t="str">
        <f t="shared" si="479"/>
        <v/>
      </c>
      <c r="D9554" s="245" t="str">
        <f t="shared" si="481"/>
        <v/>
      </c>
      <c r="E9554" s="534"/>
      <c r="F9554" s="534"/>
    </row>
    <row r="9555" spans="1:6" ht="15" customHeight="1">
      <c r="A9555" s="51"/>
      <c r="B9555" s="52" t="str">
        <f t="shared" si="480"/>
        <v/>
      </c>
      <c r="C9555" t="str">
        <f t="shared" si="479"/>
        <v/>
      </c>
      <c r="D9555" s="245" t="str">
        <f t="shared" si="481"/>
        <v/>
      </c>
      <c r="E9555" s="534"/>
      <c r="F9555" s="534"/>
    </row>
    <row r="9556" spans="1:6" ht="15" customHeight="1">
      <c r="A9556" s="51"/>
      <c r="B9556" s="52" t="str">
        <f t="shared" si="480"/>
        <v/>
      </c>
      <c r="C9556" t="str">
        <f t="shared" si="479"/>
        <v/>
      </c>
      <c r="D9556" s="245" t="str">
        <f t="shared" si="481"/>
        <v/>
      </c>
      <c r="E9556" s="534"/>
      <c r="F9556" s="534"/>
    </row>
    <row r="9557" spans="1:6" ht="15" customHeight="1">
      <c r="A9557" s="51"/>
      <c r="B9557" s="52" t="str">
        <f t="shared" si="480"/>
        <v/>
      </c>
      <c r="C9557" t="str">
        <f t="shared" si="479"/>
        <v/>
      </c>
      <c r="D9557" s="245" t="str">
        <f t="shared" si="481"/>
        <v/>
      </c>
      <c r="E9557" s="534"/>
      <c r="F9557" s="534"/>
    </row>
    <row r="9558" spans="1:6" ht="15" customHeight="1">
      <c r="A9558" s="51"/>
      <c r="B9558" s="52" t="str">
        <f t="shared" si="480"/>
        <v/>
      </c>
      <c r="C9558" t="str">
        <f t="shared" si="479"/>
        <v/>
      </c>
      <c r="D9558" s="245" t="str">
        <f t="shared" si="481"/>
        <v/>
      </c>
      <c r="E9558" s="534"/>
      <c r="F9558" s="534"/>
    </row>
    <row r="9559" spans="1:6" ht="15" customHeight="1">
      <c r="A9559" s="51"/>
      <c r="B9559" s="52" t="str">
        <f t="shared" si="480"/>
        <v/>
      </c>
      <c r="C9559" t="str">
        <f t="shared" si="479"/>
        <v/>
      </c>
      <c r="D9559" s="245" t="str">
        <f t="shared" si="481"/>
        <v/>
      </c>
      <c r="E9559" s="534"/>
      <c r="F9559" s="534"/>
    </row>
    <row r="9560" spans="1:6" ht="15" customHeight="1">
      <c r="A9560" s="51"/>
      <c r="B9560" s="52" t="str">
        <f t="shared" si="480"/>
        <v/>
      </c>
      <c r="C9560" t="str">
        <f t="shared" si="479"/>
        <v/>
      </c>
      <c r="D9560" s="245" t="str">
        <f t="shared" si="481"/>
        <v/>
      </c>
      <c r="E9560" s="534"/>
      <c r="F9560" s="534"/>
    </row>
    <row r="9561" spans="1:6" ht="15" customHeight="1">
      <c r="A9561" s="51"/>
      <c r="B9561" s="52" t="str">
        <f t="shared" si="480"/>
        <v/>
      </c>
      <c r="C9561" t="str">
        <f t="shared" si="479"/>
        <v/>
      </c>
      <c r="D9561" s="245" t="str">
        <f t="shared" si="481"/>
        <v/>
      </c>
      <c r="E9561" s="534"/>
      <c r="F9561" s="534"/>
    </row>
    <row r="9562" spans="1:6" ht="15" customHeight="1">
      <c r="A9562" s="51"/>
      <c r="B9562" s="52" t="str">
        <f t="shared" si="480"/>
        <v/>
      </c>
      <c r="C9562" t="str">
        <f t="shared" si="479"/>
        <v/>
      </c>
      <c r="D9562" s="245" t="str">
        <f t="shared" si="481"/>
        <v/>
      </c>
      <c r="E9562" s="534"/>
      <c r="F9562" s="534"/>
    </row>
    <row r="9563" spans="1:6" ht="15" customHeight="1">
      <c r="A9563" s="51"/>
      <c r="B9563" s="52" t="str">
        <f t="shared" si="480"/>
        <v/>
      </c>
      <c r="C9563" t="str">
        <f t="shared" si="479"/>
        <v/>
      </c>
      <c r="D9563" s="245" t="str">
        <f t="shared" si="481"/>
        <v/>
      </c>
      <c r="E9563" s="534"/>
      <c r="F9563" s="534"/>
    </row>
    <row r="9564" spans="1:6" ht="15" customHeight="1">
      <c r="A9564" s="51"/>
      <c r="B9564" s="52" t="str">
        <f t="shared" si="480"/>
        <v/>
      </c>
      <c r="C9564" t="str">
        <f t="shared" si="479"/>
        <v/>
      </c>
      <c r="D9564" s="245" t="str">
        <f t="shared" si="481"/>
        <v/>
      </c>
      <c r="E9564" s="534"/>
      <c r="F9564" s="534"/>
    </row>
    <row r="9565" spans="1:6" ht="15" customHeight="1">
      <c r="A9565" s="51"/>
      <c r="B9565" s="52" t="str">
        <f t="shared" si="480"/>
        <v/>
      </c>
      <c r="C9565" t="str">
        <f t="shared" si="479"/>
        <v/>
      </c>
      <c r="D9565" s="245" t="str">
        <f t="shared" si="481"/>
        <v/>
      </c>
      <c r="E9565" s="534"/>
      <c r="F9565" s="534"/>
    </row>
    <row r="9566" spans="1:6" ht="15" customHeight="1">
      <c r="A9566" s="51"/>
      <c r="B9566" s="52" t="str">
        <f t="shared" si="480"/>
        <v/>
      </c>
      <c r="C9566" t="str">
        <f t="shared" si="479"/>
        <v/>
      </c>
      <c r="D9566" s="245" t="str">
        <f t="shared" si="481"/>
        <v/>
      </c>
      <c r="E9566" s="534"/>
      <c r="F9566" s="534"/>
    </row>
    <row r="9567" spans="1:6" ht="15" customHeight="1">
      <c r="A9567" s="51"/>
      <c r="B9567" s="52" t="str">
        <f t="shared" si="480"/>
        <v/>
      </c>
      <c r="C9567" t="str">
        <f t="shared" si="479"/>
        <v/>
      </c>
      <c r="D9567" s="245" t="str">
        <f t="shared" si="481"/>
        <v/>
      </c>
      <c r="E9567" s="534"/>
      <c r="F9567" s="534"/>
    </row>
    <row r="9568" spans="1:6" ht="15" customHeight="1">
      <c r="A9568" s="51"/>
      <c r="B9568" s="52" t="str">
        <f t="shared" si="480"/>
        <v/>
      </c>
      <c r="C9568" t="str">
        <f t="shared" si="479"/>
        <v/>
      </c>
      <c r="D9568" s="245" t="str">
        <f t="shared" si="481"/>
        <v/>
      </c>
      <c r="E9568" s="534"/>
      <c r="F9568" s="534"/>
    </row>
    <row r="9569" spans="1:6" ht="15" customHeight="1">
      <c r="A9569" s="51"/>
      <c r="B9569" s="52" t="str">
        <f t="shared" si="480"/>
        <v/>
      </c>
      <c r="C9569" t="str">
        <f t="shared" si="479"/>
        <v/>
      </c>
      <c r="D9569" s="245" t="str">
        <f t="shared" si="481"/>
        <v/>
      </c>
      <c r="E9569" s="534"/>
      <c r="F9569" s="534"/>
    </row>
    <row r="9570" spans="1:6" ht="15" customHeight="1">
      <c r="A9570" s="51"/>
      <c r="B9570" s="52" t="str">
        <f t="shared" si="480"/>
        <v/>
      </c>
      <c r="C9570" t="str">
        <f t="shared" si="479"/>
        <v/>
      </c>
      <c r="D9570" s="245" t="str">
        <f t="shared" si="481"/>
        <v/>
      </c>
      <c r="E9570" s="534"/>
      <c r="F9570" s="534"/>
    </row>
    <row r="9571" spans="1:6" ht="15" customHeight="1">
      <c r="A9571" s="51"/>
      <c r="B9571" s="52" t="str">
        <f t="shared" si="480"/>
        <v/>
      </c>
      <c r="C9571" t="str">
        <f t="shared" si="479"/>
        <v/>
      </c>
      <c r="D9571" s="245" t="str">
        <f t="shared" si="481"/>
        <v/>
      </c>
      <c r="E9571" s="534"/>
      <c r="F9571" s="534"/>
    </row>
    <row r="9572" spans="1:6" ht="15" customHeight="1">
      <c r="A9572" s="51"/>
      <c r="B9572" s="52" t="str">
        <f t="shared" si="480"/>
        <v/>
      </c>
      <c r="C9572" t="str">
        <f t="shared" si="479"/>
        <v/>
      </c>
      <c r="D9572" s="245" t="str">
        <f t="shared" si="481"/>
        <v/>
      </c>
      <c r="E9572" s="534"/>
      <c r="F9572" s="534"/>
    </row>
    <row r="9573" spans="1:6" ht="15" customHeight="1">
      <c r="A9573" s="51"/>
      <c r="B9573" s="52" t="str">
        <f t="shared" si="480"/>
        <v/>
      </c>
      <c r="C9573" t="str">
        <f t="shared" si="479"/>
        <v/>
      </c>
      <c r="D9573" s="245" t="str">
        <f t="shared" si="481"/>
        <v/>
      </c>
      <c r="E9573" s="534"/>
      <c r="F9573" s="534"/>
    </row>
    <row r="9574" spans="1:6" ht="15" customHeight="1">
      <c r="A9574" s="51"/>
      <c r="B9574" s="52" t="str">
        <f t="shared" si="480"/>
        <v/>
      </c>
      <c r="C9574" t="str">
        <f t="shared" si="479"/>
        <v/>
      </c>
      <c r="D9574" s="245" t="str">
        <f t="shared" si="481"/>
        <v/>
      </c>
      <c r="E9574" s="534"/>
      <c r="F9574" s="534"/>
    </row>
    <row r="9575" spans="1:6" ht="15" customHeight="1">
      <c r="A9575" s="51"/>
      <c r="B9575" s="52" t="str">
        <f t="shared" si="480"/>
        <v/>
      </c>
      <c r="C9575" t="str">
        <f t="shared" si="479"/>
        <v/>
      </c>
      <c r="D9575" s="245" t="str">
        <f t="shared" si="481"/>
        <v/>
      </c>
      <c r="E9575" s="534"/>
      <c r="F9575" s="534"/>
    </row>
    <row r="9576" spans="1:6" ht="15" customHeight="1">
      <c r="A9576" s="51"/>
      <c r="B9576" s="52" t="str">
        <f t="shared" si="480"/>
        <v/>
      </c>
      <c r="C9576" t="str">
        <f t="shared" si="479"/>
        <v/>
      </c>
      <c r="D9576" s="245" t="str">
        <f t="shared" si="481"/>
        <v/>
      </c>
      <c r="E9576" s="534"/>
      <c r="F9576" s="534"/>
    </row>
    <row r="9577" spans="1:6" ht="15" customHeight="1">
      <c r="A9577" s="51"/>
      <c r="B9577" s="52" t="str">
        <f t="shared" si="480"/>
        <v/>
      </c>
      <c r="C9577" t="str">
        <f t="shared" si="479"/>
        <v/>
      </c>
      <c r="D9577" s="245" t="str">
        <f t="shared" si="481"/>
        <v/>
      </c>
      <c r="E9577" s="534"/>
      <c r="F9577" s="534"/>
    </row>
    <row r="9578" spans="1:6" ht="15" customHeight="1">
      <c r="A9578" s="51"/>
      <c r="B9578" s="52" t="str">
        <f t="shared" si="480"/>
        <v/>
      </c>
      <c r="C9578" t="str">
        <f t="shared" si="479"/>
        <v/>
      </c>
      <c r="D9578" s="245" t="str">
        <f t="shared" si="481"/>
        <v/>
      </c>
      <c r="E9578" s="534"/>
      <c r="F9578" s="534"/>
    </row>
    <row r="9579" spans="1:6" ht="15" customHeight="1">
      <c r="A9579" s="51"/>
      <c r="B9579" s="52" t="str">
        <f t="shared" si="480"/>
        <v/>
      </c>
      <c r="C9579" t="str">
        <f t="shared" si="479"/>
        <v/>
      </c>
      <c r="D9579" s="245" t="str">
        <f t="shared" si="481"/>
        <v/>
      </c>
      <c r="E9579" s="534"/>
      <c r="F9579" s="534"/>
    </row>
    <row r="9580" spans="1:6" ht="15" customHeight="1">
      <c r="A9580" s="51"/>
      <c r="B9580" s="52" t="str">
        <f t="shared" si="480"/>
        <v/>
      </c>
      <c r="C9580" t="str">
        <f t="shared" si="479"/>
        <v/>
      </c>
      <c r="D9580" s="245" t="str">
        <f t="shared" si="481"/>
        <v/>
      </c>
      <c r="E9580" s="534"/>
      <c r="F9580" s="534"/>
    </row>
    <row r="9581" spans="1:6" ht="15" customHeight="1">
      <c r="A9581" s="51"/>
      <c r="B9581" s="52" t="str">
        <f t="shared" si="480"/>
        <v/>
      </c>
      <c r="C9581" t="str">
        <f t="shared" si="479"/>
        <v/>
      </c>
      <c r="D9581" s="245" t="str">
        <f t="shared" si="481"/>
        <v/>
      </c>
      <c r="E9581" s="534"/>
      <c r="F9581" s="534"/>
    </row>
    <row r="9582" spans="1:6" ht="15" customHeight="1">
      <c r="A9582" s="51"/>
      <c r="B9582" s="52" t="str">
        <f t="shared" si="480"/>
        <v/>
      </c>
      <c r="C9582" t="str">
        <f t="shared" si="479"/>
        <v/>
      </c>
      <c r="D9582" s="245" t="str">
        <f t="shared" si="481"/>
        <v/>
      </c>
      <c r="E9582" s="534"/>
      <c r="F9582" s="534"/>
    </row>
    <row r="9583" spans="1:6" ht="15" customHeight="1">
      <c r="A9583" s="51"/>
      <c r="B9583" s="52" t="str">
        <f t="shared" si="480"/>
        <v/>
      </c>
      <c r="C9583" t="str">
        <f t="shared" si="479"/>
        <v/>
      </c>
      <c r="D9583" s="245" t="str">
        <f t="shared" si="481"/>
        <v/>
      </c>
      <c r="E9583" s="534"/>
      <c r="F9583" s="534"/>
    </row>
    <row r="9584" spans="1:6" ht="15" customHeight="1">
      <c r="A9584" s="51"/>
      <c r="B9584" s="52" t="str">
        <f t="shared" si="480"/>
        <v/>
      </c>
      <c r="C9584" t="str">
        <f t="shared" si="479"/>
        <v/>
      </c>
      <c r="D9584" s="245" t="str">
        <f t="shared" si="481"/>
        <v/>
      </c>
      <c r="E9584" s="534"/>
      <c r="F9584" s="534"/>
    </row>
    <row r="9585" spans="1:6" ht="15" customHeight="1">
      <c r="A9585" s="51"/>
      <c r="B9585" s="52" t="str">
        <f t="shared" si="480"/>
        <v/>
      </c>
      <c r="C9585" t="str">
        <f t="shared" si="479"/>
        <v/>
      </c>
      <c r="D9585" s="245" t="str">
        <f t="shared" si="481"/>
        <v/>
      </c>
      <c r="E9585" s="534"/>
      <c r="F9585" s="534"/>
    </row>
    <row r="9586" spans="1:6" ht="15" customHeight="1">
      <c r="A9586" s="51"/>
      <c r="B9586" s="52" t="str">
        <f t="shared" si="480"/>
        <v/>
      </c>
      <c r="C9586" t="str">
        <f t="shared" si="479"/>
        <v/>
      </c>
      <c r="D9586" s="245" t="str">
        <f t="shared" si="481"/>
        <v/>
      </c>
      <c r="E9586" s="534"/>
      <c r="F9586" s="534"/>
    </row>
    <row r="9587" spans="1:6" ht="15" customHeight="1">
      <c r="A9587" s="51"/>
      <c r="B9587" s="52" t="str">
        <f t="shared" si="480"/>
        <v/>
      </c>
      <c r="C9587" t="str">
        <f t="shared" si="479"/>
        <v/>
      </c>
      <c r="D9587" s="245" t="str">
        <f t="shared" si="481"/>
        <v/>
      </c>
      <c r="E9587" s="534"/>
      <c r="F9587" s="534"/>
    </row>
    <row r="9588" spans="1:6" ht="15" customHeight="1">
      <c r="A9588" s="51"/>
      <c r="B9588" s="52" t="str">
        <f t="shared" si="480"/>
        <v/>
      </c>
      <c r="C9588" t="str">
        <f t="shared" si="479"/>
        <v/>
      </c>
      <c r="D9588" s="245" t="str">
        <f t="shared" si="481"/>
        <v/>
      </c>
      <c r="E9588" s="534"/>
      <c r="F9588" s="534"/>
    </row>
    <row r="9589" spans="1:6" ht="15" customHeight="1">
      <c r="A9589" s="51"/>
      <c r="B9589" s="52" t="str">
        <f t="shared" si="480"/>
        <v/>
      </c>
      <c r="C9589" t="str">
        <f t="shared" si="479"/>
        <v/>
      </c>
      <c r="D9589" s="245" t="str">
        <f t="shared" si="481"/>
        <v/>
      </c>
      <c r="E9589" s="534"/>
      <c r="F9589" s="534"/>
    </row>
    <row r="9590" spans="1:6" ht="15" customHeight="1">
      <c r="A9590" s="51"/>
      <c r="B9590" s="52" t="str">
        <f t="shared" si="480"/>
        <v/>
      </c>
      <c r="C9590" t="str">
        <f t="shared" si="479"/>
        <v/>
      </c>
      <c r="D9590" s="245" t="str">
        <f t="shared" si="481"/>
        <v/>
      </c>
      <c r="E9590" s="534"/>
      <c r="F9590" s="534"/>
    </row>
    <row r="9591" spans="1:6" ht="15" customHeight="1">
      <c r="A9591" s="51"/>
      <c r="B9591" s="52" t="str">
        <f t="shared" si="480"/>
        <v/>
      </c>
      <c r="C9591" t="str">
        <f t="shared" si="479"/>
        <v/>
      </c>
      <c r="D9591" s="245" t="str">
        <f t="shared" si="481"/>
        <v/>
      </c>
      <c r="E9591" s="534"/>
      <c r="F9591" s="534"/>
    </row>
    <row r="9592" spans="1:6" ht="15" customHeight="1">
      <c r="A9592" s="51"/>
      <c r="B9592" s="52" t="str">
        <f t="shared" si="480"/>
        <v/>
      </c>
      <c r="C9592" t="str">
        <f t="shared" si="479"/>
        <v/>
      </c>
      <c r="D9592" s="245" t="str">
        <f t="shared" si="481"/>
        <v/>
      </c>
      <c r="E9592" s="534"/>
      <c r="F9592" s="534"/>
    </row>
    <row r="9593" spans="1:6" ht="15" customHeight="1">
      <c r="A9593" s="51"/>
      <c r="B9593" s="52" t="str">
        <f t="shared" si="480"/>
        <v/>
      </c>
      <c r="C9593" t="str">
        <f t="shared" si="479"/>
        <v/>
      </c>
      <c r="D9593" s="245" t="str">
        <f t="shared" si="481"/>
        <v/>
      </c>
      <c r="E9593" s="534"/>
      <c r="F9593" s="534"/>
    </row>
    <row r="9594" spans="1:6" ht="15" customHeight="1">
      <c r="A9594" s="51"/>
      <c r="B9594" s="52" t="str">
        <f t="shared" si="480"/>
        <v/>
      </c>
      <c r="C9594" t="str">
        <f t="shared" si="479"/>
        <v/>
      </c>
      <c r="D9594" s="245" t="str">
        <f t="shared" si="481"/>
        <v/>
      </c>
      <c r="E9594" s="534"/>
      <c r="F9594" s="534"/>
    </row>
    <row r="9595" spans="1:6" ht="15" customHeight="1">
      <c r="A9595" s="51"/>
      <c r="B9595" s="52" t="str">
        <f t="shared" si="480"/>
        <v/>
      </c>
      <c r="C9595" t="str">
        <f t="shared" si="479"/>
        <v/>
      </c>
      <c r="D9595" s="245" t="str">
        <f t="shared" si="481"/>
        <v/>
      </c>
      <c r="E9595" s="534"/>
      <c r="F9595" s="534"/>
    </row>
    <row r="9596" spans="1:6" ht="15" customHeight="1">
      <c r="A9596" s="51"/>
      <c r="B9596" s="52" t="str">
        <f t="shared" si="480"/>
        <v/>
      </c>
      <c r="C9596" t="str">
        <f t="shared" si="479"/>
        <v/>
      </c>
      <c r="D9596" s="245" t="str">
        <f t="shared" si="481"/>
        <v/>
      </c>
      <c r="E9596" s="534"/>
      <c r="F9596" s="534"/>
    </row>
    <row r="9597" spans="1:6" ht="15" customHeight="1">
      <c r="A9597" s="51"/>
      <c r="B9597" s="52" t="str">
        <f t="shared" si="480"/>
        <v/>
      </c>
      <c r="C9597" t="str">
        <f t="shared" si="479"/>
        <v/>
      </c>
      <c r="D9597" s="245" t="str">
        <f t="shared" si="481"/>
        <v/>
      </c>
      <c r="E9597" s="534"/>
      <c r="F9597" s="534"/>
    </row>
    <row r="9598" spans="1:6" ht="15" customHeight="1">
      <c r="A9598" s="51"/>
      <c r="B9598" s="52" t="str">
        <f t="shared" si="480"/>
        <v/>
      </c>
      <c r="C9598" t="str">
        <f t="shared" si="479"/>
        <v/>
      </c>
      <c r="D9598" s="245" t="str">
        <f t="shared" si="481"/>
        <v/>
      </c>
      <c r="E9598" s="534"/>
      <c r="F9598" s="534"/>
    </row>
    <row r="9599" spans="1:6" ht="15" customHeight="1">
      <c r="A9599" s="51"/>
      <c r="B9599" s="52" t="str">
        <f t="shared" si="480"/>
        <v/>
      </c>
      <c r="C9599" t="str">
        <f t="shared" si="479"/>
        <v/>
      </c>
      <c r="D9599" s="245" t="str">
        <f t="shared" si="481"/>
        <v/>
      </c>
      <c r="E9599" s="534"/>
      <c r="F9599" s="534"/>
    </row>
    <row r="9600" spans="1:6" ht="15" customHeight="1">
      <c r="A9600" s="51"/>
      <c r="B9600" s="52" t="str">
        <f t="shared" si="480"/>
        <v/>
      </c>
      <c r="C9600" t="str">
        <f t="shared" si="479"/>
        <v/>
      </c>
      <c r="D9600" s="245" t="str">
        <f t="shared" si="481"/>
        <v/>
      </c>
      <c r="E9600" s="534"/>
      <c r="F9600" s="534"/>
    </row>
    <row r="9601" spans="1:6" ht="15" customHeight="1">
      <c r="A9601" s="51"/>
      <c r="B9601" s="52" t="str">
        <f t="shared" si="480"/>
        <v/>
      </c>
      <c r="C9601" t="str">
        <f t="shared" si="479"/>
        <v/>
      </c>
      <c r="D9601" s="245" t="str">
        <f t="shared" si="481"/>
        <v/>
      </c>
      <c r="E9601" s="534"/>
      <c r="F9601" s="534"/>
    </row>
    <row r="9602" spans="1:6" ht="15" customHeight="1">
      <c r="A9602" s="51"/>
      <c r="B9602" s="52" t="str">
        <f t="shared" si="480"/>
        <v/>
      </c>
      <c r="C9602" t="str">
        <f t="shared" ref="C9602:C9665" si="482">IF(A9602&lt;&gt;"",TEXT(A9602,"aaaa"),"")</f>
        <v/>
      </c>
      <c r="D9602" s="245" t="str">
        <f t="shared" si="481"/>
        <v/>
      </c>
      <c r="E9602" s="534"/>
      <c r="F9602" s="534"/>
    </row>
    <row r="9603" spans="1:6" ht="15" customHeight="1">
      <c r="A9603" s="51"/>
      <c r="B9603" s="52" t="str">
        <f t="shared" si="480"/>
        <v/>
      </c>
      <c r="C9603" t="str">
        <f t="shared" si="482"/>
        <v/>
      </c>
      <c r="D9603" s="245" t="str">
        <f t="shared" si="481"/>
        <v/>
      </c>
      <c r="E9603" s="534"/>
      <c r="F9603" s="534"/>
    </row>
    <row r="9604" spans="1:6" ht="15" customHeight="1">
      <c r="A9604" s="51"/>
      <c r="B9604" s="52" t="str">
        <f t="shared" si="480"/>
        <v/>
      </c>
      <c r="C9604" t="str">
        <f t="shared" si="482"/>
        <v/>
      </c>
      <c r="D9604" s="245" t="str">
        <f t="shared" si="481"/>
        <v/>
      </c>
      <c r="E9604" s="534"/>
      <c r="F9604" s="534"/>
    </row>
    <row r="9605" spans="1:6" ht="15" customHeight="1">
      <c r="A9605" s="51"/>
      <c r="B9605" s="52" t="str">
        <f t="shared" si="480"/>
        <v/>
      </c>
      <c r="C9605" t="str">
        <f t="shared" si="482"/>
        <v/>
      </c>
      <c r="D9605" s="245" t="str">
        <f t="shared" si="481"/>
        <v/>
      </c>
      <c r="E9605" s="534"/>
      <c r="F9605" s="534"/>
    </row>
    <row r="9606" spans="1:6" ht="15" customHeight="1">
      <c r="A9606" s="51"/>
      <c r="B9606" s="52" t="str">
        <f t="shared" si="480"/>
        <v/>
      </c>
      <c r="C9606" t="str">
        <f t="shared" si="482"/>
        <v/>
      </c>
      <c r="D9606" s="245" t="str">
        <f t="shared" si="481"/>
        <v/>
      </c>
      <c r="E9606" s="534"/>
      <c r="F9606" s="534"/>
    </row>
    <row r="9607" spans="1:6" ht="15" customHeight="1">
      <c r="A9607" s="51"/>
      <c r="B9607" s="52" t="str">
        <f t="shared" si="480"/>
        <v/>
      </c>
      <c r="C9607" t="str">
        <f t="shared" si="482"/>
        <v/>
      </c>
      <c r="D9607" s="245" t="str">
        <f t="shared" si="481"/>
        <v/>
      </c>
      <c r="E9607" s="534"/>
      <c r="F9607" s="534"/>
    </row>
    <row r="9608" spans="1:6" ht="15" customHeight="1">
      <c r="A9608" s="51"/>
      <c r="B9608" s="52" t="str">
        <f t="shared" ref="B9608:B9671" si="483">IF(A9608="","",TEXT(A9608,"DDDD"))</f>
        <v/>
      </c>
      <c r="C9608" t="str">
        <f t="shared" si="482"/>
        <v/>
      </c>
      <c r="D9608" s="245" t="str">
        <f t="shared" si="481"/>
        <v/>
      </c>
      <c r="E9608" s="534"/>
      <c r="F9608" s="534"/>
    </row>
    <row r="9609" spans="1:6" ht="15" customHeight="1">
      <c r="A9609" s="51"/>
      <c r="B9609" s="52" t="str">
        <f t="shared" si="483"/>
        <v/>
      </c>
      <c r="C9609" t="str">
        <f t="shared" si="482"/>
        <v/>
      </c>
      <c r="D9609" s="245" t="str">
        <f t="shared" ref="D9609:D9672" si="484">IF(A9609&lt;&gt;"",PROPER(TEXT(A9609,"Mmmm")),"")</f>
        <v/>
      </c>
      <c r="E9609" s="534"/>
      <c r="F9609" s="534"/>
    </row>
    <row r="9610" spans="1:6" ht="15" customHeight="1">
      <c r="A9610" s="51"/>
      <c r="B9610" s="52" t="str">
        <f t="shared" si="483"/>
        <v/>
      </c>
      <c r="C9610" t="str">
        <f t="shared" si="482"/>
        <v/>
      </c>
      <c r="D9610" s="245" t="str">
        <f t="shared" si="484"/>
        <v/>
      </c>
      <c r="E9610" s="534"/>
      <c r="F9610" s="534"/>
    </row>
    <row r="9611" spans="1:6" ht="15" customHeight="1">
      <c r="A9611" s="51"/>
      <c r="B9611" s="52" t="str">
        <f t="shared" si="483"/>
        <v/>
      </c>
      <c r="C9611" t="str">
        <f t="shared" si="482"/>
        <v/>
      </c>
      <c r="D9611" s="245" t="str">
        <f t="shared" si="484"/>
        <v/>
      </c>
      <c r="E9611" s="534"/>
      <c r="F9611" s="534"/>
    </row>
    <row r="9612" spans="1:6" ht="15" customHeight="1">
      <c r="A9612" s="51"/>
      <c r="B9612" s="52" t="str">
        <f t="shared" si="483"/>
        <v/>
      </c>
      <c r="C9612" t="str">
        <f t="shared" si="482"/>
        <v/>
      </c>
      <c r="D9612" s="245" t="str">
        <f t="shared" si="484"/>
        <v/>
      </c>
      <c r="E9612" s="534"/>
      <c r="F9612" s="534"/>
    </row>
    <row r="9613" spans="1:6" ht="15" customHeight="1">
      <c r="A9613" s="51"/>
      <c r="B9613" s="52" t="str">
        <f t="shared" si="483"/>
        <v/>
      </c>
      <c r="C9613" t="str">
        <f t="shared" si="482"/>
        <v/>
      </c>
      <c r="D9613" s="245" t="str">
        <f t="shared" si="484"/>
        <v/>
      </c>
      <c r="E9613" s="534"/>
      <c r="F9613" s="534"/>
    </row>
    <row r="9614" spans="1:6" ht="15" customHeight="1">
      <c r="A9614" s="51"/>
      <c r="B9614" s="52" t="str">
        <f t="shared" si="483"/>
        <v/>
      </c>
      <c r="C9614" t="str">
        <f t="shared" si="482"/>
        <v/>
      </c>
      <c r="D9614" s="245" t="str">
        <f t="shared" si="484"/>
        <v/>
      </c>
      <c r="E9614" s="534"/>
      <c r="F9614" s="534"/>
    </row>
    <row r="9615" spans="1:6" ht="15" customHeight="1">
      <c r="A9615" s="51"/>
      <c r="B9615" s="52" t="str">
        <f t="shared" si="483"/>
        <v/>
      </c>
      <c r="C9615" t="str">
        <f t="shared" si="482"/>
        <v/>
      </c>
      <c r="D9615" s="245" t="str">
        <f t="shared" si="484"/>
        <v/>
      </c>
      <c r="E9615" s="534"/>
      <c r="F9615" s="534"/>
    </row>
    <row r="9616" spans="1:6" ht="15" customHeight="1">
      <c r="A9616" s="51"/>
      <c r="B9616" s="52" t="str">
        <f t="shared" si="483"/>
        <v/>
      </c>
      <c r="C9616" t="str">
        <f t="shared" si="482"/>
        <v/>
      </c>
      <c r="D9616" s="245" t="str">
        <f t="shared" si="484"/>
        <v/>
      </c>
      <c r="E9616" s="534"/>
      <c r="F9616" s="534"/>
    </row>
    <row r="9617" spans="1:6" ht="15" customHeight="1">
      <c r="A9617" s="51"/>
      <c r="B9617" s="52" t="str">
        <f t="shared" si="483"/>
        <v/>
      </c>
      <c r="C9617" t="str">
        <f t="shared" si="482"/>
        <v/>
      </c>
      <c r="D9617" s="245" t="str">
        <f t="shared" si="484"/>
        <v/>
      </c>
      <c r="E9617" s="534"/>
      <c r="F9617" s="534"/>
    </row>
    <row r="9618" spans="1:6" ht="15" customHeight="1">
      <c r="A9618" s="51"/>
      <c r="B9618" s="52" t="str">
        <f t="shared" si="483"/>
        <v/>
      </c>
      <c r="C9618" t="str">
        <f t="shared" si="482"/>
        <v/>
      </c>
      <c r="D9618" s="245" t="str">
        <f t="shared" si="484"/>
        <v/>
      </c>
      <c r="E9618" s="534"/>
      <c r="F9618" s="534"/>
    </row>
    <row r="9619" spans="1:6" ht="15" customHeight="1">
      <c r="A9619" s="51"/>
      <c r="B9619" s="52" t="str">
        <f t="shared" si="483"/>
        <v/>
      </c>
      <c r="C9619" t="str">
        <f t="shared" si="482"/>
        <v/>
      </c>
      <c r="D9619" s="245" t="str">
        <f t="shared" si="484"/>
        <v/>
      </c>
      <c r="E9619" s="534"/>
      <c r="F9619" s="534"/>
    </row>
    <row r="9620" spans="1:6" ht="15" customHeight="1">
      <c r="A9620" s="51"/>
      <c r="B9620" s="52" t="str">
        <f t="shared" si="483"/>
        <v/>
      </c>
      <c r="C9620" t="str">
        <f t="shared" si="482"/>
        <v/>
      </c>
      <c r="D9620" s="245" t="str">
        <f t="shared" si="484"/>
        <v/>
      </c>
      <c r="E9620" s="534"/>
      <c r="F9620" s="534"/>
    </row>
    <row r="9621" spans="1:6" ht="15" customHeight="1">
      <c r="A9621" s="51"/>
      <c r="B9621" s="52" t="str">
        <f t="shared" si="483"/>
        <v/>
      </c>
      <c r="C9621" t="str">
        <f t="shared" si="482"/>
        <v/>
      </c>
      <c r="D9621" s="245" t="str">
        <f t="shared" si="484"/>
        <v/>
      </c>
      <c r="E9621" s="534"/>
      <c r="F9621" s="534"/>
    </row>
    <row r="9622" spans="1:6" ht="15" customHeight="1">
      <c r="A9622" s="51"/>
      <c r="B9622" s="52" t="str">
        <f t="shared" si="483"/>
        <v/>
      </c>
      <c r="C9622" t="str">
        <f t="shared" si="482"/>
        <v/>
      </c>
      <c r="D9622" s="245" t="str">
        <f t="shared" si="484"/>
        <v/>
      </c>
      <c r="E9622" s="534"/>
      <c r="F9622" s="534"/>
    </row>
    <row r="9623" spans="1:6" ht="15" customHeight="1">
      <c r="A9623" s="51"/>
      <c r="B9623" s="52" t="str">
        <f t="shared" si="483"/>
        <v/>
      </c>
      <c r="C9623" t="str">
        <f t="shared" si="482"/>
        <v/>
      </c>
      <c r="D9623" s="245" t="str">
        <f t="shared" si="484"/>
        <v/>
      </c>
      <c r="E9623" s="534"/>
      <c r="F9623" s="534"/>
    </row>
    <row r="9624" spans="1:6" ht="15" customHeight="1">
      <c r="A9624" s="51"/>
      <c r="B9624" s="52" t="str">
        <f t="shared" si="483"/>
        <v/>
      </c>
      <c r="C9624" t="str">
        <f t="shared" si="482"/>
        <v/>
      </c>
      <c r="D9624" s="245" t="str">
        <f t="shared" si="484"/>
        <v/>
      </c>
      <c r="E9624" s="534"/>
      <c r="F9624" s="534"/>
    </row>
    <row r="9625" spans="1:6" ht="15" customHeight="1">
      <c r="A9625" s="51"/>
      <c r="B9625" s="52" t="str">
        <f t="shared" si="483"/>
        <v/>
      </c>
      <c r="C9625" t="str">
        <f t="shared" si="482"/>
        <v/>
      </c>
      <c r="D9625" s="245" t="str">
        <f t="shared" si="484"/>
        <v/>
      </c>
      <c r="E9625" s="534"/>
      <c r="F9625" s="534"/>
    </row>
    <row r="9626" spans="1:6" ht="15" customHeight="1">
      <c r="A9626" s="51"/>
      <c r="B9626" s="52" t="str">
        <f t="shared" si="483"/>
        <v/>
      </c>
      <c r="C9626" t="str">
        <f t="shared" si="482"/>
        <v/>
      </c>
      <c r="D9626" s="245" t="str">
        <f t="shared" si="484"/>
        <v/>
      </c>
      <c r="E9626" s="534"/>
      <c r="F9626" s="534"/>
    </row>
    <row r="9627" spans="1:6" ht="15" customHeight="1">
      <c r="A9627" s="51"/>
      <c r="B9627" s="52" t="str">
        <f t="shared" si="483"/>
        <v/>
      </c>
      <c r="C9627" t="str">
        <f t="shared" si="482"/>
        <v/>
      </c>
      <c r="D9627" s="245" t="str">
        <f t="shared" si="484"/>
        <v/>
      </c>
      <c r="E9627" s="534"/>
      <c r="F9627" s="534"/>
    </row>
    <row r="9628" spans="1:6" ht="15" customHeight="1">
      <c r="A9628" s="51"/>
      <c r="B9628" s="52" t="str">
        <f t="shared" si="483"/>
        <v/>
      </c>
      <c r="C9628" t="str">
        <f t="shared" si="482"/>
        <v/>
      </c>
      <c r="D9628" s="245" t="str">
        <f t="shared" si="484"/>
        <v/>
      </c>
      <c r="E9628" s="534"/>
      <c r="F9628" s="534"/>
    </row>
    <row r="9629" spans="1:6" ht="15" customHeight="1">
      <c r="A9629" s="51"/>
      <c r="B9629" s="52" t="str">
        <f t="shared" si="483"/>
        <v/>
      </c>
      <c r="C9629" t="str">
        <f t="shared" si="482"/>
        <v/>
      </c>
      <c r="D9629" s="245" t="str">
        <f t="shared" si="484"/>
        <v/>
      </c>
      <c r="E9629" s="534"/>
      <c r="F9629" s="534"/>
    </row>
    <row r="9630" spans="1:6" ht="15" customHeight="1">
      <c r="A9630" s="51"/>
      <c r="B9630" s="52" t="str">
        <f t="shared" si="483"/>
        <v/>
      </c>
      <c r="C9630" t="str">
        <f t="shared" si="482"/>
        <v/>
      </c>
      <c r="D9630" s="245" t="str">
        <f t="shared" si="484"/>
        <v/>
      </c>
      <c r="E9630" s="534"/>
      <c r="F9630" s="534"/>
    </row>
    <row r="9631" spans="1:6" ht="15" customHeight="1">
      <c r="A9631" s="51"/>
      <c r="B9631" s="52" t="str">
        <f t="shared" si="483"/>
        <v/>
      </c>
      <c r="C9631" t="str">
        <f t="shared" si="482"/>
        <v/>
      </c>
      <c r="D9631" s="245" t="str">
        <f t="shared" si="484"/>
        <v/>
      </c>
      <c r="E9631" s="534"/>
      <c r="F9631" s="534"/>
    </row>
    <row r="9632" spans="1:6" ht="15" customHeight="1">
      <c r="A9632" s="51"/>
      <c r="B9632" s="52" t="str">
        <f t="shared" si="483"/>
        <v/>
      </c>
      <c r="C9632" t="str">
        <f t="shared" si="482"/>
        <v/>
      </c>
      <c r="D9632" s="245" t="str">
        <f t="shared" si="484"/>
        <v/>
      </c>
      <c r="E9632" s="534"/>
      <c r="F9632" s="534"/>
    </row>
    <row r="9633" spans="1:6" ht="15" customHeight="1">
      <c r="A9633" s="51"/>
      <c r="B9633" s="52" t="str">
        <f t="shared" si="483"/>
        <v/>
      </c>
      <c r="C9633" t="str">
        <f t="shared" si="482"/>
        <v/>
      </c>
      <c r="D9633" s="245" t="str">
        <f t="shared" si="484"/>
        <v/>
      </c>
      <c r="E9633" s="534"/>
      <c r="F9633" s="534"/>
    </row>
    <row r="9634" spans="1:6" ht="15" customHeight="1">
      <c r="A9634" s="51"/>
      <c r="B9634" s="52" t="str">
        <f t="shared" si="483"/>
        <v/>
      </c>
      <c r="C9634" t="str">
        <f t="shared" si="482"/>
        <v/>
      </c>
      <c r="D9634" s="245" t="str">
        <f t="shared" si="484"/>
        <v/>
      </c>
      <c r="E9634" s="534"/>
      <c r="F9634" s="534"/>
    </row>
    <row r="9635" spans="1:6" ht="15" customHeight="1">
      <c r="A9635" s="51"/>
      <c r="B9635" s="52" t="str">
        <f t="shared" si="483"/>
        <v/>
      </c>
      <c r="C9635" t="str">
        <f t="shared" si="482"/>
        <v/>
      </c>
      <c r="D9635" s="245" t="str">
        <f t="shared" si="484"/>
        <v/>
      </c>
      <c r="E9635" s="534"/>
      <c r="F9635" s="534"/>
    </row>
    <row r="9636" spans="1:6" ht="15" customHeight="1">
      <c r="A9636" s="51"/>
      <c r="B9636" s="52" t="str">
        <f t="shared" si="483"/>
        <v/>
      </c>
      <c r="C9636" t="str">
        <f t="shared" si="482"/>
        <v/>
      </c>
      <c r="D9636" s="245" t="str">
        <f t="shared" si="484"/>
        <v/>
      </c>
      <c r="E9636" s="534"/>
      <c r="F9636" s="534"/>
    </row>
    <row r="9637" spans="1:6" ht="15" customHeight="1">
      <c r="A9637" s="51"/>
      <c r="B9637" s="52" t="str">
        <f t="shared" si="483"/>
        <v/>
      </c>
      <c r="C9637" t="str">
        <f t="shared" si="482"/>
        <v/>
      </c>
      <c r="D9637" s="245" t="str">
        <f t="shared" si="484"/>
        <v/>
      </c>
      <c r="E9637" s="534"/>
      <c r="F9637" s="534"/>
    </row>
    <row r="9638" spans="1:6" ht="15" customHeight="1">
      <c r="A9638" s="51"/>
      <c r="B9638" s="52" t="str">
        <f t="shared" si="483"/>
        <v/>
      </c>
      <c r="C9638" t="str">
        <f t="shared" si="482"/>
        <v/>
      </c>
      <c r="D9638" s="245" t="str">
        <f t="shared" si="484"/>
        <v/>
      </c>
      <c r="E9638" s="534"/>
      <c r="F9638" s="534"/>
    </row>
    <row r="9639" spans="1:6" ht="15" customHeight="1">
      <c r="A9639" s="51"/>
      <c r="B9639" s="52" t="str">
        <f t="shared" si="483"/>
        <v/>
      </c>
      <c r="C9639" t="str">
        <f t="shared" si="482"/>
        <v/>
      </c>
      <c r="D9639" s="245" t="str">
        <f t="shared" si="484"/>
        <v/>
      </c>
      <c r="E9639" s="534"/>
      <c r="F9639" s="534"/>
    </row>
    <row r="9640" spans="1:6" ht="15" customHeight="1">
      <c r="A9640" s="51"/>
      <c r="B9640" s="52" t="str">
        <f t="shared" si="483"/>
        <v/>
      </c>
      <c r="C9640" t="str">
        <f t="shared" si="482"/>
        <v/>
      </c>
      <c r="D9640" s="245" t="str">
        <f t="shared" si="484"/>
        <v/>
      </c>
      <c r="E9640" s="534"/>
      <c r="F9640" s="534"/>
    </row>
    <row r="9641" spans="1:6" ht="15" customHeight="1">
      <c r="A9641" s="51"/>
      <c r="B9641" s="52" t="str">
        <f t="shared" si="483"/>
        <v/>
      </c>
      <c r="C9641" t="str">
        <f t="shared" si="482"/>
        <v/>
      </c>
      <c r="D9641" s="245" t="str">
        <f t="shared" si="484"/>
        <v/>
      </c>
      <c r="E9641" s="534"/>
      <c r="F9641" s="534"/>
    </row>
    <row r="9642" spans="1:6" ht="15" customHeight="1">
      <c r="A9642" s="51"/>
      <c r="B9642" s="52" t="str">
        <f t="shared" si="483"/>
        <v/>
      </c>
      <c r="C9642" t="str">
        <f t="shared" si="482"/>
        <v/>
      </c>
      <c r="D9642" s="245" t="str">
        <f t="shared" si="484"/>
        <v/>
      </c>
      <c r="E9642" s="534"/>
      <c r="F9642" s="534"/>
    </row>
    <row r="9643" spans="1:6" ht="15" customHeight="1">
      <c r="A9643" s="51"/>
      <c r="B9643" s="52" t="str">
        <f t="shared" si="483"/>
        <v/>
      </c>
      <c r="C9643" t="str">
        <f t="shared" si="482"/>
        <v/>
      </c>
      <c r="D9643" s="245" t="str">
        <f t="shared" si="484"/>
        <v/>
      </c>
      <c r="E9643" s="534"/>
      <c r="F9643" s="534"/>
    </row>
    <row r="9644" spans="1:6" ht="15" customHeight="1">
      <c r="A9644" s="51"/>
      <c r="B9644" s="52" t="str">
        <f t="shared" si="483"/>
        <v/>
      </c>
      <c r="C9644" t="str">
        <f t="shared" si="482"/>
        <v/>
      </c>
      <c r="D9644" s="245" t="str">
        <f t="shared" si="484"/>
        <v/>
      </c>
      <c r="E9644" s="534"/>
      <c r="F9644" s="534"/>
    </row>
    <row r="9645" spans="1:6" ht="15" customHeight="1">
      <c r="A9645" s="51"/>
      <c r="B9645" s="52" t="str">
        <f t="shared" si="483"/>
        <v/>
      </c>
      <c r="C9645" t="str">
        <f t="shared" si="482"/>
        <v/>
      </c>
      <c r="D9645" s="245" t="str">
        <f t="shared" si="484"/>
        <v/>
      </c>
      <c r="E9645" s="534"/>
      <c r="F9645" s="534"/>
    </row>
    <row r="9646" spans="1:6" ht="15" customHeight="1">
      <c r="A9646" s="51"/>
      <c r="B9646" s="52" t="str">
        <f t="shared" si="483"/>
        <v/>
      </c>
      <c r="C9646" t="str">
        <f t="shared" si="482"/>
        <v/>
      </c>
      <c r="D9646" s="245" t="str">
        <f t="shared" si="484"/>
        <v/>
      </c>
      <c r="E9646" s="534"/>
      <c r="F9646" s="534"/>
    </row>
    <row r="9647" spans="1:6" ht="15" customHeight="1">
      <c r="A9647" s="51"/>
      <c r="B9647" s="52" t="str">
        <f t="shared" si="483"/>
        <v/>
      </c>
      <c r="C9647" t="str">
        <f t="shared" si="482"/>
        <v/>
      </c>
      <c r="D9647" s="245" t="str">
        <f t="shared" si="484"/>
        <v/>
      </c>
      <c r="E9647" s="534"/>
      <c r="F9647" s="534"/>
    </row>
    <row r="9648" spans="1:6" ht="15" customHeight="1">
      <c r="A9648" s="51"/>
      <c r="B9648" s="52" t="str">
        <f t="shared" si="483"/>
        <v/>
      </c>
      <c r="C9648" t="str">
        <f t="shared" si="482"/>
        <v/>
      </c>
      <c r="D9648" s="245" t="str">
        <f t="shared" si="484"/>
        <v/>
      </c>
      <c r="E9648" s="534"/>
      <c r="F9648" s="534"/>
    </row>
    <row r="9649" spans="1:6" ht="15" customHeight="1">
      <c r="A9649" s="51"/>
      <c r="B9649" s="52" t="str">
        <f t="shared" si="483"/>
        <v/>
      </c>
      <c r="C9649" t="str">
        <f t="shared" si="482"/>
        <v/>
      </c>
      <c r="D9649" s="245" t="str">
        <f t="shared" si="484"/>
        <v/>
      </c>
      <c r="E9649" s="534"/>
      <c r="F9649" s="534"/>
    </row>
    <row r="9650" spans="1:6" ht="15" customHeight="1">
      <c r="A9650" s="51"/>
      <c r="B9650" s="52" t="str">
        <f t="shared" si="483"/>
        <v/>
      </c>
      <c r="C9650" t="str">
        <f t="shared" si="482"/>
        <v/>
      </c>
      <c r="D9650" s="245" t="str">
        <f t="shared" si="484"/>
        <v/>
      </c>
      <c r="E9650" s="534"/>
      <c r="F9650" s="534"/>
    </row>
    <row r="9651" spans="1:6" ht="15" customHeight="1">
      <c r="A9651" s="51"/>
      <c r="B9651" s="52" t="str">
        <f t="shared" si="483"/>
        <v/>
      </c>
      <c r="C9651" t="str">
        <f t="shared" si="482"/>
        <v/>
      </c>
      <c r="D9651" s="245" t="str">
        <f t="shared" si="484"/>
        <v/>
      </c>
      <c r="E9651" s="534"/>
      <c r="F9651" s="534"/>
    </row>
    <row r="9652" spans="1:6" ht="15" customHeight="1">
      <c r="A9652" s="51"/>
      <c r="B9652" s="52" t="str">
        <f t="shared" si="483"/>
        <v/>
      </c>
      <c r="C9652" t="str">
        <f t="shared" si="482"/>
        <v/>
      </c>
      <c r="D9652" s="245" t="str">
        <f t="shared" si="484"/>
        <v/>
      </c>
      <c r="E9652" s="534"/>
      <c r="F9652" s="534"/>
    </row>
    <row r="9653" spans="1:6" ht="15" customHeight="1">
      <c r="A9653" s="51"/>
      <c r="B9653" s="52" t="str">
        <f t="shared" si="483"/>
        <v/>
      </c>
      <c r="C9653" t="str">
        <f t="shared" si="482"/>
        <v/>
      </c>
      <c r="D9653" s="245" t="str">
        <f t="shared" si="484"/>
        <v/>
      </c>
      <c r="E9653" s="534"/>
      <c r="F9653" s="534"/>
    </row>
    <row r="9654" spans="1:6" ht="15" customHeight="1">
      <c r="A9654" s="51"/>
      <c r="B9654" s="52" t="str">
        <f t="shared" si="483"/>
        <v/>
      </c>
      <c r="C9654" t="str">
        <f t="shared" si="482"/>
        <v/>
      </c>
      <c r="D9654" s="245" t="str">
        <f t="shared" si="484"/>
        <v/>
      </c>
      <c r="E9654" s="534"/>
      <c r="F9654" s="534"/>
    </row>
    <row r="9655" spans="1:6" ht="15" customHeight="1">
      <c r="A9655" s="51"/>
      <c r="B9655" s="52" t="str">
        <f t="shared" si="483"/>
        <v/>
      </c>
      <c r="C9655" t="str">
        <f t="shared" si="482"/>
        <v/>
      </c>
      <c r="D9655" s="245" t="str">
        <f t="shared" si="484"/>
        <v/>
      </c>
      <c r="E9655" s="534"/>
      <c r="F9655" s="534"/>
    </row>
    <row r="9656" spans="1:6" ht="15" customHeight="1">
      <c r="A9656" s="51"/>
      <c r="B9656" s="52" t="str">
        <f t="shared" si="483"/>
        <v/>
      </c>
      <c r="C9656" t="str">
        <f t="shared" si="482"/>
        <v/>
      </c>
      <c r="D9656" s="245" t="str">
        <f t="shared" si="484"/>
        <v/>
      </c>
      <c r="E9656" s="534"/>
      <c r="F9656" s="534"/>
    </row>
    <row r="9657" spans="1:6" ht="15" customHeight="1">
      <c r="A9657" s="51"/>
      <c r="B9657" s="52" t="str">
        <f t="shared" si="483"/>
        <v/>
      </c>
      <c r="C9657" t="str">
        <f t="shared" si="482"/>
        <v/>
      </c>
      <c r="D9657" s="245" t="str">
        <f t="shared" si="484"/>
        <v/>
      </c>
      <c r="E9657" s="534"/>
      <c r="F9657" s="534"/>
    </row>
    <row r="9658" spans="1:6" ht="15" customHeight="1">
      <c r="A9658" s="51"/>
      <c r="B9658" s="52" t="str">
        <f t="shared" si="483"/>
        <v/>
      </c>
      <c r="C9658" t="str">
        <f t="shared" si="482"/>
        <v/>
      </c>
      <c r="D9658" s="245" t="str">
        <f t="shared" si="484"/>
        <v/>
      </c>
      <c r="E9658" s="534"/>
      <c r="F9658" s="534"/>
    </row>
    <row r="9659" spans="1:6" ht="15" customHeight="1">
      <c r="A9659" s="51"/>
      <c r="B9659" s="52" t="str">
        <f t="shared" si="483"/>
        <v/>
      </c>
      <c r="C9659" t="str">
        <f t="shared" si="482"/>
        <v/>
      </c>
      <c r="D9659" s="245" t="str">
        <f t="shared" si="484"/>
        <v/>
      </c>
      <c r="E9659" s="534"/>
      <c r="F9659" s="534"/>
    </row>
    <row r="9660" spans="1:6" ht="15" customHeight="1">
      <c r="A9660" s="51"/>
      <c r="B9660" s="52" t="str">
        <f t="shared" si="483"/>
        <v/>
      </c>
      <c r="C9660" t="str">
        <f t="shared" si="482"/>
        <v/>
      </c>
      <c r="D9660" s="245" t="str">
        <f t="shared" si="484"/>
        <v/>
      </c>
      <c r="E9660" s="534"/>
      <c r="F9660" s="534"/>
    </row>
    <row r="9661" spans="1:6" ht="15" customHeight="1">
      <c r="A9661" s="51"/>
      <c r="B9661" s="52" t="str">
        <f t="shared" si="483"/>
        <v/>
      </c>
      <c r="C9661" t="str">
        <f t="shared" si="482"/>
        <v/>
      </c>
      <c r="D9661" s="245" t="str">
        <f t="shared" si="484"/>
        <v/>
      </c>
      <c r="E9661" s="534"/>
      <c r="F9661" s="534"/>
    </row>
    <row r="9662" spans="1:6" ht="15" customHeight="1">
      <c r="A9662" s="51"/>
      <c r="B9662" s="52" t="str">
        <f t="shared" si="483"/>
        <v/>
      </c>
      <c r="C9662" t="str">
        <f t="shared" si="482"/>
        <v/>
      </c>
      <c r="D9662" s="245" t="str">
        <f t="shared" si="484"/>
        <v/>
      </c>
      <c r="E9662" s="534"/>
      <c r="F9662" s="534"/>
    </row>
    <row r="9663" spans="1:6" ht="15" customHeight="1">
      <c r="A9663" s="51"/>
      <c r="B9663" s="52" t="str">
        <f t="shared" si="483"/>
        <v/>
      </c>
      <c r="C9663" t="str">
        <f t="shared" si="482"/>
        <v/>
      </c>
      <c r="D9663" s="245" t="str">
        <f t="shared" si="484"/>
        <v/>
      </c>
      <c r="E9663" s="534"/>
      <c r="F9663" s="534"/>
    </row>
    <row r="9664" spans="1:6" ht="15" customHeight="1">
      <c r="A9664" s="51"/>
      <c r="B9664" s="52" t="str">
        <f t="shared" si="483"/>
        <v/>
      </c>
      <c r="C9664" t="str">
        <f t="shared" si="482"/>
        <v/>
      </c>
      <c r="D9664" s="245" t="str">
        <f t="shared" si="484"/>
        <v/>
      </c>
      <c r="E9664" s="534"/>
      <c r="F9664" s="534"/>
    </row>
    <row r="9665" spans="1:6" ht="15" customHeight="1">
      <c r="A9665" s="51"/>
      <c r="B9665" s="52" t="str">
        <f t="shared" si="483"/>
        <v/>
      </c>
      <c r="C9665" t="str">
        <f t="shared" si="482"/>
        <v/>
      </c>
      <c r="D9665" s="245" t="str">
        <f t="shared" si="484"/>
        <v/>
      </c>
      <c r="E9665" s="534"/>
      <c r="F9665" s="534"/>
    </row>
    <row r="9666" spans="1:6" ht="15" customHeight="1">
      <c r="A9666" s="51"/>
      <c r="B9666" s="52" t="str">
        <f t="shared" si="483"/>
        <v/>
      </c>
      <c r="C9666" t="str">
        <f t="shared" ref="C9666:C9729" si="485">IF(A9666&lt;&gt;"",TEXT(A9666,"aaaa"),"")</f>
        <v/>
      </c>
      <c r="D9666" s="245" t="str">
        <f t="shared" si="484"/>
        <v/>
      </c>
      <c r="E9666" s="534"/>
      <c r="F9666" s="534"/>
    </row>
    <row r="9667" spans="1:6" ht="15" customHeight="1">
      <c r="A9667" s="51"/>
      <c r="B9667" s="52" t="str">
        <f t="shared" si="483"/>
        <v/>
      </c>
      <c r="C9667" t="str">
        <f t="shared" si="485"/>
        <v/>
      </c>
      <c r="D9667" s="245" t="str">
        <f t="shared" si="484"/>
        <v/>
      </c>
      <c r="E9667" s="534"/>
      <c r="F9667" s="534"/>
    </row>
    <row r="9668" spans="1:6" ht="15" customHeight="1">
      <c r="A9668" s="51"/>
      <c r="B9668" s="52" t="str">
        <f t="shared" si="483"/>
        <v/>
      </c>
      <c r="C9668" t="str">
        <f t="shared" si="485"/>
        <v/>
      </c>
      <c r="D9668" s="245" t="str">
        <f t="shared" si="484"/>
        <v/>
      </c>
      <c r="E9668" s="534"/>
      <c r="F9668" s="534"/>
    </row>
    <row r="9669" spans="1:6" ht="15" customHeight="1">
      <c r="A9669" s="51"/>
      <c r="B9669" s="52" t="str">
        <f t="shared" si="483"/>
        <v/>
      </c>
      <c r="C9669" t="str">
        <f t="shared" si="485"/>
        <v/>
      </c>
      <c r="D9669" s="245" t="str">
        <f t="shared" si="484"/>
        <v/>
      </c>
      <c r="E9669" s="534"/>
      <c r="F9669" s="534"/>
    </row>
    <row r="9670" spans="1:6" ht="15" customHeight="1">
      <c r="A9670" s="51"/>
      <c r="B9670" s="52" t="str">
        <f t="shared" si="483"/>
        <v/>
      </c>
      <c r="C9670" t="str">
        <f t="shared" si="485"/>
        <v/>
      </c>
      <c r="D9670" s="245" t="str">
        <f t="shared" si="484"/>
        <v/>
      </c>
      <c r="E9670" s="534"/>
      <c r="F9670" s="534"/>
    </row>
    <row r="9671" spans="1:6" ht="15" customHeight="1">
      <c r="A9671" s="51"/>
      <c r="B9671" s="52" t="str">
        <f t="shared" si="483"/>
        <v/>
      </c>
      <c r="C9671" t="str">
        <f t="shared" si="485"/>
        <v/>
      </c>
      <c r="D9671" s="245" t="str">
        <f t="shared" si="484"/>
        <v/>
      </c>
      <c r="E9671" s="534"/>
      <c r="F9671" s="534"/>
    </row>
    <row r="9672" spans="1:6" ht="15" customHeight="1">
      <c r="A9672" s="51"/>
      <c r="B9672" s="52" t="str">
        <f t="shared" ref="B9672:B9735" si="486">IF(A9672="","",TEXT(A9672,"DDDD"))</f>
        <v/>
      </c>
      <c r="C9672" t="str">
        <f t="shared" si="485"/>
        <v/>
      </c>
      <c r="D9672" s="245" t="str">
        <f t="shared" si="484"/>
        <v/>
      </c>
      <c r="E9672" s="534"/>
      <c r="F9672" s="534"/>
    </row>
    <row r="9673" spans="1:6" ht="15" customHeight="1">
      <c r="A9673" s="51"/>
      <c r="B9673" s="52" t="str">
        <f t="shared" si="486"/>
        <v/>
      </c>
      <c r="C9673" t="str">
        <f t="shared" si="485"/>
        <v/>
      </c>
      <c r="D9673" s="245" t="str">
        <f t="shared" ref="D9673:D9736" si="487">IF(A9673&lt;&gt;"",PROPER(TEXT(A9673,"Mmmm")),"")</f>
        <v/>
      </c>
      <c r="E9673" s="534"/>
      <c r="F9673" s="534"/>
    </row>
    <row r="9674" spans="1:6" ht="15" customHeight="1">
      <c r="A9674" s="51"/>
      <c r="B9674" s="52" t="str">
        <f t="shared" si="486"/>
        <v/>
      </c>
      <c r="C9674" t="str">
        <f t="shared" si="485"/>
        <v/>
      </c>
      <c r="D9674" s="245" t="str">
        <f t="shared" si="487"/>
        <v/>
      </c>
      <c r="E9674" s="534"/>
      <c r="F9674" s="534"/>
    </row>
    <row r="9675" spans="1:6" ht="15" customHeight="1">
      <c r="A9675" s="51"/>
      <c r="B9675" s="52" t="str">
        <f t="shared" si="486"/>
        <v/>
      </c>
      <c r="C9675" t="str">
        <f t="shared" si="485"/>
        <v/>
      </c>
      <c r="D9675" s="245" t="str">
        <f t="shared" si="487"/>
        <v/>
      </c>
      <c r="E9675" s="534"/>
      <c r="F9675" s="534"/>
    </row>
    <row r="9676" spans="1:6" ht="15" customHeight="1">
      <c r="A9676" s="51"/>
      <c r="B9676" s="52" t="str">
        <f t="shared" si="486"/>
        <v/>
      </c>
      <c r="C9676" t="str">
        <f t="shared" si="485"/>
        <v/>
      </c>
      <c r="D9676" s="245" t="str">
        <f t="shared" si="487"/>
        <v/>
      </c>
      <c r="E9676" s="534"/>
      <c r="F9676" s="534"/>
    </row>
    <row r="9677" spans="1:6" ht="15" customHeight="1">
      <c r="A9677" s="51"/>
      <c r="B9677" s="52" t="str">
        <f t="shared" si="486"/>
        <v/>
      </c>
      <c r="C9677" t="str">
        <f t="shared" si="485"/>
        <v/>
      </c>
      <c r="D9677" s="245" t="str">
        <f t="shared" si="487"/>
        <v/>
      </c>
      <c r="E9677" s="534"/>
      <c r="F9677" s="534"/>
    </row>
    <row r="9678" spans="1:6" ht="15" customHeight="1">
      <c r="A9678" s="51"/>
      <c r="B9678" s="52" t="str">
        <f t="shared" si="486"/>
        <v/>
      </c>
      <c r="C9678" t="str">
        <f t="shared" si="485"/>
        <v/>
      </c>
      <c r="D9678" s="245" t="str">
        <f t="shared" si="487"/>
        <v/>
      </c>
      <c r="E9678" s="534"/>
      <c r="F9678" s="534"/>
    </row>
    <row r="9679" spans="1:6" ht="15" customHeight="1">
      <c r="A9679" s="51"/>
      <c r="B9679" s="52" t="str">
        <f t="shared" si="486"/>
        <v/>
      </c>
      <c r="C9679" t="str">
        <f t="shared" si="485"/>
        <v/>
      </c>
      <c r="D9679" s="245" t="str">
        <f t="shared" si="487"/>
        <v/>
      </c>
      <c r="E9679" s="534"/>
      <c r="F9679" s="534"/>
    </row>
    <row r="9680" spans="1:6" ht="15" customHeight="1">
      <c r="A9680" s="51"/>
      <c r="B9680" s="52" t="str">
        <f t="shared" si="486"/>
        <v/>
      </c>
      <c r="C9680" t="str">
        <f t="shared" si="485"/>
        <v/>
      </c>
      <c r="D9680" s="245" t="str">
        <f t="shared" si="487"/>
        <v/>
      </c>
      <c r="E9680" s="534"/>
      <c r="F9680" s="534"/>
    </row>
    <row r="9681" spans="1:6" ht="15" customHeight="1">
      <c r="A9681" s="51"/>
      <c r="B9681" s="52" t="str">
        <f t="shared" si="486"/>
        <v/>
      </c>
      <c r="C9681" t="str">
        <f t="shared" si="485"/>
        <v/>
      </c>
      <c r="D9681" s="245" t="str">
        <f t="shared" si="487"/>
        <v/>
      </c>
      <c r="E9681" s="534"/>
      <c r="F9681" s="534"/>
    </row>
    <row r="9682" spans="1:6" ht="15" customHeight="1">
      <c r="A9682" s="51"/>
      <c r="B9682" s="52" t="str">
        <f t="shared" si="486"/>
        <v/>
      </c>
      <c r="C9682" t="str">
        <f t="shared" si="485"/>
        <v/>
      </c>
      <c r="D9682" s="245" t="str">
        <f t="shared" si="487"/>
        <v/>
      </c>
      <c r="E9682" s="534"/>
      <c r="F9682" s="534"/>
    </row>
    <row r="9683" spans="1:6" ht="15" customHeight="1">
      <c r="A9683" s="51"/>
      <c r="B9683" s="52" t="str">
        <f t="shared" si="486"/>
        <v/>
      </c>
      <c r="C9683" t="str">
        <f t="shared" si="485"/>
        <v/>
      </c>
      <c r="D9683" s="245" t="str">
        <f t="shared" si="487"/>
        <v/>
      </c>
      <c r="E9683" s="534"/>
      <c r="F9683" s="534"/>
    </row>
    <row r="9684" spans="1:6" ht="15" customHeight="1">
      <c r="A9684" s="51"/>
      <c r="B9684" s="52" t="str">
        <f t="shared" si="486"/>
        <v/>
      </c>
      <c r="C9684" t="str">
        <f t="shared" si="485"/>
        <v/>
      </c>
      <c r="D9684" s="245" t="str">
        <f t="shared" si="487"/>
        <v/>
      </c>
      <c r="E9684" s="534"/>
      <c r="F9684" s="534"/>
    </row>
    <row r="9685" spans="1:6" ht="15" customHeight="1">
      <c r="A9685" s="51"/>
      <c r="B9685" s="52" t="str">
        <f t="shared" si="486"/>
        <v/>
      </c>
      <c r="C9685" t="str">
        <f t="shared" si="485"/>
        <v/>
      </c>
      <c r="D9685" s="245" t="str">
        <f t="shared" si="487"/>
        <v/>
      </c>
      <c r="E9685" s="534"/>
      <c r="F9685" s="534"/>
    </row>
    <row r="9686" spans="1:6" ht="15" customHeight="1">
      <c r="A9686" s="51"/>
      <c r="B9686" s="52" t="str">
        <f t="shared" si="486"/>
        <v/>
      </c>
      <c r="C9686" t="str">
        <f t="shared" si="485"/>
        <v/>
      </c>
      <c r="D9686" s="245" t="str">
        <f t="shared" si="487"/>
        <v/>
      </c>
      <c r="E9686" s="534"/>
      <c r="F9686" s="534"/>
    </row>
    <row r="9687" spans="1:6" ht="15" customHeight="1">
      <c r="A9687" s="51"/>
      <c r="B9687" s="52" t="str">
        <f t="shared" si="486"/>
        <v/>
      </c>
      <c r="C9687" t="str">
        <f t="shared" si="485"/>
        <v/>
      </c>
      <c r="D9687" s="245" t="str">
        <f t="shared" si="487"/>
        <v/>
      </c>
      <c r="E9687" s="534"/>
      <c r="F9687" s="534"/>
    </row>
    <row r="9688" spans="1:6" ht="15" customHeight="1">
      <c r="A9688" s="51"/>
      <c r="B9688" s="52" t="str">
        <f t="shared" si="486"/>
        <v/>
      </c>
      <c r="C9688" t="str">
        <f t="shared" si="485"/>
        <v/>
      </c>
      <c r="D9688" s="245" t="str">
        <f t="shared" si="487"/>
        <v/>
      </c>
      <c r="E9688" s="534"/>
      <c r="F9688" s="534"/>
    </row>
    <row r="9689" spans="1:6" ht="15" customHeight="1">
      <c r="A9689" s="51"/>
      <c r="B9689" s="52" t="str">
        <f t="shared" si="486"/>
        <v/>
      </c>
      <c r="C9689" t="str">
        <f t="shared" si="485"/>
        <v/>
      </c>
      <c r="D9689" s="245" t="str">
        <f t="shared" si="487"/>
        <v/>
      </c>
      <c r="E9689" s="534"/>
      <c r="F9689" s="534"/>
    </row>
    <row r="9690" spans="1:6" ht="15" customHeight="1">
      <c r="A9690" s="51"/>
      <c r="B9690" s="52" t="str">
        <f t="shared" si="486"/>
        <v/>
      </c>
      <c r="C9690" t="str">
        <f t="shared" si="485"/>
        <v/>
      </c>
      <c r="D9690" s="245" t="str">
        <f t="shared" si="487"/>
        <v/>
      </c>
      <c r="E9690" s="534"/>
      <c r="F9690" s="534"/>
    </row>
    <row r="9691" spans="1:6" ht="15" customHeight="1">
      <c r="A9691" s="51"/>
      <c r="B9691" s="52" t="str">
        <f t="shared" si="486"/>
        <v/>
      </c>
      <c r="C9691" t="str">
        <f t="shared" si="485"/>
        <v/>
      </c>
      <c r="D9691" s="245" t="str">
        <f t="shared" si="487"/>
        <v/>
      </c>
      <c r="E9691" s="534"/>
      <c r="F9691" s="534"/>
    </row>
    <row r="9692" spans="1:6" ht="15" customHeight="1">
      <c r="A9692" s="51"/>
      <c r="B9692" s="52" t="str">
        <f t="shared" si="486"/>
        <v/>
      </c>
      <c r="C9692" t="str">
        <f t="shared" si="485"/>
        <v/>
      </c>
      <c r="D9692" s="245" t="str">
        <f t="shared" si="487"/>
        <v/>
      </c>
      <c r="E9692" s="534"/>
      <c r="F9692" s="534"/>
    </row>
    <row r="9693" spans="1:6" ht="15" customHeight="1">
      <c r="A9693" s="51"/>
      <c r="B9693" s="52" t="str">
        <f t="shared" si="486"/>
        <v/>
      </c>
      <c r="C9693" t="str">
        <f t="shared" si="485"/>
        <v/>
      </c>
      <c r="D9693" s="245" t="str">
        <f t="shared" si="487"/>
        <v/>
      </c>
      <c r="E9693" s="534"/>
      <c r="F9693" s="534"/>
    </row>
    <row r="9694" spans="1:6" ht="15" customHeight="1">
      <c r="A9694" s="51"/>
      <c r="B9694" s="52" t="str">
        <f t="shared" si="486"/>
        <v/>
      </c>
      <c r="C9694" t="str">
        <f t="shared" si="485"/>
        <v/>
      </c>
      <c r="D9694" s="245" t="str">
        <f t="shared" si="487"/>
        <v/>
      </c>
      <c r="E9694" s="534"/>
      <c r="F9694" s="534"/>
    </row>
    <row r="9695" spans="1:6" ht="15" customHeight="1">
      <c r="A9695" s="51"/>
      <c r="B9695" s="52" t="str">
        <f t="shared" si="486"/>
        <v/>
      </c>
      <c r="C9695" t="str">
        <f t="shared" si="485"/>
        <v/>
      </c>
      <c r="D9695" s="245" t="str">
        <f t="shared" si="487"/>
        <v/>
      </c>
      <c r="E9695" s="534"/>
      <c r="F9695" s="534"/>
    </row>
    <row r="9696" spans="1:6" ht="15" customHeight="1">
      <c r="A9696" s="51"/>
      <c r="B9696" s="52" t="str">
        <f t="shared" si="486"/>
        <v/>
      </c>
      <c r="C9696" t="str">
        <f t="shared" si="485"/>
        <v/>
      </c>
      <c r="D9696" s="245" t="str">
        <f t="shared" si="487"/>
        <v/>
      </c>
      <c r="E9696" s="534"/>
      <c r="F9696" s="534"/>
    </row>
    <row r="9697" spans="1:6" ht="15" customHeight="1">
      <c r="A9697" s="51"/>
      <c r="B9697" s="52" t="str">
        <f t="shared" si="486"/>
        <v/>
      </c>
      <c r="C9697" t="str">
        <f t="shared" si="485"/>
        <v/>
      </c>
      <c r="D9697" s="245" t="str">
        <f t="shared" si="487"/>
        <v/>
      </c>
      <c r="E9697" s="534"/>
      <c r="F9697" s="534"/>
    </row>
    <row r="9698" spans="1:6" ht="15" customHeight="1">
      <c r="A9698" s="51"/>
      <c r="B9698" s="52" t="str">
        <f t="shared" si="486"/>
        <v/>
      </c>
      <c r="C9698" t="str">
        <f t="shared" si="485"/>
        <v/>
      </c>
      <c r="D9698" s="245" t="str">
        <f t="shared" si="487"/>
        <v/>
      </c>
      <c r="E9698" s="534"/>
      <c r="F9698" s="534"/>
    </row>
    <row r="9699" spans="1:6" ht="15" customHeight="1">
      <c r="A9699" s="51"/>
      <c r="B9699" s="52" t="str">
        <f t="shared" si="486"/>
        <v/>
      </c>
      <c r="C9699" t="str">
        <f t="shared" si="485"/>
        <v/>
      </c>
      <c r="D9699" s="245" t="str">
        <f t="shared" si="487"/>
        <v/>
      </c>
      <c r="E9699" s="534"/>
      <c r="F9699" s="534"/>
    </row>
    <row r="9700" spans="1:6" ht="15" customHeight="1">
      <c r="A9700" s="51"/>
      <c r="B9700" s="52" t="str">
        <f t="shared" si="486"/>
        <v/>
      </c>
      <c r="C9700" t="str">
        <f t="shared" si="485"/>
        <v/>
      </c>
      <c r="D9700" s="245" t="str">
        <f t="shared" si="487"/>
        <v/>
      </c>
      <c r="E9700" s="534"/>
      <c r="F9700" s="534"/>
    </row>
    <row r="9701" spans="1:6" ht="15" customHeight="1">
      <c r="A9701" s="51"/>
      <c r="B9701" s="52" t="str">
        <f t="shared" si="486"/>
        <v/>
      </c>
      <c r="C9701" t="str">
        <f t="shared" si="485"/>
        <v/>
      </c>
      <c r="D9701" s="245" t="str">
        <f t="shared" si="487"/>
        <v/>
      </c>
      <c r="E9701" s="534"/>
      <c r="F9701" s="534"/>
    </row>
    <row r="9702" spans="1:6" ht="15" customHeight="1">
      <c r="A9702" s="51"/>
      <c r="B9702" s="52" t="str">
        <f t="shared" si="486"/>
        <v/>
      </c>
      <c r="C9702" t="str">
        <f t="shared" si="485"/>
        <v/>
      </c>
      <c r="D9702" s="245" t="str">
        <f t="shared" si="487"/>
        <v/>
      </c>
      <c r="E9702" s="534"/>
      <c r="F9702" s="534"/>
    </row>
    <row r="9703" spans="1:6" ht="15" customHeight="1">
      <c r="A9703" s="51"/>
      <c r="B9703" s="52" t="str">
        <f t="shared" si="486"/>
        <v/>
      </c>
      <c r="C9703" t="str">
        <f t="shared" si="485"/>
        <v/>
      </c>
      <c r="D9703" s="245" t="str">
        <f t="shared" si="487"/>
        <v/>
      </c>
      <c r="E9703" s="534"/>
      <c r="F9703" s="534"/>
    </row>
    <row r="9704" spans="1:6" ht="15" customHeight="1">
      <c r="A9704" s="51"/>
      <c r="B9704" s="52" t="str">
        <f t="shared" si="486"/>
        <v/>
      </c>
      <c r="C9704" t="str">
        <f t="shared" si="485"/>
        <v/>
      </c>
      <c r="D9704" s="245" t="str">
        <f t="shared" si="487"/>
        <v/>
      </c>
      <c r="E9704" s="534"/>
      <c r="F9704" s="534"/>
    </row>
    <row r="9705" spans="1:6" ht="15" customHeight="1">
      <c r="A9705" s="51"/>
      <c r="B9705" s="52" t="str">
        <f t="shared" si="486"/>
        <v/>
      </c>
      <c r="C9705" t="str">
        <f t="shared" si="485"/>
        <v/>
      </c>
      <c r="D9705" s="245" t="str">
        <f t="shared" si="487"/>
        <v/>
      </c>
      <c r="E9705" s="534"/>
      <c r="F9705" s="534"/>
    </row>
    <row r="9706" spans="1:6" ht="15" customHeight="1">
      <c r="A9706" s="51"/>
      <c r="B9706" s="52" t="str">
        <f t="shared" si="486"/>
        <v/>
      </c>
      <c r="C9706" t="str">
        <f t="shared" si="485"/>
        <v/>
      </c>
      <c r="D9706" s="245" t="str">
        <f t="shared" si="487"/>
        <v/>
      </c>
      <c r="E9706" s="534"/>
      <c r="F9706" s="534"/>
    </row>
    <row r="9707" spans="1:6" ht="15" customHeight="1">
      <c r="A9707" s="51"/>
      <c r="B9707" s="52" t="str">
        <f t="shared" si="486"/>
        <v/>
      </c>
      <c r="C9707" t="str">
        <f t="shared" si="485"/>
        <v/>
      </c>
      <c r="D9707" s="245" t="str">
        <f t="shared" si="487"/>
        <v/>
      </c>
      <c r="E9707" s="534"/>
      <c r="F9707" s="534"/>
    </row>
    <row r="9708" spans="1:6" ht="15" customHeight="1">
      <c r="A9708" s="51"/>
      <c r="B9708" s="52" t="str">
        <f t="shared" si="486"/>
        <v/>
      </c>
      <c r="C9708" t="str">
        <f t="shared" si="485"/>
        <v/>
      </c>
      <c r="D9708" s="245" t="str">
        <f t="shared" si="487"/>
        <v/>
      </c>
      <c r="E9708" s="534"/>
      <c r="F9708" s="534"/>
    </row>
    <row r="9709" spans="1:6" ht="15" customHeight="1">
      <c r="A9709" s="51"/>
      <c r="B9709" s="52" t="str">
        <f t="shared" si="486"/>
        <v/>
      </c>
      <c r="C9709" t="str">
        <f t="shared" si="485"/>
        <v/>
      </c>
      <c r="D9709" s="245" t="str">
        <f t="shared" si="487"/>
        <v/>
      </c>
      <c r="E9709" s="534"/>
      <c r="F9709" s="534"/>
    </row>
    <row r="9710" spans="1:6" ht="15" customHeight="1">
      <c r="A9710" s="51"/>
      <c r="B9710" s="52" t="str">
        <f t="shared" si="486"/>
        <v/>
      </c>
      <c r="C9710" t="str">
        <f t="shared" si="485"/>
        <v/>
      </c>
      <c r="D9710" s="245" t="str">
        <f t="shared" si="487"/>
        <v/>
      </c>
      <c r="E9710" s="534"/>
      <c r="F9710" s="534"/>
    </row>
    <row r="9711" spans="1:6" ht="15" customHeight="1">
      <c r="A9711" s="51"/>
      <c r="B9711" s="52" t="str">
        <f t="shared" si="486"/>
        <v/>
      </c>
      <c r="C9711" t="str">
        <f t="shared" si="485"/>
        <v/>
      </c>
      <c r="D9711" s="245" t="str">
        <f t="shared" si="487"/>
        <v/>
      </c>
      <c r="E9711" s="534"/>
      <c r="F9711" s="534"/>
    </row>
    <row r="9712" spans="1:6" ht="15" customHeight="1">
      <c r="A9712" s="51"/>
      <c r="B9712" s="52" t="str">
        <f t="shared" si="486"/>
        <v/>
      </c>
      <c r="C9712" t="str">
        <f t="shared" si="485"/>
        <v/>
      </c>
      <c r="D9712" s="245" t="str">
        <f t="shared" si="487"/>
        <v/>
      </c>
      <c r="E9712" s="534"/>
      <c r="F9712" s="534"/>
    </row>
    <row r="9713" spans="1:6" ht="15" customHeight="1">
      <c r="A9713" s="51"/>
      <c r="B9713" s="52" t="str">
        <f t="shared" si="486"/>
        <v/>
      </c>
      <c r="C9713" t="str">
        <f t="shared" si="485"/>
        <v/>
      </c>
      <c r="D9713" s="245" t="str">
        <f t="shared" si="487"/>
        <v/>
      </c>
      <c r="E9713" s="534"/>
      <c r="F9713" s="534"/>
    </row>
    <row r="9714" spans="1:6" ht="15" customHeight="1">
      <c r="A9714" s="51"/>
      <c r="B9714" s="52" t="str">
        <f t="shared" si="486"/>
        <v/>
      </c>
      <c r="C9714" t="str">
        <f t="shared" si="485"/>
        <v/>
      </c>
      <c r="D9714" s="245" t="str">
        <f t="shared" si="487"/>
        <v/>
      </c>
      <c r="E9714" s="534"/>
      <c r="F9714" s="534"/>
    </row>
    <row r="9715" spans="1:6" ht="15" customHeight="1">
      <c r="A9715" s="51"/>
      <c r="B9715" s="52" t="str">
        <f t="shared" si="486"/>
        <v/>
      </c>
      <c r="C9715" t="str">
        <f t="shared" si="485"/>
        <v/>
      </c>
      <c r="D9715" s="245" t="str">
        <f t="shared" si="487"/>
        <v/>
      </c>
      <c r="E9715" s="534"/>
      <c r="F9715" s="534"/>
    </row>
    <row r="9716" spans="1:6" ht="15" customHeight="1">
      <c r="A9716" s="51"/>
      <c r="B9716" s="52" t="str">
        <f t="shared" si="486"/>
        <v/>
      </c>
      <c r="C9716" t="str">
        <f t="shared" si="485"/>
        <v/>
      </c>
      <c r="D9716" s="245" t="str">
        <f t="shared" si="487"/>
        <v/>
      </c>
      <c r="E9716" s="534"/>
      <c r="F9716" s="534"/>
    </row>
    <row r="9717" spans="1:6" ht="15" customHeight="1">
      <c r="A9717" s="51"/>
      <c r="B9717" s="52" t="str">
        <f t="shared" si="486"/>
        <v/>
      </c>
      <c r="C9717" t="str">
        <f t="shared" si="485"/>
        <v/>
      </c>
      <c r="D9717" s="245" t="str">
        <f t="shared" si="487"/>
        <v/>
      </c>
      <c r="E9717" s="534"/>
      <c r="F9717" s="534"/>
    </row>
    <row r="9718" spans="1:6" ht="15" customHeight="1">
      <c r="A9718" s="51"/>
      <c r="B9718" s="52" t="str">
        <f t="shared" si="486"/>
        <v/>
      </c>
      <c r="C9718" t="str">
        <f t="shared" si="485"/>
        <v/>
      </c>
      <c r="D9718" s="245" t="str">
        <f t="shared" si="487"/>
        <v/>
      </c>
      <c r="E9718" s="534"/>
      <c r="F9718" s="534"/>
    </row>
    <row r="9719" spans="1:6" ht="15" customHeight="1">
      <c r="A9719" s="51"/>
      <c r="B9719" s="52" t="str">
        <f t="shared" si="486"/>
        <v/>
      </c>
      <c r="C9719" t="str">
        <f t="shared" si="485"/>
        <v/>
      </c>
      <c r="D9719" s="245" t="str">
        <f t="shared" si="487"/>
        <v/>
      </c>
      <c r="E9719" s="534"/>
      <c r="F9719" s="534"/>
    </row>
    <row r="9720" spans="1:6" ht="15" customHeight="1">
      <c r="A9720" s="51"/>
      <c r="B9720" s="52" t="str">
        <f t="shared" si="486"/>
        <v/>
      </c>
      <c r="C9720" t="str">
        <f t="shared" si="485"/>
        <v/>
      </c>
      <c r="D9720" s="245" t="str">
        <f t="shared" si="487"/>
        <v/>
      </c>
      <c r="E9720" s="534"/>
      <c r="F9720" s="534"/>
    </row>
    <row r="9721" spans="1:6" ht="15" customHeight="1">
      <c r="A9721" s="51"/>
      <c r="B9721" s="52" t="str">
        <f t="shared" si="486"/>
        <v/>
      </c>
      <c r="C9721" t="str">
        <f t="shared" si="485"/>
        <v/>
      </c>
      <c r="D9721" s="245" t="str">
        <f t="shared" si="487"/>
        <v/>
      </c>
      <c r="E9721" s="534"/>
      <c r="F9721" s="534"/>
    </row>
    <row r="9722" spans="1:6" ht="15" customHeight="1">
      <c r="A9722" s="51"/>
      <c r="B9722" s="52" t="str">
        <f t="shared" si="486"/>
        <v/>
      </c>
      <c r="C9722" t="str">
        <f t="shared" si="485"/>
        <v/>
      </c>
      <c r="D9722" s="245" t="str">
        <f t="shared" si="487"/>
        <v/>
      </c>
      <c r="E9722" s="534"/>
      <c r="F9722" s="534"/>
    </row>
    <row r="9723" spans="1:6" ht="15" customHeight="1">
      <c r="A9723" s="51"/>
      <c r="B9723" s="52" t="str">
        <f t="shared" si="486"/>
        <v/>
      </c>
      <c r="C9723" t="str">
        <f t="shared" si="485"/>
        <v/>
      </c>
      <c r="D9723" s="245" t="str">
        <f t="shared" si="487"/>
        <v/>
      </c>
      <c r="E9723" s="534"/>
      <c r="F9723" s="534"/>
    </row>
    <row r="9724" spans="1:6" ht="15" customHeight="1">
      <c r="A9724" s="51"/>
      <c r="B9724" s="52" t="str">
        <f t="shared" si="486"/>
        <v/>
      </c>
      <c r="C9724" t="str">
        <f t="shared" si="485"/>
        <v/>
      </c>
      <c r="D9724" s="245" t="str">
        <f t="shared" si="487"/>
        <v/>
      </c>
      <c r="E9724" s="534"/>
      <c r="F9724" s="534"/>
    </row>
    <row r="9725" spans="1:6" ht="15" customHeight="1">
      <c r="A9725" s="51"/>
      <c r="B9725" s="52" t="str">
        <f t="shared" si="486"/>
        <v/>
      </c>
      <c r="C9725" t="str">
        <f t="shared" si="485"/>
        <v/>
      </c>
      <c r="D9725" s="245" t="str">
        <f t="shared" si="487"/>
        <v/>
      </c>
      <c r="E9725" s="534"/>
      <c r="F9725" s="534"/>
    </row>
    <row r="9726" spans="1:6" ht="15" customHeight="1">
      <c r="A9726" s="51"/>
      <c r="B9726" s="52" t="str">
        <f t="shared" si="486"/>
        <v/>
      </c>
      <c r="C9726" t="str">
        <f t="shared" si="485"/>
        <v/>
      </c>
      <c r="D9726" s="245" t="str">
        <f t="shared" si="487"/>
        <v/>
      </c>
      <c r="E9726" s="534"/>
      <c r="F9726" s="534"/>
    </row>
    <row r="9727" spans="1:6" ht="15" customHeight="1">
      <c r="A9727" s="51"/>
      <c r="B9727" s="52" t="str">
        <f t="shared" si="486"/>
        <v/>
      </c>
      <c r="C9727" t="str">
        <f t="shared" si="485"/>
        <v/>
      </c>
      <c r="D9727" s="245" t="str">
        <f t="shared" si="487"/>
        <v/>
      </c>
      <c r="E9727" s="534"/>
      <c r="F9727" s="534"/>
    </row>
    <row r="9728" spans="1:6" ht="15" customHeight="1">
      <c r="A9728" s="51"/>
      <c r="B9728" s="52" t="str">
        <f t="shared" si="486"/>
        <v/>
      </c>
      <c r="C9728" t="str">
        <f t="shared" si="485"/>
        <v/>
      </c>
      <c r="D9728" s="245" t="str">
        <f t="shared" si="487"/>
        <v/>
      </c>
      <c r="E9728" s="534"/>
      <c r="F9728" s="534"/>
    </row>
    <row r="9729" spans="1:6" ht="15" customHeight="1">
      <c r="A9729" s="51"/>
      <c r="B9729" s="52" t="str">
        <f t="shared" si="486"/>
        <v/>
      </c>
      <c r="C9729" t="str">
        <f t="shared" si="485"/>
        <v/>
      </c>
      <c r="D9729" s="245" t="str">
        <f t="shared" si="487"/>
        <v/>
      </c>
      <c r="E9729" s="534"/>
      <c r="F9729" s="534"/>
    </row>
    <row r="9730" spans="1:6" ht="15" customHeight="1">
      <c r="A9730" s="51"/>
      <c r="B9730" s="52" t="str">
        <f t="shared" si="486"/>
        <v/>
      </c>
      <c r="C9730" t="str">
        <f t="shared" ref="C9730:C9793" si="488">IF(A9730&lt;&gt;"",TEXT(A9730,"aaaa"),"")</f>
        <v/>
      </c>
      <c r="D9730" s="245" t="str">
        <f t="shared" si="487"/>
        <v/>
      </c>
      <c r="E9730" s="534"/>
      <c r="F9730" s="534"/>
    </row>
    <row r="9731" spans="1:6" ht="15" customHeight="1">
      <c r="A9731" s="51"/>
      <c r="B9731" s="52" t="str">
        <f t="shared" si="486"/>
        <v/>
      </c>
      <c r="C9731" t="str">
        <f t="shared" si="488"/>
        <v/>
      </c>
      <c r="D9731" s="245" t="str">
        <f t="shared" si="487"/>
        <v/>
      </c>
      <c r="E9731" s="534"/>
      <c r="F9731" s="534"/>
    </row>
    <row r="9732" spans="1:6" ht="15" customHeight="1">
      <c r="A9732" s="51"/>
      <c r="B9732" s="52" t="str">
        <f t="shared" si="486"/>
        <v/>
      </c>
      <c r="C9732" t="str">
        <f t="shared" si="488"/>
        <v/>
      </c>
      <c r="D9732" s="245" t="str">
        <f t="shared" si="487"/>
        <v/>
      </c>
      <c r="E9732" s="534"/>
      <c r="F9732" s="534"/>
    </row>
    <row r="9733" spans="1:6" ht="15" customHeight="1">
      <c r="A9733" s="51"/>
      <c r="B9733" s="52" t="str">
        <f t="shared" si="486"/>
        <v/>
      </c>
      <c r="C9733" t="str">
        <f t="shared" si="488"/>
        <v/>
      </c>
      <c r="D9733" s="245" t="str">
        <f t="shared" si="487"/>
        <v/>
      </c>
      <c r="E9733" s="534"/>
      <c r="F9733" s="534"/>
    </row>
    <row r="9734" spans="1:6" ht="15" customHeight="1">
      <c r="A9734" s="51"/>
      <c r="B9734" s="52" t="str">
        <f t="shared" si="486"/>
        <v/>
      </c>
      <c r="C9734" t="str">
        <f t="shared" si="488"/>
        <v/>
      </c>
      <c r="D9734" s="245" t="str">
        <f t="shared" si="487"/>
        <v/>
      </c>
      <c r="E9734" s="534"/>
      <c r="F9734" s="534"/>
    </row>
    <row r="9735" spans="1:6" ht="15" customHeight="1">
      <c r="A9735" s="51"/>
      <c r="B9735" s="52" t="str">
        <f t="shared" si="486"/>
        <v/>
      </c>
      <c r="C9735" t="str">
        <f t="shared" si="488"/>
        <v/>
      </c>
      <c r="D9735" s="245" t="str">
        <f t="shared" si="487"/>
        <v/>
      </c>
      <c r="E9735" s="534"/>
      <c r="F9735" s="534"/>
    </row>
    <row r="9736" spans="1:6" ht="15" customHeight="1">
      <c r="A9736" s="51"/>
      <c r="B9736" s="52" t="str">
        <f t="shared" ref="B9736:B9799" si="489">IF(A9736="","",TEXT(A9736,"DDDD"))</f>
        <v/>
      </c>
      <c r="C9736" t="str">
        <f t="shared" si="488"/>
        <v/>
      </c>
      <c r="D9736" s="245" t="str">
        <f t="shared" si="487"/>
        <v/>
      </c>
      <c r="E9736" s="534"/>
      <c r="F9736" s="534"/>
    </row>
    <row r="9737" spans="1:6" ht="15" customHeight="1">
      <c r="A9737" s="51"/>
      <c r="B9737" s="52" t="str">
        <f t="shared" si="489"/>
        <v/>
      </c>
      <c r="C9737" t="str">
        <f t="shared" si="488"/>
        <v/>
      </c>
      <c r="D9737" s="245" t="str">
        <f t="shared" ref="D9737:D9800" si="490">IF(A9737&lt;&gt;"",PROPER(TEXT(A9737,"Mmmm")),"")</f>
        <v/>
      </c>
      <c r="E9737" s="534"/>
      <c r="F9737" s="534"/>
    </row>
    <row r="9738" spans="1:6" ht="15" customHeight="1">
      <c r="A9738" s="51"/>
      <c r="B9738" s="52" t="str">
        <f t="shared" si="489"/>
        <v/>
      </c>
      <c r="C9738" t="str">
        <f t="shared" si="488"/>
        <v/>
      </c>
      <c r="D9738" s="245" t="str">
        <f t="shared" si="490"/>
        <v/>
      </c>
      <c r="E9738" s="534"/>
      <c r="F9738" s="534"/>
    </row>
    <row r="9739" spans="1:6" ht="15" customHeight="1">
      <c r="A9739" s="51"/>
      <c r="B9739" s="52" t="str">
        <f t="shared" si="489"/>
        <v/>
      </c>
      <c r="C9739" t="str">
        <f t="shared" si="488"/>
        <v/>
      </c>
      <c r="D9739" s="245" t="str">
        <f t="shared" si="490"/>
        <v/>
      </c>
      <c r="E9739" s="534"/>
      <c r="F9739" s="534"/>
    </row>
    <row r="9740" spans="1:6" ht="15" customHeight="1">
      <c r="A9740" s="51"/>
      <c r="B9740" s="52" t="str">
        <f t="shared" si="489"/>
        <v/>
      </c>
      <c r="C9740" t="str">
        <f t="shared" si="488"/>
        <v/>
      </c>
      <c r="D9740" s="245" t="str">
        <f t="shared" si="490"/>
        <v/>
      </c>
      <c r="E9740" s="534"/>
      <c r="F9740" s="534"/>
    </row>
    <row r="9741" spans="1:6" ht="15" customHeight="1">
      <c r="A9741" s="51"/>
      <c r="B9741" s="52" t="str">
        <f t="shared" si="489"/>
        <v/>
      </c>
      <c r="C9741" t="str">
        <f t="shared" si="488"/>
        <v/>
      </c>
      <c r="D9741" s="245" t="str">
        <f t="shared" si="490"/>
        <v/>
      </c>
      <c r="E9741" s="534"/>
      <c r="F9741" s="534"/>
    </row>
    <row r="9742" spans="1:6" ht="15" customHeight="1">
      <c r="A9742" s="51"/>
      <c r="B9742" s="52" t="str">
        <f t="shared" si="489"/>
        <v/>
      </c>
      <c r="C9742" t="str">
        <f t="shared" si="488"/>
        <v/>
      </c>
      <c r="D9742" s="245" t="str">
        <f t="shared" si="490"/>
        <v/>
      </c>
      <c r="E9742" s="534"/>
      <c r="F9742" s="534"/>
    </row>
    <row r="9743" spans="1:6" ht="15" customHeight="1">
      <c r="A9743" s="51"/>
      <c r="B9743" s="52" t="str">
        <f t="shared" si="489"/>
        <v/>
      </c>
      <c r="C9743" t="str">
        <f t="shared" si="488"/>
        <v/>
      </c>
      <c r="D9743" s="245" t="str">
        <f t="shared" si="490"/>
        <v/>
      </c>
      <c r="E9743" s="534"/>
      <c r="F9743" s="534"/>
    </row>
    <row r="9744" spans="1:6" ht="15" customHeight="1">
      <c r="A9744" s="51"/>
      <c r="B9744" s="52" t="str">
        <f t="shared" si="489"/>
        <v/>
      </c>
      <c r="C9744" t="str">
        <f t="shared" si="488"/>
        <v/>
      </c>
      <c r="D9744" s="245" t="str">
        <f t="shared" si="490"/>
        <v/>
      </c>
      <c r="E9744" s="534"/>
      <c r="F9744" s="534"/>
    </row>
    <row r="9745" spans="1:6" ht="15" customHeight="1">
      <c r="A9745" s="51"/>
      <c r="B9745" s="52" t="str">
        <f t="shared" si="489"/>
        <v/>
      </c>
      <c r="C9745" t="str">
        <f t="shared" si="488"/>
        <v/>
      </c>
      <c r="D9745" s="245" t="str">
        <f t="shared" si="490"/>
        <v/>
      </c>
      <c r="E9745" s="534"/>
      <c r="F9745" s="534"/>
    </row>
    <row r="9746" spans="1:6" ht="15" customHeight="1">
      <c r="A9746" s="51"/>
      <c r="B9746" s="52" t="str">
        <f t="shared" si="489"/>
        <v/>
      </c>
      <c r="C9746" t="str">
        <f t="shared" si="488"/>
        <v/>
      </c>
      <c r="D9746" s="245" t="str">
        <f t="shared" si="490"/>
        <v/>
      </c>
      <c r="E9746" s="534"/>
      <c r="F9746" s="534"/>
    </row>
    <row r="9747" spans="1:6" ht="15" customHeight="1">
      <c r="A9747" s="51"/>
      <c r="B9747" s="52" t="str">
        <f t="shared" si="489"/>
        <v/>
      </c>
      <c r="C9747" t="str">
        <f t="shared" si="488"/>
        <v/>
      </c>
      <c r="D9747" s="245" t="str">
        <f t="shared" si="490"/>
        <v/>
      </c>
      <c r="E9747" s="534"/>
      <c r="F9747" s="534"/>
    </row>
    <row r="9748" spans="1:6" ht="15" customHeight="1">
      <c r="A9748" s="51"/>
      <c r="B9748" s="52" t="str">
        <f t="shared" si="489"/>
        <v/>
      </c>
      <c r="C9748" t="str">
        <f t="shared" si="488"/>
        <v/>
      </c>
      <c r="D9748" s="245" t="str">
        <f t="shared" si="490"/>
        <v/>
      </c>
      <c r="E9748" s="534"/>
      <c r="F9748" s="534"/>
    </row>
    <row r="9749" spans="1:6" ht="15" customHeight="1">
      <c r="A9749" s="51"/>
      <c r="B9749" s="52" t="str">
        <f t="shared" si="489"/>
        <v/>
      </c>
      <c r="C9749" t="str">
        <f t="shared" si="488"/>
        <v/>
      </c>
      <c r="D9749" s="245" t="str">
        <f t="shared" si="490"/>
        <v/>
      </c>
      <c r="E9749" s="534"/>
      <c r="F9749" s="534"/>
    </row>
    <row r="9750" spans="1:6" ht="15" customHeight="1">
      <c r="A9750" s="51"/>
      <c r="B9750" s="52" t="str">
        <f t="shared" si="489"/>
        <v/>
      </c>
      <c r="C9750" t="str">
        <f t="shared" si="488"/>
        <v/>
      </c>
      <c r="D9750" s="245" t="str">
        <f t="shared" si="490"/>
        <v/>
      </c>
      <c r="E9750" s="534"/>
      <c r="F9750" s="534"/>
    </row>
    <row r="9751" spans="1:6" ht="15" customHeight="1">
      <c r="A9751" s="51"/>
      <c r="B9751" s="52" t="str">
        <f t="shared" si="489"/>
        <v/>
      </c>
      <c r="C9751" t="str">
        <f t="shared" si="488"/>
        <v/>
      </c>
      <c r="D9751" s="245" t="str">
        <f t="shared" si="490"/>
        <v/>
      </c>
      <c r="E9751" s="534"/>
      <c r="F9751" s="534"/>
    </row>
    <row r="9752" spans="1:6" ht="15" customHeight="1">
      <c r="A9752" s="51"/>
      <c r="B9752" s="52" t="str">
        <f t="shared" si="489"/>
        <v/>
      </c>
      <c r="C9752" t="str">
        <f t="shared" si="488"/>
        <v/>
      </c>
      <c r="D9752" s="245" t="str">
        <f t="shared" si="490"/>
        <v/>
      </c>
      <c r="E9752" s="534"/>
      <c r="F9752" s="534"/>
    </row>
    <row r="9753" spans="1:6" ht="15" customHeight="1">
      <c r="A9753" s="51"/>
      <c r="B9753" s="52" t="str">
        <f t="shared" si="489"/>
        <v/>
      </c>
      <c r="C9753" t="str">
        <f t="shared" si="488"/>
        <v/>
      </c>
      <c r="D9753" s="245" t="str">
        <f t="shared" si="490"/>
        <v/>
      </c>
      <c r="E9753" s="534"/>
      <c r="F9753" s="534"/>
    </row>
    <row r="9754" spans="1:6" ht="15" customHeight="1">
      <c r="A9754" s="51"/>
      <c r="B9754" s="52" t="str">
        <f t="shared" si="489"/>
        <v/>
      </c>
      <c r="C9754" t="str">
        <f t="shared" si="488"/>
        <v/>
      </c>
      <c r="D9754" s="245" t="str">
        <f t="shared" si="490"/>
        <v/>
      </c>
      <c r="E9754" s="534"/>
      <c r="F9754" s="534"/>
    </row>
    <row r="9755" spans="1:6" ht="15" customHeight="1">
      <c r="A9755" s="51"/>
      <c r="B9755" s="52" t="str">
        <f t="shared" si="489"/>
        <v/>
      </c>
      <c r="C9755" t="str">
        <f t="shared" si="488"/>
        <v/>
      </c>
      <c r="D9755" s="245" t="str">
        <f t="shared" si="490"/>
        <v/>
      </c>
      <c r="E9755" s="534"/>
      <c r="F9755" s="534"/>
    </row>
    <row r="9756" spans="1:6" ht="15" customHeight="1">
      <c r="A9756" s="51"/>
      <c r="B9756" s="52" t="str">
        <f t="shared" si="489"/>
        <v/>
      </c>
      <c r="C9756" t="str">
        <f t="shared" si="488"/>
        <v/>
      </c>
      <c r="D9756" s="245" t="str">
        <f t="shared" si="490"/>
        <v/>
      </c>
      <c r="E9756" s="534"/>
      <c r="F9756" s="534"/>
    </row>
    <row r="9757" spans="1:6" ht="15" customHeight="1">
      <c r="A9757" s="51"/>
      <c r="B9757" s="52" t="str">
        <f t="shared" si="489"/>
        <v/>
      </c>
      <c r="C9757" t="str">
        <f t="shared" si="488"/>
        <v/>
      </c>
      <c r="D9757" s="245" t="str">
        <f t="shared" si="490"/>
        <v/>
      </c>
      <c r="E9757" s="534"/>
      <c r="F9757" s="534"/>
    </row>
    <row r="9758" spans="1:6" ht="15" customHeight="1">
      <c r="A9758" s="51"/>
      <c r="B9758" s="52" t="str">
        <f t="shared" si="489"/>
        <v/>
      </c>
      <c r="C9758" t="str">
        <f t="shared" si="488"/>
        <v/>
      </c>
      <c r="D9758" s="245" t="str">
        <f t="shared" si="490"/>
        <v/>
      </c>
      <c r="E9758" s="534"/>
      <c r="F9758" s="534"/>
    </row>
    <row r="9759" spans="1:6" ht="15" customHeight="1">
      <c r="A9759" s="51"/>
      <c r="B9759" s="52" t="str">
        <f t="shared" si="489"/>
        <v/>
      </c>
      <c r="C9759" t="str">
        <f t="shared" si="488"/>
        <v/>
      </c>
      <c r="D9759" s="245" t="str">
        <f t="shared" si="490"/>
        <v/>
      </c>
      <c r="E9759" s="534"/>
      <c r="F9759" s="534"/>
    </row>
    <row r="9760" spans="1:6" ht="15" customHeight="1">
      <c r="A9760" s="51"/>
      <c r="B9760" s="52" t="str">
        <f t="shared" si="489"/>
        <v/>
      </c>
      <c r="C9760" t="str">
        <f t="shared" si="488"/>
        <v/>
      </c>
      <c r="D9760" s="245" t="str">
        <f t="shared" si="490"/>
        <v/>
      </c>
      <c r="E9760" s="534"/>
      <c r="F9760" s="534"/>
    </row>
    <row r="9761" spans="1:6" ht="15" customHeight="1">
      <c r="A9761" s="51"/>
      <c r="B9761" s="52" t="str">
        <f t="shared" si="489"/>
        <v/>
      </c>
      <c r="C9761" t="str">
        <f t="shared" si="488"/>
        <v/>
      </c>
      <c r="D9761" s="245" t="str">
        <f t="shared" si="490"/>
        <v/>
      </c>
      <c r="E9761" s="534"/>
      <c r="F9761" s="534"/>
    </row>
    <row r="9762" spans="1:6" ht="15" customHeight="1">
      <c r="A9762" s="51"/>
      <c r="B9762" s="52" t="str">
        <f t="shared" si="489"/>
        <v/>
      </c>
      <c r="C9762" t="str">
        <f t="shared" si="488"/>
        <v/>
      </c>
      <c r="D9762" s="245" t="str">
        <f t="shared" si="490"/>
        <v/>
      </c>
      <c r="E9762" s="534"/>
      <c r="F9762" s="534"/>
    </row>
    <row r="9763" spans="1:6" ht="15" customHeight="1">
      <c r="A9763" s="51"/>
      <c r="B9763" s="52" t="str">
        <f t="shared" si="489"/>
        <v/>
      </c>
      <c r="C9763" t="str">
        <f t="shared" si="488"/>
        <v/>
      </c>
      <c r="D9763" s="245" t="str">
        <f t="shared" si="490"/>
        <v/>
      </c>
      <c r="E9763" s="534"/>
      <c r="F9763" s="534"/>
    </row>
    <row r="9764" spans="1:6" ht="15" customHeight="1">
      <c r="A9764" s="51"/>
      <c r="B9764" s="52" t="str">
        <f t="shared" si="489"/>
        <v/>
      </c>
      <c r="C9764" t="str">
        <f t="shared" si="488"/>
        <v/>
      </c>
      <c r="D9764" s="245" t="str">
        <f t="shared" si="490"/>
        <v/>
      </c>
      <c r="E9764" s="534"/>
      <c r="F9764" s="534"/>
    </row>
    <row r="9765" spans="1:6" ht="15" customHeight="1">
      <c r="A9765" s="51"/>
      <c r="B9765" s="52" t="str">
        <f t="shared" si="489"/>
        <v/>
      </c>
      <c r="C9765" t="str">
        <f t="shared" si="488"/>
        <v/>
      </c>
      <c r="D9765" s="245" t="str">
        <f t="shared" si="490"/>
        <v/>
      </c>
      <c r="E9765" s="534"/>
      <c r="F9765" s="534"/>
    </row>
    <row r="9766" spans="1:6" ht="15" customHeight="1">
      <c r="A9766" s="51"/>
      <c r="B9766" s="52" t="str">
        <f t="shared" si="489"/>
        <v/>
      </c>
      <c r="C9766" t="str">
        <f t="shared" si="488"/>
        <v/>
      </c>
      <c r="D9766" s="245" t="str">
        <f t="shared" si="490"/>
        <v/>
      </c>
      <c r="E9766" s="534"/>
      <c r="F9766" s="534"/>
    </row>
    <row r="9767" spans="1:6" ht="15" customHeight="1">
      <c r="A9767" s="51"/>
      <c r="B9767" s="52" t="str">
        <f t="shared" si="489"/>
        <v/>
      </c>
      <c r="C9767" t="str">
        <f t="shared" si="488"/>
        <v/>
      </c>
      <c r="D9767" s="245" t="str">
        <f t="shared" si="490"/>
        <v/>
      </c>
      <c r="E9767" s="534"/>
      <c r="F9767" s="534"/>
    </row>
    <row r="9768" spans="1:6" ht="15" customHeight="1">
      <c r="A9768" s="51"/>
      <c r="B9768" s="52" t="str">
        <f t="shared" si="489"/>
        <v/>
      </c>
      <c r="C9768" t="str">
        <f t="shared" si="488"/>
        <v/>
      </c>
      <c r="D9768" s="245" t="str">
        <f t="shared" si="490"/>
        <v/>
      </c>
      <c r="E9768" s="534"/>
      <c r="F9768" s="534"/>
    </row>
    <row r="9769" spans="1:6" ht="15" customHeight="1">
      <c r="A9769" s="51"/>
      <c r="B9769" s="52" t="str">
        <f t="shared" si="489"/>
        <v/>
      </c>
      <c r="C9769" t="str">
        <f t="shared" si="488"/>
        <v/>
      </c>
      <c r="D9769" s="245" t="str">
        <f t="shared" si="490"/>
        <v/>
      </c>
      <c r="E9769" s="534"/>
      <c r="F9769" s="534"/>
    </row>
    <row r="9770" spans="1:6" ht="15" customHeight="1">
      <c r="A9770" s="51"/>
      <c r="B9770" s="52" t="str">
        <f t="shared" si="489"/>
        <v/>
      </c>
      <c r="C9770" t="str">
        <f t="shared" si="488"/>
        <v/>
      </c>
      <c r="D9770" s="245" t="str">
        <f t="shared" si="490"/>
        <v/>
      </c>
      <c r="E9770" s="534"/>
      <c r="F9770" s="534"/>
    </row>
    <row r="9771" spans="1:6" ht="15" customHeight="1">
      <c r="A9771" s="51"/>
      <c r="B9771" s="52" t="str">
        <f t="shared" si="489"/>
        <v/>
      </c>
      <c r="C9771" t="str">
        <f t="shared" si="488"/>
        <v/>
      </c>
      <c r="D9771" s="245" t="str">
        <f t="shared" si="490"/>
        <v/>
      </c>
      <c r="E9771" s="534"/>
      <c r="F9771" s="534"/>
    </row>
    <row r="9772" spans="1:6" ht="15" customHeight="1">
      <c r="A9772" s="51"/>
      <c r="B9772" s="52" t="str">
        <f t="shared" si="489"/>
        <v/>
      </c>
      <c r="C9772" t="str">
        <f t="shared" si="488"/>
        <v/>
      </c>
      <c r="D9772" s="245" t="str">
        <f t="shared" si="490"/>
        <v/>
      </c>
      <c r="E9772" s="534"/>
      <c r="F9772" s="534"/>
    </row>
    <row r="9773" spans="1:6" ht="15" customHeight="1">
      <c r="A9773" s="51"/>
      <c r="B9773" s="52" t="str">
        <f t="shared" si="489"/>
        <v/>
      </c>
      <c r="C9773" t="str">
        <f t="shared" si="488"/>
        <v/>
      </c>
      <c r="D9773" s="245" t="str">
        <f t="shared" si="490"/>
        <v/>
      </c>
      <c r="E9773" s="534"/>
      <c r="F9773" s="534"/>
    </row>
    <row r="9774" spans="1:6" ht="15" customHeight="1">
      <c r="A9774" s="51"/>
      <c r="B9774" s="52" t="str">
        <f t="shared" si="489"/>
        <v/>
      </c>
      <c r="C9774" t="str">
        <f t="shared" si="488"/>
        <v/>
      </c>
      <c r="D9774" s="245" t="str">
        <f t="shared" si="490"/>
        <v/>
      </c>
      <c r="E9774" s="534"/>
      <c r="F9774" s="534"/>
    </row>
    <row r="9775" spans="1:6" ht="15" customHeight="1">
      <c r="A9775" s="51"/>
      <c r="B9775" s="52" t="str">
        <f t="shared" si="489"/>
        <v/>
      </c>
      <c r="C9775" t="str">
        <f t="shared" si="488"/>
        <v/>
      </c>
      <c r="D9775" s="245" t="str">
        <f t="shared" si="490"/>
        <v/>
      </c>
      <c r="E9775" s="534"/>
      <c r="F9775" s="534"/>
    </row>
    <row r="9776" spans="1:6" ht="15" customHeight="1">
      <c r="A9776" s="51"/>
      <c r="B9776" s="52" t="str">
        <f t="shared" si="489"/>
        <v/>
      </c>
      <c r="C9776" t="str">
        <f t="shared" si="488"/>
        <v/>
      </c>
      <c r="D9776" s="245" t="str">
        <f t="shared" si="490"/>
        <v/>
      </c>
      <c r="E9776" s="534"/>
      <c r="F9776" s="534"/>
    </row>
    <row r="9777" spans="1:6" ht="15" customHeight="1">
      <c r="A9777" s="51"/>
      <c r="B9777" s="52" t="str">
        <f t="shared" si="489"/>
        <v/>
      </c>
      <c r="C9777" t="str">
        <f t="shared" si="488"/>
        <v/>
      </c>
      <c r="D9777" s="245" t="str">
        <f t="shared" si="490"/>
        <v/>
      </c>
      <c r="E9777" s="534"/>
      <c r="F9777" s="534"/>
    </row>
    <row r="9778" spans="1:6" ht="15" customHeight="1">
      <c r="A9778" s="51"/>
      <c r="B9778" s="52" t="str">
        <f t="shared" si="489"/>
        <v/>
      </c>
      <c r="C9778" t="str">
        <f t="shared" si="488"/>
        <v/>
      </c>
      <c r="D9778" s="245" t="str">
        <f t="shared" si="490"/>
        <v/>
      </c>
      <c r="E9778" s="534"/>
      <c r="F9778" s="534"/>
    </row>
    <row r="9779" spans="1:6" ht="15" customHeight="1">
      <c r="A9779" s="51"/>
      <c r="B9779" s="52" t="str">
        <f t="shared" si="489"/>
        <v/>
      </c>
      <c r="C9779" t="str">
        <f t="shared" si="488"/>
        <v/>
      </c>
      <c r="D9779" s="245" t="str">
        <f t="shared" si="490"/>
        <v/>
      </c>
      <c r="E9779" s="534"/>
      <c r="F9779" s="534"/>
    </row>
    <row r="9780" spans="1:6" ht="15" customHeight="1">
      <c r="A9780" s="51"/>
      <c r="B9780" s="52" t="str">
        <f t="shared" si="489"/>
        <v/>
      </c>
      <c r="C9780" t="str">
        <f t="shared" si="488"/>
        <v/>
      </c>
      <c r="D9780" s="245" t="str">
        <f t="shared" si="490"/>
        <v/>
      </c>
      <c r="E9780" s="534"/>
      <c r="F9780" s="534"/>
    </row>
    <row r="9781" spans="1:6" ht="15" customHeight="1">
      <c r="A9781" s="51"/>
      <c r="B9781" s="52" t="str">
        <f t="shared" si="489"/>
        <v/>
      </c>
      <c r="C9781" t="str">
        <f t="shared" si="488"/>
        <v/>
      </c>
      <c r="D9781" s="245" t="str">
        <f t="shared" si="490"/>
        <v/>
      </c>
      <c r="E9781" s="534"/>
      <c r="F9781" s="534"/>
    </row>
    <row r="9782" spans="1:6" ht="15" customHeight="1">
      <c r="A9782" s="51"/>
      <c r="B9782" s="52" t="str">
        <f t="shared" si="489"/>
        <v/>
      </c>
      <c r="C9782" t="str">
        <f t="shared" si="488"/>
        <v/>
      </c>
      <c r="D9782" s="245" t="str">
        <f t="shared" si="490"/>
        <v/>
      </c>
      <c r="E9782" s="534"/>
      <c r="F9782" s="534"/>
    </row>
    <row r="9783" spans="1:6" ht="15" customHeight="1">
      <c r="A9783" s="51"/>
      <c r="B9783" s="52" t="str">
        <f t="shared" si="489"/>
        <v/>
      </c>
      <c r="C9783" t="str">
        <f t="shared" si="488"/>
        <v/>
      </c>
      <c r="D9783" s="245" t="str">
        <f t="shared" si="490"/>
        <v/>
      </c>
      <c r="E9783" s="534"/>
      <c r="F9783" s="534"/>
    </row>
    <row r="9784" spans="1:6" ht="15" customHeight="1">
      <c r="A9784" s="51"/>
      <c r="B9784" s="52" t="str">
        <f t="shared" si="489"/>
        <v/>
      </c>
      <c r="C9784" t="str">
        <f t="shared" si="488"/>
        <v/>
      </c>
      <c r="D9784" s="245" t="str">
        <f t="shared" si="490"/>
        <v/>
      </c>
      <c r="E9784" s="534"/>
      <c r="F9784" s="534"/>
    </row>
    <row r="9785" spans="1:6" ht="15" customHeight="1">
      <c r="A9785" s="51"/>
      <c r="B9785" s="52" t="str">
        <f t="shared" si="489"/>
        <v/>
      </c>
      <c r="C9785" t="str">
        <f t="shared" si="488"/>
        <v/>
      </c>
      <c r="D9785" s="245" t="str">
        <f t="shared" si="490"/>
        <v/>
      </c>
      <c r="E9785" s="534"/>
      <c r="F9785" s="534"/>
    </row>
    <row r="9786" spans="1:6" ht="15" customHeight="1">
      <c r="A9786" s="51"/>
      <c r="B9786" s="52" t="str">
        <f t="shared" si="489"/>
        <v/>
      </c>
      <c r="C9786" t="str">
        <f t="shared" si="488"/>
        <v/>
      </c>
      <c r="D9786" s="245" t="str">
        <f t="shared" si="490"/>
        <v/>
      </c>
      <c r="E9786" s="534"/>
      <c r="F9786" s="534"/>
    </row>
    <row r="9787" spans="1:6" ht="15" customHeight="1">
      <c r="A9787" s="51"/>
      <c r="B9787" s="52" t="str">
        <f t="shared" si="489"/>
        <v/>
      </c>
      <c r="C9787" t="str">
        <f t="shared" si="488"/>
        <v/>
      </c>
      <c r="D9787" s="245" t="str">
        <f t="shared" si="490"/>
        <v/>
      </c>
      <c r="E9787" s="534"/>
      <c r="F9787" s="534"/>
    </row>
    <row r="9788" spans="1:6" ht="15" customHeight="1">
      <c r="A9788" s="51"/>
      <c r="B9788" s="52" t="str">
        <f t="shared" si="489"/>
        <v/>
      </c>
      <c r="C9788" t="str">
        <f t="shared" si="488"/>
        <v/>
      </c>
      <c r="D9788" s="245" t="str">
        <f t="shared" si="490"/>
        <v/>
      </c>
      <c r="E9788" s="534"/>
      <c r="F9788" s="534"/>
    </row>
    <row r="9789" spans="1:6" ht="15" customHeight="1">
      <c r="A9789" s="51"/>
      <c r="B9789" s="52" t="str">
        <f t="shared" si="489"/>
        <v/>
      </c>
      <c r="C9789" t="str">
        <f t="shared" si="488"/>
        <v/>
      </c>
      <c r="D9789" s="245" t="str">
        <f t="shared" si="490"/>
        <v/>
      </c>
      <c r="E9789" s="534"/>
      <c r="F9789" s="534"/>
    </row>
    <row r="9790" spans="1:6" ht="15" customHeight="1">
      <c r="A9790" s="51"/>
      <c r="B9790" s="52" t="str">
        <f t="shared" si="489"/>
        <v/>
      </c>
      <c r="C9790" t="str">
        <f t="shared" si="488"/>
        <v/>
      </c>
      <c r="D9790" s="245" t="str">
        <f t="shared" si="490"/>
        <v/>
      </c>
      <c r="E9790" s="534"/>
      <c r="F9790" s="534"/>
    </row>
    <row r="9791" spans="1:6" ht="15" customHeight="1">
      <c r="A9791" s="51"/>
      <c r="B9791" s="52" t="str">
        <f t="shared" si="489"/>
        <v/>
      </c>
      <c r="C9791" t="str">
        <f t="shared" si="488"/>
        <v/>
      </c>
      <c r="D9791" s="245" t="str">
        <f t="shared" si="490"/>
        <v/>
      </c>
      <c r="E9791" s="534"/>
      <c r="F9791" s="534"/>
    </row>
    <row r="9792" spans="1:6" ht="15" customHeight="1">
      <c r="A9792" s="51"/>
      <c r="B9792" s="52" t="str">
        <f t="shared" si="489"/>
        <v/>
      </c>
      <c r="C9792" t="str">
        <f t="shared" si="488"/>
        <v/>
      </c>
      <c r="D9792" s="245" t="str">
        <f t="shared" si="490"/>
        <v/>
      </c>
      <c r="E9792" s="534"/>
      <c r="F9792" s="534"/>
    </row>
    <row r="9793" spans="1:6" ht="15" customHeight="1">
      <c r="A9793" s="51"/>
      <c r="B9793" s="52" t="str">
        <f t="shared" si="489"/>
        <v/>
      </c>
      <c r="C9793" t="str">
        <f t="shared" si="488"/>
        <v/>
      </c>
      <c r="D9793" s="245" t="str">
        <f t="shared" si="490"/>
        <v/>
      </c>
      <c r="E9793" s="534"/>
      <c r="F9793" s="534"/>
    </row>
    <row r="9794" spans="1:6" ht="15" customHeight="1">
      <c r="A9794" s="51"/>
      <c r="B9794" s="52" t="str">
        <f t="shared" si="489"/>
        <v/>
      </c>
      <c r="C9794" t="str">
        <f t="shared" ref="C9794:C9857" si="491">IF(A9794&lt;&gt;"",TEXT(A9794,"aaaa"),"")</f>
        <v/>
      </c>
      <c r="D9794" s="245" t="str">
        <f t="shared" si="490"/>
        <v/>
      </c>
      <c r="E9794" s="534"/>
      <c r="F9794" s="534"/>
    </row>
    <row r="9795" spans="1:6" ht="15" customHeight="1">
      <c r="A9795" s="51"/>
      <c r="B9795" s="52" t="str">
        <f t="shared" si="489"/>
        <v/>
      </c>
      <c r="C9795" t="str">
        <f t="shared" si="491"/>
        <v/>
      </c>
      <c r="D9795" s="245" t="str">
        <f t="shared" si="490"/>
        <v/>
      </c>
      <c r="E9795" s="534"/>
      <c r="F9795" s="534"/>
    </row>
    <row r="9796" spans="1:6" ht="15" customHeight="1">
      <c r="A9796" s="51"/>
      <c r="B9796" s="52" t="str">
        <f t="shared" si="489"/>
        <v/>
      </c>
      <c r="C9796" t="str">
        <f t="shared" si="491"/>
        <v/>
      </c>
      <c r="D9796" s="245" t="str">
        <f t="shared" si="490"/>
        <v/>
      </c>
      <c r="E9796" s="534"/>
      <c r="F9796" s="534"/>
    </row>
    <row r="9797" spans="1:6" ht="15" customHeight="1">
      <c r="A9797" s="51"/>
      <c r="B9797" s="52" t="str">
        <f t="shared" si="489"/>
        <v/>
      </c>
      <c r="C9797" t="str">
        <f t="shared" si="491"/>
        <v/>
      </c>
      <c r="D9797" s="245" t="str">
        <f t="shared" si="490"/>
        <v/>
      </c>
      <c r="E9797" s="534"/>
      <c r="F9797" s="534"/>
    </row>
    <row r="9798" spans="1:6" ht="15" customHeight="1">
      <c r="A9798" s="51"/>
      <c r="B9798" s="52" t="str">
        <f t="shared" si="489"/>
        <v/>
      </c>
      <c r="C9798" t="str">
        <f t="shared" si="491"/>
        <v/>
      </c>
      <c r="D9798" s="245" t="str">
        <f t="shared" si="490"/>
        <v/>
      </c>
      <c r="E9798" s="534"/>
      <c r="F9798" s="534"/>
    </row>
    <row r="9799" spans="1:6" ht="15" customHeight="1">
      <c r="A9799" s="51"/>
      <c r="B9799" s="52" t="str">
        <f t="shared" si="489"/>
        <v/>
      </c>
      <c r="C9799" t="str">
        <f t="shared" si="491"/>
        <v/>
      </c>
      <c r="D9799" s="245" t="str">
        <f t="shared" si="490"/>
        <v/>
      </c>
      <c r="E9799" s="534"/>
      <c r="F9799" s="534"/>
    </row>
    <row r="9800" spans="1:6" ht="15" customHeight="1">
      <c r="A9800" s="51"/>
      <c r="B9800" s="52" t="str">
        <f t="shared" ref="B9800:B9863" si="492">IF(A9800="","",TEXT(A9800,"DDDD"))</f>
        <v/>
      </c>
      <c r="C9800" t="str">
        <f t="shared" si="491"/>
        <v/>
      </c>
      <c r="D9800" s="245" t="str">
        <f t="shared" si="490"/>
        <v/>
      </c>
      <c r="E9800" s="534"/>
      <c r="F9800" s="534"/>
    </row>
    <row r="9801" spans="1:6" ht="15" customHeight="1">
      <c r="A9801" s="51"/>
      <c r="B9801" s="52" t="str">
        <f t="shared" si="492"/>
        <v/>
      </c>
      <c r="C9801" t="str">
        <f t="shared" si="491"/>
        <v/>
      </c>
      <c r="D9801" s="245" t="str">
        <f t="shared" ref="D9801:D9864" si="493">IF(A9801&lt;&gt;"",PROPER(TEXT(A9801,"Mmmm")),"")</f>
        <v/>
      </c>
      <c r="E9801" s="534"/>
      <c r="F9801" s="534"/>
    </row>
    <row r="9802" spans="1:6" ht="15" customHeight="1">
      <c r="A9802" s="51"/>
      <c r="B9802" s="52" t="str">
        <f t="shared" si="492"/>
        <v/>
      </c>
      <c r="C9802" t="str">
        <f t="shared" si="491"/>
        <v/>
      </c>
      <c r="D9802" s="245" t="str">
        <f t="shared" si="493"/>
        <v/>
      </c>
      <c r="E9802" s="534"/>
      <c r="F9802" s="534"/>
    </row>
    <row r="9803" spans="1:6" ht="15" customHeight="1">
      <c r="A9803" s="51"/>
      <c r="B9803" s="52" t="str">
        <f t="shared" si="492"/>
        <v/>
      </c>
      <c r="C9803" t="str">
        <f t="shared" si="491"/>
        <v/>
      </c>
      <c r="D9803" s="245" t="str">
        <f t="shared" si="493"/>
        <v/>
      </c>
      <c r="E9803" s="534"/>
      <c r="F9803" s="534"/>
    </row>
    <row r="9804" spans="1:6" ht="15" customHeight="1">
      <c r="A9804" s="51"/>
      <c r="B9804" s="52" t="str">
        <f t="shared" si="492"/>
        <v/>
      </c>
      <c r="C9804" t="str">
        <f t="shared" si="491"/>
        <v/>
      </c>
      <c r="D9804" s="245" t="str">
        <f t="shared" si="493"/>
        <v/>
      </c>
      <c r="E9804" s="534"/>
      <c r="F9804" s="534"/>
    </row>
    <row r="9805" spans="1:6" ht="15" customHeight="1">
      <c r="A9805" s="51"/>
      <c r="B9805" s="52" t="str">
        <f t="shared" si="492"/>
        <v/>
      </c>
      <c r="C9805" t="str">
        <f t="shared" si="491"/>
        <v/>
      </c>
      <c r="D9805" s="245" t="str">
        <f t="shared" si="493"/>
        <v/>
      </c>
      <c r="E9805" s="534"/>
      <c r="F9805" s="534"/>
    </row>
    <row r="9806" spans="1:6" ht="15" customHeight="1">
      <c r="A9806" s="51"/>
      <c r="B9806" s="52" t="str">
        <f t="shared" si="492"/>
        <v/>
      </c>
      <c r="C9806" t="str">
        <f t="shared" si="491"/>
        <v/>
      </c>
      <c r="D9806" s="245" t="str">
        <f t="shared" si="493"/>
        <v/>
      </c>
      <c r="E9806" s="534"/>
      <c r="F9806" s="534"/>
    </row>
    <row r="9807" spans="1:6" ht="15" customHeight="1">
      <c r="A9807" s="51"/>
      <c r="B9807" s="52" t="str">
        <f t="shared" si="492"/>
        <v/>
      </c>
      <c r="C9807" t="str">
        <f t="shared" si="491"/>
        <v/>
      </c>
      <c r="D9807" s="245" t="str">
        <f t="shared" si="493"/>
        <v/>
      </c>
      <c r="E9807" s="534"/>
      <c r="F9807" s="534"/>
    </row>
    <row r="9808" spans="1:6" ht="15" customHeight="1">
      <c r="A9808" s="51"/>
      <c r="B9808" s="52" t="str">
        <f t="shared" si="492"/>
        <v/>
      </c>
      <c r="C9808" t="str">
        <f t="shared" si="491"/>
        <v/>
      </c>
      <c r="D9808" s="245" t="str">
        <f t="shared" si="493"/>
        <v/>
      </c>
      <c r="E9808" s="534"/>
      <c r="F9808" s="534"/>
    </row>
    <row r="9809" spans="1:6" ht="15" customHeight="1">
      <c r="A9809" s="51"/>
      <c r="B9809" s="52" t="str">
        <f t="shared" si="492"/>
        <v/>
      </c>
      <c r="C9809" t="str">
        <f t="shared" si="491"/>
        <v/>
      </c>
      <c r="D9809" s="245" t="str">
        <f t="shared" si="493"/>
        <v/>
      </c>
      <c r="E9809" s="534"/>
      <c r="F9809" s="534"/>
    </row>
    <row r="9810" spans="1:6" ht="15" customHeight="1">
      <c r="A9810" s="51"/>
      <c r="B9810" s="52" t="str">
        <f t="shared" si="492"/>
        <v/>
      </c>
      <c r="C9810" t="str">
        <f t="shared" si="491"/>
        <v/>
      </c>
      <c r="D9810" s="245" t="str">
        <f t="shared" si="493"/>
        <v/>
      </c>
      <c r="E9810" s="534"/>
      <c r="F9810" s="534"/>
    </row>
    <row r="9811" spans="1:6" ht="15" customHeight="1">
      <c r="A9811" s="51"/>
      <c r="B9811" s="52" t="str">
        <f t="shared" si="492"/>
        <v/>
      </c>
      <c r="C9811" t="str">
        <f t="shared" si="491"/>
        <v/>
      </c>
      <c r="D9811" s="245" t="str">
        <f t="shared" si="493"/>
        <v/>
      </c>
      <c r="E9811" s="534"/>
      <c r="F9811" s="534"/>
    </row>
    <row r="9812" spans="1:6" ht="15" customHeight="1">
      <c r="A9812" s="51"/>
      <c r="B9812" s="52" t="str">
        <f t="shared" si="492"/>
        <v/>
      </c>
      <c r="C9812" t="str">
        <f t="shared" si="491"/>
        <v/>
      </c>
      <c r="D9812" s="245" t="str">
        <f t="shared" si="493"/>
        <v/>
      </c>
      <c r="E9812" s="534"/>
      <c r="F9812" s="534"/>
    </row>
    <row r="9813" spans="1:6" ht="15" customHeight="1">
      <c r="A9813" s="51"/>
      <c r="B9813" s="52" t="str">
        <f t="shared" si="492"/>
        <v/>
      </c>
      <c r="C9813" t="str">
        <f t="shared" si="491"/>
        <v/>
      </c>
      <c r="D9813" s="245" t="str">
        <f t="shared" si="493"/>
        <v/>
      </c>
      <c r="E9813" s="534"/>
      <c r="F9813" s="534"/>
    </row>
    <row r="9814" spans="1:6" ht="15" customHeight="1">
      <c r="A9814" s="51"/>
      <c r="B9814" s="52" t="str">
        <f t="shared" si="492"/>
        <v/>
      </c>
      <c r="C9814" t="str">
        <f t="shared" si="491"/>
        <v/>
      </c>
      <c r="D9814" s="245" t="str">
        <f t="shared" si="493"/>
        <v/>
      </c>
      <c r="E9814" s="534"/>
      <c r="F9814" s="534"/>
    </row>
    <row r="9815" spans="1:6" ht="15" customHeight="1">
      <c r="A9815" s="51"/>
      <c r="B9815" s="52" t="str">
        <f t="shared" si="492"/>
        <v/>
      </c>
      <c r="C9815" t="str">
        <f t="shared" si="491"/>
        <v/>
      </c>
      <c r="D9815" s="245" t="str">
        <f t="shared" si="493"/>
        <v/>
      </c>
      <c r="E9815" s="534"/>
      <c r="F9815" s="534"/>
    </row>
    <row r="9816" spans="1:6" ht="15" customHeight="1">
      <c r="A9816" s="51"/>
      <c r="B9816" s="52" t="str">
        <f t="shared" si="492"/>
        <v/>
      </c>
      <c r="C9816" t="str">
        <f t="shared" si="491"/>
        <v/>
      </c>
      <c r="D9816" s="245" t="str">
        <f t="shared" si="493"/>
        <v/>
      </c>
      <c r="E9816" s="534"/>
      <c r="F9816" s="534"/>
    </row>
    <row r="9817" spans="1:6" ht="15" customHeight="1">
      <c r="A9817" s="51"/>
      <c r="B9817" s="52" t="str">
        <f t="shared" si="492"/>
        <v/>
      </c>
      <c r="C9817" t="str">
        <f t="shared" si="491"/>
        <v/>
      </c>
      <c r="D9817" s="245" t="str">
        <f t="shared" si="493"/>
        <v/>
      </c>
      <c r="E9817" s="534"/>
      <c r="F9817" s="534"/>
    </row>
    <row r="9818" spans="1:6" ht="15" customHeight="1">
      <c r="A9818" s="51"/>
      <c r="B9818" s="52" t="str">
        <f t="shared" si="492"/>
        <v/>
      </c>
      <c r="C9818" t="str">
        <f t="shared" si="491"/>
        <v/>
      </c>
      <c r="D9818" s="245" t="str">
        <f t="shared" si="493"/>
        <v/>
      </c>
      <c r="E9818" s="534"/>
      <c r="F9818" s="534"/>
    </row>
    <row r="9819" spans="1:6" ht="15" customHeight="1">
      <c r="A9819" s="51"/>
      <c r="B9819" s="52" t="str">
        <f t="shared" si="492"/>
        <v/>
      </c>
      <c r="C9819" t="str">
        <f t="shared" si="491"/>
        <v/>
      </c>
      <c r="D9819" s="245" t="str">
        <f t="shared" si="493"/>
        <v/>
      </c>
      <c r="E9819" s="534"/>
      <c r="F9819" s="534"/>
    </row>
    <row r="9820" spans="1:6" ht="15" customHeight="1">
      <c r="A9820" s="51"/>
      <c r="B9820" s="52" t="str">
        <f t="shared" si="492"/>
        <v/>
      </c>
      <c r="C9820" t="str">
        <f t="shared" si="491"/>
        <v/>
      </c>
      <c r="D9820" s="245" t="str">
        <f t="shared" si="493"/>
        <v/>
      </c>
      <c r="E9820" s="534"/>
      <c r="F9820" s="534"/>
    </row>
    <row r="9821" spans="1:6" ht="15" customHeight="1">
      <c r="A9821" s="51"/>
      <c r="B9821" s="52" t="str">
        <f t="shared" si="492"/>
        <v/>
      </c>
      <c r="C9821" t="str">
        <f t="shared" si="491"/>
        <v/>
      </c>
      <c r="D9821" s="245" t="str">
        <f t="shared" si="493"/>
        <v/>
      </c>
      <c r="E9821" s="534"/>
      <c r="F9821" s="534"/>
    </row>
    <row r="9822" spans="1:6" ht="15" customHeight="1">
      <c r="A9822" s="51"/>
      <c r="B9822" s="52" t="str">
        <f t="shared" si="492"/>
        <v/>
      </c>
      <c r="C9822" t="str">
        <f t="shared" si="491"/>
        <v/>
      </c>
      <c r="D9822" s="245" t="str">
        <f t="shared" si="493"/>
        <v/>
      </c>
      <c r="E9822" s="534"/>
      <c r="F9822" s="534"/>
    </row>
    <row r="9823" spans="1:6" ht="15" customHeight="1">
      <c r="A9823" s="51"/>
      <c r="B9823" s="52" t="str">
        <f t="shared" si="492"/>
        <v/>
      </c>
      <c r="C9823" t="str">
        <f t="shared" si="491"/>
        <v/>
      </c>
      <c r="D9823" s="245" t="str">
        <f t="shared" si="493"/>
        <v/>
      </c>
      <c r="E9823" s="534"/>
      <c r="F9823" s="534"/>
    </row>
    <row r="9824" spans="1:6" ht="15" customHeight="1">
      <c r="A9824" s="51"/>
      <c r="B9824" s="52" t="str">
        <f t="shared" si="492"/>
        <v/>
      </c>
      <c r="C9824" t="str">
        <f t="shared" si="491"/>
        <v/>
      </c>
      <c r="D9824" s="245" t="str">
        <f t="shared" si="493"/>
        <v/>
      </c>
      <c r="E9824" s="534"/>
      <c r="F9824" s="534"/>
    </row>
    <row r="9825" spans="1:6" ht="15" customHeight="1">
      <c r="A9825" s="51"/>
      <c r="B9825" s="52" t="str">
        <f t="shared" si="492"/>
        <v/>
      </c>
      <c r="C9825" t="str">
        <f t="shared" si="491"/>
        <v/>
      </c>
      <c r="D9825" s="245" t="str">
        <f t="shared" si="493"/>
        <v/>
      </c>
      <c r="E9825" s="534"/>
      <c r="F9825" s="534"/>
    </row>
    <row r="9826" spans="1:6" ht="15" customHeight="1">
      <c r="A9826" s="51"/>
      <c r="B9826" s="52" t="str">
        <f t="shared" si="492"/>
        <v/>
      </c>
      <c r="C9826" t="str">
        <f t="shared" si="491"/>
        <v/>
      </c>
      <c r="D9826" s="245" t="str">
        <f t="shared" si="493"/>
        <v/>
      </c>
      <c r="E9826" s="534"/>
      <c r="F9826" s="534"/>
    </row>
    <row r="9827" spans="1:6" ht="15" customHeight="1">
      <c r="A9827" s="51"/>
      <c r="B9827" s="52" t="str">
        <f t="shared" si="492"/>
        <v/>
      </c>
      <c r="C9827" t="str">
        <f t="shared" si="491"/>
        <v/>
      </c>
      <c r="D9827" s="245" t="str">
        <f t="shared" si="493"/>
        <v/>
      </c>
      <c r="E9827" s="534"/>
      <c r="F9827" s="534"/>
    </row>
    <row r="9828" spans="1:6" ht="15" customHeight="1">
      <c r="A9828" s="51"/>
      <c r="B9828" s="52" t="str">
        <f t="shared" si="492"/>
        <v/>
      </c>
      <c r="C9828" t="str">
        <f t="shared" si="491"/>
        <v/>
      </c>
      <c r="D9828" s="245" t="str">
        <f t="shared" si="493"/>
        <v/>
      </c>
      <c r="E9828" s="534"/>
      <c r="F9828" s="534"/>
    </row>
    <row r="9829" spans="1:6" ht="15" customHeight="1">
      <c r="A9829" s="51"/>
      <c r="B9829" s="52" t="str">
        <f t="shared" si="492"/>
        <v/>
      </c>
      <c r="C9829" t="str">
        <f t="shared" si="491"/>
        <v/>
      </c>
      <c r="D9829" s="245" t="str">
        <f t="shared" si="493"/>
        <v/>
      </c>
      <c r="E9829" s="534"/>
      <c r="F9829" s="534"/>
    </row>
    <row r="9830" spans="1:6" ht="15" customHeight="1">
      <c r="A9830" s="51"/>
      <c r="B9830" s="52" t="str">
        <f t="shared" si="492"/>
        <v/>
      </c>
      <c r="C9830" t="str">
        <f t="shared" si="491"/>
        <v/>
      </c>
      <c r="D9830" s="245" t="str">
        <f t="shared" si="493"/>
        <v/>
      </c>
      <c r="E9830" s="534"/>
      <c r="F9830" s="534"/>
    </row>
    <row r="9831" spans="1:6" ht="15" customHeight="1">
      <c r="A9831" s="51"/>
      <c r="B9831" s="52" t="str">
        <f t="shared" si="492"/>
        <v/>
      </c>
      <c r="C9831" t="str">
        <f t="shared" si="491"/>
        <v/>
      </c>
      <c r="D9831" s="245" t="str">
        <f t="shared" si="493"/>
        <v/>
      </c>
      <c r="E9831" s="534"/>
      <c r="F9831" s="534"/>
    </row>
    <row r="9832" spans="1:6" ht="15" customHeight="1">
      <c r="A9832" s="51"/>
      <c r="B9832" s="52" t="str">
        <f t="shared" si="492"/>
        <v/>
      </c>
      <c r="C9832" t="str">
        <f t="shared" si="491"/>
        <v/>
      </c>
      <c r="D9832" s="245" t="str">
        <f t="shared" si="493"/>
        <v/>
      </c>
      <c r="E9832" s="534"/>
      <c r="F9832" s="534"/>
    </row>
    <row r="9833" spans="1:6" ht="15" customHeight="1">
      <c r="A9833" s="51"/>
      <c r="B9833" s="52" t="str">
        <f t="shared" si="492"/>
        <v/>
      </c>
      <c r="C9833" t="str">
        <f t="shared" si="491"/>
        <v/>
      </c>
      <c r="D9833" s="245" t="str">
        <f t="shared" si="493"/>
        <v/>
      </c>
      <c r="E9833" s="534"/>
      <c r="F9833" s="534"/>
    </row>
    <row r="9834" spans="1:6" ht="15" customHeight="1">
      <c r="A9834" s="51"/>
      <c r="B9834" s="52" t="str">
        <f t="shared" si="492"/>
        <v/>
      </c>
      <c r="C9834" t="str">
        <f t="shared" si="491"/>
        <v/>
      </c>
      <c r="D9834" s="245" t="str">
        <f t="shared" si="493"/>
        <v/>
      </c>
      <c r="E9834" s="534"/>
      <c r="F9834" s="534"/>
    </row>
    <row r="9835" spans="1:6" ht="15" customHeight="1">
      <c r="A9835" s="51"/>
      <c r="B9835" s="52" t="str">
        <f t="shared" si="492"/>
        <v/>
      </c>
      <c r="C9835" t="str">
        <f t="shared" si="491"/>
        <v/>
      </c>
      <c r="D9835" s="245" t="str">
        <f t="shared" si="493"/>
        <v/>
      </c>
      <c r="E9835" s="534"/>
      <c r="F9835" s="534"/>
    </row>
    <row r="9836" spans="1:6" ht="15" customHeight="1">
      <c r="A9836" s="51"/>
      <c r="B9836" s="52" t="str">
        <f t="shared" si="492"/>
        <v/>
      </c>
      <c r="C9836" t="str">
        <f t="shared" si="491"/>
        <v/>
      </c>
      <c r="D9836" s="245" t="str">
        <f t="shared" si="493"/>
        <v/>
      </c>
      <c r="E9836" s="534"/>
      <c r="F9836" s="534"/>
    </row>
    <row r="9837" spans="1:6" ht="15" customHeight="1">
      <c r="A9837" s="51"/>
      <c r="B9837" s="52" t="str">
        <f t="shared" si="492"/>
        <v/>
      </c>
      <c r="C9837" t="str">
        <f t="shared" si="491"/>
        <v/>
      </c>
      <c r="D9837" s="245" t="str">
        <f t="shared" si="493"/>
        <v/>
      </c>
      <c r="E9837" s="534"/>
      <c r="F9837" s="534"/>
    </row>
    <row r="9838" spans="1:6" ht="15" customHeight="1">
      <c r="A9838" s="51"/>
      <c r="B9838" s="52" t="str">
        <f t="shared" si="492"/>
        <v/>
      </c>
      <c r="C9838" t="str">
        <f t="shared" si="491"/>
        <v/>
      </c>
      <c r="D9838" s="245" t="str">
        <f t="shared" si="493"/>
        <v/>
      </c>
      <c r="E9838" s="534"/>
      <c r="F9838" s="534"/>
    </row>
    <row r="9839" spans="1:6" ht="15" customHeight="1">
      <c r="A9839" s="51"/>
      <c r="B9839" s="52" t="str">
        <f t="shared" si="492"/>
        <v/>
      </c>
      <c r="C9839" t="str">
        <f t="shared" si="491"/>
        <v/>
      </c>
      <c r="D9839" s="245" t="str">
        <f t="shared" si="493"/>
        <v/>
      </c>
      <c r="E9839" s="534"/>
      <c r="F9839" s="534"/>
    </row>
    <row r="9840" spans="1:6" ht="15" customHeight="1">
      <c r="A9840" s="51"/>
      <c r="B9840" s="52" t="str">
        <f t="shared" si="492"/>
        <v/>
      </c>
      <c r="C9840" t="str">
        <f t="shared" si="491"/>
        <v/>
      </c>
      <c r="D9840" s="245" t="str">
        <f t="shared" si="493"/>
        <v/>
      </c>
      <c r="E9840" s="534"/>
      <c r="F9840" s="534"/>
    </row>
    <row r="9841" spans="1:6" ht="15" customHeight="1">
      <c r="A9841" s="51"/>
      <c r="B9841" s="52" t="str">
        <f t="shared" si="492"/>
        <v/>
      </c>
      <c r="C9841" t="str">
        <f t="shared" si="491"/>
        <v/>
      </c>
      <c r="D9841" s="245" t="str">
        <f t="shared" si="493"/>
        <v/>
      </c>
      <c r="E9841" s="534"/>
      <c r="F9841" s="534"/>
    </row>
    <row r="9842" spans="1:6" ht="15" customHeight="1">
      <c r="A9842" s="51"/>
      <c r="B9842" s="52" t="str">
        <f t="shared" si="492"/>
        <v/>
      </c>
      <c r="C9842" t="str">
        <f t="shared" si="491"/>
        <v/>
      </c>
      <c r="D9842" s="245" t="str">
        <f t="shared" si="493"/>
        <v/>
      </c>
      <c r="E9842" s="534"/>
      <c r="F9842" s="534"/>
    </row>
    <row r="9843" spans="1:6" ht="15" customHeight="1">
      <c r="A9843" s="51"/>
      <c r="B9843" s="52" t="str">
        <f t="shared" si="492"/>
        <v/>
      </c>
      <c r="C9843" t="str">
        <f t="shared" si="491"/>
        <v/>
      </c>
      <c r="D9843" s="245" t="str">
        <f t="shared" si="493"/>
        <v/>
      </c>
      <c r="E9843" s="534"/>
      <c r="F9843" s="534"/>
    </row>
    <row r="9844" spans="1:6" ht="15" customHeight="1">
      <c r="A9844" s="51"/>
      <c r="B9844" s="52" t="str">
        <f t="shared" si="492"/>
        <v/>
      </c>
      <c r="C9844" t="str">
        <f t="shared" si="491"/>
        <v/>
      </c>
      <c r="D9844" s="245" t="str">
        <f t="shared" si="493"/>
        <v/>
      </c>
      <c r="E9844" s="534"/>
      <c r="F9844" s="534"/>
    </row>
    <row r="9845" spans="1:6" ht="15" customHeight="1">
      <c r="A9845" s="51"/>
      <c r="B9845" s="52" t="str">
        <f t="shared" si="492"/>
        <v/>
      </c>
      <c r="C9845" t="str">
        <f t="shared" si="491"/>
        <v/>
      </c>
      <c r="D9845" s="245" t="str">
        <f t="shared" si="493"/>
        <v/>
      </c>
      <c r="E9845" s="534"/>
      <c r="F9845" s="534"/>
    </row>
    <row r="9846" spans="1:6" ht="15" customHeight="1">
      <c r="A9846" s="51"/>
      <c r="B9846" s="52" t="str">
        <f t="shared" si="492"/>
        <v/>
      </c>
      <c r="C9846" t="str">
        <f t="shared" si="491"/>
        <v/>
      </c>
      <c r="D9846" s="245" t="str">
        <f t="shared" si="493"/>
        <v/>
      </c>
      <c r="E9846" s="534"/>
      <c r="F9846" s="534"/>
    </row>
    <row r="9847" spans="1:6" ht="15" customHeight="1">
      <c r="A9847" s="51"/>
      <c r="B9847" s="52" t="str">
        <f t="shared" si="492"/>
        <v/>
      </c>
      <c r="C9847" t="str">
        <f t="shared" si="491"/>
        <v/>
      </c>
      <c r="D9847" s="245" t="str">
        <f t="shared" si="493"/>
        <v/>
      </c>
      <c r="E9847" s="534"/>
      <c r="F9847" s="534"/>
    </row>
    <row r="9848" spans="1:6" ht="15" customHeight="1">
      <c r="A9848" s="51"/>
      <c r="B9848" s="52" t="str">
        <f t="shared" si="492"/>
        <v/>
      </c>
      <c r="C9848" t="str">
        <f t="shared" si="491"/>
        <v/>
      </c>
      <c r="D9848" s="245" t="str">
        <f t="shared" si="493"/>
        <v/>
      </c>
      <c r="E9848" s="534"/>
      <c r="F9848" s="534"/>
    </row>
    <row r="9849" spans="1:6" ht="15" customHeight="1">
      <c r="A9849" s="51"/>
      <c r="B9849" s="52" t="str">
        <f t="shared" si="492"/>
        <v/>
      </c>
      <c r="C9849" t="str">
        <f t="shared" si="491"/>
        <v/>
      </c>
      <c r="D9849" s="245" t="str">
        <f t="shared" si="493"/>
        <v/>
      </c>
      <c r="E9849" s="534"/>
      <c r="F9849" s="534"/>
    </row>
    <row r="9850" spans="1:6" ht="15" customHeight="1">
      <c r="A9850" s="51"/>
      <c r="B9850" s="52" t="str">
        <f t="shared" si="492"/>
        <v/>
      </c>
      <c r="C9850" t="str">
        <f t="shared" si="491"/>
        <v/>
      </c>
      <c r="D9850" s="245" t="str">
        <f t="shared" si="493"/>
        <v/>
      </c>
      <c r="E9850" s="534"/>
      <c r="F9850" s="534"/>
    </row>
    <row r="9851" spans="1:6" ht="15" customHeight="1">
      <c r="A9851" s="51"/>
      <c r="B9851" s="52" t="str">
        <f t="shared" si="492"/>
        <v/>
      </c>
      <c r="C9851" t="str">
        <f t="shared" si="491"/>
        <v/>
      </c>
      <c r="D9851" s="245" t="str">
        <f t="shared" si="493"/>
        <v/>
      </c>
      <c r="E9851" s="534"/>
      <c r="F9851" s="534"/>
    </row>
    <row r="9852" spans="1:6" ht="15" customHeight="1">
      <c r="A9852" s="51"/>
      <c r="B9852" s="52" t="str">
        <f t="shared" si="492"/>
        <v/>
      </c>
      <c r="C9852" t="str">
        <f t="shared" si="491"/>
        <v/>
      </c>
      <c r="D9852" s="245" t="str">
        <f t="shared" si="493"/>
        <v/>
      </c>
      <c r="E9852" s="534"/>
      <c r="F9852" s="534"/>
    </row>
    <row r="9853" spans="1:6" ht="15" customHeight="1">
      <c r="A9853" s="51"/>
      <c r="B9853" s="52" t="str">
        <f t="shared" si="492"/>
        <v/>
      </c>
      <c r="C9853" t="str">
        <f t="shared" si="491"/>
        <v/>
      </c>
      <c r="D9853" s="245" t="str">
        <f t="shared" si="493"/>
        <v/>
      </c>
      <c r="E9853" s="534"/>
      <c r="F9853" s="534"/>
    </row>
    <row r="9854" spans="1:6" ht="15" customHeight="1">
      <c r="A9854" s="51"/>
      <c r="B9854" s="52" t="str">
        <f t="shared" si="492"/>
        <v/>
      </c>
      <c r="C9854" t="str">
        <f t="shared" si="491"/>
        <v/>
      </c>
      <c r="D9854" s="245" t="str">
        <f t="shared" si="493"/>
        <v/>
      </c>
      <c r="E9854" s="534"/>
      <c r="F9854" s="534"/>
    </row>
    <row r="9855" spans="1:6" ht="15" customHeight="1">
      <c r="A9855" s="51"/>
      <c r="B9855" s="52" t="str">
        <f t="shared" si="492"/>
        <v/>
      </c>
      <c r="C9855" t="str">
        <f t="shared" si="491"/>
        <v/>
      </c>
      <c r="D9855" s="245" t="str">
        <f t="shared" si="493"/>
        <v/>
      </c>
      <c r="E9855" s="534"/>
      <c r="F9855" s="534"/>
    </row>
    <row r="9856" spans="1:6" ht="15" customHeight="1">
      <c r="A9856" s="51"/>
      <c r="B9856" s="52" t="str">
        <f t="shared" si="492"/>
        <v/>
      </c>
      <c r="C9856" t="str">
        <f t="shared" si="491"/>
        <v/>
      </c>
      <c r="D9856" s="245" t="str">
        <f t="shared" si="493"/>
        <v/>
      </c>
      <c r="E9856" s="534"/>
      <c r="F9856" s="534"/>
    </row>
    <row r="9857" spans="1:6" ht="15" customHeight="1">
      <c r="A9857" s="51"/>
      <c r="B9857" s="52" t="str">
        <f t="shared" si="492"/>
        <v/>
      </c>
      <c r="C9857" t="str">
        <f t="shared" si="491"/>
        <v/>
      </c>
      <c r="D9857" s="245" t="str">
        <f t="shared" si="493"/>
        <v/>
      </c>
      <c r="E9857" s="534"/>
      <c r="F9857" s="534"/>
    </row>
    <row r="9858" spans="1:6" ht="15" customHeight="1">
      <c r="A9858" s="51"/>
      <c r="B9858" s="52" t="str">
        <f t="shared" si="492"/>
        <v/>
      </c>
      <c r="C9858" t="str">
        <f t="shared" ref="C9858:C9921" si="494">IF(A9858&lt;&gt;"",TEXT(A9858,"aaaa"),"")</f>
        <v/>
      </c>
      <c r="D9858" s="245" t="str">
        <f t="shared" si="493"/>
        <v/>
      </c>
      <c r="E9858" s="534"/>
      <c r="F9858" s="534"/>
    </row>
    <row r="9859" spans="1:6" ht="15" customHeight="1">
      <c r="A9859" s="51"/>
      <c r="B9859" s="52" t="str">
        <f t="shared" si="492"/>
        <v/>
      </c>
      <c r="C9859" t="str">
        <f t="shared" si="494"/>
        <v/>
      </c>
      <c r="D9859" s="245" t="str">
        <f t="shared" si="493"/>
        <v/>
      </c>
      <c r="E9859" s="534"/>
      <c r="F9859" s="534"/>
    </row>
    <row r="9860" spans="1:6" ht="15" customHeight="1">
      <c r="A9860" s="51"/>
      <c r="B9860" s="52" t="str">
        <f t="shared" si="492"/>
        <v/>
      </c>
      <c r="C9860" t="str">
        <f t="shared" si="494"/>
        <v/>
      </c>
      <c r="D9860" s="245" t="str">
        <f t="shared" si="493"/>
        <v/>
      </c>
      <c r="E9860" s="534"/>
      <c r="F9860" s="534"/>
    </row>
    <row r="9861" spans="1:6" ht="15" customHeight="1">
      <c r="A9861" s="51"/>
      <c r="B9861" s="52" t="str">
        <f t="shared" si="492"/>
        <v/>
      </c>
      <c r="C9861" t="str">
        <f t="shared" si="494"/>
        <v/>
      </c>
      <c r="D9861" s="245" t="str">
        <f t="shared" si="493"/>
        <v/>
      </c>
      <c r="E9861" s="534"/>
      <c r="F9861" s="534"/>
    </row>
    <row r="9862" spans="1:6" ht="15" customHeight="1">
      <c r="A9862" s="51"/>
      <c r="B9862" s="52" t="str">
        <f t="shared" si="492"/>
        <v/>
      </c>
      <c r="C9862" t="str">
        <f t="shared" si="494"/>
        <v/>
      </c>
      <c r="D9862" s="245" t="str">
        <f t="shared" si="493"/>
        <v/>
      </c>
      <c r="E9862" s="534"/>
      <c r="F9862" s="534"/>
    </row>
    <row r="9863" spans="1:6" ht="15" customHeight="1">
      <c r="A9863" s="51"/>
      <c r="B9863" s="52" t="str">
        <f t="shared" si="492"/>
        <v/>
      </c>
      <c r="C9863" t="str">
        <f t="shared" si="494"/>
        <v/>
      </c>
      <c r="D9863" s="245" t="str">
        <f t="shared" si="493"/>
        <v/>
      </c>
      <c r="E9863" s="534"/>
      <c r="F9863" s="534"/>
    </row>
    <row r="9864" spans="1:6" ht="15" customHeight="1">
      <c r="A9864" s="51"/>
      <c r="B9864" s="52" t="str">
        <f t="shared" ref="B9864:B9927" si="495">IF(A9864="","",TEXT(A9864,"DDDD"))</f>
        <v/>
      </c>
      <c r="C9864" t="str">
        <f t="shared" si="494"/>
        <v/>
      </c>
      <c r="D9864" s="245" t="str">
        <f t="shared" si="493"/>
        <v/>
      </c>
      <c r="E9864" s="534"/>
      <c r="F9864" s="534"/>
    </row>
    <row r="9865" spans="1:6" ht="15" customHeight="1">
      <c r="A9865" s="51"/>
      <c r="B9865" s="52" t="str">
        <f t="shared" si="495"/>
        <v/>
      </c>
      <c r="C9865" t="str">
        <f t="shared" si="494"/>
        <v/>
      </c>
      <c r="D9865" s="245" t="str">
        <f t="shared" ref="D9865:D9928" si="496">IF(A9865&lt;&gt;"",PROPER(TEXT(A9865,"Mmmm")),"")</f>
        <v/>
      </c>
      <c r="E9865" s="534"/>
      <c r="F9865" s="534"/>
    </row>
    <row r="9866" spans="1:6" ht="15" customHeight="1">
      <c r="A9866" s="51"/>
      <c r="B9866" s="52" t="str">
        <f t="shared" si="495"/>
        <v/>
      </c>
      <c r="C9866" t="str">
        <f t="shared" si="494"/>
        <v/>
      </c>
      <c r="D9866" s="245" t="str">
        <f t="shared" si="496"/>
        <v/>
      </c>
      <c r="E9866" s="534"/>
      <c r="F9866" s="534"/>
    </row>
    <row r="9867" spans="1:6" ht="15" customHeight="1">
      <c r="A9867" s="51"/>
      <c r="B9867" s="52" t="str">
        <f t="shared" si="495"/>
        <v/>
      </c>
      <c r="C9867" t="str">
        <f t="shared" si="494"/>
        <v/>
      </c>
      <c r="D9867" s="245" t="str">
        <f t="shared" si="496"/>
        <v/>
      </c>
      <c r="E9867" s="534"/>
      <c r="F9867" s="534"/>
    </row>
    <row r="9868" spans="1:6" ht="15" customHeight="1">
      <c r="A9868" s="51"/>
      <c r="B9868" s="52" t="str">
        <f t="shared" si="495"/>
        <v/>
      </c>
      <c r="C9868" t="str">
        <f t="shared" si="494"/>
        <v/>
      </c>
      <c r="D9868" s="245" t="str">
        <f t="shared" si="496"/>
        <v/>
      </c>
      <c r="E9868" s="534"/>
      <c r="F9868" s="534"/>
    </row>
    <row r="9869" spans="1:6" ht="15" customHeight="1">
      <c r="A9869" s="51"/>
      <c r="B9869" s="52" t="str">
        <f t="shared" si="495"/>
        <v/>
      </c>
      <c r="C9869" t="str">
        <f t="shared" si="494"/>
        <v/>
      </c>
      <c r="D9869" s="245" t="str">
        <f t="shared" si="496"/>
        <v/>
      </c>
      <c r="E9869" s="534"/>
      <c r="F9869" s="534"/>
    </row>
    <row r="9870" spans="1:6" ht="15" customHeight="1">
      <c r="A9870" s="51"/>
      <c r="B9870" s="52" t="str">
        <f t="shared" si="495"/>
        <v/>
      </c>
      <c r="C9870" t="str">
        <f t="shared" si="494"/>
        <v/>
      </c>
      <c r="D9870" s="245" t="str">
        <f t="shared" si="496"/>
        <v/>
      </c>
      <c r="E9870" s="534"/>
      <c r="F9870" s="534"/>
    </row>
    <row r="9871" spans="1:6" ht="15" customHeight="1">
      <c r="A9871" s="51"/>
      <c r="B9871" s="52" t="str">
        <f t="shared" si="495"/>
        <v/>
      </c>
      <c r="C9871" t="str">
        <f t="shared" si="494"/>
        <v/>
      </c>
      <c r="D9871" s="245" t="str">
        <f t="shared" si="496"/>
        <v/>
      </c>
      <c r="E9871" s="534"/>
      <c r="F9871" s="534"/>
    </row>
    <row r="9872" spans="1:6" ht="15" customHeight="1">
      <c r="A9872" s="51"/>
      <c r="B9872" s="52" t="str">
        <f t="shared" si="495"/>
        <v/>
      </c>
      <c r="C9872" t="str">
        <f t="shared" si="494"/>
        <v/>
      </c>
      <c r="D9872" s="245" t="str">
        <f t="shared" si="496"/>
        <v/>
      </c>
      <c r="E9872" s="534"/>
      <c r="F9872" s="534"/>
    </row>
    <row r="9873" spans="1:6" ht="15" customHeight="1">
      <c r="A9873" s="51"/>
      <c r="B9873" s="52" t="str">
        <f t="shared" si="495"/>
        <v/>
      </c>
      <c r="C9873" t="str">
        <f t="shared" si="494"/>
        <v/>
      </c>
      <c r="D9873" s="245" t="str">
        <f t="shared" si="496"/>
        <v/>
      </c>
      <c r="E9873" s="534"/>
      <c r="F9873" s="534"/>
    </row>
    <row r="9874" spans="1:6" ht="15" customHeight="1">
      <c r="A9874" s="51"/>
      <c r="B9874" s="52" t="str">
        <f t="shared" si="495"/>
        <v/>
      </c>
      <c r="C9874" t="str">
        <f t="shared" si="494"/>
        <v/>
      </c>
      <c r="D9874" s="245" t="str">
        <f t="shared" si="496"/>
        <v/>
      </c>
      <c r="E9874" s="534"/>
      <c r="F9874" s="534"/>
    </row>
    <row r="9875" spans="1:6" ht="15" customHeight="1">
      <c r="A9875" s="51"/>
      <c r="B9875" s="52" t="str">
        <f t="shared" si="495"/>
        <v/>
      </c>
      <c r="C9875" t="str">
        <f t="shared" si="494"/>
        <v/>
      </c>
      <c r="D9875" s="245" t="str">
        <f t="shared" si="496"/>
        <v/>
      </c>
      <c r="E9875" s="534"/>
      <c r="F9875" s="534"/>
    </row>
    <row r="9876" spans="1:6" ht="15" customHeight="1">
      <c r="A9876" s="51"/>
      <c r="B9876" s="52" t="str">
        <f t="shared" si="495"/>
        <v/>
      </c>
      <c r="C9876" t="str">
        <f t="shared" si="494"/>
        <v/>
      </c>
      <c r="D9876" s="245" t="str">
        <f t="shared" si="496"/>
        <v/>
      </c>
      <c r="E9876" s="534"/>
      <c r="F9876" s="534"/>
    </row>
    <row r="9877" spans="1:6" ht="15" customHeight="1">
      <c r="A9877" s="51"/>
      <c r="B9877" s="52" t="str">
        <f t="shared" si="495"/>
        <v/>
      </c>
      <c r="C9877" t="str">
        <f t="shared" si="494"/>
        <v/>
      </c>
      <c r="D9877" s="245" t="str">
        <f t="shared" si="496"/>
        <v/>
      </c>
      <c r="E9877" s="534"/>
      <c r="F9877" s="534"/>
    </row>
    <row r="9878" spans="1:6" ht="15" customHeight="1">
      <c r="A9878" s="51"/>
      <c r="B9878" s="52" t="str">
        <f t="shared" si="495"/>
        <v/>
      </c>
      <c r="C9878" t="str">
        <f t="shared" si="494"/>
        <v/>
      </c>
      <c r="D9878" s="245" t="str">
        <f t="shared" si="496"/>
        <v/>
      </c>
      <c r="E9878" s="534"/>
      <c r="F9878" s="534"/>
    </row>
    <row r="9879" spans="1:6" ht="15" customHeight="1">
      <c r="A9879" s="51"/>
      <c r="B9879" s="52" t="str">
        <f t="shared" si="495"/>
        <v/>
      </c>
      <c r="C9879" t="str">
        <f t="shared" si="494"/>
        <v/>
      </c>
      <c r="D9879" s="245" t="str">
        <f t="shared" si="496"/>
        <v/>
      </c>
      <c r="E9879" s="534"/>
      <c r="F9879" s="534"/>
    </row>
    <row r="9880" spans="1:6" ht="15" customHeight="1">
      <c r="A9880" s="51"/>
      <c r="B9880" s="52" t="str">
        <f t="shared" si="495"/>
        <v/>
      </c>
      <c r="C9880" t="str">
        <f t="shared" si="494"/>
        <v/>
      </c>
      <c r="D9880" s="245" t="str">
        <f t="shared" si="496"/>
        <v/>
      </c>
      <c r="E9880" s="534"/>
      <c r="F9880" s="534"/>
    </row>
    <row r="9881" spans="1:6" ht="15" customHeight="1">
      <c r="A9881" s="51"/>
      <c r="B9881" s="52" t="str">
        <f t="shared" si="495"/>
        <v/>
      </c>
      <c r="C9881" t="str">
        <f t="shared" si="494"/>
        <v/>
      </c>
      <c r="D9881" s="245" t="str">
        <f t="shared" si="496"/>
        <v/>
      </c>
      <c r="E9881" s="534"/>
      <c r="F9881" s="534"/>
    </row>
    <row r="9882" spans="1:6" ht="15" customHeight="1">
      <c r="A9882" s="51"/>
      <c r="B9882" s="52" t="str">
        <f t="shared" si="495"/>
        <v/>
      </c>
      <c r="C9882" t="str">
        <f t="shared" si="494"/>
        <v/>
      </c>
      <c r="D9882" s="245" t="str">
        <f t="shared" si="496"/>
        <v/>
      </c>
      <c r="E9882" s="534"/>
      <c r="F9882" s="534"/>
    </row>
    <row r="9883" spans="1:6" ht="15" customHeight="1">
      <c r="A9883" s="51"/>
      <c r="B9883" s="52" t="str">
        <f t="shared" si="495"/>
        <v/>
      </c>
      <c r="C9883" t="str">
        <f t="shared" si="494"/>
        <v/>
      </c>
      <c r="D9883" s="245" t="str">
        <f t="shared" si="496"/>
        <v/>
      </c>
      <c r="E9883" s="534"/>
      <c r="F9883" s="534"/>
    </row>
    <row r="9884" spans="1:6" ht="15" customHeight="1">
      <c r="A9884" s="51"/>
      <c r="B9884" s="52" t="str">
        <f t="shared" si="495"/>
        <v/>
      </c>
      <c r="C9884" t="str">
        <f t="shared" si="494"/>
        <v/>
      </c>
      <c r="D9884" s="245" t="str">
        <f t="shared" si="496"/>
        <v/>
      </c>
      <c r="E9884" s="534"/>
      <c r="F9884" s="534"/>
    </row>
    <row r="9885" spans="1:6" ht="15" customHeight="1">
      <c r="A9885" s="51"/>
      <c r="B9885" s="52" t="str">
        <f t="shared" si="495"/>
        <v/>
      </c>
      <c r="C9885" t="str">
        <f t="shared" si="494"/>
        <v/>
      </c>
      <c r="D9885" s="245" t="str">
        <f t="shared" si="496"/>
        <v/>
      </c>
      <c r="E9885" s="534"/>
      <c r="F9885" s="534"/>
    </row>
    <row r="9886" spans="1:6" ht="15" customHeight="1">
      <c r="A9886" s="51"/>
      <c r="B9886" s="52" t="str">
        <f t="shared" si="495"/>
        <v/>
      </c>
      <c r="C9886" t="str">
        <f t="shared" si="494"/>
        <v/>
      </c>
      <c r="D9886" s="245" t="str">
        <f t="shared" si="496"/>
        <v/>
      </c>
      <c r="E9886" s="534"/>
      <c r="F9886" s="534"/>
    </row>
    <row r="9887" spans="1:6" ht="15" customHeight="1">
      <c r="A9887" s="51"/>
      <c r="B9887" s="52" t="str">
        <f t="shared" si="495"/>
        <v/>
      </c>
      <c r="C9887" t="str">
        <f t="shared" si="494"/>
        <v/>
      </c>
      <c r="D9887" s="245" t="str">
        <f t="shared" si="496"/>
        <v/>
      </c>
      <c r="E9887" s="534"/>
      <c r="F9887" s="534"/>
    </row>
    <row r="9888" spans="1:6" ht="15" customHeight="1">
      <c r="A9888" s="51"/>
      <c r="B9888" s="52" t="str">
        <f t="shared" si="495"/>
        <v/>
      </c>
      <c r="C9888" t="str">
        <f t="shared" si="494"/>
        <v/>
      </c>
      <c r="D9888" s="245" t="str">
        <f t="shared" si="496"/>
        <v/>
      </c>
      <c r="E9888" s="534"/>
      <c r="F9888" s="534"/>
    </row>
    <row r="9889" spans="1:6" ht="15" customHeight="1">
      <c r="A9889" s="51"/>
      <c r="B9889" s="52" t="str">
        <f t="shared" si="495"/>
        <v/>
      </c>
      <c r="C9889" t="str">
        <f t="shared" si="494"/>
        <v/>
      </c>
      <c r="D9889" s="245" t="str">
        <f t="shared" si="496"/>
        <v/>
      </c>
      <c r="E9889" s="534"/>
      <c r="F9889" s="534"/>
    </row>
    <row r="9890" spans="1:6" ht="15" customHeight="1">
      <c r="A9890" s="51"/>
      <c r="B9890" s="52" t="str">
        <f t="shared" si="495"/>
        <v/>
      </c>
      <c r="C9890" t="str">
        <f t="shared" si="494"/>
        <v/>
      </c>
      <c r="D9890" s="245" t="str">
        <f t="shared" si="496"/>
        <v/>
      </c>
      <c r="E9890" s="534"/>
      <c r="F9890" s="534"/>
    </row>
    <row r="9891" spans="1:6" ht="15" customHeight="1">
      <c r="A9891" s="51"/>
      <c r="B9891" s="52" t="str">
        <f t="shared" si="495"/>
        <v/>
      </c>
      <c r="C9891" t="str">
        <f t="shared" si="494"/>
        <v/>
      </c>
      <c r="D9891" s="245" t="str">
        <f t="shared" si="496"/>
        <v/>
      </c>
      <c r="E9891" s="534"/>
      <c r="F9891" s="534"/>
    </row>
    <row r="9892" spans="1:6" ht="15" customHeight="1">
      <c r="A9892" s="51"/>
      <c r="B9892" s="52" t="str">
        <f t="shared" si="495"/>
        <v/>
      </c>
      <c r="C9892" t="str">
        <f t="shared" si="494"/>
        <v/>
      </c>
      <c r="D9892" s="245" t="str">
        <f t="shared" si="496"/>
        <v/>
      </c>
      <c r="E9892" s="534"/>
      <c r="F9892" s="534"/>
    </row>
    <row r="9893" spans="1:6" ht="15" customHeight="1">
      <c r="A9893" s="51"/>
      <c r="B9893" s="52" t="str">
        <f t="shared" si="495"/>
        <v/>
      </c>
      <c r="C9893" t="str">
        <f t="shared" si="494"/>
        <v/>
      </c>
      <c r="D9893" s="245" t="str">
        <f t="shared" si="496"/>
        <v/>
      </c>
      <c r="E9893" s="534"/>
      <c r="F9893" s="534"/>
    </row>
    <row r="9894" spans="1:6" ht="15" customHeight="1">
      <c r="A9894" s="51"/>
      <c r="B9894" s="52" t="str">
        <f t="shared" si="495"/>
        <v/>
      </c>
      <c r="C9894" t="str">
        <f t="shared" si="494"/>
        <v/>
      </c>
      <c r="D9894" s="245" t="str">
        <f t="shared" si="496"/>
        <v/>
      </c>
      <c r="E9894" s="534"/>
      <c r="F9894" s="534"/>
    </row>
    <row r="9895" spans="1:6" ht="15" customHeight="1">
      <c r="A9895" s="51"/>
      <c r="B9895" s="52" t="str">
        <f t="shared" si="495"/>
        <v/>
      </c>
      <c r="C9895" t="str">
        <f t="shared" si="494"/>
        <v/>
      </c>
      <c r="D9895" s="245" t="str">
        <f t="shared" si="496"/>
        <v/>
      </c>
      <c r="E9895" s="534"/>
      <c r="F9895" s="534"/>
    </row>
    <row r="9896" spans="1:6" ht="15" customHeight="1">
      <c r="A9896" s="51"/>
      <c r="B9896" s="52" t="str">
        <f t="shared" si="495"/>
        <v/>
      </c>
      <c r="C9896" t="str">
        <f t="shared" si="494"/>
        <v/>
      </c>
      <c r="D9896" s="245" t="str">
        <f t="shared" si="496"/>
        <v/>
      </c>
      <c r="E9896" s="534"/>
      <c r="F9896" s="534"/>
    </row>
    <row r="9897" spans="1:6" ht="15" customHeight="1">
      <c r="A9897" s="51"/>
      <c r="B9897" s="52" t="str">
        <f t="shared" si="495"/>
        <v/>
      </c>
      <c r="C9897" t="str">
        <f t="shared" si="494"/>
        <v/>
      </c>
      <c r="D9897" s="245" t="str">
        <f t="shared" si="496"/>
        <v/>
      </c>
      <c r="E9897" s="534"/>
      <c r="F9897" s="534"/>
    </row>
    <row r="9898" spans="1:6" ht="15" customHeight="1">
      <c r="A9898" s="51"/>
      <c r="B9898" s="52" t="str">
        <f t="shared" si="495"/>
        <v/>
      </c>
      <c r="C9898" t="str">
        <f t="shared" si="494"/>
        <v/>
      </c>
      <c r="D9898" s="245" t="str">
        <f t="shared" si="496"/>
        <v/>
      </c>
      <c r="E9898" s="534"/>
      <c r="F9898" s="534"/>
    </row>
    <row r="9899" spans="1:6" ht="15" customHeight="1">
      <c r="A9899" s="51"/>
      <c r="B9899" s="52" t="str">
        <f t="shared" si="495"/>
        <v/>
      </c>
      <c r="C9899" t="str">
        <f t="shared" si="494"/>
        <v/>
      </c>
      <c r="D9899" s="245" t="str">
        <f t="shared" si="496"/>
        <v/>
      </c>
      <c r="E9899" s="534"/>
      <c r="F9899" s="534"/>
    </row>
    <row r="9900" spans="1:6" ht="15" customHeight="1">
      <c r="A9900" s="51"/>
      <c r="B9900" s="52" t="str">
        <f t="shared" si="495"/>
        <v/>
      </c>
      <c r="C9900" t="str">
        <f t="shared" si="494"/>
        <v/>
      </c>
      <c r="D9900" s="245" t="str">
        <f t="shared" si="496"/>
        <v/>
      </c>
      <c r="E9900" s="534"/>
      <c r="F9900" s="534"/>
    </row>
    <row r="9901" spans="1:6" ht="15" customHeight="1">
      <c r="A9901" s="51"/>
      <c r="B9901" s="52" t="str">
        <f t="shared" si="495"/>
        <v/>
      </c>
      <c r="C9901" t="str">
        <f t="shared" si="494"/>
        <v/>
      </c>
      <c r="D9901" s="245" t="str">
        <f t="shared" si="496"/>
        <v/>
      </c>
      <c r="E9901" s="534"/>
      <c r="F9901" s="534"/>
    </row>
    <row r="9902" spans="1:6" ht="15" customHeight="1">
      <c r="A9902" s="51"/>
      <c r="B9902" s="52" t="str">
        <f t="shared" si="495"/>
        <v/>
      </c>
      <c r="C9902" t="str">
        <f t="shared" si="494"/>
        <v/>
      </c>
      <c r="D9902" s="245" t="str">
        <f t="shared" si="496"/>
        <v/>
      </c>
      <c r="E9902" s="534"/>
      <c r="F9902" s="534"/>
    </row>
    <row r="9903" spans="1:6" ht="15" customHeight="1">
      <c r="A9903" s="51"/>
      <c r="B9903" s="52" t="str">
        <f t="shared" si="495"/>
        <v/>
      </c>
      <c r="C9903" t="str">
        <f t="shared" si="494"/>
        <v/>
      </c>
      <c r="D9903" s="245" t="str">
        <f t="shared" si="496"/>
        <v/>
      </c>
      <c r="E9903" s="534"/>
      <c r="F9903" s="534"/>
    </row>
    <row r="9904" spans="1:6" ht="15" customHeight="1">
      <c r="A9904" s="51"/>
      <c r="B9904" s="52" t="str">
        <f t="shared" si="495"/>
        <v/>
      </c>
      <c r="C9904" t="str">
        <f t="shared" si="494"/>
        <v/>
      </c>
      <c r="D9904" s="245" t="str">
        <f t="shared" si="496"/>
        <v/>
      </c>
      <c r="E9904" s="534"/>
      <c r="F9904" s="534"/>
    </row>
    <row r="9905" spans="1:6" ht="15" customHeight="1">
      <c r="A9905" s="51"/>
      <c r="B9905" s="52" t="str">
        <f t="shared" si="495"/>
        <v/>
      </c>
      <c r="C9905" t="str">
        <f t="shared" si="494"/>
        <v/>
      </c>
      <c r="D9905" s="245" t="str">
        <f t="shared" si="496"/>
        <v/>
      </c>
      <c r="E9905" s="534"/>
      <c r="F9905" s="534"/>
    </row>
    <row r="9906" spans="1:6" ht="15" customHeight="1">
      <c r="A9906" s="51"/>
      <c r="B9906" s="52" t="str">
        <f t="shared" si="495"/>
        <v/>
      </c>
      <c r="C9906" t="str">
        <f t="shared" si="494"/>
        <v/>
      </c>
      <c r="D9906" s="245" t="str">
        <f t="shared" si="496"/>
        <v/>
      </c>
      <c r="E9906" s="534"/>
      <c r="F9906" s="534"/>
    </row>
    <row r="9907" spans="1:6" ht="15" customHeight="1">
      <c r="A9907" s="51"/>
      <c r="B9907" s="52" t="str">
        <f t="shared" si="495"/>
        <v/>
      </c>
      <c r="C9907" t="str">
        <f t="shared" si="494"/>
        <v/>
      </c>
      <c r="D9907" s="245" t="str">
        <f t="shared" si="496"/>
        <v/>
      </c>
      <c r="E9907" s="534"/>
      <c r="F9907" s="534"/>
    </row>
    <row r="9908" spans="1:6" ht="15" customHeight="1">
      <c r="A9908" s="51"/>
      <c r="B9908" s="52" t="str">
        <f t="shared" si="495"/>
        <v/>
      </c>
      <c r="C9908" t="str">
        <f t="shared" si="494"/>
        <v/>
      </c>
      <c r="D9908" s="245" t="str">
        <f t="shared" si="496"/>
        <v/>
      </c>
      <c r="E9908" s="534"/>
      <c r="F9908" s="534"/>
    </row>
    <row r="9909" spans="1:6" ht="15" customHeight="1">
      <c r="A9909" s="51"/>
      <c r="B9909" s="52" t="str">
        <f t="shared" si="495"/>
        <v/>
      </c>
      <c r="C9909" t="str">
        <f t="shared" si="494"/>
        <v/>
      </c>
      <c r="D9909" s="245" t="str">
        <f t="shared" si="496"/>
        <v/>
      </c>
      <c r="E9909" s="534"/>
      <c r="F9909" s="534"/>
    </row>
    <row r="9910" spans="1:6" ht="15" customHeight="1">
      <c r="A9910" s="51"/>
      <c r="B9910" s="52" t="str">
        <f t="shared" si="495"/>
        <v/>
      </c>
      <c r="C9910" t="str">
        <f t="shared" si="494"/>
        <v/>
      </c>
      <c r="D9910" s="245" t="str">
        <f t="shared" si="496"/>
        <v/>
      </c>
      <c r="E9910" s="534"/>
      <c r="F9910" s="534"/>
    </row>
    <row r="9911" spans="1:6" ht="15" customHeight="1">
      <c r="A9911" s="51"/>
      <c r="B9911" s="52" t="str">
        <f t="shared" si="495"/>
        <v/>
      </c>
      <c r="C9911" t="str">
        <f t="shared" si="494"/>
        <v/>
      </c>
      <c r="D9911" s="245" t="str">
        <f t="shared" si="496"/>
        <v/>
      </c>
      <c r="E9911" s="534"/>
      <c r="F9911" s="534"/>
    </row>
    <row r="9912" spans="1:6" ht="15" customHeight="1">
      <c r="A9912" s="51"/>
      <c r="B9912" s="52" t="str">
        <f t="shared" si="495"/>
        <v/>
      </c>
      <c r="C9912" t="str">
        <f t="shared" si="494"/>
        <v/>
      </c>
      <c r="D9912" s="245" t="str">
        <f t="shared" si="496"/>
        <v/>
      </c>
      <c r="E9912" s="534"/>
      <c r="F9912" s="534"/>
    </row>
    <row r="9913" spans="1:6" ht="15" customHeight="1">
      <c r="A9913" s="51"/>
      <c r="B9913" s="52" t="str">
        <f t="shared" si="495"/>
        <v/>
      </c>
      <c r="C9913" t="str">
        <f t="shared" si="494"/>
        <v/>
      </c>
      <c r="D9913" s="245" t="str">
        <f t="shared" si="496"/>
        <v/>
      </c>
      <c r="E9913" s="534"/>
      <c r="F9913" s="534"/>
    </row>
    <row r="9914" spans="1:6" ht="15" customHeight="1">
      <c r="A9914" s="51"/>
      <c r="B9914" s="52" t="str">
        <f t="shared" si="495"/>
        <v/>
      </c>
      <c r="C9914" t="str">
        <f t="shared" si="494"/>
        <v/>
      </c>
      <c r="D9914" s="245" t="str">
        <f t="shared" si="496"/>
        <v/>
      </c>
      <c r="E9914" s="534"/>
      <c r="F9914" s="534"/>
    </row>
    <row r="9915" spans="1:6" ht="15" customHeight="1">
      <c r="A9915" s="51"/>
      <c r="B9915" s="52" t="str">
        <f t="shared" si="495"/>
        <v/>
      </c>
      <c r="C9915" t="str">
        <f t="shared" si="494"/>
        <v/>
      </c>
      <c r="D9915" s="245" t="str">
        <f t="shared" si="496"/>
        <v/>
      </c>
      <c r="E9915" s="534"/>
      <c r="F9915" s="534"/>
    </row>
    <row r="9916" spans="1:6" ht="15" customHeight="1">
      <c r="A9916" s="51"/>
      <c r="B9916" s="52" t="str">
        <f t="shared" si="495"/>
        <v/>
      </c>
      <c r="C9916" t="str">
        <f t="shared" si="494"/>
        <v/>
      </c>
      <c r="D9916" s="245" t="str">
        <f t="shared" si="496"/>
        <v/>
      </c>
      <c r="E9916" s="534"/>
      <c r="F9916" s="534"/>
    </row>
    <row r="9917" spans="1:6" ht="15" customHeight="1">
      <c r="A9917" s="51"/>
      <c r="B9917" s="52" t="str">
        <f t="shared" si="495"/>
        <v/>
      </c>
      <c r="C9917" t="str">
        <f t="shared" si="494"/>
        <v/>
      </c>
      <c r="D9917" s="245" t="str">
        <f t="shared" si="496"/>
        <v/>
      </c>
      <c r="E9917" s="534"/>
      <c r="F9917" s="534"/>
    </row>
    <row r="9918" spans="1:6" ht="15" customHeight="1">
      <c r="A9918" s="51"/>
      <c r="B9918" s="52" t="str">
        <f t="shared" si="495"/>
        <v/>
      </c>
      <c r="C9918" t="str">
        <f t="shared" si="494"/>
        <v/>
      </c>
      <c r="D9918" s="245" t="str">
        <f t="shared" si="496"/>
        <v/>
      </c>
      <c r="E9918" s="534"/>
      <c r="F9918" s="534"/>
    </row>
    <row r="9919" spans="1:6" ht="15" customHeight="1">
      <c r="A9919" s="51"/>
      <c r="B9919" s="52" t="str">
        <f t="shared" si="495"/>
        <v/>
      </c>
      <c r="C9919" t="str">
        <f t="shared" si="494"/>
        <v/>
      </c>
      <c r="D9919" s="245" t="str">
        <f t="shared" si="496"/>
        <v/>
      </c>
      <c r="E9919" s="534"/>
      <c r="F9919" s="534"/>
    </row>
    <row r="9920" spans="1:6" ht="15" customHeight="1">
      <c r="A9920" s="51"/>
      <c r="B9920" s="52" t="str">
        <f t="shared" si="495"/>
        <v/>
      </c>
      <c r="C9920" t="str">
        <f t="shared" si="494"/>
        <v/>
      </c>
      <c r="D9920" s="245" t="str">
        <f t="shared" si="496"/>
        <v/>
      </c>
      <c r="E9920" s="534"/>
      <c r="F9920" s="534"/>
    </row>
    <row r="9921" spans="1:6" ht="15" customHeight="1">
      <c r="A9921" s="51"/>
      <c r="B9921" s="52" t="str">
        <f t="shared" si="495"/>
        <v/>
      </c>
      <c r="C9921" t="str">
        <f t="shared" si="494"/>
        <v/>
      </c>
      <c r="D9921" s="245" t="str">
        <f t="shared" si="496"/>
        <v/>
      </c>
      <c r="E9921" s="534"/>
      <c r="F9921" s="534"/>
    </row>
    <row r="9922" spans="1:6" ht="15" customHeight="1">
      <c r="A9922" s="51"/>
      <c r="B9922" s="52" t="str">
        <f t="shared" si="495"/>
        <v/>
      </c>
      <c r="C9922" t="str">
        <f t="shared" ref="C9922:C9985" si="497">IF(A9922&lt;&gt;"",TEXT(A9922,"aaaa"),"")</f>
        <v/>
      </c>
      <c r="D9922" s="245" t="str">
        <f t="shared" si="496"/>
        <v/>
      </c>
      <c r="E9922" s="534"/>
      <c r="F9922" s="534"/>
    </row>
    <row r="9923" spans="1:6" ht="15" customHeight="1">
      <c r="A9923" s="51"/>
      <c r="B9923" s="52" t="str">
        <f t="shared" si="495"/>
        <v/>
      </c>
      <c r="C9923" t="str">
        <f t="shared" si="497"/>
        <v/>
      </c>
      <c r="D9923" s="245" t="str">
        <f t="shared" si="496"/>
        <v/>
      </c>
      <c r="E9923" s="534"/>
      <c r="F9923" s="534"/>
    </row>
    <row r="9924" spans="1:6" ht="15" customHeight="1">
      <c r="A9924" s="51"/>
      <c r="B9924" s="52" t="str">
        <f t="shared" si="495"/>
        <v/>
      </c>
      <c r="C9924" t="str">
        <f t="shared" si="497"/>
        <v/>
      </c>
      <c r="D9924" s="245" t="str">
        <f t="shared" si="496"/>
        <v/>
      </c>
      <c r="E9924" s="534"/>
      <c r="F9924" s="534"/>
    </row>
    <row r="9925" spans="1:6" ht="15" customHeight="1">
      <c r="A9925" s="51"/>
      <c r="B9925" s="52" t="str">
        <f t="shared" si="495"/>
        <v/>
      </c>
      <c r="C9925" t="str">
        <f t="shared" si="497"/>
        <v/>
      </c>
      <c r="D9925" s="245" t="str">
        <f t="shared" si="496"/>
        <v/>
      </c>
      <c r="E9925" s="534"/>
      <c r="F9925" s="534"/>
    </row>
    <row r="9926" spans="1:6" ht="15" customHeight="1">
      <c r="A9926" s="51"/>
      <c r="B9926" s="52" t="str">
        <f t="shared" si="495"/>
        <v/>
      </c>
      <c r="C9926" t="str">
        <f t="shared" si="497"/>
        <v/>
      </c>
      <c r="D9926" s="245" t="str">
        <f t="shared" si="496"/>
        <v/>
      </c>
      <c r="E9926" s="534"/>
      <c r="F9926" s="534"/>
    </row>
    <row r="9927" spans="1:6" ht="15" customHeight="1">
      <c r="A9927" s="51"/>
      <c r="B9927" s="52" t="str">
        <f t="shared" si="495"/>
        <v/>
      </c>
      <c r="C9927" t="str">
        <f t="shared" si="497"/>
        <v/>
      </c>
      <c r="D9927" s="245" t="str">
        <f t="shared" si="496"/>
        <v/>
      </c>
      <c r="E9927" s="534"/>
      <c r="F9927" s="534"/>
    </row>
    <row r="9928" spans="1:6" ht="15" customHeight="1">
      <c r="A9928" s="51"/>
      <c r="B9928" s="52" t="str">
        <f t="shared" ref="B9928:B9991" si="498">IF(A9928="","",TEXT(A9928,"DDDD"))</f>
        <v/>
      </c>
      <c r="C9928" t="str">
        <f t="shared" si="497"/>
        <v/>
      </c>
      <c r="D9928" s="245" t="str">
        <f t="shared" si="496"/>
        <v/>
      </c>
      <c r="E9928" s="534"/>
      <c r="F9928" s="534"/>
    </row>
    <row r="9929" spans="1:6" ht="15" customHeight="1">
      <c r="A9929" s="51"/>
      <c r="B9929" s="52" t="str">
        <f t="shared" si="498"/>
        <v/>
      </c>
      <c r="C9929" t="str">
        <f t="shared" si="497"/>
        <v/>
      </c>
      <c r="D9929" s="245" t="str">
        <f t="shared" ref="D9929:D9992" si="499">IF(A9929&lt;&gt;"",PROPER(TEXT(A9929,"Mmmm")),"")</f>
        <v/>
      </c>
      <c r="E9929" s="534"/>
      <c r="F9929" s="534"/>
    </row>
    <row r="9930" spans="1:6" ht="15" customHeight="1">
      <c r="A9930" s="51"/>
      <c r="B9930" s="52" t="str">
        <f t="shared" si="498"/>
        <v/>
      </c>
      <c r="C9930" t="str">
        <f t="shared" si="497"/>
        <v/>
      </c>
      <c r="D9930" s="245" t="str">
        <f t="shared" si="499"/>
        <v/>
      </c>
      <c r="E9930" s="534"/>
      <c r="F9930" s="534"/>
    </row>
    <row r="9931" spans="1:6" ht="15" customHeight="1">
      <c r="A9931" s="51"/>
      <c r="B9931" s="52" t="str">
        <f t="shared" si="498"/>
        <v/>
      </c>
      <c r="C9931" t="str">
        <f t="shared" si="497"/>
        <v/>
      </c>
      <c r="D9931" s="245" t="str">
        <f t="shared" si="499"/>
        <v/>
      </c>
      <c r="E9931" s="534"/>
      <c r="F9931" s="534"/>
    </row>
    <row r="9932" spans="1:6" ht="15" customHeight="1">
      <c r="A9932" s="51"/>
      <c r="B9932" s="52" t="str">
        <f t="shared" si="498"/>
        <v/>
      </c>
      <c r="C9932" t="str">
        <f t="shared" si="497"/>
        <v/>
      </c>
      <c r="D9932" s="245" t="str">
        <f t="shared" si="499"/>
        <v/>
      </c>
      <c r="E9932" s="534"/>
      <c r="F9932" s="534"/>
    </row>
    <row r="9933" spans="1:6" ht="15" customHeight="1">
      <c r="A9933" s="51"/>
      <c r="B9933" s="52" t="str">
        <f t="shared" si="498"/>
        <v/>
      </c>
      <c r="C9933" t="str">
        <f t="shared" si="497"/>
        <v/>
      </c>
      <c r="D9933" s="245" t="str">
        <f t="shared" si="499"/>
        <v/>
      </c>
      <c r="E9933" s="534"/>
      <c r="F9933" s="534"/>
    </row>
    <row r="9934" spans="1:6" ht="15" customHeight="1">
      <c r="A9934" s="51"/>
      <c r="B9934" s="52" t="str">
        <f t="shared" si="498"/>
        <v/>
      </c>
      <c r="C9934" t="str">
        <f t="shared" si="497"/>
        <v/>
      </c>
      <c r="D9934" s="245" t="str">
        <f t="shared" si="499"/>
        <v/>
      </c>
      <c r="E9934" s="534"/>
      <c r="F9934" s="534"/>
    </row>
    <row r="9935" spans="1:6" ht="15" customHeight="1">
      <c r="A9935" s="51"/>
      <c r="B9935" s="52" t="str">
        <f t="shared" si="498"/>
        <v/>
      </c>
      <c r="C9935" t="str">
        <f t="shared" si="497"/>
        <v/>
      </c>
      <c r="D9935" s="245" t="str">
        <f t="shared" si="499"/>
        <v/>
      </c>
      <c r="E9935" s="534"/>
      <c r="F9935" s="534"/>
    </row>
    <row r="9936" spans="1:6" ht="15" customHeight="1">
      <c r="A9936" s="51"/>
      <c r="B9936" s="52" t="str">
        <f t="shared" si="498"/>
        <v/>
      </c>
      <c r="C9936" t="str">
        <f t="shared" si="497"/>
        <v/>
      </c>
      <c r="D9936" s="245" t="str">
        <f t="shared" si="499"/>
        <v/>
      </c>
      <c r="E9936" s="534"/>
      <c r="F9936" s="534"/>
    </row>
    <row r="9937" spans="1:6" ht="15" customHeight="1">
      <c r="A9937" s="51"/>
      <c r="B9937" s="52" t="str">
        <f t="shared" si="498"/>
        <v/>
      </c>
      <c r="C9937" t="str">
        <f t="shared" si="497"/>
        <v/>
      </c>
      <c r="D9937" s="245" t="str">
        <f t="shared" si="499"/>
        <v/>
      </c>
      <c r="E9937" s="534"/>
      <c r="F9937" s="534"/>
    </row>
    <row r="9938" spans="1:6" ht="15" customHeight="1">
      <c r="A9938" s="51"/>
      <c r="B9938" s="52" t="str">
        <f t="shared" si="498"/>
        <v/>
      </c>
      <c r="C9938" t="str">
        <f t="shared" si="497"/>
        <v/>
      </c>
      <c r="D9938" s="245" t="str">
        <f t="shared" si="499"/>
        <v/>
      </c>
      <c r="E9938" s="534"/>
      <c r="F9938" s="534"/>
    </row>
    <row r="9939" spans="1:6" ht="15" customHeight="1">
      <c r="A9939" s="51"/>
      <c r="B9939" s="52" t="str">
        <f t="shared" si="498"/>
        <v/>
      </c>
      <c r="C9939" t="str">
        <f t="shared" si="497"/>
        <v/>
      </c>
      <c r="D9939" s="245" t="str">
        <f t="shared" si="499"/>
        <v/>
      </c>
      <c r="E9939" s="534"/>
      <c r="F9939" s="534"/>
    </row>
    <row r="9940" spans="1:6" ht="15" customHeight="1">
      <c r="A9940" s="51"/>
      <c r="B9940" s="52" t="str">
        <f t="shared" si="498"/>
        <v/>
      </c>
      <c r="C9940" t="str">
        <f t="shared" si="497"/>
        <v/>
      </c>
      <c r="D9940" s="245" t="str">
        <f t="shared" si="499"/>
        <v/>
      </c>
      <c r="E9940" s="534"/>
      <c r="F9940" s="534"/>
    </row>
    <row r="9941" spans="1:6" ht="15" customHeight="1">
      <c r="A9941" s="51"/>
      <c r="B9941" s="52" t="str">
        <f t="shared" si="498"/>
        <v/>
      </c>
      <c r="C9941" t="str">
        <f t="shared" si="497"/>
        <v/>
      </c>
      <c r="D9941" s="245" t="str">
        <f t="shared" si="499"/>
        <v/>
      </c>
      <c r="E9941" s="534"/>
      <c r="F9941" s="534"/>
    </row>
    <row r="9942" spans="1:6" ht="15" customHeight="1">
      <c r="A9942" s="51"/>
      <c r="B9942" s="52" t="str">
        <f t="shared" si="498"/>
        <v/>
      </c>
      <c r="C9942" t="str">
        <f t="shared" si="497"/>
        <v/>
      </c>
      <c r="D9942" s="245" t="str">
        <f t="shared" si="499"/>
        <v/>
      </c>
      <c r="E9942" s="534"/>
      <c r="F9942" s="534"/>
    </row>
    <row r="9943" spans="1:6" ht="15" customHeight="1">
      <c r="A9943" s="51"/>
      <c r="B9943" s="52" t="str">
        <f t="shared" si="498"/>
        <v/>
      </c>
      <c r="C9943" t="str">
        <f t="shared" si="497"/>
        <v/>
      </c>
      <c r="D9943" s="245" t="str">
        <f t="shared" si="499"/>
        <v/>
      </c>
      <c r="E9943" s="534"/>
      <c r="F9943" s="534"/>
    </row>
    <row r="9944" spans="1:6" ht="15" customHeight="1">
      <c r="A9944" s="51"/>
      <c r="B9944" s="52" t="str">
        <f t="shared" si="498"/>
        <v/>
      </c>
      <c r="C9944" t="str">
        <f t="shared" si="497"/>
        <v/>
      </c>
      <c r="D9944" s="245" t="str">
        <f t="shared" si="499"/>
        <v/>
      </c>
      <c r="E9944" s="534"/>
      <c r="F9944" s="534"/>
    </row>
    <row r="9945" spans="1:6" ht="15" customHeight="1">
      <c r="A9945" s="51"/>
      <c r="B9945" s="52" t="str">
        <f t="shared" si="498"/>
        <v/>
      </c>
      <c r="C9945" t="str">
        <f t="shared" si="497"/>
        <v/>
      </c>
      <c r="D9945" s="245" t="str">
        <f t="shared" si="499"/>
        <v/>
      </c>
      <c r="E9945" s="534"/>
      <c r="F9945" s="534"/>
    </row>
    <row r="9946" spans="1:6" ht="15" customHeight="1">
      <c r="A9946" s="51"/>
      <c r="B9946" s="52" t="str">
        <f t="shared" si="498"/>
        <v/>
      </c>
      <c r="C9946" t="str">
        <f t="shared" si="497"/>
        <v/>
      </c>
      <c r="D9946" s="245" t="str">
        <f t="shared" si="499"/>
        <v/>
      </c>
      <c r="E9946" s="534"/>
      <c r="F9946" s="534"/>
    </row>
    <row r="9947" spans="1:6" ht="15" customHeight="1">
      <c r="A9947" s="51"/>
      <c r="B9947" s="52" t="str">
        <f t="shared" si="498"/>
        <v/>
      </c>
      <c r="C9947" t="str">
        <f t="shared" si="497"/>
        <v/>
      </c>
      <c r="D9947" s="245" t="str">
        <f t="shared" si="499"/>
        <v/>
      </c>
      <c r="E9947" s="534"/>
      <c r="F9947" s="534"/>
    </row>
    <row r="9948" spans="1:6" ht="15" customHeight="1">
      <c r="A9948" s="51"/>
      <c r="B9948" s="52" t="str">
        <f t="shared" si="498"/>
        <v/>
      </c>
      <c r="C9948" t="str">
        <f t="shared" si="497"/>
        <v/>
      </c>
      <c r="D9948" s="245" t="str">
        <f t="shared" si="499"/>
        <v/>
      </c>
      <c r="E9948" s="534"/>
      <c r="F9948" s="534"/>
    </row>
    <row r="9949" spans="1:6" ht="15" customHeight="1">
      <c r="A9949" s="51"/>
      <c r="B9949" s="52" t="str">
        <f t="shared" si="498"/>
        <v/>
      </c>
      <c r="C9949" t="str">
        <f t="shared" si="497"/>
        <v/>
      </c>
      <c r="D9949" s="245" t="str">
        <f t="shared" si="499"/>
        <v/>
      </c>
      <c r="E9949" s="534"/>
      <c r="F9949" s="534"/>
    </row>
    <row r="9950" spans="1:6" ht="15" customHeight="1">
      <c r="A9950" s="51"/>
      <c r="B9950" s="52" t="str">
        <f t="shared" si="498"/>
        <v/>
      </c>
      <c r="C9950" t="str">
        <f t="shared" si="497"/>
        <v/>
      </c>
      <c r="D9950" s="245" t="str">
        <f t="shared" si="499"/>
        <v/>
      </c>
      <c r="E9950" s="534"/>
      <c r="F9950" s="534"/>
    </row>
    <row r="9951" spans="1:6" ht="15" customHeight="1">
      <c r="A9951" s="51"/>
      <c r="B9951" s="52" t="str">
        <f t="shared" si="498"/>
        <v/>
      </c>
      <c r="C9951" t="str">
        <f t="shared" si="497"/>
        <v/>
      </c>
      <c r="D9951" s="245" t="str">
        <f t="shared" si="499"/>
        <v/>
      </c>
      <c r="E9951" s="534"/>
      <c r="F9951" s="534"/>
    </row>
    <row r="9952" spans="1:6" ht="15" customHeight="1">
      <c r="A9952" s="51"/>
      <c r="B9952" s="52" t="str">
        <f t="shared" si="498"/>
        <v/>
      </c>
      <c r="C9952" t="str">
        <f t="shared" si="497"/>
        <v/>
      </c>
      <c r="D9952" s="245" t="str">
        <f t="shared" si="499"/>
        <v/>
      </c>
      <c r="E9952" s="534"/>
      <c r="F9952" s="534"/>
    </row>
    <row r="9953" spans="1:6" ht="15" customHeight="1">
      <c r="A9953" s="51"/>
      <c r="B9953" s="52" t="str">
        <f t="shared" si="498"/>
        <v/>
      </c>
      <c r="C9953" t="str">
        <f t="shared" si="497"/>
        <v/>
      </c>
      <c r="D9953" s="245" t="str">
        <f t="shared" si="499"/>
        <v/>
      </c>
      <c r="E9953" s="534"/>
      <c r="F9953" s="534"/>
    </row>
    <row r="9954" spans="1:6" ht="15" customHeight="1">
      <c r="A9954" s="51"/>
      <c r="B9954" s="52" t="str">
        <f t="shared" si="498"/>
        <v/>
      </c>
      <c r="C9954" t="str">
        <f t="shared" si="497"/>
        <v/>
      </c>
      <c r="D9954" s="245" t="str">
        <f t="shared" si="499"/>
        <v/>
      </c>
      <c r="E9954" s="534"/>
      <c r="F9954" s="534"/>
    </row>
    <row r="9955" spans="1:6" ht="15" customHeight="1">
      <c r="A9955" s="51"/>
      <c r="B9955" s="52" t="str">
        <f t="shared" si="498"/>
        <v/>
      </c>
      <c r="C9955" t="str">
        <f t="shared" si="497"/>
        <v/>
      </c>
      <c r="D9955" s="245" t="str">
        <f t="shared" si="499"/>
        <v/>
      </c>
      <c r="E9955" s="534"/>
      <c r="F9955" s="534"/>
    </row>
    <row r="9956" spans="1:6" ht="15" customHeight="1">
      <c r="A9956" s="51"/>
      <c r="B9956" s="52" t="str">
        <f t="shared" si="498"/>
        <v/>
      </c>
      <c r="C9956" t="str">
        <f t="shared" si="497"/>
        <v/>
      </c>
      <c r="D9956" s="245" t="str">
        <f t="shared" si="499"/>
        <v/>
      </c>
      <c r="E9956" s="534"/>
      <c r="F9956" s="534"/>
    </row>
    <row r="9957" spans="1:6" ht="15" customHeight="1">
      <c r="A9957" s="51"/>
      <c r="B9957" s="52" t="str">
        <f t="shared" si="498"/>
        <v/>
      </c>
      <c r="C9957" t="str">
        <f t="shared" si="497"/>
        <v/>
      </c>
      <c r="D9957" s="245" t="str">
        <f t="shared" si="499"/>
        <v/>
      </c>
      <c r="E9957" s="534"/>
      <c r="F9957" s="534"/>
    </row>
    <row r="9958" spans="1:6" ht="15" customHeight="1">
      <c r="A9958" s="51"/>
      <c r="B9958" s="52" t="str">
        <f t="shared" si="498"/>
        <v/>
      </c>
      <c r="C9958" t="str">
        <f t="shared" si="497"/>
        <v/>
      </c>
      <c r="D9958" s="245" t="str">
        <f t="shared" si="499"/>
        <v/>
      </c>
      <c r="E9958" s="534"/>
      <c r="F9958" s="534"/>
    </row>
    <row r="9959" spans="1:6" ht="15" customHeight="1">
      <c r="A9959" s="51"/>
      <c r="B9959" s="52" t="str">
        <f t="shared" si="498"/>
        <v/>
      </c>
      <c r="C9959" t="str">
        <f t="shared" si="497"/>
        <v/>
      </c>
      <c r="D9959" s="245" t="str">
        <f t="shared" si="499"/>
        <v/>
      </c>
      <c r="E9959" s="534"/>
      <c r="F9959" s="534"/>
    </row>
    <row r="9960" spans="1:6" ht="15" customHeight="1">
      <c r="A9960" s="51"/>
      <c r="B9960" s="52" t="str">
        <f t="shared" si="498"/>
        <v/>
      </c>
      <c r="C9960" t="str">
        <f t="shared" si="497"/>
        <v/>
      </c>
      <c r="D9960" s="245" t="str">
        <f t="shared" si="499"/>
        <v/>
      </c>
      <c r="E9960" s="534"/>
      <c r="F9960" s="534"/>
    </row>
    <row r="9961" spans="1:6" ht="15" customHeight="1">
      <c r="A9961" s="51"/>
      <c r="B9961" s="52" t="str">
        <f t="shared" si="498"/>
        <v/>
      </c>
      <c r="C9961" t="str">
        <f t="shared" si="497"/>
        <v/>
      </c>
      <c r="D9961" s="245" t="str">
        <f t="shared" si="499"/>
        <v/>
      </c>
      <c r="E9961" s="534"/>
      <c r="F9961" s="534"/>
    </row>
    <row r="9962" spans="1:6" ht="15" customHeight="1">
      <c r="A9962" s="51"/>
      <c r="B9962" s="52" t="str">
        <f t="shared" si="498"/>
        <v/>
      </c>
      <c r="C9962" t="str">
        <f t="shared" si="497"/>
        <v/>
      </c>
      <c r="D9962" s="245" t="str">
        <f t="shared" si="499"/>
        <v/>
      </c>
      <c r="E9962" s="534"/>
      <c r="F9962" s="534"/>
    </row>
    <row r="9963" spans="1:6" ht="15" customHeight="1">
      <c r="A9963" s="51"/>
      <c r="B9963" s="52" t="str">
        <f t="shared" si="498"/>
        <v/>
      </c>
      <c r="C9963" t="str">
        <f t="shared" si="497"/>
        <v/>
      </c>
      <c r="D9963" s="245" t="str">
        <f t="shared" si="499"/>
        <v/>
      </c>
      <c r="E9963" s="534"/>
      <c r="F9963" s="534"/>
    </row>
    <row r="9964" spans="1:6" ht="15" customHeight="1">
      <c r="A9964" s="51"/>
      <c r="B9964" s="52" t="str">
        <f t="shared" si="498"/>
        <v/>
      </c>
      <c r="C9964" t="str">
        <f t="shared" si="497"/>
        <v/>
      </c>
      <c r="D9964" s="245" t="str">
        <f t="shared" si="499"/>
        <v/>
      </c>
      <c r="E9964" s="534"/>
      <c r="F9964" s="534"/>
    </row>
    <row r="9965" spans="1:6" ht="15" customHeight="1">
      <c r="A9965" s="51"/>
      <c r="B9965" s="52" t="str">
        <f t="shared" si="498"/>
        <v/>
      </c>
      <c r="C9965" t="str">
        <f t="shared" si="497"/>
        <v/>
      </c>
      <c r="D9965" s="245" t="str">
        <f t="shared" si="499"/>
        <v/>
      </c>
      <c r="E9965" s="534"/>
      <c r="F9965" s="534"/>
    </row>
    <row r="9966" spans="1:6" ht="15" customHeight="1">
      <c r="A9966" s="51"/>
      <c r="B9966" s="52" t="str">
        <f t="shared" si="498"/>
        <v/>
      </c>
      <c r="C9966" t="str">
        <f t="shared" si="497"/>
        <v/>
      </c>
      <c r="D9966" s="245" t="str">
        <f t="shared" si="499"/>
        <v/>
      </c>
      <c r="E9966" s="534"/>
      <c r="F9966" s="534"/>
    </row>
    <row r="9967" spans="1:6" ht="15" customHeight="1">
      <c r="A9967" s="51"/>
      <c r="B9967" s="52" t="str">
        <f t="shared" si="498"/>
        <v/>
      </c>
      <c r="C9967" t="str">
        <f t="shared" si="497"/>
        <v/>
      </c>
      <c r="D9967" s="245" t="str">
        <f t="shared" si="499"/>
        <v/>
      </c>
      <c r="E9967" s="534"/>
      <c r="F9967" s="534"/>
    </row>
    <row r="9968" spans="1:6" ht="15" customHeight="1">
      <c r="A9968" s="51"/>
      <c r="B9968" s="52" t="str">
        <f t="shared" si="498"/>
        <v/>
      </c>
      <c r="C9968" t="str">
        <f t="shared" si="497"/>
        <v/>
      </c>
      <c r="D9968" s="245" t="str">
        <f t="shared" si="499"/>
        <v/>
      </c>
      <c r="E9968" s="534"/>
      <c r="F9968" s="534"/>
    </row>
    <row r="9969" spans="1:6" ht="15" customHeight="1">
      <c r="A9969" s="51"/>
      <c r="B9969" s="52" t="str">
        <f t="shared" si="498"/>
        <v/>
      </c>
      <c r="C9969" t="str">
        <f t="shared" si="497"/>
        <v/>
      </c>
      <c r="D9969" s="245" t="str">
        <f t="shared" si="499"/>
        <v/>
      </c>
      <c r="E9969" s="534"/>
      <c r="F9969" s="534"/>
    </row>
    <row r="9970" spans="1:6" ht="15" customHeight="1">
      <c r="A9970" s="51"/>
      <c r="B9970" s="52" t="str">
        <f t="shared" si="498"/>
        <v/>
      </c>
      <c r="C9970" t="str">
        <f t="shared" si="497"/>
        <v/>
      </c>
      <c r="D9970" s="245" t="str">
        <f t="shared" si="499"/>
        <v/>
      </c>
      <c r="E9970" s="534"/>
      <c r="F9970" s="534"/>
    </row>
    <row r="9971" spans="1:6" ht="15" customHeight="1">
      <c r="A9971" s="51"/>
      <c r="B9971" s="52" t="str">
        <f t="shared" si="498"/>
        <v/>
      </c>
      <c r="C9971" t="str">
        <f t="shared" si="497"/>
        <v/>
      </c>
      <c r="D9971" s="245" t="str">
        <f t="shared" si="499"/>
        <v/>
      </c>
      <c r="E9971" s="534"/>
      <c r="F9971" s="534"/>
    </row>
    <row r="9972" spans="1:6" ht="15" customHeight="1">
      <c r="A9972" s="51"/>
      <c r="B9972" s="52" t="str">
        <f t="shared" si="498"/>
        <v/>
      </c>
      <c r="C9972" t="str">
        <f t="shared" si="497"/>
        <v/>
      </c>
      <c r="D9972" s="245" t="str">
        <f t="shared" si="499"/>
        <v/>
      </c>
      <c r="E9972" s="534"/>
      <c r="F9972" s="534"/>
    </row>
    <row r="9973" spans="1:6" ht="15" customHeight="1">
      <c r="A9973" s="51"/>
      <c r="B9973" s="52" t="str">
        <f t="shared" si="498"/>
        <v/>
      </c>
      <c r="C9973" t="str">
        <f t="shared" si="497"/>
        <v/>
      </c>
      <c r="D9973" s="245" t="str">
        <f t="shared" si="499"/>
        <v/>
      </c>
      <c r="E9973" s="534"/>
      <c r="F9973" s="534"/>
    </row>
    <row r="9974" spans="1:6" ht="15" customHeight="1">
      <c r="A9974" s="51"/>
      <c r="B9974" s="52" t="str">
        <f t="shared" si="498"/>
        <v/>
      </c>
      <c r="C9974" t="str">
        <f t="shared" si="497"/>
        <v/>
      </c>
      <c r="D9974" s="245" t="str">
        <f t="shared" si="499"/>
        <v/>
      </c>
      <c r="E9974" s="534"/>
      <c r="F9974" s="534"/>
    </row>
    <row r="9975" spans="1:6" ht="15" customHeight="1">
      <c r="A9975" s="51"/>
      <c r="B9975" s="52" t="str">
        <f t="shared" si="498"/>
        <v/>
      </c>
      <c r="C9975" t="str">
        <f t="shared" si="497"/>
        <v/>
      </c>
      <c r="D9975" s="245" t="str">
        <f t="shared" si="499"/>
        <v/>
      </c>
      <c r="E9975" s="534"/>
      <c r="F9975" s="534"/>
    </row>
    <row r="9976" spans="1:6" ht="15" customHeight="1">
      <c r="A9976" s="51"/>
      <c r="B9976" s="52" t="str">
        <f t="shared" si="498"/>
        <v/>
      </c>
      <c r="C9976" t="str">
        <f t="shared" si="497"/>
        <v/>
      </c>
      <c r="D9976" s="245" t="str">
        <f t="shared" si="499"/>
        <v/>
      </c>
      <c r="E9976" s="534"/>
      <c r="F9976" s="534"/>
    </row>
    <row r="9977" spans="1:6" ht="15" customHeight="1">
      <c r="A9977" s="51"/>
      <c r="B9977" s="52" t="str">
        <f t="shared" si="498"/>
        <v/>
      </c>
      <c r="C9977" t="str">
        <f t="shared" si="497"/>
        <v/>
      </c>
      <c r="D9977" s="245" t="str">
        <f t="shared" si="499"/>
        <v/>
      </c>
      <c r="E9977" s="534"/>
      <c r="F9977" s="534"/>
    </row>
    <row r="9978" spans="1:6" ht="15" customHeight="1">
      <c r="A9978" s="51"/>
      <c r="B9978" s="52" t="str">
        <f t="shared" si="498"/>
        <v/>
      </c>
      <c r="C9978" t="str">
        <f t="shared" si="497"/>
        <v/>
      </c>
      <c r="D9978" s="245" t="str">
        <f t="shared" si="499"/>
        <v/>
      </c>
      <c r="E9978" s="534"/>
      <c r="F9978" s="534"/>
    </row>
    <row r="9979" spans="1:6" ht="15" customHeight="1">
      <c r="A9979" s="51"/>
      <c r="B9979" s="52" t="str">
        <f t="shared" si="498"/>
        <v/>
      </c>
      <c r="C9979" t="str">
        <f t="shared" si="497"/>
        <v/>
      </c>
      <c r="D9979" s="245" t="str">
        <f t="shared" si="499"/>
        <v/>
      </c>
      <c r="E9979" s="534"/>
      <c r="F9979" s="534"/>
    </row>
    <row r="9980" spans="1:6" ht="15" customHeight="1">
      <c r="A9980" s="51"/>
      <c r="B9980" s="52" t="str">
        <f t="shared" si="498"/>
        <v/>
      </c>
      <c r="C9980" t="str">
        <f t="shared" si="497"/>
        <v/>
      </c>
      <c r="D9980" s="245" t="str">
        <f t="shared" si="499"/>
        <v/>
      </c>
      <c r="E9980" s="534"/>
      <c r="F9980" s="534"/>
    </row>
    <row r="9981" spans="1:6" ht="15" customHeight="1">
      <c r="A9981" s="51"/>
      <c r="B9981" s="52" t="str">
        <f t="shared" si="498"/>
        <v/>
      </c>
      <c r="C9981" t="str">
        <f t="shared" si="497"/>
        <v/>
      </c>
      <c r="D9981" s="245" t="str">
        <f t="shared" si="499"/>
        <v/>
      </c>
      <c r="E9981" s="534"/>
      <c r="F9981" s="534"/>
    </row>
    <row r="9982" spans="1:6" ht="15" customHeight="1">
      <c r="A9982" s="51"/>
      <c r="B9982" s="52" t="str">
        <f t="shared" si="498"/>
        <v/>
      </c>
      <c r="C9982" t="str">
        <f t="shared" si="497"/>
        <v/>
      </c>
      <c r="D9982" s="245" t="str">
        <f t="shared" si="499"/>
        <v/>
      </c>
      <c r="E9982" s="534"/>
      <c r="F9982" s="534"/>
    </row>
    <row r="9983" spans="1:6" ht="15" customHeight="1">
      <c r="A9983" s="51"/>
      <c r="B9983" s="52" t="str">
        <f t="shared" si="498"/>
        <v/>
      </c>
      <c r="C9983" t="str">
        <f t="shared" si="497"/>
        <v/>
      </c>
      <c r="D9983" s="245" t="str">
        <f t="shared" si="499"/>
        <v/>
      </c>
      <c r="E9983" s="534"/>
      <c r="F9983" s="534"/>
    </row>
    <row r="9984" spans="1:6" ht="15" customHeight="1">
      <c r="A9984" s="51"/>
      <c r="B9984" s="52" t="str">
        <f t="shared" si="498"/>
        <v/>
      </c>
      <c r="C9984" t="str">
        <f t="shared" si="497"/>
        <v/>
      </c>
      <c r="D9984" s="245" t="str">
        <f t="shared" si="499"/>
        <v/>
      </c>
      <c r="E9984" s="534"/>
      <c r="F9984" s="534"/>
    </row>
    <row r="9985" spans="1:6" ht="15" customHeight="1">
      <c r="A9985" s="51"/>
      <c r="B9985" s="52" t="str">
        <f t="shared" si="498"/>
        <v/>
      </c>
      <c r="C9985" t="str">
        <f t="shared" si="497"/>
        <v/>
      </c>
      <c r="D9985" s="245" t="str">
        <f t="shared" si="499"/>
        <v/>
      </c>
      <c r="E9985" s="534"/>
      <c r="F9985" s="534"/>
    </row>
    <row r="9986" spans="1:6" ht="15" customHeight="1">
      <c r="A9986" s="51"/>
      <c r="B9986" s="52" t="str">
        <f t="shared" si="498"/>
        <v/>
      </c>
      <c r="C9986" t="str">
        <f t="shared" ref="C9986:C10049" si="500">IF(A9986&lt;&gt;"",TEXT(A9986,"aaaa"),"")</f>
        <v/>
      </c>
      <c r="D9986" s="245" t="str">
        <f t="shared" si="499"/>
        <v/>
      </c>
      <c r="E9986" s="534"/>
      <c r="F9986" s="534"/>
    </row>
    <row r="9987" spans="1:6" ht="15" customHeight="1">
      <c r="A9987" s="51"/>
      <c r="B9987" s="52" t="str">
        <f t="shared" si="498"/>
        <v/>
      </c>
      <c r="C9987" t="str">
        <f t="shared" si="500"/>
        <v/>
      </c>
      <c r="D9987" s="245" t="str">
        <f t="shared" si="499"/>
        <v/>
      </c>
      <c r="E9987" s="534"/>
      <c r="F9987" s="534"/>
    </row>
    <row r="9988" spans="1:6" ht="15" customHeight="1">
      <c r="A9988" s="51"/>
      <c r="B9988" s="52" t="str">
        <f t="shared" si="498"/>
        <v/>
      </c>
      <c r="C9988" t="str">
        <f t="shared" si="500"/>
        <v/>
      </c>
      <c r="D9988" s="245" t="str">
        <f t="shared" si="499"/>
        <v/>
      </c>
      <c r="E9988" s="534"/>
      <c r="F9988" s="534"/>
    </row>
    <row r="9989" spans="1:6" ht="15" customHeight="1">
      <c r="A9989" s="51"/>
      <c r="B9989" s="52" t="str">
        <f t="shared" si="498"/>
        <v/>
      </c>
      <c r="C9989" t="str">
        <f t="shared" si="500"/>
        <v/>
      </c>
      <c r="D9989" s="245" t="str">
        <f t="shared" si="499"/>
        <v/>
      </c>
      <c r="E9989" s="534"/>
      <c r="F9989" s="534"/>
    </row>
    <row r="9990" spans="1:6" ht="15" customHeight="1">
      <c r="A9990" s="51"/>
      <c r="B9990" s="52" t="str">
        <f t="shared" si="498"/>
        <v/>
      </c>
      <c r="C9990" t="str">
        <f t="shared" si="500"/>
        <v/>
      </c>
      <c r="D9990" s="245" t="str">
        <f t="shared" si="499"/>
        <v/>
      </c>
      <c r="E9990" s="534"/>
      <c r="F9990" s="534"/>
    </row>
    <row r="9991" spans="1:6" ht="15" customHeight="1">
      <c r="A9991" s="51"/>
      <c r="B9991" s="52" t="str">
        <f t="shared" si="498"/>
        <v/>
      </c>
      <c r="C9991" t="str">
        <f t="shared" si="500"/>
        <v/>
      </c>
      <c r="D9991" s="245" t="str">
        <f t="shared" si="499"/>
        <v/>
      </c>
      <c r="E9991" s="534"/>
      <c r="F9991" s="534"/>
    </row>
    <row r="9992" spans="1:6" ht="15" customHeight="1">
      <c r="A9992" s="51"/>
      <c r="B9992" s="52" t="str">
        <f t="shared" ref="B9992:B10055" si="501">IF(A9992="","",TEXT(A9992,"DDDD"))</f>
        <v/>
      </c>
      <c r="C9992" t="str">
        <f t="shared" si="500"/>
        <v/>
      </c>
      <c r="D9992" s="245" t="str">
        <f t="shared" si="499"/>
        <v/>
      </c>
      <c r="E9992" s="534"/>
      <c r="F9992" s="534"/>
    </row>
    <row r="9993" spans="1:6" ht="15" customHeight="1">
      <c r="A9993" s="51"/>
      <c r="B9993" s="52" t="str">
        <f t="shared" si="501"/>
        <v/>
      </c>
      <c r="C9993" t="str">
        <f t="shared" si="500"/>
        <v/>
      </c>
      <c r="D9993" s="245" t="str">
        <f t="shared" ref="D9993:D10056" si="502">IF(A9993&lt;&gt;"",PROPER(TEXT(A9993,"Mmmm")),"")</f>
        <v/>
      </c>
      <c r="E9993" s="534"/>
      <c r="F9993" s="534"/>
    </row>
    <row r="9994" spans="1:6" ht="15" customHeight="1">
      <c r="A9994" s="51"/>
      <c r="B9994" s="52" t="str">
        <f t="shared" si="501"/>
        <v/>
      </c>
      <c r="C9994" t="str">
        <f t="shared" si="500"/>
        <v/>
      </c>
      <c r="D9994" s="245" t="str">
        <f t="shared" si="502"/>
        <v/>
      </c>
      <c r="E9994" s="534"/>
      <c r="F9994" s="534"/>
    </row>
    <row r="9995" spans="1:6" ht="15" customHeight="1">
      <c r="A9995" s="51"/>
      <c r="B9995" s="52" t="str">
        <f t="shared" si="501"/>
        <v/>
      </c>
      <c r="C9995" t="str">
        <f t="shared" si="500"/>
        <v/>
      </c>
      <c r="D9995" s="245" t="str">
        <f t="shared" si="502"/>
        <v/>
      </c>
      <c r="E9995" s="534"/>
      <c r="F9995" s="534"/>
    </row>
    <row r="9996" spans="1:6" ht="15" customHeight="1">
      <c r="A9996" s="51"/>
      <c r="B9996" s="52" t="str">
        <f t="shared" si="501"/>
        <v/>
      </c>
      <c r="C9996" t="str">
        <f t="shared" si="500"/>
        <v/>
      </c>
      <c r="D9996" s="245" t="str">
        <f t="shared" si="502"/>
        <v/>
      </c>
      <c r="E9996" s="534"/>
      <c r="F9996" s="534"/>
    </row>
    <row r="9997" spans="1:6" ht="15" customHeight="1">
      <c r="A9997" s="51"/>
      <c r="B9997" s="52" t="str">
        <f t="shared" si="501"/>
        <v/>
      </c>
      <c r="C9997" t="str">
        <f t="shared" si="500"/>
        <v/>
      </c>
      <c r="D9997" s="245" t="str">
        <f t="shared" si="502"/>
        <v/>
      </c>
      <c r="E9997" s="534"/>
      <c r="F9997" s="534"/>
    </row>
    <row r="9998" spans="1:6" ht="15" customHeight="1">
      <c r="A9998" s="51"/>
      <c r="B9998" s="52" t="str">
        <f t="shared" si="501"/>
        <v/>
      </c>
      <c r="C9998" t="str">
        <f t="shared" si="500"/>
        <v/>
      </c>
      <c r="D9998" s="245" t="str">
        <f t="shared" si="502"/>
        <v/>
      </c>
      <c r="E9998" s="534"/>
      <c r="F9998" s="534"/>
    </row>
    <row r="9999" spans="1:6" ht="15" customHeight="1">
      <c r="A9999" s="51"/>
      <c r="B9999" s="52" t="str">
        <f t="shared" si="501"/>
        <v/>
      </c>
      <c r="C9999" t="str">
        <f t="shared" si="500"/>
        <v/>
      </c>
      <c r="D9999" s="245" t="str">
        <f t="shared" si="502"/>
        <v/>
      </c>
      <c r="E9999" s="534"/>
      <c r="F9999" s="534"/>
    </row>
    <row r="10000" spans="1:6" ht="15" customHeight="1">
      <c r="A10000" s="51"/>
      <c r="B10000" s="52" t="str">
        <f t="shared" si="501"/>
        <v/>
      </c>
      <c r="C10000" t="str">
        <f t="shared" si="500"/>
        <v/>
      </c>
      <c r="D10000" s="245" t="str">
        <f t="shared" si="502"/>
        <v/>
      </c>
      <c r="E10000" s="534"/>
      <c r="F10000" s="534"/>
    </row>
    <row r="10001" spans="1:6" ht="15" customHeight="1">
      <c r="A10001" s="51"/>
      <c r="B10001" s="52" t="str">
        <f t="shared" si="501"/>
        <v/>
      </c>
      <c r="C10001" t="str">
        <f t="shared" si="500"/>
        <v/>
      </c>
      <c r="D10001" s="245" t="str">
        <f t="shared" si="502"/>
        <v/>
      </c>
      <c r="E10001" s="534"/>
      <c r="F10001" s="534"/>
    </row>
    <row r="10002" spans="1:6" ht="15" customHeight="1">
      <c r="A10002" s="51"/>
      <c r="B10002" s="52" t="str">
        <f t="shared" si="501"/>
        <v/>
      </c>
      <c r="C10002" t="str">
        <f t="shared" si="500"/>
        <v/>
      </c>
      <c r="D10002" s="245" t="str">
        <f t="shared" si="502"/>
        <v/>
      </c>
      <c r="E10002" s="534"/>
      <c r="F10002" s="534"/>
    </row>
    <row r="10003" spans="1:6" ht="15" customHeight="1">
      <c r="A10003" s="51"/>
      <c r="B10003" s="52" t="str">
        <f t="shared" si="501"/>
        <v/>
      </c>
      <c r="C10003" t="str">
        <f t="shared" si="500"/>
        <v/>
      </c>
      <c r="D10003" s="245" t="str">
        <f t="shared" si="502"/>
        <v/>
      </c>
      <c r="E10003" s="534"/>
      <c r="F10003" s="534"/>
    </row>
    <row r="10004" spans="1:6" ht="15" customHeight="1">
      <c r="A10004" s="51"/>
      <c r="B10004" s="52" t="str">
        <f t="shared" si="501"/>
        <v/>
      </c>
      <c r="C10004" t="str">
        <f t="shared" si="500"/>
        <v/>
      </c>
      <c r="D10004" s="245" t="str">
        <f t="shared" si="502"/>
        <v/>
      </c>
      <c r="E10004" s="534"/>
      <c r="F10004" s="534"/>
    </row>
    <row r="10005" spans="1:6" ht="15" customHeight="1">
      <c r="A10005" s="51"/>
      <c r="B10005" s="52" t="str">
        <f t="shared" si="501"/>
        <v/>
      </c>
      <c r="C10005" t="str">
        <f t="shared" si="500"/>
        <v/>
      </c>
      <c r="D10005" s="245" t="str">
        <f t="shared" si="502"/>
        <v/>
      </c>
      <c r="E10005" s="534"/>
      <c r="F10005" s="534"/>
    </row>
    <row r="10006" spans="1:6" ht="15" customHeight="1">
      <c r="A10006" s="51"/>
      <c r="B10006" s="52" t="str">
        <f t="shared" si="501"/>
        <v/>
      </c>
      <c r="C10006" t="str">
        <f t="shared" si="500"/>
        <v/>
      </c>
      <c r="D10006" s="245" t="str">
        <f t="shared" si="502"/>
        <v/>
      </c>
      <c r="E10006" s="534"/>
      <c r="F10006" s="534"/>
    </row>
    <row r="10007" spans="1:6" ht="15" customHeight="1">
      <c r="A10007" s="51"/>
      <c r="B10007" s="52" t="str">
        <f t="shared" si="501"/>
        <v/>
      </c>
      <c r="C10007" t="str">
        <f t="shared" si="500"/>
        <v/>
      </c>
      <c r="D10007" s="245" t="str">
        <f t="shared" si="502"/>
        <v/>
      </c>
      <c r="E10007" s="534"/>
      <c r="F10007" s="534"/>
    </row>
    <row r="10008" spans="1:6" ht="15" customHeight="1">
      <c r="A10008" s="51"/>
      <c r="B10008" s="52" t="str">
        <f t="shared" si="501"/>
        <v/>
      </c>
      <c r="C10008" t="str">
        <f t="shared" si="500"/>
        <v/>
      </c>
      <c r="D10008" s="245" t="str">
        <f t="shared" si="502"/>
        <v/>
      </c>
      <c r="E10008" s="534"/>
      <c r="F10008" s="534"/>
    </row>
    <row r="10009" spans="1:6" ht="15" customHeight="1">
      <c r="A10009" s="51"/>
      <c r="B10009" s="52" t="str">
        <f t="shared" si="501"/>
        <v/>
      </c>
      <c r="C10009" t="str">
        <f t="shared" si="500"/>
        <v/>
      </c>
      <c r="D10009" s="245" t="str">
        <f t="shared" si="502"/>
        <v/>
      </c>
      <c r="E10009" s="534"/>
      <c r="F10009" s="534"/>
    </row>
    <row r="10010" spans="1:6" ht="15" customHeight="1">
      <c r="A10010" s="51"/>
      <c r="B10010" s="52" t="str">
        <f t="shared" si="501"/>
        <v/>
      </c>
      <c r="C10010" t="str">
        <f t="shared" si="500"/>
        <v/>
      </c>
      <c r="D10010" s="245" t="str">
        <f t="shared" si="502"/>
        <v/>
      </c>
      <c r="E10010" s="534"/>
      <c r="F10010" s="534"/>
    </row>
    <row r="10011" spans="1:6" ht="15" customHeight="1">
      <c r="A10011" s="51"/>
      <c r="B10011" s="52" t="str">
        <f t="shared" si="501"/>
        <v/>
      </c>
      <c r="C10011" t="str">
        <f t="shared" si="500"/>
        <v/>
      </c>
      <c r="D10011" s="245" t="str">
        <f t="shared" si="502"/>
        <v/>
      </c>
      <c r="E10011" s="534"/>
      <c r="F10011" s="534"/>
    </row>
    <row r="10012" spans="1:6" ht="15" customHeight="1">
      <c r="A10012" s="51"/>
      <c r="B10012" s="52" t="str">
        <f t="shared" si="501"/>
        <v/>
      </c>
      <c r="C10012" t="str">
        <f t="shared" si="500"/>
        <v/>
      </c>
      <c r="D10012" s="245" t="str">
        <f t="shared" si="502"/>
        <v/>
      </c>
      <c r="E10012" s="534"/>
      <c r="F10012" s="534"/>
    </row>
    <row r="10013" spans="1:6" ht="15" customHeight="1">
      <c r="A10013" s="51"/>
      <c r="B10013" s="52" t="str">
        <f t="shared" si="501"/>
        <v/>
      </c>
      <c r="C10013" t="str">
        <f t="shared" si="500"/>
        <v/>
      </c>
      <c r="D10013" s="245" t="str">
        <f t="shared" si="502"/>
        <v/>
      </c>
      <c r="E10013" s="534"/>
      <c r="F10013" s="534"/>
    </row>
    <row r="10014" spans="1:6" ht="15" customHeight="1">
      <c r="A10014" s="51"/>
      <c r="B10014" s="52" t="str">
        <f t="shared" si="501"/>
        <v/>
      </c>
      <c r="C10014" t="str">
        <f t="shared" si="500"/>
        <v/>
      </c>
      <c r="D10014" s="245" t="str">
        <f t="shared" si="502"/>
        <v/>
      </c>
      <c r="E10014" s="534"/>
      <c r="F10014" s="534"/>
    </row>
    <row r="10015" spans="1:6" ht="15" customHeight="1">
      <c r="A10015" s="51"/>
      <c r="B10015" s="52" t="str">
        <f t="shared" si="501"/>
        <v/>
      </c>
      <c r="C10015" t="str">
        <f t="shared" si="500"/>
        <v/>
      </c>
      <c r="D10015" s="245" t="str">
        <f t="shared" si="502"/>
        <v/>
      </c>
      <c r="E10015" s="534"/>
      <c r="F10015" s="534"/>
    </row>
    <row r="10016" spans="1:6" ht="15" customHeight="1">
      <c r="A10016" s="51"/>
      <c r="B10016" s="52" t="str">
        <f t="shared" si="501"/>
        <v/>
      </c>
      <c r="C10016" t="str">
        <f t="shared" si="500"/>
        <v/>
      </c>
      <c r="D10016" s="245" t="str">
        <f t="shared" si="502"/>
        <v/>
      </c>
      <c r="E10016" s="534"/>
      <c r="F10016" s="534"/>
    </row>
    <row r="10017" spans="1:6" ht="15" customHeight="1">
      <c r="A10017" s="51"/>
      <c r="B10017" s="52" t="str">
        <f t="shared" si="501"/>
        <v/>
      </c>
      <c r="C10017" t="str">
        <f t="shared" si="500"/>
        <v/>
      </c>
      <c r="D10017" s="245" t="str">
        <f t="shared" si="502"/>
        <v/>
      </c>
      <c r="E10017" s="534"/>
      <c r="F10017" s="534"/>
    </row>
    <row r="10018" spans="1:6" ht="15" customHeight="1">
      <c r="A10018" s="51"/>
      <c r="B10018" s="52" t="str">
        <f t="shared" si="501"/>
        <v/>
      </c>
      <c r="C10018" t="str">
        <f t="shared" si="500"/>
        <v/>
      </c>
      <c r="D10018" s="245" t="str">
        <f t="shared" si="502"/>
        <v/>
      </c>
      <c r="E10018" s="534"/>
      <c r="F10018" s="534"/>
    </row>
    <row r="10019" spans="1:6" ht="15" customHeight="1">
      <c r="A10019" s="51"/>
      <c r="B10019" s="52" t="str">
        <f t="shared" si="501"/>
        <v/>
      </c>
      <c r="C10019" t="str">
        <f t="shared" si="500"/>
        <v/>
      </c>
      <c r="D10019" s="245" t="str">
        <f t="shared" si="502"/>
        <v/>
      </c>
      <c r="E10019" s="534"/>
      <c r="F10019" s="534"/>
    </row>
    <row r="10020" spans="1:6" ht="15" customHeight="1">
      <c r="A10020" s="51"/>
      <c r="B10020" s="52" t="str">
        <f t="shared" si="501"/>
        <v/>
      </c>
      <c r="C10020" t="str">
        <f t="shared" si="500"/>
        <v/>
      </c>
      <c r="D10020" s="245" t="str">
        <f t="shared" si="502"/>
        <v/>
      </c>
      <c r="E10020" s="534"/>
      <c r="F10020" s="534"/>
    </row>
    <row r="10021" spans="1:6" ht="15" customHeight="1">
      <c r="A10021" s="51"/>
      <c r="B10021" s="52" t="str">
        <f t="shared" si="501"/>
        <v/>
      </c>
      <c r="C10021" t="str">
        <f t="shared" si="500"/>
        <v/>
      </c>
      <c r="D10021" s="245" t="str">
        <f t="shared" si="502"/>
        <v/>
      </c>
      <c r="E10021" s="534"/>
      <c r="F10021" s="534"/>
    </row>
    <row r="10022" spans="1:6" ht="15" customHeight="1">
      <c r="A10022" s="51"/>
      <c r="B10022" s="52" t="str">
        <f t="shared" si="501"/>
        <v/>
      </c>
      <c r="C10022" t="str">
        <f t="shared" si="500"/>
        <v/>
      </c>
      <c r="D10022" s="245" t="str">
        <f t="shared" si="502"/>
        <v/>
      </c>
      <c r="E10022" s="534"/>
      <c r="F10022" s="534"/>
    </row>
    <row r="10023" spans="1:6" ht="15" customHeight="1">
      <c r="A10023" s="51"/>
      <c r="B10023" s="52" t="str">
        <f t="shared" si="501"/>
        <v/>
      </c>
      <c r="C10023" t="str">
        <f t="shared" si="500"/>
        <v/>
      </c>
      <c r="D10023" s="245" t="str">
        <f t="shared" si="502"/>
        <v/>
      </c>
      <c r="E10023" s="534"/>
      <c r="F10023" s="534"/>
    </row>
    <row r="10024" spans="1:6" ht="15" customHeight="1">
      <c r="A10024" s="51"/>
      <c r="B10024" s="52" t="str">
        <f t="shared" si="501"/>
        <v/>
      </c>
      <c r="C10024" t="str">
        <f t="shared" si="500"/>
        <v/>
      </c>
      <c r="D10024" s="245" t="str">
        <f t="shared" si="502"/>
        <v/>
      </c>
      <c r="E10024" s="534"/>
      <c r="F10024" s="534"/>
    </row>
    <row r="10025" spans="1:6" ht="15" customHeight="1">
      <c r="A10025" s="51"/>
      <c r="B10025" s="52" t="str">
        <f t="shared" si="501"/>
        <v/>
      </c>
      <c r="C10025" t="str">
        <f t="shared" si="500"/>
        <v/>
      </c>
      <c r="D10025" s="245" t="str">
        <f t="shared" si="502"/>
        <v/>
      </c>
      <c r="E10025" s="534"/>
      <c r="F10025" s="534"/>
    </row>
    <row r="10026" spans="1:6" ht="15" customHeight="1">
      <c r="A10026" s="51"/>
      <c r="B10026" s="52" t="str">
        <f t="shared" si="501"/>
        <v/>
      </c>
      <c r="C10026" t="str">
        <f t="shared" si="500"/>
        <v/>
      </c>
      <c r="D10026" s="245" t="str">
        <f t="shared" si="502"/>
        <v/>
      </c>
      <c r="E10026" s="534"/>
      <c r="F10026" s="534"/>
    </row>
    <row r="10027" spans="1:6" ht="15" customHeight="1">
      <c r="A10027" s="51"/>
      <c r="B10027" s="52" t="str">
        <f t="shared" si="501"/>
        <v/>
      </c>
      <c r="C10027" t="str">
        <f t="shared" si="500"/>
        <v/>
      </c>
      <c r="D10027" s="245" t="str">
        <f t="shared" si="502"/>
        <v/>
      </c>
      <c r="E10027" s="534"/>
      <c r="F10027" s="534"/>
    </row>
    <row r="10028" spans="1:6" ht="15" customHeight="1">
      <c r="A10028" s="51"/>
      <c r="B10028" s="52" t="str">
        <f t="shared" si="501"/>
        <v/>
      </c>
      <c r="C10028" t="str">
        <f t="shared" si="500"/>
        <v/>
      </c>
      <c r="D10028" s="245" t="str">
        <f t="shared" si="502"/>
        <v/>
      </c>
      <c r="E10028" s="534"/>
      <c r="F10028" s="534"/>
    </row>
    <row r="10029" spans="1:6" ht="15" customHeight="1">
      <c r="A10029" s="51"/>
      <c r="B10029" s="52" t="str">
        <f t="shared" si="501"/>
        <v/>
      </c>
      <c r="C10029" t="str">
        <f t="shared" si="500"/>
        <v/>
      </c>
      <c r="D10029" s="245" t="str">
        <f t="shared" si="502"/>
        <v/>
      </c>
      <c r="E10029" s="534"/>
      <c r="F10029" s="534"/>
    </row>
    <row r="10030" spans="1:6" ht="15" customHeight="1">
      <c r="A10030" s="51"/>
      <c r="B10030" s="52" t="str">
        <f t="shared" si="501"/>
        <v/>
      </c>
      <c r="C10030" t="str">
        <f t="shared" si="500"/>
        <v/>
      </c>
      <c r="D10030" s="245" t="str">
        <f t="shared" si="502"/>
        <v/>
      </c>
      <c r="E10030" s="534"/>
      <c r="F10030" s="534"/>
    </row>
    <row r="10031" spans="1:6" ht="15" customHeight="1">
      <c r="A10031" s="51"/>
      <c r="B10031" s="52" t="str">
        <f t="shared" si="501"/>
        <v/>
      </c>
      <c r="C10031" t="str">
        <f t="shared" si="500"/>
        <v/>
      </c>
      <c r="D10031" s="245" t="str">
        <f t="shared" si="502"/>
        <v/>
      </c>
      <c r="E10031" s="534"/>
      <c r="F10031" s="534"/>
    </row>
    <row r="10032" spans="1:6" ht="15" customHeight="1">
      <c r="A10032" s="51"/>
      <c r="B10032" s="52" t="str">
        <f t="shared" si="501"/>
        <v/>
      </c>
      <c r="C10032" t="str">
        <f t="shared" si="500"/>
        <v/>
      </c>
      <c r="D10032" s="245" t="str">
        <f t="shared" si="502"/>
        <v/>
      </c>
      <c r="E10032" s="534"/>
      <c r="F10032" s="534"/>
    </row>
    <row r="10033" spans="1:6" ht="15" customHeight="1">
      <c r="A10033" s="51"/>
      <c r="B10033" s="52" t="str">
        <f t="shared" si="501"/>
        <v/>
      </c>
      <c r="C10033" t="str">
        <f t="shared" si="500"/>
        <v/>
      </c>
      <c r="D10033" s="245" t="str">
        <f t="shared" si="502"/>
        <v/>
      </c>
      <c r="E10033" s="534"/>
      <c r="F10033" s="534"/>
    </row>
    <row r="10034" spans="1:6" ht="15" customHeight="1">
      <c r="A10034" s="51"/>
      <c r="B10034" s="52" t="str">
        <f t="shared" si="501"/>
        <v/>
      </c>
      <c r="C10034" t="str">
        <f t="shared" si="500"/>
        <v/>
      </c>
      <c r="D10034" s="245" t="str">
        <f t="shared" si="502"/>
        <v/>
      </c>
      <c r="E10034" s="534"/>
      <c r="F10034" s="534"/>
    </row>
    <row r="10035" spans="1:6" ht="15" customHeight="1">
      <c r="A10035" s="51"/>
      <c r="B10035" s="52" t="str">
        <f t="shared" si="501"/>
        <v/>
      </c>
      <c r="C10035" t="str">
        <f t="shared" si="500"/>
        <v/>
      </c>
      <c r="D10035" s="245" t="str">
        <f t="shared" si="502"/>
        <v/>
      </c>
      <c r="E10035" s="534"/>
      <c r="F10035" s="534"/>
    </row>
    <row r="10036" spans="1:6" ht="15" customHeight="1">
      <c r="A10036" s="51"/>
      <c r="B10036" s="52" t="str">
        <f t="shared" si="501"/>
        <v/>
      </c>
      <c r="C10036" t="str">
        <f t="shared" si="500"/>
        <v/>
      </c>
      <c r="D10036" s="245" t="str">
        <f t="shared" si="502"/>
        <v/>
      </c>
      <c r="E10036" s="534"/>
      <c r="F10036" s="534"/>
    </row>
    <row r="10037" spans="1:6" ht="15" customHeight="1">
      <c r="A10037" s="51"/>
      <c r="B10037" s="52" t="str">
        <f t="shared" si="501"/>
        <v/>
      </c>
      <c r="C10037" t="str">
        <f t="shared" si="500"/>
        <v/>
      </c>
      <c r="D10037" s="245" t="str">
        <f t="shared" si="502"/>
        <v/>
      </c>
      <c r="E10037" s="534"/>
      <c r="F10037" s="534"/>
    </row>
    <row r="10038" spans="1:6" ht="15" customHeight="1">
      <c r="A10038" s="51"/>
      <c r="B10038" s="52" t="str">
        <f t="shared" si="501"/>
        <v/>
      </c>
      <c r="C10038" t="str">
        <f t="shared" si="500"/>
        <v/>
      </c>
      <c r="D10038" s="245" t="str">
        <f t="shared" si="502"/>
        <v/>
      </c>
      <c r="E10038" s="534"/>
      <c r="F10038" s="534"/>
    </row>
    <row r="10039" spans="1:6" ht="15" customHeight="1">
      <c r="A10039" s="51"/>
      <c r="B10039" s="52" t="str">
        <f t="shared" si="501"/>
        <v/>
      </c>
      <c r="C10039" t="str">
        <f t="shared" si="500"/>
        <v/>
      </c>
      <c r="D10039" s="245" t="str">
        <f t="shared" si="502"/>
        <v/>
      </c>
      <c r="E10039" s="534"/>
      <c r="F10039" s="534"/>
    </row>
    <row r="10040" spans="1:6" ht="15" customHeight="1">
      <c r="A10040" s="51"/>
      <c r="B10040" s="52" t="str">
        <f t="shared" si="501"/>
        <v/>
      </c>
      <c r="C10040" t="str">
        <f t="shared" si="500"/>
        <v/>
      </c>
      <c r="D10040" s="245" t="str">
        <f t="shared" si="502"/>
        <v/>
      </c>
      <c r="E10040" s="534"/>
      <c r="F10040" s="534"/>
    </row>
    <row r="10041" spans="1:6" ht="15" customHeight="1">
      <c r="A10041" s="51"/>
      <c r="B10041" s="52" t="str">
        <f t="shared" si="501"/>
        <v/>
      </c>
      <c r="C10041" t="str">
        <f t="shared" si="500"/>
        <v/>
      </c>
      <c r="D10041" s="245" t="str">
        <f t="shared" si="502"/>
        <v/>
      </c>
      <c r="E10041" s="534"/>
      <c r="F10041" s="534"/>
    </row>
    <row r="10042" spans="1:6" ht="15" customHeight="1">
      <c r="A10042" s="51"/>
      <c r="B10042" s="52" t="str">
        <f t="shared" si="501"/>
        <v/>
      </c>
      <c r="C10042" t="str">
        <f t="shared" si="500"/>
        <v/>
      </c>
      <c r="D10042" s="245" t="str">
        <f t="shared" si="502"/>
        <v/>
      </c>
      <c r="E10042" s="534"/>
      <c r="F10042" s="534"/>
    </row>
    <row r="10043" spans="1:6" ht="15" customHeight="1">
      <c r="A10043" s="51"/>
      <c r="B10043" s="52" t="str">
        <f t="shared" si="501"/>
        <v/>
      </c>
      <c r="C10043" t="str">
        <f t="shared" si="500"/>
        <v/>
      </c>
      <c r="D10043" s="245" t="str">
        <f t="shared" si="502"/>
        <v/>
      </c>
      <c r="E10043" s="534"/>
      <c r="F10043" s="534"/>
    </row>
    <row r="10044" spans="1:6" ht="15" customHeight="1">
      <c r="A10044" s="51"/>
      <c r="B10044" s="52" t="str">
        <f t="shared" si="501"/>
        <v/>
      </c>
      <c r="C10044" t="str">
        <f t="shared" si="500"/>
        <v/>
      </c>
      <c r="D10044" s="245" t="str">
        <f t="shared" si="502"/>
        <v/>
      </c>
      <c r="E10044" s="534"/>
      <c r="F10044" s="534"/>
    </row>
    <row r="10045" spans="1:6" ht="15" customHeight="1">
      <c r="A10045" s="51"/>
      <c r="B10045" s="52" t="str">
        <f t="shared" si="501"/>
        <v/>
      </c>
      <c r="C10045" t="str">
        <f t="shared" si="500"/>
        <v/>
      </c>
      <c r="D10045" s="245" t="str">
        <f t="shared" si="502"/>
        <v/>
      </c>
      <c r="E10045" s="534"/>
      <c r="F10045" s="534"/>
    </row>
    <row r="10046" spans="1:6" ht="15" customHeight="1">
      <c r="A10046" s="51"/>
      <c r="B10046" s="52" t="str">
        <f t="shared" si="501"/>
        <v/>
      </c>
      <c r="C10046" t="str">
        <f t="shared" si="500"/>
        <v/>
      </c>
      <c r="D10046" s="245" t="str">
        <f t="shared" si="502"/>
        <v/>
      </c>
      <c r="E10046" s="534"/>
      <c r="F10046" s="534"/>
    </row>
    <row r="10047" spans="1:6" ht="15" customHeight="1">
      <c r="A10047" s="51"/>
      <c r="B10047" s="52" t="str">
        <f t="shared" si="501"/>
        <v/>
      </c>
      <c r="C10047" t="str">
        <f t="shared" si="500"/>
        <v/>
      </c>
      <c r="D10047" s="245" t="str">
        <f t="shared" si="502"/>
        <v/>
      </c>
      <c r="E10047" s="534"/>
      <c r="F10047" s="534"/>
    </row>
    <row r="10048" spans="1:6" ht="15" customHeight="1">
      <c r="A10048" s="51"/>
      <c r="B10048" s="52" t="str">
        <f t="shared" si="501"/>
        <v/>
      </c>
      <c r="C10048" t="str">
        <f t="shared" si="500"/>
        <v/>
      </c>
      <c r="D10048" s="245" t="str">
        <f t="shared" si="502"/>
        <v/>
      </c>
      <c r="E10048" s="534"/>
      <c r="F10048" s="534"/>
    </row>
    <row r="10049" spans="1:6" ht="15" customHeight="1">
      <c r="A10049" s="51"/>
      <c r="B10049" s="52" t="str">
        <f t="shared" si="501"/>
        <v/>
      </c>
      <c r="C10049" t="str">
        <f t="shared" si="500"/>
        <v/>
      </c>
      <c r="D10049" s="245" t="str">
        <f t="shared" si="502"/>
        <v/>
      </c>
      <c r="E10049" s="534"/>
      <c r="F10049" s="534"/>
    </row>
    <row r="10050" spans="1:6" ht="15" customHeight="1">
      <c r="A10050" s="51"/>
      <c r="B10050" s="52" t="str">
        <f t="shared" si="501"/>
        <v/>
      </c>
      <c r="C10050" t="str">
        <f t="shared" ref="C10050:C10113" si="503">IF(A10050&lt;&gt;"",TEXT(A10050,"aaaa"),"")</f>
        <v/>
      </c>
      <c r="D10050" s="245" t="str">
        <f t="shared" si="502"/>
        <v/>
      </c>
      <c r="E10050" s="534"/>
      <c r="F10050" s="534"/>
    </row>
    <row r="10051" spans="1:6" ht="15" customHeight="1">
      <c r="A10051" s="51"/>
      <c r="B10051" s="52" t="str">
        <f t="shared" si="501"/>
        <v/>
      </c>
      <c r="C10051" t="str">
        <f t="shared" si="503"/>
        <v/>
      </c>
      <c r="D10051" s="245" t="str">
        <f t="shared" si="502"/>
        <v/>
      </c>
      <c r="E10051" s="534"/>
      <c r="F10051" s="534"/>
    </row>
    <row r="10052" spans="1:6" ht="15" customHeight="1">
      <c r="A10052" s="51"/>
      <c r="B10052" s="52" t="str">
        <f t="shared" si="501"/>
        <v/>
      </c>
      <c r="C10052" t="str">
        <f t="shared" si="503"/>
        <v/>
      </c>
      <c r="D10052" s="245" t="str">
        <f t="shared" si="502"/>
        <v/>
      </c>
      <c r="E10052" s="534"/>
      <c r="F10052" s="534"/>
    </row>
    <row r="10053" spans="1:6" ht="15" customHeight="1">
      <c r="A10053" s="51"/>
      <c r="B10053" s="52" t="str">
        <f t="shared" si="501"/>
        <v/>
      </c>
      <c r="C10053" t="str">
        <f t="shared" si="503"/>
        <v/>
      </c>
      <c r="D10053" s="245" t="str">
        <f t="shared" si="502"/>
        <v/>
      </c>
      <c r="E10053" s="534"/>
      <c r="F10053" s="534"/>
    </row>
    <row r="10054" spans="1:6" ht="15" customHeight="1">
      <c r="A10054" s="51"/>
      <c r="B10054" s="52" t="str">
        <f t="shared" si="501"/>
        <v/>
      </c>
      <c r="C10054" t="str">
        <f t="shared" si="503"/>
        <v/>
      </c>
      <c r="D10054" s="245" t="str">
        <f t="shared" si="502"/>
        <v/>
      </c>
      <c r="E10054" s="534"/>
      <c r="F10054" s="534"/>
    </row>
    <row r="10055" spans="1:6" ht="15" customHeight="1">
      <c r="A10055" s="51"/>
      <c r="B10055" s="52" t="str">
        <f t="shared" si="501"/>
        <v/>
      </c>
      <c r="C10055" t="str">
        <f t="shared" si="503"/>
        <v/>
      </c>
      <c r="D10055" s="245" t="str">
        <f t="shared" si="502"/>
        <v/>
      </c>
      <c r="E10055" s="534"/>
      <c r="F10055" s="534"/>
    </row>
    <row r="10056" spans="1:6" ht="15" customHeight="1">
      <c r="A10056" s="51"/>
      <c r="B10056" s="52" t="str">
        <f t="shared" ref="B10056:B10119" si="504">IF(A10056="","",TEXT(A10056,"DDDD"))</f>
        <v/>
      </c>
      <c r="C10056" t="str">
        <f t="shared" si="503"/>
        <v/>
      </c>
      <c r="D10056" s="245" t="str">
        <f t="shared" si="502"/>
        <v/>
      </c>
      <c r="E10056" s="534"/>
      <c r="F10056" s="534"/>
    </row>
    <row r="10057" spans="1:6" ht="15" customHeight="1">
      <c r="A10057" s="51"/>
      <c r="B10057" s="52" t="str">
        <f t="shared" si="504"/>
        <v/>
      </c>
      <c r="C10057" t="str">
        <f t="shared" si="503"/>
        <v/>
      </c>
      <c r="D10057" s="245" t="str">
        <f t="shared" ref="D10057:D10120" si="505">IF(A10057&lt;&gt;"",PROPER(TEXT(A10057,"Mmmm")),"")</f>
        <v/>
      </c>
      <c r="E10057" s="534"/>
      <c r="F10057" s="534"/>
    </row>
    <row r="10058" spans="1:6" ht="15" customHeight="1">
      <c r="A10058" s="51"/>
      <c r="B10058" s="52" t="str">
        <f t="shared" si="504"/>
        <v/>
      </c>
      <c r="C10058" t="str">
        <f t="shared" si="503"/>
        <v/>
      </c>
      <c r="D10058" s="245" t="str">
        <f t="shared" si="505"/>
        <v/>
      </c>
      <c r="E10058" s="534"/>
      <c r="F10058" s="534"/>
    </row>
    <row r="10059" spans="1:6" ht="15" customHeight="1">
      <c r="A10059" s="51"/>
      <c r="B10059" s="52" t="str">
        <f t="shared" si="504"/>
        <v/>
      </c>
      <c r="C10059" t="str">
        <f t="shared" si="503"/>
        <v/>
      </c>
      <c r="D10059" s="245" t="str">
        <f t="shared" si="505"/>
        <v/>
      </c>
      <c r="E10059" s="534"/>
      <c r="F10059" s="534"/>
    </row>
    <row r="10060" spans="1:6" ht="15" customHeight="1">
      <c r="A10060" s="51"/>
      <c r="B10060" s="52" t="str">
        <f t="shared" si="504"/>
        <v/>
      </c>
      <c r="C10060" t="str">
        <f t="shared" si="503"/>
        <v/>
      </c>
      <c r="D10060" s="245" t="str">
        <f t="shared" si="505"/>
        <v/>
      </c>
      <c r="E10060" s="534"/>
      <c r="F10060" s="534"/>
    </row>
    <row r="10061" spans="1:6" ht="15" customHeight="1">
      <c r="A10061" s="51"/>
      <c r="B10061" s="52" t="str">
        <f t="shared" si="504"/>
        <v/>
      </c>
      <c r="C10061" t="str">
        <f t="shared" si="503"/>
        <v/>
      </c>
      <c r="D10061" s="245" t="str">
        <f t="shared" si="505"/>
        <v/>
      </c>
      <c r="E10061" s="534"/>
      <c r="F10061" s="534"/>
    </row>
    <row r="10062" spans="1:6" ht="15" customHeight="1">
      <c r="A10062" s="51"/>
      <c r="B10062" s="52" t="str">
        <f t="shared" si="504"/>
        <v/>
      </c>
      <c r="C10062" t="str">
        <f t="shared" si="503"/>
        <v/>
      </c>
      <c r="D10062" s="245" t="str">
        <f t="shared" si="505"/>
        <v/>
      </c>
      <c r="E10062" s="534"/>
      <c r="F10062" s="534"/>
    </row>
    <row r="10063" spans="1:6" ht="15" customHeight="1">
      <c r="A10063" s="51"/>
      <c r="B10063" s="52" t="str">
        <f t="shared" si="504"/>
        <v/>
      </c>
      <c r="C10063" t="str">
        <f t="shared" si="503"/>
        <v/>
      </c>
      <c r="D10063" s="245" t="str">
        <f t="shared" si="505"/>
        <v/>
      </c>
      <c r="E10063" s="534"/>
      <c r="F10063" s="534"/>
    </row>
    <row r="10064" spans="1:6" ht="15" customHeight="1">
      <c r="A10064" s="51"/>
      <c r="B10064" s="52" t="str">
        <f t="shared" si="504"/>
        <v/>
      </c>
      <c r="C10064" t="str">
        <f t="shared" si="503"/>
        <v/>
      </c>
      <c r="D10064" s="245" t="str">
        <f t="shared" si="505"/>
        <v/>
      </c>
      <c r="E10064" s="534"/>
      <c r="F10064" s="534"/>
    </row>
    <row r="10065" spans="1:6" ht="15" customHeight="1">
      <c r="A10065" s="51"/>
      <c r="B10065" s="52" t="str">
        <f t="shared" si="504"/>
        <v/>
      </c>
      <c r="C10065" t="str">
        <f t="shared" si="503"/>
        <v/>
      </c>
      <c r="D10065" s="245" t="str">
        <f t="shared" si="505"/>
        <v/>
      </c>
      <c r="E10065" s="534"/>
      <c r="F10065" s="534"/>
    </row>
    <row r="10066" spans="1:6" ht="15" customHeight="1">
      <c r="A10066" s="51"/>
      <c r="B10066" s="52" t="str">
        <f t="shared" si="504"/>
        <v/>
      </c>
      <c r="C10066" t="str">
        <f t="shared" si="503"/>
        <v/>
      </c>
      <c r="D10066" s="245" t="str">
        <f t="shared" si="505"/>
        <v/>
      </c>
      <c r="E10066" s="534"/>
      <c r="F10066" s="534"/>
    </row>
    <row r="10067" spans="1:6" ht="15" customHeight="1">
      <c r="A10067" s="51"/>
      <c r="B10067" s="52" t="str">
        <f t="shared" si="504"/>
        <v/>
      </c>
      <c r="C10067" t="str">
        <f t="shared" si="503"/>
        <v/>
      </c>
      <c r="D10067" s="245" t="str">
        <f t="shared" si="505"/>
        <v/>
      </c>
      <c r="E10067" s="534"/>
      <c r="F10067" s="534"/>
    </row>
    <row r="10068" spans="1:6" ht="15" customHeight="1">
      <c r="A10068" s="51"/>
      <c r="B10068" s="52" t="str">
        <f t="shared" si="504"/>
        <v/>
      </c>
      <c r="C10068" t="str">
        <f t="shared" si="503"/>
        <v/>
      </c>
      <c r="D10068" s="245" t="str">
        <f t="shared" si="505"/>
        <v/>
      </c>
      <c r="E10068" s="534"/>
      <c r="F10068" s="534"/>
    </row>
    <row r="10069" spans="1:6" ht="15" customHeight="1">
      <c r="A10069" s="51"/>
      <c r="B10069" s="52" t="str">
        <f t="shared" si="504"/>
        <v/>
      </c>
      <c r="C10069" t="str">
        <f t="shared" si="503"/>
        <v/>
      </c>
      <c r="D10069" s="245" t="str">
        <f t="shared" si="505"/>
        <v/>
      </c>
      <c r="E10069" s="534"/>
      <c r="F10069" s="534"/>
    </row>
    <row r="10070" spans="1:6" ht="15" customHeight="1">
      <c r="A10070" s="51"/>
      <c r="B10070" s="52" t="str">
        <f t="shared" si="504"/>
        <v/>
      </c>
      <c r="C10070" t="str">
        <f t="shared" si="503"/>
        <v/>
      </c>
      <c r="D10070" s="245" t="str">
        <f t="shared" si="505"/>
        <v/>
      </c>
      <c r="E10070" s="534"/>
      <c r="F10070" s="534"/>
    </row>
    <row r="10071" spans="1:6" ht="15" customHeight="1">
      <c r="A10071" s="51"/>
      <c r="B10071" s="52" t="str">
        <f t="shared" si="504"/>
        <v/>
      </c>
      <c r="C10071" t="str">
        <f t="shared" si="503"/>
        <v/>
      </c>
      <c r="D10071" s="245" t="str">
        <f t="shared" si="505"/>
        <v/>
      </c>
      <c r="E10071" s="534"/>
      <c r="F10071" s="534"/>
    </row>
    <row r="10072" spans="1:6" ht="15" customHeight="1">
      <c r="A10072" s="51"/>
      <c r="B10072" s="52" t="str">
        <f t="shared" si="504"/>
        <v/>
      </c>
      <c r="C10072" t="str">
        <f t="shared" si="503"/>
        <v/>
      </c>
      <c r="D10072" s="245" t="str">
        <f t="shared" si="505"/>
        <v/>
      </c>
      <c r="E10072" s="534"/>
      <c r="F10072" s="534"/>
    </row>
    <row r="10073" spans="1:6" ht="15" customHeight="1">
      <c r="A10073" s="51"/>
      <c r="B10073" s="52" t="str">
        <f t="shared" si="504"/>
        <v/>
      </c>
      <c r="C10073" t="str">
        <f t="shared" si="503"/>
        <v/>
      </c>
      <c r="D10073" s="245" t="str">
        <f t="shared" si="505"/>
        <v/>
      </c>
      <c r="E10073" s="534"/>
      <c r="F10073" s="534"/>
    </row>
    <row r="10074" spans="1:6" ht="15" customHeight="1">
      <c r="A10074" s="51"/>
      <c r="B10074" s="52" t="str">
        <f t="shared" si="504"/>
        <v/>
      </c>
      <c r="C10074" t="str">
        <f t="shared" si="503"/>
        <v/>
      </c>
      <c r="D10074" s="245" t="str">
        <f t="shared" si="505"/>
        <v/>
      </c>
      <c r="E10074" s="534"/>
      <c r="F10074" s="534"/>
    </row>
    <row r="10075" spans="1:6" ht="15" customHeight="1">
      <c r="A10075" s="51"/>
      <c r="B10075" s="52" t="str">
        <f t="shared" si="504"/>
        <v/>
      </c>
      <c r="C10075" t="str">
        <f t="shared" si="503"/>
        <v/>
      </c>
      <c r="D10075" s="245" t="str">
        <f t="shared" si="505"/>
        <v/>
      </c>
      <c r="E10075" s="534"/>
      <c r="F10075" s="534"/>
    </row>
    <row r="10076" spans="1:6" ht="15" customHeight="1">
      <c r="A10076" s="51"/>
      <c r="B10076" s="52" t="str">
        <f t="shared" si="504"/>
        <v/>
      </c>
      <c r="C10076" t="str">
        <f t="shared" si="503"/>
        <v/>
      </c>
      <c r="D10076" s="245" t="str">
        <f t="shared" si="505"/>
        <v/>
      </c>
      <c r="E10076" s="534"/>
      <c r="F10076" s="534"/>
    </row>
    <row r="10077" spans="1:6" ht="15" customHeight="1">
      <c r="A10077" s="51"/>
      <c r="B10077" s="52" t="str">
        <f t="shared" si="504"/>
        <v/>
      </c>
      <c r="C10077" t="str">
        <f t="shared" si="503"/>
        <v/>
      </c>
      <c r="D10077" s="245" t="str">
        <f t="shared" si="505"/>
        <v/>
      </c>
      <c r="E10077" s="534"/>
      <c r="F10077" s="534"/>
    </row>
    <row r="10078" spans="1:6" ht="15" customHeight="1">
      <c r="A10078" s="51"/>
      <c r="B10078" s="52" t="str">
        <f t="shared" si="504"/>
        <v/>
      </c>
      <c r="C10078" t="str">
        <f t="shared" si="503"/>
        <v/>
      </c>
      <c r="D10078" s="245" t="str">
        <f t="shared" si="505"/>
        <v/>
      </c>
      <c r="E10078" s="534"/>
      <c r="F10078" s="534"/>
    </row>
    <row r="10079" spans="1:6" ht="15" customHeight="1">
      <c r="A10079" s="51"/>
      <c r="B10079" s="52" t="str">
        <f t="shared" si="504"/>
        <v/>
      </c>
      <c r="C10079" t="str">
        <f t="shared" si="503"/>
        <v/>
      </c>
      <c r="D10079" s="245" t="str">
        <f t="shared" si="505"/>
        <v/>
      </c>
      <c r="E10079" s="534"/>
      <c r="F10079" s="534"/>
    </row>
    <row r="10080" spans="1:6" ht="15" customHeight="1">
      <c r="A10080" s="51"/>
      <c r="B10080" s="52" t="str">
        <f t="shared" si="504"/>
        <v/>
      </c>
      <c r="C10080" t="str">
        <f t="shared" si="503"/>
        <v/>
      </c>
      <c r="D10080" s="245" t="str">
        <f t="shared" si="505"/>
        <v/>
      </c>
      <c r="E10080" s="534"/>
      <c r="F10080" s="534"/>
    </row>
    <row r="10081" spans="1:6" ht="15" customHeight="1">
      <c r="A10081" s="51"/>
      <c r="B10081" s="52" t="str">
        <f t="shared" si="504"/>
        <v/>
      </c>
      <c r="C10081" t="str">
        <f t="shared" si="503"/>
        <v/>
      </c>
      <c r="D10081" s="245" t="str">
        <f t="shared" si="505"/>
        <v/>
      </c>
      <c r="E10081" s="534"/>
      <c r="F10081" s="534"/>
    </row>
    <row r="10082" spans="1:6" ht="15" customHeight="1">
      <c r="A10082" s="51"/>
      <c r="B10082" s="52" t="str">
        <f t="shared" si="504"/>
        <v/>
      </c>
      <c r="C10082" t="str">
        <f t="shared" si="503"/>
        <v/>
      </c>
      <c r="D10082" s="245" t="str">
        <f t="shared" si="505"/>
        <v/>
      </c>
      <c r="E10082" s="534"/>
      <c r="F10082" s="534"/>
    </row>
    <row r="10083" spans="1:6" ht="15" customHeight="1">
      <c r="A10083" s="51"/>
      <c r="B10083" s="52" t="str">
        <f t="shared" si="504"/>
        <v/>
      </c>
      <c r="C10083" t="str">
        <f t="shared" si="503"/>
        <v/>
      </c>
      <c r="D10083" s="245" t="str">
        <f t="shared" si="505"/>
        <v/>
      </c>
      <c r="E10083" s="534"/>
      <c r="F10083" s="534"/>
    </row>
    <row r="10084" spans="1:6" ht="15" customHeight="1">
      <c r="A10084" s="51"/>
      <c r="B10084" s="52" t="str">
        <f t="shared" si="504"/>
        <v/>
      </c>
      <c r="C10084" t="str">
        <f t="shared" si="503"/>
        <v/>
      </c>
      <c r="D10084" s="245" t="str">
        <f t="shared" si="505"/>
        <v/>
      </c>
      <c r="E10084" s="534"/>
      <c r="F10084" s="534"/>
    </row>
    <row r="10085" spans="1:6" ht="15" customHeight="1">
      <c r="A10085" s="51"/>
      <c r="B10085" s="52" t="str">
        <f t="shared" si="504"/>
        <v/>
      </c>
      <c r="C10085" t="str">
        <f t="shared" si="503"/>
        <v/>
      </c>
      <c r="D10085" s="245" t="str">
        <f t="shared" si="505"/>
        <v/>
      </c>
      <c r="E10085" s="534"/>
      <c r="F10085" s="534"/>
    </row>
    <row r="10086" spans="1:6" ht="15" customHeight="1">
      <c r="A10086" s="51"/>
      <c r="B10086" s="52" t="str">
        <f t="shared" si="504"/>
        <v/>
      </c>
      <c r="C10086" t="str">
        <f t="shared" si="503"/>
        <v/>
      </c>
      <c r="D10086" s="245" t="str">
        <f t="shared" si="505"/>
        <v/>
      </c>
      <c r="E10086" s="534"/>
      <c r="F10086" s="534"/>
    </row>
    <row r="10087" spans="1:6" ht="15" customHeight="1">
      <c r="A10087" s="51"/>
      <c r="B10087" s="52" t="str">
        <f t="shared" si="504"/>
        <v/>
      </c>
      <c r="C10087" t="str">
        <f t="shared" si="503"/>
        <v/>
      </c>
      <c r="D10087" s="245" t="str">
        <f t="shared" si="505"/>
        <v/>
      </c>
      <c r="E10087" s="534"/>
      <c r="F10087" s="534"/>
    </row>
    <row r="10088" spans="1:6" ht="15" customHeight="1">
      <c r="A10088" s="51"/>
      <c r="B10088" s="52" t="str">
        <f t="shared" si="504"/>
        <v/>
      </c>
      <c r="C10088" t="str">
        <f t="shared" si="503"/>
        <v/>
      </c>
      <c r="D10088" s="245" t="str">
        <f t="shared" si="505"/>
        <v/>
      </c>
      <c r="E10088" s="534"/>
      <c r="F10088" s="534"/>
    </row>
    <row r="10089" spans="1:6" ht="15" customHeight="1">
      <c r="A10089" s="51"/>
      <c r="B10089" s="52" t="str">
        <f t="shared" si="504"/>
        <v/>
      </c>
      <c r="C10089" t="str">
        <f t="shared" si="503"/>
        <v/>
      </c>
      <c r="D10089" s="245" t="str">
        <f t="shared" si="505"/>
        <v/>
      </c>
      <c r="E10089" s="534"/>
      <c r="F10089" s="534"/>
    </row>
    <row r="10090" spans="1:6" ht="15" customHeight="1">
      <c r="A10090" s="51"/>
      <c r="B10090" s="52" t="str">
        <f t="shared" si="504"/>
        <v/>
      </c>
      <c r="C10090" t="str">
        <f t="shared" si="503"/>
        <v/>
      </c>
      <c r="D10090" s="245" t="str">
        <f t="shared" si="505"/>
        <v/>
      </c>
      <c r="E10090" s="534"/>
      <c r="F10090" s="534"/>
    </row>
    <row r="10091" spans="1:6" ht="15" customHeight="1">
      <c r="A10091" s="51"/>
      <c r="B10091" s="52" t="str">
        <f t="shared" si="504"/>
        <v/>
      </c>
      <c r="C10091" t="str">
        <f t="shared" si="503"/>
        <v/>
      </c>
      <c r="D10091" s="245" t="str">
        <f t="shared" si="505"/>
        <v/>
      </c>
      <c r="E10091" s="534"/>
      <c r="F10091" s="534"/>
    </row>
    <row r="10092" spans="1:6" ht="15" customHeight="1">
      <c r="A10092" s="51"/>
      <c r="B10092" s="52" t="str">
        <f t="shared" si="504"/>
        <v/>
      </c>
      <c r="C10092" t="str">
        <f t="shared" si="503"/>
        <v/>
      </c>
      <c r="D10092" s="245" t="str">
        <f t="shared" si="505"/>
        <v/>
      </c>
      <c r="E10092" s="534"/>
      <c r="F10092" s="534"/>
    </row>
    <row r="10093" spans="1:6" ht="15" customHeight="1">
      <c r="A10093" s="51"/>
      <c r="B10093" s="52" t="str">
        <f t="shared" si="504"/>
        <v/>
      </c>
      <c r="C10093" t="str">
        <f t="shared" si="503"/>
        <v/>
      </c>
      <c r="D10093" s="245" t="str">
        <f t="shared" si="505"/>
        <v/>
      </c>
      <c r="E10093" s="534"/>
      <c r="F10093" s="534"/>
    </row>
    <row r="10094" spans="1:6" ht="15" customHeight="1">
      <c r="A10094" s="51"/>
      <c r="B10094" s="52" t="str">
        <f t="shared" si="504"/>
        <v/>
      </c>
      <c r="C10094" t="str">
        <f t="shared" si="503"/>
        <v/>
      </c>
      <c r="D10094" s="245" t="str">
        <f t="shared" si="505"/>
        <v/>
      </c>
      <c r="E10094" s="534"/>
      <c r="F10094" s="534"/>
    </row>
    <row r="10095" spans="1:6" ht="15" customHeight="1">
      <c r="A10095" s="51"/>
      <c r="B10095" s="52" t="str">
        <f t="shared" si="504"/>
        <v/>
      </c>
      <c r="C10095" t="str">
        <f t="shared" si="503"/>
        <v/>
      </c>
      <c r="D10095" s="245" t="str">
        <f t="shared" si="505"/>
        <v/>
      </c>
      <c r="E10095" s="534"/>
      <c r="F10095" s="534"/>
    </row>
    <row r="10096" spans="1:6" ht="15" customHeight="1">
      <c r="A10096" s="51"/>
      <c r="B10096" s="52" t="str">
        <f t="shared" si="504"/>
        <v/>
      </c>
      <c r="C10096" t="str">
        <f t="shared" si="503"/>
        <v/>
      </c>
      <c r="D10096" s="245" t="str">
        <f t="shared" si="505"/>
        <v/>
      </c>
      <c r="E10096" s="534"/>
      <c r="F10096" s="534"/>
    </row>
    <row r="10097" spans="1:6" ht="15" customHeight="1">
      <c r="A10097" s="51"/>
      <c r="B10097" s="52" t="str">
        <f t="shared" si="504"/>
        <v/>
      </c>
      <c r="C10097" t="str">
        <f t="shared" si="503"/>
        <v/>
      </c>
      <c r="D10097" s="245" t="str">
        <f t="shared" si="505"/>
        <v/>
      </c>
      <c r="E10097" s="534"/>
      <c r="F10097" s="534"/>
    </row>
    <row r="10098" spans="1:6" ht="15" customHeight="1">
      <c r="A10098" s="51"/>
      <c r="B10098" s="52" t="str">
        <f t="shared" si="504"/>
        <v/>
      </c>
      <c r="C10098" t="str">
        <f t="shared" si="503"/>
        <v/>
      </c>
      <c r="D10098" s="245" t="str">
        <f t="shared" si="505"/>
        <v/>
      </c>
      <c r="E10098" s="534"/>
      <c r="F10098" s="534"/>
    </row>
    <row r="10099" spans="1:6" ht="15" customHeight="1">
      <c r="A10099" s="51"/>
      <c r="B10099" s="52" t="str">
        <f t="shared" si="504"/>
        <v/>
      </c>
      <c r="C10099" t="str">
        <f t="shared" si="503"/>
        <v/>
      </c>
      <c r="D10099" s="245" t="str">
        <f t="shared" si="505"/>
        <v/>
      </c>
      <c r="E10099" s="534"/>
      <c r="F10099" s="534"/>
    </row>
    <row r="10100" spans="1:6" ht="15" customHeight="1">
      <c r="A10100" s="51"/>
      <c r="B10100" s="52" t="str">
        <f t="shared" si="504"/>
        <v/>
      </c>
      <c r="C10100" t="str">
        <f t="shared" si="503"/>
        <v/>
      </c>
      <c r="D10100" s="245" t="str">
        <f t="shared" si="505"/>
        <v/>
      </c>
      <c r="E10100" s="534"/>
      <c r="F10100" s="534"/>
    </row>
    <row r="10101" spans="1:6" ht="15" customHeight="1">
      <c r="A10101" s="51"/>
      <c r="B10101" s="52" t="str">
        <f t="shared" si="504"/>
        <v/>
      </c>
      <c r="C10101" t="str">
        <f t="shared" si="503"/>
        <v/>
      </c>
      <c r="D10101" s="245" t="str">
        <f t="shared" si="505"/>
        <v/>
      </c>
      <c r="E10101" s="534"/>
      <c r="F10101" s="534"/>
    </row>
    <row r="10102" spans="1:6" ht="15" customHeight="1">
      <c r="A10102" s="51"/>
      <c r="B10102" s="52" t="str">
        <f t="shared" si="504"/>
        <v/>
      </c>
      <c r="C10102" t="str">
        <f t="shared" si="503"/>
        <v/>
      </c>
      <c r="D10102" s="245" t="str">
        <f t="shared" si="505"/>
        <v/>
      </c>
      <c r="E10102" s="534"/>
      <c r="F10102" s="534"/>
    </row>
    <row r="10103" spans="1:6" ht="15" customHeight="1">
      <c r="A10103" s="51"/>
      <c r="B10103" s="52" t="str">
        <f t="shared" si="504"/>
        <v/>
      </c>
      <c r="C10103" t="str">
        <f t="shared" si="503"/>
        <v/>
      </c>
      <c r="D10103" s="245" t="str">
        <f t="shared" si="505"/>
        <v/>
      </c>
      <c r="E10103" s="534"/>
      <c r="F10103" s="534"/>
    </row>
    <row r="10104" spans="1:6" ht="15" customHeight="1">
      <c r="A10104" s="51"/>
      <c r="B10104" s="52" t="str">
        <f t="shared" si="504"/>
        <v/>
      </c>
      <c r="C10104" t="str">
        <f t="shared" si="503"/>
        <v/>
      </c>
      <c r="D10104" s="245" t="str">
        <f t="shared" si="505"/>
        <v/>
      </c>
      <c r="E10104" s="534"/>
      <c r="F10104" s="534"/>
    </row>
    <row r="10105" spans="1:6" ht="15" customHeight="1">
      <c r="A10105" s="51"/>
      <c r="B10105" s="52" t="str">
        <f t="shared" si="504"/>
        <v/>
      </c>
      <c r="C10105" t="str">
        <f t="shared" si="503"/>
        <v/>
      </c>
      <c r="D10105" s="245" t="str">
        <f t="shared" si="505"/>
        <v/>
      </c>
      <c r="E10105" s="534"/>
      <c r="F10105" s="534"/>
    </row>
    <row r="10106" spans="1:6" ht="15" customHeight="1">
      <c r="A10106" s="51"/>
      <c r="B10106" s="52" t="str">
        <f t="shared" si="504"/>
        <v/>
      </c>
      <c r="C10106" t="str">
        <f t="shared" si="503"/>
        <v/>
      </c>
      <c r="D10106" s="245" t="str">
        <f t="shared" si="505"/>
        <v/>
      </c>
      <c r="E10106" s="534"/>
      <c r="F10106" s="534"/>
    </row>
    <row r="10107" spans="1:6" ht="15" customHeight="1">
      <c r="A10107" s="51"/>
      <c r="B10107" s="52" t="str">
        <f t="shared" si="504"/>
        <v/>
      </c>
      <c r="C10107" t="str">
        <f t="shared" si="503"/>
        <v/>
      </c>
      <c r="D10107" s="245" t="str">
        <f t="shared" si="505"/>
        <v/>
      </c>
      <c r="E10107" s="534"/>
      <c r="F10107" s="534"/>
    </row>
    <row r="10108" spans="1:6" ht="15" customHeight="1">
      <c r="A10108" s="51"/>
      <c r="B10108" s="52" t="str">
        <f t="shared" si="504"/>
        <v/>
      </c>
      <c r="C10108" t="str">
        <f t="shared" si="503"/>
        <v/>
      </c>
      <c r="D10108" s="245" t="str">
        <f t="shared" si="505"/>
        <v/>
      </c>
      <c r="E10108" s="534"/>
      <c r="F10108" s="534"/>
    </row>
    <row r="10109" spans="1:6" ht="15" customHeight="1">
      <c r="A10109" s="51"/>
      <c r="B10109" s="52" t="str">
        <f t="shared" si="504"/>
        <v/>
      </c>
      <c r="C10109" t="str">
        <f t="shared" si="503"/>
        <v/>
      </c>
      <c r="D10109" s="245" t="str">
        <f t="shared" si="505"/>
        <v/>
      </c>
      <c r="E10109" s="534"/>
      <c r="F10109" s="534"/>
    </row>
    <row r="10110" spans="1:6" ht="15" customHeight="1">
      <c r="A10110" s="51"/>
      <c r="B10110" s="52" t="str">
        <f t="shared" si="504"/>
        <v/>
      </c>
      <c r="C10110" t="str">
        <f t="shared" si="503"/>
        <v/>
      </c>
      <c r="D10110" s="245" t="str">
        <f t="shared" si="505"/>
        <v/>
      </c>
      <c r="E10110" s="534"/>
      <c r="F10110" s="534"/>
    </row>
    <row r="10111" spans="1:6" ht="15" customHeight="1">
      <c r="A10111" s="51"/>
      <c r="B10111" s="52" t="str">
        <f t="shared" si="504"/>
        <v/>
      </c>
      <c r="C10111" t="str">
        <f t="shared" si="503"/>
        <v/>
      </c>
      <c r="D10111" s="245" t="str">
        <f t="shared" si="505"/>
        <v/>
      </c>
      <c r="E10111" s="534"/>
      <c r="F10111" s="534"/>
    </row>
    <row r="10112" spans="1:6" ht="15" customHeight="1">
      <c r="A10112" s="51"/>
      <c r="B10112" s="52" t="str">
        <f t="shared" si="504"/>
        <v/>
      </c>
      <c r="C10112" t="str">
        <f t="shared" si="503"/>
        <v/>
      </c>
      <c r="D10112" s="245" t="str">
        <f t="shared" si="505"/>
        <v/>
      </c>
      <c r="E10112" s="534"/>
      <c r="F10112" s="534"/>
    </row>
    <row r="10113" spans="1:6" ht="15" customHeight="1">
      <c r="A10113" s="51"/>
      <c r="B10113" s="52" t="str">
        <f t="shared" si="504"/>
        <v/>
      </c>
      <c r="C10113" t="str">
        <f t="shared" si="503"/>
        <v/>
      </c>
      <c r="D10113" s="245" t="str">
        <f t="shared" si="505"/>
        <v/>
      </c>
      <c r="E10113" s="534"/>
      <c r="F10113" s="534"/>
    </row>
    <row r="10114" spans="1:6" ht="15" customHeight="1">
      <c r="A10114" s="51"/>
      <c r="B10114" s="52" t="str">
        <f t="shared" si="504"/>
        <v/>
      </c>
      <c r="C10114" t="str">
        <f t="shared" ref="C10114:C10177" si="506">IF(A10114&lt;&gt;"",TEXT(A10114,"aaaa"),"")</f>
        <v/>
      </c>
      <c r="D10114" s="245" t="str">
        <f t="shared" si="505"/>
        <v/>
      </c>
      <c r="E10114" s="534"/>
      <c r="F10114" s="534"/>
    </row>
    <row r="10115" spans="1:6" ht="15" customHeight="1">
      <c r="A10115" s="51"/>
      <c r="B10115" s="52" t="str">
        <f t="shared" si="504"/>
        <v/>
      </c>
      <c r="C10115" t="str">
        <f t="shared" si="506"/>
        <v/>
      </c>
      <c r="D10115" s="245" t="str">
        <f t="shared" si="505"/>
        <v/>
      </c>
      <c r="E10115" s="534"/>
      <c r="F10115" s="534"/>
    </row>
    <row r="10116" spans="1:6" ht="15" customHeight="1">
      <c r="A10116" s="51"/>
      <c r="B10116" s="52" t="str">
        <f t="shared" si="504"/>
        <v/>
      </c>
      <c r="C10116" t="str">
        <f t="shared" si="506"/>
        <v/>
      </c>
      <c r="D10116" s="245" t="str">
        <f t="shared" si="505"/>
        <v/>
      </c>
      <c r="E10116" s="534"/>
      <c r="F10116" s="534"/>
    </row>
    <row r="10117" spans="1:6" ht="15" customHeight="1">
      <c r="A10117" s="51"/>
      <c r="B10117" s="52" t="str">
        <f t="shared" si="504"/>
        <v/>
      </c>
      <c r="C10117" t="str">
        <f t="shared" si="506"/>
        <v/>
      </c>
      <c r="D10117" s="245" t="str">
        <f t="shared" si="505"/>
        <v/>
      </c>
      <c r="E10117" s="534"/>
      <c r="F10117" s="534"/>
    </row>
    <row r="10118" spans="1:6" ht="15" customHeight="1">
      <c r="A10118" s="51"/>
      <c r="B10118" s="52" t="str">
        <f t="shared" si="504"/>
        <v/>
      </c>
      <c r="C10118" t="str">
        <f t="shared" si="506"/>
        <v/>
      </c>
      <c r="D10118" s="245" t="str">
        <f t="shared" si="505"/>
        <v/>
      </c>
      <c r="E10118" s="534"/>
      <c r="F10118" s="534"/>
    </row>
    <row r="10119" spans="1:6" ht="15" customHeight="1">
      <c r="A10119" s="51"/>
      <c r="B10119" s="52" t="str">
        <f t="shared" si="504"/>
        <v/>
      </c>
      <c r="C10119" t="str">
        <f t="shared" si="506"/>
        <v/>
      </c>
      <c r="D10119" s="245" t="str">
        <f t="shared" si="505"/>
        <v/>
      </c>
      <c r="E10119" s="534"/>
      <c r="F10119" s="534"/>
    </row>
    <row r="10120" spans="1:6" ht="15" customHeight="1">
      <c r="A10120" s="51"/>
      <c r="B10120" s="52" t="str">
        <f t="shared" ref="B10120:B10183" si="507">IF(A10120="","",TEXT(A10120,"DDDD"))</f>
        <v/>
      </c>
      <c r="C10120" t="str">
        <f t="shared" si="506"/>
        <v/>
      </c>
      <c r="D10120" s="245" t="str">
        <f t="shared" si="505"/>
        <v/>
      </c>
      <c r="E10120" s="534"/>
      <c r="F10120" s="534"/>
    </row>
    <row r="10121" spans="1:6" ht="15" customHeight="1">
      <c r="A10121" s="51"/>
      <c r="B10121" s="52" t="str">
        <f t="shared" si="507"/>
        <v/>
      </c>
      <c r="C10121" t="str">
        <f t="shared" si="506"/>
        <v/>
      </c>
      <c r="D10121" s="245" t="str">
        <f t="shared" ref="D10121:D10184" si="508">IF(A10121&lt;&gt;"",PROPER(TEXT(A10121,"Mmmm")),"")</f>
        <v/>
      </c>
      <c r="E10121" s="534"/>
      <c r="F10121" s="534"/>
    </row>
    <row r="10122" spans="1:6" ht="15" customHeight="1">
      <c r="A10122" s="51"/>
      <c r="B10122" s="52" t="str">
        <f t="shared" si="507"/>
        <v/>
      </c>
      <c r="C10122" t="str">
        <f t="shared" si="506"/>
        <v/>
      </c>
      <c r="D10122" s="245" t="str">
        <f t="shared" si="508"/>
        <v/>
      </c>
      <c r="E10122" s="534"/>
      <c r="F10122" s="534"/>
    </row>
    <row r="10123" spans="1:6" ht="15" customHeight="1">
      <c r="A10123" s="51"/>
      <c r="B10123" s="52" t="str">
        <f t="shared" si="507"/>
        <v/>
      </c>
      <c r="C10123" t="str">
        <f t="shared" si="506"/>
        <v/>
      </c>
      <c r="D10123" s="245" t="str">
        <f t="shared" si="508"/>
        <v/>
      </c>
      <c r="E10123" s="534"/>
      <c r="F10123" s="534"/>
    </row>
    <row r="10124" spans="1:6" ht="15" customHeight="1">
      <c r="A10124" s="51"/>
      <c r="B10124" s="52" t="str">
        <f t="shared" si="507"/>
        <v/>
      </c>
      <c r="C10124" t="str">
        <f t="shared" si="506"/>
        <v/>
      </c>
      <c r="D10124" s="245" t="str">
        <f t="shared" si="508"/>
        <v/>
      </c>
      <c r="E10124" s="534"/>
      <c r="F10124" s="534"/>
    </row>
    <row r="10125" spans="1:6" ht="15" customHeight="1">
      <c r="A10125" s="51"/>
      <c r="B10125" s="52" t="str">
        <f t="shared" si="507"/>
        <v/>
      </c>
      <c r="C10125" t="str">
        <f t="shared" si="506"/>
        <v/>
      </c>
      <c r="D10125" s="245" t="str">
        <f t="shared" si="508"/>
        <v/>
      </c>
      <c r="E10125" s="534"/>
      <c r="F10125" s="534"/>
    </row>
    <row r="10126" spans="1:6" ht="15" customHeight="1">
      <c r="A10126" s="51"/>
      <c r="B10126" s="52" t="str">
        <f t="shared" si="507"/>
        <v/>
      </c>
      <c r="C10126" t="str">
        <f t="shared" si="506"/>
        <v/>
      </c>
      <c r="D10126" s="245" t="str">
        <f t="shared" si="508"/>
        <v/>
      </c>
      <c r="E10126" s="534"/>
      <c r="F10126" s="534"/>
    </row>
    <row r="10127" spans="1:6" ht="15" customHeight="1">
      <c r="A10127" s="51"/>
      <c r="B10127" s="52" t="str">
        <f t="shared" si="507"/>
        <v/>
      </c>
      <c r="C10127" t="str">
        <f t="shared" si="506"/>
        <v/>
      </c>
      <c r="D10127" s="245" t="str">
        <f t="shared" si="508"/>
        <v/>
      </c>
      <c r="E10127" s="534"/>
      <c r="F10127" s="534"/>
    </row>
    <row r="10128" spans="1:6" ht="15" customHeight="1">
      <c r="A10128" s="51"/>
      <c r="B10128" s="52" t="str">
        <f t="shared" si="507"/>
        <v/>
      </c>
      <c r="C10128" t="str">
        <f t="shared" si="506"/>
        <v/>
      </c>
      <c r="D10128" s="245" t="str">
        <f t="shared" si="508"/>
        <v/>
      </c>
      <c r="E10128" s="534"/>
      <c r="F10128" s="534"/>
    </row>
    <row r="10129" spans="1:6" ht="15" customHeight="1">
      <c r="A10129" s="51"/>
      <c r="B10129" s="52" t="str">
        <f t="shared" si="507"/>
        <v/>
      </c>
      <c r="C10129" t="str">
        <f t="shared" si="506"/>
        <v/>
      </c>
      <c r="D10129" s="245" t="str">
        <f t="shared" si="508"/>
        <v/>
      </c>
      <c r="E10129" s="534"/>
      <c r="F10129" s="534"/>
    </row>
    <row r="10130" spans="1:6" ht="15" customHeight="1">
      <c r="A10130" s="51"/>
      <c r="B10130" s="52" t="str">
        <f t="shared" si="507"/>
        <v/>
      </c>
      <c r="C10130" t="str">
        <f t="shared" si="506"/>
        <v/>
      </c>
      <c r="D10130" s="245" t="str">
        <f t="shared" si="508"/>
        <v/>
      </c>
      <c r="E10130" s="534"/>
      <c r="F10130" s="534"/>
    </row>
    <row r="10131" spans="1:6" ht="15" customHeight="1">
      <c r="A10131" s="51"/>
      <c r="B10131" s="52" t="str">
        <f t="shared" si="507"/>
        <v/>
      </c>
      <c r="C10131" t="str">
        <f t="shared" si="506"/>
        <v/>
      </c>
      <c r="D10131" s="245" t="str">
        <f t="shared" si="508"/>
        <v/>
      </c>
      <c r="E10131" s="534"/>
      <c r="F10131" s="534"/>
    </row>
    <row r="10132" spans="1:6" ht="15" customHeight="1">
      <c r="A10132" s="51"/>
      <c r="B10132" s="52" t="str">
        <f t="shared" si="507"/>
        <v/>
      </c>
      <c r="C10132" t="str">
        <f t="shared" si="506"/>
        <v/>
      </c>
      <c r="D10132" s="245" t="str">
        <f t="shared" si="508"/>
        <v/>
      </c>
      <c r="E10132" s="534"/>
      <c r="F10132" s="534"/>
    </row>
    <row r="10133" spans="1:6" ht="15" customHeight="1">
      <c r="A10133" s="51"/>
      <c r="B10133" s="52" t="str">
        <f t="shared" si="507"/>
        <v/>
      </c>
      <c r="C10133" t="str">
        <f t="shared" si="506"/>
        <v/>
      </c>
      <c r="D10133" s="245" t="str">
        <f t="shared" si="508"/>
        <v/>
      </c>
      <c r="E10133" s="534"/>
      <c r="F10133" s="534"/>
    </row>
    <row r="10134" spans="1:6" ht="15" customHeight="1">
      <c r="A10134" s="51"/>
      <c r="B10134" s="52" t="str">
        <f t="shared" si="507"/>
        <v/>
      </c>
      <c r="C10134" t="str">
        <f t="shared" si="506"/>
        <v/>
      </c>
      <c r="D10134" s="245" t="str">
        <f t="shared" si="508"/>
        <v/>
      </c>
      <c r="E10134" s="534"/>
      <c r="F10134" s="534"/>
    </row>
    <row r="10135" spans="1:6" ht="15" customHeight="1">
      <c r="A10135" s="51"/>
      <c r="B10135" s="52" t="str">
        <f t="shared" si="507"/>
        <v/>
      </c>
      <c r="C10135" t="str">
        <f t="shared" si="506"/>
        <v/>
      </c>
      <c r="D10135" s="245" t="str">
        <f t="shared" si="508"/>
        <v/>
      </c>
      <c r="E10135" s="534"/>
      <c r="F10135" s="534"/>
    </row>
    <row r="10136" spans="1:6" ht="15" customHeight="1">
      <c r="A10136" s="51"/>
      <c r="B10136" s="52" t="str">
        <f t="shared" si="507"/>
        <v/>
      </c>
      <c r="C10136" t="str">
        <f t="shared" si="506"/>
        <v/>
      </c>
      <c r="D10136" s="245" t="str">
        <f t="shared" si="508"/>
        <v/>
      </c>
      <c r="E10136" s="534"/>
      <c r="F10136" s="534"/>
    </row>
    <row r="10137" spans="1:6" ht="15" customHeight="1">
      <c r="A10137" s="51"/>
      <c r="B10137" s="52" t="str">
        <f t="shared" si="507"/>
        <v/>
      </c>
      <c r="C10137" t="str">
        <f t="shared" si="506"/>
        <v/>
      </c>
      <c r="D10137" s="245" t="str">
        <f t="shared" si="508"/>
        <v/>
      </c>
      <c r="E10137" s="534"/>
      <c r="F10137" s="534"/>
    </row>
    <row r="10138" spans="1:6" ht="15" customHeight="1">
      <c r="A10138" s="51"/>
      <c r="B10138" s="52" t="str">
        <f t="shared" si="507"/>
        <v/>
      </c>
      <c r="C10138" t="str">
        <f t="shared" si="506"/>
        <v/>
      </c>
      <c r="D10138" s="245" t="str">
        <f t="shared" si="508"/>
        <v/>
      </c>
      <c r="E10138" s="534"/>
      <c r="F10138" s="534"/>
    </row>
    <row r="10139" spans="1:6" ht="15" customHeight="1">
      <c r="A10139" s="51"/>
      <c r="B10139" s="52" t="str">
        <f t="shared" si="507"/>
        <v/>
      </c>
      <c r="C10139" t="str">
        <f t="shared" si="506"/>
        <v/>
      </c>
      <c r="D10139" s="245" t="str">
        <f t="shared" si="508"/>
        <v/>
      </c>
      <c r="E10139" s="534"/>
      <c r="F10139" s="534"/>
    </row>
    <row r="10140" spans="1:6" ht="15" customHeight="1">
      <c r="A10140" s="51"/>
      <c r="B10140" s="52" t="str">
        <f t="shared" si="507"/>
        <v/>
      </c>
      <c r="C10140" t="str">
        <f t="shared" si="506"/>
        <v/>
      </c>
      <c r="D10140" s="245" t="str">
        <f t="shared" si="508"/>
        <v/>
      </c>
      <c r="E10140" s="534"/>
      <c r="F10140" s="534"/>
    </row>
    <row r="10141" spans="1:6" ht="15" customHeight="1">
      <c r="A10141" s="51"/>
      <c r="B10141" s="52" t="str">
        <f t="shared" si="507"/>
        <v/>
      </c>
      <c r="C10141" t="str">
        <f t="shared" si="506"/>
        <v/>
      </c>
      <c r="D10141" s="245" t="str">
        <f t="shared" si="508"/>
        <v/>
      </c>
      <c r="E10141" s="534"/>
      <c r="F10141" s="534"/>
    </row>
    <row r="10142" spans="1:6" ht="15" customHeight="1">
      <c r="A10142" s="51"/>
      <c r="B10142" s="52" t="str">
        <f t="shared" si="507"/>
        <v/>
      </c>
      <c r="C10142" t="str">
        <f t="shared" si="506"/>
        <v/>
      </c>
      <c r="D10142" s="245" t="str">
        <f t="shared" si="508"/>
        <v/>
      </c>
      <c r="E10142" s="534"/>
      <c r="F10142" s="534"/>
    </row>
    <row r="10143" spans="1:6" ht="15" customHeight="1">
      <c r="A10143" s="51"/>
      <c r="B10143" s="52" t="str">
        <f t="shared" si="507"/>
        <v/>
      </c>
      <c r="C10143" t="str">
        <f t="shared" si="506"/>
        <v/>
      </c>
      <c r="D10143" s="245" t="str">
        <f t="shared" si="508"/>
        <v/>
      </c>
      <c r="E10143" s="534"/>
      <c r="F10143" s="534"/>
    </row>
    <row r="10144" spans="1:6" ht="15" customHeight="1">
      <c r="A10144" s="51"/>
      <c r="B10144" s="52" t="str">
        <f t="shared" si="507"/>
        <v/>
      </c>
      <c r="C10144" t="str">
        <f t="shared" si="506"/>
        <v/>
      </c>
      <c r="D10144" s="245" t="str">
        <f t="shared" si="508"/>
        <v/>
      </c>
      <c r="E10144" s="534"/>
      <c r="F10144" s="534"/>
    </row>
    <row r="10145" spans="1:6" ht="15" customHeight="1">
      <c r="A10145" s="51"/>
      <c r="B10145" s="52" t="str">
        <f t="shared" si="507"/>
        <v/>
      </c>
      <c r="C10145" t="str">
        <f t="shared" si="506"/>
        <v/>
      </c>
      <c r="D10145" s="245" t="str">
        <f t="shared" si="508"/>
        <v/>
      </c>
      <c r="E10145" s="534"/>
      <c r="F10145" s="534"/>
    </row>
    <row r="10146" spans="1:6" ht="15" customHeight="1">
      <c r="A10146" s="51"/>
      <c r="B10146" s="52" t="str">
        <f t="shared" si="507"/>
        <v/>
      </c>
      <c r="C10146" t="str">
        <f t="shared" si="506"/>
        <v/>
      </c>
      <c r="D10146" s="245" t="str">
        <f t="shared" si="508"/>
        <v/>
      </c>
      <c r="E10146" s="534"/>
      <c r="F10146" s="534"/>
    </row>
    <row r="10147" spans="1:6" ht="15" customHeight="1">
      <c r="A10147" s="51"/>
      <c r="B10147" s="52" t="str">
        <f t="shared" si="507"/>
        <v/>
      </c>
      <c r="C10147" t="str">
        <f t="shared" si="506"/>
        <v/>
      </c>
      <c r="D10147" s="245" t="str">
        <f t="shared" si="508"/>
        <v/>
      </c>
      <c r="E10147" s="534"/>
      <c r="F10147" s="534"/>
    </row>
    <row r="10148" spans="1:6" ht="15" customHeight="1">
      <c r="A10148" s="51"/>
      <c r="B10148" s="52" t="str">
        <f t="shared" si="507"/>
        <v/>
      </c>
      <c r="C10148" t="str">
        <f t="shared" si="506"/>
        <v/>
      </c>
      <c r="D10148" s="245" t="str">
        <f t="shared" si="508"/>
        <v/>
      </c>
      <c r="E10148" s="534"/>
      <c r="F10148" s="534"/>
    </row>
    <row r="10149" spans="1:6" ht="15" customHeight="1">
      <c r="A10149" s="51"/>
      <c r="B10149" s="52" t="str">
        <f t="shared" si="507"/>
        <v/>
      </c>
      <c r="C10149" t="str">
        <f t="shared" si="506"/>
        <v/>
      </c>
      <c r="D10149" s="245" t="str">
        <f t="shared" si="508"/>
        <v/>
      </c>
      <c r="E10149" s="534"/>
      <c r="F10149" s="534"/>
    </row>
    <row r="10150" spans="1:6" ht="15" customHeight="1">
      <c r="A10150" s="51"/>
      <c r="B10150" s="52" t="str">
        <f t="shared" si="507"/>
        <v/>
      </c>
      <c r="C10150" t="str">
        <f t="shared" si="506"/>
        <v/>
      </c>
      <c r="D10150" s="245" t="str">
        <f t="shared" si="508"/>
        <v/>
      </c>
      <c r="E10150" s="534"/>
      <c r="F10150" s="534"/>
    </row>
    <row r="10151" spans="1:6" ht="15" customHeight="1">
      <c r="A10151" s="51"/>
      <c r="B10151" s="52" t="str">
        <f t="shared" si="507"/>
        <v/>
      </c>
      <c r="C10151" t="str">
        <f t="shared" si="506"/>
        <v/>
      </c>
      <c r="D10151" s="245" t="str">
        <f t="shared" si="508"/>
        <v/>
      </c>
      <c r="E10151" s="534"/>
      <c r="F10151" s="534"/>
    </row>
    <row r="10152" spans="1:6" ht="15" customHeight="1">
      <c r="A10152" s="51"/>
      <c r="B10152" s="52" t="str">
        <f t="shared" si="507"/>
        <v/>
      </c>
      <c r="C10152" t="str">
        <f t="shared" si="506"/>
        <v/>
      </c>
      <c r="D10152" s="245" t="str">
        <f t="shared" si="508"/>
        <v/>
      </c>
      <c r="E10152" s="534"/>
      <c r="F10152" s="534"/>
    </row>
    <row r="10153" spans="1:6" ht="15" customHeight="1">
      <c r="A10153" s="51"/>
      <c r="B10153" s="52" t="str">
        <f t="shared" si="507"/>
        <v/>
      </c>
      <c r="C10153" t="str">
        <f t="shared" si="506"/>
        <v/>
      </c>
      <c r="D10153" s="245" t="str">
        <f t="shared" si="508"/>
        <v/>
      </c>
      <c r="E10153" s="534"/>
      <c r="F10153" s="534"/>
    </row>
    <row r="10154" spans="1:6" ht="15" customHeight="1">
      <c r="A10154" s="51"/>
      <c r="B10154" s="52" t="str">
        <f t="shared" si="507"/>
        <v/>
      </c>
      <c r="C10154" t="str">
        <f t="shared" si="506"/>
        <v/>
      </c>
      <c r="D10154" s="245" t="str">
        <f t="shared" si="508"/>
        <v/>
      </c>
      <c r="E10154" s="534"/>
      <c r="F10154" s="534"/>
    </row>
    <row r="10155" spans="1:6" ht="15" customHeight="1">
      <c r="A10155" s="51"/>
      <c r="B10155" s="52" t="str">
        <f t="shared" si="507"/>
        <v/>
      </c>
      <c r="C10155" t="str">
        <f t="shared" si="506"/>
        <v/>
      </c>
      <c r="D10155" s="245" t="str">
        <f t="shared" si="508"/>
        <v/>
      </c>
      <c r="E10155" s="534"/>
      <c r="F10155" s="534"/>
    </row>
    <row r="10156" spans="1:6" ht="15" customHeight="1">
      <c r="A10156" s="51"/>
      <c r="B10156" s="52" t="str">
        <f t="shared" si="507"/>
        <v/>
      </c>
      <c r="C10156" t="str">
        <f t="shared" si="506"/>
        <v/>
      </c>
      <c r="D10156" s="245" t="str">
        <f t="shared" si="508"/>
        <v/>
      </c>
      <c r="E10156" s="534"/>
      <c r="F10156" s="534"/>
    </row>
    <row r="10157" spans="1:6" ht="15" customHeight="1">
      <c r="A10157" s="51"/>
      <c r="B10157" s="52" t="str">
        <f t="shared" si="507"/>
        <v/>
      </c>
      <c r="C10157" t="str">
        <f t="shared" si="506"/>
        <v/>
      </c>
      <c r="D10157" s="245" t="str">
        <f t="shared" si="508"/>
        <v/>
      </c>
      <c r="E10157" s="534"/>
      <c r="F10157" s="534"/>
    </row>
    <row r="10158" spans="1:6" ht="15" customHeight="1">
      <c r="A10158" s="51"/>
      <c r="B10158" s="52" t="str">
        <f t="shared" si="507"/>
        <v/>
      </c>
      <c r="C10158" t="str">
        <f t="shared" si="506"/>
        <v/>
      </c>
      <c r="D10158" s="245" t="str">
        <f t="shared" si="508"/>
        <v/>
      </c>
      <c r="E10158" s="534"/>
      <c r="F10158" s="534"/>
    </row>
    <row r="10159" spans="1:6" ht="15" customHeight="1">
      <c r="A10159" s="51"/>
      <c r="B10159" s="52" t="str">
        <f t="shared" si="507"/>
        <v/>
      </c>
      <c r="C10159" t="str">
        <f t="shared" si="506"/>
        <v/>
      </c>
      <c r="D10159" s="245" t="str">
        <f t="shared" si="508"/>
        <v/>
      </c>
      <c r="E10159" s="534"/>
      <c r="F10159" s="534"/>
    </row>
    <row r="10160" spans="1:6" ht="15" customHeight="1">
      <c r="A10160" s="51"/>
      <c r="B10160" s="52" t="str">
        <f t="shared" si="507"/>
        <v/>
      </c>
      <c r="C10160" t="str">
        <f t="shared" si="506"/>
        <v/>
      </c>
      <c r="D10160" s="245" t="str">
        <f t="shared" si="508"/>
        <v/>
      </c>
      <c r="E10160" s="534"/>
      <c r="F10160" s="534"/>
    </row>
    <row r="10161" spans="1:6" ht="15" customHeight="1">
      <c r="A10161" s="51"/>
      <c r="B10161" s="52" t="str">
        <f t="shared" si="507"/>
        <v/>
      </c>
      <c r="C10161" t="str">
        <f t="shared" si="506"/>
        <v/>
      </c>
      <c r="D10161" s="245" t="str">
        <f t="shared" si="508"/>
        <v/>
      </c>
      <c r="E10161" s="534"/>
      <c r="F10161" s="534"/>
    </row>
    <row r="10162" spans="1:6" ht="15" customHeight="1">
      <c r="A10162" s="51"/>
      <c r="B10162" s="52" t="str">
        <f t="shared" si="507"/>
        <v/>
      </c>
      <c r="C10162" t="str">
        <f t="shared" si="506"/>
        <v/>
      </c>
      <c r="D10162" s="245" t="str">
        <f t="shared" si="508"/>
        <v/>
      </c>
      <c r="E10162" s="534"/>
      <c r="F10162" s="534"/>
    </row>
    <row r="10163" spans="1:6" ht="15" customHeight="1">
      <c r="A10163" s="51"/>
      <c r="B10163" s="52" t="str">
        <f t="shared" si="507"/>
        <v/>
      </c>
      <c r="C10163" t="str">
        <f t="shared" si="506"/>
        <v/>
      </c>
      <c r="D10163" s="245" t="str">
        <f t="shared" si="508"/>
        <v/>
      </c>
      <c r="E10163" s="534"/>
      <c r="F10163" s="534"/>
    </row>
    <row r="10164" spans="1:6" ht="15" customHeight="1">
      <c r="A10164" s="51"/>
      <c r="B10164" s="52" t="str">
        <f t="shared" si="507"/>
        <v/>
      </c>
      <c r="C10164" t="str">
        <f t="shared" si="506"/>
        <v/>
      </c>
      <c r="D10164" s="245" t="str">
        <f t="shared" si="508"/>
        <v/>
      </c>
      <c r="E10164" s="534"/>
      <c r="F10164" s="534"/>
    </row>
    <row r="10165" spans="1:6" ht="15" customHeight="1">
      <c r="A10165" s="51"/>
      <c r="B10165" s="52" t="str">
        <f t="shared" si="507"/>
        <v/>
      </c>
      <c r="C10165" t="str">
        <f t="shared" si="506"/>
        <v/>
      </c>
      <c r="D10165" s="245" t="str">
        <f t="shared" si="508"/>
        <v/>
      </c>
      <c r="E10165" s="534"/>
      <c r="F10165" s="534"/>
    </row>
    <row r="10166" spans="1:6" ht="15" customHeight="1">
      <c r="A10166" s="51"/>
      <c r="B10166" s="52" t="str">
        <f t="shared" si="507"/>
        <v/>
      </c>
      <c r="C10166" t="str">
        <f t="shared" si="506"/>
        <v/>
      </c>
      <c r="D10166" s="245" t="str">
        <f t="shared" si="508"/>
        <v/>
      </c>
      <c r="E10166" s="534"/>
      <c r="F10166" s="534"/>
    </row>
    <row r="10167" spans="1:6" ht="15" customHeight="1">
      <c r="A10167" s="51"/>
      <c r="B10167" s="52" t="str">
        <f t="shared" si="507"/>
        <v/>
      </c>
      <c r="C10167" t="str">
        <f t="shared" si="506"/>
        <v/>
      </c>
      <c r="D10167" s="245" t="str">
        <f t="shared" si="508"/>
        <v/>
      </c>
      <c r="E10167" s="534"/>
      <c r="F10167" s="534"/>
    </row>
    <row r="10168" spans="1:6" ht="15" customHeight="1">
      <c r="A10168" s="51"/>
      <c r="B10168" s="52" t="str">
        <f t="shared" si="507"/>
        <v/>
      </c>
      <c r="C10168" t="str">
        <f t="shared" si="506"/>
        <v/>
      </c>
      <c r="D10168" s="245" t="str">
        <f t="shared" si="508"/>
        <v/>
      </c>
      <c r="E10168" s="534"/>
      <c r="F10168" s="534"/>
    </row>
    <row r="10169" spans="1:6" ht="15" customHeight="1">
      <c r="A10169" s="51"/>
      <c r="B10169" s="52" t="str">
        <f t="shared" si="507"/>
        <v/>
      </c>
      <c r="C10169" t="str">
        <f t="shared" si="506"/>
        <v/>
      </c>
      <c r="D10169" s="245" t="str">
        <f t="shared" si="508"/>
        <v/>
      </c>
      <c r="E10169" s="534"/>
      <c r="F10169" s="534"/>
    </row>
    <row r="10170" spans="1:6" ht="15" customHeight="1">
      <c r="A10170" s="51"/>
      <c r="B10170" s="52" t="str">
        <f t="shared" si="507"/>
        <v/>
      </c>
      <c r="C10170" t="str">
        <f t="shared" si="506"/>
        <v/>
      </c>
      <c r="D10170" s="245" t="str">
        <f t="shared" si="508"/>
        <v/>
      </c>
      <c r="E10170" s="534"/>
      <c r="F10170" s="534"/>
    </row>
    <row r="10171" spans="1:6" ht="15" customHeight="1">
      <c r="A10171" s="51"/>
      <c r="B10171" s="52" t="str">
        <f t="shared" si="507"/>
        <v/>
      </c>
      <c r="C10171" t="str">
        <f t="shared" si="506"/>
        <v/>
      </c>
      <c r="D10171" s="245" t="str">
        <f t="shared" si="508"/>
        <v/>
      </c>
      <c r="E10171" s="534"/>
      <c r="F10171" s="534"/>
    </row>
    <row r="10172" spans="1:6" ht="15" customHeight="1">
      <c r="A10172" s="51"/>
      <c r="B10172" s="52" t="str">
        <f t="shared" si="507"/>
        <v/>
      </c>
      <c r="C10172" t="str">
        <f t="shared" si="506"/>
        <v/>
      </c>
      <c r="D10172" s="245" t="str">
        <f t="shared" si="508"/>
        <v/>
      </c>
      <c r="E10172" s="534"/>
      <c r="F10172" s="534"/>
    </row>
    <row r="10173" spans="1:6" ht="15" customHeight="1">
      <c r="A10173" s="51"/>
      <c r="B10173" s="52" t="str">
        <f t="shared" si="507"/>
        <v/>
      </c>
      <c r="C10173" t="str">
        <f t="shared" si="506"/>
        <v/>
      </c>
      <c r="D10173" s="245" t="str">
        <f t="shared" si="508"/>
        <v/>
      </c>
      <c r="E10173" s="534"/>
      <c r="F10173" s="534"/>
    </row>
    <row r="10174" spans="1:6" ht="15" customHeight="1">
      <c r="A10174" s="51"/>
      <c r="B10174" s="52" t="str">
        <f t="shared" si="507"/>
        <v/>
      </c>
      <c r="C10174" t="str">
        <f t="shared" si="506"/>
        <v/>
      </c>
      <c r="D10174" s="245" t="str">
        <f t="shared" si="508"/>
        <v/>
      </c>
      <c r="E10174" s="534"/>
      <c r="F10174" s="534"/>
    </row>
    <row r="10175" spans="1:6" ht="15" customHeight="1">
      <c r="A10175" s="51"/>
      <c r="B10175" s="52" t="str">
        <f t="shared" si="507"/>
        <v/>
      </c>
      <c r="C10175" t="str">
        <f t="shared" si="506"/>
        <v/>
      </c>
      <c r="D10175" s="245" t="str">
        <f t="shared" si="508"/>
        <v/>
      </c>
      <c r="E10175" s="534"/>
      <c r="F10175" s="534"/>
    </row>
    <row r="10176" spans="1:6" ht="15" customHeight="1">
      <c r="A10176" s="51"/>
      <c r="B10176" s="52" t="str">
        <f t="shared" si="507"/>
        <v/>
      </c>
      <c r="C10176" t="str">
        <f t="shared" si="506"/>
        <v/>
      </c>
      <c r="D10176" s="245" t="str">
        <f t="shared" si="508"/>
        <v/>
      </c>
      <c r="E10176" s="534"/>
      <c r="F10176" s="534"/>
    </row>
    <row r="10177" spans="1:6" ht="15" customHeight="1">
      <c r="A10177" s="51"/>
      <c r="B10177" s="52" t="str">
        <f t="shared" si="507"/>
        <v/>
      </c>
      <c r="C10177" t="str">
        <f t="shared" si="506"/>
        <v/>
      </c>
      <c r="D10177" s="245" t="str">
        <f t="shared" si="508"/>
        <v/>
      </c>
      <c r="E10177" s="534"/>
      <c r="F10177" s="534"/>
    </row>
    <row r="10178" spans="1:6" ht="15" customHeight="1">
      <c r="A10178" s="51"/>
      <c r="B10178" s="52" t="str">
        <f t="shared" si="507"/>
        <v/>
      </c>
      <c r="C10178" t="str">
        <f t="shared" ref="C10178:C10241" si="509">IF(A10178&lt;&gt;"",TEXT(A10178,"aaaa"),"")</f>
        <v/>
      </c>
      <c r="D10178" s="245" t="str">
        <f t="shared" si="508"/>
        <v/>
      </c>
      <c r="E10178" s="534"/>
      <c r="F10178" s="534"/>
    </row>
    <row r="10179" spans="1:6" ht="15" customHeight="1">
      <c r="A10179" s="51"/>
      <c r="B10179" s="52" t="str">
        <f t="shared" si="507"/>
        <v/>
      </c>
      <c r="C10179" t="str">
        <f t="shared" si="509"/>
        <v/>
      </c>
      <c r="D10179" s="245" t="str">
        <f t="shared" si="508"/>
        <v/>
      </c>
      <c r="E10179" s="534"/>
      <c r="F10179" s="534"/>
    </row>
    <row r="10180" spans="1:6" ht="15" customHeight="1">
      <c r="A10180" s="51"/>
      <c r="B10180" s="52" t="str">
        <f t="shared" si="507"/>
        <v/>
      </c>
      <c r="C10180" t="str">
        <f t="shared" si="509"/>
        <v/>
      </c>
      <c r="D10180" s="245" t="str">
        <f t="shared" si="508"/>
        <v/>
      </c>
      <c r="E10180" s="534"/>
      <c r="F10180" s="534"/>
    </row>
    <row r="10181" spans="1:6" ht="15" customHeight="1">
      <c r="A10181" s="51"/>
      <c r="B10181" s="52" t="str">
        <f t="shared" si="507"/>
        <v/>
      </c>
      <c r="C10181" t="str">
        <f t="shared" si="509"/>
        <v/>
      </c>
      <c r="D10181" s="245" t="str">
        <f t="shared" si="508"/>
        <v/>
      </c>
      <c r="E10181" s="534"/>
      <c r="F10181" s="534"/>
    </row>
    <row r="10182" spans="1:6" ht="15" customHeight="1">
      <c r="A10182" s="51"/>
      <c r="B10182" s="52" t="str">
        <f t="shared" si="507"/>
        <v/>
      </c>
      <c r="C10182" t="str">
        <f t="shared" si="509"/>
        <v/>
      </c>
      <c r="D10182" s="245" t="str">
        <f t="shared" si="508"/>
        <v/>
      </c>
      <c r="E10182" s="534"/>
      <c r="F10182" s="534"/>
    </row>
    <row r="10183" spans="1:6" ht="15" customHeight="1">
      <c r="A10183" s="51"/>
      <c r="B10183" s="52" t="str">
        <f t="shared" si="507"/>
        <v/>
      </c>
      <c r="C10183" t="str">
        <f t="shared" si="509"/>
        <v/>
      </c>
      <c r="D10183" s="245" t="str">
        <f t="shared" si="508"/>
        <v/>
      </c>
      <c r="E10183" s="534"/>
      <c r="F10183" s="534"/>
    </row>
    <row r="10184" spans="1:6" ht="15" customHeight="1">
      <c r="A10184" s="51"/>
      <c r="B10184" s="52" t="str">
        <f t="shared" ref="B10184:B10247" si="510">IF(A10184="","",TEXT(A10184,"DDDD"))</f>
        <v/>
      </c>
      <c r="C10184" t="str">
        <f t="shared" si="509"/>
        <v/>
      </c>
      <c r="D10184" s="245" t="str">
        <f t="shared" si="508"/>
        <v/>
      </c>
      <c r="E10184" s="534"/>
      <c r="F10184" s="534"/>
    </row>
    <row r="10185" spans="1:6" ht="15" customHeight="1">
      <c r="A10185" s="51"/>
      <c r="B10185" s="52" t="str">
        <f t="shared" si="510"/>
        <v/>
      </c>
      <c r="C10185" t="str">
        <f t="shared" si="509"/>
        <v/>
      </c>
      <c r="D10185" s="245" t="str">
        <f t="shared" ref="D10185:D10248" si="511">IF(A10185&lt;&gt;"",PROPER(TEXT(A10185,"Mmmm")),"")</f>
        <v/>
      </c>
      <c r="E10185" s="534"/>
      <c r="F10185" s="534"/>
    </row>
    <row r="10186" spans="1:6" ht="15" customHeight="1">
      <c r="A10186" s="51"/>
      <c r="B10186" s="52" t="str">
        <f t="shared" si="510"/>
        <v/>
      </c>
      <c r="C10186" t="str">
        <f t="shared" si="509"/>
        <v/>
      </c>
      <c r="D10186" s="245" t="str">
        <f t="shared" si="511"/>
        <v/>
      </c>
      <c r="E10186" s="534"/>
      <c r="F10186" s="534"/>
    </row>
    <row r="10187" spans="1:6" ht="15" customHeight="1">
      <c r="A10187" s="51"/>
      <c r="B10187" s="52" t="str">
        <f t="shared" si="510"/>
        <v/>
      </c>
      <c r="C10187" t="str">
        <f t="shared" si="509"/>
        <v/>
      </c>
      <c r="D10187" s="245" t="str">
        <f t="shared" si="511"/>
        <v/>
      </c>
      <c r="E10187" s="534"/>
      <c r="F10187" s="534"/>
    </row>
    <row r="10188" spans="1:6" ht="15" customHeight="1">
      <c r="A10188" s="51"/>
      <c r="B10188" s="52" t="str">
        <f t="shared" si="510"/>
        <v/>
      </c>
      <c r="C10188" t="str">
        <f t="shared" si="509"/>
        <v/>
      </c>
      <c r="D10188" s="245" t="str">
        <f t="shared" si="511"/>
        <v/>
      </c>
      <c r="E10188" s="534"/>
      <c r="F10188" s="534"/>
    </row>
    <row r="10189" spans="1:6" ht="15" customHeight="1">
      <c r="A10189" s="51"/>
      <c r="B10189" s="52" t="str">
        <f t="shared" si="510"/>
        <v/>
      </c>
      <c r="C10189" t="str">
        <f t="shared" si="509"/>
        <v/>
      </c>
      <c r="D10189" s="245" t="str">
        <f t="shared" si="511"/>
        <v/>
      </c>
      <c r="E10189" s="534"/>
      <c r="F10189" s="534"/>
    </row>
    <row r="10190" spans="1:6" ht="15" customHeight="1">
      <c r="A10190" s="51"/>
      <c r="B10190" s="52" t="str">
        <f t="shared" si="510"/>
        <v/>
      </c>
      <c r="C10190" t="str">
        <f t="shared" si="509"/>
        <v/>
      </c>
      <c r="D10190" s="245" t="str">
        <f t="shared" si="511"/>
        <v/>
      </c>
      <c r="E10190" s="534"/>
      <c r="F10190" s="534"/>
    </row>
    <row r="10191" spans="1:6" ht="15" customHeight="1">
      <c r="A10191" s="51"/>
      <c r="B10191" s="52" t="str">
        <f t="shared" si="510"/>
        <v/>
      </c>
      <c r="C10191" t="str">
        <f t="shared" si="509"/>
        <v/>
      </c>
      <c r="D10191" s="245" t="str">
        <f t="shared" si="511"/>
        <v/>
      </c>
      <c r="E10191" s="534"/>
      <c r="F10191" s="534"/>
    </row>
    <row r="10192" spans="1:6" ht="15" customHeight="1">
      <c r="A10192" s="51"/>
      <c r="B10192" s="52" t="str">
        <f t="shared" si="510"/>
        <v/>
      </c>
      <c r="C10192" t="str">
        <f t="shared" si="509"/>
        <v/>
      </c>
      <c r="D10192" s="245" t="str">
        <f t="shared" si="511"/>
        <v/>
      </c>
      <c r="E10192" s="534"/>
      <c r="F10192" s="534"/>
    </row>
    <row r="10193" spans="1:6" ht="15" customHeight="1">
      <c r="A10193" s="51"/>
      <c r="B10193" s="52" t="str">
        <f t="shared" si="510"/>
        <v/>
      </c>
      <c r="C10193" t="str">
        <f t="shared" si="509"/>
        <v/>
      </c>
      <c r="D10193" s="245" t="str">
        <f t="shared" si="511"/>
        <v/>
      </c>
      <c r="E10193" s="534"/>
      <c r="F10193" s="534"/>
    </row>
    <row r="10194" spans="1:6" ht="15" customHeight="1">
      <c r="A10194" s="51"/>
      <c r="B10194" s="52" t="str">
        <f t="shared" si="510"/>
        <v/>
      </c>
      <c r="C10194" t="str">
        <f t="shared" si="509"/>
        <v/>
      </c>
      <c r="D10194" s="245" t="str">
        <f t="shared" si="511"/>
        <v/>
      </c>
      <c r="E10194" s="534"/>
      <c r="F10194" s="534"/>
    </row>
    <row r="10195" spans="1:6" ht="15" customHeight="1">
      <c r="A10195" s="51"/>
      <c r="B10195" s="52" t="str">
        <f t="shared" si="510"/>
        <v/>
      </c>
      <c r="C10195" t="str">
        <f t="shared" si="509"/>
        <v/>
      </c>
      <c r="D10195" s="245" t="str">
        <f t="shared" si="511"/>
        <v/>
      </c>
      <c r="E10195" s="534"/>
      <c r="F10195" s="534"/>
    </row>
    <row r="10196" spans="1:6" ht="15" customHeight="1">
      <c r="A10196" s="51"/>
      <c r="B10196" s="52" t="str">
        <f t="shared" si="510"/>
        <v/>
      </c>
      <c r="C10196" t="str">
        <f t="shared" si="509"/>
        <v/>
      </c>
      <c r="D10196" s="245" t="str">
        <f t="shared" si="511"/>
        <v/>
      </c>
      <c r="E10196" s="534"/>
      <c r="F10196" s="534"/>
    </row>
    <row r="10197" spans="1:6" ht="15" customHeight="1">
      <c r="A10197" s="51"/>
      <c r="B10197" s="52" t="str">
        <f t="shared" si="510"/>
        <v/>
      </c>
      <c r="C10197" t="str">
        <f t="shared" si="509"/>
        <v/>
      </c>
      <c r="D10197" s="245" t="str">
        <f t="shared" si="511"/>
        <v/>
      </c>
      <c r="E10197" s="534"/>
      <c r="F10197" s="534"/>
    </row>
    <row r="10198" spans="1:6" ht="15" customHeight="1">
      <c r="A10198" s="51"/>
      <c r="B10198" s="52" t="str">
        <f t="shared" si="510"/>
        <v/>
      </c>
      <c r="C10198" t="str">
        <f t="shared" si="509"/>
        <v/>
      </c>
      <c r="D10198" s="245" t="str">
        <f t="shared" si="511"/>
        <v/>
      </c>
      <c r="E10198" s="534"/>
      <c r="F10198" s="534"/>
    </row>
    <row r="10199" spans="1:6" ht="15" customHeight="1">
      <c r="A10199" s="51"/>
      <c r="B10199" s="52" t="str">
        <f t="shared" si="510"/>
        <v/>
      </c>
      <c r="C10199" t="str">
        <f t="shared" si="509"/>
        <v/>
      </c>
      <c r="D10199" s="245" t="str">
        <f t="shared" si="511"/>
        <v/>
      </c>
      <c r="E10199" s="534"/>
      <c r="F10199" s="534"/>
    </row>
    <row r="10200" spans="1:6" ht="15" customHeight="1">
      <c r="A10200" s="51"/>
      <c r="B10200" s="52" t="str">
        <f t="shared" si="510"/>
        <v/>
      </c>
      <c r="C10200" t="str">
        <f t="shared" si="509"/>
        <v/>
      </c>
      <c r="D10200" s="245" t="str">
        <f t="shared" si="511"/>
        <v/>
      </c>
      <c r="E10200" s="534"/>
      <c r="F10200" s="534"/>
    </row>
    <row r="10201" spans="1:6" ht="15" customHeight="1">
      <c r="A10201" s="51"/>
      <c r="B10201" s="52" t="str">
        <f t="shared" si="510"/>
        <v/>
      </c>
      <c r="C10201" t="str">
        <f t="shared" si="509"/>
        <v/>
      </c>
      <c r="D10201" s="245" t="str">
        <f t="shared" si="511"/>
        <v/>
      </c>
      <c r="E10201" s="534"/>
      <c r="F10201" s="534"/>
    </row>
    <row r="10202" spans="1:6" ht="15" customHeight="1">
      <c r="A10202" s="51"/>
      <c r="B10202" s="52" t="str">
        <f t="shared" si="510"/>
        <v/>
      </c>
      <c r="C10202" t="str">
        <f t="shared" si="509"/>
        <v/>
      </c>
      <c r="D10202" s="245" t="str">
        <f t="shared" si="511"/>
        <v/>
      </c>
      <c r="E10202" s="534"/>
      <c r="F10202" s="534"/>
    </row>
    <row r="10203" spans="1:6" ht="15" customHeight="1">
      <c r="A10203" s="51"/>
      <c r="B10203" s="52" t="str">
        <f t="shared" si="510"/>
        <v/>
      </c>
      <c r="C10203" t="str">
        <f t="shared" si="509"/>
        <v/>
      </c>
      <c r="D10203" s="245" t="str">
        <f t="shared" si="511"/>
        <v/>
      </c>
      <c r="E10203" s="534"/>
      <c r="F10203" s="534"/>
    </row>
    <row r="10204" spans="1:6" ht="15" customHeight="1">
      <c r="A10204" s="51"/>
      <c r="B10204" s="52" t="str">
        <f t="shared" si="510"/>
        <v/>
      </c>
      <c r="C10204" t="str">
        <f t="shared" si="509"/>
        <v/>
      </c>
      <c r="D10204" s="245" t="str">
        <f t="shared" si="511"/>
        <v/>
      </c>
      <c r="E10204" s="534"/>
      <c r="F10204" s="534"/>
    </row>
    <row r="10205" spans="1:6" ht="15" customHeight="1">
      <c r="A10205" s="51"/>
      <c r="B10205" s="52" t="str">
        <f t="shared" si="510"/>
        <v/>
      </c>
      <c r="C10205" t="str">
        <f t="shared" si="509"/>
        <v/>
      </c>
      <c r="D10205" s="245" t="str">
        <f t="shared" si="511"/>
        <v/>
      </c>
      <c r="E10205" s="534"/>
      <c r="F10205" s="534"/>
    </row>
    <row r="10206" spans="1:6" ht="15" customHeight="1">
      <c r="A10206" s="51"/>
      <c r="B10206" s="52" t="str">
        <f t="shared" si="510"/>
        <v/>
      </c>
      <c r="C10206" t="str">
        <f t="shared" si="509"/>
        <v/>
      </c>
      <c r="D10206" s="245" t="str">
        <f t="shared" si="511"/>
        <v/>
      </c>
      <c r="E10206" s="534"/>
      <c r="F10206" s="534"/>
    </row>
    <row r="10207" spans="1:6" ht="15" customHeight="1">
      <c r="A10207" s="51"/>
      <c r="B10207" s="52" t="str">
        <f t="shared" si="510"/>
        <v/>
      </c>
      <c r="C10207" t="str">
        <f t="shared" si="509"/>
        <v/>
      </c>
      <c r="D10207" s="245" t="str">
        <f t="shared" si="511"/>
        <v/>
      </c>
      <c r="E10207" s="534"/>
      <c r="F10207" s="534"/>
    </row>
    <row r="10208" spans="1:6" ht="15" customHeight="1">
      <c r="A10208" s="51"/>
      <c r="B10208" s="52" t="str">
        <f t="shared" si="510"/>
        <v/>
      </c>
      <c r="C10208" t="str">
        <f t="shared" si="509"/>
        <v/>
      </c>
      <c r="D10208" s="245" t="str">
        <f t="shared" si="511"/>
        <v/>
      </c>
      <c r="E10208" s="534"/>
      <c r="F10208" s="534"/>
    </row>
    <row r="10209" spans="1:6" ht="15" customHeight="1">
      <c r="A10209" s="51"/>
      <c r="B10209" s="52" t="str">
        <f t="shared" si="510"/>
        <v/>
      </c>
      <c r="C10209" t="str">
        <f t="shared" si="509"/>
        <v/>
      </c>
      <c r="D10209" s="245" t="str">
        <f t="shared" si="511"/>
        <v/>
      </c>
      <c r="E10209" s="534"/>
      <c r="F10209" s="534"/>
    </row>
    <row r="10210" spans="1:6" ht="15" customHeight="1">
      <c r="A10210" s="51"/>
      <c r="B10210" s="52" t="str">
        <f t="shared" si="510"/>
        <v/>
      </c>
      <c r="C10210" t="str">
        <f t="shared" si="509"/>
        <v/>
      </c>
      <c r="D10210" s="245" t="str">
        <f t="shared" si="511"/>
        <v/>
      </c>
      <c r="E10210" s="534"/>
      <c r="F10210" s="534"/>
    </row>
    <row r="10211" spans="1:6" ht="15" customHeight="1">
      <c r="A10211" s="51"/>
      <c r="B10211" s="52" t="str">
        <f t="shared" si="510"/>
        <v/>
      </c>
      <c r="C10211" t="str">
        <f t="shared" si="509"/>
        <v/>
      </c>
      <c r="D10211" s="245" t="str">
        <f t="shared" si="511"/>
        <v/>
      </c>
      <c r="E10211" s="534"/>
      <c r="F10211" s="534"/>
    </row>
    <row r="10212" spans="1:6" ht="15" customHeight="1">
      <c r="A10212" s="51"/>
      <c r="B10212" s="52" t="str">
        <f t="shared" si="510"/>
        <v/>
      </c>
      <c r="C10212" t="str">
        <f t="shared" si="509"/>
        <v/>
      </c>
      <c r="D10212" s="245" t="str">
        <f t="shared" si="511"/>
        <v/>
      </c>
      <c r="E10212" s="534"/>
      <c r="F10212" s="534"/>
    </row>
    <row r="10213" spans="1:6" ht="15" customHeight="1">
      <c r="A10213" s="51"/>
      <c r="B10213" s="52" t="str">
        <f t="shared" si="510"/>
        <v/>
      </c>
      <c r="C10213" t="str">
        <f t="shared" si="509"/>
        <v/>
      </c>
      <c r="D10213" s="245" t="str">
        <f t="shared" si="511"/>
        <v/>
      </c>
      <c r="E10213" s="534"/>
      <c r="F10213" s="534"/>
    </row>
    <row r="10214" spans="1:6" ht="15" customHeight="1">
      <c r="A10214" s="51"/>
      <c r="B10214" s="52" t="str">
        <f t="shared" si="510"/>
        <v/>
      </c>
      <c r="C10214" t="str">
        <f t="shared" si="509"/>
        <v/>
      </c>
      <c r="D10214" s="245" t="str">
        <f t="shared" si="511"/>
        <v/>
      </c>
      <c r="E10214" s="534"/>
      <c r="F10214" s="534"/>
    </row>
    <row r="10215" spans="1:6" ht="15" customHeight="1">
      <c r="A10215" s="51"/>
      <c r="B10215" s="52" t="str">
        <f t="shared" si="510"/>
        <v/>
      </c>
      <c r="C10215" t="str">
        <f t="shared" si="509"/>
        <v/>
      </c>
      <c r="D10215" s="245" t="str">
        <f t="shared" si="511"/>
        <v/>
      </c>
      <c r="E10215" s="534"/>
      <c r="F10215" s="534"/>
    </row>
    <row r="10216" spans="1:6" ht="15" customHeight="1">
      <c r="A10216" s="51"/>
      <c r="B10216" s="52" t="str">
        <f t="shared" si="510"/>
        <v/>
      </c>
      <c r="C10216" t="str">
        <f t="shared" si="509"/>
        <v/>
      </c>
      <c r="D10216" s="245" t="str">
        <f t="shared" si="511"/>
        <v/>
      </c>
      <c r="E10216" s="534"/>
      <c r="F10216" s="534"/>
    </row>
    <row r="10217" spans="1:6" ht="15" customHeight="1">
      <c r="A10217" s="51"/>
      <c r="B10217" s="52" t="str">
        <f t="shared" si="510"/>
        <v/>
      </c>
      <c r="C10217" t="str">
        <f t="shared" si="509"/>
        <v/>
      </c>
      <c r="D10217" s="245" t="str">
        <f t="shared" si="511"/>
        <v/>
      </c>
      <c r="E10217" s="534"/>
      <c r="F10217" s="534"/>
    </row>
    <row r="10218" spans="1:6" ht="15" customHeight="1">
      <c r="A10218" s="51"/>
      <c r="B10218" s="52" t="str">
        <f t="shared" si="510"/>
        <v/>
      </c>
      <c r="C10218" t="str">
        <f t="shared" si="509"/>
        <v/>
      </c>
      <c r="D10218" s="245" t="str">
        <f t="shared" si="511"/>
        <v/>
      </c>
      <c r="E10218" s="534"/>
      <c r="F10218" s="534"/>
    </row>
    <row r="10219" spans="1:6" ht="15" customHeight="1">
      <c r="A10219" s="51"/>
      <c r="B10219" s="52" t="str">
        <f t="shared" si="510"/>
        <v/>
      </c>
      <c r="C10219" t="str">
        <f t="shared" si="509"/>
        <v/>
      </c>
      <c r="D10219" s="245" t="str">
        <f t="shared" si="511"/>
        <v/>
      </c>
      <c r="E10219" s="534"/>
      <c r="F10219" s="534"/>
    </row>
    <row r="10220" spans="1:6" ht="15" customHeight="1">
      <c r="A10220" s="51"/>
      <c r="B10220" s="52" t="str">
        <f t="shared" si="510"/>
        <v/>
      </c>
      <c r="C10220" t="str">
        <f t="shared" si="509"/>
        <v/>
      </c>
      <c r="D10220" s="245" t="str">
        <f t="shared" si="511"/>
        <v/>
      </c>
      <c r="E10220" s="534"/>
      <c r="F10220" s="534"/>
    </row>
    <row r="10221" spans="1:6" ht="15" customHeight="1">
      <c r="A10221" s="51"/>
      <c r="B10221" s="52" t="str">
        <f t="shared" si="510"/>
        <v/>
      </c>
      <c r="C10221" t="str">
        <f t="shared" si="509"/>
        <v/>
      </c>
      <c r="D10221" s="245" t="str">
        <f t="shared" si="511"/>
        <v/>
      </c>
      <c r="E10221" s="534"/>
      <c r="F10221" s="534"/>
    </row>
    <row r="10222" spans="1:6" ht="15" customHeight="1">
      <c r="A10222" s="51"/>
      <c r="B10222" s="52" t="str">
        <f t="shared" si="510"/>
        <v/>
      </c>
      <c r="C10222" t="str">
        <f t="shared" si="509"/>
        <v/>
      </c>
      <c r="D10222" s="245" t="str">
        <f t="shared" si="511"/>
        <v/>
      </c>
      <c r="E10222" s="534"/>
      <c r="F10222" s="534"/>
    </row>
    <row r="10223" spans="1:6" ht="15" customHeight="1">
      <c r="A10223" s="51"/>
      <c r="B10223" s="52" t="str">
        <f t="shared" si="510"/>
        <v/>
      </c>
      <c r="C10223" t="str">
        <f t="shared" si="509"/>
        <v/>
      </c>
      <c r="D10223" s="245" t="str">
        <f t="shared" si="511"/>
        <v/>
      </c>
      <c r="E10223" s="534"/>
      <c r="F10223" s="534"/>
    </row>
    <row r="10224" spans="1:6" ht="15" customHeight="1">
      <c r="A10224" s="51"/>
      <c r="B10224" s="52" t="str">
        <f t="shared" si="510"/>
        <v/>
      </c>
      <c r="C10224" t="str">
        <f t="shared" si="509"/>
        <v/>
      </c>
      <c r="D10224" s="245" t="str">
        <f t="shared" si="511"/>
        <v/>
      </c>
      <c r="E10224" s="534"/>
      <c r="F10224" s="534"/>
    </row>
    <row r="10225" spans="1:6" ht="15" customHeight="1">
      <c r="A10225" s="51"/>
      <c r="B10225" s="52" t="str">
        <f t="shared" si="510"/>
        <v/>
      </c>
      <c r="C10225" t="str">
        <f t="shared" si="509"/>
        <v/>
      </c>
      <c r="D10225" s="245" t="str">
        <f t="shared" si="511"/>
        <v/>
      </c>
      <c r="E10225" s="534"/>
      <c r="F10225" s="534"/>
    </row>
    <row r="10226" spans="1:6" ht="15" customHeight="1">
      <c r="A10226" s="51"/>
      <c r="B10226" s="52" t="str">
        <f t="shared" si="510"/>
        <v/>
      </c>
      <c r="C10226" t="str">
        <f t="shared" si="509"/>
        <v/>
      </c>
      <c r="D10226" s="245" t="str">
        <f t="shared" si="511"/>
        <v/>
      </c>
      <c r="E10226" s="534"/>
      <c r="F10226" s="534"/>
    </row>
    <row r="10227" spans="1:6" ht="15" customHeight="1">
      <c r="A10227" s="51"/>
      <c r="B10227" s="52" t="str">
        <f t="shared" si="510"/>
        <v/>
      </c>
      <c r="C10227" t="str">
        <f t="shared" si="509"/>
        <v/>
      </c>
      <c r="D10227" s="245" t="str">
        <f t="shared" si="511"/>
        <v/>
      </c>
      <c r="E10227" s="534"/>
      <c r="F10227" s="534"/>
    </row>
    <row r="10228" spans="1:6" ht="15" customHeight="1">
      <c r="A10228" s="51"/>
      <c r="B10228" s="52" t="str">
        <f t="shared" si="510"/>
        <v/>
      </c>
      <c r="C10228" t="str">
        <f t="shared" si="509"/>
        <v/>
      </c>
      <c r="D10228" s="245" t="str">
        <f t="shared" si="511"/>
        <v/>
      </c>
      <c r="E10228" s="534"/>
      <c r="F10228" s="534"/>
    </row>
    <row r="10229" spans="1:6" ht="15" customHeight="1">
      <c r="A10229" s="51"/>
      <c r="B10229" s="52" t="str">
        <f t="shared" si="510"/>
        <v/>
      </c>
      <c r="C10229" t="str">
        <f t="shared" si="509"/>
        <v/>
      </c>
      <c r="D10229" s="245" t="str">
        <f t="shared" si="511"/>
        <v/>
      </c>
      <c r="E10229" s="534"/>
      <c r="F10229" s="534"/>
    </row>
    <row r="10230" spans="1:6" ht="15" customHeight="1">
      <c r="A10230" s="51"/>
      <c r="B10230" s="52" t="str">
        <f t="shared" si="510"/>
        <v/>
      </c>
      <c r="C10230" t="str">
        <f t="shared" si="509"/>
        <v/>
      </c>
      <c r="D10230" s="245" t="str">
        <f t="shared" si="511"/>
        <v/>
      </c>
      <c r="E10230" s="534"/>
      <c r="F10230" s="534"/>
    </row>
    <row r="10231" spans="1:6" ht="15" customHeight="1">
      <c r="A10231" s="51"/>
      <c r="B10231" s="52" t="str">
        <f t="shared" si="510"/>
        <v/>
      </c>
      <c r="C10231" t="str">
        <f t="shared" si="509"/>
        <v/>
      </c>
      <c r="D10231" s="245" t="str">
        <f t="shared" si="511"/>
        <v/>
      </c>
      <c r="E10231" s="534"/>
      <c r="F10231" s="534"/>
    </row>
    <row r="10232" spans="1:6" ht="15" customHeight="1">
      <c r="A10232" s="51"/>
      <c r="B10232" s="52" t="str">
        <f t="shared" si="510"/>
        <v/>
      </c>
      <c r="C10232" t="str">
        <f t="shared" si="509"/>
        <v/>
      </c>
      <c r="D10232" s="245" t="str">
        <f t="shared" si="511"/>
        <v/>
      </c>
      <c r="E10232" s="534"/>
      <c r="F10232" s="534"/>
    </row>
    <row r="10233" spans="1:6" ht="15" customHeight="1">
      <c r="A10233" s="51"/>
      <c r="B10233" s="52" t="str">
        <f t="shared" si="510"/>
        <v/>
      </c>
      <c r="C10233" t="str">
        <f t="shared" si="509"/>
        <v/>
      </c>
      <c r="D10233" s="245" t="str">
        <f t="shared" si="511"/>
        <v/>
      </c>
      <c r="E10233" s="534"/>
      <c r="F10233" s="534"/>
    </row>
    <row r="10234" spans="1:6" ht="15" customHeight="1">
      <c r="A10234" s="51"/>
      <c r="B10234" s="52" t="str">
        <f t="shared" si="510"/>
        <v/>
      </c>
      <c r="C10234" t="str">
        <f t="shared" si="509"/>
        <v/>
      </c>
      <c r="D10234" s="245" t="str">
        <f t="shared" si="511"/>
        <v/>
      </c>
      <c r="E10234" s="534"/>
      <c r="F10234" s="534"/>
    </row>
    <row r="10235" spans="1:6" ht="15" customHeight="1">
      <c r="A10235" s="51"/>
      <c r="B10235" s="52" t="str">
        <f t="shared" si="510"/>
        <v/>
      </c>
      <c r="C10235" t="str">
        <f t="shared" si="509"/>
        <v/>
      </c>
      <c r="D10235" s="245" t="str">
        <f t="shared" si="511"/>
        <v/>
      </c>
      <c r="E10235" s="534"/>
      <c r="F10235" s="534"/>
    </row>
    <row r="10236" spans="1:6" ht="15" customHeight="1">
      <c r="A10236" s="51"/>
      <c r="B10236" s="52" t="str">
        <f t="shared" si="510"/>
        <v/>
      </c>
      <c r="C10236" t="str">
        <f t="shared" si="509"/>
        <v/>
      </c>
      <c r="D10236" s="245" t="str">
        <f t="shared" si="511"/>
        <v/>
      </c>
      <c r="E10236" s="534"/>
      <c r="F10236" s="534"/>
    </row>
    <row r="10237" spans="1:6" ht="15" customHeight="1">
      <c r="A10237" s="51"/>
      <c r="B10237" s="52" t="str">
        <f t="shared" si="510"/>
        <v/>
      </c>
      <c r="C10237" t="str">
        <f t="shared" si="509"/>
        <v/>
      </c>
      <c r="D10237" s="245" t="str">
        <f t="shared" si="511"/>
        <v/>
      </c>
      <c r="E10237" s="534"/>
      <c r="F10237" s="534"/>
    </row>
    <row r="10238" spans="1:6" ht="15" customHeight="1">
      <c r="A10238" s="51"/>
      <c r="B10238" s="52" t="str">
        <f t="shared" si="510"/>
        <v/>
      </c>
      <c r="C10238" t="str">
        <f t="shared" si="509"/>
        <v/>
      </c>
      <c r="D10238" s="245" t="str">
        <f t="shared" si="511"/>
        <v/>
      </c>
      <c r="E10238" s="534"/>
      <c r="F10238" s="534"/>
    </row>
    <row r="10239" spans="1:6" ht="15" customHeight="1">
      <c r="A10239" s="51"/>
      <c r="B10239" s="52" t="str">
        <f t="shared" si="510"/>
        <v/>
      </c>
      <c r="C10239" t="str">
        <f t="shared" si="509"/>
        <v/>
      </c>
      <c r="D10239" s="245" t="str">
        <f t="shared" si="511"/>
        <v/>
      </c>
      <c r="E10239" s="534"/>
      <c r="F10239" s="534"/>
    </row>
    <row r="10240" spans="1:6" ht="15" customHeight="1">
      <c r="A10240" s="51"/>
      <c r="B10240" s="52" t="str">
        <f t="shared" si="510"/>
        <v/>
      </c>
      <c r="C10240" t="str">
        <f t="shared" si="509"/>
        <v/>
      </c>
      <c r="D10240" s="245" t="str">
        <f t="shared" si="511"/>
        <v/>
      </c>
      <c r="E10240" s="534"/>
      <c r="F10240" s="534"/>
    </row>
    <row r="10241" spans="1:6" ht="15" customHeight="1">
      <c r="A10241" s="51"/>
      <c r="B10241" s="52" t="str">
        <f t="shared" si="510"/>
        <v/>
      </c>
      <c r="C10241" t="str">
        <f t="shared" si="509"/>
        <v/>
      </c>
      <c r="D10241" s="245" t="str">
        <f t="shared" si="511"/>
        <v/>
      </c>
      <c r="E10241" s="534"/>
      <c r="F10241" s="534"/>
    </row>
    <row r="10242" spans="1:6" ht="15" customHeight="1">
      <c r="A10242" s="51"/>
      <c r="B10242" s="52" t="str">
        <f t="shared" si="510"/>
        <v/>
      </c>
      <c r="C10242" t="str">
        <f t="shared" ref="C10242:C10305" si="512">IF(A10242&lt;&gt;"",TEXT(A10242,"aaaa"),"")</f>
        <v/>
      </c>
      <c r="D10242" s="245" t="str">
        <f t="shared" si="511"/>
        <v/>
      </c>
      <c r="E10242" s="534"/>
      <c r="F10242" s="534"/>
    </row>
    <row r="10243" spans="1:6" ht="15" customHeight="1">
      <c r="A10243" s="51"/>
      <c r="B10243" s="52" t="str">
        <f t="shared" si="510"/>
        <v/>
      </c>
      <c r="C10243" t="str">
        <f t="shared" si="512"/>
        <v/>
      </c>
      <c r="D10243" s="245" t="str">
        <f t="shared" si="511"/>
        <v/>
      </c>
      <c r="E10243" s="534"/>
      <c r="F10243" s="534"/>
    </row>
    <row r="10244" spans="1:6" ht="15" customHeight="1">
      <c r="A10244" s="51"/>
      <c r="B10244" s="52" t="str">
        <f t="shared" si="510"/>
        <v/>
      </c>
      <c r="C10244" t="str">
        <f t="shared" si="512"/>
        <v/>
      </c>
      <c r="D10244" s="245" t="str">
        <f t="shared" si="511"/>
        <v/>
      </c>
      <c r="E10244" s="534"/>
      <c r="F10244" s="534"/>
    </row>
    <row r="10245" spans="1:6" ht="15" customHeight="1">
      <c r="A10245" s="51"/>
      <c r="B10245" s="52" t="str">
        <f t="shared" si="510"/>
        <v/>
      </c>
      <c r="C10245" t="str">
        <f t="shared" si="512"/>
        <v/>
      </c>
      <c r="D10245" s="245" t="str">
        <f t="shared" si="511"/>
        <v/>
      </c>
      <c r="E10245" s="534"/>
      <c r="F10245" s="534"/>
    </row>
    <row r="10246" spans="1:6" ht="15" customHeight="1">
      <c r="A10246" s="51"/>
      <c r="B10246" s="52" t="str">
        <f t="shared" si="510"/>
        <v/>
      </c>
      <c r="C10246" t="str">
        <f t="shared" si="512"/>
        <v/>
      </c>
      <c r="D10246" s="245" t="str">
        <f t="shared" si="511"/>
        <v/>
      </c>
      <c r="E10246" s="534"/>
      <c r="F10246" s="534"/>
    </row>
    <row r="10247" spans="1:6" ht="15" customHeight="1">
      <c r="A10247" s="51"/>
      <c r="B10247" s="52" t="str">
        <f t="shared" si="510"/>
        <v/>
      </c>
      <c r="C10247" t="str">
        <f t="shared" si="512"/>
        <v/>
      </c>
      <c r="D10247" s="245" t="str">
        <f t="shared" si="511"/>
        <v/>
      </c>
      <c r="E10247" s="534"/>
      <c r="F10247" s="534"/>
    </row>
    <row r="10248" spans="1:6" ht="15" customHeight="1">
      <c r="A10248" s="51"/>
      <c r="B10248" s="52" t="str">
        <f t="shared" ref="B10248:B10311" si="513">IF(A10248="","",TEXT(A10248,"DDDD"))</f>
        <v/>
      </c>
      <c r="C10248" t="str">
        <f t="shared" si="512"/>
        <v/>
      </c>
      <c r="D10248" s="245" t="str">
        <f t="shared" si="511"/>
        <v/>
      </c>
      <c r="E10248" s="534"/>
      <c r="F10248" s="534"/>
    </row>
    <row r="10249" spans="1:6" ht="15" customHeight="1">
      <c r="A10249" s="51"/>
      <c r="B10249" s="52" t="str">
        <f t="shared" si="513"/>
        <v/>
      </c>
      <c r="C10249" t="str">
        <f t="shared" si="512"/>
        <v/>
      </c>
      <c r="D10249" s="245" t="str">
        <f t="shared" ref="D10249:D10312" si="514">IF(A10249&lt;&gt;"",PROPER(TEXT(A10249,"Mmmm")),"")</f>
        <v/>
      </c>
      <c r="E10249" s="534"/>
      <c r="F10249" s="534"/>
    </row>
    <row r="10250" spans="1:6" ht="15" customHeight="1">
      <c r="A10250" s="51"/>
      <c r="B10250" s="52" t="str">
        <f t="shared" si="513"/>
        <v/>
      </c>
      <c r="C10250" t="str">
        <f t="shared" si="512"/>
        <v/>
      </c>
      <c r="D10250" s="245" t="str">
        <f t="shared" si="514"/>
        <v/>
      </c>
      <c r="E10250" s="534"/>
      <c r="F10250" s="534"/>
    </row>
    <row r="10251" spans="1:6" ht="15" customHeight="1">
      <c r="A10251" s="51"/>
      <c r="B10251" s="52" t="str">
        <f t="shared" si="513"/>
        <v/>
      </c>
      <c r="C10251" t="str">
        <f t="shared" si="512"/>
        <v/>
      </c>
      <c r="D10251" s="245" t="str">
        <f t="shared" si="514"/>
        <v/>
      </c>
      <c r="E10251" s="534"/>
      <c r="F10251" s="534"/>
    </row>
    <row r="10252" spans="1:6" ht="15" customHeight="1">
      <c r="A10252" s="51"/>
      <c r="B10252" s="52" t="str">
        <f t="shared" si="513"/>
        <v/>
      </c>
      <c r="C10252" t="str">
        <f t="shared" si="512"/>
        <v/>
      </c>
      <c r="D10252" s="245" t="str">
        <f t="shared" si="514"/>
        <v/>
      </c>
      <c r="E10252" s="534"/>
      <c r="F10252" s="534"/>
    </row>
    <row r="10253" spans="1:6" ht="15" customHeight="1">
      <c r="A10253" s="51"/>
      <c r="B10253" s="52" t="str">
        <f t="shared" si="513"/>
        <v/>
      </c>
      <c r="C10253" t="str">
        <f t="shared" si="512"/>
        <v/>
      </c>
      <c r="D10253" s="245" t="str">
        <f t="shared" si="514"/>
        <v/>
      </c>
      <c r="E10253" s="534"/>
      <c r="F10253" s="534"/>
    </row>
    <row r="10254" spans="1:6" ht="15" customHeight="1">
      <c r="A10254" s="51"/>
      <c r="B10254" s="52" t="str">
        <f t="shared" si="513"/>
        <v/>
      </c>
      <c r="C10254" t="str">
        <f t="shared" si="512"/>
        <v/>
      </c>
      <c r="D10254" s="245" t="str">
        <f t="shared" si="514"/>
        <v/>
      </c>
      <c r="E10254" s="534"/>
      <c r="F10254" s="534"/>
    </row>
    <row r="10255" spans="1:6" ht="15" customHeight="1">
      <c r="A10255" s="51"/>
      <c r="B10255" s="52" t="str">
        <f t="shared" si="513"/>
        <v/>
      </c>
      <c r="C10255" t="str">
        <f t="shared" si="512"/>
        <v/>
      </c>
      <c r="D10255" s="245" t="str">
        <f t="shared" si="514"/>
        <v/>
      </c>
      <c r="E10255" s="534"/>
      <c r="F10255" s="534"/>
    </row>
    <row r="10256" spans="1:6" ht="15" customHeight="1">
      <c r="A10256" s="51"/>
      <c r="B10256" s="52" t="str">
        <f t="shared" si="513"/>
        <v/>
      </c>
      <c r="C10256" t="str">
        <f t="shared" si="512"/>
        <v/>
      </c>
      <c r="D10256" s="245" t="str">
        <f t="shared" si="514"/>
        <v/>
      </c>
      <c r="E10256" s="534"/>
      <c r="F10256" s="534"/>
    </row>
    <row r="10257" spans="1:6" ht="15" customHeight="1">
      <c r="A10257" s="51"/>
      <c r="B10257" s="52" t="str">
        <f t="shared" si="513"/>
        <v/>
      </c>
      <c r="C10257" t="str">
        <f t="shared" si="512"/>
        <v/>
      </c>
      <c r="D10257" s="245" t="str">
        <f t="shared" si="514"/>
        <v/>
      </c>
      <c r="E10257" s="534"/>
      <c r="F10257" s="534"/>
    </row>
    <row r="10258" spans="1:6" ht="15" customHeight="1">
      <c r="A10258" s="51"/>
      <c r="B10258" s="52" t="str">
        <f t="shared" si="513"/>
        <v/>
      </c>
      <c r="C10258" t="str">
        <f t="shared" si="512"/>
        <v/>
      </c>
      <c r="D10258" s="245" t="str">
        <f t="shared" si="514"/>
        <v/>
      </c>
      <c r="E10258" s="534"/>
      <c r="F10258" s="534"/>
    </row>
    <row r="10259" spans="1:6" ht="15" customHeight="1">
      <c r="A10259" s="51"/>
      <c r="B10259" s="52" t="str">
        <f t="shared" si="513"/>
        <v/>
      </c>
      <c r="C10259" t="str">
        <f t="shared" si="512"/>
        <v/>
      </c>
      <c r="D10259" s="245" t="str">
        <f t="shared" si="514"/>
        <v/>
      </c>
      <c r="E10259" s="534"/>
      <c r="F10259" s="534"/>
    </row>
    <row r="10260" spans="1:6" ht="15" customHeight="1">
      <c r="A10260" s="51"/>
      <c r="B10260" s="52" t="str">
        <f t="shared" si="513"/>
        <v/>
      </c>
      <c r="C10260" t="str">
        <f t="shared" si="512"/>
        <v/>
      </c>
      <c r="D10260" s="245" t="str">
        <f t="shared" si="514"/>
        <v/>
      </c>
      <c r="E10260" s="534"/>
      <c r="F10260" s="534"/>
    </row>
    <row r="10261" spans="1:6" ht="15" customHeight="1">
      <c r="A10261" s="51"/>
      <c r="B10261" s="52" t="str">
        <f t="shared" si="513"/>
        <v/>
      </c>
      <c r="C10261" t="str">
        <f t="shared" si="512"/>
        <v/>
      </c>
      <c r="D10261" s="245" t="str">
        <f t="shared" si="514"/>
        <v/>
      </c>
      <c r="E10261" s="534"/>
      <c r="F10261" s="534"/>
    </row>
    <row r="10262" spans="1:6" ht="15" customHeight="1">
      <c r="A10262" s="51"/>
      <c r="B10262" s="52" t="str">
        <f t="shared" si="513"/>
        <v/>
      </c>
      <c r="C10262" t="str">
        <f t="shared" si="512"/>
        <v/>
      </c>
      <c r="D10262" s="245" t="str">
        <f t="shared" si="514"/>
        <v/>
      </c>
      <c r="E10262" s="534"/>
      <c r="F10262" s="534"/>
    </row>
    <row r="10263" spans="1:6" ht="15" customHeight="1">
      <c r="A10263" s="51"/>
      <c r="B10263" s="52" t="str">
        <f t="shared" si="513"/>
        <v/>
      </c>
      <c r="C10263" t="str">
        <f t="shared" si="512"/>
        <v/>
      </c>
      <c r="D10263" s="245" t="str">
        <f t="shared" si="514"/>
        <v/>
      </c>
      <c r="E10263" s="534"/>
      <c r="F10263" s="534"/>
    </row>
    <row r="10264" spans="1:6" ht="15" customHeight="1">
      <c r="A10264" s="51"/>
      <c r="B10264" s="52" t="str">
        <f t="shared" si="513"/>
        <v/>
      </c>
      <c r="C10264" t="str">
        <f t="shared" si="512"/>
        <v/>
      </c>
      <c r="D10264" s="245" t="str">
        <f t="shared" si="514"/>
        <v/>
      </c>
      <c r="E10264" s="534"/>
      <c r="F10264" s="534"/>
    </row>
    <row r="10265" spans="1:6" ht="15" customHeight="1">
      <c r="A10265" s="51"/>
      <c r="B10265" s="52" t="str">
        <f t="shared" si="513"/>
        <v/>
      </c>
      <c r="C10265" t="str">
        <f t="shared" si="512"/>
        <v/>
      </c>
      <c r="D10265" s="245" t="str">
        <f t="shared" si="514"/>
        <v/>
      </c>
      <c r="E10265" s="534"/>
      <c r="F10265" s="534"/>
    </row>
    <row r="10266" spans="1:6" ht="15" customHeight="1">
      <c r="A10266" s="51"/>
      <c r="B10266" s="52" t="str">
        <f t="shared" si="513"/>
        <v/>
      </c>
      <c r="C10266" t="str">
        <f t="shared" si="512"/>
        <v/>
      </c>
      <c r="D10266" s="245" t="str">
        <f t="shared" si="514"/>
        <v/>
      </c>
      <c r="E10266" s="534"/>
      <c r="F10266" s="534"/>
    </row>
    <row r="10267" spans="1:6" ht="15" customHeight="1">
      <c r="A10267" s="51"/>
      <c r="B10267" s="52" t="str">
        <f t="shared" si="513"/>
        <v/>
      </c>
      <c r="C10267" t="str">
        <f t="shared" si="512"/>
        <v/>
      </c>
      <c r="D10267" s="245" t="str">
        <f t="shared" si="514"/>
        <v/>
      </c>
      <c r="E10267" s="534"/>
      <c r="F10267" s="534"/>
    </row>
    <row r="10268" spans="1:6" ht="15" customHeight="1">
      <c r="A10268" s="51"/>
      <c r="B10268" s="52" t="str">
        <f t="shared" si="513"/>
        <v/>
      </c>
      <c r="C10268" t="str">
        <f t="shared" si="512"/>
        <v/>
      </c>
      <c r="D10268" s="245" t="str">
        <f t="shared" si="514"/>
        <v/>
      </c>
      <c r="E10268" s="534"/>
      <c r="F10268" s="534"/>
    </row>
    <row r="10269" spans="1:6" ht="15" customHeight="1">
      <c r="A10269" s="51"/>
      <c r="B10269" s="52" t="str">
        <f t="shared" si="513"/>
        <v/>
      </c>
      <c r="C10269" t="str">
        <f t="shared" si="512"/>
        <v/>
      </c>
      <c r="D10269" s="245" t="str">
        <f t="shared" si="514"/>
        <v/>
      </c>
      <c r="E10269" s="534"/>
      <c r="F10269" s="534"/>
    </row>
    <row r="10270" spans="1:6" ht="15" customHeight="1">
      <c r="A10270" s="51"/>
      <c r="B10270" s="52" t="str">
        <f t="shared" si="513"/>
        <v/>
      </c>
      <c r="C10270" t="str">
        <f t="shared" si="512"/>
        <v/>
      </c>
      <c r="D10270" s="245" t="str">
        <f t="shared" si="514"/>
        <v/>
      </c>
      <c r="E10270" s="534"/>
      <c r="F10270" s="534"/>
    </row>
    <row r="10271" spans="1:6" ht="15" customHeight="1">
      <c r="A10271" s="51"/>
      <c r="B10271" s="52" t="str">
        <f t="shared" si="513"/>
        <v/>
      </c>
      <c r="C10271" t="str">
        <f t="shared" si="512"/>
        <v/>
      </c>
      <c r="D10271" s="245" t="str">
        <f t="shared" si="514"/>
        <v/>
      </c>
      <c r="E10271" s="534"/>
      <c r="F10271" s="534"/>
    </row>
    <row r="10272" spans="1:6" ht="15" customHeight="1">
      <c r="A10272" s="51"/>
      <c r="B10272" s="52" t="str">
        <f t="shared" si="513"/>
        <v/>
      </c>
      <c r="C10272" t="str">
        <f t="shared" si="512"/>
        <v/>
      </c>
      <c r="D10272" s="245" t="str">
        <f t="shared" si="514"/>
        <v/>
      </c>
      <c r="E10272" s="534"/>
      <c r="F10272" s="534"/>
    </row>
    <row r="10273" spans="1:6" ht="15" customHeight="1">
      <c r="A10273" s="51"/>
      <c r="B10273" s="52" t="str">
        <f t="shared" si="513"/>
        <v/>
      </c>
      <c r="C10273" t="str">
        <f t="shared" si="512"/>
        <v/>
      </c>
      <c r="D10273" s="245" t="str">
        <f t="shared" si="514"/>
        <v/>
      </c>
      <c r="E10273" s="534"/>
      <c r="F10273" s="534"/>
    </row>
    <row r="10274" spans="1:6" ht="15" customHeight="1">
      <c r="A10274" s="51"/>
      <c r="B10274" s="52" t="str">
        <f t="shared" si="513"/>
        <v/>
      </c>
      <c r="C10274" t="str">
        <f t="shared" si="512"/>
        <v/>
      </c>
      <c r="D10274" s="245" t="str">
        <f t="shared" si="514"/>
        <v/>
      </c>
      <c r="E10274" s="534"/>
      <c r="F10274" s="534"/>
    </row>
    <row r="10275" spans="1:6" ht="15" customHeight="1">
      <c r="A10275" s="51"/>
      <c r="B10275" s="52" t="str">
        <f t="shared" si="513"/>
        <v/>
      </c>
      <c r="C10275" t="str">
        <f t="shared" si="512"/>
        <v/>
      </c>
      <c r="D10275" s="245" t="str">
        <f t="shared" si="514"/>
        <v/>
      </c>
      <c r="E10275" s="534"/>
      <c r="F10275" s="534"/>
    </row>
    <row r="10276" spans="1:6" ht="15" customHeight="1">
      <c r="A10276" s="51"/>
      <c r="B10276" s="52" t="str">
        <f t="shared" si="513"/>
        <v/>
      </c>
      <c r="C10276" t="str">
        <f t="shared" si="512"/>
        <v/>
      </c>
      <c r="D10276" s="245" t="str">
        <f t="shared" si="514"/>
        <v/>
      </c>
      <c r="E10276" s="534"/>
      <c r="F10276" s="534"/>
    </row>
    <row r="10277" spans="1:6" ht="15" customHeight="1">
      <c r="A10277" s="51"/>
      <c r="B10277" s="52" t="str">
        <f t="shared" si="513"/>
        <v/>
      </c>
      <c r="C10277" t="str">
        <f t="shared" si="512"/>
        <v/>
      </c>
      <c r="D10277" s="245" t="str">
        <f t="shared" si="514"/>
        <v/>
      </c>
      <c r="E10277" s="534"/>
      <c r="F10277" s="534"/>
    </row>
    <row r="10278" spans="1:6" ht="15" customHeight="1">
      <c r="A10278" s="51"/>
      <c r="B10278" s="52" t="str">
        <f t="shared" si="513"/>
        <v/>
      </c>
      <c r="C10278" t="str">
        <f t="shared" si="512"/>
        <v/>
      </c>
      <c r="D10278" s="245" t="str">
        <f t="shared" si="514"/>
        <v/>
      </c>
      <c r="E10278" s="534"/>
      <c r="F10278" s="534"/>
    </row>
    <row r="10279" spans="1:6" ht="15" customHeight="1">
      <c r="A10279" s="51"/>
      <c r="B10279" s="52" t="str">
        <f t="shared" si="513"/>
        <v/>
      </c>
      <c r="C10279" t="str">
        <f t="shared" si="512"/>
        <v/>
      </c>
      <c r="D10279" s="245" t="str">
        <f t="shared" si="514"/>
        <v/>
      </c>
      <c r="E10279" s="534"/>
      <c r="F10279" s="534"/>
    </row>
    <row r="10280" spans="1:6" ht="15" customHeight="1">
      <c r="A10280" s="51"/>
      <c r="B10280" s="52" t="str">
        <f t="shared" si="513"/>
        <v/>
      </c>
      <c r="C10280" t="str">
        <f t="shared" si="512"/>
        <v/>
      </c>
      <c r="D10280" s="245" t="str">
        <f t="shared" si="514"/>
        <v/>
      </c>
      <c r="E10280" s="534"/>
      <c r="F10280" s="534"/>
    </row>
    <row r="10281" spans="1:6" ht="15" customHeight="1">
      <c r="A10281" s="51"/>
      <c r="B10281" s="52" t="str">
        <f t="shared" si="513"/>
        <v/>
      </c>
      <c r="C10281" t="str">
        <f t="shared" si="512"/>
        <v/>
      </c>
      <c r="D10281" s="245" t="str">
        <f t="shared" si="514"/>
        <v/>
      </c>
      <c r="E10281" s="534"/>
      <c r="F10281" s="534"/>
    </row>
    <row r="10282" spans="1:6" ht="15" customHeight="1">
      <c r="A10282" s="51"/>
      <c r="B10282" s="52" t="str">
        <f t="shared" si="513"/>
        <v/>
      </c>
      <c r="C10282" t="str">
        <f t="shared" si="512"/>
        <v/>
      </c>
      <c r="D10282" s="245" t="str">
        <f t="shared" si="514"/>
        <v/>
      </c>
      <c r="E10282" s="534"/>
      <c r="F10282" s="534"/>
    </row>
    <row r="10283" spans="1:6" ht="15" customHeight="1">
      <c r="A10283" s="51"/>
      <c r="B10283" s="52" t="str">
        <f t="shared" si="513"/>
        <v/>
      </c>
      <c r="C10283" t="str">
        <f t="shared" si="512"/>
        <v/>
      </c>
      <c r="D10283" s="245" t="str">
        <f t="shared" si="514"/>
        <v/>
      </c>
      <c r="E10283" s="534"/>
      <c r="F10283" s="534"/>
    </row>
    <row r="10284" spans="1:6" ht="15" customHeight="1">
      <c r="A10284" s="51"/>
      <c r="B10284" s="52" t="str">
        <f t="shared" si="513"/>
        <v/>
      </c>
      <c r="C10284" t="str">
        <f t="shared" si="512"/>
        <v/>
      </c>
      <c r="D10284" s="245" t="str">
        <f t="shared" si="514"/>
        <v/>
      </c>
      <c r="E10284" s="534"/>
      <c r="F10284" s="534"/>
    </row>
    <row r="10285" spans="1:6" ht="15" customHeight="1">
      <c r="A10285" s="51"/>
      <c r="B10285" s="52" t="str">
        <f t="shared" si="513"/>
        <v/>
      </c>
      <c r="C10285" t="str">
        <f t="shared" si="512"/>
        <v/>
      </c>
      <c r="D10285" s="245" t="str">
        <f t="shared" si="514"/>
        <v/>
      </c>
      <c r="E10285" s="534"/>
      <c r="F10285" s="534"/>
    </row>
    <row r="10286" spans="1:6" ht="15" customHeight="1">
      <c r="A10286" s="51"/>
      <c r="B10286" s="52" t="str">
        <f t="shared" si="513"/>
        <v/>
      </c>
      <c r="C10286" t="str">
        <f t="shared" si="512"/>
        <v/>
      </c>
      <c r="D10286" s="245" t="str">
        <f t="shared" si="514"/>
        <v/>
      </c>
      <c r="E10286" s="534"/>
      <c r="F10286" s="534"/>
    </row>
    <row r="10287" spans="1:6" ht="15" customHeight="1">
      <c r="A10287" s="51"/>
      <c r="B10287" s="52" t="str">
        <f t="shared" si="513"/>
        <v/>
      </c>
      <c r="C10287" t="str">
        <f t="shared" si="512"/>
        <v/>
      </c>
      <c r="D10287" s="245" t="str">
        <f t="shared" si="514"/>
        <v/>
      </c>
      <c r="E10287" s="534"/>
      <c r="F10287" s="534"/>
    </row>
    <row r="10288" spans="1:6" ht="15" customHeight="1">
      <c r="A10288" s="51"/>
      <c r="B10288" s="52" t="str">
        <f t="shared" si="513"/>
        <v/>
      </c>
      <c r="C10288" t="str">
        <f t="shared" si="512"/>
        <v/>
      </c>
      <c r="D10288" s="245" t="str">
        <f t="shared" si="514"/>
        <v/>
      </c>
      <c r="E10288" s="534"/>
      <c r="F10288" s="534"/>
    </row>
    <row r="10289" spans="1:6" ht="15" customHeight="1">
      <c r="A10289" s="51"/>
      <c r="B10289" s="52" t="str">
        <f t="shared" si="513"/>
        <v/>
      </c>
      <c r="C10289" t="str">
        <f t="shared" si="512"/>
        <v/>
      </c>
      <c r="D10289" s="245" t="str">
        <f t="shared" si="514"/>
        <v/>
      </c>
      <c r="E10289" s="534"/>
      <c r="F10289" s="534"/>
    </row>
    <row r="10290" spans="1:6" ht="15" customHeight="1">
      <c r="A10290" s="51"/>
      <c r="B10290" s="52" t="str">
        <f t="shared" si="513"/>
        <v/>
      </c>
      <c r="C10290" t="str">
        <f t="shared" si="512"/>
        <v/>
      </c>
      <c r="D10290" s="245" t="str">
        <f t="shared" si="514"/>
        <v/>
      </c>
      <c r="E10290" s="534"/>
      <c r="F10290" s="534"/>
    </row>
    <row r="10291" spans="1:6" ht="15" customHeight="1">
      <c r="A10291" s="51"/>
      <c r="B10291" s="52" t="str">
        <f t="shared" si="513"/>
        <v/>
      </c>
      <c r="C10291" t="str">
        <f t="shared" si="512"/>
        <v/>
      </c>
      <c r="D10291" s="245" t="str">
        <f t="shared" si="514"/>
        <v/>
      </c>
      <c r="E10291" s="534"/>
      <c r="F10291" s="534"/>
    </row>
    <row r="10292" spans="1:6" ht="15" customHeight="1">
      <c r="A10292" s="51"/>
      <c r="B10292" s="52" t="str">
        <f t="shared" si="513"/>
        <v/>
      </c>
      <c r="C10292" t="str">
        <f t="shared" si="512"/>
        <v/>
      </c>
      <c r="D10292" s="245" t="str">
        <f t="shared" si="514"/>
        <v/>
      </c>
      <c r="E10292" s="534"/>
      <c r="F10292" s="534"/>
    </row>
    <row r="10293" spans="1:6" ht="15" customHeight="1">
      <c r="A10293" s="51"/>
      <c r="B10293" s="52" t="str">
        <f t="shared" si="513"/>
        <v/>
      </c>
      <c r="C10293" t="str">
        <f t="shared" si="512"/>
        <v/>
      </c>
      <c r="D10293" s="245" t="str">
        <f t="shared" si="514"/>
        <v/>
      </c>
      <c r="E10293" s="534"/>
      <c r="F10293" s="534"/>
    </row>
    <row r="10294" spans="1:6" ht="15" customHeight="1">
      <c r="A10294" s="51"/>
      <c r="B10294" s="52" t="str">
        <f t="shared" si="513"/>
        <v/>
      </c>
      <c r="C10294" t="str">
        <f t="shared" si="512"/>
        <v/>
      </c>
      <c r="D10294" s="245" t="str">
        <f t="shared" si="514"/>
        <v/>
      </c>
      <c r="E10294" s="534"/>
      <c r="F10294" s="534"/>
    </row>
    <row r="10295" spans="1:6" ht="15" customHeight="1">
      <c r="A10295" s="51"/>
      <c r="B10295" s="52" t="str">
        <f t="shared" si="513"/>
        <v/>
      </c>
      <c r="C10295" t="str">
        <f t="shared" si="512"/>
        <v/>
      </c>
      <c r="D10295" s="245" t="str">
        <f t="shared" si="514"/>
        <v/>
      </c>
      <c r="E10295" s="534"/>
      <c r="F10295" s="534"/>
    </row>
    <row r="10296" spans="1:6" ht="15" customHeight="1">
      <c r="A10296" s="51"/>
      <c r="B10296" s="52" t="str">
        <f t="shared" si="513"/>
        <v/>
      </c>
      <c r="C10296" t="str">
        <f t="shared" si="512"/>
        <v/>
      </c>
      <c r="D10296" s="245" t="str">
        <f t="shared" si="514"/>
        <v/>
      </c>
      <c r="E10296" s="534"/>
      <c r="F10296" s="534"/>
    </row>
    <row r="10297" spans="1:6" ht="15" customHeight="1">
      <c r="A10297" s="51"/>
      <c r="B10297" s="52" t="str">
        <f t="shared" si="513"/>
        <v/>
      </c>
      <c r="C10297" t="str">
        <f t="shared" si="512"/>
        <v/>
      </c>
      <c r="D10297" s="245" t="str">
        <f t="shared" si="514"/>
        <v/>
      </c>
      <c r="E10297" s="534"/>
      <c r="F10297" s="534"/>
    </row>
    <row r="10298" spans="1:6" ht="15" customHeight="1">
      <c r="A10298" s="51"/>
      <c r="B10298" s="52" t="str">
        <f t="shared" si="513"/>
        <v/>
      </c>
      <c r="C10298" t="str">
        <f t="shared" si="512"/>
        <v/>
      </c>
      <c r="D10298" s="245" t="str">
        <f t="shared" si="514"/>
        <v/>
      </c>
      <c r="E10298" s="534"/>
      <c r="F10298" s="534"/>
    </row>
    <row r="10299" spans="1:6" ht="15" customHeight="1">
      <c r="A10299" s="51"/>
      <c r="B10299" s="52" t="str">
        <f t="shared" si="513"/>
        <v/>
      </c>
      <c r="C10299" t="str">
        <f t="shared" si="512"/>
        <v/>
      </c>
      <c r="D10299" s="245" t="str">
        <f t="shared" si="514"/>
        <v/>
      </c>
      <c r="E10299" s="534"/>
      <c r="F10299" s="534"/>
    </row>
    <row r="10300" spans="1:6" ht="15" customHeight="1">
      <c r="A10300" s="51"/>
      <c r="B10300" s="52" t="str">
        <f t="shared" si="513"/>
        <v/>
      </c>
      <c r="C10300" t="str">
        <f t="shared" si="512"/>
        <v/>
      </c>
      <c r="D10300" s="245" t="str">
        <f t="shared" si="514"/>
        <v/>
      </c>
      <c r="E10300" s="534"/>
      <c r="F10300" s="534"/>
    </row>
    <row r="10301" spans="1:6" ht="15" customHeight="1">
      <c r="A10301" s="51"/>
      <c r="B10301" s="52" t="str">
        <f t="shared" si="513"/>
        <v/>
      </c>
      <c r="C10301" t="str">
        <f t="shared" si="512"/>
        <v/>
      </c>
      <c r="D10301" s="245" t="str">
        <f t="shared" si="514"/>
        <v/>
      </c>
      <c r="E10301" s="534"/>
      <c r="F10301" s="534"/>
    </row>
    <row r="10302" spans="1:6" ht="15" customHeight="1">
      <c r="A10302" s="51"/>
      <c r="B10302" s="52" t="str">
        <f t="shared" si="513"/>
        <v/>
      </c>
      <c r="C10302" t="str">
        <f t="shared" si="512"/>
        <v/>
      </c>
      <c r="D10302" s="245" t="str">
        <f t="shared" si="514"/>
        <v/>
      </c>
      <c r="E10302" s="534"/>
      <c r="F10302" s="534"/>
    </row>
    <row r="10303" spans="1:6" ht="15" customHeight="1">
      <c r="A10303" s="51"/>
      <c r="B10303" s="52" t="str">
        <f t="shared" si="513"/>
        <v/>
      </c>
      <c r="C10303" t="str">
        <f t="shared" si="512"/>
        <v/>
      </c>
      <c r="D10303" s="245" t="str">
        <f t="shared" si="514"/>
        <v/>
      </c>
      <c r="E10303" s="534"/>
      <c r="F10303" s="534"/>
    </row>
    <row r="10304" spans="1:6" ht="15" customHeight="1">
      <c r="A10304" s="51"/>
      <c r="B10304" s="52" t="str">
        <f t="shared" si="513"/>
        <v/>
      </c>
      <c r="C10304" t="str">
        <f t="shared" si="512"/>
        <v/>
      </c>
      <c r="D10304" s="245" t="str">
        <f t="shared" si="514"/>
        <v/>
      </c>
      <c r="E10304" s="534"/>
      <c r="F10304" s="534"/>
    </row>
    <row r="10305" spans="1:6" ht="15" customHeight="1">
      <c r="A10305" s="51"/>
      <c r="B10305" s="52" t="str">
        <f t="shared" si="513"/>
        <v/>
      </c>
      <c r="C10305" t="str">
        <f t="shared" si="512"/>
        <v/>
      </c>
      <c r="D10305" s="245" t="str">
        <f t="shared" si="514"/>
        <v/>
      </c>
      <c r="E10305" s="534"/>
      <c r="F10305" s="534"/>
    </row>
    <row r="10306" spans="1:6" ht="15" customHeight="1">
      <c r="A10306" s="51"/>
      <c r="B10306" s="52" t="str">
        <f t="shared" si="513"/>
        <v/>
      </c>
      <c r="C10306" t="str">
        <f t="shared" ref="C10306:C10369" si="515">IF(A10306&lt;&gt;"",TEXT(A10306,"aaaa"),"")</f>
        <v/>
      </c>
      <c r="D10306" s="245" t="str">
        <f t="shared" si="514"/>
        <v/>
      </c>
      <c r="E10306" s="534"/>
      <c r="F10306" s="534"/>
    </row>
    <row r="10307" spans="1:6" ht="15" customHeight="1">
      <c r="A10307" s="51"/>
      <c r="B10307" s="52" t="str">
        <f t="shared" si="513"/>
        <v/>
      </c>
      <c r="C10307" t="str">
        <f t="shared" si="515"/>
        <v/>
      </c>
      <c r="D10307" s="245" t="str">
        <f t="shared" si="514"/>
        <v/>
      </c>
      <c r="E10307" s="534"/>
      <c r="F10307" s="534"/>
    </row>
    <row r="10308" spans="1:6" ht="15" customHeight="1">
      <c r="A10308" s="51"/>
      <c r="B10308" s="52" t="str">
        <f t="shared" si="513"/>
        <v/>
      </c>
      <c r="C10308" t="str">
        <f t="shared" si="515"/>
        <v/>
      </c>
      <c r="D10308" s="245" t="str">
        <f t="shared" si="514"/>
        <v/>
      </c>
      <c r="E10308" s="534"/>
      <c r="F10308" s="534"/>
    </row>
    <row r="10309" spans="1:6" ht="15" customHeight="1">
      <c r="A10309" s="51"/>
      <c r="B10309" s="52" t="str">
        <f t="shared" si="513"/>
        <v/>
      </c>
      <c r="C10309" t="str">
        <f t="shared" si="515"/>
        <v/>
      </c>
      <c r="D10309" s="245" t="str">
        <f t="shared" si="514"/>
        <v/>
      </c>
      <c r="E10309" s="534"/>
      <c r="F10309" s="534"/>
    </row>
    <row r="10310" spans="1:6" ht="15" customHeight="1">
      <c r="A10310" s="51"/>
      <c r="B10310" s="52" t="str">
        <f t="shared" si="513"/>
        <v/>
      </c>
      <c r="C10310" t="str">
        <f t="shared" si="515"/>
        <v/>
      </c>
      <c r="D10310" s="245" t="str">
        <f t="shared" si="514"/>
        <v/>
      </c>
      <c r="E10310" s="534"/>
      <c r="F10310" s="534"/>
    </row>
    <row r="10311" spans="1:6" ht="15" customHeight="1">
      <c r="A10311" s="51"/>
      <c r="B10311" s="52" t="str">
        <f t="shared" si="513"/>
        <v/>
      </c>
      <c r="C10311" t="str">
        <f t="shared" si="515"/>
        <v/>
      </c>
      <c r="D10311" s="245" t="str">
        <f t="shared" si="514"/>
        <v/>
      </c>
      <c r="E10311" s="534"/>
      <c r="F10311" s="534"/>
    </row>
    <row r="10312" spans="1:6" ht="15" customHeight="1">
      <c r="A10312" s="51"/>
      <c r="B10312" s="52" t="str">
        <f t="shared" ref="B10312:B10375" si="516">IF(A10312="","",TEXT(A10312,"DDDD"))</f>
        <v/>
      </c>
      <c r="C10312" t="str">
        <f t="shared" si="515"/>
        <v/>
      </c>
      <c r="D10312" s="245" t="str">
        <f t="shared" si="514"/>
        <v/>
      </c>
      <c r="E10312" s="534"/>
      <c r="F10312" s="534"/>
    </row>
    <row r="10313" spans="1:6" ht="15" customHeight="1">
      <c r="A10313" s="51"/>
      <c r="B10313" s="52" t="str">
        <f t="shared" si="516"/>
        <v/>
      </c>
      <c r="C10313" t="str">
        <f t="shared" si="515"/>
        <v/>
      </c>
      <c r="D10313" s="245" t="str">
        <f t="shared" ref="D10313:D10376" si="517">IF(A10313&lt;&gt;"",PROPER(TEXT(A10313,"Mmmm")),"")</f>
        <v/>
      </c>
      <c r="E10313" s="534"/>
      <c r="F10313" s="534"/>
    </row>
    <row r="10314" spans="1:6" ht="15" customHeight="1">
      <c r="A10314" s="51"/>
      <c r="B10314" s="52" t="str">
        <f t="shared" si="516"/>
        <v/>
      </c>
      <c r="C10314" t="str">
        <f t="shared" si="515"/>
        <v/>
      </c>
      <c r="D10314" s="245" t="str">
        <f t="shared" si="517"/>
        <v/>
      </c>
      <c r="E10314" s="534"/>
      <c r="F10314" s="534"/>
    </row>
    <row r="10315" spans="1:6" ht="15" customHeight="1">
      <c r="A10315" s="51"/>
      <c r="B10315" s="52" t="str">
        <f t="shared" si="516"/>
        <v/>
      </c>
      <c r="C10315" t="str">
        <f t="shared" si="515"/>
        <v/>
      </c>
      <c r="D10315" s="245" t="str">
        <f t="shared" si="517"/>
        <v/>
      </c>
      <c r="E10315" s="534"/>
      <c r="F10315" s="534"/>
    </row>
    <row r="10316" spans="1:6" ht="15" customHeight="1">
      <c r="A10316" s="51"/>
      <c r="B10316" s="52" t="str">
        <f t="shared" si="516"/>
        <v/>
      </c>
      <c r="C10316" t="str">
        <f t="shared" si="515"/>
        <v/>
      </c>
      <c r="D10316" s="245" t="str">
        <f t="shared" si="517"/>
        <v/>
      </c>
      <c r="E10316" s="534"/>
      <c r="F10316" s="534"/>
    </row>
    <row r="10317" spans="1:6" ht="15" customHeight="1">
      <c r="A10317" s="51"/>
      <c r="B10317" s="52" t="str">
        <f t="shared" si="516"/>
        <v/>
      </c>
      <c r="C10317" t="str">
        <f t="shared" si="515"/>
        <v/>
      </c>
      <c r="D10317" s="245" t="str">
        <f t="shared" si="517"/>
        <v/>
      </c>
      <c r="E10317" s="534"/>
      <c r="F10317" s="534"/>
    </row>
    <row r="10318" spans="1:6" ht="15" customHeight="1">
      <c r="A10318" s="51"/>
      <c r="B10318" s="52" t="str">
        <f t="shared" si="516"/>
        <v/>
      </c>
      <c r="C10318" t="str">
        <f t="shared" si="515"/>
        <v/>
      </c>
      <c r="D10318" s="245" t="str">
        <f t="shared" si="517"/>
        <v/>
      </c>
      <c r="E10318" s="534"/>
      <c r="F10318" s="534"/>
    </row>
    <row r="10319" spans="1:6" ht="15" customHeight="1">
      <c r="A10319" s="51"/>
      <c r="B10319" s="52" t="str">
        <f t="shared" si="516"/>
        <v/>
      </c>
      <c r="C10319" t="str">
        <f t="shared" si="515"/>
        <v/>
      </c>
      <c r="D10319" s="245" t="str">
        <f t="shared" si="517"/>
        <v/>
      </c>
      <c r="E10319" s="534"/>
      <c r="F10319" s="534"/>
    </row>
    <row r="10320" spans="1:6" ht="15" customHeight="1">
      <c r="A10320" s="51"/>
      <c r="B10320" s="52" t="str">
        <f t="shared" si="516"/>
        <v/>
      </c>
      <c r="C10320" t="str">
        <f t="shared" si="515"/>
        <v/>
      </c>
      <c r="D10320" s="245" t="str">
        <f t="shared" si="517"/>
        <v/>
      </c>
      <c r="E10320" s="534"/>
      <c r="F10320" s="534"/>
    </row>
    <row r="10321" spans="1:6" ht="15" customHeight="1">
      <c r="A10321" s="51"/>
      <c r="B10321" s="52" t="str">
        <f t="shared" si="516"/>
        <v/>
      </c>
      <c r="C10321" t="str">
        <f t="shared" si="515"/>
        <v/>
      </c>
      <c r="D10321" s="245" t="str">
        <f t="shared" si="517"/>
        <v/>
      </c>
      <c r="E10321" s="534"/>
      <c r="F10321" s="534"/>
    </row>
    <row r="10322" spans="1:6" ht="15" customHeight="1">
      <c r="A10322" s="51"/>
      <c r="B10322" s="52" t="str">
        <f t="shared" si="516"/>
        <v/>
      </c>
      <c r="C10322" t="str">
        <f t="shared" si="515"/>
        <v/>
      </c>
      <c r="D10322" s="245" t="str">
        <f t="shared" si="517"/>
        <v/>
      </c>
      <c r="E10322" s="534"/>
      <c r="F10322" s="534"/>
    </row>
    <row r="10323" spans="1:6" ht="15" customHeight="1">
      <c r="A10323" s="51"/>
      <c r="B10323" s="52" t="str">
        <f t="shared" si="516"/>
        <v/>
      </c>
      <c r="C10323" t="str">
        <f t="shared" si="515"/>
        <v/>
      </c>
      <c r="D10323" s="245" t="str">
        <f t="shared" si="517"/>
        <v/>
      </c>
      <c r="E10323" s="534"/>
      <c r="F10323" s="534"/>
    </row>
    <row r="10324" spans="1:6" ht="15" customHeight="1">
      <c r="A10324" s="51"/>
      <c r="B10324" s="52" t="str">
        <f t="shared" si="516"/>
        <v/>
      </c>
      <c r="C10324" t="str">
        <f t="shared" si="515"/>
        <v/>
      </c>
      <c r="D10324" s="245" t="str">
        <f t="shared" si="517"/>
        <v/>
      </c>
      <c r="E10324" s="534"/>
      <c r="F10324" s="534"/>
    </row>
    <row r="10325" spans="1:6" ht="15" customHeight="1">
      <c r="A10325" s="51"/>
      <c r="B10325" s="52" t="str">
        <f t="shared" si="516"/>
        <v/>
      </c>
      <c r="C10325" t="str">
        <f t="shared" si="515"/>
        <v/>
      </c>
      <c r="D10325" s="245" t="str">
        <f t="shared" si="517"/>
        <v/>
      </c>
      <c r="E10325" s="534"/>
      <c r="F10325" s="534"/>
    </row>
    <row r="10326" spans="1:6" ht="15" customHeight="1">
      <c r="A10326" s="51"/>
      <c r="B10326" s="52" t="str">
        <f t="shared" si="516"/>
        <v/>
      </c>
      <c r="C10326" t="str">
        <f t="shared" si="515"/>
        <v/>
      </c>
      <c r="D10326" s="245" t="str">
        <f t="shared" si="517"/>
        <v/>
      </c>
      <c r="E10326" s="534"/>
      <c r="F10326" s="534"/>
    </row>
    <row r="10327" spans="1:6" ht="15" customHeight="1">
      <c r="A10327" s="51"/>
      <c r="B10327" s="52" t="str">
        <f t="shared" si="516"/>
        <v/>
      </c>
      <c r="C10327" t="str">
        <f t="shared" si="515"/>
        <v/>
      </c>
      <c r="D10327" s="245" t="str">
        <f t="shared" si="517"/>
        <v/>
      </c>
      <c r="E10327" s="534"/>
      <c r="F10327" s="534"/>
    </row>
    <row r="10328" spans="1:6" ht="15" customHeight="1">
      <c r="A10328" s="51"/>
      <c r="B10328" s="52" t="str">
        <f t="shared" si="516"/>
        <v/>
      </c>
      <c r="C10328" t="str">
        <f t="shared" si="515"/>
        <v/>
      </c>
      <c r="D10328" s="245" t="str">
        <f t="shared" si="517"/>
        <v/>
      </c>
      <c r="E10328" s="534"/>
      <c r="F10328" s="534"/>
    </row>
    <row r="10329" spans="1:6" ht="15" customHeight="1">
      <c r="A10329" s="51"/>
      <c r="B10329" s="52" t="str">
        <f t="shared" si="516"/>
        <v/>
      </c>
      <c r="C10329" t="str">
        <f t="shared" si="515"/>
        <v/>
      </c>
      <c r="D10329" s="245" t="str">
        <f t="shared" si="517"/>
        <v/>
      </c>
      <c r="E10329" s="534"/>
      <c r="F10329" s="534"/>
    </row>
    <row r="10330" spans="1:6" ht="15" customHeight="1">
      <c r="A10330" s="51"/>
      <c r="B10330" s="52" t="str">
        <f t="shared" si="516"/>
        <v/>
      </c>
      <c r="C10330" t="str">
        <f t="shared" si="515"/>
        <v/>
      </c>
      <c r="D10330" s="245" t="str">
        <f t="shared" si="517"/>
        <v/>
      </c>
      <c r="E10330" s="534"/>
      <c r="F10330" s="534"/>
    </row>
    <row r="10331" spans="1:6" ht="15" customHeight="1">
      <c r="A10331" s="51"/>
      <c r="B10331" s="52" t="str">
        <f t="shared" si="516"/>
        <v/>
      </c>
      <c r="C10331" t="str">
        <f t="shared" si="515"/>
        <v/>
      </c>
      <c r="D10331" s="245" t="str">
        <f t="shared" si="517"/>
        <v/>
      </c>
      <c r="E10331" s="534"/>
      <c r="F10331" s="534"/>
    </row>
    <row r="10332" spans="1:6" ht="15" customHeight="1">
      <c r="A10332" s="51"/>
      <c r="B10332" s="52" t="str">
        <f t="shared" si="516"/>
        <v/>
      </c>
      <c r="C10332" t="str">
        <f t="shared" si="515"/>
        <v/>
      </c>
      <c r="D10332" s="245" t="str">
        <f t="shared" si="517"/>
        <v/>
      </c>
      <c r="E10332" s="534"/>
      <c r="F10332" s="534"/>
    </row>
    <row r="10333" spans="1:6" ht="15" customHeight="1">
      <c r="A10333" s="51"/>
      <c r="B10333" s="52" t="str">
        <f t="shared" si="516"/>
        <v/>
      </c>
      <c r="C10333" t="str">
        <f t="shared" si="515"/>
        <v/>
      </c>
      <c r="D10333" s="245" t="str">
        <f t="shared" si="517"/>
        <v/>
      </c>
      <c r="E10333" s="534"/>
      <c r="F10333" s="534"/>
    </row>
    <row r="10334" spans="1:6" ht="15" customHeight="1">
      <c r="A10334" s="51"/>
      <c r="B10334" s="52" t="str">
        <f t="shared" si="516"/>
        <v/>
      </c>
      <c r="C10334" t="str">
        <f t="shared" si="515"/>
        <v/>
      </c>
      <c r="D10334" s="245" t="str">
        <f t="shared" si="517"/>
        <v/>
      </c>
      <c r="E10334" s="534"/>
      <c r="F10334" s="534"/>
    </row>
    <row r="10335" spans="1:6" ht="15" customHeight="1">
      <c r="A10335" s="51"/>
      <c r="B10335" s="52" t="str">
        <f t="shared" si="516"/>
        <v/>
      </c>
      <c r="C10335" t="str">
        <f t="shared" si="515"/>
        <v/>
      </c>
      <c r="D10335" s="245" t="str">
        <f t="shared" si="517"/>
        <v/>
      </c>
      <c r="E10335" s="534"/>
      <c r="F10335" s="534"/>
    </row>
    <row r="10336" spans="1:6" ht="15" customHeight="1">
      <c r="A10336" s="51"/>
      <c r="B10336" s="52" t="str">
        <f t="shared" si="516"/>
        <v/>
      </c>
      <c r="C10336" t="str">
        <f t="shared" si="515"/>
        <v/>
      </c>
      <c r="D10336" s="245" t="str">
        <f t="shared" si="517"/>
        <v/>
      </c>
      <c r="E10336" s="534"/>
      <c r="F10336" s="534"/>
    </row>
    <row r="10337" spans="1:6" ht="15" customHeight="1">
      <c r="A10337" s="51"/>
      <c r="B10337" s="52" t="str">
        <f t="shared" si="516"/>
        <v/>
      </c>
      <c r="C10337" t="str">
        <f t="shared" si="515"/>
        <v/>
      </c>
      <c r="D10337" s="245" t="str">
        <f t="shared" si="517"/>
        <v/>
      </c>
      <c r="E10337" s="534"/>
      <c r="F10337" s="534"/>
    </row>
    <row r="10338" spans="1:6" ht="15" customHeight="1">
      <c r="A10338" s="51"/>
      <c r="B10338" s="52" t="str">
        <f t="shared" si="516"/>
        <v/>
      </c>
      <c r="C10338" t="str">
        <f t="shared" si="515"/>
        <v/>
      </c>
      <c r="D10338" s="245" t="str">
        <f t="shared" si="517"/>
        <v/>
      </c>
      <c r="E10338" s="534"/>
      <c r="F10338" s="534"/>
    </row>
    <row r="10339" spans="1:6" ht="15" customHeight="1">
      <c r="A10339" s="51"/>
      <c r="B10339" s="52" t="str">
        <f t="shared" si="516"/>
        <v/>
      </c>
      <c r="C10339" t="str">
        <f t="shared" si="515"/>
        <v/>
      </c>
      <c r="D10339" s="245" t="str">
        <f t="shared" si="517"/>
        <v/>
      </c>
      <c r="E10339" s="534"/>
      <c r="F10339" s="534"/>
    </row>
    <row r="10340" spans="1:6" ht="15" customHeight="1">
      <c r="A10340" s="51"/>
      <c r="B10340" s="52" t="str">
        <f t="shared" si="516"/>
        <v/>
      </c>
      <c r="C10340" t="str">
        <f t="shared" si="515"/>
        <v/>
      </c>
      <c r="D10340" s="245" t="str">
        <f t="shared" si="517"/>
        <v/>
      </c>
      <c r="E10340" s="534"/>
      <c r="F10340" s="534"/>
    </row>
    <row r="10341" spans="1:6" ht="15" customHeight="1">
      <c r="A10341" s="51"/>
      <c r="B10341" s="52" t="str">
        <f t="shared" si="516"/>
        <v/>
      </c>
      <c r="C10341" t="str">
        <f t="shared" si="515"/>
        <v/>
      </c>
      <c r="D10341" s="245" t="str">
        <f t="shared" si="517"/>
        <v/>
      </c>
      <c r="E10341" s="534"/>
      <c r="F10341" s="534"/>
    </row>
    <row r="10342" spans="1:6" ht="15" customHeight="1">
      <c r="A10342" s="51"/>
      <c r="B10342" s="52" t="str">
        <f t="shared" si="516"/>
        <v/>
      </c>
      <c r="C10342" t="str">
        <f t="shared" si="515"/>
        <v/>
      </c>
      <c r="D10342" s="245" t="str">
        <f t="shared" si="517"/>
        <v/>
      </c>
      <c r="E10342" s="534"/>
      <c r="F10342" s="534"/>
    </row>
    <row r="10343" spans="1:6" ht="15" customHeight="1">
      <c r="A10343" s="51"/>
      <c r="B10343" s="52" t="str">
        <f t="shared" si="516"/>
        <v/>
      </c>
      <c r="C10343" t="str">
        <f t="shared" si="515"/>
        <v/>
      </c>
      <c r="D10343" s="245" t="str">
        <f t="shared" si="517"/>
        <v/>
      </c>
      <c r="E10343" s="534"/>
      <c r="F10343" s="534"/>
    </row>
    <row r="10344" spans="1:6" ht="15" customHeight="1">
      <c r="A10344" s="51"/>
      <c r="B10344" s="52" t="str">
        <f t="shared" si="516"/>
        <v/>
      </c>
      <c r="C10344" t="str">
        <f t="shared" si="515"/>
        <v/>
      </c>
      <c r="D10344" s="245" t="str">
        <f t="shared" si="517"/>
        <v/>
      </c>
      <c r="E10344" s="534"/>
      <c r="F10344" s="534"/>
    </row>
    <row r="10345" spans="1:6" ht="15" customHeight="1">
      <c r="A10345" s="51"/>
      <c r="B10345" s="52" t="str">
        <f t="shared" si="516"/>
        <v/>
      </c>
      <c r="C10345" t="str">
        <f t="shared" si="515"/>
        <v/>
      </c>
      <c r="D10345" s="245" t="str">
        <f t="shared" si="517"/>
        <v/>
      </c>
      <c r="E10345" s="534"/>
      <c r="F10345" s="534"/>
    </row>
    <row r="10346" spans="1:6" ht="15" customHeight="1">
      <c r="A10346" s="51"/>
      <c r="B10346" s="52" t="str">
        <f t="shared" si="516"/>
        <v/>
      </c>
      <c r="C10346" t="str">
        <f t="shared" si="515"/>
        <v/>
      </c>
      <c r="D10346" s="245" t="str">
        <f t="shared" si="517"/>
        <v/>
      </c>
      <c r="E10346" s="534"/>
      <c r="F10346" s="534"/>
    </row>
    <row r="10347" spans="1:6" ht="15" customHeight="1">
      <c r="A10347" s="51"/>
      <c r="B10347" s="52" t="str">
        <f t="shared" si="516"/>
        <v/>
      </c>
      <c r="C10347" t="str">
        <f t="shared" si="515"/>
        <v/>
      </c>
      <c r="D10347" s="245" t="str">
        <f t="shared" si="517"/>
        <v/>
      </c>
      <c r="E10347" s="534"/>
      <c r="F10347" s="534"/>
    </row>
    <row r="10348" spans="1:6" ht="15" customHeight="1">
      <c r="A10348" s="51"/>
      <c r="B10348" s="52" t="str">
        <f t="shared" si="516"/>
        <v/>
      </c>
      <c r="C10348" t="str">
        <f t="shared" si="515"/>
        <v/>
      </c>
      <c r="D10348" s="245" t="str">
        <f t="shared" si="517"/>
        <v/>
      </c>
      <c r="E10348" s="534"/>
      <c r="F10348" s="534"/>
    </row>
    <row r="10349" spans="1:6" ht="15" customHeight="1">
      <c r="A10349" s="51"/>
      <c r="B10349" s="52" t="str">
        <f t="shared" si="516"/>
        <v/>
      </c>
      <c r="C10349" t="str">
        <f t="shared" si="515"/>
        <v/>
      </c>
      <c r="D10349" s="245" t="str">
        <f t="shared" si="517"/>
        <v/>
      </c>
      <c r="E10349" s="534"/>
      <c r="F10349" s="534"/>
    </row>
    <row r="10350" spans="1:6" ht="15" customHeight="1">
      <c r="A10350" s="51"/>
      <c r="B10350" s="52" t="str">
        <f t="shared" si="516"/>
        <v/>
      </c>
      <c r="C10350" t="str">
        <f t="shared" si="515"/>
        <v/>
      </c>
      <c r="D10350" s="245" t="str">
        <f t="shared" si="517"/>
        <v/>
      </c>
      <c r="E10350" s="534"/>
      <c r="F10350" s="534"/>
    </row>
    <row r="10351" spans="1:6" ht="15" customHeight="1">
      <c r="A10351" s="51"/>
      <c r="B10351" s="52" t="str">
        <f t="shared" si="516"/>
        <v/>
      </c>
      <c r="C10351" t="str">
        <f t="shared" si="515"/>
        <v/>
      </c>
      <c r="D10351" s="245" t="str">
        <f t="shared" si="517"/>
        <v/>
      </c>
      <c r="E10351" s="534"/>
      <c r="F10351" s="534"/>
    </row>
    <row r="10352" spans="1:6" ht="15" customHeight="1">
      <c r="A10352" s="51"/>
      <c r="B10352" s="52" t="str">
        <f t="shared" si="516"/>
        <v/>
      </c>
      <c r="C10352" t="str">
        <f t="shared" si="515"/>
        <v/>
      </c>
      <c r="D10352" s="245" t="str">
        <f t="shared" si="517"/>
        <v/>
      </c>
      <c r="E10352" s="534"/>
      <c r="F10352" s="534"/>
    </row>
    <row r="10353" spans="1:6" ht="15" customHeight="1">
      <c r="A10353" s="51"/>
      <c r="B10353" s="52" t="str">
        <f t="shared" si="516"/>
        <v/>
      </c>
      <c r="C10353" t="str">
        <f t="shared" si="515"/>
        <v/>
      </c>
      <c r="D10353" s="245" t="str">
        <f t="shared" si="517"/>
        <v/>
      </c>
      <c r="E10353" s="534"/>
      <c r="F10353" s="534"/>
    </row>
    <row r="10354" spans="1:6" ht="15" customHeight="1">
      <c r="A10354" s="51"/>
      <c r="B10354" s="52" t="str">
        <f t="shared" si="516"/>
        <v/>
      </c>
      <c r="C10354" t="str">
        <f t="shared" si="515"/>
        <v/>
      </c>
      <c r="D10354" s="245" t="str">
        <f t="shared" si="517"/>
        <v/>
      </c>
      <c r="E10354" s="534"/>
      <c r="F10354" s="534"/>
    </row>
    <row r="10355" spans="1:6" ht="15" customHeight="1">
      <c r="A10355" s="51"/>
      <c r="B10355" s="52" t="str">
        <f t="shared" si="516"/>
        <v/>
      </c>
      <c r="C10355" t="str">
        <f t="shared" si="515"/>
        <v/>
      </c>
      <c r="D10355" s="245" t="str">
        <f t="shared" si="517"/>
        <v/>
      </c>
      <c r="E10355" s="534"/>
      <c r="F10355" s="534"/>
    </row>
    <row r="10356" spans="1:6" ht="15" customHeight="1">
      <c r="A10356" s="51"/>
      <c r="B10356" s="52" t="str">
        <f t="shared" si="516"/>
        <v/>
      </c>
      <c r="C10356" t="str">
        <f t="shared" si="515"/>
        <v/>
      </c>
      <c r="D10356" s="245" t="str">
        <f t="shared" si="517"/>
        <v/>
      </c>
      <c r="E10356" s="534"/>
      <c r="F10356" s="534"/>
    </row>
    <row r="10357" spans="1:6" ht="15" customHeight="1">
      <c r="A10357" s="51"/>
      <c r="B10357" s="52" t="str">
        <f t="shared" si="516"/>
        <v/>
      </c>
      <c r="C10357" t="str">
        <f t="shared" si="515"/>
        <v/>
      </c>
      <c r="D10357" s="245" t="str">
        <f t="shared" si="517"/>
        <v/>
      </c>
      <c r="E10357" s="534"/>
      <c r="F10357" s="534"/>
    </row>
    <row r="10358" spans="1:6" ht="15" customHeight="1">
      <c r="A10358" s="51"/>
      <c r="B10358" s="52" t="str">
        <f t="shared" si="516"/>
        <v/>
      </c>
      <c r="C10358" t="str">
        <f t="shared" si="515"/>
        <v/>
      </c>
      <c r="D10358" s="245" t="str">
        <f t="shared" si="517"/>
        <v/>
      </c>
      <c r="E10358" s="534"/>
      <c r="F10358" s="534"/>
    </row>
    <row r="10359" spans="1:6" ht="15" customHeight="1">
      <c r="A10359" s="51"/>
      <c r="B10359" s="52" t="str">
        <f t="shared" si="516"/>
        <v/>
      </c>
      <c r="C10359" t="str">
        <f t="shared" si="515"/>
        <v/>
      </c>
      <c r="D10359" s="245" t="str">
        <f t="shared" si="517"/>
        <v/>
      </c>
      <c r="E10359" s="534"/>
      <c r="F10359" s="534"/>
    </row>
    <row r="10360" spans="1:6" ht="15" customHeight="1">
      <c r="A10360" s="51"/>
      <c r="B10360" s="52" t="str">
        <f t="shared" si="516"/>
        <v/>
      </c>
      <c r="C10360" t="str">
        <f t="shared" si="515"/>
        <v/>
      </c>
      <c r="D10360" s="245" t="str">
        <f t="shared" si="517"/>
        <v/>
      </c>
      <c r="E10360" s="534"/>
      <c r="F10360" s="534"/>
    </row>
    <row r="10361" spans="1:6" ht="15" customHeight="1">
      <c r="A10361" s="51"/>
      <c r="B10361" s="52" t="str">
        <f t="shared" si="516"/>
        <v/>
      </c>
      <c r="C10361" t="str">
        <f t="shared" si="515"/>
        <v/>
      </c>
      <c r="D10361" s="245" t="str">
        <f t="shared" si="517"/>
        <v/>
      </c>
      <c r="E10361" s="534"/>
      <c r="F10361" s="534"/>
    </row>
    <row r="10362" spans="1:6" ht="15" customHeight="1">
      <c r="A10362" s="51"/>
      <c r="B10362" s="52" t="str">
        <f t="shared" si="516"/>
        <v/>
      </c>
      <c r="C10362" t="str">
        <f t="shared" si="515"/>
        <v/>
      </c>
      <c r="D10362" s="245" t="str">
        <f t="shared" si="517"/>
        <v/>
      </c>
      <c r="E10362" s="534"/>
      <c r="F10362" s="534"/>
    </row>
    <row r="10363" spans="1:6" ht="15" customHeight="1">
      <c r="A10363" s="51"/>
      <c r="B10363" s="52" t="str">
        <f t="shared" si="516"/>
        <v/>
      </c>
      <c r="C10363" t="str">
        <f t="shared" si="515"/>
        <v/>
      </c>
      <c r="D10363" s="245" t="str">
        <f t="shared" si="517"/>
        <v/>
      </c>
      <c r="E10363" s="534"/>
      <c r="F10363" s="534"/>
    </row>
    <row r="10364" spans="1:6" ht="15" customHeight="1">
      <c r="A10364" s="51"/>
      <c r="B10364" s="52" t="str">
        <f t="shared" si="516"/>
        <v/>
      </c>
      <c r="C10364" t="str">
        <f t="shared" si="515"/>
        <v/>
      </c>
      <c r="D10364" s="245" t="str">
        <f t="shared" si="517"/>
        <v/>
      </c>
      <c r="E10364" s="534"/>
      <c r="F10364" s="534"/>
    </row>
    <row r="10365" spans="1:6" ht="15" customHeight="1">
      <c r="A10365" s="51"/>
      <c r="B10365" s="52" t="str">
        <f t="shared" si="516"/>
        <v/>
      </c>
      <c r="C10365" t="str">
        <f t="shared" si="515"/>
        <v/>
      </c>
      <c r="D10365" s="245" t="str">
        <f t="shared" si="517"/>
        <v/>
      </c>
      <c r="E10365" s="534"/>
      <c r="F10365" s="534"/>
    </row>
    <row r="10366" spans="1:6" ht="15" customHeight="1">
      <c r="A10366" s="51"/>
      <c r="B10366" s="52" t="str">
        <f t="shared" si="516"/>
        <v/>
      </c>
      <c r="C10366" t="str">
        <f t="shared" si="515"/>
        <v/>
      </c>
      <c r="D10366" s="245" t="str">
        <f t="shared" si="517"/>
        <v/>
      </c>
      <c r="E10366" s="534"/>
      <c r="F10366" s="534"/>
    </row>
    <row r="10367" spans="1:6" ht="15" customHeight="1">
      <c r="A10367" s="51"/>
      <c r="B10367" s="52" t="str">
        <f t="shared" si="516"/>
        <v/>
      </c>
      <c r="C10367" t="str">
        <f t="shared" si="515"/>
        <v/>
      </c>
      <c r="D10367" s="245" t="str">
        <f t="shared" si="517"/>
        <v/>
      </c>
      <c r="E10367" s="534"/>
      <c r="F10367" s="534"/>
    </row>
    <row r="10368" spans="1:6" ht="15" customHeight="1">
      <c r="A10368" s="51"/>
      <c r="B10368" s="52" t="str">
        <f t="shared" si="516"/>
        <v/>
      </c>
      <c r="C10368" t="str">
        <f t="shared" si="515"/>
        <v/>
      </c>
      <c r="D10368" s="245" t="str">
        <f t="shared" si="517"/>
        <v/>
      </c>
      <c r="E10368" s="534"/>
      <c r="F10368" s="534"/>
    </row>
    <row r="10369" spans="1:6" ht="15" customHeight="1">
      <c r="A10369" s="51"/>
      <c r="B10369" s="52" t="str">
        <f t="shared" si="516"/>
        <v/>
      </c>
      <c r="C10369" t="str">
        <f t="shared" si="515"/>
        <v/>
      </c>
      <c r="D10369" s="245" t="str">
        <f t="shared" si="517"/>
        <v/>
      </c>
      <c r="E10369" s="534"/>
      <c r="F10369" s="534"/>
    </row>
    <row r="10370" spans="1:6" ht="15" customHeight="1">
      <c r="A10370" s="51"/>
      <c r="B10370" s="52" t="str">
        <f t="shared" si="516"/>
        <v/>
      </c>
      <c r="C10370" t="str">
        <f t="shared" ref="C10370:C10433" si="518">IF(A10370&lt;&gt;"",TEXT(A10370,"aaaa"),"")</f>
        <v/>
      </c>
      <c r="D10370" s="245" t="str">
        <f t="shared" si="517"/>
        <v/>
      </c>
      <c r="E10370" s="534"/>
      <c r="F10370" s="534"/>
    </row>
    <row r="10371" spans="1:6" ht="15" customHeight="1">
      <c r="A10371" s="51"/>
      <c r="B10371" s="52" t="str">
        <f t="shared" si="516"/>
        <v/>
      </c>
      <c r="C10371" t="str">
        <f t="shared" si="518"/>
        <v/>
      </c>
      <c r="D10371" s="245" t="str">
        <f t="shared" si="517"/>
        <v/>
      </c>
      <c r="E10371" s="534"/>
      <c r="F10371" s="534"/>
    </row>
    <row r="10372" spans="1:6" ht="15" customHeight="1">
      <c r="A10372" s="51"/>
      <c r="B10372" s="52" t="str">
        <f t="shared" si="516"/>
        <v/>
      </c>
      <c r="C10372" t="str">
        <f t="shared" si="518"/>
        <v/>
      </c>
      <c r="D10372" s="245" t="str">
        <f t="shared" si="517"/>
        <v/>
      </c>
      <c r="E10372" s="534"/>
      <c r="F10372" s="534"/>
    </row>
    <row r="10373" spans="1:6" ht="15" customHeight="1">
      <c r="A10373" s="51"/>
      <c r="B10373" s="52" t="str">
        <f t="shared" si="516"/>
        <v/>
      </c>
      <c r="C10373" t="str">
        <f t="shared" si="518"/>
        <v/>
      </c>
      <c r="D10373" s="245" t="str">
        <f t="shared" si="517"/>
        <v/>
      </c>
      <c r="E10373" s="534"/>
      <c r="F10373" s="534"/>
    </row>
    <row r="10374" spans="1:6" ht="15" customHeight="1">
      <c r="A10374" s="51"/>
      <c r="B10374" s="52" t="str">
        <f t="shared" si="516"/>
        <v/>
      </c>
      <c r="C10374" t="str">
        <f t="shared" si="518"/>
        <v/>
      </c>
      <c r="D10374" s="245" t="str">
        <f t="shared" si="517"/>
        <v/>
      </c>
      <c r="E10374" s="534"/>
      <c r="F10374" s="534"/>
    </row>
    <row r="10375" spans="1:6" ht="15" customHeight="1">
      <c r="A10375" s="51"/>
      <c r="B10375" s="52" t="str">
        <f t="shared" si="516"/>
        <v/>
      </c>
      <c r="C10375" t="str">
        <f t="shared" si="518"/>
        <v/>
      </c>
      <c r="D10375" s="245" t="str">
        <f t="shared" si="517"/>
        <v/>
      </c>
      <c r="E10375" s="534"/>
      <c r="F10375" s="534"/>
    </row>
    <row r="10376" spans="1:6" ht="15" customHeight="1">
      <c r="A10376" s="51"/>
      <c r="B10376" s="52" t="str">
        <f t="shared" ref="B10376:B10439" si="519">IF(A10376="","",TEXT(A10376,"DDDD"))</f>
        <v/>
      </c>
      <c r="C10376" t="str">
        <f t="shared" si="518"/>
        <v/>
      </c>
      <c r="D10376" s="245" t="str">
        <f t="shared" si="517"/>
        <v/>
      </c>
      <c r="E10376" s="534"/>
      <c r="F10376" s="534"/>
    </row>
    <row r="10377" spans="1:6" ht="15" customHeight="1">
      <c r="A10377" s="51"/>
      <c r="B10377" s="52" t="str">
        <f t="shared" si="519"/>
        <v/>
      </c>
      <c r="C10377" t="str">
        <f t="shared" si="518"/>
        <v/>
      </c>
      <c r="D10377" s="245" t="str">
        <f t="shared" ref="D10377:D10440" si="520">IF(A10377&lt;&gt;"",PROPER(TEXT(A10377,"Mmmm")),"")</f>
        <v/>
      </c>
      <c r="E10377" s="534"/>
      <c r="F10377" s="534"/>
    </row>
    <row r="10378" spans="1:6" ht="15" customHeight="1">
      <c r="A10378" s="51"/>
      <c r="B10378" s="52" t="str">
        <f t="shared" si="519"/>
        <v/>
      </c>
      <c r="C10378" t="str">
        <f t="shared" si="518"/>
        <v/>
      </c>
      <c r="D10378" s="245" t="str">
        <f t="shared" si="520"/>
        <v/>
      </c>
      <c r="E10378" s="534"/>
      <c r="F10378" s="534"/>
    </row>
    <row r="10379" spans="1:6" ht="15" customHeight="1">
      <c r="A10379" s="51"/>
      <c r="B10379" s="52" t="str">
        <f t="shared" si="519"/>
        <v/>
      </c>
      <c r="C10379" t="str">
        <f t="shared" si="518"/>
        <v/>
      </c>
      <c r="D10379" s="245" t="str">
        <f t="shared" si="520"/>
        <v/>
      </c>
      <c r="E10379" s="534"/>
      <c r="F10379" s="534"/>
    </row>
    <row r="10380" spans="1:6" ht="15" customHeight="1">
      <c r="A10380" s="51"/>
      <c r="B10380" s="52" t="str">
        <f t="shared" si="519"/>
        <v/>
      </c>
      <c r="C10380" t="str">
        <f t="shared" si="518"/>
        <v/>
      </c>
      <c r="D10380" s="245" t="str">
        <f t="shared" si="520"/>
        <v/>
      </c>
      <c r="E10380" s="534"/>
      <c r="F10380" s="534"/>
    </row>
    <row r="10381" spans="1:6" ht="15" customHeight="1">
      <c r="A10381" s="51"/>
      <c r="B10381" s="52" t="str">
        <f t="shared" si="519"/>
        <v/>
      </c>
      <c r="C10381" t="str">
        <f t="shared" si="518"/>
        <v/>
      </c>
      <c r="D10381" s="245" t="str">
        <f t="shared" si="520"/>
        <v/>
      </c>
      <c r="E10381" s="534"/>
      <c r="F10381" s="534"/>
    </row>
    <row r="10382" spans="1:6" ht="15" customHeight="1">
      <c r="A10382" s="51"/>
      <c r="B10382" s="52" t="str">
        <f t="shared" si="519"/>
        <v/>
      </c>
      <c r="C10382" t="str">
        <f t="shared" si="518"/>
        <v/>
      </c>
      <c r="D10382" s="245" t="str">
        <f t="shared" si="520"/>
        <v/>
      </c>
      <c r="E10382" s="534"/>
      <c r="F10382" s="534"/>
    </row>
    <row r="10383" spans="1:6" ht="15" customHeight="1">
      <c r="A10383" s="51"/>
      <c r="B10383" s="52" t="str">
        <f t="shared" si="519"/>
        <v/>
      </c>
      <c r="C10383" t="str">
        <f t="shared" si="518"/>
        <v/>
      </c>
      <c r="D10383" s="245" t="str">
        <f t="shared" si="520"/>
        <v/>
      </c>
      <c r="E10383" s="534"/>
      <c r="F10383" s="534"/>
    </row>
    <row r="10384" spans="1:6" ht="15" customHeight="1">
      <c r="A10384" s="51"/>
      <c r="B10384" s="52" t="str">
        <f t="shared" si="519"/>
        <v/>
      </c>
      <c r="C10384" t="str">
        <f t="shared" si="518"/>
        <v/>
      </c>
      <c r="D10384" s="245" t="str">
        <f t="shared" si="520"/>
        <v/>
      </c>
      <c r="E10384" s="534"/>
      <c r="F10384" s="534"/>
    </row>
    <row r="10385" spans="1:6" ht="15" customHeight="1">
      <c r="A10385" s="51"/>
      <c r="B10385" s="52" t="str">
        <f t="shared" si="519"/>
        <v/>
      </c>
      <c r="C10385" t="str">
        <f t="shared" si="518"/>
        <v/>
      </c>
      <c r="D10385" s="245" t="str">
        <f t="shared" si="520"/>
        <v/>
      </c>
      <c r="E10385" s="534"/>
      <c r="F10385" s="534"/>
    </row>
    <row r="10386" spans="1:6" ht="15" customHeight="1">
      <c r="A10386" s="51"/>
      <c r="B10386" s="52" t="str">
        <f t="shared" si="519"/>
        <v/>
      </c>
      <c r="C10386" t="str">
        <f t="shared" si="518"/>
        <v/>
      </c>
      <c r="D10386" s="245" t="str">
        <f t="shared" si="520"/>
        <v/>
      </c>
      <c r="E10386" s="534"/>
      <c r="F10386" s="534"/>
    </row>
    <row r="10387" spans="1:6" ht="15" customHeight="1">
      <c r="A10387" s="51"/>
      <c r="B10387" s="52" t="str">
        <f t="shared" si="519"/>
        <v/>
      </c>
      <c r="C10387" t="str">
        <f t="shared" si="518"/>
        <v/>
      </c>
      <c r="D10387" s="245" t="str">
        <f t="shared" si="520"/>
        <v/>
      </c>
      <c r="E10387" s="534"/>
      <c r="F10387" s="534"/>
    </row>
    <row r="10388" spans="1:6" ht="15" customHeight="1">
      <c r="A10388" s="51"/>
      <c r="B10388" s="52" t="str">
        <f t="shared" si="519"/>
        <v/>
      </c>
      <c r="C10388" t="str">
        <f t="shared" si="518"/>
        <v/>
      </c>
      <c r="D10388" s="245" t="str">
        <f t="shared" si="520"/>
        <v/>
      </c>
      <c r="E10388" s="534"/>
      <c r="F10388" s="534"/>
    </row>
    <row r="10389" spans="1:6" ht="15" customHeight="1">
      <c r="A10389" s="51"/>
      <c r="B10389" s="52" t="str">
        <f t="shared" si="519"/>
        <v/>
      </c>
      <c r="C10389" t="str">
        <f t="shared" si="518"/>
        <v/>
      </c>
      <c r="D10389" s="245" t="str">
        <f t="shared" si="520"/>
        <v/>
      </c>
      <c r="E10389" s="534"/>
      <c r="F10389" s="534"/>
    </row>
    <row r="10390" spans="1:6" ht="15" customHeight="1">
      <c r="A10390" s="51"/>
      <c r="B10390" s="52" t="str">
        <f t="shared" si="519"/>
        <v/>
      </c>
      <c r="C10390" t="str">
        <f t="shared" si="518"/>
        <v/>
      </c>
      <c r="D10390" s="245" t="str">
        <f t="shared" si="520"/>
        <v/>
      </c>
      <c r="E10390" s="534"/>
      <c r="F10390" s="534"/>
    </row>
    <row r="10391" spans="1:6" ht="15" customHeight="1">
      <c r="A10391" s="51"/>
      <c r="B10391" s="52" t="str">
        <f t="shared" si="519"/>
        <v/>
      </c>
      <c r="C10391" t="str">
        <f t="shared" si="518"/>
        <v/>
      </c>
      <c r="D10391" s="245" t="str">
        <f t="shared" si="520"/>
        <v/>
      </c>
      <c r="E10391" s="534"/>
      <c r="F10391" s="534"/>
    </row>
    <row r="10392" spans="1:6" ht="15" customHeight="1">
      <c r="A10392" s="51"/>
      <c r="B10392" s="52" t="str">
        <f t="shared" si="519"/>
        <v/>
      </c>
      <c r="C10392" t="str">
        <f t="shared" si="518"/>
        <v/>
      </c>
      <c r="D10392" s="245" t="str">
        <f t="shared" si="520"/>
        <v/>
      </c>
      <c r="E10392" s="534"/>
      <c r="F10392" s="534"/>
    </row>
    <row r="10393" spans="1:6" ht="15" customHeight="1">
      <c r="A10393" s="51"/>
      <c r="B10393" s="52" t="str">
        <f t="shared" si="519"/>
        <v/>
      </c>
      <c r="C10393" t="str">
        <f t="shared" si="518"/>
        <v/>
      </c>
      <c r="D10393" s="245" t="str">
        <f t="shared" si="520"/>
        <v/>
      </c>
      <c r="E10393" s="534"/>
      <c r="F10393" s="534"/>
    </row>
    <row r="10394" spans="1:6" ht="15" customHeight="1">
      <c r="A10394" s="51"/>
      <c r="B10394" s="52" t="str">
        <f t="shared" si="519"/>
        <v/>
      </c>
      <c r="C10394" t="str">
        <f t="shared" si="518"/>
        <v/>
      </c>
      <c r="D10394" s="245" t="str">
        <f t="shared" si="520"/>
        <v/>
      </c>
      <c r="E10394" s="534"/>
      <c r="F10394" s="534"/>
    </row>
    <row r="10395" spans="1:6" ht="15" customHeight="1">
      <c r="A10395" s="51"/>
      <c r="B10395" s="52" t="str">
        <f t="shared" si="519"/>
        <v/>
      </c>
      <c r="C10395" t="str">
        <f t="shared" si="518"/>
        <v/>
      </c>
      <c r="D10395" s="245" t="str">
        <f t="shared" si="520"/>
        <v/>
      </c>
      <c r="E10395" s="534"/>
      <c r="F10395" s="534"/>
    </row>
    <row r="10396" spans="1:6" ht="15" customHeight="1">
      <c r="A10396" s="51"/>
      <c r="B10396" s="52" t="str">
        <f t="shared" si="519"/>
        <v/>
      </c>
      <c r="C10396" t="str">
        <f t="shared" si="518"/>
        <v/>
      </c>
      <c r="D10396" s="245" t="str">
        <f t="shared" si="520"/>
        <v/>
      </c>
      <c r="E10396" s="534"/>
      <c r="F10396" s="534"/>
    </row>
    <row r="10397" spans="1:6" ht="15" customHeight="1">
      <c r="A10397" s="51"/>
      <c r="B10397" s="52" t="str">
        <f t="shared" si="519"/>
        <v/>
      </c>
      <c r="C10397" t="str">
        <f t="shared" si="518"/>
        <v/>
      </c>
      <c r="D10397" s="245" t="str">
        <f t="shared" si="520"/>
        <v/>
      </c>
      <c r="E10397" s="534"/>
      <c r="F10397" s="534"/>
    </row>
    <row r="10398" spans="1:6" ht="15" customHeight="1">
      <c r="A10398" s="51"/>
      <c r="B10398" s="52" t="str">
        <f t="shared" si="519"/>
        <v/>
      </c>
      <c r="C10398" t="str">
        <f t="shared" si="518"/>
        <v/>
      </c>
      <c r="D10398" s="245" t="str">
        <f t="shared" si="520"/>
        <v/>
      </c>
      <c r="E10398" s="534"/>
      <c r="F10398" s="534"/>
    </row>
    <row r="10399" spans="1:6" ht="15" customHeight="1">
      <c r="A10399" s="51"/>
      <c r="B10399" s="52" t="str">
        <f t="shared" si="519"/>
        <v/>
      </c>
      <c r="C10399" t="str">
        <f t="shared" si="518"/>
        <v/>
      </c>
      <c r="D10399" s="245" t="str">
        <f t="shared" si="520"/>
        <v/>
      </c>
      <c r="E10399" s="534"/>
      <c r="F10399" s="534"/>
    </row>
    <row r="10400" spans="1:6" ht="15" customHeight="1">
      <c r="A10400" s="51"/>
      <c r="B10400" s="52" t="str">
        <f t="shared" si="519"/>
        <v/>
      </c>
      <c r="C10400" t="str">
        <f t="shared" si="518"/>
        <v/>
      </c>
      <c r="D10400" s="245" t="str">
        <f t="shared" si="520"/>
        <v/>
      </c>
      <c r="E10400" s="534"/>
      <c r="F10400" s="534"/>
    </row>
    <row r="10401" spans="1:6" ht="15" customHeight="1">
      <c r="A10401" s="51"/>
      <c r="B10401" s="52" t="str">
        <f t="shared" si="519"/>
        <v/>
      </c>
      <c r="C10401" t="str">
        <f t="shared" si="518"/>
        <v/>
      </c>
      <c r="D10401" s="245" t="str">
        <f t="shared" si="520"/>
        <v/>
      </c>
      <c r="E10401" s="534"/>
      <c r="F10401" s="534"/>
    </row>
    <row r="10402" spans="1:6" ht="15" customHeight="1">
      <c r="A10402" s="51"/>
      <c r="B10402" s="52" t="str">
        <f t="shared" si="519"/>
        <v/>
      </c>
      <c r="C10402" t="str">
        <f t="shared" si="518"/>
        <v/>
      </c>
      <c r="D10402" s="245" t="str">
        <f t="shared" si="520"/>
        <v/>
      </c>
      <c r="E10402" s="534"/>
      <c r="F10402" s="534"/>
    </row>
    <row r="10403" spans="1:6" ht="15" customHeight="1">
      <c r="A10403" s="51"/>
      <c r="B10403" s="52" t="str">
        <f t="shared" si="519"/>
        <v/>
      </c>
      <c r="C10403" t="str">
        <f t="shared" si="518"/>
        <v/>
      </c>
      <c r="D10403" s="245" t="str">
        <f t="shared" si="520"/>
        <v/>
      </c>
      <c r="E10403" s="534"/>
      <c r="F10403" s="534"/>
    </row>
    <row r="10404" spans="1:6" ht="15" customHeight="1">
      <c r="A10404" s="51"/>
      <c r="B10404" s="52" t="str">
        <f t="shared" si="519"/>
        <v/>
      </c>
      <c r="C10404" t="str">
        <f t="shared" si="518"/>
        <v/>
      </c>
      <c r="D10404" s="245" t="str">
        <f t="shared" si="520"/>
        <v/>
      </c>
      <c r="E10404" s="534"/>
      <c r="F10404" s="534"/>
    </row>
    <row r="10405" spans="1:6" ht="15" customHeight="1">
      <c r="A10405" s="51"/>
      <c r="B10405" s="52" t="str">
        <f t="shared" si="519"/>
        <v/>
      </c>
      <c r="C10405" t="str">
        <f t="shared" si="518"/>
        <v/>
      </c>
      <c r="D10405" s="245" t="str">
        <f t="shared" si="520"/>
        <v/>
      </c>
      <c r="E10405" s="534"/>
      <c r="F10405" s="534"/>
    </row>
    <row r="10406" spans="1:6" ht="15" customHeight="1">
      <c r="A10406" s="51"/>
      <c r="B10406" s="52" t="str">
        <f t="shared" si="519"/>
        <v/>
      </c>
      <c r="C10406" t="str">
        <f t="shared" si="518"/>
        <v/>
      </c>
      <c r="D10406" s="245" t="str">
        <f t="shared" si="520"/>
        <v/>
      </c>
      <c r="E10406" s="534"/>
      <c r="F10406" s="534"/>
    </row>
    <row r="10407" spans="1:6" ht="15" customHeight="1">
      <c r="A10407" s="51"/>
      <c r="B10407" s="52" t="str">
        <f t="shared" si="519"/>
        <v/>
      </c>
      <c r="C10407" t="str">
        <f t="shared" si="518"/>
        <v/>
      </c>
      <c r="D10407" s="245" t="str">
        <f t="shared" si="520"/>
        <v/>
      </c>
      <c r="E10407" s="534"/>
      <c r="F10407" s="534"/>
    </row>
    <row r="10408" spans="1:6" ht="15" customHeight="1">
      <c r="A10408" s="51"/>
      <c r="B10408" s="52" t="str">
        <f t="shared" si="519"/>
        <v/>
      </c>
      <c r="C10408" t="str">
        <f t="shared" si="518"/>
        <v/>
      </c>
      <c r="D10408" s="245" t="str">
        <f t="shared" si="520"/>
        <v/>
      </c>
      <c r="E10408" s="534"/>
      <c r="F10408" s="534"/>
    </row>
    <row r="10409" spans="1:6" ht="15" customHeight="1">
      <c r="A10409" s="51"/>
      <c r="B10409" s="52" t="str">
        <f t="shared" si="519"/>
        <v/>
      </c>
      <c r="C10409" t="str">
        <f t="shared" si="518"/>
        <v/>
      </c>
      <c r="D10409" s="245" t="str">
        <f t="shared" si="520"/>
        <v/>
      </c>
      <c r="E10409" s="534"/>
      <c r="F10409" s="534"/>
    </row>
    <row r="10410" spans="1:6" ht="15" customHeight="1">
      <c r="A10410" s="51"/>
      <c r="B10410" s="52" t="str">
        <f t="shared" si="519"/>
        <v/>
      </c>
      <c r="C10410" t="str">
        <f t="shared" si="518"/>
        <v/>
      </c>
      <c r="D10410" s="245" t="str">
        <f t="shared" si="520"/>
        <v/>
      </c>
      <c r="E10410" s="534"/>
      <c r="F10410" s="534"/>
    </row>
    <row r="10411" spans="1:6" ht="15" customHeight="1">
      <c r="A10411" s="51"/>
      <c r="B10411" s="52" t="str">
        <f t="shared" si="519"/>
        <v/>
      </c>
      <c r="C10411" t="str">
        <f t="shared" si="518"/>
        <v/>
      </c>
      <c r="D10411" s="245" t="str">
        <f t="shared" si="520"/>
        <v/>
      </c>
      <c r="E10411" s="534"/>
      <c r="F10411" s="534"/>
    </row>
    <row r="10412" spans="1:6" ht="15" customHeight="1">
      <c r="A10412" s="51"/>
      <c r="B10412" s="52" t="str">
        <f t="shared" si="519"/>
        <v/>
      </c>
      <c r="C10412" t="str">
        <f t="shared" si="518"/>
        <v/>
      </c>
      <c r="D10412" s="245" t="str">
        <f t="shared" si="520"/>
        <v/>
      </c>
      <c r="E10412" s="534"/>
      <c r="F10412" s="534"/>
    </row>
    <row r="10413" spans="1:6" ht="15" customHeight="1">
      <c r="A10413" s="51"/>
      <c r="B10413" s="52" t="str">
        <f t="shared" si="519"/>
        <v/>
      </c>
      <c r="C10413" t="str">
        <f t="shared" si="518"/>
        <v/>
      </c>
      <c r="D10413" s="245" t="str">
        <f t="shared" si="520"/>
        <v/>
      </c>
      <c r="E10413" s="534"/>
      <c r="F10413" s="534"/>
    </row>
    <row r="10414" spans="1:6" ht="15" customHeight="1">
      <c r="A10414" s="51"/>
      <c r="B10414" s="52" t="str">
        <f t="shared" si="519"/>
        <v/>
      </c>
      <c r="C10414" t="str">
        <f t="shared" si="518"/>
        <v/>
      </c>
      <c r="D10414" s="245" t="str">
        <f t="shared" si="520"/>
        <v/>
      </c>
      <c r="E10414" s="534"/>
      <c r="F10414" s="534"/>
    </row>
    <row r="10415" spans="1:6" ht="15" customHeight="1">
      <c r="A10415" s="51"/>
      <c r="B10415" s="52" t="str">
        <f t="shared" si="519"/>
        <v/>
      </c>
      <c r="C10415" t="str">
        <f t="shared" si="518"/>
        <v/>
      </c>
      <c r="D10415" s="245" t="str">
        <f t="shared" si="520"/>
        <v/>
      </c>
      <c r="E10415" s="534"/>
      <c r="F10415" s="534"/>
    </row>
    <row r="10416" spans="1:6" ht="15" customHeight="1">
      <c r="A10416" s="51"/>
      <c r="B10416" s="52" t="str">
        <f t="shared" si="519"/>
        <v/>
      </c>
      <c r="C10416" t="str">
        <f t="shared" si="518"/>
        <v/>
      </c>
      <c r="D10416" s="245" t="str">
        <f t="shared" si="520"/>
        <v/>
      </c>
      <c r="E10416" s="534"/>
      <c r="F10416" s="534"/>
    </row>
    <row r="10417" spans="1:6" ht="15" customHeight="1">
      <c r="A10417" s="51"/>
      <c r="B10417" s="52" t="str">
        <f t="shared" si="519"/>
        <v/>
      </c>
      <c r="C10417" t="str">
        <f t="shared" si="518"/>
        <v/>
      </c>
      <c r="D10417" s="245" t="str">
        <f t="shared" si="520"/>
        <v/>
      </c>
      <c r="E10417" s="534"/>
      <c r="F10417" s="534"/>
    </row>
    <row r="10418" spans="1:6" ht="15" customHeight="1">
      <c r="A10418" s="51"/>
      <c r="B10418" s="52" t="str">
        <f t="shared" si="519"/>
        <v/>
      </c>
      <c r="C10418" t="str">
        <f t="shared" si="518"/>
        <v/>
      </c>
      <c r="D10418" s="245" t="str">
        <f t="shared" si="520"/>
        <v/>
      </c>
      <c r="E10418" s="534"/>
      <c r="F10418" s="534"/>
    </row>
    <row r="10419" spans="1:6" ht="15" customHeight="1">
      <c r="A10419" s="51"/>
      <c r="B10419" s="52" t="str">
        <f t="shared" si="519"/>
        <v/>
      </c>
      <c r="C10419" t="str">
        <f t="shared" si="518"/>
        <v/>
      </c>
      <c r="D10419" s="245" t="str">
        <f t="shared" si="520"/>
        <v/>
      </c>
      <c r="E10419" s="534"/>
      <c r="F10419" s="534"/>
    </row>
    <row r="10420" spans="1:6" ht="15" customHeight="1">
      <c r="A10420" s="51"/>
      <c r="B10420" s="52" t="str">
        <f t="shared" si="519"/>
        <v/>
      </c>
      <c r="C10420" t="str">
        <f t="shared" si="518"/>
        <v/>
      </c>
      <c r="D10420" s="245" t="str">
        <f t="shared" si="520"/>
        <v/>
      </c>
      <c r="E10420" s="534"/>
      <c r="F10420" s="534"/>
    </row>
    <row r="10421" spans="1:6" ht="15" customHeight="1">
      <c r="A10421" s="51"/>
      <c r="B10421" s="52" t="str">
        <f t="shared" si="519"/>
        <v/>
      </c>
      <c r="C10421" t="str">
        <f t="shared" si="518"/>
        <v/>
      </c>
      <c r="D10421" s="245" t="str">
        <f t="shared" si="520"/>
        <v/>
      </c>
      <c r="E10421" s="534"/>
      <c r="F10421" s="534"/>
    </row>
    <row r="10422" spans="1:6" ht="15" customHeight="1">
      <c r="A10422" s="51"/>
      <c r="B10422" s="52" t="str">
        <f t="shared" si="519"/>
        <v/>
      </c>
      <c r="C10422" t="str">
        <f t="shared" si="518"/>
        <v/>
      </c>
      <c r="D10422" s="245" t="str">
        <f t="shared" si="520"/>
        <v/>
      </c>
      <c r="E10422" s="534"/>
      <c r="F10422" s="534"/>
    </row>
    <row r="10423" spans="1:6" ht="15" customHeight="1">
      <c r="A10423" s="51"/>
      <c r="B10423" s="52" t="str">
        <f t="shared" si="519"/>
        <v/>
      </c>
      <c r="C10423" t="str">
        <f t="shared" si="518"/>
        <v/>
      </c>
      <c r="D10423" s="245" t="str">
        <f t="shared" si="520"/>
        <v/>
      </c>
      <c r="E10423" s="534"/>
      <c r="F10423" s="534"/>
    </row>
    <row r="10424" spans="1:6" ht="15" customHeight="1">
      <c r="A10424" s="51"/>
      <c r="B10424" s="52" t="str">
        <f t="shared" si="519"/>
        <v/>
      </c>
      <c r="C10424" t="str">
        <f t="shared" si="518"/>
        <v/>
      </c>
      <c r="D10424" s="245" t="str">
        <f t="shared" si="520"/>
        <v/>
      </c>
      <c r="E10424" s="534"/>
      <c r="F10424" s="534"/>
    </row>
    <row r="10425" spans="1:6" ht="15" customHeight="1">
      <c r="A10425" s="51"/>
      <c r="B10425" s="52" t="str">
        <f t="shared" si="519"/>
        <v/>
      </c>
      <c r="C10425" t="str">
        <f t="shared" si="518"/>
        <v/>
      </c>
      <c r="D10425" s="245" t="str">
        <f t="shared" si="520"/>
        <v/>
      </c>
      <c r="E10425" s="534"/>
      <c r="F10425" s="534"/>
    </row>
    <row r="10426" spans="1:6" ht="15" customHeight="1">
      <c r="A10426" s="51"/>
      <c r="B10426" s="52" t="str">
        <f t="shared" si="519"/>
        <v/>
      </c>
      <c r="C10426" t="str">
        <f t="shared" si="518"/>
        <v/>
      </c>
      <c r="D10426" s="245" t="str">
        <f t="shared" si="520"/>
        <v/>
      </c>
      <c r="E10426" s="534"/>
      <c r="F10426" s="534"/>
    </row>
    <row r="10427" spans="1:6" ht="15" customHeight="1">
      <c r="A10427" s="51"/>
      <c r="B10427" s="52" t="str">
        <f t="shared" si="519"/>
        <v/>
      </c>
      <c r="C10427" t="str">
        <f t="shared" si="518"/>
        <v/>
      </c>
      <c r="D10427" s="245" t="str">
        <f t="shared" si="520"/>
        <v/>
      </c>
      <c r="E10427" s="534"/>
      <c r="F10427" s="534"/>
    </row>
    <row r="10428" spans="1:6" ht="15" customHeight="1">
      <c r="A10428" s="51"/>
      <c r="B10428" s="52" t="str">
        <f t="shared" si="519"/>
        <v/>
      </c>
      <c r="C10428" t="str">
        <f t="shared" si="518"/>
        <v/>
      </c>
      <c r="D10428" s="245" t="str">
        <f t="shared" si="520"/>
        <v/>
      </c>
      <c r="E10428" s="534"/>
      <c r="F10428" s="534"/>
    </row>
    <row r="10429" spans="1:6" ht="15" customHeight="1">
      <c r="A10429" s="51"/>
      <c r="B10429" s="52" t="str">
        <f t="shared" si="519"/>
        <v/>
      </c>
      <c r="C10429" t="str">
        <f t="shared" si="518"/>
        <v/>
      </c>
      <c r="D10429" s="245" t="str">
        <f t="shared" si="520"/>
        <v/>
      </c>
      <c r="E10429" s="534"/>
      <c r="F10429" s="534"/>
    </row>
    <row r="10430" spans="1:6" ht="15" customHeight="1">
      <c r="A10430" s="51"/>
      <c r="B10430" s="52" t="str">
        <f t="shared" si="519"/>
        <v/>
      </c>
      <c r="C10430" t="str">
        <f t="shared" si="518"/>
        <v/>
      </c>
      <c r="D10430" s="245" t="str">
        <f t="shared" si="520"/>
        <v/>
      </c>
      <c r="E10430" s="534"/>
      <c r="F10430" s="534"/>
    </row>
    <row r="10431" spans="1:6" ht="15" customHeight="1">
      <c r="A10431" s="51"/>
      <c r="B10431" s="52" t="str">
        <f t="shared" si="519"/>
        <v/>
      </c>
      <c r="C10431" t="str">
        <f t="shared" si="518"/>
        <v/>
      </c>
      <c r="D10431" s="245" t="str">
        <f t="shared" si="520"/>
        <v/>
      </c>
      <c r="E10431" s="534"/>
      <c r="F10431" s="534"/>
    </row>
    <row r="10432" spans="1:6" ht="15" customHeight="1">
      <c r="A10432" s="51"/>
      <c r="B10432" s="52" t="str">
        <f t="shared" si="519"/>
        <v/>
      </c>
      <c r="C10432" t="str">
        <f t="shared" si="518"/>
        <v/>
      </c>
      <c r="D10432" s="245" t="str">
        <f t="shared" si="520"/>
        <v/>
      </c>
      <c r="E10432" s="534"/>
      <c r="F10432" s="534"/>
    </row>
    <row r="10433" spans="1:6" ht="15" customHeight="1">
      <c r="A10433" s="51"/>
      <c r="B10433" s="52" t="str">
        <f t="shared" si="519"/>
        <v/>
      </c>
      <c r="C10433" t="str">
        <f t="shared" si="518"/>
        <v/>
      </c>
      <c r="D10433" s="245" t="str">
        <f t="shared" si="520"/>
        <v/>
      </c>
      <c r="E10433" s="534"/>
      <c r="F10433" s="534"/>
    </row>
    <row r="10434" spans="1:6" ht="15" customHeight="1">
      <c r="A10434" s="51"/>
      <c r="B10434" s="52" t="str">
        <f t="shared" si="519"/>
        <v/>
      </c>
      <c r="C10434" t="str">
        <f t="shared" ref="C10434:C10497" si="521">IF(A10434&lt;&gt;"",TEXT(A10434,"aaaa"),"")</f>
        <v/>
      </c>
      <c r="D10434" s="245" t="str">
        <f t="shared" si="520"/>
        <v/>
      </c>
      <c r="E10434" s="534"/>
      <c r="F10434" s="534"/>
    </row>
    <row r="10435" spans="1:6" ht="15" customHeight="1">
      <c r="A10435" s="51"/>
      <c r="B10435" s="52" t="str">
        <f t="shared" si="519"/>
        <v/>
      </c>
      <c r="C10435" t="str">
        <f t="shared" si="521"/>
        <v/>
      </c>
      <c r="D10435" s="245" t="str">
        <f t="shared" si="520"/>
        <v/>
      </c>
      <c r="E10435" s="534"/>
      <c r="F10435" s="534"/>
    </row>
    <row r="10436" spans="1:6" ht="15" customHeight="1">
      <c r="A10436" s="51"/>
      <c r="B10436" s="52" t="str">
        <f t="shared" si="519"/>
        <v/>
      </c>
      <c r="C10436" t="str">
        <f t="shared" si="521"/>
        <v/>
      </c>
      <c r="D10436" s="245" t="str">
        <f t="shared" si="520"/>
        <v/>
      </c>
      <c r="E10436" s="534"/>
      <c r="F10436" s="534"/>
    </row>
    <row r="10437" spans="1:6" ht="15" customHeight="1">
      <c r="A10437" s="51"/>
      <c r="B10437" s="52" t="str">
        <f t="shared" si="519"/>
        <v/>
      </c>
      <c r="C10437" t="str">
        <f t="shared" si="521"/>
        <v/>
      </c>
      <c r="D10437" s="245" t="str">
        <f t="shared" si="520"/>
        <v/>
      </c>
      <c r="E10437" s="534"/>
      <c r="F10437" s="534"/>
    </row>
    <row r="10438" spans="1:6" ht="15" customHeight="1">
      <c r="A10438" s="51"/>
      <c r="B10438" s="52" t="str">
        <f t="shared" si="519"/>
        <v/>
      </c>
      <c r="C10438" t="str">
        <f t="shared" si="521"/>
        <v/>
      </c>
      <c r="D10438" s="245" t="str">
        <f t="shared" si="520"/>
        <v/>
      </c>
      <c r="E10438" s="534"/>
      <c r="F10438" s="534"/>
    </row>
    <row r="10439" spans="1:6" ht="15" customHeight="1">
      <c r="A10439" s="51"/>
      <c r="B10439" s="52" t="str">
        <f t="shared" si="519"/>
        <v/>
      </c>
      <c r="C10439" t="str">
        <f t="shared" si="521"/>
        <v/>
      </c>
      <c r="D10439" s="245" t="str">
        <f t="shared" si="520"/>
        <v/>
      </c>
      <c r="E10439" s="534"/>
      <c r="F10439" s="534"/>
    </row>
    <row r="10440" spans="1:6" ht="15" customHeight="1">
      <c r="A10440" s="51"/>
      <c r="B10440" s="52" t="str">
        <f t="shared" ref="B10440:B10503" si="522">IF(A10440="","",TEXT(A10440,"DDDD"))</f>
        <v/>
      </c>
      <c r="C10440" t="str">
        <f t="shared" si="521"/>
        <v/>
      </c>
      <c r="D10440" s="245" t="str">
        <f t="shared" si="520"/>
        <v/>
      </c>
      <c r="E10440" s="534"/>
      <c r="F10440" s="534"/>
    </row>
    <row r="10441" spans="1:6" ht="15" customHeight="1">
      <c r="A10441" s="51"/>
      <c r="B10441" s="52" t="str">
        <f t="shared" si="522"/>
        <v/>
      </c>
      <c r="C10441" t="str">
        <f t="shared" si="521"/>
        <v/>
      </c>
      <c r="D10441" s="245" t="str">
        <f t="shared" ref="D10441:D10504" si="523">IF(A10441&lt;&gt;"",PROPER(TEXT(A10441,"Mmmm")),"")</f>
        <v/>
      </c>
      <c r="E10441" s="534"/>
      <c r="F10441" s="534"/>
    </row>
    <row r="10442" spans="1:6" ht="15" customHeight="1">
      <c r="A10442" s="51"/>
      <c r="B10442" s="52" t="str">
        <f t="shared" si="522"/>
        <v/>
      </c>
      <c r="C10442" t="str">
        <f t="shared" si="521"/>
        <v/>
      </c>
      <c r="D10442" s="245" t="str">
        <f t="shared" si="523"/>
        <v/>
      </c>
      <c r="E10442" s="534"/>
      <c r="F10442" s="534"/>
    </row>
    <row r="10443" spans="1:6" ht="15" customHeight="1">
      <c r="A10443" s="51"/>
      <c r="B10443" s="52" t="str">
        <f t="shared" si="522"/>
        <v/>
      </c>
      <c r="C10443" t="str">
        <f t="shared" si="521"/>
        <v/>
      </c>
      <c r="D10443" s="245" t="str">
        <f t="shared" si="523"/>
        <v/>
      </c>
      <c r="E10443" s="534"/>
      <c r="F10443" s="534"/>
    </row>
    <row r="10444" spans="1:6" ht="15" customHeight="1">
      <c r="A10444" s="51"/>
      <c r="B10444" s="52" t="str">
        <f t="shared" si="522"/>
        <v/>
      </c>
      <c r="C10444" t="str">
        <f t="shared" si="521"/>
        <v/>
      </c>
      <c r="D10444" s="245" t="str">
        <f t="shared" si="523"/>
        <v/>
      </c>
      <c r="E10444" s="534"/>
      <c r="F10444" s="534"/>
    </row>
    <row r="10445" spans="1:6" ht="15" customHeight="1">
      <c r="A10445" s="51"/>
      <c r="B10445" s="52" t="str">
        <f t="shared" si="522"/>
        <v/>
      </c>
      <c r="C10445" t="str">
        <f t="shared" si="521"/>
        <v/>
      </c>
      <c r="D10445" s="245" t="str">
        <f t="shared" si="523"/>
        <v/>
      </c>
      <c r="E10445" s="534"/>
      <c r="F10445" s="534"/>
    </row>
    <row r="10446" spans="1:6" ht="15" customHeight="1">
      <c r="A10446" s="51"/>
      <c r="B10446" s="52" t="str">
        <f t="shared" si="522"/>
        <v/>
      </c>
      <c r="C10446" t="str">
        <f t="shared" si="521"/>
        <v/>
      </c>
      <c r="D10446" s="245" t="str">
        <f t="shared" si="523"/>
        <v/>
      </c>
      <c r="E10446" s="534"/>
      <c r="F10446" s="534"/>
    </row>
    <row r="10447" spans="1:6" ht="15" customHeight="1">
      <c r="A10447" s="51"/>
      <c r="B10447" s="52" t="str">
        <f t="shared" si="522"/>
        <v/>
      </c>
      <c r="C10447" t="str">
        <f t="shared" si="521"/>
        <v/>
      </c>
      <c r="D10447" s="245" t="str">
        <f t="shared" si="523"/>
        <v/>
      </c>
      <c r="E10447" s="534"/>
      <c r="F10447" s="534"/>
    </row>
    <row r="10448" spans="1:6" ht="15" customHeight="1">
      <c r="A10448" s="51"/>
      <c r="B10448" s="52" t="str">
        <f t="shared" si="522"/>
        <v/>
      </c>
      <c r="C10448" t="str">
        <f t="shared" si="521"/>
        <v/>
      </c>
      <c r="D10448" s="245" t="str">
        <f t="shared" si="523"/>
        <v/>
      </c>
      <c r="E10448" s="534"/>
      <c r="F10448" s="534"/>
    </row>
    <row r="10449" spans="1:6" ht="15" customHeight="1">
      <c r="A10449" s="51"/>
      <c r="B10449" s="52" t="str">
        <f t="shared" si="522"/>
        <v/>
      </c>
      <c r="C10449" t="str">
        <f t="shared" si="521"/>
        <v/>
      </c>
      <c r="D10449" s="245" t="str">
        <f t="shared" si="523"/>
        <v/>
      </c>
      <c r="E10449" s="534"/>
      <c r="F10449" s="534"/>
    </row>
    <row r="10450" spans="1:6" ht="15" customHeight="1">
      <c r="A10450" s="51"/>
      <c r="B10450" s="52" t="str">
        <f t="shared" si="522"/>
        <v/>
      </c>
      <c r="C10450" t="str">
        <f t="shared" si="521"/>
        <v/>
      </c>
      <c r="D10450" s="245" t="str">
        <f t="shared" si="523"/>
        <v/>
      </c>
      <c r="E10450" s="534"/>
      <c r="F10450" s="534"/>
    </row>
    <row r="10451" spans="1:6" ht="15" customHeight="1">
      <c r="A10451" s="51"/>
      <c r="B10451" s="52" t="str">
        <f t="shared" si="522"/>
        <v/>
      </c>
      <c r="C10451" t="str">
        <f t="shared" si="521"/>
        <v/>
      </c>
      <c r="D10451" s="245" t="str">
        <f t="shared" si="523"/>
        <v/>
      </c>
      <c r="E10451" s="534"/>
      <c r="F10451" s="534"/>
    </row>
    <row r="10452" spans="1:6" ht="15" customHeight="1">
      <c r="A10452" s="51"/>
      <c r="B10452" s="52" t="str">
        <f t="shared" si="522"/>
        <v/>
      </c>
      <c r="C10452" t="str">
        <f t="shared" si="521"/>
        <v/>
      </c>
      <c r="D10452" s="245" t="str">
        <f t="shared" si="523"/>
        <v/>
      </c>
      <c r="E10452" s="534"/>
      <c r="F10452" s="534"/>
    </row>
    <row r="10453" spans="1:6" ht="15" customHeight="1">
      <c r="A10453" s="51"/>
      <c r="B10453" s="52" t="str">
        <f t="shared" si="522"/>
        <v/>
      </c>
      <c r="C10453" t="str">
        <f t="shared" si="521"/>
        <v/>
      </c>
      <c r="D10453" s="245" t="str">
        <f t="shared" si="523"/>
        <v/>
      </c>
      <c r="E10453" s="534"/>
      <c r="F10453" s="534"/>
    </row>
    <row r="10454" spans="1:6" ht="15" customHeight="1">
      <c r="A10454" s="51"/>
      <c r="B10454" s="52" t="str">
        <f t="shared" si="522"/>
        <v/>
      </c>
      <c r="C10454" t="str">
        <f t="shared" si="521"/>
        <v/>
      </c>
      <c r="D10454" s="245" t="str">
        <f t="shared" si="523"/>
        <v/>
      </c>
      <c r="E10454" s="534"/>
      <c r="F10454" s="534"/>
    </row>
    <row r="10455" spans="1:6" ht="15" customHeight="1">
      <c r="A10455" s="51"/>
      <c r="B10455" s="52" t="str">
        <f t="shared" si="522"/>
        <v/>
      </c>
      <c r="C10455" t="str">
        <f t="shared" si="521"/>
        <v/>
      </c>
      <c r="D10455" s="245" t="str">
        <f t="shared" si="523"/>
        <v/>
      </c>
      <c r="E10455" s="534"/>
      <c r="F10455" s="534"/>
    </row>
    <row r="10456" spans="1:6" ht="15" customHeight="1">
      <c r="A10456" s="51"/>
      <c r="B10456" s="52" t="str">
        <f t="shared" si="522"/>
        <v/>
      </c>
      <c r="C10456" t="str">
        <f t="shared" si="521"/>
        <v/>
      </c>
      <c r="D10456" s="245" t="str">
        <f t="shared" si="523"/>
        <v/>
      </c>
      <c r="E10456" s="534"/>
      <c r="F10456" s="534"/>
    </row>
    <row r="10457" spans="1:6" ht="15" customHeight="1">
      <c r="A10457" s="51"/>
      <c r="B10457" s="52" t="str">
        <f t="shared" si="522"/>
        <v/>
      </c>
      <c r="C10457" t="str">
        <f t="shared" si="521"/>
        <v/>
      </c>
      <c r="D10457" s="245" t="str">
        <f t="shared" si="523"/>
        <v/>
      </c>
      <c r="E10457" s="534"/>
      <c r="F10457" s="534"/>
    </row>
    <row r="10458" spans="1:6" ht="15" customHeight="1">
      <c r="A10458" s="51"/>
      <c r="B10458" s="52" t="str">
        <f t="shared" si="522"/>
        <v/>
      </c>
      <c r="C10458" t="str">
        <f t="shared" si="521"/>
        <v/>
      </c>
      <c r="D10458" s="245" t="str">
        <f t="shared" si="523"/>
        <v/>
      </c>
      <c r="E10458" s="534"/>
      <c r="F10458" s="534"/>
    </row>
    <row r="10459" spans="1:6" ht="15" customHeight="1">
      <c r="A10459" s="51"/>
      <c r="B10459" s="52" t="str">
        <f t="shared" si="522"/>
        <v/>
      </c>
      <c r="C10459" t="str">
        <f t="shared" si="521"/>
        <v/>
      </c>
      <c r="D10459" s="245" t="str">
        <f t="shared" si="523"/>
        <v/>
      </c>
      <c r="E10459" s="534"/>
      <c r="F10459" s="534"/>
    </row>
    <row r="10460" spans="1:6" ht="15" customHeight="1">
      <c r="A10460" s="51"/>
      <c r="B10460" s="52" t="str">
        <f t="shared" si="522"/>
        <v/>
      </c>
      <c r="C10460" t="str">
        <f t="shared" si="521"/>
        <v/>
      </c>
      <c r="D10460" s="245" t="str">
        <f t="shared" si="523"/>
        <v/>
      </c>
      <c r="E10460" s="534"/>
      <c r="F10460" s="534"/>
    </row>
    <row r="10461" spans="1:6" ht="15" customHeight="1">
      <c r="A10461" s="51"/>
      <c r="B10461" s="52" t="str">
        <f t="shared" si="522"/>
        <v/>
      </c>
      <c r="C10461" t="str">
        <f t="shared" si="521"/>
        <v/>
      </c>
      <c r="D10461" s="245" t="str">
        <f t="shared" si="523"/>
        <v/>
      </c>
      <c r="E10461" s="534"/>
      <c r="F10461" s="534"/>
    </row>
    <row r="10462" spans="1:6" ht="15" customHeight="1">
      <c r="A10462" s="51"/>
      <c r="B10462" s="52" t="str">
        <f t="shared" si="522"/>
        <v/>
      </c>
      <c r="C10462" t="str">
        <f t="shared" si="521"/>
        <v/>
      </c>
      <c r="D10462" s="245" t="str">
        <f t="shared" si="523"/>
        <v/>
      </c>
      <c r="E10462" s="534"/>
      <c r="F10462" s="534"/>
    </row>
    <row r="10463" spans="1:6" ht="15" customHeight="1">
      <c r="A10463" s="51"/>
      <c r="B10463" s="52" t="str">
        <f t="shared" si="522"/>
        <v/>
      </c>
      <c r="C10463" t="str">
        <f t="shared" si="521"/>
        <v/>
      </c>
      <c r="D10463" s="245" t="str">
        <f t="shared" si="523"/>
        <v/>
      </c>
      <c r="E10463" s="534"/>
      <c r="F10463" s="534"/>
    </row>
    <row r="10464" spans="1:6" ht="15" customHeight="1">
      <c r="A10464" s="51"/>
      <c r="B10464" s="52" t="str">
        <f t="shared" si="522"/>
        <v/>
      </c>
      <c r="C10464" t="str">
        <f t="shared" si="521"/>
        <v/>
      </c>
      <c r="D10464" s="245" t="str">
        <f t="shared" si="523"/>
        <v/>
      </c>
      <c r="E10464" s="534"/>
      <c r="F10464" s="534"/>
    </row>
    <row r="10465" spans="1:6" ht="15" customHeight="1">
      <c r="A10465" s="51"/>
      <c r="B10465" s="52" t="str">
        <f t="shared" si="522"/>
        <v/>
      </c>
      <c r="C10465" t="str">
        <f t="shared" si="521"/>
        <v/>
      </c>
      <c r="D10465" s="245" t="str">
        <f t="shared" si="523"/>
        <v/>
      </c>
      <c r="E10465" s="534"/>
      <c r="F10465" s="534"/>
    </row>
    <row r="10466" spans="1:6" ht="15" customHeight="1">
      <c r="A10466" s="51"/>
      <c r="B10466" s="52" t="str">
        <f t="shared" si="522"/>
        <v/>
      </c>
      <c r="C10466" t="str">
        <f t="shared" si="521"/>
        <v/>
      </c>
      <c r="D10466" s="245" t="str">
        <f t="shared" si="523"/>
        <v/>
      </c>
      <c r="E10466" s="534"/>
      <c r="F10466" s="534"/>
    </row>
    <row r="10467" spans="1:6" ht="15" customHeight="1">
      <c r="A10467" s="51"/>
      <c r="B10467" s="52" t="str">
        <f t="shared" si="522"/>
        <v/>
      </c>
      <c r="C10467" t="str">
        <f t="shared" si="521"/>
        <v/>
      </c>
      <c r="D10467" s="245" t="str">
        <f t="shared" si="523"/>
        <v/>
      </c>
      <c r="E10467" s="534"/>
      <c r="F10467" s="534"/>
    </row>
    <row r="10468" spans="1:6" ht="15" customHeight="1">
      <c r="A10468" s="51"/>
      <c r="B10468" s="52" t="str">
        <f t="shared" si="522"/>
        <v/>
      </c>
      <c r="C10468" t="str">
        <f t="shared" si="521"/>
        <v/>
      </c>
      <c r="D10468" s="245" t="str">
        <f t="shared" si="523"/>
        <v/>
      </c>
      <c r="E10468" s="534"/>
      <c r="F10468" s="534"/>
    </row>
    <row r="10469" spans="1:6" ht="15" customHeight="1">
      <c r="A10469" s="51"/>
      <c r="B10469" s="52" t="str">
        <f t="shared" si="522"/>
        <v/>
      </c>
      <c r="C10469" t="str">
        <f t="shared" si="521"/>
        <v/>
      </c>
      <c r="D10469" s="245" t="str">
        <f t="shared" si="523"/>
        <v/>
      </c>
      <c r="E10469" s="534"/>
      <c r="F10469" s="534"/>
    </row>
    <row r="10470" spans="1:6" ht="15" customHeight="1">
      <c r="A10470" s="51"/>
      <c r="B10470" s="52" t="str">
        <f t="shared" si="522"/>
        <v/>
      </c>
      <c r="C10470" t="str">
        <f t="shared" si="521"/>
        <v/>
      </c>
      <c r="D10470" s="245" t="str">
        <f t="shared" si="523"/>
        <v/>
      </c>
      <c r="E10470" s="534"/>
      <c r="F10470" s="534"/>
    </row>
    <row r="10471" spans="1:6" ht="15" customHeight="1">
      <c r="A10471" s="51"/>
      <c r="B10471" s="52" t="str">
        <f t="shared" si="522"/>
        <v/>
      </c>
      <c r="C10471" t="str">
        <f t="shared" si="521"/>
        <v/>
      </c>
      <c r="D10471" s="245" t="str">
        <f t="shared" si="523"/>
        <v/>
      </c>
      <c r="E10471" s="534"/>
      <c r="F10471" s="534"/>
    </row>
    <row r="10472" spans="1:6" ht="15" customHeight="1">
      <c r="A10472" s="51"/>
      <c r="B10472" s="52" t="str">
        <f t="shared" si="522"/>
        <v/>
      </c>
      <c r="C10472" t="str">
        <f t="shared" si="521"/>
        <v/>
      </c>
      <c r="D10472" s="245" t="str">
        <f t="shared" si="523"/>
        <v/>
      </c>
      <c r="E10472" s="534"/>
      <c r="F10472" s="534"/>
    </row>
    <row r="10473" spans="1:6" ht="15" customHeight="1">
      <c r="A10473" s="51"/>
      <c r="B10473" s="52" t="str">
        <f t="shared" si="522"/>
        <v/>
      </c>
      <c r="C10473" t="str">
        <f t="shared" si="521"/>
        <v/>
      </c>
      <c r="D10473" s="245" t="str">
        <f t="shared" si="523"/>
        <v/>
      </c>
      <c r="E10473" s="534"/>
      <c r="F10473" s="534"/>
    </row>
    <row r="10474" spans="1:6" ht="15" customHeight="1">
      <c r="A10474" s="51"/>
      <c r="B10474" s="52" t="str">
        <f t="shared" si="522"/>
        <v/>
      </c>
      <c r="C10474" t="str">
        <f t="shared" si="521"/>
        <v/>
      </c>
      <c r="D10474" s="245" t="str">
        <f t="shared" si="523"/>
        <v/>
      </c>
      <c r="E10474" s="534"/>
      <c r="F10474" s="534"/>
    </row>
    <row r="10475" spans="1:6" ht="15" customHeight="1">
      <c r="A10475" s="51"/>
      <c r="B10475" s="52" t="str">
        <f t="shared" si="522"/>
        <v/>
      </c>
      <c r="C10475" t="str">
        <f t="shared" si="521"/>
        <v/>
      </c>
      <c r="D10475" s="245" t="str">
        <f t="shared" si="523"/>
        <v/>
      </c>
      <c r="E10475" s="534"/>
      <c r="F10475" s="534"/>
    </row>
    <row r="10476" spans="1:6" ht="15" customHeight="1">
      <c r="A10476" s="51"/>
      <c r="B10476" s="52" t="str">
        <f t="shared" si="522"/>
        <v/>
      </c>
      <c r="C10476" t="str">
        <f t="shared" si="521"/>
        <v/>
      </c>
      <c r="D10476" s="245" t="str">
        <f t="shared" si="523"/>
        <v/>
      </c>
      <c r="E10476" s="534"/>
      <c r="F10476" s="534"/>
    </row>
    <row r="10477" spans="1:6" ht="15" customHeight="1">
      <c r="A10477" s="51"/>
      <c r="B10477" s="52" t="str">
        <f t="shared" si="522"/>
        <v/>
      </c>
      <c r="C10477" t="str">
        <f t="shared" si="521"/>
        <v/>
      </c>
      <c r="D10477" s="245" t="str">
        <f t="shared" si="523"/>
        <v/>
      </c>
      <c r="E10477" s="534"/>
      <c r="F10477" s="534"/>
    </row>
    <row r="10478" spans="1:6" ht="15" customHeight="1">
      <c r="A10478" s="51"/>
      <c r="B10478" s="52" t="str">
        <f t="shared" si="522"/>
        <v/>
      </c>
      <c r="C10478" t="str">
        <f t="shared" si="521"/>
        <v/>
      </c>
      <c r="D10478" s="245" t="str">
        <f t="shared" si="523"/>
        <v/>
      </c>
      <c r="E10478" s="534"/>
      <c r="F10478" s="534"/>
    </row>
    <row r="10479" spans="1:6" ht="15" customHeight="1">
      <c r="A10479" s="51"/>
      <c r="B10479" s="52" t="str">
        <f t="shared" si="522"/>
        <v/>
      </c>
      <c r="C10479" t="str">
        <f t="shared" si="521"/>
        <v/>
      </c>
      <c r="D10479" s="245" t="str">
        <f t="shared" si="523"/>
        <v/>
      </c>
      <c r="E10479" s="534"/>
      <c r="F10479" s="534"/>
    </row>
    <row r="10480" spans="1:6" ht="15" customHeight="1">
      <c r="A10480" s="51"/>
      <c r="B10480" s="52" t="str">
        <f t="shared" si="522"/>
        <v/>
      </c>
      <c r="C10480" t="str">
        <f t="shared" si="521"/>
        <v/>
      </c>
      <c r="D10480" s="245" t="str">
        <f t="shared" si="523"/>
        <v/>
      </c>
      <c r="E10480" s="534"/>
      <c r="F10480" s="534"/>
    </row>
    <row r="10481" spans="1:6" ht="15" customHeight="1">
      <c r="A10481" s="51"/>
      <c r="B10481" s="52" t="str">
        <f t="shared" si="522"/>
        <v/>
      </c>
      <c r="C10481" t="str">
        <f t="shared" si="521"/>
        <v/>
      </c>
      <c r="D10481" s="245" t="str">
        <f t="shared" si="523"/>
        <v/>
      </c>
      <c r="E10481" s="534"/>
      <c r="F10481" s="534"/>
    </row>
    <row r="10482" spans="1:6" ht="15" customHeight="1">
      <c r="A10482" s="51"/>
      <c r="B10482" s="52" t="str">
        <f t="shared" si="522"/>
        <v/>
      </c>
      <c r="C10482" t="str">
        <f t="shared" si="521"/>
        <v/>
      </c>
      <c r="D10482" s="245" t="str">
        <f t="shared" si="523"/>
        <v/>
      </c>
      <c r="E10482" s="534"/>
      <c r="F10482" s="534"/>
    </row>
    <row r="10483" spans="1:6" ht="15" customHeight="1">
      <c r="A10483" s="51"/>
      <c r="B10483" s="52" t="str">
        <f t="shared" si="522"/>
        <v/>
      </c>
      <c r="C10483" t="str">
        <f t="shared" si="521"/>
        <v/>
      </c>
      <c r="D10483" s="245" t="str">
        <f t="shared" si="523"/>
        <v/>
      </c>
      <c r="E10483" s="534"/>
      <c r="F10483" s="534"/>
    </row>
    <row r="10484" spans="1:6" ht="15" customHeight="1">
      <c r="A10484" s="51"/>
      <c r="B10484" s="52" t="str">
        <f t="shared" si="522"/>
        <v/>
      </c>
      <c r="C10484" t="str">
        <f t="shared" si="521"/>
        <v/>
      </c>
      <c r="D10484" s="245" t="str">
        <f t="shared" si="523"/>
        <v/>
      </c>
      <c r="E10484" s="534"/>
      <c r="F10484" s="534"/>
    </row>
    <row r="10485" spans="1:6" ht="15" customHeight="1">
      <c r="A10485" s="51"/>
      <c r="B10485" s="52" t="str">
        <f t="shared" si="522"/>
        <v/>
      </c>
      <c r="C10485" t="str">
        <f t="shared" si="521"/>
        <v/>
      </c>
      <c r="D10485" s="245" t="str">
        <f t="shared" si="523"/>
        <v/>
      </c>
      <c r="E10485" s="534"/>
      <c r="F10485" s="534"/>
    </row>
    <row r="10486" spans="1:6" ht="15" customHeight="1">
      <c r="A10486" s="51"/>
      <c r="B10486" s="52" t="str">
        <f t="shared" si="522"/>
        <v/>
      </c>
      <c r="C10486" t="str">
        <f t="shared" si="521"/>
        <v/>
      </c>
      <c r="D10486" s="245" t="str">
        <f t="shared" si="523"/>
        <v/>
      </c>
      <c r="E10486" s="534"/>
      <c r="F10486" s="534"/>
    </row>
    <row r="10487" spans="1:6" ht="15" customHeight="1">
      <c r="A10487" s="51"/>
      <c r="B10487" s="52" t="str">
        <f t="shared" si="522"/>
        <v/>
      </c>
      <c r="C10487" t="str">
        <f t="shared" si="521"/>
        <v/>
      </c>
      <c r="D10487" s="245" t="str">
        <f t="shared" si="523"/>
        <v/>
      </c>
      <c r="E10487" s="534"/>
      <c r="F10487" s="534"/>
    </row>
    <row r="10488" spans="1:6" ht="15" customHeight="1">
      <c r="A10488" s="51"/>
      <c r="B10488" s="52" t="str">
        <f t="shared" si="522"/>
        <v/>
      </c>
      <c r="C10488" t="str">
        <f t="shared" si="521"/>
        <v/>
      </c>
      <c r="D10488" s="245" t="str">
        <f t="shared" si="523"/>
        <v/>
      </c>
      <c r="E10488" s="534"/>
      <c r="F10488" s="534"/>
    </row>
    <row r="10489" spans="1:6" ht="15" customHeight="1">
      <c r="A10489" s="51"/>
      <c r="B10489" s="52" t="str">
        <f t="shared" si="522"/>
        <v/>
      </c>
      <c r="C10489" t="str">
        <f t="shared" si="521"/>
        <v/>
      </c>
      <c r="D10489" s="245" t="str">
        <f t="shared" si="523"/>
        <v/>
      </c>
      <c r="E10489" s="534"/>
      <c r="F10489" s="534"/>
    </row>
    <row r="10490" spans="1:6" ht="15" customHeight="1">
      <c r="A10490" s="51"/>
      <c r="B10490" s="52" t="str">
        <f t="shared" si="522"/>
        <v/>
      </c>
      <c r="C10490" t="str">
        <f t="shared" si="521"/>
        <v/>
      </c>
      <c r="D10490" s="245" t="str">
        <f t="shared" si="523"/>
        <v/>
      </c>
      <c r="E10490" s="534"/>
      <c r="F10490" s="534"/>
    </row>
    <row r="10491" spans="1:6" ht="15" customHeight="1">
      <c r="A10491" s="51"/>
      <c r="B10491" s="52" t="str">
        <f t="shared" si="522"/>
        <v/>
      </c>
      <c r="C10491" t="str">
        <f t="shared" si="521"/>
        <v/>
      </c>
      <c r="D10491" s="245" t="str">
        <f t="shared" si="523"/>
        <v/>
      </c>
      <c r="E10491" s="534"/>
      <c r="F10491" s="534"/>
    </row>
    <row r="10492" spans="1:6" ht="15" customHeight="1">
      <c r="A10492" s="51"/>
      <c r="B10492" s="52" t="str">
        <f t="shared" si="522"/>
        <v/>
      </c>
      <c r="C10492" t="str">
        <f t="shared" si="521"/>
        <v/>
      </c>
      <c r="D10492" s="245" t="str">
        <f t="shared" si="523"/>
        <v/>
      </c>
      <c r="E10492" s="534"/>
      <c r="F10492" s="534"/>
    </row>
    <row r="10493" spans="1:6" ht="15" customHeight="1">
      <c r="A10493" s="51"/>
      <c r="B10493" s="52" t="str">
        <f t="shared" si="522"/>
        <v/>
      </c>
      <c r="C10493" t="str">
        <f t="shared" si="521"/>
        <v/>
      </c>
      <c r="D10493" s="245" t="str">
        <f t="shared" si="523"/>
        <v/>
      </c>
      <c r="E10493" s="534"/>
      <c r="F10493" s="534"/>
    </row>
    <row r="10494" spans="1:6" ht="15" customHeight="1">
      <c r="A10494" s="51"/>
      <c r="B10494" s="52" t="str">
        <f t="shared" si="522"/>
        <v/>
      </c>
      <c r="C10494" t="str">
        <f t="shared" si="521"/>
        <v/>
      </c>
      <c r="D10494" s="245" t="str">
        <f t="shared" si="523"/>
        <v/>
      </c>
      <c r="E10494" s="534"/>
      <c r="F10494" s="534"/>
    </row>
    <row r="10495" spans="1:6" ht="15" customHeight="1">
      <c r="A10495" s="51"/>
      <c r="B10495" s="52" t="str">
        <f t="shared" si="522"/>
        <v/>
      </c>
      <c r="C10495" t="str">
        <f t="shared" si="521"/>
        <v/>
      </c>
      <c r="D10495" s="245" t="str">
        <f t="shared" si="523"/>
        <v/>
      </c>
      <c r="E10495" s="534"/>
      <c r="F10495" s="534"/>
    </row>
    <row r="10496" spans="1:6" ht="15" customHeight="1">
      <c r="A10496" s="51"/>
      <c r="B10496" s="52" t="str">
        <f t="shared" si="522"/>
        <v/>
      </c>
      <c r="C10496" t="str">
        <f t="shared" si="521"/>
        <v/>
      </c>
      <c r="D10496" s="245" t="str">
        <f t="shared" si="523"/>
        <v/>
      </c>
      <c r="E10496" s="534"/>
      <c r="F10496" s="534"/>
    </row>
    <row r="10497" spans="1:6" ht="15" customHeight="1">
      <c r="A10497" s="51"/>
      <c r="B10497" s="52" t="str">
        <f t="shared" si="522"/>
        <v/>
      </c>
      <c r="C10497" t="str">
        <f t="shared" si="521"/>
        <v/>
      </c>
      <c r="D10497" s="245" t="str">
        <f t="shared" si="523"/>
        <v/>
      </c>
      <c r="E10497" s="534"/>
      <c r="F10497" s="534"/>
    </row>
    <row r="10498" spans="1:6" ht="15" customHeight="1">
      <c r="A10498" s="51"/>
      <c r="B10498" s="52" t="str">
        <f t="shared" si="522"/>
        <v/>
      </c>
      <c r="C10498" t="str">
        <f t="shared" ref="C10498:C10561" si="524">IF(A10498&lt;&gt;"",TEXT(A10498,"aaaa"),"")</f>
        <v/>
      </c>
      <c r="D10498" s="245" t="str">
        <f t="shared" si="523"/>
        <v/>
      </c>
      <c r="E10498" s="534"/>
      <c r="F10498" s="534"/>
    </row>
    <row r="10499" spans="1:6" ht="15" customHeight="1">
      <c r="A10499" s="51"/>
      <c r="B10499" s="52" t="str">
        <f t="shared" si="522"/>
        <v/>
      </c>
      <c r="C10499" t="str">
        <f t="shared" si="524"/>
        <v/>
      </c>
      <c r="D10499" s="245" t="str">
        <f t="shared" si="523"/>
        <v/>
      </c>
      <c r="E10499" s="534"/>
      <c r="F10499" s="534"/>
    </row>
    <row r="10500" spans="1:6" ht="15" customHeight="1">
      <c r="A10500" s="51"/>
      <c r="B10500" s="52" t="str">
        <f t="shared" si="522"/>
        <v/>
      </c>
      <c r="C10500" t="str">
        <f t="shared" si="524"/>
        <v/>
      </c>
      <c r="D10500" s="245" t="str">
        <f t="shared" si="523"/>
        <v/>
      </c>
      <c r="E10500" s="534"/>
      <c r="F10500" s="534"/>
    </row>
    <row r="10501" spans="1:6" ht="15" customHeight="1">
      <c r="A10501" s="51"/>
      <c r="B10501" s="52" t="str">
        <f t="shared" si="522"/>
        <v/>
      </c>
      <c r="C10501" t="str">
        <f t="shared" si="524"/>
        <v/>
      </c>
      <c r="D10501" s="245" t="str">
        <f t="shared" si="523"/>
        <v/>
      </c>
      <c r="E10501" s="534"/>
      <c r="F10501" s="534"/>
    </row>
    <row r="10502" spans="1:6" ht="15" customHeight="1">
      <c r="A10502" s="51"/>
      <c r="B10502" s="52" t="str">
        <f t="shared" si="522"/>
        <v/>
      </c>
      <c r="C10502" t="str">
        <f t="shared" si="524"/>
        <v/>
      </c>
      <c r="D10502" s="245" t="str">
        <f t="shared" si="523"/>
        <v/>
      </c>
      <c r="E10502" s="534"/>
      <c r="F10502" s="534"/>
    </row>
    <row r="10503" spans="1:6" ht="15" customHeight="1">
      <c r="A10503" s="51"/>
      <c r="B10503" s="52" t="str">
        <f t="shared" si="522"/>
        <v/>
      </c>
      <c r="C10503" t="str">
        <f t="shared" si="524"/>
        <v/>
      </c>
      <c r="D10503" s="245" t="str">
        <f t="shared" si="523"/>
        <v/>
      </c>
      <c r="E10503" s="534"/>
      <c r="F10503" s="534"/>
    </row>
    <row r="10504" spans="1:6" ht="15" customHeight="1">
      <c r="A10504" s="51"/>
      <c r="B10504" s="52" t="str">
        <f t="shared" ref="B10504:B10567" si="525">IF(A10504="","",TEXT(A10504,"DDDD"))</f>
        <v/>
      </c>
      <c r="C10504" t="str">
        <f t="shared" si="524"/>
        <v/>
      </c>
      <c r="D10504" s="245" t="str">
        <f t="shared" si="523"/>
        <v/>
      </c>
      <c r="E10504" s="534"/>
      <c r="F10504" s="534"/>
    </row>
    <row r="10505" spans="1:6" ht="15" customHeight="1">
      <c r="A10505" s="51"/>
      <c r="B10505" s="52" t="str">
        <f t="shared" si="525"/>
        <v/>
      </c>
      <c r="C10505" t="str">
        <f t="shared" si="524"/>
        <v/>
      </c>
      <c r="D10505" s="245" t="str">
        <f t="shared" ref="D10505:D10568" si="526">IF(A10505&lt;&gt;"",PROPER(TEXT(A10505,"Mmmm")),"")</f>
        <v/>
      </c>
      <c r="E10505" s="534"/>
      <c r="F10505" s="534"/>
    </row>
    <row r="10506" spans="1:6" ht="15" customHeight="1">
      <c r="A10506" s="51"/>
      <c r="B10506" s="52" t="str">
        <f t="shared" si="525"/>
        <v/>
      </c>
      <c r="C10506" t="str">
        <f t="shared" si="524"/>
        <v/>
      </c>
      <c r="D10506" s="245" t="str">
        <f t="shared" si="526"/>
        <v/>
      </c>
      <c r="E10506" s="534"/>
      <c r="F10506" s="534"/>
    </row>
    <row r="10507" spans="1:6" ht="15" customHeight="1">
      <c r="A10507" s="51"/>
      <c r="B10507" s="52" t="str">
        <f t="shared" si="525"/>
        <v/>
      </c>
      <c r="C10507" t="str">
        <f t="shared" si="524"/>
        <v/>
      </c>
      <c r="D10507" s="245" t="str">
        <f t="shared" si="526"/>
        <v/>
      </c>
      <c r="E10507" s="534"/>
      <c r="F10507" s="534"/>
    </row>
    <row r="10508" spans="1:6" ht="15" customHeight="1">
      <c r="A10508" s="51"/>
      <c r="B10508" s="52" t="str">
        <f t="shared" si="525"/>
        <v/>
      </c>
      <c r="C10508" t="str">
        <f t="shared" si="524"/>
        <v/>
      </c>
      <c r="D10508" s="245" t="str">
        <f t="shared" si="526"/>
        <v/>
      </c>
      <c r="E10508" s="534"/>
      <c r="F10508" s="534"/>
    </row>
    <row r="10509" spans="1:6" ht="15" customHeight="1">
      <c r="A10509" s="51"/>
      <c r="B10509" s="52" t="str">
        <f t="shared" si="525"/>
        <v/>
      </c>
      <c r="C10509" t="str">
        <f t="shared" si="524"/>
        <v/>
      </c>
      <c r="D10509" s="245" t="str">
        <f t="shared" si="526"/>
        <v/>
      </c>
      <c r="E10509" s="534"/>
      <c r="F10509" s="534"/>
    </row>
    <row r="10510" spans="1:6" ht="15" customHeight="1">
      <c r="A10510" s="51"/>
      <c r="B10510" s="52" t="str">
        <f t="shared" si="525"/>
        <v/>
      </c>
      <c r="C10510" t="str">
        <f t="shared" si="524"/>
        <v/>
      </c>
      <c r="D10510" s="245" t="str">
        <f t="shared" si="526"/>
        <v/>
      </c>
      <c r="E10510" s="534"/>
      <c r="F10510" s="534"/>
    </row>
    <row r="10511" spans="1:6" ht="15" customHeight="1">
      <c r="A10511" s="51"/>
      <c r="B10511" s="52" t="str">
        <f t="shared" si="525"/>
        <v/>
      </c>
      <c r="C10511" t="str">
        <f t="shared" si="524"/>
        <v/>
      </c>
      <c r="D10511" s="245" t="str">
        <f t="shared" si="526"/>
        <v/>
      </c>
      <c r="E10511" s="534"/>
      <c r="F10511" s="534"/>
    </row>
    <row r="10512" spans="1:6" ht="15" customHeight="1">
      <c r="A10512" s="51"/>
      <c r="B10512" s="52" t="str">
        <f t="shared" si="525"/>
        <v/>
      </c>
      <c r="C10512" t="str">
        <f t="shared" si="524"/>
        <v/>
      </c>
      <c r="D10512" s="245" t="str">
        <f t="shared" si="526"/>
        <v/>
      </c>
      <c r="E10512" s="534"/>
      <c r="F10512" s="534"/>
    </row>
    <row r="10513" spans="1:6" ht="15" customHeight="1">
      <c r="A10513" s="51"/>
      <c r="B10513" s="52" t="str">
        <f t="shared" si="525"/>
        <v/>
      </c>
      <c r="C10513" t="str">
        <f t="shared" si="524"/>
        <v/>
      </c>
      <c r="D10513" s="245" t="str">
        <f t="shared" si="526"/>
        <v/>
      </c>
      <c r="E10513" s="534"/>
      <c r="F10513" s="534"/>
    </row>
    <row r="10514" spans="1:6" ht="15" customHeight="1">
      <c r="A10514" s="51"/>
      <c r="B10514" s="52" t="str">
        <f t="shared" si="525"/>
        <v/>
      </c>
      <c r="C10514" t="str">
        <f t="shared" si="524"/>
        <v/>
      </c>
      <c r="D10514" s="245" t="str">
        <f t="shared" si="526"/>
        <v/>
      </c>
      <c r="E10514" s="534"/>
      <c r="F10514" s="534"/>
    </row>
    <row r="10515" spans="1:6" ht="15" customHeight="1">
      <c r="A10515" s="51"/>
      <c r="B10515" s="52" t="str">
        <f t="shared" si="525"/>
        <v/>
      </c>
      <c r="C10515" t="str">
        <f t="shared" si="524"/>
        <v/>
      </c>
      <c r="D10515" s="245" t="str">
        <f t="shared" si="526"/>
        <v/>
      </c>
      <c r="E10515" s="534"/>
      <c r="F10515" s="534"/>
    </row>
    <row r="10516" spans="1:6" ht="15" customHeight="1">
      <c r="A10516" s="51"/>
      <c r="B10516" s="52" t="str">
        <f t="shared" si="525"/>
        <v/>
      </c>
      <c r="C10516" t="str">
        <f t="shared" si="524"/>
        <v/>
      </c>
      <c r="D10516" s="245" t="str">
        <f t="shared" si="526"/>
        <v/>
      </c>
      <c r="E10516" s="534"/>
      <c r="F10516" s="534"/>
    </row>
    <row r="10517" spans="1:6" ht="15" customHeight="1">
      <c r="A10517" s="51"/>
      <c r="B10517" s="52" t="str">
        <f t="shared" si="525"/>
        <v/>
      </c>
      <c r="C10517" t="str">
        <f t="shared" si="524"/>
        <v/>
      </c>
      <c r="D10517" s="245" t="str">
        <f t="shared" si="526"/>
        <v/>
      </c>
      <c r="E10517" s="534"/>
      <c r="F10517" s="534"/>
    </row>
    <row r="10518" spans="1:6" ht="15" customHeight="1">
      <c r="A10518" s="51"/>
      <c r="B10518" s="52" t="str">
        <f t="shared" si="525"/>
        <v/>
      </c>
      <c r="C10518" t="str">
        <f t="shared" si="524"/>
        <v/>
      </c>
      <c r="D10518" s="245" t="str">
        <f t="shared" si="526"/>
        <v/>
      </c>
      <c r="E10518" s="534"/>
      <c r="F10518" s="534"/>
    </row>
    <row r="10519" spans="1:6" ht="15" customHeight="1">
      <c r="A10519" s="51"/>
      <c r="B10519" s="52" t="str">
        <f t="shared" si="525"/>
        <v/>
      </c>
      <c r="C10519" t="str">
        <f t="shared" si="524"/>
        <v/>
      </c>
      <c r="D10519" s="245" t="str">
        <f t="shared" si="526"/>
        <v/>
      </c>
      <c r="E10519" s="534"/>
      <c r="F10519" s="534"/>
    </row>
    <row r="10520" spans="1:6" ht="15" customHeight="1">
      <c r="A10520" s="51"/>
      <c r="B10520" s="52" t="str">
        <f t="shared" si="525"/>
        <v/>
      </c>
      <c r="C10520" t="str">
        <f t="shared" si="524"/>
        <v/>
      </c>
      <c r="D10520" s="245" t="str">
        <f t="shared" si="526"/>
        <v/>
      </c>
      <c r="E10520" s="534"/>
      <c r="F10520" s="534"/>
    </row>
    <row r="10521" spans="1:6" ht="15" customHeight="1">
      <c r="A10521" s="51"/>
      <c r="B10521" s="52" t="str">
        <f t="shared" si="525"/>
        <v/>
      </c>
      <c r="C10521" t="str">
        <f t="shared" si="524"/>
        <v/>
      </c>
      <c r="D10521" s="245" t="str">
        <f t="shared" si="526"/>
        <v/>
      </c>
      <c r="E10521" s="534"/>
      <c r="F10521" s="534"/>
    </row>
    <row r="10522" spans="1:6" ht="15" customHeight="1">
      <c r="A10522" s="51"/>
      <c r="B10522" s="52" t="str">
        <f t="shared" si="525"/>
        <v/>
      </c>
      <c r="C10522" t="str">
        <f t="shared" si="524"/>
        <v/>
      </c>
      <c r="D10522" s="245" t="str">
        <f t="shared" si="526"/>
        <v/>
      </c>
      <c r="E10522" s="534"/>
      <c r="F10522" s="534"/>
    </row>
    <row r="10523" spans="1:6" ht="15" customHeight="1">
      <c r="A10523" s="51"/>
      <c r="B10523" s="52" t="str">
        <f t="shared" si="525"/>
        <v/>
      </c>
      <c r="C10523" t="str">
        <f t="shared" si="524"/>
        <v/>
      </c>
      <c r="D10523" s="245" t="str">
        <f t="shared" si="526"/>
        <v/>
      </c>
      <c r="E10523" s="534"/>
      <c r="F10523" s="534"/>
    </row>
    <row r="10524" spans="1:6" ht="15" customHeight="1">
      <c r="A10524" s="51"/>
      <c r="B10524" s="52" t="str">
        <f t="shared" si="525"/>
        <v/>
      </c>
      <c r="C10524" t="str">
        <f t="shared" si="524"/>
        <v/>
      </c>
      <c r="D10524" s="245" t="str">
        <f t="shared" si="526"/>
        <v/>
      </c>
      <c r="E10524" s="534"/>
      <c r="F10524" s="534"/>
    </row>
    <row r="10525" spans="1:6" ht="15" customHeight="1">
      <c r="A10525" s="51"/>
      <c r="B10525" s="52" t="str">
        <f t="shared" si="525"/>
        <v/>
      </c>
      <c r="C10525" t="str">
        <f t="shared" si="524"/>
        <v/>
      </c>
      <c r="D10525" s="245" t="str">
        <f t="shared" si="526"/>
        <v/>
      </c>
      <c r="E10525" s="534"/>
      <c r="F10525" s="534"/>
    </row>
    <row r="10526" spans="1:6" ht="15" customHeight="1">
      <c r="A10526" s="51"/>
      <c r="B10526" s="52" t="str">
        <f t="shared" si="525"/>
        <v/>
      </c>
      <c r="C10526" t="str">
        <f t="shared" si="524"/>
        <v/>
      </c>
      <c r="D10526" s="245" t="str">
        <f t="shared" si="526"/>
        <v/>
      </c>
      <c r="E10526" s="534"/>
      <c r="F10526" s="534"/>
    </row>
    <row r="10527" spans="1:6" ht="15" customHeight="1">
      <c r="A10527" s="51"/>
      <c r="B10527" s="52" t="str">
        <f t="shared" si="525"/>
        <v/>
      </c>
      <c r="C10527" t="str">
        <f t="shared" si="524"/>
        <v/>
      </c>
      <c r="D10527" s="245" t="str">
        <f t="shared" si="526"/>
        <v/>
      </c>
      <c r="E10527" s="534"/>
      <c r="F10527" s="534"/>
    </row>
    <row r="10528" spans="1:6" ht="15" customHeight="1">
      <c r="A10528" s="51"/>
      <c r="B10528" s="52" t="str">
        <f t="shared" si="525"/>
        <v/>
      </c>
      <c r="C10528" t="str">
        <f t="shared" si="524"/>
        <v/>
      </c>
      <c r="D10528" s="245" t="str">
        <f t="shared" si="526"/>
        <v/>
      </c>
      <c r="E10528" s="534"/>
      <c r="F10528" s="534"/>
    </row>
    <row r="10529" spans="1:6" ht="15" customHeight="1">
      <c r="A10529" s="51"/>
      <c r="B10529" s="52" t="str">
        <f t="shared" si="525"/>
        <v/>
      </c>
      <c r="C10529" t="str">
        <f t="shared" si="524"/>
        <v/>
      </c>
      <c r="D10529" s="245" t="str">
        <f t="shared" si="526"/>
        <v/>
      </c>
      <c r="E10529" s="534"/>
      <c r="F10529" s="534"/>
    </row>
    <row r="10530" spans="1:6" ht="15" customHeight="1">
      <c r="A10530" s="51"/>
      <c r="B10530" s="52" t="str">
        <f t="shared" si="525"/>
        <v/>
      </c>
      <c r="C10530" t="str">
        <f t="shared" si="524"/>
        <v/>
      </c>
      <c r="D10530" s="245" t="str">
        <f t="shared" si="526"/>
        <v/>
      </c>
      <c r="E10530" s="534"/>
      <c r="F10530" s="534"/>
    </row>
    <row r="10531" spans="1:6" ht="15" customHeight="1">
      <c r="A10531" s="51"/>
      <c r="B10531" s="52" t="str">
        <f t="shared" si="525"/>
        <v/>
      </c>
      <c r="C10531" t="str">
        <f t="shared" si="524"/>
        <v/>
      </c>
      <c r="D10531" s="245" t="str">
        <f t="shared" si="526"/>
        <v/>
      </c>
      <c r="E10531" s="534"/>
      <c r="F10531" s="534"/>
    </row>
    <row r="10532" spans="1:6" ht="15" customHeight="1">
      <c r="A10532" s="51"/>
      <c r="B10532" s="52" t="str">
        <f t="shared" si="525"/>
        <v/>
      </c>
      <c r="C10532" t="str">
        <f t="shared" si="524"/>
        <v/>
      </c>
      <c r="D10532" s="245" t="str">
        <f t="shared" si="526"/>
        <v/>
      </c>
      <c r="E10532" s="534"/>
      <c r="F10532" s="534"/>
    </row>
    <row r="10533" spans="1:6" ht="15" customHeight="1">
      <c r="A10533" s="51"/>
      <c r="B10533" s="52" t="str">
        <f t="shared" si="525"/>
        <v/>
      </c>
      <c r="C10533" t="str">
        <f t="shared" si="524"/>
        <v/>
      </c>
      <c r="D10533" s="245" t="str">
        <f t="shared" si="526"/>
        <v/>
      </c>
      <c r="E10533" s="534"/>
      <c r="F10533" s="534"/>
    </row>
    <row r="10534" spans="1:6" ht="15" customHeight="1">
      <c r="A10534" s="51"/>
      <c r="B10534" s="52" t="str">
        <f t="shared" si="525"/>
        <v/>
      </c>
      <c r="C10534" t="str">
        <f t="shared" si="524"/>
        <v/>
      </c>
      <c r="D10534" s="245" t="str">
        <f t="shared" si="526"/>
        <v/>
      </c>
      <c r="E10534" s="534"/>
      <c r="F10534" s="534"/>
    </row>
    <row r="10535" spans="1:6" ht="15" customHeight="1">
      <c r="A10535" s="51"/>
      <c r="B10535" s="52" t="str">
        <f t="shared" si="525"/>
        <v/>
      </c>
      <c r="C10535" t="str">
        <f t="shared" si="524"/>
        <v/>
      </c>
      <c r="D10535" s="245" t="str">
        <f t="shared" si="526"/>
        <v/>
      </c>
      <c r="E10535" s="534"/>
      <c r="F10535" s="534"/>
    </row>
    <row r="10536" spans="1:6" ht="15" customHeight="1">
      <c r="A10536" s="51"/>
      <c r="B10536" s="52" t="str">
        <f t="shared" si="525"/>
        <v/>
      </c>
      <c r="C10536" t="str">
        <f t="shared" si="524"/>
        <v/>
      </c>
      <c r="D10536" s="245" t="str">
        <f t="shared" si="526"/>
        <v/>
      </c>
      <c r="E10536" s="534"/>
      <c r="F10536" s="534"/>
    </row>
    <row r="10537" spans="1:6" ht="15" customHeight="1">
      <c r="A10537" s="51"/>
      <c r="B10537" s="52" t="str">
        <f t="shared" si="525"/>
        <v/>
      </c>
      <c r="C10537" t="str">
        <f t="shared" si="524"/>
        <v/>
      </c>
      <c r="D10537" s="245" t="str">
        <f t="shared" si="526"/>
        <v/>
      </c>
      <c r="E10537" s="534"/>
      <c r="F10537" s="534"/>
    </row>
    <row r="10538" spans="1:6" ht="15" customHeight="1">
      <c r="A10538" s="51"/>
      <c r="B10538" s="52" t="str">
        <f t="shared" si="525"/>
        <v/>
      </c>
      <c r="C10538" t="str">
        <f t="shared" si="524"/>
        <v/>
      </c>
      <c r="D10538" s="245" t="str">
        <f t="shared" si="526"/>
        <v/>
      </c>
      <c r="E10538" s="534"/>
      <c r="F10538" s="534"/>
    </row>
    <row r="10539" spans="1:6" ht="15" customHeight="1">
      <c r="A10539" s="51"/>
      <c r="B10539" s="52" t="str">
        <f t="shared" si="525"/>
        <v/>
      </c>
      <c r="C10539" t="str">
        <f t="shared" si="524"/>
        <v/>
      </c>
      <c r="D10539" s="245" t="str">
        <f t="shared" si="526"/>
        <v/>
      </c>
      <c r="E10539" s="534"/>
      <c r="F10539" s="534"/>
    </row>
    <row r="10540" spans="1:6" ht="15" customHeight="1">
      <c r="A10540" s="51"/>
      <c r="B10540" s="52" t="str">
        <f t="shared" si="525"/>
        <v/>
      </c>
      <c r="C10540" t="str">
        <f t="shared" si="524"/>
        <v/>
      </c>
      <c r="D10540" s="245" t="str">
        <f t="shared" si="526"/>
        <v/>
      </c>
      <c r="E10540" s="534"/>
      <c r="F10540" s="534"/>
    </row>
    <row r="10541" spans="1:6" ht="15" customHeight="1">
      <c r="A10541" s="51"/>
      <c r="B10541" s="52" t="str">
        <f t="shared" si="525"/>
        <v/>
      </c>
      <c r="C10541" t="str">
        <f t="shared" si="524"/>
        <v/>
      </c>
      <c r="D10541" s="245" t="str">
        <f t="shared" si="526"/>
        <v/>
      </c>
      <c r="E10541" s="534"/>
      <c r="F10541" s="534"/>
    </row>
    <row r="10542" spans="1:6" ht="15" customHeight="1">
      <c r="A10542" s="51"/>
      <c r="B10542" s="52" t="str">
        <f t="shared" si="525"/>
        <v/>
      </c>
      <c r="C10542" t="str">
        <f t="shared" si="524"/>
        <v/>
      </c>
      <c r="D10542" s="245" t="str">
        <f t="shared" si="526"/>
        <v/>
      </c>
      <c r="E10542" s="534"/>
      <c r="F10542" s="534"/>
    </row>
    <row r="10543" spans="1:6" ht="15" customHeight="1">
      <c r="A10543" s="51"/>
      <c r="B10543" s="52" t="str">
        <f t="shared" si="525"/>
        <v/>
      </c>
      <c r="C10543" t="str">
        <f t="shared" si="524"/>
        <v/>
      </c>
      <c r="D10543" s="245" t="str">
        <f t="shared" si="526"/>
        <v/>
      </c>
      <c r="E10543" s="534"/>
      <c r="F10543" s="534"/>
    </row>
    <row r="10544" spans="1:6" ht="15" customHeight="1">
      <c r="A10544" s="51"/>
      <c r="B10544" s="52" t="str">
        <f t="shared" si="525"/>
        <v/>
      </c>
      <c r="C10544" t="str">
        <f t="shared" si="524"/>
        <v/>
      </c>
      <c r="D10544" s="245" t="str">
        <f t="shared" si="526"/>
        <v/>
      </c>
      <c r="E10544" s="534"/>
      <c r="F10544" s="534"/>
    </row>
    <row r="10545" spans="1:6" ht="15" customHeight="1">
      <c r="A10545" s="51"/>
      <c r="B10545" s="52" t="str">
        <f t="shared" si="525"/>
        <v/>
      </c>
      <c r="C10545" t="str">
        <f t="shared" si="524"/>
        <v/>
      </c>
      <c r="D10545" s="245" t="str">
        <f t="shared" si="526"/>
        <v/>
      </c>
      <c r="E10545" s="534"/>
      <c r="F10545" s="534"/>
    </row>
    <row r="10546" spans="1:6" ht="15" customHeight="1">
      <c r="A10546" s="51"/>
      <c r="B10546" s="52" t="str">
        <f t="shared" si="525"/>
        <v/>
      </c>
      <c r="C10546" t="str">
        <f t="shared" si="524"/>
        <v/>
      </c>
      <c r="D10546" s="245" t="str">
        <f t="shared" si="526"/>
        <v/>
      </c>
      <c r="E10546" s="534"/>
      <c r="F10546" s="534"/>
    </row>
    <row r="10547" spans="1:6" ht="15" customHeight="1">
      <c r="A10547" s="51"/>
      <c r="B10547" s="52" t="str">
        <f t="shared" si="525"/>
        <v/>
      </c>
      <c r="C10547" t="str">
        <f t="shared" si="524"/>
        <v/>
      </c>
      <c r="D10547" s="245" t="str">
        <f t="shared" si="526"/>
        <v/>
      </c>
      <c r="E10547" s="534"/>
      <c r="F10547" s="534"/>
    </row>
    <row r="10548" spans="1:6" ht="15" customHeight="1">
      <c r="A10548" s="51"/>
      <c r="B10548" s="52" t="str">
        <f t="shared" si="525"/>
        <v/>
      </c>
      <c r="C10548" t="str">
        <f t="shared" si="524"/>
        <v/>
      </c>
      <c r="D10548" s="245" t="str">
        <f t="shared" si="526"/>
        <v/>
      </c>
      <c r="E10548" s="534"/>
      <c r="F10548" s="534"/>
    </row>
    <row r="10549" spans="1:6" ht="15" customHeight="1">
      <c r="A10549" s="51"/>
      <c r="B10549" s="52" t="str">
        <f t="shared" si="525"/>
        <v/>
      </c>
      <c r="C10549" t="str">
        <f t="shared" si="524"/>
        <v/>
      </c>
      <c r="D10549" s="245" t="str">
        <f t="shared" si="526"/>
        <v/>
      </c>
      <c r="E10549" s="534"/>
      <c r="F10549" s="534"/>
    </row>
    <row r="10550" spans="1:6" ht="15" customHeight="1">
      <c r="A10550" s="51"/>
      <c r="B10550" s="52" t="str">
        <f t="shared" si="525"/>
        <v/>
      </c>
      <c r="C10550" t="str">
        <f t="shared" si="524"/>
        <v/>
      </c>
      <c r="D10550" s="245" t="str">
        <f t="shared" si="526"/>
        <v/>
      </c>
      <c r="E10550" s="534"/>
      <c r="F10550" s="534"/>
    </row>
    <row r="10551" spans="1:6" ht="15" customHeight="1">
      <c r="A10551" s="51"/>
      <c r="B10551" s="52" t="str">
        <f t="shared" si="525"/>
        <v/>
      </c>
      <c r="C10551" t="str">
        <f t="shared" si="524"/>
        <v/>
      </c>
      <c r="D10551" s="245" t="str">
        <f t="shared" si="526"/>
        <v/>
      </c>
      <c r="E10551" s="534"/>
      <c r="F10551" s="534"/>
    </row>
    <row r="10552" spans="1:6" ht="15" customHeight="1">
      <c r="A10552" s="51"/>
      <c r="B10552" s="52" t="str">
        <f t="shared" si="525"/>
        <v/>
      </c>
      <c r="C10552" t="str">
        <f t="shared" si="524"/>
        <v/>
      </c>
      <c r="D10552" s="245" t="str">
        <f t="shared" si="526"/>
        <v/>
      </c>
      <c r="E10552" s="534"/>
      <c r="F10552" s="534"/>
    </row>
    <row r="10553" spans="1:6" ht="15" customHeight="1">
      <c r="A10553" s="51"/>
      <c r="B10553" s="52" t="str">
        <f t="shared" si="525"/>
        <v/>
      </c>
      <c r="C10553" t="str">
        <f t="shared" si="524"/>
        <v/>
      </c>
      <c r="D10553" s="245" t="str">
        <f t="shared" si="526"/>
        <v/>
      </c>
      <c r="E10553" s="534"/>
      <c r="F10553" s="534"/>
    </row>
    <row r="10554" spans="1:6" ht="15" customHeight="1">
      <c r="A10554" s="51"/>
      <c r="B10554" s="52" t="str">
        <f t="shared" si="525"/>
        <v/>
      </c>
      <c r="C10554" t="str">
        <f t="shared" si="524"/>
        <v/>
      </c>
      <c r="D10554" s="245" t="str">
        <f t="shared" si="526"/>
        <v/>
      </c>
      <c r="E10554" s="534"/>
      <c r="F10554" s="534"/>
    </row>
    <row r="10555" spans="1:6" ht="15" customHeight="1">
      <c r="A10555" s="51"/>
      <c r="B10555" s="52" t="str">
        <f t="shared" si="525"/>
        <v/>
      </c>
      <c r="C10555" t="str">
        <f t="shared" si="524"/>
        <v/>
      </c>
      <c r="D10555" s="245" t="str">
        <f t="shared" si="526"/>
        <v/>
      </c>
      <c r="E10555" s="534"/>
      <c r="F10555" s="534"/>
    </row>
    <row r="10556" spans="1:6" ht="15" customHeight="1">
      <c r="A10556" s="51"/>
      <c r="B10556" s="52" t="str">
        <f t="shared" si="525"/>
        <v/>
      </c>
      <c r="C10556" t="str">
        <f t="shared" si="524"/>
        <v/>
      </c>
      <c r="D10556" s="245" t="str">
        <f t="shared" si="526"/>
        <v/>
      </c>
      <c r="E10556" s="534"/>
      <c r="F10556" s="534"/>
    </row>
    <row r="10557" spans="1:6" ht="15" customHeight="1">
      <c r="A10557" s="51"/>
      <c r="B10557" s="52" t="str">
        <f t="shared" si="525"/>
        <v/>
      </c>
      <c r="C10557" t="str">
        <f t="shared" si="524"/>
        <v/>
      </c>
      <c r="D10557" s="245" t="str">
        <f t="shared" si="526"/>
        <v/>
      </c>
      <c r="E10557" s="534"/>
      <c r="F10557" s="534"/>
    </row>
    <row r="10558" spans="1:6" ht="15" customHeight="1">
      <c r="A10558" s="51"/>
      <c r="B10558" s="52" t="str">
        <f t="shared" si="525"/>
        <v/>
      </c>
      <c r="C10558" t="str">
        <f t="shared" si="524"/>
        <v/>
      </c>
      <c r="D10558" s="245" t="str">
        <f t="shared" si="526"/>
        <v/>
      </c>
      <c r="E10558" s="534"/>
      <c r="F10558" s="534"/>
    </row>
    <row r="10559" spans="1:6" ht="15" customHeight="1">
      <c r="A10559" s="51"/>
      <c r="B10559" s="52" t="str">
        <f t="shared" si="525"/>
        <v/>
      </c>
      <c r="C10559" t="str">
        <f t="shared" si="524"/>
        <v/>
      </c>
      <c r="D10559" s="245" t="str">
        <f t="shared" si="526"/>
        <v/>
      </c>
      <c r="E10559" s="534"/>
      <c r="F10559" s="534"/>
    </row>
    <row r="10560" spans="1:6" ht="15" customHeight="1">
      <c r="A10560" s="51"/>
      <c r="B10560" s="52" t="str">
        <f t="shared" si="525"/>
        <v/>
      </c>
      <c r="C10560" t="str">
        <f t="shared" si="524"/>
        <v/>
      </c>
      <c r="D10560" s="245" t="str">
        <f t="shared" si="526"/>
        <v/>
      </c>
      <c r="E10560" s="534"/>
      <c r="F10560" s="534"/>
    </row>
    <row r="10561" spans="1:6" ht="15" customHeight="1">
      <c r="A10561" s="51"/>
      <c r="B10561" s="52" t="str">
        <f t="shared" si="525"/>
        <v/>
      </c>
      <c r="C10561" t="str">
        <f t="shared" si="524"/>
        <v/>
      </c>
      <c r="D10561" s="245" t="str">
        <f t="shared" si="526"/>
        <v/>
      </c>
      <c r="E10561" s="534"/>
      <c r="F10561" s="534"/>
    </row>
    <row r="10562" spans="1:6" ht="15" customHeight="1">
      <c r="A10562" s="51"/>
      <c r="B10562" s="52" t="str">
        <f t="shared" si="525"/>
        <v/>
      </c>
      <c r="C10562" t="str">
        <f t="shared" ref="C10562:C10591" si="527">IF(A10562&lt;&gt;"",TEXT(A10562,"aaaa"),"")</f>
        <v/>
      </c>
      <c r="D10562" s="245" t="str">
        <f t="shared" si="526"/>
        <v/>
      </c>
      <c r="E10562" s="534"/>
      <c r="F10562" s="534"/>
    </row>
    <row r="10563" spans="1:6" ht="15" customHeight="1">
      <c r="A10563" s="51"/>
      <c r="B10563" s="52" t="str">
        <f t="shared" si="525"/>
        <v/>
      </c>
      <c r="C10563" t="str">
        <f t="shared" si="527"/>
        <v/>
      </c>
      <c r="D10563" s="245" t="str">
        <f t="shared" si="526"/>
        <v/>
      </c>
      <c r="E10563" s="534"/>
      <c r="F10563" s="534"/>
    </row>
    <row r="10564" spans="1:6" ht="15" customHeight="1">
      <c r="A10564" s="51"/>
      <c r="B10564" s="52" t="str">
        <f t="shared" si="525"/>
        <v/>
      </c>
      <c r="C10564" t="str">
        <f t="shared" si="527"/>
        <v/>
      </c>
      <c r="D10564" s="245" t="str">
        <f t="shared" si="526"/>
        <v/>
      </c>
      <c r="E10564" s="534"/>
      <c r="F10564" s="534"/>
    </row>
    <row r="10565" spans="1:6" ht="15" customHeight="1">
      <c r="A10565" s="51"/>
      <c r="B10565" s="52" t="str">
        <f t="shared" si="525"/>
        <v/>
      </c>
      <c r="C10565" t="str">
        <f t="shared" si="527"/>
        <v/>
      </c>
      <c r="D10565" s="245" t="str">
        <f t="shared" si="526"/>
        <v/>
      </c>
      <c r="E10565" s="534"/>
      <c r="F10565" s="534"/>
    </row>
    <row r="10566" spans="1:6" ht="15" customHeight="1">
      <c r="A10566" s="51"/>
      <c r="B10566" s="52" t="str">
        <f t="shared" si="525"/>
        <v/>
      </c>
      <c r="C10566" t="str">
        <f t="shared" si="527"/>
        <v/>
      </c>
      <c r="D10566" s="245" t="str">
        <f t="shared" si="526"/>
        <v/>
      </c>
      <c r="E10566" s="534"/>
      <c r="F10566" s="534"/>
    </row>
    <row r="10567" spans="1:6" ht="15" customHeight="1">
      <c r="A10567" s="51"/>
      <c r="B10567" s="52" t="str">
        <f t="shared" si="525"/>
        <v/>
      </c>
      <c r="C10567" t="str">
        <f t="shared" si="527"/>
        <v/>
      </c>
      <c r="D10567" s="245" t="str">
        <f t="shared" si="526"/>
        <v/>
      </c>
      <c r="E10567" s="534"/>
      <c r="F10567" s="534"/>
    </row>
    <row r="10568" spans="1:6" ht="15" customHeight="1">
      <c r="A10568" s="51"/>
      <c r="B10568" s="52" t="str">
        <f t="shared" ref="B10568:B10591" si="528">IF(A10568="","",TEXT(A10568,"DDDD"))</f>
        <v/>
      </c>
      <c r="C10568" t="str">
        <f t="shared" si="527"/>
        <v/>
      </c>
      <c r="D10568" s="245" t="str">
        <f t="shared" si="526"/>
        <v/>
      </c>
      <c r="E10568" s="534"/>
      <c r="F10568" s="534"/>
    </row>
    <row r="10569" spans="1:6" ht="15" customHeight="1">
      <c r="A10569" s="51"/>
      <c r="B10569" s="52" t="str">
        <f t="shared" si="528"/>
        <v/>
      </c>
      <c r="C10569" t="str">
        <f t="shared" si="527"/>
        <v/>
      </c>
      <c r="D10569" s="245" t="str">
        <f t="shared" ref="D10569:D10591" si="529">IF(A10569&lt;&gt;"",PROPER(TEXT(A10569,"Mmmm")),"")</f>
        <v/>
      </c>
      <c r="E10569" s="534"/>
      <c r="F10569" s="534"/>
    </row>
    <row r="10570" spans="1:6" ht="15" customHeight="1">
      <c r="A10570" s="51"/>
      <c r="B10570" s="52" t="str">
        <f t="shared" si="528"/>
        <v/>
      </c>
      <c r="C10570" t="str">
        <f t="shared" si="527"/>
        <v/>
      </c>
      <c r="D10570" s="245" t="str">
        <f t="shared" si="529"/>
        <v/>
      </c>
      <c r="E10570" s="534"/>
      <c r="F10570" s="534"/>
    </row>
    <row r="10571" spans="1:6" ht="15" customHeight="1">
      <c r="A10571" s="51"/>
      <c r="B10571" s="52" t="str">
        <f t="shared" si="528"/>
        <v/>
      </c>
      <c r="C10571" t="str">
        <f t="shared" si="527"/>
        <v/>
      </c>
      <c r="D10571" s="245" t="str">
        <f t="shared" si="529"/>
        <v/>
      </c>
      <c r="E10571" s="534"/>
      <c r="F10571" s="534"/>
    </row>
    <row r="10572" spans="1:6" ht="15" customHeight="1">
      <c r="A10572" s="51"/>
      <c r="B10572" s="52" t="str">
        <f t="shared" si="528"/>
        <v/>
      </c>
      <c r="C10572" t="str">
        <f t="shared" si="527"/>
        <v/>
      </c>
      <c r="D10572" s="245" t="str">
        <f t="shared" si="529"/>
        <v/>
      </c>
      <c r="E10572" s="534"/>
      <c r="F10572" s="534"/>
    </row>
    <row r="10573" spans="1:6" ht="15" customHeight="1">
      <c r="A10573" s="51"/>
      <c r="B10573" s="52" t="str">
        <f t="shared" si="528"/>
        <v/>
      </c>
      <c r="C10573" t="str">
        <f t="shared" si="527"/>
        <v/>
      </c>
      <c r="D10573" s="245" t="str">
        <f t="shared" si="529"/>
        <v/>
      </c>
      <c r="E10573" s="534"/>
      <c r="F10573" s="534"/>
    </row>
    <row r="10574" spans="1:6" ht="15" customHeight="1">
      <c r="A10574" s="51"/>
      <c r="B10574" s="52" t="str">
        <f t="shared" si="528"/>
        <v/>
      </c>
      <c r="C10574" t="str">
        <f t="shared" si="527"/>
        <v/>
      </c>
      <c r="D10574" s="245" t="str">
        <f t="shared" si="529"/>
        <v/>
      </c>
      <c r="E10574" s="534"/>
      <c r="F10574" s="534"/>
    </row>
    <row r="10575" spans="1:6" ht="15" customHeight="1">
      <c r="A10575" s="51"/>
      <c r="B10575" s="52" t="str">
        <f t="shared" si="528"/>
        <v/>
      </c>
      <c r="C10575" t="str">
        <f t="shared" si="527"/>
        <v/>
      </c>
      <c r="D10575" s="245" t="str">
        <f t="shared" si="529"/>
        <v/>
      </c>
      <c r="E10575" s="534"/>
      <c r="F10575" s="534"/>
    </row>
    <row r="10576" spans="1:6" ht="15" customHeight="1">
      <c r="A10576" s="51"/>
      <c r="B10576" s="52" t="str">
        <f t="shared" si="528"/>
        <v/>
      </c>
      <c r="C10576" t="str">
        <f t="shared" si="527"/>
        <v/>
      </c>
      <c r="D10576" s="245" t="str">
        <f t="shared" si="529"/>
        <v/>
      </c>
      <c r="E10576" s="534"/>
      <c r="F10576" s="534"/>
    </row>
    <row r="10577" spans="1:6" ht="15" customHeight="1">
      <c r="A10577" s="51"/>
      <c r="B10577" s="52" t="str">
        <f t="shared" si="528"/>
        <v/>
      </c>
      <c r="C10577" t="str">
        <f t="shared" si="527"/>
        <v/>
      </c>
      <c r="D10577" s="245" t="str">
        <f t="shared" si="529"/>
        <v/>
      </c>
      <c r="E10577" s="534"/>
      <c r="F10577" s="534"/>
    </row>
    <row r="10578" spans="1:6" ht="15" customHeight="1">
      <c r="A10578" s="51"/>
      <c r="B10578" s="52" t="str">
        <f t="shared" si="528"/>
        <v/>
      </c>
      <c r="C10578" t="str">
        <f t="shared" si="527"/>
        <v/>
      </c>
      <c r="D10578" s="245" t="str">
        <f t="shared" si="529"/>
        <v/>
      </c>
      <c r="E10578" s="534"/>
      <c r="F10578" s="534"/>
    </row>
    <row r="10579" spans="1:6" ht="15" customHeight="1">
      <c r="A10579" s="51"/>
      <c r="B10579" s="52" t="str">
        <f t="shared" si="528"/>
        <v/>
      </c>
      <c r="C10579" t="str">
        <f t="shared" si="527"/>
        <v/>
      </c>
      <c r="D10579" s="245" t="str">
        <f t="shared" si="529"/>
        <v/>
      </c>
      <c r="E10579" s="534"/>
      <c r="F10579" s="534"/>
    </row>
    <row r="10580" spans="1:6" ht="15" customHeight="1">
      <c r="A10580" s="51"/>
      <c r="B10580" s="52" t="str">
        <f t="shared" si="528"/>
        <v/>
      </c>
      <c r="C10580" t="str">
        <f t="shared" si="527"/>
        <v/>
      </c>
      <c r="D10580" s="245" t="str">
        <f t="shared" si="529"/>
        <v/>
      </c>
      <c r="E10580" s="534"/>
      <c r="F10580" s="534"/>
    </row>
    <row r="10581" spans="1:6" ht="15" customHeight="1">
      <c r="A10581" s="51"/>
      <c r="B10581" s="52" t="str">
        <f t="shared" si="528"/>
        <v/>
      </c>
      <c r="C10581" t="str">
        <f t="shared" si="527"/>
        <v/>
      </c>
      <c r="D10581" s="245" t="str">
        <f t="shared" si="529"/>
        <v/>
      </c>
      <c r="E10581" s="534"/>
      <c r="F10581" s="534"/>
    </row>
    <row r="10582" spans="1:6" ht="15" customHeight="1">
      <c r="A10582" s="51"/>
      <c r="B10582" s="52" t="str">
        <f t="shared" si="528"/>
        <v/>
      </c>
      <c r="C10582" t="str">
        <f t="shared" si="527"/>
        <v/>
      </c>
      <c r="D10582" s="245" t="str">
        <f t="shared" si="529"/>
        <v/>
      </c>
      <c r="E10582" s="534"/>
      <c r="F10582" s="534"/>
    </row>
    <row r="10583" spans="1:6" ht="15" customHeight="1">
      <c r="A10583" s="51"/>
      <c r="B10583" s="52" t="str">
        <f t="shared" si="528"/>
        <v/>
      </c>
      <c r="C10583" t="str">
        <f t="shared" si="527"/>
        <v/>
      </c>
      <c r="D10583" s="245" t="str">
        <f t="shared" si="529"/>
        <v/>
      </c>
      <c r="E10583" s="534"/>
      <c r="F10583" s="534"/>
    </row>
    <row r="10584" spans="1:6" ht="15" customHeight="1">
      <c r="A10584" s="51"/>
      <c r="B10584" s="52" t="str">
        <f t="shared" si="528"/>
        <v/>
      </c>
      <c r="C10584" t="str">
        <f t="shared" si="527"/>
        <v/>
      </c>
      <c r="D10584" s="245" t="str">
        <f t="shared" si="529"/>
        <v/>
      </c>
      <c r="E10584" s="534"/>
      <c r="F10584" s="534"/>
    </row>
    <row r="10585" spans="1:6" ht="15" customHeight="1">
      <c r="A10585" s="51"/>
      <c r="B10585" s="52" t="str">
        <f t="shared" si="528"/>
        <v/>
      </c>
      <c r="C10585" t="str">
        <f t="shared" si="527"/>
        <v/>
      </c>
      <c r="D10585" s="245" t="str">
        <f t="shared" si="529"/>
        <v/>
      </c>
      <c r="E10585" s="534"/>
      <c r="F10585" s="534"/>
    </row>
    <row r="10586" spans="1:6" ht="15" customHeight="1">
      <c r="A10586" s="51"/>
      <c r="B10586" s="52" t="str">
        <f t="shared" si="528"/>
        <v/>
      </c>
      <c r="C10586" t="str">
        <f t="shared" si="527"/>
        <v/>
      </c>
      <c r="D10586" s="245" t="str">
        <f t="shared" si="529"/>
        <v/>
      </c>
      <c r="E10586" s="534"/>
      <c r="F10586" s="534"/>
    </row>
    <row r="10587" spans="1:6" ht="15" customHeight="1">
      <c r="A10587" s="51"/>
      <c r="B10587" s="52" t="str">
        <f t="shared" si="528"/>
        <v/>
      </c>
      <c r="C10587" t="str">
        <f t="shared" si="527"/>
        <v/>
      </c>
      <c r="D10587" s="245" t="str">
        <f t="shared" si="529"/>
        <v/>
      </c>
      <c r="E10587" s="534"/>
      <c r="F10587" s="534"/>
    </row>
    <row r="10588" spans="1:6" ht="15" customHeight="1">
      <c r="A10588" s="51"/>
      <c r="B10588" s="52" t="str">
        <f t="shared" si="528"/>
        <v/>
      </c>
      <c r="C10588" t="str">
        <f t="shared" si="527"/>
        <v/>
      </c>
      <c r="D10588" s="245" t="str">
        <f t="shared" si="529"/>
        <v/>
      </c>
      <c r="E10588" s="534"/>
      <c r="F10588" s="534"/>
    </row>
    <row r="10589" spans="1:6" ht="15" customHeight="1">
      <c r="A10589" s="51"/>
      <c r="B10589" s="52" t="str">
        <f t="shared" si="528"/>
        <v/>
      </c>
      <c r="C10589" t="str">
        <f t="shared" si="527"/>
        <v/>
      </c>
      <c r="D10589" s="245" t="str">
        <f t="shared" si="529"/>
        <v/>
      </c>
      <c r="E10589" s="534"/>
      <c r="F10589" s="534"/>
    </row>
    <row r="10590" spans="1:6" ht="15" customHeight="1">
      <c r="A10590" s="51"/>
      <c r="B10590" s="52" t="str">
        <f t="shared" si="528"/>
        <v/>
      </c>
      <c r="C10590" t="str">
        <f t="shared" si="527"/>
        <v/>
      </c>
      <c r="D10590" s="245" t="str">
        <f t="shared" si="529"/>
        <v/>
      </c>
      <c r="E10590" s="534"/>
      <c r="F10590" s="534"/>
    </row>
    <row r="10591" spans="1:6" ht="15" customHeight="1">
      <c r="A10591" s="51"/>
      <c r="B10591" s="52" t="str">
        <f t="shared" si="528"/>
        <v/>
      </c>
      <c r="C10591" t="str">
        <f t="shared" si="527"/>
        <v/>
      </c>
      <c r="D10591" s="245" t="str">
        <f t="shared" si="529"/>
        <v/>
      </c>
      <c r="E10591" s="534"/>
      <c r="F10591" s="534"/>
    </row>
  </sheetData>
  <autoFilter ref="A6:J681" xr:uid="{00000000-0009-0000-0000-000002000000}"/>
  <phoneticPr fontId="72" type="noConversion"/>
  <conditionalFormatting sqref="C7:C341">
    <cfRule type="expression" dxfId="21" priority="20">
      <formula>#REF!="⚠️ EM ATRASO"</formula>
    </cfRule>
  </conditionalFormatting>
  <conditionalFormatting sqref="G38:G221">
    <cfRule type="expression" dxfId="20" priority="19">
      <formula>#REF!=LARGE((#REF!)*((#REF!)&lt;TODAY()),1)</formula>
    </cfRule>
  </conditionalFormatting>
  <conditionalFormatting sqref="G130:G221">
    <cfRule type="expression" dxfId="19" priority="2">
      <formula>G130=LARGE(G$6:G$36,1)</formula>
    </cfRule>
    <cfRule type="expression" dxfId="18" priority="3">
      <formula>AND(G130=SMALL(IF(G$6:G$39&gt;0,G$6:G$39),1), G130&gt;0)</formula>
    </cfRule>
  </conditionalFormatting>
  <dataValidations count="1">
    <dataValidation allowBlank="1" showInputMessage="1" showErrorMessage="1" sqref="D7:F1048576" xr:uid="{5015EFFF-5510-4A12-91D2-D1B34AD26A12}"/>
  </dataValidation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10D03-C12D-4486-97B1-FA55A4E4C3FE}">
  <sheetPr>
    <tabColor rgb="FFB45F06"/>
    <outlinePr summaryBelow="0" summaryRight="0"/>
  </sheetPr>
  <dimension ref="A1:X1048572"/>
  <sheetViews>
    <sheetView showGridLines="0" zoomScale="68" workbookViewId="0">
      <selection activeCell="G342" sqref="G342"/>
    </sheetView>
  </sheetViews>
  <sheetFormatPr defaultColWidth="11.19921875" defaultRowHeight="15" customHeight="1" outlineLevelRow="1"/>
  <cols>
    <col min="1" max="1" width="2" customWidth="1"/>
    <col min="2" max="2" width="18" customWidth="1"/>
    <col min="3" max="3" width="13.296875" customWidth="1"/>
    <col min="4" max="4" width="14" customWidth="1"/>
    <col min="5" max="5" width="16.19921875" customWidth="1"/>
    <col min="6" max="6" width="2.296875" customWidth="1"/>
    <col min="7" max="7" width="30" style="370" customWidth="1"/>
    <col min="8" max="8" width="23.09765625" style="370" customWidth="1"/>
    <col min="9" max="9" width="50.796875" style="371" customWidth="1"/>
    <col min="10" max="10" width="14.796875" style="370" customWidth="1"/>
    <col min="11" max="11" width="37.796875" style="380" customWidth="1"/>
    <col min="12" max="12" width="21.296875" style="370" customWidth="1"/>
    <col min="13" max="13" width="28" style="370" customWidth="1"/>
    <col min="14" max="18" width="11.19921875" style="216"/>
    <col min="19" max="19" width="11.19921875" style="215"/>
    <col min="20" max="20" width="13" style="310" customWidth="1"/>
    <col min="24" max="24" width="13.296875" customWidth="1"/>
  </cols>
  <sheetData>
    <row r="1" spans="1:24" ht="25.5" customHeight="1">
      <c r="B1" s="206"/>
      <c r="C1" s="206"/>
      <c r="D1" s="206"/>
      <c r="E1" s="206"/>
      <c r="F1" s="206"/>
      <c r="G1" s="566" t="s">
        <v>61</v>
      </c>
      <c r="H1" s="567"/>
      <c r="I1" s="248" t="s">
        <v>62</v>
      </c>
      <c r="J1" s="53"/>
      <c r="K1" s="390"/>
      <c r="N1" s="370"/>
      <c r="O1" s="370"/>
      <c r="P1" s="370"/>
      <c r="Q1" s="370"/>
      <c r="R1" s="370"/>
      <c r="S1" s="380"/>
      <c r="T1" s="374"/>
      <c r="U1" s="206"/>
      <c r="V1" s="206"/>
      <c r="W1" s="206"/>
      <c r="X1" s="206"/>
    </row>
    <row r="2" spans="1:24" ht="15" customHeight="1">
      <c r="B2" s="568" t="s">
        <v>37</v>
      </c>
      <c r="C2" s="569"/>
      <c r="D2" s="569"/>
      <c r="E2" s="570"/>
      <c r="F2" s="206"/>
      <c r="G2" s="57" t="s">
        <v>63</v>
      </c>
      <c r="H2" s="58" t="s">
        <v>64</v>
      </c>
      <c r="I2" s="59">
        <v>0</v>
      </c>
      <c r="J2" s="53"/>
      <c r="K2" s="391"/>
      <c r="N2" s="370"/>
      <c r="O2" s="370"/>
      <c r="P2" s="370"/>
      <c r="Q2" s="370"/>
      <c r="R2" s="370"/>
      <c r="S2" s="380"/>
      <c r="T2" s="374"/>
      <c r="U2" s="206"/>
      <c r="V2" s="206"/>
      <c r="W2" s="206"/>
      <c r="X2" s="206"/>
    </row>
    <row r="3" spans="1:24" ht="19.5" customHeight="1">
      <c r="B3" s="56" t="s">
        <v>65</v>
      </c>
      <c r="C3" s="194">
        <f ca="1">IFERROR(SUMIFS('📋 Despesas'!$K:$K,'📋 Despesas'!$N:$N,E3),"S/D")</f>
        <v>0</v>
      </c>
      <c r="D3" s="195" t="str">
        <f t="shared" ref="D3:D10" ca="1" si="0">TEXT(WEEKDAY(E3),"dddd")</f>
        <v>quarta-feira</v>
      </c>
      <c r="E3" s="196">
        <f ca="1">TODAY()</f>
        <v>46190</v>
      </c>
      <c r="F3" s="206"/>
      <c r="G3" s="61">
        <v>46174</v>
      </c>
      <c r="H3" s="61">
        <v>46203</v>
      </c>
      <c r="I3" s="251" t="s">
        <v>66</v>
      </c>
      <c r="J3" s="53"/>
      <c r="K3" s="391"/>
      <c r="N3" s="370"/>
      <c r="O3" s="370"/>
      <c r="P3" s="370"/>
      <c r="Q3" s="370"/>
      <c r="R3" s="370"/>
      <c r="S3" s="380"/>
      <c r="T3" s="374"/>
      <c r="U3" s="206"/>
      <c r="V3" s="206"/>
      <c r="W3" s="206"/>
      <c r="X3" s="206"/>
    </row>
    <row r="4" spans="1:24" ht="21" customHeight="1">
      <c r="A4" s="53"/>
      <c r="B4" s="60" t="s">
        <v>67</v>
      </c>
      <c r="C4" s="197">
        <f ca="1">IFERROR(SUMIFS('📋 Despesas'!$K:$K,'📋 Despesas'!$N:$N,E4),"S/D")</f>
        <v>0</v>
      </c>
      <c r="D4" s="249" t="str">
        <f t="shared" ca="1" si="0"/>
        <v>quinta-feira</v>
      </c>
      <c r="E4" s="250">
        <f t="shared" ref="E4:E10" ca="1" si="1">E3+1</f>
        <v>46191</v>
      </c>
      <c r="F4" s="368"/>
      <c r="G4" s="252" t="s">
        <v>68</v>
      </c>
      <c r="H4" s="338">
        <f>SUMIFS('📋 Despesas'!J7:J17825,'📋 Despesas'!N7:N17825,"&gt;="&amp;G3,'📋 Despesas'!N7:N17825,"&lt;="&amp;H3)</f>
        <v>4430.0300000000007</v>
      </c>
      <c r="I4" s="63">
        <f>I2-H4</f>
        <v>-4430.0300000000007</v>
      </c>
      <c r="J4" s="53"/>
      <c r="L4" s="53"/>
      <c r="M4" s="53"/>
      <c r="N4" s="53"/>
      <c r="O4" s="53"/>
      <c r="P4" s="53"/>
      <c r="Q4" s="53"/>
      <c r="R4" s="53"/>
      <c r="S4" s="339"/>
      <c r="T4" s="69"/>
      <c r="U4" s="53"/>
      <c r="V4" s="53"/>
      <c r="W4" s="53"/>
      <c r="X4" s="53"/>
    </row>
    <row r="5" spans="1:24" ht="20.25" customHeight="1">
      <c r="A5" s="53"/>
      <c r="B5" s="62" t="s">
        <v>69</v>
      </c>
      <c r="C5" s="197">
        <f ca="1">IFERROR(SUMIFS('📋 Despesas'!$K:$K,'📋 Despesas'!$N:$N,E5),"S/D")</f>
        <v>0</v>
      </c>
      <c r="D5" s="249" t="str">
        <f t="shared" ca="1" si="0"/>
        <v>sexta-feira</v>
      </c>
      <c r="E5" s="250">
        <f t="shared" ca="1" si="1"/>
        <v>46192</v>
      </c>
      <c r="F5" s="53"/>
      <c r="G5" s="53"/>
      <c r="H5" s="53"/>
      <c r="I5" s="53"/>
      <c r="J5" s="53"/>
      <c r="K5" s="339"/>
      <c r="L5" s="206"/>
      <c r="M5" s="53"/>
      <c r="N5" s="53"/>
      <c r="O5" s="53"/>
      <c r="P5" s="53"/>
      <c r="Q5" s="53"/>
      <c r="R5" s="53"/>
      <c r="S5" s="339"/>
      <c r="T5" s="69"/>
      <c r="U5" s="53"/>
      <c r="V5" s="53"/>
      <c r="W5" s="53"/>
      <c r="X5" s="53"/>
    </row>
    <row r="6" spans="1:24" ht="20.25" customHeight="1">
      <c r="A6" s="53"/>
      <c r="B6" s="64" t="s">
        <v>70</v>
      </c>
      <c r="C6" s="197">
        <f ca="1">IFERROR(SUMIFS('📋 Despesas'!$K:$K,'📋 Despesas'!$N:$N,E6),"S/D")</f>
        <v>0</v>
      </c>
      <c r="D6" s="249" t="str">
        <f t="shared" ca="1" si="0"/>
        <v>sábado</v>
      </c>
      <c r="E6" s="250">
        <f t="shared" ca="1" si="1"/>
        <v>46193</v>
      </c>
      <c r="F6" s="53"/>
      <c r="G6" s="201" t="s">
        <v>71</v>
      </c>
      <c r="H6" s="200">
        <f>SUMIFS('💸  Receitas'!J7:J300307,'💸  Receitas'!A7:A300307,"&gt;="&amp;G3,'💸  Receitas'!A7:A300307,"&lt;="&amp;H3)</f>
        <v>10500</v>
      </c>
      <c r="I6" s="206"/>
      <c r="J6" s="53"/>
      <c r="K6" s="339"/>
      <c r="L6" s="206"/>
      <c r="M6" s="53"/>
      <c r="N6" s="53"/>
      <c r="O6" s="53"/>
      <c r="P6" s="53"/>
      <c r="Q6" s="53"/>
      <c r="R6" s="53"/>
      <c r="S6" s="339"/>
      <c r="T6" s="69"/>
      <c r="U6" s="53"/>
      <c r="V6" s="53"/>
      <c r="W6" s="53"/>
      <c r="X6" s="53"/>
    </row>
    <row r="7" spans="1:24" ht="20.25" customHeight="1">
      <c r="A7" s="53"/>
      <c r="B7" s="65" t="s">
        <v>72</v>
      </c>
      <c r="C7" s="197">
        <f ca="1">IFERROR(SUMIFS('📋 Despesas'!$K:$K,'📋 Despesas'!$N:$N,E7),"S/D")</f>
        <v>0</v>
      </c>
      <c r="D7" s="249" t="str">
        <f t="shared" ca="1" si="0"/>
        <v>domingo</v>
      </c>
      <c r="E7" s="250">
        <f t="shared" ca="1" si="1"/>
        <v>46194</v>
      </c>
      <c r="F7" s="53"/>
      <c r="G7" s="202" t="s">
        <v>73</v>
      </c>
      <c r="H7" s="214">
        <f>I4+H6</f>
        <v>6069.9699999999993</v>
      </c>
      <c r="I7" s="206"/>
      <c r="J7" s="53"/>
      <c r="K7" s="339"/>
      <c r="L7" s="206"/>
      <c r="M7" s="53"/>
      <c r="N7" s="53"/>
      <c r="O7" s="53"/>
      <c r="P7" s="53"/>
      <c r="Q7" s="53"/>
      <c r="R7" s="53"/>
      <c r="S7" s="339"/>
      <c r="T7" s="69"/>
      <c r="U7" s="53"/>
      <c r="V7" s="53"/>
      <c r="W7" s="53"/>
      <c r="X7" s="53"/>
    </row>
    <row r="8" spans="1:24" ht="20.25" customHeight="1">
      <c r="A8" s="53"/>
      <c r="B8" s="65" t="s">
        <v>74</v>
      </c>
      <c r="C8" s="197">
        <f ca="1">IFERROR(SUMIFS('📋 Despesas'!$K:$K,'📋 Despesas'!$N:$N,E8),"S/D")</f>
        <v>0</v>
      </c>
      <c r="D8" s="249" t="str">
        <f t="shared" ca="1" si="0"/>
        <v>segunda-feira</v>
      </c>
      <c r="E8" s="250">
        <f t="shared" ca="1" si="1"/>
        <v>46195</v>
      </c>
      <c r="F8" s="53"/>
      <c r="G8" s="203" t="s">
        <v>75</v>
      </c>
      <c r="H8" s="204">
        <v>0</v>
      </c>
      <c r="I8" s="206"/>
      <c r="J8" s="53"/>
      <c r="K8" s="339"/>
      <c r="L8" s="206"/>
      <c r="M8" s="53"/>
      <c r="N8" s="53"/>
      <c r="O8" s="53"/>
      <c r="P8" s="53"/>
      <c r="Q8" s="53"/>
      <c r="R8" s="53"/>
      <c r="S8" s="339"/>
      <c r="T8" s="69"/>
      <c r="U8" s="53"/>
      <c r="V8" s="53"/>
      <c r="W8" s="53"/>
      <c r="X8" s="53"/>
    </row>
    <row r="9" spans="1:24" ht="18">
      <c r="A9" s="53"/>
      <c r="B9" s="65" t="s">
        <v>193</v>
      </c>
      <c r="C9" s="197">
        <f ca="1">IFERROR(SUMIFS('📋 Despesas'!$K:$K,'📋 Despesas'!$N:$N,E9),"S/D")</f>
        <v>0</v>
      </c>
      <c r="D9" s="249" t="str">
        <f t="shared" ca="1" si="0"/>
        <v>terça-feira</v>
      </c>
      <c r="E9" s="250">
        <f t="shared" ca="1" si="1"/>
        <v>46196</v>
      </c>
      <c r="F9" s="53"/>
      <c r="G9" s="203" t="s">
        <v>76</v>
      </c>
      <c r="H9" s="204">
        <v>0</v>
      </c>
      <c r="I9" s="53"/>
      <c r="J9" s="53"/>
      <c r="K9" s="339"/>
      <c r="L9" s="53"/>
      <c r="M9" s="53"/>
      <c r="N9" s="53"/>
      <c r="O9" s="53"/>
      <c r="P9" s="53"/>
      <c r="Q9" s="53"/>
      <c r="R9" s="53"/>
      <c r="S9" s="339"/>
      <c r="T9" s="69"/>
      <c r="U9" s="53"/>
      <c r="V9" s="53"/>
      <c r="W9" s="53"/>
      <c r="X9" s="53"/>
    </row>
    <row r="10" spans="1:24" ht="19.5" customHeight="1">
      <c r="A10" s="53"/>
      <c r="B10" s="65" t="s">
        <v>194</v>
      </c>
      <c r="C10" s="197">
        <f ca="1">IFERROR(SUMIFS('📋 Despesas'!$K:$K,'📋 Despesas'!$N:$N,E10),"S/D")</f>
        <v>0</v>
      </c>
      <c r="D10" s="249" t="str">
        <f t="shared" ca="1" si="0"/>
        <v>quarta-feira</v>
      </c>
      <c r="E10" s="250">
        <f t="shared" ca="1" si="1"/>
        <v>46197</v>
      </c>
      <c r="F10" s="53"/>
      <c r="G10" s="205" t="s">
        <v>77</v>
      </c>
      <c r="H10" s="219">
        <f>H7+H8+H9</f>
        <v>6069.9699999999993</v>
      </c>
      <c r="I10" s="54"/>
      <c r="J10" s="53"/>
      <c r="K10" s="392">
        <f>I2-(SUMIFS('📋 Despesas'!M7:M8183,'📋 Despesas'!N7:N8183,"&gt;="&amp;G3,'📋 Despesas'!N7:N8183,"&lt;="&amp;H11))+H8+H9+H6</f>
        <v>10500</v>
      </c>
      <c r="L10" s="53"/>
      <c r="M10" s="53"/>
      <c r="N10" s="53"/>
      <c r="O10" s="53"/>
      <c r="P10" s="53"/>
      <c r="Q10" s="53"/>
      <c r="R10" s="53"/>
      <c r="S10" s="339"/>
      <c r="T10" s="69"/>
      <c r="U10" s="53"/>
      <c r="V10" s="53"/>
      <c r="W10" s="53"/>
      <c r="X10" s="53"/>
    </row>
    <row r="11" spans="1:24" ht="21">
      <c r="A11" s="53"/>
      <c r="B11" s="386"/>
      <c r="C11" s="386"/>
      <c r="D11" s="386"/>
      <c r="E11" s="387"/>
      <c r="F11" s="383"/>
      <c r="G11" s="221" t="s">
        <v>78</v>
      </c>
      <c r="H11" s="232">
        <v>46082</v>
      </c>
      <c r="I11" s="222">
        <f>SUBTOTAL(9,L12:L777)</f>
        <v>0</v>
      </c>
      <c r="J11" s="53"/>
      <c r="K11" s="391"/>
      <c r="L11" s="53"/>
      <c r="M11" s="53"/>
      <c r="N11" s="53"/>
      <c r="O11" s="53"/>
      <c r="P11" s="53"/>
      <c r="Q11" s="53"/>
      <c r="R11" s="53"/>
      <c r="S11" s="339"/>
      <c r="T11" s="69"/>
      <c r="U11" s="53"/>
      <c r="V11" s="53"/>
      <c r="W11" s="311"/>
      <c r="X11" s="53"/>
    </row>
    <row r="12" spans="1:24" ht="19.5" customHeight="1">
      <c r="A12" s="53"/>
      <c r="E12" s="383"/>
      <c r="F12" s="53"/>
      <c r="G12" s="369" t="str" cm="1">
        <f t="array" ref="G12">IFERROR(_xlfn._xlws.FILTER('📋 Despesas'!E7:J17825, ('📋 Despesas'!N7:N17825=H11) * ('📋 Despesas'!K7:K17825&gt;0)),"Sem Pgto")</f>
        <v>Sem Pgto</v>
      </c>
      <c r="I12" s="382"/>
      <c r="L12" s="373"/>
      <c r="M12" s="373"/>
      <c r="N12" s="227"/>
      <c r="O12" s="340"/>
      <c r="P12" s="340"/>
      <c r="Q12" s="340"/>
      <c r="R12" s="227"/>
      <c r="S12" s="340"/>
      <c r="T12" s="226"/>
      <c r="U12" s="227"/>
      <c r="V12" s="227"/>
      <c r="W12" s="227"/>
      <c r="X12" s="227"/>
    </row>
    <row r="13" spans="1:24" ht="17.25" customHeight="1">
      <c r="A13" s="53"/>
      <c r="D13" s="389">
        <f ca="1">H4-E13</f>
        <v>810.03000000000065</v>
      </c>
      <c r="E13" s="384">
        <f ca="1">'📋 Despesas'!K4</f>
        <v>3620</v>
      </c>
      <c r="F13" s="53"/>
      <c r="G13" s="369"/>
      <c r="I13" s="382"/>
      <c r="L13" s="373"/>
      <c r="M13" s="373"/>
      <c r="N13" s="227"/>
      <c r="O13" s="340"/>
      <c r="P13" s="340"/>
      <c r="Q13" s="340"/>
      <c r="R13" s="227"/>
      <c r="S13" s="340"/>
      <c r="T13" s="226"/>
      <c r="U13" s="227"/>
      <c r="V13" s="227"/>
      <c r="W13" s="227"/>
      <c r="X13" s="227"/>
    </row>
    <row r="14" spans="1:24" ht="15.6">
      <c r="A14" s="53"/>
      <c r="B14" s="565" t="s">
        <v>79</v>
      </c>
      <c r="C14" s="556"/>
      <c r="D14" s="556"/>
      <c r="E14" s="385"/>
      <c r="F14" s="53"/>
      <c r="G14" s="369"/>
      <c r="I14" s="382"/>
      <c r="L14" s="373"/>
      <c r="M14" s="373"/>
      <c r="N14" s="227"/>
      <c r="O14" s="340"/>
      <c r="P14" s="340"/>
      <c r="Q14" s="340"/>
      <c r="R14" s="227"/>
      <c r="S14" s="340"/>
      <c r="T14" s="226"/>
      <c r="U14" s="227"/>
      <c r="V14" s="227"/>
      <c r="W14" s="227"/>
      <c r="X14" s="227"/>
    </row>
    <row r="15" spans="1:24" ht="15.6" collapsed="1">
      <c r="A15" s="53"/>
      <c r="B15" s="66" t="s">
        <v>40</v>
      </c>
      <c r="C15" s="67" t="s">
        <v>56</v>
      </c>
      <c r="D15" s="68" t="s">
        <v>80</v>
      </c>
      <c r="E15" s="385"/>
      <c r="F15" s="53"/>
      <c r="G15" s="369"/>
      <c r="I15" s="382"/>
      <c r="L15" s="373"/>
      <c r="M15" s="373"/>
      <c r="N15" s="227"/>
      <c r="O15" s="340"/>
      <c r="P15" s="340"/>
      <c r="Q15" s="340"/>
      <c r="R15" s="227"/>
      <c r="S15" s="340"/>
      <c r="T15" s="226"/>
      <c r="U15" s="227"/>
      <c r="V15" s="227"/>
      <c r="W15" s="227"/>
      <c r="X15" s="227"/>
    </row>
    <row r="16" spans="1:24" ht="15.6" hidden="1" outlineLevel="1">
      <c r="A16" s="69"/>
      <c r="B16" s="69">
        <v>45839</v>
      </c>
      <c r="C16" s="70" t="str">
        <f>IF(B16&lt;&gt;"",TEXT(WEEKDAY(B16),"dddd"),"")</f>
        <v>terça-feira</v>
      </c>
      <c r="D16" s="55">
        <f>SUMIFS('📋 Despesas'!M:M,'📋 Despesas'!N:N,B16)</f>
        <v>0</v>
      </c>
      <c r="E16" s="206"/>
      <c r="F16" s="53"/>
      <c r="G16" s="374"/>
      <c r="I16" s="382"/>
      <c r="L16" s="375"/>
      <c r="M16" s="373"/>
      <c r="N16" s="227"/>
      <c r="O16" s="227"/>
      <c r="P16" s="227"/>
      <c r="Q16" s="227"/>
      <c r="R16" s="227"/>
      <c r="S16" s="340"/>
      <c r="T16" s="226"/>
      <c r="U16" s="227"/>
      <c r="V16" s="227"/>
      <c r="W16" s="227"/>
      <c r="X16" s="227"/>
    </row>
    <row r="17" spans="1:24" ht="15.6" hidden="1" outlineLevel="1">
      <c r="A17" s="69"/>
      <c r="B17" s="69">
        <v>45840</v>
      </c>
      <c r="C17" s="70" t="str">
        <f t="shared" ref="C17:C80" si="2">IF(B17&lt;&gt;"",TEXT(WEEKDAY(B17),"dddd"),"")</f>
        <v>quarta-feira</v>
      </c>
      <c r="D17" s="55">
        <f>SUMIFS('📋 Despesas'!M:M,'📋 Despesas'!N:N,B17)</f>
        <v>0</v>
      </c>
      <c r="E17" s="53"/>
      <c r="F17" s="53"/>
      <c r="G17" s="374"/>
      <c r="L17" s="372"/>
      <c r="M17" s="372"/>
      <c r="N17" s="227"/>
      <c r="O17" s="227"/>
      <c r="P17" s="227"/>
      <c r="Q17" s="227"/>
      <c r="R17" s="227"/>
      <c r="S17" s="340"/>
      <c r="T17" s="226"/>
      <c r="U17" s="376"/>
      <c r="V17" s="372"/>
      <c r="W17" s="206"/>
      <c r="X17" s="227"/>
    </row>
    <row r="18" spans="1:24" ht="15.6" hidden="1" outlineLevel="1">
      <c r="A18" s="69"/>
      <c r="B18" s="69">
        <v>45841</v>
      </c>
      <c r="C18" s="70" t="str">
        <f t="shared" si="2"/>
        <v>quinta-feira</v>
      </c>
      <c r="D18" s="55">
        <f>SUMIFS('📋 Despesas'!M:M,'📋 Despesas'!N:N,B18)</f>
        <v>0</v>
      </c>
      <c r="E18" s="53"/>
      <c r="F18" s="53"/>
      <c r="G18" s="374"/>
      <c r="H18" s="377"/>
      <c r="I18" s="377"/>
      <c r="J18" s="377"/>
      <c r="K18" s="393"/>
      <c r="L18" s="377"/>
      <c r="M18" s="377"/>
      <c r="N18" s="224"/>
      <c r="O18" s="225"/>
      <c r="P18" s="225"/>
      <c r="Q18" s="225"/>
      <c r="R18" s="224"/>
      <c r="S18" s="225"/>
      <c r="T18" s="223"/>
      <c r="U18" s="312"/>
      <c r="V18" s="227"/>
      <c r="W18" s="227"/>
      <c r="X18" s="227"/>
    </row>
    <row r="19" spans="1:24" ht="15.6" hidden="1" outlineLevel="1">
      <c r="A19" s="69"/>
      <c r="B19" s="69">
        <v>45842</v>
      </c>
      <c r="C19" s="70" t="str">
        <f t="shared" si="2"/>
        <v>sexta-feira</v>
      </c>
      <c r="D19" s="55">
        <f>SUMIFS('📋 Despesas'!M:M,'📋 Despesas'!N:N,B19)</f>
        <v>0</v>
      </c>
      <c r="E19" s="53"/>
      <c r="F19" s="53"/>
      <c r="G19" s="374"/>
      <c r="H19" s="377"/>
      <c r="I19" s="377"/>
      <c r="J19" s="377"/>
      <c r="K19" s="393"/>
      <c r="L19" s="377"/>
      <c r="M19" s="377"/>
      <c r="N19" s="224"/>
      <c r="O19" s="225"/>
      <c r="P19" s="225"/>
      <c r="Q19" s="225"/>
      <c r="R19" s="224"/>
      <c r="S19" s="225"/>
      <c r="T19" s="223"/>
      <c r="U19" s="312"/>
      <c r="V19" s="227"/>
      <c r="W19" s="227"/>
      <c r="X19" s="227"/>
    </row>
    <row r="20" spans="1:24" ht="15.6" hidden="1" outlineLevel="1">
      <c r="A20" s="69"/>
      <c r="B20" s="69">
        <v>45843</v>
      </c>
      <c r="C20" s="70" t="str">
        <f t="shared" si="2"/>
        <v>sábado</v>
      </c>
      <c r="D20" s="55">
        <f>SUMIFS('📋 Despesas'!M:M,'📋 Despesas'!N:N,B20)</f>
        <v>0</v>
      </c>
      <c r="E20" s="53"/>
      <c r="F20" s="53"/>
      <c r="G20" s="374"/>
      <c r="H20" s="377"/>
      <c r="I20" s="377"/>
      <c r="J20" s="377"/>
      <c r="K20" s="393"/>
      <c r="L20" s="377"/>
      <c r="M20" s="377"/>
      <c r="N20" s="224"/>
      <c r="O20" s="225"/>
      <c r="P20" s="225"/>
      <c r="Q20" s="225"/>
      <c r="R20" s="224"/>
      <c r="S20" s="225"/>
      <c r="T20" s="223"/>
      <c r="U20" s="312"/>
      <c r="V20" s="227"/>
      <c r="W20" s="227"/>
      <c r="X20" s="227"/>
    </row>
    <row r="21" spans="1:24" ht="15.6" hidden="1" outlineLevel="1">
      <c r="A21" s="69"/>
      <c r="B21" s="69">
        <v>45844</v>
      </c>
      <c r="C21" s="70" t="str">
        <f t="shared" si="2"/>
        <v>domingo</v>
      </c>
      <c r="D21" s="55">
        <f>SUMIFS('📋 Despesas'!M:M,'📋 Despesas'!N:N,B21)</f>
        <v>0</v>
      </c>
      <c r="E21" s="53"/>
      <c r="F21" s="53"/>
      <c r="G21" s="374"/>
      <c r="H21" s="377"/>
      <c r="I21" s="377"/>
      <c r="J21" s="377"/>
      <c r="K21" s="393"/>
      <c r="L21" s="377"/>
      <c r="M21" s="377"/>
      <c r="N21" s="224"/>
      <c r="O21" s="225"/>
      <c r="P21" s="225"/>
      <c r="Q21" s="225"/>
      <c r="R21" s="224"/>
      <c r="S21" s="225"/>
      <c r="T21" s="223"/>
      <c r="U21" s="227"/>
      <c r="V21" s="227"/>
      <c r="W21" s="227"/>
      <c r="X21" s="227"/>
    </row>
    <row r="22" spans="1:24" ht="15.6" hidden="1" outlineLevel="1">
      <c r="A22" s="69"/>
      <c r="B22" s="69">
        <v>45845</v>
      </c>
      <c r="C22" s="70" t="str">
        <f t="shared" si="2"/>
        <v>segunda-feira</v>
      </c>
      <c r="D22" s="55">
        <f>SUMIFS('📋 Despesas'!M:M,'📋 Despesas'!N:N,B22)</f>
        <v>0</v>
      </c>
      <c r="E22" s="53"/>
      <c r="F22" s="53"/>
      <c r="G22" s="374"/>
      <c r="H22" s="372"/>
      <c r="I22" s="372"/>
      <c r="J22" s="372"/>
      <c r="K22" s="373"/>
      <c r="L22" s="372"/>
      <c r="M22" s="372"/>
      <c r="N22" s="227"/>
      <c r="O22" s="227"/>
      <c r="P22" s="227"/>
      <c r="Q22" s="227"/>
      <c r="R22" s="227"/>
      <c r="S22" s="340"/>
      <c r="T22" s="226"/>
      <c r="U22" s="227"/>
      <c r="V22" s="227"/>
      <c r="W22" s="227"/>
      <c r="X22" s="227"/>
    </row>
    <row r="23" spans="1:24" ht="15.6" hidden="1" outlineLevel="1">
      <c r="A23" s="69"/>
      <c r="B23" s="69">
        <v>45846</v>
      </c>
      <c r="C23" s="70" t="str">
        <f t="shared" si="2"/>
        <v>terça-feira</v>
      </c>
      <c r="D23" s="55">
        <f>SUMIFS('📋 Despesas'!M:M,'📋 Despesas'!N:N,B23)</f>
        <v>0</v>
      </c>
      <c r="E23" s="53"/>
      <c r="F23" s="53"/>
      <c r="G23" s="374"/>
      <c r="H23" s="372"/>
      <c r="I23" s="372"/>
      <c r="J23" s="372"/>
      <c r="K23" s="373"/>
      <c r="L23" s="372"/>
      <c r="M23" s="372"/>
      <c r="N23" s="227"/>
      <c r="O23" s="227"/>
      <c r="P23" s="227"/>
      <c r="Q23" s="227"/>
      <c r="R23" s="227"/>
      <c r="S23" s="340"/>
      <c r="T23" s="226"/>
      <c r="U23" s="227"/>
      <c r="V23" s="227"/>
      <c r="W23" s="227"/>
      <c r="X23" s="227"/>
    </row>
    <row r="24" spans="1:24" ht="15.6" hidden="1" outlineLevel="1">
      <c r="A24" s="69"/>
      <c r="B24" s="69">
        <v>45847</v>
      </c>
      <c r="C24" s="70" t="str">
        <f t="shared" si="2"/>
        <v>quarta-feira</v>
      </c>
      <c r="D24" s="55">
        <f>SUMIFS('📋 Despesas'!M:M,'📋 Despesas'!N:N,B24)</f>
        <v>0</v>
      </c>
      <c r="E24" s="53"/>
      <c r="F24" s="53"/>
      <c r="G24" s="374"/>
      <c r="H24" s="372"/>
      <c r="I24" s="372"/>
      <c r="J24" s="372"/>
      <c r="K24" s="373"/>
      <c r="L24" s="372"/>
      <c r="M24" s="372"/>
      <c r="N24" s="227"/>
      <c r="O24" s="227"/>
      <c r="P24" s="227"/>
      <c r="Q24" s="227"/>
      <c r="R24" s="227"/>
      <c r="S24" s="340"/>
      <c r="T24" s="226"/>
      <c r="U24" s="227"/>
      <c r="V24" s="227"/>
      <c r="W24" s="227"/>
      <c r="X24" s="227"/>
    </row>
    <row r="25" spans="1:24" ht="15.6" hidden="1" outlineLevel="1">
      <c r="A25" s="69"/>
      <c r="B25" s="69">
        <v>45848</v>
      </c>
      <c r="C25" s="70" t="str">
        <f t="shared" si="2"/>
        <v>quinta-feira</v>
      </c>
      <c r="D25" s="55">
        <f>SUMIFS('📋 Despesas'!M:M,'📋 Despesas'!N:N,B25)</f>
        <v>0</v>
      </c>
      <c r="E25" s="53"/>
      <c r="F25" s="53"/>
      <c r="G25" s="374"/>
      <c r="H25" s="378"/>
      <c r="I25" s="372"/>
      <c r="J25" s="372"/>
      <c r="K25" s="373"/>
      <c r="L25" s="372"/>
      <c r="M25" s="372"/>
      <c r="N25" s="227"/>
      <c r="O25" s="227"/>
      <c r="P25" s="227"/>
      <c r="Q25" s="227"/>
      <c r="R25" s="227"/>
      <c r="S25" s="340"/>
      <c r="T25" s="226"/>
      <c r="U25" s="227"/>
      <c r="V25" s="227"/>
      <c r="W25" s="227"/>
      <c r="X25" s="227"/>
    </row>
    <row r="26" spans="1:24" ht="15.75" hidden="1" customHeight="1" outlineLevel="1">
      <c r="A26" s="69"/>
      <c r="B26" s="69">
        <v>45849</v>
      </c>
      <c r="C26" s="70" t="str">
        <f t="shared" si="2"/>
        <v>sexta-feira</v>
      </c>
      <c r="D26" s="55">
        <f>SUMIFS('📋 Despesas'!M:M,'📋 Despesas'!N:N,B26)</f>
        <v>0</v>
      </c>
      <c r="E26" s="53"/>
      <c r="F26" s="53"/>
      <c r="G26" s="374"/>
      <c r="H26" s="378"/>
      <c r="I26" s="379"/>
      <c r="J26" s="372"/>
      <c r="K26" s="373"/>
      <c r="L26" s="372"/>
      <c r="M26" s="372"/>
      <c r="N26" s="227"/>
      <c r="O26" s="227"/>
      <c r="P26" s="227"/>
      <c r="Q26" s="227"/>
      <c r="R26" s="227"/>
      <c r="S26" s="340"/>
      <c r="T26" s="226"/>
      <c r="U26" s="227"/>
      <c r="V26" s="227"/>
      <c r="W26" s="227"/>
      <c r="X26" s="227"/>
    </row>
    <row r="27" spans="1:24" ht="15.75" hidden="1" customHeight="1" outlineLevel="1">
      <c r="A27" s="69"/>
      <c r="B27" s="69">
        <v>45850</v>
      </c>
      <c r="C27" s="70" t="str">
        <f t="shared" si="2"/>
        <v>sábado</v>
      </c>
      <c r="D27" s="55">
        <f>SUMIFS('📋 Despesas'!M:M,'📋 Despesas'!N:N,B27)</f>
        <v>0</v>
      </c>
      <c r="E27" s="53"/>
      <c r="F27" s="53"/>
      <c r="G27" s="374"/>
      <c r="H27" s="378"/>
      <c r="I27" s="379"/>
      <c r="J27" s="372"/>
      <c r="K27" s="373"/>
      <c r="L27" s="372"/>
      <c r="M27" s="372"/>
      <c r="N27" s="227"/>
      <c r="O27" s="227"/>
      <c r="P27" s="227"/>
      <c r="Q27" s="227"/>
      <c r="R27" s="227"/>
      <c r="S27" s="340"/>
      <c r="T27" s="226"/>
      <c r="U27" s="227"/>
      <c r="V27" s="227"/>
      <c r="W27" s="227"/>
      <c r="X27" s="227"/>
    </row>
    <row r="28" spans="1:24" ht="15.75" hidden="1" customHeight="1" outlineLevel="1">
      <c r="A28" s="69"/>
      <c r="B28" s="69">
        <v>45851</v>
      </c>
      <c r="C28" s="70" t="str">
        <f t="shared" si="2"/>
        <v>domingo</v>
      </c>
      <c r="D28" s="55">
        <f>SUMIFS('📋 Despesas'!M:M,'📋 Despesas'!N:N,B28)</f>
        <v>0</v>
      </c>
      <c r="E28" s="53"/>
      <c r="F28" s="53"/>
      <c r="G28" s="374"/>
      <c r="H28" s="378"/>
      <c r="I28" s="379"/>
      <c r="J28" s="372"/>
      <c r="K28" s="373"/>
      <c r="L28" s="372"/>
      <c r="M28" s="372"/>
      <c r="N28" s="227"/>
      <c r="O28" s="227"/>
      <c r="P28" s="227"/>
      <c r="Q28" s="227"/>
      <c r="R28" s="227"/>
      <c r="S28" s="340"/>
      <c r="T28" s="226"/>
      <c r="U28" s="227"/>
      <c r="V28" s="227"/>
      <c r="W28" s="227"/>
      <c r="X28" s="227"/>
    </row>
    <row r="29" spans="1:24" ht="15.75" hidden="1" customHeight="1" outlineLevel="1">
      <c r="A29" s="69"/>
      <c r="B29" s="69">
        <v>45852</v>
      </c>
      <c r="C29" s="70" t="str">
        <f t="shared" si="2"/>
        <v>segunda-feira</v>
      </c>
      <c r="D29" s="55">
        <f>SUMIFS('📋 Despesas'!M:M,'📋 Despesas'!N:N,B29)</f>
        <v>0</v>
      </c>
      <c r="E29" s="53"/>
      <c r="F29" s="53"/>
      <c r="G29" s="374"/>
      <c r="H29" s="378"/>
      <c r="I29" s="379"/>
      <c r="J29" s="372"/>
      <c r="K29" s="373"/>
      <c r="L29" s="372"/>
      <c r="M29" s="372"/>
      <c r="N29" s="227"/>
      <c r="O29" s="227"/>
      <c r="P29" s="227"/>
      <c r="Q29" s="227"/>
      <c r="R29" s="227"/>
      <c r="S29" s="340"/>
      <c r="T29" s="226"/>
      <c r="U29" s="227"/>
      <c r="V29" s="227"/>
      <c r="W29" s="227"/>
      <c r="X29" s="227"/>
    </row>
    <row r="30" spans="1:24" ht="15.75" hidden="1" customHeight="1" outlineLevel="1">
      <c r="A30" s="69"/>
      <c r="B30" s="69">
        <v>45853</v>
      </c>
      <c r="C30" s="70" t="str">
        <f t="shared" si="2"/>
        <v>terça-feira</v>
      </c>
      <c r="D30" s="55">
        <f>SUMIFS('📋 Despesas'!M:M,'📋 Despesas'!N:N,B30)</f>
        <v>0</v>
      </c>
      <c r="E30" s="53"/>
      <c r="F30" s="53"/>
      <c r="G30" s="374"/>
      <c r="H30" s="378"/>
      <c r="I30" s="379"/>
      <c r="J30" s="372"/>
      <c r="K30" s="373"/>
      <c r="L30" s="372"/>
      <c r="M30" s="372"/>
      <c r="N30" s="227"/>
      <c r="O30" s="227"/>
      <c r="P30" s="227"/>
      <c r="Q30" s="227"/>
      <c r="R30" s="227"/>
      <c r="S30" s="340"/>
      <c r="T30" s="226"/>
      <c r="U30" s="227"/>
      <c r="V30" s="227"/>
      <c r="W30" s="227"/>
      <c r="X30" s="227"/>
    </row>
    <row r="31" spans="1:24" ht="15.75" hidden="1" customHeight="1" outlineLevel="1">
      <c r="A31" s="69"/>
      <c r="B31" s="69">
        <v>45854</v>
      </c>
      <c r="C31" s="70" t="str">
        <f t="shared" si="2"/>
        <v>quarta-feira</v>
      </c>
      <c r="D31" s="55">
        <f>SUMIFS('📋 Despesas'!M:M,'📋 Despesas'!N:N,B31)</f>
        <v>0</v>
      </c>
      <c r="E31" s="53"/>
      <c r="F31" s="53"/>
      <c r="G31" s="374"/>
      <c r="H31" s="378"/>
      <c r="I31" s="379"/>
      <c r="J31" s="372"/>
      <c r="K31" s="373"/>
      <c r="L31" s="372"/>
      <c r="M31" s="372"/>
      <c r="N31" s="227"/>
      <c r="O31" s="227"/>
      <c r="P31" s="227"/>
      <c r="Q31" s="227"/>
      <c r="R31" s="227"/>
      <c r="S31" s="340"/>
      <c r="T31" s="226"/>
      <c r="U31" s="53"/>
      <c r="V31" s="53"/>
      <c r="W31" s="53"/>
      <c r="X31" s="53"/>
    </row>
    <row r="32" spans="1:24" ht="15.75" hidden="1" customHeight="1" outlineLevel="1">
      <c r="A32" s="69"/>
      <c r="B32" s="69">
        <v>45855</v>
      </c>
      <c r="C32" s="70" t="str">
        <f t="shared" si="2"/>
        <v>quinta-feira</v>
      </c>
      <c r="D32" s="55">
        <f>SUMIFS('📋 Despesas'!M:M,'📋 Despesas'!N:N,B32)</f>
        <v>0</v>
      </c>
      <c r="E32" s="53"/>
      <c r="F32" s="53"/>
      <c r="G32" s="374"/>
      <c r="H32" s="378"/>
      <c r="I32" s="379"/>
      <c r="J32" s="372"/>
      <c r="K32" s="373"/>
      <c r="L32" s="372"/>
      <c r="M32" s="372"/>
      <c r="N32" s="227"/>
      <c r="O32" s="227"/>
      <c r="P32" s="227"/>
      <c r="Q32" s="227"/>
      <c r="R32" s="227"/>
      <c r="S32" s="340"/>
      <c r="T32" s="226"/>
      <c r="U32" s="53"/>
      <c r="V32" s="53"/>
      <c r="W32" s="53"/>
      <c r="X32" s="53"/>
    </row>
    <row r="33" spans="1:24" ht="15.75" hidden="1" customHeight="1" outlineLevel="1">
      <c r="A33" s="69"/>
      <c r="B33" s="69">
        <v>45856</v>
      </c>
      <c r="C33" s="70" t="str">
        <f t="shared" si="2"/>
        <v>sexta-feira</v>
      </c>
      <c r="D33" s="55">
        <f>SUMIFS('📋 Despesas'!M:M,'📋 Despesas'!N:N,B33)</f>
        <v>0</v>
      </c>
      <c r="E33" s="53"/>
      <c r="F33" s="53"/>
      <c r="G33" s="374"/>
      <c r="H33" s="378"/>
      <c r="I33" s="379"/>
      <c r="J33" s="372"/>
      <c r="K33" s="373"/>
      <c r="L33" s="372"/>
      <c r="M33" s="372"/>
      <c r="N33" s="227"/>
      <c r="O33" s="227"/>
      <c r="P33" s="227"/>
      <c r="Q33" s="227"/>
      <c r="R33" s="227"/>
      <c r="S33" s="340"/>
      <c r="T33" s="226"/>
      <c r="U33" s="53"/>
      <c r="V33" s="53"/>
      <c r="W33" s="53"/>
      <c r="X33" s="53"/>
    </row>
    <row r="34" spans="1:24" ht="15.75" hidden="1" customHeight="1" outlineLevel="1">
      <c r="A34" s="69"/>
      <c r="B34" s="69">
        <v>45857</v>
      </c>
      <c r="C34" s="70" t="str">
        <f t="shared" si="2"/>
        <v>sábado</v>
      </c>
      <c r="D34" s="55">
        <f>SUMIFS('📋 Despesas'!M:M,'📋 Despesas'!N:N,B34)</f>
        <v>0</v>
      </c>
      <c r="E34" s="53"/>
      <c r="F34" s="53"/>
      <c r="G34" s="374"/>
      <c r="H34" s="378"/>
      <c r="I34" s="379"/>
      <c r="J34" s="372"/>
      <c r="K34" s="373"/>
      <c r="L34" s="372"/>
      <c r="M34" s="372"/>
      <c r="N34" s="227"/>
      <c r="O34" s="227"/>
      <c r="P34" s="227"/>
      <c r="Q34" s="227"/>
      <c r="R34" s="227"/>
      <c r="S34" s="340"/>
      <c r="T34" s="226"/>
      <c r="U34" s="53"/>
      <c r="V34" s="53"/>
      <c r="W34" s="53"/>
      <c r="X34" s="53"/>
    </row>
    <row r="35" spans="1:24" ht="15.75" hidden="1" customHeight="1" outlineLevel="1">
      <c r="A35" s="69"/>
      <c r="B35" s="69">
        <v>45858</v>
      </c>
      <c r="C35" s="70" t="str">
        <f t="shared" si="2"/>
        <v>domingo</v>
      </c>
      <c r="D35" s="55">
        <f>SUMIFS('📋 Despesas'!M:M,'📋 Despesas'!N:N,B35)</f>
        <v>0</v>
      </c>
      <c r="E35" s="53"/>
      <c r="F35" s="53"/>
      <c r="G35" s="374"/>
      <c r="H35" s="378"/>
      <c r="I35" s="379"/>
      <c r="J35" s="372"/>
      <c r="K35" s="373"/>
      <c r="L35" s="372"/>
      <c r="M35" s="372"/>
      <c r="N35" s="227"/>
      <c r="O35" s="227"/>
      <c r="P35" s="227"/>
      <c r="Q35" s="227"/>
      <c r="R35" s="227"/>
      <c r="S35" s="340"/>
      <c r="T35" s="226"/>
      <c r="U35" s="53"/>
      <c r="V35" s="53"/>
      <c r="W35" s="53"/>
      <c r="X35" s="53"/>
    </row>
    <row r="36" spans="1:24" ht="15.75" hidden="1" customHeight="1" outlineLevel="1">
      <c r="A36" s="69"/>
      <c r="B36" s="69">
        <v>45859</v>
      </c>
      <c r="C36" s="70" t="str">
        <f t="shared" si="2"/>
        <v>segunda-feira</v>
      </c>
      <c r="D36" s="55">
        <f>SUMIFS('📋 Despesas'!M:M,'📋 Despesas'!N:N,B36)</f>
        <v>0</v>
      </c>
      <c r="E36" s="53"/>
      <c r="F36" s="53"/>
      <c r="G36" s="374"/>
      <c r="H36" s="378"/>
      <c r="I36" s="379"/>
      <c r="J36" s="372"/>
      <c r="K36" s="373"/>
      <c r="L36" s="372"/>
      <c r="M36" s="372"/>
      <c r="N36" s="227"/>
      <c r="O36" s="227"/>
      <c r="P36" s="227"/>
      <c r="Q36" s="227"/>
      <c r="R36" s="227"/>
      <c r="S36" s="340"/>
      <c r="T36" s="226"/>
      <c r="U36" s="53"/>
      <c r="V36" s="53"/>
      <c r="W36" s="53"/>
      <c r="X36" s="53"/>
    </row>
    <row r="37" spans="1:24" ht="15.75" hidden="1" customHeight="1" outlineLevel="1">
      <c r="A37" s="69"/>
      <c r="B37" s="69">
        <v>45860</v>
      </c>
      <c r="C37" s="70" t="str">
        <f t="shared" si="2"/>
        <v>terça-feira</v>
      </c>
      <c r="D37" s="55">
        <f>SUMIFS('📋 Despesas'!M:M,'📋 Despesas'!N:N,B37)</f>
        <v>0</v>
      </c>
      <c r="E37" s="53"/>
      <c r="F37" s="53"/>
      <c r="G37" s="374"/>
      <c r="H37" s="378"/>
      <c r="I37" s="379"/>
      <c r="J37" s="372"/>
      <c r="K37" s="373"/>
      <c r="L37" s="372"/>
      <c r="M37" s="372"/>
      <c r="N37" s="227"/>
      <c r="O37" s="227"/>
      <c r="P37" s="227"/>
      <c r="Q37" s="227"/>
      <c r="R37" s="227"/>
      <c r="S37" s="340"/>
      <c r="T37" s="226"/>
      <c r="U37" s="53"/>
      <c r="V37" s="53"/>
      <c r="W37" s="53"/>
      <c r="X37" s="53"/>
    </row>
    <row r="38" spans="1:24" ht="15.75" hidden="1" customHeight="1" outlineLevel="1">
      <c r="A38" s="69"/>
      <c r="B38" s="69">
        <v>45861</v>
      </c>
      <c r="C38" s="70" t="str">
        <f t="shared" si="2"/>
        <v>quarta-feira</v>
      </c>
      <c r="D38" s="55">
        <f>SUMIFS('📋 Despesas'!M:M,'📋 Despesas'!N:N,B38)</f>
        <v>0</v>
      </c>
      <c r="E38" s="53"/>
      <c r="F38" s="53"/>
      <c r="G38" s="374"/>
      <c r="H38" s="378"/>
      <c r="I38" s="379"/>
      <c r="J38" s="372"/>
      <c r="K38" s="373"/>
      <c r="L38" s="372"/>
      <c r="M38" s="372"/>
      <c r="N38" s="227"/>
      <c r="O38" s="227"/>
      <c r="P38" s="227"/>
      <c r="Q38" s="227"/>
      <c r="R38" s="227"/>
      <c r="S38" s="340"/>
      <c r="T38" s="226"/>
      <c r="U38" s="53"/>
      <c r="V38" s="53"/>
      <c r="W38" s="53"/>
      <c r="X38" s="53"/>
    </row>
    <row r="39" spans="1:24" ht="15.75" hidden="1" customHeight="1" outlineLevel="1">
      <c r="A39" s="69"/>
      <c r="B39" s="69">
        <v>45862</v>
      </c>
      <c r="C39" s="70" t="str">
        <f t="shared" si="2"/>
        <v>quinta-feira</v>
      </c>
      <c r="D39" s="55">
        <f>SUMIFS('📋 Despesas'!M:M,'📋 Despesas'!N:N,B39)</f>
        <v>0</v>
      </c>
      <c r="E39" s="53"/>
      <c r="F39" s="53"/>
      <c r="G39" s="374"/>
      <c r="H39" s="378"/>
      <c r="I39" s="379"/>
      <c r="J39" s="372"/>
      <c r="K39" s="373"/>
      <c r="L39" s="372"/>
      <c r="M39" s="372"/>
      <c r="N39" s="227"/>
      <c r="O39" s="227"/>
      <c r="P39" s="227"/>
      <c r="Q39" s="227"/>
      <c r="R39" s="227"/>
      <c r="S39" s="340"/>
      <c r="T39" s="226"/>
      <c r="U39" s="53"/>
      <c r="V39" s="53"/>
      <c r="W39" s="53"/>
      <c r="X39" s="53"/>
    </row>
    <row r="40" spans="1:24" ht="15.75" hidden="1" customHeight="1" outlineLevel="1">
      <c r="A40" s="69"/>
      <c r="B40" s="69">
        <v>45863</v>
      </c>
      <c r="C40" s="70" t="str">
        <f t="shared" si="2"/>
        <v>sexta-feira</v>
      </c>
      <c r="D40" s="55">
        <f>SUMIFS('📋 Despesas'!M:M,'📋 Despesas'!N:N,B40)</f>
        <v>0</v>
      </c>
      <c r="E40" s="53"/>
      <c r="F40" s="53"/>
      <c r="G40" s="374"/>
      <c r="H40" s="378"/>
      <c r="I40" s="379"/>
      <c r="J40" s="372"/>
      <c r="K40" s="373"/>
      <c r="L40" s="372"/>
      <c r="M40" s="372"/>
      <c r="N40" s="227"/>
      <c r="O40" s="227"/>
      <c r="P40" s="227"/>
      <c r="Q40" s="227"/>
      <c r="R40" s="227"/>
      <c r="S40" s="340"/>
      <c r="T40" s="226"/>
      <c r="U40" s="53"/>
      <c r="V40" s="53"/>
      <c r="W40" s="53"/>
      <c r="X40" s="53"/>
    </row>
    <row r="41" spans="1:24" ht="15.75" hidden="1" customHeight="1" outlineLevel="1">
      <c r="A41" s="69"/>
      <c r="B41" s="69">
        <v>45864</v>
      </c>
      <c r="C41" s="70" t="str">
        <f t="shared" si="2"/>
        <v>sábado</v>
      </c>
      <c r="D41" s="55">
        <f>SUMIFS('📋 Despesas'!M:M,'📋 Despesas'!N:N,B41)</f>
        <v>0</v>
      </c>
      <c r="E41" s="53"/>
      <c r="F41" s="53"/>
      <c r="G41" s="374"/>
      <c r="H41" s="378"/>
      <c r="I41" s="379"/>
      <c r="J41" s="372"/>
      <c r="K41" s="373"/>
      <c r="L41" s="372"/>
      <c r="M41" s="372"/>
      <c r="N41" s="227"/>
      <c r="O41" s="227"/>
      <c r="P41" s="227"/>
      <c r="Q41" s="227"/>
      <c r="R41" s="227"/>
      <c r="S41" s="340"/>
      <c r="T41" s="226"/>
      <c r="U41" s="53"/>
      <c r="V41" s="53"/>
      <c r="W41" s="53"/>
      <c r="X41" s="53"/>
    </row>
    <row r="42" spans="1:24" ht="15.75" hidden="1" customHeight="1" outlineLevel="1">
      <c r="A42" s="69"/>
      <c r="B42" s="69">
        <v>45865</v>
      </c>
      <c r="C42" s="70" t="str">
        <f t="shared" si="2"/>
        <v>domingo</v>
      </c>
      <c r="D42" s="55">
        <f>SUMIFS('📋 Despesas'!M:M,'📋 Despesas'!N:N,B42)</f>
        <v>0</v>
      </c>
      <c r="E42" s="53"/>
      <c r="F42" s="53"/>
      <c r="G42" s="374"/>
      <c r="H42" s="378"/>
      <c r="I42" s="379"/>
      <c r="J42" s="372"/>
      <c r="K42" s="373"/>
      <c r="L42" s="372"/>
      <c r="M42" s="372"/>
      <c r="N42" s="227"/>
      <c r="O42" s="227"/>
      <c r="P42" s="227"/>
      <c r="Q42" s="227"/>
      <c r="R42" s="227"/>
      <c r="S42" s="340"/>
      <c r="T42" s="226"/>
      <c r="U42" s="53"/>
      <c r="V42" s="53"/>
      <c r="W42" s="53"/>
      <c r="X42" s="53"/>
    </row>
    <row r="43" spans="1:24" ht="15.75" hidden="1" customHeight="1" outlineLevel="1">
      <c r="A43" s="69"/>
      <c r="B43" s="69">
        <v>45866</v>
      </c>
      <c r="C43" s="70" t="str">
        <f t="shared" si="2"/>
        <v>segunda-feira</v>
      </c>
      <c r="D43" s="55">
        <f>SUMIFS('📋 Despesas'!M:M,'📋 Despesas'!N:N,B43)</f>
        <v>0</v>
      </c>
      <c r="E43" s="53"/>
      <c r="F43" s="53"/>
      <c r="G43" s="374"/>
      <c r="H43" s="378"/>
      <c r="I43" s="379"/>
      <c r="J43" s="372"/>
      <c r="K43" s="373"/>
      <c r="L43" s="372"/>
      <c r="M43" s="372"/>
      <c r="N43" s="227"/>
      <c r="O43" s="227"/>
      <c r="P43" s="227"/>
      <c r="Q43" s="227"/>
      <c r="R43" s="227"/>
      <c r="S43" s="340"/>
      <c r="T43" s="226"/>
      <c r="U43" s="53"/>
      <c r="V43" s="53"/>
      <c r="W43" s="53"/>
      <c r="X43" s="53"/>
    </row>
    <row r="44" spans="1:24" ht="15.75" hidden="1" customHeight="1" outlineLevel="1">
      <c r="A44" s="69"/>
      <c r="B44" s="69">
        <v>45867</v>
      </c>
      <c r="C44" s="70" t="str">
        <f t="shared" si="2"/>
        <v>terça-feira</v>
      </c>
      <c r="D44" s="55">
        <f>SUMIFS('📋 Despesas'!M:M,'📋 Despesas'!N:N,B44)</f>
        <v>0</v>
      </c>
      <c r="E44" s="53"/>
      <c r="F44" s="53"/>
      <c r="G44" s="374"/>
      <c r="H44" s="378"/>
      <c r="I44" s="379"/>
      <c r="J44" s="372"/>
      <c r="K44" s="373"/>
      <c r="L44" s="372"/>
      <c r="M44" s="372"/>
      <c r="N44" s="227"/>
      <c r="O44" s="227"/>
      <c r="P44" s="227"/>
      <c r="Q44" s="227"/>
      <c r="R44" s="227"/>
      <c r="S44" s="340"/>
      <c r="T44" s="226"/>
      <c r="U44" s="53"/>
      <c r="V44" s="53"/>
      <c r="W44" s="53"/>
      <c r="X44" s="53"/>
    </row>
    <row r="45" spans="1:24" ht="15.75" hidden="1" customHeight="1" outlineLevel="1">
      <c r="A45" s="69"/>
      <c r="B45" s="69">
        <v>45868</v>
      </c>
      <c r="C45" s="70" t="str">
        <f t="shared" si="2"/>
        <v>quarta-feira</v>
      </c>
      <c r="D45" s="55">
        <f>SUMIFS('📋 Despesas'!M:M,'📋 Despesas'!N:N,B45)</f>
        <v>0</v>
      </c>
      <c r="E45" s="53"/>
      <c r="F45" s="53"/>
      <c r="G45" s="374"/>
      <c r="H45" s="378"/>
      <c r="I45" s="379"/>
      <c r="J45" s="372"/>
      <c r="K45" s="373"/>
      <c r="L45" s="372"/>
      <c r="M45" s="372"/>
      <c r="N45" s="227"/>
      <c r="O45" s="227"/>
      <c r="P45" s="227"/>
      <c r="Q45" s="227"/>
      <c r="R45" s="227"/>
      <c r="S45" s="340"/>
      <c r="T45" s="226"/>
      <c r="U45" s="53"/>
      <c r="V45" s="53"/>
      <c r="W45" s="53"/>
      <c r="X45" s="53"/>
    </row>
    <row r="46" spans="1:24" ht="15.75" hidden="1" customHeight="1" outlineLevel="1">
      <c r="A46" s="69"/>
      <c r="B46" s="69">
        <v>45869</v>
      </c>
      <c r="C46" s="70" t="str">
        <f t="shared" si="2"/>
        <v>quinta-feira</v>
      </c>
      <c r="D46" s="55">
        <f>SUMIFS('📋 Despesas'!M:M,'📋 Despesas'!N:N,B46)</f>
        <v>0</v>
      </c>
      <c r="E46" s="53"/>
      <c r="F46" s="53"/>
      <c r="G46" s="374"/>
      <c r="H46" s="378"/>
      <c r="I46" s="379"/>
      <c r="J46" s="372"/>
      <c r="K46" s="373"/>
      <c r="L46" s="372"/>
      <c r="M46" s="372"/>
      <c r="N46" s="227"/>
      <c r="O46" s="227"/>
      <c r="P46" s="227"/>
      <c r="Q46" s="227"/>
      <c r="R46" s="227"/>
      <c r="S46" s="340"/>
      <c r="T46" s="226"/>
      <c r="U46" s="53"/>
      <c r="V46" s="53"/>
      <c r="W46" s="53"/>
      <c r="X46" s="53"/>
    </row>
    <row r="47" spans="1:24" ht="15.75" hidden="1" customHeight="1" outlineLevel="1">
      <c r="A47" s="69"/>
      <c r="B47" s="69">
        <v>45870</v>
      </c>
      <c r="C47" s="70" t="str">
        <f t="shared" si="2"/>
        <v>sexta-feira</v>
      </c>
      <c r="D47" s="55">
        <f>SUMIFS('📋 Despesas'!K:K,'📋 Despesas'!N:N,B47)</f>
        <v>0</v>
      </c>
      <c r="E47" s="53"/>
      <c r="F47" s="53"/>
      <c r="G47" s="374"/>
      <c r="H47" s="378"/>
      <c r="I47" s="379"/>
      <c r="J47" s="372"/>
      <c r="K47" s="373"/>
      <c r="L47" s="372"/>
      <c r="M47" s="372"/>
      <c r="N47" s="227"/>
      <c r="O47" s="227"/>
      <c r="P47" s="227"/>
      <c r="Q47" s="227"/>
      <c r="R47" s="227"/>
      <c r="S47" s="340"/>
      <c r="T47" s="226"/>
      <c r="U47" s="53"/>
      <c r="V47" s="53"/>
      <c r="W47" s="53"/>
      <c r="X47" s="53"/>
    </row>
    <row r="48" spans="1:24" ht="15.75" hidden="1" customHeight="1" outlineLevel="1">
      <c r="A48" s="69"/>
      <c r="B48" s="69">
        <v>45871</v>
      </c>
      <c r="C48" s="70" t="str">
        <f t="shared" si="2"/>
        <v>sábado</v>
      </c>
      <c r="D48" s="55">
        <f>SUMIFS('📋 Despesas'!K:K,'📋 Despesas'!N:N,B48)</f>
        <v>0</v>
      </c>
      <c r="E48" s="53"/>
      <c r="F48" s="53"/>
      <c r="G48" s="374"/>
      <c r="H48" s="378"/>
      <c r="I48" s="379"/>
      <c r="J48" s="372"/>
      <c r="K48" s="373"/>
      <c r="L48" s="372"/>
      <c r="M48" s="372"/>
      <c r="N48" s="227"/>
      <c r="O48" s="227"/>
      <c r="P48" s="227"/>
      <c r="Q48" s="227"/>
      <c r="R48" s="227"/>
      <c r="S48" s="340"/>
      <c r="T48" s="226"/>
      <c r="U48" s="53"/>
      <c r="V48" s="53"/>
      <c r="W48" s="53"/>
      <c r="X48" s="53"/>
    </row>
    <row r="49" spans="1:24" ht="15.75" hidden="1" customHeight="1" outlineLevel="1">
      <c r="A49" s="69"/>
      <c r="B49" s="69">
        <v>45872</v>
      </c>
      <c r="C49" s="70" t="str">
        <f t="shared" si="2"/>
        <v>domingo</v>
      </c>
      <c r="D49" s="55">
        <f>SUMIFS('📋 Despesas'!K:K,'📋 Despesas'!N:N,B49)</f>
        <v>0</v>
      </c>
      <c r="E49" s="53"/>
      <c r="F49" s="53"/>
      <c r="G49" s="374"/>
      <c r="H49" s="378"/>
      <c r="I49" s="379"/>
      <c r="J49" s="372"/>
      <c r="K49" s="373"/>
      <c r="L49" s="372"/>
      <c r="M49" s="372"/>
      <c r="N49" s="227"/>
      <c r="O49" s="227"/>
      <c r="P49" s="227"/>
      <c r="Q49" s="227"/>
      <c r="R49" s="227"/>
      <c r="S49" s="340"/>
      <c r="T49" s="226"/>
      <c r="U49" s="53"/>
      <c r="V49" s="53"/>
      <c r="W49" s="53"/>
      <c r="X49" s="53"/>
    </row>
    <row r="50" spans="1:24" ht="15.75" hidden="1" customHeight="1" outlineLevel="1">
      <c r="A50" s="69"/>
      <c r="B50" s="69">
        <v>45873</v>
      </c>
      <c r="C50" s="70" t="str">
        <f t="shared" si="2"/>
        <v>segunda-feira</v>
      </c>
      <c r="D50" s="55">
        <f>SUMIFS('📋 Despesas'!K:K,'📋 Despesas'!N:N,B50)</f>
        <v>0</v>
      </c>
      <c r="E50" s="53"/>
      <c r="F50" s="53"/>
      <c r="G50" s="374"/>
      <c r="H50" s="378"/>
      <c r="I50" s="379"/>
      <c r="J50" s="372"/>
      <c r="K50" s="373"/>
      <c r="L50" s="372"/>
      <c r="M50" s="372"/>
      <c r="N50" s="227"/>
      <c r="O50" s="227"/>
      <c r="P50" s="227"/>
      <c r="Q50" s="227"/>
      <c r="R50" s="227"/>
      <c r="S50" s="340"/>
      <c r="T50" s="226"/>
      <c r="U50" s="53"/>
      <c r="V50" s="53"/>
      <c r="W50" s="53"/>
      <c r="X50" s="53"/>
    </row>
    <row r="51" spans="1:24" ht="15.75" hidden="1" customHeight="1" outlineLevel="1">
      <c r="A51" s="69"/>
      <c r="B51" s="69">
        <v>45874</v>
      </c>
      <c r="C51" s="70" t="str">
        <f t="shared" si="2"/>
        <v>terça-feira</v>
      </c>
      <c r="D51" s="55">
        <f>SUMIFS('📋 Despesas'!K:K,'📋 Despesas'!N:N,B51)</f>
        <v>0</v>
      </c>
      <c r="E51" s="53"/>
      <c r="F51" s="53"/>
      <c r="G51" s="374"/>
      <c r="H51" s="378"/>
      <c r="I51" s="379"/>
      <c r="J51" s="372"/>
      <c r="K51" s="373"/>
      <c r="L51" s="372"/>
      <c r="M51" s="372"/>
      <c r="N51" s="227"/>
      <c r="O51" s="227"/>
      <c r="P51" s="227"/>
      <c r="Q51" s="227"/>
      <c r="R51" s="227"/>
      <c r="S51" s="340"/>
      <c r="T51" s="226"/>
      <c r="U51" s="53"/>
      <c r="V51" s="53"/>
      <c r="W51" s="53"/>
      <c r="X51" s="53"/>
    </row>
    <row r="52" spans="1:24" ht="15.75" hidden="1" customHeight="1" outlineLevel="1">
      <c r="A52" s="69"/>
      <c r="B52" s="69">
        <v>45875</v>
      </c>
      <c r="C52" s="70" t="str">
        <f t="shared" si="2"/>
        <v>quarta-feira</v>
      </c>
      <c r="D52" s="55">
        <f>SUMIFS('📋 Despesas'!K:K,'📋 Despesas'!N:N,B52)</f>
        <v>0</v>
      </c>
      <c r="E52" s="53"/>
      <c r="F52" s="53"/>
      <c r="G52" s="374"/>
      <c r="H52" s="378"/>
      <c r="I52" s="379"/>
      <c r="J52" s="372"/>
      <c r="K52" s="373"/>
      <c r="L52" s="372"/>
      <c r="M52" s="372"/>
      <c r="N52" s="227"/>
      <c r="O52" s="227"/>
      <c r="P52" s="227"/>
      <c r="Q52" s="227"/>
      <c r="R52" s="227"/>
      <c r="S52" s="340"/>
      <c r="T52" s="226"/>
      <c r="U52" s="53"/>
      <c r="V52" s="53"/>
      <c r="W52" s="53"/>
      <c r="X52" s="53"/>
    </row>
    <row r="53" spans="1:24" ht="15.75" hidden="1" customHeight="1" outlineLevel="1">
      <c r="A53" s="69"/>
      <c r="B53" s="69">
        <v>45876</v>
      </c>
      <c r="C53" s="70" t="str">
        <f t="shared" si="2"/>
        <v>quinta-feira</v>
      </c>
      <c r="D53" s="55">
        <f>SUMIFS('📋 Despesas'!K:K,'📋 Despesas'!N:N,B53)</f>
        <v>0</v>
      </c>
      <c r="E53" s="53"/>
      <c r="F53" s="53"/>
      <c r="G53" s="374"/>
      <c r="H53" s="378"/>
      <c r="I53" s="379"/>
      <c r="J53" s="372"/>
      <c r="K53" s="373"/>
      <c r="L53" s="372"/>
      <c r="M53" s="372"/>
      <c r="N53" s="227"/>
      <c r="O53" s="227"/>
      <c r="P53" s="227"/>
      <c r="Q53" s="227"/>
      <c r="R53" s="227"/>
      <c r="S53" s="340"/>
      <c r="T53" s="226"/>
      <c r="U53" s="53"/>
      <c r="V53" s="53"/>
      <c r="W53" s="53"/>
      <c r="X53" s="53"/>
    </row>
    <row r="54" spans="1:24" ht="15.75" hidden="1" customHeight="1" outlineLevel="1">
      <c r="A54" s="69"/>
      <c r="B54" s="69">
        <v>45877</v>
      </c>
      <c r="C54" s="70" t="str">
        <f t="shared" si="2"/>
        <v>sexta-feira</v>
      </c>
      <c r="D54" s="55">
        <f>SUMIFS('📋 Despesas'!K:K,'📋 Despesas'!N:N,B54)</f>
        <v>0</v>
      </c>
      <c r="E54" s="53"/>
      <c r="F54" s="53"/>
      <c r="G54" s="374"/>
      <c r="H54" s="378"/>
      <c r="I54" s="379"/>
      <c r="J54" s="372"/>
      <c r="K54" s="373"/>
      <c r="L54" s="372"/>
      <c r="M54" s="372"/>
      <c r="N54" s="227"/>
      <c r="O54" s="227"/>
      <c r="P54" s="227"/>
      <c r="Q54" s="227"/>
      <c r="R54" s="227"/>
      <c r="S54" s="340"/>
      <c r="T54" s="226"/>
      <c r="U54" s="53"/>
      <c r="V54" s="53"/>
      <c r="W54" s="53"/>
      <c r="X54" s="53"/>
    </row>
    <row r="55" spans="1:24" ht="15.75" hidden="1" customHeight="1" outlineLevel="1">
      <c r="A55" s="69"/>
      <c r="B55" s="69">
        <v>45878</v>
      </c>
      <c r="C55" s="70" t="str">
        <f t="shared" si="2"/>
        <v>sábado</v>
      </c>
      <c r="D55" s="55">
        <f>SUMIFS('📋 Despesas'!K:K,'📋 Despesas'!N:N,B55)</f>
        <v>0</v>
      </c>
      <c r="E55" s="53"/>
      <c r="F55" s="53"/>
      <c r="G55" s="374"/>
      <c r="H55" s="378"/>
      <c r="I55" s="379"/>
      <c r="J55" s="372"/>
      <c r="K55" s="373"/>
      <c r="L55" s="372"/>
      <c r="M55" s="372"/>
      <c r="N55" s="227"/>
      <c r="O55" s="227"/>
      <c r="P55" s="227"/>
      <c r="Q55" s="227"/>
      <c r="R55" s="227"/>
      <c r="S55" s="340"/>
      <c r="T55" s="226"/>
      <c r="U55" s="53"/>
      <c r="V55" s="53"/>
      <c r="W55" s="53"/>
      <c r="X55" s="53"/>
    </row>
    <row r="56" spans="1:24" ht="15.75" hidden="1" customHeight="1" outlineLevel="1">
      <c r="A56" s="69"/>
      <c r="B56" s="69">
        <v>45879</v>
      </c>
      <c r="C56" s="70" t="str">
        <f t="shared" si="2"/>
        <v>domingo</v>
      </c>
      <c r="D56" s="55">
        <f>SUMIFS('📋 Despesas'!K:K,'📋 Despesas'!N:N,B56)</f>
        <v>0</v>
      </c>
      <c r="E56" s="53"/>
      <c r="F56" s="53"/>
      <c r="G56" s="374"/>
      <c r="H56" s="378"/>
      <c r="I56" s="379"/>
      <c r="J56" s="372"/>
      <c r="K56" s="373"/>
      <c r="L56" s="372"/>
      <c r="M56" s="372"/>
      <c r="N56" s="227"/>
      <c r="O56" s="227"/>
      <c r="P56" s="227"/>
      <c r="Q56" s="227"/>
      <c r="R56" s="227"/>
      <c r="S56" s="340"/>
      <c r="T56" s="226"/>
      <c r="U56" s="53"/>
      <c r="V56" s="53"/>
      <c r="W56" s="53"/>
      <c r="X56" s="53"/>
    </row>
    <row r="57" spans="1:24" ht="15.75" hidden="1" customHeight="1" outlineLevel="1">
      <c r="A57" s="69"/>
      <c r="B57" s="69">
        <v>45880</v>
      </c>
      <c r="C57" s="70" t="str">
        <f t="shared" si="2"/>
        <v>segunda-feira</v>
      </c>
      <c r="D57" s="55">
        <f>SUMIFS('📋 Despesas'!K:K,'📋 Despesas'!N:N,B57)</f>
        <v>0</v>
      </c>
      <c r="E57" s="53"/>
      <c r="F57" s="53"/>
      <c r="G57" s="374"/>
      <c r="H57" s="378"/>
      <c r="I57" s="379"/>
      <c r="J57" s="372"/>
      <c r="K57" s="373"/>
      <c r="L57" s="372"/>
      <c r="M57" s="372"/>
      <c r="N57" s="227"/>
      <c r="O57" s="227"/>
      <c r="P57" s="227"/>
      <c r="Q57" s="227"/>
      <c r="R57" s="227"/>
      <c r="S57" s="340"/>
      <c r="T57" s="226"/>
      <c r="U57" s="53"/>
      <c r="V57" s="53"/>
      <c r="W57" s="53"/>
      <c r="X57" s="53"/>
    </row>
    <row r="58" spans="1:24" ht="15.75" hidden="1" customHeight="1" outlineLevel="1">
      <c r="A58" s="69"/>
      <c r="B58" s="69">
        <v>45881</v>
      </c>
      <c r="C58" s="70" t="str">
        <f t="shared" si="2"/>
        <v>terça-feira</v>
      </c>
      <c r="D58" s="55">
        <f>SUMIFS('📋 Despesas'!K:K,'📋 Despesas'!N:N,B58)</f>
        <v>0</v>
      </c>
      <c r="E58" s="53"/>
      <c r="F58" s="53"/>
      <c r="G58" s="374"/>
      <c r="H58" s="378"/>
      <c r="I58" s="379"/>
      <c r="J58" s="372"/>
      <c r="K58" s="373"/>
      <c r="L58" s="372"/>
      <c r="M58" s="372"/>
      <c r="N58" s="227"/>
      <c r="O58" s="227"/>
      <c r="P58" s="227"/>
      <c r="Q58" s="227"/>
      <c r="R58" s="227"/>
      <c r="S58" s="340"/>
      <c r="T58" s="226"/>
      <c r="U58" s="53"/>
      <c r="V58" s="53"/>
      <c r="W58" s="53"/>
      <c r="X58" s="53"/>
    </row>
    <row r="59" spans="1:24" ht="15.75" hidden="1" customHeight="1" outlineLevel="1">
      <c r="A59" s="69"/>
      <c r="B59" s="69">
        <v>45882</v>
      </c>
      <c r="C59" s="70" t="str">
        <f t="shared" si="2"/>
        <v>quarta-feira</v>
      </c>
      <c r="D59" s="55">
        <f>SUMIFS('📋 Despesas'!K:K,'📋 Despesas'!N:N,B59)</f>
        <v>0</v>
      </c>
      <c r="E59" s="397"/>
      <c r="F59" s="53"/>
      <c r="G59" s="374"/>
      <c r="H59" s="378"/>
      <c r="I59" s="379"/>
      <c r="J59" s="372"/>
      <c r="K59" s="373"/>
      <c r="L59" s="372"/>
      <c r="M59" s="372"/>
      <c r="N59" s="227"/>
      <c r="O59" s="227"/>
      <c r="P59" s="227"/>
      <c r="Q59" s="227"/>
      <c r="R59" s="227"/>
      <c r="S59" s="340"/>
      <c r="T59" s="226"/>
      <c r="U59" s="53"/>
      <c r="V59" s="53"/>
      <c r="W59" s="53"/>
      <c r="X59" s="53"/>
    </row>
    <row r="60" spans="1:24" ht="15.75" hidden="1" customHeight="1" outlineLevel="1">
      <c r="A60" s="69"/>
      <c r="B60" s="69">
        <v>45883</v>
      </c>
      <c r="C60" s="70" t="str">
        <f t="shared" si="2"/>
        <v>quinta-feira</v>
      </c>
      <c r="D60" s="55">
        <f>SUMIFS('📋 Despesas'!K:K,'📋 Despesas'!N:N,B60)</f>
        <v>0</v>
      </c>
      <c r="E60" s="53"/>
      <c r="F60" s="53"/>
      <c r="G60" s="374"/>
      <c r="H60" s="378"/>
      <c r="I60" s="379"/>
      <c r="J60" s="372"/>
      <c r="K60" s="373"/>
      <c r="L60" s="372"/>
      <c r="M60" s="372"/>
      <c r="N60" s="227"/>
      <c r="O60" s="227"/>
      <c r="P60" s="227"/>
      <c r="Q60" s="227"/>
      <c r="R60" s="227"/>
      <c r="S60" s="340"/>
      <c r="T60" s="226"/>
      <c r="U60" s="53"/>
      <c r="V60" s="53"/>
      <c r="W60" s="53"/>
      <c r="X60" s="53"/>
    </row>
    <row r="61" spans="1:24" ht="15.75" hidden="1" customHeight="1" outlineLevel="1">
      <c r="A61" s="69"/>
      <c r="B61" s="69">
        <v>45884</v>
      </c>
      <c r="C61" s="70" t="str">
        <f t="shared" si="2"/>
        <v>sexta-feira</v>
      </c>
      <c r="D61" s="55">
        <f>SUMIFS('📋 Despesas'!K:K,'📋 Despesas'!N:N,B61)</f>
        <v>0</v>
      </c>
      <c r="E61" s="53"/>
      <c r="F61" s="53"/>
      <c r="G61" s="374"/>
      <c r="H61" s="378"/>
      <c r="I61" s="379"/>
      <c r="J61" s="372"/>
      <c r="K61" s="373"/>
      <c r="L61" s="372"/>
      <c r="M61" s="372"/>
      <c r="N61" s="227"/>
      <c r="O61" s="227"/>
      <c r="P61" s="227"/>
      <c r="Q61" s="227"/>
      <c r="R61" s="227"/>
      <c r="S61" s="340"/>
      <c r="T61" s="226"/>
      <c r="U61" s="53"/>
      <c r="V61" s="53"/>
      <c r="W61" s="53"/>
      <c r="X61" s="53"/>
    </row>
    <row r="62" spans="1:24" ht="15.75" hidden="1" customHeight="1" outlineLevel="1">
      <c r="A62" s="69"/>
      <c r="B62" s="69">
        <v>45885</v>
      </c>
      <c r="C62" s="70" t="str">
        <f t="shared" si="2"/>
        <v>sábado</v>
      </c>
      <c r="D62" s="55">
        <f>SUMIFS('📋 Despesas'!K:K,'📋 Despesas'!N:N,B62)</f>
        <v>0</v>
      </c>
      <c r="E62" s="53"/>
      <c r="F62" s="53"/>
      <c r="G62" s="374"/>
      <c r="H62" s="378"/>
      <c r="I62" s="379"/>
      <c r="J62" s="372"/>
      <c r="K62" s="373"/>
      <c r="L62" s="372"/>
      <c r="M62" s="372"/>
      <c r="N62" s="227"/>
      <c r="O62" s="227"/>
      <c r="P62" s="227"/>
      <c r="Q62" s="227"/>
      <c r="R62" s="227"/>
      <c r="S62" s="340"/>
      <c r="T62" s="226"/>
      <c r="U62" s="53"/>
      <c r="V62" s="53"/>
      <c r="W62" s="53"/>
      <c r="X62" s="53"/>
    </row>
    <row r="63" spans="1:24" ht="15.75" hidden="1" customHeight="1" outlineLevel="1">
      <c r="A63" s="69"/>
      <c r="B63" s="69">
        <v>45886</v>
      </c>
      <c r="C63" s="70" t="str">
        <f t="shared" si="2"/>
        <v>domingo</v>
      </c>
      <c r="D63" s="55">
        <f>SUMIFS('📋 Despesas'!K:K,'📋 Despesas'!N:N,B63)</f>
        <v>0</v>
      </c>
      <c r="E63" s="53"/>
      <c r="F63" s="53"/>
      <c r="G63" s="374"/>
      <c r="H63" s="378"/>
      <c r="I63" s="379"/>
      <c r="J63" s="372"/>
      <c r="K63" s="373"/>
      <c r="L63" s="372"/>
      <c r="M63" s="372"/>
      <c r="N63" s="227"/>
      <c r="O63" s="227"/>
      <c r="P63" s="227"/>
      <c r="Q63" s="227"/>
      <c r="R63" s="227"/>
      <c r="S63" s="340"/>
      <c r="T63" s="226"/>
      <c r="U63" s="53"/>
      <c r="V63" s="53"/>
      <c r="W63" s="53"/>
      <c r="X63" s="53"/>
    </row>
    <row r="64" spans="1:24" ht="15.75" hidden="1" customHeight="1" outlineLevel="1">
      <c r="A64" s="69"/>
      <c r="B64" s="69">
        <v>45887</v>
      </c>
      <c r="C64" s="70" t="str">
        <f t="shared" si="2"/>
        <v>segunda-feira</v>
      </c>
      <c r="D64" s="55">
        <f>SUMIFS('📋 Despesas'!K:K,'📋 Despesas'!N:N,B64)</f>
        <v>0</v>
      </c>
      <c r="E64" s="53"/>
      <c r="F64" s="53"/>
      <c r="G64" s="374"/>
      <c r="H64" s="378"/>
      <c r="I64" s="379"/>
      <c r="J64" s="372"/>
      <c r="K64" s="373"/>
      <c r="L64" s="372"/>
      <c r="M64" s="372"/>
      <c r="N64" s="227"/>
      <c r="O64" s="227"/>
      <c r="P64" s="227"/>
      <c r="Q64" s="227"/>
      <c r="R64" s="227"/>
      <c r="S64" s="340"/>
      <c r="T64" s="226"/>
      <c r="U64" s="53"/>
      <c r="V64" s="53"/>
      <c r="W64" s="53"/>
      <c r="X64" s="53"/>
    </row>
    <row r="65" spans="1:24" ht="15.75" hidden="1" customHeight="1" outlineLevel="1">
      <c r="A65" s="69"/>
      <c r="B65" s="69">
        <v>45888</v>
      </c>
      <c r="C65" s="70" t="str">
        <f t="shared" si="2"/>
        <v>terça-feira</v>
      </c>
      <c r="D65" s="55">
        <f>SUMIFS('📋 Despesas'!K:K,'📋 Despesas'!N:N,B65)</f>
        <v>0</v>
      </c>
      <c r="E65" s="53"/>
      <c r="F65" s="53"/>
      <c r="G65" s="374"/>
      <c r="H65" s="378"/>
      <c r="I65" s="379"/>
      <c r="J65" s="372"/>
      <c r="K65" s="373"/>
      <c r="L65" s="372"/>
      <c r="M65" s="372"/>
      <c r="N65" s="227"/>
      <c r="O65" s="227"/>
      <c r="P65" s="227"/>
      <c r="Q65" s="227"/>
      <c r="R65" s="227"/>
      <c r="S65" s="340"/>
      <c r="T65" s="226"/>
      <c r="U65" s="53"/>
      <c r="V65" s="53"/>
      <c r="W65" s="53"/>
      <c r="X65" s="53"/>
    </row>
    <row r="66" spans="1:24" ht="15.75" hidden="1" customHeight="1" outlineLevel="1">
      <c r="A66" s="69"/>
      <c r="B66" s="69">
        <v>45889</v>
      </c>
      <c r="C66" s="70" t="str">
        <f t="shared" si="2"/>
        <v>quarta-feira</v>
      </c>
      <c r="D66" s="55">
        <f>SUMIFS('📋 Despesas'!K:K,'📋 Despesas'!N:N,B66)</f>
        <v>0</v>
      </c>
      <c r="E66" s="53"/>
      <c r="F66" s="53"/>
      <c r="G66" s="374"/>
      <c r="H66" s="378"/>
      <c r="I66" s="379"/>
      <c r="J66" s="372"/>
      <c r="K66" s="373"/>
      <c r="L66" s="372"/>
      <c r="M66" s="372"/>
      <c r="N66" s="227"/>
      <c r="O66" s="227"/>
      <c r="P66" s="227"/>
      <c r="Q66" s="227"/>
      <c r="R66" s="227"/>
      <c r="S66" s="340"/>
      <c r="T66" s="226"/>
      <c r="U66" s="53"/>
      <c r="V66" s="53"/>
      <c r="W66" s="53"/>
      <c r="X66" s="53"/>
    </row>
    <row r="67" spans="1:24" ht="15.75" hidden="1" customHeight="1" outlineLevel="1">
      <c r="A67" s="69"/>
      <c r="B67" s="69">
        <v>45890</v>
      </c>
      <c r="C67" s="70" t="str">
        <f t="shared" si="2"/>
        <v>quinta-feira</v>
      </c>
      <c r="D67" s="55">
        <f>SUMIFS('📋 Despesas'!K:K,'📋 Despesas'!N:N,B67)</f>
        <v>0</v>
      </c>
      <c r="E67" s="53"/>
      <c r="F67" s="53"/>
      <c r="G67" s="374"/>
      <c r="H67" s="378"/>
      <c r="I67" s="379"/>
      <c r="J67" s="372"/>
      <c r="K67" s="373"/>
      <c r="L67" s="372"/>
      <c r="M67" s="372"/>
      <c r="N67" s="227"/>
      <c r="O67" s="227"/>
      <c r="P67" s="227"/>
      <c r="Q67" s="227"/>
      <c r="R67" s="227"/>
      <c r="S67" s="340"/>
      <c r="T67" s="226"/>
      <c r="U67" s="53"/>
      <c r="V67" s="53"/>
      <c r="W67" s="53"/>
      <c r="X67" s="53"/>
    </row>
    <row r="68" spans="1:24" ht="15.75" hidden="1" customHeight="1" outlineLevel="1">
      <c r="A68" s="69"/>
      <c r="B68" s="69">
        <v>45891</v>
      </c>
      <c r="C68" s="70" t="str">
        <f t="shared" si="2"/>
        <v>sexta-feira</v>
      </c>
      <c r="D68" s="55">
        <f>SUMIFS('📋 Despesas'!K:K,'📋 Despesas'!N:N,B68)</f>
        <v>0</v>
      </c>
      <c r="E68" s="53"/>
      <c r="F68" s="53"/>
      <c r="G68" s="374"/>
      <c r="H68" s="378"/>
      <c r="I68" s="379"/>
      <c r="J68" s="372"/>
      <c r="K68" s="373"/>
      <c r="L68" s="372"/>
      <c r="M68" s="372"/>
      <c r="N68" s="227"/>
      <c r="O68" s="227"/>
      <c r="P68" s="227"/>
      <c r="Q68" s="227"/>
      <c r="R68" s="227"/>
      <c r="S68" s="340"/>
      <c r="T68" s="226"/>
      <c r="U68" s="53"/>
      <c r="V68" s="53"/>
      <c r="W68" s="53"/>
      <c r="X68" s="53"/>
    </row>
    <row r="69" spans="1:24" ht="15.75" hidden="1" customHeight="1" outlineLevel="1">
      <c r="A69" s="69"/>
      <c r="B69" s="69">
        <v>45892</v>
      </c>
      <c r="C69" s="70" t="str">
        <f t="shared" si="2"/>
        <v>sábado</v>
      </c>
      <c r="D69" s="55">
        <f>SUMIFS('📋 Despesas'!K:K,'📋 Despesas'!N:N,B69)</f>
        <v>0</v>
      </c>
      <c r="E69" s="53"/>
      <c r="F69" s="53"/>
      <c r="G69" s="374"/>
      <c r="H69" s="378"/>
      <c r="I69" s="379"/>
      <c r="J69" s="372"/>
      <c r="K69" s="373"/>
      <c r="L69" s="372"/>
      <c r="M69" s="372"/>
      <c r="N69" s="227"/>
      <c r="O69" s="227"/>
      <c r="P69" s="227"/>
      <c r="Q69" s="227"/>
      <c r="R69" s="227"/>
      <c r="S69" s="340"/>
      <c r="T69" s="226"/>
      <c r="U69" s="53"/>
      <c r="V69" s="53"/>
      <c r="W69" s="53"/>
      <c r="X69" s="53"/>
    </row>
    <row r="70" spans="1:24" ht="15.75" hidden="1" customHeight="1" outlineLevel="1">
      <c r="A70" s="69"/>
      <c r="B70" s="69">
        <v>45893</v>
      </c>
      <c r="C70" s="70" t="str">
        <f t="shared" si="2"/>
        <v>domingo</v>
      </c>
      <c r="D70" s="55">
        <f>SUMIFS('📋 Despesas'!K:K,'📋 Despesas'!N:N,B70)</f>
        <v>0</v>
      </c>
      <c r="E70" s="53"/>
      <c r="F70" s="53"/>
      <c r="G70" s="374"/>
      <c r="H70" s="372"/>
      <c r="I70" s="379"/>
      <c r="J70" s="372"/>
      <c r="K70" s="373"/>
      <c r="L70" s="372"/>
      <c r="M70" s="372"/>
      <c r="N70" s="227"/>
      <c r="O70" s="227"/>
      <c r="P70" s="227"/>
      <c r="Q70" s="227"/>
      <c r="R70" s="227"/>
      <c r="S70" s="340"/>
      <c r="T70" s="226"/>
      <c r="U70" s="53"/>
      <c r="V70" s="53"/>
      <c r="W70" s="53"/>
      <c r="X70" s="53"/>
    </row>
    <row r="71" spans="1:24" ht="15.75" hidden="1" customHeight="1" outlineLevel="1">
      <c r="A71" s="69"/>
      <c r="B71" s="69">
        <v>45894</v>
      </c>
      <c r="C71" s="70" t="str">
        <f t="shared" si="2"/>
        <v>segunda-feira</v>
      </c>
      <c r="D71" s="55">
        <f>SUMIFS('📋 Despesas'!K:K,'📋 Despesas'!N:N,B71)</f>
        <v>0</v>
      </c>
      <c r="E71" s="53"/>
      <c r="F71" s="53"/>
      <c r="G71" s="374"/>
      <c r="H71" s="372"/>
      <c r="I71" s="379"/>
      <c r="J71" s="372"/>
      <c r="K71" s="373"/>
      <c r="L71" s="372"/>
      <c r="M71" s="372"/>
      <c r="N71" s="227"/>
      <c r="O71" s="227"/>
      <c r="P71" s="227"/>
      <c r="Q71" s="227"/>
      <c r="R71" s="227"/>
      <c r="S71" s="340"/>
      <c r="T71" s="226"/>
      <c r="U71" s="53"/>
      <c r="V71" s="53"/>
      <c r="W71" s="53"/>
      <c r="X71" s="53"/>
    </row>
    <row r="72" spans="1:24" ht="15.75" hidden="1" customHeight="1" outlineLevel="1">
      <c r="A72" s="69"/>
      <c r="B72" s="69">
        <v>45895</v>
      </c>
      <c r="C72" s="70" t="str">
        <f t="shared" si="2"/>
        <v>terça-feira</v>
      </c>
      <c r="D72" s="55">
        <f>SUMIFS('📋 Despesas'!K:K,'📋 Despesas'!N:N,B72)</f>
        <v>0</v>
      </c>
      <c r="E72" s="53"/>
      <c r="F72" s="53"/>
      <c r="G72" s="374"/>
      <c r="H72" s="372"/>
      <c r="I72" s="379"/>
      <c r="J72" s="372"/>
      <c r="K72" s="373"/>
      <c r="L72" s="372"/>
      <c r="M72" s="372"/>
      <c r="N72" s="227"/>
      <c r="O72" s="227"/>
      <c r="P72" s="227"/>
      <c r="Q72" s="227"/>
      <c r="R72" s="227"/>
      <c r="S72" s="340"/>
      <c r="T72" s="226"/>
      <c r="U72" s="53"/>
      <c r="V72" s="53"/>
      <c r="W72" s="53"/>
      <c r="X72" s="53"/>
    </row>
    <row r="73" spans="1:24" ht="15.75" hidden="1" customHeight="1" outlineLevel="1">
      <c r="A73" s="69"/>
      <c r="B73" s="69">
        <v>45896</v>
      </c>
      <c r="C73" s="70" t="str">
        <f t="shared" si="2"/>
        <v>quarta-feira</v>
      </c>
      <c r="D73" s="55">
        <f>SUMIFS('📋 Despesas'!K:K,'📋 Despesas'!N:N,B73)</f>
        <v>0</v>
      </c>
      <c r="E73" s="53"/>
      <c r="F73" s="53"/>
      <c r="G73" s="374"/>
      <c r="H73" s="372"/>
      <c r="I73" s="379"/>
      <c r="J73" s="372"/>
      <c r="K73" s="373"/>
      <c r="L73" s="372"/>
      <c r="M73" s="372"/>
      <c r="N73" s="227"/>
      <c r="O73" s="227"/>
      <c r="P73" s="227"/>
      <c r="Q73" s="227"/>
      <c r="R73" s="227"/>
      <c r="S73" s="340"/>
      <c r="T73" s="226"/>
      <c r="U73" s="53"/>
      <c r="V73" s="53"/>
      <c r="W73" s="53"/>
      <c r="X73" s="53"/>
    </row>
    <row r="74" spans="1:24" ht="15.75" hidden="1" customHeight="1" outlineLevel="1">
      <c r="A74" s="69"/>
      <c r="B74" s="69">
        <v>45897</v>
      </c>
      <c r="C74" s="70" t="str">
        <f t="shared" si="2"/>
        <v>quinta-feira</v>
      </c>
      <c r="D74" s="55">
        <f>SUMIFS('📋 Despesas'!K:K,'📋 Despesas'!N:N,B74)</f>
        <v>0</v>
      </c>
      <c r="E74" s="53"/>
      <c r="F74" s="53"/>
      <c r="G74" s="374"/>
      <c r="H74" s="372"/>
      <c r="I74" s="379"/>
      <c r="J74" s="372"/>
      <c r="K74" s="373"/>
      <c r="L74" s="372"/>
      <c r="M74" s="372"/>
      <c r="N74" s="227"/>
      <c r="O74" s="227"/>
      <c r="P74" s="227"/>
      <c r="Q74" s="227"/>
      <c r="R74" s="227"/>
      <c r="S74" s="340"/>
      <c r="T74" s="226"/>
      <c r="U74" s="53"/>
      <c r="V74" s="53"/>
      <c r="W74" s="53"/>
      <c r="X74" s="53"/>
    </row>
    <row r="75" spans="1:24" ht="15.75" hidden="1" customHeight="1" outlineLevel="1">
      <c r="A75" s="69"/>
      <c r="B75" s="69">
        <v>45898</v>
      </c>
      <c r="C75" s="70" t="str">
        <f t="shared" si="2"/>
        <v>sexta-feira</v>
      </c>
      <c r="D75" s="55">
        <f>SUMIFS('📋 Despesas'!K:K,'📋 Despesas'!N:N,B75)</f>
        <v>0</v>
      </c>
      <c r="E75" s="53"/>
      <c r="F75" s="53"/>
      <c r="G75" s="374"/>
      <c r="H75" s="372"/>
      <c r="I75" s="379"/>
      <c r="J75" s="372"/>
      <c r="K75" s="373"/>
      <c r="L75" s="372"/>
      <c r="M75" s="372"/>
      <c r="N75" s="227"/>
      <c r="O75" s="227"/>
      <c r="P75" s="227"/>
      <c r="Q75" s="227"/>
      <c r="R75" s="227"/>
      <c r="S75" s="340"/>
      <c r="T75" s="226"/>
      <c r="U75" s="53"/>
      <c r="V75" s="53"/>
      <c r="W75" s="53"/>
      <c r="X75" s="53"/>
    </row>
    <row r="76" spans="1:24" ht="15.75" hidden="1" customHeight="1" outlineLevel="1">
      <c r="A76" s="69"/>
      <c r="B76" s="69">
        <v>45899</v>
      </c>
      <c r="C76" s="70" t="str">
        <f t="shared" si="2"/>
        <v>sábado</v>
      </c>
      <c r="D76" s="55">
        <f>SUMIFS('📋 Despesas'!K:K,'📋 Despesas'!N:N,B76)</f>
        <v>0</v>
      </c>
      <c r="E76" s="53"/>
      <c r="F76" s="53"/>
      <c r="G76" s="374"/>
      <c r="H76" s="372"/>
      <c r="I76" s="379"/>
      <c r="J76" s="372"/>
      <c r="K76" s="373"/>
      <c r="L76" s="372"/>
      <c r="M76" s="372"/>
      <c r="N76" s="227"/>
      <c r="O76" s="227"/>
      <c r="P76" s="227"/>
      <c r="Q76" s="227"/>
      <c r="R76" s="227"/>
      <c r="S76" s="340"/>
      <c r="T76" s="226"/>
      <c r="U76" s="53"/>
      <c r="V76" s="53"/>
      <c r="W76" s="53"/>
      <c r="X76" s="53"/>
    </row>
    <row r="77" spans="1:24" ht="15.75" hidden="1" customHeight="1" outlineLevel="1">
      <c r="A77" s="69"/>
      <c r="B77" s="69">
        <v>45900</v>
      </c>
      <c r="C77" s="70" t="str">
        <f t="shared" si="2"/>
        <v>domingo</v>
      </c>
      <c r="D77" s="55">
        <f>SUMIFS('📋 Despesas'!K:K,'📋 Despesas'!N:N,B77)</f>
        <v>0</v>
      </c>
      <c r="E77" s="53"/>
      <c r="F77" s="53"/>
      <c r="G77" s="374"/>
      <c r="H77" s="372"/>
      <c r="I77" s="379"/>
      <c r="J77" s="372"/>
      <c r="K77" s="373"/>
      <c r="L77" s="372"/>
      <c r="M77" s="372"/>
      <c r="N77" s="227"/>
      <c r="O77" s="227"/>
      <c r="P77" s="227"/>
      <c r="Q77" s="227"/>
      <c r="R77" s="227"/>
      <c r="S77" s="340"/>
      <c r="T77" s="226"/>
      <c r="U77" s="53"/>
      <c r="V77" s="53"/>
      <c r="W77" s="53"/>
      <c r="X77" s="53"/>
    </row>
    <row r="78" spans="1:24" ht="15.75" hidden="1" customHeight="1" outlineLevel="1">
      <c r="A78" s="69"/>
      <c r="B78" s="69">
        <v>45901</v>
      </c>
      <c r="C78" s="70" t="str">
        <f t="shared" si="2"/>
        <v>segunda-feira</v>
      </c>
      <c r="D78" s="55">
        <f>SUMIFS('📋 Despesas'!K:K,'📋 Despesas'!N:N,B78)</f>
        <v>0</v>
      </c>
      <c r="E78" s="53"/>
      <c r="F78" s="53"/>
      <c r="G78" s="374"/>
      <c r="H78" s="372"/>
      <c r="I78" s="379"/>
      <c r="J78" s="372"/>
      <c r="K78" s="373"/>
      <c r="L78" s="372"/>
      <c r="M78" s="372"/>
      <c r="N78" s="227"/>
      <c r="O78" s="227"/>
      <c r="P78" s="227"/>
      <c r="Q78" s="227"/>
      <c r="R78" s="227"/>
      <c r="S78" s="340"/>
      <c r="T78" s="226"/>
      <c r="U78" s="53"/>
      <c r="V78" s="53"/>
      <c r="W78" s="53"/>
      <c r="X78" s="53"/>
    </row>
    <row r="79" spans="1:24" ht="15.75" hidden="1" customHeight="1" outlineLevel="1">
      <c r="A79" s="69"/>
      <c r="B79" s="69">
        <v>45902</v>
      </c>
      <c r="C79" s="70" t="str">
        <f t="shared" si="2"/>
        <v>terça-feira</v>
      </c>
      <c r="D79" s="55">
        <f>SUMIFS('📋 Despesas'!K:K,'📋 Despesas'!N:N,B79)</f>
        <v>0</v>
      </c>
      <c r="E79" s="53"/>
      <c r="F79" s="53"/>
      <c r="G79" s="374"/>
      <c r="H79" s="372"/>
      <c r="I79" s="379"/>
      <c r="J79" s="372"/>
      <c r="K79" s="373"/>
      <c r="L79" s="372"/>
      <c r="M79" s="372"/>
      <c r="N79" s="227"/>
      <c r="O79" s="227"/>
      <c r="P79" s="227"/>
      <c r="Q79" s="227"/>
      <c r="R79" s="227"/>
      <c r="S79" s="340"/>
      <c r="T79" s="226"/>
      <c r="U79" s="53"/>
      <c r="V79" s="53"/>
      <c r="W79" s="53"/>
      <c r="X79" s="53"/>
    </row>
    <row r="80" spans="1:24" ht="15.75" hidden="1" customHeight="1" outlineLevel="1">
      <c r="A80" s="69"/>
      <c r="B80" s="69">
        <v>45903</v>
      </c>
      <c r="C80" s="70" t="str">
        <f t="shared" si="2"/>
        <v>quarta-feira</v>
      </c>
      <c r="D80" s="55">
        <f>SUMIFS('📋 Despesas'!K:K,'📋 Despesas'!N:N,B80)</f>
        <v>0</v>
      </c>
      <c r="E80" s="53"/>
      <c r="F80" s="53"/>
      <c r="G80" s="374"/>
      <c r="H80" s="372"/>
      <c r="I80" s="379"/>
      <c r="J80" s="372"/>
      <c r="K80" s="373"/>
      <c r="L80" s="372"/>
      <c r="M80" s="372"/>
      <c r="N80" s="227"/>
      <c r="O80" s="227"/>
      <c r="P80" s="227"/>
      <c r="Q80" s="227"/>
      <c r="R80" s="227"/>
      <c r="S80" s="340"/>
      <c r="T80" s="226"/>
      <c r="U80" s="53"/>
      <c r="V80" s="53"/>
      <c r="W80" s="53"/>
      <c r="X80" s="53"/>
    </row>
    <row r="81" spans="1:24" ht="15.75" hidden="1" customHeight="1" outlineLevel="1">
      <c r="A81" s="69"/>
      <c r="B81" s="69">
        <v>45904</v>
      </c>
      <c r="C81" s="70" t="str">
        <f t="shared" ref="C81:C144" si="3">IF(B81&lt;&gt;"",TEXT(WEEKDAY(B81),"dddd"),"")</f>
        <v>quinta-feira</v>
      </c>
      <c r="D81" s="55">
        <f>SUMIFS('📋 Despesas'!K:K,'📋 Despesas'!N:N,B81)</f>
        <v>0</v>
      </c>
      <c r="E81" s="53"/>
      <c r="F81" s="53"/>
      <c r="G81" s="374"/>
      <c r="H81" s="372"/>
      <c r="I81" s="379"/>
      <c r="J81" s="372"/>
      <c r="K81" s="373"/>
      <c r="L81" s="372"/>
      <c r="M81" s="372"/>
      <c r="N81" s="227"/>
      <c r="O81" s="227"/>
      <c r="P81" s="227"/>
      <c r="Q81" s="227"/>
      <c r="R81" s="227"/>
      <c r="S81" s="340"/>
      <c r="T81" s="226"/>
      <c r="U81" s="53"/>
      <c r="V81" s="53"/>
      <c r="W81" s="53"/>
      <c r="X81" s="53"/>
    </row>
    <row r="82" spans="1:24" ht="15.75" hidden="1" customHeight="1" outlineLevel="1">
      <c r="A82" s="69"/>
      <c r="B82" s="69">
        <v>45905</v>
      </c>
      <c r="C82" s="70" t="str">
        <f t="shared" si="3"/>
        <v>sexta-feira</v>
      </c>
      <c r="D82" s="55">
        <f>SUMIFS('📋 Despesas'!K:K,'📋 Despesas'!N:N,B82)</f>
        <v>0</v>
      </c>
      <c r="E82" s="53"/>
      <c r="F82" s="53"/>
      <c r="G82" s="374"/>
      <c r="H82" s="372"/>
      <c r="I82" s="379"/>
      <c r="J82" s="372"/>
      <c r="K82" s="373"/>
      <c r="L82" s="372"/>
      <c r="M82" s="372"/>
      <c r="N82" s="227"/>
      <c r="O82" s="227"/>
      <c r="P82" s="227"/>
      <c r="Q82" s="227"/>
      <c r="R82" s="227"/>
      <c r="S82" s="340"/>
      <c r="T82" s="226"/>
      <c r="U82" s="53"/>
      <c r="V82" s="53"/>
      <c r="W82" s="53"/>
      <c r="X82" s="53"/>
    </row>
    <row r="83" spans="1:24" ht="15.75" hidden="1" customHeight="1" outlineLevel="1">
      <c r="A83" s="69"/>
      <c r="B83" s="69">
        <v>45906</v>
      </c>
      <c r="C83" s="70" t="str">
        <f t="shared" si="3"/>
        <v>sábado</v>
      </c>
      <c r="D83" s="55">
        <f>SUMIFS('📋 Despesas'!K:K,'📋 Despesas'!N:N,B83)</f>
        <v>0</v>
      </c>
      <c r="E83" s="53"/>
      <c r="F83" s="53"/>
      <c r="G83" s="374"/>
      <c r="H83" s="372"/>
      <c r="I83" s="379"/>
      <c r="J83" s="372"/>
      <c r="K83" s="373"/>
      <c r="L83" s="372"/>
      <c r="M83" s="372"/>
      <c r="N83" s="227"/>
      <c r="O83" s="227"/>
      <c r="P83" s="227"/>
      <c r="Q83" s="227"/>
      <c r="R83" s="227"/>
      <c r="S83" s="340"/>
      <c r="T83" s="226"/>
      <c r="U83" s="53"/>
      <c r="V83" s="53"/>
      <c r="W83" s="53"/>
      <c r="X83" s="53"/>
    </row>
    <row r="84" spans="1:24" ht="15.75" hidden="1" customHeight="1" outlineLevel="1">
      <c r="A84" s="69"/>
      <c r="B84" s="69">
        <v>45907</v>
      </c>
      <c r="C84" s="70" t="str">
        <f t="shared" si="3"/>
        <v>domingo</v>
      </c>
      <c r="D84" s="55">
        <f>SUMIFS('📋 Despesas'!K:K,'📋 Despesas'!N:N,B84)</f>
        <v>0</v>
      </c>
      <c r="E84" s="53"/>
      <c r="F84" s="53"/>
      <c r="G84" s="374"/>
      <c r="H84" s="372"/>
      <c r="I84" s="379"/>
      <c r="J84" s="372"/>
      <c r="K84" s="373"/>
      <c r="L84" s="372"/>
      <c r="M84" s="372"/>
      <c r="N84" s="227"/>
      <c r="O84" s="227"/>
      <c r="P84" s="227"/>
      <c r="Q84" s="227"/>
      <c r="R84" s="227"/>
      <c r="S84" s="340"/>
      <c r="T84" s="226"/>
      <c r="U84" s="53"/>
      <c r="V84" s="53"/>
      <c r="W84" s="53"/>
      <c r="X84" s="53"/>
    </row>
    <row r="85" spans="1:24" ht="15.75" hidden="1" customHeight="1" outlineLevel="1">
      <c r="A85" s="69"/>
      <c r="B85" s="69">
        <v>45908</v>
      </c>
      <c r="C85" s="70" t="str">
        <f t="shared" si="3"/>
        <v>segunda-feira</v>
      </c>
      <c r="D85" s="55">
        <f>SUMIFS('📋 Despesas'!K:K,'📋 Despesas'!N:N,B85)</f>
        <v>0</v>
      </c>
      <c r="E85" s="53"/>
      <c r="F85" s="53"/>
      <c r="G85" s="372"/>
      <c r="H85" s="372"/>
      <c r="I85" s="379"/>
      <c r="J85" s="372"/>
      <c r="K85" s="373"/>
      <c r="L85" s="372"/>
      <c r="M85" s="372"/>
      <c r="N85" s="227"/>
      <c r="O85" s="227"/>
      <c r="P85" s="227"/>
      <c r="Q85" s="227"/>
      <c r="R85" s="227"/>
      <c r="S85" s="340"/>
      <c r="T85" s="226"/>
      <c r="U85" s="53"/>
      <c r="V85" s="53"/>
      <c r="W85" s="53"/>
      <c r="X85" s="53"/>
    </row>
    <row r="86" spans="1:24" ht="15.75" hidden="1" customHeight="1" outlineLevel="1">
      <c r="A86" s="69"/>
      <c r="B86" s="69">
        <v>45909</v>
      </c>
      <c r="C86" s="70" t="str">
        <f t="shared" si="3"/>
        <v>terça-feira</v>
      </c>
      <c r="D86" s="55">
        <f>SUMIFS('📋 Despesas'!K:K,'📋 Despesas'!N:N,B86)</f>
        <v>0</v>
      </c>
      <c r="E86" s="53"/>
      <c r="F86" s="53"/>
      <c r="G86" s="372"/>
      <c r="H86" s="372"/>
      <c r="I86" s="379"/>
      <c r="J86" s="372"/>
      <c r="K86" s="373"/>
      <c r="L86" s="372"/>
      <c r="M86" s="372"/>
      <c r="N86" s="227"/>
      <c r="O86" s="227"/>
      <c r="P86" s="227"/>
      <c r="Q86" s="227"/>
      <c r="R86" s="227"/>
      <c r="S86" s="340"/>
      <c r="T86" s="226"/>
      <c r="U86" s="53"/>
      <c r="V86" s="53"/>
      <c r="W86" s="53"/>
      <c r="X86" s="53"/>
    </row>
    <row r="87" spans="1:24" ht="15.75" hidden="1" customHeight="1" outlineLevel="1">
      <c r="A87" s="69"/>
      <c r="B87" s="69">
        <v>45910</v>
      </c>
      <c r="C87" s="70" t="str">
        <f t="shared" si="3"/>
        <v>quarta-feira</v>
      </c>
      <c r="D87" s="55">
        <f>SUMIFS('📋 Despesas'!K:K,'📋 Despesas'!N:N,B87)</f>
        <v>0</v>
      </c>
      <c r="E87" s="53"/>
      <c r="F87" s="53"/>
      <c r="G87" s="372"/>
      <c r="H87" s="372"/>
      <c r="I87" s="379"/>
      <c r="J87" s="372"/>
      <c r="K87" s="373"/>
      <c r="L87" s="372"/>
      <c r="M87" s="372"/>
      <c r="N87" s="227"/>
      <c r="O87" s="227"/>
      <c r="P87" s="227"/>
      <c r="Q87" s="227"/>
      <c r="R87" s="227"/>
      <c r="S87" s="340"/>
      <c r="T87" s="226"/>
      <c r="U87" s="53"/>
      <c r="V87" s="53"/>
      <c r="W87" s="53"/>
      <c r="X87" s="53"/>
    </row>
    <row r="88" spans="1:24" ht="15.75" hidden="1" customHeight="1" outlineLevel="1">
      <c r="A88" s="69"/>
      <c r="B88" s="69">
        <v>45911</v>
      </c>
      <c r="C88" s="70" t="str">
        <f t="shared" si="3"/>
        <v>quinta-feira</v>
      </c>
      <c r="D88" s="55">
        <f>SUMIFS('📋 Despesas'!K:K,'📋 Despesas'!N:N,B88)</f>
        <v>0</v>
      </c>
      <c r="E88" s="53"/>
      <c r="F88" s="53"/>
      <c r="G88" s="372"/>
      <c r="H88" s="372"/>
      <c r="I88" s="379"/>
      <c r="J88" s="372"/>
      <c r="K88" s="373"/>
      <c r="L88" s="372"/>
      <c r="M88" s="372"/>
      <c r="N88" s="227"/>
      <c r="O88" s="227"/>
      <c r="P88" s="227"/>
      <c r="Q88" s="227"/>
      <c r="R88" s="227"/>
      <c r="S88" s="340"/>
      <c r="T88" s="226"/>
      <c r="U88" s="53"/>
      <c r="V88" s="53"/>
      <c r="W88" s="53"/>
      <c r="X88" s="53"/>
    </row>
    <row r="89" spans="1:24" ht="15.75" hidden="1" customHeight="1" outlineLevel="1">
      <c r="A89" s="69"/>
      <c r="B89" s="69">
        <v>45912</v>
      </c>
      <c r="C89" s="70" t="str">
        <f t="shared" si="3"/>
        <v>sexta-feira</v>
      </c>
      <c r="D89" s="55">
        <f>SUMIFS('📋 Despesas'!K:K,'📋 Despesas'!N:N,B89)</f>
        <v>0</v>
      </c>
      <c r="E89" s="53"/>
      <c r="F89" s="53"/>
      <c r="G89" s="372"/>
      <c r="H89" s="372"/>
      <c r="I89" s="379"/>
      <c r="J89" s="372"/>
      <c r="K89" s="373"/>
      <c r="L89" s="372"/>
      <c r="M89" s="372"/>
      <c r="N89" s="227"/>
      <c r="O89" s="227"/>
      <c r="P89" s="227"/>
      <c r="Q89" s="227"/>
      <c r="R89" s="227"/>
      <c r="S89" s="340"/>
      <c r="T89" s="226"/>
      <c r="U89" s="53"/>
      <c r="V89" s="53"/>
      <c r="W89" s="53"/>
      <c r="X89" s="53"/>
    </row>
    <row r="90" spans="1:24" ht="15.75" hidden="1" customHeight="1" outlineLevel="1">
      <c r="A90" s="69"/>
      <c r="B90" s="69">
        <v>45913</v>
      </c>
      <c r="C90" s="70" t="str">
        <f t="shared" si="3"/>
        <v>sábado</v>
      </c>
      <c r="D90" s="55">
        <f>SUMIFS('📋 Despesas'!K:K,'📋 Despesas'!N:N,B90)</f>
        <v>0</v>
      </c>
      <c r="E90" s="53"/>
      <c r="F90" s="53"/>
      <c r="G90" s="372"/>
      <c r="H90" s="372"/>
      <c r="I90" s="379"/>
      <c r="J90" s="372"/>
      <c r="K90" s="373"/>
      <c r="L90" s="372"/>
      <c r="M90" s="372"/>
      <c r="N90" s="227"/>
      <c r="O90" s="227"/>
      <c r="P90" s="227"/>
      <c r="Q90" s="227"/>
      <c r="R90" s="227"/>
      <c r="S90" s="340"/>
      <c r="T90" s="226"/>
      <c r="U90" s="53"/>
      <c r="V90" s="53"/>
      <c r="W90" s="53"/>
      <c r="X90" s="53"/>
    </row>
    <row r="91" spans="1:24" ht="15.75" hidden="1" customHeight="1" outlineLevel="1">
      <c r="A91" s="69"/>
      <c r="B91" s="69">
        <v>45914</v>
      </c>
      <c r="C91" s="70" t="str">
        <f t="shared" si="3"/>
        <v>domingo</v>
      </c>
      <c r="D91" s="55">
        <f>SUMIFS('📋 Despesas'!K:K,'📋 Despesas'!N:N,B91)</f>
        <v>0</v>
      </c>
      <c r="E91" s="53"/>
      <c r="F91" s="53"/>
      <c r="G91" s="372"/>
      <c r="H91" s="372"/>
      <c r="I91" s="379"/>
      <c r="J91" s="372"/>
      <c r="K91" s="373"/>
      <c r="L91" s="372"/>
      <c r="M91" s="372"/>
      <c r="N91" s="227"/>
      <c r="O91" s="227"/>
      <c r="P91" s="227"/>
      <c r="Q91" s="227"/>
      <c r="R91" s="227"/>
      <c r="S91" s="340"/>
      <c r="T91" s="226"/>
      <c r="U91" s="53"/>
      <c r="V91" s="53"/>
      <c r="W91" s="53"/>
      <c r="X91" s="53"/>
    </row>
    <row r="92" spans="1:24" ht="15.75" hidden="1" customHeight="1" outlineLevel="1">
      <c r="A92" s="69"/>
      <c r="B92" s="69">
        <v>45915</v>
      </c>
      <c r="C92" s="70" t="str">
        <f t="shared" si="3"/>
        <v>segunda-feira</v>
      </c>
      <c r="D92" s="55">
        <f>SUMIFS('📋 Despesas'!K:K,'📋 Despesas'!N:N,B92)</f>
        <v>0</v>
      </c>
      <c r="E92" s="53"/>
      <c r="F92" s="53"/>
      <c r="G92" s="372"/>
      <c r="H92" s="372"/>
      <c r="I92" s="379"/>
      <c r="J92" s="372"/>
      <c r="K92" s="373"/>
      <c r="L92" s="372"/>
      <c r="M92" s="372"/>
      <c r="N92" s="227"/>
      <c r="O92" s="227"/>
      <c r="P92" s="227"/>
      <c r="Q92" s="227"/>
      <c r="R92" s="227"/>
      <c r="S92" s="340"/>
      <c r="T92" s="226"/>
      <c r="U92" s="53"/>
      <c r="V92" s="53"/>
      <c r="W92" s="53"/>
      <c r="X92" s="53"/>
    </row>
    <row r="93" spans="1:24" ht="15.75" hidden="1" customHeight="1" outlineLevel="1">
      <c r="A93" s="69"/>
      <c r="B93" s="69">
        <v>45916</v>
      </c>
      <c r="C93" s="70" t="str">
        <f t="shared" si="3"/>
        <v>terça-feira</v>
      </c>
      <c r="D93" s="55">
        <f>SUMIFS('📋 Despesas'!K:K,'📋 Despesas'!N:N,B93)</f>
        <v>0</v>
      </c>
      <c r="E93" s="53"/>
      <c r="F93" s="53"/>
      <c r="G93" s="372"/>
      <c r="H93" s="372"/>
      <c r="I93" s="379"/>
      <c r="J93" s="372"/>
      <c r="K93" s="373"/>
      <c r="L93" s="372"/>
      <c r="M93" s="372"/>
      <c r="N93" s="227"/>
      <c r="O93" s="227"/>
      <c r="P93" s="227"/>
      <c r="Q93" s="227"/>
      <c r="R93" s="227"/>
      <c r="S93" s="340"/>
      <c r="T93" s="226"/>
      <c r="U93" s="53"/>
      <c r="V93" s="53"/>
      <c r="W93" s="53"/>
      <c r="X93" s="53"/>
    </row>
    <row r="94" spans="1:24" ht="15.75" hidden="1" customHeight="1" outlineLevel="1">
      <c r="A94" s="69"/>
      <c r="B94" s="69">
        <v>45917</v>
      </c>
      <c r="C94" s="70" t="str">
        <f t="shared" si="3"/>
        <v>quarta-feira</v>
      </c>
      <c r="D94" s="55">
        <f>SUMIFS('📋 Despesas'!K:K,'📋 Despesas'!N:N,B94)</f>
        <v>0</v>
      </c>
      <c r="E94" s="53"/>
      <c r="F94" s="53"/>
      <c r="G94" s="372"/>
      <c r="H94" s="372"/>
      <c r="I94" s="379"/>
      <c r="J94" s="372"/>
      <c r="K94" s="373"/>
      <c r="L94" s="372"/>
      <c r="M94" s="372"/>
      <c r="N94" s="227"/>
      <c r="O94" s="227"/>
      <c r="P94" s="227"/>
      <c r="Q94" s="227"/>
      <c r="R94" s="227"/>
      <c r="S94" s="340"/>
      <c r="T94" s="226"/>
      <c r="U94" s="53"/>
      <c r="V94" s="53"/>
      <c r="W94" s="53"/>
      <c r="X94" s="53"/>
    </row>
    <row r="95" spans="1:24" ht="15.75" hidden="1" customHeight="1" outlineLevel="1">
      <c r="A95" s="69"/>
      <c r="B95" s="69">
        <v>45918</v>
      </c>
      <c r="C95" s="70" t="str">
        <f t="shared" si="3"/>
        <v>quinta-feira</v>
      </c>
      <c r="D95" s="55">
        <f>SUMIFS('📋 Despesas'!K:K,'📋 Despesas'!N:N,B95)</f>
        <v>0</v>
      </c>
      <c r="E95" s="53"/>
      <c r="F95" s="53"/>
      <c r="G95" s="372"/>
      <c r="H95" s="372"/>
      <c r="I95" s="379"/>
      <c r="J95" s="372"/>
      <c r="K95" s="373"/>
      <c r="L95" s="372"/>
      <c r="M95" s="372"/>
      <c r="N95" s="227"/>
      <c r="O95" s="227"/>
      <c r="P95" s="227"/>
      <c r="Q95" s="227"/>
      <c r="R95" s="227"/>
      <c r="S95" s="340"/>
      <c r="T95" s="226"/>
      <c r="U95" s="53"/>
      <c r="V95" s="53"/>
      <c r="W95" s="53"/>
      <c r="X95" s="53"/>
    </row>
    <row r="96" spans="1:24" ht="15.75" hidden="1" customHeight="1" outlineLevel="1">
      <c r="A96" s="69"/>
      <c r="B96" s="69">
        <v>45919</v>
      </c>
      <c r="C96" s="70" t="str">
        <f t="shared" si="3"/>
        <v>sexta-feira</v>
      </c>
      <c r="D96" s="55">
        <f>SUMIFS('📋 Despesas'!K:K,'📋 Despesas'!N:N,B96)</f>
        <v>0</v>
      </c>
      <c r="E96" s="53"/>
      <c r="F96" s="53"/>
      <c r="G96" s="372"/>
      <c r="H96" s="372"/>
      <c r="I96" s="379"/>
      <c r="J96" s="372"/>
      <c r="K96" s="373"/>
      <c r="L96" s="372"/>
      <c r="M96" s="372"/>
      <c r="N96" s="227"/>
      <c r="O96" s="227"/>
      <c r="P96" s="227"/>
      <c r="Q96" s="227"/>
      <c r="R96" s="227"/>
      <c r="S96" s="340"/>
      <c r="T96" s="226"/>
      <c r="U96" s="53"/>
      <c r="V96" s="53"/>
      <c r="W96" s="53"/>
      <c r="X96" s="53"/>
    </row>
    <row r="97" spans="1:24" ht="15.75" hidden="1" customHeight="1" outlineLevel="1">
      <c r="A97" s="69"/>
      <c r="B97" s="69">
        <v>45920</v>
      </c>
      <c r="C97" s="70" t="str">
        <f t="shared" si="3"/>
        <v>sábado</v>
      </c>
      <c r="D97" s="55">
        <f>SUMIFS('📋 Despesas'!K:K,'📋 Despesas'!N:N,B97)</f>
        <v>0</v>
      </c>
      <c r="E97" s="53"/>
      <c r="F97" s="53"/>
      <c r="G97" s="372"/>
      <c r="H97" s="372"/>
      <c r="I97" s="379"/>
      <c r="J97" s="372"/>
      <c r="K97" s="373"/>
      <c r="L97" s="372"/>
      <c r="M97" s="372"/>
      <c r="N97" s="227"/>
      <c r="O97" s="227"/>
      <c r="P97" s="227"/>
      <c r="Q97" s="227"/>
      <c r="R97" s="227"/>
      <c r="S97" s="340"/>
      <c r="T97" s="226"/>
      <c r="U97" s="53"/>
      <c r="V97" s="53"/>
      <c r="W97" s="53"/>
      <c r="X97" s="53"/>
    </row>
    <row r="98" spans="1:24" ht="15.75" hidden="1" customHeight="1" outlineLevel="1">
      <c r="A98" s="69"/>
      <c r="B98" s="69">
        <v>45921</v>
      </c>
      <c r="C98" s="70" t="str">
        <f t="shared" si="3"/>
        <v>domingo</v>
      </c>
      <c r="D98" s="55">
        <f>SUMIFS('📋 Despesas'!K:K,'📋 Despesas'!N:N,B98)</f>
        <v>0</v>
      </c>
      <c r="E98" s="53"/>
      <c r="F98" s="53"/>
      <c r="G98" s="372"/>
      <c r="H98" s="372"/>
      <c r="I98" s="379"/>
      <c r="J98" s="372"/>
      <c r="K98" s="373"/>
      <c r="L98" s="372"/>
      <c r="M98" s="372"/>
      <c r="N98" s="227"/>
      <c r="O98" s="227"/>
      <c r="P98" s="227"/>
      <c r="Q98" s="227"/>
      <c r="R98" s="227"/>
      <c r="S98" s="340"/>
      <c r="T98" s="226"/>
      <c r="U98" s="53"/>
      <c r="V98" s="53"/>
      <c r="W98" s="53"/>
      <c r="X98" s="53"/>
    </row>
    <row r="99" spans="1:24" ht="15.75" hidden="1" customHeight="1" outlineLevel="1">
      <c r="A99" s="69"/>
      <c r="B99" s="69">
        <v>45922</v>
      </c>
      <c r="C99" s="70" t="str">
        <f t="shared" si="3"/>
        <v>segunda-feira</v>
      </c>
      <c r="D99" s="55">
        <f>SUMIFS('📋 Despesas'!K:K,'📋 Despesas'!N:N,B99)</f>
        <v>0</v>
      </c>
      <c r="E99" s="53"/>
      <c r="F99" s="53"/>
      <c r="G99" s="372"/>
      <c r="H99" s="372"/>
      <c r="I99" s="379"/>
      <c r="J99" s="372"/>
      <c r="K99" s="373"/>
      <c r="L99" s="372"/>
      <c r="M99" s="372"/>
      <c r="N99" s="227"/>
      <c r="O99" s="227"/>
      <c r="P99" s="227"/>
      <c r="Q99" s="227"/>
      <c r="R99" s="227"/>
      <c r="S99" s="340"/>
      <c r="T99" s="226"/>
      <c r="U99" s="53"/>
      <c r="V99" s="53"/>
      <c r="W99" s="53"/>
      <c r="X99" s="53"/>
    </row>
    <row r="100" spans="1:24" ht="15.75" hidden="1" customHeight="1" outlineLevel="1">
      <c r="A100" s="69"/>
      <c r="B100" s="69">
        <v>45923</v>
      </c>
      <c r="C100" s="70" t="str">
        <f t="shared" si="3"/>
        <v>terça-feira</v>
      </c>
      <c r="D100" s="55">
        <f>SUMIFS('📋 Despesas'!K:K,'📋 Despesas'!N:N,B100)</f>
        <v>0</v>
      </c>
      <c r="E100" s="53"/>
      <c r="F100" s="53"/>
      <c r="G100" s="372"/>
      <c r="H100" s="372"/>
      <c r="I100" s="379"/>
      <c r="J100" s="372"/>
      <c r="K100" s="373"/>
      <c r="L100" s="372"/>
      <c r="M100" s="372"/>
      <c r="N100" s="227"/>
      <c r="O100" s="227"/>
      <c r="P100" s="227"/>
      <c r="Q100" s="227"/>
      <c r="R100" s="227"/>
      <c r="S100" s="340"/>
      <c r="T100" s="226"/>
      <c r="U100" s="53"/>
      <c r="V100" s="53"/>
      <c r="W100" s="53"/>
      <c r="X100" s="53"/>
    </row>
    <row r="101" spans="1:24" ht="15.75" hidden="1" customHeight="1" outlineLevel="1">
      <c r="A101" s="69"/>
      <c r="B101" s="69">
        <v>45924</v>
      </c>
      <c r="C101" s="70" t="str">
        <f t="shared" si="3"/>
        <v>quarta-feira</v>
      </c>
      <c r="D101" s="55">
        <f>SUMIFS('📋 Despesas'!K:K,'📋 Despesas'!N:N,B101)</f>
        <v>0</v>
      </c>
      <c r="E101" s="53"/>
      <c r="F101" s="53"/>
      <c r="G101" s="372"/>
      <c r="H101" s="372"/>
      <c r="I101" s="379"/>
      <c r="J101" s="372"/>
      <c r="K101" s="373"/>
      <c r="L101" s="372"/>
      <c r="M101" s="372"/>
      <c r="N101" s="227"/>
      <c r="O101" s="227"/>
      <c r="P101" s="227"/>
      <c r="Q101" s="227"/>
      <c r="R101" s="227"/>
      <c r="S101" s="340"/>
      <c r="T101" s="226"/>
      <c r="U101" s="53"/>
      <c r="V101" s="53"/>
      <c r="W101" s="53"/>
      <c r="X101" s="53"/>
    </row>
    <row r="102" spans="1:24" ht="15.75" hidden="1" customHeight="1" outlineLevel="1">
      <c r="A102" s="69"/>
      <c r="B102" s="69">
        <v>45925</v>
      </c>
      <c r="C102" s="70" t="str">
        <f t="shared" si="3"/>
        <v>quinta-feira</v>
      </c>
      <c r="D102" s="55">
        <f>SUMIFS('📋 Despesas'!K:K,'📋 Despesas'!N:N,B102)</f>
        <v>0</v>
      </c>
      <c r="E102" s="53"/>
      <c r="F102" s="53"/>
      <c r="G102" s="372"/>
      <c r="H102" s="372"/>
      <c r="I102" s="379"/>
      <c r="J102" s="372"/>
      <c r="K102" s="373"/>
      <c r="L102" s="372"/>
      <c r="M102" s="372"/>
      <c r="N102" s="227"/>
      <c r="O102" s="227"/>
      <c r="P102" s="227"/>
      <c r="Q102" s="227"/>
      <c r="R102" s="227"/>
      <c r="S102" s="340"/>
      <c r="T102" s="226"/>
      <c r="U102" s="53"/>
      <c r="V102" s="53"/>
      <c r="W102" s="53"/>
      <c r="X102" s="53"/>
    </row>
    <row r="103" spans="1:24" ht="15.75" hidden="1" customHeight="1" outlineLevel="1">
      <c r="A103" s="69"/>
      <c r="B103" s="69">
        <v>45926</v>
      </c>
      <c r="C103" s="70" t="str">
        <f t="shared" si="3"/>
        <v>sexta-feira</v>
      </c>
      <c r="D103" s="55">
        <f>SUMIFS('📋 Despesas'!K:K,'📋 Despesas'!N:N,B103)</f>
        <v>0</v>
      </c>
      <c r="E103" s="53"/>
      <c r="F103" s="53"/>
      <c r="G103" s="372"/>
      <c r="H103" s="372"/>
      <c r="I103" s="379"/>
      <c r="J103" s="372"/>
      <c r="K103" s="373"/>
      <c r="L103" s="372"/>
      <c r="M103" s="372"/>
      <c r="N103" s="227"/>
      <c r="O103" s="227"/>
      <c r="P103" s="227"/>
      <c r="Q103" s="227"/>
      <c r="R103" s="227"/>
      <c r="S103" s="340"/>
      <c r="T103" s="226"/>
      <c r="U103" s="53"/>
      <c r="V103" s="53"/>
      <c r="W103" s="53"/>
      <c r="X103" s="53"/>
    </row>
    <row r="104" spans="1:24" ht="15.75" hidden="1" customHeight="1" outlineLevel="1">
      <c r="A104" s="69"/>
      <c r="B104" s="69">
        <v>45927</v>
      </c>
      <c r="C104" s="70" t="str">
        <f t="shared" si="3"/>
        <v>sábado</v>
      </c>
      <c r="D104" s="55">
        <f>SUMIFS('📋 Despesas'!K:K,'📋 Despesas'!N:N,B104)</f>
        <v>0</v>
      </c>
      <c r="E104" s="53"/>
      <c r="F104" s="53"/>
      <c r="G104" s="372"/>
      <c r="H104" s="372"/>
      <c r="I104" s="379"/>
      <c r="J104" s="372"/>
      <c r="K104" s="373"/>
      <c r="L104" s="372"/>
      <c r="M104" s="372"/>
      <c r="N104" s="227"/>
      <c r="O104" s="227"/>
      <c r="P104" s="227"/>
      <c r="Q104" s="227"/>
      <c r="R104" s="227"/>
      <c r="S104" s="340"/>
      <c r="T104" s="226"/>
      <c r="U104" s="53"/>
      <c r="V104" s="53"/>
      <c r="W104" s="53"/>
      <c r="X104" s="53"/>
    </row>
    <row r="105" spans="1:24" ht="15.75" hidden="1" customHeight="1" outlineLevel="1">
      <c r="A105" s="69"/>
      <c r="B105" s="69">
        <v>45928</v>
      </c>
      <c r="C105" s="70" t="str">
        <f t="shared" si="3"/>
        <v>domingo</v>
      </c>
      <c r="D105" s="55">
        <f>SUMIFS('📋 Despesas'!K:K,'📋 Despesas'!N:N,B105)</f>
        <v>0</v>
      </c>
      <c r="E105" s="53"/>
      <c r="F105" s="53"/>
      <c r="G105" s="372"/>
      <c r="H105" s="372"/>
      <c r="I105" s="379"/>
      <c r="J105" s="372"/>
      <c r="K105" s="373"/>
      <c r="L105" s="372"/>
      <c r="M105" s="372"/>
      <c r="N105" s="227"/>
      <c r="O105" s="227"/>
      <c r="P105" s="227"/>
      <c r="Q105" s="227"/>
      <c r="R105" s="227"/>
      <c r="S105" s="340"/>
      <c r="T105" s="226"/>
      <c r="U105" s="53"/>
      <c r="V105" s="53"/>
      <c r="W105" s="53"/>
      <c r="X105" s="53"/>
    </row>
    <row r="106" spans="1:24" ht="15.75" hidden="1" customHeight="1" outlineLevel="1">
      <c r="A106" s="69"/>
      <c r="B106" s="69">
        <v>45929</v>
      </c>
      <c r="C106" s="70" t="str">
        <f t="shared" si="3"/>
        <v>segunda-feira</v>
      </c>
      <c r="D106" s="55">
        <f>SUMIFS('📋 Despesas'!K:K,'📋 Despesas'!N:N,B106)</f>
        <v>0</v>
      </c>
      <c r="E106" s="53"/>
      <c r="F106" s="53"/>
      <c r="G106" s="372"/>
      <c r="H106" s="372"/>
      <c r="I106" s="379"/>
      <c r="J106" s="372"/>
      <c r="K106" s="373"/>
      <c r="L106" s="372"/>
      <c r="M106" s="372"/>
      <c r="N106" s="227"/>
      <c r="O106" s="227"/>
      <c r="P106" s="227"/>
      <c r="Q106" s="227"/>
      <c r="R106" s="227"/>
      <c r="S106" s="340"/>
      <c r="T106" s="226"/>
      <c r="U106" s="53"/>
      <c r="V106" s="53"/>
      <c r="W106" s="53"/>
      <c r="X106" s="53"/>
    </row>
    <row r="107" spans="1:24" ht="15.75" hidden="1" customHeight="1" outlineLevel="1">
      <c r="A107" s="69"/>
      <c r="B107" s="69">
        <v>45930</v>
      </c>
      <c r="C107" s="70" t="str">
        <f t="shared" si="3"/>
        <v>terça-feira</v>
      </c>
      <c r="D107" s="55">
        <f>SUMIFS('📋 Despesas'!K:K,'📋 Despesas'!N:N,B107)</f>
        <v>0</v>
      </c>
      <c r="E107" s="53"/>
      <c r="F107" s="53"/>
      <c r="G107" s="372"/>
      <c r="H107" s="372"/>
      <c r="I107" s="379"/>
      <c r="J107" s="372"/>
      <c r="K107" s="373"/>
      <c r="L107" s="372"/>
      <c r="M107" s="372"/>
      <c r="N107" s="227"/>
      <c r="O107" s="227"/>
      <c r="P107" s="227"/>
      <c r="Q107" s="227"/>
      <c r="R107" s="227"/>
      <c r="S107" s="340"/>
      <c r="T107" s="226"/>
      <c r="U107" s="53"/>
      <c r="V107" s="53"/>
      <c r="W107" s="53"/>
      <c r="X107" s="53"/>
    </row>
    <row r="108" spans="1:24" ht="15.45" hidden="1" customHeight="1" outlineLevel="1">
      <c r="A108" s="69"/>
      <c r="B108" s="69">
        <v>45931</v>
      </c>
      <c r="C108" s="70" t="str">
        <f t="shared" si="3"/>
        <v>quarta-feira</v>
      </c>
      <c r="D108" s="55">
        <f>SUMIFS('📋 Despesas'!K:K,'📋 Despesas'!N:N,B108)</f>
        <v>0</v>
      </c>
      <c r="E108" s="53"/>
      <c r="F108" s="53"/>
      <c r="G108" s="372"/>
      <c r="H108" s="372"/>
      <c r="I108" s="379"/>
      <c r="J108" s="372"/>
      <c r="K108" s="373"/>
      <c r="L108" s="372"/>
      <c r="M108" s="372"/>
      <c r="N108" s="227"/>
      <c r="O108" s="227"/>
      <c r="P108" s="227"/>
      <c r="Q108" s="227"/>
      <c r="R108" s="227"/>
      <c r="S108" s="340"/>
      <c r="T108" s="226"/>
      <c r="U108" s="53"/>
      <c r="V108" s="53"/>
      <c r="W108" s="53"/>
      <c r="X108" s="53"/>
    </row>
    <row r="109" spans="1:24" ht="15.75" hidden="1" customHeight="1" outlineLevel="1">
      <c r="A109" s="69"/>
      <c r="B109" s="69">
        <v>45932</v>
      </c>
      <c r="C109" s="70" t="str">
        <f t="shared" si="3"/>
        <v>quinta-feira</v>
      </c>
      <c r="D109" s="55">
        <f>SUMIFS('📋 Despesas'!K:K,'📋 Despesas'!N:N,B109)</f>
        <v>0</v>
      </c>
      <c r="E109" s="53"/>
      <c r="F109" s="53"/>
      <c r="G109" s="372"/>
      <c r="H109" s="372"/>
      <c r="I109" s="379"/>
      <c r="J109" s="372"/>
      <c r="K109" s="373"/>
      <c r="L109" s="372"/>
      <c r="M109" s="372"/>
      <c r="N109" s="227"/>
      <c r="O109" s="227"/>
      <c r="P109" s="227"/>
      <c r="Q109" s="227"/>
      <c r="R109" s="227"/>
      <c r="S109" s="340"/>
      <c r="T109" s="226"/>
      <c r="U109" s="53"/>
      <c r="V109" s="53"/>
      <c r="W109" s="53"/>
      <c r="X109" s="53"/>
    </row>
    <row r="110" spans="1:24" ht="15.75" hidden="1" customHeight="1" outlineLevel="1">
      <c r="A110" s="69"/>
      <c r="B110" s="69">
        <v>45933</v>
      </c>
      <c r="C110" s="70" t="str">
        <f t="shared" si="3"/>
        <v>sexta-feira</v>
      </c>
      <c r="D110" s="55">
        <f>SUMIFS('📋 Despesas'!K:K,'📋 Despesas'!N:N,B110)</f>
        <v>0</v>
      </c>
      <c r="E110" s="53"/>
      <c r="F110" s="53"/>
      <c r="G110" s="372"/>
      <c r="H110" s="372"/>
      <c r="I110" s="379"/>
      <c r="J110" s="372"/>
      <c r="K110" s="373"/>
      <c r="L110" s="372"/>
      <c r="M110" s="372"/>
      <c r="N110" s="227"/>
      <c r="O110" s="227"/>
      <c r="P110" s="227"/>
      <c r="Q110" s="227"/>
      <c r="R110" s="227"/>
      <c r="S110" s="340"/>
      <c r="T110" s="226"/>
      <c r="U110" s="53"/>
      <c r="V110" s="53"/>
      <c r="W110" s="53"/>
      <c r="X110" s="53"/>
    </row>
    <row r="111" spans="1:24" ht="15.75" hidden="1" customHeight="1" outlineLevel="1">
      <c r="A111" s="69"/>
      <c r="B111" s="69">
        <v>45934</v>
      </c>
      <c r="C111" s="70" t="str">
        <f t="shared" si="3"/>
        <v>sábado</v>
      </c>
      <c r="D111" s="55">
        <f>SUMIFS('📋 Despesas'!K:K,'📋 Despesas'!N:N,B111)</f>
        <v>0</v>
      </c>
      <c r="E111" s="53"/>
      <c r="F111" s="53"/>
      <c r="G111" s="372"/>
      <c r="H111" s="372"/>
      <c r="I111" s="379"/>
      <c r="J111" s="372"/>
      <c r="K111" s="373"/>
      <c r="L111" s="372"/>
      <c r="M111" s="372"/>
      <c r="N111" s="227"/>
      <c r="O111" s="227"/>
      <c r="P111" s="227"/>
      <c r="Q111" s="227"/>
      <c r="R111" s="227"/>
      <c r="S111" s="340"/>
      <c r="T111" s="226"/>
      <c r="U111" s="53"/>
      <c r="V111" s="53"/>
      <c r="W111" s="53"/>
      <c r="X111" s="53"/>
    </row>
    <row r="112" spans="1:24" ht="15.75" hidden="1" customHeight="1" outlineLevel="1">
      <c r="A112" s="69"/>
      <c r="B112" s="69">
        <v>45935</v>
      </c>
      <c r="C112" s="70" t="str">
        <f t="shared" si="3"/>
        <v>domingo</v>
      </c>
      <c r="D112" s="55">
        <f>SUMIFS('📋 Despesas'!K:K,'📋 Despesas'!N:N,B112)</f>
        <v>0</v>
      </c>
      <c r="E112" s="53"/>
      <c r="F112" s="53"/>
      <c r="G112" s="372"/>
      <c r="H112" s="372"/>
      <c r="I112" s="379"/>
      <c r="J112" s="372"/>
      <c r="K112" s="373"/>
      <c r="L112" s="372"/>
      <c r="M112" s="372"/>
      <c r="N112" s="227"/>
      <c r="O112" s="227"/>
      <c r="P112" s="227"/>
      <c r="Q112" s="227"/>
      <c r="R112" s="227"/>
      <c r="S112" s="340"/>
      <c r="T112" s="226"/>
      <c r="U112" s="53"/>
      <c r="V112" s="53"/>
      <c r="W112" s="53"/>
      <c r="X112" s="53"/>
    </row>
    <row r="113" spans="1:24" ht="15.75" hidden="1" customHeight="1" outlineLevel="1">
      <c r="A113" s="69"/>
      <c r="B113" s="69">
        <v>45936</v>
      </c>
      <c r="C113" s="70" t="str">
        <f t="shared" si="3"/>
        <v>segunda-feira</v>
      </c>
      <c r="D113" s="55">
        <f>SUMIFS('📋 Despesas'!K:K,'📋 Despesas'!N:N,B113)</f>
        <v>0</v>
      </c>
      <c r="E113" s="53"/>
      <c r="F113" s="53"/>
      <c r="G113" s="372"/>
      <c r="H113" s="372"/>
      <c r="I113" s="379"/>
      <c r="J113" s="372"/>
      <c r="K113" s="373"/>
      <c r="L113" s="372"/>
      <c r="M113" s="372"/>
      <c r="N113" s="227"/>
      <c r="O113" s="227"/>
      <c r="P113" s="227"/>
      <c r="Q113" s="227"/>
      <c r="R113" s="227"/>
      <c r="S113" s="340"/>
      <c r="T113" s="226"/>
      <c r="U113" s="53"/>
      <c r="V113" s="53"/>
      <c r="W113" s="53"/>
      <c r="X113" s="53"/>
    </row>
    <row r="114" spans="1:24" ht="15.75" hidden="1" customHeight="1" outlineLevel="1">
      <c r="A114" s="69"/>
      <c r="B114" s="69">
        <v>45937</v>
      </c>
      <c r="C114" s="70" t="str">
        <f t="shared" si="3"/>
        <v>terça-feira</v>
      </c>
      <c r="D114" s="55">
        <f>SUMIFS('📋 Despesas'!K:K,'📋 Despesas'!N:N,B114)</f>
        <v>0</v>
      </c>
      <c r="E114" s="53"/>
      <c r="F114" s="53"/>
      <c r="G114" s="372"/>
      <c r="H114" s="372"/>
      <c r="I114" s="379"/>
      <c r="J114" s="372"/>
      <c r="K114" s="373"/>
      <c r="L114" s="372"/>
      <c r="M114" s="372"/>
      <c r="N114" s="227"/>
      <c r="O114" s="227"/>
      <c r="P114" s="227"/>
      <c r="Q114" s="227"/>
      <c r="R114" s="227"/>
      <c r="S114" s="340"/>
      <c r="T114" s="226"/>
      <c r="U114" s="53"/>
      <c r="V114" s="53"/>
      <c r="W114" s="53"/>
      <c r="X114" s="53"/>
    </row>
    <row r="115" spans="1:24" ht="15.75" hidden="1" customHeight="1" outlineLevel="1">
      <c r="A115" s="69"/>
      <c r="B115" s="69">
        <v>45938</v>
      </c>
      <c r="C115" s="70" t="str">
        <f t="shared" si="3"/>
        <v>quarta-feira</v>
      </c>
      <c r="D115" s="55">
        <f>SUMIFS('📋 Despesas'!K:K,'📋 Despesas'!N:N,B115)</f>
        <v>0</v>
      </c>
      <c r="E115" s="53"/>
      <c r="F115" s="53"/>
      <c r="G115" s="372"/>
      <c r="H115" s="372"/>
      <c r="I115" s="379"/>
      <c r="J115" s="372"/>
      <c r="K115" s="373"/>
      <c r="L115" s="372"/>
      <c r="M115" s="372"/>
      <c r="N115" s="227"/>
      <c r="O115" s="227"/>
      <c r="P115" s="227"/>
      <c r="Q115" s="227"/>
      <c r="R115" s="227"/>
      <c r="S115" s="340"/>
      <c r="T115" s="226"/>
      <c r="U115" s="53"/>
      <c r="V115" s="53"/>
      <c r="W115" s="53"/>
      <c r="X115" s="53"/>
    </row>
    <row r="116" spans="1:24" ht="15.75" hidden="1" customHeight="1" outlineLevel="1">
      <c r="A116" s="69"/>
      <c r="B116" s="69">
        <v>45939</v>
      </c>
      <c r="C116" s="70" t="str">
        <f t="shared" si="3"/>
        <v>quinta-feira</v>
      </c>
      <c r="D116" s="55">
        <f>SUMIFS('📋 Despesas'!K:K,'📋 Despesas'!N:N,B116)</f>
        <v>0</v>
      </c>
      <c r="E116" s="53"/>
      <c r="F116" s="53"/>
      <c r="G116" s="372"/>
      <c r="H116" s="372"/>
      <c r="I116" s="379"/>
      <c r="J116" s="372"/>
      <c r="K116" s="373"/>
      <c r="L116" s="372"/>
      <c r="M116" s="372"/>
      <c r="N116" s="227"/>
      <c r="O116" s="227"/>
      <c r="P116" s="227"/>
      <c r="Q116" s="227"/>
      <c r="R116" s="227"/>
      <c r="S116" s="340"/>
      <c r="T116" s="226"/>
      <c r="U116" s="53"/>
      <c r="V116" s="53"/>
      <c r="W116" s="53"/>
      <c r="X116" s="53"/>
    </row>
    <row r="117" spans="1:24" ht="15.75" hidden="1" customHeight="1" outlineLevel="1">
      <c r="A117" s="69"/>
      <c r="B117" s="69">
        <v>45940</v>
      </c>
      <c r="C117" s="70" t="str">
        <f t="shared" si="3"/>
        <v>sexta-feira</v>
      </c>
      <c r="D117" s="55">
        <f>SUMIFS('📋 Despesas'!K:K,'📋 Despesas'!N:N,B117)</f>
        <v>0</v>
      </c>
      <c r="E117" s="53"/>
      <c r="F117" s="53"/>
      <c r="G117" s="372"/>
      <c r="H117" s="372"/>
      <c r="I117" s="379"/>
      <c r="J117" s="372"/>
      <c r="K117" s="373"/>
      <c r="L117" s="372"/>
      <c r="M117" s="372"/>
      <c r="N117" s="227"/>
      <c r="O117" s="227"/>
      <c r="P117" s="227"/>
      <c r="Q117" s="227"/>
      <c r="R117" s="227"/>
      <c r="S117" s="340"/>
      <c r="T117" s="226"/>
      <c r="U117" s="53"/>
      <c r="V117" s="53"/>
      <c r="W117" s="53"/>
      <c r="X117" s="53"/>
    </row>
    <row r="118" spans="1:24" ht="15.75" hidden="1" customHeight="1" outlineLevel="1">
      <c r="A118" s="69"/>
      <c r="B118" s="69">
        <v>45941</v>
      </c>
      <c r="C118" s="70" t="str">
        <f t="shared" si="3"/>
        <v>sábado</v>
      </c>
      <c r="D118" s="55">
        <f>SUMIFS('📋 Despesas'!K:K,'📋 Despesas'!N:N,B118)</f>
        <v>0</v>
      </c>
      <c r="E118" s="53"/>
      <c r="F118" s="53"/>
      <c r="G118" s="372"/>
      <c r="H118" s="372"/>
      <c r="I118" s="379"/>
      <c r="J118" s="372"/>
      <c r="K118" s="373"/>
      <c r="L118" s="372"/>
      <c r="M118" s="372"/>
      <c r="N118" s="227"/>
      <c r="O118" s="227"/>
      <c r="P118" s="227"/>
      <c r="Q118" s="227"/>
      <c r="R118" s="227"/>
      <c r="S118" s="340"/>
      <c r="T118" s="226"/>
      <c r="U118" s="53"/>
      <c r="V118" s="53"/>
      <c r="W118" s="53"/>
      <c r="X118" s="53"/>
    </row>
    <row r="119" spans="1:24" ht="15.75" hidden="1" customHeight="1" outlineLevel="1">
      <c r="A119" s="69"/>
      <c r="B119" s="69">
        <v>45942</v>
      </c>
      <c r="C119" s="70" t="str">
        <f t="shared" si="3"/>
        <v>domingo</v>
      </c>
      <c r="D119" s="55">
        <f>SUMIFS('📋 Despesas'!K:K,'📋 Despesas'!N:N,B119)</f>
        <v>0</v>
      </c>
      <c r="E119" s="53"/>
      <c r="F119" s="53"/>
      <c r="G119" s="372"/>
      <c r="H119" s="372"/>
      <c r="I119" s="379"/>
      <c r="J119" s="372"/>
      <c r="K119" s="373"/>
      <c r="L119" s="372"/>
      <c r="M119" s="372"/>
      <c r="N119" s="227"/>
      <c r="O119" s="227"/>
      <c r="P119" s="227"/>
      <c r="Q119" s="227"/>
      <c r="R119" s="227"/>
      <c r="S119" s="340"/>
      <c r="T119" s="226"/>
      <c r="U119" s="53"/>
      <c r="V119" s="53"/>
      <c r="W119" s="53"/>
      <c r="X119" s="53"/>
    </row>
    <row r="120" spans="1:24" ht="15.75" hidden="1" customHeight="1" outlineLevel="1">
      <c r="A120" s="69"/>
      <c r="B120" s="69">
        <v>45943</v>
      </c>
      <c r="C120" s="70" t="str">
        <f t="shared" si="3"/>
        <v>segunda-feira</v>
      </c>
      <c r="D120" s="55">
        <f>SUMIFS('📋 Despesas'!K:K,'📋 Despesas'!N:N,B120)</f>
        <v>0</v>
      </c>
      <c r="E120" s="53"/>
      <c r="F120" s="53"/>
      <c r="G120" s="372"/>
      <c r="H120" s="372"/>
      <c r="I120" s="379"/>
      <c r="J120" s="372"/>
      <c r="K120" s="373"/>
      <c r="L120" s="372"/>
      <c r="M120" s="372"/>
      <c r="N120" s="227"/>
      <c r="O120" s="227"/>
      <c r="P120" s="227"/>
      <c r="Q120" s="227"/>
      <c r="R120" s="227"/>
      <c r="S120" s="340"/>
      <c r="T120" s="226"/>
      <c r="U120" s="53"/>
      <c r="V120" s="53"/>
      <c r="W120" s="53"/>
      <c r="X120" s="53"/>
    </row>
    <row r="121" spans="1:24" ht="15.75" hidden="1" customHeight="1" outlineLevel="1">
      <c r="A121" s="69"/>
      <c r="B121" s="69">
        <v>45944</v>
      </c>
      <c r="C121" s="70" t="str">
        <f t="shared" si="3"/>
        <v>terça-feira</v>
      </c>
      <c r="D121" s="55">
        <f>SUMIFS('📋 Despesas'!K:K,'📋 Despesas'!N:N,B121)</f>
        <v>0</v>
      </c>
      <c r="E121" s="53"/>
      <c r="F121" s="53"/>
      <c r="G121" s="372"/>
      <c r="H121" s="372"/>
      <c r="I121" s="379"/>
      <c r="J121" s="372"/>
      <c r="K121" s="373"/>
      <c r="L121" s="372"/>
      <c r="M121" s="372"/>
      <c r="N121" s="227"/>
      <c r="O121" s="227"/>
      <c r="P121" s="227"/>
      <c r="Q121" s="227"/>
      <c r="R121" s="227"/>
      <c r="S121" s="340"/>
      <c r="T121" s="226"/>
      <c r="U121" s="53"/>
      <c r="V121" s="53"/>
      <c r="W121" s="53"/>
      <c r="X121" s="53"/>
    </row>
    <row r="122" spans="1:24" ht="15.75" hidden="1" customHeight="1" outlineLevel="1">
      <c r="A122" s="69"/>
      <c r="B122" s="69">
        <v>45945</v>
      </c>
      <c r="C122" s="70" t="str">
        <f t="shared" si="3"/>
        <v>quarta-feira</v>
      </c>
      <c r="D122" s="55">
        <f>SUMIFS('📋 Despesas'!K:K,'📋 Despesas'!N:N,B122)</f>
        <v>0</v>
      </c>
      <c r="E122" s="53"/>
      <c r="F122" s="53"/>
      <c r="G122" s="372"/>
      <c r="H122" s="372"/>
      <c r="I122" s="379"/>
      <c r="J122" s="372"/>
      <c r="K122" s="373"/>
      <c r="L122" s="372"/>
      <c r="M122" s="372"/>
      <c r="N122" s="227"/>
      <c r="O122" s="227"/>
      <c r="P122" s="227"/>
      <c r="Q122" s="227"/>
      <c r="R122" s="227"/>
      <c r="S122" s="340"/>
      <c r="T122" s="226"/>
      <c r="U122" s="53"/>
      <c r="V122" s="53"/>
      <c r="W122" s="53"/>
      <c r="X122" s="53"/>
    </row>
    <row r="123" spans="1:24" ht="15.75" hidden="1" customHeight="1" outlineLevel="1">
      <c r="A123" s="69"/>
      <c r="B123" s="69">
        <v>45946</v>
      </c>
      <c r="C123" s="70" t="str">
        <f t="shared" si="3"/>
        <v>quinta-feira</v>
      </c>
      <c r="D123" s="55">
        <f>SUMIFS('📋 Despesas'!K:K,'📋 Despesas'!N:N,B123)</f>
        <v>0</v>
      </c>
      <c r="E123" s="53"/>
      <c r="F123" s="53"/>
      <c r="G123" s="372"/>
      <c r="H123" s="372"/>
      <c r="I123" s="379"/>
      <c r="J123" s="372"/>
      <c r="K123" s="373"/>
      <c r="L123" s="372"/>
      <c r="M123" s="372"/>
      <c r="N123" s="227"/>
      <c r="O123" s="227"/>
      <c r="P123" s="227"/>
      <c r="Q123" s="227"/>
      <c r="R123" s="227"/>
      <c r="S123" s="340"/>
      <c r="T123" s="226"/>
      <c r="U123" s="53"/>
      <c r="V123" s="53"/>
      <c r="W123" s="53"/>
      <c r="X123" s="53"/>
    </row>
    <row r="124" spans="1:24" ht="15.75" hidden="1" customHeight="1" outlineLevel="1">
      <c r="A124" s="69"/>
      <c r="B124" s="69">
        <v>45947</v>
      </c>
      <c r="C124" s="70" t="str">
        <f t="shared" si="3"/>
        <v>sexta-feira</v>
      </c>
      <c r="D124" s="55">
        <f>SUMIFS('📋 Despesas'!K:K,'📋 Despesas'!N:N,B124)</f>
        <v>0</v>
      </c>
      <c r="E124" s="53"/>
      <c r="F124" s="53"/>
      <c r="G124" s="372"/>
      <c r="H124" s="372"/>
      <c r="I124" s="379"/>
      <c r="J124" s="372"/>
      <c r="K124" s="373"/>
      <c r="L124" s="372"/>
      <c r="M124" s="372"/>
      <c r="N124" s="227"/>
      <c r="O124" s="227"/>
      <c r="P124" s="227"/>
      <c r="Q124" s="227"/>
      <c r="R124" s="227"/>
      <c r="S124" s="340"/>
      <c r="T124" s="226"/>
      <c r="U124" s="53"/>
      <c r="V124" s="53"/>
      <c r="W124" s="53"/>
      <c r="X124" s="53"/>
    </row>
    <row r="125" spans="1:24" ht="15.75" hidden="1" customHeight="1" outlineLevel="1">
      <c r="A125" s="69"/>
      <c r="B125" s="69">
        <v>45948</v>
      </c>
      <c r="C125" s="70" t="str">
        <f t="shared" si="3"/>
        <v>sábado</v>
      </c>
      <c r="D125" s="55">
        <f>SUMIFS('📋 Despesas'!K:K,'📋 Despesas'!N:N,B125)</f>
        <v>0</v>
      </c>
      <c r="E125" s="53"/>
      <c r="F125" s="53"/>
      <c r="G125" s="372"/>
      <c r="H125" s="372"/>
      <c r="I125" s="379"/>
      <c r="J125" s="372"/>
      <c r="K125" s="373"/>
      <c r="L125" s="372"/>
      <c r="M125" s="372"/>
      <c r="N125" s="227"/>
      <c r="O125" s="227"/>
      <c r="P125" s="227"/>
      <c r="Q125" s="227"/>
      <c r="R125" s="227"/>
      <c r="S125" s="340"/>
      <c r="T125" s="226"/>
      <c r="U125" s="53"/>
      <c r="V125" s="53"/>
      <c r="W125" s="53"/>
      <c r="X125" s="53"/>
    </row>
    <row r="126" spans="1:24" ht="15.75" hidden="1" customHeight="1" outlineLevel="1">
      <c r="A126" s="69"/>
      <c r="B126" s="69">
        <v>45949</v>
      </c>
      <c r="C126" s="70" t="str">
        <f t="shared" si="3"/>
        <v>domingo</v>
      </c>
      <c r="D126" s="55">
        <f>SUMIFS('📋 Despesas'!K:K,'📋 Despesas'!N:N,B126)</f>
        <v>0</v>
      </c>
      <c r="E126" s="53"/>
      <c r="F126" s="53"/>
      <c r="G126" s="372"/>
      <c r="H126" s="372"/>
      <c r="I126" s="379"/>
      <c r="J126" s="372"/>
      <c r="K126" s="373"/>
      <c r="L126" s="372"/>
      <c r="M126" s="372"/>
      <c r="N126" s="227"/>
      <c r="O126" s="227"/>
      <c r="P126" s="227"/>
      <c r="Q126" s="227"/>
      <c r="R126" s="227"/>
      <c r="S126" s="340"/>
      <c r="T126" s="226"/>
      <c r="U126" s="53"/>
      <c r="V126" s="53"/>
      <c r="W126" s="53"/>
      <c r="X126" s="53"/>
    </row>
    <row r="127" spans="1:24" ht="15.75" hidden="1" customHeight="1" outlineLevel="1">
      <c r="A127" s="69"/>
      <c r="B127" s="69">
        <v>45950</v>
      </c>
      <c r="C127" s="70" t="str">
        <f t="shared" si="3"/>
        <v>segunda-feira</v>
      </c>
      <c r="D127" s="55">
        <f>SUMIFS('📋 Despesas'!K:K,'📋 Despesas'!N:N,B127)</f>
        <v>0</v>
      </c>
      <c r="E127" s="53"/>
      <c r="F127" s="53"/>
      <c r="G127" s="372"/>
      <c r="H127" s="372"/>
      <c r="I127" s="379"/>
      <c r="J127" s="372"/>
      <c r="K127" s="373"/>
      <c r="L127" s="372"/>
      <c r="M127" s="372"/>
      <c r="N127" s="227"/>
      <c r="O127" s="227"/>
      <c r="P127" s="227"/>
      <c r="Q127" s="227"/>
      <c r="R127" s="227"/>
      <c r="S127" s="340"/>
      <c r="T127" s="226"/>
      <c r="U127" s="53"/>
      <c r="V127" s="53"/>
      <c r="W127" s="53"/>
      <c r="X127" s="53"/>
    </row>
    <row r="128" spans="1:24" ht="15.75" hidden="1" customHeight="1" outlineLevel="1">
      <c r="A128" s="69"/>
      <c r="B128" s="69">
        <v>45951</v>
      </c>
      <c r="C128" s="70" t="str">
        <f t="shared" si="3"/>
        <v>terça-feira</v>
      </c>
      <c r="D128" s="55">
        <f>SUMIFS('📋 Despesas'!K:K,'📋 Despesas'!N:N,B128)</f>
        <v>0</v>
      </c>
      <c r="E128" s="53"/>
      <c r="F128" s="53"/>
      <c r="G128" s="372"/>
      <c r="H128" s="372"/>
      <c r="I128" s="379"/>
      <c r="J128" s="372"/>
      <c r="K128" s="373"/>
      <c r="L128" s="372"/>
      <c r="M128" s="372"/>
      <c r="N128" s="227"/>
      <c r="O128" s="227"/>
      <c r="P128" s="227"/>
      <c r="Q128" s="227"/>
      <c r="R128" s="227"/>
      <c r="S128" s="340"/>
      <c r="T128" s="226"/>
      <c r="U128" s="53"/>
      <c r="V128" s="53"/>
      <c r="W128" s="53"/>
      <c r="X128" s="53"/>
    </row>
    <row r="129" spans="1:24" ht="15.75" hidden="1" customHeight="1" outlineLevel="1">
      <c r="A129" s="69"/>
      <c r="B129" s="69">
        <v>45952</v>
      </c>
      <c r="C129" s="70" t="str">
        <f t="shared" si="3"/>
        <v>quarta-feira</v>
      </c>
      <c r="D129" s="55">
        <f>SUMIFS('📋 Despesas'!K:K,'📋 Despesas'!N:N,B129)</f>
        <v>0</v>
      </c>
      <c r="E129" s="53"/>
      <c r="F129" s="53"/>
      <c r="G129" s="372"/>
      <c r="H129" s="372"/>
      <c r="I129" s="379"/>
      <c r="J129" s="372"/>
      <c r="K129" s="373"/>
      <c r="L129" s="372"/>
      <c r="M129" s="372"/>
      <c r="N129" s="227"/>
      <c r="O129" s="227"/>
      <c r="P129" s="227"/>
      <c r="Q129" s="227"/>
      <c r="R129" s="227"/>
      <c r="S129" s="340"/>
      <c r="T129" s="226"/>
      <c r="U129" s="53"/>
      <c r="V129" s="53"/>
      <c r="W129" s="53"/>
      <c r="X129" s="53"/>
    </row>
    <row r="130" spans="1:24" ht="15.75" hidden="1" customHeight="1" outlineLevel="1">
      <c r="A130" s="69"/>
      <c r="B130" s="69">
        <v>45953</v>
      </c>
      <c r="C130" s="70" t="str">
        <f t="shared" si="3"/>
        <v>quinta-feira</v>
      </c>
      <c r="D130" s="55">
        <f>SUMIFS('📋 Despesas'!K:K,'📋 Despesas'!N:N,B130)</f>
        <v>0</v>
      </c>
      <c r="E130" s="53"/>
      <c r="F130" s="53"/>
      <c r="G130" s="372"/>
      <c r="H130" s="372"/>
      <c r="I130" s="379"/>
      <c r="J130" s="372"/>
      <c r="K130" s="373"/>
      <c r="L130" s="372"/>
      <c r="M130" s="372"/>
      <c r="N130" s="227"/>
      <c r="O130" s="227"/>
      <c r="P130" s="227"/>
      <c r="Q130" s="227"/>
      <c r="R130" s="227"/>
      <c r="S130" s="340"/>
      <c r="T130" s="226"/>
      <c r="U130" s="53"/>
      <c r="V130" s="53"/>
      <c r="W130" s="53"/>
      <c r="X130" s="53"/>
    </row>
    <row r="131" spans="1:24" ht="15.75" hidden="1" customHeight="1" outlineLevel="1">
      <c r="A131" s="69"/>
      <c r="B131" s="69">
        <v>45954</v>
      </c>
      <c r="C131" s="70" t="str">
        <f t="shared" si="3"/>
        <v>sexta-feira</v>
      </c>
      <c r="D131" s="55">
        <f>SUMIFS('📋 Despesas'!K:K,'📋 Despesas'!N:N,B131)</f>
        <v>0</v>
      </c>
      <c r="E131" s="53"/>
      <c r="F131" s="53"/>
      <c r="G131" s="372"/>
      <c r="H131" s="372"/>
      <c r="I131" s="379"/>
      <c r="J131" s="372"/>
      <c r="K131" s="373"/>
      <c r="L131" s="372"/>
      <c r="M131" s="372"/>
      <c r="N131" s="227"/>
      <c r="O131" s="227"/>
      <c r="P131" s="227"/>
      <c r="Q131" s="227"/>
      <c r="R131" s="227"/>
      <c r="S131" s="340"/>
      <c r="T131" s="226"/>
      <c r="U131" s="53"/>
      <c r="V131" s="53"/>
      <c r="W131" s="53"/>
      <c r="X131" s="53"/>
    </row>
    <row r="132" spans="1:24" ht="15.75" hidden="1" customHeight="1" outlineLevel="1">
      <c r="A132" s="69"/>
      <c r="B132" s="69">
        <v>45955</v>
      </c>
      <c r="C132" s="70" t="str">
        <f t="shared" si="3"/>
        <v>sábado</v>
      </c>
      <c r="D132" s="55">
        <f>SUMIFS('📋 Despesas'!K:K,'📋 Despesas'!N:N,B132)</f>
        <v>0</v>
      </c>
      <c r="E132" s="53"/>
      <c r="F132" s="53"/>
      <c r="G132" s="372"/>
      <c r="H132" s="372"/>
      <c r="I132" s="379"/>
      <c r="J132" s="372"/>
      <c r="K132" s="373"/>
      <c r="L132" s="372"/>
      <c r="M132" s="372"/>
      <c r="N132" s="227"/>
      <c r="O132" s="227"/>
      <c r="P132" s="227"/>
      <c r="Q132" s="227"/>
      <c r="R132" s="227"/>
      <c r="S132" s="340"/>
      <c r="T132" s="226"/>
      <c r="U132" s="53"/>
      <c r="V132" s="53"/>
      <c r="W132" s="53"/>
      <c r="X132" s="53"/>
    </row>
    <row r="133" spans="1:24" ht="15.75" hidden="1" customHeight="1" outlineLevel="1">
      <c r="A133" s="69"/>
      <c r="B133" s="69">
        <v>45956</v>
      </c>
      <c r="C133" s="70" t="str">
        <f t="shared" si="3"/>
        <v>domingo</v>
      </c>
      <c r="D133" s="55">
        <f>SUMIFS('📋 Despesas'!K:K,'📋 Despesas'!N:N,B133)</f>
        <v>0</v>
      </c>
      <c r="E133" s="53"/>
      <c r="F133" s="53"/>
      <c r="G133" s="372"/>
      <c r="H133" s="372"/>
      <c r="I133" s="379"/>
      <c r="J133" s="372"/>
      <c r="K133" s="373"/>
      <c r="L133" s="372"/>
      <c r="M133" s="372"/>
      <c r="N133" s="227"/>
      <c r="O133" s="227"/>
      <c r="P133" s="227"/>
      <c r="Q133" s="227"/>
      <c r="R133" s="227"/>
      <c r="S133" s="340"/>
      <c r="T133" s="226"/>
      <c r="U133" s="53"/>
      <c r="V133" s="53"/>
      <c r="W133" s="53"/>
      <c r="X133" s="53"/>
    </row>
    <row r="134" spans="1:24" ht="15.75" hidden="1" customHeight="1" outlineLevel="1">
      <c r="A134" s="69"/>
      <c r="B134" s="69">
        <v>45957</v>
      </c>
      <c r="C134" s="70" t="str">
        <f t="shared" si="3"/>
        <v>segunda-feira</v>
      </c>
      <c r="D134" s="55">
        <f>SUMIFS('📋 Despesas'!K:K,'📋 Despesas'!N:N,B134)</f>
        <v>0</v>
      </c>
      <c r="E134" s="53"/>
      <c r="F134" s="53"/>
      <c r="G134" s="372"/>
      <c r="H134" s="372"/>
      <c r="I134" s="379"/>
      <c r="J134" s="372"/>
      <c r="K134" s="373"/>
      <c r="L134" s="372"/>
      <c r="M134" s="372"/>
      <c r="N134" s="227"/>
      <c r="O134" s="227"/>
      <c r="P134" s="227"/>
      <c r="Q134" s="227"/>
      <c r="R134" s="227"/>
      <c r="S134" s="340"/>
      <c r="T134" s="226"/>
      <c r="U134" s="53"/>
      <c r="V134" s="53"/>
      <c r="W134" s="53"/>
      <c r="X134" s="53"/>
    </row>
    <row r="135" spans="1:24" ht="15.75" hidden="1" customHeight="1" outlineLevel="1">
      <c r="A135" s="69"/>
      <c r="B135" s="69">
        <v>45958</v>
      </c>
      <c r="C135" s="70" t="str">
        <f t="shared" si="3"/>
        <v>terça-feira</v>
      </c>
      <c r="D135" s="55">
        <f>SUMIFS('📋 Despesas'!K:K,'📋 Despesas'!N:N,B135)</f>
        <v>0</v>
      </c>
      <c r="E135" s="53"/>
      <c r="F135" s="53"/>
      <c r="G135" s="372"/>
      <c r="H135" s="372"/>
      <c r="I135" s="379"/>
      <c r="J135" s="372"/>
      <c r="K135" s="373"/>
      <c r="L135" s="372"/>
      <c r="M135" s="372"/>
      <c r="N135" s="227"/>
      <c r="O135" s="227"/>
      <c r="P135" s="227"/>
      <c r="Q135" s="227"/>
      <c r="R135" s="227"/>
      <c r="S135" s="340"/>
      <c r="T135" s="226"/>
      <c r="U135" s="53"/>
      <c r="V135" s="53"/>
      <c r="W135" s="53"/>
      <c r="X135" s="53"/>
    </row>
    <row r="136" spans="1:24" ht="15.75" hidden="1" customHeight="1" outlineLevel="1">
      <c r="A136" s="69"/>
      <c r="B136" s="69">
        <v>45959</v>
      </c>
      <c r="C136" s="70" t="str">
        <f t="shared" si="3"/>
        <v>quarta-feira</v>
      </c>
      <c r="D136" s="55">
        <f>SUMIFS('📋 Despesas'!K:K,'📋 Despesas'!N:N,B136)</f>
        <v>0</v>
      </c>
      <c r="E136" s="53"/>
      <c r="F136" s="53"/>
      <c r="G136" s="372"/>
      <c r="H136" s="372"/>
      <c r="I136" s="379"/>
      <c r="J136" s="372"/>
      <c r="K136" s="373"/>
      <c r="L136" s="372"/>
      <c r="M136" s="372"/>
      <c r="N136" s="227"/>
      <c r="O136" s="227"/>
      <c r="P136" s="227"/>
      <c r="Q136" s="227"/>
      <c r="R136" s="227"/>
      <c r="S136" s="340"/>
      <c r="T136" s="226"/>
      <c r="U136" s="53"/>
      <c r="V136" s="53"/>
      <c r="W136" s="53"/>
      <c r="X136" s="53"/>
    </row>
    <row r="137" spans="1:24" ht="15.75" hidden="1" customHeight="1" outlineLevel="1">
      <c r="A137" s="69"/>
      <c r="B137" s="69">
        <v>45960</v>
      </c>
      <c r="C137" s="70" t="str">
        <f t="shared" si="3"/>
        <v>quinta-feira</v>
      </c>
      <c r="D137" s="55">
        <f>SUMIFS('📋 Despesas'!K:K,'📋 Despesas'!N:N,B137)</f>
        <v>0</v>
      </c>
      <c r="E137" s="53"/>
      <c r="F137" s="53"/>
      <c r="G137" s="372"/>
      <c r="H137" s="372"/>
      <c r="I137" s="379"/>
      <c r="J137" s="372"/>
      <c r="K137" s="373"/>
      <c r="L137" s="372"/>
      <c r="M137" s="372"/>
      <c r="N137" s="227"/>
      <c r="O137" s="227"/>
      <c r="P137" s="227"/>
      <c r="Q137" s="227"/>
      <c r="R137" s="227"/>
      <c r="S137" s="340"/>
      <c r="T137" s="226"/>
      <c r="U137" s="53"/>
      <c r="V137" s="53"/>
      <c r="W137" s="53"/>
      <c r="X137" s="53"/>
    </row>
    <row r="138" spans="1:24" ht="15.75" hidden="1" customHeight="1" outlineLevel="1">
      <c r="A138" s="69"/>
      <c r="B138" s="69">
        <v>45961</v>
      </c>
      <c r="C138" s="70" t="str">
        <f t="shared" si="3"/>
        <v>sexta-feira</v>
      </c>
      <c r="D138" s="55">
        <f>SUMIFS('📋 Despesas'!K:K,'📋 Despesas'!N:N,B138)</f>
        <v>0</v>
      </c>
      <c r="E138" s="53"/>
      <c r="F138" s="53"/>
      <c r="G138" s="372"/>
      <c r="H138" s="372"/>
      <c r="I138" s="379"/>
      <c r="J138" s="372"/>
      <c r="K138" s="373"/>
      <c r="L138" s="372"/>
      <c r="M138" s="372"/>
      <c r="N138" s="227"/>
      <c r="O138" s="227"/>
      <c r="P138" s="227"/>
      <c r="Q138" s="227"/>
      <c r="R138" s="227"/>
      <c r="S138" s="340"/>
      <c r="T138" s="226"/>
      <c r="U138" s="53"/>
      <c r="V138" s="53"/>
      <c r="W138" s="53"/>
      <c r="X138" s="53"/>
    </row>
    <row r="139" spans="1:24" ht="15.75" hidden="1" customHeight="1" outlineLevel="1">
      <c r="A139" s="69"/>
      <c r="B139" s="69">
        <v>45962</v>
      </c>
      <c r="C139" s="70" t="str">
        <f t="shared" si="3"/>
        <v>sábado</v>
      </c>
      <c r="D139" s="55">
        <f>SUMIFS('📋 Despesas'!K:K,'📋 Despesas'!N:N,B139)</f>
        <v>0</v>
      </c>
      <c r="E139" s="53"/>
      <c r="F139" s="53"/>
      <c r="G139" s="372"/>
      <c r="H139" s="372"/>
      <c r="I139" s="379"/>
      <c r="J139" s="372"/>
      <c r="K139" s="373"/>
      <c r="L139" s="372"/>
      <c r="M139" s="372"/>
      <c r="N139" s="227"/>
      <c r="O139" s="227"/>
      <c r="P139" s="227"/>
      <c r="Q139" s="227"/>
      <c r="R139" s="227"/>
      <c r="S139" s="340"/>
      <c r="T139" s="226"/>
      <c r="U139" s="53"/>
      <c r="V139" s="53"/>
      <c r="W139" s="53"/>
      <c r="X139" s="53"/>
    </row>
    <row r="140" spans="1:24" ht="15.75" hidden="1" customHeight="1" outlineLevel="1">
      <c r="A140" s="69"/>
      <c r="B140" s="69">
        <v>45963</v>
      </c>
      <c r="C140" s="70" t="str">
        <f t="shared" si="3"/>
        <v>domingo</v>
      </c>
      <c r="D140" s="55">
        <f>SUMIFS('📋 Despesas'!K:K,'📋 Despesas'!N:N,B140)</f>
        <v>0</v>
      </c>
      <c r="E140" s="53"/>
      <c r="F140" s="53"/>
      <c r="G140" s="372"/>
      <c r="H140" s="372"/>
      <c r="I140" s="379"/>
      <c r="J140" s="372"/>
      <c r="K140" s="373"/>
      <c r="L140" s="372"/>
      <c r="M140" s="372"/>
      <c r="N140" s="227"/>
      <c r="O140" s="227"/>
      <c r="P140" s="227"/>
      <c r="Q140" s="227"/>
      <c r="R140" s="227"/>
      <c r="S140" s="340"/>
      <c r="T140" s="226"/>
      <c r="U140" s="53"/>
      <c r="V140" s="53"/>
      <c r="W140" s="53"/>
      <c r="X140" s="53"/>
    </row>
    <row r="141" spans="1:24" ht="15.75" hidden="1" customHeight="1" outlineLevel="1">
      <c r="A141" s="69"/>
      <c r="B141" s="69">
        <v>45964</v>
      </c>
      <c r="C141" s="70" t="str">
        <f t="shared" si="3"/>
        <v>segunda-feira</v>
      </c>
      <c r="D141" s="55">
        <f>SUMIFS('📋 Despesas'!K:K,'📋 Despesas'!N:N,B141)</f>
        <v>0</v>
      </c>
      <c r="E141" s="53"/>
      <c r="F141" s="53"/>
      <c r="G141" s="372"/>
      <c r="H141" s="372"/>
      <c r="I141" s="379"/>
      <c r="J141" s="372"/>
      <c r="K141" s="373"/>
      <c r="L141" s="372"/>
      <c r="M141" s="372"/>
      <c r="N141" s="227"/>
      <c r="O141" s="227"/>
      <c r="P141" s="227"/>
      <c r="Q141" s="227"/>
      <c r="R141" s="227"/>
      <c r="S141" s="340"/>
      <c r="T141" s="226"/>
      <c r="U141" s="53"/>
      <c r="V141" s="53"/>
      <c r="W141" s="53"/>
      <c r="X141" s="53"/>
    </row>
    <row r="142" spans="1:24" ht="15.75" hidden="1" customHeight="1" outlineLevel="1">
      <c r="A142" s="69"/>
      <c r="B142" s="69">
        <v>45965</v>
      </c>
      <c r="C142" s="70" t="str">
        <f t="shared" si="3"/>
        <v>terça-feira</v>
      </c>
      <c r="D142" s="55">
        <f>SUMIFS('📋 Despesas'!K:K,'📋 Despesas'!N:N,B142)</f>
        <v>0</v>
      </c>
      <c r="E142" s="53"/>
      <c r="F142" s="53"/>
      <c r="G142" s="372"/>
      <c r="H142" s="372"/>
      <c r="I142" s="379"/>
      <c r="J142" s="372"/>
      <c r="K142" s="373"/>
      <c r="L142" s="372"/>
      <c r="M142" s="372"/>
      <c r="N142" s="227"/>
      <c r="O142" s="227"/>
      <c r="P142" s="227"/>
      <c r="Q142" s="227"/>
      <c r="R142" s="227"/>
      <c r="S142" s="340"/>
      <c r="T142" s="226"/>
      <c r="U142" s="53"/>
      <c r="V142" s="53"/>
      <c r="W142" s="53"/>
      <c r="X142" s="53"/>
    </row>
    <row r="143" spans="1:24" ht="15.75" hidden="1" customHeight="1" outlineLevel="1">
      <c r="A143" s="69"/>
      <c r="B143" s="69">
        <v>45966</v>
      </c>
      <c r="C143" s="70" t="str">
        <f t="shared" si="3"/>
        <v>quarta-feira</v>
      </c>
      <c r="D143" s="55">
        <f>SUMIFS('📋 Despesas'!K:K,'📋 Despesas'!N:N,B143)</f>
        <v>0</v>
      </c>
      <c r="E143" s="53"/>
      <c r="F143" s="53"/>
      <c r="G143" s="372"/>
      <c r="H143" s="372"/>
      <c r="I143" s="379"/>
      <c r="J143" s="372"/>
      <c r="K143" s="373"/>
      <c r="L143" s="372"/>
      <c r="M143" s="372"/>
      <c r="N143" s="227"/>
      <c r="O143" s="227"/>
      <c r="P143" s="227"/>
      <c r="Q143" s="227"/>
      <c r="R143" s="227"/>
      <c r="S143" s="340"/>
      <c r="T143" s="226"/>
      <c r="U143" s="53"/>
      <c r="V143" s="53"/>
      <c r="W143" s="53"/>
      <c r="X143" s="53"/>
    </row>
    <row r="144" spans="1:24" ht="15.75" hidden="1" customHeight="1" outlineLevel="1">
      <c r="A144" s="69"/>
      <c r="B144" s="69">
        <v>45967</v>
      </c>
      <c r="C144" s="70" t="str">
        <f t="shared" si="3"/>
        <v>quinta-feira</v>
      </c>
      <c r="D144" s="55">
        <f>SUMIFS('📋 Despesas'!K:K,'📋 Despesas'!N:N,B144)</f>
        <v>0</v>
      </c>
      <c r="E144" s="53"/>
      <c r="F144" s="53"/>
      <c r="G144" s="372"/>
      <c r="H144" s="372"/>
      <c r="I144" s="379"/>
      <c r="J144" s="372"/>
      <c r="K144" s="373"/>
      <c r="L144" s="372"/>
      <c r="M144" s="372"/>
      <c r="N144" s="227"/>
      <c r="O144" s="227"/>
      <c r="P144" s="227"/>
      <c r="Q144" s="227"/>
      <c r="R144" s="227"/>
      <c r="S144" s="340"/>
      <c r="T144" s="226"/>
      <c r="U144" s="53"/>
      <c r="V144" s="53"/>
      <c r="W144" s="53"/>
      <c r="X144" s="53"/>
    </row>
    <row r="145" spans="1:24" ht="15.75" hidden="1" customHeight="1" outlineLevel="1">
      <c r="A145" s="69"/>
      <c r="B145" s="69">
        <v>45968</v>
      </c>
      <c r="C145" s="70" t="str">
        <f t="shared" ref="C145:C208" si="4">IF(B145&lt;&gt;"",TEXT(WEEKDAY(B145),"dddd"),"")</f>
        <v>sexta-feira</v>
      </c>
      <c r="D145" s="55">
        <f>SUMIFS('📋 Despesas'!K:K,'📋 Despesas'!N:N,B145)</f>
        <v>0</v>
      </c>
      <c r="E145" s="53"/>
      <c r="F145" s="53"/>
      <c r="G145" s="372"/>
      <c r="H145" s="372"/>
      <c r="I145" s="379"/>
      <c r="J145" s="372"/>
      <c r="K145" s="373"/>
      <c r="L145" s="372"/>
      <c r="M145" s="372"/>
      <c r="N145" s="227"/>
      <c r="O145" s="227"/>
      <c r="P145" s="227"/>
      <c r="Q145" s="227"/>
      <c r="R145" s="227"/>
      <c r="S145" s="340"/>
      <c r="T145" s="226"/>
      <c r="U145" s="53"/>
      <c r="V145" s="53"/>
      <c r="W145" s="53"/>
      <c r="X145" s="53"/>
    </row>
    <row r="146" spans="1:24" ht="15.75" hidden="1" customHeight="1" outlineLevel="1">
      <c r="A146" s="69"/>
      <c r="B146" s="69">
        <v>45969</v>
      </c>
      <c r="C146" s="70" t="str">
        <f t="shared" si="4"/>
        <v>sábado</v>
      </c>
      <c r="D146" s="55">
        <f>SUMIFS('📋 Despesas'!K:K,'📋 Despesas'!N:N,B146)</f>
        <v>0</v>
      </c>
      <c r="E146" s="53"/>
      <c r="F146" s="53"/>
      <c r="G146" s="372"/>
      <c r="H146" s="372"/>
      <c r="I146" s="379"/>
      <c r="J146" s="372"/>
      <c r="K146" s="373"/>
      <c r="L146" s="372"/>
      <c r="M146" s="372"/>
      <c r="N146" s="227"/>
      <c r="O146" s="227"/>
      <c r="P146" s="227"/>
      <c r="Q146" s="227"/>
      <c r="R146" s="227"/>
      <c r="S146" s="340"/>
      <c r="T146" s="226"/>
      <c r="U146" s="53"/>
      <c r="V146" s="53"/>
      <c r="W146" s="53"/>
      <c r="X146" s="53"/>
    </row>
    <row r="147" spans="1:24" ht="15.75" hidden="1" customHeight="1" outlineLevel="1">
      <c r="A147" s="69"/>
      <c r="B147" s="69">
        <v>45970</v>
      </c>
      <c r="C147" s="70" t="str">
        <f t="shared" si="4"/>
        <v>domingo</v>
      </c>
      <c r="D147" s="55">
        <f>SUMIFS('📋 Despesas'!K:K,'📋 Despesas'!N:N,B147)</f>
        <v>0</v>
      </c>
      <c r="E147" s="53"/>
      <c r="F147" s="53"/>
      <c r="G147" s="372"/>
      <c r="H147" s="372"/>
      <c r="I147" s="379"/>
      <c r="J147" s="372"/>
      <c r="K147" s="373"/>
      <c r="L147" s="372"/>
      <c r="M147" s="372"/>
      <c r="N147" s="227"/>
      <c r="O147" s="227"/>
      <c r="P147" s="227"/>
      <c r="Q147" s="227"/>
      <c r="R147" s="227"/>
      <c r="S147" s="340"/>
      <c r="T147" s="226"/>
      <c r="U147" s="53"/>
      <c r="V147" s="53"/>
      <c r="W147" s="53"/>
      <c r="X147" s="53"/>
    </row>
    <row r="148" spans="1:24" ht="15.75" hidden="1" customHeight="1" outlineLevel="1">
      <c r="A148" s="69"/>
      <c r="B148" s="69">
        <v>45971</v>
      </c>
      <c r="C148" s="70" t="str">
        <f t="shared" si="4"/>
        <v>segunda-feira</v>
      </c>
      <c r="D148" s="55">
        <f>SUMIFS('📋 Despesas'!K:K,'📋 Despesas'!N:N,B148)</f>
        <v>0</v>
      </c>
      <c r="E148" s="53"/>
      <c r="F148" s="53"/>
      <c r="G148" s="372"/>
      <c r="H148" s="372"/>
      <c r="I148" s="379"/>
      <c r="J148" s="372"/>
      <c r="K148" s="373"/>
      <c r="L148" s="372"/>
      <c r="M148" s="372"/>
      <c r="N148" s="227"/>
      <c r="O148" s="227"/>
      <c r="P148" s="227"/>
      <c r="Q148" s="227"/>
      <c r="R148" s="227"/>
      <c r="S148" s="340"/>
      <c r="T148" s="226"/>
      <c r="U148" s="53"/>
      <c r="V148" s="53"/>
      <c r="W148" s="53"/>
      <c r="X148" s="53"/>
    </row>
    <row r="149" spans="1:24" ht="15.75" hidden="1" customHeight="1" outlineLevel="1">
      <c r="A149" s="69"/>
      <c r="B149" s="69">
        <v>45972</v>
      </c>
      <c r="C149" s="70" t="str">
        <f t="shared" si="4"/>
        <v>terça-feira</v>
      </c>
      <c r="D149" s="55">
        <f>SUMIFS('📋 Despesas'!K:K,'📋 Despesas'!N:N,B149)</f>
        <v>0</v>
      </c>
      <c r="E149" s="53"/>
      <c r="F149" s="53"/>
      <c r="G149" s="372"/>
      <c r="H149" s="372"/>
      <c r="I149" s="379"/>
      <c r="J149" s="372"/>
      <c r="K149" s="373"/>
      <c r="L149" s="372"/>
      <c r="M149" s="372"/>
      <c r="N149" s="227"/>
      <c r="O149" s="227"/>
      <c r="P149" s="227"/>
      <c r="Q149" s="227"/>
      <c r="R149" s="227"/>
      <c r="S149" s="340"/>
      <c r="T149" s="226"/>
      <c r="U149" s="53"/>
      <c r="V149" s="53"/>
      <c r="W149" s="53"/>
      <c r="X149" s="53"/>
    </row>
    <row r="150" spans="1:24" ht="15.75" hidden="1" customHeight="1" outlineLevel="1">
      <c r="A150" s="69"/>
      <c r="B150" s="69">
        <v>45973</v>
      </c>
      <c r="C150" s="70" t="str">
        <f t="shared" si="4"/>
        <v>quarta-feira</v>
      </c>
      <c r="D150" s="55">
        <f>SUMIFS('📋 Despesas'!K:K,'📋 Despesas'!N:N,B150)</f>
        <v>0</v>
      </c>
      <c r="E150" s="53"/>
      <c r="F150" s="53"/>
      <c r="G150" s="372"/>
      <c r="H150" s="372"/>
      <c r="I150" s="379"/>
      <c r="J150" s="372"/>
      <c r="K150" s="373"/>
      <c r="L150" s="372"/>
      <c r="M150" s="372"/>
      <c r="N150" s="227"/>
      <c r="O150" s="227"/>
      <c r="P150" s="227"/>
      <c r="Q150" s="227"/>
      <c r="R150" s="227"/>
      <c r="S150" s="340"/>
      <c r="T150" s="226"/>
      <c r="U150" s="53"/>
      <c r="V150" s="53"/>
      <c r="W150" s="53"/>
      <c r="X150" s="53"/>
    </row>
    <row r="151" spans="1:24" ht="15.75" hidden="1" customHeight="1" outlineLevel="1">
      <c r="A151" s="69"/>
      <c r="B151" s="69">
        <v>45974</v>
      </c>
      <c r="C151" s="70" t="str">
        <f t="shared" si="4"/>
        <v>quinta-feira</v>
      </c>
      <c r="D151" s="55">
        <f>SUMIFS('📋 Despesas'!K:K,'📋 Despesas'!N:N,B151)</f>
        <v>0</v>
      </c>
      <c r="E151" s="53"/>
      <c r="F151" s="53"/>
      <c r="G151" s="372"/>
      <c r="H151" s="372"/>
      <c r="I151" s="379"/>
      <c r="J151" s="372"/>
      <c r="K151" s="373"/>
      <c r="L151" s="372"/>
      <c r="M151" s="372"/>
      <c r="N151" s="227"/>
      <c r="O151" s="227"/>
      <c r="P151" s="227"/>
      <c r="Q151" s="227"/>
      <c r="R151" s="227"/>
      <c r="S151" s="340"/>
      <c r="T151" s="226"/>
      <c r="U151" s="53"/>
      <c r="V151" s="53"/>
      <c r="W151" s="53"/>
      <c r="X151" s="53"/>
    </row>
    <row r="152" spans="1:24" ht="15.75" hidden="1" customHeight="1" outlineLevel="1">
      <c r="A152" s="69"/>
      <c r="B152" s="69">
        <v>45975</v>
      </c>
      <c r="C152" s="70" t="str">
        <f t="shared" si="4"/>
        <v>sexta-feira</v>
      </c>
      <c r="D152" s="55">
        <f>SUMIFS('📋 Despesas'!K:K,'📋 Despesas'!N:N,B152)</f>
        <v>0</v>
      </c>
      <c r="E152" s="53"/>
      <c r="F152" s="53"/>
      <c r="G152" s="372"/>
      <c r="H152" s="372"/>
      <c r="I152" s="379"/>
      <c r="J152" s="372"/>
      <c r="K152" s="373"/>
      <c r="L152" s="372"/>
      <c r="M152" s="372"/>
      <c r="N152" s="227"/>
      <c r="O152" s="227"/>
      <c r="P152" s="227"/>
      <c r="Q152" s="227"/>
      <c r="R152" s="227"/>
      <c r="S152" s="340"/>
      <c r="T152" s="226"/>
      <c r="U152" s="53"/>
      <c r="V152" s="53"/>
      <c r="W152" s="53"/>
      <c r="X152" s="53"/>
    </row>
    <row r="153" spans="1:24" ht="15.75" hidden="1" customHeight="1" outlineLevel="1">
      <c r="A153" s="69"/>
      <c r="B153" s="69">
        <v>45976</v>
      </c>
      <c r="C153" s="70" t="str">
        <f t="shared" si="4"/>
        <v>sábado</v>
      </c>
      <c r="D153" s="55">
        <f>SUMIFS('📋 Despesas'!K:K,'📋 Despesas'!N:N,B153)</f>
        <v>0</v>
      </c>
      <c r="E153" s="53"/>
      <c r="F153" s="53"/>
      <c r="G153" s="372"/>
      <c r="H153" s="372"/>
      <c r="I153" s="379"/>
      <c r="J153" s="372"/>
      <c r="K153" s="373"/>
      <c r="L153" s="372"/>
      <c r="M153" s="372"/>
      <c r="N153" s="227"/>
      <c r="O153" s="227"/>
      <c r="P153" s="227"/>
      <c r="Q153" s="227"/>
      <c r="R153" s="227"/>
      <c r="S153" s="340"/>
      <c r="T153" s="226"/>
      <c r="U153" s="53"/>
      <c r="V153" s="53"/>
      <c r="W153" s="53"/>
      <c r="X153" s="53"/>
    </row>
    <row r="154" spans="1:24" ht="15.75" hidden="1" customHeight="1" outlineLevel="1">
      <c r="A154" s="69"/>
      <c r="B154" s="69">
        <v>45977</v>
      </c>
      <c r="C154" s="70" t="str">
        <f t="shared" si="4"/>
        <v>domingo</v>
      </c>
      <c r="D154" s="55">
        <f>SUMIFS('📋 Despesas'!K:K,'📋 Despesas'!N:N,B154)</f>
        <v>0</v>
      </c>
      <c r="E154" s="53"/>
      <c r="F154" s="53"/>
      <c r="G154" s="372"/>
      <c r="H154" s="372"/>
      <c r="I154" s="379"/>
      <c r="J154" s="372"/>
      <c r="K154" s="373"/>
      <c r="L154" s="372"/>
      <c r="M154" s="372"/>
      <c r="N154" s="227"/>
      <c r="O154" s="227"/>
      <c r="P154" s="227"/>
      <c r="Q154" s="227"/>
      <c r="R154" s="227"/>
      <c r="S154" s="340"/>
      <c r="T154" s="226"/>
      <c r="U154" s="53"/>
      <c r="V154" s="53"/>
      <c r="W154" s="53"/>
      <c r="X154" s="53"/>
    </row>
    <row r="155" spans="1:24" ht="15.75" hidden="1" customHeight="1" outlineLevel="1">
      <c r="A155" s="69"/>
      <c r="B155" s="69">
        <v>45978</v>
      </c>
      <c r="C155" s="70" t="str">
        <f t="shared" si="4"/>
        <v>segunda-feira</v>
      </c>
      <c r="D155" s="55">
        <f>SUMIFS('📋 Despesas'!K:K,'📋 Despesas'!N:N,B155)</f>
        <v>0</v>
      </c>
      <c r="E155" s="53"/>
      <c r="F155" s="53"/>
      <c r="G155" s="372"/>
      <c r="H155" s="372"/>
      <c r="I155" s="379"/>
      <c r="J155" s="372"/>
      <c r="K155" s="373"/>
      <c r="L155" s="372"/>
      <c r="M155" s="372"/>
      <c r="N155" s="227"/>
      <c r="O155" s="227"/>
      <c r="P155" s="227"/>
      <c r="Q155" s="227"/>
      <c r="R155" s="227"/>
      <c r="S155" s="340"/>
      <c r="T155" s="226"/>
      <c r="U155" s="53"/>
      <c r="V155" s="53"/>
      <c r="W155" s="53"/>
      <c r="X155" s="53"/>
    </row>
    <row r="156" spans="1:24" ht="15.75" hidden="1" customHeight="1" outlineLevel="1">
      <c r="A156" s="69"/>
      <c r="B156" s="69">
        <v>45979</v>
      </c>
      <c r="C156" s="70" t="str">
        <f t="shared" si="4"/>
        <v>terça-feira</v>
      </c>
      <c r="D156" s="55">
        <f>SUMIFS('📋 Despesas'!K:K,'📋 Despesas'!N:N,B156)</f>
        <v>0</v>
      </c>
      <c r="E156" s="53"/>
      <c r="F156" s="53"/>
      <c r="G156" s="372"/>
      <c r="H156" s="372"/>
      <c r="I156" s="379"/>
      <c r="J156" s="372"/>
      <c r="K156" s="373"/>
      <c r="L156" s="372"/>
      <c r="M156" s="372"/>
      <c r="N156" s="227"/>
      <c r="O156" s="227"/>
      <c r="P156" s="227"/>
      <c r="Q156" s="227"/>
      <c r="R156" s="227"/>
      <c r="S156" s="340"/>
      <c r="T156" s="226"/>
      <c r="U156" s="53"/>
      <c r="V156" s="53"/>
      <c r="W156" s="53"/>
      <c r="X156" s="53"/>
    </row>
    <row r="157" spans="1:24" ht="15.75" hidden="1" customHeight="1" outlineLevel="1">
      <c r="A157" s="69"/>
      <c r="B157" s="69">
        <v>45980</v>
      </c>
      <c r="C157" s="70" t="str">
        <f t="shared" si="4"/>
        <v>quarta-feira</v>
      </c>
      <c r="D157" s="55">
        <f>SUMIFS('📋 Despesas'!K:K,'📋 Despesas'!N:N,B157)</f>
        <v>0</v>
      </c>
      <c r="E157" s="53"/>
      <c r="F157" s="53"/>
      <c r="G157" s="372"/>
      <c r="H157" s="372"/>
      <c r="I157" s="379"/>
      <c r="J157" s="372"/>
      <c r="K157" s="373"/>
      <c r="L157" s="372"/>
      <c r="M157" s="372"/>
      <c r="N157" s="227"/>
      <c r="O157" s="227"/>
      <c r="P157" s="227"/>
      <c r="Q157" s="227"/>
      <c r="R157" s="227"/>
      <c r="S157" s="340"/>
      <c r="T157" s="226"/>
      <c r="U157" s="53"/>
      <c r="V157" s="53"/>
      <c r="W157" s="53"/>
      <c r="X157" s="53"/>
    </row>
    <row r="158" spans="1:24" ht="15.75" hidden="1" customHeight="1" outlineLevel="1">
      <c r="A158" s="69"/>
      <c r="B158" s="69">
        <v>45981</v>
      </c>
      <c r="C158" s="70" t="str">
        <f t="shared" si="4"/>
        <v>quinta-feira</v>
      </c>
      <c r="D158" s="55">
        <f>SUMIFS('📋 Despesas'!K:K,'📋 Despesas'!N:N,B158)</f>
        <v>0</v>
      </c>
      <c r="E158" s="53"/>
      <c r="F158" s="53"/>
      <c r="G158" s="372"/>
      <c r="H158" s="372"/>
      <c r="I158" s="379"/>
      <c r="J158" s="372"/>
      <c r="K158" s="373"/>
      <c r="L158" s="372"/>
      <c r="M158" s="372"/>
      <c r="N158" s="227"/>
      <c r="O158" s="227"/>
      <c r="P158" s="227"/>
      <c r="Q158" s="227"/>
      <c r="R158" s="227"/>
      <c r="S158" s="340"/>
      <c r="T158" s="226"/>
      <c r="U158" s="53"/>
      <c r="V158" s="53"/>
      <c r="W158" s="53"/>
      <c r="X158" s="53"/>
    </row>
    <row r="159" spans="1:24" ht="15.75" hidden="1" customHeight="1" outlineLevel="1">
      <c r="A159" s="69"/>
      <c r="B159" s="69">
        <v>45982</v>
      </c>
      <c r="C159" s="70" t="str">
        <f t="shared" si="4"/>
        <v>sexta-feira</v>
      </c>
      <c r="D159" s="55">
        <f>SUMIFS('📋 Despesas'!K:K,'📋 Despesas'!N:N,B159)</f>
        <v>0</v>
      </c>
      <c r="E159" s="53"/>
      <c r="F159" s="53"/>
      <c r="G159" s="372"/>
      <c r="H159" s="372"/>
      <c r="I159" s="379"/>
      <c r="J159" s="372"/>
      <c r="K159" s="373"/>
      <c r="L159" s="372"/>
      <c r="M159" s="372"/>
      <c r="N159" s="227"/>
      <c r="O159" s="227"/>
      <c r="P159" s="227"/>
      <c r="Q159" s="227"/>
      <c r="R159" s="227"/>
      <c r="S159" s="340"/>
      <c r="T159" s="226"/>
      <c r="U159" s="53"/>
      <c r="V159" s="53"/>
      <c r="W159" s="53"/>
      <c r="X159" s="53"/>
    </row>
    <row r="160" spans="1:24" ht="15.75" hidden="1" customHeight="1" outlineLevel="1">
      <c r="A160" s="69"/>
      <c r="B160" s="69">
        <v>45983</v>
      </c>
      <c r="C160" s="70" t="str">
        <f t="shared" si="4"/>
        <v>sábado</v>
      </c>
      <c r="D160" s="55">
        <f>SUMIFS('📋 Despesas'!K:K,'📋 Despesas'!N:N,B160)</f>
        <v>0</v>
      </c>
      <c r="E160" s="53"/>
      <c r="F160" s="53"/>
      <c r="G160" s="372"/>
      <c r="H160" s="372"/>
      <c r="I160" s="379"/>
      <c r="J160" s="372"/>
      <c r="K160" s="373"/>
      <c r="L160" s="372"/>
      <c r="M160" s="372"/>
      <c r="N160" s="227"/>
      <c r="O160" s="227"/>
      <c r="P160" s="227"/>
      <c r="Q160" s="227"/>
      <c r="R160" s="227"/>
      <c r="S160" s="340"/>
      <c r="T160" s="226"/>
      <c r="U160" s="53"/>
      <c r="V160" s="53"/>
      <c r="W160" s="53"/>
      <c r="X160" s="53"/>
    </row>
    <row r="161" spans="1:24" ht="15.75" hidden="1" customHeight="1" outlineLevel="1">
      <c r="A161" s="69"/>
      <c r="B161" s="69">
        <v>45984</v>
      </c>
      <c r="C161" s="70" t="str">
        <f t="shared" si="4"/>
        <v>domingo</v>
      </c>
      <c r="D161" s="55">
        <f>SUMIFS('📋 Despesas'!K:K,'📋 Despesas'!N:N,B161)</f>
        <v>0</v>
      </c>
      <c r="E161" s="53"/>
      <c r="F161" s="53"/>
      <c r="G161" s="372"/>
      <c r="H161" s="372"/>
      <c r="I161" s="379"/>
      <c r="J161" s="372"/>
      <c r="K161" s="373"/>
      <c r="L161" s="372"/>
      <c r="M161" s="372"/>
      <c r="N161" s="227"/>
      <c r="O161" s="227"/>
      <c r="P161" s="227"/>
      <c r="Q161" s="227"/>
      <c r="R161" s="227"/>
      <c r="S161" s="340"/>
      <c r="T161" s="226"/>
      <c r="U161" s="53"/>
      <c r="V161" s="53"/>
      <c r="W161" s="53"/>
      <c r="X161" s="53"/>
    </row>
    <row r="162" spans="1:24" ht="15.75" hidden="1" customHeight="1" outlineLevel="1">
      <c r="A162" s="69"/>
      <c r="B162" s="69">
        <v>45985</v>
      </c>
      <c r="C162" s="70" t="str">
        <f t="shared" si="4"/>
        <v>segunda-feira</v>
      </c>
      <c r="D162" s="55">
        <f>SUMIFS('📋 Despesas'!K:K,'📋 Despesas'!N:N,B162)</f>
        <v>0</v>
      </c>
      <c r="E162" s="53"/>
      <c r="F162" s="53"/>
      <c r="G162" s="372"/>
      <c r="H162" s="372"/>
      <c r="I162" s="379"/>
      <c r="J162" s="372"/>
      <c r="K162" s="373"/>
      <c r="L162" s="372"/>
      <c r="M162" s="372"/>
      <c r="N162" s="227"/>
      <c r="O162" s="227"/>
      <c r="P162" s="227"/>
      <c r="Q162" s="227"/>
      <c r="R162" s="227"/>
      <c r="S162" s="340"/>
      <c r="T162" s="226"/>
      <c r="U162" s="53"/>
      <c r="V162" s="53"/>
      <c r="W162" s="53"/>
      <c r="X162" s="53"/>
    </row>
    <row r="163" spans="1:24" ht="15.75" hidden="1" customHeight="1" outlineLevel="1">
      <c r="A163" s="69"/>
      <c r="B163" s="69">
        <v>45986</v>
      </c>
      <c r="C163" s="70" t="str">
        <f t="shared" si="4"/>
        <v>terça-feira</v>
      </c>
      <c r="D163" s="55">
        <f>SUMIFS('📋 Despesas'!K:K,'📋 Despesas'!N:N,B163)</f>
        <v>0</v>
      </c>
      <c r="E163" s="53"/>
      <c r="F163" s="53"/>
      <c r="G163" s="372"/>
      <c r="H163" s="372"/>
      <c r="I163" s="379"/>
      <c r="J163" s="372"/>
      <c r="K163" s="373"/>
      <c r="L163" s="372"/>
      <c r="M163" s="372"/>
      <c r="N163" s="227"/>
      <c r="O163" s="227"/>
      <c r="P163" s="227"/>
      <c r="Q163" s="227"/>
      <c r="R163" s="227"/>
      <c r="S163" s="340"/>
      <c r="T163" s="226"/>
      <c r="U163" s="53"/>
      <c r="V163" s="53"/>
      <c r="W163" s="53"/>
      <c r="X163" s="53"/>
    </row>
    <row r="164" spans="1:24" ht="15.75" hidden="1" customHeight="1" outlineLevel="1">
      <c r="A164" s="69"/>
      <c r="B164" s="69">
        <v>45987</v>
      </c>
      <c r="C164" s="70" t="str">
        <f t="shared" si="4"/>
        <v>quarta-feira</v>
      </c>
      <c r="D164" s="55">
        <f>SUMIFS('📋 Despesas'!K:K,'📋 Despesas'!N:N,B164)</f>
        <v>0</v>
      </c>
      <c r="E164" s="53"/>
      <c r="F164" s="53"/>
      <c r="G164" s="372"/>
      <c r="H164" s="372"/>
      <c r="I164" s="379"/>
      <c r="J164" s="372"/>
      <c r="K164" s="373"/>
      <c r="L164" s="372"/>
      <c r="M164" s="372"/>
      <c r="N164" s="227"/>
      <c r="O164" s="227"/>
      <c r="P164" s="227"/>
      <c r="Q164" s="227"/>
      <c r="R164" s="227"/>
      <c r="S164" s="340"/>
      <c r="T164" s="226"/>
      <c r="U164" s="53"/>
      <c r="V164" s="53"/>
      <c r="W164" s="53"/>
      <c r="X164" s="53"/>
    </row>
    <row r="165" spans="1:24" ht="15.75" hidden="1" customHeight="1" outlineLevel="1">
      <c r="A165" s="69"/>
      <c r="B165" s="69">
        <v>45988</v>
      </c>
      <c r="C165" s="70" t="str">
        <f t="shared" si="4"/>
        <v>quinta-feira</v>
      </c>
      <c r="D165" s="55">
        <f>SUMIFS('📋 Despesas'!K:K,'📋 Despesas'!N:N,B165)</f>
        <v>0</v>
      </c>
      <c r="E165" s="53"/>
      <c r="F165" s="53"/>
      <c r="G165" s="372"/>
      <c r="H165" s="372"/>
      <c r="I165" s="379"/>
      <c r="J165" s="372"/>
      <c r="K165" s="373"/>
      <c r="L165" s="372"/>
      <c r="M165" s="372"/>
      <c r="N165" s="227"/>
      <c r="O165" s="227"/>
      <c r="P165" s="227"/>
      <c r="Q165" s="227"/>
      <c r="R165" s="227"/>
      <c r="S165" s="340"/>
      <c r="T165" s="226"/>
      <c r="U165" s="53"/>
      <c r="V165" s="53"/>
      <c r="W165" s="53"/>
      <c r="X165" s="53"/>
    </row>
    <row r="166" spans="1:24" ht="15.75" hidden="1" customHeight="1" outlineLevel="1">
      <c r="A166" s="69"/>
      <c r="B166" s="69">
        <v>45989</v>
      </c>
      <c r="C166" s="70" t="str">
        <f t="shared" si="4"/>
        <v>sexta-feira</v>
      </c>
      <c r="D166" s="55">
        <f>SUMIFS('📋 Despesas'!K:K,'📋 Despesas'!N:N,B166)</f>
        <v>0</v>
      </c>
      <c r="E166" s="53"/>
      <c r="F166" s="53"/>
      <c r="G166" s="372"/>
      <c r="H166" s="372"/>
      <c r="I166" s="379"/>
      <c r="J166" s="372"/>
      <c r="K166" s="373"/>
      <c r="L166" s="372"/>
      <c r="M166" s="372"/>
      <c r="N166" s="227"/>
      <c r="O166" s="227"/>
      <c r="P166" s="227"/>
      <c r="Q166" s="227"/>
      <c r="R166" s="227"/>
      <c r="S166" s="340"/>
      <c r="T166" s="226"/>
      <c r="U166" s="53"/>
      <c r="V166" s="53"/>
      <c r="W166" s="53"/>
      <c r="X166" s="53"/>
    </row>
    <row r="167" spans="1:24" ht="15.75" hidden="1" customHeight="1" outlineLevel="1">
      <c r="A167" s="69"/>
      <c r="B167" s="69">
        <v>45990</v>
      </c>
      <c r="C167" s="70" t="str">
        <f t="shared" si="4"/>
        <v>sábado</v>
      </c>
      <c r="D167" s="55">
        <f>SUMIFS('📋 Despesas'!K:K,'📋 Despesas'!N:N,B167)</f>
        <v>0</v>
      </c>
      <c r="E167" s="53"/>
      <c r="F167" s="53"/>
      <c r="G167" s="372"/>
      <c r="H167" s="372"/>
      <c r="I167" s="379"/>
      <c r="J167" s="372"/>
      <c r="K167" s="373"/>
      <c r="L167" s="372"/>
      <c r="M167" s="372"/>
      <c r="N167" s="227"/>
      <c r="O167" s="227"/>
      <c r="P167" s="227"/>
      <c r="Q167" s="227"/>
      <c r="R167" s="227"/>
      <c r="S167" s="340"/>
      <c r="T167" s="226"/>
      <c r="U167" s="53"/>
      <c r="V167" s="53"/>
      <c r="W167" s="53"/>
      <c r="X167" s="53"/>
    </row>
    <row r="168" spans="1:24" ht="15.75" hidden="1" customHeight="1" outlineLevel="1">
      <c r="A168" s="69"/>
      <c r="B168" s="69">
        <v>45991</v>
      </c>
      <c r="C168" s="70" t="str">
        <f t="shared" si="4"/>
        <v>domingo</v>
      </c>
      <c r="D168" s="55">
        <f>SUMIFS('📋 Despesas'!K:K,'📋 Despesas'!N:N,B168)</f>
        <v>0</v>
      </c>
      <c r="E168" s="53"/>
      <c r="F168" s="53"/>
      <c r="G168" s="372"/>
      <c r="H168" s="372"/>
      <c r="I168" s="379"/>
      <c r="J168" s="372"/>
      <c r="K168" s="373"/>
      <c r="L168" s="372"/>
      <c r="M168" s="372"/>
      <c r="N168" s="227"/>
      <c r="O168" s="227"/>
      <c r="P168" s="227"/>
      <c r="Q168" s="227"/>
      <c r="R168" s="227"/>
      <c r="S168" s="340"/>
      <c r="T168" s="226"/>
      <c r="U168" s="53"/>
      <c r="V168" s="53"/>
      <c r="W168" s="53"/>
      <c r="X168" s="53"/>
    </row>
    <row r="169" spans="1:24" ht="15.75" hidden="1" customHeight="1" outlineLevel="1">
      <c r="A169" s="69"/>
      <c r="B169" s="69">
        <v>45992</v>
      </c>
      <c r="C169" s="70" t="str">
        <f t="shared" si="4"/>
        <v>segunda-feira</v>
      </c>
      <c r="D169" s="55">
        <f>SUMIFS('📋 Despesas'!K:K,'📋 Despesas'!N:N,B169)</f>
        <v>0</v>
      </c>
      <c r="E169" s="53"/>
      <c r="F169" s="53"/>
      <c r="G169" s="372"/>
      <c r="H169" s="372"/>
      <c r="I169" s="379"/>
      <c r="J169" s="372"/>
      <c r="K169" s="373"/>
      <c r="L169" s="372"/>
      <c r="M169" s="372"/>
      <c r="N169" s="227"/>
      <c r="O169" s="227"/>
      <c r="P169" s="227"/>
      <c r="Q169" s="227"/>
      <c r="R169" s="227"/>
      <c r="S169" s="340"/>
      <c r="T169" s="226"/>
      <c r="U169" s="53"/>
      <c r="V169" s="53"/>
      <c r="W169" s="53"/>
      <c r="X169" s="53"/>
    </row>
    <row r="170" spans="1:24" ht="15.75" hidden="1" customHeight="1" outlineLevel="1">
      <c r="A170" s="69"/>
      <c r="B170" s="69">
        <v>45993</v>
      </c>
      <c r="C170" s="70" t="str">
        <f t="shared" si="4"/>
        <v>terça-feira</v>
      </c>
      <c r="D170" s="55">
        <f>SUMIFS('📋 Despesas'!K:K,'📋 Despesas'!N:N,B170)</f>
        <v>0</v>
      </c>
      <c r="E170" s="53"/>
      <c r="F170" s="53"/>
      <c r="G170" s="372"/>
      <c r="H170" s="372"/>
      <c r="I170" s="379"/>
      <c r="J170" s="372"/>
      <c r="K170" s="373"/>
      <c r="L170" s="372"/>
      <c r="M170" s="372"/>
      <c r="N170" s="227"/>
      <c r="O170" s="227"/>
      <c r="P170" s="227"/>
      <c r="Q170" s="227"/>
      <c r="R170" s="227"/>
      <c r="S170" s="340"/>
      <c r="T170" s="226"/>
      <c r="U170" s="53"/>
      <c r="V170" s="53"/>
      <c r="W170" s="53"/>
      <c r="X170" s="53"/>
    </row>
    <row r="171" spans="1:24" ht="15.75" hidden="1" customHeight="1" outlineLevel="1">
      <c r="A171" s="69"/>
      <c r="B171" s="69">
        <v>45994</v>
      </c>
      <c r="C171" s="70" t="str">
        <f t="shared" si="4"/>
        <v>quarta-feira</v>
      </c>
      <c r="D171" s="55">
        <f>SUMIFS('📋 Despesas'!K:K,'📋 Despesas'!N:N,B171)</f>
        <v>0</v>
      </c>
      <c r="E171" s="53"/>
      <c r="F171" s="53"/>
      <c r="G171" s="372"/>
      <c r="H171" s="372"/>
      <c r="I171" s="379"/>
      <c r="J171" s="372"/>
      <c r="K171" s="373"/>
      <c r="L171" s="372"/>
      <c r="M171" s="372"/>
      <c r="N171" s="227"/>
      <c r="O171" s="227"/>
      <c r="P171" s="227"/>
      <c r="Q171" s="227"/>
      <c r="R171" s="227"/>
      <c r="S171" s="340"/>
      <c r="T171" s="226"/>
      <c r="U171" s="53"/>
      <c r="V171" s="53"/>
      <c r="W171" s="53"/>
      <c r="X171" s="53"/>
    </row>
    <row r="172" spans="1:24" ht="15.75" hidden="1" customHeight="1" outlineLevel="1">
      <c r="A172" s="69"/>
      <c r="B172" s="69">
        <v>45995</v>
      </c>
      <c r="C172" s="70" t="str">
        <f t="shared" si="4"/>
        <v>quinta-feira</v>
      </c>
      <c r="D172" s="55">
        <f>SUMIFS('📋 Despesas'!K:K,'📋 Despesas'!N:N,B172)</f>
        <v>0</v>
      </c>
      <c r="E172" s="53"/>
      <c r="F172" s="53"/>
      <c r="G172" s="372"/>
      <c r="H172" s="372"/>
      <c r="I172" s="379"/>
      <c r="J172" s="372"/>
      <c r="K172" s="373"/>
      <c r="L172" s="372"/>
      <c r="M172" s="372"/>
      <c r="N172" s="227"/>
      <c r="O172" s="227"/>
      <c r="P172" s="227"/>
      <c r="Q172" s="227"/>
      <c r="R172" s="227"/>
      <c r="S172" s="340"/>
      <c r="T172" s="226"/>
      <c r="U172" s="53"/>
      <c r="V172" s="53"/>
      <c r="W172" s="53"/>
      <c r="X172" s="53"/>
    </row>
    <row r="173" spans="1:24" ht="15.75" hidden="1" customHeight="1" outlineLevel="1">
      <c r="A173" s="69"/>
      <c r="B173" s="69">
        <v>45996</v>
      </c>
      <c r="C173" s="70" t="str">
        <f t="shared" si="4"/>
        <v>sexta-feira</v>
      </c>
      <c r="D173" s="55">
        <f>SUMIFS('📋 Despesas'!K:K,'📋 Despesas'!N:N,B173)</f>
        <v>0</v>
      </c>
      <c r="E173" s="53"/>
      <c r="F173" s="53"/>
      <c r="G173" s="372"/>
      <c r="H173" s="372"/>
      <c r="I173" s="379"/>
      <c r="J173" s="372"/>
      <c r="K173" s="373"/>
      <c r="L173" s="372"/>
      <c r="M173" s="372"/>
      <c r="N173" s="227"/>
      <c r="O173" s="227"/>
      <c r="P173" s="227"/>
      <c r="Q173" s="227"/>
      <c r="R173" s="227"/>
      <c r="S173" s="340"/>
      <c r="T173" s="226"/>
      <c r="U173" s="53"/>
      <c r="V173" s="53"/>
      <c r="W173" s="53"/>
      <c r="X173" s="53"/>
    </row>
    <row r="174" spans="1:24" ht="15.75" hidden="1" customHeight="1" outlineLevel="1">
      <c r="A174" s="69"/>
      <c r="B174" s="69">
        <v>45997</v>
      </c>
      <c r="C174" s="70" t="str">
        <f t="shared" si="4"/>
        <v>sábado</v>
      </c>
      <c r="D174" s="55">
        <f>SUMIFS('📋 Despesas'!K:K,'📋 Despesas'!N:N,B174)</f>
        <v>0</v>
      </c>
      <c r="E174" s="53"/>
      <c r="F174" s="53"/>
      <c r="G174" s="372"/>
      <c r="H174" s="372"/>
      <c r="I174" s="379"/>
      <c r="J174" s="372"/>
      <c r="K174" s="373"/>
      <c r="L174" s="372"/>
      <c r="M174" s="372"/>
      <c r="N174" s="227"/>
      <c r="O174" s="227"/>
      <c r="P174" s="227"/>
      <c r="Q174" s="227"/>
      <c r="R174" s="227"/>
      <c r="S174" s="340"/>
      <c r="T174" s="226"/>
      <c r="U174" s="53"/>
      <c r="V174" s="53"/>
      <c r="W174" s="53"/>
      <c r="X174" s="53"/>
    </row>
    <row r="175" spans="1:24" ht="15.75" hidden="1" customHeight="1" outlineLevel="1">
      <c r="A175" s="69"/>
      <c r="B175" s="69">
        <v>45998</v>
      </c>
      <c r="C175" s="70" t="str">
        <f t="shared" si="4"/>
        <v>domingo</v>
      </c>
      <c r="D175" s="55">
        <f>SUMIFS('📋 Despesas'!K:K,'📋 Despesas'!N:N,B175)</f>
        <v>0</v>
      </c>
      <c r="E175" s="53"/>
      <c r="F175" s="53"/>
      <c r="G175" s="372"/>
      <c r="H175" s="372"/>
      <c r="I175" s="379"/>
      <c r="J175" s="372"/>
      <c r="K175" s="373"/>
      <c r="L175" s="372"/>
      <c r="M175" s="372"/>
      <c r="N175" s="227"/>
      <c r="O175" s="227"/>
      <c r="P175" s="227"/>
      <c r="Q175" s="227"/>
      <c r="R175" s="227"/>
      <c r="S175" s="340"/>
      <c r="T175" s="226"/>
      <c r="U175" s="53"/>
      <c r="V175" s="53"/>
      <c r="W175" s="53"/>
      <c r="X175" s="53"/>
    </row>
    <row r="176" spans="1:24" ht="15.75" hidden="1" customHeight="1" outlineLevel="1">
      <c r="A176" s="69"/>
      <c r="B176" s="69">
        <v>45999</v>
      </c>
      <c r="C176" s="70" t="str">
        <f t="shared" si="4"/>
        <v>segunda-feira</v>
      </c>
      <c r="D176" s="55">
        <f>SUMIFS('📋 Despesas'!K:K,'📋 Despesas'!N:N,B176)</f>
        <v>0</v>
      </c>
      <c r="E176" s="53"/>
      <c r="F176" s="53"/>
      <c r="G176" s="372"/>
      <c r="H176" s="372"/>
      <c r="I176" s="379"/>
      <c r="J176" s="372"/>
      <c r="K176" s="373"/>
      <c r="L176" s="372"/>
      <c r="M176" s="372"/>
      <c r="N176" s="227"/>
      <c r="O176" s="227"/>
      <c r="P176" s="227"/>
      <c r="Q176" s="227"/>
      <c r="R176" s="227"/>
      <c r="S176" s="340"/>
      <c r="T176" s="226"/>
      <c r="U176" s="53"/>
      <c r="V176" s="53"/>
      <c r="W176" s="53"/>
      <c r="X176" s="53"/>
    </row>
    <row r="177" spans="1:24" ht="15.75" hidden="1" customHeight="1" outlineLevel="1">
      <c r="A177" s="69"/>
      <c r="B177" s="69">
        <v>46000</v>
      </c>
      <c r="C177" s="70" t="str">
        <f t="shared" si="4"/>
        <v>terça-feira</v>
      </c>
      <c r="D177" s="55">
        <f>SUMIFS('📋 Despesas'!K:K,'📋 Despesas'!N:N,B177)</f>
        <v>0</v>
      </c>
      <c r="E177" s="53"/>
      <c r="F177" s="53"/>
      <c r="G177" s="372"/>
      <c r="H177" s="372"/>
      <c r="I177" s="379"/>
      <c r="J177" s="372"/>
      <c r="K177" s="373"/>
      <c r="L177" s="372"/>
      <c r="M177" s="372"/>
      <c r="N177" s="227"/>
      <c r="O177" s="227"/>
      <c r="P177" s="227"/>
      <c r="Q177" s="227"/>
      <c r="R177" s="227"/>
      <c r="S177" s="340"/>
      <c r="T177" s="226"/>
      <c r="U177" s="53"/>
      <c r="V177" s="53"/>
      <c r="W177" s="53"/>
      <c r="X177" s="53"/>
    </row>
    <row r="178" spans="1:24" ht="15.75" hidden="1" customHeight="1" outlineLevel="1">
      <c r="A178" s="69"/>
      <c r="B178" s="69">
        <v>46001</v>
      </c>
      <c r="C178" s="70" t="str">
        <f t="shared" si="4"/>
        <v>quarta-feira</v>
      </c>
      <c r="D178" s="55">
        <f>SUMIFS('📋 Despesas'!K:K,'📋 Despesas'!N:N,B178)</f>
        <v>0</v>
      </c>
      <c r="E178" s="53"/>
      <c r="F178" s="53"/>
      <c r="G178" s="372"/>
      <c r="H178" s="372"/>
      <c r="I178" s="379"/>
      <c r="J178" s="372"/>
      <c r="K178" s="373"/>
      <c r="L178" s="372"/>
      <c r="M178" s="372"/>
      <c r="N178" s="227"/>
      <c r="O178" s="227"/>
      <c r="P178" s="227"/>
      <c r="Q178" s="227"/>
      <c r="R178" s="227"/>
      <c r="S178" s="340"/>
      <c r="T178" s="226"/>
      <c r="U178" s="53"/>
      <c r="V178" s="53"/>
      <c r="W178" s="53"/>
      <c r="X178" s="53"/>
    </row>
    <row r="179" spans="1:24" ht="15.75" hidden="1" customHeight="1" outlineLevel="1">
      <c r="A179" s="69"/>
      <c r="B179" s="69">
        <v>46002</v>
      </c>
      <c r="C179" s="70" t="str">
        <f t="shared" si="4"/>
        <v>quinta-feira</v>
      </c>
      <c r="D179" s="55">
        <f>SUMIFS('📋 Despesas'!K:K,'📋 Despesas'!N:N,B179)</f>
        <v>0</v>
      </c>
      <c r="E179" s="53"/>
      <c r="F179" s="53"/>
      <c r="G179" s="372"/>
      <c r="H179" s="372"/>
      <c r="I179" s="379"/>
      <c r="J179" s="372"/>
      <c r="K179" s="373"/>
      <c r="L179" s="372"/>
      <c r="M179" s="372"/>
      <c r="N179" s="227"/>
      <c r="O179" s="227"/>
      <c r="P179" s="227"/>
      <c r="Q179" s="227"/>
      <c r="R179" s="227"/>
      <c r="S179" s="340"/>
      <c r="T179" s="226"/>
      <c r="U179" s="53"/>
      <c r="V179" s="53"/>
      <c r="W179" s="53"/>
      <c r="X179" s="53"/>
    </row>
    <row r="180" spans="1:24" ht="15.75" hidden="1" customHeight="1" outlineLevel="1">
      <c r="A180" s="69"/>
      <c r="B180" s="69">
        <v>46003</v>
      </c>
      <c r="C180" s="70" t="str">
        <f t="shared" si="4"/>
        <v>sexta-feira</v>
      </c>
      <c r="D180" s="55">
        <f>SUMIFS('📋 Despesas'!K:K,'📋 Despesas'!N:N,B180)</f>
        <v>0</v>
      </c>
      <c r="E180" s="53"/>
      <c r="F180" s="53"/>
      <c r="G180" s="372"/>
      <c r="H180" s="372"/>
      <c r="I180" s="379"/>
      <c r="J180" s="372"/>
      <c r="K180" s="373"/>
      <c r="L180" s="372"/>
      <c r="M180" s="372"/>
      <c r="N180" s="227"/>
      <c r="O180" s="227"/>
      <c r="P180" s="227"/>
      <c r="Q180" s="227"/>
      <c r="R180" s="227"/>
      <c r="S180" s="340"/>
      <c r="T180" s="226"/>
      <c r="U180" s="53"/>
      <c r="V180" s="53"/>
      <c r="W180" s="53"/>
      <c r="X180" s="53"/>
    </row>
    <row r="181" spans="1:24" ht="15.75" hidden="1" customHeight="1" outlineLevel="1">
      <c r="A181" s="69"/>
      <c r="B181" s="69">
        <v>46004</v>
      </c>
      <c r="C181" s="70" t="str">
        <f t="shared" si="4"/>
        <v>sábado</v>
      </c>
      <c r="D181" s="55">
        <f>SUMIFS('📋 Despesas'!K:K,'📋 Despesas'!N:N,B181)</f>
        <v>0</v>
      </c>
      <c r="E181" s="53"/>
      <c r="F181" s="53"/>
      <c r="G181" s="372"/>
      <c r="H181" s="372"/>
      <c r="I181" s="379"/>
      <c r="J181" s="372"/>
      <c r="K181" s="373"/>
      <c r="L181" s="372"/>
      <c r="M181" s="372"/>
      <c r="N181" s="227"/>
      <c r="O181" s="227"/>
      <c r="P181" s="227"/>
      <c r="Q181" s="227"/>
      <c r="R181" s="227"/>
      <c r="S181" s="340"/>
      <c r="T181" s="226"/>
      <c r="U181" s="53"/>
      <c r="V181" s="53"/>
      <c r="W181" s="53"/>
      <c r="X181" s="53"/>
    </row>
    <row r="182" spans="1:24" ht="15.75" hidden="1" customHeight="1" outlineLevel="1">
      <c r="A182" s="69"/>
      <c r="B182" s="69">
        <v>46005</v>
      </c>
      <c r="C182" s="70" t="str">
        <f t="shared" si="4"/>
        <v>domingo</v>
      </c>
      <c r="D182" s="55">
        <f>SUMIFS('📋 Despesas'!K:K,'📋 Despesas'!N:N,B182)</f>
        <v>0</v>
      </c>
      <c r="E182" s="53"/>
      <c r="F182" s="53"/>
      <c r="G182" s="372"/>
      <c r="H182" s="372"/>
      <c r="I182" s="379"/>
      <c r="J182" s="372"/>
      <c r="K182" s="373"/>
      <c r="L182" s="372"/>
      <c r="M182" s="372"/>
      <c r="N182" s="227"/>
      <c r="O182" s="227"/>
      <c r="P182" s="227"/>
      <c r="Q182" s="227"/>
      <c r="R182" s="227"/>
      <c r="S182" s="340"/>
      <c r="T182" s="226"/>
      <c r="U182" s="53"/>
      <c r="V182" s="53"/>
      <c r="W182" s="53"/>
      <c r="X182" s="53"/>
    </row>
    <row r="183" spans="1:24" ht="15.75" hidden="1" customHeight="1" outlineLevel="1">
      <c r="A183" s="69"/>
      <c r="B183" s="69">
        <v>46006</v>
      </c>
      <c r="C183" s="70" t="str">
        <f t="shared" si="4"/>
        <v>segunda-feira</v>
      </c>
      <c r="D183" s="55">
        <f>SUMIFS('📋 Despesas'!K:K,'📋 Despesas'!N:N,B183)</f>
        <v>0</v>
      </c>
      <c r="E183" s="53"/>
      <c r="F183" s="53"/>
      <c r="G183" s="372"/>
      <c r="H183" s="372"/>
      <c r="I183" s="379"/>
      <c r="J183" s="372"/>
      <c r="K183" s="373"/>
      <c r="L183" s="372"/>
      <c r="M183" s="372"/>
      <c r="N183" s="227"/>
      <c r="O183" s="227"/>
      <c r="P183" s="227"/>
      <c r="Q183" s="227"/>
      <c r="R183" s="227"/>
      <c r="S183" s="340"/>
      <c r="T183" s="226"/>
      <c r="U183" s="53"/>
      <c r="V183" s="53"/>
      <c r="W183" s="53"/>
      <c r="X183" s="53"/>
    </row>
    <row r="184" spans="1:24" ht="15.75" hidden="1" customHeight="1" outlineLevel="1">
      <c r="A184" s="69"/>
      <c r="B184" s="69">
        <v>46007</v>
      </c>
      <c r="C184" s="70" t="str">
        <f t="shared" si="4"/>
        <v>terça-feira</v>
      </c>
      <c r="D184" s="55">
        <f>SUMIFS('📋 Despesas'!K:K,'📋 Despesas'!N:N,B184)</f>
        <v>0</v>
      </c>
      <c r="E184" s="53"/>
      <c r="F184" s="53"/>
      <c r="G184" s="372"/>
      <c r="H184" s="372"/>
      <c r="I184" s="379"/>
      <c r="J184" s="372"/>
      <c r="K184" s="373"/>
      <c r="L184" s="372"/>
      <c r="M184" s="372"/>
      <c r="N184" s="227"/>
      <c r="O184" s="227"/>
      <c r="P184" s="227"/>
      <c r="Q184" s="227"/>
      <c r="R184" s="227"/>
      <c r="S184" s="340"/>
      <c r="T184" s="226"/>
      <c r="U184" s="53"/>
      <c r="V184" s="53"/>
      <c r="W184" s="53"/>
      <c r="X184" s="53"/>
    </row>
    <row r="185" spans="1:24" ht="15.75" hidden="1" customHeight="1" outlineLevel="1">
      <c r="A185" s="69"/>
      <c r="B185" s="69">
        <v>46008</v>
      </c>
      <c r="C185" s="70" t="str">
        <f t="shared" si="4"/>
        <v>quarta-feira</v>
      </c>
      <c r="D185" s="55">
        <f>SUMIFS('📋 Despesas'!K:K,'📋 Despesas'!N:N,B185)</f>
        <v>0</v>
      </c>
      <c r="E185" s="53"/>
      <c r="F185" s="53"/>
      <c r="G185" s="372"/>
      <c r="H185" s="372"/>
      <c r="I185" s="379"/>
      <c r="J185" s="372"/>
      <c r="K185" s="373"/>
      <c r="L185" s="372"/>
      <c r="M185" s="372"/>
      <c r="N185" s="227"/>
      <c r="O185" s="227"/>
      <c r="P185" s="227"/>
      <c r="Q185" s="227"/>
      <c r="R185" s="227"/>
      <c r="S185" s="340"/>
      <c r="T185" s="226"/>
      <c r="U185" s="53"/>
      <c r="V185" s="53"/>
      <c r="W185" s="53"/>
      <c r="X185" s="53"/>
    </row>
    <row r="186" spans="1:24" ht="15.75" hidden="1" customHeight="1" outlineLevel="1">
      <c r="A186" s="69"/>
      <c r="B186" s="69">
        <v>46009</v>
      </c>
      <c r="C186" s="70" t="str">
        <f t="shared" si="4"/>
        <v>quinta-feira</v>
      </c>
      <c r="D186" s="55">
        <f>SUMIFS('📋 Despesas'!K:K,'📋 Despesas'!N:N,B186)</f>
        <v>0</v>
      </c>
      <c r="E186" s="53"/>
      <c r="F186" s="53"/>
      <c r="G186" s="372"/>
      <c r="H186" s="372"/>
      <c r="I186" s="379"/>
      <c r="J186" s="372"/>
      <c r="K186" s="373"/>
      <c r="L186" s="372"/>
      <c r="M186" s="372"/>
      <c r="N186" s="227"/>
      <c r="O186" s="227"/>
      <c r="P186" s="227"/>
      <c r="Q186" s="227"/>
      <c r="R186" s="227"/>
      <c r="S186" s="340"/>
      <c r="T186" s="226"/>
      <c r="U186" s="53"/>
      <c r="V186" s="53"/>
      <c r="W186" s="53"/>
      <c r="X186" s="53"/>
    </row>
    <row r="187" spans="1:24" ht="15.75" hidden="1" customHeight="1" outlineLevel="1">
      <c r="A187" s="69"/>
      <c r="B187" s="69">
        <v>46010</v>
      </c>
      <c r="C187" s="70" t="str">
        <f t="shared" si="4"/>
        <v>sexta-feira</v>
      </c>
      <c r="D187" s="55">
        <f>SUMIFS('📋 Despesas'!K:K,'📋 Despesas'!N:N,B187)</f>
        <v>0</v>
      </c>
      <c r="E187" s="53"/>
      <c r="F187" s="53"/>
      <c r="G187" s="372"/>
      <c r="H187" s="372"/>
      <c r="I187" s="379"/>
      <c r="J187" s="372"/>
      <c r="K187" s="373"/>
      <c r="L187" s="372"/>
      <c r="M187" s="372"/>
      <c r="N187" s="227"/>
      <c r="O187" s="227"/>
      <c r="P187" s="227"/>
      <c r="Q187" s="227"/>
      <c r="R187" s="227"/>
      <c r="S187" s="340"/>
      <c r="T187" s="226"/>
      <c r="U187" s="53"/>
      <c r="V187" s="53"/>
      <c r="W187" s="53"/>
      <c r="X187" s="53"/>
    </row>
    <row r="188" spans="1:24" ht="15.75" hidden="1" customHeight="1" outlineLevel="1">
      <c r="A188" s="69"/>
      <c r="B188" s="69">
        <v>46011</v>
      </c>
      <c r="C188" s="70" t="str">
        <f t="shared" si="4"/>
        <v>sábado</v>
      </c>
      <c r="D188" s="55">
        <f>SUMIFS('📋 Despesas'!K:K,'📋 Despesas'!N:N,B188)</f>
        <v>0</v>
      </c>
      <c r="E188" s="53"/>
      <c r="F188" s="53"/>
      <c r="G188" s="372"/>
      <c r="H188" s="372"/>
      <c r="I188" s="379"/>
      <c r="J188" s="372"/>
      <c r="K188" s="373"/>
      <c r="L188" s="372"/>
      <c r="M188" s="372"/>
      <c r="N188" s="227"/>
      <c r="O188" s="227"/>
      <c r="P188" s="227"/>
      <c r="Q188" s="227"/>
      <c r="R188" s="227"/>
      <c r="S188" s="340"/>
      <c r="T188" s="226"/>
      <c r="U188" s="53"/>
      <c r="V188" s="53"/>
      <c r="W188" s="53"/>
      <c r="X188" s="53"/>
    </row>
    <row r="189" spans="1:24" ht="15.75" hidden="1" customHeight="1" outlineLevel="1">
      <c r="A189" s="69"/>
      <c r="B189" s="69">
        <v>46012</v>
      </c>
      <c r="C189" s="70" t="str">
        <f t="shared" si="4"/>
        <v>domingo</v>
      </c>
      <c r="D189" s="55">
        <f>SUMIFS('📋 Despesas'!K:K,'📋 Despesas'!N:N,B189)</f>
        <v>0</v>
      </c>
      <c r="E189" s="53"/>
      <c r="F189" s="53"/>
      <c r="G189" s="372"/>
      <c r="H189" s="372"/>
      <c r="I189" s="379"/>
      <c r="J189" s="372"/>
      <c r="K189" s="373"/>
      <c r="L189" s="372"/>
      <c r="M189" s="372"/>
      <c r="N189" s="227"/>
      <c r="O189" s="227"/>
      <c r="P189" s="227"/>
      <c r="Q189" s="227"/>
      <c r="R189" s="227"/>
      <c r="S189" s="340"/>
      <c r="T189" s="226"/>
      <c r="U189" s="53"/>
      <c r="V189" s="53"/>
      <c r="W189" s="53"/>
      <c r="X189" s="53"/>
    </row>
    <row r="190" spans="1:24" ht="15.75" hidden="1" customHeight="1" outlineLevel="1">
      <c r="A190" s="69"/>
      <c r="B190" s="69">
        <v>46013</v>
      </c>
      <c r="C190" s="70" t="str">
        <f t="shared" si="4"/>
        <v>segunda-feira</v>
      </c>
      <c r="D190" s="55">
        <f>SUMIFS('📋 Despesas'!K:K,'📋 Despesas'!N:N,B190)</f>
        <v>0</v>
      </c>
      <c r="E190" s="53"/>
      <c r="F190" s="53"/>
      <c r="G190" s="372"/>
      <c r="H190" s="372"/>
      <c r="I190" s="379"/>
      <c r="J190" s="372"/>
      <c r="K190" s="373"/>
      <c r="L190" s="372"/>
      <c r="M190" s="372"/>
      <c r="N190" s="227"/>
      <c r="O190" s="227"/>
      <c r="P190" s="227"/>
      <c r="Q190" s="227"/>
      <c r="R190" s="227"/>
      <c r="S190" s="340"/>
      <c r="T190" s="226"/>
      <c r="U190" s="53"/>
      <c r="V190" s="53"/>
      <c r="W190" s="53"/>
      <c r="X190" s="53"/>
    </row>
    <row r="191" spans="1:24" ht="15.75" hidden="1" customHeight="1" outlineLevel="1">
      <c r="A191" s="69"/>
      <c r="B191" s="69">
        <v>46014</v>
      </c>
      <c r="C191" s="70" t="str">
        <f t="shared" si="4"/>
        <v>terça-feira</v>
      </c>
      <c r="D191" s="55">
        <f>SUMIFS('📋 Despesas'!K:K,'📋 Despesas'!N:N,B191)</f>
        <v>0</v>
      </c>
      <c r="E191" s="53"/>
      <c r="F191" s="53"/>
      <c r="G191" s="372"/>
      <c r="H191" s="372"/>
      <c r="I191" s="379"/>
      <c r="J191" s="372"/>
      <c r="K191" s="373"/>
      <c r="L191" s="372"/>
      <c r="M191" s="372"/>
      <c r="N191" s="227"/>
      <c r="O191" s="227"/>
      <c r="P191" s="227"/>
      <c r="Q191" s="227"/>
      <c r="R191" s="227"/>
      <c r="S191" s="340"/>
      <c r="T191" s="226"/>
      <c r="U191" s="53"/>
      <c r="V191" s="53"/>
      <c r="W191" s="53"/>
      <c r="X191" s="53"/>
    </row>
    <row r="192" spans="1:24" ht="15.75" hidden="1" customHeight="1" outlineLevel="1">
      <c r="A192" s="69"/>
      <c r="B192" s="69">
        <v>46015</v>
      </c>
      <c r="C192" s="70" t="str">
        <f t="shared" si="4"/>
        <v>quarta-feira</v>
      </c>
      <c r="D192" s="55">
        <f>SUMIFS('📋 Despesas'!K:K,'📋 Despesas'!N:N,B192)</f>
        <v>0</v>
      </c>
      <c r="E192" s="53"/>
      <c r="F192" s="53"/>
      <c r="G192" s="372"/>
      <c r="H192" s="372"/>
      <c r="I192" s="379"/>
      <c r="J192" s="372"/>
      <c r="K192" s="373"/>
      <c r="L192" s="372"/>
      <c r="M192" s="372"/>
      <c r="N192" s="227"/>
      <c r="O192" s="227"/>
      <c r="P192" s="227"/>
      <c r="Q192" s="227"/>
      <c r="R192" s="227"/>
      <c r="S192" s="340"/>
      <c r="T192" s="226"/>
      <c r="U192" s="53"/>
      <c r="V192" s="53"/>
      <c r="W192" s="53"/>
      <c r="X192" s="53"/>
    </row>
    <row r="193" spans="1:24" ht="15.75" hidden="1" customHeight="1" outlineLevel="1">
      <c r="A193" s="69"/>
      <c r="B193" s="69">
        <v>46016</v>
      </c>
      <c r="C193" s="70" t="str">
        <f t="shared" si="4"/>
        <v>quinta-feira</v>
      </c>
      <c r="D193" s="55">
        <f>SUMIFS('📋 Despesas'!K:K,'📋 Despesas'!N:N,B193)</f>
        <v>0</v>
      </c>
      <c r="E193" s="53"/>
      <c r="F193" s="53"/>
      <c r="G193" s="372"/>
      <c r="H193" s="372"/>
      <c r="I193" s="379"/>
      <c r="J193" s="372"/>
      <c r="K193" s="373"/>
      <c r="L193" s="372"/>
      <c r="M193" s="372"/>
      <c r="N193" s="227"/>
      <c r="O193" s="227"/>
      <c r="P193" s="227"/>
      <c r="Q193" s="227"/>
      <c r="R193" s="227"/>
      <c r="S193" s="340"/>
      <c r="T193" s="226"/>
      <c r="U193" s="53"/>
      <c r="V193" s="53"/>
      <c r="W193" s="53"/>
      <c r="X193" s="53"/>
    </row>
    <row r="194" spans="1:24" ht="15.75" hidden="1" customHeight="1" outlineLevel="1">
      <c r="A194" s="69"/>
      <c r="B194" s="69">
        <v>46017</v>
      </c>
      <c r="C194" s="70" t="str">
        <f t="shared" si="4"/>
        <v>sexta-feira</v>
      </c>
      <c r="D194" s="55">
        <f>SUMIFS('📋 Despesas'!K:K,'📋 Despesas'!N:N,B194)</f>
        <v>0</v>
      </c>
      <c r="E194" s="53"/>
      <c r="F194" s="53"/>
      <c r="G194" s="372"/>
      <c r="H194" s="372"/>
      <c r="I194" s="379"/>
      <c r="J194" s="372"/>
      <c r="K194" s="373"/>
      <c r="L194" s="372"/>
      <c r="M194" s="372"/>
      <c r="N194" s="227"/>
      <c r="O194" s="227"/>
      <c r="P194" s="227"/>
      <c r="Q194" s="227"/>
      <c r="R194" s="227"/>
      <c r="S194" s="340"/>
      <c r="T194" s="226"/>
      <c r="U194" s="53"/>
      <c r="V194" s="53"/>
      <c r="W194" s="53"/>
      <c r="X194" s="53"/>
    </row>
    <row r="195" spans="1:24" ht="15.75" hidden="1" customHeight="1" outlineLevel="1">
      <c r="A195" s="69"/>
      <c r="B195" s="69">
        <v>46018</v>
      </c>
      <c r="C195" s="70" t="str">
        <f t="shared" si="4"/>
        <v>sábado</v>
      </c>
      <c r="D195" s="55">
        <f>SUMIFS('📋 Despesas'!K:K,'📋 Despesas'!N:N,B195)</f>
        <v>0</v>
      </c>
      <c r="E195" s="53"/>
      <c r="F195" s="53"/>
      <c r="G195" s="372"/>
      <c r="H195" s="372"/>
      <c r="I195" s="379"/>
      <c r="J195" s="372"/>
      <c r="K195" s="373"/>
      <c r="L195" s="372"/>
      <c r="M195" s="372"/>
      <c r="N195" s="227"/>
      <c r="O195" s="227"/>
      <c r="P195" s="227"/>
      <c r="Q195" s="227"/>
      <c r="R195" s="227"/>
      <c r="S195" s="340"/>
      <c r="T195" s="226"/>
      <c r="U195" s="53"/>
      <c r="V195" s="53"/>
      <c r="W195" s="53"/>
      <c r="X195" s="53"/>
    </row>
    <row r="196" spans="1:24" ht="15.75" hidden="1" customHeight="1" outlineLevel="1">
      <c r="A196" s="69"/>
      <c r="B196" s="69">
        <v>46019</v>
      </c>
      <c r="C196" s="70" t="str">
        <f t="shared" si="4"/>
        <v>domingo</v>
      </c>
      <c r="D196" s="55">
        <f>SUMIFS('📋 Despesas'!K:K,'📋 Despesas'!N:N,B196)</f>
        <v>0</v>
      </c>
      <c r="E196" s="53"/>
      <c r="F196" s="53"/>
      <c r="G196" s="372"/>
      <c r="H196" s="372"/>
      <c r="I196" s="379"/>
      <c r="J196" s="372"/>
      <c r="K196" s="373"/>
      <c r="L196" s="372"/>
      <c r="M196" s="372"/>
      <c r="N196" s="227"/>
      <c r="O196" s="227"/>
      <c r="P196" s="227"/>
      <c r="Q196" s="227"/>
      <c r="R196" s="227"/>
      <c r="S196" s="340"/>
      <c r="T196" s="226"/>
      <c r="U196" s="53"/>
      <c r="V196" s="53"/>
      <c r="W196" s="53"/>
      <c r="X196" s="53"/>
    </row>
    <row r="197" spans="1:24" ht="15.75" hidden="1" customHeight="1" outlineLevel="1">
      <c r="A197" s="69"/>
      <c r="B197" s="69">
        <v>46020</v>
      </c>
      <c r="C197" s="70" t="str">
        <f t="shared" si="4"/>
        <v>segunda-feira</v>
      </c>
      <c r="D197" s="55">
        <f>SUMIFS('📋 Despesas'!K:K,'📋 Despesas'!N:N,B197)</f>
        <v>0</v>
      </c>
      <c r="E197" s="53"/>
      <c r="F197" s="53"/>
      <c r="G197" s="372"/>
      <c r="H197" s="372"/>
      <c r="I197" s="379"/>
      <c r="J197" s="372"/>
      <c r="K197" s="373"/>
      <c r="L197" s="372"/>
      <c r="M197" s="372"/>
      <c r="N197" s="227"/>
      <c r="O197" s="227"/>
      <c r="P197" s="227"/>
      <c r="Q197" s="227"/>
      <c r="R197" s="227"/>
      <c r="S197" s="340"/>
      <c r="T197" s="226"/>
      <c r="U197" s="53"/>
      <c r="V197" s="53"/>
      <c r="W197" s="53"/>
      <c r="X197" s="53"/>
    </row>
    <row r="198" spans="1:24" ht="15.75" hidden="1" customHeight="1" outlineLevel="1">
      <c r="A198" s="69"/>
      <c r="B198" s="69">
        <v>46021</v>
      </c>
      <c r="C198" s="70" t="str">
        <f t="shared" si="4"/>
        <v>terça-feira</v>
      </c>
      <c r="D198" s="55">
        <f>SUMIFS('📋 Despesas'!K:K,'📋 Despesas'!N:N,B198)</f>
        <v>0</v>
      </c>
      <c r="E198" s="53"/>
      <c r="F198" s="53"/>
      <c r="G198" s="372"/>
      <c r="H198" s="372"/>
      <c r="I198" s="379"/>
      <c r="J198" s="372"/>
      <c r="K198" s="373"/>
      <c r="L198" s="372"/>
      <c r="M198" s="372"/>
      <c r="N198" s="227"/>
      <c r="O198" s="227"/>
      <c r="P198" s="227"/>
      <c r="Q198" s="227"/>
      <c r="R198" s="227"/>
      <c r="S198" s="340"/>
      <c r="T198" s="226"/>
      <c r="U198" s="53"/>
      <c r="V198" s="53"/>
      <c r="W198" s="53"/>
      <c r="X198" s="53"/>
    </row>
    <row r="199" spans="1:24" ht="15.75" hidden="1" customHeight="1" outlineLevel="1">
      <c r="A199" s="69"/>
      <c r="B199" s="69">
        <v>46022</v>
      </c>
      <c r="C199" s="70" t="str">
        <f t="shared" si="4"/>
        <v>quarta-feira</v>
      </c>
      <c r="D199" s="55">
        <f>SUMIFS('📋 Despesas'!K:K,'📋 Despesas'!N:N,B199)</f>
        <v>0</v>
      </c>
      <c r="E199" s="53"/>
      <c r="F199" s="53"/>
      <c r="G199" s="372"/>
      <c r="H199" s="372"/>
      <c r="I199" s="379"/>
      <c r="J199" s="372"/>
      <c r="K199" s="373"/>
      <c r="L199" s="372"/>
      <c r="M199" s="372"/>
      <c r="N199" s="227"/>
      <c r="O199" s="227"/>
      <c r="P199" s="227"/>
      <c r="Q199" s="227"/>
      <c r="R199" s="227"/>
      <c r="S199" s="340"/>
      <c r="T199" s="226"/>
      <c r="U199" s="53"/>
      <c r="V199" s="53"/>
      <c r="W199" s="53"/>
      <c r="X199" s="53"/>
    </row>
    <row r="200" spans="1:24" ht="15.75" hidden="1" customHeight="1" outlineLevel="1">
      <c r="A200" s="69"/>
      <c r="B200" s="69">
        <v>46023</v>
      </c>
      <c r="C200" s="70" t="str">
        <f t="shared" si="4"/>
        <v>quinta-feira</v>
      </c>
      <c r="D200" s="55">
        <f>SUMIFS('📋 Despesas'!K:K,'📋 Despesas'!N:N,B200)</f>
        <v>0</v>
      </c>
      <c r="E200" s="53"/>
      <c r="F200" s="53"/>
      <c r="G200" s="372"/>
      <c r="H200" s="372"/>
      <c r="I200" s="379"/>
      <c r="J200" s="372"/>
      <c r="K200" s="373"/>
      <c r="L200" s="372"/>
      <c r="M200" s="372"/>
      <c r="N200" s="227"/>
      <c r="O200" s="227"/>
      <c r="P200" s="227"/>
      <c r="Q200" s="227"/>
      <c r="R200" s="227"/>
      <c r="S200" s="340"/>
      <c r="T200" s="226"/>
      <c r="U200" s="53"/>
      <c r="V200" s="53"/>
      <c r="W200" s="53"/>
      <c r="X200" s="53"/>
    </row>
    <row r="201" spans="1:24" ht="15.75" hidden="1" customHeight="1" outlineLevel="1">
      <c r="A201" s="69"/>
      <c r="B201" s="69">
        <v>46024</v>
      </c>
      <c r="C201" s="70" t="str">
        <f t="shared" si="4"/>
        <v>sexta-feira</v>
      </c>
      <c r="D201" s="55">
        <f>SUMIFS('📋 Despesas'!K:K,'📋 Despesas'!N:N,B201)</f>
        <v>0</v>
      </c>
      <c r="E201" s="53"/>
      <c r="F201" s="53"/>
      <c r="G201" s="372"/>
      <c r="H201" s="372"/>
      <c r="I201" s="379"/>
      <c r="J201" s="372"/>
      <c r="K201" s="373"/>
      <c r="L201" s="372"/>
      <c r="M201" s="372"/>
      <c r="N201" s="227"/>
      <c r="O201" s="227"/>
      <c r="P201" s="227"/>
      <c r="Q201" s="227"/>
      <c r="R201" s="227"/>
      <c r="S201" s="340"/>
      <c r="T201" s="226"/>
      <c r="U201" s="53"/>
      <c r="V201" s="53"/>
      <c r="W201" s="53"/>
      <c r="X201" s="53"/>
    </row>
    <row r="202" spans="1:24" ht="15.75" hidden="1" customHeight="1" outlineLevel="1">
      <c r="A202" s="69"/>
      <c r="B202" s="69">
        <v>46025</v>
      </c>
      <c r="C202" s="70" t="str">
        <f t="shared" si="4"/>
        <v>sábado</v>
      </c>
      <c r="D202" s="55">
        <f>SUMIFS('📋 Despesas'!K:K,'📋 Despesas'!N:N,B202)</f>
        <v>0</v>
      </c>
      <c r="E202" s="53"/>
      <c r="F202" s="53"/>
      <c r="G202" s="372"/>
      <c r="H202" s="372"/>
      <c r="I202" s="379"/>
      <c r="J202" s="372"/>
      <c r="K202" s="373"/>
      <c r="L202" s="372"/>
      <c r="M202" s="372"/>
      <c r="N202" s="227"/>
      <c r="O202" s="227"/>
      <c r="P202" s="227"/>
      <c r="Q202" s="227"/>
      <c r="R202" s="227"/>
      <c r="S202" s="340"/>
      <c r="T202" s="226"/>
      <c r="U202" s="53"/>
      <c r="V202" s="53"/>
      <c r="W202" s="53"/>
      <c r="X202" s="53"/>
    </row>
    <row r="203" spans="1:24" ht="15.75" hidden="1" customHeight="1" outlineLevel="1">
      <c r="A203" s="69"/>
      <c r="B203" s="69">
        <v>46026</v>
      </c>
      <c r="C203" s="70" t="str">
        <f t="shared" si="4"/>
        <v>domingo</v>
      </c>
      <c r="D203" s="55">
        <f>SUMIFS('📋 Despesas'!K:K,'📋 Despesas'!N:N,B203)</f>
        <v>0</v>
      </c>
      <c r="E203" s="53"/>
      <c r="F203" s="53"/>
      <c r="G203" s="372"/>
      <c r="H203" s="372"/>
      <c r="I203" s="379"/>
      <c r="J203" s="372"/>
      <c r="K203" s="373"/>
      <c r="L203" s="372"/>
      <c r="M203" s="372"/>
      <c r="N203" s="227"/>
      <c r="O203" s="227"/>
      <c r="P203" s="227"/>
      <c r="Q203" s="227"/>
      <c r="R203" s="227"/>
      <c r="S203" s="340"/>
      <c r="T203" s="226"/>
      <c r="U203" s="53"/>
      <c r="V203" s="53"/>
      <c r="W203" s="53"/>
      <c r="X203" s="53"/>
    </row>
    <row r="204" spans="1:24" ht="15.75" hidden="1" customHeight="1" outlineLevel="1">
      <c r="A204" s="69"/>
      <c r="B204" s="69">
        <v>46027</v>
      </c>
      <c r="C204" s="70" t="str">
        <f t="shared" si="4"/>
        <v>segunda-feira</v>
      </c>
      <c r="D204" s="55">
        <f>SUMIFS('📋 Despesas'!K:K,'📋 Despesas'!N:N,B204)</f>
        <v>0</v>
      </c>
      <c r="E204" s="53"/>
      <c r="F204" s="53"/>
      <c r="G204" s="372"/>
      <c r="H204" s="372"/>
      <c r="I204" s="379"/>
      <c r="J204" s="372"/>
      <c r="K204" s="373"/>
      <c r="L204" s="372"/>
      <c r="M204" s="372"/>
      <c r="N204" s="227"/>
      <c r="O204" s="227"/>
      <c r="P204" s="227"/>
      <c r="Q204" s="227"/>
      <c r="R204" s="227"/>
      <c r="S204" s="340"/>
      <c r="T204" s="226"/>
      <c r="U204" s="53"/>
      <c r="V204" s="53"/>
      <c r="W204" s="53"/>
      <c r="X204" s="53"/>
    </row>
    <row r="205" spans="1:24" ht="15.75" hidden="1" customHeight="1" outlineLevel="1">
      <c r="A205" s="69"/>
      <c r="B205" s="69">
        <v>46028</v>
      </c>
      <c r="C205" s="70" t="str">
        <f t="shared" si="4"/>
        <v>terça-feira</v>
      </c>
      <c r="D205" s="55">
        <f>SUMIFS('📋 Despesas'!K:K,'📋 Despesas'!N:N,B205)</f>
        <v>0</v>
      </c>
      <c r="E205" s="53"/>
      <c r="F205" s="53"/>
      <c r="G205" s="372"/>
      <c r="H205" s="372"/>
      <c r="I205" s="379"/>
      <c r="J205" s="372"/>
      <c r="K205" s="373"/>
      <c r="L205" s="372"/>
      <c r="M205" s="372"/>
      <c r="N205" s="227"/>
      <c r="O205" s="227"/>
      <c r="P205" s="227"/>
      <c r="Q205" s="227"/>
      <c r="R205" s="227"/>
      <c r="S205" s="340"/>
      <c r="T205" s="226"/>
      <c r="U205" s="53"/>
      <c r="V205" s="53"/>
      <c r="W205" s="53"/>
      <c r="X205" s="53"/>
    </row>
    <row r="206" spans="1:24" ht="15.75" hidden="1" customHeight="1" outlineLevel="1">
      <c r="A206" s="69"/>
      <c r="B206" s="69">
        <v>46029</v>
      </c>
      <c r="C206" s="70" t="str">
        <f t="shared" si="4"/>
        <v>quarta-feira</v>
      </c>
      <c r="D206" s="55">
        <f>SUMIFS('📋 Despesas'!K:K,'📋 Despesas'!N:N,B206)</f>
        <v>0</v>
      </c>
      <c r="E206" s="53"/>
      <c r="F206" s="53"/>
      <c r="G206" s="372"/>
      <c r="H206" s="372"/>
      <c r="I206" s="379"/>
      <c r="J206" s="372"/>
      <c r="K206" s="373"/>
      <c r="L206" s="372"/>
      <c r="M206" s="372"/>
      <c r="N206" s="227"/>
      <c r="O206" s="227"/>
      <c r="P206" s="227"/>
      <c r="Q206" s="227"/>
      <c r="R206" s="227"/>
      <c r="S206" s="340"/>
      <c r="T206" s="226"/>
      <c r="U206" s="53"/>
      <c r="V206" s="53"/>
      <c r="W206" s="53"/>
      <c r="X206" s="53"/>
    </row>
    <row r="207" spans="1:24" ht="15.75" hidden="1" customHeight="1" outlineLevel="1">
      <c r="A207" s="69"/>
      <c r="B207" s="69">
        <v>46030</v>
      </c>
      <c r="C207" s="70" t="str">
        <f t="shared" si="4"/>
        <v>quinta-feira</v>
      </c>
      <c r="D207" s="55">
        <f>SUMIFS('📋 Despesas'!K:K,'📋 Despesas'!N:N,B207)</f>
        <v>0</v>
      </c>
      <c r="E207" s="53"/>
      <c r="F207" s="53"/>
      <c r="G207" s="372"/>
      <c r="H207" s="372"/>
      <c r="I207" s="379"/>
      <c r="J207" s="372"/>
      <c r="K207" s="373"/>
      <c r="L207" s="372"/>
      <c r="M207" s="372"/>
      <c r="N207" s="227"/>
      <c r="O207" s="227"/>
      <c r="P207" s="227"/>
      <c r="Q207" s="227"/>
      <c r="R207" s="227"/>
      <c r="S207" s="340"/>
      <c r="T207" s="226"/>
      <c r="U207" s="53"/>
      <c r="V207" s="53"/>
      <c r="W207" s="53"/>
      <c r="X207" s="53"/>
    </row>
    <row r="208" spans="1:24" ht="15.75" hidden="1" customHeight="1" outlineLevel="1">
      <c r="A208" s="69"/>
      <c r="B208" s="69">
        <v>46031</v>
      </c>
      <c r="C208" s="70" t="str">
        <f t="shared" si="4"/>
        <v>sexta-feira</v>
      </c>
      <c r="D208" s="55">
        <f>SUMIFS('📋 Despesas'!K:K,'📋 Despesas'!N:N,B208)</f>
        <v>0</v>
      </c>
      <c r="E208" s="53"/>
      <c r="F208" s="53"/>
      <c r="G208" s="372"/>
      <c r="H208" s="372"/>
      <c r="I208" s="379"/>
      <c r="J208" s="372"/>
      <c r="K208" s="373"/>
      <c r="L208" s="372"/>
      <c r="M208" s="372"/>
      <c r="N208" s="227"/>
      <c r="O208" s="227"/>
      <c r="P208" s="227"/>
      <c r="Q208" s="227"/>
      <c r="R208" s="227"/>
      <c r="S208" s="340"/>
      <c r="T208" s="226"/>
      <c r="U208" s="53"/>
      <c r="V208" s="53"/>
      <c r="W208" s="53"/>
      <c r="X208" s="53"/>
    </row>
    <row r="209" spans="1:24" ht="15.75" hidden="1" customHeight="1" outlineLevel="1">
      <c r="A209" s="69"/>
      <c r="B209" s="69">
        <v>46032</v>
      </c>
      <c r="C209" s="70" t="str">
        <f t="shared" ref="C209:C272" si="5">IF(B209&lt;&gt;"",TEXT(WEEKDAY(B209),"dddd"),"")</f>
        <v>sábado</v>
      </c>
      <c r="D209" s="55">
        <f>SUMIFS('📋 Despesas'!K:K,'📋 Despesas'!N:N,B209)</f>
        <v>0</v>
      </c>
      <c r="E209" s="53"/>
      <c r="F209" s="53"/>
      <c r="G209" s="372"/>
      <c r="H209" s="372"/>
      <c r="I209" s="379"/>
      <c r="J209" s="372"/>
      <c r="K209" s="373"/>
      <c r="L209" s="372"/>
      <c r="M209" s="372"/>
      <c r="N209" s="227"/>
      <c r="O209" s="227"/>
      <c r="P209" s="227"/>
      <c r="Q209" s="227"/>
      <c r="R209" s="227"/>
      <c r="S209" s="340"/>
      <c r="T209" s="226"/>
      <c r="U209" s="53"/>
      <c r="V209" s="53"/>
      <c r="W209" s="53"/>
      <c r="X209" s="53"/>
    </row>
    <row r="210" spans="1:24" ht="15.75" hidden="1" customHeight="1" outlineLevel="1">
      <c r="A210" s="69"/>
      <c r="B210" s="69">
        <v>46033</v>
      </c>
      <c r="C210" s="70" t="str">
        <f t="shared" si="5"/>
        <v>domingo</v>
      </c>
      <c r="D210" s="55">
        <f>SUMIFS('📋 Despesas'!K:K,'📋 Despesas'!N:N,B210)</f>
        <v>0</v>
      </c>
      <c r="E210" s="53"/>
      <c r="F210" s="53"/>
      <c r="G210" s="372"/>
      <c r="H210" s="372"/>
      <c r="I210" s="379"/>
      <c r="J210" s="372"/>
      <c r="K210" s="373"/>
      <c r="L210" s="372"/>
      <c r="M210" s="372"/>
      <c r="N210" s="227"/>
      <c r="O210" s="227"/>
      <c r="P210" s="227"/>
      <c r="Q210" s="227"/>
      <c r="R210" s="227"/>
      <c r="S210" s="340"/>
      <c r="T210" s="226"/>
      <c r="U210" s="53"/>
      <c r="V210" s="53"/>
      <c r="W210" s="53"/>
      <c r="X210" s="53"/>
    </row>
    <row r="211" spans="1:24" ht="15.75" hidden="1" customHeight="1" outlineLevel="1">
      <c r="A211" s="69"/>
      <c r="B211" s="69">
        <v>46034</v>
      </c>
      <c r="C211" s="70" t="str">
        <f t="shared" si="5"/>
        <v>segunda-feira</v>
      </c>
      <c r="D211" s="55">
        <f>SUMIFS('📋 Despesas'!K:K,'📋 Despesas'!N:N,B211)</f>
        <v>0</v>
      </c>
      <c r="E211" s="53"/>
      <c r="F211" s="53"/>
      <c r="G211" s="372"/>
      <c r="H211" s="372"/>
      <c r="I211" s="379"/>
      <c r="J211" s="372"/>
      <c r="K211" s="373"/>
      <c r="L211" s="372"/>
      <c r="M211" s="372"/>
      <c r="N211" s="227"/>
      <c r="O211" s="227"/>
      <c r="P211" s="227"/>
      <c r="Q211" s="227"/>
      <c r="R211" s="227"/>
      <c r="S211" s="340"/>
      <c r="T211" s="226"/>
      <c r="U211" s="53"/>
      <c r="V211" s="53"/>
      <c r="W211" s="53"/>
      <c r="X211" s="53"/>
    </row>
    <row r="212" spans="1:24" ht="15.75" hidden="1" customHeight="1" outlineLevel="1">
      <c r="A212" s="69"/>
      <c r="B212" s="69">
        <v>46035</v>
      </c>
      <c r="C212" s="70" t="str">
        <f t="shared" si="5"/>
        <v>terça-feira</v>
      </c>
      <c r="D212" s="55">
        <f>SUMIFS('📋 Despesas'!K:K,'📋 Despesas'!N:N,B212)</f>
        <v>0</v>
      </c>
      <c r="E212" s="53"/>
      <c r="F212" s="53"/>
      <c r="G212" s="372"/>
      <c r="H212" s="372"/>
      <c r="I212" s="379"/>
      <c r="J212" s="372"/>
      <c r="K212" s="373"/>
      <c r="L212" s="372"/>
      <c r="M212" s="372"/>
      <c r="N212" s="227"/>
      <c r="O212" s="227"/>
      <c r="P212" s="227"/>
      <c r="Q212" s="227"/>
      <c r="R212" s="227"/>
      <c r="S212" s="340"/>
      <c r="T212" s="226"/>
      <c r="U212" s="53"/>
      <c r="V212" s="53"/>
      <c r="W212" s="53"/>
      <c r="X212" s="53"/>
    </row>
    <row r="213" spans="1:24" ht="15.75" hidden="1" customHeight="1" outlineLevel="1">
      <c r="A213" s="69"/>
      <c r="B213" s="69">
        <v>46036</v>
      </c>
      <c r="C213" s="70" t="str">
        <f t="shared" si="5"/>
        <v>quarta-feira</v>
      </c>
      <c r="D213" s="55">
        <f>SUMIFS('📋 Despesas'!K:K,'📋 Despesas'!N:N,B213)</f>
        <v>0</v>
      </c>
      <c r="E213" s="53"/>
      <c r="F213" s="53"/>
      <c r="G213" s="372"/>
      <c r="H213" s="372"/>
      <c r="I213" s="379"/>
      <c r="J213" s="372"/>
      <c r="K213" s="373"/>
      <c r="L213" s="372"/>
      <c r="M213" s="372"/>
      <c r="N213" s="227"/>
      <c r="O213" s="227"/>
      <c r="P213" s="227"/>
      <c r="Q213" s="227"/>
      <c r="R213" s="227"/>
      <c r="S213" s="340"/>
      <c r="T213" s="226"/>
      <c r="U213" s="53"/>
      <c r="V213" s="53"/>
      <c r="W213" s="53"/>
      <c r="X213" s="53"/>
    </row>
    <row r="214" spans="1:24" ht="15.75" hidden="1" customHeight="1" outlineLevel="1">
      <c r="A214" s="69"/>
      <c r="B214" s="69">
        <v>46037</v>
      </c>
      <c r="C214" s="70" t="str">
        <f t="shared" si="5"/>
        <v>quinta-feira</v>
      </c>
      <c r="D214" s="55">
        <f>SUMIFS('📋 Despesas'!K:K,'📋 Despesas'!N:N,B214)</f>
        <v>0</v>
      </c>
      <c r="E214" s="53"/>
      <c r="F214" s="53"/>
      <c r="G214" s="372"/>
      <c r="H214" s="372"/>
      <c r="I214" s="379"/>
      <c r="J214" s="372"/>
      <c r="K214" s="373"/>
      <c r="L214" s="372"/>
      <c r="M214" s="372"/>
      <c r="N214" s="227"/>
      <c r="O214" s="227"/>
      <c r="P214" s="227"/>
      <c r="Q214" s="227"/>
      <c r="R214" s="227"/>
      <c r="S214" s="340"/>
      <c r="T214" s="226"/>
      <c r="U214" s="53"/>
      <c r="V214" s="53"/>
      <c r="W214" s="53"/>
      <c r="X214" s="53"/>
    </row>
    <row r="215" spans="1:24" ht="15.75" hidden="1" customHeight="1" outlineLevel="1">
      <c r="A215" s="69"/>
      <c r="B215" s="69">
        <v>46038</v>
      </c>
      <c r="C215" s="70" t="str">
        <f t="shared" si="5"/>
        <v>sexta-feira</v>
      </c>
      <c r="D215" s="55">
        <f>SUMIFS('📋 Despesas'!K:K,'📋 Despesas'!N:N,B215)</f>
        <v>0</v>
      </c>
      <c r="E215" s="53"/>
      <c r="F215" s="53"/>
      <c r="G215" s="372"/>
      <c r="H215" s="372"/>
      <c r="I215" s="379"/>
      <c r="J215" s="372"/>
      <c r="K215" s="373"/>
      <c r="L215" s="372"/>
      <c r="M215" s="372"/>
      <c r="N215" s="227"/>
      <c r="O215" s="227"/>
      <c r="P215" s="227"/>
      <c r="Q215" s="227"/>
      <c r="R215" s="227"/>
      <c r="S215" s="340"/>
      <c r="T215" s="226"/>
      <c r="U215" s="53"/>
      <c r="V215" s="53"/>
      <c r="W215" s="53"/>
      <c r="X215" s="53"/>
    </row>
    <row r="216" spans="1:24" ht="15.75" hidden="1" customHeight="1" outlineLevel="1">
      <c r="A216" s="69"/>
      <c r="B216" s="69">
        <v>46039</v>
      </c>
      <c r="C216" s="70" t="str">
        <f t="shared" si="5"/>
        <v>sábado</v>
      </c>
      <c r="D216" s="55">
        <f>SUMIFS('📋 Despesas'!K:K,'📋 Despesas'!N:N,B216)</f>
        <v>0</v>
      </c>
      <c r="E216" s="53"/>
      <c r="F216" s="53"/>
      <c r="G216" s="372"/>
      <c r="H216" s="372"/>
      <c r="I216" s="379"/>
      <c r="J216" s="372"/>
      <c r="K216" s="373"/>
      <c r="L216" s="372"/>
      <c r="M216" s="372"/>
      <c r="N216" s="227"/>
      <c r="O216" s="227"/>
      <c r="P216" s="227"/>
      <c r="Q216" s="227"/>
      <c r="R216" s="227"/>
      <c r="S216" s="340"/>
      <c r="T216" s="226"/>
      <c r="U216" s="53"/>
      <c r="V216" s="53"/>
      <c r="W216" s="53"/>
      <c r="X216" s="53"/>
    </row>
    <row r="217" spans="1:24" ht="15.75" hidden="1" customHeight="1" outlineLevel="1">
      <c r="A217" s="69"/>
      <c r="B217" s="69">
        <v>46040</v>
      </c>
      <c r="C217" s="70" t="str">
        <f t="shared" si="5"/>
        <v>domingo</v>
      </c>
      <c r="D217" s="55">
        <f>SUMIFS('📋 Despesas'!K:K,'📋 Despesas'!N:N,B217)</f>
        <v>0</v>
      </c>
      <c r="E217" s="53"/>
      <c r="F217" s="53"/>
      <c r="G217" s="372"/>
      <c r="H217" s="372"/>
      <c r="I217" s="379"/>
      <c r="J217" s="372"/>
      <c r="K217" s="373"/>
      <c r="L217" s="372"/>
      <c r="M217" s="372"/>
      <c r="N217" s="227"/>
      <c r="O217" s="227"/>
      <c r="P217" s="227"/>
      <c r="Q217" s="227"/>
      <c r="R217" s="227"/>
      <c r="S217" s="340"/>
      <c r="T217" s="226"/>
      <c r="U217" s="53"/>
      <c r="V217" s="53"/>
      <c r="W217" s="53"/>
      <c r="X217" s="53"/>
    </row>
    <row r="218" spans="1:24" ht="15.75" hidden="1" customHeight="1" outlineLevel="1">
      <c r="A218" s="69"/>
      <c r="B218" s="69">
        <v>46041</v>
      </c>
      <c r="C218" s="70" t="str">
        <f t="shared" si="5"/>
        <v>segunda-feira</v>
      </c>
      <c r="D218" s="55">
        <f>SUMIFS('📋 Despesas'!K:K,'📋 Despesas'!N:N,B218)</f>
        <v>0</v>
      </c>
      <c r="E218" s="53"/>
      <c r="F218" s="53"/>
      <c r="G218" s="372"/>
      <c r="H218" s="372"/>
      <c r="I218" s="379"/>
      <c r="J218" s="372"/>
      <c r="K218" s="373"/>
      <c r="L218" s="372"/>
      <c r="M218" s="372"/>
      <c r="N218" s="227"/>
      <c r="O218" s="227"/>
      <c r="P218" s="227"/>
      <c r="Q218" s="227"/>
      <c r="R218" s="227"/>
      <c r="S218" s="340"/>
      <c r="T218" s="226"/>
      <c r="U218" s="53"/>
      <c r="V218" s="53"/>
      <c r="W218" s="53"/>
      <c r="X218" s="53"/>
    </row>
    <row r="219" spans="1:24" ht="15.75" hidden="1" customHeight="1" outlineLevel="1">
      <c r="A219" s="69"/>
      <c r="B219" s="69">
        <v>46042</v>
      </c>
      <c r="C219" s="70" t="str">
        <f t="shared" si="5"/>
        <v>terça-feira</v>
      </c>
      <c r="D219" s="55">
        <f>SUMIFS('📋 Despesas'!K:K,'📋 Despesas'!N:N,B219)</f>
        <v>0</v>
      </c>
      <c r="E219" s="53"/>
      <c r="F219" s="53"/>
      <c r="G219" s="372"/>
      <c r="H219" s="372"/>
      <c r="I219" s="379"/>
      <c r="J219" s="372"/>
      <c r="K219" s="373"/>
      <c r="L219" s="372"/>
      <c r="M219" s="372"/>
      <c r="N219" s="227"/>
      <c r="O219" s="227"/>
      <c r="P219" s="227"/>
      <c r="Q219" s="227"/>
      <c r="R219" s="227"/>
      <c r="S219" s="340"/>
      <c r="T219" s="226"/>
      <c r="U219" s="53"/>
      <c r="V219" s="53"/>
      <c r="W219" s="53"/>
      <c r="X219" s="53"/>
    </row>
    <row r="220" spans="1:24" ht="15.75" hidden="1" customHeight="1" outlineLevel="1">
      <c r="A220" s="69"/>
      <c r="B220" s="69">
        <v>46043</v>
      </c>
      <c r="C220" s="70" t="str">
        <f t="shared" si="5"/>
        <v>quarta-feira</v>
      </c>
      <c r="D220" s="55">
        <f>SUMIFS('📋 Despesas'!K:K,'📋 Despesas'!N:N,B220)</f>
        <v>0</v>
      </c>
      <c r="E220" s="53"/>
      <c r="F220" s="53"/>
      <c r="G220" s="372"/>
      <c r="H220" s="372"/>
      <c r="I220" s="379"/>
      <c r="J220" s="372"/>
      <c r="K220" s="373"/>
      <c r="L220" s="372"/>
      <c r="M220" s="372"/>
      <c r="N220" s="227"/>
      <c r="O220" s="227"/>
      <c r="P220" s="227"/>
      <c r="Q220" s="227"/>
      <c r="R220" s="227"/>
      <c r="S220" s="340"/>
      <c r="T220" s="226"/>
      <c r="U220" s="53"/>
      <c r="V220" s="53"/>
      <c r="W220" s="53"/>
      <c r="X220" s="53"/>
    </row>
    <row r="221" spans="1:24" ht="15.75" hidden="1" customHeight="1" outlineLevel="1">
      <c r="A221" s="69"/>
      <c r="B221" s="69">
        <v>46044</v>
      </c>
      <c r="C221" s="70" t="str">
        <f t="shared" si="5"/>
        <v>quinta-feira</v>
      </c>
      <c r="D221" s="55">
        <f>SUMIFS('📋 Despesas'!K:K,'📋 Despesas'!N:N,B221)</f>
        <v>0</v>
      </c>
      <c r="E221" s="53"/>
      <c r="F221" s="53"/>
      <c r="G221" s="372"/>
      <c r="H221" s="372"/>
      <c r="I221" s="379"/>
      <c r="J221" s="372"/>
      <c r="K221" s="373"/>
      <c r="L221" s="372"/>
      <c r="M221" s="372"/>
      <c r="N221" s="227"/>
      <c r="O221" s="227"/>
      <c r="P221" s="227"/>
      <c r="Q221" s="227"/>
      <c r="R221" s="227"/>
      <c r="S221" s="340"/>
      <c r="T221" s="226"/>
      <c r="U221" s="53"/>
      <c r="V221" s="53"/>
      <c r="W221" s="53"/>
      <c r="X221" s="53"/>
    </row>
    <row r="222" spans="1:24" ht="15.75" hidden="1" customHeight="1" outlineLevel="1">
      <c r="A222" s="69"/>
      <c r="B222" s="69">
        <v>46045</v>
      </c>
      <c r="C222" s="70" t="str">
        <f t="shared" si="5"/>
        <v>sexta-feira</v>
      </c>
      <c r="D222" s="55">
        <f>SUMIFS('📋 Despesas'!K:K,'📋 Despesas'!N:N,B222)</f>
        <v>0</v>
      </c>
      <c r="E222" s="53"/>
      <c r="F222" s="53"/>
      <c r="G222" s="372"/>
      <c r="H222" s="372"/>
      <c r="I222" s="379"/>
      <c r="J222" s="372"/>
      <c r="K222" s="373"/>
      <c r="L222" s="372"/>
      <c r="M222" s="372"/>
      <c r="N222" s="227"/>
      <c r="O222" s="227"/>
      <c r="P222" s="227"/>
      <c r="Q222" s="227"/>
      <c r="R222" s="227"/>
      <c r="S222" s="340"/>
      <c r="T222" s="226"/>
      <c r="U222" s="53"/>
      <c r="V222" s="53"/>
      <c r="W222" s="53"/>
      <c r="X222" s="53"/>
    </row>
    <row r="223" spans="1:24" ht="15.75" hidden="1" customHeight="1" outlineLevel="1">
      <c r="A223" s="69"/>
      <c r="B223" s="69">
        <v>46046</v>
      </c>
      <c r="C223" s="70" t="str">
        <f t="shared" si="5"/>
        <v>sábado</v>
      </c>
      <c r="D223" s="55">
        <f>SUMIFS('📋 Despesas'!K:K,'📋 Despesas'!N:N,B223)</f>
        <v>0</v>
      </c>
      <c r="E223" s="53"/>
      <c r="F223" s="53"/>
      <c r="G223" s="372"/>
      <c r="H223" s="372"/>
      <c r="I223" s="379"/>
      <c r="J223" s="372"/>
      <c r="K223" s="373"/>
      <c r="L223" s="372"/>
      <c r="M223" s="372"/>
      <c r="N223" s="227"/>
      <c r="O223" s="227"/>
      <c r="P223" s="227"/>
      <c r="Q223" s="227"/>
      <c r="R223" s="227"/>
      <c r="S223" s="340"/>
      <c r="T223" s="226"/>
      <c r="U223" s="53"/>
      <c r="V223" s="53"/>
      <c r="W223" s="53"/>
      <c r="X223" s="53"/>
    </row>
    <row r="224" spans="1:24" ht="15.75" hidden="1" customHeight="1" outlineLevel="1">
      <c r="A224" s="69"/>
      <c r="B224" s="69">
        <v>46047</v>
      </c>
      <c r="C224" s="70" t="str">
        <f t="shared" si="5"/>
        <v>domingo</v>
      </c>
      <c r="D224" s="55">
        <f>SUMIFS('📋 Despesas'!K:K,'📋 Despesas'!N:N,B224)</f>
        <v>0</v>
      </c>
      <c r="E224" s="53"/>
      <c r="F224" s="53"/>
      <c r="G224" s="372"/>
      <c r="H224" s="372"/>
      <c r="I224" s="379"/>
      <c r="J224" s="372"/>
      <c r="K224" s="373"/>
      <c r="L224" s="372"/>
      <c r="M224" s="372"/>
      <c r="N224" s="227"/>
      <c r="O224" s="227"/>
      <c r="P224" s="227"/>
      <c r="Q224" s="227"/>
      <c r="R224" s="227"/>
      <c r="S224" s="340"/>
      <c r="T224" s="226"/>
      <c r="U224" s="53"/>
      <c r="V224" s="53"/>
      <c r="W224" s="53"/>
      <c r="X224" s="53"/>
    </row>
    <row r="225" spans="1:24" ht="15.75" hidden="1" customHeight="1" outlineLevel="1">
      <c r="A225" s="69"/>
      <c r="B225" s="69">
        <v>46048</v>
      </c>
      <c r="C225" s="70" t="str">
        <f t="shared" si="5"/>
        <v>segunda-feira</v>
      </c>
      <c r="D225" s="55">
        <f>SUMIFS('📋 Despesas'!K:K,'📋 Despesas'!N:N,B225)</f>
        <v>0</v>
      </c>
      <c r="E225" s="53"/>
      <c r="F225" s="53"/>
      <c r="G225" s="372"/>
      <c r="H225" s="372"/>
      <c r="I225" s="379"/>
      <c r="J225" s="372"/>
      <c r="K225" s="373"/>
      <c r="L225" s="372"/>
      <c r="M225" s="372"/>
      <c r="N225" s="227"/>
      <c r="O225" s="227"/>
      <c r="P225" s="227"/>
      <c r="Q225" s="227"/>
      <c r="R225" s="227"/>
      <c r="S225" s="340"/>
      <c r="T225" s="226"/>
      <c r="U225" s="53"/>
      <c r="V225" s="53"/>
      <c r="W225" s="53"/>
      <c r="X225" s="53"/>
    </row>
    <row r="226" spans="1:24" ht="15.75" hidden="1" customHeight="1" outlineLevel="1">
      <c r="A226" s="69"/>
      <c r="B226" s="69">
        <v>46049</v>
      </c>
      <c r="C226" s="70" t="str">
        <f t="shared" si="5"/>
        <v>terça-feira</v>
      </c>
      <c r="D226" s="55">
        <f>SUMIFS('📋 Despesas'!K:K,'📋 Despesas'!N:N,B226)</f>
        <v>0</v>
      </c>
      <c r="E226" s="53"/>
      <c r="F226" s="53"/>
      <c r="G226" s="372"/>
      <c r="H226" s="372"/>
      <c r="I226" s="379"/>
      <c r="J226" s="372"/>
      <c r="K226" s="373"/>
      <c r="L226" s="372"/>
      <c r="M226" s="372"/>
      <c r="N226" s="227"/>
      <c r="O226" s="227"/>
      <c r="P226" s="227"/>
      <c r="Q226" s="227"/>
      <c r="R226" s="227"/>
      <c r="S226" s="340"/>
      <c r="T226" s="226"/>
      <c r="U226" s="53"/>
      <c r="V226" s="53"/>
      <c r="W226" s="53"/>
      <c r="X226" s="53"/>
    </row>
    <row r="227" spans="1:24" ht="15.75" hidden="1" customHeight="1" outlineLevel="1">
      <c r="A227" s="69"/>
      <c r="B227" s="69">
        <v>46050</v>
      </c>
      <c r="C227" s="70" t="str">
        <f t="shared" si="5"/>
        <v>quarta-feira</v>
      </c>
      <c r="D227" s="55">
        <f>SUMIFS('📋 Despesas'!K:K,'📋 Despesas'!N:N,B227)</f>
        <v>0</v>
      </c>
      <c r="E227" s="53"/>
      <c r="F227" s="53"/>
      <c r="G227" s="372"/>
      <c r="H227" s="372"/>
      <c r="I227" s="379"/>
      <c r="J227" s="372"/>
      <c r="K227" s="373"/>
      <c r="L227" s="372"/>
      <c r="M227" s="372"/>
      <c r="N227" s="227"/>
      <c r="O227" s="227"/>
      <c r="P227" s="227"/>
      <c r="Q227" s="227"/>
      <c r="R227" s="227"/>
      <c r="S227" s="340"/>
      <c r="T227" s="226"/>
      <c r="U227" s="53"/>
      <c r="V227" s="53"/>
      <c r="W227" s="53"/>
      <c r="X227" s="53"/>
    </row>
    <row r="228" spans="1:24" ht="15.75" hidden="1" customHeight="1" outlineLevel="1">
      <c r="A228" s="69"/>
      <c r="B228" s="69">
        <v>46051</v>
      </c>
      <c r="C228" s="70" t="str">
        <f t="shared" si="5"/>
        <v>quinta-feira</v>
      </c>
      <c r="D228" s="55">
        <f>SUMIFS('📋 Despesas'!K:K,'📋 Despesas'!N:N,B228)</f>
        <v>0</v>
      </c>
      <c r="E228" s="53"/>
      <c r="F228" s="53"/>
      <c r="G228" s="372"/>
      <c r="H228" s="372"/>
      <c r="I228" s="379"/>
      <c r="J228" s="372"/>
      <c r="K228" s="373"/>
      <c r="L228" s="372"/>
      <c r="M228" s="372"/>
      <c r="N228" s="227"/>
      <c r="O228" s="227"/>
      <c r="P228" s="228"/>
      <c r="Q228" s="228"/>
      <c r="R228" s="228"/>
      <c r="S228" s="341"/>
      <c r="T228" s="309"/>
      <c r="U228" s="71"/>
      <c r="V228" s="71"/>
      <c r="W228" s="53"/>
      <c r="X228" s="53"/>
    </row>
    <row r="229" spans="1:24" ht="15.75" hidden="1" customHeight="1" outlineLevel="1">
      <c r="A229" s="69"/>
      <c r="B229" s="69">
        <v>46052</v>
      </c>
      <c r="C229" s="70" t="str">
        <f t="shared" si="5"/>
        <v>sexta-feira</v>
      </c>
      <c r="D229" s="55">
        <f>SUMIFS('📋 Despesas'!K:K,'📋 Despesas'!N:N,B229)</f>
        <v>0</v>
      </c>
      <c r="E229" s="53"/>
      <c r="F229" s="53"/>
      <c r="G229" s="372"/>
      <c r="H229" s="372"/>
      <c r="I229" s="379"/>
      <c r="J229" s="372"/>
      <c r="K229" s="373"/>
      <c r="L229" s="372"/>
      <c r="M229" s="372"/>
      <c r="N229" s="227"/>
      <c r="O229" s="227"/>
      <c r="P229" s="229"/>
      <c r="Q229" s="228"/>
      <c r="R229" s="229"/>
      <c r="S229" s="341"/>
      <c r="T229" s="309"/>
      <c r="U229" s="71"/>
      <c r="V229" s="71"/>
      <c r="W229" s="70"/>
      <c r="X229" s="53"/>
    </row>
    <row r="230" spans="1:24" ht="15.75" hidden="1" customHeight="1" outlineLevel="1">
      <c r="A230" s="69"/>
      <c r="B230" s="69">
        <v>46053</v>
      </c>
      <c r="C230" s="70" t="str">
        <f t="shared" si="5"/>
        <v>sábado</v>
      </c>
      <c r="D230" s="55">
        <f>SUMIFS('📋 Despesas'!K:K,'📋 Despesas'!N:N,B230)</f>
        <v>0</v>
      </c>
      <c r="E230" s="53"/>
      <c r="F230" s="53"/>
      <c r="G230" s="372"/>
      <c r="H230" s="372"/>
      <c r="I230" s="379"/>
      <c r="J230" s="372"/>
      <c r="K230" s="373"/>
      <c r="L230" s="372"/>
      <c r="M230" s="372"/>
      <c r="N230" s="227"/>
      <c r="O230" s="227"/>
      <c r="P230" s="229"/>
      <c r="Q230" s="228"/>
      <c r="R230" s="229"/>
      <c r="S230" s="341"/>
      <c r="T230" s="309"/>
      <c r="U230" s="71"/>
      <c r="V230" s="71"/>
      <c r="W230" s="70"/>
      <c r="X230" s="53"/>
    </row>
    <row r="231" spans="1:24" ht="15.75" hidden="1" customHeight="1" outlineLevel="1">
      <c r="A231" s="69"/>
      <c r="B231" s="69">
        <v>46054</v>
      </c>
      <c r="C231" s="70" t="str">
        <f t="shared" si="5"/>
        <v>domingo</v>
      </c>
      <c r="D231" s="55">
        <f>SUMIFS('📋 Despesas'!K:K,'📋 Despesas'!N:N,B231)</f>
        <v>0</v>
      </c>
      <c r="E231" s="53"/>
      <c r="F231" s="53"/>
      <c r="G231" s="372"/>
      <c r="H231" s="372"/>
      <c r="I231" s="379"/>
      <c r="J231" s="372"/>
      <c r="K231" s="373"/>
      <c r="L231" s="372"/>
      <c r="M231" s="372"/>
      <c r="N231" s="227"/>
      <c r="O231" s="227"/>
      <c r="P231" s="229"/>
      <c r="Q231" s="228"/>
      <c r="R231" s="229"/>
      <c r="S231" s="341"/>
      <c r="T231" s="309"/>
      <c r="U231" s="71"/>
      <c r="V231" s="71"/>
      <c r="W231" s="70"/>
      <c r="X231" s="53"/>
    </row>
    <row r="232" spans="1:24" ht="15.75" hidden="1" customHeight="1" outlineLevel="1">
      <c r="A232" s="69"/>
      <c r="B232" s="69">
        <v>46055</v>
      </c>
      <c r="C232" s="70" t="str">
        <f t="shared" si="5"/>
        <v>segunda-feira</v>
      </c>
      <c r="D232" s="55">
        <f>SUMIFS('📋 Despesas'!K:K,'📋 Despesas'!N:N,B232)</f>
        <v>0</v>
      </c>
      <c r="E232" s="53"/>
      <c r="F232" s="53"/>
      <c r="G232" s="372"/>
      <c r="H232" s="372"/>
      <c r="I232" s="379"/>
      <c r="J232" s="372"/>
      <c r="K232" s="373"/>
      <c r="L232" s="372"/>
      <c r="M232" s="372"/>
      <c r="N232" s="227"/>
      <c r="O232" s="227"/>
      <c r="P232" s="229"/>
      <c r="Q232" s="228"/>
      <c r="R232" s="229"/>
      <c r="S232" s="341"/>
      <c r="T232" s="309"/>
      <c r="U232" s="71"/>
      <c r="V232" s="71"/>
      <c r="W232" s="70"/>
      <c r="X232" s="53"/>
    </row>
    <row r="233" spans="1:24" ht="15.75" hidden="1" customHeight="1" outlineLevel="1">
      <c r="A233" s="69"/>
      <c r="B233" s="69">
        <v>46056</v>
      </c>
      <c r="C233" s="70" t="str">
        <f t="shared" si="5"/>
        <v>terça-feira</v>
      </c>
      <c r="D233" s="55">
        <f>SUMIFS('📋 Despesas'!K:K,'📋 Despesas'!N:N,B233)</f>
        <v>0</v>
      </c>
      <c r="E233" s="53"/>
      <c r="F233" s="53"/>
      <c r="G233" s="372"/>
      <c r="H233" s="372"/>
      <c r="I233" s="379"/>
      <c r="J233" s="372"/>
      <c r="K233" s="373"/>
      <c r="L233" s="372"/>
      <c r="M233" s="372"/>
      <c r="N233" s="227"/>
      <c r="O233" s="227"/>
      <c r="P233" s="229"/>
      <c r="Q233" s="228"/>
      <c r="R233" s="229"/>
      <c r="S233" s="341"/>
      <c r="T233" s="309"/>
      <c r="U233" s="71"/>
      <c r="V233" s="71"/>
      <c r="W233" s="70"/>
      <c r="X233" s="53"/>
    </row>
    <row r="234" spans="1:24" ht="15.75" hidden="1" customHeight="1" outlineLevel="1">
      <c r="A234" s="69"/>
      <c r="B234" s="69">
        <v>46057</v>
      </c>
      <c r="C234" s="70" t="str">
        <f t="shared" si="5"/>
        <v>quarta-feira</v>
      </c>
      <c r="D234" s="55">
        <f>SUMIFS('📋 Despesas'!K:K,'📋 Despesas'!N:N,B234)</f>
        <v>0</v>
      </c>
      <c r="E234" s="53"/>
      <c r="F234" s="53"/>
      <c r="G234" s="372"/>
      <c r="H234" s="372"/>
      <c r="I234" s="379"/>
      <c r="J234" s="372"/>
      <c r="K234" s="373"/>
      <c r="L234" s="372"/>
      <c r="M234" s="372"/>
      <c r="N234" s="227"/>
      <c r="O234" s="227"/>
      <c r="P234" s="229"/>
      <c r="Q234" s="228"/>
      <c r="R234" s="229"/>
      <c r="S234" s="341"/>
      <c r="T234" s="309"/>
      <c r="U234" s="71"/>
      <c r="V234" s="71"/>
      <c r="W234" s="70"/>
      <c r="X234" s="53"/>
    </row>
    <row r="235" spans="1:24" ht="15.75" hidden="1" customHeight="1" outlineLevel="1">
      <c r="A235" s="69"/>
      <c r="B235" s="69">
        <v>46058</v>
      </c>
      <c r="C235" s="70" t="str">
        <f t="shared" si="5"/>
        <v>quinta-feira</v>
      </c>
      <c r="D235" s="55">
        <f>SUMIFS('📋 Despesas'!K:K,'📋 Despesas'!N:N,B235)</f>
        <v>0</v>
      </c>
      <c r="E235" s="53"/>
      <c r="F235" s="53"/>
      <c r="G235" s="372"/>
      <c r="H235" s="372"/>
      <c r="I235" s="379"/>
      <c r="J235" s="372"/>
      <c r="K235" s="373"/>
      <c r="L235" s="372"/>
      <c r="M235" s="372"/>
      <c r="N235" s="227"/>
      <c r="O235" s="227"/>
      <c r="P235" s="229"/>
      <c r="Q235" s="228"/>
      <c r="R235" s="229"/>
      <c r="S235" s="341"/>
      <c r="T235" s="309"/>
      <c r="U235" s="72"/>
      <c r="V235" s="71"/>
      <c r="W235" s="70"/>
      <c r="X235" s="53"/>
    </row>
    <row r="236" spans="1:24" ht="15.75" hidden="1" customHeight="1" outlineLevel="1">
      <c r="A236" s="69"/>
      <c r="B236" s="69">
        <v>46059</v>
      </c>
      <c r="C236" s="70" t="str">
        <f t="shared" si="5"/>
        <v>sexta-feira</v>
      </c>
      <c r="D236" s="55">
        <f>SUMIFS('📋 Despesas'!K:K,'📋 Despesas'!N:N,B236)</f>
        <v>0</v>
      </c>
      <c r="E236" s="53"/>
      <c r="F236" s="53"/>
      <c r="G236" s="372"/>
      <c r="H236" s="372"/>
      <c r="I236" s="379"/>
      <c r="J236" s="372"/>
      <c r="K236" s="373"/>
      <c r="L236" s="372"/>
      <c r="M236" s="372"/>
      <c r="N236" s="227"/>
      <c r="O236" s="227"/>
      <c r="P236" s="229"/>
      <c r="Q236" s="228"/>
      <c r="R236" s="229"/>
      <c r="S236" s="341"/>
      <c r="T236" s="309"/>
      <c r="U236" s="72"/>
      <c r="V236" s="71"/>
      <c r="W236" s="70"/>
      <c r="X236" s="53"/>
    </row>
    <row r="237" spans="1:24" ht="15.75" hidden="1" customHeight="1" outlineLevel="1">
      <c r="A237" s="69"/>
      <c r="B237" s="69">
        <v>46060</v>
      </c>
      <c r="C237" s="70" t="str">
        <f t="shared" si="5"/>
        <v>sábado</v>
      </c>
      <c r="D237" s="55">
        <f>SUMIFS('📋 Despesas'!K:K,'📋 Despesas'!N:N,B237)</f>
        <v>0</v>
      </c>
      <c r="E237" s="53"/>
      <c r="F237" s="53"/>
      <c r="G237" s="372"/>
      <c r="H237" s="372"/>
      <c r="I237" s="379"/>
      <c r="J237" s="372"/>
      <c r="K237" s="373"/>
      <c r="L237" s="372"/>
      <c r="M237" s="372"/>
      <c r="N237" s="227"/>
      <c r="O237" s="227"/>
      <c r="P237" s="230"/>
      <c r="Q237" s="230"/>
      <c r="R237" s="230"/>
      <c r="S237" s="341"/>
      <c r="T237" s="309"/>
      <c r="U237" s="231"/>
      <c r="V237" s="231"/>
      <c r="W237" s="70"/>
      <c r="X237" s="53"/>
    </row>
    <row r="238" spans="1:24" ht="15.75" hidden="1" customHeight="1" outlineLevel="1">
      <c r="A238" s="69"/>
      <c r="B238" s="69">
        <v>46061</v>
      </c>
      <c r="C238" s="70" t="str">
        <f t="shared" si="5"/>
        <v>domingo</v>
      </c>
      <c r="D238" s="55">
        <f>SUMIFS('📋 Despesas'!K:K,'📋 Despesas'!N:N,B238)</f>
        <v>0</v>
      </c>
      <c r="E238" s="53"/>
      <c r="F238" s="53"/>
      <c r="G238" s="372"/>
      <c r="H238" s="372"/>
      <c r="I238" s="379"/>
      <c r="J238" s="372"/>
      <c r="K238" s="373"/>
      <c r="L238" s="372"/>
      <c r="M238" s="372"/>
      <c r="N238" s="227"/>
      <c r="O238" s="227"/>
      <c r="P238" s="229"/>
      <c r="Q238" s="227"/>
      <c r="R238" s="227"/>
      <c r="S238" s="340"/>
      <c r="T238" s="226"/>
      <c r="U238" s="53"/>
      <c r="V238" s="53"/>
      <c r="W238" s="53"/>
      <c r="X238" s="53"/>
    </row>
    <row r="239" spans="1:24" ht="15.75" hidden="1" customHeight="1" outlineLevel="1">
      <c r="A239" s="69"/>
      <c r="B239" s="69">
        <v>46062</v>
      </c>
      <c r="C239" s="70" t="str">
        <f t="shared" si="5"/>
        <v>segunda-feira</v>
      </c>
      <c r="D239" s="55">
        <f>SUMIFS('📋 Despesas'!K:K,'📋 Despesas'!N:N,B239)</f>
        <v>0</v>
      </c>
      <c r="E239" s="53"/>
      <c r="F239" s="53"/>
      <c r="G239" s="372"/>
      <c r="H239" s="372"/>
      <c r="I239" s="379"/>
      <c r="J239" s="372"/>
      <c r="K239" s="373"/>
      <c r="L239" s="372"/>
      <c r="M239" s="372"/>
      <c r="N239" s="227"/>
      <c r="O239" s="227"/>
      <c r="P239" s="229"/>
      <c r="Q239" s="227"/>
      <c r="R239" s="227"/>
      <c r="S239" s="340"/>
      <c r="T239" s="226"/>
      <c r="U239" s="53"/>
      <c r="V239" s="53"/>
      <c r="W239" s="53"/>
      <c r="X239" s="53"/>
    </row>
    <row r="240" spans="1:24" ht="15.75" hidden="1" customHeight="1" outlineLevel="1">
      <c r="A240" s="69"/>
      <c r="B240" s="69">
        <v>46063</v>
      </c>
      <c r="C240" s="70" t="str">
        <f t="shared" si="5"/>
        <v>terça-feira</v>
      </c>
      <c r="D240" s="55">
        <f>SUMIFS('📋 Despesas'!K:K,'📋 Despesas'!N:N,B240)</f>
        <v>0</v>
      </c>
      <c r="E240" s="53"/>
      <c r="F240" s="53"/>
      <c r="G240" s="372"/>
      <c r="H240" s="372"/>
      <c r="I240" s="379"/>
      <c r="J240" s="372"/>
      <c r="K240" s="373"/>
      <c r="L240" s="372"/>
      <c r="M240" s="372"/>
      <c r="N240" s="227"/>
      <c r="O240" s="227"/>
      <c r="P240" s="229"/>
      <c r="Q240" s="227"/>
      <c r="R240" s="227"/>
      <c r="S240" s="340"/>
      <c r="T240" s="226"/>
      <c r="U240" s="53"/>
      <c r="V240" s="53"/>
      <c r="W240" s="53"/>
      <c r="X240" s="53"/>
    </row>
    <row r="241" spans="1:24" ht="15.75" hidden="1" customHeight="1" outlineLevel="1">
      <c r="A241" s="69"/>
      <c r="B241" s="69">
        <v>46064</v>
      </c>
      <c r="C241" s="70" t="str">
        <f t="shared" si="5"/>
        <v>quarta-feira</v>
      </c>
      <c r="D241" s="55">
        <f>SUMIFS('📋 Despesas'!K:K,'📋 Despesas'!N:N,B241)</f>
        <v>0</v>
      </c>
      <c r="E241" s="53"/>
      <c r="F241" s="53"/>
      <c r="G241" s="372"/>
      <c r="H241" s="372"/>
      <c r="I241" s="379"/>
      <c r="J241" s="372"/>
      <c r="K241" s="373"/>
      <c r="L241" s="372"/>
      <c r="M241" s="372"/>
      <c r="N241" s="227"/>
      <c r="O241" s="227"/>
      <c r="P241" s="229"/>
      <c r="Q241" s="227"/>
      <c r="R241" s="227"/>
      <c r="S241" s="340"/>
      <c r="T241" s="226"/>
      <c r="U241" s="53"/>
      <c r="V241" s="53"/>
      <c r="W241" s="53"/>
      <c r="X241" s="53"/>
    </row>
    <row r="242" spans="1:24" ht="15.75" hidden="1" customHeight="1" outlineLevel="1">
      <c r="A242" s="69"/>
      <c r="B242" s="69">
        <v>46065</v>
      </c>
      <c r="C242" s="70" t="str">
        <f t="shared" si="5"/>
        <v>quinta-feira</v>
      </c>
      <c r="D242" s="55">
        <f>SUMIFS('📋 Despesas'!K:K,'📋 Despesas'!N:N,B242)</f>
        <v>0</v>
      </c>
      <c r="E242" s="53"/>
      <c r="F242" s="53"/>
      <c r="G242" s="372"/>
      <c r="H242" s="372"/>
      <c r="I242" s="379"/>
      <c r="J242" s="372"/>
      <c r="K242" s="373"/>
      <c r="L242" s="372"/>
      <c r="M242" s="372"/>
      <c r="N242" s="227"/>
      <c r="O242" s="227"/>
      <c r="P242" s="229"/>
      <c r="Q242" s="227"/>
      <c r="R242" s="227"/>
      <c r="S242" s="340"/>
      <c r="T242" s="226"/>
      <c r="U242" s="53"/>
      <c r="V242" s="53"/>
      <c r="W242" s="53"/>
      <c r="X242" s="53"/>
    </row>
    <row r="243" spans="1:24" ht="15.75" hidden="1" customHeight="1" outlineLevel="1">
      <c r="A243" s="69"/>
      <c r="B243" s="69">
        <v>46066</v>
      </c>
      <c r="C243" s="70" t="str">
        <f t="shared" si="5"/>
        <v>sexta-feira</v>
      </c>
      <c r="D243" s="55">
        <f>SUMIFS('📋 Despesas'!K:K,'📋 Despesas'!N:N,B243)</f>
        <v>0</v>
      </c>
      <c r="E243" s="53"/>
      <c r="F243" s="53"/>
      <c r="G243" s="372"/>
      <c r="H243" s="372"/>
      <c r="I243" s="379"/>
      <c r="J243" s="372"/>
      <c r="K243" s="373"/>
      <c r="L243" s="372"/>
      <c r="M243" s="372"/>
      <c r="N243" s="227"/>
      <c r="O243" s="227"/>
      <c r="P243" s="229"/>
      <c r="Q243" s="227"/>
      <c r="R243" s="227"/>
      <c r="S243" s="340"/>
      <c r="T243" s="226"/>
      <c r="U243" s="53"/>
      <c r="V243" s="53"/>
      <c r="W243" s="53"/>
      <c r="X243" s="53"/>
    </row>
    <row r="244" spans="1:24" ht="15.75" hidden="1" customHeight="1" outlineLevel="1">
      <c r="A244" s="69"/>
      <c r="B244" s="69">
        <v>46067</v>
      </c>
      <c r="C244" s="70" t="str">
        <f t="shared" si="5"/>
        <v>sábado</v>
      </c>
      <c r="D244" s="55">
        <f>SUMIFS('📋 Despesas'!K:K,'📋 Despesas'!N:N,B244)</f>
        <v>0</v>
      </c>
      <c r="E244" s="53"/>
      <c r="F244" s="53"/>
      <c r="G244" s="372"/>
      <c r="H244" s="372"/>
      <c r="I244" s="379"/>
      <c r="J244" s="372"/>
      <c r="K244" s="373"/>
      <c r="L244" s="372"/>
      <c r="M244" s="372"/>
      <c r="N244" s="227"/>
      <c r="O244" s="227"/>
      <c r="P244" s="229"/>
      <c r="Q244" s="227"/>
      <c r="R244" s="227"/>
      <c r="S244" s="340"/>
      <c r="T244" s="226"/>
      <c r="U244" s="53"/>
      <c r="V244" s="53"/>
      <c r="W244" s="53"/>
      <c r="X244" s="53"/>
    </row>
    <row r="245" spans="1:24" ht="15.75" hidden="1" customHeight="1" outlineLevel="1">
      <c r="A245" s="69"/>
      <c r="B245" s="69">
        <v>46068</v>
      </c>
      <c r="C245" s="70" t="str">
        <f t="shared" si="5"/>
        <v>domingo</v>
      </c>
      <c r="D245" s="55">
        <f>SUMIFS('📋 Despesas'!K:K,'📋 Despesas'!N:N,B245)</f>
        <v>0</v>
      </c>
      <c r="E245" s="53"/>
      <c r="F245" s="53"/>
      <c r="G245" s="372"/>
      <c r="H245" s="372"/>
      <c r="I245" s="379"/>
      <c r="J245" s="372"/>
      <c r="K245" s="373"/>
      <c r="L245" s="372"/>
      <c r="M245" s="372"/>
      <c r="N245" s="227"/>
      <c r="O245" s="227"/>
      <c r="P245" s="229"/>
      <c r="Q245" s="227"/>
      <c r="R245" s="227"/>
      <c r="S245" s="340"/>
      <c r="T245" s="226"/>
      <c r="U245" s="53"/>
      <c r="V245" s="53"/>
      <c r="W245" s="53"/>
      <c r="X245" s="53"/>
    </row>
    <row r="246" spans="1:24" ht="15.75" hidden="1" customHeight="1" outlineLevel="1">
      <c r="A246" s="69"/>
      <c r="B246" s="69">
        <v>46069</v>
      </c>
      <c r="C246" s="70" t="str">
        <f t="shared" si="5"/>
        <v>segunda-feira</v>
      </c>
      <c r="D246" s="55">
        <f>SUMIFS('📋 Despesas'!K:K,'📋 Despesas'!N:N,B246)</f>
        <v>0</v>
      </c>
      <c r="E246" s="53"/>
      <c r="F246" s="53"/>
      <c r="G246" s="372"/>
      <c r="H246" s="372"/>
      <c r="I246" s="379"/>
      <c r="J246" s="372"/>
      <c r="K246" s="373"/>
      <c r="L246" s="372"/>
      <c r="M246" s="372"/>
      <c r="N246" s="227"/>
      <c r="O246" s="227"/>
      <c r="P246" s="227"/>
      <c r="Q246" s="227"/>
      <c r="R246" s="227"/>
      <c r="S246" s="340"/>
      <c r="T246" s="226"/>
      <c r="U246" s="53"/>
      <c r="V246" s="53"/>
      <c r="W246" s="53"/>
      <c r="X246" s="53"/>
    </row>
    <row r="247" spans="1:24" ht="15.75" hidden="1" customHeight="1" outlineLevel="1">
      <c r="A247" s="69"/>
      <c r="B247" s="69">
        <v>46070</v>
      </c>
      <c r="C247" s="70" t="str">
        <f t="shared" si="5"/>
        <v>terça-feira</v>
      </c>
      <c r="D247" s="55">
        <f>SUMIFS('📋 Despesas'!K:K,'📋 Despesas'!N:N,B247)</f>
        <v>0</v>
      </c>
      <c r="E247" s="53"/>
      <c r="F247" s="53"/>
      <c r="G247" s="372"/>
      <c r="H247" s="372"/>
      <c r="I247" s="379"/>
      <c r="J247" s="372"/>
      <c r="K247" s="373"/>
      <c r="L247" s="372"/>
      <c r="M247" s="372"/>
      <c r="N247" s="227"/>
      <c r="O247" s="227"/>
      <c r="P247" s="227"/>
      <c r="Q247" s="227"/>
      <c r="R247" s="227"/>
      <c r="S247" s="340"/>
      <c r="T247" s="226"/>
      <c r="U247" s="53"/>
      <c r="V247" s="53"/>
      <c r="W247" s="53"/>
      <c r="X247" s="53"/>
    </row>
    <row r="248" spans="1:24" ht="15.75" hidden="1" customHeight="1" outlineLevel="1">
      <c r="A248" s="69"/>
      <c r="B248" s="69">
        <v>46071</v>
      </c>
      <c r="C248" s="70" t="str">
        <f t="shared" si="5"/>
        <v>quarta-feira</v>
      </c>
      <c r="D248" s="55">
        <f>SUMIFS('📋 Despesas'!K:K,'📋 Despesas'!N:N,B248)</f>
        <v>0</v>
      </c>
      <c r="E248" s="53"/>
      <c r="F248" s="53"/>
      <c r="G248" s="372"/>
      <c r="H248" s="372"/>
      <c r="I248" s="379"/>
      <c r="J248" s="372"/>
      <c r="K248" s="373"/>
      <c r="L248" s="372"/>
      <c r="M248" s="372"/>
      <c r="N248" s="227"/>
      <c r="O248" s="227"/>
      <c r="P248" s="227"/>
      <c r="Q248" s="227"/>
      <c r="R248" s="227"/>
      <c r="S248" s="340"/>
      <c r="T248" s="226"/>
      <c r="U248" s="53"/>
      <c r="V248" s="53"/>
      <c r="W248" s="53"/>
      <c r="X248" s="53"/>
    </row>
    <row r="249" spans="1:24" ht="15.75" hidden="1" customHeight="1" outlineLevel="1">
      <c r="A249" s="69"/>
      <c r="B249" s="69">
        <v>46072</v>
      </c>
      <c r="C249" s="70" t="str">
        <f t="shared" si="5"/>
        <v>quinta-feira</v>
      </c>
      <c r="D249" s="55">
        <f>SUMIFS('📋 Despesas'!K:K,'📋 Despesas'!N:N,B249)</f>
        <v>0</v>
      </c>
      <c r="E249" s="53"/>
      <c r="F249" s="53"/>
      <c r="G249" s="372"/>
      <c r="H249" s="372"/>
      <c r="I249" s="379"/>
      <c r="J249" s="372"/>
      <c r="K249" s="373"/>
      <c r="L249" s="372"/>
      <c r="M249" s="372"/>
      <c r="N249" s="227"/>
      <c r="O249" s="227"/>
      <c r="P249" s="227"/>
      <c r="Q249" s="227"/>
      <c r="R249" s="227"/>
      <c r="S249" s="340"/>
      <c r="T249" s="226"/>
      <c r="U249" s="53"/>
      <c r="V249" s="53"/>
      <c r="W249" s="53"/>
      <c r="X249" s="53"/>
    </row>
    <row r="250" spans="1:24" ht="15.75" hidden="1" customHeight="1" outlineLevel="1">
      <c r="A250" s="69"/>
      <c r="B250" s="69">
        <v>46073</v>
      </c>
      <c r="C250" s="70" t="str">
        <f t="shared" si="5"/>
        <v>sexta-feira</v>
      </c>
      <c r="D250" s="55">
        <f>SUMIFS('📋 Despesas'!K:K,'📋 Despesas'!N:N,B250)</f>
        <v>0</v>
      </c>
      <c r="E250" s="53"/>
      <c r="F250" s="53"/>
      <c r="G250" s="372"/>
      <c r="H250" s="372"/>
      <c r="I250" s="379"/>
      <c r="J250" s="372"/>
      <c r="K250" s="373"/>
      <c r="L250" s="372"/>
      <c r="M250" s="372"/>
      <c r="N250" s="227"/>
      <c r="O250" s="227"/>
      <c r="P250" s="227"/>
      <c r="Q250" s="227"/>
      <c r="R250" s="227"/>
      <c r="S250" s="340"/>
      <c r="T250" s="226"/>
      <c r="U250" s="53"/>
      <c r="V250" s="53"/>
      <c r="W250" s="53"/>
      <c r="X250" s="53"/>
    </row>
    <row r="251" spans="1:24" ht="15.75" hidden="1" customHeight="1" outlineLevel="1">
      <c r="A251" s="69"/>
      <c r="B251" s="69">
        <v>46074</v>
      </c>
      <c r="C251" s="70" t="str">
        <f t="shared" si="5"/>
        <v>sábado</v>
      </c>
      <c r="D251" s="55">
        <f>SUMIFS('📋 Despesas'!K:K,'📋 Despesas'!N:N,B251)</f>
        <v>0</v>
      </c>
      <c r="E251" s="53"/>
      <c r="F251" s="53"/>
      <c r="G251" s="372"/>
      <c r="H251" s="372"/>
      <c r="I251" s="379"/>
      <c r="J251" s="372"/>
      <c r="K251" s="373"/>
      <c r="L251" s="372"/>
      <c r="M251" s="372"/>
      <c r="N251" s="227"/>
      <c r="O251" s="227"/>
      <c r="P251" s="227"/>
      <c r="Q251" s="227"/>
      <c r="R251" s="227"/>
      <c r="S251" s="340"/>
      <c r="T251" s="226"/>
      <c r="U251" s="53"/>
      <c r="V251" s="53"/>
      <c r="W251" s="53"/>
      <c r="X251" s="53"/>
    </row>
    <row r="252" spans="1:24" ht="15.75" hidden="1" customHeight="1" outlineLevel="1">
      <c r="A252" s="69"/>
      <c r="B252" s="69">
        <v>46075</v>
      </c>
      <c r="C252" s="70" t="str">
        <f t="shared" si="5"/>
        <v>domingo</v>
      </c>
      <c r="D252" s="55">
        <f>SUMIFS('📋 Despesas'!K:K,'📋 Despesas'!N:N,B252)</f>
        <v>0</v>
      </c>
      <c r="E252" s="53"/>
      <c r="F252" s="53"/>
      <c r="G252" s="372"/>
      <c r="H252" s="372"/>
      <c r="I252" s="379"/>
      <c r="J252" s="372"/>
      <c r="K252" s="373"/>
      <c r="L252" s="372"/>
      <c r="M252" s="372"/>
      <c r="N252" s="227"/>
      <c r="O252" s="227"/>
      <c r="P252" s="227"/>
      <c r="Q252" s="227"/>
      <c r="R252" s="227"/>
      <c r="S252" s="340"/>
      <c r="T252" s="226"/>
      <c r="U252" s="53"/>
      <c r="V252" s="53"/>
      <c r="W252" s="53"/>
      <c r="X252" s="53"/>
    </row>
    <row r="253" spans="1:24" ht="15.75" hidden="1" customHeight="1" outlineLevel="1">
      <c r="A253" s="69"/>
      <c r="B253" s="69">
        <v>46076</v>
      </c>
      <c r="C253" s="70" t="str">
        <f t="shared" si="5"/>
        <v>segunda-feira</v>
      </c>
      <c r="D253" s="55">
        <f>SUMIFS('📋 Despesas'!K:K,'📋 Despesas'!N:N,B253)</f>
        <v>0</v>
      </c>
      <c r="E253" s="53"/>
      <c r="F253" s="53"/>
      <c r="G253" s="372"/>
      <c r="H253" s="372"/>
      <c r="I253" s="379"/>
      <c r="J253" s="372"/>
      <c r="K253" s="373"/>
      <c r="L253" s="372"/>
      <c r="M253" s="372"/>
      <c r="N253" s="227"/>
      <c r="O253" s="227"/>
      <c r="P253" s="227"/>
      <c r="Q253" s="227"/>
      <c r="R253" s="227"/>
      <c r="S253" s="340"/>
      <c r="T253" s="226"/>
      <c r="U253" s="53"/>
      <c r="V253" s="53"/>
      <c r="W253" s="53"/>
      <c r="X253" s="53"/>
    </row>
    <row r="254" spans="1:24" ht="15.75" hidden="1" customHeight="1" outlineLevel="1">
      <c r="A254" s="69"/>
      <c r="B254" s="69">
        <v>46077</v>
      </c>
      <c r="C254" s="70" t="str">
        <f t="shared" si="5"/>
        <v>terça-feira</v>
      </c>
      <c r="D254" s="55">
        <f>SUMIFS('📋 Despesas'!K:K,'📋 Despesas'!N:N,B254)</f>
        <v>0</v>
      </c>
      <c r="E254" s="53"/>
      <c r="F254" s="53"/>
      <c r="G254" s="372"/>
      <c r="H254" s="372"/>
      <c r="I254" s="379"/>
      <c r="J254" s="372"/>
      <c r="K254" s="373"/>
      <c r="L254" s="372"/>
      <c r="M254" s="372"/>
      <c r="N254" s="227"/>
      <c r="O254" s="227"/>
      <c r="P254" s="227"/>
      <c r="Q254" s="227"/>
      <c r="R254" s="227"/>
      <c r="S254" s="340"/>
      <c r="T254" s="226"/>
      <c r="U254" s="53"/>
      <c r="V254" s="53"/>
      <c r="W254" s="53"/>
      <c r="X254" s="53"/>
    </row>
    <row r="255" spans="1:24" ht="15.75" hidden="1" customHeight="1" outlineLevel="1">
      <c r="A255" s="69"/>
      <c r="B255" s="69">
        <v>46078</v>
      </c>
      <c r="C255" s="70" t="str">
        <f t="shared" si="5"/>
        <v>quarta-feira</v>
      </c>
      <c r="D255" s="55">
        <f>SUMIFS('📋 Despesas'!K:K,'📋 Despesas'!N:N,B255)</f>
        <v>0</v>
      </c>
      <c r="E255" s="53"/>
      <c r="F255" s="53"/>
      <c r="G255" s="372"/>
      <c r="H255" s="372"/>
      <c r="I255" s="379"/>
      <c r="J255" s="372"/>
      <c r="K255" s="373"/>
      <c r="L255" s="372"/>
      <c r="M255" s="372"/>
      <c r="N255" s="227"/>
      <c r="O255" s="227"/>
      <c r="P255" s="227"/>
      <c r="Q255" s="227"/>
      <c r="R255" s="227"/>
      <c r="S255" s="340"/>
      <c r="T255" s="226"/>
      <c r="U255" s="53"/>
      <c r="V255" s="53"/>
      <c r="W255" s="53"/>
      <c r="X255" s="53"/>
    </row>
    <row r="256" spans="1:24" ht="15.75" hidden="1" customHeight="1" outlineLevel="1">
      <c r="A256" s="69"/>
      <c r="B256" s="69">
        <v>46079</v>
      </c>
      <c r="C256" s="70" t="str">
        <f t="shared" si="5"/>
        <v>quinta-feira</v>
      </c>
      <c r="D256" s="55">
        <f>SUMIFS('📋 Despesas'!K:K,'📋 Despesas'!N:N,B256)</f>
        <v>0</v>
      </c>
      <c r="E256" s="53"/>
      <c r="F256" s="53"/>
      <c r="G256" s="372"/>
      <c r="H256" s="372"/>
      <c r="I256" s="379"/>
      <c r="J256" s="372"/>
      <c r="K256" s="373"/>
      <c r="L256" s="372"/>
      <c r="M256" s="372"/>
      <c r="N256" s="227"/>
      <c r="O256" s="227"/>
      <c r="P256" s="227"/>
      <c r="Q256" s="227"/>
      <c r="R256" s="227"/>
      <c r="S256" s="340"/>
      <c r="T256" s="226"/>
      <c r="U256" s="53"/>
      <c r="V256" s="53"/>
      <c r="W256" s="53"/>
      <c r="X256" s="53"/>
    </row>
    <row r="257" spans="1:24" ht="15.75" hidden="1" customHeight="1" outlineLevel="1">
      <c r="A257" s="69"/>
      <c r="B257" s="69">
        <v>46080</v>
      </c>
      <c r="C257" s="70" t="str">
        <f t="shared" si="5"/>
        <v>sexta-feira</v>
      </c>
      <c r="D257" s="55">
        <f>SUMIFS('📋 Despesas'!K:K,'📋 Despesas'!N:N,B257)</f>
        <v>0</v>
      </c>
      <c r="E257" s="53"/>
      <c r="F257" s="53"/>
      <c r="G257" s="372"/>
      <c r="H257" s="372"/>
      <c r="I257" s="379"/>
      <c r="J257" s="372"/>
      <c r="K257" s="373"/>
      <c r="L257" s="372"/>
      <c r="M257" s="372"/>
      <c r="N257" s="227"/>
      <c r="O257" s="227"/>
      <c r="P257" s="227"/>
      <c r="Q257" s="227"/>
      <c r="R257" s="227"/>
      <c r="S257" s="340"/>
      <c r="T257" s="226"/>
      <c r="U257" s="53"/>
      <c r="V257" s="53"/>
      <c r="W257" s="53"/>
      <c r="X257" s="53"/>
    </row>
    <row r="258" spans="1:24" ht="15.75" hidden="1" customHeight="1" outlineLevel="1">
      <c r="A258" s="69"/>
      <c r="B258" s="69">
        <v>46081</v>
      </c>
      <c r="C258" s="70" t="str">
        <f t="shared" si="5"/>
        <v>sábado</v>
      </c>
      <c r="D258" s="55">
        <f>SUMIFS('📋 Despesas'!K:K,'📋 Despesas'!N:N,B258)</f>
        <v>0</v>
      </c>
      <c r="E258" s="53"/>
      <c r="F258" s="53"/>
      <c r="G258" s="372"/>
      <c r="H258" s="372"/>
      <c r="I258" s="379"/>
      <c r="J258" s="372"/>
      <c r="K258" s="373"/>
      <c r="L258" s="372"/>
      <c r="M258" s="372"/>
      <c r="N258" s="227"/>
      <c r="O258" s="227"/>
      <c r="P258" s="227"/>
      <c r="Q258" s="227"/>
      <c r="R258" s="227"/>
      <c r="S258" s="340"/>
      <c r="T258" s="226"/>
      <c r="U258" s="53"/>
      <c r="V258" s="53"/>
      <c r="W258" s="53"/>
      <c r="X258" s="53"/>
    </row>
    <row r="259" spans="1:24" ht="15.75" hidden="1" customHeight="1" outlineLevel="1">
      <c r="A259" s="69"/>
      <c r="B259" s="69">
        <v>46082</v>
      </c>
      <c r="C259" s="70" t="str">
        <f t="shared" si="5"/>
        <v>domingo</v>
      </c>
      <c r="D259" s="55">
        <f>SUMIFS('📋 Despesas'!K:K,'📋 Despesas'!N:N,B259)</f>
        <v>0</v>
      </c>
      <c r="E259" s="53"/>
      <c r="F259" s="53"/>
      <c r="G259" s="372"/>
      <c r="H259" s="372"/>
      <c r="I259" s="379"/>
      <c r="J259" s="372"/>
      <c r="K259" s="373"/>
      <c r="L259" s="372"/>
      <c r="M259" s="372"/>
      <c r="N259" s="227"/>
      <c r="O259" s="227"/>
      <c r="P259" s="227"/>
      <c r="Q259" s="227"/>
      <c r="R259" s="227"/>
      <c r="S259" s="340"/>
      <c r="T259" s="226"/>
      <c r="U259" s="53"/>
      <c r="V259" s="53"/>
      <c r="W259" s="53"/>
      <c r="X259" s="53"/>
    </row>
    <row r="260" spans="1:24" ht="15.75" hidden="1" customHeight="1" outlineLevel="1">
      <c r="A260" s="69"/>
      <c r="B260" s="69">
        <v>46083</v>
      </c>
      <c r="C260" s="70" t="str">
        <f t="shared" si="5"/>
        <v>segunda-feira</v>
      </c>
      <c r="D260" s="55">
        <f>SUMIFS('📋 Despesas'!K:K,'📋 Despesas'!N:N,B260)</f>
        <v>0</v>
      </c>
      <c r="E260" s="53"/>
      <c r="F260" s="53"/>
      <c r="G260" s="372"/>
      <c r="H260" s="372"/>
      <c r="I260" s="379"/>
      <c r="J260" s="372"/>
      <c r="K260" s="373"/>
      <c r="L260" s="372"/>
      <c r="M260" s="372"/>
      <c r="N260" s="227"/>
      <c r="O260" s="227"/>
      <c r="P260" s="227"/>
      <c r="Q260" s="227"/>
      <c r="R260" s="227"/>
      <c r="S260" s="340"/>
      <c r="T260" s="226"/>
      <c r="U260" s="53"/>
      <c r="V260" s="53"/>
      <c r="W260" s="53"/>
      <c r="X260" s="53"/>
    </row>
    <row r="261" spans="1:24" ht="15.75" hidden="1" customHeight="1" outlineLevel="1">
      <c r="A261" s="69"/>
      <c r="B261" s="69">
        <v>46084</v>
      </c>
      <c r="C261" s="70" t="str">
        <f t="shared" si="5"/>
        <v>terça-feira</v>
      </c>
      <c r="D261" s="55">
        <f>SUMIFS('📋 Despesas'!K:K,'📋 Despesas'!N:N,B261)</f>
        <v>0</v>
      </c>
      <c r="E261" s="53"/>
      <c r="F261" s="53"/>
      <c r="G261" s="372"/>
      <c r="H261" s="372"/>
      <c r="I261" s="379"/>
      <c r="J261" s="372"/>
      <c r="K261" s="373"/>
      <c r="L261" s="372"/>
      <c r="M261" s="372"/>
      <c r="N261" s="227"/>
      <c r="O261" s="227"/>
      <c r="P261" s="227"/>
      <c r="Q261" s="227"/>
      <c r="R261" s="227"/>
      <c r="S261" s="340"/>
      <c r="T261" s="226"/>
      <c r="U261" s="53"/>
      <c r="V261" s="53"/>
      <c r="W261" s="53"/>
      <c r="X261" s="53"/>
    </row>
    <row r="262" spans="1:24" ht="15.75" hidden="1" customHeight="1" outlineLevel="1">
      <c r="A262" s="69"/>
      <c r="B262" s="69">
        <v>46085</v>
      </c>
      <c r="C262" s="70" t="str">
        <f t="shared" si="5"/>
        <v>quarta-feira</v>
      </c>
      <c r="D262" s="55">
        <f>SUMIFS('📋 Despesas'!K:K,'📋 Despesas'!N:N,B262)</f>
        <v>0</v>
      </c>
      <c r="E262" s="53"/>
      <c r="F262" s="53"/>
      <c r="G262" s="372"/>
      <c r="H262" s="372"/>
      <c r="I262" s="379"/>
      <c r="J262" s="372"/>
      <c r="K262" s="373"/>
      <c r="L262" s="372"/>
      <c r="M262" s="372"/>
      <c r="N262" s="227"/>
      <c r="O262" s="227"/>
      <c r="P262" s="227"/>
      <c r="Q262" s="227"/>
      <c r="R262" s="227"/>
      <c r="S262" s="340"/>
      <c r="T262" s="226"/>
      <c r="U262" s="53"/>
      <c r="V262" s="53"/>
      <c r="W262" s="53"/>
      <c r="X262" s="53"/>
    </row>
    <row r="263" spans="1:24" ht="15.75" hidden="1" customHeight="1" outlineLevel="1">
      <c r="A263" s="69"/>
      <c r="B263" s="69">
        <v>46086</v>
      </c>
      <c r="C263" s="70" t="str">
        <f t="shared" si="5"/>
        <v>quinta-feira</v>
      </c>
      <c r="D263" s="55">
        <f>SUMIFS('📋 Despesas'!K:K,'📋 Despesas'!N:N,B263)</f>
        <v>0</v>
      </c>
      <c r="E263" s="53"/>
      <c r="F263" s="53"/>
      <c r="G263" s="372"/>
      <c r="H263" s="372"/>
      <c r="I263" s="379"/>
      <c r="J263" s="372"/>
      <c r="K263" s="373"/>
      <c r="L263" s="372"/>
      <c r="M263" s="372"/>
      <c r="N263" s="227"/>
      <c r="O263" s="227"/>
      <c r="P263" s="227"/>
      <c r="Q263" s="227"/>
      <c r="R263" s="227"/>
      <c r="S263" s="340"/>
      <c r="T263" s="226"/>
      <c r="U263" s="53"/>
      <c r="V263" s="53"/>
      <c r="W263" s="53"/>
      <c r="X263" s="53"/>
    </row>
    <row r="264" spans="1:24" ht="15.75" hidden="1" customHeight="1" outlineLevel="1">
      <c r="A264" s="69"/>
      <c r="B264" s="69">
        <v>46087</v>
      </c>
      <c r="C264" s="70" t="str">
        <f t="shared" si="5"/>
        <v>sexta-feira</v>
      </c>
      <c r="D264" s="55">
        <f>SUMIFS('📋 Despesas'!K:K,'📋 Despesas'!N:N,B264)</f>
        <v>0</v>
      </c>
      <c r="E264" s="53"/>
      <c r="F264" s="53"/>
      <c r="G264" s="372"/>
      <c r="H264" s="372"/>
      <c r="I264" s="379"/>
      <c r="J264" s="372"/>
      <c r="K264" s="373"/>
      <c r="L264" s="372"/>
      <c r="M264" s="372"/>
      <c r="N264" s="227"/>
      <c r="O264" s="227"/>
      <c r="P264" s="227"/>
      <c r="Q264" s="227"/>
      <c r="R264" s="227"/>
      <c r="S264" s="340"/>
      <c r="T264" s="226"/>
      <c r="U264" s="53"/>
      <c r="V264" s="53"/>
      <c r="W264" s="53"/>
      <c r="X264" s="53"/>
    </row>
    <row r="265" spans="1:24" ht="15.75" hidden="1" customHeight="1" outlineLevel="1">
      <c r="A265" s="69"/>
      <c r="B265" s="69">
        <v>46088</v>
      </c>
      <c r="C265" s="70" t="str">
        <f t="shared" si="5"/>
        <v>sábado</v>
      </c>
      <c r="D265" s="55">
        <f>SUMIFS('📋 Despesas'!K:K,'📋 Despesas'!N:N,B265)</f>
        <v>0</v>
      </c>
      <c r="E265" s="53"/>
      <c r="F265" s="53"/>
      <c r="G265" s="372"/>
      <c r="H265" s="372"/>
      <c r="I265" s="379"/>
      <c r="J265" s="372"/>
      <c r="K265" s="373"/>
      <c r="L265" s="372"/>
      <c r="M265" s="372"/>
      <c r="N265" s="227"/>
      <c r="O265" s="227"/>
      <c r="P265" s="227"/>
      <c r="Q265" s="227"/>
      <c r="R265" s="227"/>
      <c r="S265" s="340"/>
      <c r="T265" s="226"/>
      <c r="U265" s="53"/>
      <c r="V265" s="53"/>
      <c r="W265" s="53"/>
      <c r="X265" s="53"/>
    </row>
    <row r="266" spans="1:24" ht="15.75" hidden="1" customHeight="1" outlineLevel="1">
      <c r="A266" s="69"/>
      <c r="B266" s="69">
        <v>46089</v>
      </c>
      <c r="C266" s="70" t="str">
        <f t="shared" si="5"/>
        <v>domingo</v>
      </c>
      <c r="D266" s="55">
        <f>SUMIFS('📋 Despesas'!K:K,'📋 Despesas'!N:N,B266)</f>
        <v>0</v>
      </c>
      <c r="E266" s="53"/>
      <c r="F266" s="53"/>
      <c r="G266" s="372"/>
      <c r="H266" s="372"/>
      <c r="I266" s="379"/>
      <c r="J266" s="372"/>
      <c r="K266" s="373"/>
      <c r="L266" s="372"/>
      <c r="M266" s="372"/>
      <c r="N266" s="227"/>
      <c r="O266" s="227"/>
      <c r="P266" s="227"/>
      <c r="Q266" s="227"/>
      <c r="R266" s="227"/>
      <c r="S266" s="340"/>
      <c r="T266" s="226"/>
      <c r="U266" s="53"/>
      <c r="V266" s="53"/>
      <c r="W266" s="53"/>
      <c r="X266" s="53"/>
    </row>
    <row r="267" spans="1:24" ht="15.75" hidden="1" customHeight="1" outlineLevel="1">
      <c r="A267" s="69"/>
      <c r="B267" s="69">
        <v>46090</v>
      </c>
      <c r="C267" s="70" t="str">
        <f t="shared" si="5"/>
        <v>segunda-feira</v>
      </c>
      <c r="D267" s="55">
        <f>SUMIFS('📋 Despesas'!K:K,'📋 Despesas'!N:N,B267)</f>
        <v>0</v>
      </c>
      <c r="E267" s="53"/>
      <c r="F267" s="53"/>
      <c r="G267" s="372"/>
      <c r="H267" s="372"/>
      <c r="I267" s="379"/>
      <c r="J267" s="372"/>
      <c r="K267" s="373"/>
      <c r="L267" s="372"/>
      <c r="M267" s="372"/>
      <c r="N267" s="227"/>
      <c r="O267" s="227"/>
      <c r="P267" s="227"/>
      <c r="Q267" s="227"/>
      <c r="R267" s="227"/>
      <c r="S267" s="340"/>
      <c r="T267" s="226"/>
      <c r="U267" s="53"/>
      <c r="V267" s="53"/>
      <c r="W267" s="53"/>
      <c r="X267" s="53"/>
    </row>
    <row r="268" spans="1:24" ht="15.75" hidden="1" customHeight="1" outlineLevel="1">
      <c r="A268" s="69"/>
      <c r="B268" s="69">
        <v>46091</v>
      </c>
      <c r="C268" s="70" t="str">
        <f t="shared" si="5"/>
        <v>terça-feira</v>
      </c>
      <c r="D268" s="55">
        <f>SUMIFS('📋 Despesas'!K:K,'📋 Despesas'!N:N,B268)</f>
        <v>0</v>
      </c>
      <c r="E268" s="53"/>
      <c r="F268" s="53"/>
      <c r="G268" s="372"/>
      <c r="H268" s="372"/>
      <c r="I268" s="379"/>
      <c r="J268" s="372"/>
      <c r="K268" s="373"/>
      <c r="L268" s="372"/>
      <c r="M268" s="372"/>
      <c r="N268" s="227"/>
      <c r="O268" s="227"/>
      <c r="P268" s="227"/>
      <c r="Q268" s="227"/>
      <c r="R268" s="227"/>
      <c r="S268" s="340"/>
      <c r="T268" s="226"/>
      <c r="U268" s="53"/>
      <c r="V268" s="53"/>
      <c r="W268" s="53"/>
      <c r="X268" s="53"/>
    </row>
    <row r="269" spans="1:24" ht="15.75" hidden="1" customHeight="1" outlineLevel="1">
      <c r="A269" s="69"/>
      <c r="B269" s="69">
        <v>46092</v>
      </c>
      <c r="C269" s="70" t="str">
        <f t="shared" si="5"/>
        <v>quarta-feira</v>
      </c>
      <c r="D269" s="55">
        <f>SUMIFS('📋 Despesas'!K:K,'📋 Despesas'!N:N,B269)</f>
        <v>0</v>
      </c>
      <c r="E269" s="53"/>
      <c r="F269" s="53"/>
      <c r="G269" s="372"/>
      <c r="H269" s="372"/>
      <c r="I269" s="379"/>
      <c r="J269" s="372"/>
      <c r="K269" s="373"/>
      <c r="L269" s="372"/>
      <c r="M269" s="372"/>
      <c r="N269" s="227"/>
      <c r="O269" s="227"/>
      <c r="P269" s="227"/>
      <c r="Q269" s="227"/>
      <c r="R269" s="227"/>
      <c r="S269" s="340"/>
      <c r="T269" s="226"/>
      <c r="U269" s="53"/>
      <c r="V269" s="53"/>
      <c r="W269" s="53"/>
      <c r="X269" s="53"/>
    </row>
    <row r="270" spans="1:24" ht="15.75" hidden="1" customHeight="1" outlineLevel="1">
      <c r="A270" s="69"/>
      <c r="B270" s="69">
        <v>46093</v>
      </c>
      <c r="C270" s="70" t="str">
        <f t="shared" si="5"/>
        <v>quinta-feira</v>
      </c>
      <c r="D270" s="55">
        <f>SUMIFS('📋 Despesas'!K:K,'📋 Despesas'!N:N,B270)</f>
        <v>0</v>
      </c>
      <c r="E270" s="53"/>
      <c r="F270" s="53"/>
      <c r="G270" s="372"/>
      <c r="H270" s="372"/>
      <c r="I270" s="379"/>
      <c r="J270" s="372"/>
      <c r="K270" s="373"/>
      <c r="L270" s="372"/>
      <c r="M270" s="372"/>
      <c r="N270" s="227"/>
      <c r="O270" s="227"/>
      <c r="P270" s="227"/>
      <c r="Q270" s="227"/>
      <c r="R270" s="227"/>
      <c r="S270" s="340"/>
      <c r="T270" s="226"/>
      <c r="U270" s="53"/>
      <c r="V270" s="53"/>
      <c r="W270" s="53"/>
      <c r="X270" s="53"/>
    </row>
    <row r="271" spans="1:24" ht="15.75" hidden="1" customHeight="1" outlineLevel="1">
      <c r="A271" s="69"/>
      <c r="B271" s="69">
        <v>46094</v>
      </c>
      <c r="C271" s="70" t="str">
        <f t="shared" si="5"/>
        <v>sexta-feira</v>
      </c>
      <c r="D271" s="55">
        <f>SUMIFS('📋 Despesas'!K:K,'📋 Despesas'!N:N,B271)</f>
        <v>0</v>
      </c>
      <c r="E271" s="53"/>
      <c r="F271" s="53"/>
      <c r="G271" s="372"/>
      <c r="H271" s="372"/>
      <c r="I271" s="379"/>
      <c r="J271" s="372"/>
      <c r="K271" s="373"/>
      <c r="L271" s="372"/>
      <c r="M271" s="372"/>
      <c r="N271" s="227"/>
      <c r="O271" s="227"/>
      <c r="P271" s="227"/>
      <c r="Q271" s="227"/>
      <c r="R271" s="227"/>
      <c r="S271" s="340"/>
      <c r="T271" s="226"/>
      <c r="U271" s="53"/>
      <c r="V271" s="53"/>
      <c r="W271" s="53"/>
      <c r="X271" s="53"/>
    </row>
    <row r="272" spans="1:24" ht="15.75" hidden="1" customHeight="1" outlineLevel="1">
      <c r="A272" s="69"/>
      <c r="B272" s="69">
        <v>46095</v>
      </c>
      <c r="C272" s="70" t="str">
        <f t="shared" si="5"/>
        <v>sábado</v>
      </c>
      <c r="D272" s="55">
        <f>SUMIFS('📋 Despesas'!K:K,'📋 Despesas'!N:N,B272)</f>
        <v>0</v>
      </c>
      <c r="E272" s="53"/>
      <c r="F272" s="53"/>
      <c r="G272" s="372"/>
      <c r="H272" s="372"/>
      <c r="I272" s="379"/>
      <c r="J272" s="372"/>
      <c r="K272" s="373"/>
      <c r="L272" s="372"/>
      <c r="M272" s="372"/>
      <c r="N272" s="227"/>
      <c r="O272" s="227"/>
      <c r="P272" s="227"/>
      <c r="Q272" s="227"/>
      <c r="R272" s="227"/>
      <c r="S272" s="340"/>
      <c r="T272" s="226"/>
      <c r="U272" s="53"/>
      <c r="V272" s="53"/>
      <c r="W272" s="53"/>
      <c r="X272" s="53"/>
    </row>
    <row r="273" spans="1:24" ht="15.75" hidden="1" customHeight="1" outlineLevel="1">
      <c r="A273" s="69"/>
      <c r="B273" s="69">
        <v>46096</v>
      </c>
      <c r="C273" s="70" t="str">
        <f t="shared" ref="C273:C336" si="6">IF(B273&lt;&gt;"",TEXT(WEEKDAY(B273),"dddd"),"")</f>
        <v>domingo</v>
      </c>
      <c r="D273" s="55">
        <f>SUMIFS('📋 Despesas'!K:K,'📋 Despesas'!N:N,B273)</f>
        <v>0</v>
      </c>
      <c r="E273" s="53"/>
      <c r="F273" s="53"/>
      <c r="G273" s="372"/>
      <c r="H273" s="372"/>
      <c r="I273" s="379"/>
      <c r="J273" s="372"/>
      <c r="K273" s="373"/>
      <c r="L273" s="372"/>
      <c r="M273" s="372"/>
      <c r="N273" s="227"/>
      <c r="O273" s="227"/>
      <c r="P273" s="227"/>
      <c r="Q273" s="227"/>
      <c r="R273" s="227"/>
      <c r="S273" s="340"/>
      <c r="T273" s="226"/>
      <c r="U273" s="53"/>
      <c r="V273" s="53"/>
      <c r="W273" s="53"/>
      <c r="X273" s="53"/>
    </row>
    <row r="274" spans="1:24" ht="15.75" hidden="1" customHeight="1" outlineLevel="1">
      <c r="A274" s="69"/>
      <c r="B274" s="69">
        <v>46097</v>
      </c>
      <c r="C274" s="70" t="str">
        <f t="shared" si="6"/>
        <v>segunda-feira</v>
      </c>
      <c r="D274" s="55">
        <f>SUMIFS('📋 Despesas'!K:K,'📋 Despesas'!N:N,B274)</f>
        <v>0</v>
      </c>
      <c r="E274" s="53"/>
      <c r="F274" s="53"/>
      <c r="G274" s="372"/>
      <c r="H274" s="372"/>
      <c r="I274" s="379"/>
      <c r="J274" s="372"/>
      <c r="K274" s="373"/>
      <c r="L274" s="372"/>
      <c r="M274" s="372"/>
      <c r="N274" s="227"/>
      <c r="O274" s="227"/>
      <c r="P274" s="227"/>
      <c r="Q274" s="227"/>
      <c r="R274" s="227"/>
      <c r="S274" s="340"/>
      <c r="T274" s="226"/>
      <c r="U274" s="53"/>
      <c r="V274" s="53"/>
      <c r="W274" s="53"/>
      <c r="X274" s="53"/>
    </row>
    <row r="275" spans="1:24" ht="15.75" hidden="1" customHeight="1" outlineLevel="1">
      <c r="A275" s="69"/>
      <c r="B275" s="69">
        <v>46098</v>
      </c>
      <c r="C275" s="70" t="str">
        <f t="shared" si="6"/>
        <v>terça-feira</v>
      </c>
      <c r="D275" s="55">
        <f>SUMIFS('📋 Despesas'!K:K,'📋 Despesas'!N:N,B275)</f>
        <v>0</v>
      </c>
      <c r="E275" s="53"/>
      <c r="F275" s="53"/>
      <c r="G275" s="372"/>
      <c r="H275" s="372"/>
      <c r="I275" s="379"/>
      <c r="J275" s="372"/>
      <c r="K275" s="373"/>
      <c r="L275" s="372"/>
      <c r="M275" s="372"/>
      <c r="N275" s="227"/>
      <c r="O275" s="227"/>
      <c r="P275" s="227"/>
      <c r="Q275" s="227"/>
      <c r="R275" s="227"/>
      <c r="S275" s="340"/>
      <c r="T275" s="226"/>
      <c r="U275" s="53"/>
      <c r="V275" s="53"/>
      <c r="W275" s="53"/>
      <c r="X275" s="53"/>
    </row>
    <row r="276" spans="1:24" ht="15.75" hidden="1" customHeight="1" outlineLevel="1">
      <c r="A276" s="69"/>
      <c r="B276" s="69">
        <v>46099</v>
      </c>
      <c r="C276" s="70" t="str">
        <f t="shared" si="6"/>
        <v>quarta-feira</v>
      </c>
      <c r="D276" s="55">
        <f>SUMIFS('📋 Despesas'!K:K,'📋 Despesas'!N:N,B276)</f>
        <v>0</v>
      </c>
      <c r="E276" s="53"/>
      <c r="F276" s="53"/>
      <c r="G276" s="372"/>
      <c r="H276" s="372"/>
      <c r="I276" s="379"/>
      <c r="J276" s="372"/>
      <c r="K276" s="373"/>
      <c r="L276" s="372"/>
      <c r="M276" s="372"/>
      <c r="N276" s="227"/>
      <c r="O276" s="227"/>
      <c r="P276" s="227"/>
      <c r="Q276" s="227"/>
      <c r="R276" s="227"/>
      <c r="S276" s="340"/>
      <c r="T276" s="226"/>
      <c r="U276" s="53"/>
      <c r="V276" s="53"/>
      <c r="W276" s="53"/>
      <c r="X276" s="53"/>
    </row>
    <row r="277" spans="1:24" ht="15.75" hidden="1" customHeight="1" outlineLevel="1">
      <c r="A277" s="69"/>
      <c r="B277" s="69">
        <v>46100</v>
      </c>
      <c r="C277" s="70" t="str">
        <f t="shared" si="6"/>
        <v>quinta-feira</v>
      </c>
      <c r="D277" s="55">
        <f>SUMIFS('📋 Despesas'!K:K,'📋 Despesas'!N:N,B277)</f>
        <v>0</v>
      </c>
      <c r="E277" s="53"/>
      <c r="F277" s="53"/>
      <c r="G277" s="372"/>
      <c r="H277" s="372"/>
      <c r="I277" s="379"/>
      <c r="J277" s="372"/>
      <c r="K277" s="373"/>
      <c r="L277" s="372"/>
      <c r="M277" s="372"/>
      <c r="N277" s="227"/>
      <c r="O277" s="227"/>
      <c r="P277" s="227"/>
      <c r="Q277" s="227"/>
      <c r="R277" s="227"/>
      <c r="S277" s="340"/>
      <c r="T277" s="226"/>
      <c r="U277" s="53"/>
      <c r="V277" s="53"/>
      <c r="W277" s="53"/>
      <c r="X277" s="53"/>
    </row>
    <row r="278" spans="1:24" ht="15.75" hidden="1" customHeight="1" outlineLevel="1">
      <c r="A278" s="69"/>
      <c r="B278" s="69">
        <v>46101</v>
      </c>
      <c r="C278" s="70" t="str">
        <f t="shared" si="6"/>
        <v>sexta-feira</v>
      </c>
      <c r="D278" s="55">
        <f>SUMIFS('📋 Despesas'!K:K,'📋 Despesas'!N:N,B278)</f>
        <v>0</v>
      </c>
      <c r="E278" s="53"/>
      <c r="F278" s="53"/>
      <c r="G278" s="372"/>
      <c r="H278" s="372"/>
      <c r="I278" s="379"/>
      <c r="J278" s="372"/>
      <c r="K278" s="373"/>
      <c r="L278" s="372"/>
      <c r="M278" s="372"/>
      <c r="N278" s="227"/>
      <c r="O278" s="227"/>
      <c r="P278" s="227"/>
      <c r="Q278" s="227"/>
      <c r="R278" s="227"/>
      <c r="S278" s="340"/>
      <c r="T278" s="226"/>
      <c r="U278" s="53"/>
      <c r="V278" s="53"/>
      <c r="W278" s="53"/>
      <c r="X278" s="53"/>
    </row>
    <row r="279" spans="1:24" ht="15.75" hidden="1" customHeight="1" outlineLevel="1">
      <c r="A279" s="69"/>
      <c r="B279" s="69">
        <v>46102</v>
      </c>
      <c r="C279" s="70" t="str">
        <f t="shared" si="6"/>
        <v>sábado</v>
      </c>
      <c r="D279" s="55">
        <f>SUMIFS('📋 Despesas'!K:K,'📋 Despesas'!N:N,B279)</f>
        <v>0</v>
      </c>
      <c r="E279" s="53"/>
      <c r="F279" s="53"/>
      <c r="G279" s="372"/>
      <c r="H279" s="372"/>
      <c r="I279" s="379"/>
      <c r="J279" s="372"/>
      <c r="K279" s="373"/>
      <c r="L279" s="372"/>
      <c r="M279" s="372"/>
      <c r="N279" s="227"/>
      <c r="O279" s="227"/>
      <c r="P279" s="227"/>
      <c r="Q279" s="227"/>
      <c r="R279" s="227"/>
      <c r="S279" s="340"/>
      <c r="T279" s="226"/>
      <c r="U279" s="53"/>
      <c r="V279" s="53"/>
      <c r="W279" s="53"/>
      <c r="X279" s="53"/>
    </row>
    <row r="280" spans="1:24" ht="15.75" hidden="1" customHeight="1" outlineLevel="1">
      <c r="A280" s="69"/>
      <c r="B280" s="69">
        <v>46103</v>
      </c>
      <c r="C280" s="70" t="str">
        <f t="shared" si="6"/>
        <v>domingo</v>
      </c>
      <c r="D280" s="55">
        <f>SUMIFS('📋 Despesas'!K:K,'📋 Despesas'!N:N,B280)</f>
        <v>0</v>
      </c>
      <c r="E280" s="53"/>
      <c r="F280" s="53"/>
      <c r="G280" s="372"/>
      <c r="H280" s="372"/>
      <c r="I280" s="379"/>
      <c r="J280" s="372"/>
      <c r="K280" s="373"/>
      <c r="L280" s="372"/>
      <c r="M280" s="372"/>
      <c r="N280" s="227"/>
      <c r="O280" s="227"/>
      <c r="P280" s="227"/>
      <c r="Q280" s="227"/>
      <c r="R280" s="227"/>
      <c r="S280" s="340"/>
      <c r="T280" s="226"/>
      <c r="U280" s="53"/>
      <c r="V280" s="53"/>
      <c r="W280" s="53"/>
      <c r="X280" s="53"/>
    </row>
    <row r="281" spans="1:24" ht="15.75" hidden="1" customHeight="1" outlineLevel="1">
      <c r="A281" s="69"/>
      <c r="B281" s="69">
        <v>46104</v>
      </c>
      <c r="C281" s="70" t="str">
        <f t="shared" si="6"/>
        <v>segunda-feira</v>
      </c>
      <c r="D281" s="55">
        <f>SUMIFS('📋 Despesas'!K:K,'📋 Despesas'!N:N,B281)</f>
        <v>0</v>
      </c>
      <c r="E281" s="53"/>
      <c r="F281" s="53"/>
      <c r="G281" s="372"/>
      <c r="H281" s="372"/>
      <c r="I281" s="379"/>
      <c r="J281" s="372"/>
      <c r="K281" s="373"/>
      <c r="L281" s="372"/>
      <c r="M281" s="372"/>
      <c r="N281" s="227"/>
      <c r="O281" s="227"/>
      <c r="P281" s="227"/>
      <c r="Q281" s="227"/>
      <c r="R281" s="227"/>
      <c r="S281" s="340"/>
      <c r="T281" s="226"/>
      <c r="U281" s="53"/>
      <c r="V281" s="53"/>
      <c r="W281" s="53"/>
      <c r="X281" s="53"/>
    </row>
    <row r="282" spans="1:24" ht="15.75" hidden="1" customHeight="1" outlineLevel="1">
      <c r="A282" s="69"/>
      <c r="B282" s="69">
        <v>46105</v>
      </c>
      <c r="C282" s="70" t="str">
        <f t="shared" si="6"/>
        <v>terça-feira</v>
      </c>
      <c r="D282" s="55">
        <f>SUMIFS('📋 Despesas'!K:K,'📋 Despesas'!N:N,B282)</f>
        <v>0</v>
      </c>
      <c r="E282" s="53"/>
      <c r="F282" s="53"/>
      <c r="G282" s="372"/>
      <c r="H282" s="372"/>
      <c r="I282" s="379"/>
      <c r="J282" s="372"/>
      <c r="K282" s="373"/>
      <c r="L282" s="372"/>
      <c r="M282" s="372"/>
      <c r="N282" s="227"/>
      <c r="O282" s="227"/>
      <c r="P282" s="227"/>
      <c r="Q282" s="227"/>
      <c r="R282" s="227"/>
      <c r="S282" s="340"/>
      <c r="T282" s="226"/>
      <c r="U282" s="53"/>
      <c r="V282" s="53"/>
      <c r="W282" s="53"/>
      <c r="X282" s="53"/>
    </row>
    <row r="283" spans="1:24" ht="15.75" hidden="1" customHeight="1" outlineLevel="1">
      <c r="A283" s="69"/>
      <c r="B283" s="69">
        <v>46106</v>
      </c>
      <c r="C283" s="70" t="str">
        <f t="shared" si="6"/>
        <v>quarta-feira</v>
      </c>
      <c r="D283" s="55">
        <f>SUMIFS('📋 Despesas'!K:K,'📋 Despesas'!N:N,B283)</f>
        <v>0</v>
      </c>
      <c r="E283" s="53"/>
      <c r="F283" s="53"/>
      <c r="G283" s="372"/>
      <c r="H283" s="372"/>
      <c r="I283" s="379"/>
      <c r="J283" s="372"/>
      <c r="K283" s="373"/>
      <c r="L283" s="372"/>
      <c r="M283" s="372"/>
      <c r="N283" s="227"/>
      <c r="O283" s="227"/>
      <c r="P283" s="227"/>
      <c r="Q283" s="227"/>
      <c r="R283" s="227"/>
      <c r="S283" s="340"/>
      <c r="T283" s="226"/>
      <c r="U283" s="53"/>
      <c r="V283" s="53"/>
      <c r="W283" s="53"/>
      <c r="X283" s="53"/>
    </row>
    <row r="284" spans="1:24" ht="15.75" hidden="1" customHeight="1" outlineLevel="1">
      <c r="A284" s="69"/>
      <c r="B284" s="69">
        <v>46107</v>
      </c>
      <c r="C284" s="70" t="str">
        <f t="shared" si="6"/>
        <v>quinta-feira</v>
      </c>
      <c r="D284" s="55">
        <f>SUMIFS('📋 Despesas'!K:K,'📋 Despesas'!N:N,B284)</f>
        <v>0</v>
      </c>
      <c r="E284" s="53"/>
      <c r="F284" s="53"/>
      <c r="G284" s="372"/>
      <c r="H284" s="372"/>
      <c r="I284" s="379"/>
      <c r="J284" s="372"/>
      <c r="K284" s="373"/>
      <c r="L284" s="372"/>
      <c r="M284" s="372"/>
      <c r="N284" s="227"/>
      <c r="O284" s="227"/>
      <c r="P284" s="227"/>
      <c r="Q284" s="227"/>
      <c r="R284" s="227"/>
      <c r="S284" s="340"/>
      <c r="T284" s="226"/>
      <c r="U284" s="53"/>
      <c r="V284" s="53"/>
      <c r="W284" s="53"/>
      <c r="X284" s="53"/>
    </row>
    <row r="285" spans="1:24" ht="15.75" hidden="1" customHeight="1" outlineLevel="1">
      <c r="A285" s="69"/>
      <c r="B285" s="69">
        <v>46108</v>
      </c>
      <c r="C285" s="70" t="str">
        <f t="shared" si="6"/>
        <v>sexta-feira</v>
      </c>
      <c r="D285" s="55">
        <f>SUMIFS('📋 Despesas'!K:K,'📋 Despesas'!N:N,B285)</f>
        <v>0</v>
      </c>
      <c r="E285" s="53"/>
      <c r="F285" s="53"/>
      <c r="G285" s="372"/>
      <c r="H285" s="372"/>
      <c r="I285" s="379"/>
      <c r="J285" s="372"/>
      <c r="K285" s="373"/>
      <c r="L285" s="372"/>
      <c r="M285" s="372"/>
      <c r="N285" s="227"/>
      <c r="O285" s="227"/>
      <c r="P285" s="227"/>
      <c r="Q285" s="227"/>
      <c r="R285" s="227"/>
      <c r="S285" s="340"/>
      <c r="T285" s="226"/>
      <c r="U285" s="53"/>
      <c r="V285" s="53"/>
      <c r="W285" s="53"/>
      <c r="X285" s="53"/>
    </row>
    <row r="286" spans="1:24" ht="15.75" hidden="1" customHeight="1" outlineLevel="1">
      <c r="A286" s="69"/>
      <c r="B286" s="69">
        <v>46109</v>
      </c>
      <c r="C286" s="70" t="str">
        <f t="shared" si="6"/>
        <v>sábado</v>
      </c>
      <c r="D286" s="55">
        <f>SUMIFS('📋 Despesas'!K:K,'📋 Despesas'!N:N,B286)</f>
        <v>0</v>
      </c>
      <c r="E286" s="53"/>
      <c r="F286" s="53"/>
      <c r="G286" s="372"/>
      <c r="H286" s="372"/>
      <c r="I286" s="379"/>
      <c r="J286" s="372"/>
      <c r="K286" s="373"/>
      <c r="L286" s="372"/>
      <c r="M286" s="372"/>
      <c r="N286" s="227"/>
      <c r="O286" s="227"/>
      <c r="P286" s="227"/>
      <c r="Q286" s="227"/>
      <c r="R286" s="227"/>
      <c r="S286" s="340"/>
      <c r="T286" s="226"/>
      <c r="U286" s="53"/>
      <c r="V286" s="53"/>
      <c r="W286" s="53"/>
      <c r="X286" s="53"/>
    </row>
    <row r="287" spans="1:24" ht="15.75" hidden="1" customHeight="1" outlineLevel="1">
      <c r="A287" s="69"/>
      <c r="B287" s="69">
        <v>46110</v>
      </c>
      <c r="C287" s="70" t="str">
        <f t="shared" si="6"/>
        <v>domingo</v>
      </c>
      <c r="D287" s="55">
        <f>SUMIFS('📋 Despesas'!K:K,'📋 Despesas'!N:N,B287)</f>
        <v>0</v>
      </c>
      <c r="E287" s="53"/>
      <c r="F287" s="53"/>
      <c r="G287" s="372"/>
      <c r="H287" s="372"/>
      <c r="I287" s="379"/>
      <c r="J287" s="372"/>
      <c r="K287" s="373"/>
      <c r="L287" s="372"/>
      <c r="M287" s="372"/>
      <c r="N287" s="227"/>
      <c r="O287" s="227"/>
      <c r="P287" s="227"/>
      <c r="Q287" s="227"/>
      <c r="R287" s="227"/>
      <c r="S287" s="340"/>
      <c r="T287" s="226"/>
      <c r="U287" s="53"/>
      <c r="V287" s="53"/>
      <c r="W287" s="53"/>
      <c r="X287" s="53"/>
    </row>
    <row r="288" spans="1:24" ht="15.75" hidden="1" customHeight="1" outlineLevel="1">
      <c r="A288" s="69"/>
      <c r="B288" s="69">
        <v>46111</v>
      </c>
      <c r="C288" s="70" t="str">
        <f t="shared" si="6"/>
        <v>segunda-feira</v>
      </c>
      <c r="D288" s="55">
        <f>SUMIFS('📋 Despesas'!K:K,'📋 Despesas'!N:N,B288)</f>
        <v>0</v>
      </c>
      <c r="E288" s="53"/>
      <c r="F288" s="53"/>
      <c r="G288" s="372"/>
      <c r="H288" s="372"/>
      <c r="I288" s="379"/>
      <c r="J288" s="372"/>
      <c r="K288" s="373"/>
      <c r="L288" s="372"/>
      <c r="M288" s="372"/>
      <c r="N288" s="227"/>
      <c r="O288" s="227"/>
      <c r="P288" s="227"/>
      <c r="Q288" s="227"/>
      <c r="R288" s="227"/>
      <c r="S288" s="340"/>
      <c r="T288" s="226"/>
      <c r="U288" s="53"/>
      <c r="V288" s="53"/>
      <c r="W288" s="53"/>
      <c r="X288" s="53"/>
    </row>
    <row r="289" spans="1:24" ht="15.75" hidden="1" customHeight="1" outlineLevel="1">
      <c r="A289" s="69"/>
      <c r="B289" s="69">
        <v>46112</v>
      </c>
      <c r="C289" s="70" t="str">
        <f t="shared" si="6"/>
        <v>terça-feira</v>
      </c>
      <c r="D289" s="55">
        <f>SUMIFS('📋 Despesas'!K:K,'📋 Despesas'!N:N,B289)</f>
        <v>0</v>
      </c>
      <c r="E289" s="53"/>
      <c r="F289" s="53"/>
      <c r="G289" s="372"/>
      <c r="H289" s="372"/>
      <c r="I289" s="379"/>
      <c r="J289" s="372"/>
      <c r="K289" s="373"/>
      <c r="L289" s="372"/>
      <c r="M289" s="372"/>
      <c r="N289" s="227"/>
      <c r="O289" s="227"/>
      <c r="P289" s="227"/>
      <c r="Q289" s="227"/>
      <c r="R289" s="227"/>
      <c r="S289" s="340"/>
      <c r="T289" s="226"/>
      <c r="U289" s="53"/>
      <c r="V289" s="53"/>
      <c r="W289" s="53"/>
      <c r="X289" s="53"/>
    </row>
    <row r="290" spans="1:24" ht="15.75" hidden="1" customHeight="1" outlineLevel="1">
      <c r="A290" s="69"/>
      <c r="B290" s="69">
        <v>46113</v>
      </c>
      <c r="C290" s="70" t="str">
        <f t="shared" si="6"/>
        <v>quarta-feira</v>
      </c>
      <c r="D290" s="55">
        <f>SUMIFS('📋 Despesas'!K:K,'📋 Despesas'!N:N,B290)</f>
        <v>0</v>
      </c>
      <c r="E290" s="53"/>
      <c r="F290" s="53"/>
      <c r="G290" s="372"/>
      <c r="H290" s="372"/>
      <c r="I290" s="379"/>
      <c r="J290" s="372"/>
      <c r="K290" s="373"/>
      <c r="L290" s="372"/>
      <c r="M290" s="372"/>
      <c r="N290" s="227"/>
      <c r="O290" s="227"/>
      <c r="P290" s="227"/>
      <c r="Q290" s="227"/>
      <c r="R290" s="227"/>
      <c r="S290" s="340"/>
      <c r="T290" s="226"/>
      <c r="U290" s="53"/>
      <c r="V290" s="53"/>
      <c r="W290" s="53"/>
      <c r="X290" s="53"/>
    </row>
    <row r="291" spans="1:24" ht="15.75" hidden="1" customHeight="1" outlineLevel="1">
      <c r="A291" s="69"/>
      <c r="B291" s="69">
        <v>46114</v>
      </c>
      <c r="C291" s="70" t="str">
        <f t="shared" si="6"/>
        <v>quinta-feira</v>
      </c>
      <c r="D291" s="55">
        <f>SUMIFS('📋 Despesas'!K:K,'📋 Despesas'!N:N,B291)</f>
        <v>0</v>
      </c>
      <c r="E291" s="53"/>
      <c r="F291" s="53"/>
      <c r="G291" s="372"/>
      <c r="H291" s="372"/>
      <c r="I291" s="379"/>
      <c r="J291" s="372"/>
      <c r="K291" s="373"/>
      <c r="L291" s="372"/>
      <c r="M291" s="372"/>
      <c r="N291" s="227"/>
      <c r="O291" s="227"/>
      <c r="P291" s="227"/>
      <c r="Q291" s="227"/>
      <c r="R291" s="227"/>
      <c r="S291" s="340"/>
      <c r="T291" s="226"/>
      <c r="U291" s="53"/>
      <c r="V291" s="53"/>
      <c r="W291" s="53"/>
      <c r="X291" s="53"/>
    </row>
    <row r="292" spans="1:24" ht="15.75" hidden="1" customHeight="1" outlineLevel="1">
      <c r="A292" s="69"/>
      <c r="B292" s="69">
        <v>46115</v>
      </c>
      <c r="C292" s="70" t="str">
        <f t="shared" si="6"/>
        <v>sexta-feira</v>
      </c>
      <c r="D292" s="55">
        <f>SUMIFS('📋 Despesas'!K:K,'📋 Despesas'!N:N,B292)</f>
        <v>0</v>
      </c>
      <c r="E292" s="53"/>
      <c r="F292" s="53"/>
      <c r="G292" s="372"/>
      <c r="H292" s="372"/>
      <c r="I292" s="379"/>
      <c r="J292" s="372"/>
      <c r="K292" s="373"/>
      <c r="L292" s="372"/>
      <c r="M292" s="372"/>
      <c r="N292" s="227"/>
      <c r="O292" s="227"/>
      <c r="P292" s="227"/>
      <c r="Q292" s="227"/>
      <c r="R292" s="227"/>
      <c r="S292" s="340"/>
      <c r="T292" s="226"/>
      <c r="U292" s="53"/>
      <c r="V292" s="53"/>
      <c r="W292" s="53"/>
      <c r="X292" s="53"/>
    </row>
    <row r="293" spans="1:24" ht="15.75" hidden="1" customHeight="1" outlineLevel="1">
      <c r="A293" s="69"/>
      <c r="B293" s="69">
        <v>46116</v>
      </c>
      <c r="C293" s="70" t="str">
        <f t="shared" si="6"/>
        <v>sábado</v>
      </c>
      <c r="D293" s="55">
        <f>SUMIFS('📋 Despesas'!K:K,'📋 Despesas'!N:N,B293)</f>
        <v>0</v>
      </c>
      <c r="E293" s="53"/>
      <c r="F293" s="53"/>
      <c r="G293" s="372"/>
      <c r="H293" s="372"/>
      <c r="I293" s="379"/>
      <c r="J293" s="372"/>
      <c r="K293" s="373"/>
      <c r="L293" s="372"/>
      <c r="M293" s="372"/>
      <c r="N293" s="227"/>
      <c r="O293" s="227"/>
      <c r="P293" s="227"/>
      <c r="Q293" s="227"/>
      <c r="R293" s="227"/>
      <c r="S293" s="340"/>
      <c r="T293" s="226"/>
      <c r="U293" s="53"/>
      <c r="V293" s="53"/>
      <c r="W293" s="53"/>
      <c r="X293" s="53"/>
    </row>
    <row r="294" spans="1:24" ht="15.75" hidden="1" customHeight="1" outlineLevel="1">
      <c r="A294" s="69"/>
      <c r="B294" s="69">
        <v>46117</v>
      </c>
      <c r="C294" s="70" t="str">
        <f t="shared" si="6"/>
        <v>domingo</v>
      </c>
      <c r="D294" s="55">
        <f>SUMIFS('📋 Despesas'!K:K,'📋 Despesas'!N:N,B294)</f>
        <v>0</v>
      </c>
      <c r="E294" s="53"/>
      <c r="F294" s="53"/>
      <c r="G294" s="372"/>
      <c r="H294" s="372"/>
      <c r="I294" s="379"/>
      <c r="J294" s="372"/>
      <c r="K294" s="373"/>
      <c r="L294" s="372"/>
      <c r="M294" s="372"/>
      <c r="N294" s="227"/>
      <c r="O294" s="227"/>
      <c r="P294" s="227"/>
      <c r="Q294" s="227"/>
      <c r="R294" s="227"/>
      <c r="S294" s="340"/>
      <c r="T294" s="226"/>
      <c r="U294" s="53"/>
      <c r="V294" s="53"/>
      <c r="W294" s="53"/>
      <c r="X294" s="53"/>
    </row>
    <row r="295" spans="1:24" ht="15.75" hidden="1" customHeight="1" outlineLevel="1">
      <c r="A295" s="69"/>
      <c r="B295" s="69">
        <v>46118</v>
      </c>
      <c r="C295" s="70" t="str">
        <f t="shared" si="6"/>
        <v>segunda-feira</v>
      </c>
      <c r="D295" s="55">
        <f>SUMIFS('📋 Despesas'!K:K,'📋 Despesas'!N:N,B295)</f>
        <v>0</v>
      </c>
      <c r="E295" s="53"/>
      <c r="F295" s="53"/>
      <c r="G295" s="372"/>
      <c r="H295" s="372"/>
      <c r="I295" s="379"/>
      <c r="J295" s="372"/>
      <c r="K295" s="373"/>
      <c r="L295" s="372"/>
      <c r="M295" s="372"/>
      <c r="N295" s="227"/>
      <c r="O295" s="227"/>
      <c r="P295" s="227"/>
      <c r="Q295" s="227"/>
      <c r="R295" s="227"/>
      <c r="S295" s="340"/>
      <c r="T295" s="226"/>
      <c r="U295" s="53"/>
      <c r="V295" s="53"/>
      <c r="W295" s="53"/>
      <c r="X295" s="53"/>
    </row>
    <row r="296" spans="1:24" ht="15.75" hidden="1" customHeight="1" outlineLevel="1">
      <c r="A296" s="69"/>
      <c r="B296" s="69">
        <v>46119</v>
      </c>
      <c r="C296" s="70" t="str">
        <f t="shared" si="6"/>
        <v>terça-feira</v>
      </c>
      <c r="D296" s="55">
        <f>SUMIFS('📋 Despesas'!K:K,'📋 Despesas'!N:N,B296)</f>
        <v>0</v>
      </c>
      <c r="E296" s="53"/>
      <c r="F296" s="53"/>
      <c r="G296" s="372"/>
      <c r="H296" s="372"/>
      <c r="I296" s="379"/>
      <c r="J296" s="372"/>
      <c r="K296" s="373"/>
      <c r="L296" s="372"/>
      <c r="M296" s="372"/>
      <c r="N296" s="227"/>
      <c r="O296" s="227"/>
      <c r="P296" s="227"/>
      <c r="Q296" s="227"/>
      <c r="R296" s="227"/>
      <c r="S296" s="340"/>
      <c r="T296" s="226"/>
      <c r="U296" s="53"/>
      <c r="V296" s="53"/>
      <c r="W296" s="53"/>
      <c r="X296" s="53"/>
    </row>
    <row r="297" spans="1:24" ht="15.75" hidden="1" customHeight="1" outlineLevel="1">
      <c r="A297" s="69"/>
      <c r="B297" s="69">
        <v>46120</v>
      </c>
      <c r="C297" s="70" t="str">
        <f t="shared" si="6"/>
        <v>quarta-feira</v>
      </c>
      <c r="D297" s="55">
        <f>SUMIFS('📋 Despesas'!K:K,'📋 Despesas'!N:N,B297)</f>
        <v>0</v>
      </c>
      <c r="E297" s="53"/>
      <c r="F297" s="53"/>
      <c r="G297" s="372"/>
      <c r="H297" s="372"/>
      <c r="I297" s="379"/>
      <c r="J297" s="372"/>
      <c r="K297" s="373"/>
      <c r="L297" s="372"/>
      <c r="M297" s="372"/>
      <c r="N297" s="227"/>
      <c r="O297" s="227"/>
      <c r="P297" s="227"/>
      <c r="Q297" s="227"/>
      <c r="R297" s="227"/>
      <c r="S297" s="340"/>
      <c r="T297" s="226"/>
      <c r="U297" s="53"/>
      <c r="V297" s="53"/>
      <c r="W297" s="53"/>
      <c r="X297" s="53"/>
    </row>
    <row r="298" spans="1:24" ht="15.75" hidden="1" customHeight="1" outlineLevel="1">
      <c r="A298" s="69"/>
      <c r="B298" s="69">
        <v>46121</v>
      </c>
      <c r="C298" s="70" t="str">
        <f t="shared" si="6"/>
        <v>quinta-feira</v>
      </c>
      <c r="D298" s="55">
        <f>SUMIFS('📋 Despesas'!K:K,'📋 Despesas'!N:N,B298)</f>
        <v>0</v>
      </c>
      <c r="E298" s="53"/>
      <c r="F298" s="53"/>
      <c r="G298" s="372"/>
      <c r="H298" s="372"/>
      <c r="I298" s="379"/>
      <c r="J298" s="372"/>
      <c r="K298" s="373"/>
      <c r="L298" s="372"/>
      <c r="M298" s="372"/>
      <c r="N298" s="227"/>
      <c r="O298" s="227"/>
      <c r="P298" s="227"/>
      <c r="Q298" s="227"/>
      <c r="R298" s="227"/>
      <c r="S298" s="340"/>
      <c r="T298" s="226"/>
      <c r="U298" s="53"/>
      <c r="V298" s="53"/>
      <c r="W298" s="53"/>
      <c r="X298" s="53"/>
    </row>
    <row r="299" spans="1:24" ht="15.75" hidden="1" customHeight="1" outlineLevel="1">
      <c r="A299" s="69"/>
      <c r="B299" s="69">
        <v>46122</v>
      </c>
      <c r="C299" s="70" t="str">
        <f t="shared" si="6"/>
        <v>sexta-feira</v>
      </c>
      <c r="D299" s="55">
        <f>SUMIFS('📋 Despesas'!K:K,'📋 Despesas'!N:N,B299)</f>
        <v>0</v>
      </c>
      <c r="E299" s="53"/>
      <c r="F299" s="53"/>
      <c r="G299" s="372"/>
      <c r="H299" s="372"/>
      <c r="I299" s="379"/>
      <c r="J299" s="372"/>
      <c r="K299" s="373"/>
      <c r="L299" s="372"/>
      <c r="M299" s="372"/>
      <c r="N299" s="227"/>
      <c r="O299" s="227"/>
      <c r="P299" s="227"/>
      <c r="Q299" s="227"/>
      <c r="R299" s="227"/>
      <c r="S299" s="340"/>
      <c r="T299" s="226"/>
      <c r="U299" s="53"/>
      <c r="V299" s="53"/>
      <c r="W299" s="53"/>
      <c r="X299" s="53"/>
    </row>
    <row r="300" spans="1:24" ht="15.75" hidden="1" customHeight="1" outlineLevel="1">
      <c r="A300" s="69"/>
      <c r="B300" s="69">
        <v>46123</v>
      </c>
      <c r="C300" s="70" t="str">
        <f t="shared" si="6"/>
        <v>sábado</v>
      </c>
      <c r="D300" s="55">
        <f>SUMIFS('📋 Despesas'!K:K,'📋 Despesas'!N:N,B300)</f>
        <v>0</v>
      </c>
      <c r="E300" s="53"/>
      <c r="F300" s="53"/>
      <c r="G300" s="372"/>
      <c r="H300" s="372"/>
      <c r="I300" s="379"/>
      <c r="J300" s="372"/>
      <c r="K300" s="373"/>
      <c r="L300" s="372"/>
      <c r="M300" s="372"/>
      <c r="N300" s="227"/>
      <c r="O300" s="227"/>
      <c r="P300" s="227"/>
      <c r="Q300" s="227"/>
      <c r="R300" s="227"/>
      <c r="S300" s="340"/>
      <c r="T300" s="226"/>
      <c r="U300" s="53"/>
      <c r="V300" s="53"/>
      <c r="W300" s="53"/>
      <c r="X300" s="53"/>
    </row>
    <row r="301" spans="1:24" ht="15.75" hidden="1" customHeight="1" outlineLevel="1">
      <c r="A301" s="69"/>
      <c r="B301" s="69">
        <v>46124</v>
      </c>
      <c r="C301" s="70" t="str">
        <f t="shared" si="6"/>
        <v>domingo</v>
      </c>
      <c r="D301" s="55">
        <f>SUMIFS('📋 Despesas'!K:K,'📋 Despesas'!N:N,B301)</f>
        <v>0</v>
      </c>
      <c r="E301" s="53"/>
      <c r="F301" s="53"/>
      <c r="G301" s="372"/>
      <c r="H301" s="372"/>
      <c r="I301" s="379"/>
      <c r="J301" s="372"/>
      <c r="K301" s="373"/>
      <c r="L301" s="372"/>
      <c r="M301" s="372"/>
      <c r="N301" s="227"/>
      <c r="O301" s="227"/>
      <c r="P301" s="227"/>
      <c r="Q301" s="227"/>
      <c r="R301" s="227"/>
      <c r="S301" s="340"/>
      <c r="T301" s="226"/>
      <c r="U301" s="53"/>
      <c r="V301" s="53"/>
      <c r="W301" s="53"/>
      <c r="X301" s="53"/>
    </row>
    <row r="302" spans="1:24" ht="15.75" hidden="1" customHeight="1" outlineLevel="1">
      <c r="A302" s="69"/>
      <c r="B302" s="69">
        <v>46125</v>
      </c>
      <c r="C302" s="70" t="str">
        <f t="shared" si="6"/>
        <v>segunda-feira</v>
      </c>
      <c r="D302" s="55">
        <f>SUMIFS('📋 Despesas'!K:K,'📋 Despesas'!N:N,B302)</f>
        <v>0</v>
      </c>
      <c r="E302" s="53"/>
      <c r="F302" s="53"/>
      <c r="G302" s="372"/>
      <c r="H302" s="372"/>
      <c r="I302" s="379"/>
      <c r="J302" s="372"/>
      <c r="K302" s="373"/>
      <c r="L302" s="372"/>
      <c r="M302" s="372"/>
      <c r="N302" s="227"/>
      <c r="O302" s="227"/>
      <c r="P302" s="227"/>
      <c r="Q302" s="227"/>
      <c r="R302" s="227"/>
      <c r="S302" s="340"/>
      <c r="T302" s="226"/>
      <c r="U302" s="53"/>
      <c r="V302" s="53"/>
      <c r="W302" s="53"/>
      <c r="X302" s="53"/>
    </row>
    <row r="303" spans="1:24" ht="15.75" hidden="1" customHeight="1" outlineLevel="1">
      <c r="A303" s="69"/>
      <c r="B303" s="69">
        <v>46126</v>
      </c>
      <c r="C303" s="70" t="str">
        <f t="shared" si="6"/>
        <v>terça-feira</v>
      </c>
      <c r="D303" s="55">
        <f>SUMIFS('📋 Despesas'!K:K,'📋 Despesas'!N:N,B303)</f>
        <v>0</v>
      </c>
      <c r="E303" s="53"/>
      <c r="F303" s="53"/>
      <c r="G303" s="372"/>
      <c r="H303" s="372"/>
      <c r="I303" s="379"/>
      <c r="J303" s="372"/>
      <c r="K303" s="373"/>
      <c r="L303" s="372"/>
      <c r="M303" s="372"/>
      <c r="N303" s="227"/>
      <c r="O303" s="227"/>
      <c r="P303" s="227"/>
      <c r="Q303" s="227"/>
      <c r="R303" s="227"/>
      <c r="S303" s="340"/>
      <c r="T303" s="226"/>
      <c r="U303" s="53"/>
      <c r="V303" s="53"/>
      <c r="W303" s="53"/>
      <c r="X303" s="53"/>
    </row>
    <row r="304" spans="1:24" ht="15.75" hidden="1" customHeight="1" outlineLevel="1">
      <c r="A304" s="69"/>
      <c r="B304" s="69">
        <v>46127</v>
      </c>
      <c r="C304" s="70" t="str">
        <f t="shared" si="6"/>
        <v>quarta-feira</v>
      </c>
      <c r="D304" s="55">
        <f>SUMIFS('📋 Despesas'!K:K,'📋 Despesas'!N:N,B304)</f>
        <v>0</v>
      </c>
      <c r="E304" s="53"/>
      <c r="F304" s="53"/>
      <c r="G304" s="372"/>
      <c r="H304" s="372"/>
      <c r="I304" s="379"/>
      <c r="J304" s="372"/>
      <c r="K304" s="373"/>
      <c r="L304" s="372"/>
      <c r="M304" s="372"/>
      <c r="N304" s="227"/>
      <c r="O304" s="227"/>
      <c r="P304" s="227"/>
      <c r="Q304" s="227"/>
      <c r="R304" s="227"/>
      <c r="S304" s="340"/>
      <c r="T304" s="226"/>
      <c r="U304" s="53"/>
      <c r="V304" s="53"/>
      <c r="W304" s="53"/>
      <c r="X304" s="53"/>
    </row>
    <row r="305" spans="1:24" ht="15.75" hidden="1" customHeight="1" outlineLevel="1">
      <c r="A305" s="69"/>
      <c r="B305" s="69">
        <v>46128</v>
      </c>
      <c r="C305" s="70" t="str">
        <f t="shared" si="6"/>
        <v>quinta-feira</v>
      </c>
      <c r="D305" s="55">
        <f>SUMIFS('📋 Despesas'!K:K,'📋 Despesas'!N:N,B305)</f>
        <v>0</v>
      </c>
      <c r="E305" s="53"/>
      <c r="F305" s="53"/>
      <c r="G305" s="372"/>
      <c r="H305" s="372"/>
      <c r="I305" s="379"/>
      <c r="J305" s="372"/>
      <c r="K305" s="373"/>
      <c r="L305" s="372"/>
      <c r="M305" s="372"/>
      <c r="N305" s="227"/>
      <c r="O305" s="227"/>
      <c r="P305" s="227"/>
      <c r="Q305" s="227"/>
      <c r="R305" s="227"/>
      <c r="S305" s="340"/>
      <c r="T305" s="226"/>
      <c r="U305" s="53"/>
      <c r="V305" s="53"/>
      <c r="W305" s="53"/>
      <c r="X305" s="53"/>
    </row>
    <row r="306" spans="1:24" ht="15.75" hidden="1" customHeight="1" outlineLevel="1">
      <c r="A306" s="69"/>
      <c r="B306" s="69">
        <v>46129</v>
      </c>
      <c r="C306" s="70" t="str">
        <f t="shared" si="6"/>
        <v>sexta-feira</v>
      </c>
      <c r="D306" s="55">
        <f>SUMIFS('📋 Despesas'!K:K,'📋 Despesas'!N:N,B306)</f>
        <v>0</v>
      </c>
      <c r="E306" s="53"/>
      <c r="F306" s="53"/>
      <c r="G306" s="372"/>
      <c r="H306" s="372"/>
      <c r="I306" s="379"/>
      <c r="J306" s="372"/>
      <c r="K306" s="373"/>
      <c r="L306" s="372"/>
      <c r="M306" s="372"/>
      <c r="N306" s="227"/>
      <c r="O306" s="227"/>
      <c r="P306" s="227"/>
      <c r="Q306" s="227"/>
      <c r="R306" s="227"/>
      <c r="S306" s="340"/>
      <c r="T306" s="226"/>
      <c r="U306" s="53"/>
      <c r="V306" s="53"/>
      <c r="W306" s="53"/>
      <c r="X306" s="53"/>
    </row>
    <row r="307" spans="1:24" ht="15.75" hidden="1" customHeight="1" outlineLevel="1">
      <c r="A307" s="69"/>
      <c r="B307" s="69">
        <v>46130</v>
      </c>
      <c r="C307" s="70" t="str">
        <f t="shared" si="6"/>
        <v>sábado</v>
      </c>
      <c r="D307" s="55">
        <f>SUMIFS('📋 Despesas'!K:K,'📋 Despesas'!N:N,B307)</f>
        <v>0</v>
      </c>
      <c r="E307" s="53"/>
      <c r="F307" s="53"/>
      <c r="G307" s="372"/>
      <c r="H307" s="372"/>
      <c r="I307" s="379"/>
      <c r="J307" s="372"/>
      <c r="K307" s="373"/>
      <c r="L307" s="372"/>
      <c r="M307" s="372"/>
      <c r="N307" s="227"/>
      <c r="O307" s="227"/>
      <c r="P307" s="227"/>
      <c r="Q307" s="227"/>
      <c r="R307" s="227"/>
      <c r="S307" s="340"/>
      <c r="T307" s="226"/>
      <c r="U307" s="53"/>
      <c r="V307" s="53"/>
      <c r="W307" s="53"/>
      <c r="X307" s="53"/>
    </row>
    <row r="308" spans="1:24" ht="15.75" hidden="1" customHeight="1" outlineLevel="1">
      <c r="A308" s="69"/>
      <c r="B308" s="69">
        <v>46131</v>
      </c>
      <c r="C308" s="70" t="str">
        <f t="shared" si="6"/>
        <v>domingo</v>
      </c>
      <c r="D308" s="55">
        <f>SUMIFS('📋 Despesas'!K:K,'📋 Despesas'!N:N,B308)</f>
        <v>0</v>
      </c>
      <c r="E308" s="53"/>
      <c r="F308" s="53"/>
      <c r="G308" s="372"/>
      <c r="H308" s="372"/>
      <c r="I308" s="379"/>
      <c r="J308" s="372"/>
      <c r="K308" s="373"/>
      <c r="L308" s="372"/>
      <c r="M308" s="372"/>
      <c r="N308" s="227"/>
      <c r="O308" s="227"/>
      <c r="P308" s="227"/>
      <c r="Q308" s="227"/>
      <c r="R308" s="227"/>
      <c r="S308" s="340"/>
      <c r="T308" s="226"/>
      <c r="U308" s="53"/>
      <c r="V308" s="53"/>
      <c r="W308" s="53"/>
      <c r="X308" s="53"/>
    </row>
    <row r="309" spans="1:24" ht="15.75" hidden="1" customHeight="1" outlineLevel="1">
      <c r="A309" s="69"/>
      <c r="B309" s="69">
        <v>46132</v>
      </c>
      <c r="C309" s="70" t="str">
        <f t="shared" si="6"/>
        <v>segunda-feira</v>
      </c>
      <c r="D309" s="55">
        <f>SUMIFS('📋 Despesas'!K:K,'📋 Despesas'!N:N,B309)</f>
        <v>0</v>
      </c>
      <c r="E309" s="53"/>
      <c r="F309" s="53"/>
      <c r="G309" s="372"/>
      <c r="H309" s="372"/>
      <c r="I309" s="379"/>
      <c r="J309" s="372"/>
      <c r="K309" s="373"/>
      <c r="L309" s="372"/>
      <c r="M309" s="372"/>
      <c r="N309" s="227"/>
      <c r="O309" s="227"/>
      <c r="P309" s="227"/>
      <c r="Q309" s="227"/>
      <c r="R309" s="227"/>
      <c r="S309" s="340"/>
      <c r="T309" s="226"/>
      <c r="U309" s="53"/>
      <c r="V309" s="53"/>
      <c r="W309" s="53"/>
      <c r="X309" s="53"/>
    </row>
    <row r="310" spans="1:24" ht="15.75" hidden="1" customHeight="1" outlineLevel="1">
      <c r="A310" s="69"/>
      <c r="B310" s="69">
        <v>46133</v>
      </c>
      <c r="C310" s="70" t="str">
        <f t="shared" si="6"/>
        <v>terça-feira</v>
      </c>
      <c r="D310" s="55">
        <f>SUMIFS('📋 Despesas'!K:K,'📋 Despesas'!N:N,B310)</f>
        <v>0</v>
      </c>
      <c r="E310" s="53"/>
      <c r="F310" s="53"/>
      <c r="G310" s="372"/>
      <c r="H310" s="372"/>
      <c r="I310" s="379"/>
      <c r="J310" s="372"/>
      <c r="K310" s="373"/>
      <c r="L310" s="372"/>
      <c r="M310" s="372"/>
      <c r="N310" s="227"/>
      <c r="O310" s="227"/>
      <c r="P310" s="227"/>
      <c r="Q310" s="227"/>
      <c r="R310" s="227"/>
      <c r="S310" s="340"/>
      <c r="T310" s="226"/>
      <c r="U310" s="53"/>
      <c r="V310" s="53"/>
      <c r="W310" s="53"/>
      <c r="X310" s="53"/>
    </row>
    <row r="311" spans="1:24" ht="15.75" hidden="1" customHeight="1" outlineLevel="1">
      <c r="A311" s="69"/>
      <c r="B311" s="69">
        <v>46134</v>
      </c>
      <c r="C311" s="70" t="str">
        <f t="shared" si="6"/>
        <v>quarta-feira</v>
      </c>
      <c r="D311" s="55">
        <f>SUMIFS('📋 Despesas'!K:K,'📋 Despesas'!N:N,B311)</f>
        <v>0</v>
      </c>
      <c r="E311" s="53"/>
      <c r="F311" s="53"/>
      <c r="G311" s="372"/>
      <c r="H311" s="372"/>
      <c r="I311" s="379"/>
      <c r="J311" s="372"/>
      <c r="K311" s="373"/>
      <c r="L311" s="372"/>
      <c r="M311" s="372"/>
      <c r="N311" s="227"/>
      <c r="O311" s="227"/>
      <c r="P311" s="227"/>
      <c r="Q311" s="227"/>
      <c r="R311" s="227"/>
      <c r="S311" s="340"/>
      <c r="T311" s="226"/>
      <c r="U311" s="53"/>
      <c r="V311" s="53"/>
      <c r="W311" s="53"/>
      <c r="X311" s="53"/>
    </row>
    <row r="312" spans="1:24" ht="15.75" hidden="1" customHeight="1" outlineLevel="1">
      <c r="A312" s="69"/>
      <c r="B312" s="69">
        <v>46135</v>
      </c>
      <c r="C312" s="70" t="str">
        <f t="shared" si="6"/>
        <v>quinta-feira</v>
      </c>
      <c r="D312" s="55">
        <f>SUMIFS('📋 Despesas'!K:K,'📋 Despesas'!N:N,B312)</f>
        <v>0</v>
      </c>
      <c r="E312" s="53"/>
      <c r="F312" s="53"/>
      <c r="G312" s="372"/>
      <c r="H312" s="372"/>
      <c r="I312" s="379"/>
      <c r="J312" s="372"/>
      <c r="K312" s="373"/>
      <c r="L312" s="372"/>
      <c r="M312" s="372"/>
      <c r="N312" s="227"/>
      <c r="O312" s="227"/>
      <c r="P312" s="227"/>
      <c r="Q312" s="227"/>
      <c r="R312" s="227"/>
      <c r="S312" s="340"/>
      <c r="T312" s="226"/>
      <c r="U312" s="53"/>
      <c r="V312" s="53"/>
      <c r="W312" s="53"/>
      <c r="X312" s="53"/>
    </row>
    <row r="313" spans="1:24" ht="15.75" hidden="1" customHeight="1" outlineLevel="1">
      <c r="A313" s="69"/>
      <c r="B313" s="69">
        <v>46136</v>
      </c>
      <c r="C313" s="70" t="str">
        <f t="shared" si="6"/>
        <v>sexta-feira</v>
      </c>
      <c r="D313" s="55">
        <f>SUMIFS('📋 Despesas'!K:K,'📋 Despesas'!N:N,B313)</f>
        <v>0</v>
      </c>
      <c r="E313" s="53"/>
      <c r="F313" s="53"/>
      <c r="G313" s="372"/>
      <c r="H313" s="372"/>
      <c r="I313" s="379"/>
      <c r="J313" s="372"/>
      <c r="K313" s="373"/>
      <c r="L313" s="372"/>
      <c r="M313" s="372"/>
      <c r="N313" s="227"/>
      <c r="O313" s="227"/>
      <c r="P313" s="227"/>
      <c r="Q313" s="227"/>
      <c r="R313" s="227"/>
      <c r="S313" s="340"/>
      <c r="T313" s="226"/>
      <c r="U313" s="53"/>
      <c r="V313" s="53"/>
      <c r="W313" s="53"/>
      <c r="X313" s="53"/>
    </row>
    <row r="314" spans="1:24" ht="15.75" hidden="1" customHeight="1" outlineLevel="1">
      <c r="A314" s="69"/>
      <c r="B314" s="69">
        <v>46137</v>
      </c>
      <c r="C314" s="70" t="str">
        <f t="shared" si="6"/>
        <v>sábado</v>
      </c>
      <c r="D314" s="55">
        <f>SUMIFS('📋 Despesas'!K:K,'📋 Despesas'!N:N,B314)</f>
        <v>0</v>
      </c>
      <c r="E314" s="53"/>
      <c r="F314" s="53"/>
      <c r="G314" s="372"/>
      <c r="H314" s="372"/>
      <c r="I314" s="379"/>
      <c r="J314" s="372"/>
      <c r="K314" s="373"/>
      <c r="L314" s="372"/>
      <c r="M314" s="372"/>
      <c r="N314" s="227"/>
      <c r="O314" s="227"/>
      <c r="P314" s="227"/>
      <c r="Q314" s="227"/>
      <c r="R314" s="227"/>
      <c r="S314" s="340"/>
      <c r="T314" s="226"/>
      <c r="U314" s="53"/>
      <c r="V314" s="53"/>
      <c r="W314" s="53"/>
      <c r="X314" s="53"/>
    </row>
    <row r="315" spans="1:24" ht="15.75" hidden="1" customHeight="1" outlineLevel="1">
      <c r="A315" s="69"/>
      <c r="B315" s="69">
        <v>46138</v>
      </c>
      <c r="C315" s="70" t="str">
        <f t="shared" si="6"/>
        <v>domingo</v>
      </c>
      <c r="D315" s="55">
        <f>SUMIFS('📋 Despesas'!K:K,'📋 Despesas'!N:N,B315)</f>
        <v>0</v>
      </c>
      <c r="E315" s="53"/>
      <c r="F315" s="53"/>
      <c r="G315" s="372"/>
      <c r="H315" s="372"/>
      <c r="I315" s="379"/>
      <c r="J315" s="372"/>
      <c r="K315" s="373"/>
      <c r="L315" s="372"/>
      <c r="M315" s="372"/>
      <c r="N315" s="227"/>
      <c r="O315" s="227"/>
      <c r="P315" s="227"/>
      <c r="Q315" s="227"/>
      <c r="R315" s="227"/>
      <c r="S315" s="340"/>
      <c r="T315" s="226"/>
      <c r="U315" s="53"/>
      <c r="V315" s="53"/>
      <c r="W315" s="53"/>
      <c r="X315" s="53"/>
    </row>
    <row r="316" spans="1:24" ht="15.75" hidden="1" customHeight="1" outlineLevel="1">
      <c r="A316" s="69"/>
      <c r="B316" s="69">
        <v>46139</v>
      </c>
      <c r="C316" s="70" t="str">
        <f t="shared" si="6"/>
        <v>segunda-feira</v>
      </c>
      <c r="D316" s="55">
        <f>SUMIFS('📋 Despesas'!K:K,'📋 Despesas'!N:N,B316)</f>
        <v>0</v>
      </c>
      <c r="E316" s="53"/>
      <c r="F316" s="53"/>
      <c r="G316" s="372"/>
      <c r="H316" s="372"/>
      <c r="I316" s="379"/>
      <c r="J316" s="372"/>
      <c r="K316" s="373"/>
      <c r="L316" s="372"/>
      <c r="M316" s="372"/>
      <c r="N316" s="227"/>
      <c r="O316" s="227"/>
      <c r="P316" s="227"/>
      <c r="Q316" s="227"/>
      <c r="R316" s="227"/>
      <c r="S316" s="340"/>
      <c r="T316" s="226"/>
      <c r="U316" s="53"/>
      <c r="V316" s="53"/>
      <c r="W316" s="53"/>
      <c r="X316" s="53"/>
    </row>
    <row r="317" spans="1:24" ht="15.75" hidden="1" customHeight="1" outlineLevel="1">
      <c r="A317" s="69"/>
      <c r="B317" s="69">
        <v>46140</v>
      </c>
      <c r="C317" s="70" t="str">
        <f t="shared" si="6"/>
        <v>terça-feira</v>
      </c>
      <c r="D317" s="55">
        <f>SUMIFS('📋 Despesas'!K:K,'📋 Despesas'!N:N,B317)</f>
        <v>0</v>
      </c>
      <c r="E317" s="53"/>
      <c r="F317" s="53"/>
      <c r="G317" s="372"/>
      <c r="H317" s="372"/>
      <c r="I317" s="379"/>
      <c r="J317" s="372"/>
      <c r="K317" s="373"/>
      <c r="L317" s="372"/>
      <c r="M317" s="372"/>
      <c r="N317" s="227"/>
      <c r="O317" s="227"/>
      <c r="P317" s="227"/>
      <c r="Q317" s="227"/>
      <c r="R317" s="227"/>
      <c r="S317" s="340"/>
      <c r="T317" s="226"/>
      <c r="U317" s="53"/>
      <c r="V317" s="53"/>
      <c r="W317" s="53"/>
      <c r="X317" s="53"/>
    </row>
    <row r="318" spans="1:24" ht="15.75" hidden="1" customHeight="1" outlineLevel="1">
      <c r="A318" s="69"/>
      <c r="B318" s="69">
        <v>46141</v>
      </c>
      <c r="C318" s="70" t="str">
        <f t="shared" si="6"/>
        <v>quarta-feira</v>
      </c>
      <c r="D318" s="55">
        <f>SUMIFS('📋 Despesas'!K:K,'📋 Despesas'!N:N,B318)</f>
        <v>0</v>
      </c>
      <c r="E318" s="53"/>
      <c r="F318" s="53"/>
      <c r="G318" s="372"/>
      <c r="H318" s="372"/>
      <c r="I318" s="379"/>
      <c r="J318" s="372"/>
      <c r="K318" s="373"/>
      <c r="L318" s="372"/>
      <c r="M318" s="372"/>
      <c r="N318" s="227"/>
      <c r="O318" s="227"/>
      <c r="P318" s="227"/>
      <c r="Q318" s="227"/>
      <c r="R318" s="227"/>
      <c r="S318" s="340"/>
      <c r="T318" s="226"/>
      <c r="U318" s="53"/>
      <c r="V318" s="53"/>
      <c r="W318" s="53"/>
      <c r="X318" s="53"/>
    </row>
    <row r="319" spans="1:24" ht="15.75" hidden="1" customHeight="1" outlineLevel="1">
      <c r="A319" s="69"/>
      <c r="B319" s="69">
        <v>46142</v>
      </c>
      <c r="C319" s="70" t="str">
        <f t="shared" si="6"/>
        <v>quinta-feira</v>
      </c>
      <c r="D319" s="55">
        <f>SUMIFS('📋 Despesas'!K:K,'📋 Despesas'!N:N,B319)</f>
        <v>0</v>
      </c>
      <c r="E319" s="53"/>
      <c r="F319" s="53"/>
      <c r="G319" s="372"/>
      <c r="H319" s="372"/>
      <c r="I319" s="379"/>
      <c r="J319" s="372"/>
      <c r="K319" s="373"/>
      <c r="L319" s="372"/>
      <c r="M319" s="372"/>
      <c r="N319" s="227"/>
      <c r="O319" s="227"/>
      <c r="P319" s="227"/>
      <c r="Q319" s="227"/>
      <c r="R319" s="227"/>
      <c r="S319" s="340"/>
      <c r="T319" s="226"/>
      <c r="U319" s="53"/>
      <c r="V319" s="53"/>
      <c r="W319" s="53"/>
      <c r="X319" s="53"/>
    </row>
    <row r="320" spans="1:24" ht="15.75" customHeight="1">
      <c r="A320" s="69"/>
      <c r="B320" s="69">
        <v>46174</v>
      </c>
      <c r="C320" s="70" t="str">
        <f t="shared" si="6"/>
        <v>segunda-feira</v>
      </c>
      <c r="D320" s="55">
        <f>SUMIFS('📋 Despesas'!K:K,'📋 Despesas'!N:N,B320)</f>
        <v>0</v>
      </c>
      <c r="E320" s="53"/>
      <c r="F320" s="53"/>
      <c r="G320" s="372"/>
      <c r="H320" s="372"/>
      <c r="I320" s="379"/>
      <c r="J320" s="372"/>
      <c r="K320" s="373"/>
      <c r="L320" s="372"/>
      <c r="M320" s="372"/>
      <c r="N320" s="227"/>
      <c r="O320" s="227"/>
      <c r="P320" s="227"/>
      <c r="Q320" s="227"/>
      <c r="R320" s="227"/>
      <c r="S320" s="340"/>
      <c r="T320" s="226"/>
      <c r="U320" s="53"/>
      <c r="V320" s="53"/>
      <c r="W320" s="53"/>
      <c r="X320" s="53"/>
    </row>
    <row r="321" spans="1:24" ht="15.75" customHeight="1">
      <c r="A321" s="69"/>
      <c r="B321" s="69">
        <v>46175</v>
      </c>
      <c r="C321" s="70" t="str">
        <f t="shared" si="6"/>
        <v>terça-feira</v>
      </c>
      <c r="D321" s="55">
        <f>SUMIFS('📋 Despesas'!K:K,'📋 Despesas'!N:N,B321)</f>
        <v>0</v>
      </c>
      <c r="E321" s="53"/>
      <c r="F321" s="53"/>
      <c r="G321" s="372"/>
      <c r="H321" s="372"/>
      <c r="I321" s="379"/>
      <c r="J321" s="372"/>
      <c r="K321" s="373"/>
      <c r="L321" s="372"/>
      <c r="M321" s="372"/>
      <c r="N321" s="227"/>
      <c r="O321" s="227"/>
      <c r="P321" s="227"/>
      <c r="Q321" s="227"/>
      <c r="R321" s="227"/>
      <c r="S321" s="340"/>
      <c r="T321" s="226"/>
      <c r="U321" s="53"/>
      <c r="V321" s="53"/>
      <c r="W321" s="53"/>
      <c r="X321" s="53"/>
    </row>
    <row r="322" spans="1:24" ht="15.75" customHeight="1">
      <c r="A322" s="69"/>
      <c r="B322" s="69">
        <v>46176</v>
      </c>
      <c r="C322" s="70" t="str">
        <f t="shared" si="6"/>
        <v>quarta-feira</v>
      </c>
      <c r="D322" s="55">
        <f>SUMIFS('📋 Despesas'!K:K,'📋 Despesas'!N:N,B322)</f>
        <v>0</v>
      </c>
      <c r="E322" s="53"/>
      <c r="F322" s="53"/>
      <c r="G322" s="372"/>
      <c r="H322" s="372"/>
      <c r="I322" s="379"/>
      <c r="J322" s="372"/>
      <c r="K322" s="373"/>
      <c r="L322" s="372"/>
      <c r="M322" s="372"/>
      <c r="N322" s="227"/>
      <c r="O322" s="227"/>
      <c r="P322" s="227"/>
      <c r="Q322" s="227"/>
      <c r="R322" s="227"/>
      <c r="S322" s="340"/>
      <c r="T322" s="226"/>
      <c r="U322" s="53"/>
      <c r="V322" s="53"/>
      <c r="W322" s="53"/>
      <c r="X322" s="53"/>
    </row>
    <row r="323" spans="1:24" ht="15.75" customHeight="1">
      <c r="A323" s="69"/>
      <c r="B323" s="69">
        <v>46177</v>
      </c>
      <c r="C323" s="70" t="str">
        <f t="shared" si="6"/>
        <v>quinta-feira</v>
      </c>
      <c r="D323" s="55">
        <f>SUMIFS('📋 Despesas'!K:K,'📋 Despesas'!N:N,B323)</f>
        <v>0</v>
      </c>
      <c r="E323" s="53"/>
      <c r="F323" s="53"/>
      <c r="G323" s="372"/>
      <c r="H323" s="372"/>
      <c r="I323" s="379"/>
      <c r="J323" s="372"/>
      <c r="K323" s="373"/>
      <c r="L323" s="372"/>
      <c r="M323" s="372"/>
      <c r="N323" s="227"/>
      <c r="O323" s="227"/>
      <c r="P323" s="227"/>
      <c r="Q323" s="227"/>
      <c r="R323" s="227"/>
      <c r="S323" s="340"/>
      <c r="T323" s="226"/>
      <c r="U323" s="53"/>
      <c r="V323" s="53"/>
      <c r="W323" s="53"/>
      <c r="X323" s="53"/>
    </row>
    <row r="324" spans="1:24" ht="15.75" customHeight="1">
      <c r="A324" s="69"/>
      <c r="B324" s="69">
        <v>46178</v>
      </c>
      <c r="C324" s="70" t="str">
        <f t="shared" si="6"/>
        <v>sexta-feira</v>
      </c>
      <c r="D324" s="55">
        <f>SUMIFS('📋 Despesas'!K:K,'📋 Despesas'!N:N,B324)</f>
        <v>2670</v>
      </c>
      <c r="E324" s="53"/>
      <c r="F324" s="53"/>
      <c r="G324" s="372"/>
      <c r="H324" s="372"/>
      <c r="I324" s="379"/>
      <c r="J324" s="372"/>
      <c r="K324" s="373"/>
      <c r="L324" s="372"/>
      <c r="M324" s="372"/>
      <c r="N324" s="227"/>
      <c r="O324" s="227"/>
      <c r="P324" s="227"/>
      <c r="Q324" s="227"/>
      <c r="R324" s="227"/>
      <c r="S324" s="340"/>
      <c r="T324" s="226"/>
      <c r="U324" s="53"/>
      <c r="V324" s="53"/>
      <c r="W324" s="53"/>
      <c r="X324" s="53"/>
    </row>
    <row r="325" spans="1:24" ht="15.75" customHeight="1">
      <c r="A325" s="69"/>
      <c r="B325" s="69">
        <v>46179</v>
      </c>
      <c r="C325" s="70" t="str">
        <f t="shared" si="6"/>
        <v>sábado</v>
      </c>
      <c r="D325" s="55">
        <f>SUMIFS('📋 Despesas'!K:K,'📋 Despesas'!N:N,B325)</f>
        <v>0</v>
      </c>
      <c r="E325" s="53"/>
      <c r="F325" s="53"/>
      <c r="G325" s="372"/>
      <c r="H325" s="372"/>
      <c r="I325" s="379"/>
      <c r="J325" s="372"/>
      <c r="K325" s="373"/>
      <c r="L325" s="372"/>
      <c r="M325" s="372"/>
      <c r="N325" s="227"/>
      <c r="O325" s="227"/>
      <c r="P325" s="227"/>
      <c r="Q325" s="227"/>
      <c r="R325" s="227"/>
      <c r="S325" s="340"/>
      <c r="T325" s="226"/>
      <c r="U325" s="53"/>
      <c r="V325" s="53"/>
      <c r="W325" s="53"/>
      <c r="X325" s="53"/>
    </row>
    <row r="326" spans="1:24" ht="15.75" customHeight="1">
      <c r="A326" s="69"/>
      <c r="B326" s="69">
        <v>46180</v>
      </c>
      <c r="C326" s="70" t="str">
        <f t="shared" si="6"/>
        <v>domingo</v>
      </c>
      <c r="D326" s="55">
        <f>SUMIFS('📋 Despesas'!K:K,'📋 Despesas'!N:N,B326)</f>
        <v>0</v>
      </c>
      <c r="E326" s="53"/>
      <c r="F326" s="53"/>
      <c r="G326" s="372"/>
      <c r="H326" s="372"/>
      <c r="I326" s="379"/>
      <c r="J326" s="372"/>
      <c r="K326" s="373"/>
      <c r="L326" s="372"/>
      <c r="M326" s="372"/>
      <c r="N326" s="227"/>
      <c r="O326" s="227"/>
      <c r="P326" s="227"/>
      <c r="Q326" s="227"/>
      <c r="R326" s="227"/>
      <c r="S326" s="340"/>
      <c r="T326" s="226"/>
      <c r="U326" s="53"/>
      <c r="V326" s="53"/>
      <c r="W326" s="53"/>
      <c r="X326" s="53"/>
    </row>
    <row r="327" spans="1:24" ht="15.75" customHeight="1">
      <c r="A327" s="69"/>
      <c r="B327" s="69">
        <v>46181</v>
      </c>
      <c r="C327" s="70" t="str">
        <f t="shared" si="6"/>
        <v>segunda-feira</v>
      </c>
      <c r="D327" s="55">
        <f>SUMIFS('📋 Despesas'!K:K,'📋 Despesas'!N:N,B327)</f>
        <v>0</v>
      </c>
      <c r="E327" s="53"/>
      <c r="F327" s="53"/>
      <c r="G327" s="372"/>
      <c r="H327" s="372"/>
      <c r="I327" s="379"/>
      <c r="J327" s="372"/>
      <c r="K327" s="373"/>
      <c r="L327" s="372"/>
      <c r="M327" s="372"/>
      <c r="N327" s="227"/>
      <c r="O327" s="227"/>
      <c r="P327" s="227"/>
      <c r="Q327" s="227"/>
      <c r="R327" s="227"/>
      <c r="S327" s="340"/>
      <c r="T327" s="226"/>
      <c r="U327" s="53"/>
      <c r="V327" s="53"/>
      <c r="W327" s="53"/>
      <c r="X327" s="53"/>
    </row>
    <row r="328" spans="1:24" ht="15.75" customHeight="1">
      <c r="A328" s="69"/>
      <c r="B328" s="69">
        <v>46182</v>
      </c>
      <c r="C328" s="70" t="str">
        <f t="shared" si="6"/>
        <v>terça-feira</v>
      </c>
      <c r="D328" s="55">
        <f>SUMIFS('📋 Despesas'!K:K,'📋 Despesas'!N:N,B328)</f>
        <v>0</v>
      </c>
      <c r="E328" s="53"/>
      <c r="F328" s="53"/>
      <c r="G328" s="372"/>
      <c r="H328" s="372"/>
      <c r="I328" s="379"/>
      <c r="J328" s="372"/>
      <c r="K328" s="373"/>
      <c r="L328" s="372"/>
      <c r="M328" s="372"/>
      <c r="N328" s="227"/>
      <c r="O328" s="227"/>
      <c r="P328" s="227"/>
      <c r="Q328" s="227"/>
      <c r="R328" s="227"/>
      <c r="S328" s="340"/>
      <c r="T328" s="226"/>
      <c r="U328" s="53"/>
      <c r="V328" s="53"/>
      <c r="W328" s="53"/>
      <c r="X328" s="53"/>
    </row>
    <row r="329" spans="1:24" ht="15.75" customHeight="1">
      <c r="A329" s="69"/>
      <c r="B329" s="69">
        <v>46183</v>
      </c>
      <c r="C329" s="70" t="str">
        <f t="shared" si="6"/>
        <v>quarta-feira</v>
      </c>
      <c r="D329" s="55">
        <f>SUMIFS('📋 Despesas'!K:K,'📋 Despesas'!N:N,B329)</f>
        <v>0</v>
      </c>
      <c r="E329" s="53"/>
      <c r="F329" s="53"/>
      <c r="G329" s="372"/>
      <c r="H329" s="372"/>
      <c r="I329" s="379"/>
      <c r="J329" s="372"/>
      <c r="K329" s="373"/>
      <c r="L329" s="372"/>
      <c r="M329" s="372"/>
      <c r="N329" s="227"/>
      <c r="O329" s="227"/>
      <c r="P329" s="227"/>
      <c r="Q329" s="227"/>
      <c r="R329" s="227"/>
      <c r="S329" s="340"/>
      <c r="T329" s="226"/>
      <c r="U329" s="53"/>
      <c r="V329" s="53"/>
      <c r="W329" s="53"/>
      <c r="X329" s="53"/>
    </row>
    <row r="330" spans="1:24" ht="15.75" customHeight="1">
      <c r="A330" s="69"/>
      <c r="B330" s="69">
        <v>46184</v>
      </c>
      <c r="C330" s="70" t="str">
        <f t="shared" si="6"/>
        <v>quinta-feira</v>
      </c>
      <c r="D330" s="55">
        <f>SUMIFS('📋 Despesas'!K:K,'📋 Despesas'!N:N,B330)</f>
        <v>0</v>
      </c>
      <c r="E330" s="53"/>
      <c r="F330" s="53"/>
      <c r="G330" s="372"/>
      <c r="H330" s="372"/>
      <c r="I330" s="379"/>
      <c r="J330" s="372"/>
      <c r="K330" s="373"/>
      <c r="L330" s="372"/>
      <c r="M330" s="372"/>
      <c r="N330" s="227"/>
      <c r="O330" s="227"/>
      <c r="P330" s="227"/>
      <c r="Q330" s="227"/>
      <c r="R330" s="227"/>
      <c r="S330" s="340"/>
      <c r="T330" s="226"/>
      <c r="U330" s="53"/>
      <c r="V330" s="53"/>
      <c r="W330" s="53"/>
      <c r="X330" s="53"/>
    </row>
    <row r="331" spans="1:24" ht="15.75" customHeight="1">
      <c r="A331" s="69"/>
      <c r="B331" s="69">
        <v>46185</v>
      </c>
      <c r="C331" s="70" t="str">
        <f t="shared" si="6"/>
        <v>sexta-feira</v>
      </c>
      <c r="D331" s="55">
        <f>SUMIFS('📋 Despesas'!K:K,'📋 Despesas'!N:N,B331)</f>
        <v>0</v>
      </c>
      <c r="E331" s="53"/>
      <c r="F331" s="53"/>
      <c r="G331" s="372"/>
      <c r="H331" s="372"/>
      <c r="I331" s="379"/>
      <c r="J331" s="372"/>
      <c r="K331" s="373"/>
      <c r="L331" s="372"/>
      <c r="M331" s="372"/>
      <c r="N331" s="227"/>
      <c r="O331" s="227"/>
      <c r="P331" s="227"/>
      <c r="Q331" s="227"/>
      <c r="R331" s="227"/>
      <c r="S331" s="340"/>
      <c r="T331" s="226"/>
      <c r="U331" s="53"/>
      <c r="V331" s="53"/>
      <c r="W331" s="53"/>
      <c r="X331" s="53"/>
    </row>
    <row r="332" spans="1:24" ht="15.75" customHeight="1">
      <c r="A332" s="69"/>
      <c r="B332" s="69">
        <v>46186</v>
      </c>
      <c r="C332" s="70" t="str">
        <f t="shared" si="6"/>
        <v>sábado</v>
      </c>
      <c r="D332" s="55">
        <f>SUMIFS('📋 Despesas'!K:K,'📋 Despesas'!N:N,B332)</f>
        <v>0</v>
      </c>
      <c r="E332" s="53"/>
      <c r="F332" s="53"/>
      <c r="G332" s="372"/>
      <c r="H332" s="372"/>
      <c r="I332" s="379"/>
      <c r="J332" s="372"/>
      <c r="K332" s="373"/>
      <c r="L332" s="372"/>
      <c r="M332" s="372"/>
      <c r="N332" s="227"/>
      <c r="O332" s="227"/>
      <c r="P332" s="227"/>
      <c r="Q332" s="227"/>
      <c r="R332" s="227"/>
      <c r="S332" s="340"/>
      <c r="T332" s="226"/>
      <c r="U332" s="53"/>
      <c r="V332" s="53"/>
      <c r="W332" s="53"/>
      <c r="X332" s="53"/>
    </row>
    <row r="333" spans="1:24" ht="15.75" customHeight="1">
      <c r="A333" s="69"/>
      <c r="B333" s="69">
        <v>46187</v>
      </c>
      <c r="C333" s="70" t="str">
        <f t="shared" si="6"/>
        <v>domingo</v>
      </c>
      <c r="D333" s="55">
        <f>SUMIFS('📋 Despesas'!K:K,'📋 Despesas'!N:N,B333)</f>
        <v>0</v>
      </c>
      <c r="E333" s="53"/>
      <c r="F333" s="53"/>
      <c r="G333" s="372"/>
      <c r="H333" s="372"/>
      <c r="I333" s="379"/>
      <c r="J333" s="372"/>
      <c r="K333" s="373"/>
      <c r="L333" s="372"/>
      <c r="M333" s="372"/>
      <c r="N333" s="227"/>
      <c r="O333" s="227"/>
      <c r="P333" s="227"/>
      <c r="Q333" s="227"/>
      <c r="R333" s="227"/>
      <c r="S333" s="340"/>
      <c r="T333" s="226"/>
      <c r="U333" s="53"/>
      <c r="V333" s="53"/>
      <c r="W333" s="53"/>
      <c r="X333" s="53"/>
    </row>
    <row r="334" spans="1:24" ht="15.75" customHeight="1">
      <c r="A334" s="69"/>
      <c r="B334" s="69">
        <v>46188</v>
      </c>
      <c r="C334" s="70" t="str">
        <f t="shared" si="6"/>
        <v>segunda-feira</v>
      </c>
      <c r="D334" s="55">
        <f>SUMIFS('📋 Despesas'!K:K,'📋 Despesas'!N:N,B334)</f>
        <v>0</v>
      </c>
      <c r="E334" s="53"/>
      <c r="F334" s="53"/>
      <c r="G334" s="372"/>
      <c r="H334" s="372"/>
      <c r="I334" s="379"/>
      <c r="J334" s="372"/>
      <c r="K334" s="373"/>
      <c r="L334" s="372"/>
      <c r="M334" s="372"/>
      <c r="N334" s="227"/>
      <c r="O334" s="227"/>
      <c r="P334" s="227"/>
      <c r="Q334" s="227"/>
      <c r="R334" s="227"/>
      <c r="S334" s="340"/>
      <c r="T334" s="226"/>
      <c r="U334" s="53"/>
      <c r="V334" s="53"/>
      <c r="W334" s="53"/>
      <c r="X334" s="53"/>
    </row>
    <row r="335" spans="1:24" ht="15.75" customHeight="1">
      <c r="A335" s="69"/>
      <c r="B335" s="69">
        <v>46189</v>
      </c>
      <c r="C335" s="70" t="str">
        <f t="shared" si="6"/>
        <v>terça-feira</v>
      </c>
      <c r="D335" s="55">
        <f>SUMIFS('📋 Despesas'!K:K,'📋 Despesas'!N:N,B335)</f>
        <v>0</v>
      </c>
      <c r="E335" s="53"/>
      <c r="F335" s="53"/>
      <c r="G335" s="372"/>
      <c r="H335" s="372"/>
      <c r="I335" s="379"/>
      <c r="J335" s="372"/>
      <c r="K335" s="373"/>
      <c r="L335" s="372"/>
      <c r="M335" s="372"/>
      <c r="N335" s="227"/>
      <c r="O335" s="227"/>
      <c r="P335" s="227"/>
      <c r="Q335" s="227"/>
      <c r="R335" s="227"/>
      <c r="S335" s="340"/>
      <c r="T335" s="226"/>
      <c r="U335" s="53"/>
      <c r="V335" s="53"/>
      <c r="W335" s="53"/>
      <c r="X335" s="53"/>
    </row>
    <row r="336" spans="1:24" ht="15.75" customHeight="1">
      <c r="A336" s="69"/>
      <c r="B336" s="69">
        <v>46190</v>
      </c>
      <c r="C336" s="70" t="str">
        <f t="shared" si="6"/>
        <v>quarta-feira</v>
      </c>
      <c r="D336" s="55">
        <f>SUMIFS('📋 Despesas'!K:K,'📋 Despesas'!N:N,B336)</f>
        <v>0</v>
      </c>
      <c r="E336" s="53"/>
      <c r="F336" s="53"/>
      <c r="G336" s="372"/>
      <c r="H336" s="372"/>
      <c r="I336" s="379"/>
      <c r="J336" s="372"/>
      <c r="K336" s="373"/>
      <c r="L336" s="372"/>
      <c r="M336" s="372"/>
      <c r="N336" s="227"/>
      <c r="O336" s="227"/>
      <c r="P336" s="227"/>
      <c r="Q336" s="227"/>
      <c r="R336" s="227"/>
      <c r="S336" s="340"/>
      <c r="T336" s="226"/>
      <c r="U336" s="53"/>
      <c r="V336" s="53"/>
      <c r="W336" s="53"/>
      <c r="X336" s="53"/>
    </row>
    <row r="337" spans="1:24" ht="15.75" customHeight="1">
      <c r="A337" s="69"/>
      <c r="B337" s="69">
        <v>46191</v>
      </c>
      <c r="C337" s="70" t="str">
        <f t="shared" ref="C337:C400" si="7">IF(B337&lt;&gt;"",TEXT(WEEKDAY(B337),"dddd"),"")</f>
        <v>quinta-feira</v>
      </c>
      <c r="D337" s="55">
        <f>SUMIFS('📋 Despesas'!K:K,'📋 Despesas'!N:N,B337)</f>
        <v>0</v>
      </c>
      <c r="E337" s="53"/>
      <c r="F337" s="53"/>
      <c r="G337" s="372"/>
      <c r="H337" s="372"/>
      <c r="I337" s="379"/>
      <c r="J337" s="372"/>
      <c r="K337" s="373"/>
      <c r="L337" s="372"/>
      <c r="M337" s="372"/>
      <c r="N337" s="227"/>
      <c r="O337" s="227"/>
      <c r="P337" s="227"/>
      <c r="Q337" s="227"/>
      <c r="R337" s="227"/>
      <c r="S337" s="340"/>
      <c r="T337" s="226"/>
      <c r="U337" s="53"/>
      <c r="V337" s="53"/>
      <c r="W337" s="53"/>
      <c r="X337" s="53"/>
    </row>
    <row r="338" spans="1:24" ht="15.75" customHeight="1">
      <c r="A338" s="69"/>
      <c r="B338" s="69">
        <v>46192</v>
      </c>
      <c r="C338" s="70" t="str">
        <f t="shared" si="7"/>
        <v>sexta-feira</v>
      </c>
      <c r="D338" s="55">
        <f>SUMIFS('📋 Despesas'!K:K,'📋 Despesas'!N:N,B338)</f>
        <v>0</v>
      </c>
      <c r="E338" s="53"/>
      <c r="F338" s="53"/>
      <c r="G338" s="372"/>
      <c r="H338" s="372"/>
      <c r="I338" s="379"/>
      <c r="J338" s="372"/>
      <c r="K338" s="373"/>
      <c r="L338" s="372"/>
      <c r="M338" s="372"/>
      <c r="N338" s="227"/>
      <c r="O338" s="227"/>
      <c r="P338" s="227"/>
      <c r="Q338" s="227"/>
      <c r="R338" s="227"/>
      <c r="S338" s="340"/>
      <c r="T338" s="226"/>
      <c r="U338" s="53"/>
      <c r="V338" s="53"/>
      <c r="W338" s="53"/>
      <c r="X338" s="53"/>
    </row>
    <row r="339" spans="1:24" ht="15.75" customHeight="1">
      <c r="A339" s="69"/>
      <c r="B339" s="69">
        <v>46193</v>
      </c>
      <c r="C339" s="70" t="str">
        <f t="shared" si="7"/>
        <v>sábado</v>
      </c>
      <c r="D339" s="55">
        <f>SUMIFS('📋 Despesas'!K:K,'📋 Despesas'!N:N,B339)</f>
        <v>0</v>
      </c>
      <c r="E339" s="53"/>
      <c r="F339" s="53"/>
      <c r="G339" s="372"/>
      <c r="H339" s="372"/>
      <c r="I339" s="379"/>
      <c r="J339" s="372"/>
      <c r="K339" s="373"/>
      <c r="L339" s="372"/>
      <c r="M339" s="372"/>
      <c r="N339" s="227"/>
      <c r="O339" s="227"/>
      <c r="P339" s="227"/>
      <c r="Q339" s="227"/>
      <c r="R339" s="227"/>
      <c r="S339" s="340"/>
      <c r="T339" s="226"/>
      <c r="U339" s="53"/>
      <c r="V339" s="53"/>
      <c r="W339" s="53"/>
      <c r="X339" s="53"/>
    </row>
    <row r="340" spans="1:24" ht="15.75" customHeight="1">
      <c r="A340" s="69"/>
      <c r="B340" s="69">
        <v>46194</v>
      </c>
      <c r="C340" s="70" t="str">
        <f t="shared" si="7"/>
        <v>domingo</v>
      </c>
      <c r="D340" s="55">
        <f>SUMIFS('📋 Despesas'!K:K,'📋 Despesas'!N:N,B340)</f>
        <v>0</v>
      </c>
      <c r="E340" s="53"/>
      <c r="F340" s="53"/>
      <c r="G340" s="372"/>
      <c r="H340" s="372"/>
      <c r="I340" s="379"/>
      <c r="J340" s="372"/>
      <c r="K340" s="373"/>
      <c r="L340" s="372"/>
      <c r="M340" s="372"/>
      <c r="N340" s="227"/>
      <c r="O340" s="227"/>
      <c r="P340" s="227"/>
      <c r="Q340" s="227"/>
      <c r="R340" s="227"/>
      <c r="S340" s="340"/>
      <c r="T340" s="226"/>
      <c r="U340" s="53"/>
      <c r="V340" s="53"/>
      <c r="W340" s="53"/>
      <c r="X340" s="53"/>
    </row>
    <row r="341" spans="1:24" ht="15.75" customHeight="1">
      <c r="A341" s="69"/>
      <c r="B341" s="69">
        <v>46195</v>
      </c>
      <c r="C341" s="70" t="str">
        <f t="shared" si="7"/>
        <v>segunda-feira</v>
      </c>
      <c r="D341" s="55">
        <f>SUMIFS('📋 Despesas'!K:K,'📋 Despesas'!N:N,B341)</f>
        <v>0</v>
      </c>
      <c r="E341" s="53"/>
      <c r="F341" s="53"/>
      <c r="G341" s="372"/>
      <c r="H341" s="372"/>
      <c r="I341" s="379"/>
      <c r="J341" s="372"/>
      <c r="K341" s="373"/>
      <c r="L341" s="372"/>
      <c r="M341" s="372"/>
      <c r="N341" s="227"/>
      <c r="O341" s="227"/>
      <c r="P341" s="227"/>
      <c r="Q341" s="227"/>
      <c r="R341" s="227"/>
      <c r="S341" s="340"/>
      <c r="T341" s="226"/>
      <c r="U341" s="53"/>
      <c r="V341" s="53"/>
      <c r="W341" s="53"/>
      <c r="X341" s="53"/>
    </row>
    <row r="342" spans="1:24" ht="15.75" customHeight="1">
      <c r="A342" s="69"/>
      <c r="B342" s="69">
        <v>46196</v>
      </c>
      <c r="C342" s="70" t="str">
        <f t="shared" si="7"/>
        <v>terça-feira</v>
      </c>
      <c r="D342" s="55">
        <f>SUMIFS('📋 Despesas'!K:K,'📋 Despesas'!N:N,B342)</f>
        <v>0</v>
      </c>
      <c r="E342" s="53"/>
      <c r="F342" s="53"/>
      <c r="G342" s="372"/>
      <c r="H342" s="372"/>
      <c r="I342" s="379"/>
      <c r="J342" s="372"/>
      <c r="K342" s="373"/>
      <c r="L342" s="372"/>
      <c r="M342" s="372"/>
      <c r="N342" s="227"/>
      <c r="O342" s="227"/>
      <c r="P342" s="227"/>
      <c r="Q342" s="227"/>
      <c r="R342" s="227"/>
      <c r="S342" s="340"/>
      <c r="T342" s="226"/>
      <c r="U342" s="53"/>
      <c r="V342" s="53"/>
      <c r="W342" s="53"/>
      <c r="X342" s="53"/>
    </row>
    <row r="343" spans="1:24" ht="15.75" customHeight="1">
      <c r="A343" s="69"/>
      <c r="B343" s="69">
        <v>46197</v>
      </c>
      <c r="C343" s="70" t="str">
        <f t="shared" si="7"/>
        <v>quarta-feira</v>
      </c>
      <c r="D343" s="55">
        <f>SUMIFS('📋 Despesas'!K:K,'📋 Despesas'!N:N,B343)</f>
        <v>0</v>
      </c>
      <c r="E343" s="53"/>
      <c r="F343" s="53"/>
      <c r="G343" s="372"/>
      <c r="H343" s="372"/>
      <c r="I343" s="379"/>
      <c r="J343" s="372"/>
      <c r="K343" s="373"/>
      <c r="L343" s="372"/>
      <c r="M343" s="372"/>
      <c r="N343" s="227"/>
      <c r="O343" s="227"/>
      <c r="P343" s="227"/>
      <c r="Q343" s="227"/>
      <c r="R343" s="227"/>
      <c r="S343" s="340"/>
      <c r="T343" s="226"/>
      <c r="U343" s="53"/>
      <c r="V343" s="53"/>
      <c r="W343" s="53"/>
      <c r="X343" s="53"/>
    </row>
    <row r="344" spans="1:24" ht="15.75" customHeight="1">
      <c r="A344" s="69"/>
      <c r="B344" s="69">
        <v>46198</v>
      </c>
      <c r="C344" s="70" t="str">
        <f t="shared" si="7"/>
        <v>quinta-feira</v>
      </c>
      <c r="D344" s="55">
        <f>SUMIFS('📋 Despesas'!K:K,'📋 Despesas'!N:N,B344)</f>
        <v>0</v>
      </c>
      <c r="E344" s="53"/>
      <c r="F344" s="53"/>
      <c r="G344" s="372"/>
      <c r="H344" s="372"/>
      <c r="I344" s="379"/>
      <c r="J344" s="372"/>
      <c r="K344" s="373"/>
      <c r="L344" s="372"/>
      <c r="M344" s="372"/>
      <c r="N344" s="227"/>
      <c r="O344" s="227"/>
      <c r="P344" s="227"/>
      <c r="Q344" s="227"/>
      <c r="R344" s="227"/>
      <c r="S344" s="340"/>
      <c r="T344" s="226"/>
      <c r="U344" s="53"/>
      <c r="V344" s="53"/>
      <c r="W344" s="53"/>
      <c r="X344" s="53"/>
    </row>
    <row r="345" spans="1:24" ht="15.75" customHeight="1">
      <c r="A345" s="69"/>
      <c r="B345" s="69">
        <v>46199</v>
      </c>
      <c r="C345" s="70" t="str">
        <f t="shared" si="7"/>
        <v>sexta-feira</v>
      </c>
      <c r="D345" s="55">
        <f>SUMIFS('📋 Despesas'!K:K,'📋 Despesas'!N:N,B345)</f>
        <v>0</v>
      </c>
      <c r="E345" s="53"/>
      <c r="F345" s="53"/>
      <c r="G345" s="372"/>
      <c r="H345" s="372"/>
      <c r="I345" s="379"/>
      <c r="J345" s="372"/>
      <c r="K345" s="373"/>
      <c r="L345" s="372"/>
      <c r="M345" s="372"/>
      <c r="N345" s="227"/>
      <c r="O345" s="227"/>
      <c r="P345" s="227"/>
      <c r="Q345" s="227"/>
      <c r="R345" s="227"/>
      <c r="S345" s="340"/>
      <c r="T345" s="226"/>
      <c r="U345" s="53"/>
      <c r="V345" s="53"/>
      <c r="W345" s="53"/>
      <c r="X345" s="53"/>
    </row>
    <row r="346" spans="1:24" ht="15.75" customHeight="1">
      <c r="A346" s="69"/>
      <c r="B346" s="69">
        <v>46200</v>
      </c>
      <c r="C346" s="70" t="str">
        <f t="shared" si="7"/>
        <v>sábado</v>
      </c>
      <c r="D346" s="55">
        <f>SUMIFS('📋 Despesas'!K:K,'📋 Despesas'!N:N,B346)</f>
        <v>0</v>
      </c>
      <c r="E346" s="53"/>
      <c r="F346" s="53"/>
      <c r="G346" s="372"/>
      <c r="H346" s="372"/>
      <c r="I346" s="379"/>
      <c r="J346" s="372"/>
      <c r="K346" s="373"/>
      <c r="L346" s="372"/>
      <c r="M346" s="372"/>
      <c r="N346" s="227"/>
      <c r="O346" s="227"/>
      <c r="P346" s="227"/>
      <c r="Q346" s="227"/>
      <c r="R346" s="227"/>
      <c r="S346" s="340"/>
      <c r="T346" s="226"/>
      <c r="U346" s="53"/>
      <c r="V346" s="53"/>
      <c r="W346" s="53"/>
      <c r="X346" s="53"/>
    </row>
    <row r="347" spans="1:24" ht="15.75" customHeight="1">
      <c r="A347" s="69"/>
      <c r="B347" s="69">
        <v>46201</v>
      </c>
      <c r="C347" s="70" t="str">
        <f t="shared" si="7"/>
        <v>domingo</v>
      </c>
      <c r="D347" s="55">
        <f>SUMIFS('📋 Despesas'!K:K,'📋 Despesas'!N:N,B347)</f>
        <v>0</v>
      </c>
      <c r="E347" s="53"/>
      <c r="F347" s="53"/>
      <c r="G347" s="372"/>
      <c r="H347" s="372"/>
      <c r="I347" s="379"/>
      <c r="J347" s="372"/>
      <c r="K347" s="373"/>
      <c r="L347" s="372"/>
      <c r="M347" s="372"/>
      <c r="N347" s="227"/>
      <c r="O347" s="227"/>
      <c r="P347" s="227"/>
      <c r="Q347" s="227"/>
      <c r="R347" s="227"/>
      <c r="S347" s="340"/>
      <c r="T347" s="226"/>
      <c r="U347" s="53"/>
      <c r="V347" s="53"/>
      <c r="W347" s="53"/>
      <c r="X347" s="53"/>
    </row>
    <row r="348" spans="1:24" ht="15.75" customHeight="1">
      <c r="A348" s="69"/>
      <c r="B348" s="69">
        <v>46202</v>
      </c>
      <c r="C348" s="70" t="str">
        <f t="shared" si="7"/>
        <v>segunda-feira</v>
      </c>
      <c r="D348" s="55">
        <f>SUMIFS('📋 Despesas'!K:K,'📋 Despesas'!N:N,B348)</f>
        <v>0</v>
      </c>
      <c r="E348" s="53"/>
      <c r="F348" s="53"/>
      <c r="G348" s="372"/>
      <c r="H348" s="372"/>
      <c r="I348" s="379"/>
      <c r="J348" s="372"/>
      <c r="K348" s="373"/>
      <c r="L348" s="372"/>
      <c r="M348" s="372"/>
      <c r="N348" s="227"/>
      <c r="O348" s="227"/>
      <c r="P348" s="227"/>
      <c r="Q348" s="227"/>
      <c r="R348" s="227"/>
      <c r="S348" s="340"/>
      <c r="T348" s="226"/>
      <c r="U348" s="53"/>
      <c r="V348" s="53"/>
      <c r="W348" s="53"/>
      <c r="X348" s="53"/>
    </row>
    <row r="349" spans="1:24" ht="15.75" customHeight="1">
      <c r="A349" s="69"/>
      <c r="B349" s="69">
        <v>46203</v>
      </c>
      <c r="C349" s="70" t="str">
        <f t="shared" si="7"/>
        <v>terça-feira</v>
      </c>
      <c r="D349" s="55">
        <f>SUMIFS('📋 Despesas'!K:K,'📋 Despesas'!N:N,B349)</f>
        <v>950</v>
      </c>
      <c r="E349" s="53"/>
      <c r="F349" s="53"/>
      <c r="G349" s="372"/>
      <c r="H349" s="372"/>
      <c r="I349" s="379"/>
      <c r="J349" s="372"/>
      <c r="K349" s="373"/>
      <c r="L349" s="372"/>
      <c r="M349" s="372"/>
      <c r="N349" s="227"/>
      <c r="O349" s="227"/>
      <c r="P349" s="227"/>
      <c r="Q349" s="227"/>
      <c r="R349" s="227"/>
      <c r="S349" s="340"/>
      <c r="T349" s="226"/>
      <c r="U349" s="53"/>
      <c r="V349" s="53"/>
      <c r="W349" s="53"/>
      <c r="X349" s="53"/>
    </row>
    <row r="350" spans="1:24" ht="15.75" customHeight="1">
      <c r="A350" s="69"/>
      <c r="B350" s="69">
        <v>46204</v>
      </c>
      <c r="C350" s="70" t="str">
        <f t="shared" si="7"/>
        <v>quarta-feira</v>
      </c>
      <c r="D350" s="55">
        <f>SUMIFS('📋 Despesas'!K:K,'📋 Despesas'!N:N,B350)</f>
        <v>0</v>
      </c>
      <c r="E350" s="53"/>
      <c r="F350" s="53"/>
      <c r="G350" s="372"/>
      <c r="H350" s="372"/>
      <c r="I350" s="379"/>
      <c r="J350" s="372"/>
      <c r="K350" s="373"/>
      <c r="L350" s="372"/>
      <c r="M350" s="372"/>
      <c r="N350" s="227"/>
      <c r="O350" s="227"/>
      <c r="P350" s="227"/>
      <c r="Q350" s="227"/>
      <c r="R350" s="227"/>
      <c r="S350" s="340"/>
      <c r="T350" s="226"/>
      <c r="U350" s="53"/>
      <c r="V350" s="53"/>
      <c r="W350" s="53"/>
      <c r="X350" s="53"/>
    </row>
    <row r="351" spans="1:24" ht="15.75" customHeight="1">
      <c r="A351" s="69"/>
      <c r="B351" s="69">
        <v>46205</v>
      </c>
      <c r="C351" s="70" t="str">
        <f t="shared" si="7"/>
        <v>quinta-feira</v>
      </c>
      <c r="D351" s="55">
        <f>SUMIFS('📋 Despesas'!K:K,'📋 Despesas'!N:N,B351)</f>
        <v>0</v>
      </c>
      <c r="E351" s="53"/>
      <c r="F351" s="53"/>
      <c r="G351" s="372"/>
      <c r="H351" s="372"/>
      <c r="I351" s="379"/>
      <c r="J351" s="372"/>
      <c r="K351" s="373"/>
      <c r="L351" s="372"/>
      <c r="M351" s="372"/>
      <c r="N351" s="227"/>
      <c r="O351" s="227"/>
      <c r="P351" s="227"/>
      <c r="Q351" s="227"/>
      <c r="R351" s="227"/>
      <c r="S351" s="340"/>
      <c r="T351" s="226"/>
      <c r="U351" s="53"/>
      <c r="V351" s="53"/>
      <c r="W351" s="53"/>
      <c r="X351" s="53"/>
    </row>
    <row r="352" spans="1:24" ht="15.75" customHeight="1">
      <c r="A352" s="69"/>
      <c r="B352" s="69">
        <v>46206</v>
      </c>
      <c r="C352" s="70" t="str">
        <f t="shared" si="7"/>
        <v>sexta-feira</v>
      </c>
      <c r="D352" s="55">
        <f>SUMIFS('📋 Despesas'!K:K,'📋 Despesas'!N:N,B352)</f>
        <v>0</v>
      </c>
      <c r="E352" s="53"/>
      <c r="F352" s="53"/>
      <c r="G352" s="372"/>
      <c r="H352" s="372"/>
      <c r="I352" s="379"/>
      <c r="J352" s="372"/>
      <c r="K352" s="373"/>
      <c r="L352" s="372"/>
      <c r="M352" s="372"/>
      <c r="N352" s="227"/>
      <c r="O352" s="227"/>
      <c r="P352" s="227"/>
      <c r="Q352" s="227"/>
      <c r="R352" s="227"/>
      <c r="S352" s="340"/>
      <c r="T352" s="226"/>
      <c r="U352" s="53"/>
      <c r="V352" s="53"/>
      <c r="W352" s="53"/>
      <c r="X352" s="53"/>
    </row>
    <row r="353" spans="1:24" ht="15.75" customHeight="1">
      <c r="A353" s="69"/>
      <c r="B353" s="69">
        <v>46207</v>
      </c>
      <c r="C353" s="70" t="str">
        <f t="shared" si="7"/>
        <v>sábado</v>
      </c>
      <c r="D353" s="55">
        <f>SUMIFS('📋 Despesas'!K:K,'📋 Despesas'!N:N,B353)</f>
        <v>0</v>
      </c>
      <c r="E353" s="53"/>
      <c r="F353" s="53"/>
      <c r="G353" s="372"/>
      <c r="H353" s="372"/>
      <c r="I353" s="379"/>
      <c r="J353" s="372"/>
      <c r="K353" s="373"/>
      <c r="L353" s="372"/>
      <c r="M353" s="372"/>
      <c r="N353" s="227"/>
      <c r="O353" s="227"/>
      <c r="P353" s="227"/>
      <c r="Q353" s="227"/>
      <c r="R353" s="227"/>
      <c r="S353" s="340"/>
      <c r="T353" s="226"/>
      <c r="U353" s="53"/>
      <c r="V353" s="53"/>
      <c r="W353" s="53"/>
      <c r="X353" s="53"/>
    </row>
    <row r="354" spans="1:24" ht="15.75" customHeight="1">
      <c r="A354" s="69"/>
      <c r="B354" s="69">
        <v>46208</v>
      </c>
      <c r="C354" s="70" t="str">
        <f t="shared" si="7"/>
        <v>domingo</v>
      </c>
      <c r="D354" s="55">
        <f>SUMIFS('📋 Despesas'!K:K,'📋 Despesas'!N:N,B354)</f>
        <v>3115</v>
      </c>
      <c r="E354" s="53"/>
      <c r="F354" s="53"/>
      <c r="G354" s="372"/>
      <c r="H354" s="372"/>
      <c r="I354" s="379"/>
      <c r="J354" s="372"/>
      <c r="K354" s="373"/>
      <c r="L354" s="372"/>
      <c r="M354" s="372"/>
      <c r="N354" s="227"/>
      <c r="O354" s="227"/>
      <c r="P354" s="227"/>
      <c r="Q354" s="227"/>
      <c r="R354" s="227"/>
      <c r="S354" s="340"/>
      <c r="T354" s="226"/>
      <c r="U354" s="53"/>
      <c r="V354" s="53"/>
      <c r="W354" s="53"/>
      <c r="X354" s="53"/>
    </row>
    <row r="355" spans="1:24" ht="15.75" customHeight="1">
      <c r="A355" s="69"/>
      <c r="B355" s="69">
        <v>46209</v>
      </c>
      <c r="C355" s="70" t="str">
        <f t="shared" si="7"/>
        <v>segunda-feira</v>
      </c>
      <c r="D355" s="55">
        <f>SUMIFS('📋 Despesas'!K:K,'📋 Despesas'!N:N,B355)</f>
        <v>0</v>
      </c>
      <c r="E355" s="53"/>
      <c r="F355" s="53"/>
      <c r="G355" s="372"/>
      <c r="H355" s="372"/>
      <c r="I355" s="379"/>
      <c r="J355" s="372"/>
      <c r="K355" s="373"/>
      <c r="L355" s="372"/>
      <c r="M355" s="372"/>
      <c r="N355" s="227"/>
      <c r="O355" s="227"/>
      <c r="P355" s="227"/>
      <c r="Q355" s="227"/>
      <c r="R355" s="227"/>
      <c r="S355" s="340"/>
      <c r="T355" s="226"/>
      <c r="U355" s="53"/>
      <c r="V355" s="53"/>
      <c r="W355" s="53"/>
      <c r="X355" s="53"/>
    </row>
    <row r="356" spans="1:24" ht="15.75" customHeight="1">
      <c r="A356" s="69"/>
      <c r="B356" s="69">
        <v>46210</v>
      </c>
      <c r="C356" s="70" t="str">
        <f t="shared" si="7"/>
        <v>terça-feira</v>
      </c>
      <c r="D356" s="55">
        <f>SUMIFS('📋 Despesas'!K:K,'📋 Despesas'!N:N,B356)</f>
        <v>0</v>
      </c>
      <c r="E356" s="53"/>
      <c r="F356" s="53"/>
      <c r="G356" s="372"/>
      <c r="H356" s="372"/>
      <c r="I356" s="379"/>
      <c r="J356" s="372"/>
      <c r="K356" s="373"/>
      <c r="L356" s="372"/>
      <c r="M356" s="372"/>
      <c r="N356" s="227"/>
      <c r="O356" s="227"/>
      <c r="P356" s="227"/>
      <c r="Q356" s="227"/>
      <c r="R356" s="227"/>
      <c r="S356" s="340"/>
      <c r="T356" s="226"/>
      <c r="U356" s="53"/>
      <c r="V356" s="53"/>
      <c r="W356" s="53"/>
      <c r="X356" s="53"/>
    </row>
    <row r="357" spans="1:24" ht="15.75" customHeight="1">
      <c r="A357" s="69"/>
      <c r="B357" s="69">
        <v>46211</v>
      </c>
      <c r="C357" s="70" t="str">
        <f t="shared" si="7"/>
        <v>quarta-feira</v>
      </c>
      <c r="D357" s="55">
        <f>SUMIFS('📋 Despesas'!K:K,'📋 Despesas'!N:N,B357)</f>
        <v>0</v>
      </c>
      <c r="E357" s="53"/>
      <c r="F357" s="53"/>
      <c r="G357" s="372"/>
      <c r="H357" s="372"/>
      <c r="I357" s="379"/>
      <c r="J357" s="372"/>
      <c r="K357" s="373"/>
      <c r="L357" s="372"/>
      <c r="M357" s="372"/>
      <c r="N357" s="227"/>
      <c r="O357" s="227"/>
      <c r="P357" s="227"/>
      <c r="Q357" s="227"/>
      <c r="R357" s="227"/>
      <c r="S357" s="340"/>
      <c r="T357" s="226"/>
      <c r="U357" s="53"/>
      <c r="V357" s="53"/>
      <c r="W357" s="53"/>
      <c r="X357" s="53"/>
    </row>
    <row r="358" spans="1:24" ht="15.75" customHeight="1">
      <c r="A358" s="69"/>
      <c r="B358" s="69">
        <v>46212</v>
      </c>
      <c r="C358" s="70" t="str">
        <f t="shared" si="7"/>
        <v>quinta-feira</v>
      </c>
      <c r="D358" s="55">
        <f>SUMIFS('📋 Despesas'!K:K,'📋 Despesas'!N:N,B358)</f>
        <v>0</v>
      </c>
      <c r="E358" s="53"/>
      <c r="F358" s="53"/>
      <c r="G358" s="372"/>
      <c r="H358" s="372"/>
      <c r="I358" s="379"/>
      <c r="J358" s="372"/>
      <c r="K358" s="373"/>
      <c r="L358" s="372"/>
      <c r="M358" s="372"/>
      <c r="N358" s="227"/>
      <c r="O358" s="227"/>
      <c r="P358" s="227"/>
      <c r="Q358" s="227"/>
      <c r="R358" s="227"/>
      <c r="S358" s="340"/>
      <c r="T358" s="226"/>
      <c r="U358" s="53"/>
      <c r="V358" s="53"/>
      <c r="W358" s="53"/>
      <c r="X358" s="53"/>
    </row>
    <row r="359" spans="1:24" ht="15.75" customHeight="1">
      <c r="A359" s="69"/>
      <c r="B359" s="69">
        <v>46213</v>
      </c>
      <c r="C359" s="70" t="str">
        <f t="shared" si="7"/>
        <v>sexta-feira</v>
      </c>
      <c r="D359" s="55">
        <f>SUMIFS('📋 Despesas'!K:K,'📋 Despesas'!N:N,B359)</f>
        <v>590</v>
      </c>
      <c r="E359" s="53"/>
      <c r="F359" s="53"/>
      <c r="G359" s="372"/>
      <c r="H359" s="372"/>
      <c r="I359" s="379"/>
      <c r="J359" s="372"/>
      <c r="K359" s="373"/>
      <c r="L359" s="372"/>
      <c r="M359" s="372"/>
      <c r="N359" s="227"/>
      <c r="O359" s="227"/>
      <c r="P359" s="227"/>
      <c r="Q359" s="227"/>
      <c r="R359" s="227"/>
      <c r="S359" s="340"/>
      <c r="T359" s="226"/>
      <c r="U359" s="53"/>
      <c r="V359" s="53"/>
      <c r="W359" s="53"/>
      <c r="X359" s="53"/>
    </row>
    <row r="360" spans="1:24" ht="15.75" customHeight="1">
      <c r="A360" s="69"/>
      <c r="B360" s="69">
        <v>46214</v>
      </c>
      <c r="C360" s="70" t="str">
        <f t="shared" si="7"/>
        <v>sábado</v>
      </c>
      <c r="D360" s="55">
        <f>SUMIFS('📋 Despesas'!K:K,'📋 Despesas'!N:N,B360)</f>
        <v>0</v>
      </c>
      <c r="E360" s="53"/>
      <c r="F360" s="53"/>
      <c r="G360" s="372"/>
      <c r="H360" s="372"/>
      <c r="I360" s="379"/>
      <c r="J360" s="372"/>
      <c r="K360" s="373"/>
      <c r="L360" s="372"/>
      <c r="M360" s="372"/>
      <c r="N360" s="227"/>
      <c r="O360" s="227"/>
      <c r="P360" s="227"/>
      <c r="Q360" s="227"/>
      <c r="R360" s="227"/>
      <c r="S360" s="340"/>
      <c r="T360" s="226"/>
      <c r="U360" s="53"/>
      <c r="V360" s="53"/>
      <c r="W360" s="53"/>
      <c r="X360" s="53"/>
    </row>
    <row r="361" spans="1:24" ht="15.75" customHeight="1">
      <c r="A361" s="69"/>
      <c r="B361" s="69">
        <v>46215</v>
      </c>
      <c r="C361" s="70" t="str">
        <f t="shared" si="7"/>
        <v>domingo</v>
      </c>
      <c r="D361" s="55">
        <f>SUMIFS('📋 Despesas'!K:K,'📋 Despesas'!N:N,B361)</f>
        <v>0</v>
      </c>
      <c r="E361" s="53"/>
      <c r="F361" s="53"/>
      <c r="G361" s="372"/>
      <c r="H361" s="372"/>
      <c r="I361" s="379"/>
      <c r="J361" s="372"/>
      <c r="K361" s="373"/>
      <c r="L361" s="372"/>
      <c r="M361" s="372"/>
      <c r="N361" s="227"/>
      <c r="O361" s="227"/>
      <c r="P361" s="227"/>
      <c r="Q361" s="227"/>
      <c r="R361" s="227"/>
      <c r="S361" s="340"/>
      <c r="T361" s="226"/>
      <c r="U361" s="53"/>
      <c r="V361" s="53"/>
      <c r="W361" s="53"/>
      <c r="X361" s="53"/>
    </row>
    <row r="362" spans="1:24" ht="15.75" customHeight="1">
      <c r="A362" s="69"/>
      <c r="B362" s="69">
        <v>46216</v>
      </c>
      <c r="C362" s="70" t="str">
        <f t="shared" si="7"/>
        <v>segunda-feira</v>
      </c>
      <c r="D362" s="55">
        <f>SUMIFS('📋 Despesas'!K:K,'📋 Despesas'!N:N,B362)</f>
        <v>0</v>
      </c>
      <c r="E362" s="53"/>
      <c r="F362" s="53"/>
      <c r="G362" s="372"/>
      <c r="H362" s="372"/>
      <c r="I362" s="379"/>
      <c r="J362" s="372"/>
      <c r="K362" s="373"/>
      <c r="L362" s="372"/>
      <c r="M362" s="372"/>
      <c r="N362" s="227"/>
      <c r="O362" s="227"/>
      <c r="P362" s="227"/>
      <c r="Q362" s="227"/>
      <c r="R362" s="227"/>
      <c r="S362" s="340"/>
      <c r="T362" s="226"/>
      <c r="U362" s="53"/>
      <c r="V362" s="53"/>
      <c r="W362" s="53"/>
      <c r="X362" s="53"/>
    </row>
    <row r="363" spans="1:24" ht="15.75" customHeight="1">
      <c r="A363" s="69"/>
      <c r="B363" s="69">
        <v>46217</v>
      </c>
      <c r="C363" s="70" t="str">
        <f t="shared" si="7"/>
        <v>terça-feira</v>
      </c>
      <c r="D363" s="55">
        <f>SUMIFS('📋 Despesas'!K:K,'📋 Despesas'!N:N,B363)</f>
        <v>0</v>
      </c>
      <c r="E363" s="53"/>
      <c r="F363" s="53"/>
      <c r="G363" s="372"/>
      <c r="H363" s="372"/>
      <c r="I363" s="379"/>
      <c r="J363" s="372"/>
      <c r="K363" s="373"/>
      <c r="L363" s="372"/>
      <c r="M363" s="372"/>
      <c r="N363" s="227"/>
      <c r="O363" s="227"/>
      <c r="P363" s="227"/>
      <c r="Q363" s="227"/>
      <c r="R363" s="227"/>
      <c r="S363" s="340"/>
      <c r="T363" s="226"/>
      <c r="U363" s="53"/>
      <c r="V363" s="53"/>
      <c r="W363" s="53"/>
      <c r="X363" s="53"/>
    </row>
    <row r="364" spans="1:24" ht="15.75" customHeight="1">
      <c r="A364" s="69"/>
      <c r="B364" s="69">
        <v>46218</v>
      </c>
      <c r="C364" s="70" t="str">
        <f t="shared" si="7"/>
        <v>quarta-feira</v>
      </c>
      <c r="D364" s="55">
        <f>SUMIFS('📋 Despesas'!K:K,'📋 Despesas'!N:N,B364)</f>
        <v>0</v>
      </c>
      <c r="E364" s="53"/>
      <c r="F364" s="53"/>
      <c r="G364" s="372"/>
      <c r="H364" s="372"/>
      <c r="I364" s="379"/>
      <c r="J364" s="372"/>
      <c r="K364" s="373"/>
      <c r="L364" s="372"/>
      <c r="M364" s="372"/>
      <c r="N364" s="227"/>
      <c r="O364" s="227"/>
      <c r="P364" s="227"/>
      <c r="Q364" s="227"/>
      <c r="R364" s="227"/>
      <c r="S364" s="340"/>
      <c r="T364" s="226"/>
      <c r="U364" s="53"/>
      <c r="V364" s="53"/>
      <c r="W364" s="53"/>
      <c r="X364" s="53"/>
    </row>
    <row r="365" spans="1:24" ht="15.75" customHeight="1">
      <c r="A365" s="69"/>
      <c r="B365" s="69">
        <v>46219</v>
      </c>
      <c r="C365" s="70" t="str">
        <f t="shared" si="7"/>
        <v>quinta-feira</v>
      </c>
      <c r="D365" s="55">
        <f>SUMIFS('📋 Despesas'!K:K,'📋 Despesas'!N:N,B365)</f>
        <v>0</v>
      </c>
      <c r="E365" s="53"/>
      <c r="F365" s="53"/>
      <c r="G365" s="372"/>
      <c r="H365" s="372"/>
      <c r="I365" s="379"/>
      <c r="J365" s="372"/>
      <c r="K365" s="373"/>
      <c r="L365" s="372"/>
      <c r="M365" s="372"/>
      <c r="N365" s="227"/>
      <c r="O365" s="227"/>
      <c r="P365" s="227"/>
      <c r="Q365" s="227"/>
      <c r="R365" s="227"/>
      <c r="S365" s="340"/>
      <c r="T365" s="226"/>
      <c r="U365" s="53"/>
      <c r="V365" s="53"/>
      <c r="W365" s="53"/>
      <c r="X365" s="53"/>
    </row>
    <row r="366" spans="1:24" ht="15.75" customHeight="1">
      <c r="A366" s="69"/>
      <c r="B366" s="69">
        <v>46220</v>
      </c>
      <c r="C366" s="70" t="str">
        <f t="shared" si="7"/>
        <v>sexta-feira</v>
      </c>
      <c r="D366" s="55">
        <f>SUMIFS('📋 Despesas'!K:K,'📋 Despesas'!N:N,B366)</f>
        <v>0</v>
      </c>
      <c r="E366" s="53"/>
      <c r="F366" s="53"/>
      <c r="G366" s="372"/>
      <c r="H366" s="372"/>
      <c r="I366" s="379"/>
      <c r="J366" s="372"/>
      <c r="K366" s="373"/>
      <c r="L366" s="372"/>
      <c r="M366" s="372"/>
      <c r="N366" s="227"/>
      <c r="O366" s="227"/>
      <c r="P366" s="227"/>
      <c r="Q366" s="227"/>
      <c r="R366" s="227"/>
      <c r="S366" s="340"/>
      <c r="T366" s="226"/>
      <c r="U366" s="53"/>
      <c r="V366" s="53"/>
      <c r="W366" s="53"/>
      <c r="X366" s="53"/>
    </row>
    <row r="367" spans="1:24" ht="15.75" customHeight="1">
      <c r="A367" s="69"/>
      <c r="B367" s="69">
        <v>46221</v>
      </c>
      <c r="C367" s="70" t="str">
        <f t="shared" si="7"/>
        <v>sábado</v>
      </c>
      <c r="D367" s="55">
        <f>SUMIFS('📋 Despesas'!K:K,'📋 Despesas'!N:N,B367)</f>
        <v>0</v>
      </c>
      <c r="E367" s="53"/>
      <c r="F367" s="53"/>
      <c r="G367" s="372"/>
      <c r="H367" s="372"/>
      <c r="I367" s="379"/>
      <c r="J367" s="372"/>
      <c r="K367" s="373"/>
      <c r="L367" s="372"/>
      <c r="M367" s="372"/>
      <c r="N367" s="227"/>
      <c r="O367" s="227"/>
      <c r="P367" s="227"/>
      <c r="Q367" s="227"/>
      <c r="R367" s="227"/>
      <c r="S367" s="340"/>
      <c r="T367" s="226"/>
      <c r="U367" s="53"/>
      <c r="V367" s="53"/>
      <c r="W367" s="53"/>
      <c r="X367" s="53"/>
    </row>
    <row r="368" spans="1:24" ht="15.75" customHeight="1">
      <c r="A368" s="69"/>
      <c r="B368" s="69">
        <v>46222</v>
      </c>
      <c r="C368" s="70" t="str">
        <f t="shared" si="7"/>
        <v>domingo</v>
      </c>
      <c r="D368" s="55">
        <f>SUMIFS('📋 Despesas'!K:K,'📋 Despesas'!N:N,B368)</f>
        <v>0</v>
      </c>
      <c r="E368" s="53"/>
      <c r="F368" s="53"/>
      <c r="G368" s="372"/>
      <c r="H368" s="372"/>
      <c r="I368" s="379"/>
      <c r="J368" s="372"/>
      <c r="K368" s="373"/>
      <c r="L368" s="372"/>
      <c r="M368" s="372"/>
      <c r="N368" s="227"/>
      <c r="O368" s="227"/>
      <c r="P368" s="227"/>
      <c r="Q368" s="227"/>
      <c r="R368" s="227"/>
      <c r="S368" s="340"/>
      <c r="T368" s="226"/>
      <c r="U368" s="53"/>
      <c r="V368" s="53"/>
      <c r="W368" s="53"/>
      <c r="X368" s="53"/>
    </row>
    <row r="369" spans="1:24" ht="15.75" customHeight="1">
      <c r="A369" s="69"/>
      <c r="B369" s="69">
        <v>46223</v>
      </c>
      <c r="C369" s="70" t="str">
        <f t="shared" si="7"/>
        <v>segunda-feira</v>
      </c>
      <c r="D369" s="55">
        <f>SUMIFS('📋 Despesas'!K:K,'📋 Despesas'!N:N,B369)</f>
        <v>985</v>
      </c>
      <c r="E369" s="53"/>
      <c r="F369" s="53"/>
      <c r="G369" s="372"/>
      <c r="H369" s="372"/>
      <c r="I369" s="379"/>
      <c r="J369" s="372"/>
      <c r="K369" s="373"/>
      <c r="L369" s="372"/>
      <c r="M369" s="372"/>
      <c r="N369" s="227"/>
      <c r="O369" s="227"/>
      <c r="P369" s="227"/>
      <c r="Q369" s="227"/>
      <c r="R369" s="227"/>
      <c r="S369" s="340"/>
      <c r="T369" s="226"/>
      <c r="U369" s="53"/>
      <c r="V369" s="53"/>
      <c r="W369" s="53"/>
      <c r="X369" s="53"/>
    </row>
    <row r="370" spans="1:24" ht="15.75" customHeight="1">
      <c r="A370" s="69"/>
      <c r="B370" s="69">
        <v>46224</v>
      </c>
      <c r="C370" s="70" t="str">
        <f t="shared" si="7"/>
        <v>terça-feira</v>
      </c>
      <c r="D370" s="55">
        <f>SUMIFS('📋 Despesas'!K:K,'📋 Despesas'!N:N,B370)</f>
        <v>0</v>
      </c>
      <c r="E370" s="53"/>
      <c r="F370" s="53"/>
      <c r="G370" s="372"/>
      <c r="H370" s="372"/>
      <c r="I370" s="379"/>
      <c r="J370" s="372"/>
      <c r="K370" s="373"/>
      <c r="L370" s="372"/>
      <c r="M370" s="372"/>
      <c r="N370" s="227"/>
      <c r="O370" s="227"/>
      <c r="P370" s="227"/>
      <c r="Q370" s="227"/>
      <c r="R370" s="227"/>
      <c r="S370" s="340"/>
      <c r="T370" s="226"/>
      <c r="U370" s="53"/>
      <c r="V370" s="53"/>
      <c r="W370" s="53"/>
      <c r="X370" s="53"/>
    </row>
    <row r="371" spans="1:24" ht="15.75" customHeight="1">
      <c r="A371" s="69"/>
      <c r="B371" s="69">
        <v>46225</v>
      </c>
      <c r="C371" s="70" t="str">
        <f t="shared" si="7"/>
        <v>quarta-feira</v>
      </c>
      <c r="D371" s="55">
        <f>SUMIFS('📋 Despesas'!K:K,'📋 Despesas'!N:N,B371)</f>
        <v>0</v>
      </c>
      <c r="E371" s="53"/>
      <c r="F371" s="53"/>
      <c r="G371" s="372"/>
      <c r="H371" s="372"/>
      <c r="I371" s="379"/>
      <c r="J371" s="372"/>
      <c r="K371" s="373"/>
      <c r="L371" s="372"/>
      <c r="M371" s="372"/>
      <c r="N371" s="227"/>
      <c r="O371" s="227"/>
      <c r="P371" s="227"/>
      <c r="Q371" s="227"/>
      <c r="R371" s="227"/>
      <c r="S371" s="340"/>
      <c r="T371" s="226"/>
      <c r="U371" s="53"/>
      <c r="V371" s="53"/>
      <c r="W371" s="53"/>
      <c r="X371" s="53"/>
    </row>
    <row r="372" spans="1:24" ht="15.75" customHeight="1">
      <c r="A372" s="69"/>
      <c r="B372" s="69">
        <v>46226</v>
      </c>
      <c r="C372" s="70" t="str">
        <f t="shared" si="7"/>
        <v>quinta-feira</v>
      </c>
      <c r="D372" s="55">
        <f>SUMIFS('📋 Despesas'!K:K,'📋 Despesas'!N:N,B372)</f>
        <v>0</v>
      </c>
      <c r="E372" s="53"/>
      <c r="F372" s="53"/>
      <c r="G372" s="372"/>
      <c r="H372" s="372"/>
      <c r="I372" s="379"/>
      <c r="J372" s="372"/>
      <c r="K372" s="373"/>
      <c r="L372" s="372"/>
      <c r="M372" s="372"/>
      <c r="N372" s="227"/>
      <c r="O372" s="227"/>
      <c r="P372" s="227"/>
      <c r="Q372" s="227"/>
      <c r="R372" s="227"/>
      <c r="S372" s="340"/>
      <c r="T372" s="226"/>
      <c r="U372" s="53"/>
      <c r="V372" s="53"/>
      <c r="W372" s="53"/>
      <c r="X372" s="53"/>
    </row>
    <row r="373" spans="1:24" ht="15.75" customHeight="1">
      <c r="A373" s="69"/>
      <c r="B373" s="69">
        <v>46227</v>
      </c>
      <c r="C373" s="70" t="str">
        <f t="shared" si="7"/>
        <v>sexta-feira</v>
      </c>
      <c r="D373" s="55">
        <f>SUMIFS('📋 Despesas'!K:K,'📋 Despesas'!N:N,B373)</f>
        <v>0</v>
      </c>
      <c r="E373" s="53"/>
      <c r="F373" s="53"/>
      <c r="G373" s="372"/>
      <c r="H373" s="372"/>
      <c r="I373" s="379"/>
      <c r="J373" s="372"/>
      <c r="K373" s="373"/>
      <c r="L373" s="372"/>
      <c r="M373" s="372"/>
      <c r="N373" s="227"/>
      <c r="O373" s="227"/>
      <c r="P373" s="227"/>
      <c r="Q373" s="227"/>
      <c r="R373" s="227"/>
      <c r="S373" s="340"/>
      <c r="T373" s="226"/>
      <c r="U373" s="53"/>
      <c r="V373" s="53"/>
      <c r="W373" s="53"/>
      <c r="X373" s="53"/>
    </row>
    <row r="374" spans="1:24" ht="15.75" customHeight="1">
      <c r="A374" s="69"/>
      <c r="B374" s="69">
        <v>46228</v>
      </c>
      <c r="C374" s="70" t="str">
        <f t="shared" si="7"/>
        <v>sábado</v>
      </c>
      <c r="D374" s="55">
        <f>SUMIFS('📋 Despesas'!K:K,'📋 Despesas'!N:N,B374)</f>
        <v>0</v>
      </c>
      <c r="E374" s="53"/>
      <c r="F374" s="53"/>
      <c r="G374" s="372"/>
      <c r="H374" s="372"/>
      <c r="I374" s="379"/>
      <c r="J374" s="372"/>
      <c r="K374" s="373"/>
      <c r="L374" s="372"/>
      <c r="M374" s="372"/>
      <c r="N374" s="227"/>
      <c r="O374" s="227"/>
      <c r="P374" s="227"/>
      <c r="Q374" s="227"/>
      <c r="R374" s="227"/>
      <c r="S374" s="340"/>
      <c r="T374" s="226"/>
      <c r="U374" s="53"/>
      <c r="V374" s="53"/>
      <c r="W374" s="53"/>
      <c r="X374" s="53"/>
    </row>
    <row r="375" spans="1:24" ht="15.75" customHeight="1">
      <c r="A375" s="69"/>
      <c r="B375" s="69">
        <v>46229</v>
      </c>
      <c r="C375" s="70" t="str">
        <f t="shared" si="7"/>
        <v>domingo</v>
      </c>
      <c r="D375" s="55">
        <f>SUMIFS('📋 Despesas'!K:K,'📋 Despesas'!N:N,B375)</f>
        <v>0</v>
      </c>
      <c r="E375" s="53"/>
      <c r="F375" s="53"/>
      <c r="G375" s="372"/>
      <c r="H375" s="372"/>
      <c r="I375" s="379"/>
      <c r="J375" s="372"/>
      <c r="K375" s="373"/>
      <c r="L375" s="372"/>
      <c r="M375" s="372"/>
      <c r="N375" s="227"/>
      <c r="O375" s="227"/>
      <c r="P375" s="227"/>
      <c r="Q375" s="227"/>
      <c r="R375" s="227"/>
      <c r="S375" s="340"/>
      <c r="T375" s="226"/>
      <c r="U375" s="53"/>
      <c r="V375" s="53"/>
      <c r="W375" s="53"/>
      <c r="X375" s="53"/>
    </row>
    <row r="376" spans="1:24" ht="15.75" customHeight="1">
      <c r="A376" s="69"/>
      <c r="B376" s="69">
        <v>46230</v>
      </c>
      <c r="C376" s="70" t="str">
        <f t="shared" si="7"/>
        <v>segunda-feira</v>
      </c>
      <c r="D376" s="55">
        <f>SUMIFS('📋 Despesas'!K:K,'📋 Despesas'!N:N,B376)</f>
        <v>0</v>
      </c>
      <c r="E376" s="53"/>
      <c r="F376" s="53"/>
      <c r="G376" s="372"/>
      <c r="H376" s="372"/>
      <c r="I376" s="379"/>
      <c r="J376" s="372"/>
      <c r="K376" s="373"/>
      <c r="L376" s="372"/>
      <c r="M376" s="372"/>
      <c r="N376" s="227"/>
      <c r="O376" s="227"/>
      <c r="P376" s="227"/>
      <c r="Q376" s="227"/>
      <c r="R376" s="227"/>
      <c r="S376" s="340"/>
      <c r="T376" s="226"/>
      <c r="U376" s="53"/>
      <c r="V376" s="53"/>
      <c r="W376" s="53"/>
      <c r="X376" s="53"/>
    </row>
    <row r="377" spans="1:24" ht="15.75" customHeight="1">
      <c r="A377" s="69"/>
      <c r="B377" s="69">
        <v>46231</v>
      </c>
      <c r="C377" s="70" t="str">
        <f t="shared" si="7"/>
        <v>terça-feira</v>
      </c>
      <c r="D377" s="55">
        <f>SUMIFS('📋 Despesas'!K:K,'📋 Despesas'!N:N,B377)</f>
        <v>0</v>
      </c>
      <c r="E377" s="53"/>
      <c r="F377" s="53"/>
      <c r="G377" s="372"/>
      <c r="H377" s="372"/>
      <c r="I377" s="379"/>
      <c r="J377" s="372"/>
      <c r="K377" s="373"/>
      <c r="L377" s="372"/>
      <c r="M377" s="372"/>
      <c r="N377" s="227"/>
      <c r="O377" s="227"/>
      <c r="P377" s="227"/>
      <c r="Q377" s="227"/>
      <c r="R377" s="227"/>
      <c r="S377" s="340"/>
      <c r="T377" s="226"/>
      <c r="U377" s="53"/>
      <c r="V377" s="53"/>
      <c r="W377" s="53"/>
      <c r="X377" s="53"/>
    </row>
    <row r="378" spans="1:24" ht="15.75" customHeight="1">
      <c r="A378" s="69"/>
      <c r="B378" s="69">
        <v>46232</v>
      </c>
      <c r="C378" s="70" t="str">
        <f t="shared" si="7"/>
        <v>quarta-feira</v>
      </c>
      <c r="D378" s="55">
        <f>SUMIFS('📋 Despesas'!K:K,'📋 Despesas'!N:N,B378)</f>
        <v>0</v>
      </c>
      <c r="E378" s="53"/>
      <c r="F378" s="53"/>
      <c r="G378" s="372"/>
      <c r="H378" s="372"/>
      <c r="I378" s="379"/>
      <c r="J378" s="372"/>
      <c r="K378" s="373"/>
      <c r="L378" s="372"/>
      <c r="M378" s="372"/>
      <c r="N378" s="227"/>
      <c r="O378" s="227"/>
      <c r="P378" s="227"/>
      <c r="Q378" s="227"/>
      <c r="R378" s="227"/>
      <c r="S378" s="340"/>
      <c r="T378" s="226"/>
      <c r="U378" s="53"/>
      <c r="V378" s="53"/>
      <c r="W378" s="53"/>
      <c r="X378" s="53"/>
    </row>
    <row r="379" spans="1:24" ht="15.75" customHeight="1">
      <c r="A379" s="69"/>
      <c r="B379" s="69">
        <v>46233</v>
      </c>
      <c r="C379" s="70" t="str">
        <f t="shared" si="7"/>
        <v>quinta-feira</v>
      </c>
      <c r="D379" s="55">
        <f>SUMIFS('📋 Despesas'!K:K,'📋 Despesas'!N:N,B379)</f>
        <v>0</v>
      </c>
      <c r="E379" s="53"/>
      <c r="F379" s="53"/>
      <c r="G379" s="372"/>
      <c r="H379" s="372"/>
      <c r="I379" s="379"/>
      <c r="J379" s="372"/>
      <c r="K379" s="373"/>
      <c r="L379" s="372"/>
      <c r="M379" s="372"/>
      <c r="N379" s="227"/>
      <c r="O379" s="227"/>
      <c r="P379" s="227"/>
      <c r="Q379" s="227"/>
      <c r="R379" s="227"/>
      <c r="S379" s="340"/>
      <c r="T379" s="226"/>
      <c r="U379" s="53"/>
      <c r="V379" s="53"/>
      <c r="W379" s="53"/>
      <c r="X379" s="53"/>
    </row>
    <row r="380" spans="1:24" ht="15.75" customHeight="1">
      <c r="A380" s="69"/>
      <c r="B380" s="69">
        <v>46234</v>
      </c>
      <c r="C380" s="70" t="str">
        <f t="shared" si="7"/>
        <v>sexta-feira</v>
      </c>
      <c r="D380" s="55">
        <f>SUMIFS('📋 Despesas'!K:K,'📋 Despesas'!N:N,B380)</f>
        <v>0</v>
      </c>
      <c r="E380" s="53"/>
      <c r="F380" s="53"/>
      <c r="G380" s="372"/>
      <c r="H380" s="372"/>
      <c r="I380" s="379"/>
      <c r="J380" s="372"/>
      <c r="K380" s="373"/>
      <c r="L380" s="372"/>
      <c r="M380" s="372"/>
      <c r="N380" s="227"/>
      <c r="O380" s="227"/>
      <c r="P380" s="227"/>
      <c r="Q380" s="227"/>
      <c r="R380" s="227"/>
      <c r="S380" s="340"/>
      <c r="T380" s="226"/>
      <c r="U380" s="53"/>
      <c r="V380" s="53"/>
      <c r="W380" s="53"/>
      <c r="X380" s="53"/>
    </row>
    <row r="381" spans="1:24" ht="15.75" customHeight="1">
      <c r="A381" s="69"/>
      <c r="B381" s="69">
        <v>46235</v>
      </c>
      <c r="C381" s="70" t="str">
        <f t="shared" si="7"/>
        <v>sábado</v>
      </c>
      <c r="D381" s="55">
        <f>SUMIFS('📋 Despesas'!K:K,'📋 Despesas'!N:N,B381)</f>
        <v>0</v>
      </c>
      <c r="E381" s="53"/>
      <c r="F381" s="53"/>
      <c r="G381" s="372"/>
      <c r="H381" s="372"/>
      <c r="I381" s="379"/>
      <c r="J381" s="372"/>
      <c r="K381" s="373"/>
      <c r="L381" s="372"/>
      <c r="M381" s="372"/>
      <c r="N381" s="227"/>
      <c r="O381" s="227"/>
      <c r="P381" s="227"/>
      <c r="Q381" s="227"/>
      <c r="R381" s="227"/>
      <c r="S381" s="340"/>
      <c r="T381" s="226"/>
      <c r="U381" s="53"/>
      <c r="V381" s="53"/>
      <c r="W381" s="53"/>
      <c r="X381" s="53"/>
    </row>
    <row r="382" spans="1:24" ht="15.75" customHeight="1">
      <c r="A382" s="69"/>
      <c r="B382" s="69">
        <v>46236</v>
      </c>
      <c r="C382" s="70" t="str">
        <f t="shared" si="7"/>
        <v>domingo</v>
      </c>
      <c r="D382" s="55">
        <f>SUMIFS('📋 Despesas'!K:K,'📋 Despesas'!N:N,B382)</f>
        <v>0</v>
      </c>
      <c r="E382" s="53"/>
      <c r="F382" s="53"/>
      <c r="G382" s="372"/>
      <c r="H382" s="372"/>
      <c r="I382" s="379"/>
      <c r="J382" s="372"/>
      <c r="K382" s="373"/>
      <c r="L382" s="372"/>
      <c r="M382" s="372"/>
      <c r="N382" s="227"/>
      <c r="O382" s="227"/>
      <c r="P382" s="227"/>
      <c r="Q382" s="227"/>
      <c r="R382" s="227"/>
      <c r="S382" s="340"/>
      <c r="T382" s="226"/>
      <c r="U382" s="53"/>
      <c r="V382" s="53"/>
      <c r="W382" s="53"/>
      <c r="X382" s="53"/>
    </row>
    <row r="383" spans="1:24" ht="15.75" customHeight="1">
      <c r="A383" s="69"/>
      <c r="B383" s="69">
        <v>46237</v>
      </c>
      <c r="C383" s="70"/>
      <c r="D383" s="55"/>
      <c r="E383" s="53"/>
      <c r="F383" s="53"/>
      <c r="G383" s="372"/>
      <c r="H383" s="372"/>
      <c r="I383" s="379"/>
      <c r="J383" s="372"/>
      <c r="K383" s="373"/>
      <c r="L383" s="372"/>
      <c r="M383" s="372"/>
      <c r="N383" s="227"/>
      <c r="O383" s="227"/>
      <c r="P383" s="227"/>
      <c r="Q383" s="227"/>
      <c r="R383" s="227"/>
      <c r="S383" s="340"/>
      <c r="T383" s="226"/>
      <c r="U383" s="53"/>
      <c r="V383" s="53"/>
      <c r="W383" s="53"/>
      <c r="X383" s="53"/>
    </row>
    <row r="384" spans="1:24" ht="15.75" customHeight="1">
      <c r="A384" s="69"/>
      <c r="B384" s="69">
        <v>46238</v>
      </c>
      <c r="C384" s="70" t="str">
        <f t="shared" si="7"/>
        <v>terça-feira</v>
      </c>
      <c r="D384" s="55"/>
      <c r="E384" s="53"/>
      <c r="F384" s="53"/>
      <c r="G384" s="372"/>
      <c r="H384" s="372"/>
      <c r="I384" s="379"/>
      <c r="J384" s="372"/>
      <c r="K384" s="373"/>
      <c r="L384" s="372"/>
      <c r="M384" s="372"/>
      <c r="N384" s="227"/>
      <c r="O384" s="227"/>
      <c r="P384" s="227"/>
      <c r="Q384" s="227"/>
      <c r="R384" s="227"/>
      <c r="S384" s="340"/>
      <c r="T384" s="226"/>
      <c r="U384" s="53"/>
      <c r="V384" s="53"/>
      <c r="W384" s="53"/>
      <c r="X384" s="53"/>
    </row>
    <row r="385" spans="1:24" ht="15.75" customHeight="1">
      <c r="A385" s="69"/>
      <c r="B385" s="69"/>
      <c r="C385" s="70" t="str">
        <f t="shared" si="7"/>
        <v/>
      </c>
      <c r="D385" s="55"/>
      <c r="E385" s="53"/>
      <c r="F385" s="53"/>
      <c r="G385" s="372"/>
      <c r="H385" s="372"/>
      <c r="I385" s="379"/>
      <c r="J385" s="372"/>
      <c r="K385" s="373"/>
      <c r="L385" s="372"/>
      <c r="M385" s="372"/>
      <c r="N385" s="227"/>
      <c r="O385" s="227"/>
      <c r="P385" s="227"/>
      <c r="Q385" s="227"/>
      <c r="R385" s="227"/>
      <c r="S385" s="340"/>
      <c r="T385" s="226"/>
      <c r="U385" s="53"/>
      <c r="V385" s="53"/>
      <c r="W385" s="53"/>
      <c r="X385" s="53"/>
    </row>
    <row r="386" spans="1:24" ht="15.75" customHeight="1">
      <c r="A386" s="69"/>
      <c r="B386" s="69"/>
      <c r="C386" s="70" t="str">
        <f t="shared" si="7"/>
        <v/>
      </c>
      <c r="D386" s="55"/>
      <c r="E386" s="53"/>
      <c r="F386" s="53"/>
      <c r="G386" s="372"/>
      <c r="H386" s="372"/>
      <c r="I386" s="379"/>
      <c r="J386" s="372"/>
      <c r="K386" s="373"/>
      <c r="L386" s="372"/>
      <c r="M386" s="372"/>
      <c r="N386" s="227"/>
      <c r="O386" s="227"/>
      <c r="P386" s="227"/>
      <c r="Q386" s="227"/>
      <c r="R386" s="227"/>
      <c r="S386" s="340"/>
      <c r="T386" s="226"/>
      <c r="U386" s="53"/>
      <c r="V386" s="53"/>
      <c r="W386" s="53"/>
      <c r="X386" s="53"/>
    </row>
    <row r="387" spans="1:24" ht="15.75" customHeight="1">
      <c r="A387" s="69"/>
      <c r="B387" s="69"/>
      <c r="C387" s="70" t="str">
        <f t="shared" si="7"/>
        <v/>
      </c>
      <c r="D387" s="55"/>
      <c r="E387" s="53"/>
      <c r="F387" s="53"/>
      <c r="G387" s="372"/>
      <c r="H387" s="372"/>
      <c r="I387" s="379"/>
      <c r="J387" s="372"/>
      <c r="K387" s="373"/>
      <c r="L387" s="372"/>
      <c r="M387" s="372"/>
      <c r="N387" s="227"/>
      <c r="O387" s="227"/>
      <c r="P387" s="227"/>
      <c r="Q387" s="227"/>
      <c r="R387" s="227"/>
      <c r="S387" s="340"/>
      <c r="T387" s="226"/>
      <c r="U387" s="53"/>
      <c r="V387" s="53"/>
      <c r="W387" s="53"/>
      <c r="X387" s="53"/>
    </row>
    <row r="388" spans="1:24" ht="15.75" customHeight="1">
      <c r="A388" s="69"/>
      <c r="B388" s="69"/>
      <c r="C388" s="70" t="str">
        <f t="shared" si="7"/>
        <v/>
      </c>
      <c r="D388" s="55"/>
      <c r="E388" s="53"/>
      <c r="F388" s="53"/>
      <c r="G388" s="372"/>
      <c r="H388" s="372"/>
      <c r="I388" s="379"/>
      <c r="J388" s="372"/>
      <c r="K388" s="373"/>
      <c r="L388" s="372"/>
      <c r="M388" s="372"/>
      <c r="N388" s="227"/>
      <c r="O388" s="227"/>
      <c r="P388" s="227"/>
      <c r="Q388" s="227"/>
      <c r="R388" s="227"/>
      <c r="S388" s="340"/>
      <c r="T388" s="226"/>
      <c r="U388" s="53"/>
      <c r="V388" s="53"/>
      <c r="W388" s="53"/>
      <c r="X388" s="53"/>
    </row>
    <row r="389" spans="1:24" ht="15.75" customHeight="1">
      <c r="A389" s="69"/>
      <c r="B389" s="69"/>
      <c r="C389" s="70" t="str">
        <f t="shared" si="7"/>
        <v/>
      </c>
      <c r="D389" s="55"/>
      <c r="E389" s="53"/>
      <c r="F389" s="53"/>
      <c r="G389" s="372"/>
      <c r="H389" s="372"/>
      <c r="I389" s="379"/>
      <c r="J389" s="372"/>
      <c r="K389" s="373"/>
      <c r="L389" s="372"/>
      <c r="M389" s="372"/>
      <c r="N389" s="227"/>
      <c r="O389" s="227"/>
      <c r="P389" s="227"/>
      <c r="Q389" s="227"/>
      <c r="R389" s="227"/>
      <c r="S389" s="340"/>
      <c r="T389" s="226"/>
      <c r="U389" s="53"/>
      <c r="V389" s="53"/>
      <c r="W389" s="53"/>
      <c r="X389" s="53"/>
    </row>
    <row r="390" spans="1:24" ht="15.75" customHeight="1">
      <c r="A390" s="69"/>
      <c r="B390" s="69"/>
      <c r="C390" s="70" t="str">
        <f t="shared" si="7"/>
        <v/>
      </c>
      <c r="D390" s="55"/>
      <c r="E390" s="53"/>
      <c r="F390" s="53"/>
      <c r="G390" s="372"/>
      <c r="H390" s="372"/>
      <c r="I390" s="379"/>
      <c r="J390" s="372"/>
      <c r="K390" s="373"/>
      <c r="L390" s="372"/>
      <c r="M390" s="372"/>
      <c r="N390" s="227"/>
      <c r="O390" s="227"/>
      <c r="P390" s="227"/>
      <c r="Q390" s="227"/>
      <c r="R390" s="227"/>
      <c r="S390" s="340"/>
      <c r="T390" s="226"/>
      <c r="U390" s="53"/>
      <c r="V390" s="53"/>
      <c r="W390" s="53"/>
      <c r="X390" s="53"/>
    </row>
    <row r="391" spans="1:24" ht="15.75" customHeight="1">
      <c r="A391" s="69"/>
      <c r="B391" s="69"/>
      <c r="C391" s="70" t="str">
        <f t="shared" si="7"/>
        <v/>
      </c>
      <c r="D391" s="55"/>
      <c r="E391" s="53"/>
      <c r="F391" s="53"/>
      <c r="G391" s="372"/>
      <c r="H391" s="372"/>
      <c r="I391" s="379"/>
      <c r="J391" s="372"/>
      <c r="K391" s="373"/>
      <c r="L391" s="372"/>
      <c r="M391" s="372"/>
      <c r="N391" s="227"/>
      <c r="O391" s="227"/>
      <c r="P391" s="227"/>
      <c r="Q391" s="227"/>
      <c r="R391" s="227"/>
      <c r="S391" s="340"/>
      <c r="T391" s="226"/>
      <c r="U391" s="53"/>
      <c r="V391" s="53"/>
      <c r="W391" s="53"/>
      <c r="X391" s="53"/>
    </row>
    <row r="392" spans="1:24" ht="15.75" customHeight="1">
      <c r="A392" s="69"/>
      <c r="B392" s="69"/>
      <c r="C392" s="70" t="str">
        <f t="shared" si="7"/>
        <v/>
      </c>
      <c r="D392" s="55"/>
      <c r="E392" s="53"/>
      <c r="F392" s="53"/>
      <c r="G392" s="372"/>
      <c r="H392" s="372"/>
      <c r="I392" s="379"/>
      <c r="J392" s="372"/>
      <c r="K392" s="373"/>
      <c r="L392" s="372"/>
      <c r="M392" s="372"/>
      <c r="N392" s="227"/>
      <c r="O392" s="227"/>
      <c r="P392" s="227"/>
      <c r="Q392" s="227"/>
      <c r="R392" s="227"/>
      <c r="S392" s="340"/>
      <c r="T392" s="226"/>
      <c r="U392" s="53"/>
      <c r="V392" s="53"/>
      <c r="W392" s="53"/>
      <c r="X392" s="53"/>
    </row>
    <row r="393" spans="1:24" ht="15.75" customHeight="1">
      <c r="A393" s="69"/>
      <c r="B393" s="69"/>
      <c r="C393" s="70" t="str">
        <f t="shared" si="7"/>
        <v/>
      </c>
      <c r="D393" s="55"/>
      <c r="E393" s="53"/>
      <c r="F393" s="53"/>
      <c r="G393" s="372"/>
      <c r="H393" s="372"/>
      <c r="I393" s="379"/>
      <c r="J393" s="372"/>
      <c r="K393" s="373"/>
      <c r="L393" s="372"/>
      <c r="M393" s="372"/>
      <c r="N393" s="227"/>
      <c r="O393" s="227"/>
      <c r="P393" s="227"/>
      <c r="Q393" s="227"/>
      <c r="R393" s="227"/>
      <c r="S393" s="340"/>
      <c r="T393" s="226"/>
      <c r="U393" s="53"/>
      <c r="V393" s="53"/>
      <c r="W393" s="53"/>
      <c r="X393" s="53"/>
    </row>
    <row r="394" spans="1:24" ht="15.75" customHeight="1">
      <c r="A394" s="69"/>
      <c r="B394" s="69"/>
      <c r="C394" s="70" t="str">
        <f t="shared" si="7"/>
        <v/>
      </c>
      <c r="D394" s="55"/>
      <c r="E394" s="53"/>
      <c r="F394" s="53"/>
      <c r="G394" s="372"/>
      <c r="H394" s="372"/>
      <c r="I394" s="379"/>
      <c r="J394" s="372"/>
      <c r="K394" s="373"/>
      <c r="L394" s="372"/>
      <c r="M394" s="372"/>
      <c r="N394" s="227"/>
      <c r="O394" s="227"/>
      <c r="P394" s="227"/>
      <c r="Q394" s="227"/>
      <c r="R394" s="227"/>
      <c r="S394" s="340"/>
      <c r="T394" s="226"/>
      <c r="U394" s="53"/>
      <c r="V394" s="53"/>
      <c r="W394" s="53"/>
      <c r="X394" s="53"/>
    </row>
    <row r="395" spans="1:24" ht="15.75" customHeight="1">
      <c r="A395" s="69"/>
      <c r="B395" s="69"/>
      <c r="C395" s="70" t="str">
        <f t="shared" si="7"/>
        <v/>
      </c>
      <c r="D395" s="55"/>
      <c r="E395" s="53"/>
      <c r="F395" s="53"/>
      <c r="G395" s="372"/>
      <c r="H395" s="372"/>
      <c r="I395" s="379"/>
      <c r="J395" s="372"/>
      <c r="K395" s="373"/>
      <c r="L395" s="372"/>
      <c r="M395" s="372"/>
      <c r="N395" s="227"/>
      <c r="O395" s="227"/>
      <c r="P395" s="227"/>
      <c r="Q395" s="227"/>
      <c r="R395" s="227"/>
      <c r="S395" s="340"/>
      <c r="T395" s="226"/>
      <c r="U395" s="53"/>
      <c r="V395" s="53"/>
      <c r="W395" s="53"/>
      <c r="X395" s="53"/>
    </row>
    <row r="396" spans="1:24" ht="15.75" customHeight="1">
      <c r="A396" s="69"/>
      <c r="B396" s="69"/>
      <c r="C396" s="70" t="str">
        <f t="shared" si="7"/>
        <v/>
      </c>
      <c r="D396" s="55"/>
      <c r="E396" s="53"/>
      <c r="F396" s="53"/>
      <c r="G396" s="372"/>
      <c r="H396" s="372"/>
      <c r="I396" s="379"/>
      <c r="J396" s="372"/>
      <c r="K396" s="373"/>
      <c r="L396" s="372"/>
      <c r="M396" s="372"/>
      <c r="N396" s="227"/>
      <c r="O396" s="227"/>
      <c r="P396" s="227"/>
      <c r="Q396" s="227"/>
      <c r="R396" s="227"/>
      <c r="S396" s="340"/>
      <c r="T396" s="226"/>
      <c r="U396" s="53"/>
      <c r="V396" s="53"/>
      <c r="W396" s="53"/>
      <c r="X396" s="53"/>
    </row>
    <row r="397" spans="1:24" ht="15.75" customHeight="1">
      <c r="A397" s="69"/>
      <c r="B397" s="69"/>
      <c r="C397" s="70" t="str">
        <f t="shared" si="7"/>
        <v/>
      </c>
      <c r="D397" s="55"/>
      <c r="E397" s="53"/>
      <c r="F397" s="53"/>
      <c r="G397" s="372"/>
      <c r="H397" s="372"/>
      <c r="I397" s="379"/>
      <c r="J397" s="372"/>
      <c r="K397" s="373"/>
      <c r="L397" s="372"/>
      <c r="M397" s="372"/>
      <c r="N397" s="227"/>
      <c r="O397" s="227"/>
      <c r="P397" s="227"/>
      <c r="Q397" s="227"/>
      <c r="R397" s="227"/>
      <c r="S397" s="340"/>
      <c r="T397" s="226"/>
      <c r="U397" s="53"/>
      <c r="V397" s="53"/>
      <c r="W397" s="53"/>
      <c r="X397" s="53"/>
    </row>
    <row r="398" spans="1:24" ht="15.75" customHeight="1">
      <c r="A398" s="69"/>
      <c r="B398" s="69"/>
      <c r="C398" s="70" t="str">
        <f t="shared" si="7"/>
        <v/>
      </c>
      <c r="D398" s="55"/>
      <c r="E398" s="53"/>
      <c r="F398" s="53"/>
      <c r="G398" s="372"/>
      <c r="H398" s="372"/>
      <c r="I398" s="379"/>
      <c r="J398" s="372"/>
      <c r="K398" s="373"/>
      <c r="L398" s="372"/>
      <c r="M398" s="372"/>
      <c r="N398" s="227"/>
      <c r="O398" s="227"/>
      <c r="P398" s="227"/>
      <c r="Q398" s="227"/>
      <c r="R398" s="227"/>
      <c r="S398" s="340"/>
      <c r="T398" s="226"/>
      <c r="U398" s="53"/>
      <c r="V398" s="53"/>
      <c r="W398" s="53"/>
      <c r="X398" s="53"/>
    </row>
    <row r="399" spans="1:24" ht="15.75" customHeight="1">
      <c r="A399" s="69"/>
      <c r="B399" s="69"/>
      <c r="C399" s="70" t="str">
        <f t="shared" si="7"/>
        <v/>
      </c>
      <c r="D399" s="55"/>
      <c r="E399" s="53"/>
      <c r="F399" s="53"/>
      <c r="G399" s="372"/>
      <c r="H399" s="372"/>
      <c r="I399" s="379"/>
      <c r="J399" s="372"/>
      <c r="K399" s="373"/>
      <c r="L399" s="372"/>
      <c r="M399" s="372"/>
      <c r="N399" s="227"/>
      <c r="O399" s="227"/>
      <c r="P399" s="227"/>
      <c r="Q399" s="227"/>
      <c r="R399" s="227"/>
      <c r="S399" s="340"/>
      <c r="T399" s="226"/>
      <c r="U399" s="53"/>
      <c r="V399" s="53"/>
      <c r="W399" s="53"/>
      <c r="X399" s="53"/>
    </row>
    <row r="400" spans="1:24" ht="15.75" customHeight="1">
      <c r="A400" s="69"/>
      <c r="B400" s="69"/>
      <c r="C400" s="70" t="str">
        <f t="shared" si="7"/>
        <v/>
      </c>
      <c r="D400" s="55"/>
      <c r="E400" s="53"/>
      <c r="F400" s="53"/>
      <c r="G400" s="372"/>
      <c r="H400" s="372"/>
      <c r="I400" s="379"/>
      <c r="J400" s="372"/>
      <c r="K400" s="373"/>
      <c r="L400" s="372"/>
      <c r="M400" s="372"/>
      <c r="N400" s="227"/>
      <c r="O400" s="227"/>
      <c r="P400" s="227"/>
      <c r="Q400" s="227"/>
      <c r="R400" s="227"/>
      <c r="S400" s="340"/>
      <c r="T400" s="226"/>
      <c r="U400" s="53"/>
      <c r="V400" s="53"/>
      <c r="W400" s="53"/>
      <c r="X400" s="53"/>
    </row>
    <row r="401" spans="1:24" ht="15.75" customHeight="1">
      <c r="A401" s="69"/>
      <c r="B401" s="69"/>
      <c r="C401" s="70" t="str">
        <f t="shared" ref="C401:C464" si="8">IF(B401&lt;&gt;"",TEXT(WEEKDAY(B401),"dddd"),"")</f>
        <v/>
      </c>
      <c r="D401" s="55"/>
      <c r="E401" s="53"/>
      <c r="F401" s="53"/>
      <c r="G401" s="372"/>
      <c r="H401" s="372"/>
      <c r="I401" s="379"/>
      <c r="J401" s="372"/>
      <c r="K401" s="373"/>
      <c r="L401" s="372"/>
      <c r="M401" s="372"/>
      <c r="N401" s="227"/>
      <c r="O401" s="227"/>
      <c r="P401" s="227"/>
      <c r="Q401" s="227"/>
      <c r="R401" s="227"/>
      <c r="S401" s="340"/>
      <c r="T401" s="226"/>
      <c r="U401" s="53"/>
      <c r="V401" s="53"/>
      <c r="W401" s="53"/>
      <c r="X401" s="53"/>
    </row>
    <row r="402" spans="1:24" ht="15.75" customHeight="1">
      <c r="A402" s="69"/>
      <c r="B402" s="69"/>
      <c r="C402" s="70" t="str">
        <f t="shared" si="8"/>
        <v/>
      </c>
      <c r="D402" s="55"/>
      <c r="E402" s="53"/>
      <c r="F402" s="53"/>
      <c r="G402" s="372"/>
      <c r="H402" s="372"/>
      <c r="I402" s="379"/>
      <c r="J402" s="372"/>
      <c r="K402" s="373"/>
      <c r="L402" s="372"/>
      <c r="M402" s="372"/>
      <c r="N402" s="227"/>
      <c r="O402" s="227"/>
      <c r="P402" s="227"/>
      <c r="Q402" s="227"/>
      <c r="R402" s="227"/>
      <c r="S402" s="340"/>
      <c r="T402" s="226"/>
      <c r="U402" s="53"/>
      <c r="V402" s="53"/>
      <c r="W402" s="53"/>
      <c r="X402" s="53"/>
    </row>
    <row r="403" spans="1:24" ht="15.75" customHeight="1">
      <c r="A403" s="69"/>
      <c r="B403" s="69"/>
      <c r="C403" s="70" t="str">
        <f t="shared" si="8"/>
        <v/>
      </c>
      <c r="D403" s="55"/>
      <c r="E403" s="53"/>
      <c r="F403" s="53"/>
      <c r="G403" s="372"/>
      <c r="H403" s="372"/>
      <c r="I403" s="379"/>
      <c r="J403" s="372"/>
      <c r="K403" s="373"/>
      <c r="L403" s="372"/>
      <c r="M403" s="372"/>
      <c r="N403" s="227"/>
      <c r="O403" s="227"/>
      <c r="P403" s="227"/>
      <c r="Q403" s="227"/>
      <c r="R403" s="227"/>
      <c r="S403" s="340"/>
      <c r="T403" s="226"/>
      <c r="U403" s="53"/>
      <c r="V403" s="53"/>
      <c r="W403" s="53"/>
      <c r="X403" s="53"/>
    </row>
    <row r="404" spans="1:24" ht="15.75" customHeight="1">
      <c r="A404" s="69"/>
      <c r="B404" s="69"/>
      <c r="C404" s="70" t="str">
        <f t="shared" si="8"/>
        <v/>
      </c>
      <c r="D404" s="55"/>
      <c r="E404" s="53"/>
      <c r="F404" s="53"/>
      <c r="G404" s="372"/>
      <c r="H404" s="372"/>
      <c r="I404" s="379"/>
      <c r="J404" s="372"/>
      <c r="K404" s="373"/>
      <c r="L404" s="372"/>
      <c r="M404" s="372"/>
      <c r="N404" s="227"/>
      <c r="O404" s="227"/>
      <c r="P404" s="227"/>
      <c r="Q404" s="227"/>
      <c r="R404" s="227"/>
      <c r="S404" s="340"/>
      <c r="T404" s="226"/>
      <c r="U404" s="53"/>
      <c r="V404" s="53"/>
      <c r="W404" s="53"/>
      <c r="X404" s="53"/>
    </row>
    <row r="405" spans="1:24" ht="15.75" customHeight="1">
      <c r="A405" s="69"/>
      <c r="B405" s="69"/>
      <c r="C405" s="70" t="str">
        <f t="shared" si="8"/>
        <v/>
      </c>
      <c r="D405" s="55"/>
      <c r="E405" s="53"/>
      <c r="F405" s="53"/>
      <c r="G405" s="372"/>
      <c r="H405" s="372"/>
      <c r="I405" s="379"/>
      <c r="J405" s="372"/>
      <c r="K405" s="373"/>
      <c r="L405" s="372"/>
      <c r="M405" s="372"/>
      <c r="N405" s="227"/>
      <c r="O405" s="227"/>
      <c r="P405" s="227"/>
      <c r="Q405" s="227"/>
      <c r="R405" s="227"/>
      <c r="S405" s="340"/>
      <c r="T405" s="226"/>
      <c r="U405" s="53"/>
      <c r="V405" s="53"/>
      <c r="W405" s="53"/>
      <c r="X405" s="53"/>
    </row>
    <row r="406" spans="1:24" ht="15.75" customHeight="1">
      <c r="A406" s="69"/>
      <c r="B406" s="69"/>
      <c r="C406" s="70" t="str">
        <f t="shared" si="8"/>
        <v/>
      </c>
      <c r="D406" s="55"/>
      <c r="E406" s="53"/>
      <c r="F406" s="53"/>
      <c r="G406" s="372"/>
      <c r="H406" s="372"/>
      <c r="I406" s="379"/>
      <c r="J406" s="372"/>
      <c r="K406" s="373"/>
      <c r="L406" s="372"/>
      <c r="M406" s="372"/>
      <c r="N406" s="227"/>
      <c r="O406" s="227"/>
      <c r="P406" s="227"/>
      <c r="Q406" s="227"/>
      <c r="R406" s="227"/>
      <c r="S406" s="340"/>
      <c r="T406" s="226"/>
      <c r="U406" s="53"/>
      <c r="V406" s="53"/>
      <c r="W406" s="53"/>
      <c r="X406" s="53"/>
    </row>
    <row r="407" spans="1:24" ht="15.75" customHeight="1">
      <c r="A407" s="69"/>
      <c r="B407" s="69"/>
      <c r="C407" s="70" t="str">
        <f t="shared" si="8"/>
        <v/>
      </c>
      <c r="D407" s="55"/>
      <c r="E407" s="53"/>
      <c r="F407" s="53"/>
      <c r="G407" s="372"/>
      <c r="H407" s="372"/>
      <c r="I407" s="379"/>
      <c r="J407" s="372"/>
      <c r="K407" s="373"/>
      <c r="L407" s="372"/>
      <c r="M407" s="372"/>
      <c r="N407" s="227"/>
      <c r="O407" s="227"/>
      <c r="P407" s="227"/>
      <c r="Q407" s="227"/>
      <c r="R407" s="227"/>
      <c r="S407" s="340"/>
      <c r="T407" s="226"/>
      <c r="U407" s="53"/>
      <c r="V407" s="53"/>
      <c r="W407" s="53"/>
      <c r="X407" s="53"/>
    </row>
    <row r="408" spans="1:24" ht="15.75" customHeight="1">
      <c r="A408" s="69"/>
      <c r="B408" s="69"/>
      <c r="C408" s="70" t="str">
        <f t="shared" si="8"/>
        <v/>
      </c>
      <c r="D408" s="55"/>
      <c r="E408" s="53"/>
      <c r="F408" s="53"/>
      <c r="G408" s="372"/>
      <c r="H408" s="372"/>
      <c r="I408" s="379"/>
      <c r="J408" s="372"/>
      <c r="K408" s="373"/>
      <c r="L408" s="372"/>
      <c r="M408" s="372"/>
      <c r="N408" s="227"/>
      <c r="O408" s="227"/>
      <c r="P408" s="227"/>
      <c r="Q408" s="227"/>
      <c r="R408" s="227"/>
      <c r="S408" s="340"/>
      <c r="T408" s="226"/>
      <c r="U408" s="53"/>
      <c r="V408" s="53"/>
      <c r="W408" s="53"/>
      <c r="X408" s="53"/>
    </row>
    <row r="409" spans="1:24" ht="15.75" customHeight="1">
      <c r="A409" s="69"/>
      <c r="B409" s="69"/>
      <c r="C409" s="70" t="str">
        <f t="shared" si="8"/>
        <v/>
      </c>
      <c r="D409" s="55"/>
      <c r="E409" s="53"/>
      <c r="F409" s="53"/>
      <c r="G409" s="372"/>
      <c r="H409" s="372"/>
      <c r="I409" s="379"/>
      <c r="J409" s="372"/>
      <c r="K409" s="373"/>
      <c r="L409" s="372"/>
      <c r="M409" s="372"/>
      <c r="N409" s="227"/>
      <c r="O409" s="227"/>
      <c r="P409" s="227"/>
      <c r="Q409" s="227"/>
      <c r="R409" s="227"/>
      <c r="S409" s="340"/>
      <c r="T409" s="226"/>
      <c r="U409" s="53"/>
      <c r="V409" s="53"/>
      <c r="W409" s="53"/>
      <c r="X409" s="53"/>
    </row>
    <row r="410" spans="1:24" ht="15.75" customHeight="1">
      <c r="A410" s="69"/>
      <c r="B410" s="69"/>
      <c r="C410" s="70" t="str">
        <f t="shared" si="8"/>
        <v/>
      </c>
      <c r="D410" s="55"/>
      <c r="E410" s="53"/>
      <c r="F410" s="53"/>
      <c r="G410" s="372"/>
      <c r="H410" s="372"/>
      <c r="I410" s="379"/>
      <c r="J410" s="372"/>
      <c r="K410" s="373"/>
      <c r="L410" s="372"/>
      <c r="M410" s="372"/>
      <c r="N410" s="227"/>
      <c r="O410" s="227"/>
      <c r="P410" s="227"/>
      <c r="Q410" s="227"/>
      <c r="R410" s="227"/>
      <c r="S410" s="340"/>
      <c r="T410" s="226"/>
      <c r="U410" s="53"/>
      <c r="V410" s="53"/>
      <c r="W410" s="53"/>
      <c r="X410" s="53"/>
    </row>
    <row r="411" spans="1:24" ht="15.75" customHeight="1">
      <c r="A411" s="69"/>
      <c r="B411" s="69"/>
      <c r="C411" s="70" t="str">
        <f t="shared" si="8"/>
        <v/>
      </c>
      <c r="D411" s="55"/>
      <c r="E411" s="53"/>
      <c r="F411" s="53"/>
      <c r="G411" s="372"/>
      <c r="H411" s="372"/>
      <c r="I411" s="379"/>
      <c r="J411" s="372"/>
      <c r="K411" s="373"/>
      <c r="L411" s="372"/>
      <c r="M411" s="372"/>
      <c r="N411" s="227"/>
      <c r="O411" s="227"/>
      <c r="P411" s="227"/>
      <c r="Q411" s="227"/>
      <c r="R411" s="227"/>
      <c r="S411" s="340"/>
      <c r="T411" s="226"/>
      <c r="U411" s="53"/>
      <c r="V411" s="53"/>
      <c r="W411" s="53"/>
      <c r="X411" s="53"/>
    </row>
    <row r="412" spans="1:24" ht="15.75" customHeight="1">
      <c r="A412" s="69"/>
      <c r="B412" s="69"/>
      <c r="C412" s="70" t="str">
        <f t="shared" si="8"/>
        <v/>
      </c>
      <c r="D412" s="55"/>
      <c r="E412" s="53"/>
      <c r="F412" s="53"/>
      <c r="G412" s="372"/>
      <c r="H412" s="372"/>
      <c r="I412" s="379"/>
      <c r="J412" s="372"/>
      <c r="K412" s="373"/>
      <c r="L412" s="372"/>
      <c r="M412" s="372"/>
      <c r="N412" s="227"/>
      <c r="O412" s="227"/>
      <c r="P412" s="227"/>
      <c r="Q412" s="227"/>
      <c r="R412" s="227"/>
      <c r="S412" s="340"/>
      <c r="T412" s="226"/>
      <c r="U412" s="53"/>
      <c r="V412" s="53"/>
      <c r="W412" s="53"/>
      <c r="X412" s="53"/>
    </row>
    <row r="413" spans="1:24" ht="15.75" customHeight="1">
      <c r="A413" s="69"/>
      <c r="B413" s="69"/>
      <c r="C413" s="70" t="str">
        <f t="shared" si="8"/>
        <v/>
      </c>
      <c r="D413" s="55"/>
      <c r="E413" s="53"/>
      <c r="F413" s="53"/>
      <c r="G413" s="372"/>
      <c r="H413" s="372"/>
      <c r="I413" s="379"/>
      <c r="J413" s="372"/>
      <c r="K413" s="373"/>
      <c r="L413" s="372"/>
      <c r="M413" s="372"/>
      <c r="N413" s="227"/>
      <c r="O413" s="227"/>
      <c r="P413" s="227"/>
      <c r="Q413" s="227"/>
      <c r="R413" s="227"/>
      <c r="S413" s="340"/>
      <c r="T413" s="226"/>
      <c r="U413" s="53"/>
      <c r="V413" s="53"/>
      <c r="W413" s="53"/>
      <c r="X413" s="53"/>
    </row>
    <row r="414" spans="1:24" ht="15.75" customHeight="1">
      <c r="A414" s="69"/>
      <c r="B414" s="69"/>
      <c r="C414" s="70" t="str">
        <f t="shared" si="8"/>
        <v/>
      </c>
      <c r="D414" s="55"/>
      <c r="E414" s="53"/>
      <c r="F414" s="53"/>
      <c r="G414" s="372"/>
      <c r="H414" s="372"/>
      <c r="I414" s="379"/>
      <c r="J414" s="372"/>
      <c r="K414" s="373"/>
      <c r="L414" s="372"/>
      <c r="M414" s="372"/>
      <c r="N414" s="227"/>
      <c r="O414" s="227"/>
      <c r="P414" s="227"/>
      <c r="Q414" s="227"/>
      <c r="R414" s="227"/>
      <c r="S414" s="340"/>
      <c r="T414" s="226"/>
      <c r="U414" s="53"/>
      <c r="V414" s="53"/>
      <c r="W414" s="53"/>
      <c r="X414" s="53"/>
    </row>
    <row r="415" spans="1:24" ht="15.75" customHeight="1">
      <c r="A415" s="69"/>
      <c r="B415" s="69"/>
      <c r="C415" s="70" t="str">
        <f t="shared" si="8"/>
        <v/>
      </c>
      <c r="D415" s="55"/>
      <c r="E415" s="53"/>
      <c r="F415" s="53"/>
      <c r="G415" s="372"/>
      <c r="H415" s="372"/>
      <c r="I415" s="379"/>
      <c r="J415" s="372"/>
      <c r="K415" s="373"/>
      <c r="L415" s="372"/>
      <c r="M415" s="372"/>
      <c r="N415" s="227"/>
      <c r="O415" s="227"/>
      <c r="P415" s="227"/>
      <c r="Q415" s="227"/>
      <c r="R415" s="227"/>
      <c r="S415" s="340"/>
      <c r="T415" s="226"/>
      <c r="U415" s="53"/>
      <c r="V415" s="53"/>
      <c r="W415" s="53"/>
      <c r="X415" s="53"/>
    </row>
    <row r="416" spans="1:24" ht="15.75" customHeight="1">
      <c r="A416" s="69"/>
      <c r="B416" s="69"/>
      <c r="C416" s="70" t="str">
        <f t="shared" si="8"/>
        <v/>
      </c>
      <c r="D416" s="55"/>
      <c r="E416" s="53"/>
      <c r="F416" s="53"/>
      <c r="G416" s="372"/>
      <c r="H416" s="372"/>
      <c r="I416" s="379"/>
      <c r="J416" s="372"/>
      <c r="K416" s="373"/>
      <c r="L416" s="372"/>
      <c r="M416" s="372"/>
      <c r="N416" s="227"/>
      <c r="O416" s="227"/>
      <c r="P416" s="227"/>
      <c r="Q416" s="227"/>
      <c r="R416" s="227"/>
      <c r="S416" s="340"/>
      <c r="T416" s="226"/>
      <c r="U416" s="53"/>
      <c r="V416" s="53"/>
      <c r="W416" s="53"/>
      <c r="X416" s="53"/>
    </row>
    <row r="417" spans="1:24" ht="15.75" customHeight="1">
      <c r="A417" s="69"/>
      <c r="B417" s="69"/>
      <c r="C417" s="70" t="str">
        <f t="shared" si="8"/>
        <v/>
      </c>
      <c r="D417" s="55"/>
      <c r="E417" s="53"/>
      <c r="F417" s="53"/>
      <c r="G417" s="372"/>
      <c r="H417" s="372"/>
      <c r="I417" s="379"/>
      <c r="J417" s="372"/>
      <c r="K417" s="373"/>
      <c r="L417" s="372"/>
      <c r="M417" s="372"/>
      <c r="N417" s="227"/>
      <c r="O417" s="227"/>
      <c r="P417" s="227"/>
      <c r="Q417" s="227"/>
      <c r="R417" s="227"/>
      <c r="S417" s="340"/>
      <c r="T417" s="226"/>
      <c r="U417" s="53"/>
      <c r="V417" s="53"/>
      <c r="W417" s="53"/>
      <c r="X417" s="53"/>
    </row>
    <row r="418" spans="1:24" ht="15.75" customHeight="1">
      <c r="A418" s="69"/>
      <c r="B418" s="69"/>
      <c r="C418" s="70" t="str">
        <f t="shared" si="8"/>
        <v/>
      </c>
      <c r="D418" s="55"/>
      <c r="E418" s="53"/>
      <c r="F418" s="53"/>
      <c r="G418" s="372"/>
      <c r="H418" s="372"/>
      <c r="I418" s="379"/>
      <c r="J418" s="372"/>
      <c r="K418" s="373"/>
      <c r="L418" s="372"/>
      <c r="M418" s="372"/>
      <c r="N418" s="227"/>
      <c r="O418" s="227"/>
      <c r="P418" s="227"/>
      <c r="Q418" s="227"/>
      <c r="R418" s="227"/>
      <c r="S418" s="340"/>
      <c r="T418" s="226"/>
      <c r="U418" s="53"/>
      <c r="V418" s="53"/>
      <c r="W418" s="53"/>
      <c r="X418" s="53"/>
    </row>
    <row r="419" spans="1:24" ht="15.75" customHeight="1">
      <c r="A419" s="69"/>
      <c r="B419" s="69"/>
      <c r="C419" s="70" t="str">
        <f t="shared" si="8"/>
        <v/>
      </c>
      <c r="D419" s="55"/>
      <c r="E419" s="53"/>
      <c r="F419" s="53"/>
      <c r="G419" s="372"/>
      <c r="H419" s="372"/>
      <c r="I419" s="379"/>
      <c r="J419" s="372"/>
      <c r="K419" s="373"/>
      <c r="L419" s="372"/>
      <c r="M419" s="372"/>
      <c r="N419" s="227"/>
      <c r="O419" s="227"/>
      <c r="P419" s="227"/>
      <c r="Q419" s="227"/>
      <c r="R419" s="227"/>
      <c r="S419" s="340"/>
      <c r="T419" s="226"/>
      <c r="U419" s="53"/>
      <c r="V419" s="53"/>
      <c r="W419" s="53"/>
      <c r="X419" s="53"/>
    </row>
    <row r="420" spans="1:24" ht="15.75" customHeight="1">
      <c r="A420" s="69"/>
      <c r="B420" s="69"/>
      <c r="C420" s="70" t="str">
        <f t="shared" si="8"/>
        <v/>
      </c>
      <c r="D420" s="55"/>
      <c r="E420" s="53"/>
      <c r="F420" s="53"/>
      <c r="G420" s="372"/>
      <c r="H420" s="372"/>
      <c r="I420" s="379"/>
      <c r="J420" s="372"/>
      <c r="K420" s="373"/>
      <c r="L420" s="372"/>
      <c r="M420" s="372"/>
      <c r="N420" s="227"/>
      <c r="O420" s="227"/>
      <c r="P420" s="227"/>
      <c r="Q420" s="227"/>
      <c r="R420" s="227"/>
      <c r="S420" s="340"/>
      <c r="T420" s="226"/>
      <c r="U420" s="53"/>
      <c r="V420" s="53"/>
      <c r="W420" s="53"/>
      <c r="X420" s="53"/>
    </row>
    <row r="421" spans="1:24" ht="15.75" customHeight="1">
      <c r="A421" s="69"/>
      <c r="B421" s="69"/>
      <c r="C421" s="70" t="str">
        <f t="shared" si="8"/>
        <v/>
      </c>
      <c r="D421" s="55"/>
      <c r="E421" s="53"/>
      <c r="F421" s="53"/>
      <c r="G421" s="372"/>
      <c r="H421" s="372"/>
      <c r="I421" s="379"/>
      <c r="J421" s="372"/>
      <c r="K421" s="373"/>
      <c r="L421" s="372"/>
      <c r="M421" s="372"/>
      <c r="N421" s="227"/>
      <c r="O421" s="227"/>
      <c r="P421" s="227"/>
      <c r="Q421" s="227"/>
      <c r="R421" s="227"/>
      <c r="S421" s="340"/>
      <c r="T421" s="226"/>
      <c r="U421" s="53"/>
      <c r="V421" s="53"/>
      <c r="W421" s="53"/>
      <c r="X421" s="53"/>
    </row>
    <row r="422" spans="1:24" ht="15.75" customHeight="1">
      <c r="A422" s="69"/>
      <c r="B422" s="69"/>
      <c r="C422" s="70" t="str">
        <f t="shared" si="8"/>
        <v/>
      </c>
      <c r="D422" s="55"/>
      <c r="E422" s="53"/>
      <c r="F422" s="53"/>
      <c r="G422" s="372"/>
      <c r="H422" s="372"/>
      <c r="I422" s="379"/>
      <c r="J422" s="372"/>
      <c r="K422" s="373"/>
      <c r="L422" s="372"/>
      <c r="M422" s="372"/>
      <c r="N422" s="227"/>
      <c r="O422" s="227"/>
      <c r="P422" s="227"/>
      <c r="Q422" s="227"/>
      <c r="R422" s="227"/>
      <c r="S422" s="340"/>
      <c r="T422" s="226"/>
      <c r="U422" s="53"/>
      <c r="V422" s="53"/>
      <c r="W422" s="53"/>
      <c r="X422" s="53"/>
    </row>
    <row r="423" spans="1:24" ht="15.75" customHeight="1">
      <c r="A423" s="69"/>
      <c r="B423" s="69"/>
      <c r="C423" s="70" t="str">
        <f t="shared" si="8"/>
        <v/>
      </c>
      <c r="D423" s="55"/>
      <c r="E423" s="53"/>
      <c r="F423" s="53"/>
      <c r="G423" s="372"/>
      <c r="H423" s="372"/>
      <c r="I423" s="379"/>
      <c r="J423" s="372"/>
      <c r="K423" s="373"/>
      <c r="L423" s="372"/>
      <c r="M423" s="372"/>
      <c r="N423" s="227"/>
      <c r="O423" s="227"/>
      <c r="P423" s="227"/>
      <c r="Q423" s="227"/>
      <c r="R423" s="227"/>
      <c r="S423" s="340"/>
      <c r="T423" s="226"/>
      <c r="U423" s="53"/>
      <c r="V423" s="53"/>
      <c r="W423" s="53"/>
      <c r="X423" s="53"/>
    </row>
    <row r="424" spans="1:24" ht="15.75" customHeight="1">
      <c r="A424" s="69"/>
      <c r="B424" s="69"/>
      <c r="C424" s="70" t="str">
        <f t="shared" si="8"/>
        <v/>
      </c>
      <c r="D424" s="55"/>
      <c r="E424" s="53"/>
      <c r="F424" s="53"/>
      <c r="G424" s="372"/>
      <c r="H424" s="372"/>
      <c r="I424" s="379"/>
      <c r="J424" s="372"/>
      <c r="K424" s="373"/>
      <c r="L424" s="372"/>
      <c r="M424" s="372"/>
      <c r="N424" s="227"/>
      <c r="O424" s="227"/>
      <c r="P424" s="227"/>
      <c r="Q424" s="227"/>
      <c r="R424" s="227"/>
      <c r="S424" s="340"/>
      <c r="T424" s="226"/>
      <c r="U424" s="53"/>
      <c r="V424" s="53"/>
      <c r="W424" s="53"/>
      <c r="X424" s="53"/>
    </row>
    <row r="425" spans="1:24" ht="15.75" customHeight="1">
      <c r="A425" s="69"/>
      <c r="B425" s="69"/>
      <c r="C425" s="70" t="str">
        <f t="shared" si="8"/>
        <v/>
      </c>
      <c r="D425" s="55"/>
      <c r="E425" s="53"/>
      <c r="F425" s="53"/>
      <c r="G425" s="372"/>
      <c r="H425" s="372"/>
      <c r="I425" s="379"/>
      <c r="J425" s="372"/>
      <c r="K425" s="373"/>
      <c r="L425" s="372"/>
      <c r="M425" s="372"/>
      <c r="N425" s="227"/>
      <c r="O425" s="227"/>
      <c r="P425" s="227"/>
      <c r="Q425" s="227"/>
      <c r="R425" s="227"/>
      <c r="S425" s="340"/>
      <c r="T425" s="226"/>
      <c r="U425" s="53"/>
      <c r="V425" s="53"/>
      <c r="W425" s="53"/>
      <c r="X425" s="53"/>
    </row>
    <row r="426" spans="1:24" ht="15.75" customHeight="1">
      <c r="A426" s="69"/>
      <c r="B426" s="69"/>
      <c r="C426" s="70" t="str">
        <f t="shared" si="8"/>
        <v/>
      </c>
      <c r="D426" s="55"/>
      <c r="E426" s="53"/>
      <c r="F426" s="53"/>
      <c r="G426" s="372"/>
      <c r="H426" s="372"/>
      <c r="I426" s="379"/>
      <c r="J426" s="372"/>
      <c r="K426" s="373"/>
      <c r="L426" s="372"/>
      <c r="M426" s="372"/>
      <c r="N426" s="227"/>
      <c r="O426" s="227"/>
      <c r="P426" s="227"/>
      <c r="Q426" s="227"/>
      <c r="R426" s="227"/>
      <c r="S426" s="340"/>
      <c r="T426" s="226"/>
      <c r="U426" s="53"/>
      <c r="V426" s="53"/>
      <c r="W426" s="53"/>
      <c r="X426" s="53"/>
    </row>
    <row r="427" spans="1:24" ht="15.75" customHeight="1">
      <c r="A427" s="69"/>
      <c r="B427" s="69"/>
      <c r="C427" s="70" t="str">
        <f t="shared" si="8"/>
        <v/>
      </c>
      <c r="D427" s="55"/>
      <c r="E427" s="53"/>
      <c r="F427" s="53"/>
      <c r="G427" s="372"/>
      <c r="H427" s="372"/>
      <c r="I427" s="379"/>
      <c r="J427" s="372"/>
      <c r="K427" s="373"/>
      <c r="L427" s="372"/>
      <c r="M427" s="372"/>
      <c r="N427" s="227"/>
      <c r="O427" s="227"/>
      <c r="P427" s="227"/>
      <c r="Q427" s="227"/>
      <c r="R427" s="227"/>
      <c r="S427" s="340"/>
      <c r="T427" s="226"/>
      <c r="U427" s="53"/>
      <c r="V427" s="53"/>
      <c r="W427" s="53"/>
      <c r="X427" s="53"/>
    </row>
    <row r="428" spans="1:24" ht="15.75" customHeight="1">
      <c r="A428" s="69"/>
      <c r="B428" s="69"/>
      <c r="C428" s="70" t="str">
        <f t="shared" si="8"/>
        <v/>
      </c>
      <c r="D428" s="55"/>
      <c r="E428" s="53"/>
      <c r="F428" s="53"/>
      <c r="G428" s="372"/>
      <c r="H428" s="372"/>
      <c r="I428" s="379"/>
      <c r="J428" s="372"/>
      <c r="K428" s="373"/>
      <c r="L428" s="372"/>
      <c r="M428" s="372"/>
      <c r="N428" s="227"/>
      <c r="O428" s="227"/>
      <c r="P428" s="227"/>
      <c r="Q428" s="227"/>
      <c r="R428" s="227"/>
      <c r="S428" s="340"/>
      <c r="T428" s="226"/>
      <c r="U428" s="53"/>
      <c r="V428" s="53"/>
      <c r="W428" s="53"/>
      <c r="X428" s="53"/>
    </row>
    <row r="429" spans="1:24" ht="15.75" customHeight="1">
      <c r="A429" s="69"/>
      <c r="B429" s="69"/>
      <c r="C429" s="70" t="str">
        <f t="shared" si="8"/>
        <v/>
      </c>
      <c r="D429" s="55"/>
      <c r="E429" s="53"/>
      <c r="F429" s="53"/>
      <c r="G429" s="372"/>
      <c r="H429" s="372"/>
      <c r="I429" s="379"/>
      <c r="J429" s="372"/>
      <c r="K429" s="373"/>
      <c r="L429" s="372"/>
      <c r="M429" s="372"/>
      <c r="N429" s="227"/>
      <c r="O429" s="227"/>
      <c r="P429" s="227"/>
      <c r="Q429" s="227"/>
      <c r="R429" s="227"/>
      <c r="S429" s="340"/>
      <c r="T429" s="226"/>
      <c r="U429" s="53"/>
      <c r="V429" s="53"/>
      <c r="W429" s="53"/>
      <c r="X429" s="53"/>
    </row>
    <row r="430" spans="1:24" ht="15.75" customHeight="1">
      <c r="A430" s="69"/>
      <c r="B430" s="69"/>
      <c r="C430" s="70" t="str">
        <f t="shared" si="8"/>
        <v/>
      </c>
      <c r="D430" s="55"/>
      <c r="E430" s="53"/>
      <c r="F430" s="53"/>
      <c r="G430" s="372"/>
      <c r="H430" s="372"/>
      <c r="I430" s="379"/>
      <c r="J430" s="372"/>
      <c r="K430" s="373"/>
      <c r="L430" s="372"/>
      <c r="M430" s="372"/>
      <c r="N430" s="227"/>
      <c r="O430" s="227"/>
      <c r="P430" s="227"/>
      <c r="Q430" s="227"/>
      <c r="R430" s="227"/>
      <c r="S430" s="340"/>
      <c r="T430" s="226"/>
      <c r="U430" s="53"/>
      <c r="V430" s="53"/>
      <c r="W430" s="53"/>
      <c r="X430" s="53"/>
    </row>
    <row r="431" spans="1:24" ht="15.75" customHeight="1">
      <c r="A431" s="69"/>
      <c r="B431" s="69"/>
      <c r="C431" s="70" t="str">
        <f t="shared" si="8"/>
        <v/>
      </c>
      <c r="D431" s="55"/>
      <c r="E431" s="53"/>
      <c r="F431" s="53"/>
      <c r="G431" s="372"/>
      <c r="H431" s="372"/>
      <c r="I431" s="379"/>
      <c r="J431" s="372"/>
      <c r="K431" s="373"/>
      <c r="L431" s="372"/>
      <c r="M431" s="372"/>
      <c r="N431" s="227"/>
      <c r="O431" s="227"/>
      <c r="P431" s="227"/>
      <c r="Q431" s="227"/>
      <c r="R431" s="227"/>
      <c r="S431" s="340"/>
      <c r="T431" s="226"/>
      <c r="U431" s="53"/>
      <c r="V431" s="53"/>
      <c r="W431" s="53"/>
      <c r="X431" s="53"/>
    </row>
    <row r="432" spans="1:24" ht="15.75" customHeight="1">
      <c r="A432" s="69"/>
      <c r="B432" s="69"/>
      <c r="C432" s="70" t="str">
        <f t="shared" si="8"/>
        <v/>
      </c>
      <c r="D432" s="55"/>
      <c r="E432" s="53"/>
      <c r="F432" s="53"/>
      <c r="G432" s="372"/>
      <c r="H432" s="372"/>
      <c r="I432" s="379"/>
      <c r="J432" s="372"/>
      <c r="K432" s="373"/>
      <c r="L432" s="372"/>
      <c r="M432" s="372"/>
      <c r="N432" s="227"/>
      <c r="O432" s="227"/>
      <c r="P432" s="227"/>
      <c r="Q432" s="227"/>
      <c r="R432" s="227"/>
      <c r="S432" s="340"/>
      <c r="T432" s="226"/>
      <c r="U432" s="53"/>
      <c r="V432" s="53"/>
      <c r="W432" s="53"/>
      <c r="X432" s="53"/>
    </row>
    <row r="433" spans="1:24" ht="15.75" customHeight="1">
      <c r="A433" s="69"/>
      <c r="B433" s="69"/>
      <c r="C433" s="70" t="str">
        <f t="shared" si="8"/>
        <v/>
      </c>
      <c r="D433" s="55"/>
      <c r="E433" s="53"/>
      <c r="F433" s="53"/>
      <c r="G433" s="372"/>
      <c r="H433" s="372"/>
      <c r="I433" s="379"/>
      <c r="J433" s="372"/>
      <c r="K433" s="373"/>
      <c r="L433" s="372"/>
      <c r="M433" s="372"/>
      <c r="N433" s="227"/>
      <c r="O433" s="227"/>
      <c r="P433" s="227"/>
      <c r="Q433" s="227"/>
      <c r="R433" s="227"/>
      <c r="S433" s="340"/>
      <c r="T433" s="226"/>
      <c r="U433" s="53"/>
      <c r="V433" s="53"/>
      <c r="W433" s="53"/>
      <c r="X433" s="53"/>
    </row>
    <row r="434" spans="1:24" ht="15.75" customHeight="1">
      <c r="A434" s="69"/>
      <c r="B434" s="69"/>
      <c r="C434" s="70" t="str">
        <f t="shared" si="8"/>
        <v/>
      </c>
      <c r="D434" s="55"/>
      <c r="E434" s="53"/>
      <c r="F434" s="53"/>
      <c r="G434" s="372"/>
      <c r="H434" s="372"/>
      <c r="I434" s="379"/>
      <c r="J434" s="372"/>
      <c r="K434" s="373"/>
      <c r="L434" s="372"/>
      <c r="M434" s="372"/>
      <c r="N434" s="227"/>
      <c r="O434" s="227"/>
      <c r="P434" s="227"/>
      <c r="Q434" s="227"/>
      <c r="R434" s="227"/>
      <c r="S434" s="340"/>
      <c r="T434" s="226"/>
      <c r="U434" s="53"/>
      <c r="V434" s="53"/>
      <c r="W434" s="53"/>
      <c r="X434" s="53"/>
    </row>
    <row r="435" spans="1:24" ht="15.75" customHeight="1">
      <c r="A435" s="69"/>
      <c r="B435" s="69"/>
      <c r="C435" s="70" t="str">
        <f t="shared" si="8"/>
        <v/>
      </c>
      <c r="D435" s="55"/>
      <c r="E435" s="53"/>
      <c r="F435" s="53"/>
      <c r="G435" s="372"/>
      <c r="H435" s="372"/>
      <c r="I435" s="379"/>
      <c r="J435" s="372"/>
      <c r="K435" s="373"/>
      <c r="L435" s="372"/>
      <c r="M435" s="372"/>
      <c r="N435" s="227"/>
      <c r="O435" s="227"/>
      <c r="P435" s="227"/>
      <c r="Q435" s="227"/>
      <c r="R435" s="227"/>
      <c r="S435" s="340"/>
      <c r="T435" s="226"/>
      <c r="U435" s="53"/>
      <c r="V435" s="53"/>
      <c r="W435" s="53"/>
      <c r="X435" s="53"/>
    </row>
    <row r="436" spans="1:24" ht="15.75" customHeight="1">
      <c r="A436" s="69"/>
      <c r="B436" s="69"/>
      <c r="C436" s="70" t="str">
        <f t="shared" si="8"/>
        <v/>
      </c>
      <c r="D436" s="55"/>
      <c r="E436" s="53"/>
      <c r="F436" s="53"/>
      <c r="G436" s="372"/>
      <c r="H436" s="372"/>
      <c r="I436" s="379"/>
      <c r="J436" s="372"/>
      <c r="K436" s="373"/>
      <c r="L436" s="372"/>
      <c r="M436" s="372"/>
      <c r="N436" s="227"/>
      <c r="O436" s="227"/>
      <c r="P436" s="227"/>
      <c r="Q436" s="227"/>
      <c r="R436" s="227"/>
      <c r="S436" s="340"/>
      <c r="T436" s="226"/>
      <c r="U436" s="53"/>
      <c r="V436" s="53"/>
      <c r="W436" s="53"/>
      <c r="X436" s="53"/>
    </row>
    <row r="437" spans="1:24" ht="15.75" customHeight="1">
      <c r="A437" s="69"/>
      <c r="B437" s="69"/>
      <c r="C437" s="70" t="str">
        <f t="shared" si="8"/>
        <v/>
      </c>
      <c r="D437" s="55"/>
      <c r="E437" s="53"/>
      <c r="F437" s="53"/>
      <c r="G437" s="372"/>
      <c r="H437" s="372"/>
      <c r="I437" s="379"/>
      <c r="J437" s="372"/>
      <c r="K437" s="373"/>
      <c r="L437" s="372"/>
      <c r="M437" s="372"/>
      <c r="N437" s="227"/>
      <c r="O437" s="227"/>
      <c r="P437" s="227"/>
      <c r="Q437" s="227"/>
      <c r="R437" s="227"/>
      <c r="S437" s="340"/>
      <c r="T437" s="226"/>
      <c r="U437" s="53"/>
      <c r="V437" s="53"/>
      <c r="W437" s="53"/>
      <c r="X437" s="53"/>
    </row>
    <row r="438" spans="1:24" ht="15.75" customHeight="1">
      <c r="A438" s="69"/>
      <c r="B438" s="69"/>
      <c r="C438" s="70" t="str">
        <f t="shared" si="8"/>
        <v/>
      </c>
      <c r="D438" s="55"/>
      <c r="E438" s="53"/>
      <c r="F438" s="53"/>
      <c r="G438" s="372"/>
      <c r="H438" s="372"/>
      <c r="I438" s="379"/>
      <c r="J438" s="372"/>
      <c r="K438" s="373"/>
      <c r="L438" s="372"/>
      <c r="M438" s="372"/>
      <c r="N438" s="227"/>
      <c r="O438" s="227"/>
      <c r="P438" s="227"/>
      <c r="Q438" s="227"/>
      <c r="R438" s="227"/>
      <c r="S438" s="340"/>
      <c r="T438" s="226"/>
      <c r="U438" s="53"/>
      <c r="V438" s="53"/>
      <c r="W438" s="53"/>
      <c r="X438" s="53"/>
    </row>
    <row r="439" spans="1:24" ht="15.75" customHeight="1">
      <c r="A439" s="69"/>
      <c r="B439" s="69"/>
      <c r="C439" s="70" t="str">
        <f t="shared" si="8"/>
        <v/>
      </c>
      <c r="D439" s="55"/>
      <c r="E439" s="53"/>
      <c r="F439" s="53"/>
      <c r="G439" s="372"/>
      <c r="H439" s="372"/>
      <c r="I439" s="379"/>
      <c r="J439" s="372"/>
      <c r="K439" s="373"/>
      <c r="L439" s="372"/>
      <c r="M439" s="372"/>
      <c r="N439" s="227"/>
      <c r="O439" s="227"/>
      <c r="P439" s="227"/>
      <c r="Q439" s="227"/>
      <c r="R439" s="227"/>
      <c r="S439" s="340"/>
      <c r="T439" s="226"/>
      <c r="U439" s="53"/>
      <c r="V439" s="53"/>
      <c r="W439" s="53"/>
      <c r="X439" s="53"/>
    </row>
    <row r="440" spans="1:24" ht="15.75" customHeight="1">
      <c r="A440" s="69"/>
      <c r="B440" s="69"/>
      <c r="C440" s="70" t="str">
        <f t="shared" si="8"/>
        <v/>
      </c>
      <c r="D440" s="55"/>
      <c r="E440" s="53"/>
      <c r="F440" s="53"/>
      <c r="G440" s="372"/>
      <c r="H440" s="372"/>
      <c r="I440" s="379"/>
      <c r="J440" s="372"/>
      <c r="K440" s="373"/>
      <c r="L440" s="372"/>
      <c r="M440" s="372"/>
      <c r="N440" s="227"/>
      <c r="O440" s="227"/>
      <c r="P440" s="227"/>
      <c r="Q440" s="227"/>
      <c r="R440" s="227"/>
      <c r="S440" s="340"/>
      <c r="T440" s="226"/>
      <c r="U440" s="53"/>
      <c r="V440" s="53"/>
      <c r="W440" s="53"/>
      <c r="X440" s="53"/>
    </row>
    <row r="441" spans="1:24" ht="15.75" customHeight="1">
      <c r="A441" s="69"/>
      <c r="B441" s="69"/>
      <c r="C441" s="70" t="str">
        <f t="shared" si="8"/>
        <v/>
      </c>
      <c r="D441" s="55"/>
      <c r="E441" s="53"/>
      <c r="F441" s="53"/>
      <c r="G441" s="372"/>
      <c r="H441" s="372"/>
      <c r="I441" s="379"/>
      <c r="J441" s="372"/>
      <c r="K441" s="373"/>
      <c r="L441" s="372"/>
      <c r="M441" s="372"/>
      <c r="N441" s="227"/>
      <c r="O441" s="227"/>
      <c r="P441" s="227"/>
      <c r="Q441" s="227"/>
      <c r="R441" s="227"/>
      <c r="S441" s="340"/>
      <c r="T441" s="226"/>
      <c r="U441" s="53"/>
      <c r="V441" s="53"/>
      <c r="W441" s="53"/>
      <c r="X441" s="53"/>
    </row>
    <row r="442" spans="1:24" ht="15.75" customHeight="1">
      <c r="A442" s="69"/>
      <c r="B442" s="69"/>
      <c r="C442" s="70" t="str">
        <f t="shared" si="8"/>
        <v/>
      </c>
      <c r="D442" s="55"/>
      <c r="E442" s="53"/>
      <c r="F442" s="53"/>
      <c r="G442" s="372"/>
      <c r="H442" s="372"/>
      <c r="I442" s="379"/>
      <c r="J442" s="372"/>
      <c r="K442" s="373"/>
      <c r="L442" s="372"/>
      <c r="M442" s="372"/>
      <c r="N442" s="227"/>
      <c r="O442" s="227"/>
      <c r="P442" s="227"/>
      <c r="Q442" s="227"/>
      <c r="R442" s="227"/>
      <c r="S442" s="340"/>
      <c r="T442" s="226"/>
      <c r="U442" s="53"/>
      <c r="V442" s="53"/>
      <c r="W442" s="53"/>
      <c r="X442" s="53"/>
    </row>
    <row r="443" spans="1:24" ht="15.75" customHeight="1">
      <c r="A443" s="69"/>
      <c r="B443" s="69"/>
      <c r="C443" s="70" t="str">
        <f t="shared" si="8"/>
        <v/>
      </c>
      <c r="D443" s="55"/>
      <c r="E443" s="53"/>
      <c r="F443" s="53"/>
      <c r="G443" s="372"/>
      <c r="H443" s="372"/>
      <c r="I443" s="379"/>
      <c r="J443" s="372"/>
      <c r="K443" s="373"/>
      <c r="L443" s="372"/>
      <c r="M443" s="372"/>
      <c r="N443" s="227"/>
      <c r="O443" s="227"/>
      <c r="P443" s="227"/>
      <c r="Q443" s="227"/>
      <c r="R443" s="227"/>
      <c r="S443" s="340"/>
      <c r="T443" s="226"/>
      <c r="U443" s="53"/>
      <c r="V443" s="53"/>
      <c r="W443" s="53"/>
      <c r="X443" s="53"/>
    </row>
    <row r="444" spans="1:24" ht="15.75" customHeight="1">
      <c r="A444" s="69"/>
      <c r="B444" s="69"/>
      <c r="C444" s="70" t="str">
        <f t="shared" si="8"/>
        <v/>
      </c>
      <c r="D444" s="55"/>
      <c r="E444" s="53"/>
      <c r="F444" s="53"/>
      <c r="G444" s="372"/>
      <c r="H444" s="372"/>
      <c r="I444" s="379"/>
      <c r="J444" s="372"/>
      <c r="K444" s="373"/>
      <c r="L444" s="372"/>
      <c r="M444" s="372"/>
      <c r="N444" s="227"/>
      <c r="O444" s="227"/>
      <c r="P444" s="227"/>
      <c r="Q444" s="227"/>
      <c r="R444" s="227"/>
      <c r="S444" s="340"/>
      <c r="T444" s="226"/>
      <c r="U444" s="53"/>
      <c r="V444" s="53"/>
      <c r="W444" s="53"/>
      <c r="X444" s="53"/>
    </row>
    <row r="445" spans="1:24" ht="15.75" customHeight="1">
      <c r="A445" s="69"/>
      <c r="B445" s="69"/>
      <c r="C445" s="70" t="str">
        <f t="shared" si="8"/>
        <v/>
      </c>
      <c r="D445" s="55"/>
      <c r="E445" s="53"/>
      <c r="F445" s="53"/>
      <c r="G445" s="372"/>
      <c r="H445" s="372"/>
      <c r="I445" s="379"/>
      <c r="J445" s="372"/>
      <c r="K445" s="373"/>
      <c r="L445" s="372"/>
      <c r="M445" s="372"/>
      <c r="N445" s="227"/>
      <c r="O445" s="227"/>
      <c r="P445" s="227"/>
      <c r="Q445" s="227"/>
      <c r="R445" s="227"/>
      <c r="S445" s="340"/>
      <c r="T445" s="226"/>
      <c r="U445" s="53"/>
      <c r="V445" s="53"/>
      <c r="W445" s="53"/>
      <c r="X445" s="53"/>
    </row>
    <row r="446" spans="1:24" ht="15.75" customHeight="1">
      <c r="A446" s="69"/>
      <c r="B446" s="69"/>
      <c r="C446" s="70" t="str">
        <f t="shared" si="8"/>
        <v/>
      </c>
      <c r="D446" s="55"/>
      <c r="E446" s="53"/>
      <c r="F446" s="53"/>
      <c r="G446" s="372"/>
      <c r="H446" s="372"/>
      <c r="I446" s="379"/>
      <c r="J446" s="372"/>
      <c r="K446" s="373"/>
      <c r="L446" s="372"/>
      <c r="M446" s="372"/>
      <c r="N446" s="227"/>
      <c r="O446" s="227"/>
      <c r="P446" s="227"/>
      <c r="Q446" s="227"/>
      <c r="R446" s="227"/>
      <c r="S446" s="340"/>
      <c r="T446" s="226"/>
      <c r="U446" s="53"/>
      <c r="V446" s="53"/>
      <c r="W446" s="53"/>
      <c r="X446" s="53"/>
    </row>
    <row r="447" spans="1:24" ht="15.75" customHeight="1">
      <c r="A447" s="69"/>
      <c r="B447" s="69"/>
      <c r="C447" s="70" t="str">
        <f t="shared" si="8"/>
        <v/>
      </c>
      <c r="D447" s="55"/>
      <c r="E447" s="53"/>
      <c r="F447" s="53"/>
      <c r="G447" s="372"/>
      <c r="H447" s="372"/>
      <c r="I447" s="379"/>
      <c r="J447" s="372"/>
      <c r="K447" s="373"/>
      <c r="L447" s="372"/>
      <c r="M447" s="372"/>
      <c r="N447" s="227"/>
      <c r="O447" s="227"/>
      <c r="P447" s="227"/>
      <c r="Q447" s="227"/>
      <c r="R447" s="227"/>
      <c r="S447" s="340"/>
      <c r="T447" s="226"/>
      <c r="U447" s="53"/>
      <c r="V447" s="53"/>
      <c r="W447" s="53"/>
      <c r="X447" s="53"/>
    </row>
    <row r="448" spans="1:24" ht="15.75" customHeight="1">
      <c r="A448" s="69"/>
      <c r="B448" s="69"/>
      <c r="C448" s="70" t="str">
        <f t="shared" si="8"/>
        <v/>
      </c>
      <c r="D448" s="55"/>
      <c r="E448" s="53"/>
      <c r="F448" s="53"/>
      <c r="G448" s="372"/>
      <c r="H448" s="372"/>
      <c r="I448" s="379"/>
      <c r="J448" s="372"/>
      <c r="K448" s="373"/>
      <c r="L448" s="372"/>
      <c r="M448" s="372"/>
      <c r="N448" s="227"/>
      <c r="O448" s="227"/>
      <c r="P448" s="227"/>
      <c r="Q448" s="227"/>
      <c r="R448" s="227"/>
      <c r="S448" s="340"/>
      <c r="T448" s="226"/>
      <c r="U448" s="53"/>
      <c r="V448" s="53"/>
      <c r="W448" s="53"/>
      <c r="X448" s="53"/>
    </row>
    <row r="449" spans="1:24" ht="15.75" customHeight="1">
      <c r="A449" s="69"/>
      <c r="B449" s="69"/>
      <c r="C449" s="70" t="str">
        <f t="shared" si="8"/>
        <v/>
      </c>
      <c r="D449" s="55"/>
      <c r="E449" s="53"/>
      <c r="F449" s="53"/>
      <c r="G449" s="372"/>
      <c r="H449" s="372"/>
      <c r="I449" s="379"/>
      <c r="J449" s="372"/>
      <c r="K449" s="373"/>
      <c r="L449" s="372"/>
      <c r="M449" s="372"/>
      <c r="N449" s="227"/>
      <c r="O449" s="227"/>
      <c r="P449" s="227"/>
      <c r="Q449" s="227"/>
      <c r="R449" s="227"/>
      <c r="S449" s="340"/>
      <c r="T449" s="226"/>
      <c r="U449" s="53"/>
      <c r="V449" s="53"/>
      <c r="W449" s="53"/>
      <c r="X449" s="53"/>
    </row>
    <row r="450" spans="1:24" ht="15.75" customHeight="1">
      <c r="A450" s="69"/>
      <c r="B450" s="69"/>
      <c r="C450" s="70" t="str">
        <f t="shared" si="8"/>
        <v/>
      </c>
      <c r="D450" s="55"/>
      <c r="E450" s="53"/>
      <c r="F450" s="53"/>
      <c r="G450" s="372"/>
      <c r="H450" s="372"/>
      <c r="I450" s="379"/>
      <c r="J450" s="372"/>
      <c r="K450" s="373"/>
      <c r="L450" s="372"/>
      <c r="M450" s="372"/>
      <c r="N450" s="227"/>
      <c r="O450" s="227"/>
      <c r="P450" s="227"/>
      <c r="Q450" s="227"/>
      <c r="R450" s="227"/>
      <c r="S450" s="340"/>
      <c r="T450" s="226"/>
      <c r="U450" s="53"/>
      <c r="V450" s="53"/>
      <c r="W450" s="53"/>
      <c r="X450" s="53"/>
    </row>
    <row r="451" spans="1:24" ht="15.75" customHeight="1">
      <c r="A451" s="69"/>
      <c r="B451" s="69"/>
      <c r="C451" s="70" t="str">
        <f t="shared" si="8"/>
        <v/>
      </c>
      <c r="D451" s="55"/>
      <c r="E451" s="53"/>
      <c r="F451" s="53"/>
      <c r="G451" s="372"/>
      <c r="H451" s="372"/>
      <c r="I451" s="379"/>
      <c r="J451" s="372"/>
      <c r="K451" s="373"/>
      <c r="L451" s="372"/>
      <c r="M451" s="372"/>
      <c r="N451" s="227"/>
      <c r="O451" s="227"/>
      <c r="P451" s="227"/>
      <c r="Q451" s="227"/>
      <c r="R451" s="227"/>
      <c r="S451" s="340"/>
      <c r="T451" s="226"/>
      <c r="U451" s="53"/>
      <c r="V451" s="53"/>
      <c r="W451" s="53"/>
      <c r="X451" s="53"/>
    </row>
    <row r="452" spans="1:24" ht="15.75" customHeight="1">
      <c r="A452" s="69"/>
      <c r="B452" s="69"/>
      <c r="C452" s="70" t="str">
        <f t="shared" si="8"/>
        <v/>
      </c>
      <c r="D452" s="55"/>
      <c r="E452" s="53"/>
      <c r="F452" s="53"/>
      <c r="G452" s="372"/>
      <c r="H452" s="372"/>
      <c r="I452" s="379"/>
      <c r="J452" s="372"/>
      <c r="K452" s="373"/>
      <c r="L452" s="372"/>
      <c r="M452" s="372"/>
      <c r="N452" s="227"/>
      <c r="O452" s="227"/>
      <c r="P452" s="227"/>
      <c r="Q452" s="227"/>
      <c r="R452" s="227"/>
      <c r="S452" s="340"/>
      <c r="T452" s="226"/>
      <c r="U452" s="53"/>
      <c r="V452" s="53"/>
      <c r="W452" s="53"/>
      <c r="X452" s="53"/>
    </row>
    <row r="453" spans="1:24" ht="15.75" customHeight="1">
      <c r="A453" s="69"/>
      <c r="B453" s="69"/>
      <c r="C453" s="70" t="str">
        <f t="shared" si="8"/>
        <v/>
      </c>
      <c r="D453" s="55"/>
      <c r="E453" s="53"/>
      <c r="F453" s="53"/>
      <c r="G453" s="372"/>
      <c r="H453" s="372"/>
      <c r="I453" s="379"/>
      <c r="J453" s="372"/>
      <c r="K453" s="373"/>
      <c r="L453" s="372"/>
      <c r="M453" s="372"/>
      <c r="N453" s="227"/>
      <c r="O453" s="227"/>
      <c r="P453" s="227"/>
      <c r="Q453" s="227"/>
      <c r="R453" s="227"/>
      <c r="S453" s="340"/>
      <c r="T453" s="226"/>
      <c r="U453" s="53"/>
      <c r="V453" s="53"/>
      <c r="W453" s="53"/>
      <c r="X453" s="53"/>
    </row>
    <row r="454" spans="1:24" ht="15.75" customHeight="1">
      <c r="A454" s="69"/>
      <c r="B454" s="69"/>
      <c r="C454" s="70" t="str">
        <f t="shared" si="8"/>
        <v/>
      </c>
      <c r="D454" s="55"/>
      <c r="E454" s="53"/>
      <c r="F454" s="53"/>
      <c r="G454" s="372"/>
      <c r="H454" s="372"/>
      <c r="I454" s="379"/>
      <c r="J454" s="372"/>
      <c r="K454" s="373"/>
      <c r="L454" s="372"/>
      <c r="M454" s="372"/>
      <c r="N454" s="227"/>
      <c r="O454" s="227"/>
      <c r="P454" s="227"/>
      <c r="Q454" s="227"/>
      <c r="R454" s="227"/>
      <c r="S454" s="340"/>
      <c r="T454" s="226"/>
      <c r="U454" s="53"/>
      <c r="V454" s="53"/>
      <c r="W454" s="53"/>
      <c r="X454" s="53"/>
    </row>
    <row r="455" spans="1:24" ht="15.75" customHeight="1">
      <c r="A455" s="69"/>
      <c r="B455" s="69"/>
      <c r="C455" s="70" t="str">
        <f t="shared" si="8"/>
        <v/>
      </c>
      <c r="D455" s="55"/>
      <c r="E455" s="53"/>
      <c r="F455" s="53"/>
      <c r="G455" s="372"/>
      <c r="H455" s="372"/>
      <c r="I455" s="379"/>
      <c r="J455" s="372"/>
      <c r="K455" s="373"/>
      <c r="L455" s="372"/>
      <c r="M455" s="372"/>
      <c r="N455" s="227"/>
      <c r="O455" s="227"/>
      <c r="P455" s="227"/>
      <c r="Q455" s="227"/>
      <c r="R455" s="227"/>
      <c r="S455" s="340"/>
      <c r="T455" s="226"/>
      <c r="U455" s="53"/>
      <c r="V455" s="53"/>
      <c r="W455" s="53"/>
      <c r="X455" s="53"/>
    </row>
    <row r="456" spans="1:24" ht="15.75" customHeight="1">
      <c r="A456" s="69"/>
      <c r="B456" s="69"/>
      <c r="C456" s="70" t="str">
        <f t="shared" si="8"/>
        <v/>
      </c>
      <c r="D456" s="55"/>
      <c r="E456" s="53"/>
      <c r="F456" s="53"/>
      <c r="G456" s="372"/>
      <c r="H456" s="372"/>
      <c r="I456" s="379"/>
      <c r="J456" s="372"/>
      <c r="K456" s="373"/>
      <c r="L456" s="372"/>
      <c r="M456" s="372"/>
      <c r="N456" s="227"/>
      <c r="O456" s="227"/>
      <c r="P456" s="227"/>
      <c r="Q456" s="227"/>
      <c r="R456" s="227"/>
      <c r="S456" s="340"/>
      <c r="T456" s="226"/>
      <c r="U456" s="53"/>
      <c r="V456" s="53"/>
      <c r="W456" s="53"/>
      <c r="X456" s="53"/>
    </row>
    <row r="457" spans="1:24" ht="15.75" customHeight="1">
      <c r="A457" s="69"/>
      <c r="B457" s="69"/>
      <c r="C457" s="70" t="str">
        <f t="shared" si="8"/>
        <v/>
      </c>
      <c r="D457" s="55"/>
      <c r="E457" s="53"/>
      <c r="F457" s="53"/>
      <c r="G457" s="372"/>
      <c r="H457" s="372"/>
      <c r="I457" s="379"/>
      <c r="J457" s="372"/>
      <c r="K457" s="373"/>
      <c r="L457" s="372"/>
      <c r="M457" s="372"/>
      <c r="N457" s="227"/>
      <c r="O457" s="227"/>
      <c r="P457" s="227"/>
      <c r="Q457" s="227"/>
      <c r="R457" s="227"/>
      <c r="S457" s="340"/>
      <c r="T457" s="226"/>
      <c r="U457" s="53"/>
      <c r="V457" s="53"/>
      <c r="W457" s="53"/>
      <c r="X457" s="53"/>
    </row>
    <row r="458" spans="1:24" ht="15.75" customHeight="1">
      <c r="A458" s="69"/>
      <c r="B458" s="69"/>
      <c r="C458" s="70" t="str">
        <f t="shared" si="8"/>
        <v/>
      </c>
      <c r="D458" s="55"/>
      <c r="E458" s="53"/>
      <c r="F458" s="53"/>
      <c r="G458" s="372"/>
      <c r="H458" s="372"/>
      <c r="I458" s="379"/>
      <c r="J458" s="372"/>
      <c r="K458" s="373"/>
      <c r="L458" s="372"/>
      <c r="M458" s="372"/>
      <c r="N458" s="227"/>
      <c r="O458" s="227"/>
      <c r="P458" s="227"/>
      <c r="Q458" s="227"/>
      <c r="R458" s="227"/>
      <c r="S458" s="340"/>
      <c r="T458" s="226"/>
      <c r="U458" s="53"/>
      <c r="V458" s="53"/>
      <c r="W458" s="53"/>
      <c r="X458" s="53"/>
    </row>
    <row r="459" spans="1:24" ht="15.75" customHeight="1">
      <c r="A459" s="69"/>
      <c r="B459" s="69"/>
      <c r="C459" s="70" t="str">
        <f t="shared" si="8"/>
        <v/>
      </c>
      <c r="D459" s="55"/>
      <c r="E459" s="53"/>
      <c r="F459" s="53"/>
      <c r="G459" s="372"/>
      <c r="H459" s="372"/>
      <c r="I459" s="379"/>
      <c r="J459" s="372"/>
      <c r="K459" s="373"/>
      <c r="L459" s="372"/>
      <c r="M459" s="372"/>
      <c r="N459" s="227"/>
      <c r="O459" s="227"/>
      <c r="P459" s="227"/>
      <c r="Q459" s="227"/>
      <c r="R459" s="227"/>
      <c r="S459" s="340"/>
      <c r="T459" s="226"/>
      <c r="U459" s="53"/>
      <c r="V459" s="53"/>
      <c r="W459" s="53"/>
      <c r="X459" s="53"/>
    </row>
    <row r="460" spans="1:24" ht="15.75" customHeight="1">
      <c r="A460" s="69"/>
      <c r="B460" s="69"/>
      <c r="C460" s="70" t="str">
        <f t="shared" si="8"/>
        <v/>
      </c>
      <c r="D460" s="55"/>
      <c r="E460" s="53"/>
      <c r="F460" s="53"/>
      <c r="G460" s="372"/>
      <c r="H460" s="372"/>
      <c r="I460" s="379"/>
      <c r="J460" s="372"/>
      <c r="K460" s="373"/>
      <c r="L460" s="372"/>
      <c r="M460" s="372"/>
      <c r="N460" s="227"/>
      <c r="O460" s="227"/>
      <c r="P460" s="227"/>
      <c r="Q460" s="227"/>
      <c r="R460" s="227"/>
      <c r="S460" s="340"/>
      <c r="T460" s="226"/>
      <c r="U460" s="53"/>
      <c r="V460" s="53"/>
      <c r="W460" s="53"/>
      <c r="X460" s="53"/>
    </row>
    <row r="461" spans="1:24" ht="15.75" customHeight="1">
      <c r="A461" s="69"/>
      <c r="B461" s="69"/>
      <c r="C461" s="70" t="str">
        <f t="shared" si="8"/>
        <v/>
      </c>
      <c r="D461" s="55"/>
      <c r="E461" s="53"/>
      <c r="F461" s="53"/>
      <c r="G461" s="372"/>
      <c r="H461" s="372"/>
      <c r="I461" s="379"/>
      <c r="J461" s="372"/>
      <c r="K461" s="373"/>
      <c r="L461" s="372"/>
      <c r="M461" s="372"/>
      <c r="N461" s="227"/>
      <c r="O461" s="227"/>
      <c r="P461" s="227"/>
      <c r="Q461" s="227"/>
      <c r="R461" s="227"/>
      <c r="S461" s="340"/>
      <c r="T461" s="226"/>
      <c r="U461" s="53"/>
      <c r="V461" s="53"/>
      <c r="W461" s="53"/>
      <c r="X461" s="53"/>
    </row>
    <row r="462" spans="1:24" ht="15.75" customHeight="1">
      <c r="A462" s="69"/>
      <c r="B462" s="69"/>
      <c r="C462" s="70" t="str">
        <f t="shared" si="8"/>
        <v/>
      </c>
      <c r="D462" s="55"/>
      <c r="E462" s="53"/>
      <c r="F462" s="53"/>
      <c r="G462" s="372"/>
      <c r="H462" s="372"/>
      <c r="I462" s="379"/>
      <c r="J462" s="372"/>
      <c r="K462" s="373"/>
      <c r="L462" s="372"/>
      <c r="M462" s="372"/>
      <c r="N462" s="227"/>
      <c r="O462" s="227"/>
      <c r="P462" s="227"/>
      <c r="Q462" s="227"/>
      <c r="R462" s="227"/>
      <c r="S462" s="340"/>
      <c r="T462" s="226"/>
      <c r="U462" s="53"/>
      <c r="V462" s="53"/>
      <c r="W462" s="53"/>
      <c r="X462" s="53"/>
    </row>
    <row r="463" spans="1:24" ht="15.75" customHeight="1">
      <c r="A463" s="69"/>
      <c r="B463" s="69"/>
      <c r="C463" s="70" t="str">
        <f t="shared" si="8"/>
        <v/>
      </c>
      <c r="D463" s="55"/>
      <c r="E463" s="53"/>
      <c r="F463" s="53"/>
      <c r="G463" s="372"/>
      <c r="H463" s="372"/>
      <c r="I463" s="379"/>
      <c r="J463" s="372"/>
      <c r="K463" s="373"/>
      <c r="L463" s="372"/>
      <c r="M463" s="372"/>
      <c r="N463" s="227"/>
      <c r="O463" s="227"/>
      <c r="P463" s="227"/>
      <c r="Q463" s="227"/>
      <c r="R463" s="227"/>
      <c r="S463" s="340"/>
      <c r="T463" s="226"/>
      <c r="U463" s="53"/>
      <c r="V463" s="53"/>
      <c r="W463" s="53"/>
      <c r="X463" s="53"/>
    </row>
    <row r="464" spans="1:24" ht="15.75" customHeight="1">
      <c r="A464" s="69"/>
      <c r="B464" s="69"/>
      <c r="C464" s="70" t="str">
        <f t="shared" si="8"/>
        <v/>
      </c>
      <c r="D464" s="55"/>
      <c r="E464" s="53"/>
      <c r="F464" s="53"/>
      <c r="G464" s="372"/>
      <c r="H464" s="372"/>
      <c r="I464" s="379"/>
      <c r="J464" s="372"/>
      <c r="K464" s="373"/>
      <c r="L464" s="372"/>
      <c r="M464" s="372"/>
      <c r="N464" s="227"/>
      <c r="O464" s="227"/>
      <c r="P464" s="227"/>
      <c r="Q464" s="227"/>
      <c r="R464" s="227"/>
      <c r="S464" s="340"/>
      <c r="T464" s="226"/>
      <c r="U464" s="53"/>
      <c r="V464" s="53"/>
      <c r="W464" s="53"/>
      <c r="X464" s="53"/>
    </row>
    <row r="465" spans="1:24" ht="15.75" customHeight="1">
      <c r="A465" s="69"/>
      <c r="B465" s="69"/>
      <c r="C465" s="70" t="str">
        <f t="shared" ref="C465:C528" si="9">IF(B465&lt;&gt;"",TEXT(WEEKDAY(B465),"dddd"),"")</f>
        <v/>
      </c>
      <c r="D465" s="55"/>
      <c r="E465" s="53"/>
      <c r="F465" s="53"/>
      <c r="G465" s="372"/>
      <c r="H465" s="372"/>
      <c r="I465" s="379"/>
      <c r="J465" s="372"/>
      <c r="K465" s="373"/>
      <c r="L465" s="372"/>
      <c r="M465" s="372"/>
      <c r="N465" s="227"/>
      <c r="O465" s="227"/>
      <c r="P465" s="227"/>
      <c r="Q465" s="227"/>
      <c r="R465" s="227"/>
      <c r="S465" s="340"/>
      <c r="T465" s="226"/>
      <c r="U465" s="53"/>
      <c r="V465" s="53"/>
      <c r="W465" s="53"/>
      <c r="X465" s="53"/>
    </row>
    <row r="466" spans="1:24" ht="15.75" customHeight="1">
      <c r="A466" s="69"/>
      <c r="B466" s="69"/>
      <c r="C466" s="70" t="str">
        <f t="shared" si="9"/>
        <v/>
      </c>
      <c r="D466" s="55"/>
      <c r="E466" s="53"/>
      <c r="F466" s="53"/>
      <c r="G466" s="372"/>
      <c r="H466" s="372"/>
      <c r="I466" s="379"/>
      <c r="J466" s="372"/>
      <c r="K466" s="373"/>
      <c r="L466" s="372"/>
      <c r="M466" s="372"/>
      <c r="N466" s="227"/>
      <c r="O466" s="227"/>
      <c r="P466" s="227"/>
      <c r="Q466" s="227"/>
      <c r="R466" s="227"/>
      <c r="S466" s="340"/>
      <c r="T466" s="226"/>
      <c r="U466" s="53"/>
      <c r="V466" s="53"/>
      <c r="W466" s="53"/>
      <c r="X466" s="53"/>
    </row>
    <row r="467" spans="1:24" ht="15.75" customHeight="1">
      <c r="A467" s="69"/>
      <c r="B467" s="69"/>
      <c r="C467" s="70" t="str">
        <f t="shared" si="9"/>
        <v/>
      </c>
      <c r="D467" s="55"/>
      <c r="E467" s="53"/>
      <c r="F467" s="53"/>
      <c r="G467" s="372"/>
      <c r="H467" s="372"/>
      <c r="I467" s="379"/>
      <c r="J467" s="372"/>
      <c r="K467" s="373"/>
      <c r="L467" s="372"/>
      <c r="M467" s="372"/>
      <c r="N467" s="227"/>
      <c r="O467" s="227"/>
      <c r="P467" s="227"/>
      <c r="Q467" s="227"/>
      <c r="R467" s="227"/>
      <c r="S467" s="340"/>
      <c r="T467" s="226"/>
      <c r="U467" s="53"/>
      <c r="V467" s="53"/>
      <c r="W467" s="53"/>
      <c r="X467" s="53"/>
    </row>
    <row r="468" spans="1:24" ht="15.75" customHeight="1">
      <c r="A468" s="69"/>
      <c r="B468" s="69"/>
      <c r="C468" s="70" t="str">
        <f t="shared" si="9"/>
        <v/>
      </c>
      <c r="D468" s="55"/>
      <c r="E468" s="53"/>
      <c r="F468" s="53"/>
      <c r="G468" s="372"/>
      <c r="H468" s="372"/>
      <c r="I468" s="379"/>
      <c r="J468" s="372"/>
      <c r="K468" s="373"/>
      <c r="L468" s="372"/>
      <c r="M468" s="372"/>
      <c r="N468" s="227"/>
      <c r="O468" s="227"/>
      <c r="P468" s="227"/>
      <c r="Q468" s="227"/>
      <c r="R468" s="227"/>
      <c r="S468" s="340"/>
      <c r="T468" s="226"/>
      <c r="U468" s="53"/>
      <c r="V468" s="53"/>
      <c r="W468" s="53"/>
      <c r="X468" s="53"/>
    </row>
    <row r="469" spans="1:24" ht="15.75" customHeight="1">
      <c r="A469" s="69"/>
      <c r="B469" s="69"/>
      <c r="C469" s="70" t="str">
        <f t="shared" si="9"/>
        <v/>
      </c>
      <c r="D469" s="55"/>
      <c r="E469" s="53"/>
      <c r="F469" s="53"/>
      <c r="G469" s="372"/>
      <c r="H469" s="372"/>
      <c r="I469" s="379"/>
      <c r="J469" s="372"/>
      <c r="K469" s="373"/>
      <c r="L469" s="372"/>
      <c r="M469" s="372"/>
      <c r="N469" s="227"/>
      <c r="O469" s="227"/>
      <c r="P469" s="227"/>
      <c r="Q469" s="227"/>
      <c r="R469" s="227"/>
      <c r="S469" s="340"/>
      <c r="T469" s="226"/>
      <c r="U469" s="53"/>
      <c r="V469" s="53"/>
      <c r="W469" s="53"/>
      <c r="X469" s="53"/>
    </row>
    <row r="470" spans="1:24" ht="15.75" customHeight="1">
      <c r="A470" s="69"/>
      <c r="B470" s="69"/>
      <c r="C470" s="70" t="str">
        <f t="shared" si="9"/>
        <v/>
      </c>
      <c r="D470" s="55"/>
      <c r="E470" s="53"/>
      <c r="F470" s="53"/>
      <c r="G470" s="372"/>
      <c r="H470" s="372"/>
      <c r="I470" s="379"/>
      <c r="J470" s="372"/>
      <c r="K470" s="373"/>
      <c r="L470" s="372"/>
      <c r="M470" s="372"/>
      <c r="N470" s="227"/>
      <c r="O470" s="227"/>
      <c r="P470" s="227"/>
      <c r="Q470" s="227"/>
      <c r="R470" s="227"/>
      <c r="S470" s="340"/>
      <c r="T470" s="226"/>
      <c r="U470" s="53"/>
      <c r="V470" s="53"/>
      <c r="W470" s="53"/>
      <c r="X470" s="53"/>
    </row>
    <row r="471" spans="1:24" ht="15.75" customHeight="1">
      <c r="A471" s="69"/>
      <c r="B471" s="69"/>
      <c r="C471" s="70" t="str">
        <f t="shared" si="9"/>
        <v/>
      </c>
      <c r="D471" s="55"/>
      <c r="E471" s="53"/>
      <c r="F471" s="53"/>
      <c r="G471" s="372"/>
      <c r="H471" s="372"/>
      <c r="I471" s="379"/>
      <c r="J471" s="372"/>
      <c r="K471" s="373"/>
      <c r="L471" s="372"/>
      <c r="M471" s="372"/>
      <c r="N471" s="227"/>
      <c r="O471" s="227"/>
      <c r="P471" s="227"/>
      <c r="Q471" s="227"/>
      <c r="R471" s="227"/>
      <c r="S471" s="340"/>
      <c r="T471" s="226"/>
      <c r="U471" s="53"/>
      <c r="V471" s="53"/>
      <c r="W471" s="53"/>
      <c r="X471" s="53"/>
    </row>
    <row r="472" spans="1:24" ht="15.75" customHeight="1">
      <c r="A472" s="69"/>
      <c r="B472" s="69"/>
      <c r="C472" s="70" t="str">
        <f t="shared" si="9"/>
        <v/>
      </c>
      <c r="D472" s="55"/>
      <c r="E472" s="53"/>
      <c r="F472" s="53"/>
      <c r="G472" s="372"/>
      <c r="H472" s="372"/>
      <c r="I472" s="379"/>
      <c r="J472" s="372"/>
      <c r="K472" s="373"/>
      <c r="L472" s="372"/>
      <c r="M472" s="372"/>
      <c r="N472" s="227"/>
      <c r="O472" s="227"/>
      <c r="P472" s="227"/>
      <c r="Q472" s="227"/>
      <c r="R472" s="227"/>
      <c r="S472" s="340"/>
      <c r="T472" s="226"/>
      <c r="U472" s="53"/>
      <c r="V472" s="53"/>
      <c r="W472" s="53"/>
      <c r="X472" s="53"/>
    </row>
    <row r="473" spans="1:24" ht="15.75" customHeight="1">
      <c r="A473" s="69"/>
      <c r="B473" s="69"/>
      <c r="C473" s="70" t="str">
        <f t="shared" si="9"/>
        <v/>
      </c>
      <c r="D473" s="55"/>
      <c r="E473" s="53"/>
      <c r="F473" s="53"/>
      <c r="G473" s="372"/>
      <c r="H473" s="372"/>
      <c r="I473" s="379"/>
      <c r="J473" s="372"/>
      <c r="K473" s="373"/>
      <c r="L473" s="372"/>
      <c r="M473" s="372"/>
      <c r="N473" s="227"/>
      <c r="O473" s="227"/>
      <c r="P473" s="227"/>
      <c r="Q473" s="227"/>
      <c r="R473" s="227"/>
      <c r="S473" s="340"/>
      <c r="T473" s="226"/>
      <c r="U473" s="53"/>
      <c r="V473" s="53"/>
      <c r="W473" s="53"/>
      <c r="X473" s="53"/>
    </row>
    <row r="474" spans="1:24" ht="15.75" customHeight="1">
      <c r="A474" s="69"/>
      <c r="B474" s="69"/>
      <c r="C474" s="70" t="str">
        <f t="shared" si="9"/>
        <v/>
      </c>
      <c r="D474" s="55"/>
      <c r="E474" s="53"/>
      <c r="F474" s="53"/>
      <c r="G474" s="372"/>
      <c r="H474" s="372"/>
      <c r="I474" s="379"/>
      <c r="J474" s="372"/>
      <c r="K474" s="373"/>
      <c r="L474" s="372"/>
      <c r="M474" s="372"/>
      <c r="N474" s="227"/>
      <c r="O474" s="227"/>
      <c r="P474" s="227"/>
      <c r="Q474" s="227"/>
      <c r="R474" s="227"/>
      <c r="S474" s="340"/>
      <c r="T474" s="226"/>
      <c r="U474" s="53"/>
      <c r="V474" s="53"/>
      <c r="W474" s="53"/>
      <c r="X474" s="53"/>
    </row>
    <row r="475" spans="1:24" ht="15.75" customHeight="1">
      <c r="A475" s="69"/>
      <c r="B475" s="69"/>
      <c r="C475" s="70" t="str">
        <f t="shared" si="9"/>
        <v/>
      </c>
      <c r="D475" s="55"/>
      <c r="E475" s="53"/>
      <c r="F475" s="53"/>
      <c r="G475" s="372"/>
      <c r="H475" s="372"/>
      <c r="I475" s="379"/>
      <c r="J475" s="372"/>
      <c r="K475" s="373"/>
      <c r="L475" s="372"/>
      <c r="M475" s="372"/>
      <c r="N475" s="227"/>
      <c r="O475" s="227"/>
      <c r="P475" s="227"/>
      <c r="Q475" s="227"/>
      <c r="R475" s="227"/>
      <c r="S475" s="340"/>
      <c r="T475" s="226"/>
      <c r="U475" s="53"/>
      <c r="V475" s="53"/>
      <c r="W475" s="53"/>
      <c r="X475" s="53"/>
    </row>
    <row r="476" spans="1:24" ht="15.75" customHeight="1">
      <c r="A476" s="69"/>
      <c r="B476" s="69"/>
      <c r="C476" s="70" t="str">
        <f t="shared" si="9"/>
        <v/>
      </c>
      <c r="D476" s="55"/>
      <c r="E476" s="53"/>
      <c r="F476" s="53"/>
      <c r="G476" s="372"/>
      <c r="H476" s="372"/>
      <c r="I476" s="379"/>
      <c r="J476" s="372"/>
      <c r="K476" s="373"/>
      <c r="L476" s="372"/>
      <c r="M476" s="372"/>
      <c r="N476" s="227"/>
      <c r="O476" s="227"/>
      <c r="P476" s="227"/>
      <c r="Q476" s="227"/>
      <c r="R476" s="227"/>
      <c r="S476" s="340"/>
      <c r="T476" s="226"/>
      <c r="U476" s="53"/>
      <c r="V476" s="53"/>
      <c r="W476" s="53"/>
      <c r="X476" s="53"/>
    </row>
    <row r="477" spans="1:24" ht="15.75" customHeight="1">
      <c r="A477" s="69"/>
      <c r="B477" s="69"/>
      <c r="C477" s="70" t="str">
        <f t="shared" si="9"/>
        <v/>
      </c>
      <c r="D477" s="55"/>
      <c r="E477" s="53"/>
      <c r="F477" s="53"/>
      <c r="G477" s="372"/>
      <c r="H477" s="372"/>
      <c r="I477" s="379"/>
      <c r="J477" s="372"/>
      <c r="K477" s="373"/>
      <c r="L477" s="372"/>
      <c r="M477" s="372"/>
      <c r="N477" s="227"/>
      <c r="O477" s="227"/>
      <c r="P477" s="227"/>
      <c r="Q477" s="227"/>
      <c r="R477" s="227"/>
      <c r="S477" s="340"/>
      <c r="T477" s="226"/>
      <c r="U477" s="53"/>
      <c r="V477" s="53"/>
      <c r="W477" s="53"/>
      <c r="X477" s="53"/>
    </row>
    <row r="478" spans="1:24" ht="15.75" customHeight="1">
      <c r="A478" s="69"/>
      <c r="B478" s="69"/>
      <c r="C478" s="70" t="str">
        <f t="shared" si="9"/>
        <v/>
      </c>
      <c r="D478" s="55"/>
      <c r="E478" s="53"/>
      <c r="F478" s="53"/>
      <c r="G478" s="372"/>
      <c r="H478" s="372"/>
      <c r="I478" s="379"/>
      <c r="J478" s="372"/>
      <c r="K478" s="373"/>
      <c r="L478" s="372"/>
      <c r="M478" s="372"/>
      <c r="N478" s="227"/>
      <c r="O478" s="227"/>
      <c r="P478" s="227"/>
      <c r="Q478" s="227"/>
      <c r="R478" s="227"/>
      <c r="S478" s="340"/>
      <c r="T478" s="226"/>
      <c r="U478" s="53"/>
      <c r="V478" s="53"/>
      <c r="W478" s="53"/>
      <c r="X478" s="53"/>
    </row>
    <row r="479" spans="1:24" ht="15.75" customHeight="1">
      <c r="A479" s="69"/>
      <c r="B479" s="69"/>
      <c r="C479" s="70" t="str">
        <f t="shared" si="9"/>
        <v/>
      </c>
      <c r="D479" s="55"/>
      <c r="E479" s="53"/>
      <c r="F479" s="53"/>
      <c r="G479" s="372"/>
      <c r="H479" s="372"/>
      <c r="I479" s="379"/>
      <c r="J479" s="372"/>
      <c r="K479" s="373"/>
      <c r="L479" s="372"/>
      <c r="M479" s="372"/>
      <c r="N479" s="227"/>
      <c r="O479" s="227"/>
      <c r="P479" s="227"/>
      <c r="Q479" s="227"/>
      <c r="R479" s="227"/>
      <c r="S479" s="340"/>
      <c r="T479" s="226"/>
      <c r="U479" s="53"/>
      <c r="V479" s="53"/>
      <c r="W479" s="53"/>
      <c r="X479" s="53"/>
    </row>
    <row r="480" spans="1:24" ht="15.75" customHeight="1">
      <c r="A480" s="69"/>
      <c r="B480" s="69"/>
      <c r="C480" s="70" t="str">
        <f t="shared" si="9"/>
        <v/>
      </c>
      <c r="D480" s="55"/>
      <c r="E480" s="53"/>
      <c r="F480" s="53"/>
      <c r="G480" s="372"/>
      <c r="H480" s="372"/>
      <c r="I480" s="379"/>
      <c r="J480" s="372"/>
      <c r="K480" s="373"/>
      <c r="L480" s="372"/>
      <c r="M480" s="372"/>
      <c r="N480" s="227"/>
      <c r="O480" s="227"/>
      <c r="P480" s="227"/>
      <c r="Q480" s="227"/>
      <c r="R480" s="227"/>
      <c r="S480" s="340"/>
      <c r="T480" s="226"/>
      <c r="U480" s="53"/>
      <c r="V480" s="53"/>
      <c r="W480" s="53"/>
      <c r="X480" s="53"/>
    </row>
    <row r="481" spans="1:24" ht="15.75" customHeight="1">
      <c r="A481" s="69"/>
      <c r="B481" s="69"/>
      <c r="C481" s="70" t="str">
        <f t="shared" si="9"/>
        <v/>
      </c>
      <c r="D481" s="55"/>
      <c r="E481" s="53"/>
      <c r="F481" s="53"/>
      <c r="G481" s="372"/>
      <c r="H481" s="372"/>
      <c r="I481" s="379"/>
      <c r="J481" s="372"/>
      <c r="K481" s="373"/>
      <c r="L481" s="372"/>
      <c r="M481" s="372"/>
      <c r="N481" s="227"/>
      <c r="O481" s="227"/>
      <c r="P481" s="227"/>
      <c r="Q481" s="227"/>
      <c r="R481" s="227"/>
      <c r="S481" s="340"/>
      <c r="T481" s="226"/>
      <c r="U481" s="53"/>
      <c r="V481" s="53"/>
      <c r="W481" s="53"/>
      <c r="X481" s="53"/>
    </row>
    <row r="482" spans="1:24" ht="15.75" customHeight="1">
      <c r="A482" s="69"/>
      <c r="B482" s="69"/>
      <c r="C482" s="70" t="str">
        <f t="shared" si="9"/>
        <v/>
      </c>
      <c r="D482" s="55"/>
      <c r="E482" s="53"/>
      <c r="F482" s="53"/>
      <c r="G482" s="372"/>
      <c r="H482" s="372"/>
      <c r="I482" s="379"/>
      <c r="J482" s="372"/>
      <c r="K482" s="373"/>
      <c r="L482" s="372"/>
      <c r="M482" s="372"/>
      <c r="N482" s="227"/>
      <c r="O482" s="227"/>
      <c r="P482" s="227"/>
      <c r="Q482" s="227"/>
      <c r="R482" s="227"/>
      <c r="S482" s="340"/>
      <c r="T482" s="226"/>
      <c r="U482" s="53"/>
      <c r="V482" s="53"/>
      <c r="W482" s="53"/>
      <c r="X482" s="53"/>
    </row>
    <row r="483" spans="1:24" ht="15.75" customHeight="1">
      <c r="A483" s="69"/>
      <c r="B483" s="69"/>
      <c r="C483" s="70" t="str">
        <f t="shared" si="9"/>
        <v/>
      </c>
      <c r="D483" s="55"/>
      <c r="E483" s="53"/>
      <c r="F483" s="53"/>
      <c r="G483" s="372"/>
      <c r="H483" s="372"/>
      <c r="I483" s="379"/>
      <c r="J483" s="372"/>
      <c r="K483" s="373"/>
      <c r="L483" s="372"/>
      <c r="M483" s="372"/>
      <c r="N483" s="227"/>
      <c r="O483" s="227"/>
      <c r="P483" s="227"/>
      <c r="Q483" s="227"/>
      <c r="R483" s="227"/>
      <c r="S483" s="340"/>
      <c r="T483" s="226"/>
      <c r="U483" s="53"/>
      <c r="V483" s="53"/>
      <c r="W483" s="53"/>
      <c r="X483" s="53"/>
    </row>
    <row r="484" spans="1:24" ht="15.75" customHeight="1">
      <c r="A484" s="69"/>
      <c r="B484" s="69"/>
      <c r="C484" s="70" t="str">
        <f t="shared" si="9"/>
        <v/>
      </c>
      <c r="D484" s="55"/>
      <c r="E484" s="53"/>
      <c r="F484" s="53"/>
      <c r="G484" s="372"/>
      <c r="H484" s="372"/>
      <c r="I484" s="379"/>
      <c r="J484" s="372"/>
      <c r="K484" s="373"/>
      <c r="L484" s="372"/>
      <c r="M484" s="372"/>
      <c r="N484" s="227"/>
      <c r="O484" s="227"/>
      <c r="P484" s="227"/>
      <c r="Q484" s="227"/>
      <c r="R484" s="227"/>
      <c r="S484" s="340"/>
      <c r="T484" s="226"/>
      <c r="U484" s="53"/>
      <c r="V484" s="53"/>
      <c r="W484" s="53"/>
      <c r="X484" s="53"/>
    </row>
    <row r="485" spans="1:24" ht="15.75" customHeight="1">
      <c r="A485" s="69"/>
      <c r="B485" s="69"/>
      <c r="C485" s="70" t="str">
        <f t="shared" si="9"/>
        <v/>
      </c>
      <c r="D485" s="55"/>
      <c r="E485" s="53"/>
      <c r="F485" s="53"/>
      <c r="G485" s="372"/>
      <c r="H485" s="372"/>
      <c r="I485" s="379"/>
      <c r="J485" s="372"/>
      <c r="K485" s="373"/>
      <c r="L485" s="372"/>
      <c r="M485" s="372"/>
      <c r="N485" s="227"/>
      <c r="O485" s="227"/>
      <c r="P485" s="227"/>
      <c r="Q485" s="227"/>
      <c r="R485" s="227"/>
      <c r="S485" s="340"/>
      <c r="T485" s="226"/>
      <c r="U485" s="53"/>
      <c r="V485" s="53"/>
      <c r="W485" s="53"/>
      <c r="X485" s="53"/>
    </row>
    <row r="486" spans="1:24" ht="15.75" customHeight="1">
      <c r="A486" s="69"/>
      <c r="B486" s="69"/>
      <c r="C486" s="70" t="str">
        <f t="shared" si="9"/>
        <v/>
      </c>
      <c r="D486" s="55"/>
      <c r="E486" s="53"/>
      <c r="F486" s="53"/>
      <c r="G486" s="372"/>
      <c r="H486" s="372"/>
      <c r="I486" s="379"/>
      <c r="J486" s="372"/>
      <c r="K486" s="373"/>
      <c r="L486" s="372"/>
      <c r="M486" s="372"/>
      <c r="N486" s="227"/>
      <c r="O486" s="227"/>
      <c r="P486" s="227"/>
      <c r="Q486" s="227"/>
      <c r="R486" s="227"/>
      <c r="S486" s="340"/>
      <c r="T486" s="226"/>
      <c r="U486" s="53"/>
      <c r="V486" s="53"/>
      <c r="W486" s="53"/>
      <c r="X486" s="53"/>
    </row>
    <row r="487" spans="1:24" ht="15.75" customHeight="1">
      <c r="A487" s="69"/>
      <c r="B487" s="69"/>
      <c r="C487" s="70" t="str">
        <f t="shared" si="9"/>
        <v/>
      </c>
      <c r="D487" s="55"/>
      <c r="E487" s="53"/>
      <c r="F487" s="53"/>
      <c r="G487" s="372"/>
      <c r="H487" s="372"/>
      <c r="I487" s="379"/>
      <c r="J487" s="372"/>
      <c r="K487" s="373"/>
      <c r="L487" s="372"/>
      <c r="M487" s="372"/>
      <c r="N487" s="227"/>
      <c r="O487" s="227"/>
      <c r="P487" s="227"/>
      <c r="Q487" s="227"/>
      <c r="R487" s="227"/>
      <c r="S487" s="340"/>
      <c r="T487" s="226"/>
      <c r="U487" s="53"/>
      <c r="V487" s="53"/>
      <c r="W487" s="53"/>
      <c r="X487" s="53"/>
    </row>
    <row r="488" spans="1:24" ht="15.75" customHeight="1">
      <c r="A488" s="69"/>
      <c r="B488" s="69"/>
      <c r="C488" s="70" t="str">
        <f t="shared" si="9"/>
        <v/>
      </c>
      <c r="D488" s="55"/>
      <c r="E488" s="53"/>
      <c r="F488" s="53"/>
      <c r="G488" s="372"/>
      <c r="H488" s="372"/>
      <c r="I488" s="379"/>
      <c r="J488" s="372"/>
      <c r="K488" s="373"/>
      <c r="L488" s="372"/>
      <c r="M488" s="372"/>
      <c r="N488" s="227"/>
      <c r="O488" s="227"/>
      <c r="P488" s="227"/>
      <c r="Q488" s="227"/>
      <c r="R488" s="227"/>
      <c r="S488" s="340"/>
      <c r="T488" s="226"/>
      <c r="U488" s="53"/>
      <c r="V488" s="53"/>
      <c r="W488" s="53"/>
      <c r="X488" s="53"/>
    </row>
    <row r="489" spans="1:24" ht="15.75" customHeight="1">
      <c r="A489" s="69"/>
      <c r="B489" s="69"/>
      <c r="C489" s="70" t="str">
        <f t="shared" si="9"/>
        <v/>
      </c>
      <c r="D489" s="55"/>
      <c r="E489" s="53"/>
      <c r="F489" s="53"/>
      <c r="G489" s="372"/>
      <c r="H489" s="372"/>
      <c r="I489" s="379"/>
      <c r="J489" s="372"/>
      <c r="K489" s="373"/>
      <c r="L489" s="372"/>
      <c r="M489" s="372"/>
      <c r="N489" s="227"/>
      <c r="O489" s="227"/>
      <c r="P489" s="227"/>
      <c r="Q489" s="227"/>
      <c r="R489" s="227"/>
      <c r="S489" s="340"/>
      <c r="T489" s="226"/>
      <c r="U489" s="53"/>
      <c r="V489" s="53"/>
      <c r="W489" s="53"/>
      <c r="X489" s="53"/>
    </row>
    <row r="490" spans="1:24" ht="15.75" customHeight="1">
      <c r="A490" s="69"/>
      <c r="B490" s="69"/>
      <c r="C490" s="70" t="str">
        <f t="shared" si="9"/>
        <v/>
      </c>
      <c r="D490" s="55"/>
      <c r="E490" s="53"/>
      <c r="F490" s="53"/>
      <c r="G490" s="372"/>
      <c r="H490" s="372"/>
      <c r="I490" s="379"/>
      <c r="J490" s="372"/>
      <c r="K490" s="373"/>
      <c r="L490" s="372"/>
      <c r="M490" s="372"/>
      <c r="N490" s="227"/>
      <c r="O490" s="227"/>
      <c r="P490" s="227"/>
      <c r="Q490" s="227"/>
      <c r="R490" s="227"/>
      <c r="S490" s="340"/>
      <c r="T490" s="226"/>
      <c r="U490" s="53"/>
      <c r="V490" s="53"/>
      <c r="W490" s="53"/>
      <c r="X490" s="53"/>
    </row>
    <row r="491" spans="1:24" ht="15.75" customHeight="1">
      <c r="A491" s="69"/>
      <c r="B491" s="69"/>
      <c r="C491" s="70" t="str">
        <f t="shared" si="9"/>
        <v/>
      </c>
      <c r="D491" s="55"/>
      <c r="E491" s="53"/>
      <c r="F491" s="53"/>
      <c r="G491" s="372"/>
      <c r="H491" s="372"/>
      <c r="I491" s="379"/>
      <c r="J491" s="372"/>
      <c r="K491" s="373"/>
      <c r="L491" s="372"/>
      <c r="M491" s="372"/>
      <c r="N491" s="227"/>
      <c r="O491" s="227"/>
      <c r="P491" s="227"/>
      <c r="Q491" s="227"/>
      <c r="R491" s="227"/>
      <c r="S491" s="340"/>
      <c r="T491" s="226"/>
      <c r="U491" s="53"/>
      <c r="V491" s="53"/>
      <c r="W491" s="53"/>
      <c r="X491" s="53"/>
    </row>
    <row r="492" spans="1:24" ht="15.75" customHeight="1">
      <c r="A492" s="69"/>
      <c r="B492" s="69"/>
      <c r="C492" s="70" t="str">
        <f t="shared" si="9"/>
        <v/>
      </c>
      <c r="D492" s="55"/>
      <c r="E492" s="53"/>
      <c r="F492" s="53"/>
      <c r="G492" s="372"/>
      <c r="H492" s="372"/>
      <c r="I492" s="379"/>
      <c r="J492" s="372"/>
      <c r="K492" s="373"/>
      <c r="L492" s="372"/>
      <c r="M492" s="372"/>
      <c r="N492" s="227"/>
      <c r="O492" s="227"/>
      <c r="P492" s="227"/>
      <c r="Q492" s="227"/>
      <c r="R492" s="227"/>
      <c r="S492" s="340"/>
      <c r="T492" s="226"/>
      <c r="U492" s="53"/>
      <c r="V492" s="53"/>
      <c r="W492" s="53"/>
      <c r="X492" s="53"/>
    </row>
    <row r="493" spans="1:24" ht="15.75" customHeight="1">
      <c r="A493" s="69"/>
      <c r="B493" s="69"/>
      <c r="C493" s="70" t="str">
        <f t="shared" si="9"/>
        <v/>
      </c>
      <c r="D493" s="55"/>
      <c r="E493" s="53"/>
      <c r="F493" s="53"/>
      <c r="G493" s="372"/>
      <c r="H493" s="372"/>
      <c r="I493" s="379"/>
      <c r="J493" s="372"/>
      <c r="K493" s="373"/>
      <c r="L493" s="372"/>
      <c r="M493" s="372"/>
      <c r="N493" s="227"/>
      <c r="O493" s="227"/>
      <c r="P493" s="227"/>
      <c r="Q493" s="227"/>
      <c r="R493" s="227"/>
      <c r="S493" s="340"/>
      <c r="T493" s="226"/>
      <c r="U493" s="53"/>
      <c r="V493" s="53"/>
      <c r="W493" s="53"/>
      <c r="X493" s="53"/>
    </row>
    <row r="494" spans="1:24" ht="15.75" customHeight="1">
      <c r="A494" s="69"/>
      <c r="B494" s="69"/>
      <c r="C494" s="70" t="str">
        <f t="shared" si="9"/>
        <v/>
      </c>
      <c r="D494" s="55"/>
      <c r="E494" s="53"/>
      <c r="F494" s="53"/>
      <c r="G494" s="372"/>
      <c r="H494" s="372"/>
      <c r="I494" s="379"/>
      <c r="J494" s="372"/>
      <c r="K494" s="373"/>
      <c r="L494" s="372"/>
      <c r="M494" s="372"/>
      <c r="N494" s="227"/>
      <c r="O494" s="227"/>
      <c r="P494" s="227"/>
      <c r="Q494" s="227"/>
      <c r="R494" s="227"/>
      <c r="S494" s="340"/>
      <c r="T494" s="226"/>
      <c r="U494" s="53"/>
      <c r="V494" s="53"/>
      <c r="W494" s="53"/>
      <c r="X494" s="53"/>
    </row>
    <row r="495" spans="1:24" ht="15.75" customHeight="1">
      <c r="A495" s="69"/>
      <c r="B495" s="69"/>
      <c r="C495" s="70" t="str">
        <f t="shared" si="9"/>
        <v/>
      </c>
      <c r="D495" s="55"/>
      <c r="E495" s="53"/>
      <c r="F495" s="53"/>
      <c r="G495" s="372"/>
      <c r="H495" s="372"/>
      <c r="I495" s="379"/>
      <c r="J495" s="372"/>
      <c r="K495" s="373"/>
      <c r="L495" s="372"/>
      <c r="M495" s="372"/>
      <c r="N495" s="227"/>
      <c r="O495" s="227"/>
      <c r="P495" s="227"/>
      <c r="Q495" s="227"/>
      <c r="R495" s="227"/>
      <c r="S495" s="340"/>
      <c r="T495" s="226"/>
      <c r="U495" s="53"/>
      <c r="V495" s="53"/>
      <c r="W495" s="53"/>
      <c r="X495" s="53"/>
    </row>
    <row r="496" spans="1:24" ht="15.75" customHeight="1">
      <c r="A496" s="69"/>
      <c r="B496" s="69"/>
      <c r="C496" s="70" t="str">
        <f t="shared" si="9"/>
        <v/>
      </c>
      <c r="D496" s="55"/>
      <c r="E496" s="53"/>
      <c r="F496" s="53"/>
      <c r="G496" s="372"/>
      <c r="H496" s="372"/>
      <c r="I496" s="379"/>
      <c r="J496" s="372"/>
      <c r="K496" s="373"/>
      <c r="L496" s="372"/>
      <c r="M496" s="372"/>
      <c r="N496" s="227"/>
      <c r="O496" s="227"/>
      <c r="P496" s="227"/>
      <c r="Q496" s="227"/>
      <c r="R496" s="227"/>
      <c r="S496" s="340"/>
      <c r="T496" s="226"/>
      <c r="U496" s="53"/>
      <c r="V496" s="53"/>
      <c r="W496" s="53"/>
      <c r="X496" s="53"/>
    </row>
    <row r="497" spans="1:24" ht="15.75" customHeight="1">
      <c r="A497" s="69"/>
      <c r="B497" s="69"/>
      <c r="C497" s="70" t="str">
        <f t="shared" si="9"/>
        <v/>
      </c>
      <c r="D497" s="55"/>
      <c r="E497" s="53"/>
      <c r="F497" s="53"/>
      <c r="G497" s="372"/>
      <c r="H497" s="372"/>
      <c r="I497" s="379"/>
      <c r="J497" s="372"/>
      <c r="K497" s="373"/>
      <c r="L497" s="372"/>
      <c r="M497" s="372"/>
      <c r="N497" s="227"/>
      <c r="O497" s="227"/>
      <c r="P497" s="227"/>
      <c r="Q497" s="227"/>
      <c r="R497" s="227"/>
      <c r="S497" s="340"/>
      <c r="T497" s="226"/>
      <c r="U497" s="53"/>
      <c r="V497" s="53"/>
      <c r="W497" s="53"/>
      <c r="X497" s="53"/>
    </row>
    <row r="498" spans="1:24" ht="15.75" customHeight="1">
      <c r="A498" s="69"/>
      <c r="B498" s="69"/>
      <c r="C498" s="70" t="str">
        <f t="shared" si="9"/>
        <v/>
      </c>
      <c r="D498" s="55"/>
      <c r="E498" s="53"/>
      <c r="F498" s="53"/>
      <c r="G498" s="372"/>
      <c r="H498" s="372"/>
      <c r="I498" s="379"/>
      <c r="J498" s="372"/>
      <c r="K498" s="373"/>
      <c r="L498" s="372"/>
      <c r="M498" s="372"/>
      <c r="N498" s="227"/>
      <c r="O498" s="227"/>
      <c r="P498" s="227"/>
      <c r="Q498" s="227"/>
      <c r="R498" s="227"/>
      <c r="S498" s="340"/>
      <c r="T498" s="226"/>
      <c r="U498" s="53"/>
      <c r="V498" s="53"/>
      <c r="W498" s="53"/>
      <c r="X498" s="53"/>
    </row>
    <row r="499" spans="1:24" ht="15.75" customHeight="1">
      <c r="A499" s="69"/>
      <c r="B499" s="69"/>
      <c r="C499" s="70" t="str">
        <f t="shared" si="9"/>
        <v/>
      </c>
      <c r="D499" s="55"/>
      <c r="E499" s="53"/>
      <c r="F499" s="53"/>
      <c r="G499" s="372"/>
      <c r="H499" s="372"/>
      <c r="I499" s="379"/>
      <c r="J499" s="372"/>
      <c r="K499" s="373"/>
      <c r="L499" s="372"/>
      <c r="M499" s="372"/>
      <c r="N499" s="227"/>
      <c r="O499" s="227"/>
      <c r="P499" s="227"/>
      <c r="Q499" s="227"/>
      <c r="R499" s="227"/>
      <c r="S499" s="340"/>
      <c r="T499" s="226"/>
      <c r="U499" s="53"/>
      <c r="V499" s="53"/>
      <c r="W499" s="53"/>
      <c r="X499" s="53"/>
    </row>
    <row r="500" spans="1:24" ht="15.75" customHeight="1">
      <c r="A500" s="69"/>
      <c r="B500" s="69"/>
      <c r="C500" s="70" t="str">
        <f t="shared" si="9"/>
        <v/>
      </c>
      <c r="D500" s="55"/>
      <c r="E500" s="53"/>
      <c r="F500" s="53"/>
      <c r="G500" s="372"/>
      <c r="H500" s="372"/>
      <c r="I500" s="379"/>
      <c r="J500" s="372"/>
      <c r="K500" s="373"/>
      <c r="L500" s="372"/>
      <c r="M500" s="372"/>
      <c r="N500" s="227"/>
      <c r="O500" s="227"/>
      <c r="P500" s="227"/>
      <c r="Q500" s="227"/>
      <c r="R500" s="227"/>
      <c r="S500" s="340"/>
      <c r="T500" s="226"/>
      <c r="U500" s="53"/>
      <c r="V500" s="53"/>
      <c r="W500" s="53"/>
      <c r="X500" s="53"/>
    </row>
    <row r="501" spans="1:24" ht="15.75" customHeight="1">
      <c r="A501" s="69"/>
      <c r="B501" s="69"/>
      <c r="C501" s="70" t="str">
        <f t="shared" si="9"/>
        <v/>
      </c>
      <c r="D501" s="55"/>
      <c r="E501" s="53"/>
      <c r="F501" s="53"/>
      <c r="G501" s="372"/>
      <c r="H501" s="372"/>
      <c r="I501" s="379"/>
      <c r="J501" s="372"/>
      <c r="K501" s="373"/>
      <c r="L501" s="372"/>
      <c r="M501" s="372"/>
      <c r="N501" s="227"/>
      <c r="O501" s="227"/>
      <c r="P501" s="227"/>
      <c r="Q501" s="227"/>
      <c r="R501" s="227"/>
      <c r="S501" s="340"/>
      <c r="T501" s="226"/>
      <c r="U501" s="53"/>
      <c r="V501" s="53"/>
      <c r="W501" s="53"/>
      <c r="X501" s="53"/>
    </row>
    <row r="502" spans="1:24" ht="15.75" customHeight="1">
      <c r="A502" s="69"/>
      <c r="B502" s="69"/>
      <c r="C502" s="70" t="str">
        <f t="shared" si="9"/>
        <v/>
      </c>
      <c r="D502" s="55"/>
      <c r="E502" s="53"/>
      <c r="F502" s="53"/>
      <c r="G502" s="372"/>
      <c r="H502" s="372"/>
      <c r="I502" s="379"/>
      <c r="J502" s="372"/>
      <c r="K502" s="373"/>
      <c r="L502" s="372"/>
      <c r="M502" s="372"/>
      <c r="N502" s="227"/>
      <c r="O502" s="227"/>
      <c r="P502" s="227"/>
      <c r="Q502" s="227"/>
      <c r="R502" s="227"/>
      <c r="S502" s="340"/>
      <c r="T502" s="226"/>
      <c r="U502" s="53"/>
      <c r="V502" s="53"/>
      <c r="W502" s="53"/>
      <c r="X502" s="53"/>
    </row>
    <row r="503" spans="1:24" ht="15.75" customHeight="1">
      <c r="A503" s="69"/>
      <c r="B503" s="69"/>
      <c r="C503" s="70" t="str">
        <f t="shared" si="9"/>
        <v/>
      </c>
      <c r="D503" s="55"/>
      <c r="E503" s="53"/>
      <c r="F503" s="53"/>
      <c r="G503" s="372"/>
      <c r="H503" s="372"/>
      <c r="I503" s="379"/>
      <c r="J503" s="372"/>
      <c r="K503" s="373"/>
      <c r="L503" s="372"/>
      <c r="M503" s="372"/>
      <c r="N503" s="227"/>
      <c r="O503" s="227"/>
      <c r="P503" s="227"/>
      <c r="Q503" s="227"/>
      <c r="R503" s="227"/>
      <c r="S503" s="340"/>
      <c r="T503" s="226"/>
      <c r="U503" s="53"/>
      <c r="V503" s="53"/>
      <c r="W503" s="53"/>
      <c r="X503" s="53"/>
    </row>
    <row r="504" spans="1:24" ht="15.75" customHeight="1">
      <c r="A504" s="69"/>
      <c r="B504" s="69"/>
      <c r="C504" s="70" t="str">
        <f t="shared" si="9"/>
        <v/>
      </c>
      <c r="D504" s="55"/>
      <c r="E504" s="53"/>
      <c r="F504" s="53"/>
      <c r="G504" s="372"/>
      <c r="H504" s="372"/>
      <c r="I504" s="379"/>
      <c r="J504" s="372"/>
      <c r="K504" s="373"/>
      <c r="L504" s="372"/>
      <c r="M504" s="372"/>
      <c r="N504" s="227"/>
      <c r="O504" s="227"/>
      <c r="P504" s="227"/>
      <c r="Q504" s="227"/>
      <c r="R504" s="227"/>
      <c r="S504" s="340"/>
      <c r="T504" s="226"/>
      <c r="U504" s="53"/>
      <c r="V504" s="53"/>
      <c r="W504" s="53"/>
      <c r="X504" s="53"/>
    </row>
    <row r="505" spans="1:24" ht="15.75" customHeight="1">
      <c r="A505" s="69"/>
      <c r="B505" s="69"/>
      <c r="C505" s="70" t="str">
        <f t="shared" si="9"/>
        <v/>
      </c>
      <c r="D505" s="55"/>
      <c r="E505" s="53"/>
      <c r="F505" s="53"/>
      <c r="G505" s="372"/>
      <c r="H505" s="372"/>
      <c r="I505" s="379"/>
      <c r="J505" s="372"/>
      <c r="K505" s="373"/>
      <c r="L505" s="372"/>
      <c r="M505" s="372"/>
      <c r="N505" s="227"/>
      <c r="O505" s="227"/>
      <c r="P505" s="227"/>
      <c r="Q505" s="227"/>
      <c r="R505" s="227"/>
      <c r="S505" s="340"/>
      <c r="T505" s="226"/>
      <c r="U505" s="53"/>
      <c r="V505" s="53"/>
      <c r="W505" s="53"/>
      <c r="X505" s="53"/>
    </row>
    <row r="506" spans="1:24" ht="15.75" customHeight="1">
      <c r="A506" s="69"/>
      <c r="B506" s="69"/>
      <c r="C506" s="70" t="str">
        <f t="shared" si="9"/>
        <v/>
      </c>
      <c r="D506" s="55"/>
      <c r="E506" s="53"/>
      <c r="F506" s="53"/>
      <c r="G506" s="372"/>
      <c r="H506" s="372"/>
      <c r="I506" s="379"/>
      <c r="J506" s="372"/>
      <c r="K506" s="373"/>
      <c r="L506" s="372"/>
      <c r="M506" s="372"/>
      <c r="N506" s="227"/>
      <c r="O506" s="227"/>
      <c r="P506" s="227"/>
      <c r="Q506" s="227"/>
      <c r="R506" s="227"/>
      <c r="S506" s="340"/>
      <c r="T506" s="226"/>
      <c r="U506" s="53"/>
      <c r="V506" s="53"/>
      <c r="W506" s="53"/>
      <c r="X506" s="53"/>
    </row>
    <row r="507" spans="1:24" ht="15.75" customHeight="1">
      <c r="A507" s="69"/>
      <c r="B507" s="69"/>
      <c r="C507" s="70" t="str">
        <f t="shared" si="9"/>
        <v/>
      </c>
      <c r="D507" s="55"/>
      <c r="E507" s="53"/>
      <c r="F507" s="53"/>
      <c r="G507" s="372"/>
      <c r="H507" s="372"/>
      <c r="I507" s="379"/>
      <c r="J507" s="372"/>
      <c r="K507" s="373"/>
      <c r="L507" s="372"/>
      <c r="M507" s="372"/>
      <c r="N507" s="227"/>
      <c r="O507" s="227"/>
      <c r="P507" s="227"/>
      <c r="Q507" s="227"/>
      <c r="R507" s="227"/>
      <c r="S507" s="340"/>
      <c r="T507" s="226"/>
      <c r="U507" s="53"/>
      <c r="V507" s="53"/>
      <c r="W507" s="53"/>
      <c r="X507" s="53"/>
    </row>
    <row r="508" spans="1:24" ht="15.75" customHeight="1">
      <c r="A508" s="69"/>
      <c r="B508" s="69"/>
      <c r="C508" s="70" t="str">
        <f t="shared" si="9"/>
        <v/>
      </c>
      <c r="D508" s="55"/>
      <c r="E508" s="53"/>
      <c r="F508" s="53"/>
      <c r="G508" s="372"/>
      <c r="H508" s="372"/>
      <c r="I508" s="379"/>
      <c r="J508" s="372"/>
      <c r="K508" s="373"/>
      <c r="L508" s="372"/>
      <c r="M508" s="372"/>
      <c r="N508" s="227"/>
      <c r="O508" s="227"/>
      <c r="P508" s="227"/>
      <c r="Q508" s="227"/>
      <c r="R508" s="227"/>
      <c r="S508" s="340"/>
      <c r="T508" s="226"/>
      <c r="U508" s="53"/>
      <c r="V508" s="53"/>
      <c r="W508" s="53"/>
      <c r="X508" s="53"/>
    </row>
    <row r="509" spans="1:24" ht="15.75" customHeight="1">
      <c r="A509" s="69"/>
      <c r="B509" s="69"/>
      <c r="C509" s="70" t="str">
        <f t="shared" si="9"/>
        <v/>
      </c>
      <c r="D509" s="55"/>
      <c r="E509" s="53"/>
      <c r="F509" s="53"/>
      <c r="G509" s="372"/>
      <c r="H509" s="372"/>
      <c r="I509" s="379"/>
      <c r="J509" s="372"/>
      <c r="K509" s="373"/>
      <c r="L509" s="372"/>
      <c r="M509" s="372"/>
      <c r="N509" s="227"/>
      <c r="O509" s="227"/>
      <c r="P509" s="227"/>
      <c r="Q509" s="227"/>
      <c r="R509" s="227"/>
      <c r="S509" s="340"/>
      <c r="T509" s="226"/>
      <c r="U509" s="53"/>
      <c r="V509" s="53"/>
      <c r="W509" s="53"/>
      <c r="X509" s="53"/>
    </row>
    <row r="510" spans="1:24" ht="15.75" customHeight="1">
      <c r="A510" s="69"/>
      <c r="B510" s="69"/>
      <c r="C510" s="70" t="str">
        <f t="shared" si="9"/>
        <v/>
      </c>
      <c r="D510" s="55"/>
      <c r="E510" s="53"/>
      <c r="F510" s="53"/>
      <c r="G510" s="372"/>
      <c r="H510" s="372"/>
      <c r="I510" s="379"/>
      <c r="J510" s="372"/>
      <c r="K510" s="373"/>
      <c r="L510" s="372"/>
      <c r="M510" s="372"/>
      <c r="N510" s="227"/>
      <c r="O510" s="227"/>
      <c r="P510" s="227"/>
      <c r="Q510" s="227"/>
      <c r="R510" s="227"/>
      <c r="S510" s="340"/>
      <c r="T510" s="226"/>
      <c r="U510" s="53"/>
      <c r="V510" s="53"/>
      <c r="W510" s="53"/>
      <c r="X510" s="53"/>
    </row>
    <row r="511" spans="1:24" ht="15.75" customHeight="1">
      <c r="A511" s="69"/>
      <c r="B511" s="69"/>
      <c r="C511" s="70" t="str">
        <f t="shared" si="9"/>
        <v/>
      </c>
      <c r="D511" s="55"/>
      <c r="E511" s="53"/>
      <c r="F511" s="53"/>
      <c r="G511" s="372"/>
      <c r="H511" s="372"/>
      <c r="I511" s="379"/>
      <c r="J511" s="372"/>
      <c r="K511" s="373"/>
      <c r="L511" s="372"/>
      <c r="M511" s="372"/>
      <c r="N511" s="227"/>
      <c r="O511" s="227"/>
      <c r="P511" s="227"/>
      <c r="Q511" s="227"/>
      <c r="R511" s="227"/>
      <c r="S511" s="340"/>
      <c r="T511" s="226"/>
      <c r="U511" s="53"/>
      <c r="V511" s="53"/>
      <c r="W511" s="53"/>
      <c r="X511" s="53"/>
    </row>
    <row r="512" spans="1:24" ht="15.75" customHeight="1">
      <c r="A512" s="69"/>
      <c r="B512" s="69"/>
      <c r="C512" s="70" t="str">
        <f t="shared" si="9"/>
        <v/>
      </c>
      <c r="D512" s="55"/>
      <c r="E512" s="53"/>
      <c r="F512" s="53"/>
      <c r="G512" s="372"/>
      <c r="H512" s="372"/>
      <c r="I512" s="379"/>
      <c r="J512" s="372"/>
      <c r="K512" s="373"/>
      <c r="L512" s="372"/>
      <c r="M512" s="372"/>
      <c r="N512" s="227"/>
      <c r="O512" s="227"/>
      <c r="P512" s="227"/>
      <c r="Q512" s="227"/>
      <c r="R512" s="227"/>
      <c r="S512" s="340"/>
      <c r="T512" s="226"/>
      <c r="U512" s="53"/>
      <c r="V512" s="53"/>
      <c r="W512" s="53"/>
      <c r="X512" s="53"/>
    </row>
    <row r="513" spans="1:24" ht="15.75" customHeight="1">
      <c r="A513" s="69"/>
      <c r="B513" s="69"/>
      <c r="C513" s="70" t="str">
        <f t="shared" si="9"/>
        <v/>
      </c>
      <c r="D513" s="55"/>
      <c r="E513" s="53"/>
      <c r="F513" s="53"/>
      <c r="G513" s="372"/>
      <c r="H513" s="372"/>
      <c r="I513" s="379"/>
      <c r="J513" s="372"/>
      <c r="K513" s="373"/>
      <c r="L513" s="372"/>
      <c r="M513" s="372"/>
      <c r="N513" s="227"/>
      <c r="O513" s="227"/>
      <c r="P513" s="227"/>
      <c r="Q513" s="227"/>
      <c r="R513" s="227"/>
      <c r="S513" s="340"/>
      <c r="T513" s="226"/>
      <c r="U513" s="53"/>
      <c r="V513" s="53"/>
      <c r="W513" s="53"/>
      <c r="X513" s="53"/>
    </row>
    <row r="514" spans="1:24" ht="15.75" customHeight="1">
      <c r="A514" s="69"/>
      <c r="B514" s="69"/>
      <c r="C514" s="70" t="str">
        <f t="shared" si="9"/>
        <v/>
      </c>
      <c r="D514" s="55"/>
      <c r="E514" s="53"/>
      <c r="F514" s="53"/>
      <c r="G514" s="372"/>
      <c r="H514" s="372"/>
      <c r="I514" s="379"/>
      <c r="J514" s="372"/>
      <c r="K514" s="373"/>
      <c r="L514" s="372"/>
      <c r="M514" s="372"/>
      <c r="N514" s="227"/>
      <c r="O514" s="227"/>
      <c r="P514" s="227"/>
      <c r="Q514" s="227"/>
      <c r="R514" s="227"/>
      <c r="S514" s="340"/>
      <c r="T514" s="226"/>
      <c r="U514" s="53"/>
      <c r="V514" s="53"/>
      <c r="W514" s="53"/>
      <c r="X514" s="53"/>
    </row>
    <row r="515" spans="1:24" ht="15.75" customHeight="1">
      <c r="A515" s="69"/>
      <c r="B515" s="69"/>
      <c r="C515" s="70" t="str">
        <f t="shared" si="9"/>
        <v/>
      </c>
      <c r="D515" s="55"/>
      <c r="E515" s="53"/>
      <c r="F515" s="53"/>
      <c r="G515" s="372"/>
      <c r="H515" s="372"/>
      <c r="I515" s="379"/>
      <c r="J515" s="372"/>
      <c r="K515" s="373"/>
      <c r="L515" s="372"/>
      <c r="M515" s="372"/>
      <c r="N515" s="227"/>
      <c r="O515" s="227"/>
      <c r="P515" s="227"/>
      <c r="Q515" s="227"/>
      <c r="R515" s="227"/>
      <c r="S515" s="340"/>
      <c r="T515" s="226"/>
      <c r="U515" s="53"/>
      <c r="V515" s="53"/>
      <c r="W515" s="53"/>
      <c r="X515" s="53"/>
    </row>
    <row r="516" spans="1:24" ht="15.75" customHeight="1">
      <c r="A516" s="69"/>
      <c r="B516" s="69"/>
      <c r="C516" s="70" t="str">
        <f t="shared" si="9"/>
        <v/>
      </c>
      <c r="D516" s="55"/>
      <c r="E516" s="53"/>
      <c r="F516" s="53"/>
      <c r="G516" s="372"/>
      <c r="H516" s="372"/>
      <c r="I516" s="379"/>
      <c r="J516" s="372"/>
      <c r="K516" s="373"/>
      <c r="L516" s="372"/>
      <c r="M516" s="372"/>
      <c r="N516" s="227"/>
      <c r="O516" s="227"/>
      <c r="P516" s="227"/>
      <c r="Q516" s="227"/>
      <c r="R516" s="227"/>
      <c r="S516" s="340"/>
      <c r="T516" s="226"/>
      <c r="U516" s="53"/>
      <c r="V516" s="53"/>
      <c r="W516" s="53"/>
      <c r="X516" s="53"/>
    </row>
    <row r="517" spans="1:24" ht="15.75" customHeight="1">
      <c r="A517" s="69"/>
      <c r="B517" s="69"/>
      <c r="C517" s="70" t="str">
        <f t="shared" si="9"/>
        <v/>
      </c>
      <c r="D517" s="55"/>
      <c r="E517" s="53"/>
      <c r="F517" s="53"/>
      <c r="G517" s="372"/>
      <c r="H517" s="372"/>
      <c r="I517" s="379"/>
      <c r="J517" s="372"/>
      <c r="K517" s="373"/>
      <c r="L517" s="372"/>
      <c r="M517" s="372"/>
      <c r="N517" s="227"/>
      <c r="O517" s="227"/>
      <c r="P517" s="227"/>
      <c r="Q517" s="227"/>
      <c r="R517" s="227"/>
      <c r="S517" s="340"/>
      <c r="T517" s="226"/>
      <c r="U517" s="53"/>
      <c r="V517" s="53"/>
      <c r="W517" s="53"/>
      <c r="X517" s="53"/>
    </row>
    <row r="518" spans="1:24" ht="15.75" customHeight="1">
      <c r="A518" s="69"/>
      <c r="B518" s="69"/>
      <c r="C518" s="70" t="str">
        <f t="shared" si="9"/>
        <v/>
      </c>
      <c r="D518" s="55"/>
      <c r="E518" s="53"/>
      <c r="F518" s="53"/>
      <c r="G518" s="372"/>
      <c r="H518" s="372"/>
      <c r="I518" s="379"/>
      <c r="J518" s="372"/>
      <c r="K518" s="373"/>
      <c r="L518" s="372"/>
      <c r="M518" s="372"/>
      <c r="N518" s="227"/>
      <c r="O518" s="227"/>
      <c r="P518" s="227"/>
      <c r="Q518" s="227"/>
      <c r="R518" s="227"/>
      <c r="S518" s="340"/>
      <c r="T518" s="226"/>
      <c r="U518" s="53"/>
      <c r="V518" s="53"/>
      <c r="W518" s="53"/>
      <c r="X518" s="53"/>
    </row>
    <row r="519" spans="1:24" ht="15.75" customHeight="1">
      <c r="A519" s="69"/>
      <c r="B519" s="69"/>
      <c r="C519" s="70" t="str">
        <f t="shared" si="9"/>
        <v/>
      </c>
      <c r="D519" s="55"/>
      <c r="E519" s="53"/>
      <c r="F519" s="53"/>
      <c r="G519" s="372"/>
      <c r="H519" s="372"/>
      <c r="I519" s="379"/>
      <c r="J519" s="372"/>
      <c r="K519" s="373"/>
      <c r="L519" s="372"/>
      <c r="M519" s="372"/>
      <c r="N519" s="227"/>
      <c r="O519" s="227"/>
      <c r="P519" s="227"/>
      <c r="Q519" s="227"/>
      <c r="R519" s="227"/>
      <c r="S519" s="340"/>
      <c r="T519" s="226"/>
      <c r="U519" s="53"/>
      <c r="V519" s="53"/>
      <c r="W519" s="53"/>
      <c r="X519" s="53"/>
    </row>
    <row r="520" spans="1:24" ht="15.75" customHeight="1">
      <c r="A520" s="69"/>
      <c r="B520" s="69"/>
      <c r="C520" s="70" t="str">
        <f t="shared" si="9"/>
        <v/>
      </c>
      <c r="D520" s="55"/>
      <c r="E520" s="53"/>
      <c r="F520" s="53"/>
      <c r="G520" s="372"/>
      <c r="H520" s="372"/>
      <c r="I520" s="379"/>
      <c r="J520" s="372"/>
      <c r="K520" s="373"/>
      <c r="L520" s="372"/>
      <c r="M520" s="372"/>
      <c r="N520" s="227"/>
      <c r="O520" s="227"/>
      <c r="P520" s="227"/>
      <c r="Q520" s="227"/>
      <c r="R520" s="227"/>
      <c r="S520" s="340"/>
      <c r="T520" s="226"/>
      <c r="U520" s="53"/>
      <c r="V520" s="53"/>
      <c r="W520" s="53"/>
      <c r="X520" s="53"/>
    </row>
    <row r="521" spans="1:24" ht="15.75" customHeight="1">
      <c r="A521" s="69"/>
      <c r="B521" s="69"/>
      <c r="C521" s="70" t="str">
        <f t="shared" si="9"/>
        <v/>
      </c>
      <c r="D521" s="55"/>
      <c r="E521" s="53"/>
      <c r="F521" s="53"/>
      <c r="G521" s="372"/>
      <c r="H521" s="372"/>
      <c r="I521" s="379"/>
      <c r="J521" s="372"/>
      <c r="K521" s="373"/>
      <c r="L521" s="372"/>
      <c r="M521" s="372"/>
      <c r="N521" s="227"/>
      <c r="O521" s="227"/>
      <c r="P521" s="227"/>
      <c r="Q521" s="227"/>
      <c r="R521" s="227"/>
      <c r="S521" s="340"/>
      <c r="T521" s="226"/>
      <c r="U521" s="53"/>
      <c r="V521" s="53"/>
      <c r="W521" s="53"/>
      <c r="X521" s="53"/>
    </row>
    <row r="522" spans="1:24" ht="15.75" customHeight="1">
      <c r="A522" s="69"/>
      <c r="B522" s="69"/>
      <c r="C522" s="70" t="str">
        <f t="shared" si="9"/>
        <v/>
      </c>
      <c r="D522" s="55"/>
      <c r="E522" s="53"/>
      <c r="F522" s="53"/>
      <c r="G522" s="372"/>
      <c r="H522" s="372"/>
      <c r="I522" s="379"/>
      <c r="J522" s="372"/>
      <c r="K522" s="373"/>
      <c r="L522" s="372"/>
      <c r="M522" s="372"/>
      <c r="N522" s="227"/>
      <c r="O522" s="227"/>
      <c r="P522" s="227"/>
      <c r="Q522" s="227"/>
      <c r="R522" s="227"/>
      <c r="S522" s="340"/>
      <c r="T522" s="226"/>
      <c r="U522" s="53"/>
      <c r="V522" s="53"/>
      <c r="W522" s="53"/>
      <c r="X522" s="53"/>
    </row>
    <row r="523" spans="1:24" ht="15.75" customHeight="1">
      <c r="A523" s="69"/>
      <c r="B523" s="69"/>
      <c r="C523" s="70" t="str">
        <f t="shared" si="9"/>
        <v/>
      </c>
      <c r="D523" s="55"/>
      <c r="E523" s="53"/>
      <c r="F523" s="53"/>
      <c r="G523" s="372"/>
      <c r="H523" s="372"/>
      <c r="I523" s="379"/>
      <c r="J523" s="372"/>
      <c r="K523" s="373"/>
      <c r="L523" s="372"/>
      <c r="M523" s="372"/>
      <c r="N523" s="227"/>
      <c r="O523" s="227"/>
      <c r="P523" s="227"/>
      <c r="Q523" s="227"/>
      <c r="R523" s="227"/>
      <c r="S523" s="340"/>
      <c r="T523" s="226"/>
      <c r="U523" s="53"/>
      <c r="V523" s="53"/>
      <c r="W523" s="53"/>
      <c r="X523" s="53"/>
    </row>
    <row r="524" spans="1:24" ht="15.75" customHeight="1">
      <c r="A524" s="69"/>
      <c r="B524" s="69"/>
      <c r="C524" s="70" t="str">
        <f t="shared" si="9"/>
        <v/>
      </c>
      <c r="D524" s="55"/>
      <c r="E524" s="53"/>
      <c r="F524" s="53"/>
      <c r="G524" s="372"/>
      <c r="H524" s="372"/>
      <c r="I524" s="379"/>
      <c r="J524" s="372"/>
      <c r="K524" s="373"/>
      <c r="L524" s="372"/>
      <c r="M524" s="372"/>
      <c r="N524" s="227"/>
      <c r="O524" s="227"/>
      <c r="P524" s="227"/>
      <c r="Q524" s="227"/>
      <c r="R524" s="227"/>
      <c r="S524" s="340"/>
      <c r="T524" s="226"/>
      <c r="U524" s="53"/>
      <c r="V524" s="53"/>
      <c r="W524" s="53"/>
      <c r="X524" s="53"/>
    </row>
    <row r="525" spans="1:24" ht="15.75" customHeight="1">
      <c r="A525" s="69"/>
      <c r="B525" s="69"/>
      <c r="C525" s="70" t="str">
        <f t="shared" si="9"/>
        <v/>
      </c>
      <c r="D525" s="55"/>
      <c r="E525" s="53"/>
      <c r="F525" s="53"/>
      <c r="G525" s="372"/>
      <c r="H525" s="372"/>
      <c r="I525" s="379"/>
      <c r="J525" s="372"/>
      <c r="K525" s="373"/>
      <c r="L525" s="372"/>
      <c r="M525" s="372"/>
      <c r="N525" s="227"/>
      <c r="O525" s="227"/>
      <c r="P525" s="227"/>
      <c r="Q525" s="227"/>
      <c r="R525" s="227"/>
      <c r="S525" s="340"/>
      <c r="T525" s="226"/>
      <c r="U525" s="53"/>
      <c r="V525" s="53"/>
      <c r="W525" s="53"/>
      <c r="X525" s="53"/>
    </row>
    <row r="526" spans="1:24" ht="15.75" customHeight="1">
      <c r="A526" s="69"/>
      <c r="B526" s="69"/>
      <c r="C526" s="70" t="str">
        <f t="shared" si="9"/>
        <v/>
      </c>
      <c r="D526" s="55"/>
      <c r="E526" s="53"/>
      <c r="F526" s="53"/>
      <c r="G526" s="372"/>
      <c r="H526" s="372"/>
      <c r="I526" s="379"/>
      <c r="J526" s="372"/>
      <c r="K526" s="373"/>
      <c r="L526" s="372"/>
      <c r="M526" s="372"/>
      <c r="N526" s="227"/>
      <c r="O526" s="227"/>
      <c r="P526" s="227"/>
      <c r="Q526" s="227"/>
      <c r="R526" s="227"/>
      <c r="S526" s="340"/>
      <c r="T526" s="226"/>
      <c r="U526" s="53"/>
      <c r="V526" s="53"/>
      <c r="W526" s="53"/>
      <c r="X526" s="53"/>
    </row>
    <row r="527" spans="1:24" ht="15.75" customHeight="1">
      <c r="A527" s="69"/>
      <c r="B527" s="69"/>
      <c r="C527" s="70" t="str">
        <f t="shared" si="9"/>
        <v/>
      </c>
      <c r="D527" s="55"/>
      <c r="E527" s="53"/>
      <c r="F527" s="53"/>
      <c r="G527" s="372"/>
      <c r="H527" s="372"/>
      <c r="I527" s="379"/>
      <c r="J527" s="372"/>
      <c r="K527" s="373"/>
      <c r="L527" s="372"/>
      <c r="M527" s="372"/>
      <c r="N527" s="227"/>
      <c r="O527" s="227"/>
      <c r="P527" s="227"/>
      <c r="Q527" s="227"/>
      <c r="R527" s="227"/>
      <c r="S527" s="340"/>
      <c r="T527" s="226"/>
      <c r="U527" s="53"/>
      <c r="V527" s="53"/>
      <c r="W527" s="53"/>
      <c r="X527" s="53"/>
    </row>
    <row r="528" spans="1:24" ht="15.75" customHeight="1">
      <c r="A528" s="69"/>
      <c r="B528" s="69"/>
      <c r="C528" s="70" t="str">
        <f t="shared" si="9"/>
        <v/>
      </c>
      <c r="D528" s="55"/>
      <c r="E528" s="53"/>
      <c r="F528" s="53"/>
      <c r="G528" s="372"/>
      <c r="H528" s="372"/>
      <c r="I528" s="379"/>
      <c r="J528" s="372"/>
      <c r="K528" s="373"/>
      <c r="L528" s="372"/>
      <c r="M528" s="372"/>
      <c r="N528" s="227"/>
      <c r="O528" s="227"/>
      <c r="P528" s="227"/>
      <c r="Q528" s="227"/>
      <c r="R528" s="227"/>
      <c r="S528" s="340"/>
      <c r="T528" s="226"/>
      <c r="U528" s="53"/>
      <c r="V528" s="53"/>
      <c r="W528" s="53"/>
      <c r="X528" s="53"/>
    </row>
    <row r="529" spans="1:24" ht="15.75" customHeight="1">
      <c r="A529" s="69"/>
      <c r="B529" s="69"/>
      <c r="C529" s="70" t="str">
        <f t="shared" ref="C529:C592" si="10">IF(B529&lt;&gt;"",TEXT(WEEKDAY(B529),"dddd"),"")</f>
        <v/>
      </c>
      <c r="D529" s="55"/>
      <c r="E529" s="53"/>
      <c r="F529" s="53"/>
      <c r="G529" s="372"/>
      <c r="H529" s="372"/>
      <c r="I529" s="379"/>
      <c r="J529" s="372"/>
      <c r="K529" s="373"/>
      <c r="L529" s="372"/>
      <c r="M529" s="372"/>
      <c r="N529" s="227"/>
      <c r="O529" s="227"/>
      <c r="P529" s="227"/>
      <c r="Q529" s="227"/>
      <c r="R529" s="227"/>
      <c r="S529" s="340"/>
      <c r="T529" s="226"/>
      <c r="U529" s="53"/>
      <c r="V529" s="53"/>
      <c r="W529" s="53"/>
      <c r="X529" s="53"/>
    </row>
    <row r="530" spans="1:24" ht="15.75" customHeight="1">
      <c r="A530" s="69"/>
      <c r="B530" s="69"/>
      <c r="C530" s="70" t="str">
        <f t="shared" si="10"/>
        <v/>
      </c>
      <c r="D530" s="55"/>
      <c r="E530" s="53"/>
      <c r="F530" s="53"/>
      <c r="G530" s="372"/>
      <c r="H530" s="372"/>
      <c r="I530" s="379"/>
      <c r="J530" s="372"/>
      <c r="K530" s="373"/>
      <c r="L530" s="372"/>
      <c r="M530" s="372"/>
      <c r="N530" s="227"/>
      <c r="O530" s="227"/>
      <c r="P530" s="227"/>
      <c r="Q530" s="227"/>
      <c r="R530" s="227"/>
      <c r="S530" s="340"/>
      <c r="T530" s="226"/>
      <c r="U530" s="53"/>
      <c r="V530" s="53"/>
      <c r="W530" s="53"/>
      <c r="X530" s="53"/>
    </row>
    <row r="531" spans="1:24" ht="15.75" customHeight="1">
      <c r="A531" s="69"/>
      <c r="B531" s="69"/>
      <c r="C531" s="70" t="str">
        <f t="shared" si="10"/>
        <v/>
      </c>
      <c r="D531" s="55"/>
      <c r="E531" s="53"/>
      <c r="F531" s="53"/>
      <c r="G531" s="372"/>
      <c r="H531" s="372"/>
      <c r="I531" s="379"/>
      <c r="J531" s="372"/>
      <c r="K531" s="373"/>
      <c r="L531" s="372"/>
      <c r="M531" s="372"/>
      <c r="N531" s="227"/>
      <c r="O531" s="227"/>
      <c r="P531" s="227"/>
      <c r="Q531" s="227"/>
      <c r="R531" s="227"/>
      <c r="S531" s="340"/>
      <c r="T531" s="226"/>
      <c r="U531" s="53"/>
      <c r="V531" s="53"/>
      <c r="W531" s="53"/>
      <c r="X531" s="53"/>
    </row>
    <row r="532" spans="1:24" ht="15.75" customHeight="1">
      <c r="A532" s="69"/>
      <c r="B532" s="69"/>
      <c r="C532" s="70" t="str">
        <f t="shared" si="10"/>
        <v/>
      </c>
      <c r="D532" s="55"/>
      <c r="E532" s="53"/>
      <c r="F532" s="53"/>
      <c r="G532" s="372"/>
      <c r="H532" s="372"/>
      <c r="I532" s="379"/>
      <c r="J532" s="372"/>
      <c r="K532" s="373"/>
      <c r="L532" s="372"/>
      <c r="M532" s="372"/>
      <c r="N532" s="227"/>
      <c r="O532" s="227"/>
      <c r="P532" s="227"/>
      <c r="Q532" s="227"/>
      <c r="R532" s="227"/>
      <c r="S532" s="340"/>
      <c r="T532" s="226"/>
      <c r="U532" s="53"/>
      <c r="V532" s="53"/>
      <c r="W532" s="53"/>
      <c r="X532" s="53"/>
    </row>
    <row r="533" spans="1:24" ht="15.75" customHeight="1">
      <c r="A533" s="69"/>
      <c r="B533" s="69"/>
      <c r="C533" s="70" t="str">
        <f t="shared" si="10"/>
        <v/>
      </c>
      <c r="D533" s="55"/>
      <c r="E533" s="53"/>
      <c r="F533" s="53"/>
      <c r="G533" s="372"/>
      <c r="H533" s="372"/>
      <c r="I533" s="379"/>
      <c r="J533" s="372"/>
      <c r="K533" s="373"/>
      <c r="L533" s="372"/>
      <c r="M533" s="372"/>
      <c r="N533" s="227"/>
      <c r="O533" s="227"/>
      <c r="P533" s="227"/>
      <c r="Q533" s="227"/>
      <c r="R533" s="227"/>
      <c r="S533" s="340"/>
      <c r="T533" s="226"/>
      <c r="U533" s="53"/>
      <c r="V533" s="53"/>
      <c r="W533" s="53"/>
      <c r="X533" s="53"/>
    </row>
    <row r="534" spans="1:24" ht="15.75" customHeight="1">
      <c r="A534" s="69"/>
      <c r="B534" s="69"/>
      <c r="C534" s="70" t="str">
        <f t="shared" si="10"/>
        <v/>
      </c>
      <c r="D534" s="55"/>
      <c r="E534" s="53"/>
      <c r="F534" s="53"/>
      <c r="G534" s="372"/>
      <c r="H534" s="372"/>
      <c r="I534" s="379"/>
      <c r="J534" s="372"/>
      <c r="K534" s="373"/>
      <c r="L534" s="372"/>
      <c r="M534" s="372"/>
      <c r="N534" s="227"/>
      <c r="O534" s="227"/>
      <c r="P534" s="227"/>
      <c r="Q534" s="227"/>
      <c r="R534" s="227"/>
      <c r="S534" s="340"/>
      <c r="T534" s="226"/>
      <c r="U534" s="53"/>
      <c r="V534" s="53"/>
      <c r="W534" s="53"/>
      <c r="X534" s="53"/>
    </row>
    <row r="535" spans="1:24" ht="15.75" customHeight="1">
      <c r="A535" s="69"/>
      <c r="B535" s="69"/>
      <c r="C535" s="70" t="str">
        <f t="shared" si="10"/>
        <v/>
      </c>
      <c r="D535" s="55"/>
      <c r="E535" s="53"/>
      <c r="F535" s="53"/>
      <c r="G535" s="372"/>
      <c r="H535" s="372"/>
      <c r="I535" s="379"/>
      <c r="J535" s="372"/>
      <c r="K535" s="373"/>
      <c r="L535" s="372"/>
      <c r="M535" s="372"/>
      <c r="N535" s="227"/>
      <c r="O535" s="227"/>
      <c r="P535" s="227"/>
      <c r="Q535" s="227"/>
      <c r="R535" s="227"/>
      <c r="S535" s="340"/>
      <c r="T535" s="226"/>
      <c r="U535" s="53"/>
      <c r="V535" s="53"/>
      <c r="W535" s="53"/>
      <c r="X535" s="53"/>
    </row>
    <row r="536" spans="1:24" ht="15.75" customHeight="1">
      <c r="A536" s="69"/>
      <c r="B536" s="69"/>
      <c r="C536" s="70" t="str">
        <f t="shared" si="10"/>
        <v/>
      </c>
      <c r="D536" s="55"/>
      <c r="E536" s="53"/>
      <c r="F536" s="53"/>
      <c r="G536" s="372"/>
      <c r="H536" s="372"/>
      <c r="I536" s="379"/>
      <c r="J536" s="372"/>
      <c r="K536" s="373"/>
      <c r="L536" s="372"/>
      <c r="M536" s="372"/>
      <c r="N536" s="227"/>
      <c r="O536" s="227"/>
      <c r="P536" s="227"/>
      <c r="Q536" s="227"/>
      <c r="R536" s="227"/>
      <c r="S536" s="340"/>
      <c r="T536" s="226"/>
      <c r="U536" s="53"/>
      <c r="V536" s="53"/>
      <c r="W536" s="53"/>
      <c r="X536" s="53"/>
    </row>
    <row r="537" spans="1:24" ht="15.75" customHeight="1">
      <c r="A537" s="69"/>
      <c r="B537" s="69"/>
      <c r="C537" s="70" t="str">
        <f t="shared" si="10"/>
        <v/>
      </c>
      <c r="D537" s="55"/>
      <c r="E537" s="53"/>
      <c r="F537" s="53"/>
      <c r="G537" s="372"/>
      <c r="H537" s="372"/>
      <c r="I537" s="379"/>
      <c r="J537" s="372"/>
      <c r="K537" s="373"/>
      <c r="L537" s="372"/>
      <c r="M537" s="372"/>
      <c r="N537" s="227"/>
      <c r="O537" s="227"/>
      <c r="P537" s="227"/>
      <c r="Q537" s="227"/>
      <c r="R537" s="227"/>
      <c r="S537" s="340"/>
      <c r="T537" s="226"/>
      <c r="U537" s="53"/>
      <c r="V537" s="53"/>
      <c r="W537" s="53"/>
      <c r="X537" s="53"/>
    </row>
    <row r="538" spans="1:24" ht="15.75" customHeight="1">
      <c r="A538" s="69"/>
      <c r="B538" s="69"/>
      <c r="C538" s="70" t="str">
        <f t="shared" si="10"/>
        <v/>
      </c>
      <c r="D538" s="55"/>
      <c r="E538" s="53"/>
      <c r="F538" s="53"/>
      <c r="G538" s="372"/>
      <c r="H538" s="372"/>
      <c r="I538" s="379"/>
      <c r="J538" s="372"/>
      <c r="K538" s="373"/>
      <c r="L538" s="372"/>
      <c r="M538" s="372"/>
      <c r="N538" s="227"/>
      <c r="O538" s="227"/>
      <c r="P538" s="227"/>
      <c r="Q538" s="227"/>
      <c r="R538" s="227"/>
      <c r="S538" s="340"/>
      <c r="T538" s="226"/>
      <c r="U538" s="53"/>
      <c r="V538" s="53"/>
      <c r="W538" s="53"/>
      <c r="X538" s="53"/>
    </row>
    <row r="539" spans="1:24" ht="15.75" customHeight="1">
      <c r="A539" s="69"/>
      <c r="B539" s="69"/>
      <c r="C539" s="70" t="str">
        <f t="shared" si="10"/>
        <v/>
      </c>
      <c r="D539" s="55"/>
      <c r="E539" s="53"/>
      <c r="F539" s="53"/>
      <c r="G539" s="372"/>
      <c r="H539" s="372"/>
      <c r="I539" s="379"/>
      <c r="J539" s="372"/>
      <c r="K539" s="373"/>
      <c r="L539" s="372"/>
      <c r="M539" s="372"/>
      <c r="N539" s="227"/>
      <c r="O539" s="227"/>
      <c r="P539" s="227"/>
      <c r="Q539" s="227"/>
      <c r="R539" s="227"/>
      <c r="S539" s="340"/>
      <c r="T539" s="226"/>
      <c r="U539" s="53"/>
      <c r="V539" s="53"/>
      <c r="W539" s="53"/>
      <c r="X539" s="53"/>
    </row>
    <row r="540" spans="1:24" ht="15.75" customHeight="1">
      <c r="A540" s="69"/>
      <c r="B540" s="69"/>
      <c r="C540" s="70" t="str">
        <f t="shared" si="10"/>
        <v/>
      </c>
      <c r="D540" s="55"/>
      <c r="E540" s="53"/>
      <c r="F540" s="53"/>
      <c r="G540" s="372"/>
      <c r="H540" s="372"/>
      <c r="I540" s="379"/>
      <c r="J540" s="372"/>
      <c r="K540" s="373"/>
      <c r="L540" s="372"/>
      <c r="M540" s="372"/>
      <c r="N540" s="227"/>
      <c r="O540" s="227"/>
      <c r="P540" s="227"/>
      <c r="Q540" s="227"/>
      <c r="R540" s="227"/>
      <c r="S540" s="340"/>
      <c r="T540" s="226"/>
      <c r="U540" s="53"/>
      <c r="V540" s="53"/>
      <c r="W540" s="53"/>
      <c r="X540" s="53"/>
    </row>
    <row r="541" spans="1:24" ht="15.75" customHeight="1">
      <c r="A541" s="69"/>
      <c r="B541" s="69"/>
      <c r="C541" s="70" t="str">
        <f t="shared" si="10"/>
        <v/>
      </c>
      <c r="D541" s="55"/>
      <c r="E541" s="53"/>
      <c r="F541" s="53"/>
      <c r="G541" s="372"/>
      <c r="H541" s="372"/>
      <c r="I541" s="379"/>
      <c r="J541" s="372"/>
      <c r="K541" s="373"/>
      <c r="L541" s="372"/>
      <c r="M541" s="372"/>
      <c r="N541" s="227"/>
      <c r="O541" s="227"/>
      <c r="P541" s="227"/>
      <c r="Q541" s="227"/>
      <c r="R541" s="227"/>
      <c r="S541" s="340"/>
      <c r="T541" s="226"/>
      <c r="U541" s="53"/>
      <c r="V541" s="53"/>
      <c r="W541" s="53"/>
      <c r="X541" s="53"/>
    </row>
    <row r="542" spans="1:24" ht="15.75" customHeight="1">
      <c r="A542" s="69"/>
      <c r="B542" s="69"/>
      <c r="C542" s="70" t="str">
        <f t="shared" si="10"/>
        <v/>
      </c>
      <c r="D542" s="55"/>
      <c r="E542" s="53"/>
      <c r="F542" s="53"/>
      <c r="G542" s="372"/>
      <c r="H542" s="372"/>
      <c r="I542" s="379"/>
      <c r="J542" s="372"/>
      <c r="K542" s="373"/>
      <c r="L542" s="372"/>
      <c r="M542" s="372"/>
      <c r="N542" s="227"/>
      <c r="O542" s="227"/>
      <c r="P542" s="227"/>
      <c r="Q542" s="227"/>
      <c r="R542" s="227"/>
      <c r="S542" s="340"/>
      <c r="T542" s="226"/>
      <c r="U542" s="53"/>
      <c r="V542" s="53"/>
      <c r="W542" s="53"/>
      <c r="X542" s="53"/>
    </row>
    <row r="543" spans="1:24" ht="15.75" customHeight="1">
      <c r="A543" s="69"/>
      <c r="B543" s="69"/>
      <c r="C543" s="70" t="str">
        <f t="shared" si="10"/>
        <v/>
      </c>
      <c r="D543" s="55"/>
      <c r="E543" s="53"/>
      <c r="F543" s="53"/>
      <c r="G543" s="372"/>
      <c r="H543" s="372"/>
      <c r="I543" s="379"/>
      <c r="J543" s="372"/>
      <c r="K543" s="373"/>
      <c r="L543" s="372"/>
      <c r="M543" s="372"/>
      <c r="N543" s="227"/>
      <c r="O543" s="227"/>
      <c r="P543" s="227"/>
      <c r="Q543" s="227"/>
      <c r="R543" s="227"/>
      <c r="S543" s="340"/>
      <c r="T543" s="226"/>
      <c r="U543" s="53"/>
      <c r="V543" s="53"/>
      <c r="W543" s="53"/>
      <c r="X543" s="53"/>
    </row>
    <row r="544" spans="1:24" ht="15.75" customHeight="1">
      <c r="A544" s="69"/>
      <c r="B544" s="69"/>
      <c r="C544" s="70" t="str">
        <f t="shared" si="10"/>
        <v/>
      </c>
      <c r="D544" s="55"/>
      <c r="E544" s="53"/>
      <c r="F544" s="53"/>
      <c r="G544" s="372"/>
      <c r="H544" s="372"/>
      <c r="I544" s="379"/>
      <c r="J544" s="372"/>
      <c r="K544" s="373"/>
      <c r="L544" s="372"/>
      <c r="M544" s="372"/>
      <c r="N544" s="227"/>
      <c r="O544" s="227"/>
      <c r="P544" s="227"/>
      <c r="Q544" s="227"/>
      <c r="R544" s="227"/>
      <c r="S544" s="340"/>
      <c r="T544" s="226"/>
      <c r="U544" s="53"/>
      <c r="V544" s="53"/>
      <c r="W544" s="53"/>
      <c r="X544" s="53"/>
    </row>
    <row r="545" spans="1:24" ht="15.75" customHeight="1">
      <c r="A545" s="69"/>
      <c r="B545" s="69"/>
      <c r="C545" s="70" t="str">
        <f t="shared" si="10"/>
        <v/>
      </c>
      <c r="D545" s="55"/>
      <c r="E545" s="53"/>
      <c r="F545" s="53"/>
      <c r="G545" s="372"/>
      <c r="H545" s="372"/>
      <c r="I545" s="379"/>
      <c r="J545" s="372"/>
      <c r="K545" s="373"/>
      <c r="L545" s="372"/>
      <c r="M545" s="372"/>
      <c r="N545" s="227"/>
      <c r="O545" s="227"/>
      <c r="P545" s="227"/>
      <c r="Q545" s="227"/>
      <c r="R545" s="227"/>
      <c r="S545" s="340"/>
      <c r="T545" s="226"/>
      <c r="U545" s="53"/>
      <c r="V545" s="53"/>
      <c r="W545" s="53"/>
      <c r="X545" s="53"/>
    </row>
    <row r="546" spans="1:24" ht="15.75" customHeight="1">
      <c r="A546" s="69"/>
      <c r="B546" s="69"/>
      <c r="C546" s="70" t="str">
        <f t="shared" si="10"/>
        <v/>
      </c>
      <c r="D546" s="55"/>
      <c r="E546" s="53"/>
      <c r="F546" s="53"/>
      <c r="G546" s="372"/>
      <c r="H546" s="372"/>
      <c r="I546" s="379"/>
      <c r="J546" s="372"/>
      <c r="K546" s="373"/>
      <c r="L546" s="372"/>
      <c r="M546" s="372"/>
      <c r="N546" s="227"/>
      <c r="O546" s="227"/>
      <c r="P546" s="227"/>
      <c r="Q546" s="227"/>
      <c r="R546" s="227"/>
      <c r="S546" s="340"/>
      <c r="T546" s="226"/>
      <c r="U546" s="53"/>
      <c r="V546" s="53"/>
      <c r="W546" s="53"/>
      <c r="X546" s="53"/>
    </row>
    <row r="547" spans="1:24" ht="15.75" customHeight="1">
      <c r="A547" s="69"/>
      <c r="B547" s="69"/>
      <c r="C547" s="70" t="str">
        <f t="shared" si="10"/>
        <v/>
      </c>
      <c r="D547" s="55"/>
      <c r="E547" s="53"/>
      <c r="F547" s="53"/>
      <c r="G547" s="372"/>
      <c r="H547" s="372"/>
      <c r="I547" s="379"/>
      <c r="J547" s="372"/>
      <c r="K547" s="373"/>
      <c r="L547" s="372"/>
      <c r="M547" s="372"/>
      <c r="N547" s="227"/>
      <c r="O547" s="227"/>
      <c r="P547" s="227"/>
      <c r="Q547" s="227"/>
      <c r="R547" s="227"/>
      <c r="S547" s="340"/>
      <c r="T547" s="226"/>
      <c r="U547" s="53"/>
      <c r="V547" s="53"/>
      <c r="W547" s="53"/>
      <c r="X547" s="53"/>
    </row>
    <row r="548" spans="1:24" ht="15.75" customHeight="1">
      <c r="A548" s="69"/>
      <c r="B548" s="69"/>
      <c r="C548" s="70" t="str">
        <f t="shared" si="10"/>
        <v/>
      </c>
      <c r="D548" s="55"/>
      <c r="E548" s="53"/>
      <c r="F548" s="53"/>
      <c r="G548" s="372"/>
      <c r="H548" s="372"/>
      <c r="I548" s="379"/>
      <c r="J548" s="372"/>
      <c r="K548" s="373"/>
      <c r="L548" s="372"/>
      <c r="M548" s="372"/>
      <c r="N548" s="227"/>
      <c r="O548" s="227"/>
      <c r="P548" s="227"/>
      <c r="Q548" s="227"/>
      <c r="R548" s="227"/>
      <c r="S548" s="340"/>
      <c r="T548" s="226"/>
      <c r="U548" s="53"/>
      <c r="V548" s="53"/>
      <c r="W548" s="53"/>
      <c r="X548" s="53"/>
    </row>
    <row r="549" spans="1:24" ht="15.75" customHeight="1">
      <c r="A549" s="69"/>
      <c r="B549" s="69"/>
      <c r="C549" s="70" t="str">
        <f t="shared" si="10"/>
        <v/>
      </c>
      <c r="D549" s="55"/>
      <c r="E549" s="53"/>
      <c r="F549" s="53"/>
      <c r="G549" s="372"/>
      <c r="H549" s="372"/>
      <c r="I549" s="379"/>
      <c r="J549" s="372"/>
      <c r="K549" s="373"/>
      <c r="L549" s="372"/>
      <c r="M549" s="372"/>
      <c r="N549" s="227"/>
      <c r="O549" s="227"/>
      <c r="P549" s="227"/>
      <c r="Q549" s="227"/>
      <c r="R549" s="227"/>
      <c r="S549" s="340"/>
      <c r="T549" s="226"/>
      <c r="U549" s="53"/>
      <c r="V549" s="53"/>
      <c r="W549" s="53"/>
      <c r="X549" s="53"/>
    </row>
    <row r="550" spans="1:24" ht="15.75" customHeight="1">
      <c r="A550" s="69"/>
      <c r="B550" s="69"/>
      <c r="C550" s="70" t="str">
        <f t="shared" si="10"/>
        <v/>
      </c>
      <c r="D550" s="55"/>
      <c r="E550" s="53"/>
      <c r="F550" s="53"/>
      <c r="G550" s="372"/>
      <c r="H550" s="372"/>
      <c r="I550" s="379"/>
      <c r="J550" s="372"/>
      <c r="K550" s="373"/>
      <c r="L550" s="372"/>
      <c r="M550" s="372"/>
      <c r="N550" s="227"/>
      <c r="O550" s="227"/>
      <c r="P550" s="227"/>
      <c r="Q550" s="227"/>
      <c r="R550" s="227"/>
      <c r="S550" s="340"/>
      <c r="T550" s="226"/>
      <c r="U550" s="53"/>
      <c r="V550" s="53"/>
      <c r="W550" s="53"/>
      <c r="X550" s="53"/>
    </row>
    <row r="551" spans="1:24" ht="15.75" customHeight="1">
      <c r="A551" s="69"/>
      <c r="B551" s="69"/>
      <c r="C551" s="70" t="str">
        <f t="shared" si="10"/>
        <v/>
      </c>
      <c r="D551" s="55"/>
      <c r="E551" s="53"/>
      <c r="F551" s="53"/>
      <c r="G551" s="372"/>
      <c r="H551" s="372"/>
      <c r="I551" s="379"/>
      <c r="J551" s="372"/>
      <c r="K551" s="373"/>
      <c r="L551" s="372"/>
      <c r="M551" s="372"/>
      <c r="N551" s="227"/>
      <c r="O551" s="227"/>
      <c r="P551" s="227"/>
      <c r="Q551" s="227"/>
      <c r="R551" s="227"/>
      <c r="S551" s="340"/>
      <c r="T551" s="226"/>
      <c r="U551" s="53"/>
      <c r="V551" s="53"/>
      <c r="W551" s="53"/>
      <c r="X551" s="53"/>
    </row>
    <row r="552" spans="1:24" ht="15.75" customHeight="1">
      <c r="A552" s="69"/>
      <c r="B552" s="69"/>
      <c r="C552" s="70" t="str">
        <f t="shared" si="10"/>
        <v/>
      </c>
      <c r="D552" s="55"/>
      <c r="E552" s="53"/>
      <c r="F552" s="53"/>
      <c r="G552" s="372"/>
      <c r="H552" s="372"/>
      <c r="I552" s="379"/>
      <c r="J552" s="372"/>
      <c r="K552" s="373"/>
      <c r="L552" s="372"/>
      <c r="M552" s="372"/>
      <c r="N552" s="227"/>
      <c r="O552" s="227"/>
      <c r="P552" s="227"/>
      <c r="Q552" s="227"/>
      <c r="R552" s="227"/>
      <c r="S552" s="340"/>
      <c r="T552" s="226"/>
      <c r="U552" s="53"/>
      <c r="V552" s="53"/>
      <c r="W552" s="53"/>
      <c r="X552" s="53"/>
    </row>
    <row r="553" spans="1:24" ht="15.75" customHeight="1">
      <c r="A553" s="69"/>
      <c r="B553" s="69"/>
      <c r="C553" s="70" t="str">
        <f t="shared" si="10"/>
        <v/>
      </c>
      <c r="D553" s="55"/>
      <c r="E553" s="53"/>
      <c r="F553" s="53"/>
      <c r="G553" s="372"/>
      <c r="H553" s="372"/>
      <c r="I553" s="379"/>
      <c r="J553" s="372"/>
      <c r="K553" s="373"/>
      <c r="L553" s="372"/>
      <c r="M553" s="372"/>
      <c r="N553" s="227"/>
      <c r="O553" s="227"/>
      <c r="P553" s="227"/>
      <c r="Q553" s="227"/>
      <c r="R553" s="227"/>
      <c r="S553" s="340"/>
      <c r="T553" s="226"/>
      <c r="U553" s="53"/>
      <c r="V553" s="53"/>
      <c r="W553" s="53"/>
      <c r="X553" s="53"/>
    </row>
    <row r="554" spans="1:24" ht="15.75" customHeight="1">
      <c r="A554" s="69"/>
      <c r="B554" s="69"/>
      <c r="C554" s="70" t="str">
        <f t="shared" si="10"/>
        <v/>
      </c>
      <c r="D554" s="55"/>
      <c r="E554" s="53"/>
      <c r="F554" s="53"/>
      <c r="G554" s="372"/>
      <c r="H554" s="372"/>
      <c r="I554" s="379"/>
      <c r="J554" s="372"/>
      <c r="K554" s="373"/>
      <c r="L554" s="372"/>
      <c r="M554" s="372"/>
      <c r="N554" s="227"/>
      <c r="O554" s="227"/>
      <c r="P554" s="227"/>
      <c r="Q554" s="227"/>
      <c r="R554" s="227"/>
      <c r="S554" s="340"/>
      <c r="T554" s="226"/>
      <c r="U554" s="53"/>
      <c r="V554" s="53"/>
      <c r="W554" s="53"/>
      <c r="X554" s="53"/>
    </row>
    <row r="555" spans="1:24" ht="15.75" customHeight="1">
      <c r="A555" s="69"/>
      <c r="B555" s="69"/>
      <c r="C555" s="70" t="str">
        <f t="shared" si="10"/>
        <v/>
      </c>
      <c r="D555" s="55"/>
      <c r="E555" s="53"/>
      <c r="F555" s="53"/>
      <c r="G555" s="372"/>
      <c r="H555" s="372"/>
      <c r="I555" s="379"/>
      <c r="J555" s="372"/>
      <c r="K555" s="373"/>
      <c r="L555" s="372"/>
      <c r="M555" s="372"/>
      <c r="N555" s="227"/>
      <c r="O555" s="227"/>
      <c r="P555" s="227"/>
      <c r="Q555" s="227"/>
      <c r="R555" s="227"/>
      <c r="S555" s="340"/>
      <c r="T555" s="226"/>
      <c r="U555" s="53"/>
      <c r="V555" s="53"/>
      <c r="W555" s="53"/>
      <c r="X555" s="53"/>
    </row>
    <row r="556" spans="1:24" ht="15.75" customHeight="1">
      <c r="A556" s="69"/>
      <c r="B556" s="69"/>
      <c r="C556" s="70" t="str">
        <f t="shared" si="10"/>
        <v/>
      </c>
      <c r="D556" s="55"/>
      <c r="E556" s="53"/>
      <c r="F556" s="53"/>
      <c r="G556" s="372"/>
      <c r="H556" s="372"/>
      <c r="I556" s="379"/>
      <c r="J556" s="372"/>
      <c r="K556" s="373"/>
      <c r="L556" s="372"/>
      <c r="M556" s="372"/>
      <c r="N556" s="227"/>
      <c r="O556" s="227"/>
      <c r="P556" s="227"/>
      <c r="Q556" s="227"/>
      <c r="R556" s="227"/>
      <c r="S556" s="340"/>
      <c r="T556" s="226"/>
      <c r="U556" s="53"/>
      <c r="V556" s="53"/>
      <c r="W556" s="53"/>
      <c r="X556" s="53"/>
    </row>
    <row r="557" spans="1:24" ht="15.75" customHeight="1">
      <c r="A557" s="69"/>
      <c r="B557" s="69"/>
      <c r="C557" s="70" t="str">
        <f t="shared" si="10"/>
        <v/>
      </c>
      <c r="D557" s="55"/>
      <c r="E557" s="53"/>
      <c r="F557" s="53"/>
      <c r="G557" s="372"/>
      <c r="H557" s="372"/>
      <c r="I557" s="379"/>
      <c r="J557" s="372"/>
      <c r="K557" s="373"/>
      <c r="L557" s="372"/>
      <c r="M557" s="372"/>
      <c r="N557" s="227"/>
      <c r="O557" s="227"/>
      <c r="P557" s="227"/>
      <c r="Q557" s="227"/>
      <c r="R557" s="227"/>
      <c r="S557" s="340"/>
      <c r="T557" s="226"/>
      <c r="U557" s="53"/>
      <c r="V557" s="53"/>
      <c r="W557" s="53"/>
      <c r="X557" s="53"/>
    </row>
    <row r="558" spans="1:24" ht="15.75" customHeight="1">
      <c r="A558" s="69"/>
      <c r="B558" s="69"/>
      <c r="C558" s="70" t="str">
        <f t="shared" si="10"/>
        <v/>
      </c>
      <c r="D558" s="55"/>
      <c r="E558" s="53"/>
      <c r="F558" s="53"/>
      <c r="G558" s="372"/>
      <c r="H558" s="372"/>
      <c r="I558" s="379"/>
      <c r="J558" s="372"/>
      <c r="K558" s="373"/>
      <c r="L558" s="372"/>
      <c r="M558" s="372"/>
      <c r="N558" s="227"/>
      <c r="O558" s="227"/>
      <c r="P558" s="227"/>
      <c r="Q558" s="227"/>
      <c r="R558" s="227"/>
      <c r="S558" s="340"/>
      <c r="T558" s="226"/>
      <c r="U558" s="53"/>
      <c r="V558" s="53"/>
      <c r="W558" s="53"/>
      <c r="X558" s="53"/>
    </row>
    <row r="559" spans="1:24" ht="15.75" customHeight="1">
      <c r="A559" s="69"/>
      <c r="B559" s="69"/>
      <c r="C559" s="70" t="str">
        <f t="shared" si="10"/>
        <v/>
      </c>
      <c r="D559" s="55"/>
      <c r="E559" s="53"/>
      <c r="F559" s="53"/>
      <c r="G559" s="372"/>
      <c r="H559" s="372"/>
      <c r="I559" s="379"/>
      <c r="J559" s="372"/>
      <c r="K559" s="373"/>
      <c r="L559" s="372"/>
      <c r="M559" s="372"/>
      <c r="N559" s="227"/>
      <c r="O559" s="227"/>
      <c r="P559" s="227"/>
      <c r="Q559" s="227"/>
      <c r="R559" s="227"/>
      <c r="S559" s="340"/>
      <c r="T559" s="226"/>
      <c r="U559" s="53"/>
      <c r="V559" s="53"/>
      <c r="W559" s="53"/>
      <c r="X559" s="53"/>
    </row>
    <row r="560" spans="1:24" ht="15.75" customHeight="1">
      <c r="A560" s="69"/>
      <c r="B560" s="69"/>
      <c r="C560" s="70" t="str">
        <f t="shared" si="10"/>
        <v/>
      </c>
      <c r="D560" s="55"/>
      <c r="E560" s="53"/>
      <c r="F560" s="53"/>
      <c r="G560" s="372"/>
      <c r="H560" s="372"/>
      <c r="I560" s="379"/>
      <c r="J560" s="372"/>
      <c r="K560" s="373"/>
      <c r="L560" s="372"/>
      <c r="M560" s="372"/>
      <c r="N560" s="227"/>
      <c r="O560" s="227"/>
      <c r="P560" s="227"/>
      <c r="Q560" s="227"/>
      <c r="R560" s="227"/>
      <c r="S560" s="340"/>
      <c r="T560" s="226"/>
      <c r="U560" s="53"/>
      <c r="V560" s="53"/>
      <c r="W560" s="53"/>
      <c r="X560" s="53"/>
    </row>
    <row r="561" spans="1:24" ht="15.75" customHeight="1">
      <c r="A561" s="69"/>
      <c r="B561" s="69"/>
      <c r="C561" s="70" t="str">
        <f t="shared" si="10"/>
        <v/>
      </c>
      <c r="D561" s="55"/>
      <c r="E561" s="53"/>
      <c r="F561" s="53"/>
      <c r="G561" s="372"/>
      <c r="H561" s="372"/>
      <c r="I561" s="379"/>
      <c r="J561" s="372"/>
      <c r="K561" s="373"/>
      <c r="L561" s="372"/>
      <c r="M561" s="372"/>
      <c r="N561" s="227"/>
      <c r="O561" s="227"/>
      <c r="P561" s="227"/>
      <c r="Q561" s="227"/>
      <c r="R561" s="227"/>
      <c r="S561" s="340"/>
      <c r="T561" s="226"/>
      <c r="U561" s="53"/>
      <c r="V561" s="53"/>
      <c r="W561" s="53"/>
      <c r="X561" s="53"/>
    </row>
    <row r="562" spans="1:24" ht="15.75" customHeight="1">
      <c r="A562" s="69"/>
      <c r="B562" s="69"/>
      <c r="C562" s="70" t="str">
        <f t="shared" si="10"/>
        <v/>
      </c>
      <c r="D562" s="55"/>
      <c r="E562" s="53"/>
      <c r="F562" s="53"/>
      <c r="G562" s="372"/>
      <c r="H562" s="372"/>
      <c r="I562" s="379"/>
      <c r="J562" s="372"/>
      <c r="K562" s="373"/>
      <c r="L562" s="372"/>
      <c r="M562" s="372"/>
      <c r="N562" s="227"/>
      <c r="O562" s="227"/>
      <c r="P562" s="227"/>
      <c r="Q562" s="227"/>
      <c r="R562" s="227"/>
      <c r="S562" s="340"/>
      <c r="T562" s="226"/>
      <c r="U562" s="53"/>
      <c r="V562" s="53"/>
      <c r="W562" s="53"/>
      <c r="X562" s="53"/>
    </row>
    <row r="563" spans="1:24" ht="15.75" customHeight="1">
      <c r="A563" s="69"/>
      <c r="B563" s="69"/>
      <c r="C563" s="70" t="str">
        <f t="shared" si="10"/>
        <v/>
      </c>
      <c r="D563" s="55"/>
      <c r="E563" s="53"/>
      <c r="F563" s="53"/>
      <c r="G563" s="372"/>
      <c r="H563" s="372"/>
      <c r="I563" s="379"/>
      <c r="J563" s="372"/>
      <c r="K563" s="373"/>
      <c r="L563" s="372"/>
      <c r="M563" s="372"/>
      <c r="N563" s="227"/>
      <c r="O563" s="227"/>
      <c r="P563" s="227"/>
      <c r="Q563" s="227"/>
      <c r="R563" s="227"/>
      <c r="S563" s="340"/>
      <c r="T563" s="226"/>
      <c r="U563" s="53"/>
      <c r="V563" s="53"/>
      <c r="W563" s="53"/>
      <c r="X563" s="53"/>
    </row>
    <row r="564" spans="1:24" ht="15.75" customHeight="1">
      <c r="A564" s="69"/>
      <c r="B564" s="69"/>
      <c r="C564" s="70" t="str">
        <f t="shared" si="10"/>
        <v/>
      </c>
      <c r="D564" s="55"/>
      <c r="E564" s="53"/>
      <c r="F564" s="53"/>
      <c r="G564" s="372"/>
      <c r="H564" s="372"/>
      <c r="I564" s="379"/>
      <c r="J564" s="372"/>
      <c r="K564" s="373"/>
      <c r="L564" s="372"/>
      <c r="M564" s="372"/>
      <c r="N564" s="227"/>
      <c r="O564" s="227"/>
      <c r="P564" s="227"/>
      <c r="Q564" s="227"/>
      <c r="R564" s="227"/>
      <c r="S564" s="340"/>
      <c r="T564" s="226"/>
      <c r="U564" s="53"/>
      <c r="V564" s="53"/>
      <c r="W564" s="53"/>
      <c r="X564" s="53"/>
    </row>
    <row r="565" spans="1:24" ht="15.75" customHeight="1">
      <c r="A565" s="69"/>
      <c r="B565" s="69"/>
      <c r="C565" s="70" t="str">
        <f t="shared" si="10"/>
        <v/>
      </c>
      <c r="D565" s="55"/>
      <c r="E565" s="53"/>
      <c r="F565" s="53"/>
      <c r="G565" s="372"/>
      <c r="H565" s="372"/>
      <c r="I565" s="379"/>
      <c r="J565" s="372"/>
      <c r="K565" s="373"/>
      <c r="L565" s="372"/>
      <c r="M565" s="372"/>
      <c r="N565" s="227"/>
      <c r="O565" s="227"/>
      <c r="P565" s="227"/>
      <c r="Q565" s="227"/>
      <c r="R565" s="227"/>
      <c r="S565" s="340"/>
      <c r="T565" s="226"/>
      <c r="U565" s="53"/>
      <c r="V565" s="53"/>
      <c r="W565" s="53"/>
      <c r="X565" s="53"/>
    </row>
    <row r="566" spans="1:24" ht="15.75" customHeight="1">
      <c r="A566" s="69"/>
      <c r="B566" s="69"/>
      <c r="C566" s="70" t="str">
        <f t="shared" si="10"/>
        <v/>
      </c>
      <c r="D566" s="55"/>
      <c r="E566" s="53"/>
      <c r="F566" s="53"/>
      <c r="G566" s="372"/>
      <c r="H566" s="372"/>
      <c r="I566" s="379"/>
      <c r="J566" s="372"/>
      <c r="K566" s="373"/>
      <c r="L566" s="372"/>
      <c r="M566" s="372"/>
      <c r="N566" s="227"/>
      <c r="O566" s="227"/>
      <c r="P566" s="227"/>
      <c r="Q566" s="227"/>
      <c r="R566" s="227"/>
      <c r="S566" s="340"/>
      <c r="T566" s="226"/>
      <c r="U566" s="53"/>
      <c r="V566" s="53"/>
      <c r="W566" s="53"/>
      <c r="X566" s="53"/>
    </row>
    <row r="567" spans="1:24" ht="15.75" customHeight="1">
      <c r="A567" s="69"/>
      <c r="B567" s="69"/>
      <c r="C567" s="70" t="str">
        <f t="shared" si="10"/>
        <v/>
      </c>
      <c r="D567" s="55"/>
      <c r="E567" s="53"/>
      <c r="F567" s="53"/>
      <c r="G567" s="372"/>
      <c r="H567" s="372"/>
      <c r="I567" s="379"/>
      <c r="J567" s="372"/>
      <c r="K567" s="373"/>
      <c r="L567" s="372"/>
      <c r="M567" s="372"/>
      <c r="N567" s="227"/>
      <c r="O567" s="227"/>
      <c r="P567" s="227"/>
      <c r="Q567" s="227"/>
      <c r="R567" s="227"/>
      <c r="S567" s="340"/>
      <c r="T567" s="226"/>
      <c r="U567" s="53"/>
      <c r="V567" s="53"/>
      <c r="W567" s="53"/>
      <c r="X567" s="53"/>
    </row>
    <row r="568" spans="1:24" ht="15.75" customHeight="1">
      <c r="A568" s="69"/>
      <c r="B568" s="69"/>
      <c r="C568" s="70" t="str">
        <f t="shared" si="10"/>
        <v/>
      </c>
      <c r="D568" s="55"/>
      <c r="E568" s="53"/>
      <c r="F568" s="53"/>
      <c r="G568" s="372"/>
      <c r="H568" s="372"/>
      <c r="I568" s="379"/>
      <c r="J568" s="372"/>
      <c r="K568" s="373"/>
      <c r="L568" s="372"/>
      <c r="M568" s="372"/>
      <c r="N568" s="227"/>
      <c r="O568" s="227"/>
      <c r="P568" s="227"/>
      <c r="Q568" s="227"/>
      <c r="R568" s="227"/>
      <c r="S568" s="340"/>
      <c r="T568" s="226"/>
      <c r="U568" s="53"/>
      <c r="V568" s="53"/>
      <c r="W568" s="53"/>
      <c r="X568" s="53"/>
    </row>
    <row r="569" spans="1:24" ht="15.75" customHeight="1">
      <c r="A569" s="69"/>
      <c r="B569" s="69"/>
      <c r="C569" s="70" t="str">
        <f t="shared" si="10"/>
        <v/>
      </c>
      <c r="D569" s="55"/>
      <c r="E569" s="53"/>
      <c r="F569" s="53"/>
      <c r="G569" s="372"/>
      <c r="H569" s="372"/>
      <c r="I569" s="379"/>
      <c r="J569" s="372"/>
      <c r="K569" s="373"/>
      <c r="L569" s="372"/>
      <c r="M569" s="372"/>
      <c r="N569" s="227"/>
      <c r="O569" s="227"/>
      <c r="P569" s="227"/>
      <c r="Q569" s="227"/>
      <c r="R569" s="227"/>
      <c r="S569" s="340"/>
      <c r="T569" s="226"/>
      <c r="U569" s="53"/>
      <c r="V569" s="53"/>
      <c r="W569" s="53"/>
      <c r="X569" s="53"/>
    </row>
    <row r="570" spans="1:24" ht="15.75" customHeight="1">
      <c r="A570" s="69"/>
      <c r="B570" s="69"/>
      <c r="C570" s="70" t="str">
        <f t="shared" si="10"/>
        <v/>
      </c>
      <c r="D570" s="55"/>
      <c r="E570" s="53"/>
      <c r="F570" s="53"/>
      <c r="G570" s="372"/>
      <c r="H570" s="372"/>
      <c r="I570" s="379"/>
      <c r="J570" s="372"/>
      <c r="K570" s="373"/>
      <c r="L570" s="372"/>
      <c r="M570" s="372"/>
      <c r="N570" s="227"/>
      <c r="O570" s="227"/>
      <c r="P570" s="227"/>
      <c r="Q570" s="227"/>
      <c r="R570" s="227"/>
      <c r="S570" s="340"/>
      <c r="T570" s="226"/>
      <c r="U570" s="53"/>
      <c r="V570" s="53"/>
      <c r="W570" s="53"/>
      <c r="X570" s="53"/>
    </row>
    <row r="571" spans="1:24" ht="15.75" customHeight="1">
      <c r="A571" s="69"/>
      <c r="B571" s="69"/>
      <c r="C571" s="70" t="str">
        <f t="shared" si="10"/>
        <v/>
      </c>
      <c r="D571" s="55"/>
      <c r="E571" s="53"/>
      <c r="F571" s="53"/>
      <c r="G571" s="372"/>
      <c r="H571" s="372"/>
      <c r="I571" s="379"/>
      <c r="J571" s="372"/>
      <c r="K571" s="373"/>
      <c r="L571" s="372"/>
      <c r="M571" s="372"/>
      <c r="N571" s="227"/>
      <c r="O571" s="227"/>
      <c r="P571" s="227"/>
      <c r="Q571" s="227"/>
      <c r="R571" s="227"/>
      <c r="S571" s="340"/>
      <c r="T571" s="226"/>
      <c r="U571" s="53"/>
      <c r="V571" s="53"/>
      <c r="W571" s="53"/>
      <c r="X571" s="53"/>
    </row>
    <row r="572" spans="1:24" ht="15.75" customHeight="1">
      <c r="A572" s="69"/>
      <c r="B572" s="69"/>
      <c r="C572" s="70" t="str">
        <f t="shared" si="10"/>
        <v/>
      </c>
      <c r="D572" s="55"/>
      <c r="E572" s="53"/>
      <c r="F572" s="53"/>
      <c r="G572" s="372"/>
      <c r="H572" s="372"/>
      <c r="I572" s="379"/>
      <c r="J572" s="372"/>
      <c r="K572" s="373"/>
      <c r="L572" s="372"/>
      <c r="M572" s="372"/>
      <c r="N572" s="227"/>
      <c r="O572" s="227"/>
      <c r="P572" s="227"/>
      <c r="Q572" s="227"/>
      <c r="R572" s="227"/>
      <c r="S572" s="340"/>
      <c r="T572" s="226"/>
      <c r="U572" s="53"/>
      <c r="V572" s="53"/>
      <c r="W572" s="53"/>
      <c r="X572" s="53"/>
    </row>
    <row r="573" spans="1:24" ht="15.75" customHeight="1">
      <c r="A573" s="69"/>
      <c r="B573" s="69"/>
      <c r="C573" s="70" t="str">
        <f t="shared" si="10"/>
        <v/>
      </c>
      <c r="D573" s="55"/>
      <c r="E573" s="53"/>
      <c r="F573" s="53"/>
      <c r="G573" s="372"/>
      <c r="H573" s="372"/>
      <c r="I573" s="379"/>
      <c r="J573" s="372"/>
      <c r="K573" s="373"/>
      <c r="L573" s="372"/>
      <c r="M573" s="372"/>
      <c r="N573" s="227"/>
      <c r="O573" s="227"/>
      <c r="P573" s="227"/>
      <c r="Q573" s="227"/>
      <c r="R573" s="227"/>
      <c r="S573" s="340"/>
      <c r="T573" s="226"/>
      <c r="U573" s="53"/>
      <c r="V573" s="53"/>
      <c r="W573" s="53"/>
      <c r="X573" s="53"/>
    </row>
    <row r="574" spans="1:24" ht="15.75" customHeight="1">
      <c r="A574" s="69"/>
      <c r="B574" s="69"/>
      <c r="C574" s="70" t="str">
        <f t="shared" si="10"/>
        <v/>
      </c>
      <c r="D574" s="55"/>
      <c r="E574" s="53"/>
      <c r="F574" s="53"/>
      <c r="G574" s="372"/>
      <c r="H574" s="372"/>
      <c r="I574" s="379"/>
      <c r="J574" s="372"/>
      <c r="K574" s="373"/>
      <c r="L574" s="372"/>
      <c r="M574" s="372"/>
      <c r="N574" s="227"/>
      <c r="O574" s="227"/>
      <c r="P574" s="227"/>
      <c r="Q574" s="227"/>
      <c r="R574" s="227"/>
      <c r="S574" s="340"/>
      <c r="T574" s="226"/>
      <c r="U574" s="53"/>
      <c r="V574" s="53"/>
      <c r="W574" s="53"/>
      <c r="X574" s="53"/>
    </row>
    <row r="575" spans="1:24" ht="15.75" customHeight="1">
      <c r="A575" s="69"/>
      <c r="B575" s="69"/>
      <c r="C575" s="70" t="str">
        <f t="shared" si="10"/>
        <v/>
      </c>
      <c r="D575" s="55"/>
      <c r="E575" s="53"/>
      <c r="F575" s="53"/>
      <c r="G575" s="372"/>
      <c r="H575" s="372"/>
      <c r="I575" s="379"/>
      <c r="J575" s="372"/>
      <c r="K575" s="373"/>
      <c r="L575" s="372"/>
      <c r="M575" s="372"/>
      <c r="N575" s="227"/>
      <c r="O575" s="227"/>
      <c r="P575" s="227"/>
      <c r="Q575" s="227"/>
      <c r="R575" s="227"/>
      <c r="S575" s="340"/>
      <c r="T575" s="226"/>
      <c r="U575" s="53"/>
      <c r="V575" s="53"/>
      <c r="W575" s="53"/>
      <c r="X575" s="53"/>
    </row>
    <row r="576" spans="1:24" ht="15.75" customHeight="1">
      <c r="A576" s="69"/>
      <c r="B576" s="69"/>
      <c r="C576" s="70" t="str">
        <f t="shared" si="10"/>
        <v/>
      </c>
      <c r="D576" s="55"/>
      <c r="E576" s="53"/>
      <c r="F576" s="53"/>
      <c r="G576" s="372"/>
      <c r="H576" s="372"/>
      <c r="I576" s="379"/>
      <c r="J576" s="372"/>
      <c r="K576" s="373"/>
      <c r="L576" s="372"/>
      <c r="M576" s="372"/>
      <c r="N576" s="227"/>
      <c r="O576" s="227"/>
      <c r="P576" s="227"/>
      <c r="Q576" s="227"/>
      <c r="R576" s="227"/>
      <c r="S576" s="340"/>
      <c r="T576" s="226"/>
      <c r="U576" s="53"/>
      <c r="V576" s="53"/>
      <c r="W576" s="53"/>
      <c r="X576" s="53"/>
    </row>
    <row r="577" spans="1:24" ht="15.75" customHeight="1">
      <c r="A577" s="69"/>
      <c r="B577" s="69"/>
      <c r="C577" s="70" t="str">
        <f t="shared" si="10"/>
        <v/>
      </c>
      <c r="D577" s="55"/>
      <c r="E577" s="53"/>
      <c r="F577" s="53"/>
      <c r="G577" s="372"/>
      <c r="H577" s="372"/>
      <c r="I577" s="379"/>
      <c r="J577" s="372"/>
      <c r="K577" s="373"/>
      <c r="L577" s="372"/>
      <c r="M577" s="372"/>
      <c r="N577" s="227"/>
      <c r="O577" s="227"/>
      <c r="P577" s="227"/>
      <c r="Q577" s="227"/>
      <c r="R577" s="227"/>
      <c r="S577" s="340"/>
      <c r="T577" s="226"/>
      <c r="U577" s="53"/>
      <c r="V577" s="53"/>
      <c r="W577" s="53"/>
      <c r="X577" s="53"/>
    </row>
    <row r="578" spans="1:24" ht="15.75" customHeight="1">
      <c r="A578" s="69"/>
      <c r="B578" s="69"/>
      <c r="C578" s="70" t="str">
        <f t="shared" si="10"/>
        <v/>
      </c>
      <c r="D578" s="55"/>
      <c r="E578" s="53"/>
      <c r="F578" s="53"/>
      <c r="G578" s="372"/>
      <c r="H578" s="372"/>
      <c r="I578" s="379"/>
      <c r="J578" s="372"/>
      <c r="K578" s="373"/>
      <c r="L578" s="372"/>
      <c r="M578" s="372"/>
      <c r="N578" s="227"/>
      <c r="O578" s="227"/>
      <c r="P578" s="227"/>
      <c r="Q578" s="227"/>
      <c r="R578" s="227"/>
      <c r="S578" s="340"/>
      <c r="T578" s="226"/>
      <c r="U578" s="53"/>
      <c r="V578" s="53"/>
      <c r="W578" s="53"/>
      <c r="X578" s="53"/>
    </row>
    <row r="579" spans="1:24" ht="15.75" customHeight="1">
      <c r="A579" s="69"/>
      <c r="B579" s="69"/>
      <c r="C579" s="70" t="str">
        <f t="shared" si="10"/>
        <v/>
      </c>
      <c r="D579" s="55"/>
      <c r="E579" s="53"/>
      <c r="F579" s="53"/>
      <c r="G579" s="372"/>
      <c r="H579" s="372"/>
      <c r="I579" s="379"/>
      <c r="J579" s="372"/>
      <c r="K579" s="373"/>
      <c r="L579" s="372"/>
      <c r="M579" s="372"/>
      <c r="N579" s="227"/>
      <c r="O579" s="227"/>
      <c r="P579" s="227"/>
      <c r="Q579" s="227"/>
      <c r="R579" s="227"/>
      <c r="S579" s="340"/>
      <c r="T579" s="226"/>
      <c r="U579" s="53"/>
      <c r="V579" s="53"/>
      <c r="W579" s="53"/>
      <c r="X579" s="53"/>
    </row>
    <row r="580" spans="1:24" ht="15.75" customHeight="1">
      <c r="A580" s="69"/>
      <c r="B580" s="69"/>
      <c r="C580" s="70" t="str">
        <f t="shared" si="10"/>
        <v/>
      </c>
      <c r="D580" s="55"/>
      <c r="E580" s="53"/>
      <c r="F580" s="53"/>
      <c r="G580" s="372"/>
      <c r="H580" s="372"/>
      <c r="I580" s="379"/>
      <c r="J580" s="372"/>
      <c r="K580" s="373"/>
      <c r="L580" s="372"/>
      <c r="M580" s="372"/>
      <c r="N580" s="227"/>
      <c r="O580" s="227"/>
      <c r="P580" s="227"/>
      <c r="Q580" s="227"/>
      <c r="R580" s="227"/>
      <c r="S580" s="340"/>
      <c r="T580" s="226"/>
      <c r="U580" s="53"/>
      <c r="V580" s="53"/>
      <c r="W580" s="53"/>
      <c r="X580" s="53"/>
    </row>
    <row r="581" spans="1:24" ht="15.75" customHeight="1">
      <c r="A581" s="69"/>
      <c r="B581" s="69"/>
      <c r="C581" s="70" t="str">
        <f t="shared" si="10"/>
        <v/>
      </c>
      <c r="D581" s="55"/>
      <c r="E581" s="53"/>
      <c r="F581" s="53"/>
      <c r="G581" s="372"/>
      <c r="H581" s="372"/>
      <c r="I581" s="379"/>
      <c r="J581" s="372"/>
      <c r="K581" s="373"/>
      <c r="L581" s="372"/>
      <c r="M581" s="372"/>
      <c r="N581" s="227"/>
      <c r="O581" s="227"/>
      <c r="P581" s="227"/>
      <c r="Q581" s="227"/>
      <c r="R581" s="227"/>
      <c r="S581" s="340"/>
      <c r="T581" s="226"/>
      <c r="U581" s="53"/>
      <c r="V581" s="53"/>
      <c r="W581" s="53"/>
      <c r="X581" s="53"/>
    </row>
    <row r="582" spans="1:24" ht="15.75" customHeight="1">
      <c r="A582" s="69"/>
      <c r="B582" s="69"/>
      <c r="C582" s="70" t="str">
        <f t="shared" si="10"/>
        <v/>
      </c>
      <c r="D582" s="55"/>
      <c r="E582" s="53"/>
      <c r="F582" s="53"/>
      <c r="G582" s="372"/>
      <c r="H582" s="372"/>
      <c r="I582" s="379"/>
      <c r="J582" s="372"/>
      <c r="K582" s="373"/>
      <c r="L582" s="372"/>
      <c r="M582" s="372"/>
      <c r="N582" s="227"/>
      <c r="O582" s="227"/>
      <c r="P582" s="227"/>
      <c r="Q582" s="227"/>
      <c r="R582" s="227"/>
      <c r="S582" s="340"/>
      <c r="T582" s="226"/>
      <c r="U582" s="53"/>
      <c r="V582" s="53"/>
      <c r="W582" s="53"/>
      <c r="X582" s="53"/>
    </row>
    <row r="583" spans="1:24" ht="15.75" customHeight="1">
      <c r="A583" s="69"/>
      <c r="B583" s="69"/>
      <c r="C583" s="70" t="str">
        <f t="shared" si="10"/>
        <v/>
      </c>
      <c r="D583" s="55"/>
      <c r="E583" s="53"/>
      <c r="F583" s="53"/>
      <c r="G583" s="372"/>
      <c r="H583" s="372"/>
      <c r="I583" s="379"/>
      <c r="J583" s="372"/>
      <c r="K583" s="373"/>
      <c r="L583" s="372"/>
      <c r="M583" s="372"/>
      <c r="N583" s="227"/>
      <c r="O583" s="227"/>
      <c r="P583" s="227"/>
      <c r="Q583" s="227"/>
      <c r="R583" s="227"/>
      <c r="S583" s="340"/>
      <c r="T583" s="226"/>
      <c r="U583" s="53"/>
      <c r="V583" s="53"/>
      <c r="W583" s="53"/>
      <c r="X583" s="53"/>
    </row>
    <row r="584" spans="1:24" ht="15.75" customHeight="1">
      <c r="A584" s="69"/>
      <c r="B584" s="69"/>
      <c r="C584" s="70" t="str">
        <f t="shared" si="10"/>
        <v/>
      </c>
      <c r="D584" s="55"/>
      <c r="E584" s="53"/>
      <c r="F584" s="53"/>
      <c r="G584" s="372"/>
      <c r="H584" s="372"/>
      <c r="I584" s="379"/>
      <c r="J584" s="372"/>
      <c r="K584" s="373"/>
      <c r="L584" s="372"/>
      <c r="M584" s="372"/>
      <c r="N584" s="227"/>
      <c r="O584" s="227"/>
      <c r="P584" s="227"/>
      <c r="Q584" s="227"/>
      <c r="R584" s="227"/>
      <c r="S584" s="340"/>
      <c r="T584" s="226"/>
      <c r="U584" s="53"/>
      <c r="V584" s="53"/>
      <c r="W584" s="53"/>
      <c r="X584" s="53"/>
    </row>
    <row r="585" spans="1:24" ht="15.75" customHeight="1">
      <c r="A585" s="69"/>
      <c r="B585" s="69"/>
      <c r="C585" s="70" t="str">
        <f t="shared" si="10"/>
        <v/>
      </c>
      <c r="D585" s="55"/>
      <c r="E585" s="53"/>
      <c r="F585" s="53"/>
      <c r="G585" s="372"/>
      <c r="H585" s="372"/>
      <c r="I585" s="379"/>
      <c r="J585" s="372"/>
      <c r="K585" s="373"/>
      <c r="L585" s="372"/>
      <c r="M585" s="372"/>
      <c r="N585" s="227"/>
      <c r="O585" s="227"/>
      <c r="P585" s="227"/>
      <c r="Q585" s="227"/>
      <c r="R585" s="227"/>
      <c r="S585" s="340"/>
      <c r="T585" s="226"/>
      <c r="U585" s="53"/>
      <c r="V585" s="53"/>
      <c r="W585" s="53"/>
      <c r="X585" s="53"/>
    </row>
    <row r="586" spans="1:24" ht="15.75" customHeight="1">
      <c r="A586" s="69"/>
      <c r="B586" s="69"/>
      <c r="C586" s="70" t="str">
        <f t="shared" si="10"/>
        <v/>
      </c>
      <c r="D586" s="55"/>
      <c r="E586" s="53"/>
      <c r="F586" s="53"/>
      <c r="G586" s="372"/>
      <c r="H586" s="372"/>
      <c r="I586" s="379"/>
      <c r="J586" s="372"/>
      <c r="K586" s="373"/>
      <c r="L586" s="372"/>
      <c r="M586" s="372"/>
      <c r="N586" s="227"/>
      <c r="O586" s="227"/>
      <c r="P586" s="227"/>
      <c r="Q586" s="227"/>
      <c r="R586" s="227"/>
      <c r="S586" s="340"/>
      <c r="T586" s="226"/>
      <c r="U586" s="53"/>
      <c r="V586" s="53"/>
      <c r="W586" s="53"/>
      <c r="X586" s="53"/>
    </row>
    <row r="587" spans="1:24" ht="15.75" customHeight="1">
      <c r="A587" s="69"/>
      <c r="B587" s="69"/>
      <c r="C587" s="70" t="str">
        <f t="shared" si="10"/>
        <v/>
      </c>
      <c r="D587" s="55"/>
      <c r="E587" s="53"/>
      <c r="F587" s="53"/>
      <c r="G587" s="372"/>
      <c r="H587" s="372"/>
      <c r="I587" s="379"/>
      <c r="J587" s="372"/>
      <c r="K587" s="373"/>
      <c r="L587" s="372"/>
      <c r="M587" s="372"/>
      <c r="N587" s="227"/>
      <c r="O587" s="227"/>
      <c r="P587" s="227"/>
      <c r="Q587" s="227"/>
      <c r="R587" s="227"/>
      <c r="S587" s="340"/>
      <c r="T587" s="226"/>
      <c r="U587" s="53"/>
      <c r="V587" s="53"/>
      <c r="W587" s="53"/>
      <c r="X587" s="53"/>
    </row>
    <row r="588" spans="1:24" ht="15.75" customHeight="1">
      <c r="A588" s="69"/>
      <c r="B588" s="69"/>
      <c r="C588" s="70" t="str">
        <f t="shared" si="10"/>
        <v/>
      </c>
      <c r="D588" s="55"/>
      <c r="E588" s="53"/>
      <c r="F588" s="53"/>
      <c r="G588" s="372"/>
      <c r="H588" s="372"/>
      <c r="I588" s="379"/>
      <c r="J588" s="372"/>
      <c r="K588" s="373"/>
      <c r="L588" s="372"/>
      <c r="M588" s="372"/>
      <c r="N588" s="227"/>
      <c r="O588" s="227"/>
      <c r="P588" s="227"/>
      <c r="Q588" s="227"/>
      <c r="R588" s="227"/>
      <c r="S588" s="340"/>
      <c r="T588" s="226"/>
      <c r="U588" s="53"/>
      <c r="V588" s="53"/>
      <c r="W588" s="53"/>
      <c r="X588" s="53"/>
    </row>
    <row r="589" spans="1:24" ht="15.75" customHeight="1">
      <c r="A589" s="69"/>
      <c r="B589" s="69"/>
      <c r="C589" s="70" t="str">
        <f t="shared" si="10"/>
        <v/>
      </c>
      <c r="D589" s="55"/>
      <c r="E589" s="53"/>
      <c r="F589" s="53"/>
      <c r="G589" s="372"/>
      <c r="H589" s="372"/>
      <c r="I589" s="379"/>
      <c r="J589" s="372"/>
      <c r="K589" s="373"/>
      <c r="L589" s="372"/>
      <c r="M589" s="372"/>
      <c r="N589" s="227"/>
      <c r="O589" s="227"/>
      <c r="P589" s="227"/>
      <c r="Q589" s="227"/>
      <c r="R589" s="227"/>
      <c r="S589" s="340"/>
      <c r="T589" s="226"/>
      <c r="U589" s="53"/>
      <c r="V589" s="53"/>
      <c r="W589" s="53"/>
      <c r="X589" s="53"/>
    </row>
    <row r="590" spans="1:24" ht="15.75" customHeight="1">
      <c r="A590" s="69"/>
      <c r="B590" s="69"/>
      <c r="C590" s="70" t="str">
        <f t="shared" si="10"/>
        <v/>
      </c>
      <c r="D590" s="55"/>
      <c r="E590" s="53"/>
      <c r="F590" s="53"/>
      <c r="G590" s="372"/>
      <c r="H590" s="372"/>
      <c r="I590" s="379"/>
      <c r="J590" s="372"/>
      <c r="K590" s="373"/>
      <c r="L590" s="372"/>
      <c r="M590" s="372"/>
      <c r="N590" s="227"/>
      <c r="O590" s="227"/>
      <c r="P590" s="227"/>
      <c r="Q590" s="227"/>
      <c r="R590" s="227"/>
      <c r="S590" s="340"/>
      <c r="T590" s="226"/>
      <c r="U590" s="53"/>
      <c r="V590" s="53"/>
      <c r="W590" s="53"/>
      <c r="X590" s="53"/>
    </row>
    <row r="591" spans="1:24" ht="15.75" customHeight="1">
      <c r="A591" s="69"/>
      <c r="B591" s="69"/>
      <c r="C591" s="70" t="str">
        <f t="shared" si="10"/>
        <v/>
      </c>
      <c r="D591" s="55"/>
      <c r="E591" s="53"/>
      <c r="F591" s="53"/>
      <c r="G591" s="372"/>
      <c r="H591" s="372"/>
      <c r="I591" s="379"/>
      <c r="J591" s="372"/>
      <c r="K591" s="373"/>
      <c r="L591" s="372"/>
      <c r="M591" s="372"/>
      <c r="N591" s="227"/>
      <c r="O591" s="227"/>
      <c r="P591" s="227"/>
      <c r="Q591" s="227"/>
      <c r="R591" s="227"/>
      <c r="S591" s="340"/>
      <c r="T591" s="226"/>
      <c r="U591" s="53"/>
      <c r="V591" s="53"/>
      <c r="W591" s="53"/>
      <c r="X591" s="53"/>
    </row>
    <row r="592" spans="1:24" ht="15.75" customHeight="1">
      <c r="A592" s="69"/>
      <c r="B592" s="69"/>
      <c r="C592" s="70" t="str">
        <f t="shared" si="10"/>
        <v/>
      </c>
      <c r="D592" s="55"/>
      <c r="E592" s="53"/>
      <c r="F592" s="53"/>
      <c r="G592" s="372"/>
      <c r="H592" s="372"/>
      <c r="I592" s="379"/>
      <c r="J592" s="372"/>
      <c r="K592" s="373"/>
      <c r="L592" s="372"/>
      <c r="M592" s="372"/>
      <c r="N592" s="227"/>
      <c r="O592" s="227"/>
      <c r="P592" s="227"/>
      <c r="Q592" s="227"/>
      <c r="R592" s="227"/>
      <c r="S592" s="340"/>
      <c r="T592" s="226"/>
      <c r="U592" s="53"/>
      <c r="V592" s="53"/>
      <c r="W592" s="53"/>
      <c r="X592" s="53"/>
    </row>
    <row r="593" spans="1:24" ht="15.75" customHeight="1">
      <c r="A593" s="69"/>
      <c r="B593" s="69"/>
      <c r="C593" s="70" t="str">
        <f t="shared" ref="C593:C656" si="11">IF(B593&lt;&gt;"",TEXT(WEEKDAY(B593),"dddd"),"")</f>
        <v/>
      </c>
      <c r="D593" s="55"/>
      <c r="E593" s="53"/>
      <c r="F593" s="53"/>
      <c r="G593" s="372"/>
      <c r="H593" s="372"/>
      <c r="I593" s="379"/>
      <c r="J593" s="372"/>
      <c r="K593" s="373"/>
      <c r="L593" s="372"/>
      <c r="M593" s="372"/>
      <c r="N593" s="227"/>
      <c r="O593" s="227"/>
      <c r="P593" s="227"/>
      <c r="Q593" s="227"/>
      <c r="R593" s="227"/>
      <c r="S593" s="340"/>
      <c r="T593" s="226"/>
      <c r="U593" s="53"/>
      <c r="V593" s="53"/>
      <c r="W593" s="53"/>
      <c r="X593" s="53"/>
    </row>
    <row r="594" spans="1:24" ht="15.75" customHeight="1">
      <c r="A594" s="69"/>
      <c r="B594" s="69"/>
      <c r="C594" s="70" t="str">
        <f t="shared" si="11"/>
        <v/>
      </c>
      <c r="D594" s="55"/>
      <c r="E594" s="53"/>
      <c r="F594" s="53"/>
      <c r="G594" s="372"/>
      <c r="H594" s="372"/>
      <c r="I594" s="379"/>
      <c r="J594" s="372"/>
      <c r="K594" s="373"/>
      <c r="L594" s="372"/>
      <c r="M594" s="372"/>
      <c r="N594" s="227"/>
      <c r="O594" s="227"/>
      <c r="P594" s="227"/>
      <c r="Q594" s="227"/>
      <c r="R594" s="227"/>
      <c r="S594" s="340"/>
      <c r="T594" s="226"/>
      <c r="U594" s="53"/>
      <c r="V594" s="53"/>
      <c r="W594" s="53"/>
      <c r="X594" s="53"/>
    </row>
    <row r="595" spans="1:24" ht="15.75" customHeight="1">
      <c r="A595" s="69"/>
      <c r="B595" s="69"/>
      <c r="C595" s="70" t="str">
        <f t="shared" si="11"/>
        <v/>
      </c>
      <c r="D595" s="55"/>
      <c r="E595" s="53"/>
      <c r="F595" s="53"/>
      <c r="G595" s="372"/>
      <c r="H595" s="372"/>
      <c r="I595" s="379"/>
      <c r="J595" s="372"/>
      <c r="K595" s="373"/>
      <c r="L595" s="372"/>
      <c r="M595" s="372"/>
      <c r="N595" s="227"/>
      <c r="O595" s="227"/>
      <c r="P595" s="227"/>
      <c r="Q595" s="227"/>
      <c r="R595" s="227"/>
      <c r="S595" s="340"/>
      <c r="T595" s="226"/>
      <c r="U595" s="53"/>
      <c r="V595" s="53"/>
      <c r="W595" s="53"/>
      <c r="X595" s="53"/>
    </row>
    <row r="596" spans="1:24" ht="15.75" customHeight="1">
      <c r="A596" s="69"/>
      <c r="B596" s="69"/>
      <c r="C596" s="70" t="str">
        <f t="shared" si="11"/>
        <v/>
      </c>
      <c r="D596" s="55"/>
      <c r="E596" s="53"/>
      <c r="F596" s="53"/>
      <c r="G596" s="372"/>
      <c r="H596" s="372"/>
      <c r="I596" s="379"/>
      <c r="J596" s="372"/>
      <c r="K596" s="373"/>
      <c r="L596" s="372"/>
      <c r="M596" s="372"/>
      <c r="N596" s="227"/>
      <c r="O596" s="227"/>
      <c r="P596" s="227"/>
      <c r="Q596" s="227"/>
      <c r="R596" s="227"/>
      <c r="S596" s="340"/>
      <c r="T596" s="226"/>
      <c r="U596" s="53"/>
      <c r="V596" s="53"/>
      <c r="W596" s="53"/>
      <c r="X596" s="53"/>
    </row>
    <row r="597" spans="1:24" ht="15.75" customHeight="1">
      <c r="A597" s="69"/>
      <c r="B597" s="69"/>
      <c r="C597" s="70" t="str">
        <f t="shared" si="11"/>
        <v/>
      </c>
      <c r="D597" s="55"/>
      <c r="E597" s="53"/>
      <c r="F597" s="53"/>
      <c r="G597" s="372"/>
      <c r="H597" s="372"/>
      <c r="I597" s="379"/>
      <c r="J597" s="372"/>
      <c r="K597" s="373"/>
      <c r="L597" s="372"/>
      <c r="M597" s="372"/>
      <c r="N597" s="227"/>
      <c r="O597" s="227"/>
      <c r="P597" s="227"/>
      <c r="Q597" s="227"/>
      <c r="R597" s="227"/>
      <c r="S597" s="340"/>
      <c r="T597" s="226"/>
      <c r="U597" s="53"/>
      <c r="V597" s="53"/>
      <c r="W597" s="53"/>
      <c r="X597" s="53"/>
    </row>
    <row r="598" spans="1:24" ht="15.75" customHeight="1">
      <c r="A598" s="69"/>
      <c r="B598" s="69"/>
      <c r="C598" s="70" t="str">
        <f t="shared" si="11"/>
        <v/>
      </c>
      <c r="D598" s="55"/>
      <c r="E598" s="53"/>
      <c r="F598" s="53"/>
      <c r="G598" s="372"/>
      <c r="H598" s="372"/>
      <c r="I598" s="379"/>
      <c r="J598" s="372"/>
      <c r="K598" s="373"/>
      <c r="L598" s="372"/>
      <c r="M598" s="372"/>
      <c r="N598" s="227"/>
      <c r="O598" s="227"/>
      <c r="P598" s="227"/>
      <c r="Q598" s="227"/>
      <c r="R598" s="227"/>
      <c r="S598" s="340"/>
      <c r="T598" s="226"/>
      <c r="U598" s="53"/>
      <c r="V598" s="53"/>
      <c r="W598" s="53"/>
      <c r="X598" s="53"/>
    </row>
    <row r="599" spans="1:24" ht="15.75" customHeight="1">
      <c r="A599" s="69"/>
      <c r="B599" s="69"/>
      <c r="C599" s="70" t="str">
        <f t="shared" si="11"/>
        <v/>
      </c>
      <c r="D599" s="55"/>
      <c r="E599" s="53"/>
      <c r="F599" s="53"/>
      <c r="G599" s="372"/>
      <c r="H599" s="372"/>
      <c r="I599" s="379"/>
      <c r="J599" s="372"/>
      <c r="K599" s="373"/>
      <c r="L599" s="372"/>
      <c r="M599" s="372"/>
      <c r="N599" s="227"/>
      <c r="O599" s="227"/>
      <c r="P599" s="227"/>
      <c r="Q599" s="227"/>
      <c r="R599" s="227"/>
      <c r="S599" s="340"/>
      <c r="T599" s="226"/>
      <c r="U599" s="53"/>
      <c r="V599" s="53"/>
      <c r="W599" s="53"/>
      <c r="X599" s="53"/>
    </row>
    <row r="600" spans="1:24" ht="15.75" customHeight="1">
      <c r="A600" s="69"/>
      <c r="B600" s="69"/>
      <c r="C600" s="70" t="str">
        <f t="shared" si="11"/>
        <v/>
      </c>
      <c r="D600" s="55"/>
      <c r="E600" s="53"/>
      <c r="F600" s="53"/>
      <c r="G600" s="372"/>
      <c r="H600" s="372"/>
      <c r="I600" s="379"/>
      <c r="J600" s="372"/>
      <c r="K600" s="373"/>
      <c r="L600" s="372"/>
      <c r="M600" s="372"/>
      <c r="N600" s="227"/>
      <c r="O600" s="227"/>
      <c r="P600" s="227"/>
      <c r="Q600" s="227"/>
      <c r="R600" s="227"/>
      <c r="S600" s="340"/>
      <c r="T600" s="226"/>
      <c r="U600" s="53"/>
      <c r="V600" s="53"/>
      <c r="W600" s="53"/>
      <c r="X600" s="53"/>
    </row>
    <row r="601" spans="1:24" ht="15.75" customHeight="1">
      <c r="A601" s="69"/>
      <c r="B601" s="69"/>
      <c r="C601" s="70" t="str">
        <f t="shared" si="11"/>
        <v/>
      </c>
      <c r="D601" s="55"/>
      <c r="E601" s="53"/>
      <c r="F601" s="53"/>
      <c r="G601" s="372"/>
      <c r="H601" s="372"/>
      <c r="I601" s="379"/>
      <c r="J601" s="372"/>
      <c r="K601" s="373"/>
      <c r="L601" s="372"/>
      <c r="M601" s="372"/>
      <c r="N601" s="227"/>
      <c r="O601" s="227"/>
      <c r="P601" s="227"/>
      <c r="Q601" s="227"/>
      <c r="R601" s="227"/>
      <c r="S601" s="340"/>
      <c r="T601" s="226"/>
      <c r="U601" s="53"/>
      <c r="V601" s="53"/>
      <c r="W601" s="53"/>
      <c r="X601" s="53"/>
    </row>
    <row r="602" spans="1:24" ht="15.75" customHeight="1">
      <c r="A602" s="69"/>
      <c r="B602" s="69"/>
      <c r="C602" s="70" t="str">
        <f t="shared" si="11"/>
        <v/>
      </c>
      <c r="D602" s="55"/>
      <c r="E602" s="53"/>
      <c r="F602" s="53"/>
      <c r="G602" s="372"/>
      <c r="H602" s="372"/>
      <c r="I602" s="379"/>
      <c r="J602" s="372"/>
      <c r="K602" s="373"/>
      <c r="L602" s="372"/>
      <c r="M602" s="372"/>
      <c r="N602" s="227"/>
      <c r="O602" s="227"/>
      <c r="P602" s="227"/>
      <c r="Q602" s="227"/>
      <c r="R602" s="227"/>
      <c r="S602" s="340"/>
      <c r="T602" s="226"/>
      <c r="U602" s="53"/>
      <c r="V602" s="53"/>
      <c r="W602" s="53"/>
      <c r="X602" s="53"/>
    </row>
    <row r="603" spans="1:24" ht="15.75" customHeight="1">
      <c r="A603" s="69"/>
      <c r="B603" s="69"/>
      <c r="C603" s="70" t="str">
        <f t="shared" si="11"/>
        <v/>
      </c>
      <c r="D603" s="55"/>
      <c r="E603" s="53"/>
      <c r="F603" s="53"/>
      <c r="G603" s="372"/>
      <c r="H603" s="372"/>
      <c r="I603" s="379"/>
      <c r="J603" s="372"/>
      <c r="K603" s="373"/>
      <c r="L603" s="372"/>
      <c r="M603" s="372"/>
      <c r="N603" s="227"/>
      <c r="O603" s="227"/>
      <c r="P603" s="227"/>
      <c r="Q603" s="227"/>
      <c r="R603" s="227"/>
      <c r="S603" s="340"/>
      <c r="T603" s="226"/>
      <c r="U603" s="53"/>
      <c r="V603" s="53"/>
      <c r="W603" s="53"/>
      <c r="X603" s="53"/>
    </row>
    <row r="604" spans="1:24" ht="15.75" customHeight="1">
      <c r="A604" s="69"/>
      <c r="B604" s="69"/>
      <c r="C604" s="70" t="str">
        <f t="shared" si="11"/>
        <v/>
      </c>
      <c r="D604" s="55"/>
      <c r="E604" s="53"/>
      <c r="F604" s="53"/>
      <c r="G604" s="372"/>
      <c r="H604" s="372"/>
      <c r="I604" s="379"/>
      <c r="J604" s="372"/>
      <c r="K604" s="373"/>
      <c r="L604" s="372"/>
      <c r="M604" s="372"/>
      <c r="N604" s="227"/>
      <c r="O604" s="227"/>
      <c r="P604" s="227"/>
      <c r="Q604" s="227"/>
      <c r="R604" s="227"/>
      <c r="S604" s="340"/>
      <c r="T604" s="226"/>
      <c r="U604" s="53"/>
      <c r="V604" s="53"/>
      <c r="W604" s="53"/>
      <c r="X604" s="53"/>
    </row>
    <row r="605" spans="1:24" ht="15.75" customHeight="1">
      <c r="A605" s="69"/>
      <c r="B605" s="69"/>
      <c r="C605" s="70" t="str">
        <f t="shared" si="11"/>
        <v/>
      </c>
      <c r="D605" s="55"/>
      <c r="E605" s="53"/>
      <c r="F605" s="53"/>
      <c r="G605" s="372"/>
      <c r="H605" s="372"/>
      <c r="I605" s="379"/>
      <c r="J605" s="372"/>
      <c r="K605" s="373"/>
      <c r="L605" s="372"/>
      <c r="M605" s="372"/>
      <c r="N605" s="227"/>
      <c r="O605" s="227"/>
      <c r="P605" s="227"/>
      <c r="Q605" s="227"/>
      <c r="R605" s="227"/>
      <c r="S605" s="340"/>
      <c r="T605" s="226"/>
      <c r="U605" s="53"/>
      <c r="V605" s="53"/>
      <c r="W605" s="53"/>
      <c r="X605" s="53"/>
    </row>
    <row r="606" spans="1:24" ht="15.75" customHeight="1">
      <c r="A606" s="69"/>
      <c r="B606" s="69"/>
      <c r="C606" s="70" t="str">
        <f t="shared" si="11"/>
        <v/>
      </c>
      <c r="D606" s="55"/>
      <c r="E606" s="53"/>
      <c r="F606" s="53"/>
      <c r="G606" s="372"/>
      <c r="H606" s="372"/>
      <c r="I606" s="379"/>
      <c r="J606" s="372"/>
      <c r="K606" s="373"/>
      <c r="L606" s="372"/>
      <c r="M606" s="372"/>
      <c r="N606" s="227"/>
      <c r="O606" s="227"/>
      <c r="P606" s="227"/>
      <c r="Q606" s="227"/>
      <c r="R606" s="227"/>
      <c r="S606" s="340"/>
      <c r="T606" s="226"/>
      <c r="U606" s="53"/>
      <c r="V606" s="53"/>
      <c r="W606" s="53"/>
      <c r="X606" s="53"/>
    </row>
    <row r="607" spans="1:24" ht="15.75" customHeight="1">
      <c r="A607" s="69"/>
      <c r="B607" s="69"/>
      <c r="C607" s="70" t="str">
        <f t="shared" si="11"/>
        <v/>
      </c>
      <c r="D607" s="55"/>
      <c r="E607" s="53"/>
      <c r="F607" s="53"/>
      <c r="G607" s="372"/>
      <c r="H607" s="372"/>
      <c r="I607" s="379"/>
      <c r="J607" s="372"/>
      <c r="K607" s="373"/>
      <c r="L607" s="372"/>
      <c r="M607" s="372"/>
      <c r="N607" s="227"/>
      <c r="O607" s="227"/>
      <c r="P607" s="227"/>
      <c r="Q607" s="227"/>
      <c r="R607" s="227"/>
      <c r="S607" s="340"/>
      <c r="T607" s="226"/>
      <c r="U607" s="53"/>
      <c r="V607" s="53"/>
      <c r="W607" s="53"/>
      <c r="X607" s="53"/>
    </row>
    <row r="608" spans="1:24" ht="15.75" customHeight="1">
      <c r="A608" s="69"/>
      <c r="B608" s="69"/>
      <c r="C608" s="70" t="str">
        <f t="shared" si="11"/>
        <v/>
      </c>
      <c r="D608" s="55"/>
      <c r="E608" s="53"/>
      <c r="F608" s="53"/>
      <c r="G608" s="372"/>
      <c r="H608" s="372"/>
      <c r="I608" s="379"/>
      <c r="J608" s="372"/>
      <c r="K608" s="373"/>
      <c r="L608" s="372"/>
      <c r="M608" s="372"/>
      <c r="N608" s="227"/>
      <c r="O608" s="227"/>
      <c r="P608" s="227"/>
      <c r="Q608" s="227"/>
      <c r="R608" s="227"/>
      <c r="S608" s="340"/>
      <c r="T608" s="226"/>
      <c r="U608" s="53"/>
      <c r="V608" s="53"/>
      <c r="W608" s="53"/>
      <c r="X608" s="53"/>
    </row>
    <row r="609" spans="1:24" ht="15.75" customHeight="1">
      <c r="A609" s="69"/>
      <c r="B609" s="69"/>
      <c r="C609" s="70" t="str">
        <f t="shared" si="11"/>
        <v/>
      </c>
      <c r="D609" s="55"/>
      <c r="E609" s="53"/>
      <c r="F609" s="53"/>
      <c r="G609" s="372"/>
      <c r="H609" s="372"/>
      <c r="I609" s="379"/>
      <c r="J609" s="372"/>
      <c r="K609" s="373"/>
      <c r="L609" s="372"/>
      <c r="M609" s="372"/>
      <c r="N609" s="227"/>
      <c r="O609" s="227"/>
      <c r="P609" s="227"/>
      <c r="Q609" s="227"/>
      <c r="R609" s="227"/>
      <c r="S609" s="340"/>
      <c r="T609" s="226"/>
      <c r="U609" s="53"/>
      <c r="V609" s="53"/>
      <c r="W609" s="53"/>
      <c r="X609" s="53"/>
    </row>
    <row r="610" spans="1:24" ht="15.75" customHeight="1">
      <c r="A610" s="69"/>
      <c r="B610" s="69"/>
      <c r="C610" s="70" t="str">
        <f t="shared" si="11"/>
        <v/>
      </c>
      <c r="D610" s="55"/>
      <c r="E610" s="53"/>
      <c r="F610" s="53"/>
      <c r="G610" s="372"/>
      <c r="H610" s="372"/>
      <c r="I610" s="379"/>
      <c r="J610" s="372"/>
      <c r="K610" s="373"/>
      <c r="L610" s="372"/>
      <c r="M610" s="372"/>
      <c r="N610" s="227"/>
      <c r="O610" s="227"/>
      <c r="P610" s="227"/>
      <c r="Q610" s="227"/>
      <c r="R610" s="227"/>
      <c r="S610" s="340"/>
      <c r="T610" s="226"/>
      <c r="U610" s="53"/>
      <c r="V610" s="53"/>
      <c r="W610" s="53"/>
      <c r="X610" s="53"/>
    </row>
    <row r="611" spans="1:24" ht="15.75" customHeight="1">
      <c r="A611" s="69"/>
      <c r="B611" s="69"/>
      <c r="C611" s="70" t="str">
        <f t="shared" si="11"/>
        <v/>
      </c>
      <c r="D611" s="55"/>
      <c r="E611" s="53"/>
      <c r="F611" s="53"/>
      <c r="G611" s="372"/>
      <c r="H611" s="372"/>
      <c r="I611" s="379"/>
      <c r="J611" s="372"/>
      <c r="K611" s="373"/>
      <c r="L611" s="372"/>
      <c r="M611" s="372"/>
      <c r="N611" s="227"/>
      <c r="O611" s="227"/>
      <c r="P611" s="227"/>
      <c r="Q611" s="227"/>
      <c r="R611" s="227"/>
      <c r="S611" s="340"/>
      <c r="T611" s="226"/>
      <c r="U611" s="53"/>
      <c r="V611" s="53"/>
      <c r="W611" s="53"/>
      <c r="X611" s="53"/>
    </row>
    <row r="612" spans="1:24" ht="15.75" customHeight="1">
      <c r="A612" s="69"/>
      <c r="B612" s="69"/>
      <c r="C612" s="70" t="str">
        <f t="shared" si="11"/>
        <v/>
      </c>
      <c r="D612" s="55"/>
      <c r="E612" s="53"/>
      <c r="F612" s="53"/>
      <c r="G612" s="372"/>
      <c r="H612" s="372"/>
      <c r="I612" s="379"/>
      <c r="J612" s="372"/>
      <c r="K612" s="373"/>
      <c r="L612" s="372"/>
      <c r="M612" s="372"/>
      <c r="N612" s="227"/>
      <c r="O612" s="227"/>
      <c r="P612" s="227"/>
      <c r="Q612" s="227"/>
      <c r="R612" s="227"/>
      <c r="S612" s="340"/>
      <c r="T612" s="226"/>
      <c r="U612" s="53"/>
      <c r="V612" s="53"/>
      <c r="W612" s="53"/>
      <c r="X612" s="53"/>
    </row>
    <row r="613" spans="1:24" ht="15.75" customHeight="1">
      <c r="A613" s="69"/>
      <c r="B613" s="69"/>
      <c r="C613" s="70" t="str">
        <f t="shared" si="11"/>
        <v/>
      </c>
      <c r="D613" s="55"/>
      <c r="E613" s="53"/>
      <c r="F613" s="53"/>
      <c r="G613" s="372"/>
      <c r="H613" s="372"/>
      <c r="I613" s="379"/>
      <c r="J613" s="372"/>
      <c r="K613" s="373"/>
      <c r="L613" s="372"/>
      <c r="M613" s="372"/>
      <c r="N613" s="227"/>
      <c r="O613" s="227"/>
      <c r="P613" s="227"/>
      <c r="Q613" s="227"/>
      <c r="R613" s="227"/>
      <c r="S613" s="340"/>
      <c r="T613" s="226"/>
      <c r="U613" s="53"/>
      <c r="V613" s="53"/>
      <c r="W613" s="53"/>
      <c r="X613" s="53"/>
    </row>
    <row r="614" spans="1:24" ht="15.75" customHeight="1">
      <c r="A614" s="69"/>
      <c r="B614" s="69"/>
      <c r="C614" s="70" t="str">
        <f t="shared" si="11"/>
        <v/>
      </c>
      <c r="D614" s="55"/>
      <c r="E614" s="53"/>
      <c r="F614" s="53"/>
      <c r="G614" s="372"/>
      <c r="H614" s="372"/>
      <c r="I614" s="379"/>
      <c r="J614" s="372"/>
      <c r="K614" s="373"/>
      <c r="L614" s="372"/>
      <c r="M614" s="372"/>
      <c r="N614" s="227"/>
      <c r="O614" s="227"/>
      <c r="P614" s="227"/>
      <c r="Q614" s="227"/>
      <c r="R614" s="227"/>
      <c r="S614" s="340"/>
      <c r="T614" s="226"/>
      <c r="U614" s="53"/>
      <c r="V614" s="53"/>
      <c r="W614" s="53"/>
      <c r="X614" s="53"/>
    </row>
    <row r="615" spans="1:24" ht="15.75" customHeight="1">
      <c r="A615" s="69"/>
      <c r="B615" s="69"/>
      <c r="C615" s="70" t="str">
        <f t="shared" si="11"/>
        <v/>
      </c>
      <c r="D615" s="55"/>
      <c r="E615" s="53"/>
      <c r="F615" s="53"/>
      <c r="G615" s="372"/>
      <c r="H615" s="372"/>
      <c r="I615" s="379"/>
      <c r="J615" s="372"/>
      <c r="K615" s="373"/>
      <c r="L615" s="372"/>
      <c r="M615" s="372"/>
      <c r="N615" s="227"/>
      <c r="O615" s="227"/>
      <c r="P615" s="227"/>
      <c r="Q615" s="227"/>
      <c r="R615" s="227"/>
      <c r="S615" s="340"/>
      <c r="T615" s="226"/>
      <c r="U615" s="53"/>
      <c r="V615" s="53"/>
      <c r="W615" s="53"/>
      <c r="X615" s="53"/>
    </row>
    <row r="616" spans="1:24" ht="15.75" customHeight="1">
      <c r="A616" s="69"/>
      <c r="B616" s="69"/>
      <c r="C616" s="70" t="str">
        <f t="shared" si="11"/>
        <v/>
      </c>
      <c r="D616" s="55"/>
      <c r="E616" s="53"/>
      <c r="F616" s="53"/>
      <c r="G616" s="372"/>
      <c r="H616" s="372"/>
      <c r="I616" s="379"/>
      <c r="J616" s="372"/>
      <c r="K616" s="373"/>
      <c r="L616" s="372"/>
      <c r="M616" s="372"/>
      <c r="N616" s="227"/>
      <c r="O616" s="227"/>
      <c r="P616" s="227"/>
      <c r="Q616" s="227"/>
      <c r="R616" s="227"/>
      <c r="S616" s="340"/>
      <c r="T616" s="226"/>
      <c r="U616" s="53"/>
      <c r="V616" s="53"/>
      <c r="W616" s="53"/>
      <c r="X616" s="53"/>
    </row>
    <row r="617" spans="1:24" ht="15.75" customHeight="1">
      <c r="A617" s="69"/>
      <c r="B617" s="69"/>
      <c r="C617" s="70" t="str">
        <f t="shared" si="11"/>
        <v/>
      </c>
      <c r="D617" s="55"/>
      <c r="E617" s="53"/>
      <c r="F617" s="53"/>
      <c r="G617" s="372"/>
      <c r="H617" s="372"/>
      <c r="I617" s="379"/>
      <c r="J617" s="372"/>
      <c r="K617" s="373"/>
      <c r="L617" s="372"/>
      <c r="M617" s="372"/>
      <c r="N617" s="227"/>
      <c r="O617" s="227"/>
      <c r="P617" s="227"/>
      <c r="Q617" s="227"/>
      <c r="R617" s="227"/>
      <c r="S617" s="340"/>
      <c r="T617" s="226"/>
      <c r="U617" s="53"/>
      <c r="V617" s="53"/>
      <c r="W617" s="53"/>
      <c r="X617" s="53"/>
    </row>
    <row r="618" spans="1:24" ht="15.75" customHeight="1">
      <c r="A618" s="69"/>
      <c r="B618" s="69"/>
      <c r="C618" s="70" t="str">
        <f t="shared" si="11"/>
        <v/>
      </c>
      <c r="D618" s="55"/>
      <c r="E618" s="53"/>
      <c r="F618" s="53"/>
      <c r="G618" s="372"/>
      <c r="H618" s="372"/>
      <c r="I618" s="379"/>
      <c r="J618" s="372"/>
      <c r="K618" s="373"/>
      <c r="L618" s="372"/>
      <c r="M618" s="372"/>
      <c r="N618" s="227"/>
      <c r="O618" s="227"/>
      <c r="P618" s="227"/>
      <c r="Q618" s="227"/>
      <c r="R618" s="227"/>
      <c r="S618" s="340"/>
      <c r="T618" s="226"/>
      <c r="U618" s="53"/>
      <c r="V618" s="53"/>
      <c r="W618" s="53"/>
      <c r="X618" s="53"/>
    </row>
    <row r="619" spans="1:24" ht="15.75" customHeight="1">
      <c r="A619" s="69"/>
      <c r="B619" s="69"/>
      <c r="C619" s="70" t="str">
        <f t="shared" si="11"/>
        <v/>
      </c>
      <c r="D619" s="55"/>
      <c r="E619" s="53"/>
      <c r="F619" s="53"/>
      <c r="G619" s="372"/>
      <c r="H619" s="372"/>
      <c r="I619" s="379"/>
      <c r="J619" s="372"/>
      <c r="K619" s="373"/>
      <c r="L619" s="372"/>
      <c r="M619" s="372"/>
      <c r="N619" s="227"/>
      <c r="O619" s="227"/>
      <c r="P619" s="227"/>
      <c r="Q619" s="227"/>
      <c r="R619" s="227"/>
      <c r="S619" s="340"/>
      <c r="T619" s="226"/>
      <c r="U619" s="53"/>
      <c r="V619" s="53"/>
      <c r="W619" s="53"/>
      <c r="X619" s="53"/>
    </row>
    <row r="620" spans="1:24" ht="15.75" customHeight="1">
      <c r="A620" s="69"/>
      <c r="B620" s="69"/>
      <c r="C620" s="70" t="str">
        <f t="shared" si="11"/>
        <v/>
      </c>
      <c r="D620" s="55"/>
      <c r="E620" s="53"/>
      <c r="F620" s="53"/>
      <c r="G620" s="372"/>
      <c r="H620" s="372"/>
      <c r="I620" s="379"/>
      <c r="J620" s="372"/>
      <c r="K620" s="373"/>
      <c r="L620" s="372"/>
      <c r="M620" s="372"/>
      <c r="N620" s="227"/>
      <c r="O620" s="227"/>
      <c r="P620" s="227"/>
      <c r="Q620" s="227"/>
      <c r="R620" s="227"/>
      <c r="S620" s="340"/>
      <c r="T620" s="226"/>
      <c r="U620" s="53"/>
      <c r="V620" s="53"/>
      <c r="W620" s="53"/>
      <c r="X620" s="53"/>
    </row>
    <row r="621" spans="1:24" ht="15.75" customHeight="1">
      <c r="A621" s="69"/>
      <c r="B621" s="69"/>
      <c r="C621" s="70" t="str">
        <f t="shared" si="11"/>
        <v/>
      </c>
      <c r="D621" s="55"/>
      <c r="E621" s="53"/>
      <c r="F621" s="53"/>
      <c r="G621" s="372"/>
      <c r="H621" s="372"/>
      <c r="I621" s="379"/>
      <c r="J621" s="372"/>
      <c r="K621" s="373"/>
      <c r="L621" s="372"/>
      <c r="M621" s="372"/>
      <c r="N621" s="227"/>
      <c r="O621" s="227"/>
      <c r="P621" s="227"/>
      <c r="Q621" s="227"/>
      <c r="R621" s="227"/>
      <c r="S621" s="340"/>
      <c r="T621" s="226"/>
      <c r="U621" s="53"/>
      <c r="V621" s="53"/>
      <c r="W621" s="53"/>
      <c r="X621" s="53"/>
    </row>
    <row r="622" spans="1:24" ht="15.75" customHeight="1">
      <c r="A622" s="69"/>
      <c r="B622" s="69"/>
      <c r="C622" s="70" t="str">
        <f t="shared" si="11"/>
        <v/>
      </c>
      <c r="D622" s="55"/>
      <c r="E622" s="53"/>
      <c r="F622" s="53"/>
      <c r="G622" s="372"/>
      <c r="H622" s="372"/>
      <c r="I622" s="379"/>
      <c r="J622" s="372"/>
      <c r="K622" s="373"/>
      <c r="L622" s="372"/>
      <c r="M622" s="372"/>
      <c r="N622" s="227"/>
      <c r="O622" s="227"/>
      <c r="P622" s="227"/>
      <c r="Q622" s="227"/>
      <c r="R622" s="227"/>
      <c r="S622" s="340"/>
      <c r="T622" s="226"/>
      <c r="U622" s="53"/>
      <c r="V622" s="53"/>
      <c r="W622" s="53"/>
      <c r="X622" s="53"/>
    </row>
    <row r="623" spans="1:24" ht="15.75" customHeight="1">
      <c r="A623" s="69"/>
      <c r="B623" s="69"/>
      <c r="C623" s="70" t="str">
        <f t="shared" si="11"/>
        <v/>
      </c>
      <c r="D623" s="55"/>
      <c r="E623" s="53"/>
      <c r="F623" s="53"/>
      <c r="G623" s="372"/>
      <c r="H623" s="372"/>
      <c r="I623" s="379"/>
      <c r="J623" s="372"/>
      <c r="K623" s="373"/>
      <c r="L623" s="372"/>
      <c r="M623" s="372"/>
      <c r="N623" s="227"/>
      <c r="O623" s="227"/>
      <c r="P623" s="227"/>
      <c r="Q623" s="227"/>
      <c r="R623" s="227"/>
      <c r="S623" s="340"/>
      <c r="T623" s="226"/>
      <c r="U623" s="53"/>
      <c r="V623" s="53"/>
      <c r="W623" s="53"/>
      <c r="X623" s="53"/>
    </row>
    <row r="624" spans="1:24" ht="15.75" customHeight="1">
      <c r="A624" s="69"/>
      <c r="B624" s="69"/>
      <c r="C624" s="70" t="str">
        <f t="shared" si="11"/>
        <v/>
      </c>
      <c r="D624" s="55"/>
      <c r="E624" s="53"/>
      <c r="F624" s="53"/>
      <c r="G624" s="372"/>
      <c r="H624" s="372"/>
      <c r="I624" s="379"/>
      <c r="J624" s="372"/>
      <c r="K624" s="373"/>
      <c r="L624" s="372"/>
      <c r="M624" s="372"/>
      <c r="N624" s="227"/>
      <c r="O624" s="227"/>
      <c r="P624" s="227"/>
      <c r="Q624" s="227"/>
      <c r="R624" s="227"/>
      <c r="S624" s="340"/>
      <c r="T624" s="226"/>
      <c r="U624" s="53"/>
      <c r="V624" s="53"/>
      <c r="W624" s="53"/>
      <c r="X624" s="53"/>
    </row>
    <row r="625" spans="1:24" ht="15.75" customHeight="1">
      <c r="A625" s="69"/>
      <c r="B625" s="69"/>
      <c r="C625" s="70" t="str">
        <f t="shared" si="11"/>
        <v/>
      </c>
      <c r="D625" s="55"/>
      <c r="E625" s="53"/>
      <c r="F625" s="53"/>
      <c r="G625" s="372"/>
      <c r="H625" s="372"/>
      <c r="I625" s="379"/>
      <c r="J625" s="372"/>
      <c r="K625" s="373"/>
      <c r="L625" s="372"/>
      <c r="M625" s="372"/>
      <c r="N625" s="227"/>
      <c r="O625" s="227"/>
      <c r="P625" s="227"/>
      <c r="Q625" s="227"/>
      <c r="R625" s="227"/>
      <c r="S625" s="340"/>
      <c r="T625" s="226"/>
      <c r="U625" s="53"/>
      <c r="V625" s="53"/>
      <c r="W625" s="53"/>
      <c r="X625" s="53"/>
    </row>
    <row r="626" spans="1:24" ht="15.75" customHeight="1">
      <c r="A626" s="69"/>
      <c r="B626" s="69"/>
      <c r="C626" s="70" t="str">
        <f t="shared" si="11"/>
        <v/>
      </c>
      <c r="D626" s="55"/>
      <c r="E626" s="53"/>
      <c r="F626" s="53"/>
      <c r="G626" s="372"/>
      <c r="H626" s="372"/>
      <c r="I626" s="379"/>
      <c r="J626" s="372"/>
      <c r="K626" s="373"/>
      <c r="L626" s="372"/>
      <c r="M626" s="372"/>
      <c r="N626" s="227"/>
      <c r="O626" s="227"/>
      <c r="P626" s="227"/>
      <c r="Q626" s="227"/>
      <c r="R626" s="227"/>
      <c r="S626" s="340"/>
      <c r="T626" s="226"/>
      <c r="U626" s="53"/>
      <c r="V626" s="53"/>
      <c r="W626" s="53"/>
      <c r="X626" s="53"/>
    </row>
    <row r="627" spans="1:24" ht="15.75" customHeight="1">
      <c r="A627" s="69"/>
      <c r="B627" s="69"/>
      <c r="C627" s="70" t="str">
        <f t="shared" si="11"/>
        <v/>
      </c>
      <c r="D627" s="55"/>
      <c r="E627" s="53"/>
      <c r="F627" s="53"/>
      <c r="G627" s="372"/>
      <c r="H627" s="372"/>
      <c r="I627" s="379"/>
      <c r="J627" s="372"/>
      <c r="K627" s="373"/>
      <c r="L627" s="372"/>
      <c r="M627" s="372"/>
      <c r="N627" s="227"/>
      <c r="O627" s="227"/>
      <c r="P627" s="227"/>
      <c r="Q627" s="227"/>
      <c r="R627" s="227"/>
      <c r="S627" s="340"/>
      <c r="T627" s="226"/>
      <c r="U627" s="53"/>
      <c r="V627" s="53"/>
      <c r="W627" s="53"/>
      <c r="X627" s="53"/>
    </row>
    <row r="628" spans="1:24" ht="15.75" customHeight="1">
      <c r="A628" s="69"/>
      <c r="B628" s="69"/>
      <c r="C628" s="70" t="str">
        <f t="shared" si="11"/>
        <v/>
      </c>
      <c r="D628" s="55"/>
      <c r="E628" s="53"/>
      <c r="F628" s="53"/>
      <c r="G628" s="372"/>
      <c r="H628" s="372"/>
      <c r="I628" s="379"/>
      <c r="J628" s="372"/>
      <c r="K628" s="373"/>
      <c r="L628" s="372"/>
      <c r="M628" s="372"/>
      <c r="N628" s="227"/>
      <c r="O628" s="227"/>
      <c r="P628" s="227"/>
      <c r="Q628" s="227"/>
      <c r="R628" s="227"/>
      <c r="S628" s="340"/>
      <c r="T628" s="226"/>
      <c r="U628" s="53"/>
      <c r="V628" s="53"/>
      <c r="W628" s="53"/>
      <c r="X628" s="53"/>
    </row>
    <row r="629" spans="1:24" ht="15.75" customHeight="1">
      <c r="A629" s="69"/>
      <c r="B629" s="69"/>
      <c r="C629" s="70" t="str">
        <f t="shared" si="11"/>
        <v/>
      </c>
      <c r="D629" s="55"/>
      <c r="E629" s="53"/>
      <c r="F629" s="53"/>
      <c r="G629" s="372"/>
      <c r="H629" s="372"/>
      <c r="I629" s="379"/>
      <c r="J629" s="372"/>
      <c r="K629" s="373"/>
      <c r="L629" s="372"/>
      <c r="M629" s="372"/>
      <c r="N629" s="227"/>
      <c r="O629" s="227"/>
      <c r="P629" s="227"/>
      <c r="Q629" s="227"/>
      <c r="R629" s="227"/>
      <c r="S629" s="340"/>
      <c r="T629" s="226"/>
      <c r="U629" s="53"/>
      <c r="V629" s="53"/>
      <c r="W629" s="53"/>
      <c r="X629" s="53"/>
    </row>
    <row r="630" spans="1:24" ht="15.75" customHeight="1">
      <c r="A630" s="69"/>
      <c r="B630" s="69"/>
      <c r="C630" s="70" t="str">
        <f t="shared" si="11"/>
        <v/>
      </c>
      <c r="D630" s="55"/>
      <c r="E630" s="53"/>
      <c r="F630" s="53"/>
      <c r="G630" s="372"/>
      <c r="H630" s="372"/>
      <c r="I630" s="379"/>
      <c r="J630" s="372"/>
      <c r="K630" s="373"/>
      <c r="L630" s="372"/>
      <c r="M630" s="372"/>
      <c r="N630" s="227"/>
      <c r="O630" s="227"/>
      <c r="P630" s="227"/>
      <c r="Q630" s="227"/>
      <c r="R630" s="227"/>
      <c r="S630" s="340"/>
      <c r="T630" s="226"/>
      <c r="U630" s="53"/>
      <c r="V630" s="53"/>
      <c r="W630" s="53"/>
      <c r="X630" s="53"/>
    </row>
    <row r="631" spans="1:24" ht="15.75" customHeight="1">
      <c r="A631" s="69"/>
      <c r="B631" s="69"/>
      <c r="C631" s="70" t="str">
        <f t="shared" si="11"/>
        <v/>
      </c>
      <c r="D631" s="55"/>
      <c r="E631" s="53"/>
      <c r="F631" s="53"/>
      <c r="G631" s="372"/>
      <c r="H631" s="372"/>
      <c r="I631" s="379"/>
      <c r="J631" s="372"/>
      <c r="K631" s="373"/>
      <c r="L631" s="372"/>
      <c r="M631" s="372"/>
      <c r="N631" s="227"/>
      <c r="O631" s="227"/>
      <c r="P631" s="227"/>
      <c r="Q631" s="227"/>
      <c r="R631" s="227"/>
      <c r="S631" s="340"/>
      <c r="T631" s="226"/>
      <c r="U631" s="53"/>
      <c r="V631" s="53"/>
      <c r="W631" s="53"/>
      <c r="X631" s="53"/>
    </row>
    <row r="632" spans="1:24" ht="15.75" customHeight="1">
      <c r="A632" s="69"/>
      <c r="B632" s="69"/>
      <c r="C632" s="70" t="str">
        <f t="shared" si="11"/>
        <v/>
      </c>
      <c r="D632" s="55"/>
      <c r="E632" s="53"/>
      <c r="F632" s="53"/>
      <c r="G632" s="372"/>
      <c r="H632" s="372"/>
      <c r="I632" s="379"/>
      <c r="J632" s="372"/>
      <c r="K632" s="373"/>
      <c r="L632" s="372"/>
      <c r="M632" s="372"/>
      <c r="N632" s="227"/>
      <c r="O632" s="227"/>
      <c r="P632" s="227"/>
      <c r="Q632" s="227"/>
      <c r="R632" s="227"/>
      <c r="S632" s="340"/>
      <c r="T632" s="226"/>
      <c r="U632" s="53"/>
      <c r="V632" s="53"/>
      <c r="W632" s="53"/>
      <c r="X632" s="53"/>
    </row>
    <row r="633" spans="1:24" ht="15.75" customHeight="1">
      <c r="A633" s="69"/>
      <c r="B633" s="69"/>
      <c r="C633" s="70" t="str">
        <f t="shared" si="11"/>
        <v/>
      </c>
      <c r="D633" s="55"/>
      <c r="E633" s="53"/>
      <c r="F633" s="53"/>
      <c r="G633" s="372"/>
      <c r="H633" s="372"/>
      <c r="I633" s="379"/>
      <c r="J633" s="372"/>
      <c r="K633" s="373"/>
      <c r="L633" s="372"/>
      <c r="M633" s="372"/>
      <c r="N633" s="227"/>
      <c r="O633" s="227"/>
      <c r="P633" s="227"/>
      <c r="Q633" s="227"/>
      <c r="R633" s="227"/>
      <c r="S633" s="340"/>
      <c r="T633" s="226"/>
      <c r="U633" s="53"/>
      <c r="V633" s="53"/>
      <c r="W633" s="53"/>
      <c r="X633" s="53"/>
    </row>
    <row r="634" spans="1:24" ht="15.75" customHeight="1">
      <c r="A634" s="69"/>
      <c r="B634" s="69"/>
      <c r="C634" s="70" t="str">
        <f t="shared" si="11"/>
        <v/>
      </c>
      <c r="D634" s="55"/>
      <c r="E634" s="53"/>
      <c r="F634" s="53"/>
      <c r="G634" s="372"/>
      <c r="H634" s="372"/>
      <c r="I634" s="379"/>
      <c r="J634" s="372"/>
      <c r="K634" s="373"/>
      <c r="L634" s="372"/>
      <c r="M634" s="372"/>
      <c r="N634" s="227"/>
      <c r="O634" s="227"/>
      <c r="P634" s="227"/>
      <c r="Q634" s="227"/>
      <c r="R634" s="227"/>
      <c r="S634" s="340"/>
      <c r="T634" s="226"/>
      <c r="U634" s="53"/>
      <c r="V634" s="53"/>
      <c r="W634" s="53"/>
      <c r="X634" s="53"/>
    </row>
    <row r="635" spans="1:24" ht="15.75" customHeight="1">
      <c r="A635" s="69"/>
      <c r="B635" s="69"/>
      <c r="C635" s="70" t="str">
        <f t="shared" si="11"/>
        <v/>
      </c>
      <c r="D635" s="55"/>
      <c r="E635" s="53"/>
      <c r="F635" s="53"/>
      <c r="G635" s="372"/>
      <c r="H635" s="372"/>
      <c r="I635" s="379"/>
      <c r="J635" s="372"/>
      <c r="K635" s="373"/>
      <c r="L635" s="372"/>
      <c r="M635" s="372"/>
      <c r="N635" s="227"/>
      <c r="O635" s="227"/>
      <c r="P635" s="227"/>
      <c r="Q635" s="227"/>
      <c r="R635" s="227"/>
      <c r="S635" s="340"/>
      <c r="T635" s="226"/>
      <c r="U635" s="53"/>
      <c r="V635" s="53"/>
      <c r="W635" s="53"/>
      <c r="X635" s="53"/>
    </row>
    <row r="636" spans="1:24" ht="15.75" customHeight="1">
      <c r="A636" s="69"/>
      <c r="B636" s="69"/>
      <c r="C636" s="70" t="str">
        <f t="shared" si="11"/>
        <v/>
      </c>
      <c r="D636" s="55"/>
      <c r="E636" s="53"/>
      <c r="F636" s="53"/>
      <c r="G636" s="372"/>
      <c r="H636" s="372"/>
      <c r="I636" s="379"/>
      <c r="J636" s="372"/>
      <c r="K636" s="373"/>
      <c r="L636" s="372"/>
      <c r="M636" s="372"/>
      <c r="N636" s="227"/>
      <c r="O636" s="227"/>
      <c r="P636" s="227"/>
      <c r="Q636" s="227"/>
      <c r="R636" s="227"/>
      <c r="S636" s="340"/>
      <c r="T636" s="226"/>
      <c r="U636" s="53"/>
      <c r="V636" s="53"/>
      <c r="W636" s="53"/>
      <c r="X636" s="53"/>
    </row>
    <row r="637" spans="1:24" ht="15.75" customHeight="1">
      <c r="A637" s="69"/>
      <c r="B637" s="69"/>
      <c r="C637" s="70" t="str">
        <f t="shared" si="11"/>
        <v/>
      </c>
      <c r="D637" s="55"/>
      <c r="E637" s="53"/>
      <c r="F637" s="53"/>
      <c r="G637" s="372"/>
      <c r="H637" s="372"/>
      <c r="I637" s="379"/>
      <c r="J637" s="372"/>
      <c r="K637" s="373"/>
      <c r="L637" s="372"/>
      <c r="M637" s="372"/>
      <c r="N637" s="227"/>
      <c r="O637" s="227"/>
      <c r="P637" s="227"/>
      <c r="Q637" s="227"/>
      <c r="R637" s="227"/>
      <c r="S637" s="340"/>
      <c r="T637" s="226"/>
      <c r="U637" s="53"/>
      <c r="V637" s="53"/>
      <c r="W637" s="53"/>
      <c r="X637" s="53"/>
    </row>
    <row r="638" spans="1:24" ht="15.75" customHeight="1">
      <c r="A638" s="69"/>
      <c r="B638" s="69"/>
      <c r="C638" s="70" t="str">
        <f t="shared" si="11"/>
        <v/>
      </c>
      <c r="D638" s="55"/>
      <c r="E638" s="53"/>
      <c r="F638" s="53"/>
      <c r="G638" s="372"/>
      <c r="H638" s="372"/>
      <c r="I638" s="379"/>
      <c r="J638" s="372"/>
      <c r="K638" s="373"/>
      <c r="L638" s="372"/>
      <c r="M638" s="372"/>
      <c r="N638" s="227"/>
      <c r="O638" s="227"/>
      <c r="P638" s="227"/>
      <c r="Q638" s="227"/>
      <c r="R638" s="227"/>
      <c r="S638" s="340"/>
      <c r="T638" s="226"/>
      <c r="U638" s="53"/>
      <c r="V638" s="53"/>
      <c r="W638" s="53"/>
      <c r="X638" s="53"/>
    </row>
    <row r="639" spans="1:24" ht="15.75" customHeight="1">
      <c r="A639" s="69"/>
      <c r="B639" s="69"/>
      <c r="C639" s="70" t="str">
        <f t="shared" si="11"/>
        <v/>
      </c>
      <c r="D639" s="55"/>
      <c r="E639" s="53"/>
      <c r="F639" s="53"/>
      <c r="G639" s="372"/>
      <c r="H639" s="372"/>
      <c r="I639" s="379"/>
      <c r="J639" s="372"/>
      <c r="K639" s="373"/>
      <c r="L639" s="372"/>
      <c r="M639" s="372"/>
      <c r="N639" s="227"/>
      <c r="O639" s="227"/>
      <c r="P639" s="227"/>
      <c r="Q639" s="227"/>
      <c r="R639" s="227"/>
      <c r="S639" s="340"/>
      <c r="T639" s="226"/>
      <c r="U639" s="53"/>
      <c r="V639" s="53"/>
      <c r="W639" s="53"/>
      <c r="X639" s="53"/>
    </row>
    <row r="640" spans="1:24" ht="15.75" customHeight="1">
      <c r="A640" s="69"/>
      <c r="B640" s="69"/>
      <c r="C640" s="70" t="str">
        <f t="shared" si="11"/>
        <v/>
      </c>
      <c r="D640" s="55"/>
      <c r="E640" s="53"/>
      <c r="F640" s="53"/>
      <c r="G640" s="372"/>
      <c r="H640" s="372"/>
      <c r="I640" s="379"/>
      <c r="J640" s="372"/>
      <c r="K640" s="373"/>
      <c r="L640" s="372"/>
      <c r="M640" s="372"/>
      <c r="N640" s="227"/>
      <c r="O640" s="227"/>
      <c r="P640" s="227"/>
      <c r="Q640" s="227"/>
      <c r="R640" s="227"/>
      <c r="S640" s="340"/>
      <c r="T640" s="226"/>
      <c r="U640" s="53"/>
      <c r="V640" s="53"/>
      <c r="W640" s="53"/>
      <c r="X640" s="53"/>
    </row>
    <row r="641" spans="1:24" ht="15.75" customHeight="1">
      <c r="A641" s="69"/>
      <c r="B641" s="69"/>
      <c r="C641" s="70" t="str">
        <f t="shared" si="11"/>
        <v/>
      </c>
      <c r="D641" s="55"/>
      <c r="E641" s="53"/>
      <c r="F641" s="53"/>
      <c r="G641" s="372"/>
      <c r="H641" s="372"/>
      <c r="I641" s="379"/>
      <c r="J641" s="372"/>
      <c r="K641" s="373"/>
      <c r="L641" s="372"/>
      <c r="M641" s="372"/>
      <c r="N641" s="227"/>
      <c r="O641" s="227"/>
      <c r="P641" s="227"/>
      <c r="Q641" s="227"/>
      <c r="R641" s="227"/>
      <c r="S641" s="340"/>
      <c r="T641" s="226"/>
      <c r="U641" s="53"/>
      <c r="V641" s="53"/>
      <c r="W641" s="53"/>
      <c r="X641" s="53"/>
    </row>
    <row r="642" spans="1:24" ht="15.75" customHeight="1">
      <c r="A642" s="69"/>
      <c r="B642" s="69"/>
      <c r="C642" s="70" t="str">
        <f t="shared" si="11"/>
        <v/>
      </c>
      <c r="D642" s="55"/>
      <c r="E642" s="53"/>
      <c r="F642" s="53"/>
      <c r="G642" s="372"/>
      <c r="H642" s="372"/>
      <c r="I642" s="379"/>
      <c r="J642" s="372"/>
      <c r="K642" s="373"/>
      <c r="L642" s="372"/>
      <c r="M642" s="372"/>
      <c r="N642" s="227"/>
      <c r="O642" s="227"/>
      <c r="P642" s="227"/>
      <c r="Q642" s="227"/>
      <c r="R642" s="227"/>
      <c r="S642" s="340"/>
      <c r="T642" s="226"/>
      <c r="U642" s="53"/>
      <c r="V642" s="53"/>
      <c r="W642" s="53"/>
      <c r="X642" s="53"/>
    </row>
    <row r="643" spans="1:24" ht="15.75" customHeight="1">
      <c r="A643" s="69"/>
      <c r="B643" s="69"/>
      <c r="C643" s="70" t="str">
        <f t="shared" si="11"/>
        <v/>
      </c>
      <c r="D643" s="55"/>
      <c r="E643" s="53"/>
      <c r="F643" s="53"/>
      <c r="G643" s="372"/>
      <c r="H643" s="372"/>
      <c r="I643" s="379"/>
      <c r="J643" s="372"/>
      <c r="K643" s="373"/>
      <c r="L643" s="372"/>
      <c r="M643" s="372"/>
      <c r="N643" s="227"/>
      <c r="O643" s="227"/>
      <c r="P643" s="227"/>
      <c r="Q643" s="227"/>
      <c r="R643" s="227"/>
      <c r="S643" s="340"/>
      <c r="T643" s="226"/>
      <c r="U643" s="53"/>
      <c r="V643" s="53"/>
      <c r="W643" s="53"/>
      <c r="X643" s="53"/>
    </row>
    <row r="644" spans="1:24" ht="15.75" customHeight="1">
      <c r="A644" s="69"/>
      <c r="B644" s="69"/>
      <c r="C644" s="70" t="str">
        <f t="shared" si="11"/>
        <v/>
      </c>
      <c r="D644" s="55"/>
      <c r="E644" s="53"/>
      <c r="F644" s="53"/>
      <c r="G644" s="372"/>
      <c r="H644" s="372"/>
      <c r="I644" s="379"/>
      <c r="J644" s="372"/>
      <c r="K644" s="373"/>
      <c r="L644" s="372"/>
      <c r="M644" s="372"/>
      <c r="N644" s="227"/>
      <c r="O644" s="227"/>
      <c r="P644" s="227"/>
      <c r="Q644" s="227"/>
      <c r="R644" s="227"/>
      <c r="S644" s="340"/>
      <c r="T644" s="226"/>
      <c r="U644" s="53"/>
      <c r="V644" s="53"/>
      <c r="W644" s="53"/>
      <c r="X644" s="53"/>
    </row>
    <row r="645" spans="1:24" ht="15.75" customHeight="1">
      <c r="A645" s="69"/>
      <c r="B645" s="69"/>
      <c r="C645" s="70" t="str">
        <f t="shared" si="11"/>
        <v/>
      </c>
      <c r="D645" s="55"/>
      <c r="E645" s="53"/>
      <c r="F645" s="53"/>
      <c r="G645" s="372"/>
      <c r="H645" s="372"/>
      <c r="I645" s="379"/>
      <c r="J645" s="372"/>
      <c r="K645" s="373"/>
      <c r="L645" s="372"/>
      <c r="M645" s="372"/>
      <c r="N645" s="227"/>
      <c r="O645" s="227"/>
      <c r="P645" s="227"/>
      <c r="Q645" s="227"/>
      <c r="R645" s="227"/>
      <c r="S645" s="340"/>
      <c r="T645" s="226"/>
      <c r="U645" s="53"/>
      <c r="V645" s="53"/>
      <c r="W645" s="53"/>
      <c r="X645" s="53"/>
    </row>
    <row r="646" spans="1:24" ht="15.75" customHeight="1">
      <c r="A646" s="69"/>
      <c r="B646" s="69"/>
      <c r="C646" s="70" t="str">
        <f t="shared" si="11"/>
        <v/>
      </c>
      <c r="D646" s="55"/>
      <c r="E646" s="53"/>
      <c r="F646" s="53"/>
      <c r="G646" s="372"/>
      <c r="H646" s="372"/>
      <c r="I646" s="379"/>
      <c r="J646" s="372"/>
      <c r="K646" s="373"/>
      <c r="L646" s="372"/>
      <c r="M646" s="372"/>
      <c r="N646" s="227"/>
      <c r="O646" s="227"/>
      <c r="P646" s="227"/>
      <c r="Q646" s="227"/>
      <c r="R646" s="227"/>
      <c r="S646" s="340"/>
      <c r="T646" s="226"/>
      <c r="U646" s="53"/>
      <c r="V646" s="53"/>
      <c r="W646" s="53"/>
      <c r="X646" s="53"/>
    </row>
    <row r="647" spans="1:24" ht="15.75" customHeight="1">
      <c r="A647" s="69"/>
      <c r="B647" s="69"/>
      <c r="C647" s="70" t="str">
        <f t="shared" si="11"/>
        <v/>
      </c>
      <c r="D647" s="55"/>
      <c r="E647" s="53"/>
      <c r="F647" s="53"/>
      <c r="G647" s="372"/>
      <c r="H647" s="372"/>
      <c r="I647" s="379"/>
      <c r="J647" s="372"/>
      <c r="K647" s="373"/>
      <c r="L647" s="372"/>
      <c r="M647" s="372"/>
      <c r="N647" s="227"/>
      <c r="O647" s="227"/>
      <c r="P647" s="227"/>
      <c r="Q647" s="227"/>
      <c r="R647" s="227"/>
      <c r="S647" s="340"/>
      <c r="T647" s="226"/>
      <c r="U647" s="53"/>
      <c r="V647" s="53"/>
      <c r="W647" s="53"/>
      <c r="X647" s="53"/>
    </row>
    <row r="648" spans="1:24" ht="15.75" customHeight="1">
      <c r="A648" s="69"/>
      <c r="B648" s="69"/>
      <c r="C648" s="70" t="str">
        <f t="shared" si="11"/>
        <v/>
      </c>
      <c r="D648" s="55"/>
      <c r="E648" s="53"/>
      <c r="F648" s="53"/>
      <c r="G648" s="372"/>
      <c r="H648" s="372"/>
      <c r="I648" s="379"/>
      <c r="J648" s="372"/>
      <c r="K648" s="373"/>
      <c r="L648" s="372"/>
      <c r="M648" s="372"/>
      <c r="N648" s="227"/>
      <c r="O648" s="227"/>
      <c r="P648" s="227"/>
      <c r="Q648" s="227"/>
      <c r="R648" s="227"/>
      <c r="S648" s="340"/>
      <c r="T648" s="226"/>
      <c r="U648" s="53"/>
      <c r="V648" s="53"/>
      <c r="W648" s="53"/>
      <c r="X648" s="53"/>
    </row>
    <row r="649" spans="1:24" ht="15.75" customHeight="1">
      <c r="A649" s="69"/>
      <c r="B649" s="69"/>
      <c r="C649" s="70" t="str">
        <f t="shared" si="11"/>
        <v/>
      </c>
      <c r="D649" s="55"/>
      <c r="E649" s="53"/>
      <c r="F649" s="53"/>
      <c r="G649" s="372"/>
      <c r="H649" s="372"/>
      <c r="I649" s="379"/>
      <c r="J649" s="372"/>
      <c r="K649" s="373"/>
      <c r="L649" s="372"/>
      <c r="M649" s="372"/>
      <c r="N649" s="227"/>
      <c r="O649" s="227"/>
      <c r="P649" s="227"/>
      <c r="Q649" s="227"/>
      <c r="R649" s="227"/>
      <c r="S649" s="340"/>
      <c r="T649" s="226"/>
      <c r="U649" s="53"/>
      <c r="V649" s="53"/>
      <c r="W649" s="53"/>
      <c r="X649" s="53"/>
    </row>
    <row r="650" spans="1:24" ht="15.75" customHeight="1">
      <c r="A650" s="69"/>
      <c r="B650" s="69"/>
      <c r="C650" s="70" t="str">
        <f t="shared" si="11"/>
        <v/>
      </c>
      <c r="D650" s="55"/>
      <c r="E650" s="53"/>
      <c r="F650" s="53"/>
      <c r="G650" s="372"/>
      <c r="H650" s="372"/>
      <c r="I650" s="379"/>
      <c r="J650" s="372"/>
      <c r="K650" s="373"/>
      <c r="L650" s="372"/>
      <c r="M650" s="372"/>
      <c r="N650" s="227"/>
      <c r="O650" s="227"/>
      <c r="P650" s="227"/>
      <c r="Q650" s="227"/>
      <c r="R650" s="227"/>
      <c r="S650" s="340"/>
      <c r="T650" s="226"/>
      <c r="U650" s="53"/>
      <c r="V650" s="53"/>
      <c r="W650" s="53"/>
      <c r="X650" s="53"/>
    </row>
    <row r="651" spans="1:24" ht="15.75" customHeight="1">
      <c r="A651" s="69"/>
      <c r="B651" s="69"/>
      <c r="C651" s="70" t="str">
        <f t="shared" si="11"/>
        <v/>
      </c>
      <c r="D651" s="55"/>
      <c r="E651" s="53"/>
      <c r="F651" s="53"/>
      <c r="G651" s="372"/>
      <c r="H651" s="372"/>
      <c r="I651" s="379"/>
      <c r="J651" s="372"/>
      <c r="K651" s="373"/>
      <c r="L651" s="372"/>
      <c r="M651" s="372"/>
      <c r="N651" s="227"/>
      <c r="O651" s="227"/>
      <c r="P651" s="227"/>
      <c r="Q651" s="227"/>
      <c r="R651" s="227"/>
      <c r="S651" s="340"/>
      <c r="T651" s="226"/>
      <c r="U651" s="53"/>
      <c r="V651" s="53"/>
      <c r="W651" s="53"/>
      <c r="X651" s="53"/>
    </row>
    <row r="652" spans="1:24" ht="15.75" customHeight="1">
      <c r="A652" s="69"/>
      <c r="B652" s="69"/>
      <c r="C652" s="70" t="str">
        <f t="shared" si="11"/>
        <v/>
      </c>
      <c r="D652" s="55"/>
      <c r="E652" s="53"/>
      <c r="F652" s="53"/>
      <c r="G652" s="372"/>
      <c r="H652" s="372"/>
      <c r="I652" s="379"/>
      <c r="J652" s="372"/>
      <c r="K652" s="373"/>
      <c r="L652" s="372"/>
      <c r="M652" s="372"/>
      <c r="N652" s="227"/>
      <c r="O652" s="227"/>
      <c r="P652" s="227"/>
      <c r="Q652" s="227"/>
      <c r="R652" s="227"/>
      <c r="S652" s="340"/>
      <c r="T652" s="226"/>
      <c r="U652" s="53"/>
      <c r="V652" s="53"/>
      <c r="W652" s="53"/>
      <c r="X652" s="53"/>
    </row>
    <row r="653" spans="1:24" ht="15.75" customHeight="1">
      <c r="A653" s="69"/>
      <c r="B653" s="69"/>
      <c r="C653" s="70" t="str">
        <f t="shared" si="11"/>
        <v/>
      </c>
      <c r="D653" s="55"/>
      <c r="E653" s="53"/>
      <c r="F653" s="53"/>
      <c r="G653" s="372"/>
      <c r="H653" s="372"/>
      <c r="I653" s="379"/>
      <c r="J653" s="372"/>
      <c r="K653" s="373"/>
      <c r="L653" s="372"/>
      <c r="M653" s="372"/>
      <c r="N653" s="227"/>
      <c r="O653" s="227"/>
      <c r="P653" s="227"/>
      <c r="Q653" s="227"/>
      <c r="R653" s="227"/>
      <c r="S653" s="340"/>
      <c r="T653" s="226"/>
      <c r="U653" s="53"/>
      <c r="V653" s="53"/>
      <c r="W653" s="53"/>
      <c r="X653" s="53"/>
    </row>
    <row r="654" spans="1:24" ht="15.75" customHeight="1">
      <c r="A654" s="69"/>
      <c r="B654" s="69"/>
      <c r="C654" s="70" t="str">
        <f t="shared" si="11"/>
        <v/>
      </c>
      <c r="D654" s="55"/>
      <c r="E654" s="53"/>
      <c r="F654" s="53"/>
      <c r="G654" s="372"/>
      <c r="H654" s="372"/>
      <c r="I654" s="379"/>
      <c r="J654" s="372"/>
      <c r="K654" s="373"/>
      <c r="L654" s="372"/>
      <c r="M654" s="372"/>
      <c r="N654" s="227"/>
      <c r="O654" s="227"/>
      <c r="P654" s="227"/>
      <c r="Q654" s="227"/>
      <c r="R654" s="227"/>
      <c r="S654" s="340"/>
      <c r="T654" s="226"/>
      <c r="U654" s="53"/>
      <c r="V654" s="53"/>
      <c r="W654" s="53"/>
      <c r="X654" s="53"/>
    </row>
    <row r="655" spans="1:24" ht="15.75" customHeight="1">
      <c r="A655" s="69"/>
      <c r="B655" s="69"/>
      <c r="C655" s="70" t="str">
        <f t="shared" si="11"/>
        <v/>
      </c>
      <c r="D655" s="55"/>
      <c r="E655" s="53"/>
      <c r="F655" s="53"/>
      <c r="G655" s="372"/>
      <c r="H655" s="372"/>
      <c r="I655" s="379"/>
      <c r="J655" s="372"/>
      <c r="K655" s="373"/>
      <c r="L655" s="372"/>
      <c r="M655" s="372"/>
      <c r="N655" s="227"/>
      <c r="O655" s="227"/>
      <c r="P655" s="227"/>
      <c r="Q655" s="227"/>
      <c r="R655" s="227"/>
      <c r="S655" s="340"/>
      <c r="T655" s="226"/>
      <c r="U655" s="53"/>
      <c r="V655" s="53"/>
      <c r="W655" s="53"/>
      <c r="X655" s="53"/>
    </row>
    <row r="656" spans="1:24" ht="15.75" customHeight="1">
      <c r="A656" s="69"/>
      <c r="B656" s="69"/>
      <c r="C656" s="70" t="str">
        <f t="shared" si="11"/>
        <v/>
      </c>
      <c r="D656" s="55"/>
      <c r="E656" s="53"/>
      <c r="F656" s="53"/>
      <c r="G656" s="372"/>
      <c r="H656" s="372"/>
      <c r="I656" s="379"/>
      <c r="J656" s="372"/>
      <c r="K656" s="373"/>
      <c r="L656" s="372"/>
      <c r="M656" s="372"/>
      <c r="N656" s="227"/>
      <c r="O656" s="227"/>
      <c r="P656" s="227"/>
      <c r="Q656" s="227"/>
      <c r="R656" s="227"/>
      <c r="S656" s="340"/>
      <c r="T656" s="226"/>
      <c r="U656" s="53"/>
      <c r="V656" s="53"/>
      <c r="W656" s="53"/>
      <c r="X656" s="53"/>
    </row>
    <row r="657" spans="1:24" ht="15.75" customHeight="1">
      <c r="A657" s="69"/>
      <c r="B657" s="69"/>
      <c r="C657" s="70" t="str">
        <f t="shared" ref="C657:C720" si="12">IF(B657&lt;&gt;"",TEXT(WEEKDAY(B657),"dddd"),"")</f>
        <v/>
      </c>
      <c r="D657" s="55"/>
      <c r="E657" s="53"/>
      <c r="F657" s="53"/>
      <c r="G657" s="372"/>
      <c r="H657" s="372"/>
      <c r="I657" s="379"/>
      <c r="J657" s="372"/>
      <c r="K657" s="373"/>
      <c r="L657" s="372"/>
      <c r="M657" s="372"/>
      <c r="N657" s="227"/>
      <c r="O657" s="227"/>
      <c r="P657" s="227"/>
      <c r="Q657" s="227"/>
      <c r="R657" s="227"/>
      <c r="S657" s="340"/>
      <c r="T657" s="226"/>
      <c r="U657" s="53"/>
      <c r="V657" s="53"/>
      <c r="W657" s="53"/>
      <c r="X657" s="53"/>
    </row>
    <row r="658" spans="1:24" ht="15.75" customHeight="1">
      <c r="A658" s="69"/>
      <c r="B658" s="69"/>
      <c r="C658" s="70" t="str">
        <f t="shared" si="12"/>
        <v/>
      </c>
      <c r="D658" s="55"/>
      <c r="E658" s="53"/>
      <c r="F658" s="53"/>
      <c r="G658" s="372"/>
      <c r="H658" s="372"/>
      <c r="I658" s="379"/>
      <c r="J658" s="372"/>
      <c r="K658" s="373"/>
      <c r="L658" s="372"/>
      <c r="M658" s="372"/>
      <c r="N658" s="227"/>
      <c r="O658" s="227"/>
      <c r="P658" s="227"/>
      <c r="Q658" s="227"/>
      <c r="R658" s="227"/>
      <c r="S658" s="340"/>
      <c r="T658" s="226"/>
      <c r="U658" s="53"/>
      <c r="V658" s="53"/>
      <c r="W658" s="53"/>
      <c r="X658" s="53"/>
    </row>
    <row r="659" spans="1:24" ht="15.75" customHeight="1">
      <c r="A659" s="69"/>
      <c r="B659" s="69"/>
      <c r="C659" s="70" t="str">
        <f t="shared" si="12"/>
        <v/>
      </c>
      <c r="D659" s="55"/>
      <c r="E659" s="53"/>
      <c r="F659" s="53"/>
      <c r="G659" s="372"/>
      <c r="H659" s="372"/>
      <c r="I659" s="379"/>
      <c r="J659" s="372"/>
      <c r="K659" s="373"/>
      <c r="L659" s="372"/>
      <c r="M659" s="372"/>
      <c r="N659" s="227"/>
      <c r="O659" s="227"/>
      <c r="P659" s="227"/>
      <c r="Q659" s="227"/>
      <c r="R659" s="227"/>
      <c r="S659" s="340"/>
      <c r="T659" s="226"/>
      <c r="U659" s="53"/>
      <c r="V659" s="53"/>
      <c r="W659" s="53"/>
      <c r="X659" s="53"/>
    </row>
    <row r="660" spans="1:24" ht="15.75" customHeight="1">
      <c r="A660" s="69"/>
      <c r="B660" s="69"/>
      <c r="C660" s="70" t="str">
        <f t="shared" si="12"/>
        <v/>
      </c>
      <c r="D660" s="55"/>
      <c r="E660" s="53"/>
      <c r="F660" s="53"/>
      <c r="G660" s="372"/>
      <c r="H660" s="372"/>
      <c r="I660" s="379"/>
      <c r="J660" s="372"/>
      <c r="K660" s="373"/>
      <c r="L660" s="372"/>
      <c r="M660" s="372"/>
      <c r="N660" s="227"/>
      <c r="O660" s="227"/>
      <c r="P660" s="227"/>
      <c r="Q660" s="227"/>
      <c r="R660" s="227"/>
      <c r="S660" s="340"/>
      <c r="T660" s="226"/>
      <c r="U660" s="53"/>
      <c r="V660" s="53"/>
      <c r="W660" s="53"/>
      <c r="X660" s="53"/>
    </row>
    <row r="661" spans="1:24" ht="15.75" customHeight="1">
      <c r="A661" s="69"/>
      <c r="B661" s="69"/>
      <c r="C661" s="70" t="str">
        <f t="shared" si="12"/>
        <v/>
      </c>
      <c r="D661" s="55"/>
      <c r="E661" s="53"/>
      <c r="F661" s="53"/>
      <c r="G661" s="372"/>
      <c r="H661" s="372"/>
      <c r="I661" s="379"/>
      <c r="J661" s="372"/>
      <c r="K661" s="373"/>
      <c r="L661" s="372"/>
      <c r="M661" s="372"/>
      <c r="N661" s="227"/>
      <c r="O661" s="227"/>
      <c r="P661" s="227"/>
      <c r="Q661" s="227"/>
      <c r="R661" s="227"/>
      <c r="S661" s="340"/>
      <c r="T661" s="226"/>
      <c r="U661" s="53"/>
      <c r="V661" s="53"/>
      <c r="W661" s="53"/>
      <c r="X661" s="53"/>
    </row>
    <row r="662" spans="1:24" ht="15.75" customHeight="1">
      <c r="A662" s="69"/>
      <c r="B662" s="69"/>
      <c r="C662" s="70" t="str">
        <f t="shared" si="12"/>
        <v/>
      </c>
      <c r="D662" s="55"/>
      <c r="E662" s="53"/>
      <c r="F662" s="53"/>
      <c r="G662" s="372"/>
      <c r="H662" s="372"/>
      <c r="I662" s="379"/>
      <c r="J662" s="372"/>
      <c r="K662" s="373"/>
      <c r="L662" s="372"/>
      <c r="M662" s="372"/>
      <c r="N662" s="227"/>
      <c r="O662" s="227"/>
      <c r="P662" s="227"/>
      <c r="Q662" s="227"/>
      <c r="R662" s="227"/>
      <c r="S662" s="340"/>
      <c r="T662" s="226"/>
      <c r="U662" s="53"/>
      <c r="V662" s="53"/>
      <c r="W662" s="53"/>
      <c r="X662" s="53"/>
    </row>
    <row r="663" spans="1:24" ht="15.75" customHeight="1">
      <c r="A663" s="69"/>
      <c r="B663" s="69"/>
      <c r="C663" s="70" t="str">
        <f t="shared" si="12"/>
        <v/>
      </c>
      <c r="D663" s="55"/>
      <c r="E663" s="53"/>
      <c r="F663" s="53"/>
      <c r="G663" s="372"/>
      <c r="H663" s="372"/>
      <c r="I663" s="379"/>
      <c r="J663" s="372"/>
      <c r="K663" s="373"/>
      <c r="L663" s="372"/>
      <c r="M663" s="372"/>
      <c r="N663" s="227"/>
      <c r="O663" s="227"/>
      <c r="P663" s="227"/>
      <c r="Q663" s="227"/>
      <c r="R663" s="227"/>
      <c r="S663" s="340"/>
      <c r="T663" s="226"/>
      <c r="U663" s="53"/>
      <c r="V663" s="53"/>
      <c r="W663" s="53"/>
      <c r="X663" s="53"/>
    </row>
    <row r="664" spans="1:24" ht="15.75" customHeight="1">
      <c r="A664" s="69"/>
      <c r="B664" s="69"/>
      <c r="C664" s="70" t="str">
        <f t="shared" si="12"/>
        <v/>
      </c>
      <c r="D664" s="55"/>
      <c r="E664" s="53"/>
      <c r="F664" s="53"/>
      <c r="G664" s="372"/>
      <c r="H664" s="372"/>
      <c r="I664" s="379"/>
      <c r="J664" s="372"/>
      <c r="K664" s="373"/>
      <c r="L664" s="372"/>
      <c r="M664" s="372"/>
      <c r="N664" s="227"/>
      <c r="O664" s="227"/>
      <c r="P664" s="227"/>
      <c r="Q664" s="227"/>
      <c r="R664" s="227"/>
      <c r="S664" s="340"/>
      <c r="T664" s="226"/>
      <c r="U664" s="53"/>
      <c r="V664" s="53"/>
      <c r="W664" s="53"/>
      <c r="X664" s="53"/>
    </row>
    <row r="665" spans="1:24" ht="15.75" customHeight="1">
      <c r="A665" s="69"/>
      <c r="B665" s="69"/>
      <c r="C665" s="70" t="str">
        <f t="shared" si="12"/>
        <v/>
      </c>
      <c r="D665" s="55"/>
      <c r="E665" s="53"/>
      <c r="F665" s="53"/>
      <c r="G665" s="372"/>
      <c r="H665" s="372"/>
      <c r="I665" s="379"/>
      <c r="J665" s="372"/>
      <c r="K665" s="373"/>
      <c r="L665" s="372"/>
      <c r="M665" s="372"/>
      <c r="N665" s="227"/>
      <c r="O665" s="227"/>
      <c r="P665" s="227"/>
      <c r="Q665" s="227"/>
      <c r="R665" s="227"/>
      <c r="S665" s="340"/>
      <c r="T665" s="226"/>
      <c r="U665" s="53"/>
      <c r="V665" s="53"/>
      <c r="W665" s="53"/>
      <c r="X665" s="53"/>
    </row>
    <row r="666" spans="1:24" ht="15.75" customHeight="1">
      <c r="A666" s="69"/>
      <c r="B666" s="69"/>
      <c r="C666" s="70" t="str">
        <f t="shared" si="12"/>
        <v/>
      </c>
      <c r="D666" s="55"/>
      <c r="E666" s="53"/>
      <c r="F666" s="53"/>
      <c r="G666" s="372"/>
      <c r="H666" s="372"/>
      <c r="I666" s="379"/>
      <c r="J666" s="372"/>
      <c r="K666" s="373"/>
      <c r="L666" s="372"/>
      <c r="M666" s="372"/>
      <c r="N666" s="227"/>
      <c r="O666" s="227"/>
      <c r="P666" s="227"/>
      <c r="Q666" s="227"/>
      <c r="R666" s="227"/>
      <c r="S666" s="340"/>
      <c r="T666" s="226"/>
      <c r="U666" s="53"/>
      <c r="V666" s="53"/>
      <c r="W666" s="53"/>
      <c r="X666" s="53"/>
    </row>
    <row r="667" spans="1:24" ht="15.75" customHeight="1">
      <c r="A667" s="69"/>
      <c r="B667" s="69"/>
      <c r="C667" s="70" t="str">
        <f t="shared" si="12"/>
        <v/>
      </c>
      <c r="D667" s="55"/>
      <c r="E667" s="53"/>
      <c r="F667" s="53"/>
      <c r="G667" s="372"/>
      <c r="H667" s="372"/>
      <c r="I667" s="379"/>
      <c r="J667" s="372"/>
      <c r="K667" s="373"/>
      <c r="L667" s="372"/>
      <c r="M667" s="372"/>
      <c r="N667" s="227"/>
      <c r="O667" s="227"/>
      <c r="P667" s="227"/>
      <c r="Q667" s="227"/>
      <c r="R667" s="227"/>
      <c r="S667" s="340"/>
      <c r="T667" s="226"/>
      <c r="U667" s="53"/>
      <c r="V667" s="53"/>
      <c r="W667" s="53"/>
      <c r="X667" s="53"/>
    </row>
    <row r="668" spans="1:24" ht="15.75" customHeight="1">
      <c r="A668" s="69"/>
      <c r="B668" s="69"/>
      <c r="C668" s="70" t="str">
        <f t="shared" si="12"/>
        <v/>
      </c>
      <c r="D668" s="55"/>
      <c r="E668" s="53"/>
      <c r="F668" s="53"/>
      <c r="G668" s="372"/>
      <c r="H668" s="372"/>
      <c r="I668" s="379"/>
      <c r="J668" s="372"/>
      <c r="K668" s="373"/>
      <c r="L668" s="372"/>
      <c r="M668" s="372"/>
      <c r="N668" s="227"/>
      <c r="O668" s="227"/>
      <c r="P668" s="227"/>
      <c r="Q668" s="227"/>
      <c r="R668" s="227"/>
      <c r="S668" s="340"/>
      <c r="T668" s="226"/>
      <c r="U668" s="53"/>
      <c r="V668" s="53"/>
      <c r="W668" s="53"/>
      <c r="X668" s="53"/>
    </row>
    <row r="669" spans="1:24" ht="15.75" customHeight="1">
      <c r="A669" s="69"/>
      <c r="B669" s="69"/>
      <c r="C669" s="70" t="str">
        <f t="shared" si="12"/>
        <v/>
      </c>
      <c r="D669" s="55"/>
      <c r="E669" s="53"/>
      <c r="F669" s="53"/>
      <c r="G669" s="372"/>
      <c r="H669" s="372"/>
      <c r="I669" s="379"/>
      <c r="J669" s="372"/>
      <c r="K669" s="373"/>
      <c r="L669" s="372"/>
      <c r="M669" s="372"/>
      <c r="N669" s="227"/>
      <c r="O669" s="227"/>
      <c r="P669" s="227"/>
      <c r="Q669" s="227"/>
      <c r="R669" s="227"/>
      <c r="S669" s="340"/>
      <c r="T669" s="226"/>
      <c r="U669" s="53"/>
      <c r="V669" s="53"/>
      <c r="W669" s="53"/>
      <c r="X669" s="53"/>
    </row>
    <row r="670" spans="1:24" ht="15.75" customHeight="1">
      <c r="A670" s="69"/>
      <c r="B670" s="69"/>
      <c r="C670" s="70" t="str">
        <f t="shared" si="12"/>
        <v/>
      </c>
      <c r="D670" s="55"/>
      <c r="E670" s="53"/>
      <c r="F670" s="53"/>
      <c r="G670" s="372"/>
      <c r="H670" s="372"/>
      <c r="I670" s="379"/>
      <c r="J670" s="372"/>
      <c r="K670" s="373"/>
      <c r="L670" s="372"/>
      <c r="M670" s="372"/>
      <c r="N670" s="227"/>
      <c r="O670" s="227"/>
      <c r="P670" s="227"/>
      <c r="Q670" s="227"/>
      <c r="R670" s="227"/>
      <c r="S670" s="340"/>
      <c r="T670" s="226"/>
      <c r="U670" s="53"/>
      <c r="V670" s="53"/>
      <c r="W670" s="53"/>
      <c r="X670" s="53"/>
    </row>
    <row r="671" spans="1:24" ht="15.75" customHeight="1">
      <c r="A671" s="69"/>
      <c r="B671" s="69"/>
      <c r="C671" s="70" t="str">
        <f t="shared" si="12"/>
        <v/>
      </c>
      <c r="D671" s="55"/>
      <c r="E671" s="53"/>
      <c r="F671" s="53"/>
      <c r="G671" s="372"/>
      <c r="H671" s="372"/>
      <c r="I671" s="379"/>
      <c r="J671" s="372"/>
      <c r="K671" s="373"/>
      <c r="L671" s="372"/>
      <c r="M671" s="372"/>
      <c r="N671" s="227"/>
      <c r="O671" s="227"/>
      <c r="P671" s="227"/>
      <c r="Q671" s="227"/>
      <c r="R671" s="227"/>
      <c r="S671" s="340"/>
      <c r="T671" s="226"/>
      <c r="U671" s="53"/>
      <c r="V671" s="53"/>
      <c r="W671" s="53"/>
      <c r="X671" s="53"/>
    </row>
    <row r="672" spans="1:24" ht="15.75" customHeight="1">
      <c r="A672" s="69"/>
      <c r="B672" s="69"/>
      <c r="C672" s="70" t="str">
        <f t="shared" si="12"/>
        <v/>
      </c>
      <c r="D672" s="55"/>
      <c r="E672" s="53"/>
      <c r="F672" s="53"/>
      <c r="G672" s="372"/>
      <c r="H672" s="372"/>
      <c r="I672" s="379"/>
      <c r="J672" s="372"/>
      <c r="K672" s="373"/>
      <c r="L672" s="372"/>
      <c r="M672" s="372"/>
      <c r="N672" s="227"/>
      <c r="O672" s="227"/>
      <c r="P672" s="227"/>
      <c r="Q672" s="227"/>
      <c r="R672" s="227"/>
      <c r="S672" s="340"/>
      <c r="T672" s="226"/>
      <c r="U672" s="53"/>
      <c r="V672" s="53"/>
      <c r="W672" s="53"/>
      <c r="X672" s="53"/>
    </row>
    <row r="673" spans="1:24" ht="15.75" customHeight="1">
      <c r="A673" s="69"/>
      <c r="B673" s="69"/>
      <c r="C673" s="70" t="str">
        <f t="shared" si="12"/>
        <v/>
      </c>
      <c r="D673" s="55"/>
      <c r="E673" s="53"/>
      <c r="F673" s="53"/>
      <c r="G673" s="372"/>
      <c r="H673" s="372"/>
      <c r="I673" s="379"/>
      <c r="J673" s="372"/>
      <c r="K673" s="373"/>
      <c r="L673" s="372"/>
      <c r="M673" s="372"/>
      <c r="N673" s="227"/>
      <c r="O673" s="227"/>
      <c r="P673" s="227"/>
      <c r="Q673" s="227"/>
      <c r="R673" s="227"/>
      <c r="S673" s="340"/>
      <c r="T673" s="226"/>
      <c r="U673" s="53"/>
      <c r="V673" s="53"/>
      <c r="W673" s="53"/>
      <c r="X673" s="53"/>
    </row>
    <row r="674" spans="1:24" ht="15.75" customHeight="1">
      <c r="A674" s="69"/>
      <c r="B674" s="69"/>
      <c r="C674" s="70" t="str">
        <f t="shared" si="12"/>
        <v/>
      </c>
      <c r="D674" s="55"/>
      <c r="E674" s="53"/>
      <c r="F674" s="53"/>
      <c r="G674" s="372"/>
      <c r="H674" s="372"/>
      <c r="I674" s="379"/>
      <c r="J674" s="372"/>
      <c r="K674" s="373"/>
      <c r="L674" s="372"/>
      <c r="M674" s="372"/>
      <c r="N674" s="227"/>
      <c r="O674" s="227"/>
      <c r="P674" s="227"/>
      <c r="Q674" s="227"/>
      <c r="R674" s="227"/>
      <c r="S674" s="340"/>
      <c r="T674" s="226"/>
      <c r="U674" s="53"/>
      <c r="V674" s="53"/>
      <c r="W674" s="53"/>
      <c r="X674" s="53"/>
    </row>
    <row r="675" spans="1:24" ht="15.75" customHeight="1">
      <c r="A675" s="69"/>
      <c r="B675" s="69"/>
      <c r="C675" s="70" t="str">
        <f t="shared" si="12"/>
        <v/>
      </c>
      <c r="D675" s="55"/>
      <c r="E675" s="53"/>
      <c r="F675" s="53"/>
      <c r="G675" s="372"/>
      <c r="H675" s="372"/>
      <c r="I675" s="379"/>
      <c r="J675" s="372"/>
      <c r="K675" s="373"/>
      <c r="L675" s="372"/>
      <c r="M675" s="372"/>
      <c r="N675" s="227"/>
      <c r="O675" s="227"/>
      <c r="P675" s="227"/>
      <c r="Q675" s="227"/>
      <c r="R675" s="227"/>
      <c r="S675" s="340"/>
      <c r="T675" s="226"/>
      <c r="U675" s="53"/>
      <c r="V675" s="53"/>
      <c r="W675" s="53"/>
      <c r="X675" s="53"/>
    </row>
    <row r="676" spans="1:24" ht="15.75" customHeight="1">
      <c r="A676" s="69"/>
      <c r="B676" s="69"/>
      <c r="C676" s="70" t="str">
        <f t="shared" si="12"/>
        <v/>
      </c>
      <c r="D676" s="55"/>
      <c r="E676" s="53"/>
      <c r="F676" s="53"/>
      <c r="G676" s="372"/>
      <c r="H676" s="372"/>
      <c r="I676" s="379"/>
      <c r="J676" s="372"/>
      <c r="K676" s="373"/>
      <c r="L676" s="372"/>
      <c r="M676" s="372"/>
      <c r="N676" s="227"/>
      <c r="O676" s="227"/>
      <c r="P676" s="227"/>
      <c r="Q676" s="227"/>
      <c r="R676" s="227"/>
      <c r="S676" s="340"/>
      <c r="T676" s="226"/>
      <c r="U676" s="53"/>
      <c r="V676" s="53"/>
      <c r="W676" s="53"/>
      <c r="X676" s="53"/>
    </row>
    <row r="677" spans="1:24" ht="15.75" customHeight="1">
      <c r="A677" s="69"/>
      <c r="B677" s="69"/>
      <c r="C677" s="70" t="str">
        <f t="shared" si="12"/>
        <v/>
      </c>
      <c r="D677" s="55"/>
      <c r="E677" s="53"/>
      <c r="F677" s="53"/>
      <c r="G677" s="372"/>
      <c r="H677" s="372"/>
      <c r="I677" s="379"/>
      <c r="J677" s="372"/>
      <c r="K677" s="373"/>
      <c r="L677" s="372"/>
      <c r="M677" s="372"/>
      <c r="N677" s="227"/>
      <c r="O677" s="227"/>
      <c r="P677" s="227"/>
      <c r="Q677" s="227"/>
      <c r="R677" s="227"/>
      <c r="S677" s="340"/>
      <c r="T677" s="226"/>
      <c r="U677" s="53"/>
      <c r="V677" s="53"/>
      <c r="W677" s="53"/>
      <c r="X677" s="53"/>
    </row>
    <row r="678" spans="1:24" ht="15.75" customHeight="1">
      <c r="A678" s="69"/>
      <c r="B678" s="69"/>
      <c r="C678" s="70" t="str">
        <f t="shared" si="12"/>
        <v/>
      </c>
      <c r="D678" s="55"/>
      <c r="E678" s="53"/>
      <c r="F678" s="53"/>
      <c r="G678" s="372"/>
      <c r="H678" s="372"/>
      <c r="I678" s="379"/>
      <c r="J678" s="372"/>
      <c r="K678" s="373"/>
      <c r="L678" s="372"/>
      <c r="M678" s="372"/>
      <c r="N678" s="227"/>
      <c r="O678" s="227"/>
      <c r="P678" s="227"/>
      <c r="Q678" s="227"/>
      <c r="R678" s="227"/>
      <c r="S678" s="340"/>
      <c r="T678" s="226"/>
      <c r="U678" s="53"/>
      <c r="V678" s="53"/>
      <c r="W678" s="53"/>
      <c r="X678" s="53"/>
    </row>
    <row r="679" spans="1:24" ht="15.75" customHeight="1">
      <c r="A679" s="69"/>
      <c r="B679" s="69"/>
      <c r="C679" s="70" t="str">
        <f t="shared" si="12"/>
        <v/>
      </c>
      <c r="D679" s="55"/>
      <c r="E679" s="53"/>
      <c r="F679" s="53"/>
      <c r="G679" s="372"/>
      <c r="H679" s="372"/>
      <c r="I679" s="379"/>
      <c r="J679" s="372"/>
      <c r="K679" s="373"/>
      <c r="L679" s="372"/>
      <c r="M679" s="372"/>
      <c r="N679" s="227"/>
      <c r="O679" s="227"/>
      <c r="P679" s="227"/>
      <c r="Q679" s="227"/>
      <c r="R679" s="227"/>
      <c r="S679" s="340"/>
      <c r="T679" s="226"/>
      <c r="U679" s="53"/>
      <c r="V679" s="53"/>
      <c r="W679" s="53"/>
      <c r="X679" s="53"/>
    </row>
    <row r="680" spans="1:24" ht="15.75" customHeight="1">
      <c r="A680" s="69"/>
      <c r="B680" s="69"/>
      <c r="C680" s="70" t="str">
        <f t="shared" si="12"/>
        <v/>
      </c>
      <c r="D680" s="55"/>
      <c r="E680" s="53"/>
      <c r="F680" s="53"/>
      <c r="G680" s="372"/>
      <c r="H680" s="372"/>
      <c r="I680" s="379"/>
      <c r="J680" s="372"/>
      <c r="K680" s="373"/>
      <c r="L680" s="372"/>
      <c r="M680" s="372"/>
      <c r="N680" s="227"/>
      <c r="O680" s="227"/>
      <c r="P680" s="227"/>
      <c r="Q680" s="227"/>
      <c r="R680" s="227"/>
      <c r="S680" s="340"/>
      <c r="T680" s="226"/>
      <c r="U680" s="53"/>
      <c r="V680" s="53"/>
      <c r="W680" s="53"/>
      <c r="X680" s="53"/>
    </row>
    <row r="681" spans="1:24" ht="15.75" customHeight="1">
      <c r="A681" s="69"/>
      <c r="B681" s="69"/>
      <c r="C681" s="70" t="str">
        <f t="shared" si="12"/>
        <v/>
      </c>
      <c r="D681" s="55"/>
      <c r="E681" s="53"/>
      <c r="F681" s="53"/>
      <c r="G681" s="372"/>
      <c r="H681" s="372"/>
      <c r="I681" s="379"/>
      <c r="J681" s="372"/>
      <c r="K681" s="373"/>
      <c r="L681" s="372"/>
      <c r="M681" s="372"/>
      <c r="N681" s="227"/>
      <c r="O681" s="227"/>
      <c r="P681" s="227"/>
      <c r="Q681" s="227"/>
      <c r="R681" s="227"/>
      <c r="S681" s="340"/>
      <c r="T681" s="226"/>
      <c r="U681" s="53"/>
      <c r="V681" s="53"/>
      <c r="W681" s="53"/>
      <c r="X681" s="53"/>
    </row>
    <row r="682" spans="1:24" ht="15.75" customHeight="1">
      <c r="A682" s="69"/>
      <c r="B682" s="69"/>
      <c r="C682" s="70" t="str">
        <f t="shared" si="12"/>
        <v/>
      </c>
      <c r="D682" s="55"/>
      <c r="E682" s="53"/>
      <c r="F682" s="53"/>
      <c r="G682" s="372"/>
      <c r="H682" s="372"/>
      <c r="I682" s="379"/>
      <c r="J682" s="372"/>
      <c r="K682" s="373"/>
      <c r="L682" s="372"/>
      <c r="M682" s="372"/>
      <c r="N682" s="227"/>
      <c r="O682" s="227"/>
      <c r="P682" s="227"/>
      <c r="Q682" s="227"/>
      <c r="R682" s="227"/>
      <c r="S682" s="340"/>
      <c r="T682" s="226"/>
      <c r="U682" s="53"/>
      <c r="V682" s="53"/>
      <c r="W682" s="53"/>
      <c r="X682" s="53"/>
    </row>
    <row r="683" spans="1:24" ht="15.75" customHeight="1">
      <c r="A683" s="69"/>
      <c r="B683" s="69"/>
      <c r="C683" s="70" t="str">
        <f t="shared" si="12"/>
        <v/>
      </c>
      <c r="D683" s="55"/>
      <c r="E683" s="53"/>
      <c r="F683" s="53"/>
      <c r="G683" s="372"/>
      <c r="H683" s="372"/>
      <c r="I683" s="379"/>
      <c r="J683" s="372"/>
      <c r="K683" s="373"/>
      <c r="L683" s="372"/>
      <c r="M683" s="372"/>
      <c r="N683" s="227"/>
      <c r="O683" s="227"/>
      <c r="P683" s="227"/>
      <c r="Q683" s="227"/>
      <c r="R683" s="227"/>
      <c r="S683" s="340"/>
      <c r="T683" s="226"/>
      <c r="U683" s="53"/>
      <c r="V683" s="53"/>
      <c r="W683" s="53"/>
      <c r="X683" s="53"/>
    </row>
    <row r="684" spans="1:24" ht="15.75" customHeight="1">
      <c r="A684" s="69"/>
      <c r="B684" s="69"/>
      <c r="C684" s="70" t="str">
        <f t="shared" si="12"/>
        <v/>
      </c>
      <c r="D684" s="55"/>
      <c r="E684" s="53"/>
      <c r="F684" s="53"/>
      <c r="G684" s="372"/>
      <c r="H684" s="372"/>
      <c r="I684" s="379"/>
      <c r="J684" s="372"/>
      <c r="K684" s="373"/>
      <c r="L684" s="372"/>
      <c r="M684" s="372"/>
      <c r="N684" s="227"/>
      <c r="O684" s="227"/>
      <c r="P684" s="227"/>
      <c r="Q684" s="227"/>
      <c r="R684" s="227"/>
      <c r="S684" s="340"/>
      <c r="T684" s="226"/>
      <c r="U684" s="53"/>
      <c r="V684" s="53"/>
      <c r="W684" s="53"/>
      <c r="X684" s="53"/>
    </row>
    <row r="685" spans="1:24" ht="15.75" customHeight="1">
      <c r="A685" s="69"/>
      <c r="B685" s="69"/>
      <c r="C685" s="70" t="str">
        <f t="shared" si="12"/>
        <v/>
      </c>
      <c r="D685" s="55"/>
      <c r="E685" s="53"/>
      <c r="F685" s="53"/>
      <c r="G685" s="372"/>
      <c r="H685" s="372"/>
      <c r="I685" s="379"/>
      <c r="J685" s="372"/>
      <c r="K685" s="373"/>
      <c r="L685" s="372"/>
      <c r="M685" s="372"/>
      <c r="N685" s="227"/>
      <c r="O685" s="227"/>
      <c r="P685" s="227"/>
      <c r="Q685" s="227"/>
      <c r="R685" s="227"/>
      <c r="S685" s="340"/>
      <c r="T685" s="226"/>
      <c r="U685" s="53"/>
      <c r="V685" s="53"/>
      <c r="W685" s="53"/>
      <c r="X685" s="53"/>
    </row>
    <row r="686" spans="1:24" ht="15.75" customHeight="1">
      <c r="A686" s="69"/>
      <c r="B686" s="69"/>
      <c r="C686" s="70" t="str">
        <f t="shared" si="12"/>
        <v/>
      </c>
      <c r="D686" s="55"/>
      <c r="E686" s="53"/>
      <c r="F686" s="53"/>
      <c r="G686" s="372"/>
      <c r="H686" s="372"/>
      <c r="I686" s="379"/>
      <c r="J686" s="372"/>
      <c r="K686" s="373"/>
      <c r="L686" s="372"/>
      <c r="M686" s="372"/>
      <c r="N686" s="227"/>
      <c r="O686" s="227"/>
      <c r="P686" s="227"/>
      <c r="Q686" s="227"/>
      <c r="R686" s="227"/>
      <c r="S686" s="340"/>
      <c r="T686" s="226"/>
      <c r="U686" s="53"/>
      <c r="V686" s="53"/>
      <c r="W686" s="53"/>
      <c r="X686" s="53"/>
    </row>
    <row r="687" spans="1:24" ht="15.75" customHeight="1">
      <c r="A687" s="69"/>
      <c r="B687" s="69"/>
      <c r="C687" s="70" t="str">
        <f t="shared" si="12"/>
        <v/>
      </c>
      <c r="D687" s="55"/>
      <c r="E687" s="53"/>
      <c r="F687" s="53"/>
      <c r="G687" s="372"/>
      <c r="H687" s="372"/>
      <c r="I687" s="379"/>
      <c r="J687" s="372"/>
      <c r="K687" s="373"/>
      <c r="L687" s="372"/>
      <c r="M687" s="372"/>
      <c r="N687" s="227"/>
      <c r="O687" s="227"/>
      <c r="P687" s="227"/>
      <c r="Q687" s="227"/>
      <c r="R687" s="227"/>
      <c r="S687" s="340"/>
      <c r="T687" s="226"/>
      <c r="U687" s="53"/>
      <c r="V687" s="53"/>
      <c r="W687" s="53"/>
      <c r="X687" s="53"/>
    </row>
    <row r="688" spans="1:24" ht="15.75" customHeight="1">
      <c r="A688" s="69"/>
      <c r="B688" s="69"/>
      <c r="C688" s="70" t="str">
        <f t="shared" si="12"/>
        <v/>
      </c>
      <c r="D688" s="55"/>
      <c r="E688" s="53"/>
      <c r="F688" s="53"/>
      <c r="G688" s="372"/>
      <c r="H688" s="372"/>
      <c r="I688" s="379"/>
      <c r="J688" s="372"/>
      <c r="K688" s="373"/>
      <c r="L688" s="372"/>
      <c r="M688" s="372"/>
      <c r="N688" s="227"/>
      <c r="O688" s="227"/>
      <c r="P688" s="227"/>
      <c r="Q688" s="227"/>
      <c r="R688" s="227"/>
      <c r="S688" s="340"/>
      <c r="T688" s="226"/>
      <c r="U688" s="53"/>
      <c r="V688" s="53"/>
      <c r="W688" s="53"/>
      <c r="X688" s="53"/>
    </row>
    <row r="689" spans="1:24" ht="15.75" customHeight="1">
      <c r="A689" s="69"/>
      <c r="B689" s="69"/>
      <c r="C689" s="70" t="str">
        <f t="shared" si="12"/>
        <v/>
      </c>
      <c r="D689" s="55"/>
      <c r="E689" s="53"/>
      <c r="F689" s="53"/>
      <c r="G689" s="372"/>
      <c r="H689" s="372"/>
      <c r="I689" s="379"/>
      <c r="J689" s="372"/>
      <c r="K689" s="373"/>
      <c r="L689" s="372"/>
      <c r="M689" s="372"/>
      <c r="N689" s="227"/>
      <c r="O689" s="227"/>
      <c r="P689" s="227"/>
      <c r="Q689" s="227"/>
      <c r="R689" s="227"/>
      <c r="S689" s="340"/>
      <c r="T689" s="226"/>
      <c r="U689" s="53"/>
      <c r="V689" s="53"/>
      <c r="W689" s="53"/>
      <c r="X689" s="53"/>
    </row>
    <row r="690" spans="1:24" ht="15.75" customHeight="1">
      <c r="A690" s="69"/>
      <c r="B690" s="69"/>
      <c r="C690" s="70" t="str">
        <f t="shared" si="12"/>
        <v/>
      </c>
      <c r="D690" s="55"/>
      <c r="E690" s="53"/>
      <c r="F690" s="53"/>
      <c r="G690" s="372"/>
      <c r="H690" s="372"/>
      <c r="I690" s="379"/>
      <c r="J690" s="372"/>
      <c r="K690" s="373"/>
      <c r="L690" s="372"/>
      <c r="M690" s="372"/>
      <c r="N690" s="227"/>
      <c r="O690" s="227"/>
      <c r="P690" s="227"/>
      <c r="Q690" s="227"/>
      <c r="R690" s="227"/>
      <c r="S690" s="340"/>
      <c r="T690" s="226"/>
      <c r="U690" s="53"/>
      <c r="V690" s="53"/>
      <c r="W690" s="53"/>
      <c r="X690" s="53"/>
    </row>
    <row r="691" spans="1:24" ht="15.75" customHeight="1">
      <c r="A691" s="69"/>
      <c r="B691" s="69"/>
      <c r="C691" s="70" t="str">
        <f t="shared" si="12"/>
        <v/>
      </c>
      <c r="D691" s="55"/>
      <c r="E691" s="53"/>
      <c r="F691" s="53"/>
      <c r="G691" s="372"/>
      <c r="H691" s="372"/>
      <c r="I691" s="379"/>
      <c r="J691" s="372"/>
      <c r="K691" s="373"/>
      <c r="L691" s="372"/>
      <c r="M691" s="372"/>
      <c r="N691" s="227"/>
      <c r="O691" s="227"/>
      <c r="P691" s="227"/>
      <c r="Q691" s="227"/>
      <c r="R691" s="227"/>
      <c r="S691" s="340"/>
      <c r="T691" s="226"/>
      <c r="U691" s="53"/>
      <c r="V691" s="53"/>
      <c r="W691" s="53"/>
      <c r="X691" s="53"/>
    </row>
    <row r="692" spans="1:24" ht="15.75" customHeight="1">
      <c r="A692" s="69"/>
      <c r="B692" s="69"/>
      <c r="C692" s="70" t="str">
        <f t="shared" si="12"/>
        <v/>
      </c>
      <c r="D692" s="55"/>
      <c r="E692" s="53"/>
      <c r="F692" s="53"/>
      <c r="G692" s="372"/>
      <c r="H692" s="372"/>
      <c r="I692" s="379"/>
      <c r="J692" s="372"/>
      <c r="K692" s="373"/>
      <c r="L692" s="372"/>
      <c r="M692" s="372"/>
      <c r="N692" s="227"/>
      <c r="O692" s="227"/>
      <c r="P692" s="227"/>
      <c r="Q692" s="227"/>
      <c r="R692" s="227"/>
      <c r="S692" s="340"/>
      <c r="T692" s="226"/>
      <c r="U692" s="53"/>
      <c r="V692" s="53"/>
      <c r="W692" s="53"/>
      <c r="X692" s="53"/>
    </row>
    <row r="693" spans="1:24" ht="15.75" customHeight="1">
      <c r="A693" s="69"/>
      <c r="B693" s="69"/>
      <c r="C693" s="70" t="str">
        <f t="shared" si="12"/>
        <v/>
      </c>
      <c r="D693" s="55"/>
      <c r="E693" s="53"/>
      <c r="F693" s="53"/>
      <c r="G693" s="372"/>
      <c r="H693" s="372"/>
      <c r="I693" s="379"/>
      <c r="J693" s="372"/>
      <c r="K693" s="373"/>
      <c r="L693" s="372"/>
      <c r="M693" s="372"/>
      <c r="N693" s="227"/>
      <c r="O693" s="227"/>
      <c r="P693" s="227"/>
      <c r="Q693" s="227"/>
      <c r="R693" s="227"/>
      <c r="S693" s="340"/>
      <c r="T693" s="226"/>
      <c r="U693" s="53"/>
      <c r="V693" s="53"/>
      <c r="W693" s="53"/>
      <c r="X693" s="53"/>
    </row>
    <row r="694" spans="1:24" ht="15.75" customHeight="1">
      <c r="A694" s="69"/>
      <c r="B694" s="69"/>
      <c r="C694" s="70" t="str">
        <f t="shared" si="12"/>
        <v/>
      </c>
      <c r="D694" s="55"/>
      <c r="E694" s="53"/>
      <c r="F694" s="53"/>
      <c r="G694" s="372"/>
      <c r="H694" s="372"/>
      <c r="I694" s="379"/>
      <c r="J694" s="372"/>
      <c r="K694" s="373"/>
      <c r="L694" s="372"/>
      <c r="M694" s="372"/>
      <c r="N694" s="227"/>
      <c r="O694" s="227"/>
      <c r="P694" s="227"/>
      <c r="Q694" s="227"/>
      <c r="R694" s="227"/>
      <c r="S694" s="340"/>
      <c r="T694" s="226"/>
      <c r="U694" s="53"/>
      <c r="V694" s="53"/>
      <c r="W694" s="53"/>
      <c r="X694" s="53"/>
    </row>
    <row r="695" spans="1:24" ht="15.75" customHeight="1">
      <c r="A695" s="69"/>
      <c r="B695" s="69"/>
      <c r="C695" s="70" t="str">
        <f t="shared" si="12"/>
        <v/>
      </c>
      <c r="D695" s="55"/>
      <c r="E695" s="53"/>
      <c r="F695" s="53"/>
      <c r="G695" s="372"/>
      <c r="H695" s="372"/>
      <c r="I695" s="379"/>
      <c r="J695" s="372"/>
      <c r="K695" s="373"/>
      <c r="L695" s="372"/>
      <c r="M695" s="372"/>
      <c r="N695" s="227"/>
      <c r="O695" s="227"/>
      <c r="P695" s="227"/>
      <c r="Q695" s="227"/>
      <c r="R695" s="227"/>
      <c r="S695" s="340"/>
      <c r="T695" s="226"/>
      <c r="U695" s="53"/>
      <c r="V695" s="53"/>
      <c r="W695" s="53"/>
      <c r="X695" s="53"/>
    </row>
    <row r="696" spans="1:24" ht="15.75" customHeight="1">
      <c r="A696" s="69"/>
      <c r="B696" s="69"/>
      <c r="C696" s="70" t="str">
        <f t="shared" si="12"/>
        <v/>
      </c>
      <c r="D696" s="55"/>
      <c r="E696" s="53"/>
      <c r="F696" s="53"/>
      <c r="G696" s="372"/>
      <c r="H696" s="372"/>
      <c r="I696" s="379"/>
      <c r="J696" s="372"/>
      <c r="K696" s="373"/>
      <c r="L696" s="372"/>
      <c r="M696" s="372"/>
      <c r="N696" s="227"/>
      <c r="O696" s="227"/>
      <c r="P696" s="227"/>
      <c r="Q696" s="227"/>
      <c r="R696" s="227"/>
      <c r="S696" s="340"/>
      <c r="T696" s="226"/>
      <c r="U696" s="53"/>
      <c r="V696" s="53"/>
      <c r="W696" s="53"/>
      <c r="X696" s="53"/>
    </row>
    <row r="697" spans="1:24" ht="15.75" customHeight="1">
      <c r="A697" s="69"/>
      <c r="B697" s="69"/>
      <c r="C697" s="70" t="str">
        <f t="shared" si="12"/>
        <v/>
      </c>
      <c r="D697" s="55"/>
      <c r="E697" s="53"/>
      <c r="F697" s="53"/>
      <c r="G697" s="372"/>
      <c r="H697" s="372"/>
      <c r="I697" s="379"/>
      <c r="J697" s="372"/>
      <c r="K697" s="373"/>
      <c r="L697" s="372"/>
      <c r="M697" s="372"/>
      <c r="N697" s="227"/>
      <c r="O697" s="227"/>
      <c r="P697" s="227"/>
      <c r="Q697" s="227"/>
      <c r="R697" s="227"/>
      <c r="S697" s="340"/>
      <c r="T697" s="226"/>
      <c r="U697" s="53"/>
      <c r="V697" s="53"/>
      <c r="W697" s="53"/>
      <c r="X697" s="53"/>
    </row>
    <row r="698" spans="1:24" ht="15.75" customHeight="1">
      <c r="A698" s="69"/>
      <c r="B698" s="69"/>
      <c r="C698" s="70" t="str">
        <f t="shared" si="12"/>
        <v/>
      </c>
      <c r="D698" s="55"/>
      <c r="E698" s="53"/>
      <c r="F698" s="53"/>
      <c r="G698" s="372"/>
      <c r="H698" s="372"/>
      <c r="I698" s="379"/>
      <c r="J698" s="372"/>
      <c r="K698" s="373"/>
      <c r="L698" s="372"/>
      <c r="M698" s="372"/>
      <c r="N698" s="227"/>
      <c r="O698" s="227"/>
      <c r="P698" s="227"/>
      <c r="Q698" s="227"/>
      <c r="R698" s="227"/>
      <c r="S698" s="340"/>
      <c r="T698" s="226"/>
      <c r="U698" s="53"/>
      <c r="V698" s="53"/>
      <c r="W698" s="53"/>
      <c r="X698" s="53"/>
    </row>
    <row r="699" spans="1:24" ht="15.75" customHeight="1">
      <c r="A699" s="69"/>
      <c r="B699" s="69"/>
      <c r="C699" s="70" t="str">
        <f t="shared" si="12"/>
        <v/>
      </c>
      <c r="D699" s="55"/>
      <c r="E699" s="53"/>
      <c r="F699" s="53"/>
      <c r="G699" s="372"/>
      <c r="H699" s="372"/>
      <c r="I699" s="379"/>
      <c r="J699" s="372"/>
      <c r="K699" s="373"/>
      <c r="L699" s="372"/>
      <c r="M699" s="372"/>
      <c r="N699" s="227"/>
      <c r="O699" s="227"/>
      <c r="P699" s="227"/>
      <c r="Q699" s="227"/>
      <c r="R699" s="227"/>
      <c r="S699" s="340"/>
      <c r="T699" s="226"/>
      <c r="U699" s="53"/>
      <c r="V699" s="53"/>
      <c r="W699" s="53"/>
      <c r="X699" s="53"/>
    </row>
    <row r="700" spans="1:24" ht="15.75" customHeight="1">
      <c r="A700" s="69"/>
      <c r="B700" s="69"/>
      <c r="C700" s="70" t="str">
        <f t="shared" si="12"/>
        <v/>
      </c>
      <c r="D700" s="55"/>
      <c r="E700" s="53"/>
      <c r="F700" s="53"/>
      <c r="G700" s="372"/>
      <c r="H700" s="372"/>
      <c r="I700" s="379"/>
      <c r="J700" s="372"/>
      <c r="K700" s="373"/>
      <c r="L700" s="372"/>
      <c r="M700" s="372"/>
      <c r="N700" s="227"/>
      <c r="O700" s="227"/>
      <c r="P700" s="227"/>
      <c r="Q700" s="227"/>
      <c r="R700" s="227"/>
      <c r="S700" s="340"/>
      <c r="T700" s="226"/>
      <c r="U700" s="53"/>
      <c r="V700" s="53"/>
      <c r="W700" s="53"/>
      <c r="X700" s="53"/>
    </row>
    <row r="701" spans="1:24" ht="15.75" customHeight="1">
      <c r="A701" s="69"/>
      <c r="B701" s="69"/>
      <c r="C701" s="70" t="str">
        <f t="shared" si="12"/>
        <v/>
      </c>
      <c r="D701" s="55"/>
      <c r="E701" s="53"/>
      <c r="F701" s="53"/>
      <c r="G701" s="372"/>
      <c r="H701" s="372"/>
      <c r="I701" s="379"/>
      <c r="J701" s="372"/>
      <c r="K701" s="373"/>
      <c r="L701" s="372"/>
      <c r="M701" s="372"/>
      <c r="N701" s="227"/>
      <c r="O701" s="227"/>
      <c r="P701" s="227"/>
      <c r="Q701" s="227"/>
      <c r="R701" s="227"/>
      <c r="S701" s="340"/>
      <c r="T701" s="226"/>
      <c r="U701" s="53"/>
      <c r="V701" s="53"/>
      <c r="W701" s="53"/>
      <c r="X701" s="53"/>
    </row>
    <row r="702" spans="1:24" ht="15.75" customHeight="1">
      <c r="A702" s="69"/>
      <c r="B702" s="69"/>
      <c r="C702" s="70" t="str">
        <f t="shared" si="12"/>
        <v/>
      </c>
      <c r="D702" s="55"/>
      <c r="E702" s="53"/>
      <c r="F702" s="53"/>
      <c r="G702" s="372"/>
      <c r="H702" s="372"/>
      <c r="I702" s="379"/>
      <c r="J702" s="372"/>
      <c r="K702" s="373"/>
      <c r="L702" s="372"/>
      <c r="M702" s="372"/>
      <c r="N702" s="227"/>
      <c r="O702" s="227"/>
      <c r="P702" s="227"/>
      <c r="Q702" s="227"/>
      <c r="R702" s="227"/>
      <c r="S702" s="340"/>
      <c r="T702" s="226"/>
      <c r="U702" s="53"/>
      <c r="V702" s="53"/>
      <c r="W702" s="53"/>
      <c r="X702" s="53"/>
    </row>
    <row r="703" spans="1:24" ht="15.75" customHeight="1">
      <c r="A703" s="69"/>
      <c r="B703" s="69"/>
      <c r="C703" s="70" t="str">
        <f t="shared" si="12"/>
        <v/>
      </c>
      <c r="D703" s="55"/>
      <c r="E703" s="53"/>
      <c r="F703" s="53"/>
      <c r="G703" s="372"/>
      <c r="H703" s="372"/>
      <c r="I703" s="379"/>
      <c r="J703" s="372"/>
      <c r="K703" s="373"/>
      <c r="L703" s="372"/>
      <c r="M703" s="372"/>
      <c r="N703" s="227"/>
      <c r="O703" s="227"/>
      <c r="P703" s="227"/>
      <c r="Q703" s="227"/>
      <c r="R703" s="227"/>
      <c r="S703" s="340"/>
      <c r="T703" s="226"/>
      <c r="U703" s="53"/>
      <c r="V703" s="53"/>
      <c r="W703" s="53"/>
      <c r="X703" s="53"/>
    </row>
    <row r="704" spans="1:24" ht="15.75" customHeight="1">
      <c r="A704" s="69"/>
      <c r="B704" s="69"/>
      <c r="C704" s="70" t="str">
        <f t="shared" si="12"/>
        <v/>
      </c>
      <c r="D704" s="55"/>
      <c r="E704" s="53"/>
      <c r="F704" s="53"/>
      <c r="G704" s="372"/>
      <c r="H704" s="372"/>
      <c r="I704" s="379"/>
      <c r="J704" s="372"/>
      <c r="K704" s="373"/>
      <c r="L704" s="372"/>
      <c r="M704" s="372"/>
      <c r="N704" s="227"/>
      <c r="O704" s="227"/>
      <c r="P704" s="227"/>
      <c r="Q704" s="227"/>
      <c r="R704" s="227"/>
      <c r="S704" s="340"/>
      <c r="T704" s="226"/>
      <c r="U704" s="53"/>
      <c r="V704" s="53"/>
      <c r="W704" s="53"/>
      <c r="X704" s="53"/>
    </row>
    <row r="705" spans="1:24" ht="15.75" customHeight="1">
      <c r="A705" s="69"/>
      <c r="B705" s="69"/>
      <c r="C705" s="70" t="str">
        <f t="shared" si="12"/>
        <v/>
      </c>
      <c r="D705" s="55"/>
      <c r="E705" s="53"/>
      <c r="F705" s="53"/>
      <c r="G705" s="372"/>
      <c r="H705" s="372"/>
      <c r="I705" s="379"/>
      <c r="J705" s="372"/>
      <c r="K705" s="373"/>
      <c r="L705" s="372"/>
      <c r="M705" s="372"/>
      <c r="N705" s="227"/>
      <c r="O705" s="227"/>
      <c r="P705" s="227"/>
      <c r="Q705" s="227"/>
      <c r="R705" s="227"/>
      <c r="S705" s="340"/>
      <c r="T705" s="226"/>
      <c r="U705" s="53"/>
      <c r="V705" s="53"/>
      <c r="W705" s="53"/>
      <c r="X705" s="53"/>
    </row>
    <row r="706" spans="1:24" ht="15.75" customHeight="1">
      <c r="A706" s="69"/>
      <c r="B706" s="69"/>
      <c r="C706" s="70" t="str">
        <f t="shared" si="12"/>
        <v/>
      </c>
      <c r="D706" s="55"/>
      <c r="E706" s="53"/>
      <c r="F706" s="53"/>
      <c r="G706" s="372"/>
      <c r="H706" s="372"/>
      <c r="I706" s="379"/>
      <c r="J706" s="372"/>
      <c r="K706" s="373"/>
      <c r="L706" s="372"/>
      <c r="M706" s="372"/>
      <c r="N706" s="227"/>
      <c r="O706" s="227"/>
      <c r="P706" s="227"/>
      <c r="Q706" s="227"/>
      <c r="R706" s="227"/>
      <c r="S706" s="340"/>
      <c r="T706" s="226"/>
      <c r="U706" s="53"/>
      <c r="V706" s="53"/>
      <c r="W706" s="53"/>
      <c r="X706" s="53"/>
    </row>
    <row r="707" spans="1:24" ht="15.75" customHeight="1">
      <c r="A707" s="69"/>
      <c r="B707" s="69"/>
      <c r="C707" s="70" t="str">
        <f t="shared" si="12"/>
        <v/>
      </c>
      <c r="D707" s="55"/>
      <c r="E707" s="53"/>
      <c r="F707" s="53"/>
      <c r="G707" s="372"/>
      <c r="H707" s="372"/>
      <c r="I707" s="379"/>
      <c r="J707" s="372"/>
      <c r="K707" s="373"/>
      <c r="L707" s="372"/>
      <c r="M707" s="372"/>
      <c r="N707" s="227"/>
      <c r="O707" s="227"/>
      <c r="P707" s="227"/>
      <c r="Q707" s="227"/>
      <c r="R707" s="227"/>
      <c r="S707" s="340"/>
      <c r="T707" s="226"/>
      <c r="U707" s="53"/>
      <c r="V707" s="53"/>
      <c r="W707" s="53"/>
      <c r="X707" s="53"/>
    </row>
    <row r="708" spans="1:24" ht="15.75" customHeight="1">
      <c r="A708" s="69"/>
      <c r="B708" s="69"/>
      <c r="C708" s="70" t="str">
        <f t="shared" si="12"/>
        <v/>
      </c>
      <c r="D708" s="55"/>
      <c r="E708" s="53"/>
      <c r="F708" s="53"/>
      <c r="G708" s="372"/>
      <c r="H708" s="372"/>
      <c r="I708" s="379"/>
      <c r="J708" s="372"/>
      <c r="K708" s="373"/>
      <c r="L708" s="372"/>
      <c r="M708" s="372"/>
      <c r="N708" s="227"/>
      <c r="O708" s="227"/>
      <c r="P708" s="227"/>
      <c r="Q708" s="227"/>
      <c r="R708" s="227"/>
      <c r="S708" s="340"/>
      <c r="T708" s="226"/>
      <c r="U708" s="53"/>
      <c r="V708" s="53"/>
      <c r="W708" s="53"/>
      <c r="X708" s="53"/>
    </row>
    <row r="709" spans="1:24" ht="15.75" customHeight="1">
      <c r="A709" s="69"/>
      <c r="B709" s="69"/>
      <c r="C709" s="70" t="str">
        <f t="shared" si="12"/>
        <v/>
      </c>
      <c r="D709" s="55"/>
      <c r="E709" s="53"/>
      <c r="F709" s="53"/>
      <c r="G709" s="372"/>
      <c r="H709" s="372"/>
      <c r="I709" s="379"/>
      <c r="J709" s="372"/>
      <c r="K709" s="373"/>
      <c r="L709" s="372"/>
      <c r="M709" s="372"/>
      <c r="N709" s="227"/>
      <c r="O709" s="227"/>
      <c r="P709" s="227"/>
      <c r="Q709" s="227"/>
      <c r="R709" s="227"/>
      <c r="S709" s="340"/>
      <c r="T709" s="226"/>
      <c r="U709" s="53"/>
      <c r="V709" s="53"/>
      <c r="W709" s="53"/>
      <c r="X709" s="53"/>
    </row>
    <row r="710" spans="1:24" ht="15.75" customHeight="1">
      <c r="A710" s="69"/>
      <c r="B710" s="69"/>
      <c r="C710" s="70" t="str">
        <f t="shared" si="12"/>
        <v/>
      </c>
      <c r="D710" s="55"/>
      <c r="E710" s="53"/>
      <c r="F710" s="53"/>
      <c r="G710" s="372"/>
      <c r="H710" s="372"/>
      <c r="I710" s="379"/>
      <c r="J710" s="372"/>
      <c r="K710" s="373"/>
      <c r="L710" s="372"/>
      <c r="M710" s="372"/>
      <c r="N710" s="227"/>
      <c r="O710" s="227"/>
      <c r="P710" s="227"/>
      <c r="Q710" s="227"/>
      <c r="R710" s="227"/>
      <c r="S710" s="340"/>
      <c r="T710" s="226"/>
      <c r="U710" s="53"/>
      <c r="V710" s="53"/>
      <c r="W710" s="53"/>
      <c r="X710" s="53"/>
    </row>
    <row r="711" spans="1:24" ht="15.75" customHeight="1">
      <c r="A711" s="69"/>
      <c r="B711" s="69"/>
      <c r="C711" s="70" t="str">
        <f t="shared" si="12"/>
        <v/>
      </c>
      <c r="D711" s="55"/>
      <c r="E711" s="53"/>
      <c r="F711" s="53"/>
      <c r="G711" s="372"/>
      <c r="H711" s="372"/>
      <c r="I711" s="379"/>
      <c r="J711" s="372"/>
      <c r="K711" s="373"/>
      <c r="L711" s="372"/>
      <c r="M711" s="372"/>
      <c r="N711" s="227"/>
      <c r="O711" s="227"/>
      <c r="P711" s="227"/>
      <c r="Q711" s="227"/>
      <c r="R711" s="227"/>
      <c r="S711" s="340"/>
      <c r="T711" s="226"/>
      <c r="U711" s="53"/>
      <c r="V711" s="53"/>
      <c r="W711" s="53"/>
      <c r="X711" s="53"/>
    </row>
    <row r="712" spans="1:24" ht="15.75" customHeight="1">
      <c r="A712" s="69"/>
      <c r="B712" s="69"/>
      <c r="C712" s="70" t="str">
        <f t="shared" si="12"/>
        <v/>
      </c>
      <c r="D712" s="55"/>
      <c r="E712" s="53"/>
      <c r="F712" s="53"/>
      <c r="G712" s="372"/>
      <c r="H712" s="372"/>
      <c r="I712" s="379"/>
      <c r="J712" s="372"/>
      <c r="K712" s="373"/>
      <c r="L712" s="372"/>
      <c r="M712" s="372"/>
      <c r="N712" s="227"/>
      <c r="O712" s="227"/>
      <c r="P712" s="227"/>
      <c r="Q712" s="227"/>
      <c r="R712" s="227"/>
      <c r="S712" s="340"/>
      <c r="T712" s="226"/>
      <c r="U712" s="53"/>
      <c r="V712" s="53"/>
      <c r="W712" s="53"/>
      <c r="X712" s="53"/>
    </row>
    <row r="713" spans="1:24" ht="15.75" customHeight="1">
      <c r="A713" s="69"/>
      <c r="B713" s="69"/>
      <c r="C713" s="70" t="str">
        <f t="shared" si="12"/>
        <v/>
      </c>
      <c r="D713" s="55"/>
      <c r="E713" s="53"/>
      <c r="F713" s="53"/>
      <c r="G713" s="372"/>
      <c r="H713" s="372"/>
      <c r="I713" s="379"/>
      <c r="J713" s="372"/>
      <c r="K713" s="373"/>
      <c r="L713" s="372"/>
      <c r="M713" s="372"/>
      <c r="N713" s="227"/>
      <c r="O713" s="227"/>
      <c r="P713" s="227"/>
      <c r="Q713" s="227"/>
      <c r="R713" s="227"/>
      <c r="S713" s="340"/>
      <c r="T713" s="226"/>
      <c r="U713" s="53"/>
      <c r="V713" s="53"/>
      <c r="W713" s="53"/>
      <c r="X713" s="53"/>
    </row>
    <row r="714" spans="1:24" ht="15.75" customHeight="1">
      <c r="A714" s="69"/>
      <c r="B714" s="69"/>
      <c r="C714" s="70" t="str">
        <f t="shared" si="12"/>
        <v/>
      </c>
      <c r="D714" s="55"/>
      <c r="E714" s="53"/>
      <c r="F714" s="53"/>
      <c r="G714" s="372"/>
      <c r="H714" s="372"/>
      <c r="I714" s="379"/>
      <c r="J714" s="372"/>
      <c r="K714" s="373"/>
      <c r="L714" s="372"/>
      <c r="M714" s="372"/>
      <c r="N714" s="227"/>
      <c r="O714" s="227"/>
      <c r="P714" s="227"/>
      <c r="Q714" s="227"/>
      <c r="R714" s="227"/>
      <c r="S714" s="340"/>
      <c r="T714" s="226"/>
      <c r="U714" s="53"/>
      <c r="V714" s="53"/>
      <c r="W714" s="53"/>
      <c r="X714" s="53"/>
    </row>
    <row r="715" spans="1:24" ht="15.75" customHeight="1">
      <c r="A715" s="69"/>
      <c r="B715" s="69"/>
      <c r="C715" s="70" t="str">
        <f t="shared" si="12"/>
        <v/>
      </c>
      <c r="D715" s="55"/>
      <c r="E715" s="53"/>
      <c r="F715" s="53"/>
      <c r="G715" s="372"/>
      <c r="H715" s="372"/>
      <c r="I715" s="379"/>
      <c r="J715" s="372"/>
      <c r="K715" s="373"/>
      <c r="L715" s="372"/>
      <c r="M715" s="372"/>
      <c r="N715" s="227"/>
      <c r="O715" s="227"/>
      <c r="P715" s="227"/>
      <c r="Q715" s="227"/>
      <c r="R715" s="227"/>
      <c r="S715" s="340"/>
      <c r="T715" s="226"/>
      <c r="U715" s="53"/>
      <c r="V715" s="53"/>
      <c r="W715" s="53"/>
      <c r="X715" s="53"/>
    </row>
    <row r="716" spans="1:24" ht="15.75" customHeight="1">
      <c r="A716" s="69"/>
      <c r="B716" s="69"/>
      <c r="C716" s="70" t="str">
        <f t="shared" si="12"/>
        <v/>
      </c>
      <c r="D716" s="55"/>
      <c r="E716" s="53"/>
      <c r="F716" s="53"/>
      <c r="G716" s="372"/>
      <c r="H716" s="372"/>
      <c r="I716" s="379"/>
      <c r="J716" s="372"/>
      <c r="K716" s="373"/>
      <c r="L716" s="372"/>
      <c r="M716" s="372"/>
      <c r="N716" s="227"/>
      <c r="O716" s="227"/>
      <c r="P716" s="227"/>
      <c r="Q716" s="227"/>
      <c r="R716" s="227"/>
      <c r="S716" s="340"/>
      <c r="T716" s="226"/>
      <c r="U716" s="53"/>
      <c r="V716" s="53"/>
      <c r="W716" s="53"/>
      <c r="X716" s="53"/>
    </row>
    <row r="717" spans="1:24" ht="15.75" customHeight="1">
      <c r="A717" s="69"/>
      <c r="B717" s="69"/>
      <c r="C717" s="70" t="str">
        <f t="shared" si="12"/>
        <v/>
      </c>
      <c r="D717" s="55"/>
      <c r="E717" s="53"/>
      <c r="F717" s="53"/>
      <c r="G717" s="372"/>
      <c r="H717" s="372"/>
      <c r="I717" s="379"/>
      <c r="J717" s="372"/>
      <c r="K717" s="373"/>
      <c r="L717" s="372"/>
      <c r="M717" s="372"/>
      <c r="N717" s="227"/>
      <c r="O717" s="227"/>
      <c r="P717" s="227"/>
      <c r="Q717" s="227"/>
      <c r="R717" s="227"/>
      <c r="S717" s="340"/>
      <c r="T717" s="226"/>
      <c r="U717" s="53"/>
      <c r="V717" s="53"/>
      <c r="W717" s="53"/>
      <c r="X717" s="53"/>
    </row>
    <row r="718" spans="1:24" ht="15.75" customHeight="1">
      <c r="A718" s="69"/>
      <c r="B718" s="69"/>
      <c r="C718" s="70" t="str">
        <f t="shared" si="12"/>
        <v/>
      </c>
      <c r="D718" s="55"/>
      <c r="E718" s="53"/>
      <c r="F718" s="53"/>
      <c r="G718" s="372"/>
      <c r="H718" s="372"/>
      <c r="I718" s="379"/>
      <c r="J718" s="372"/>
      <c r="K718" s="373"/>
      <c r="L718" s="372"/>
      <c r="M718" s="372"/>
      <c r="N718" s="227"/>
      <c r="O718" s="227"/>
      <c r="P718" s="227"/>
      <c r="Q718" s="227"/>
      <c r="R718" s="227"/>
      <c r="S718" s="340"/>
      <c r="T718" s="226"/>
      <c r="U718" s="53"/>
      <c r="V718" s="53"/>
      <c r="W718" s="53"/>
      <c r="X718" s="53"/>
    </row>
    <row r="719" spans="1:24" ht="15.75" customHeight="1">
      <c r="A719" s="69"/>
      <c r="B719" s="69"/>
      <c r="C719" s="70" t="str">
        <f t="shared" si="12"/>
        <v/>
      </c>
      <c r="D719" s="55"/>
      <c r="E719" s="53"/>
      <c r="F719" s="53"/>
      <c r="G719" s="372"/>
      <c r="H719" s="372"/>
      <c r="I719" s="379"/>
      <c r="J719" s="372"/>
      <c r="K719" s="373"/>
      <c r="L719" s="372"/>
      <c r="M719" s="372"/>
      <c r="N719" s="227"/>
      <c r="O719" s="227"/>
      <c r="P719" s="227"/>
      <c r="Q719" s="227"/>
      <c r="R719" s="227"/>
      <c r="S719" s="340"/>
      <c r="T719" s="226"/>
      <c r="U719" s="53"/>
      <c r="V719" s="53"/>
      <c r="W719" s="53"/>
      <c r="X719" s="53"/>
    </row>
    <row r="720" spans="1:24" ht="15.75" customHeight="1">
      <c r="A720" s="69"/>
      <c r="B720" s="69"/>
      <c r="C720" s="70" t="str">
        <f t="shared" si="12"/>
        <v/>
      </c>
      <c r="D720" s="55"/>
      <c r="E720" s="53"/>
      <c r="F720" s="53"/>
      <c r="G720" s="372"/>
      <c r="H720" s="372"/>
      <c r="I720" s="379"/>
      <c r="J720" s="372"/>
      <c r="K720" s="373"/>
      <c r="L720" s="372"/>
      <c r="M720" s="372"/>
      <c r="N720" s="227"/>
      <c r="O720" s="227"/>
      <c r="P720" s="227"/>
      <c r="Q720" s="227"/>
      <c r="R720" s="227"/>
      <c r="S720" s="340"/>
      <c r="T720" s="226"/>
      <c r="U720" s="53"/>
      <c r="V720" s="53"/>
      <c r="W720" s="53"/>
      <c r="X720" s="53"/>
    </row>
    <row r="721" spans="1:24" ht="15.75" customHeight="1">
      <c r="A721" s="69"/>
      <c r="B721" s="69"/>
      <c r="C721" s="70" t="str">
        <f t="shared" ref="C721:C784" si="13">IF(B721&lt;&gt;"",TEXT(WEEKDAY(B721),"dddd"),"")</f>
        <v/>
      </c>
      <c r="D721" s="55"/>
      <c r="E721" s="53"/>
      <c r="F721" s="53"/>
      <c r="G721" s="372"/>
      <c r="H721" s="372"/>
      <c r="I721" s="379"/>
      <c r="J721" s="372"/>
      <c r="K721" s="373"/>
      <c r="L721" s="372"/>
      <c r="M721" s="372"/>
      <c r="N721" s="227"/>
      <c r="O721" s="227"/>
      <c r="P721" s="227"/>
      <c r="Q721" s="227"/>
      <c r="R721" s="227"/>
      <c r="S721" s="340"/>
      <c r="T721" s="226"/>
      <c r="U721" s="53"/>
      <c r="V721" s="53"/>
      <c r="W721" s="53"/>
      <c r="X721" s="53"/>
    </row>
    <row r="722" spans="1:24" ht="15.75" customHeight="1">
      <c r="A722" s="69"/>
      <c r="B722" s="69"/>
      <c r="C722" s="70" t="str">
        <f t="shared" si="13"/>
        <v/>
      </c>
      <c r="D722" s="55"/>
      <c r="E722" s="53"/>
      <c r="F722" s="53"/>
      <c r="G722" s="372"/>
      <c r="H722" s="372"/>
      <c r="I722" s="379"/>
      <c r="J722" s="372"/>
      <c r="K722" s="373"/>
      <c r="L722" s="372"/>
      <c r="M722" s="372"/>
      <c r="N722" s="227"/>
      <c r="O722" s="227"/>
      <c r="P722" s="227"/>
      <c r="Q722" s="227"/>
      <c r="R722" s="227"/>
      <c r="S722" s="340"/>
      <c r="T722" s="226"/>
      <c r="U722" s="53"/>
      <c r="V722" s="53"/>
      <c r="W722" s="53"/>
      <c r="X722" s="53"/>
    </row>
    <row r="723" spans="1:24" ht="15.75" customHeight="1">
      <c r="A723" s="69"/>
      <c r="B723" s="69"/>
      <c r="C723" s="70" t="str">
        <f t="shared" si="13"/>
        <v/>
      </c>
      <c r="D723" s="55"/>
      <c r="E723" s="53"/>
      <c r="F723" s="53"/>
      <c r="G723" s="372"/>
      <c r="H723" s="372"/>
      <c r="I723" s="379"/>
      <c r="J723" s="372"/>
      <c r="K723" s="373"/>
      <c r="L723" s="372"/>
      <c r="M723" s="372"/>
      <c r="N723" s="227"/>
      <c r="O723" s="227"/>
      <c r="P723" s="227"/>
      <c r="Q723" s="227"/>
      <c r="R723" s="227"/>
      <c r="S723" s="340"/>
      <c r="T723" s="226"/>
      <c r="U723" s="53"/>
      <c r="V723" s="53"/>
      <c r="W723" s="53"/>
      <c r="X723" s="53"/>
    </row>
    <row r="724" spans="1:24" ht="15.75" customHeight="1">
      <c r="A724" s="69"/>
      <c r="B724" s="69"/>
      <c r="C724" s="70" t="str">
        <f t="shared" si="13"/>
        <v/>
      </c>
      <c r="D724" s="55"/>
      <c r="E724" s="53"/>
      <c r="F724" s="53"/>
      <c r="G724" s="372"/>
      <c r="H724" s="372"/>
      <c r="I724" s="379"/>
      <c r="J724" s="372"/>
      <c r="K724" s="373"/>
      <c r="L724" s="372"/>
      <c r="M724" s="372"/>
      <c r="N724" s="227"/>
      <c r="O724" s="227"/>
      <c r="P724" s="227"/>
      <c r="Q724" s="227"/>
      <c r="R724" s="227"/>
      <c r="S724" s="340"/>
      <c r="T724" s="226"/>
      <c r="U724" s="53"/>
      <c r="V724" s="53"/>
      <c r="W724" s="53"/>
      <c r="X724" s="53"/>
    </row>
    <row r="725" spans="1:24" ht="15.75" customHeight="1">
      <c r="A725" s="69"/>
      <c r="B725" s="69"/>
      <c r="C725" s="70" t="str">
        <f t="shared" si="13"/>
        <v/>
      </c>
      <c r="D725" s="55"/>
      <c r="E725" s="53"/>
      <c r="F725" s="53"/>
      <c r="G725" s="372"/>
      <c r="H725" s="372"/>
      <c r="I725" s="379"/>
      <c r="J725" s="372"/>
      <c r="K725" s="373"/>
      <c r="L725" s="372"/>
      <c r="M725" s="372"/>
      <c r="N725" s="227"/>
      <c r="O725" s="227"/>
      <c r="P725" s="227"/>
      <c r="Q725" s="227"/>
      <c r="R725" s="227"/>
      <c r="S725" s="340"/>
      <c r="T725" s="226"/>
      <c r="U725" s="53"/>
      <c r="V725" s="53"/>
      <c r="W725" s="53"/>
      <c r="X725" s="53"/>
    </row>
    <row r="726" spans="1:24" ht="15.75" customHeight="1">
      <c r="A726" s="69"/>
      <c r="B726" s="69"/>
      <c r="C726" s="70" t="str">
        <f t="shared" si="13"/>
        <v/>
      </c>
      <c r="D726" s="55"/>
      <c r="E726" s="53"/>
      <c r="F726" s="53"/>
      <c r="G726" s="372"/>
      <c r="H726" s="372"/>
      <c r="I726" s="379"/>
      <c r="J726" s="372"/>
      <c r="K726" s="373"/>
      <c r="L726" s="372"/>
      <c r="M726" s="372"/>
      <c r="N726" s="227"/>
      <c r="O726" s="227"/>
      <c r="P726" s="227"/>
      <c r="Q726" s="227"/>
      <c r="R726" s="227"/>
      <c r="S726" s="340"/>
      <c r="T726" s="226"/>
      <c r="U726" s="53"/>
      <c r="V726" s="53"/>
      <c r="W726" s="53"/>
      <c r="X726" s="53"/>
    </row>
    <row r="727" spans="1:24" ht="15.75" customHeight="1">
      <c r="A727" s="69"/>
      <c r="B727" s="69"/>
      <c r="C727" s="70" t="str">
        <f t="shared" si="13"/>
        <v/>
      </c>
      <c r="D727" s="55"/>
      <c r="E727" s="53"/>
      <c r="F727" s="53"/>
      <c r="G727" s="372"/>
      <c r="H727" s="372"/>
      <c r="I727" s="379"/>
      <c r="J727" s="372"/>
      <c r="K727" s="373"/>
      <c r="L727" s="372"/>
      <c r="M727" s="372"/>
      <c r="N727" s="227"/>
      <c r="O727" s="227"/>
      <c r="P727" s="227"/>
      <c r="Q727" s="227"/>
      <c r="R727" s="227"/>
      <c r="S727" s="340"/>
      <c r="T727" s="226"/>
      <c r="U727" s="53"/>
      <c r="V727" s="53"/>
      <c r="W727" s="53"/>
      <c r="X727" s="53"/>
    </row>
    <row r="728" spans="1:24" ht="15.75" customHeight="1">
      <c r="A728" s="69"/>
      <c r="B728" s="69"/>
      <c r="C728" s="70" t="str">
        <f t="shared" si="13"/>
        <v/>
      </c>
      <c r="D728" s="55"/>
      <c r="E728" s="53"/>
      <c r="F728" s="53"/>
      <c r="G728" s="372"/>
      <c r="H728" s="372"/>
      <c r="I728" s="379"/>
      <c r="J728" s="372"/>
      <c r="K728" s="373"/>
      <c r="L728" s="372"/>
      <c r="M728" s="372"/>
      <c r="N728" s="227"/>
      <c r="O728" s="227"/>
      <c r="P728" s="227"/>
      <c r="Q728" s="227"/>
      <c r="R728" s="227"/>
      <c r="S728" s="340"/>
      <c r="T728" s="226"/>
      <c r="U728" s="53"/>
      <c r="V728" s="53"/>
      <c r="W728" s="53"/>
      <c r="X728" s="53"/>
    </row>
    <row r="729" spans="1:24" ht="15.75" customHeight="1">
      <c r="A729" s="69"/>
      <c r="B729" s="69"/>
      <c r="C729" s="70" t="str">
        <f t="shared" si="13"/>
        <v/>
      </c>
      <c r="D729" s="55"/>
      <c r="E729" s="53"/>
      <c r="F729" s="53"/>
      <c r="G729" s="372"/>
      <c r="H729" s="372"/>
      <c r="I729" s="379"/>
      <c r="J729" s="372"/>
      <c r="K729" s="373"/>
      <c r="L729" s="372"/>
      <c r="M729" s="372"/>
      <c r="N729" s="227"/>
      <c r="O729" s="227"/>
      <c r="P729" s="227"/>
      <c r="Q729" s="227"/>
      <c r="R729" s="227"/>
      <c r="S729" s="340"/>
      <c r="T729" s="226"/>
      <c r="U729" s="53"/>
      <c r="V729" s="53"/>
      <c r="W729" s="53"/>
      <c r="X729" s="53"/>
    </row>
    <row r="730" spans="1:24" ht="15.75" customHeight="1">
      <c r="A730" s="69"/>
      <c r="B730" s="69"/>
      <c r="C730" s="70" t="str">
        <f t="shared" si="13"/>
        <v/>
      </c>
      <c r="D730" s="55"/>
      <c r="E730" s="53"/>
      <c r="F730" s="53"/>
      <c r="G730" s="372"/>
      <c r="H730" s="372"/>
      <c r="I730" s="379"/>
      <c r="J730" s="372"/>
      <c r="K730" s="373"/>
      <c r="L730" s="372"/>
      <c r="M730" s="372"/>
      <c r="N730" s="227"/>
      <c r="O730" s="227"/>
      <c r="P730" s="227"/>
      <c r="Q730" s="227"/>
      <c r="R730" s="227"/>
      <c r="S730" s="340"/>
      <c r="T730" s="226"/>
      <c r="U730" s="53"/>
      <c r="V730" s="53"/>
      <c r="W730" s="53"/>
      <c r="X730" s="53"/>
    </row>
    <row r="731" spans="1:24" ht="15.75" customHeight="1">
      <c r="A731" s="69"/>
      <c r="B731" s="69"/>
      <c r="C731" s="70" t="str">
        <f t="shared" si="13"/>
        <v/>
      </c>
      <c r="D731" s="55"/>
      <c r="E731" s="53"/>
      <c r="F731" s="53"/>
      <c r="G731" s="372"/>
      <c r="H731" s="372"/>
      <c r="I731" s="379"/>
      <c r="J731" s="372"/>
      <c r="K731" s="373"/>
      <c r="L731" s="372"/>
      <c r="M731" s="372"/>
      <c r="N731" s="227"/>
      <c r="O731" s="227"/>
      <c r="P731" s="227"/>
      <c r="Q731" s="227"/>
      <c r="R731" s="227"/>
      <c r="S731" s="340"/>
      <c r="T731" s="226"/>
      <c r="U731" s="53"/>
      <c r="V731" s="53"/>
      <c r="W731" s="53"/>
      <c r="X731" s="53"/>
    </row>
    <row r="732" spans="1:24" ht="15.75" customHeight="1">
      <c r="A732" s="69"/>
      <c r="B732" s="69"/>
      <c r="C732" s="70" t="str">
        <f t="shared" si="13"/>
        <v/>
      </c>
      <c r="D732" s="55"/>
      <c r="E732" s="53"/>
      <c r="F732" s="53"/>
      <c r="G732" s="372"/>
      <c r="H732" s="372"/>
      <c r="I732" s="379"/>
      <c r="J732" s="372"/>
      <c r="K732" s="373"/>
      <c r="L732" s="372"/>
      <c r="M732" s="372"/>
      <c r="N732" s="227"/>
      <c r="O732" s="227"/>
      <c r="P732" s="227"/>
      <c r="Q732" s="227"/>
      <c r="R732" s="227"/>
      <c r="S732" s="340"/>
      <c r="T732" s="226"/>
      <c r="U732" s="53"/>
      <c r="V732" s="53"/>
      <c r="W732" s="53"/>
      <c r="X732" s="53"/>
    </row>
    <row r="733" spans="1:24" ht="15.75" customHeight="1">
      <c r="A733" s="69"/>
      <c r="B733" s="69"/>
      <c r="C733" s="70" t="str">
        <f t="shared" si="13"/>
        <v/>
      </c>
      <c r="D733" s="55"/>
      <c r="E733" s="53"/>
      <c r="F733" s="53"/>
      <c r="G733" s="372"/>
      <c r="H733" s="372"/>
      <c r="I733" s="379"/>
      <c r="J733" s="372"/>
      <c r="K733" s="373"/>
      <c r="L733" s="372"/>
      <c r="M733" s="372"/>
      <c r="N733" s="227"/>
      <c r="O733" s="227"/>
      <c r="P733" s="227"/>
      <c r="Q733" s="227"/>
      <c r="R733" s="227"/>
      <c r="S733" s="340"/>
      <c r="T733" s="226"/>
      <c r="U733" s="53"/>
      <c r="V733" s="53"/>
      <c r="W733" s="53"/>
      <c r="X733" s="53"/>
    </row>
    <row r="734" spans="1:24" ht="15.75" customHeight="1">
      <c r="A734" s="69"/>
      <c r="B734" s="69"/>
      <c r="C734" s="70" t="str">
        <f t="shared" si="13"/>
        <v/>
      </c>
      <c r="D734" s="55"/>
      <c r="E734" s="53"/>
      <c r="F734" s="53"/>
      <c r="G734" s="372"/>
      <c r="H734" s="372"/>
      <c r="I734" s="379"/>
      <c r="J734" s="372"/>
      <c r="K734" s="373"/>
      <c r="L734" s="372"/>
      <c r="M734" s="372"/>
      <c r="N734" s="227"/>
      <c r="O734" s="227"/>
      <c r="P734" s="227"/>
      <c r="Q734" s="227"/>
      <c r="R734" s="227"/>
      <c r="S734" s="340"/>
      <c r="T734" s="226"/>
      <c r="U734" s="53"/>
      <c r="V734" s="53"/>
      <c r="W734" s="53"/>
      <c r="X734" s="53"/>
    </row>
    <row r="735" spans="1:24" ht="15.75" customHeight="1">
      <c r="A735" s="69"/>
      <c r="B735" s="69"/>
      <c r="C735" s="70" t="str">
        <f t="shared" si="13"/>
        <v/>
      </c>
      <c r="D735" s="55"/>
      <c r="E735" s="53"/>
      <c r="F735" s="53"/>
      <c r="G735" s="372"/>
      <c r="H735" s="372"/>
      <c r="I735" s="379"/>
      <c r="J735" s="372"/>
      <c r="K735" s="373"/>
      <c r="L735" s="372"/>
      <c r="M735" s="372"/>
      <c r="N735" s="227"/>
      <c r="O735" s="227"/>
      <c r="P735" s="227"/>
      <c r="Q735" s="227"/>
      <c r="R735" s="227"/>
      <c r="S735" s="340"/>
      <c r="T735" s="226"/>
      <c r="U735" s="53"/>
      <c r="V735" s="53"/>
      <c r="W735" s="53"/>
      <c r="X735" s="53"/>
    </row>
    <row r="736" spans="1:24" ht="15.75" customHeight="1">
      <c r="A736" s="69"/>
      <c r="B736" s="69"/>
      <c r="C736" s="70" t="str">
        <f t="shared" si="13"/>
        <v/>
      </c>
      <c r="D736" s="55"/>
      <c r="E736" s="53"/>
      <c r="F736" s="53"/>
      <c r="G736" s="372"/>
      <c r="H736" s="372"/>
      <c r="I736" s="379"/>
      <c r="J736" s="372"/>
      <c r="K736" s="373"/>
      <c r="L736" s="372"/>
      <c r="M736" s="372"/>
      <c r="N736" s="227"/>
      <c r="O736" s="227"/>
      <c r="P736" s="227"/>
      <c r="Q736" s="227"/>
      <c r="R736" s="227"/>
      <c r="S736" s="340"/>
      <c r="T736" s="226"/>
      <c r="U736" s="53"/>
      <c r="V736" s="53"/>
      <c r="W736" s="53"/>
      <c r="X736" s="53"/>
    </row>
    <row r="737" spans="1:24" ht="15.75" customHeight="1">
      <c r="A737" s="69"/>
      <c r="B737" s="69"/>
      <c r="C737" s="70" t="str">
        <f t="shared" si="13"/>
        <v/>
      </c>
      <c r="D737" s="55"/>
      <c r="E737" s="53"/>
      <c r="F737" s="53"/>
      <c r="G737" s="372"/>
      <c r="H737" s="372"/>
      <c r="I737" s="379"/>
      <c r="J737" s="372"/>
      <c r="K737" s="373"/>
      <c r="L737" s="372"/>
      <c r="M737" s="372"/>
      <c r="N737" s="227"/>
      <c r="O737" s="227"/>
      <c r="P737" s="227"/>
      <c r="Q737" s="227"/>
      <c r="R737" s="227"/>
      <c r="S737" s="340"/>
      <c r="T737" s="226"/>
      <c r="U737" s="53"/>
      <c r="V737" s="53"/>
      <c r="W737" s="53"/>
      <c r="X737" s="53"/>
    </row>
    <row r="738" spans="1:24" ht="15.75" customHeight="1">
      <c r="A738" s="69"/>
      <c r="B738" s="69"/>
      <c r="C738" s="70" t="str">
        <f t="shared" si="13"/>
        <v/>
      </c>
      <c r="D738" s="55"/>
      <c r="E738" s="53"/>
      <c r="F738" s="53"/>
      <c r="G738" s="372"/>
      <c r="H738" s="372"/>
      <c r="I738" s="379"/>
      <c r="J738" s="372"/>
      <c r="K738" s="373"/>
      <c r="L738" s="372"/>
      <c r="M738" s="372"/>
      <c r="N738" s="227"/>
      <c r="O738" s="227"/>
      <c r="P738" s="227"/>
      <c r="Q738" s="227"/>
      <c r="R738" s="227"/>
      <c r="S738" s="340"/>
      <c r="T738" s="226"/>
      <c r="U738" s="53"/>
      <c r="V738" s="53"/>
      <c r="W738" s="53"/>
      <c r="X738" s="53"/>
    </row>
    <row r="739" spans="1:24" ht="15.75" customHeight="1">
      <c r="A739" s="69"/>
      <c r="B739" s="69"/>
      <c r="C739" s="70" t="str">
        <f t="shared" si="13"/>
        <v/>
      </c>
      <c r="D739" s="55"/>
      <c r="E739" s="53"/>
      <c r="F739" s="53"/>
      <c r="G739" s="372"/>
      <c r="H739" s="372"/>
      <c r="I739" s="379"/>
      <c r="J739" s="372"/>
      <c r="K739" s="373"/>
      <c r="L739" s="372"/>
      <c r="M739" s="372"/>
      <c r="N739" s="227"/>
      <c r="O739" s="227"/>
      <c r="P739" s="227"/>
      <c r="Q739" s="227"/>
      <c r="R739" s="227"/>
      <c r="S739" s="340"/>
      <c r="T739" s="226"/>
      <c r="U739" s="53"/>
      <c r="V739" s="53"/>
      <c r="W739" s="53"/>
      <c r="X739" s="53"/>
    </row>
    <row r="740" spans="1:24" ht="15.75" customHeight="1">
      <c r="A740" s="69"/>
      <c r="B740" s="69"/>
      <c r="C740" s="70" t="str">
        <f t="shared" si="13"/>
        <v/>
      </c>
      <c r="D740" s="55"/>
      <c r="E740" s="53"/>
      <c r="F740" s="53"/>
      <c r="G740" s="372"/>
      <c r="H740" s="372"/>
      <c r="I740" s="379"/>
      <c r="J740" s="372"/>
      <c r="K740" s="373"/>
      <c r="L740" s="372"/>
      <c r="M740" s="372"/>
      <c r="N740" s="227"/>
      <c r="O740" s="227"/>
      <c r="P740" s="227"/>
      <c r="Q740" s="227"/>
      <c r="R740" s="227"/>
      <c r="S740" s="340"/>
      <c r="T740" s="226"/>
      <c r="U740" s="53"/>
      <c r="V740" s="53"/>
      <c r="W740" s="53"/>
      <c r="X740" s="53"/>
    </row>
    <row r="741" spans="1:24" ht="15.75" customHeight="1">
      <c r="A741" s="69"/>
      <c r="B741" s="69"/>
      <c r="C741" s="70" t="str">
        <f t="shared" si="13"/>
        <v/>
      </c>
      <c r="D741" s="55"/>
      <c r="E741" s="53"/>
      <c r="F741" s="53"/>
      <c r="G741" s="372"/>
      <c r="H741" s="372"/>
      <c r="I741" s="379"/>
      <c r="J741" s="372"/>
      <c r="K741" s="373"/>
      <c r="L741" s="372"/>
      <c r="M741" s="372"/>
      <c r="N741" s="227"/>
      <c r="O741" s="227"/>
      <c r="P741" s="227"/>
      <c r="Q741" s="227"/>
      <c r="R741" s="227"/>
      <c r="S741" s="340"/>
      <c r="T741" s="226"/>
      <c r="U741" s="53"/>
      <c r="V741" s="53"/>
      <c r="W741" s="53"/>
      <c r="X741" s="53"/>
    </row>
    <row r="742" spans="1:24" ht="15.75" customHeight="1">
      <c r="A742" s="69"/>
      <c r="B742" s="69"/>
      <c r="C742" s="70" t="str">
        <f t="shared" si="13"/>
        <v/>
      </c>
      <c r="D742" s="55"/>
      <c r="E742" s="53"/>
      <c r="F742" s="53"/>
      <c r="G742" s="372"/>
      <c r="H742" s="372"/>
      <c r="I742" s="379"/>
      <c r="J742" s="372"/>
      <c r="K742" s="373"/>
      <c r="L742" s="372"/>
      <c r="M742" s="372"/>
      <c r="N742" s="227"/>
      <c r="O742" s="227"/>
      <c r="P742" s="227"/>
      <c r="Q742" s="227"/>
      <c r="R742" s="227"/>
      <c r="S742" s="340"/>
      <c r="T742" s="226"/>
      <c r="U742" s="53"/>
      <c r="V742" s="53"/>
      <c r="W742" s="53"/>
      <c r="X742" s="53"/>
    </row>
    <row r="743" spans="1:24" ht="15.75" customHeight="1">
      <c r="A743" s="69"/>
      <c r="B743" s="69"/>
      <c r="C743" s="70" t="str">
        <f t="shared" si="13"/>
        <v/>
      </c>
      <c r="D743" s="55"/>
      <c r="E743" s="53"/>
      <c r="F743" s="53"/>
      <c r="G743" s="372"/>
      <c r="H743" s="372"/>
      <c r="I743" s="379"/>
      <c r="J743" s="372"/>
      <c r="K743" s="373"/>
      <c r="L743" s="372"/>
      <c r="M743" s="372"/>
      <c r="N743" s="227"/>
      <c r="O743" s="227"/>
      <c r="P743" s="227"/>
      <c r="Q743" s="227"/>
      <c r="R743" s="227"/>
      <c r="S743" s="340"/>
      <c r="T743" s="226"/>
      <c r="U743" s="53"/>
      <c r="V743" s="53"/>
      <c r="W743" s="53"/>
      <c r="X743" s="53"/>
    </row>
    <row r="744" spans="1:24" ht="15.75" customHeight="1">
      <c r="A744" s="69"/>
      <c r="B744" s="69"/>
      <c r="C744" s="70" t="str">
        <f t="shared" si="13"/>
        <v/>
      </c>
      <c r="D744" s="55"/>
      <c r="E744" s="53"/>
      <c r="F744" s="53"/>
      <c r="G744" s="372"/>
      <c r="H744" s="372"/>
      <c r="I744" s="379"/>
      <c r="J744" s="372"/>
      <c r="K744" s="373"/>
      <c r="L744" s="372"/>
      <c r="M744" s="372"/>
      <c r="N744" s="227"/>
      <c r="O744" s="227"/>
      <c r="P744" s="227"/>
      <c r="Q744" s="227"/>
      <c r="R744" s="227"/>
      <c r="S744" s="340"/>
      <c r="T744" s="226"/>
      <c r="U744" s="53"/>
      <c r="V744" s="53"/>
      <c r="W744" s="53"/>
      <c r="X744" s="53"/>
    </row>
    <row r="745" spans="1:24" ht="15.75" customHeight="1">
      <c r="A745" s="69"/>
      <c r="B745" s="69"/>
      <c r="C745" s="70" t="str">
        <f t="shared" si="13"/>
        <v/>
      </c>
      <c r="D745" s="55"/>
      <c r="E745" s="53"/>
      <c r="F745" s="53"/>
      <c r="G745" s="372"/>
      <c r="H745" s="372"/>
      <c r="I745" s="379"/>
      <c r="J745" s="372"/>
      <c r="K745" s="373"/>
      <c r="L745" s="372"/>
      <c r="M745" s="372"/>
      <c r="N745" s="227"/>
      <c r="O745" s="227"/>
      <c r="P745" s="227"/>
      <c r="Q745" s="227"/>
      <c r="R745" s="227"/>
      <c r="S745" s="340"/>
      <c r="T745" s="226"/>
      <c r="U745" s="53"/>
      <c r="V745" s="53"/>
      <c r="W745" s="53"/>
      <c r="X745" s="53"/>
    </row>
    <row r="746" spans="1:24" ht="15.75" customHeight="1">
      <c r="A746" s="69"/>
      <c r="B746" s="69"/>
      <c r="C746" s="70" t="str">
        <f t="shared" si="13"/>
        <v/>
      </c>
      <c r="D746" s="55"/>
      <c r="E746" s="53"/>
      <c r="F746" s="53"/>
      <c r="G746" s="372"/>
      <c r="H746" s="372"/>
      <c r="I746" s="379"/>
      <c r="J746" s="372"/>
      <c r="K746" s="373"/>
      <c r="L746" s="372"/>
      <c r="M746" s="372"/>
      <c r="N746" s="227"/>
      <c r="O746" s="227"/>
      <c r="P746" s="227"/>
      <c r="Q746" s="227"/>
      <c r="R746" s="227"/>
      <c r="S746" s="340"/>
      <c r="T746" s="226"/>
      <c r="U746" s="53"/>
      <c r="V746" s="53"/>
      <c r="W746" s="53"/>
      <c r="X746" s="53"/>
    </row>
    <row r="747" spans="1:24" ht="15.75" customHeight="1">
      <c r="A747" s="69"/>
      <c r="B747" s="69"/>
      <c r="C747" s="70" t="str">
        <f t="shared" si="13"/>
        <v/>
      </c>
      <c r="D747" s="55"/>
      <c r="E747" s="53"/>
      <c r="F747" s="53"/>
      <c r="G747" s="372"/>
      <c r="H747" s="372"/>
      <c r="I747" s="379"/>
      <c r="J747" s="372"/>
      <c r="K747" s="373"/>
      <c r="L747" s="372"/>
      <c r="M747" s="372"/>
      <c r="N747" s="227"/>
      <c r="O747" s="227"/>
      <c r="P747" s="227"/>
      <c r="Q747" s="227"/>
      <c r="R747" s="227"/>
      <c r="S747" s="340"/>
      <c r="T747" s="226"/>
      <c r="U747" s="53"/>
      <c r="V747" s="53"/>
      <c r="W747" s="53"/>
      <c r="X747" s="53"/>
    </row>
    <row r="748" spans="1:24" ht="15.75" customHeight="1">
      <c r="A748" s="69"/>
      <c r="B748" s="69"/>
      <c r="C748" s="70" t="str">
        <f t="shared" si="13"/>
        <v/>
      </c>
      <c r="D748" s="55"/>
      <c r="E748" s="53"/>
      <c r="F748" s="53"/>
      <c r="G748" s="372"/>
      <c r="H748" s="372"/>
      <c r="I748" s="379"/>
      <c r="J748" s="372"/>
      <c r="K748" s="373"/>
      <c r="L748" s="372"/>
      <c r="M748" s="372"/>
      <c r="N748" s="227"/>
      <c r="O748" s="227"/>
      <c r="P748" s="227"/>
      <c r="Q748" s="227"/>
      <c r="R748" s="227"/>
      <c r="S748" s="340"/>
      <c r="T748" s="226"/>
      <c r="U748" s="53"/>
      <c r="V748" s="53"/>
      <c r="W748" s="53"/>
      <c r="X748" s="53"/>
    </row>
    <row r="749" spans="1:24" ht="15.75" customHeight="1">
      <c r="A749" s="69"/>
      <c r="B749" s="69"/>
      <c r="C749" s="70" t="str">
        <f t="shared" si="13"/>
        <v/>
      </c>
      <c r="D749" s="55"/>
      <c r="E749" s="53"/>
      <c r="F749" s="53"/>
      <c r="G749" s="372"/>
      <c r="H749" s="372"/>
      <c r="I749" s="379"/>
      <c r="J749" s="372"/>
      <c r="K749" s="373"/>
      <c r="L749" s="372"/>
      <c r="M749" s="372"/>
      <c r="N749" s="227"/>
      <c r="O749" s="227"/>
      <c r="P749" s="227"/>
      <c r="Q749" s="227"/>
      <c r="R749" s="227"/>
      <c r="S749" s="340"/>
      <c r="T749" s="226"/>
      <c r="U749" s="53"/>
      <c r="V749" s="53"/>
      <c r="W749" s="53"/>
      <c r="X749" s="53"/>
    </row>
    <row r="750" spans="1:24" ht="15.75" customHeight="1">
      <c r="A750" s="69"/>
      <c r="B750" s="69"/>
      <c r="C750" s="70" t="str">
        <f t="shared" si="13"/>
        <v/>
      </c>
      <c r="D750" s="55"/>
      <c r="E750" s="53"/>
      <c r="F750" s="53"/>
      <c r="G750" s="372"/>
      <c r="H750" s="372"/>
      <c r="I750" s="379"/>
      <c r="J750" s="372"/>
      <c r="K750" s="373"/>
      <c r="L750" s="372"/>
      <c r="M750" s="372"/>
      <c r="N750" s="227"/>
      <c r="O750" s="227"/>
      <c r="P750" s="227"/>
      <c r="Q750" s="227"/>
      <c r="R750" s="227"/>
      <c r="S750" s="340"/>
      <c r="T750" s="226"/>
      <c r="U750" s="53"/>
      <c r="V750" s="53"/>
      <c r="W750" s="53"/>
      <c r="X750" s="53"/>
    </row>
    <row r="751" spans="1:24" ht="15.75" customHeight="1">
      <c r="A751" s="69"/>
      <c r="B751" s="69"/>
      <c r="C751" s="70" t="str">
        <f t="shared" si="13"/>
        <v/>
      </c>
      <c r="D751" s="55"/>
      <c r="E751" s="53"/>
      <c r="F751" s="53"/>
      <c r="G751" s="372"/>
      <c r="H751" s="372"/>
      <c r="I751" s="379"/>
      <c r="J751" s="372"/>
      <c r="K751" s="373"/>
      <c r="L751" s="372"/>
      <c r="M751" s="372"/>
      <c r="N751" s="227"/>
      <c r="O751" s="227"/>
      <c r="P751" s="227"/>
      <c r="Q751" s="227"/>
      <c r="R751" s="227"/>
      <c r="S751" s="340"/>
      <c r="T751" s="226"/>
      <c r="U751" s="53"/>
      <c r="V751" s="53"/>
      <c r="W751" s="53"/>
      <c r="X751" s="53"/>
    </row>
    <row r="752" spans="1:24" ht="15.75" customHeight="1">
      <c r="A752" s="69"/>
      <c r="B752" s="69"/>
      <c r="C752" s="70" t="str">
        <f t="shared" si="13"/>
        <v/>
      </c>
      <c r="D752" s="55"/>
      <c r="E752" s="53"/>
      <c r="F752" s="53"/>
      <c r="G752" s="372"/>
      <c r="H752" s="372"/>
      <c r="I752" s="379"/>
      <c r="J752" s="372"/>
      <c r="K752" s="373"/>
      <c r="L752" s="372"/>
      <c r="M752" s="372"/>
      <c r="N752" s="227"/>
      <c r="O752" s="227"/>
      <c r="P752" s="227"/>
      <c r="Q752" s="227"/>
      <c r="R752" s="227"/>
      <c r="S752" s="340"/>
      <c r="T752" s="226"/>
      <c r="U752" s="53"/>
      <c r="V752" s="53"/>
      <c r="W752" s="53"/>
      <c r="X752" s="53"/>
    </row>
    <row r="753" spans="1:24" ht="15.75" customHeight="1">
      <c r="A753" s="69"/>
      <c r="B753" s="69"/>
      <c r="C753" s="70" t="str">
        <f t="shared" si="13"/>
        <v/>
      </c>
      <c r="D753" s="55"/>
      <c r="E753" s="53"/>
      <c r="F753" s="53"/>
      <c r="G753" s="372"/>
      <c r="H753" s="372"/>
      <c r="I753" s="379"/>
      <c r="J753" s="372"/>
      <c r="K753" s="373"/>
      <c r="L753" s="372"/>
      <c r="M753" s="372"/>
      <c r="N753" s="227"/>
      <c r="O753" s="227"/>
      <c r="P753" s="227"/>
      <c r="Q753" s="227"/>
      <c r="R753" s="227"/>
      <c r="S753" s="340"/>
      <c r="T753" s="226"/>
      <c r="U753" s="53"/>
      <c r="V753" s="53"/>
      <c r="W753" s="53"/>
      <c r="X753" s="53"/>
    </row>
    <row r="754" spans="1:24" ht="15.75" customHeight="1">
      <c r="A754" s="69"/>
      <c r="B754" s="69"/>
      <c r="C754" s="70" t="str">
        <f t="shared" si="13"/>
        <v/>
      </c>
      <c r="D754" s="55"/>
      <c r="E754" s="53"/>
      <c r="F754" s="53"/>
      <c r="G754" s="372"/>
      <c r="H754" s="372"/>
      <c r="I754" s="379"/>
      <c r="J754" s="372"/>
      <c r="K754" s="373"/>
      <c r="L754" s="372"/>
      <c r="M754" s="372"/>
      <c r="N754" s="227"/>
      <c r="O754" s="227"/>
      <c r="P754" s="227"/>
      <c r="Q754" s="227"/>
      <c r="R754" s="227"/>
      <c r="S754" s="340"/>
      <c r="T754" s="226"/>
      <c r="U754" s="53"/>
      <c r="V754" s="53"/>
      <c r="W754" s="53"/>
      <c r="X754" s="53"/>
    </row>
    <row r="755" spans="1:24" ht="15.75" customHeight="1">
      <c r="A755" s="69"/>
      <c r="B755" s="69"/>
      <c r="C755" s="70" t="str">
        <f t="shared" si="13"/>
        <v/>
      </c>
      <c r="D755" s="55"/>
      <c r="E755" s="53"/>
      <c r="F755" s="53"/>
      <c r="G755" s="372"/>
      <c r="H755" s="372"/>
      <c r="I755" s="379"/>
      <c r="J755" s="372"/>
      <c r="K755" s="373"/>
      <c r="L755" s="372"/>
      <c r="M755" s="372"/>
      <c r="N755" s="227"/>
      <c r="O755" s="227"/>
      <c r="P755" s="227"/>
      <c r="Q755" s="227"/>
      <c r="R755" s="227"/>
      <c r="S755" s="340"/>
      <c r="T755" s="226"/>
      <c r="U755" s="53"/>
      <c r="V755" s="53"/>
      <c r="W755" s="53"/>
      <c r="X755" s="53"/>
    </row>
    <row r="756" spans="1:24" ht="15.75" customHeight="1">
      <c r="A756" s="69"/>
      <c r="B756" s="69"/>
      <c r="C756" s="70" t="str">
        <f t="shared" si="13"/>
        <v/>
      </c>
      <c r="D756" s="55"/>
      <c r="E756" s="53"/>
      <c r="F756" s="53"/>
      <c r="G756" s="372"/>
      <c r="H756" s="372"/>
      <c r="I756" s="379"/>
      <c r="J756" s="372"/>
      <c r="K756" s="373"/>
      <c r="L756" s="372"/>
      <c r="M756" s="372"/>
      <c r="N756" s="227"/>
      <c r="O756" s="227"/>
      <c r="P756" s="227"/>
      <c r="Q756" s="227"/>
      <c r="R756" s="227"/>
      <c r="S756" s="340"/>
      <c r="T756" s="226"/>
      <c r="U756" s="53"/>
      <c r="V756" s="53"/>
      <c r="W756" s="53"/>
      <c r="X756" s="53"/>
    </row>
    <row r="757" spans="1:24" ht="15.75" customHeight="1">
      <c r="A757" s="69"/>
      <c r="B757" s="69"/>
      <c r="C757" s="70" t="str">
        <f t="shared" si="13"/>
        <v/>
      </c>
      <c r="D757" s="55"/>
      <c r="E757" s="53"/>
      <c r="F757" s="53"/>
      <c r="G757" s="372"/>
      <c r="H757" s="372"/>
      <c r="I757" s="379"/>
      <c r="J757" s="372"/>
      <c r="K757" s="373"/>
      <c r="L757" s="372"/>
      <c r="M757" s="372"/>
      <c r="N757" s="227"/>
      <c r="O757" s="227"/>
      <c r="P757" s="227"/>
      <c r="Q757" s="227"/>
      <c r="R757" s="227"/>
      <c r="S757" s="340"/>
      <c r="T757" s="226"/>
      <c r="U757" s="53"/>
      <c r="V757" s="53"/>
      <c r="W757" s="53"/>
      <c r="X757" s="53"/>
    </row>
    <row r="758" spans="1:24" ht="15.75" customHeight="1">
      <c r="A758" s="69"/>
      <c r="B758" s="69"/>
      <c r="C758" s="70" t="str">
        <f t="shared" si="13"/>
        <v/>
      </c>
      <c r="D758" s="55"/>
      <c r="E758" s="53"/>
      <c r="F758" s="53"/>
      <c r="G758" s="372"/>
      <c r="H758" s="372"/>
      <c r="I758" s="379"/>
      <c r="J758" s="372"/>
      <c r="K758" s="373"/>
      <c r="L758" s="372"/>
      <c r="M758" s="372"/>
      <c r="N758" s="227"/>
      <c r="O758" s="227"/>
      <c r="P758" s="227"/>
      <c r="Q758" s="227"/>
      <c r="R758" s="227"/>
      <c r="S758" s="340"/>
      <c r="T758" s="226"/>
      <c r="U758" s="53"/>
      <c r="V758" s="53"/>
      <c r="W758" s="53"/>
      <c r="X758" s="53"/>
    </row>
    <row r="759" spans="1:24" ht="15.75" customHeight="1">
      <c r="A759" s="69"/>
      <c r="B759" s="69"/>
      <c r="C759" s="70" t="str">
        <f t="shared" si="13"/>
        <v/>
      </c>
      <c r="D759" s="55"/>
      <c r="E759" s="53"/>
      <c r="F759" s="53"/>
      <c r="G759" s="372"/>
      <c r="H759" s="372"/>
      <c r="I759" s="379"/>
      <c r="J759" s="372"/>
      <c r="K759" s="373"/>
      <c r="L759" s="372"/>
      <c r="M759" s="372"/>
      <c r="N759" s="227"/>
      <c r="O759" s="227"/>
      <c r="P759" s="227"/>
      <c r="Q759" s="227"/>
      <c r="R759" s="227"/>
      <c r="S759" s="340"/>
      <c r="T759" s="226"/>
      <c r="U759" s="53"/>
      <c r="V759" s="53"/>
      <c r="W759" s="53"/>
      <c r="X759" s="53"/>
    </row>
    <row r="760" spans="1:24" ht="15.75" customHeight="1">
      <c r="A760" s="69"/>
      <c r="B760" s="69"/>
      <c r="C760" s="70" t="str">
        <f t="shared" si="13"/>
        <v/>
      </c>
      <c r="D760" s="55"/>
      <c r="E760" s="53"/>
      <c r="F760" s="53"/>
      <c r="G760" s="372"/>
      <c r="H760" s="372"/>
      <c r="I760" s="379"/>
      <c r="J760" s="372"/>
      <c r="K760" s="373"/>
      <c r="L760" s="372"/>
      <c r="M760" s="372"/>
      <c r="N760" s="227"/>
      <c r="O760" s="227"/>
      <c r="P760" s="227"/>
      <c r="Q760" s="227"/>
      <c r="R760" s="227"/>
      <c r="S760" s="340"/>
      <c r="T760" s="226"/>
      <c r="U760" s="53"/>
      <c r="V760" s="53"/>
      <c r="W760" s="53"/>
      <c r="X760" s="53"/>
    </row>
    <row r="761" spans="1:24" ht="15.75" customHeight="1">
      <c r="A761" s="69"/>
      <c r="B761" s="69"/>
      <c r="C761" s="70" t="str">
        <f t="shared" si="13"/>
        <v/>
      </c>
      <c r="D761" s="55"/>
      <c r="E761" s="53"/>
      <c r="F761" s="53"/>
      <c r="G761" s="372"/>
      <c r="H761" s="372"/>
      <c r="I761" s="379"/>
      <c r="J761" s="372"/>
      <c r="K761" s="373"/>
      <c r="L761" s="372"/>
      <c r="M761" s="372"/>
      <c r="N761" s="227"/>
      <c r="O761" s="227"/>
      <c r="P761" s="227"/>
      <c r="Q761" s="227"/>
      <c r="R761" s="227"/>
      <c r="S761" s="340"/>
      <c r="T761" s="226"/>
      <c r="U761" s="53"/>
      <c r="V761" s="53"/>
      <c r="W761" s="53"/>
      <c r="X761" s="53"/>
    </row>
    <row r="762" spans="1:24" ht="15.75" customHeight="1">
      <c r="A762" s="69"/>
      <c r="B762" s="69"/>
      <c r="C762" s="70" t="str">
        <f t="shared" si="13"/>
        <v/>
      </c>
      <c r="D762" s="55"/>
      <c r="E762" s="53"/>
      <c r="F762" s="53"/>
      <c r="G762" s="372"/>
      <c r="H762" s="372"/>
      <c r="I762" s="379"/>
      <c r="J762" s="372"/>
      <c r="K762" s="373"/>
      <c r="L762" s="372"/>
      <c r="M762" s="372"/>
      <c r="N762" s="227"/>
      <c r="O762" s="227"/>
      <c r="P762" s="227"/>
      <c r="Q762" s="227"/>
      <c r="R762" s="227"/>
      <c r="S762" s="340"/>
      <c r="T762" s="226"/>
      <c r="U762" s="53"/>
      <c r="V762" s="53"/>
      <c r="W762" s="53"/>
      <c r="X762" s="53"/>
    </row>
    <row r="763" spans="1:24" ht="15.75" customHeight="1">
      <c r="A763" s="69"/>
      <c r="B763" s="69"/>
      <c r="C763" s="70" t="str">
        <f t="shared" si="13"/>
        <v/>
      </c>
      <c r="D763" s="55"/>
      <c r="E763" s="53"/>
      <c r="F763" s="53"/>
      <c r="G763" s="372"/>
      <c r="H763" s="372"/>
      <c r="I763" s="379"/>
      <c r="J763" s="372"/>
      <c r="K763" s="373"/>
      <c r="L763" s="372"/>
      <c r="M763" s="372"/>
      <c r="N763" s="227"/>
      <c r="O763" s="227"/>
      <c r="P763" s="227"/>
      <c r="Q763" s="227"/>
      <c r="R763" s="227"/>
      <c r="S763" s="340"/>
      <c r="T763" s="226"/>
      <c r="U763" s="53"/>
      <c r="V763" s="53"/>
      <c r="W763" s="53"/>
      <c r="X763" s="53"/>
    </row>
    <row r="764" spans="1:24" ht="15.75" customHeight="1">
      <c r="A764" s="69"/>
      <c r="B764" s="69"/>
      <c r="C764" s="70" t="str">
        <f t="shared" si="13"/>
        <v/>
      </c>
      <c r="D764" s="55"/>
      <c r="E764" s="53"/>
      <c r="F764" s="53"/>
      <c r="G764" s="372"/>
      <c r="H764" s="372"/>
      <c r="I764" s="379"/>
      <c r="J764" s="372"/>
      <c r="K764" s="373"/>
      <c r="L764" s="372"/>
      <c r="M764" s="372"/>
      <c r="N764" s="227"/>
      <c r="O764" s="227"/>
      <c r="P764" s="227"/>
      <c r="Q764" s="227"/>
      <c r="R764" s="227"/>
      <c r="S764" s="340"/>
      <c r="T764" s="226"/>
      <c r="U764" s="53"/>
      <c r="V764" s="53"/>
      <c r="W764" s="53"/>
      <c r="X764" s="53"/>
    </row>
    <row r="765" spans="1:24" ht="15.75" customHeight="1">
      <c r="A765" s="69"/>
      <c r="B765" s="69"/>
      <c r="C765" s="70" t="str">
        <f t="shared" si="13"/>
        <v/>
      </c>
      <c r="D765" s="55"/>
      <c r="E765" s="53"/>
      <c r="F765" s="53"/>
      <c r="G765" s="372"/>
      <c r="H765" s="372"/>
      <c r="I765" s="379"/>
      <c r="J765" s="372"/>
      <c r="K765" s="373"/>
      <c r="L765" s="372"/>
      <c r="M765" s="372"/>
      <c r="N765" s="227"/>
      <c r="O765" s="227"/>
      <c r="P765" s="227"/>
      <c r="Q765" s="227"/>
      <c r="R765" s="227"/>
      <c r="S765" s="340"/>
      <c r="T765" s="226"/>
      <c r="U765" s="53"/>
      <c r="V765" s="53"/>
      <c r="W765" s="53"/>
      <c r="X765" s="53"/>
    </row>
    <row r="766" spans="1:24" ht="15.75" customHeight="1">
      <c r="A766" s="69"/>
      <c r="B766" s="69"/>
      <c r="C766" s="70" t="str">
        <f t="shared" si="13"/>
        <v/>
      </c>
      <c r="D766" s="55"/>
      <c r="E766" s="53"/>
      <c r="F766" s="53"/>
      <c r="G766" s="372"/>
      <c r="H766" s="372"/>
      <c r="I766" s="379"/>
      <c r="J766" s="372"/>
      <c r="K766" s="373"/>
      <c r="L766" s="372"/>
      <c r="M766" s="372"/>
      <c r="N766" s="227"/>
      <c r="O766" s="227"/>
      <c r="P766" s="227"/>
      <c r="Q766" s="227"/>
      <c r="R766" s="227"/>
      <c r="S766" s="340"/>
      <c r="T766" s="226"/>
      <c r="U766" s="53"/>
      <c r="V766" s="53"/>
      <c r="W766" s="53"/>
      <c r="X766" s="53"/>
    </row>
    <row r="767" spans="1:24" ht="15.75" customHeight="1">
      <c r="A767" s="69"/>
      <c r="B767" s="69"/>
      <c r="C767" s="70" t="str">
        <f t="shared" si="13"/>
        <v/>
      </c>
      <c r="D767" s="55"/>
      <c r="E767" s="53"/>
      <c r="F767" s="53"/>
      <c r="G767" s="372"/>
      <c r="H767" s="372"/>
      <c r="I767" s="379"/>
      <c r="J767" s="372"/>
      <c r="K767" s="373"/>
      <c r="L767" s="372"/>
      <c r="M767" s="372"/>
      <c r="N767" s="227"/>
      <c r="O767" s="227"/>
      <c r="P767" s="227"/>
      <c r="Q767" s="227"/>
      <c r="R767" s="227"/>
      <c r="S767" s="340"/>
      <c r="T767" s="226"/>
      <c r="U767" s="53"/>
      <c r="V767" s="53"/>
      <c r="W767" s="53"/>
      <c r="X767" s="53"/>
    </row>
    <row r="768" spans="1:24" ht="15.75" customHeight="1">
      <c r="A768" s="69"/>
      <c r="B768" s="69"/>
      <c r="C768" s="70" t="str">
        <f t="shared" si="13"/>
        <v/>
      </c>
      <c r="D768" s="55"/>
      <c r="E768" s="53"/>
      <c r="F768" s="53"/>
      <c r="G768" s="372"/>
      <c r="H768" s="372"/>
      <c r="I768" s="379"/>
      <c r="J768" s="372"/>
      <c r="K768" s="373"/>
      <c r="L768" s="372"/>
      <c r="M768" s="372"/>
      <c r="N768" s="227"/>
      <c r="O768" s="227"/>
      <c r="P768" s="227"/>
      <c r="Q768" s="227"/>
      <c r="R768" s="227"/>
      <c r="S768" s="340"/>
      <c r="T768" s="226"/>
      <c r="U768" s="53"/>
      <c r="V768" s="53"/>
      <c r="W768" s="53"/>
      <c r="X768" s="53"/>
    </row>
    <row r="769" spans="1:24" ht="15.75" customHeight="1">
      <c r="A769" s="69"/>
      <c r="B769" s="69"/>
      <c r="C769" s="70" t="str">
        <f t="shared" si="13"/>
        <v/>
      </c>
      <c r="D769" s="55"/>
      <c r="E769" s="53"/>
      <c r="F769" s="53"/>
      <c r="G769" s="372"/>
      <c r="H769" s="372"/>
      <c r="I769" s="379"/>
      <c r="J769" s="372"/>
      <c r="K769" s="373"/>
      <c r="L769" s="372"/>
      <c r="M769" s="372"/>
      <c r="N769" s="227"/>
      <c r="O769" s="227"/>
      <c r="P769" s="227"/>
      <c r="Q769" s="227"/>
      <c r="R769" s="227"/>
      <c r="S769" s="340"/>
      <c r="T769" s="226"/>
      <c r="U769" s="53"/>
      <c r="V769" s="53"/>
      <c r="W769" s="53"/>
      <c r="X769" s="53"/>
    </row>
    <row r="770" spans="1:24" ht="15.75" customHeight="1">
      <c r="A770" s="69"/>
      <c r="B770" s="69"/>
      <c r="C770" s="70" t="str">
        <f t="shared" si="13"/>
        <v/>
      </c>
      <c r="D770" s="55"/>
      <c r="E770" s="53"/>
      <c r="F770" s="53"/>
      <c r="G770" s="372"/>
      <c r="H770" s="372"/>
      <c r="I770" s="379"/>
      <c r="J770" s="372"/>
      <c r="K770" s="373"/>
      <c r="L770" s="372"/>
      <c r="M770" s="372"/>
      <c r="N770" s="227"/>
      <c r="O770" s="227"/>
      <c r="P770" s="227"/>
      <c r="Q770" s="227"/>
      <c r="R770" s="227"/>
      <c r="S770" s="340"/>
      <c r="T770" s="226"/>
      <c r="U770" s="53"/>
      <c r="V770" s="53"/>
      <c r="W770" s="53"/>
      <c r="X770" s="53"/>
    </row>
    <row r="771" spans="1:24" ht="15.75" customHeight="1">
      <c r="A771" s="69"/>
      <c r="B771" s="69"/>
      <c r="C771" s="70" t="str">
        <f t="shared" si="13"/>
        <v/>
      </c>
      <c r="D771" s="55"/>
      <c r="E771" s="53"/>
      <c r="F771" s="53"/>
      <c r="G771" s="372"/>
      <c r="H771" s="372"/>
      <c r="I771" s="379"/>
      <c r="J771" s="372"/>
      <c r="K771" s="373"/>
      <c r="L771" s="372"/>
      <c r="M771" s="372"/>
      <c r="N771" s="227"/>
      <c r="O771" s="227"/>
      <c r="P771" s="227"/>
      <c r="Q771" s="227"/>
      <c r="R771" s="227"/>
      <c r="S771" s="340"/>
      <c r="T771" s="226"/>
      <c r="U771" s="53"/>
      <c r="V771" s="53"/>
      <c r="W771" s="53"/>
      <c r="X771" s="53"/>
    </row>
    <row r="772" spans="1:24" ht="15.75" customHeight="1">
      <c r="A772" s="69"/>
      <c r="B772" s="69"/>
      <c r="C772" s="70" t="str">
        <f t="shared" si="13"/>
        <v/>
      </c>
      <c r="D772" s="55"/>
      <c r="E772" s="53"/>
      <c r="F772" s="53"/>
      <c r="G772" s="372"/>
      <c r="H772" s="372"/>
      <c r="I772" s="379"/>
      <c r="J772" s="372"/>
      <c r="K772" s="373"/>
      <c r="L772" s="372"/>
      <c r="M772" s="372"/>
      <c r="N772" s="227"/>
      <c r="O772" s="227"/>
      <c r="P772" s="227"/>
      <c r="Q772" s="227"/>
      <c r="R772" s="227"/>
      <c r="S772" s="340"/>
      <c r="T772" s="226"/>
      <c r="U772" s="53"/>
      <c r="V772" s="53"/>
      <c r="W772" s="53"/>
      <c r="X772" s="53"/>
    </row>
    <row r="773" spans="1:24" ht="15.75" customHeight="1">
      <c r="A773" s="69"/>
      <c r="B773" s="69"/>
      <c r="C773" s="70" t="str">
        <f t="shared" si="13"/>
        <v/>
      </c>
      <c r="D773" s="55"/>
      <c r="E773" s="53"/>
      <c r="F773" s="53"/>
      <c r="G773" s="372"/>
      <c r="H773" s="372"/>
      <c r="I773" s="379"/>
      <c r="J773" s="372"/>
      <c r="K773" s="373"/>
      <c r="L773" s="372"/>
      <c r="M773" s="372"/>
      <c r="N773" s="227"/>
      <c r="O773" s="227"/>
      <c r="P773" s="227"/>
      <c r="Q773" s="227"/>
      <c r="R773" s="227"/>
      <c r="S773" s="340"/>
      <c r="T773" s="226"/>
      <c r="U773" s="53"/>
      <c r="V773" s="53"/>
      <c r="W773" s="53"/>
      <c r="X773" s="53"/>
    </row>
    <row r="774" spans="1:24" ht="15.75" customHeight="1">
      <c r="A774" s="69"/>
      <c r="B774" s="69"/>
      <c r="C774" s="70" t="str">
        <f t="shared" si="13"/>
        <v/>
      </c>
      <c r="D774" s="55"/>
      <c r="E774" s="53"/>
      <c r="F774" s="53"/>
      <c r="G774" s="372"/>
      <c r="H774" s="372"/>
      <c r="I774" s="379"/>
      <c r="J774" s="372"/>
      <c r="K774" s="373"/>
      <c r="L774" s="372"/>
      <c r="M774" s="372"/>
      <c r="N774" s="227"/>
      <c r="O774" s="227"/>
      <c r="P774" s="227"/>
      <c r="Q774" s="227"/>
      <c r="R774" s="227"/>
      <c r="S774" s="340"/>
      <c r="T774" s="226"/>
      <c r="U774" s="53"/>
      <c r="V774" s="53"/>
      <c r="W774" s="53"/>
      <c r="X774" s="53"/>
    </row>
    <row r="775" spans="1:24" ht="15.75" customHeight="1">
      <c r="A775" s="69"/>
      <c r="B775" s="69"/>
      <c r="C775" s="70" t="str">
        <f t="shared" si="13"/>
        <v/>
      </c>
      <c r="D775" s="55"/>
      <c r="E775" s="53"/>
      <c r="F775" s="53"/>
      <c r="G775" s="372"/>
      <c r="H775" s="372"/>
      <c r="I775" s="379"/>
      <c r="J775" s="372"/>
      <c r="K775" s="373"/>
      <c r="L775" s="372"/>
      <c r="M775" s="372"/>
      <c r="N775" s="227"/>
      <c r="O775" s="227"/>
      <c r="P775" s="227"/>
      <c r="Q775" s="227"/>
      <c r="R775" s="227"/>
      <c r="S775" s="340"/>
      <c r="T775" s="226"/>
      <c r="U775" s="53"/>
      <c r="V775" s="53"/>
      <c r="W775" s="53"/>
      <c r="X775" s="53"/>
    </row>
    <row r="776" spans="1:24" ht="15.75" customHeight="1">
      <c r="A776" s="69"/>
      <c r="B776" s="69"/>
      <c r="C776" s="70" t="str">
        <f t="shared" si="13"/>
        <v/>
      </c>
      <c r="D776" s="55"/>
      <c r="E776" s="53"/>
      <c r="F776" s="53"/>
      <c r="G776" s="372"/>
      <c r="H776" s="372"/>
      <c r="I776" s="379"/>
      <c r="J776" s="372"/>
      <c r="K776" s="373"/>
      <c r="L776" s="372"/>
      <c r="M776" s="372"/>
      <c r="N776" s="227"/>
      <c r="O776" s="227"/>
      <c r="P776" s="227"/>
      <c r="Q776" s="227"/>
      <c r="R776" s="227"/>
      <c r="S776" s="340"/>
      <c r="T776" s="226"/>
      <c r="U776" s="53"/>
      <c r="V776" s="53"/>
      <c r="W776" s="53"/>
      <c r="X776" s="53"/>
    </row>
    <row r="777" spans="1:24" ht="15.75" customHeight="1">
      <c r="A777" s="69"/>
      <c r="B777" s="69"/>
      <c r="C777" s="70" t="str">
        <f t="shared" si="13"/>
        <v/>
      </c>
      <c r="D777" s="55"/>
      <c r="E777" s="53"/>
      <c r="F777" s="53"/>
      <c r="G777" s="372"/>
      <c r="H777" s="372"/>
      <c r="I777" s="379"/>
      <c r="J777" s="372"/>
      <c r="K777" s="373"/>
      <c r="L777" s="372"/>
      <c r="M777" s="372"/>
      <c r="N777" s="227"/>
      <c r="O777" s="227"/>
      <c r="P777" s="227"/>
      <c r="Q777" s="227"/>
      <c r="R777" s="227"/>
      <c r="S777" s="340"/>
      <c r="T777" s="226"/>
      <c r="U777" s="53"/>
      <c r="V777" s="53"/>
      <c r="W777" s="53"/>
      <c r="X777" s="53"/>
    </row>
    <row r="778" spans="1:24" ht="15.75" customHeight="1">
      <c r="A778" s="69"/>
      <c r="B778" s="69"/>
      <c r="C778" s="70" t="str">
        <f t="shared" si="13"/>
        <v/>
      </c>
      <c r="D778" s="55"/>
      <c r="E778" s="53"/>
      <c r="F778" s="53"/>
      <c r="G778" s="372"/>
      <c r="H778" s="372"/>
      <c r="I778" s="379"/>
      <c r="J778" s="372"/>
      <c r="K778" s="373"/>
      <c r="L778" s="372"/>
      <c r="M778" s="372"/>
      <c r="N778" s="227"/>
      <c r="O778" s="227"/>
      <c r="P778" s="227"/>
      <c r="Q778" s="227"/>
      <c r="R778" s="227"/>
      <c r="S778" s="340"/>
      <c r="T778" s="226"/>
      <c r="U778" s="53"/>
      <c r="V778" s="53"/>
      <c r="W778" s="53"/>
      <c r="X778" s="53"/>
    </row>
    <row r="779" spans="1:24" ht="15.75" customHeight="1">
      <c r="A779" s="69"/>
      <c r="B779" s="69"/>
      <c r="C779" s="70" t="str">
        <f t="shared" si="13"/>
        <v/>
      </c>
      <c r="D779" s="55"/>
      <c r="E779" s="53"/>
      <c r="F779" s="53"/>
      <c r="G779" s="372"/>
      <c r="H779" s="372"/>
      <c r="I779" s="379"/>
      <c r="J779" s="372"/>
      <c r="K779" s="373"/>
      <c r="L779" s="372"/>
      <c r="M779" s="372"/>
      <c r="N779" s="227"/>
      <c r="O779" s="227"/>
      <c r="P779" s="227"/>
      <c r="Q779" s="227"/>
      <c r="R779" s="227"/>
      <c r="S779" s="340"/>
      <c r="T779" s="226"/>
      <c r="U779" s="53"/>
      <c r="V779" s="53"/>
      <c r="W779" s="53"/>
      <c r="X779" s="53"/>
    </row>
    <row r="780" spans="1:24" ht="15.75" customHeight="1">
      <c r="A780" s="69"/>
      <c r="B780" s="69"/>
      <c r="C780" s="70" t="str">
        <f t="shared" si="13"/>
        <v/>
      </c>
      <c r="D780" s="55"/>
      <c r="E780" s="53"/>
      <c r="F780" s="53"/>
      <c r="G780" s="372"/>
      <c r="H780" s="372"/>
      <c r="I780" s="379"/>
      <c r="J780" s="372"/>
      <c r="K780" s="373"/>
      <c r="L780" s="372"/>
      <c r="M780" s="372"/>
      <c r="N780" s="227"/>
      <c r="O780" s="227"/>
      <c r="P780" s="227"/>
      <c r="Q780" s="227"/>
      <c r="R780" s="227"/>
      <c r="S780" s="340"/>
      <c r="T780" s="226"/>
      <c r="U780" s="53"/>
      <c r="V780" s="53"/>
      <c r="W780" s="53"/>
      <c r="X780" s="53"/>
    </row>
    <row r="781" spans="1:24" ht="15.75" customHeight="1">
      <c r="A781" s="69"/>
      <c r="B781" s="69"/>
      <c r="C781" s="70" t="str">
        <f t="shared" si="13"/>
        <v/>
      </c>
      <c r="D781" s="55"/>
      <c r="E781" s="53"/>
      <c r="F781" s="53"/>
      <c r="G781" s="372"/>
      <c r="H781" s="372"/>
      <c r="I781" s="379"/>
      <c r="J781" s="372"/>
      <c r="K781" s="373"/>
      <c r="L781" s="372"/>
      <c r="M781" s="372"/>
      <c r="N781" s="227"/>
      <c r="O781" s="227"/>
      <c r="P781" s="227"/>
      <c r="Q781" s="227"/>
      <c r="R781" s="227"/>
      <c r="S781" s="340"/>
      <c r="T781" s="226"/>
      <c r="U781" s="53"/>
      <c r="V781" s="53"/>
      <c r="W781" s="53"/>
      <c r="X781" s="53"/>
    </row>
    <row r="782" spans="1:24" ht="15.75" customHeight="1">
      <c r="A782" s="69"/>
      <c r="B782" s="69"/>
      <c r="C782" s="70" t="str">
        <f t="shared" si="13"/>
        <v/>
      </c>
      <c r="D782" s="55"/>
      <c r="E782" s="53"/>
      <c r="F782" s="53"/>
      <c r="G782" s="372"/>
      <c r="H782" s="372"/>
      <c r="I782" s="379"/>
      <c r="J782" s="372"/>
      <c r="K782" s="373"/>
      <c r="L782" s="372"/>
      <c r="M782" s="372"/>
      <c r="N782" s="227"/>
      <c r="O782" s="227"/>
      <c r="P782" s="227"/>
      <c r="Q782" s="227"/>
      <c r="R782" s="227"/>
      <c r="S782" s="340"/>
      <c r="T782" s="226"/>
      <c r="U782" s="53"/>
      <c r="V782" s="53"/>
      <c r="W782" s="53"/>
      <c r="X782" s="53"/>
    </row>
    <row r="783" spans="1:24" ht="15.75" customHeight="1">
      <c r="A783" s="69"/>
      <c r="B783" s="69"/>
      <c r="C783" s="70" t="str">
        <f t="shared" si="13"/>
        <v/>
      </c>
      <c r="D783" s="55"/>
      <c r="E783" s="53"/>
      <c r="F783" s="53"/>
      <c r="G783" s="372"/>
      <c r="H783" s="372"/>
      <c r="I783" s="379"/>
      <c r="J783" s="372"/>
      <c r="K783" s="373"/>
      <c r="L783" s="372"/>
      <c r="M783" s="372"/>
      <c r="N783" s="227"/>
      <c r="O783" s="227"/>
      <c r="P783" s="227"/>
      <c r="Q783" s="227"/>
      <c r="R783" s="227"/>
      <c r="S783" s="340"/>
      <c r="T783" s="226"/>
      <c r="U783" s="53"/>
      <c r="V783" s="53"/>
      <c r="W783" s="53"/>
      <c r="X783" s="53"/>
    </row>
    <row r="784" spans="1:24" ht="15.75" customHeight="1">
      <c r="A784" s="69"/>
      <c r="B784" s="69"/>
      <c r="C784" s="70" t="str">
        <f t="shared" si="13"/>
        <v/>
      </c>
      <c r="D784" s="55"/>
      <c r="E784" s="53"/>
      <c r="F784" s="53"/>
      <c r="G784" s="372"/>
      <c r="H784" s="372"/>
      <c r="I784" s="379"/>
      <c r="J784" s="372"/>
      <c r="K784" s="373"/>
      <c r="L784" s="372"/>
      <c r="M784" s="372"/>
      <c r="N784" s="227"/>
      <c r="O784" s="227"/>
      <c r="P784" s="227"/>
      <c r="Q784" s="227"/>
      <c r="R784" s="227"/>
      <c r="S784" s="340"/>
      <c r="T784" s="226"/>
      <c r="U784" s="53"/>
      <c r="V784" s="53"/>
      <c r="W784" s="53"/>
      <c r="X784" s="53"/>
    </row>
    <row r="785" spans="1:24" ht="15.75" customHeight="1">
      <c r="A785" s="69"/>
      <c r="B785" s="69"/>
      <c r="C785" s="70" t="str">
        <f t="shared" ref="C785:C848" si="14">IF(B785&lt;&gt;"",TEXT(WEEKDAY(B785),"dddd"),"")</f>
        <v/>
      </c>
      <c r="D785" s="55"/>
      <c r="E785" s="53"/>
      <c r="F785" s="53"/>
      <c r="G785" s="372"/>
      <c r="H785" s="372"/>
      <c r="I785" s="379"/>
      <c r="J785" s="372"/>
      <c r="K785" s="373"/>
      <c r="L785" s="372"/>
      <c r="M785" s="372"/>
      <c r="N785" s="227"/>
      <c r="O785" s="227"/>
      <c r="P785" s="227"/>
      <c r="Q785" s="227"/>
      <c r="R785" s="227"/>
      <c r="S785" s="340"/>
      <c r="T785" s="226"/>
      <c r="U785" s="53"/>
      <c r="V785" s="53"/>
      <c r="W785" s="53"/>
      <c r="X785" s="53"/>
    </row>
    <row r="786" spans="1:24" ht="15.75" customHeight="1">
      <c r="A786" s="69"/>
      <c r="B786" s="69"/>
      <c r="C786" s="70" t="str">
        <f t="shared" si="14"/>
        <v/>
      </c>
      <c r="D786" s="55"/>
      <c r="E786" s="53"/>
      <c r="F786" s="53"/>
      <c r="G786" s="372"/>
      <c r="H786" s="372"/>
      <c r="I786" s="379"/>
      <c r="J786" s="372"/>
      <c r="K786" s="373"/>
      <c r="L786" s="372"/>
      <c r="M786" s="372"/>
      <c r="N786" s="227"/>
      <c r="O786" s="227"/>
      <c r="P786" s="227"/>
      <c r="Q786" s="227"/>
      <c r="R786" s="227"/>
      <c r="S786" s="340"/>
      <c r="T786" s="226"/>
      <c r="U786" s="53"/>
      <c r="V786" s="53"/>
      <c r="W786" s="53"/>
      <c r="X786" s="53"/>
    </row>
    <row r="787" spans="1:24" ht="15.75" customHeight="1">
      <c r="A787" s="69"/>
      <c r="B787" s="69"/>
      <c r="C787" s="70" t="str">
        <f t="shared" si="14"/>
        <v/>
      </c>
      <c r="D787" s="55"/>
      <c r="E787" s="53"/>
      <c r="F787" s="53"/>
      <c r="G787" s="372"/>
      <c r="H787" s="372"/>
      <c r="I787" s="379"/>
      <c r="J787" s="372"/>
      <c r="K787" s="373"/>
      <c r="L787" s="372"/>
      <c r="M787" s="372"/>
      <c r="N787" s="227"/>
      <c r="O787" s="227"/>
      <c r="P787" s="227"/>
      <c r="Q787" s="227"/>
      <c r="R787" s="227"/>
      <c r="S787" s="340"/>
      <c r="T787" s="226"/>
      <c r="U787" s="53"/>
      <c r="V787" s="53"/>
      <c r="W787" s="53"/>
      <c r="X787" s="53"/>
    </row>
    <row r="788" spans="1:24" ht="15.75" customHeight="1">
      <c r="A788" s="69"/>
      <c r="B788" s="69"/>
      <c r="C788" s="70" t="str">
        <f t="shared" si="14"/>
        <v/>
      </c>
      <c r="D788" s="55"/>
      <c r="E788" s="53"/>
      <c r="F788" s="53"/>
      <c r="G788" s="372"/>
      <c r="H788" s="372"/>
      <c r="I788" s="379"/>
      <c r="J788" s="372"/>
      <c r="K788" s="373"/>
      <c r="L788" s="372"/>
      <c r="M788" s="372"/>
      <c r="N788" s="227"/>
      <c r="O788" s="227"/>
      <c r="P788" s="227"/>
      <c r="Q788" s="227"/>
      <c r="R788" s="227"/>
      <c r="S788" s="340"/>
      <c r="T788" s="226"/>
      <c r="U788" s="53"/>
      <c r="V788" s="53"/>
      <c r="W788" s="53"/>
      <c r="X788" s="53"/>
    </row>
    <row r="789" spans="1:24" ht="15.75" customHeight="1">
      <c r="A789" s="69"/>
      <c r="B789" s="69"/>
      <c r="C789" s="70" t="str">
        <f t="shared" si="14"/>
        <v/>
      </c>
      <c r="D789" s="55"/>
      <c r="E789" s="53"/>
      <c r="F789" s="53"/>
      <c r="G789" s="372"/>
      <c r="H789" s="372"/>
      <c r="I789" s="379"/>
      <c r="J789" s="372"/>
      <c r="K789" s="373"/>
      <c r="L789" s="372"/>
      <c r="M789" s="372"/>
      <c r="N789" s="227"/>
      <c r="O789" s="227"/>
      <c r="P789" s="227"/>
      <c r="Q789" s="227"/>
      <c r="R789" s="227"/>
      <c r="S789" s="340"/>
      <c r="T789" s="226"/>
      <c r="U789" s="53"/>
      <c r="V789" s="53"/>
      <c r="W789" s="53"/>
      <c r="X789" s="53"/>
    </row>
    <row r="790" spans="1:24" ht="15.75" customHeight="1">
      <c r="A790" s="69"/>
      <c r="B790" s="69"/>
      <c r="C790" s="70" t="str">
        <f t="shared" si="14"/>
        <v/>
      </c>
      <c r="D790" s="55"/>
      <c r="E790" s="53"/>
      <c r="F790" s="53"/>
      <c r="G790" s="372"/>
      <c r="H790" s="372"/>
      <c r="I790" s="379"/>
      <c r="J790" s="372"/>
      <c r="K790" s="373"/>
      <c r="L790" s="372"/>
      <c r="M790" s="372"/>
      <c r="N790" s="227"/>
      <c r="O790" s="227"/>
      <c r="P790" s="227"/>
      <c r="Q790" s="227"/>
      <c r="R790" s="227"/>
      <c r="S790" s="340"/>
      <c r="T790" s="226"/>
      <c r="U790" s="53"/>
      <c r="V790" s="53"/>
      <c r="W790" s="53"/>
      <c r="X790" s="53"/>
    </row>
    <row r="791" spans="1:24" ht="15.75" customHeight="1">
      <c r="A791" s="69"/>
      <c r="B791" s="69"/>
      <c r="C791" s="70" t="str">
        <f t="shared" si="14"/>
        <v/>
      </c>
      <c r="D791" s="55"/>
      <c r="E791" s="53"/>
      <c r="F791" s="53"/>
      <c r="G791" s="372"/>
      <c r="H791" s="372"/>
      <c r="I791" s="379"/>
      <c r="J791" s="372"/>
      <c r="K791" s="373"/>
      <c r="L791" s="372"/>
      <c r="M791" s="372"/>
      <c r="N791" s="227"/>
      <c r="O791" s="227"/>
      <c r="P791" s="227"/>
      <c r="Q791" s="227"/>
      <c r="R791" s="227"/>
      <c r="S791" s="340"/>
      <c r="T791" s="226"/>
      <c r="U791" s="53"/>
      <c r="V791" s="53"/>
      <c r="W791" s="53"/>
      <c r="X791" s="53"/>
    </row>
    <row r="792" spans="1:24" ht="15.75" customHeight="1">
      <c r="A792" s="69"/>
      <c r="B792" s="69"/>
      <c r="C792" s="70" t="str">
        <f t="shared" si="14"/>
        <v/>
      </c>
      <c r="D792" s="55"/>
      <c r="E792" s="53"/>
      <c r="F792" s="53"/>
      <c r="G792" s="372"/>
      <c r="H792" s="372"/>
      <c r="I792" s="379"/>
      <c r="J792" s="372"/>
      <c r="K792" s="373"/>
      <c r="L792" s="372"/>
      <c r="M792" s="372"/>
      <c r="N792" s="227"/>
      <c r="O792" s="227"/>
      <c r="P792" s="227"/>
      <c r="Q792" s="227"/>
      <c r="R792" s="227"/>
      <c r="S792" s="340"/>
      <c r="T792" s="226"/>
      <c r="U792" s="53"/>
      <c r="V792" s="53"/>
      <c r="W792" s="53"/>
      <c r="X792" s="53"/>
    </row>
    <row r="793" spans="1:24" ht="15.75" customHeight="1">
      <c r="A793" s="69"/>
      <c r="B793" s="69"/>
      <c r="C793" s="70" t="str">
        <f t="shared" si="14"/>
        <v/>
      </c>
      <c r="D793" s="55"/>
      <c r="E793" s="53"/>
      <c r="F793" s="53"/>
      <c r="G793" s="372"/>
      <c r="H793" s="372"/>
      <c r="I793" s="379"/>
      <c r="J793" s="372"/>
      <c r="K793" s="373"/>
      <c r="L793" s="372"/>
      <c r="M793" s="372"/>
      <c r="N793" s="227"/>
      <c r="O793" s="227"/>
      <c r="P793" s="227"/>
      <c r="Q793" s="227"/>
      <c r="R793" s="227"/>
      <c r="S793" s="340"/>
      <c r="T793" s="226"/>
      <c r="U793" s="53"/>
      <c r="V793" s="53"/>
      <c r="W793" s="53"/>
      <c r="X793" s="53"/>
    </row>
    <row r="794" spans="1:24" ht="15.75" customHeight="1">
      <c r="A794" s="69"/>
      <c r="B794" s="69"/>
      <c r="C794" s="70" t="str">
        <f t="shared" si="14"/>
        <v/>
      </c>
      <c r="D794" s="55"/>
      <c r="E794" s="53"/>
      <c r="F794" s="53"/>
      <c r="G794" s="372"/>
      <c r="H794" s="372"/>
      <c r="I794" s="379"/>
      <c r="J794" s="372"/>
      <c r="K794" s="373"/>
      <c r="L794" s="372"/>
      <c r="M794" s="372"/>
      <c r="N794" s="227"/>
      <c r="O794" s="227"/>
      <c r="P794" s="227"/>
      <c r="Q794" s="227"/>
      <c r="R794" s="227"/>
      <c r="S794" s="340"/>
      <c r="T794" s="226"/>
      <c r="U794" s="53"/>
      <c r="V794" s="53"/>
      <c r="W794" s="53"/>
      <c r="X794" s="53"/>
    </row>
    <row r="795" spans="1:24" ht="15.75" customHeight="1">
      <c r="A795" s="69"/>
      <c r="B795" s="69"/>
      <c r="C795" s="70" t="str">
        <f t="shared" si="14"/>
        <v/>
      </c>
      <c r="D795" s="55"/>
      <c r="E795" s="53"/>
      <c r="F795" s="53"/>
      <c r="G795" s="372"/>
      <c r="H795" s="372"/>
      <c r="I795" s="379"/>
      <c r="J795" s="372"/>
      <c r="K795" s="373"/>
      <c r="L795" s="372"/>
      <c r="M795" s="372"/>
      <c r="N795" s="227"/>
      <c r="O795" s="227"/>
      <c r="P795" s="227"/>
      <c r="Q795" s="227"/>
      <c r="R795" s="227"/>
      <c r="S795" s="340"/>
      <c r="T795" s="226"/>
      <c r="U795" s="53"/>
      <c r="V795" s="53"/>
      <c r="W795" s="53"/>
      <c r="X795" s="53"/>
    </row>
    <row r="796" spans="1:24" ht="15.75" customHeight="1">
      <c r="A796" s="69"/>
      <c r="B796" s="69"/>
      <c r="C796" s="70" t="str">
        <f t="shared" si="14"/>
        <v/>
      </c>
      <c r="D796" s="55"/>
      <c r="E796" s="53"/>
      <c r="F796" s="53"/>
      <c r="G796" s="372"/>
      <c r="H796" s="372"/>
      <c r="I796" s="379"/>
      <c r="J796" s="372"/>
      <c r="K796" s="373"/>
      <c r="L796" s="372"/>
      <c r="M796" s="372"/>
      <c r="N796" s="227"/>
      <c r="O796" s="227"/>
      <c r="P796" s="227"/>
      <c r="Q796" s="227"/>
      <c r="R796" s="227"/>
      <c r="S796" s="340"/>
      <c r="T796" s="226"/>
      <c r="U796" s="53"/>
      <c r="V796" s="53"/>
      <c r="W796" s="53"/>
      <c r="X796" s="53"/>
    </row>
    <row r="797" spans="1:24" ht="15.75" customHeight="1">
      <c r="A797" s="69"/>
      <c r="B797" s="69"/>
      <c r="C797" s="70" t="str">
        <f t="shared" si="14"/>
        <v/>
      </c>
      <c r="D797" s="55"/>
      <c r="E797" s="53"/>
      <c r="F797" s="53"/>
      <c r="G797" s="372"/>
      <c r="H797" s="372"/>
      <c r="I797" s="379"/>
      <c r="J797" s="372"/>
      <c r="K797" s="373"/>
      <c r="L797" s="372"/>
      <c r="M797" s="372"/>
      <c r="N797" s="227"/>
      <c r="O797" s="227"/>
      <c r="P797" s="227"/>
      <c r="Q797" s="227"/>
      <c r="R797" s="227"/>
      <c r="S797" s="340"/>
      <c r="T797" s="226"/>
      <c r="U797" s="53"/>
      <c r="V797" s="53"/>
      <c r="W797" s="53"/>
      <c r="X797" s="53"/>
    </row>
    <row r="798" spans="1:24" ht="15.75" customHeight="1">
      <c r="A798" s="69"/>
      <c r="B798" s="69"/>
      <c r="C798" s="70" t="str">
        <f t="shared" si="14"/>
        <v/>
      </c>
      <c r="D798" s="55"/>
      <c r="E798" s="53"/>
      <c r="F798" s="53"/>
      <c r="G798" s="372"/>
      <c r="H798" s="372"/>
      <c r="I798" s="379"/>
      <c r="J798" s="372"/>
      <c r="K798" s="373"/>
      <c r="L798" s="372"/>
      <c r="M798" s="372"/>
      <c r="N798" s="227"/>
      <c r="O798" s="227"/>
      <c r="P798" s="227"/>
      <c r="Q798" s="227"/>
      <c r="R798" s="227"/>
      <c r="S798" s="340"/>
      <c r="T798" s="226"/>
      <c r="U798" s="53"/>
      <c r="V798" s="53"/>
      <c r="W798" s="53"/>
      <c r="X798" s="53"/>
    </row>
    <row r="799" spans="1:24" ht="15.75" customHeight="1">
      <c r="A799" s="69"/>
      <c r="B799" s="69"/>
      <c r="C799" s="70" t="str">
        <f t="shared" si="14"/>
        <v/>
      </c>
      <c r="D799" s="55"/>
      <c r="E799" s="53"/>
      <c r="F799" s="53"/>
      <c r="G799" s="372"/>
      <c r="H799" s="372"/>
      <c r="I799" s="379"/>
      <c r="J799" s="372"/>
      <c r="K799" s="373"/>
      <c r="L799" s="372"/>
      <c r="M799" s="372"/>
      <c r="N799" s="227"/>
      <c r="O799" s="227"/>
      <c r="P799" s="227"/>
      <c r="Q799" s="227"/>
      <c r="R799" s="227"/>
      <c r="S799" s="340"/>
      <c r="T799" s="226"/>
      <c r="U799" s="53"/>
      <c r="V799" s="53"/>
      <c r="W799" s="53"/>
      <c r="X799" s="53"/>
    </row>
    <row r="800" spans="1:24" ht="15.75" customHeight="1">
      <c r="A800" s="69"/>
      <c r="B800" s="69"/>
      <c r="C800" s="70" t="str">
        <f t="shared" si="14"/>
        <v/>
      </c>
      <c r="D800" s="55"/>
      <c r="E800" s="53"/>
      <c r="F800" s="53"/>
      <c r="G800" s="372"/>
      <c r="H800" s="372"/>
      <c r="I800" s="379"/>
      <c r="J800" s="372"/>
      <c r="K800" s="373"/>
      <c r="L800" s="372"/>
      <c r="M800" s="372"/>
      <c r="N800" s="227"/>
      <c r="O800" s="227"/>
      <c r="P800" s="227"/>
      <c r="Q800" s="227"/>
      <c r="R800" s="227"/>
      <c r="S800" s="340"/>
      <c r="T800" s="226"/>
      <c r="U800" s="53"/>
      <c r="V800" s="53"/>
      <c r="W800" s="53"/>
      <c r="X800" s="53"/>
    </row>
    <row r="801" spans="1:24" ht="15.75" customHeight="1">
      <c r="A801" s="69"/>
      <c r="B801" s="69"/>
      <c r="C801" s="70" t="str">
        <f t="shared" si="14"/>
        <v/>
      </c>
      <c r="D801" s="55"/>
      <c r="E801" s="53"/>
      <c r="F801" s="53"/>
      <c r="G801" s="372"/>
      <c r="H801" s="372"/>
      <c r="I801" s="379"/>
      <c r="J801" s="372"/>
      <c r="K801" s="373"/>
      <c r="L801" s="372"/>
      <c r="M801" s="372"/>
      <c r="N801" s="227"/>
      <c r="O801" s="227"/>
      <c r="P801" s="227"/>
      <c r="Q801" s="227"/>
      <c r="R801" s="227"/>
      <c r="S801" s="340"/>
      <c r="T801" s="226"/>
      <c r="U801" s="53"/>
      <c r="V801" s="53"/>
      <c r="W801" s="53"/>
      <c r="X801" s="53"/>
    </row>
    <row r="802" spans="1:24" ht="15.75" customHeight="1">
      <c r="A802" s="69"/>
      <c r="B802" s="69"/>
      <c r="C802" s="70" t="str">
        <f t="shared" si="14"/>
        <v/>
      </c>
      <c r="D802" s="55"/>
      <c r="E802" s="53"/>
      <c r="F802" s="53"/>
      <c r="G802" s="372"/>
      <c r="H802" s="372"/>
      <c r="I802" s="379"/>
      <c r="J802" s="372"/>
      <c r="K802" s="373"/>
      <c r="L802" s="372"/>
      <c r="M802" s="372"/>
      <c r="N802" s="227"/>
      <c r="O802" s="227"/>
      <c r="P802" s="227"/>
      <c r="Q802" s="227"/>
      <c r="R802" s="227"/>
      <c r="S802" s="340"/>
      <c r="T802" s="226"/>
      <c r="U802" s="53"/>
      <c r="V802" s="53"/>
      <c r="W802" s="53"/>
      <c r="X802" s="53"/>
    </row>
    <row r="803" spans="1:24" ht="15.75" customHeight="1">
      <c r="A803" s="69"/>
      <c r="B803" s="69"/>
      <c r="C803" s="70" t="str">
        <f t="shared" si="14"/>
        <v/>
      </c>
      <c r="D803" s="55"/>
      <c r="E803" s="53"/>
      <c r="F803" s="53"/>
      <c r="G803" s="372"/>
      <c r="H803" s="372"/>
      <c r="I803" s="379"/>
      <c r="J803" s="372"/>
      <c r="K803" s="373"/>
      <c r="L803" s="372"/>
      <c r="M803" s="372"/>
      <c r="N803" s="227"/>
      <c r="O803" s="227"/>
      <c r="P803" s="227"/>
      <c r="Q803" s="227"/>
      <c r="R803" s="227"/>
      <c r="S803" s="340"/>
      <c r="T803" s="226"/>
      <c r="U803" s="53"/>
      <c r="V803" s="53"/>
      <c r="W803" s="53"/>
      <c r="X803" s="53"/>
    </row>
    <row r="804" spans="1:24" ht="15.75" customHeight="1">
      <c r="A804" s="69"/>
      <c r="B804" s="69"/>
      <c r="C804" s="70" t="str">
        <f t="shared" si="14"/>
        <v/>
      </c>
      <c r="D804" s="55"/>
      <c r="E804" s="53"/>
      <c r="F804" s="53"/>
      <c r="G804" s="372"/>
      <c r="H804" s="372"/>
      <c r="I804" s="379"/>
      <c r="J804" s="372"/>
      <c r="K804" s="373"/>
      <c r="L804" s="372"/>
      <c r="M804" s="372"/>
      <c r="N804" s="227"/>
      <c r="O804" s="227"/>
      <c r="P804" s="227"/>
      <c r="Q804" s="227"/>
      <c r="R804" s="227"/>
      <c r="S804" s="340"/>
      <c r="T804" s="226"/>
      <c r="U804" s="53"/>
      <c r="V804" s="53"/>
      <c r="W804" s="53"/>
      <c r="X804" s="53"/>
    </row>
    <row r="805" spans="1:24" ht="15.75" customHeight="1">
      <c r="A805" s="69"/>
      <c r="B805" s="69"/>
      <c r="C805" s="70" t="str">
        <f t="shared" si="14"/>
        <v/>
      </c>
      <c r="D805" s="55"/>
      <c r="E805" s="53"/>
      <c r="F805" s="53"/>
      <c r="G805" s="372"/>
      <c r="H805" s="372"/>
      <c r="I805" s="379"/>
      <c r="J805" s="372"/>
      <c r="K805" s="373"/>
      <c r="L805" s="372"/>
      <c r="M805" s="372"/>
      <c r="N805" s="227"/>
      <c r="O805" s="227"/>
      <c r="P805" s="227"/>
      <c r="Q805" s="227"/>
      <c r="R805" s="227"/>
      <c r="S805" s="340"/>
      <c r="T805" s="226"/>
      <c r="U805" s="53"/>
      <c r="V805" s="53"/>
      <c r="W805" s="53"/>
      <c r="X805" s="53"/>
    </row>
    <row r="806" spans="1:24" ht="15.75" customHeight="1">
      <c r="A806" s="69"/>
      <c r="B806" s="69"/>
      <c r="C806" s="70" t="str">
        <f t="shared" si="14"/>
        <v/>
      </c>
      <c r="D806" s="55"/>
      <c r="E806" s="53"/>
      <c r="F806" s="53"/>
      <c r="G806" s="372"/>
      <c r="H806" s="372"/>
      <c r="I806" s="379"/>
      <c r="J806" s="372"/>
      <c r="K806" s="373"/>
      <c r="L806" s="372"/>
      <c r="M806" s="372"/>
      <c r="N806" s="227"/>
      <c r="O806" s="227"/>
      <c r="P806" s="227"/>
      <c r="Q806" s="227"/>
      <c r="R806" s="227"/>
      <c r="S806" s="340"/>
      <c r="T806" s="226"/>
      <c r="U806" s="53"/>
      <c r="V806" s="53"/>
      <c r="W806" s="53"/>
      <c r="X806" s="53"/>
    </row>
    <row r="807" spans="1:24" ht="15.75" customHeight="1">
      <c r="A807" s="69"/>
      <c r="B807" s="69"/>
      <c r="C807" s="70" t="str">
        <f t="shared" si="14"/>
        <v/>
      </c>
      <c r="D807" s="55"/>
      <c r="E807" s="53"/>
      <c r="F807" s="53"/>
      <c r="G807" s="372"/>
      <c r="H807" s="372"/>
      <c r="I807" s="379"/>
      <c r="J807" s="372"/>
      <c r="K807" s="373"/>
      <c r="L807" s="372"/>
      <c r="M807" s="372"/>
      <c r="N807" s="227"/>
      <c r="O807" s="227"/>
      <c r="P807" s="227"/>
      <c r="Q807" s="227"/>
      <c r="R807" s="227"/>
      <c r="S807" s="340"/>
      <c r="T807" s="226"/>
      <c r="U807" s="53"/>
      <c r="V807" s="53"/>
      <c r="W807" s="53"/>
      <c r="X807" s="53"/>
    </row>
    <row r="808" spans="1:24" ht="15.75" customHeight="1">
      <c r="A808" s="69"/>
      <c r="B808" s="69"/>
      <c r="C808" s="70" t="str">
        <f t="shared" si="14"/>
        <v/>
      </c>
      <c r="D808" s="55"/>
      <c r="E808" s="53"/>
      <c r="F808" s="53"/>
      <c r="G808" s="372"/>
      <c r="H808" s="372"/>
      <c r="I808" s="379"/>
      <c r="J808" s="372"/>
      <c r="K808" s="373"/>
      <c r="L808" s="372"/>
      <c r="M808" s="372"/>
      <c r="N808" s="227"/>
      <c r="O808" s="227"/>
      <c r="P808" s="227"/>
      <c r="Q808" s="227"/>
      <c r="R808" s="227"/>
      <c r="S808" s="340"/>
      <c r="T808" s="226"/>
      <c r="U808" s="53"/>
      <c r="V808" s="53"/>
      <c r="W808" s="53"/>
      <c r="X808" s="53"/>
    </row>
    <row r="809" spans="1:24" ht="15.75" customHeight="1">
      <c r="A809" s="69"/>
      <c r="B809" s="69"/>
      <c r="C809" s="70" t="str">
        <f t="shared" si="14"/>
        <v/>
      </c>
      <c r="D809" s="55"/>
      <c r="E809" s="53"/>
      <c r="F809" s="53"/>
      <c r="G809" s="372"/>
      <c r="H809" s="372"/>
      <c r="I809" s="379"/>
      <c r="J809" s="372"/>
      <c r="K809" s="373"/>
      <c r="L809" s="372"/>
      <c r="M809" s="372"/>
      <c r="N809" s="227"/>
      <c r="O809" s="227"/>
      <c r="P809" s="227"/>
      <c r="Q809" s="227"/>
      <c r="R809" s="227"/>
      <c r="S809" s="340"/>
      <c r="T809" s="226"/>
      <c r="U809" s="53"/>
      <c r="V809" s="53"/>
      <c r="W809" s="53"/>
      <c r="X809" s="53"/>
    </row>
    <row r="810" spans="1:24" ht="15.75" customHeight="1">
      <c r="A810" s="69"/>
      <c r="B810" s="69"/>
      <c r="C810" s="70" t="str">
        <f t="shared" si="14"/>
        <v/>
      </c>
      <c r="D810" s="55"/>
      <c r="E810" s="53"/>
      <c r="F810" s="53"/>
      <c r="G810" s="372"/>
      <c r="H810" s="372"/>
      <c r="I810" s="379"/>
      <c r="J810" s="372"/>
      <c r="K810" s="373"/>
      <c r="L810" s="372"/>
      <c r="M810" s="372"/>
      <c r="N810" s="227"/>
      <c r="O810" s="227"/>
      <c r="P810" s="227"/>
      <c r="Q810" s="227"/>
      <c r="R810" s="227"/>
      <c r="S810" s="340"/>
      <c r="T810" s="226"/>
      <c r="U810" s="53"/>
      <c r="V810" s="53"/>
      <c r="W810" s="53"/>
      <c r="X810" s="53"/>
    </row>
    <row r="811" spans="1:24" ht="15.75" customHeight="1">
      <c r="A811" s="69"/>
      <c r="B811" s="69"/>
      <c r="C811" s="70" t="str">
        <f t="shared" si="14"/>
        <v/>
      </c>
      <c r="D811" s="55"/>
      <c r="E811" s="53"/>
      <c r="F811" s="53"/>
      <c r="G811" s="372"/>
      <c r="H811" s="372"/>
      <c r="I811" s="379"/>
      <c r="J811" s="372"/>
      <c r="K811" s="373"/>
      <c r="L811" s="372"/>
      <c r="M811" s="372"/>
      <c r="N811" s="227"/>
      <c r="O811" s="227"/>
      <c r="P811" s="227"/>
      <c r="Q811" s="227"/>
      <c r="R811" s="227"/>
      <c r="S811" s="340"/>
      <c r="T811" s="226"/>
      <c r="U811" s="53"/>
      <c r="V811" s="53"/>
      <c r="W811" s="53"/>
      <c r="X811" s="53"/>
    </row>
    <row r="812" spans="1:24" ht="15.75" customHeight="1">
      <c r="A812" s="69"/>
      <c r="B812" s="69"/>
      <c r="C812" s="70" t="str">
        <f t="shared" si="14"/>
        <v/>
      </c>
      <c r="D812" s="55"/>
      <c r="E812" s="53"/>
      <c r="F812" s="53"/>
      <c r="G812" s="372"/>
      <c r="H812" s="372"/>
      <c r="I812" s="379"/>
      <c r="J812" s="372"/>
      <c r="K812" s="373"/>
      <c r="L812" s="372"/>
      <c r="M812" s="372"/>
      <c r="N812" s="227"/>
      <c r="O812" s="227"/>
      <c r="P812" s="227"/>
      <c r="Q812" s="227"/>
      <c r="R812" s="227"/>
      <c r="S812" s="340"/>
      <c r="T812" s="226"/>
      <c r="U812" s="53"/>
      <c r="V812" s="53"/>
      <c r="W812" s="53"/>
      <c r="X812" s="53"/>
    </row>
    <row r="813" spans="1:24" ht="15.75" customHeight="1">
      <c r="A813" s="69"/>
      <c r="B813" s="69"/>
      <c r="C813" s="70" t="str">
        <f t="shared" si="14"/>
        <v/>
      </c>
      <c r="D813" s="55"/>
      <c r="E813" s="53"/>
      <c r="F813" s="53"/>
      <c r="G813" s="372"/>
      <c r="H813" s="372"/>
      <c r="I813" s="379"/>
      <c r="J813" s="372"/>
      <c r="K813" s="373"/>
      <c r="L813" s="372"/>
      <c r="M813" s="372"/>
      <c r="N813" s="227"/>
      <c r="O813" s="227"/>
      <c r="P813" s="227"/>
      <c r="Q813" s="227"/>
      <c r="R813" s="227"/>
      <c r="S813" s="340"/>
      <c r="T813" s="226"/>
      <c r="U813" s="53"/>
      <c r="V813" s="53"/>
      <c r="W813" s="53"/>
      <c r="X813" s="53"/>
    </row>
    <row r="814" spans="1:24" ht="15.75" customHeight="1">
      <c r="A814" s="69"/>
      <c r="B814" s="69"/>
      <c r="C814" s="70" t="str">
        <f t="shared" si="14"/>
        <v/>
      </c>
      <c r="D814" s="55"/>
      <c r="E814" s="53"/>
      <c r="F814" s="53"/>
      <c r="G814" s="372"/>
      <c r="H814" s="372"/>
      <c r="I814" s="379"/>
      <c r="J814" s="372"/>
      <c r="K814" s="373"/>
      <c r="L814" s="372"/>
      <c r="M814" s="372"/>
      <c r="N814" s="227"/>
      <c r="O814" s="227"/>
      <c r="P814" s="227"/>
      <c r="Q814" s="227"/>
      <c r="R814" s="227"/>
      <c r="S814" s="340"/>
      <c r="T814" s="226"/>
      <c r="U814" s="53"/>
      <c r="V814" s="53"/>
      <c r="W814" s="53"/>
      <c r="X814" s="53"/>
    </row>
    <row r="815" spans="1:24" ht="15.75" customHeight="1">
      <c r="A815" s="69"/>
      <c r="B815" s="69"/>
      <c r="C815" s="70" t="str">
        <f t="shared" si="14"/>
        <v/>
      </c>
      <c r="D815" s="55"/>
      <c r="E815" s="53"/>
      <c r="F815" s="53"/>
      <c r="G815" s="372"/>
      <c r="H815" s="372"/>
      <c r="I815" s="379"/>
      <c r="J815" s="372"/>
      <c r="K815" s="373"/>
      <c r="L815" s="372"/>
      <c r="M815" s="372"/>
      <c r="N815" s="227"/>
      <c r="O815" s="227"/>
      <c r="P815" s="227"/>
      <c r="Q815" s="227"/>
      <c r="R815" s="227"/>
      <c r="S815" s="340"/>
      <c r="T815" s="226"/>
      <c r="U815" s="53"/>
      <c r="V815" s="53"/>
      <c r="W815" s="53"/>
      <c r="X815" s="53"/>
    </row>
    <row r="816" spans="1:24" ht="15.75" customHeight="1">
      <c r="A816" s="69"/>
      <c r="B816" s="69"/>
      <c r="C816" s="70" t="str">
        <f t="shared" si="14"/>
        <v/>
      </c>
      <c r="D816" s="55"/>
      <c r="E816" s="53"/>
      <c r="F816" s="53"/>
      <c r="G816" s="372"/>
      <c r="H816" s="372"/>
      <c r="I816" s="379"/>
      <c r="J816" s="372"/>
      <c r="K816" s="373"/>
      <c r="L816" s="372"/>
      <c r="M816" s="372"/>
      <c r="N816" s="227"/>
      <c r="O816" s="227"/>
      <c r="P816" s="227"/>
      <c r="Q816" s="227"/>
      <c r="R816" s="227"/>
      <c r="S816" s="340"/>
      <c r="T816" s="226"/>
      <c r="U816" s="53"/>
      <c r="V816" s="53"/>
      <c r="W816" s="53"/>
      <c r="X816" s="53"/>
    </row>
    <row r="817" spans="1:24" ht="15.75" customHeight="1">
      <c r="A817" s="69"/>
      <c r="B817" s="69"/>
      <c r="C817" s="70" t="str">
        <f t="shared" si="14"/>
        <v/>
      </c>
      <c r="D817" s="55"/>
      <c r="E817" s="53"/>
      <c r="F817" s="53"/>
      <c r="G817" s="372"/>
      <c r="H817" s="372"/>
      <c r="I817" s="379"/>
      <c r="J817" s="372"/>
      <c r="K817" s="373"/>
      <c r="L817" s="372"/>
      <c r="M817" s="372"/>
      <c r="N817" s="227"/>
      <c r="O817" s="227"/>
      <c r="P817" s="227"/>
      <c r="Q817" s="227"/>
      <c r="R817" s="227"/>
      <c r="S817" s="340"/>
      <c r="T817" s="226"/>
      <c r="U817" s="53"/>
      <c r="V817" s="53"/>
      <c r="W817" s="53"/>
      <c r="X817" s="53"/>
    </row>
    <row r="818" spans="1:24" ht="15.75" customHeight="1">
      <c r="A818" s="69"/>
      <c r="B818" s="69"/>
      <c r="C818" s="70" t="str">
        <f t="shared" si="14"/>
        <v/>
      </c>
      <c r="D818" s="55"/>
      <c r="E818" s="53"/>
      <c r="F818" s="53"/>
      <c r="G818" s="372"/>
      <c r="H818" s="372"/>
      <c r="I818" s="379"/>
      <c r="J818" s="372"/>
      <c r="K818" s="373"/>
      <c r="L818" s="372"/>
      <c r="M818" s="372"/>
      <c r="N818" s="227"/>
      <c r="O818" s="227"/>
      <c r="P818" s="227"/>
      <c r="Q818" s="227"/>
      <c r="R818" s="227"/>
      <c r="S818" s="340"/>
      <c r="T818" s="226"/>
      <c r="U818" s="53"/>
      <c r="V818" s="53"/>
      <c r="W818" s="53"/>
      <c r="X818" s="53"/>
    </row>
    <row r="819" spans="1:24" ht="15.75" customHeight="1">
      <c r="A819" s="69"/>
      <c r="B819" s="69"/>
      <c r="C819" s="70" t="str">
        <f t="shared" si="14"/>
        <v/>
      </c>
      <c r="D819" s="55"/>
      <c r="E819" s="53"/>
      <c r="F819" s="53"/>
      <c r="G819" s="372"/>
      <c r="H819" s="372"/>
      <c r="I819" s="379"/>
      <c r="J819" s="372"/>
      <c r="K819" s="373"/>
      <c r="L819" s="372"/>
      <c r="M819" s="372"/>
      <c r="N819" s="227"/>
      <c r="O819" s="227"/>
      <c r="P819" s="227"/>
      <c r="Q819" s="227"/>
      <c r="R819" s="227"/>
      <c r="S819" s="340"/>
      <c r="T819" s="226"/>
      <c r="U819" s="53"/>
      <c r="V819" s="53"/>
      <c r="W819" s="53"/>
      <c r="X819" s="53"/>
    </row>
    <row r="820" spans="1:24" ht="15.75" customHeight="1">
      <c r="A820" s="69"/>
      <c r="B820" s="69"/>
      <c r="C820" s="70" t="str">
        <f t="shared" si="14"/>
        <v/>
      </c>
      <c r="D820" s="55"/>
      <c r="E820" s="53"/>
      <c r="F820" s="53"/>
      <c r="G820" s="372"/>
      <c r="H820" s="372"/>
      <c r="I820" s="379"/>
      <c r="J820" s="372"/>
      <c r="K820" s="373"/>
      <c r="L820" s="372"/>
      <c r="M820" s="372"/>
      <c r="N820" s="227"/>
      <c r="O820" s="227"/>
      <c r="P820" s="227"/>
      <c r="Q820" s="227"/>
      <c r="R820" s="227"/>
      <c r="S820" s="340"/>
      <c r="T820" s="226"/>
      <c r="U820" s="53"/>
      <c r="V820" s="53"/>
      <c r="W820" s="53"/>
      <c r="X820" s="53"/>
    </row>
    <row r="821" spans="1:24" ht="15.75" customHeight="1">
      <c r="A821" s="69"/>
      <c r="B821" s="69"/>
      <c r="C821" s="70" t="str">
        <f t="shared" si="14"/>
        <v/>
      </c>
      <c r="D821" s="55"/>
      <c r="E821" s="53"/>
      <c r="F821" s="53"/>
      <c r="G821" s="372"/>
      <c r="H821" s="372"/>
      <c r="I821" s="379"/>
      <c r="J821" s="372"/>
      <c r="K821" s="373"/>
      <c r="L821" s="372"/>
      <c r="M821" s="372"/>
      <c r="N821" s="227"/>
      <c r="O821" s="227"/>
      <c r="P821" s="227"/>
      <c r="Q821" s="227"/>
      <c r="R821" s="227"/>
      <c r="S821" s="340"/>
      <c r="T821" s="226"/>
      <c r="U821" s="53"/>
      <c r="V821" s="53"/>
      <c r="W821" s="53"/>
      <c r="X821" s="53"/>
    </row>
    <row r="822" spans="1:24" ht="15.75" customHeight="1">
      <c r="A822" s="69"/>
      <c r="B822" s="69"/>
      <c r="C822" s="70" t="str">
        <f t="shared" si="14"/>
        <v/>
      </c>
      <c r="D822" s="55"/>
      <c r="E822" s="53"/>
      <c r="F822" s="53"/>
      <c r="G822" s="372"/>
      <c r="H822" s="372"/>
      <c r="I822" s="379"/>
      <c r="J822" s="372"/>
      <c r="K822" s="373"/>
      <c r="L822" s="372"/>
      <c r="M822" s="372"/>
      <c r="N822" s="227"/>
      <c r="O822" s="227"/>
      <c r="P822" s="227"/>
      <c r="Q822" s="227"/>
      <c r="R822" s="227"/>
      <c r="S822" s="340"/>
      <c r="T822" s="226"/>
      <c r="U822" s="53"/>
      <c r="V822" s="53"/>
      <c r="W822" s="53"/>
      <c r="X822" s="53"/>
    </row>
    <row r="823" spans="1:24" ht="15.75" customHeight="1">
      <c r="A823" s="69"/>
      <c r="B823" s="69"/>
      <c r="C823" s="70" t="str">
        <f t="shared" si="14"/>
        <v/>
      </c>
      <c r="D823" s="55"/>
      <c r="E823" s="53"/>
      <c r="F823" s="53"/>
      <c r="G823" s="372"/>
      <c r="H823" s="372"/>
      <c r="I823" s="379"/>
      <c r="J823" s="372"/>
      <c r="K823" s="373"/>
      <c r="L823" s="372"/>
      <c r="M823" s="372"/>
      <c r="N823" s="227"/>
      <c r="O823" s="227"/>
      <c r="P823" s="227"/>
      <c r="Q823" s="227"/>
      <c r="R823" s="227"/>
      <c r="S823" s="340"/>
      <c r="T823" s="226"/>
      <c r="U823" s="53"/>
      <c r="V823" s="53"/>
      <c r="W823" s="53"/>
      <c r="X823" s="53"/>
    </row>
    <row r="824" spans="1:24" ht="15.75" customHeight="1">
      <c r="A824" s="69"/>
      <c r="B824" s="69"/>
      <c r="C824" s="70" t="str">
        <f t="shared" si="14"/>
        <v/>
      </c>
      <c r="D824" s="55"/>
      <c r="E824" s="53"/>
      <c r="F824" s="53"/>
      <c r="G824" s="372"/>
      <c r="H824" s="372"/>
      <c r="I824" s="379"/>
      <c r="J824" s="372"/>
      <c r="K824" s="373"/>
      <c r="L824" s="372"/>
      <c r="M824" s="372"/>
      <c r="N824" s="227"/>
      <c r="O824" s="227"/>
      <c r="P824" s="227"/>
      <c r="Q824" s="227"/>
      <c r="R824" s="227"/>
      <c r="S824" s="340"/>
      <c r="T824" s="226"/>
      <c r="U824" s="53"/>
      <c r="V824" s="53"/>
      <c r="W824" s="53"/>
      <c r="X824" s="53"/>
    </row>
    <row r="825" spans="1:24" ht="15.75" customHeight="1">
      <c r="A825" s="69"/>
      <c r="B825" s="69"/>
      <c r="C825" s="70" t="str">
        <f t="shared" si="14"/>
        <v/>
      </c>
      <c r="D825" s="55"/>
      <c r="E825" s="53"/>
      <c r="F825" s="53"/>
      <c r="G825" s="372"/>
      <c r="H825" s="372"/>
      <c r="I825" s="379"/>
      <c r="J825" s="372"/>
      <c r="K825" s="373"/>
      <c r="L825" s="372"/>
      <c r="M825" s="372"/>
      <c r="N825" s="227"/>
      <c r="O825" s="227"/>
      <c r="P825" s="227"/>
      <c r="Q825" s="227"/>
      <c r="R825" s="227"/>
      <c r="S825" s="340"/>
      <c r="T825" s="226"/>
      <c r="U825" s="53"/>
      <c r="V825" s="53"/>
      <c r="W825" s="53"/>
      <c r="X825" s="53"/>
    </row>
    <row r="826" spans="1:24" ht="15.75" customHeight="1">
      <c r="A826" s="69"/>
      <c r="B826" s="69"/>
      <c r="C826" s="70" t="str">
        <f t="shared" si="14"/>
        <v/>
      </c>
      <c r="D826" s="55"/>
      <c r="E826" s="53"/>
      <c r="F826" s="53"/>
      <c r="G826" s="372"/>
      <c r="H826" s="372"/>
      <c r="I826" s="379"/>
      <c r="J826" s="372"/>
      <c r="K826" s="373"/>
      <c r="L826" s="372"/>
      <c r="M826" s="372"/>
      <c r="N826" s="227"/>
      <c r="O826" s="227"/>
      <c r="P826" s="227"/>
      <c r="Q826" s="227"/>
      <c r="R826" s="227"/>
      <c r="S826" s="340"/>
      <c r="T826" s="226"/>
      <c r="U826" s="53"/>
      <c r="V826" s="53"/>
      <c r="W826" s="53"/>
      <c r="X826" s="53"/>
    </row>
    <row r="827" spans="1:24" ht="15.75" customHeight="1">
      <c r="A827" s="69"/>
      <c r="B827" s="69"/>
      <c r="C827" s="70" t="str">
        <f t="shared" si="14"/>
        <v/>
      </c>
      <c r="D827" s="55"/>
      <c r="E827" s="53"/>
      <c r="F827" s="53"/>
      <c r="G827" s="372"/>
      <c r="H827" s="372"/>
      <c r="I827" s="379"/>
      <c r="J827" s="372"/>
      <c r="K827" s="373"/>
      <c r="L827" s="372"/>
      <c r="M827" s="372"/>
      <c r="N827" s="227"/>
      <c r="O827" s="227"/>
      <c r="P827" s="227"/>
      <c r="Q827" s="227"/>
      <c r="R827" s="227"/>
      <c r="S827" s="340"/>
      <c r="T827" s="226"/>
      <c r="U827" s="53"/>
      <c r="V827" s="53"/>
      <c r="W827" s="53"/>
      <c r="X827" s="53"/>
    </row>
    <row r="828" spans="1:24" ht="15.75" customHeight="1">
      <c r="A828" s="69"/>
      <c r="B828" s="69"/>
      <c r="C828" s="70" t="str">
        <f t="shared" si="14"/>
        <v/>
      </c>
      <c r="D828" s="55"/>
      <c r="E828" s="53"/>
      <c r="F828" s="53"/>
      <c r="G828" s="372"/>
      <c r="H828" s="372"/>
      <c r="I828" s="379"/>
      <c r="J828" s="372"/>
      <c r="K828" s="373"/>
      <c r="L828" s="372"/>
      <c r="M828" s="372"/>
      <c r="N828" s="227"/>
      <c r="O828" s="227"/>
      <c r="P828" s="227"/>
      <c r="Q828" s="227"/>
      <c r="R828" s="227"/>
      <c r="S828" s="340"/>
      <c r="T828" s="226"/>
      <c r="U828" s="53"/>
      <c r="V828" s="53"/>
      <c r="W828" s="53"/>
      <c r="X828" s="53"/>
    </row>
    <row r="829" spans="1:24" ht="15.75" customHeight="1">
      <c r="A829" s="69"/>
      <c r="B829" s="69"/>
      <c r="C829" s="70" t="str">
        <f t="shared" si="14"/>
        <v/>
      </c>
      <c r="D829" s="55"/>
      <c r="E829" s="53"/>
      <c r="F829" s="53"/>
      <c r="G829" s="372"/>
      <c r="H829" s="372"/>
      <c r="I829" s="379"/>
      <c r="J829" s="372"/>
      <c r="K829" s="373"/>
      <c r="L829" s="372"/>
      <c r="M829" s="372"/>
      <c r="N829" s="227"/>
      <c r="O829" s="227"/>
      <c r="P829" s="227"/>
      <c r="Q829" s="227"/>
      <c r="R829" s="227"/>
      <c r="S829" s="340"/>
      <c r="T829" s="226"/>
      <c r="U829" s="53"/>
      <c r="V829" s="53"/>
      <c r="W829" s="53"/>
      <c r="X829" s="53"/>
    </row>
    <row r="830" spans="1:24" ht="15.75" customHeight="1">
      <c r="A830" s="69"/>
      <c r="B830" s="69"/>
      <c r="C830" s="70" t="str">
        <f t="shared" si="14"/>
        <v/>
      </c>
      <c r="D830" s="55"/>
      <c r="E830" s="53"/>
      <c r="F830" s="53"/>
      <c r="G830" s="372"/>
      <c r="H830" s="372"/>
      <c r="I830" s="379"/>
      <c r="J830" s="372"/>
      <c r="K830" s="373"/>
      <c r="L830" s="372"/>
      <c r="M830" s="372"/>
      <c r="N830" s="227"/>
      <c r="O830" s="227"/>
      <c r="P830" s="227"/>
      <c r="Q830" s="227"/>
      <c r="R830" s="227"/>
      <c r="S830" s="340"/>
      <c r="T830" s="226"/>
      <c r="U830" s="53"/>
      <c r="V830" s="53"/>
      <c r="W830" s="53"/>
      <c r="X830" s="53"/>
    </row>
    <row r="831" spans="1:24" ht="15.75" customHeight="1">
      <c r="A831" s="69"/>
      <c r="B831" s="69"/>
      <c r="C831" s="70" t="str">
        <f t="shared" si="14"/>
        <v/>
      </c>
      <c r="D831" s="55"/>
      <c r="E831" s="53"/>
      <c r="F831" s="53"/>
      <c r="G831" s="372"/>
      <c r="H831" s="372"/>
      <c r="I831" s="379"/>
      <c r="J831" s="372"/>
      <c r="K831" s="373"/>
      <c r="L831" s="372"/>
      <c r="M831" s="372"/>
      <c r="N831" s="227"/>
      <c r="O831" s="227"/>
      <c r="P831" s="227"/>
      <c r="Q831" s="227"/>
      <c r="R831" s="227"/>
      <c r="S831" s="340"/>
      <c r="T831" s="226"/>
      <c r="U831" s="53"/>
      <c r="V831" s="53"/>
      <c r="W831" s="53"/>
      <c r="X831" s="53"/>
    </row>
    <row r="832" spans="1:24" ht="15.75" customHeight="1">
      <c r="A832" s="69"/>
      <c r="B832" s="69"/>
      <c r="C832" s="70" t="str">
        <f t="shared" si="14"/>
        <v/>
      </c>
      <c r="D832" s="55"/>
      <c r="E832" s="53"/>
      <c r="F832" s="53"/>
      <c r="G832" s="372"/>
      <c r="H832" s="372"/>
      <c r="I832" s="379"/>
      <c r="J832" s="372"/>
      <c r="K832" s="373"/>
      <c r="L832" s="372"/>
      <c r="M832" s="372"/>
      <c r="N832" s="227"/>
      <c r="O832" s="227"/>
      <c r="P832" s="227"/>
      <c r="Q832" s="227"/>
      <c r="R832" s="227"/>
      <c r="S832" s="340"/>
      <c r="T832" s="226"/>
      <c r="U832" s="53"/>
      <c r="V832" s="53"/>
      <c r="W832" s="53"/>
      <c r="X832" s="53"/>
    </row>
    <row r="833" spans="1:24" ht="15.75" customHeight="1">
      <c r="A833" s="69"/>
      <c r="B833" s="69"/>
      <c r="C833" s="70" t="str">
        <f t="shared" si="14"/>
        <v/>
      </c>
      <c r="D833" s="55"/>
      <c r="E833" s="53"/>
      <c r="F833" s="53"/>
      <c r="G833" s="372"/>
      <c r="H833" s="372"/>
      <c r="I833" s="379"/>
      <c r="J833" s="372"/>
      <c r="K833" s="373"/>
      <c r="L833" s="372"/>
      <c r="M833" s="372"/>
      <c r="N833" s="227"/>
      <c r="O833" s="227"/>
      <c r="P833" s="227"/>
      <c r="Q833" s="227"/>
      <c r="R833" s="227"/>
      <c r="S833" s="340"/>
      <c r="T833" s="226"/>
      <c r="U833" s="53"/>
      <c r="V833" s="53"/>
      <c r="W833" s="53"/>
      <c r="X833" s="53"/>
    </row>
    <row r="834" spans="1:24" ht="15.75" customHeight="1">
      <c r="A834" s="69"/>
      <c r="B834" s="69"/>
      <c r="C834" s="70" t="str">
        <f t="shared" si="14"/>
        <v/>
      </c>
      <c r="D834" s="55"/>
      <c r="E834" s="53"/>
      <c r="F834" s="53"/>
      <c r="G834" s="372"/>
      <c r="H834" s="372"/>
      <c r="I834" s="379"/>
      <c r="J834" s="372"/>
      <c r="K834" s="373"/>
      <c r="L834" s="372"/>
      <c r="M834" s="372"/>
      <c r="N834" s="227"/>
      <c r="O834" s="227"/>
      <c r="P834" s="227"/>
      <c r="Q834" s="227"/>
      <c r="R834" s="227"/>
      <c r="S834" s="340"/>
      <c r="T834" s="226"/>
      <c r="U834" s="53"/>
      <c r="V834" s="53"/>
      <c r="W834" s="53"/>
      <c r="X834" s="53"/>
    </row>
    <row r="835" spans="1:24" ht="15.75" customHeight="1">
      <c r="A835" s="69"/>
      <c r="B835" s="69"/>
      <c r="C835" s="70" t="str">
        <f t="shared" si="14"/>
        <v/>
      </c>
      <c r="D835" s="55"/>
      <c r="E835" s="53"/>
      <c r="F835" s="53"/>
      <c r="G835" s="372"/>
      <c r="H835" s="372"/>
      <c r="I835" s="379"/>
      <c r="J835" s="372"/>
      <c r="K835" s="373"/>
      <c r="L835" s="372"/>
      <c r="M835" s="372"/>
      <c r="N835" s="227"/>
      <c r="O835" s="227"/>
      <c r="P835" s="227"/>
      <c r="Q835" s="227"/>
      <c r="R835" s="227"/>
      <c r="S835" s="340"/>
      <c r="T835" s="226"/>
      <c r="U835" s="53"/>
      <c r="V835" s="53"/>
      <c r="W835" s="53"/>
      <c r="X835" s="53"/>
    </row>
    <row r="836" spans="1:24" ht="15.75" customHeight="1">
      <c r="A836" s="69"/>
      <c r="B836" s="69"/>
      <c r="C836" s="70" t="str">
        <f t="shared" si="14"/>
        <v/>
      </c>
      <c r="D836" s="55"/>
      <c r="E836" s="53"/>
      <c r="F836" s="53"/>
      <c r="G836" s="372"/>
      <c r="H836" s="372"/>
      <c r="I836" s="379"/>
      <c r="J836" s="372"/>
      <c r="K836" s="373"/>
      <c r="L836" s="372"/>
      <c r="M836" s="372"/>
      <c r="N836" s="227"/>
      <c r="O836" s="227"/>
      <c r="P836" s="227"/>
      <c r="Q836" s="227"/>
      <c r="R836" s="227"/>
      <c r="S836" s="340"/>
      <c r="T836" s="226"/>
      <c r="U836" s="53"/>
      <c r="V836" s="53"/>
      <c r="W836" s="53"/>
      <c r="X836" s="53"/>
    </row>
    <row r="837" spans="1:24" ht="15.75" customHeight="1">
      <c r="A837" s="69"/>
      <c r="B837" s="69"/>
      <c r="C837" s="70" t="str">
        <f t="shared" si="14"/>
        <v/>
      </c>
      <c r="D837" s="55"/>
      <c r="E837" s="53"/>
      <c r="F837" s="53"/>
      <c r="G837" s="372"/>
      <c r="H837" s="372"/>
      <c r="I837" s="379"/>
      <c r="J837" s="372"/>
      <c r="K837" s="373"/>
      <c r="L837" s="372"/>
      <c r="M837" s="372"/>
      <c r="N837" s="227"/>
      <c r="O837" s="227"/>
      <c r="P837" s="227"/>
      <c r="Q837" s="227"/>
      <c r="R837" s="227"/>
      <c r="S837" s="340"/>
      <c r="T837" s="226"/>
      <c r="U837" s="53"/>
      <c r="V837" s="53"/>
      <c r="W837" s="53"/>
      <c r="X837" s="53"/>
    </row>
    <row r="838" spans="1:24" ht="15.75" customHeight="1">
      <c r="A838" s="69"/>
      <c r="B838" s="69"/>
      <c r="C838" s="70" t="str">
        <f t="shared" si="14"/>
        <v/>
      </c>
      <c r="D838" s="55"/>
      <c r="E838" s="53"/>
      <c r="F838" s="53"/>
      <c r="G838" s="372"/>
      <c r="H838" s="372"/>
      <c r="I838" s="379"/>
      <c r="J838" s="372"/>
      <c r="K838" s="373"/>
      <c r="L838" s="372"/>
      <c r="M838" s="372"/>
      <c r="N838" s="227"/>
      <c r="O838" s="227"/>
      <c r="P838" s="227"/>
      <c r="Q838" s="227"/>
      <c r="R838" s="227"/>
      <c r="S838" s="340"/>
      <c r="T838" s="226"/>
      <c r="U838" s="53"/>
      <c r="V838" s="53"/>
      <c r="W838" s="53"/>
      <c r="X838" s="53"/>
    </row>
    <row r="839" spans="1:24" ht="15.75" customHeight="1">
      <c r="A839" s="69"/>
      <c r="B839" s="69"/>
      <c r="C839" s="70" t="str">
        <f t="shared" si="14"/>
        <v/>
      </c>
      <c r="D839" s="55"/>
      <c r="E839" s="53"/>
      <c r="F839" s="53"/>
      <c r="G839" s="372"/>
      <c r="H839" s="372"/>
      <c r="I839" s="379"/>
      <c r="J839" s="372"/>
      <c r="K839" s="373"/>
      <c r="L839" s="372"/>
      <c r="M839" s="372"/>
      <c r="N839" s="227"/>
      <c r="O839" s="227"/>
      <c r="P839" s="227"/>
      <c r="Q839" s="227"/>
      <c r="R839" s="227"/>
      <c r="S839" s="340"/>
      <c r="T839" s="226"/>
      <c r="U839" s="53"/>
      <c r="V839" s="53"/>
      <c r="W839" s="53"/>
      <c r="X839" s="53"/>
    </row>
    <row r="840" spans="1:24" ht="15.75" customHeight="1">
      <c r="A840" s="69"/>
      <c r="B840" s="69"/>
      <c r="C840" s="70" t="str">
        <f t="shared" si="14"/>
        <v/>
      </c>
      <c r="D840" s="55"/>
      <c r="E840" s="53"/>
      <c r="F840" s="53"/>
      <c r="G840" s="372"/>
      <c r="H840" s="372"/>
      <c r="I840" s="379"/>
      <c r="J840" s="372"/>
      <c r="K840" s="373"/>
      <c r="L840" s="372"/>
      <c r="M840" s="372"/>
      <c r="N840" s="227"/>
      <c r="O840" s="227"/>
      <c r="P840" s="227"/>
      <c r="Q840" s="227"/>
      <c r="R840" s="227"/>
      <c r="S840" s="340"/>
      <c r="T840" s="226"/>
      <c r="U840" s="53"/>
      <c r="V840" s="53"/>
      <c r="W840" s="53"/>
      <c r="X840" s="53"/>
    </row>
    <row r="841" spans="1:24" ht="15.75" customHeight="1">
      <c r="A841" s="69"/>
      <c r="B841" s="69"/>
      <c r="C841" s="70" t="str">
        <f t="shared" si="14"/>
        <v/>
      </c>
      <c r="D841" s="55"/>
      <c r="E841" s="53"/>
      <c r="F841" s="53"/>
      <c r="G841" s="372"/>
      <c r="H841" s="372"/>
      <c r="I841" s="379"/>
      <c r="J841" s="372"/>
      <c r="K841" s="373"/>
      <c r="L841" s="372"/>
      <c r="M841" s="372"/>
      <c r="N841" s="227"/>
      <c r="O841" s="227"/>
      <c r="P841" s="227"/>
      <c r="Q841" s="227"/>
      <c r="R841" s="227"/>
      <c r="S841" s="340"/>
      <c r="T841" s="226"/>
      <c r="U841" s="53"/>
      <c r="V841" s="53"/>
      <c r="W841" s="53"/>
      <c r="X841" s="53"/>
    </row>
    <row r="842" spans="1:24" ht="15.75" customHeight="1">
      <c r="A842" s="69"/>
      <c r="B842" s="69"/>
      <c r="C842" s="70" t="str">
        <f t="shared" si="14"/>
        <v/>
      </c>
      <c r="D842" s="55"/>
      <c r="E842" s="53"/>
      <c r="F842" s="53"/>
      <c r="G842" s="372"/>
      <c r="H842" s="372"/>
      <c r="I842" s="379"/>
      <c r="J842" s="372"/>
      <c r="K842" s="373"/>
      <c r="L842" s="372"/>
      <c r="M842" s="372"/>
      <c r="N842" s="227"/>
      <c r="O842" s="227"/>
      <c r="P842" s="227"/>
      <c r="Q842" s="227"/>
      <c r="R842" s="227"/>
      <c r="S842" s="340"/>
      <c r="T842" s="226"/>
      <c r="U842" s="53"/>
      <c r="V842" s="53"/>
      <c r="W842" s="53"/>
      <c r="X842" s="53"/>
    </row>
    <row r="843" spans="1:24" ht="15.75" customHeight="1">
      <c r="A843" s="69"/>
      <c r="B843" s="69"/>
      <c r="C843" s="70" t="str">
        <f t="shared" si="14"/>
        <v/>
      </c>
      <c r="D843" s="55"/>
      <c r="E843" s="53"/>
      <c r="F843" s="53"/>
      <c r="G843" s="372"/>
      <c r="H843" s="372"/>
      <c r="I843" s="379"/>
      <c r="J843" s="372"/>
      <c r="K843" s="373"/>
      <c r="L843" s="372"/>
      <c r="M843" s="372"/>
      <c r="N843" s="227"/>
      <c r="O843" s="227"/>
      <c r="P843" s="227"/>
      <c r="Q843" s="227"/>
      <c r="R843" s="227"/>
      <c r="S843" s="340"/>
      <c r="T843" s="226"/>
      <c r="U843" s="53"/>
      <c r="V843" s="53"/>
      <c r="W843" s="53"/>
      <c r="X843" s="53"/>
    </row>
    <row r="844" spans="1:24" ht="15.75" customHeight="1">
      <c r="A844" s="69"/>
      <c r="B844" s="69"/>
      <c r="C844" s="70" t="str">
        <f t="shared" si="14"/>
        <v/>
      </c>
      <c r="D844" s="55"/>
      <c r="E844" s="53"/>
      <c r="F844" s="53"/>
      <c r="G844" s="372"/>
      <c r="H844" s="372"/>
      <c r="I844" s="379"/>
      <c r="J844" s="372"/>
      <c r="K844" s="373"/>
      <c r="L844" s="372"/>
      <c r="M844" s="372"/>
      <c r="N844" s="227"/>
      <c r="O844" s="227"/>
      <c r="P844" s="227"/>
      <c r="Q844" s="227"/>
      <c r="R844" s="227"/>
      <c r="S844" s="340"/>
      <c r="T844" s="226"/>
      <c r="U844" s="53"/>
      <c r="V844" s="53"/>
      <c r="W844" s="53"/>
      <c r="X844" s="53"/>
    </row>
    <row r="845" spans="1:24" ht="15.75" customHeight="1">
      <c r="A845" s="69"/>
      <c r="B845" s="69"/>
      <c r="C845" s="70" t="str">
        <f t="shared" si="14"/>
        <v/>
      </c>
      <c r="D845" s="55"/>
      <c r="E845" s="53"/>
      <c r="F845" s="53"/>
      <c r="G845" s="372"/>
      <c r="H845" s="372"/>
      <c r="I845" s="379"/>
      <c r="J845" s="372"/>
      <c r="K845" s="373"/>
      <c r="L845" s="372"/>
      <c r="M845" s="372"/>
      <c r="N845" s="227"/>
      <c r="O845" s="227"/>
      <c r="P845" s="227"/>
      <c r="Q845" s="227"/>
      <c r="R845" s="227"/>
      <c r="S845" s="340"/>
      <c r="T845" s="226"/>
      <c r="U845" s="53"/>
      <c r="V845" s="53"/>
      <c r="W845" s="53"/>
      <c r="X845" s="53"/>
    </row>
    <row r="846" spans="1:24" ht="15.75" customHeight="1">
      <c r="A846" s="69"/>
      <c r="B846" s="69"/>
      <c r="C846" s="70" t="str">
        <f t="shared" si="14"/>
        <v/>
      </c>
      <c r="D846" s="55"/>
      <c r="E846" s="53"/>
      <c r="F846" s="53"/>
      <c r="G846" s="372"/>
      <c r="H846" s="372"/>
      <c r="I846" s="379"/>
      <c r="J846" s="372"/>
      <c r="K846" s="373"/>
      <c r="L846" s="372"/>
      <c r="M846" s="372"/>
      <c r="N846" s="227"/>
      <c r="O846" s="227"/>
      <c r="P846" s="227"/>
      <c r="Q846" s="227"/>
      <c r="R846" s="227"/>
      <c r="S846" s="340"/>
      <c r="T846" s="226"/>
      <c r="U846" s="53"/>
      <c r="V846" s="53"/>
      <c r="W846" s="53"/>
      <c r="X846" s="53"/>
    </row>
    <row r="847" spans="1:24" ht="15.75" customHeight="1">
      <c r="A847" s="69"/>
      <c r="B847" s="69"/>
      <c r="C847" s="70" t="str">
        <f t="shared" si="14"/>
        <v/>
      </c>
      <c r="D847" s="55"/>
      <c r="E847" s="53"/>
      <c r="F847" s="53"/>
      <c r="G847" s="372"/>
      <c r="H847" s="372"/>
      <c r="I847" s="379"/>
      <c r="J847" s="372"/>
      <c r="K847" s="373"/>
      <c r="L847" s="372"/>
      <c r="M847" s="372"/>
      <c r="N847" s="227"/>
      <c r="O847" s="227"/>
      <c r="P847" s="227"/>
      <c r="Q847" s="227"/>
      <c r="R847" s="227"/>
      <c r="S847" s="340"/>
      <c r="T847" s="226"/>
      <c r="U847" s="53"/>
      <c r="V847" s="53"/>
      <c r="W847" s="53"/>
      <c r="X847" s="53"/>
    </row>
    <row r="848" spans="1:24" ht="15.75" customHeight="1">
      <c r="A848" s="69"/>
      <c r="B848" s="69"/>
      <c r="C848" s="70" t="str">
        <f t="shared" si="14"/>
        <v/>
      </c>
      <c r="D848" s="55"/>
      <c r="E848" s="53"/>
      <c r="F848" s="53"/>
      <c r="G848" s="372"/>
      <c r="H848" s="372"/>
      <c r="I848" s="379"/>
      <c r="J848" s="372"/>
      <c r="K848" s="373"/>
      <c r="L848" s="372"/>
      <c r="M848" s="372"/>
      <c r="N848" s="227"/>
      <c r="O848" s="227"/>
      <c r="P848" s="227"/>
      <c r="Q848" s="227"/>
      <c r="R848" s="227"/>
      <c r="S848" s="340"/>
      <c r="T848" s="226"/>
      <c r="U848" s="53"/>
      <c r="V848" s="53"/>
      <c r="W848" s="53"/>
      <c r="X848" s="53"/>
    </row>
    <row r="849" spans="1:24" ht="15.75" customHeight="1">
      <c r="A849" s="69"/>
      <c r="B849" s="69"/>
      <c r="C849" s="70" t="str">
        <f t="shared" ref="C849:C912" si="15">IF(B849&lt;&gt;"",TEXT(WEEKDAY(B849),"dddd"),"")</f>
        <v/>
      </c>
      <c r="D849" s="55"/>
      <c r="E849" s="53"/>
      <c r="F849" s="53"/>
      <c r="G849" s="372"/>
      <c r="H849" s="372"/>
      <c r="I849" s="379"/>
      <c r="J849" s="372"/>
      <c r="K849" s="373"/>
      <c r="L849" s="372"/>
      <c r="M849" s="372"/>
      <c r="N849" s="227"/>
      <c r="O849" s="227"/>
      <c r="P849" s="227"/>
      <c r="Q849" s="227"/>
      <c r="R849" s="227"/>
      <c r="S849" s="340"/>
      <c r="T849" s="226"/>
      <c r="U849" s="53"/>
      <c r="V849" s="53"/>
      <c r="W849" s="53"/>
      <c r="X849" s="53"/>
    </row>
    <row r="850" spans="1:24" ht="15.75" customHeight="1">
      <c r="A850" s="69"/>
      <c r="B850" s="69"/>
      <c r="C850" s="70" t="str">
        <f t="shared" si="15"/>
        <v/>
      </c>
      <c r="D850" s="55"/>
      <c r="E850" s="53"/>
      <c r="F850" s="53"/>
      <c r="G850" s="372"/>
      <c r="H850" s="372"/>
      <c r="I850" s="379"/>
      <c r="J850" s="372"/>
      <c r="K850" s="373"/>
      <c r="L850" s="372"/>
      <c r="M850" s="372"/>
      <c r="N850" s="227"/>
      <c r="O850" s="227"/>
      <c r="P850" s="227"/>
      <c r="Q850" s="227"/>
      <c r="R850" s="227"/>
      <c r="S850" s="340"/>
      <c r="T850" s="226"/>
      <c r="U850" s="53"/>
      <c r="V850" s="53"/>
      <c r="W850" s="53"/>
      <c r="X850" s="53"/>
    </row>
    <row r="851" spans="1:24" ht="15.75" customHeight="1">
      <c r="A851" s="69"/>
      <c r="B851" s="69"/>
      <c r="C851" s="70" t="str">
        <f t="shared" si="15"/>
        <v/>
      </c>
      <c r="D851" s="55"/>
      <c r="E851" s="53"/>
      <c r="F851" s="53"/>
      <c r="G851" s="372"/>
      <c r="H851" s="372"/>
      <c r="I851" s="379"/>
      <c r="J851" s="372"/>
      <c r="K851" s="373"/>
      <c r="L851" s="372"/>
      <c r="M851" s="372"/>
      <c r="N851" s="227"/>
      <c r="O851" s="227"/>
      <c r="P851" s="227"/>
      <c r="Q851" s="227"/>
      <c r="R851" s="227"/>
      <c r="S851" s="340"/>
      <c r="T851" s="226"/>
      <c r="U851" s="53"/>
      <c r="V851" s="53"/>
      <c r="W851" s="53"/>
      <c r="X851" s="53"/>
    </row>
    <row r="852" spans="1:24" ht="15.75" customHeight="1">
      <c r="A852" s="69"/>
      <c r="B852" s="69"/>
      <c r="C852" s="70" t="str">
        <f t="shared" si="15"/>
        <v/>
      </c>
      <c r="D852" s="55"/>
      <c r="E852" s="53"/>
      <c r="F852" s="53"/>
      <c r="G852" s="372"/>
      <c r="H852" s="372"/>
      <c r="I852" s="379"/>
      <c r="J852" s="372"/>
      <c r="K852" s="373"/>
      <c r="L852" s="372"/>
      <c r="M852" s="372"/>
      <c r="N852" s="227"/>
      <c r="O852" s="227"/>
      <c r="P852" s="227"/>
      <c r="Q852" s="227"/>
      <c r="R852" s="227"/>
      <c r="S852" s="340"/>
      <c r="T852" s="226"/>
      <c r="U852" s="53"/>
      <c r="V852" s="53"/>
      <c r="W852" s="53"/>
      <c r="X852" s="53"/>
    </row>
    <row r="853" spans="1:24" ht="15.75" customHeight="1">
      <c r="A853" s="69"/>
      <c r="B853" s="69"/>
      <c r="C853" s="70" t="str">
        <f t="shared" si="15"/>
        <v/>
      </c>
      <c r="D853" s="55"/>
      <c r="E853" s="53"/>
      <c r="F853" s="53"/>
      <c r="G853" s="372"/>
      <c r="H853" s="372"/>
      <c r="I853" s="379"/>
      <c r="J853" s="372"/>
      <c r="K853" s="373"/>
      <c r="L853" s="372"/>
      <c r="M853" s="372"/>
      <c r="N853" s="227"/>
      <c r="O853" s="227"/>
      <c r="P853" s="227"/>
      <c r="Q853" s="227"/>
      <c r="R853" s="227"/>
      <c r="S853" s="340"/>
      <c r="T853" s="226"/>
      <c r="U853" s="53"/>
      <c r="V853" s="53"/>
      <c r="W853" s="53"/>
      <c r="X853" s="53"/>
    </row>
    <row r="854" spans="1:24" ht="15.75" customHeight="1">
      <c r="A854" s="69"/>
      <c r="B854" s="69"/>
      <c r="C854" s="70" t="str">
        <f t="shared" si="15"/>
        <v/>
      </c>
      <c r="D854" s="55"/>
      <c r="E854" s="53"/>
      <c r="F854" s="53"/>
      <c r="G854" s="372"/>
      <c r="H854" s="372"/>
      <c r="I854" s="379"/>
      <c r="J854" s="372"/>
      <c r="K854" s="373"/>
      <c r="L854" s="372"/>
      <c r="M854" s="372"/>
      <c r="N854" s="227"/>
      <c r="O854" s="227"/>
      <c r="P854" s="227"/>
      <c r="Q854" s="227"/>
      <c r="R854" s="227"/>
      <c r="S854" s="340"/>
      <c r="T854" s="226"/>
      <c r="U854" s="53"/>
      <c r="V854" s="53"/>
      <c r="W854" s="53"/>
      <c r="X854" s="53"/>
    </row>
    <row r="855" spans="1:24" ht="15.75" customHeight="1">
      <c r="A855" s="69"/>
      <c r="B855" s="69"/>
      <c r="C855" s="70" t="str">
        <f t="shared" si="15"/>
        <v/>
      </c>
      <c r="D855" s="55"/>
      <c r="E855" s="53"/>
      <c r="F855" s="53"/>
      <c r="G855" s="372"/>
      <c r="H855" s="372"/>
      <c r="I855" s="379"/>
      <c r="J855" s="372"/>
      <c r="K855" s="373"/>
      <c r="L855" s="372"/>
      <c r="M855" s="372"/>
      <c r="N855" s="227"/>
      <c r="O855" s="227"/>
      <c r="P855" s="227"/>
      <c r="Q855" s="227"/>
      <c r="R855" s="227"/>
      <c r="S855" s="340"/>
      <c r="T855" s="226"/>
      <c r="U855" s="53"/>
      <c r="V855" s="53"/>
      <c r="W855" s="53"/>
      <c r="X855" s="53"/>
    </row>
    <row r="856" spans="1:24" ht="15.75" customHeight="1">
      <c r="A856" s="69"/>
      <c r="B856" s="69"/>
      <c r="C856" s="70" t="str">
        <f t="shared" si="15"/>
        <v/>
      </c>
      <c r="D856" s="55"/>
      <c r="E856" s="53"/>
      <c r="F856" s="53"/>
      <c r="G856" s="372"/>
      <c r="H856" s="372"/>
      <c r="I856" s="379"/>
      <c r="J856" s="372"/>
      <c r="K856" s="373"/>
      <c r="L856" s="372"/>
      <c r="M856" s="372"/>
      <c r="N856" s="227"/>
      <c r="O856" s="227"/>
      <c r="P856" s="227"/>
      <c r="Q856" s="227"/>
      <c r="R856" s="227"/>
      <c r="S856" s="340"/>
      <c r="T856" s="226"/>
      <c r="U856" s="53"/>
      <c r="V856" s="53"/>
      <c r="W856" s="53"/>
      <c r="X856" s="53"/>
    </row>
    <row r="857" spans="1:24" ht="15.75" customHeight="1">
      <c r="A857" s="69"/>
      <c r="B857" s="69"/>
      <c r="C857" s="70" t="str">
        <f t="shared" si="15"/>
        <v/>
      </c>
      <c r="D857" s="55"/>
      <c r="E857" s="53"/>
      <c r="F857" s="53"/>
      <c r="G857" s="372"/>
      <c r="H857" s="372"/>
      <c r="I857" s="379"/>
      <c r="J857" s="372"/>
      <c r="K857" s="373"/>
      <c r="L857" s="372"/>
      <c r="M857" s="372"/>
      <c r="N857" s="227"/>
      <c r="O857" s="227"/>
      <c r="P857" s="227"/>
      <c r="Q857" s="227"/>
      <c r="R857" s="227"/>
      <c r="S857" s="340"/>
      <c r="T857" s="226"/>
      <c r="U857" s="53"/>
      <c r="V857" s="53"/>
      <c r="W857" s="53"/>
      <c r="X857" s="53"/>
    </row>
    <row r="858" spans="1:24" ht="15.75" customHeight="1">
      <c r="A858" s="69"/>
      <c r="B858" s="69"/>
      <c r="C858" s="70" t="str">
        <f t="shared" si="15"/>
        <v/>
      </c>
      <c r="D858" s="55"/>
      <c r="E858" s="53"/>
      <c r="F858" s="53"/>
      <c r="G858" s="372"/>
      <c r="H858" s="372"/>
      <c r="I858" s="379"/>
      <c r="J858" s="372"/>
      <c r="K858" s="373"/>
      <c r="L858" s="372"/>
      <c r="M858" s="372"/>
      <c r="N858" s="227"/>
      <c r="O858" s="227"/>
      <c r="P858" s="227"/>
      <c r="Q858" s="227"/>
      <c r="R858" s="227"/>
      <c r="S858" s="340"/>
      <c r="T858" s="226"/>
      <c r="U858" s="53"/>
      <c r="V858" s="53"/>
      <c r="W858" s="53"/>
      <c r="X858" s="53"/>
    </row>
    <row r="859" spans="1:24" ht="15.75" customHeight="1">
      <c r="A859" s="69"/>
      <c r="B859" s="69"/>
      <c r="C859" s="70" t="str">
        <f t="shared" si="15"/>
        <v/>
      </c>
      <c r="D859" s="55"/>
      <c r="E859" s="53"/>
      <c r="F859" s="53"/>
      <c r="G859" s="372"/>
      <c r="H859" s="372"/>
      <c r="I859" s="379"/>
      <c r="J859" s="372"/>
      <c r="K859" s="373"/>
      <c r="L859" s="372"/>
      <c r="M859" s="372"/>
      <c r="N859" s="227"/>
      <c r="O859" s="227"/>
      <c r="P859" s="227"/>
      <c r="Q859" s="227"/>
      <c r="R859" s="227"/>
      <c r="S859" s="340"/>
      <c r="T859" s="226"/>
      <c r="U859" s="53"/>
      <c r="V859" s="53"/>
      <c r="W859" s="53"/>
      <c r="X859" s="53"/>
    </row>
    <row r="860" spans="1:24" ht="15.75" customHeight="1">
      <c r="A860" s="69"/>
      <c r="B860" s="69"/>
      <c r="C860" s="70" t="str">
        <f t="shared" si="15"/>
        <v/>
      </c>
      <c r="D860" s="55"/>
      <c r="E860" s="53"/>
      <c r="F860" s="53"/>
      <c r="G860" s="372"/>
      <c r="H860" s="372"/>
      <c r="I860" s="379"/>
      <c r="J860" s="372"/>
      <c r="K860" s="373"/>
      <c r="L860" s="372"/>
      <c r="M860" s="372"/>
      <c r="N860" s="227"/>
      <c r="O860" s="227"/>
      <c r="P860" s="227"/>
      <c r="Q860" s="227"/>
      <c r="R860" s="227"/>
      <c r="S860" s="340"/>
      <c r="T860" s="226"/>
      <c r="U860" s="53"/>
      <c r="V860" s="53"/>
      <c r="W860" s="53"/>
      <c r="X860" s="53"/>
    </row>
    <row r="861" spans="1:24" ht="15.75" customHeight="1">
      <c r="A861" s="69"/>
      <c r="B861" s="69"/>
      <c r="C861" s="70" t="str">
        <f t="shared" si="15"/>
        <v/>
      </c>
      <c r="D861" s="55"/>
      <c r="E861" s="53"/>
      <c r="F861" s="53"/>
      <c r="G861" s="372"/>
      <c r="H861" s="372"/>
      <c r="I861" s="379"/>
      <c r="J861" s="372"/>
      <c r="K861" s="373"/>
      <c r="L861" s="372"/>
      <c r="M861" s="372"/>
      <c r="N861" s="227"/>
      <c r="O861" s="227"/>
      <c r="P861" s="227"/>
      <c r="Q861" s="227"/>
      <c r="R861" s="227"/>
      <c r="S861" s="340"/>
      <c r="T861" s="226"/>
      <c r="U861" s="53"/>
      <c r="V861" s="53"/>
      <c r="W861" s="53"/>
      <c r="X861" s="53"/>
    </row>
    <row r="862" spans="1:24" ht="15.75" customHeight="1">
      <c r="A862" s="69"/>
      <c r="B862" s="69"/>
      <c r="C862" s="70" t="str">
        <f t="shared" si="15"/>
        <v/>
      </c>
      <c r="D862" s="55"/>
      <c r="E862" s="53"/>
      <c r="F862" s="53"/>
      <c r="G862" s="372"/>
      <c r="H862" s="372"/>
      <c r="I862" s="379"/>
      <c r="J862" s="372"/>
      <c r="K862" s="373"/>
      <c r="L862" s="372"/>
      <c r="M862" s="372"/>
      <c r="N862" s="227"/>
      <c r="O862" s="227"/>
      <c r="P862" s="227"/>
      <c r="Q862" s="227"/>
      <c r="R862" s="227"/>
      <c r="S862" s="340"/>
      <c r="T862" s="226"/>
      <c r="U862" s="53"/>
      <c r="V862" s="53"/>
      <c r="W862" s="53"/>
      <c r="X862" s="53"/>
    </row>
    <row r="863" spans="1:24" ht="15.75" customHeight="1">
      <c r="A863" s="69"/>
      <c r="B863" s="69"/>
      <c r="C863" s="70" t="str">
        <f t="shared" si="15"/>
        <v/>
      </c>
      <c r="D863" s="55"/>
      <c r="E863" s="53"/>
      <c r="F863" s="53"/>
      <c r="G863" s="372"/>
      <c r="H863" s="372"/>
      <c r="I863" s="379"/>
      <c r="J863" s="372"/>
      <c r="K863" s="373"/>
      <c r="L863" s="372"/>
      <c r="M863" s="372"/>
      <c r="N863" s="227"/>
      <c r="O863" s="227"/>
      <c r="P863" s="227"/>
      <c r="Q863" s="227"/>
      <c r="R863" s="227"/>
      <c r="S863" s="340"/>
      <c r="T863" s="226"/>
      <c r="U863" s="53"/>
      <c r="V863" s="53"/>
      <c r="W863" s="53"/>
      <c r="X863" s="53"/>
    </row>
    <row r="864" spans="1:24" ht="15.75" customHeight="1">
      <c r="A864" s="69"/>
      <c r="B864" s="69"/>
      <c r="C864" s="70" t="str">
        <f t="shared" si="15"/>
        <v/>
      </c>
      <c r="D864" s="55"/>
      <c r="E864" s="53"/>
      <c r="F864" s="53"/>
      <c r="G864" s="372"/>
      <c r="H864" s="372"/>
      <c r="I864" s="379"/>
      <c r="J864" s="372"/>
      <c r="K864" s="373"/>
      <c r="L864" s="372"/>
      <c r="M864" s="372"/>
      <c r="N864" s="227"/>
      <c r="O864" s="227"/>
      <c r="P864" s="227"/>
      <c r="Q864" s="227"/>
      <c r="R864" s="227"/>
      <c r="S864" s="340"/>
      <c r="T864" s="226"/>
      <c r="U864" s="53"/>
      <c r="V864" s="53"/>
      <c r="W864" s="53"/>
      <c r="X864" s="53"/>
    </row>
    <row r="865" spans="1:24" ht="15.75" customHeight="1">
      <c r="A865" s="69"/>
      <c r="B865" s="69"/>
      <c r="C865" s="70" t="str">
        <f t="shared" si="15"/>
        <v/>
      </c>
      <c r="D865" s="55"/>
      <c r="E865" s="53"/>
      <c r="F865" s="53"/>
      <c r="G865" s="372"/>
      <c r="H865" s="372"/>
      <c r="I865" s="379"/>
      <c r="J865" s="372"/>
      <c r="K865" s="373"/>
      <c r="L865" s="372"/>
      <c r="M865" s="372"/>
      <c r="N865" s="227"/>
      <c r="O865" s="227"/>
      <c r="P865" s="227"/>
      <c r="Q865" s="227"/>
      <c r="R865" s="227"/>
      <c r="S865" s="340"/>
      <c r="T865" s="226"/>
      <c r="U865" s="53"/>
      <c r="V865" s="53"/>
      <c r="W865" s="53"/>
      <c r="X865" s="53"/>
    </row>
    <row r="866" spans="1:24" ht="15.75" customHeight="1">
      <c r="A866" s="69"/>
      <c r="B866" s="69"/>
      <c r="C866" s="70" t="str">
        <f t="shared" si="15"/>
        <v/>
      </c>
      <c r="D866" s="55"/>
      <c r="E866" s="53"/>
      <c r="F866" s="53"/>
      <c r="G866" s="372"/>
      <c r="H866" s="372"/>
      <c r="I866" s="379"/>
      <c r="J866" s="372"/>
      <c r="K866" s="373"/>
      <c r="L866" s="372"/>
      <c r="M866" s="372"/>
      <c r="N866" s="227"/>
      <c r="O866" s="227"/>
      <c r="P866" s="227"/>
      <c r="Q866" s="227"/>
      <c r="R866" s="227"/>
      <c r="S866" s="340"/>
      <c r="T866" s="226"/>
      <c r="U866" s="53"/>
      <c r="V866" s="53"/>
      <c r="W866" s="53"/>
      <c r="X866" s="53"/>
    </row>
    <row r="867" spans="1:24" ht="15.75" customHeight="1">
      <c r="A867" s="69"/>
      <c r="B867" s="69"/>
      <c r="C867" s="70" t="str">
        <f t="shared" si="15"/>
        <v/>
      </c>
      <c r="D867" s="55"/>
      <c r="E867" s="53"/>
      <c r="F867" s="53"/>
      <c r="G867" s="372"/>
      <c r="H867" s="372"/>
      <c r="I867" s="379"/>
      <c r="J867" s="372"/>
      <c r="K867" s="373"/>
      <c r="L867" s="372"/>
      <c r="M867" s="372"/>
      <c r="N867" s="227"/>
      <c r="O867" s="227"/>
      <c r="P867" s="227"/>
      <c r="Q867" s="227"/>
      <c r="R867" s="227"/>
      <c r="S867" s="340"/>
      <c r="T867" s="226"/>
      <c r="U867" s="53"/>
      <c r="V867" s="53"/>
      <c r="W867" s="53"/>
      <c r="X867" s="53"/>
    </row>
    <row r="868" spans="1:24" ht="15.75" customHeight="1">
      <c r="A868" s="69"/>
      <c r="B868" s="69"/>
      <c r="C868" s="70" t="str">
        <f t="shared" si="15"/>
        <v/>
      </c>
      <c r="D868" s="55"/>
      <c r="E868" s="53"/>
      <c r="F868" s="53"/>
      <c r="G868" s="372"/>
      <c r="H868" s="372"/>
      <c r="I868" s="379"/>
      <c r="J868" s="372"/>
      <c r="K868" s="373"/>
      <c r="L868" s="372"/>
      <c r="M868" s="372"/>
      <c r="N868" s="227"/>
      <c r="O868" s="227"/>
      <c r="P868" s="227"/>
      <c r="Q868" s="227"/>
      <c r="R868" s="227"/>
      <c r="S868" s="340"/>
      <c r="T868" s="226"/>
      <c r="U868" s="53"/>
      <c r="V868" s="53"/>
      <c r="W868" s="53"/>
      <c r="X868" s="53"/>
    </row>
    <row r="869" spans="1:24" ht="15.75" customHeight="1">
      <c r="A869" s="69"/>
      <c r="B869" s="69"/>
      <c r="C869" s="70" t="str">
        <f t="shared" si="15"/>
        <v/>
      </c>
      <c r="D869" s="55"/>
      <c r="E869" s="53"/>
      <c r="F869" s="53"/>
      <c r="G869" s="372"/>
      <c r="H869" s="372"/>
      <c r="I869" s="379"/>
      <c r="J869" s="372"/>
      <c r="K869" s="373"/>
      <c r="L869" s="372"/>
      <c r="M869" s="372"/>
      <c r="N869" s="227"/>
      <c r="O869" s="227"/>
      <c r="P869" s="227"/>
      <c r="Q869" s="227"/>
      <c r="R869" s="227"/>
      <c r="S869" s="340"/>
      <c r="T869" s="226"/>
      <c r="U869" s="53"/>
      <c r="V869" s="53"/>
      <c r="W869" s="53"/>
      <c r="X869" s="53"/>
    </row>
    <row r="870" spans="1:24" ht="15.75" customHeight="1">
      <c r="A870" s="69"/>
      <c r="B870" s="69"/>
      <c r="C870" s="70" t="str">
        <f t="shared" si="15"/>
        <v/>
      </c>
      <c r="D870" s="55"/>
      <c r="E870" s="53"/>
      <c r="F870" s="53"/>
      <c r="G870" s="372"/>
      <c r="H870" s="372"/>
      <c r="I870" s="379"/>
      <c r="J870" s="372"/>
      <c r="K870" s="373"/>
      <c r="L870" s="372"/>
      <c r="M870" s="372"/>
      <c r="N870" s="227"/>
      <c r="O870" s="227"/>
      <c r="P870" s="227"/>
      <c r="Q870" s="227"/>
      <c r="R870" s="227"/>
      <c r="S870" s="340"/>
      <c r="T870" s="226"/>
      <c r="U870" s="53"/>
      <c r="V870" s="53"/>
      <c r="W870" s="53"/>
      <c r="X870" s="53"/>
    </row>
    <row r="871" spans="1:24" ht="15.75" customHeight="1">
      <c r="A871" s="69"/>
      <c r="B871" s="69"/>
      <c r="C871" s="70" t="str">
        <f t="shared" si="15"/>
        <v/>
      </c>
      <c r="D871" s="55"/>
      <c r="E871" s="53"/>
      <c r="F871" s="53"/>
      <c r="G871" s="372"/>
      <c r="H871" s="372"/>
      <c r="I871" s="379"/>
      <c r="J871" s="372"/>
      <c r="K871" s="373"/>
      <c r="L871" s="372"/>
      <c r="M871" s="372"/>
      <c r="N871" s="227"/>
      <c r="O871" s="227"/>
      <c r="P871" s="227"/>
      <c r="Q871" s="227"/>
      <c r="R871" s="227"/>
      <c r="S871" s="340"/>
      <c r="T871" s="226"/>
      <c r="U871" s="53"/>
      <c r="V871" s="53"/>
      <c r="W871" s="53"/>
      <c r="X871" s="53"/>
    </row>
    <row r="872" spans="1:24" ht="15.75" customHeight="1">
      <c r="A872" s="69"/>
      <c r="B872" s="69"/>
      <c r="C872" s="70" t="str">
        <f t="shared" si="15"/>
        <v/>
      </c>
      <c r="D872" s="55"/>
      <c r="E872" s="53"/>
      <c r="F872" s="53"/>
      <c r="G872" s="372"/>
      <c r="H872" s="372"/>
      <c r="I872" s="379"/>
      <c r="J872" s="372"/>
      <c r="K872" s="373"/>
      <c r="L872" s="372"/>
      <c r="M872" s="372"/>
      <c r="N872" s="227"/>
      <c r="O872" s="227"/>
      <c r="P872" s="227"/>
      <c r="Q872" s="227"/>
      <c r="R872" s="227"/>
      <c r="S872" s="340"/>
      <c r="T872" s="226"/>
      <c r="U872" s="53"/>
      <c r="V872" s="53"/>
      <c r="W872" s="53"/>
      <c r="X872" s="53"/>
    </row>
    <row r="873" spans="1:24" ht="15.75" customHeight="1">
      <c r="A873" s="69"/>
      <c r="B873" s="69"/>
      <c r="C873" s="70" t="str">
        <f t="shared" si="15"/>
        <v/>
      </c>
      <c r="D873" s="55"/>
      <c r="E873" s="53"/>
      <c r="F873" s="53"/>
      <c r="G873" s="372"/>
      <c r="H873" s="372"/>
      <c r="I873" s="379"/>
      <c r="J873" s="372"/>
      <c r="K873" s="373"/>
      <c r="L873" s="372"/>
      <c r="M873" s="372"/>
      <c r="N873" s="227"/>
      <c r="O873" s="227"/>
      <c r="P873" s="227"/>
      <c r="Q873" s="227"/>
      <c r="R873" s="227"/>
      <c r="S873" s="340"/>
      <c r="T873" s="226"/>
      <c r="U873" s="53"/>
      <c r="V873" s="53"/>
      <c r="W873" s="53"/>
      <c r="X873" s="53"/>
    </row>
    <row r="874" spans="1:24" ht="15.75" customHeight="1">
      <c r="A874" s="69"/>
      <c r="B874" s="69"/>
      <c r="C874" s="70" t="str">
        <f t="shared" si="15"/>
        <v/>
      </c>
      <c r="D874" s="55"/>
      <c r="E874" s="53"/>
      <c r="F874" s="53"/>
      <c r="G874" s="372"/>
      <c r="H874" s="372"/>
      <c r="I874" s="379"/>
      <c r="J874" s="372"/>
      <c r="K874" s="373"/>
      <c r="L874" s="372"/>
      <c r="M874" s="372"/>
      <c r="N874" s="227"/>
      <c r="O874" s="227"/>
      <c r="P874" s="227"/>
      <c r="Q874" s="227"/>
      <c r="R874" s="227"/>
      <c r="S874" s="340"/>
      <c r="T874" s="226"/>
      <c r="U874" s="53"/>
      <c r="V874" s="53"/>
      <c r="W874" s="53"/>
      <c r="X874" s="53"/>
    </row>
    <row r="875" spans="1:24" ht="15.75" customHeight="1">
      <c r="A875" s="69"/>
      <c r="B875" s="69"/>
      <c r="C875" s="70" t="str">
        <f t="shared" si="15"/>
        <v/>
      </c>
      <c r="D875" s="55"/>
      <c r="E875" s="53"/>
      <c r="F875" s="53"/>
      <c r="G875" s="372"/>
      <c r="H875" s="372"/>
      <c r="I875" s="379"/>
      <c r="J875" s="372"/>
      <c r="K875" s="373"/>
      <c r="L875" s="372"/>
      <c r="M875" s="372"/>
      <c r="N875" s="227"/>
      <c r="O875" s="227"/>
      <c r="P875" s="227"/>
      <c r="Q875" s="227"/>
      <c r="R875" s="227"/>
      <c r="S875" s="340"/>
      <c r="T875" s="226"/>
      <c r="U875" s="53"/>
      <c r="V875" s="53"/>
      <c r="W875" s="53"/>
      <c r="X875" s="53"/>
    </row>
    <row r="876" spans="1:24" ht="15.75" customHeight="1">
      <c r="A876" s="69"/>
      <c r="B876" s="69"/>
      <c r="C876" s="70" t="str">
        <f t="shared" si="15"/>
        <v/>
      </c>
      <c r="D876" s="55"/>
      <c r="E876" s="53"/>
      <c r="F876" s="53"/>
      <c r="G876" s="372"/>
      <c r="H876" s="372"/>
      <c r="I876" s="379"/>
      <c r="J876" s="372"/>
      <c r="K876" s="373"/>
      <c r="L876" s="372"/>
      <c r="M876" s="372"/>
      <c r="N876" s="227"/>
      <c r="O876" s="227"/>
      <c r="P876" s="227"/>
      <c r="Q876" s="227"/>
      <c r="R876" s="227"/>
      <c r="S876" s="340"/>
      <c r="T876" s="226"/>
      <c r="U876" s="53"/>
      <c r="V876" s="53"/>
      <c r="W876" s="53"/>
      <c r="X876" s="53"/>
    </row>
    <row r="877" spans="1:24" ht="15.75" customHeight="1">
      <c r="A877" s="69"/>
      <c r="B877" s="69"/>
      <c r="C877" s="70" t="str">
        <f t="shared" si="15"/>
        <v/>
      </c>
      <c r="D877" s="55"/>
      <c r="E877" s="53"/>
      <c r="F877" s="53"/>
      <c r="G877" s="372"/>
      <c r="H877" s="372"/>
      <c r="I877" s="379"/>
      <c r="J877" s="372"/>
      <c r="K877" s="373"/>
      <c r="L877" s="372"/>
      <c r="M877" s="372"/>
      <c r="N877" s="227"/>
      <c r="O877" s="227"/>
      <c r="P877" s="227"/>
      <c r="Q877" s="227"/>
      <c r="R877" s="227"/>
      <c r="S877" s="340"/>
      <c r="T877" s="226"/>
      <c r="U877" s="53"/>
      <c r="V877" s="53"/>
      <c r="W877" s="53"/>
      <c r="X877" s="53"/>
    </row>
    <row r="878" spans="1:24" ht="15.75" customHeight="1">
      <c r="A878" s="69"/>
      <c r="B878" s="69"/>
      <c r="C878" s="70" t="str">
        <f t="shared" si="15"/>
        <v/>
      </c>
      <c r="D878" s="55"/>
      <c r="E878" s="53"/>
      <c r="F878" s="53"/>
      <c r="G878" s="372"/>
      <c r="H878" s="372"/>
      <c r="I878" s="379"/>
      <c r="J878" s="372"/>
      <c r="K878" s="373"/>
      <c r="L878" s="372"/>
      <c r="M878" s="372"/>
      <c r="N878" s="227"/>
      <c r="O878" s="227"/>
      <c r="P878" s="227"/>
      <c r="Q878" s="227"/>
      <c r="R878" s="227"/>
      <c r="S878" s="340"/>
      <c r="T878" s="226"/>
      <c r="U878" s="53"/>
      <c r="V878" s="53"/>
      <c r="W878" s="53"/>
      <c r="X878" s="53"/>
    </row>
    <row r="879" spans="1:24" ht="15.75" customHeight="1">
      <c r="A879" s="69"/>
      <c r="B879" s="69"/>
      <c r="C879" s="70" t="str">
        <f t="shared" si="15"/>
        <v/>
      </c>
      <c r="D879" s="55"/>
      <c r="E879" s="53"/>
      <c r="F879" s="53"/>
      <c r="G879" s="372"/>
      <c r="H879" s="372"/>
      <c r="I879" s="379"/>
      <c r="J879" s="372"/>
      <c r="K879" s="373"/>
      <c r="L879" s="372"/>
      <c r="M879" s="372"/>
      <c r="N879" s="227"/>
      <c r="O879" s="227"/>
      <c r="P879" s="227"/>
      <c r="Q879" s="227"/>
      <c r="R879" s="227"/>
      <c r="S879" s="340"/>
      <c r="T879" s="226"/>
      <c r="U879" s="53"/>
      <c r="V879" s="53"/>
      <c r="W879" s="53"/>
      <c r="X879" s="53"/>
    </row>
    <row r="880" spans="1:24" ht="15.75" customHeight="1">
      <c r="A880" s="69"/>
      <c r="B880" s="69"/>
      <c r="C880" s="70" t="str">
        <f t="shared" si="15"/>
        <v/>
      </c>
      <c r="D880" s="55"/>
      <c r="E880" s="53"/>
      <c r="F880" s="53"/>
      <c r="G880" s="372"/>
      <c r="H880" s="372"/>
      <c r="I880" s="379"/>
      <c r="J880" s="372"/>
      <c r="K880" s="373"/>
      <c r="L880" s="372"/>
      <c r="M880" s="372"/>
      <c r="N880" s="227"/>
      <c r="O880" s="227"/>
      <c r="P880" s="227"/>
      <c r="Q880" s="227"/>
      <c r="R880" s="227"/>
      <c r="S880" s="340"/>
      <c r="T880" s="226"/>
      <c r="U880" s="53"/>
      <c r="V880" s="53"/>
      <c r="W880" s="53"/>
      <c r="X880" s="53"/>
    </row>
    <row r="881" spans="1:24" ht="15.75" customHeight="1">
      <c r="A881" s="69"/>
      <c r="B881" s="69"/>
      <c r="C881" s="70" t="str">
        <f t="shared" si="15"/>
        <v/>
      </c>
      <c r="D881" s="55"/>
      <c r="E881" s="53"/>
      <c r="F881" s="53"/>
      <c r="G881" s="372"/>
      <c r="H881" s="372"/>
      <c r="I881" s="379"/>
      <c r="J881" s="372"/>
      <c r="K881" s="373"/>
      <c r="L881" s="372"/>
      <c r="M881" s="372"/>
      <c r="N881" s="227"/>
      <c r="O881" s="227"/>
      <c r="P881" s="227"/>
      <c r="Q881" s="227"/>
      <c r="R881" s="227"/>
      <c r="S881" s="340"/>
      <c r="T881" s="226"/>
      <c r="U881" s="53"/>
      <c r="V881" s="53"/>
      <c r="W881" s="53"/>
      <c r="X881" s="53"/>
    </row>
    <row r="882" spans="1:24" ht="15.75" customHeight="1">
      <c r="A882" s="69"/>
      <c r="B882" s="69"/>
      <c r="C882" s="70" t="str">
        <f t="shared" si="15"/>
        <v/>
      </c>
      <c r="D882" s="55"/>
      <c r="E882" s="53"/>
      <c r="F882" s="53"/>
      <c r="G882" s="372"/>
      <c r="H882" s="372"/>
      <c r="I882" s="379"/>
      <c r="J882" s="372"/>
      <c r="K882" s="373"/>
      <c r="L882" s="372"/>
      <c r="M882" s="372"/>
      <c r="N882" s="227"/>
      <c r="O882" s="227"/>
      <c r="P882" s="227"/>
      <c r="Q882" s="227"/>
      <c r="R882" s="227"/>
      <c r="S882" s="340"/>
      <c r="T882" s="226"/>
      <c r="U882" s="53"/>
      <c r="V882" s="53"/>
      <c r="W882" s="53"/>
      <c r="X882" s="53"/>
    </row>
    <row r="883" spans="1:24" ht="15.75" customHeight="1">
      <c r="A883" s="69"/>
      <c r="B883" s="69"/>
      <c r="C883" s="70" t="str">
        <f t="shared" si="15"/>
        <v/>
      </c>
      <c r="D883" s="55"/>
      <c r="E883" s="53"/>
      <c r="F883" s="53"/>
      <c r="G883" s="372"/>
      <c r="H883" s="372"/>
      <c r="I883" s="379"/>
      <c r="J883" s="372"/>
      <c r="K883" s="373"/>
      <c r="L883" s="372"/>
      <c r="M883" s="372"/>
      <c r="N883" s="227"/>
      <c r="O883" s="227"/>
      <c r="P883" s="227"/>
      <c r="Q883" s="227"/>
      <c r="R883" s="227"/>
      <c r="S883" s="340"/>
      <c r="T883" s="226"/>
      <c r="U883" s="53"/>
      <c r="V883" s="53"/>
      <c r="W883" s="53"/>
      <c r="X883" s="53"/>
    </row>
    <row r="884" spans="1:24" ht="15.75" customHeight="1">
      <c r="A884" s="69"/>
      <c r="B884" s="69"/>
      <c r="C884" s="70" t="str">
        <f t="shared" si="15"/>
        <v/>
      </c>
      <c r="D884" s="55"/>
      <c r="E884" s="53"/>
      <c r="F884" s="53"/>
      <c r="G884" s="372"/>
      <c r="H884" s="372"/>
      <c r="I884" s="379"/>
      <c r="J884" s="372"/>
      <c r="K884" s="373"/>
      <c r="L884" s="372"/>
      <c r="M884" s="372"/>
      <c r="N884" s="227"/>
      <c r="O884" s="227"/>
      <c r="P884" s="227"/>
      <c r="Q884" s="227"/>
      <c r="R884" s="227"/>
      <c r="S884" s="340"/>
      <c r="T884" s="226"/>
      <c r="U884" s="53"/>
      <c r="V884" s="53"/>
      <c r="W884" s="53"/>
      <c r="X884" s="53"/>
    </row>
    <row r="885" spans="1:24" ht="15.75" customHeight="1">
      <c r="A885" s="69"/>
      <c r="B885" s="69"/>
      <c r="C885" s="70" t="str">
        <f t="shared" si="15"/>
        <v/>
      </c>
      <c r="D885" s="55"/>
      <c r="E885" s="53"/>
      <c r="F885" s="53"/>
      <c r="G885" s="372"/>
      <c r="H885" s="372"/>
      <c r="I885" s="379"/>
      <c r="J885" s="372"/>
      <c r="K885" s="373"/>
      <c r="L885" s="372"/>
      <c r="M885" s="372"/>
      <c r="N885" s="227"/>
      <c r="O885" s="227"/>
      <c r="P885" s="227"/>
      <c r="Q885" s="227"/>
      <c r="R885" s="227"/>
      <c r="S885" s="340"/>
      <c r="T885" s="226"/>
      <c r="U885" s="53"/>
      <c r="V885" s="53"/>
      <c r="W885" s="53"/>
      <c r="X885" s="53"/>
    </row>
    <row r="886" spans="1:24" ht="15.75" customHeight="1">
      <c r="A886" s="69"/>
      <c r="B886" s="69"/>
      <c r="C886" s="70" t="str">
        <f t="shared" si="15"/>
        <v/>
      </c>
      <c r="D886" s="55"/>
      <c r="E886" s="53"/>
      <c r="F886" s="53"/>
      <c r="G886" s="372"/>
      <c r="H886" s="372"/>
      <c r="I886" s="379"/>
      <c r="J886" s="372"/>
      <c r="K886" s="373"/>
      <c r="L886" s="372"/>
      <c r="M886" s="372"/>
      <c r="N886" s="227"/>
      <c r="O886" s="227"/>
      <c r="P886" s="227"/>
      <c r="Q886" s="227"/>
      <c r="R886" s="227"/>
      <c r="S886" s="340"/>
      <c r="T886" s="226"/>
      <c r="U886" s="53"/>
      <c r="V886" s="53"/>
      <c r="W886" s="53"/>
      <c r="X886" s="53"/>
    </row>
    <row r="887" spans="1:24" ht="15.75" customHeight="1">
      <c r="A887" s="69"/>
      <c r="B887" s="69"/>
      <c r="C887" s="70" t="str">
        <f t="shared" si="15"/>
        <v/>
      </c>
      <c r="D887" s="55"/>
      <c r="E887" s="53"/>
      <c r="F887" s="53"/>
      <c r="G887" s="372"/>
      <c r="H887" s="372"/>
      <c r="I887" s="379"/>
      <c r="J887" s="372"/>
      <c r="K887" s="373"/>
      <c r="L887" s="372"/>
      <c r="M887" s="372"/>
      <c r="N887" s="227"/>
      <c r="O887" s="227"/>
      <c r="P887" s="227"/>
      <c r="Q887" s="227"/>
      <c r="R887" s="227"/>
      <c r="S887" s="340"/>
      <c r="T887" s="226"/>
      <c r="U887" s="53"/>
      <c r="V887" s="53"/>
      <c r="W887" s="53"/>
      <c r="X887" s="53"/>
    </row>
    <row r="888" spans="1:24" ht="15.75" customHeight="1">
      <c r="A888" s="69"/>
      <c r="B888" s="69"/>
      <c r="C888" s="70" t="str">
        <f t="shared" si="15"/>
        <v/>
      </c>
      <c r="D888" s="55"/>
      <c r="E888" s="53"/>
      <c r="F888" s="53"/>
      <c r="G888" s="372"/>
      <c r="H888" s="372"/>
      <c r="I888" s="379"/>
      <c r="J888" s="372"/>
      <c r="K888" s="373"/>
      <c r="L888" s="372"/>
      <c r="M888" s="372"/>
      <c r="N888" s="227"/>
      <c r="O888" s="227"/>
      <c r="P888" s="227"/>
      <c r="Q888" s="227"/>
      <c r="R888" s="227"/>
      <c r="S888" s="340"/>
      <c r="T888" s="226"/>
      <c r="U888" s="53"/>
      <c r="V888" s="53"/>
      <c r="W888" s="53"/>
      <c r="X888" s="53"/>
    </row>
    <row r="889" spans="1:24" ht="15.75" customHeight="1">
      <c r="A889" s="69"/>
      <c r="B889" s="69"/>
      <c r="C889" s="70" t="str">
        <f t="shared" si="15"/>
        <v/>
      </c>
      <c r="D889" s="55"/>
      <c r="E889" s="53"/>
      <c r="F889" s="53"/>
      <c r="G889" s="372"/>
      <c r="H889" s="372"/>
      <c r="I889" s="379"/>
      <c r="J889" s="372"/>
      <c r="K889" s="373"/>
      <c r="L889" s="372"/>
      <c r="M889" s="372"/>
      <c r="N889" s="227"/>
      <c r="O889" s="227"/>
      <c r="P889" s="227"/>
      <c r="Q889" s="227"/>
      <c r="R889" s="227"/>
      <c r="S889" s="340"/>
      <c r="T889" s="226"/>
      <c r="U889" s="53"/>
      <c r="V889" s="53"/>
      <c r="W889" s="53"/>
      <c r="X889" s="53"/>
    </row>
    <row r="890" spans="1:24" ht="15.75" customHeight="1">
      <c r="A890" s="69"/>
      <c r="B890" s="69"/>
      <c r="C890" s="70" t="str">
        <f t="shared" si="15"/>
        <v/>
      </c>
      <c r="D890" s="55"/>
      <c r="E890" s="53"/>
      <c r="F890" s="53"/>
      <c r="G890" s="372"/>
      <c r="H890" s="372"/>
      <c r="I890" s="379"/>
      <c r="J890" s="372"/>
      <c r="K890" s="373"/>
      <c r="L890" s="372"/>
      <c r="M890" s="372"/>
      <c r="N890" s="227"/>
      <c r="O890" s="227"/>
      <c r="P890" s="227"/>
      <c r="Q890" s="227"/>
      <c r="R890" s="227"/>
      <c r="S890" s="340"/>
      <c r="T890" s="226"/>
      <c r="U890" s="53"/>
      <c r="V890" s="53"/>
      <c r="W890" s="53"/>
      <c r="X890" s="53"/>
    </row>
    <row r="891" spans="1:24" ht="15.75" customHeight="1">
      <c r="A891" s="69"/>
      <c r="B891" s="69"/>
      <c r="C891" s="70" t="str">
        <f t="shared" si="15"/>
        <v/>
      </c>
      <c r="D891" s="55"/>
      <c r="E891" s="53"/>
      <c r="F891" s="53"/>
      <c r="G891" s="372"/>
      <c r="H891" s="372"/>
      <c r="I891" s="379"/>
      <c r="J891" s="372"/>
      <c r="K891" s="373"/>
      <c r="L891" s="372"/>
      <c r="M891" s="372"/>
      <c r="N891" s="227"/>
      <c r="O891" s="227"/>
      <c r="P891" s="227"/>
      <c r="Q891" s="227"/>
      <c r="R891" s="227"/>
      <c r="S891" s="340"/>
      <c r="T891" s="226"/>
      <c r="U891" s="53"/>
      <c r="V891" s="53"/>
      <c r="W891" s="53"/>
      <c r="X891" s="53"/>
    </row>
    <row r="892" spans="1:24" ht="15.75" customHeight="1">
      <c r="A892" s="69"/>
      <c r="B892" s="69"/>
      <c r="C892" s="70" t="str">
        <f t="shared" si="15"/>
        <v/>
      </c>
      <c r="D892" s="55"/>
      <c r="E892" s="53"/>
      <c r="F892" s="53"/>
      <c r="G892" s="372"/>
      <c r="H892" s="372"/>
      <c r="I892" s="379"/>
      <c r="J892" s="372"/>
      <c r="K892" s="373"/>
      <c r="L892" s="372"/>
      <c r="M892" s="372"/>
      <c r="N892" s="227"/>
      <c r="O892" s="227"/>
      <c r="P892" s="227"/>
      <c r="Q892" s="227"/>
      <c r="R892" s="227"/>
      <c r="S892" s="340"/>
      <c r="T892" s="226"/>
      <c r="U892" s="53"/>
      <c r="V892" s="53"/>
      <c r="W892" s="53"/>
      <c r="X892" s="53"/>
    </row>
    <row r="893" spans="1:24" ht="15.75" customHeight="1">
      <c r="A893" s="69"/>
      <c r="B893" s="69"/>
      <c r="C893" s="70" t="str">
        <f t="shared" si="15"/>
        <v/>
      </c>
      <c r="D893" s="55"/>
      <c r="E893" s="53"/>
      <c r="F893" s="53"/>
      <c r="G893" s="372"/>
      <c r="H893" s="372"/>
      <c r="I893" s="379"/>
      <c r="J893" s="372"/>
      <c r="K893" s="373"/>
      <c r="L893" s="372"/>
      <c r="M893" s="372"/>
      <c r="N893" s="227"/>
      <c r="O893" s="227"/>
      <c r="P893" s="227"/>
      <c r="Q893" s="227"/>
      <c r="R893" s="227"/>
      <c r="S893" s="340"/>
      <c r="T893" s="226"/>
      <c r="U893" s="53"/>
      <c r="V893" s="53"/>
      <c r="W893" s="53"/>
      <c r="X893" s="53"/>
    </row>
    <row r="894" spans="1:24" ht="15.75" customHeight="1">
      <c r="A894" s="69"/>
      <c r="B894" s="69"/>
      <c r="C894" s="70" t="str">
        <f t="shared" si="15"/>
        <v/>
      </c>
      <c r="D894" s="55"/>
      <c r="E894" s="53"/>
      <c r="F894" s="53"/>
      <c r="G894" s="372"/>
      <c r="H894" s="372"/>
      <c r="I894" s="379"/>
      <c r="J894" s="372"/>
      <c r="K894" s="373"/>
      <c r="L894" s="372"/>
      <c r="M894" s="372"/>
      <c r="N894" s="227"/>
      <c r="O894" s="227"/>
      <c r="P894" s="227"/>
      <c r="Q894" s="227"/>
      <c r="R894" s="227"/>
      <c r="S894" s="340"/>
      <c r="T894" s="226"/>
      <c r="U894" s="53"/>
      <c r="V894" s="53"/>
      <c r="W894" s="53"/>
      <c r="X894" s="53"/>
    </row>
    <row r="895" spans="1:24" ht="15.75" customHeight="1">
      <c r="A895" s="69"/>
      <c r="B895" s="69"/>
      <c r="C895" s="70" t="str">
        <f t="shared" si="15"/>
        <v/>
      </c>
      <c r="D895" s="55"/>
      <c r="E895" s="53"/>
      <c r="F895" s="53"/>
      <c r="G895" s="372"/>
      <c r="H895" s="372"/>
      <c r="I895" s="379"/>
      <c r="J895" s="372"/>
      <c r="K895" s="373"/>
      <c r="L895" s="372"/>
      <c r="M895" s="372"/>
      <c r="N895" s="227"/>
      <c r="O895" s="227"/>
      <c r="P895" s="227"/>
      <c r="Q895" s="227"/>
      <c r="R895" s="227"/>
      <c r="S895" s="340"/>
      <c r="T895" s="226"/>
      <c r="U895" s="53"/>
      <c r="V895" s="53"/>
      <c r="W895" s="53"/>
      <c r="X895" s="53"/>
    </row>
    <row r="896" spans="1:24" ht="15.75" customHeight="1">
      <c r="A896" s="69"/>
      <c r="B896" s="69"/>
      <c r="C896" s="70" t="str">
        <f t="shared" si="15"/>
        <v/>
      </c>
      <c r="D896" s="55"/>
      <c r="E896" s="53"/>
      <c r="F896" s="53"/>
      <c r="G896" s="372"/>
      <c r="H896" s="372"/>
      <c r="I896" s="379"/>
      <c r="J896" s="372"/>
      <c r="K896" s="373"/>
      <c r="L896" s="372"/>
      <c r="M896" s="372"/>
      <c r="N896" s="227"/>
      <c r="O896" s="227"/>
      <c r="P896" s="227"/>
      <c r="Q896" s="227"/>
      <c r="R896" s="227"/>
      <c r="S896" s="340"/>
      <c r="T896" s="226"/>
      <c r="U896" s="53"/>
      <c r="V896" s="53"/>
      <c r="W896" s="53"/>
      <c r="X896" s="53"/>
    </row>
    <row r="897" spans="1:24" ht="15.75" customHeight="1">
      <c r="A897" s="69"/>
      <c r="B897" s="69"/>
      <c r="C897" s="70" t="str">
        <f t="shared" si="15"/>
        <v/>
      </c>
      <c r="D897" s="55"/>
      <c r="E897" s="53"/>
      <c r="F897" s="53"/>
      <c r="G897" s="372"/>
      <c r="H897" s="372"/>
      <c r="I897" s="379"/>
      <c r="J897" s="372"/>
      <c r="K897" s="373"/>
      <c r="L897" s="372"/>
      <c r="M897" s="372"/>
      <c r="N897" s="227"/>
      <c r="O897" s="227"/>
      <c r="P897" s="227"/>
      <c r="Q897" s="227"/>
      <c r="R897" s="227"/>
      <c r="S897" s="340"/>
      <c r="T897" s="226"/>
      <c r="U897" s="53"/>
      <c r="V897" s="53"/>
      <c r="W897" s="53"/>
      <c r="X897" s="53"/>
    </row>
    <row r="898" spans="1:24" ht="15.75" customHeight="1">
      <c r="A898" s="69"/>
      <c r="B898" s="69"/>
      <c r="C898" s="70" t="str">
        <f t="shared" si="15"/>
        <v/>
      </c>
      <c r="D898" s="55"/>
      <c r="E898" s="53"/>
      <c r="F898" s="53"/>
      <c r="G898" s="372"/>
      <c r="H898" s="372"/>
      <c r="I898" s="379"/>
      <c r="J898" s="372"/>
      <c r="K898" s="373"/>
      <c r="L898" s="372"/>
      <c r="M898" s="372"/>
      <c r="N898" s="227"/>
      <c r="O898" s="227"/>
      <c r="P898" s="227"/>
      <c r="Q898" s="227"/>
      <c r="R898" s="227"/>
      <c r="S898" s="340"/>
      <c r="T898" s="226"/>
      <c r="U898" s="53"/>
      <c r="V898" s="53"/>
      <c r="W898" s="53"/>
      <c r="X898" s="53"/>
    </row>
    <row r="899" spans="1:24" ht="15.75" customHeight="1">
      <c r="A899" s="69"/>
      <c r="B899" s="69"/>
      <c r="C899" s="70" t="str">
        <f t="shared" si="15"/>
        <v/>
      </c>
      <c r="D899" s="55"/>
      <c r="E899" s="53"/>
      <c r="F899" s="53"/>
      <c r="G899" s="372"/>
      <c r="H899" s="372"/>
      <c r="I899" s="379"/>
      <c r="J899" s="372"/>
      <c r="K899" s="373"/>
      <c r="L899" s="372"/>
      <c r="M899" s="372"/>
      <c r="N899" s="227"/>
      <c r="O899" s="227"/>
      <c r="P899" s="227"/>
      <c r="Q899" s="227"/>
      <c r="R899" s="227"/>
      <c r="S899" s="340"/>
      <c r="T899" s="226"/>
      <c r="U899" s="53"/>
      <c r="V899" s="53"/>
      <c r="W899" s="53"/>
      <c r="X899" s="53"/>
    </row>
    <row r="900" spans="1:24" ht="15.75" customHeight="1">
      <c r="A900" s="69"/>
      <c r="B900" s="69"/>
      <c r="C900" s="70" t="str">
        <f t="shared" si="15"/>
        <v/>
      </c>
      <c r="D900" s="55"/>
      <c r="E900" s="53"/>
      <c r="F900" s="53"/>
      <c r="G900" s="372"/>
      <c r="H900" s="372"/>
      <c r="I900" s="379"/>
      <c r="J900" s="372"/>
      <c r="K900" s="373"/>
      <c r="L900" s="372"/>
      <c r="M900" s="372"/>
      <c r="N900" s="227"/>
      <c r="O900" s="227"/>
      <c r="P900" s="227"/>
      <c r="Q900" s="227"/>
      <c r="R900" s="227"/>
      <c r="S900" s="340"/>
      <c r="T900" s="226"/>
      <c r="U900" s="53"/>
      <c r="V900" s="53"/>
      <c r="W900" s="53"/>
      <c r="X900" s="53"/>
    </row>
    <row r="901" spans="1:24" ht="15.75" customHeight="1">
      <c r="A901" s="69"/>
      <c r="B901" s="69"/>
      <c r="C901" s="70" t="str">
        <f t="shared" si="15"/>
        <v/>
      </c>
      <c r="D901" s="55"/>
      <c r="E901" s="53"/>
      <c r="F901" s="53"/>
      <c r="G901" s="372"/>
      <c r="H901" s="372"/>
      <c r="I901" s="379"/>
      <c r="J901" s="372"/>
      <c r="K901" s="373"/>
      <c r="L901" s="372"/>
      <c r="M901" s="372"/>
      <c r="N901" s="227"/>
      <c r="O901" s="227"/>
      <c r="P901" s="227"/>
      <c r="Q901" s="227"/>
      <c r="R901" s="227"/>
      <c r="S901" s="340"/>
      <c r="T901" s="226"/>
      <c r="U901" s="53"/>
      <c r="V901" s="53"/>
      <c r="W901" s="53"/>
      <c r="X901" s="53"/>
    </row>
    <row r="902" spans="1:24" ht="15.75" customHeight="1">
      <c r="A902" s="69"/>
      <c r="B902" s="69"/>
      <c r="C902" s="70" t="str">
        <f t="shared" si="15"/>
        <v/>
      </c>
      <c r="D902" s="55"/>
      <c r="E902" s="53"/>
      <c r="F902" s="53"/>
      <c r="G902" s="372"/>
      <c r="H902" s="372"/>
      <c r="I902" s="379"/>
      <c r="J902" s="372"/>
      <c r="K902" s="373"/>
      <c r="L902" s="372"/>
      <c r="M902" s="372"/>
      <c r="N902" s="227"/>
      <c r="O902" s="227"/>
      <c r="P902" s="227"/>
      <c r="Q902" s="227"/>
      <c r="R902" s="227"/>
      <c r="S902" s="340"/>
      <c r="T902" s="226"/>
      <c r="U902" s="53"/>
      <c r="V902" s="53"/>
      <c r="W902" s="53"/>
      <c r="X902" s="53"/>
    </row>
    <row r="903" spans="1:24" ht="15.75" customHeight="1">
      <c r="A903" s="69"/>
      <c r="B903" s="69"/>
      <c r="C903" s="70" t="str">
        <f t="shared" si="15"/>
        <v/>
      </c>
      <c r="D903" s="55"/>
      <c r="E903" s="53"/>
      <c r="F903" s="53"/>
      <c r="G903" s="372"/>
      <c r="H903" s="372"/>
      <c r="I903" s="379"/>
      <c r="J903" s="372"/>
      <c r="K903" s="373"/>
      <c r="L903" s="372"/>
      <c r="M903" s="372"/>
      <c r="N903" s="227"/>
      <c r="O903" s="227"/>
      <c r="P903" s="227"/>
      <c r="Q903" s="227"/>
      <c r="R903" s="227"/>
      <c r="S903" s="340"/>
      <c r="T903" s="226"/>
      <c r="U903" s="53"/>
      <c r="V903" s="53"/>
      <c r="W903" s="53"/>
      <c r="X903" s="53"/>
    </row>
    <row r="904" spans="1:24" ht="15.75" customHeight="1">
      <c r="A904" s="69"/>
      <c r="B904" s="69"/>
      <c r="C904" s="70" t="str">
        <f t="shared" si="15"/>
        <v/>
      </c>
      <c r="D904" s="55"/>
      <c r="E904" s="53"/>
      <c r="F904" s="53"/>
      <c r="G904" s="372"/>
      <c r="H904" s="372"/>
      <c r="I904" s="379"/>
      <c r="J904" s="372"/>
      <c r="K904" s="373"/>
      <c r="L904" s="372"/>
      <c r="M904" s="372"/>
      <c r="N904" s="227"/>
      <c r="O904" s="227"/>
      <c r="P904" s="227"/>
      <c r="Q904" s="227"/>
      <c r="R904" s="227"/>
      <c r="S904" s="340"/>
      <c r="T904" s="226"/>
      <c r="U904" s="53"/>
      <c r="V904" s="53"/>
      <c r="W904" s="53"/>
      <c r="X904" s="53"/>
    </row>
    <row r="905" spans="1:24" ht="15.75" customHeight="1">
      <c r="A905" s="69"/>
      <c r="B905" s="69"/>
      <c r="C905" s="70" t="str">
        <f t="shared" si="15"/>
        <v/>
      </c>
      <c r="D905" s="55"/>
      <c r="E905" s="53"/>
      <c r="F905" s="53"/>
      <c r="G905" s="372"/>
      <c r="H905" s="372"/>
      <c r="I905" s="379"/>
      <c r="J905" s="372"/>
      <c r="K905" s="373"/>
      <c r="L905" s="372"/>
      <c r="M905" s="372"/>
      <c r="N905" s="227"/>
      <c r="O905" s="227"/>
      <c r="P905" s="227"/>
      <c r="Q905" s="227"/>
      <c r="R905" s="227"/>
      <c r="S905" s="340"/>
      <c r="T905" s="226"/>
      <c r="U905" s="53"/>
      <c r="V905" s="53"/>
      <c r="W905" s="53"/>
      <c r="X905" s="53"/>
    </row>
    <row r="906" spans="1:24" ht="15.75" customHeight="1">
      <c r="A906" s="69"/>
      <c r="B906" s="69"/>
      <c r="C906" s="70" t="str">
        <f t="shared" si="15"/>
        <v/>
      </c>
      <c r="D906" s="55"/>
      <c r="E906" s="53"/>
      <c r="F906" s="53"/>
      <c r="G906" s="372"/>
      <c r="H906" s="372"/>
      <c r="I906" s="379"/>
      <c r="J906" s="372"/>
      <c r="K906" s="373"/>
      <c r="L906" s="372"/>
      <c r="M906" s="372"/>
      <c r="N906" s="227"/>
      <c r="O906" s="227"/>
      <c r="P906" s="227"/>
      <c r="Q906" s="227"/>
      <c r="R906" s="227"/>
      <c r="S906" s="340"/>
      <c r="T906" s="226"/>
      <c r="U906" s="53"/>
      <c r="V906" s="53"/>
      <c r="W906" s="53"/>
      <c r="X906" s="53"/>
    </row>
    <row r="907" spans="1:24" ht="15.75" customHeight="1">
      <c r="A907" s="69"/>
      <c r="B907" s="69"/>
      <c r="C907" s="70" t="str">
        <f t="shared" si="15"/>
        <v/>
      </c>
      <c r="D907" s="55"/>
      <c r="E907" s="53"/>
      <c r="F907" s="53"/>
      <c r="G907" s="372"/>
      <c r="H907" s="372"/>
      <c r="I907" s="379"/>
      <c r="J907" s="372"/>
      <c r="K907" s="373"/>
      <c r="L907" s="372"/>
      <c r="M907" s="372"/>
      <c r="N907" s="227"/>
      <c r="O907" s="227"/>
      <c r="P907" s="227"/>
      <c r="Q907" s="227"/>
      <c r="R907" s="227"/>
      <c r="S907" s="340"/>
      <c r="T907" s="226"/>
      <c r="U907" s="53"/>
      <c r="V907" s="53"/>
      <c r="W907" s="53"/>
      <c r="X907" s="53"/>
    </row>
    <row r="908" spans="1:24" ht="15.75" customHeight="1">
      <c r="A908" s="69"/>
      <c r="B908" s="69"/>
      <c r="C908" s="70" t="str">
        <f t="shared" si="15"/>
        <v/>
      </c>
      <c r="D908" s="55"/>
      <c r="E908" s="53"/>
      <c r="F908" s="53"/>
      <c r="G908" s="372"/>
      <c r="H908" s="372"/>
      <c r="I908" s="379"/>
      <c r="J908" s="372"/>
      <c r="K908" s="373"/>
      <c r="L908" s="372"/>
      <c r="M908" s="372"/>
      <c r="N908" s="227"/>
      <c r="O908" s="227"/>
      <c r="P908" s="227"/>
      <c r="Q908" s="227"/>
      <c r="R908" s="227"/>
      <c r="S908" s="340"/>
      <c r="T908" s="226"/>
      <c r="U908" s="53"/>
      <c r="V908" s="53"/>
      <c r="W908" s="53"/>
      <c r="X908" s="53"/>
    </row>
    <row r="909" spans="1:24" ht="15.75" customHeight="1">
      <c r="A909" s="69"/>
      <c r="B909" s="69"/>
      <c r="C909" s="70" t="str">
        <f t="shared" si="15"/>
        <v/>
      </c>
      <c r="D909" s="55"/>
      <c r="E909" s="53"/>
      <c r="F909" s="53"/>
      <c r="G909" s="372"/>
      <c r="H909" s="372"/>
      <c r="I909" s="379"/>
      <c r="J909" s="372"/>
      <c r="K909" s="373"/>
      <c r="L909" s="372"/>
      <c r="M909" s="372"/>
      <c r="N909" s="227"/>
      <c r="O909" s="227"/>
      <c r="P909" s="227"/>
      <c r="Q909" s="227"/>
      <c r="R909" s="227"/>
      <c r="S909" s="340"/>
      <c r="T909" s="226"/>
      <c r="U909" s="53"/>
      <c r="V909" s="53"/>
      <c r="W909" s="53"/>
      <c r="X909" s="53"/>
    </row>
    <row r="910" spans="1:24" ht="15.75" customHeight="1">
      <c r="A910" s="69"/>
      <c r="B910" s="69"/>
      <c r="C910" s="70" t="str">
        <f t="shared" si="15"/>
        <v/>
      </c>
      <c r="D910" s="55"/>
      <c r="E910" s="53"/>
      <c r="F910" s="53"/>
      <c r="G910" s="372"/>
      <c r="H910" s="372"/>
      <c r="I910" s="379"/>
      <c r="J910" s="372"/>
      <c r="K910" s="373"/>
      <c r="L910" s="372"/>
      <c r="M910" s="372"/>
      <c r="N910" s="227"/>
      <c r="O910" s="227"/>
      <c r="P910" s="227"/>
      <c r="Q910" s="227"/>
      <c r="R910" s="227"/>
      <c r="S910" s="340"/>
      <c r="T910" s="226"/>
      <c r="U910" s="53"/>
      <c r="V910" s="53"/>
      <c r="W910" s="53"/>
      <c r="X910" s="53"/>
    </row>
    <row r="911" spans="1:24" ht="15.75" customHeight="1">
      <c r="A911" s="69"/>
      <c r="B911" s="69"/>
      <c r="C911" s="70" t="str">
        <f t="shared" si="15"/>
        <v/>
      </c>
      <c r="D911" s="55"/>
      <c r="E911" s="53"/>
      <c r="F911" s="53"/>
      <c r="G911" s="372"/>
      <c r="H911" s="372"/>
      <c r="I911" s="379"/>
      <c r="J911" s="372"/>
      <c r="K911" s="373"/>
      <c r="L911" s="372"/>
      <c r="M911" s="372"/>
      <c r="N911" s="227"/>
      <c r="O911" s="227"/>
      <c r="P911" s="227"/>
      <c r="Q911" s="227"/>
      <c r="R911" s="227"/>
      <c r="S911" s="340"/>
      <c r="T911" s="226"/>
      <c r="U911" s="53"/>
      <c r="V911" s="53"/>
      <c r="W911" s="53"/>
      <c r="X911" s="53"/>
    </row>
    <row r="912" spans="1:24" ht="15.75" customHeight="1">
      <c r="A912" s="69"/>
      <c r="B912" s="69"/>
      <c r="C912" s="70" t="str">
        <f t="shared" si="15"/>
        <v/>
      </c>
      <c r="D912" s="55"/>
      <c r="E912" s="53"/>
      <c r="F912" s="53"/>
      <c r="G912" s="372"/>
      <c r="H912" s="372"/>
      <c r="I912" s="379"/>
      <c r="J912" s="372"/>
      <c r="K912" s="373"/>
      <c r="L912" s="372"/>
      <c r="M912" s="372"/>
      <c r="N912" s="227"/>
      <c r="O912" s="227"/>
      <c r="P912" s="227"/>
      <c r="Q912" s="227"/>
      <c r="R912" s="227"/>
      <c r="S912" s="340"/>
      <c r="T912" s="226"/>
      <c r="U912" s="53"/>
      <c r="V912" s="53"/>
      <c r="W912" s="53"/>
      <c r="X912" s="53"/>
    </row>
    <row r="913" spans="1:24" ht="15.75" customHeight="1">
      <c r="A913" s="69"/>
      <c r="B913" s="69"/>
      <c r="C913" s="70" t="str">
        <f t="shared" ref="C913:C976" si="16">IF(B913&lt;&gt;"",TEXT(WEEKDAY(B913),"dddd"),"")</f>
        <v/>
      </c>
      <c r="D913" s="55"/>
      <c r="E913" s="53"/>
      <c r="F913" s="53"/>
      <c r="G913" s="372"/>
      <c r="H913" s="372"/>
      <c r="I913" s="379"/>
      <c r="J913" s="372"/>
      <c r="K913" s="373"/>
      <c r="L913" s="372"/>
      <c r="M913" s="372"/>
      <c r="N913" s="227"/>
      <c r="O913" s="227"/>
      <c r="P913" s="227"/>
      <c r="Q913" s="227"/>
      <c r="R913" s="227"/>
      <c r="S913" s="340"/>
      <c r="T913" s="226"/>
      <c r="U913" s="53"/>
      <c r="V913" s="53"/>
      <c r="W913" s="53"/>
      <c r="X913" s="53"/>
    </row>
    <row r="914" spans="1:24" ht="15.75" customHeight="1">
      <c r="A914" s="69"/>
      <c r="B914" s="69"/>
      <c r="C914" s="70" t="str">
        <f t="shared" si="16"/>
        <v/>
      </c>
      <c r="D914" s="55"/>
      <c r="E914" s="53"/>
      <c r="F914" s="53"/>
      <c r="G914" s="372"/>
      <c r="H914" s="372"/>
      <c r="I914" s="379"/>
      <c r="J914" s="372"/>
      <c r="K914" s="373"/>
      <c r="L914" s="372"/>
      <c r="M914" s="372"/>
      <c r="N914" s="227"/>
      <c r="O914" s="227"/>
      <c r="P914" s="227"/>
      <c r="Q914" s="227"/>
      <c r="R914" s="227"/>
      <c r="S914" s="340"/>
      <c r="T914" s="226"/>
      <c r="U914" s="53"/>
      <c r="V914" s="53"/>
      <c r="W914" s="53"/>
      <c r="X914" s="53"/>
    </row>
    <row r="915" spans="1:24" ht="15.75" customHeight="1">
      <c r="A915" s="69"/>
      <c r="B915" s="69"/>
      <c r="C915" s="70" t="str">
        <f t="shared" si="16"/>
        <v/>
      </c>
      <c r="D915" s="55"/>
      <c r="E915" s="53"/>
      <c r="F915" s="53"/>
      <c r="G915" s="372"/>
      <c r="H915" s="372"/>
      <c r="I915" s="379"/>
      <c r="J915" s="372"/>
      <c r="K915" s="373"/>
      <c r="L915" s="372"/>
      <c r="M915" s="372"/>
      <c r="N915" s="227"/>
      <c r="O915" s="227"/>
      <c r="P915" s="227"/>
      <c r="Q915" s="227"/>
      <c r="R915" s="227"/>
      <c r="S915" s="340"/>
      <c r="T915" s="226"/>
      <c r="U915" s="53"/>
      <c r="V915" s="53"/>
      <c r="W915" s="53"/>
      <c r="X915" s="53"/>
    </row>
    <row r="916" spans="1:24" ht="15.75" customHeight="1">
      <c r="A916" s="69"/>
      <c r="B916" s="69"/>
      <c r="C916" s="70" t="str">
        <f t="shared" si="16"/>
        <v/>
      </c>
      <c r="D916" s="55"/>
      <c r="E916" s="53"/>
      <c r="F916" s="53"/>
      <c r="G916" s="372"/>
      <c r="H916" s="372"/>
      <c r="I916" s="379"/>
      <c r="J916" s="372"/>
      <c r="K916" s="373"/>
      <c r="L916" s="372"/>
      <c r="M916" s="372"/>
      <c r="N916" s="227"/>
      <c r="O916" s="227"/>
      <c r="P916" s="227"/>
      <c r="Q916" s="227"/>
      <c r="R916" s="227"/>
      <c r="S916" s="340"/>
      <c r="T916" s="226"/>
      <c r="U916" s="53"/>
      <c r="V916" s="53"/>
      <c r="W916" s="53"/>
      <c r="X916" s="53"/>
    </row>
    <row r="917" spans="1:24" ht="15.75" customHeight="1">
      <c r="A917" s="69"/>
      <c r="B917" s="69"/>
      <c r="C917" s="70" t="str">
        <f t="shared" si="16"/>
        <v/>
      </c>
      <c r="D917" s="55"/>
      <c r="E917" s="53"/>
      <c r="F917" s="53"/>
      <c r="G917" s="372"/>
      <c r="H917" s="372"/>
      <c r="I917" s="379"/>
      <c r="J917" s="372"/>
      <c r="K917" s="373"/>
      <c r="L917" s="372"/>
      <c r="M917" s="372"/>
      <c r="N917" s="227"/>
      <c r="O917" s="227"/>
      <c r="P917" s="227"/>
      <c r="Q917" s="227"/>
      <c r="R917" s="227"/>
      <c r="S917" s="340"/>
      <c r="T917" s="226"/>
      <c r="U917" s="53"/>
      <c r="V917" s="53"/>
      <c r="W917" s="53"/>
      <c r="X917" s="53"/>
    </row>
    <row r="918" spans="1:24" ht="15.75" customHeight="1">
      <c r="A918" s="69"/>
      <c r="B918" s="69"/>
      <c r="C918" s="70" t="str">
        <f t="shared" si="16"/>
        <v/>
      </c>
      <c r="D918" s="55"/>
      <c r="E918" s="53"/>
      <c r="F918" s="53"/>
      <c r="G918" s="372"/>
      <c r="H918" s="372"/>
      <c r="I918" s="379"/>
      <c r="J918" s="372"/>
      <c r="K918" s="373"/>
      <c r="L918" s="372"/>
      <c r="M918" s="372"/>
      <c r="N918" s="227"/>
      <c r="O918" s="227"/>
      <c r="P918" s="227"/>
      <c r="Q918" s="227"/>
      <c r="R918" s="227"/>
      <c r="S918" s="340"/>
      <c r="T918" s="226"/>
      <c r="U918" s="53"/>
      <c r="V918" s="53"/>
      <c r="W918" s="53"/>
      <c r="X918" s="53"/>
    </row>
    <row r="919" spans="1:24" ht="15.75" customHeight="1">
      <c r="A919" s="69"/>
      <c r="B919" s="69"/>
      <c r="C919" s="70" t="str">
        <f t="shared" si="16"/>
        <v/>
      </c>
      <c r="D919" s="55"/>
      <c r="E919" s="53"/>
      <c r="F919" s="53"/>
      <c r="G919" s="372"/>
      <c r="H919" s="372"/>
      <c r="I919" s="379"/>
      <c r="J919" s="372"/>
      <c r="K919" s="373"/>
      <c r="L919" s="372"/>
      <c r="M919" s="372"/>
      <c r="N919" s="227"/>
      <c r="O919" s="227"/>
      <c r="P919" s="227"/>
      <c r="Q919" s="227"/>
      <c r="R919" s="227"/>
      <c r="S919" s="340"/>
      <c r="T919" s="226"/>
      <c r="U919" s="53"/>
      <c r="V919" s="53"/>
      <c r="W919" s="53"/>
      <c r="X919" s="53"/>
    </row>
    <row r="920" spans="1:24" ht="15.75" customHeight="1">
      <c r="A920" s="69"/>
      <c r="B920" s="69"/>
      <c r="C920" s="70" t="str">
        <f t="shared" si="16"/>
        <v/>
      </c>
      <c r="D920" s="55"/>
      <c r="E920" s="53"/>
      <c r="F920" s="53"/>
      <c r="G920" s="372"/>
      <c r="H920" s="372"/>
      <c r="I920" s="379"/>
      <c r="J920" s="372"/>
      <c r="K920" s="373"/>
      <c r="L920" s="372"/>
      <c r="M920" s="372"/>
      <c r="N920" s="227"/>
      <c r="O920" s="227"/>
      <c r="P920" s="227"/>
      <c r="Q920" s="227"/>
      <c r="R920" s="227"/>
      <c r="S920" s="340"/>
      <c r="T920" s="226"/>
      <c r="U920" s="53"/>
      <c r="V920" s="53"/>
      <c r="W920" s="53"/>
      <c r="X920" s="53"/>
    </row>
    <row r="921" spans="1:24" ht="15.75" customHeight="1">
      <c r="A921" s="69"/>
      <c r="B921" s="69"/>
      <c r="C921" s="70" t="str">
        <f t="shared" si="16"/>
        <v/>
      </c>
      <c r="D921" s="55"/>
      <c r="E921" s="53"/>
      <c r="F921" s="53"/>
      <c r="G921" s="372"/>
      <c r="H921" s="372"/>
      <c r="I921" s="379"/>
      <c r="J921" s="372"/>
      <c r="K921" s="373"/>
      <c r="L921" s="372"/>
      <c r="M921" s="372"/>
      <c r="N921" s="227"/>
      <c r="O921" s="227"/>
      <c r="P921" s="227"/>
      <c r="Q921" s="227"/>
      <c r="R921" s="227"/>
      <c r="S921" s="340"/>
      <c r="T921" s="226"/>
      <c r="U921" s="53"/>
      <c r="V921" s="53"/>
      <c r="W921" s="53"/>
      <c r="X921" s="53"/>
    </row>
    <row r="922" spans="1:24" ht="15.75" customHeight="1">
      <c r="A922" s="69"/>
      <c r="B922" s="69"/>
      <c r="C922" s="70" t="str">
        <f t="shared" si="16"/>
        <v/>
      </c>
      <c r="D922" s="55"/>
      <c r="E922" s="53"/>
      <c r="F922" s="53"/>
      <c r="G922" s="372"/>
      <c r="H922" s="372"/>
      <c r="I922" s="379"/>
      <c r="J922" s="372"/>
      <c r="K922" s="373"/>
      <c r="L922" s="372"/>
      <c r="M922" s="372"/>
      <c r="N922" s="227"/>
      <c r="O922" s="227"/>
      <c r="P922" s="227"/>
      <c r="Q922" s="227"/>
      <c r="R922" s="227"/>
      <c r="S922" s="340"/>
      <c r="T922" s="226"/>
      <c r="U922" s="53"/>
      <c r="V922" s="53"/>
      <c r="W922" s="53"/>
      <c r="X922" s="53"/>
    </row>
    <row r="923" spans="1:24" ht="15.75" customHeight="1">
      <c r="A923" s="69"/>
      <c r="B923" s="69"/>
      <c r="C923" s="70" t="str">
        <f t="shared" si="16"/>
        <v/>
      </c>
      <c r="D923" s="55"/>
      <c r="E923" s="53"/>
      <c r="F923" s="53"/>
      <c r="G923" s="372"/>
      <c r="H923" s="372"/>
      <c r="I923" s="379"/>
      <c r="J923" s="372"/>
      <c r="K923" s="373"/>
      <c r="L923" s="372"/>
      <c r="M923" s="372"/>
      <c r="N923" s="227"/>
      <c r="O923" s="227"/>
      <c r="P923" s="227"/>
      <c r="Q923" s="227"/>
      <c r="R923" s="227"/>
      <c r="S923" s="340"/>
      <c r="T923" s="226"/>
      <c r="U923" s="53"/>
      <c r="V923" s="53"/>
      <c r="W923" s="53"/>
      <c r="X923" s="53"/>
    </row>
    <row r="924" spans="1:24" ht="15.75" customHeight="1">
      <c r="A924" s="69"/>
      <c r="B924" s="69"/>
      <c r="C924" s="70" t="str">
        <f t="shared" si="16"/>
        <v/>
      </c>
      <c r="D924" s="55"/>
      <c r="E924" s="53"/>
      <c r="F924" s="53"/>
      <c r="G924" s="372"/>
      <c r="H924" s="372"/>
      <c r="I924" s="379"/>
      <c r="J924" s="372"/>
      <c r="K924" s="373"/>
      <c r="L924" s="372"/>
      <c r="M924" s="372"/>
      <c r="N924" s="227"/>
      <c r="O924" s="227"/>
      <c r="P924" s="227"/>
      <c r="Q924" s="227"/>
      <c r="R924" s="227"/>
      <c r="S924" s="340"/>
      <c r="T924" s="226"/>
      <c r="U924" s="53"/>
      <c r="V924" s="53"/>
      <c r="W924" s="53"/>
      <c r="X924" s="53"/>
    </row>
    <row r="925" spans="1:24" ht="15.75" customHeight="1">
      <c r="A925" s="69"/>
      <c r="B925" s="69"/>
      <c r="C925" s="70" t="str">
        <f t="shared" si="16"/>
        <v/>
      </c>
      <c r="D925" s="55"/>
      <c r="E925" s="53"/>
      <c r="F925" s="53"/>
      <c r="G925" s="372"/>
      <c r="H925" s="372"/>
      <c r="I925" s="379"/>
      <c r="J925" s="372"/>
      <c r="K925" s="373"/>
      <c r="L925" s="372"/>
      <c r="M925" s="372"/>
      <c r="N925" s="227"/>
      <c r="O925" s="227"/>
      <c r="P925" s="227"/>
      <c r="Q925" s="227"/>
      <c r="R925" s="227"/>
      <c r="S925" s="340"/>
      <c r="T925" s="226"/>
      <c r="U925" s="53"/>
      <c r="V925" s="53"/>
      <c r="W925" s="53"/>
      <c r="X925" s="53"/>
    </row>
    <row r="926" spans="1:24" ht="15.75" customHeight="1">
      <c r="A926" s="69"/>
      <c r="B926" s="69"/>
      <c r="C926" s="70" t="str">
        <f t="shared" si="16"/>
        <v/>
      </c>
      <c r="D926" s="55"/>
      <c r="E926" s="53"/>
      <c r="F926" s="53"/>
      <c r="G926" s="372"/>
      <c r="H926" s="372"/>
      <c r="I926" s="379"/>
      <c r="J926" s="372"/>
      <c r="K926" s="373"/>
      <c r="L926" s="372"/>
      <c r="M926" s="372"/>
      <c r="N926" s="227"/>
      <c r="O926" s="227"/>
      <c r="P926" s="227"/>
      <c r="Q926" s="227"/>
      <c r="R926" s="227"/>
      <c r="S926" s="340"/>
      <c r="T926" s="226"/>
      <c r="U926" s="53"/>
      <c r="V926" s="53"/>
      <c r="W926" s="53"/>
      <c r="X926" s="53"/>
    </row>
    <row r="927" spans="1:24" ht="15.75" customHeight="1">
      <c r="A927" s="69"/>
      <c r="B927" s="69"/>
      <c r="C927" s="70" t="str">
        <f t="shared" si="16"/>
        <v/>
      </c>
      <c r="D927" s="55"/>
      <c r="E927" s="53"/>
      <c r="F927" s="53"/>
      <c r="G927" s="372"/>
      <c r="H927" s="372"/>
      <c r="I927" s="379"/>
      <c r="J927" s="372"/>
      <c r="K927" s="373"/>
      <c r="L927" s="372"/>
      <c r="M927" s="372"/>
      <c r="N927" s="227"/>
      <c r="O927" s="227"/>
      <c r="P927" s="227"/>
      <c r="Q927" s="227"/>
      <c r="R927" s="227"/>
      <c r="S927" s="340"/>
      <c r="T927" s="226"/>
      <c r="U927" s="53"/>
      <c r="V927" s="53"/>
      <c r="W927" s="53"/>
      <c r="X927" s="53"/>
    </row>
    <row r="928" spans="1:24" ht="15.75" customHeight="1">
      <c r="A928" s="69"/>
      <c r="B928" s="69"/>
      <c r="C928" s="70" t="str">
        <f t="shared" si="16"/>
        <v/>
      </c>
      <c r="D928" s="55"/>
      <c r="E928" s="53"/>
      <c r="F928" s="53"/>
      <c r="G928" s="372"/>
      <c r="H928" s="372"/>
      <c r="I928" s="379"/>
      <c r="J928" s="372"/>
      <c r="K928" s="373"/>
      <c r="L928" s="372"/>
      <c r="M928" s="372"/>
      <c r="N928" s="227"/>
      <c r="O928" s="227"/>
      <c r="P928" s="227"/>
      <c r="Q928" s="227"/>
      <c r="R928" s="227"/>
      <c r="S928" s="340"/>
      <c r="T928" s="226"/>
      <c r="U928" s="53"/>
      <c r="V928" s="53"/>
      <c r="W928" s="53"/>
      <c r="X928" s="53"/>
    </row>
    <row r="929" spans="1:24" ht="15.75" customHeight="1">
      <c r="A929" s="69"/>
      <c r="B929" s="69"/>
      <c r="C929" s="70" t="str">
        <f t="shared" si="16"/>
        <v/>
      </c>
      <c r="D929" s="55"/>
      <c r="E929" s="53"/>
      <c r="F929" s="53"/>
      <c r="G929" s="372"/>
      <c r="H929" s="372"/>
      <c r="I929" s="379"/>
      <c r="J929" s="372"/>
      <c r="K929" s="373"/>
      <c r="L929" s="372"/>
      <c r="M929" s="372"/>
      <c r="N929" s="227"/>
      <c r="O929" s="227"/>
      <c r="P929" s="227"/>
      <c r="Q929" s="227"/>
      <c r="R929" s="227"/>
      <c r="S929" s="340"/>
      <c r="T929" s="226"/>
      <c r="U929" s="53"/>
      <c r="V929" s="53"/>
      <c r="W929" s="53"/>
      <c r="X929" s="53"/>
    </row>
    <row r="930" spans="1:24" ht="15.75" customHeight="1">
      <c r="A930" s="69"/>
      <c r="B930" s="69"/>
      <c r="C930" s="70" t="str">
        <f t="shared" si="16"/>
        <v/>
      </c>
      <c r="D930" s="55"/>
      <c r="E930" s="53"/>
      <c r="F930" s="53"/>
      <c r="G930" s="372"/>
      <c r="H930" s="372"/>
      <c r="I930" s="379"/>
      <c r="J930" s="372"/>
      <c r="K930" s="373"/>
      <c r="L930" s="372"/>
      <c r="M930" s="372"/>
      <c r="N930" s="227"/>
      <c r="O930" s="227"/>
      <c r="P930" s="227"/>
      <c r="Q930" s="227"/>
      <c r="R930" s="227"/>
      <c r="S930" s="340"/>
      <c r="T930" s="226"/>
      <c r="U930" s="53"/>
      <c r="V930" s="53"/>
      <c r="W930" s="53"/>
      <c r="X930" s="53"/>
    </row>
    <row r="931" spans="1:24" ht="15.75" customHeight="1">
      <c r="A931" s="69"/>
      <c r="B931" s="69"/>
      <c r="C931" s="70" t="str">
        <f t="shared" si="16"/>
        <v/>
      </c>
      <c r="D931" s="55"/>
      <c r="E931" s="53"/>
      <c r="F931" s="53"/>
      <c r="G931" s="372"/>
      <c r="H931" s="372"/>
      <c r="I931" s="379"/>
      <c r="J931" s="372"/>
      <c r="K931" s="373"/>
      <c r="L931" s="372"/>
      <c r="M931" s="372"/>
      <c r="N931" s="227"/>
      <c r="O931" s="227"/>
      <c r="P931" s="227"/>
      <c r="Q931" s="227"/>
      <c r="R931" s="227"/>
      <c r="S931" s="340"/>
      <c r="T931" s="226"/>
      <c r="U931" s="53"/>
      <c r="V931" s="53"/>
      <c r="W931" s="53"/>
      <c r="X931" s="53"/>
    </row>
    <row r="932" spans="1:24" ht="15.75" customHeight="1">
      <c r="A932" s="69"/>
      <c r="B932" s="69"/>
      <c r="C932" s="70" t="str">
        <f t="shared" si="16"/>
        <v/>
      </c>
      <c r="D932" s="55"/>
      <c r="E932" s="53"/>
      <c r="F932" s="53"/>
      <c r="G932" s="372"/>
      <c r="H932" s="372"/>
      <c r="I932" s="379"/>
      <c r="J932" s="372"/>
      <c r="K932" s="373"/>
      <c r="L932" s="372"/>
      <c r="M932" s="372"/>
      <c r="N932" s="227"/>
      <c r="O932" s="227"/>
      <c r="P932" s="227"/>
      <c r="Q932" s="227"/>
      <c r="R932" s="227"/>
      <c r="S932" s="340"/>
      <c r="T932" s="226"/>
      <c r="U932" s="53"/>
      <c r="V932" s="53"/>
      <c r="W932" s="53"/>
      <c r="X932" s="53"/>
    </row>
    <row r="933" spans="1:24" ht="15.75" customHeight="1">
      <c r="A933" s="69"/>
      <c r="B933" s="69"/>
      <c r="C933" s="70" t="str">
        <f t="shared" si="16"/>
        <v/>
      </c>
      <c r="D933" s="55"/>
      <c r="E933" s="53"/>
      <c r="F933" s="53"/>
      <c r="G933" s="372"/>
      <c r="H933" s="372"/>
      <c r="I933" s="379"/>
      <c r="J933" s="372"/>
      <c r="K933" s="373"/>
      <c r="L933" s="372"/>
      <c r="M933" s="372"/>
      <c r="N933" s="227"/>
      <c r="O933" s="227"/>
      <c r="P933" s="227"/>
      <c r="Q933" s="227"/>
      <c r="R933" s="227"/>
      <c r="S933" s="340"/>
      <c r="T933" s="226"/>
      <c r="U933" s="53"/>
      <c r="V933" s="53"/>
      <c r="W933" s="53"/>
      <c r="X933" s="53"/>
    </row>
    <row r="934" spans="1:24" ht="15.75" customHeight="1">
      <c r="A934" s="69"/>
      <c r="B934" s="69"/>
      <c r="C934" s="70" t="str">
        <f t="shared" si="16"/>
        <v/>
      </c>
      <c r="D934" s="55"/>
      <c r="E934" s="53"/>
      <c r="F934" s="53"/>
      <c r="G934" s="372"/>
      <c r="H934" s="372"/>
      <c r="I934" s="379"/>
      <c r="J934" s="372"/>
      <c r="K934" s="373"/>
      <c r="L934" s="372"/>
      <c r="M934" s="372"/>
      <c r="N934" s="227"/>
      <c r="O934" s="227"/>
      <c r="P934" s="227"/>
      <c r="Q934" s="227"/>
      <c r="R934" s="227"/>
      <c r="S934" s="340"/>
      <c r="T934" s="226"/>
      <c r="U934" s="53"/>
      <c r="V934" s="53"/>
      <c r="W934" s="53"/>
      <c r="X934" s="53"/>
    </row>
    <row r="935" spans="1:24" ht="15.75" customHeight="1">
      <c r="A935" s="69"/>
      <c r="B935" s="69"/>
      <c r="C935" s="70" t="str">
        <f t="shared" si="16"/>
        <v/>
      </c>
      <c r="D935" s="55"/>
      <c r="E935" s="53"/>
      <c r="F935" s="53"/>
      <c r="G935" s="372"/>
      <c r="H935" s="372"/>
      <c r="I935" s="379"/>
      <c r="J935" s="372"/>
      <c r="K935" s="373"/>
      <c r="L935" s="372"/>
      <c r="M935" s="372"/>
      <c r="N935" s="227"/>
      <c r="O935" s="227"/>
      <c r="P935" s="227"/>
      <c r="Q935" s="227"/>
      <c r="R935" s="227"/>
      <c r="S935" s="340"/>
      <c r="T935" s="226"/>
      <c r="U935" s="53"/>
      <c r="V935" s="53"/>
      <c r="W935" s="53"/>
      <c r="X935" s="53"/>
    </row>
    <row r="936" spans="1:24" ht="15.75" customHeight="1">
      <c r="A936" s="69"/>
      <c r="B936" s="69"/>
      <c r="C936" s="70" t="str">
        <f t="shared" si="16"/>
        <v/>
      </c>
      <c r="D936" s="55"/>
      <c r="E936" s="53"/>
      <c r="F936" s="53"/>
      <c r="G936" s="372"/>
      <c r="H936" s="372"/>
      <c r="I936" s="379"/>
      <c r="J936" s="372"/>
      <c r="K936" s="373"/>
      <c r="L936" s="372"/>
      <c r="M936" s="372"/>
      <c r="N936" s="227"/>
      <c r="O936" s="227"/>
      <c r="P936" s="227"/>
      <c r="Q936" s="227"/>
      <c r="R936" s="227"/>
      <c r="S936" s="340"/>
      <c r="T936" s="226"/>
      <c r="U936" s="53"/>
      <c r="V936" s="53"/>
      <c r="W936" s="53"/>
      <c r="X936" s="53"/>
    </row>
    <row r="937" spans="1:24" ht="15.75" customHeight="1">
      <c r="A937" s="69"/>
      <c r="B937" s="69"/>
      <c r="C937" s="70" t="str">
        <f t="shared" si="16"/>
        <v/>
      </c>
      <c r="D937" s="55"/>
      <c r="E937" s="53"/>
      <c r="F937" s="53"/>
      <c r="G937" s="372"/>
      <c r="H937" s="372"/>
      <c r="I937" s="379"/>
      <c r="J937" s="372"/>
      <c r="K937" s="373"/>
      <c r="L937" s="372"/>
      <c r="M937" s="372"/>
      <c r="N937" s="227"/>
      <c r="O937" s="227"/>
      <c r="P937" s="227"/>
      <c r="Q937" s="227"/>
      <c r="R937" s="227"/>
      <c r="S937" s="340"/>
      <c r="T937" s="226"/>
      <c r="U937" s="53"/>
      <c r="V937" s="53"/>
      <c r="W937" s="53"/>
      <c r="X937" s="53"/>
    </row>
    <row r="938" spans="1:24" ht="15.75" customHeight="1">
      <c r="A938" s="69"/>
      <c r="B938" s="69"/>
      <c r="C938" s="70" t="str">
        <f t="shared" si="16"/>
        <v/>
      </c>
      <c r="D938" s="55"/>
      <c r="E938" s="53"/>
      <c r="F938" s="53"/>
      <c r="G938" s="372"/>
      <c r="H938" s="372"/>
      <c r="I938" s="379"/>
      <c r="J938" s="372"/>
      <c r="K938" s="373"/>
      <c r="L938" s="372"/>
      <c r="M938" s="372"/>
      <c r="N938" s="227"/>
      <c r="O938" s="227"/>
      <c r="P938" s="227"/>
      <c r="Q938" s="227"/>
      <c r="R938" s="227"/>
      <c r="S938" s="340"/>
      <c r="T938" s="226"/>
      <c r="U938" s="53"/>
      <c r="V938" s="53"/>
      <c r="W938" s="53"/>
      <c r="X938" s="53"/>
    </row>
    <row r="939" spans="1:24" ht="15.75" customHeight="1">
      <c r="A939" s="69"/>
      <c r="B939" s="69"/>
      <c r="C939" s="70" t="str">
        <f t="shared" si="16"/>
        <v/>
      </c>
      <c r="D939" s="55"/>
      <c r="E939" s="53"/>
      <c r="F939" s="53"/>
      <c r="G939" s="372"/>
      <c r="H939" s="372"/>
      <c r="I939" s="379"/>
      <c r="J939" s="372"/>
      <c r="K939" s="373"/>
      <c r="L939" s="372"/>
      <c r="M939" s="372"/>
      <c r="N939" s="227"/>
      <c r="O939" s="227"/>
      <c r="P939" s="227"/>
      <c r="Q939" s="227"/>
      <c r="R939" s="227"/>
      <c r="S939" s="340"/>
      <c r="T939" s="226"/>
      <c r="U939" s="53"/>
      <c r="V939" s="53"/>
      <c r="W939" s="53"/>
      <c r="X939" s="53"/>
    </row>
    <row r="940" spans="1:24" ht="15.75" customHeight="1">
      <c r="A940" s="69"/>
      <c r="B940" s="69"/>
      <c r="C940" s="70" t="str">
        <f t="shared" si="16"/>
        <v/>
      </c>
      <c r="D940" s="55"/>
      <c r="E940" s="53"/>
      <c r="F940" s="53"/>
      <c r="G940" s="372"/>
      <c r="H940" s="372"/>
      <c r="I940" s="379"/>
      <c r="J940" s="372"/>
      <c r="K940" s="373"/>
      <c r="L940" s="372"/>
      <c r="M940" s="372"/>
      <c r="N940" s="227"/>
      <c r="O940" s="227"/>
      <c r="P940" s="227"/>
      <c r="Q940" s="227"/>
      <c r="R940" s="227"/>
      <c r="S940" s="340"/>
      <c r="T940" s="226"/>
      <c r="U940" s="53"/>
      <c r="V940" s="53"/>
      <c r="W940" s="53"/>
      <c r="X940" s="53"/>
    </row>
    <row r="941" spans="1:24" ht="15.75" customHeight="1">
      <c r="A941" s="69"/>
      <c r="B941" s="69"/>
      <c r="C941" s="70" t="str">
        <f t="shared" si="16"/>
        <v/>
      </c>
      <c r="D941" s="55"/>
      <c r="E941" s="53"/>
      <c r="F941" s="53"/>
      <c r="G941" s="372"/>
      <c r="H941" s="372"/>
      <c r="I941" s="379"/>
      <c r="J941" s="372"/>
      <c r="K941" s="373"/>
      <c r="L941" s="372"/>
      <c r="M941" s="372"/>
      <c r="N941" s="227"/>
      <c r="O941" s="227"/>
      <c r="P941" s="227"/>
      <c r="Q941" s="227"/>
      <c r="R941" s="227"/>
      <c r="S941" s="340"/>
      <c r="T941" s="226"/>
      <c r="U941" s="53"/>
      <c r="V941" s="53"/>
      <c r="W941" s="53"/>
      <c r="X941" s="53"/>
    </row>
    <row r="942" spans="1:24" ht="15.75" customHeight="1">
      <c r="A942" s="69"/>
      <c r="B942" s="69"/>
      <c r="C942" s="70" t="str">
        <f t="shared" si="16"/>
        <v/>
      </c>
      <c r="D942" s="55"/>
      <c r="E942" s="53"/>
      <c r="F942" s="53"/>
      <c r="G942" s="372"/>
      <c r="H942" s="372"/>
      <c r="I942" s="379"/>
      <c r="J942" s="372"/>
      <c r="K942" s="373"/>
      <c r="L942" s="372"/>
      <c r="M942" s="372"/>
      <c r="N942" s="227"/>
      <c r="O942" s="227"/>
      <c r="P942" s="227"/>
      <c r="Q942" s="227"/>
      <c r="R942" s="227"/>
      <c r="S942" s="340"/>
      <c r="T942" s="226"/>
      <c r="U942" s="53"/>
      <c r="V942" s="53"/>
      <c r="W942" s="53"/>
      <c r="X942" s="53"/>
    </row>
    <row r="943" spans="1:24" ht="15.75" customHeight="1">
      <c r="A943" s="69"/>
      <c r="B943" s="69"/>
      <c r="C943" s="70" t="str">
        <f t="shared" si="16"/>
        <v/>
      </c>
      <c r="D943" s="55"/>
      <c r="E943" s="53"/>
      <c r="F943" s="53"/>
      <c r="G943" s="372"/>
      <c r="H943" s="372"/>
      <c r="I943" s="379"/>
      <c r="J943" s="372"/>
      <c r="K943" s="373"/>
      <c r="L943" s="372"/>
      <c r="M943" s="372"/>
      <c r="N943" s="227"/>
      <c r="O943" s="227"/>
      <c r="P943" s="227"/>
      <c r="Q943" s="227"/>
      <c r="R943" s="227"/>
      <c r="S943" s="340"/>
      <c r="T943" s="226"/>
      <c r="U943" s="53"/>
      <c r="V943" s="53"/>
      <c r="W943" s="53"/>
      <c r="X943" s="53"/>
    </row>
    <row r="944" spans="1:24" ht="15.75" customHeight="1">
      <c r="A944" s="69"/>
      <c r="B944" s="69"/>
      <c r="C944" s="70" t="str">
        <f t="shared" si="16"/>
        <v/>
      </c>
      <c r="D944" s="55"/>
      <c r="E944" s="53"/>
      <c r="F944" s="53"/>
      <c r="G944" s="372"/>
      <c r="H944" s="372"/>
      <c r="I944" s="379"/>
      <c r="J944" s="372"/>
      <c r="K944" s="373"/>
      <c r="L944" s="372"/>
      <c r="M944" s="372"/>
      <c r="N944" s="227"/>
      <c r="O944" s="227"/>
      <c r="P944" s="227"/>
      <c r="Q944" s="227"/>
      <c r="R944" s="227"/>
      <c r="S944" s="340"/>
      <c r="T944" s="226"/>
      <c r="U944" s="53"/>
      <c r="V944" s="53"/>
      <c r="W944" s="53"/>
      <c r="X944" s="53"/>
    </row>
    <row r="945" spans="1:24" ht="15.75" customHeight="1">
      <c r="A945" s="69"/>
      <c r="B945" s="69"/>
      <c r="C945" s="70" t="str">
        <f t="shared" si="16"/>
        <v/>
      </c>
      <c r="D945" s="55"/>
      <c r="E945" s="53"/>
      <c r="F945" s="53"/>
      <c r="G945" s="372"/>
      <c r="H945" s="372"/>
      <c r="I945" s="379"/>
      <c r="J945" s="372"/>
      <c r="K945" s="373"/>
      <c r="L945" s="372"/>
      <c r="M945" s="372"/>
      <c r="N945" s="227"/>
      <c r="O945" s="227"/>
      <c r="P945" s="227"/>
      <c r="Q945" s="227"/>
      <c r="R945" s="227"/>
      <c r="S945" s="340"/>
      <c r="T945" s="226"/>
      <c r="U945" s="53"/>
      <c r="V945" s="53"/>
      <c r="W945" s="53"/>
      <c r="X945" s="53"/>
    </row>
    <row r="946" spans="1:24" ht="15.75" customHeight="1">
      <c r="A946" s="69"/>
      <c r="B946" s="69"/>
      <c r="C946" s="70" t="str">
        <f t="shared" si="16"/>
        <v/>
      </c>
      <c r="D946" s="55"/>
      <c r="E946" s="53"/>
      <c r="F946" s="53"/>
      <c r="G946" s="372"/>
      <c r="H946" s="372"/>
      <c r="I946" s="379"/>
      <c r="J946" s="372"/>
      <c r="K946" s="373"/>
      <c r="L946" s="372"/>
      <c r="M946" s="372"/>
      <c r="N946" s="227"/>
      <c r="O946" s="227"/>
      <c r="P946" s="227"/>
      <c r="Q946" s="227"/>
      <c r="R946" s="227"/>
      <c r="S946" s="340"/>
      <c r="T946" s="226"/>
      <c r="U946" s="53"/>
      <c r="V946" s="53"/>
      <c r="W946" s="53"/>
      <c r="X946" s="53"/>
    </row>
    <row r="947" spans="1:24" ht="15.75" customHeight="1">
      <c r="A947" s="220"/>
      <c r="B947" s="220"/>
      <c r="C947" s="70" t="str">
        <f t="shared" si="16"/>
        <v/>
      </c>
    </row>
    <row r="948" spans="1:24" ht="15.75" customHeight="1">
      <c r="A948" s="220"/>
      <c r="B948" s="220"/>
      <c r="C948" s="70" t="str">
        <f t="shared" si="16"/>
        <v/>
      </c>
    </row>
    <row r="949" spans="1:24" ht="15.75" customHeight="1">
      <c r="A949" s="220"/>
      <c r="B949" s="220"/>
      <c r="C949" s="70" t="str">
        <f t="shared" si="16"/>
        <v/>
      </c>
    </row>
    <row r="950" spans="1:24" ht="15.75" customHeight="1">
      <c r="A950" s="220"/>
      <c r="B950" s="220"/>
      <c r="C950" s="70" t="str">
        <f t="shared" si="16"/>
        <v/>
      </c>
    </row>
    <row r="951" spans="1:24" ht="15.75" customHeight="1">
      <c r="A951" s="220"/>
      <c r="B951" s="220"/>
      <c r="C951" s="70" t="str">
        <f t="shared" si="16"/>
        <v/>
      </c>
    </row>
    <row r="952" spans="1:24" ht="15.75" customHeight="1">
      <c r="A952" s="220"/>
      <c r="B952" s="220"/>
      <c r="C952" s="70" t="str">
        <f t="shared" si="16"/>
        <v/>
      </c>
    </row>
    <row r="953" spans="1:24" ht="15.75" customHeight="1">
      <c r="A953" s="220"/>
      <c r="B953" s="220"/>
      <c r="C953" s="70" t="str">
        <f t="shared" si="16"/>
        <v/>
      </c>
    </row>
    <row r="954" spans="1:24" ht="15.75" customHeight="1">
      <c r="A954" s="220"/>
      <c r="B954" s="220"/>
      <c r="C954" s="70" t="str">
        <f t="shared" si="16"/>
        <v/>
      </c>
    </row>
    <row r="955" spans="1:24" ht="15.75" customHeight="1">
      <c r="A955" s="220"/>
      <c r="B955" s="220"/>
      <c r="C955" s="70" t="str">
        <f t="shared" si="16"/>
        <v/>
      </c>
    </row>
    <row r="956" spans="1:24" ht="15.75" customHeight="1">
      <c r="A956" s="220"/>
      <c r="B956" s="220"/>
      <c r="C956" s="70" t="str">
        <f t="shared" si="16"/>
        <v/>
      </c>
    </row>
    <row r="957" spans="1:24" ht="15.75" customHeight="1">
      <c r="A957" s="220"/>
      <c r="B957" s="220"/>
      <c r="C957" s="70" t="str">
        <f t="shared" si="16"/>
        <v/>
      </c>
    </row>
    <row r="958" spans="1:24" ht="15.75" customHeight="1">
      <c r="A958" s="220"/>
      <c r="B958" s="220"/>
      <c r="C958" s="70" t="str">
        <f t="shared" si="16"/>
        <v/>
      </c>
    </row>
    <row r="959" spans="1:24" ht="15.75" customHeight="1">
      <c r="A959" s="220"/>
      <c r="B959" s="220"/>
      <c r="C959" s="70" t="str">
        <f t="shared" si="16"/>
        <v/>
      </c>
    </row>
    <row r="960" spans="1:24" ht="15.75" customHeight="1">
      <c r="A960" s="220"/>
      <c r="B960" s="220"/>
      <c r="C960" s="70" t="str">
        <f t="shared" si="16"/>
        <v/>
      </c>
    </row>
    <row r="961" spans="1:3" ht="15.75" customHeight="1">
      <c r="A961" s="220"/>
      <c r="B961" s="220"/>
      <c r="C961" s="70" t="str">
        <f t="shared" si="16"/>
        <v/>
      </c>
    </row>
    <row r="962" spans="1:3" ht="15.75" customHeight="1">
      <c r="A962" s="220"/>
      <c r="B962" s="220"/>
      <c r="C962" s="70" t="str">
        <f t="shared" si="16"/>
        <v/>
      </c>
    </row>
    <row r="963" spans="1:3" ht="15.75" customHeight="1">
      <c r="A963" s="220"/>
      <c r="B963" s="220"/>
      <c r="C963" s="70" t="str">
        <f t="shared" si="16"/>
        <v/>
      </c>
    </row>
    <row r="964" spans="1:3" ht="15.75" customHeight="1">
      <c r="A964" s="220"/>
      <c r="B964" s="220"/>
      <c r="C964" s="70" t="str">
        <f t="shared" si="16"/>
        <v/>
      </c>
    </row>
    <row r="965" spans="1:3" ht="15.75" customHeight="1">
      <c r="A965" s="220"/>
      <c r="B965" s="220"/>
      <c r="C965" s="70" t="str">
        <f t="shared" si="16"/>
        <v/>
      </c>
    </row>
    <row r="966" spans="1:3" ht="15.75" customHeight="1">
      <c r="A966" s="220"/>
      <c r="B966" s="220"/>
      <c r="C966" s="70" t="str">
        <f t="shared" si="16"/>
        <v/>
      </c>
    </row>
    <row r="967" spans="1:3" ht="15.75" customHeight="1">
      <c r="A967" s="220"/>
      <c r="B967" s="220"/>
      <c r="C967" s="70" t="str">
        <f t="shared" si="16"/>
        <v/>
      </c>
    </row>
    <row r="968" spans="1:3" ht="15.75" customHeight="1">
      <c r="A968" s="220"/>
      <c r="B968" s="220"/>
      <c r="C968" s="70" t="str">
        <f t="shared" si="16"/>
        <v/>
      </c>
    </row>
    <row r="969" spans="1:3" ht="15.75" customHeight="1">
      <c r="A969" s="220"/>
      <c r="B969" s="220"/>
      <c r="C969" s="70" t="str">
        <f t="shared" si="16"/>
        <v/>
      </c>
    </row>
    <row r="970" spans="1:3" ht="15.75" customHeight="1">
      <c r="A970" s="220"/>
      <c r="B970" s="220"/>
      <c r="C970" s="70" t="str">
        <f t="shared" si="16"/>
        <v/>
      </c>
    </row>
    <row r="971" spans="1:3" ht="15.75" customHeight="1">
      <c r="A971" s="220"/>
      <c r="B971" s="220"/>
      <c r="C971" s="70" t="str">
        <f t="shared" si="16"/>
        <v/>
      </c>
    </row>
    <row r="972" spans="1:3" ht="15.75" customHeight="1">
      <c r="A972" s="220"/>
      <c r="B972" s="220"/>
      <c r="C972" s="70" t="str">
        <f t="shared" si="16"/>
        <v/>
      </c>
    </row>
    <row r="973" spans="1:3" ht="15.75" customHeight="1">
      <c r="A973" s="220"/>
      <c r="B973" s="220"/>
      <c r="C973" s="70" t="str">
        <f t="shared" si="16"/>
        <v/>
      </c>
    </row>
    <row r="974" spans="1:3" ht="15.75" customHeight="1">
      <c r="A974" s="220"/>
      <c r="B974" s="220"/>
      <c r="C974" s="70" t="str">
        <f t="shared" si="16"/>
        <v/>
      </c>
    </row>
    <row r="975" spans="1:3" ht="15.75" customHeight="1">
      <c r="A975" s="220"/>
      <c r="B975" s="220"/>
      <c r="C975" s="70" t="str">
        <f t="shared" si="16"/>
        <v/>
      </c>
    </row>
    <row r="976" spans="1:3" ht="15.75" customHeight="1">
      <c r="A976" s="220"/>
      <c r="B976" s="220"/>
      <c r="C976" s="70" t="str">
        <f t="shared" si="16"/>
        <v/>
      </c>
    </row>
    <row r="977" spans="1:3" ht="15.75" customHeight="1">
      <c r="A977" s="220"/>
      <c r="B977" s="220"/>
      <c r="C977" s="70" t="str">
        <f t="shared" ref="C977:C1040" si="17">IF(B977&lt;&gt;"",TEXT(WEEKDAY(B977),"dddd"),"")</f>
        <v/>
      </c>
    </row>
    <row r="978" spans="1:3" ht="15.75" customHeight="1">
      <c r="A978" s="220"/>
      <c r="B978" s="220"/>
      <c r="C978" s="70" t="str">
        <f t="shared" si="17"/>
        <v/>
      </c>
    </row>
    <row r="979" spans="1:3" ht="15.75" customHeight="1">
      <c r="A979" s="220"/>
      <c r="B979" s="220"/>
      <c r="C979" s="70" t="str">
        <f t="shared" si="17"/>
        <v/>
      </c>
    </row>
    <row r="980" spans="1:3" ht="15.75" customHeight="1">
      <c r="A980" s="220"/>
      <c r="B980" s="220"/>
      <c r="C980" s="70" t="str">
        <f t="shared" si="17"/>
        <v/>
      </c>
    </row>
    <row r="981" spans="1:3" ht="15.75" customHeight="1">
      <c r="A981" s="220"/>
      <c r="B981" s="220"/>
      <c r="C981" s="70" t="str">
        <f t="shared" si="17"/>
        <v/>
      </c>
    </row>
    <row r="982" spans="1:3" ht="15.75" customHeight="1">
      <c r="A982" s="220"/>
      <c r="B982" s="220"/>
      <c r="C982" s="70" t="str">
        <f t="shared" si="17"/>
        <v/>
      </c>
    </row>
    <row r="983" spans="1:3" ht="15.75" customHeight="1">
      <c r="A983" s="220"/>
      <c r="B983" s="220"/>
      <c r="C983" s="70" t="str">
        <f t="shared" si="17"/>
        <v/>
      </c>
    </row>
    <row r="984" spans="1:3" ht="15.75" customHeight="1">
      <c r="A984" s="220"/>
      <c r="B984" s="220"/>
      <c r="C984" s="70" t="str">
        <f t="shared" si="17"/>
        <v/>
      </c>
    </row>
    <row r="985" spans="1:3" ht="15.75" customHeight="1">
      <c r="A985" s="220"/>
      <c r="B985" s="220"/>
      <c r="C985" s="70" t="str">
        <f t="shared" si="17"/>
        <v/>
      </c>
    </row>
    <row r="986" spans="1:3" ht="15.75" customHeight="1">
      <c r="A986" s="220"/>
      <c r="B986" s="220"/>
      <c r="C986" s="70" t="str">
        <f t="shared" si="17"/>
        <v/>
      </c>
    </row>
    <row r="987" spans="1:3" ht="15.75" customHeight="1">
      <c r="A987" s="220"/>
      <c r="B987" s="220"/>
      <c r="C987" s="70" t="str">
        <f t="shared" si="17"/>
        <v/>
      </c>
    </row>
    <row r="988" spans="1:3" ht="15.75" customHeight="1">
      <c r="A988" s="220"/>
      <c r="B988" s="220"/>
      <c r="C988" s="70" t="str">
        <f t="shared" si="17"/>
        <v/>
      </c>
    </row>
    <row r="989" spans="1:3" ht="15.75" customHeight="1">
      <c r="A989" s="220"/>
      <c r="B989" s="220"/>
      <c r="C989" s="70" t="str">
        <f t="shared" si="17"/>
        <v/>
      </c>
    </row>
    <row r="990" spans="1:3" ht="15.75" customHeight="1">
      <c r="A990" s="220"/>
      <c r="B990" s="220"/>
      <c r="C990" s="70" t="str">
        <f t="shared" si="17"/>
        <v/>
      </c>
    </row>
    <row r="991" spans="1:3" ht="15.75" customHeight="1">
      <c r="A991" s="220"/>
      <c r="B991" s="220"/>
      <c r="C991" s="70" t="str">
        <f t="shared" si="17"/>
        <v/>
      </c>
    </row>
    <row r="992" spans="1:3" ht="15.75" customHeight="1">
      <c r="A992" s="220"/>
      <c r="B992" s="220"/>
      <c r="C992" s="70" t="str">
        <f t="shared" si="17"/>
        <v/>
      </c>
    </row>
    <row r="993" spans="1:3" ht="15.75" customHeight="1">
      <c r="A993" s="220"/>
      <c r="B993" s="220"/>
      <c r="C993" s="70" t="str">
        <f t="shared" si="17"/>
        <v/>
      </c>
    </row>
    <row r="994" spans="1:3" ht="15.75" customHeight="1">
      <c r="A994" s="220"/>
      <c r="B994" s="220"/>
      <c r="C994" s="70" t="str">
        <f t="shared" si="17"/>
        <v/>
      </c>
    </row>
    <row r="995" spans="1:3" ht="15.75" customHeight="1">
      <c r="A995" s="220"/>
      <c r="B995" s="220"/>
      <c r="C995" s="70" t="str">
        <f t="shared" si="17"/>
        <v/>
      </c>
    </row>
    <row r="996" spans="1:3" ht="15.75" customHeight="1">
      <c r="A996" s="220"/>
      <c r="B996" s="220"/>
      <c r="C996" s="70" t="str">
        <f t="shared" si="17"/>
        <v/>
      </c>
    </row>
    <row r="997" spans="1:3" ht="15.75" customHeight="1">
      <c r="A997" s="220"/>
      <c r="B997" s="220"/>
      <c r="C997" s="70" t="str">
        <f t="shared" si="17"/>
        <v/>
      </c>
    </row>
    <row r="998" spans="1:3" ht="15.75" customHeight="1">
      <c r="A998" s="220"/>
      <c r="B998" s="220"/>
      <c r="C998" s="70" t="str">
        <f t="shared" si="17"/>
        <v/>
      </c>
    </row>
    <row r="999" spans="1:3" ht="15.75" customHeight="1">
      <c r="A999" s="220"/>
      <c r="B999" s="220"/>
      <c r="C999" s="70" t="str">
        <f t="shared" si="17"/>
        <v/>
      </c>
    </row>
    <row r="1000" spans="1:3" ht="15.75" customHeight="1">
      <c r="A1000" s="220"/>
      <c r="B1000" s="220"/>
      <c r="C1000" s="70" t="str">
        <f t="shared" si="17"/>
        <v/>
      </c>
    </row>
    <row r="1001" spans="1:3" ht="15.75" customHeight="1">
      <c r="A1001" s="220"/>
      <c r="B1001" s="220"/>
      <c r="C1001" s="70" t="str">
        <f t="shared" si="17"/>
        <v/>
      </c>
    </row>
    <row r="1002" spans="1:3" ht="15.75" customHeight="1">
      <c r="C1002" s="70" t="str">
        <f t="shared" si="17"/>
        <v/>
      </c>
    </row>
    <row r="1003" spans="1:3" ht="15.75" customHeight="1">
      <c r="C1003" s="70" t="str">
        <f t="shared" si="17"/>
        <v/>
      </c>
    </row>
    <row r="1004" spans="1:3" ht="15.75" customHeight="1">
      <c r="C1004" s="70" t="str">
        <f t="shared" si="17"/>
        <v/>
      </c>
    </row>
    <row r="1005" spans="1:3" ht="15.75" customHeight="1">
      <c r="C1005" s="70" t="str">
        <f t="shared" si="17"/>
        <v/>
      </c>
    </row>
    <row r="1006" spans="1:3" ht="15" customHeight="1">
      <c r="C1006" s="70" t="str">
        <f t="shared" si="17"/>
        <v/>
      </c>
    </row>
    <row r="1007" spans="1:3" ht="15" customHeight="1">
      <c r="C1007" s="70" t="str">
        <f t="shared" si="17"/>
        <v/>
      </c>
    </row>
    <row r="1008" spans="1:3" ht="15" customHeight="1">
      <c r="C1008" s="70" t="str">
        <f t="shared" si="17"/>
        <v/>
      </c>
    </row>
    <row r="1009" spans="3:3" ht="15" customHeight="1">
      <c r="C1009" s="70" t="str">
        <f t="shared" si="17"/>
        <v/>
      </c>
    </row>
    <row r="1010" spans="3:3" ht="15" customHeight="1">
      <c r="C1010" s="70" t="str">
        <f t="shared" si="17"/>
        <v/>
      </c>
    </row>
    <row r="1011" spans="3:3" ht="15" customHeight="1">
      <c r="C1011" s="70" t="str">
        <f t="shared" si="17"/>
        <v/>
      </c>
    </row>
    <row r="1012" spans="3:3" ht="15" customHeight="1">
      <c r="C1012" s="70" t="str">
        <f t="shared" si="17"/>
        <v/>
      </c>
    </row>
    <row r="1013" spans="3:3" ht="15" customHeight="1">
      <c r="C1013" s="70" t="str">
        <f t="shared" si="17"/>
        <v/>
      </c>
    </row>
    <row r="1014" spans="3:3" ht="15" customHeight="1">
      <c r="C1014" s="70" t="str">
        <f t="shared" si="17"/>
        <v/>
      </c>
    </row>
    <row r="1015" spans="3:3" ht="15" customHeight="1">
      <c r="C1015" s="70" t="str">
        <f t="shared" si="17"/>
        <v/>
      </c>
    </row>
    <row r="1016" spans="3:3" ht="15" customHeight="1">
      <c r="C1016" s="70" t="str">
        <f t="shared" si="17"/>
        <v/>
      </c>
    </row>
    <row r="1017" spans="3:3" ht="15" customHeight="1">
      <c r="C1017" s="70" t="str">
        <f t="shared" si="17"/>
        <v/>
      </c>
    </row>
    <row r="1018" spans="3:3" ht="15" customHeight="1">
      <c r="C1018" s="70" t="str">
        <f t="shared" si="17"/>
        <v/>
      </c>
    </row>
    <row r="1019" spans="3:3" ht="15" customHeight="1">
      <c r="C1019" s="70" t="str">
        <f t="shared" si="17"/>
        <v/>
      </c>
    </row>
    <row r="1020" spans="3:3" ht="15" customHeight="1">
      <c r="C1020" s="70" t="str">
        <f t="shared" si="17"/>
        <v/>
      </c>
    </row>
    <row r="1021" spans="3:3" ht="15" customHeight="1">
      <c r="C1021" s="70" t="str">
        <f t="shared" si="17"/>
        <v/>
      </c>
    </row>
    <row r="1022" spans="3:3" ht="15" customHeight="1">
      <c r="C1022" s="70" t="str">
        <f t="shared" si="17"/>
        <v/>
      </c>
    </row>
    <row r="1023" spans="3:3" ht="15" customHeight="1">
      <c r="C1023" s="70" t="str">
        <f t="shared" si="17"/>
        <v/>
      </c>
    </row>
    <row r="1024" spans="3:3" ht="15" customHeight="1">
      <c r="C1024" s="70" t="str">
        <f t="shared" si="17"/>
        <v/>
      </c>
    </row>
    <row r="1025" spans="3:3" ht="15" customHeight="1">
      <c r="C1025" s="70" t="str">
        <f t="shared" si="17"/>
        <v/>
      </c>
    </row>
    <row r="1026" spans="3:3" ht="15" customHeight="1">
      <c r="C1026" s="70" t="str">
        <f t="shared" si="17"/>
        <v/>
      </c>
    </row>
    <row r="1027" spans="3:3" ht="15" customHeight="1">
      <c r="C1027" s="70" t="str">
        <f t="shared" si="17"/>
        <v/>
      </c>
    </row>
    <row r="1028" spans="3:3" ht="15" customHeight="1">
      <c r="C1028" s="70" t="str">
        <f t="shared" si="17"/>
        <v/>
      </c>
    </row>
    <row r="1029" spans="3:3" ht="15" customHeight="1">
      <c r="C1029" s="70" t="str">
        <f t="shared" si="17"/>
        <v/>
      </c>
    </row>
    <row r="1030" spans="3:3" ht="15" customHeight="1">
      <c r="C1030" s="70" t="str">
        <f t="shared" si="17"/>
        <v/>
      </c>
    </row>
    <row r="1031" spans="3:3" ht="15" customHeight="1">
      <c r="C1031" s="70" t="str">
        <f t="shared" si="17"/>
        <v/>
      </c>
    </row>
    <row r="1032" spans="3:3" ht="15" customHeight="1">
      <c r="C1032" s="70" t="str">
        <f t="shared" si="17"/>
        <v/>
      </c>
    </row>
    <row r="1033" spans="3:3" ht="15" customHeight="1">
      <c r="C1033" s="70" t="str">
        <f t="shared" si="17"/>
        <v/>
      </c>
    </row>
    <row r="1034" spans="3:3" ht="15" customHeight="1">
      <c r="C1034" s="70" t="str">
        <f t="shared" si="17"/>
        <v/>
      </c>
    </row>
    <row r="1035" spans="3:3" ht="15" customHeight="1">
      <c r="C1035" s="70" t="str">
        <f t="shared" si="17"/>
        <v/>
      </c>
    </row>
    <row r="1036" spans="3:3" ht="15" customHeight="1">
      <c r="C1036" s="70" t="str">
        <f t="shared" si="17"/>
        <v/>
      </c>
    </row>
    <row r="1037" spans="3:3" ht="15" customHeight="1">
      <c r="C1037" s="70" t="str">
        <f t="shared" si="17"/>
        <v/>
      </c>
    </row>
    <row r="1038" spans="3:3" ht="15" customHeight="1">
      <c r="C1038" s="70" t="str">
        <f t="shared" si="17"/>
        <v/>
      </c>
    </row>
    <row r="1039" spans="3:3" ht="15" customHeight="1">
      <c r="C1039" s="70" t="str">
        <f t="shared" si="17"/>
        <v/>
      </c>
    </row>
    <row r="1040" spans="3:3" ht="15" customHeight="1">
      <c r="C1040" s="70" t="str">
        <f t="shared" si="17"/>
        <v/>
      </c>
    </row>
    <row r="1041" spans="3:3" ht="15" customHeight="1">
      <c r="C1041" s="70" t="str">
        <f t="shared" ref="C1041:C1104" si="18">IF(B1041&lt;&gt;"",TEXT(WEEKDAY(B1041),"dddd"),"")</f>
        <v/>
      </c>
    </row>
    <row r="1042" spans="3:3" ht="15" customHeight="1">
      <c r="C1042" s="70" t="str">
        <f t="shared" si="18"/>
        <v/>
      </c>
    </row>
    <row r="1043" spans="3:3" ht="15" customHeight="1">
      <c r="C1043" s="70" t="str">
        <f t="shared" si="18"/>
        <v/>
      </c>
    </row>
    <row r="1044" spans="3:3" ht="15" customHeight="1">
      <c r="C1044" s="70" t="str">
        <f t="shared" si="18"/>
        <v/>
      </c>
    </row>
    <row r="1045" spans="3:3" ht="15" customHeight="1">
      <c r="C1045" s="70" t="str">
        <f t="shared" si="18"/>
        <v/>
      </c>
    </row>
    <row r="1046" spans="3:3" ht="15" customHeight="1">
      <c r="C1046" s="70" t="str">
        <f t="shared" si="18"/>
        <v/>
      </c>
    </row>
    <row r="1047" spans="3:3" ht="15" customHeight="1">
      <c r="C1047" s="70" t="str">
        <f t="shared" si="18"/>
        <v/>
      </c>
    </row>
    <row r="1048" spans="3:3" ht="15" customHeight="1">
      <c r="C1048" s="70" t="str">
        <f t="shared" si="18"/>
        <v/>
      </c>
    </row>
    <row r="1049" spans="3:3" ht="15" customHeight="1">
      <c r="C1049" s="70" t="str">
        <f t="shared" si="18"/>
        <v/>
      </c>
    </row>
    <row r="1050" spans="3:3" ht="15" customHeight="1">
      <c r="C1050" s="70" t="str">
        <f t="shared" si="18"/>
        <v/>
      </c>
    </row>
    <row r="1051" spans="3:3" ht="15" customHeight="1">
      <c r="C1051" s="70" t="str">
        <f t="shared" si="18"/>
        <v/>
      </c>
    </row>
    <row r="1052" spans="3:3" ht="15" customHeight="1">
      <c r="C1052" s="70" t="str">
        <f t="shared" si="18"/>
        <v/>
      </c>
    </row>
    <row r="1053" spans="3:3" ht="15" customHeight="1">
      <c r="C1053" s="70" t="str">
        <f t="shared" si="18"/>
        <v/>
      </c>
    </row>
    <row r="1054" spans="3:3" ht="15" customHeight="1">
      <c r="C1054" s="70" t="str">
        <f t="shared" si="18"/>
        <v/>
      </c>
    </row>
    <row r="1055" spans="3:3" ht="15" customHeight="1">
      <c r="C1055" s="70" t="str">
        <f t="shared" si="18"/>
        <v/>
      </c>
    </row>
    <row r="1056" spans="3:3" ht="15" customHeight="1">
      <c r="C1056" s="70" t="str">
        <f t="shared" si="18"/>
        <v/>
      </c>
    </row>
    <row r="1057" spans="3:3" ht="15" customHeight="1">
      <c r="C1057" s="70" t="str">
        <f t="shared" si="18"/>
        <v/>
      </c>
    </row>
    <row r="1058" spans="3:3" ht="15" customHeight="1">
      <c r="C1058" s="70" t="str">
        <f t="shared" si="18"/>
        <v/>
      </c>
    </row>
    <row r="1059" spans="3:3" ht="15" customHeight="1">
      <c r="C1059" s="70" t="str">
        <f t="shared" si="18"/>
        <v/>
      </c>
    </row>
    <row r="1060" spans="3:3" ht="15" customHeight="1">
      <c r="C1060" s="70" t="str">
        <f t="shared" si="18"/>
        <v/>
      </c>
    </row>
    <row r="1061" spans="3:3" ht="15" customHeight="1">
      <c r="C1061" s="70" t="str">
        <f t="shared" si="18"/>
        <v/>
      </c>
    </row>
    <row r="1062" spans="3:3" ht="15" customHeight="1">
      <c r="C1062" s="70" t="str">
        <f t="shared" si="18"/>
        <v/>
      </c>
    </row>
    <row r="1063" spans="3:3" ht="15" customHeight="1">
      <c r="C1063" s="70" t="str">
        <f t="shared" si="18"/>
        <v/>
      </c>
    </row>
    <row r="1064" spans="3:3" ht="15" customHeight="1">
      <c r="C1064" s="70" t="str">
        <f t="shared" si="18"/>
        <v/>
      </c>
    </row>
    <row r="1065" spans="3:3" ht="15" customHeight="1">
      <c r="C1065" s="70" t="str">
        <f t="shared" si="18"/>
        <v/>
      </c>
    </row>
    <row r="1066" spans="3:3" ht="15" customHeight="1">
      <c r="C1066" s="70" t="str">
        <f t="shared" si="18"/>
        <v/>
      </c>
    </row>
    <row r="1067" spans="3:3" ht="15" customHeight="1">
      <c r="C1067" s="70" t="str">
        <f t="shared" si="18"/>
        <v/>
      </c>
    </row>
    <row r="1068" spans="3:3" ht="15" customHeight="1">
      <c r="C1068" s="70" t="str">
        <f t="shared" si="18"/>
        <v/>
      </c>
    </row>
    <row r="1069" spans="3:3" ht="15" customHeight="1">
      <c r="C1069" s="70" t="str">
        <f t="shared" si="18"/>
        <v/>
      </c>
    </row>
    <row r="1070" spans="3:3" ht="15" customHeight="1">
      <c r="C1070" s="70" t="str">
        <f t="shared" si="18"/>
        <v/>
      </c>
    </row>
    <row r="1071" spans="3:3" ht="15" customHeight="1">
      <c r="C1071" s="70" t="str">
        <f t="shared" si="18"/>
        <v/>
      </c>
    </row>
    <row r="1072" spans="3:3" ht="15" customHeight="1">
      <c r="C1072" s="70" t="str">
        <f t="shared" si="18"/>
        <v/>
      </c>
    </row>
    <row r="1073" spans="3:3" ht="15" customHeight="1">
      <c r="C1073" s="70" t="str">
        <f t="shared" si="18"/>
        <v/>
      </c>
    </row>
    <row r="1074" spans="3:3" ht="15" customHeight="1">
      <c r="C1074" s="70" t="str">
        <f t="shared" si="18"/>
        <v/>
      </c>
    </row>
    <row r="1075" spans="3:3" ht="15" customHeight="1">
      <c r="C1075" s="70" t="str">
        <f t="shared" si="18"/>
        <v/>
      </c>
    </row>
    <row r="1076" spans="3:3" ht="15" customHeight="1">
      <c r="C1076" s="70" t="str">
        <f t="shared" si="18"/>
        <v/>
      </c>
    </row>
    <row r="1077" spans="3:3" ht="15" customHeight="1">
      <c r="C1077" s="70" t="str">
        <f t="shared" si="18"/>
        <v/>
      </c>
    </row>
    <row r="1078" spans="3:3" ht="15" customHeight="1">
      <c r="C1078" s="70" t="str">
        <f t="shared" si="18"/>
        <v/>
      </c>
    </row>
    <row r="1079" spans="3:3" ht="15" customHeight="1">
      <c r="C1079" s="70" t="str">
        <f t="shared" si="18"/>
        <v/>
      </c>
    </row>
    <row r="1080" spans="3:3" ht="15" customHeight="1">
      <c r="C1080" s="70" t="str">
        <f t="shared" si="18"/>
        <v/>
      </c>
    </row>
    <row r="1081" spans="3:3" ht="15" customHeight="1">
      <c r="C1081" s="70" t="str">
        <f t="shared" si="18"/>
        <v/>
      </c>
    </row>
    <row r="1082" spans="3:3" ht="15" customHeight="1">
      <c r="C1082" s="70" t="str">
        <f t="shared" si="18"/>
        <v/>
      </c>
    </row>
    <row r="1083" spans="3:3" ht="15" customHeight="1">
      <c r="C1083" s="70" t="str">
        <f t="shared" si="18"/>
        <v/>
      </c>
    </row>
    <row r="1084" spans="3:3" ht="15" customHeight="1">
      <c r="C1084" s="70" t="str">
        <f t="shared" si="18"/>
        <v/>
      </c>
    </row>
    <row r="1085" spans="3:3" ht="15" customHeight="1">
      <c r="C1085" s="70" t="str">
        <f t="shared" si="18"/>
        <v/>
      </c>
    </row>
    <row r="1086" spans="3:3" ht="15" customHeight="1">
      <c r="C1086" s="70" t="str">
        <f t="shared" si="18"/>
        <v/>
      </c>
    </row>
    <row r="1087" spans="3:3" ht="15" customHeight="1">
      <c r="C1087" s="70" t="str">
        <f t="shared" si="18"/>
        <v/>
      </c>
    </row>
    <row r="1088" spans="3:3" ht="15" customHeight="1">
      <c r="C1088" s="70" t="str">
        <f t="shared" si="18"/>
        <v/>
      </c>
    </row>
    <row r="1089" spans="3:3" ht="15" customHeight="1">
      <c r="C1089" s="70" t="str">
        <f t="shared" si="18"/>
        <v/>
      </c>
    </row>
    <row r="1090" spans="3:3" ht="15" customHeight="1">
      <c r="C1090" s="70" t="str">
        <f t="shared" si="18"/>
        <v/>
      </c>
    </row>
    <row r="1091" spans="3:3" ht="15" customHeight="1">
      <c r="C1091" s="70" t="str">
        <f t="shared" si="18"/>
        <v/>
      </c>
    </row>
    <row r="1092" spans="3:3" ht="15" customHeight="1">
      <c r="C1092" s="70" t="str">
        <f t="shared" si="18"/>
        <v/>
      </c>
    </row>
    <row r="1093" spans="3:3" ht="15" customHeight="1">
      <c r="C1093" s="70" t="str">
        <f t="shared" si="18"/>
        <v/>
      </c>
    </row>
    <row r="1094" spans="3:3" ht="15" customHeight="1">
      <c r="C1094" s="70" t="str">
        <f t="shared" si="18"/>
        <v/>
      </c>
    </row>
    <row r="1095" spans="3:3" ht="15" customHeight="1">
      <c r="C1095" s="70" t="str">
        <f t="shared" si="18"/>
        <v/>
      </c>
    </row>
    <row r="1096" spans="3:3" ht="15" customHeight="1">
      <c r="C1096" s="70" t="str">
        <f t="shared" si="18"/>
        <v/>
      </c>
    </row>
    <row r="1097" spans="3:3" ht="15" customHeight="1">
      <c r="C1097" s="70" t="str">
        <f t="shared" si="18"/>
        <v/>
      </c>
    </row>
    <row r="1098" spans="3:3" ht="15" customHeight="1">
      <c r="C1098" s="70" t="str">
        <f t="shared" si="18"/>
        <v/>
      </c>
    </row>
    <row r="1099" spans="3:3" ht="15" customHeight="1">
      <c r="C1099" s="70" t="str">
        <f t="shared" si="18"/>
        <v/>
      </c>
    </row>
    <row r="1100" spans="3:3" ht="15" customHeight="1">
      <c r="C1100" s="70" t="str">
        <f t="shared" si="18"/>
        <v/>
      </c>
    </row>
    <row r="1101" spans="3:3" ht="15" customHeight="1">
      <c r="C1101" s="70" t="str">
        <f t="shared" si="18"/>
        <v/>
      </c>
    </row>
    <row r="1102" spans="3:3" ht="15" customHeight="1">
      <c r="C1102" s="70" t="str">
        <f t="shared" si="18"/>
        <v/>
      </c>
    </row>
    <row r="1103" spans="3:3" ht="15" customHeight="1">
      <c r="C1103" s="70" t="str">
        <f t="shared" si="18"/>
        <v/>
      </c>
    </row>
    <row r="1104" spans="3:3" ht="15" customHeight="1">
      <c r="C1104" s="70" t="str">
        <f t="shared" si="18"/>
        <v/>
      </c>
    </row>
    <row r="1105" spans="3:3" ht="15" customHeight="1">
      <c r="C1105" s="70" t="str">
        <f t="shared" ref="C1105:C1168" si="19">IF(B1105&lt;&gt;"",TEXT(WEEKDAY(B1105),"dddd"),"")</f>
        <v/>
      </c>
    </row>
    <row r="1106" spans="3:3" ht="15" customHeight="1">
      <c r="C1106" s="70" t="str">
        <f t="shared" si="19"/>
        <v/>
      </c>
    </row>
    <row r="1107" spans="3:3" ht="15" customHeight="1">
      <c r="C1107" s="70" t="str">
        <f t="shared" si="19"/>
        <v/>
      </c>
    </row>
    <row r="1108" spans="3:3" ht="15" customHeight="1">
      <c r="C1108" s="70" t="str">
        <f t="shared" si="19"/>
        <v/>
      </c>
    </row>
    <row r="1109" spans="3:3" ht="15" customHeight="1">
      <c r="C1109" s="70" t="str">
        <f t="shared" si="19"/>
        <v/>
      </c>
    </row>
    <row r="1110" spans="3:3" ht="15" customHeight="1">
      <c r="C1110" s="70" t="str">
        <f t="shared" si="19"/>
        <v/>
      </c>
    </row>
    <row r="1111" spans="3:3" ht="15" customHeight="1">
      <c r="C1111" s="70" t="str">
        <f t="shared" si="19"/>
        <v/>
      </c>
    </row>
    <row r="1112" spans="3:3" ht="15" customHeight="1">
      <c r="C1112" s="70" t="str">
        <f t="shared" si="19"/>
        <v/>
      </c>
    </row>
    <row r="1113" spans="3:3" ht="15" customHeight="1">
      <c r="C1113" s="70" t="str">
        <f t="shared" si="19"/>
        <v/>
      </c>
    </row>
    <row r="1114" spans="3:3" ht="15" customHeight="1">
      <c r="C1114" s="70" t="str">
        <f t="shared" si="19"/>
        <v/>
      </c>
    </row>
    <row r="1115" spans="3:3" ht="15" customHeight="1">
      <c r="C1115" s="70" t="str">
        <f t="shared" si="19"/>
        <v/>
      </c>
    </row>
    <row r="1116" spans="3:3" ht="15" customHeight="1">
      <c r="C1116" s="70" t="str">
        <f t="shared" si="19"/>
        <v/>
      </c>
    </row>
    <row r="1117" spans="3:3" ht="15" customHeight="1">
      <c r="C1117" s="70" t="str">
        <f t="shared" si="19"/>
        <v/>
      </c>
    </row>
    <row r="1118" spans="3:3" ht="15" customHeight="1">
      <c r="C1118" s="70" t="str">
        <f t="shared" si="19"/>
        <v/>
      </c>
    </row>
    <row r="1119" spans="3:3" ht="15" customHeight="1">
      <c r="C1119" s="70" t="str">
        <f t="shared" si="19"/>
        <v/>
      </c>
    </row>
    <row r="1120" spans="3:3" ht="15" customHeight="1">
      <c r="C1120" s="70" t="str">
        <f t="shared" si="19"/>
        <v/>
      </c>
    </row>
    <row r="1121" spans="3:3" ht="15" customHeight="1">
      <c r="C1121" s="70" t="str">
        <f t="shared" si="19"/>
        <v/>
      </c>
    </row>
    <row r="1122" spans="3:3" ht="15" customHeight="1">
      <c r="C1122" s="70" t="str">
        <f t="shared" si="19"/>
        <v/>
      </c>
    </row>
    <row r="1123" spans="3:3" ht="15" customHeight="1">
      <c r="C1123" s="70" t="str">
        <f t="shared" si="19"/>
        <v/>
      </c>
    </row>
    <row r="1124" spans="3:3" ht="15" customHeight="1">
      <c r="C1124" s="70" t="str">
        <f t="shared" si="19"/>
        <v/>
      </c>
    </row>
    <row r="1125" spans="3:3" ht="15" customHeight="1">
      <c r="C1125" s="70" t="str">
        <f t="shared" si="19"/>
        <v/>
      </c>
    </row>
    <row r="1126" spans="3:3" ht="15" customHeight="1">
      <c r="C1126" s="70" t="str">
        <f t="shared" si="19"/>
        <v/>
      </c>
    </row>
    <row r="1127" spans="3:3" ht="15" customHeight="1">
      <c r="C1127" s="70" t="str">
        <f t="shared" si="19"/>
        <v/>
      </c>
    </row>
    <row r="1128" spans="3:3" ht="15" customHeight="1">
      <c r="C1128" s="70" t="str">
        <f t="shared" si="19"/>
        <v/>
      </c>
    </row>
    <row r="1129" spans="3:3" ht="15" customHeight="1">
      <c r="C1129" s="70" t="str">
        <f t="shared" si="19"/>
        <v/>
      </c>
    </row>
    <row r="1130" spans="3:3" ht="15" customHeight="1">
      <c r="C1130" s="70" t="str">
        <f t="shared" si="19"/>
        <v/>
      </c>
    </row>
    <row r="1131" spans="3:3" ht="15" customHeight="1">
      <c r="C1131" s="70" t="str">
        <f t="shared" si="19"/>
        <v/>
      </c>
    </row>
    <row r="1132" spans="3:3" ht="15" customHeight="1">
      <c r="C1132" s="70" t="str">
        <f t="shared" si="19"/>
        <v/>
      </c>
    </row>
    <row r="1133" spans="3:3" ht="15" customHeight="1">
      <c r="C1133" s="70" t="str">
        <f t="shared" si="19"/>
        <v/>
      </c>
    </row>
    <row r="1134" spans="3:3" ht="15" customHeight="1">
      <c r="C1134" s="70" t="str">
        <f t="shared" si="19"/>
        <v/>
      </c>
    </row>
    <row r="1135" spans="3:3" ht="15" customHeight="1">
      <c r="C1135" s="70" t="str">
        <f t="shared" si="19"/>
        <v/>
      </c>
    </row>
    <row r="1136" spans="3:3" ht="15" customHeight="1">
      <c r="C1136" s="70" t="str">
        <f t="shared" si="19"/>
        <v/>
      </c>
    </row>
    <row r="1137" spans="3:3" ht="15" customHeight="1">
      <c r="C1137" s="70" t="str">
        <f t="shared" si="19"/>
        <v/>
      </c>
    </row>
    <row r="1138" spans="3:3" ht="15" customHeight="1">
      <c r="C1138" s="70" t="str">
        <f t="shared" si="19"/>
        <v/>
      </c>
    </row>
    <row r="1139" spans="3:3" ht="15" customHeight="1">
      <c r="C1139" s="70" t="str">
        <f t="shared" si="19"/>
        <v/>
      </c>
    </row>
    <row r="1140" spans="3:3" ht="15" customHeight="1">
      <c r="C1140" s="70" t="str">
        <f t="shared" si="19"/>
        <v/>
      </c>
    </row>
    <row r="1141" spans="3:3" ht="15" customHeight="1">
      <c r="C1141" s="70" t="str">
        <f t="shared" si="19"/>
        <v/>
      </c>
    </row>
    <row r="1142" spans="3:3" ht="15" customHeight="1">
      <c r="C1142" s="70" t="str">
        <f t="shared" si="19"/>
        <v/>
      </c>
    </row>
    <row r="1143" spans="3:3" ht="15" customHeight="1">
      <c r="C1143" s="70" t="str">
        <f t="shared" si="19"/>
        <v/>
      </c>
    </row>
    <row r="1144" spans="3:3" ht="15" customHeight="1">
      <c r="C1144" s="70" t="str">
        <f t="shared" si="19"/>
        <v/>
      </c>
    </row>
    <row r="1145" spans="3:3" ht="15" customHeight="1">
      <c r="C1145" s="70" t="str">
        <f t="shared" si="19"/>
        <v/>
      </c>
    </row>
    <row r="1146" spans="3:3" ht="15" customHeight="1">
      <c r="C1146" s="70" t="str">
        <f t="shared" si="19"/>
        <v/>
      </c>
    </row>
    <row r="1147" spans="3:3" ht="15" customHeight="1">
      <c r="C1147" s="70" t="str">
        <f t="shared" si="19"/>
        <v/>
      </c>
    </row>
    <row r="1148" spans="3:3" ht="15" customHeight="1">
      <c r="C1148" s="70" t="str">
        <f t="shared" si="19"/>
        <v/>
      </c>
    </row>
    <row r="1149" spans="3:3" ht="15" customHeight="1">
      <c r="C1149" s="70" t="str">
        <f t="shared" si="19"/>
        <v/>
      </c>
    </row>
    <row r="1150" spans="3:3" ht="15" customHeight="1">
      <c r="C1150" s="70" t="str">
        <f t="shared" si="19"/>
        <v/>
      </c>
    </row>
    <row r="1151" spans="3:3" ht="15" customHeight="1">
      <c r="C1151" s="70" t="str">
        <f t="shared" si="19"/>
        <v/>
      </c>
    </row>
    <row r="1152" spans="3:3" ht="15" customHeight="1">
      <c r="C1152" s="70" t="str">
        <f t="shared" si="19"/>
        <v/>
      </c>
    </row>
    <row r="1153" spans="3:3" ht="15" customHeight="1">
      <c r="C1153" s="70" t="str">
        <f t="shared" si="19"/>
        <v/>
      </c>
    </row>
    <row r="1154" spans="3:3" ht="15" customHeight="1">
      <c r="C1154" s="70" t="str">
        <f t="shared" si="19"/>
        <v/>
      </c>
    </row>
    <row r="1155" spans="3:3" ht="15" customHeight="1">
      <c r="C1155" s="70" t="str">
        <f t="shared" si="19"/>
        <v/>
      </c>
    </row>
    <row r="1156" spans="3:3" ht="15" customHeight="1">
      <c r="C1156" s="70" t="str">
        <f t="shared" si="19"/>
        <v/>
      </c>
    </row>
    <row r="1157" spans="3:3" ht="15" customHeight="1">
      <c r="C1157" s="70" t="str">
        <f t="shared" si="19"/>
        <v/>
      </c>
    </row>
    <row r="1158" spans="3:3" ht="15" customHeight="1">
      <c r="C1158" s="70" t="str">
        <f t="shared" si="19"/>
        <v/>
      </c>
    </row>
    <row r="1159" spans="3:3" ht="15" customHeight="1">
      <c r="C1159" s="70" t="str">
        <f t="shared" si="19"/>
        <v/>
      </c>
    </row>
    <row r="1160" spans="3:3" ht="15" customHeight="1">
      <c r="C1160" s="70" t="str">
        <f t="shared" si="19"/>
        <v/>
      </c>
    </row>
    <row r="1161" spans="3:3" ht="15" customHeight="1">
      <c r="C1161" s="70" t="str">
        <f t="shared" si="19"/>
        <v/>
      </c>
    </row>
    <row r="1162" spans="3:3" ht="15" customHeight="1">
      <c r="C1162" s="70" t="str">
        <f t="shared" si="19"/>
        <v/>
      </c>
    </row>
    <row r="1163" spans="3:3" ht="15" customHeight="1">
      <c r="C1163" s="70" t="str">
        <f t="shared" si="19"/>
        <v/>
      </c>
    </row>
    <row r="1164" spans="3:3" ht="15" customHeight="1">
      <c r="C1164" s="70" t="str">
        <f t="shared" si="19"/>
        <v/>
      </c>
    </row>
    <row r="1165" spans="3:3" ht="15" customHeight="1">
      <c r="C1165" s="70" t="str">
        <f t="shared" si="19"/>
        <v/>
      </c>
    </row>
    <row r="1166" spans="3:3" ht="15" customHeight="1">
      <c r="C1166" s="70" t="str">
        <f t="shared" si="19"/>
        <v/>
      </c>
    </row>
    <row r="1167" spans="3:3" ht="15" customHeight="1">
      <c r="C1167" s="70" t="str">
        <f t="shared" si="19"/>
        <v/>
      </c>
    </row>
    <row r="1168" spans="3:3" ht="15" customHeight="1">
      <c r="C1168" s="70" t="str">
        <f t="shared" si="19"/>
        <v/>
      </c>
    </row>
    <row r="1169" spans="3:3" ht="15" customHeight="1">
      <c r="C1169" s="70" t="str">
        <f t="shared" ref="C1169:C1232" si="20">IF(B1169&lt;&gt;"",TEXT(WEEKDAY(B1169),"dddd"),"")</f>
        <v/>
      </c>
    </row>
    <row r="1170" spans="3:3" ht="15" customHeight="1">
      <c r="C1170" s="70" t="str">
        <f t="shared" si="20"/>
        <v/>
      </c>
    </row>
    <row r="1171" spans="3:3" ht="15" customHeight="1">
      <c r="C1171" s="70" t="str">
        <f t="shared" si="20"/>
        <v/>
      </c>
    </row>
    <row r="1172" spans="3:3" ht="15" customHeight="1">
      <c r="C1172" s="70" t="str">
        <f t="shared" si="20"/>
        <v/>
      </c>
    </row>
    <row r="1173" spans="3:3" ht="15" customHeight="1">
      <c r="C1173" s="70" t="str">
        <f t="shared" si="20"/>
        <v/>
      </c>
    </row>
    <row r="1174" spans="3:3" ht="15" customHeight="1">
      <c r="C1174" s="70" t="str">
        <f t="shared" si="20"/>
        <v/>
      </c>
    </row>
    <row r="1175" spans="3:3" ht="15" customHeight="1">
      <c r="C1175" s="70" t="str">
        <f t="shared" si="20"/>
        <v/>
      </c>
    </row>
    <row r="1176" spans="3:3" ht="15" customHeight="1">
      <c r="C1176" s="70" t="str">
        <f t="shared" si="20"/>
        <v/>
      </c>
    </row>
    <row r="1177" spans="3:3" ht="15" customHeight="1">
      <c r="C1177" s="70" t="str">
        <f t="shared" si="20"/>
        <v/>
      </c>
    </row>
    <row r="1178" spans="3:3" ht="15" customHeight="1">
      <c r="C1178" s="70" t="str">
        <f t="shared" si="20"/>
        <v/>
      </c>
    </row>
    <row r="1179" spans="3:3" ht="15" customHeight="1">
      <c r="C1179" s="70" t="str">
        <f t="shared" si="20"/>
        <v/>
      </c>
    </row>
    <row r="1180" spans="3:3" ht="15" customHeight="1">
      <c r="C1180" s="70" t="str">
        <f t="shared" si="20"/>
        <v/>
      </c>
    </row>
    <row r="1181" spans="3:3" ht="15" customHeight="1">
      <c r="C1181" s="70" t="str">
        <f t="shared" si="20"/>
        <v/>
      </c>
    </row>
    <row r="1182" spans="3:3" ht="15" customHeight="1">
      <c r="C1182" s="70" t="str">
        <f t="shared" si="20"/>
        <v/>
      </c>
    </row>
    <row r="1183" spans="3:3" ht="15" customHeight="1">
      <c r="C1183" s="70" t="str">
        <f t="shared" si="20"/>
        <v/>
      </c>
    </row>
    <row r="1184" spans="3:3" ht="15" customHeight="1">
      <c r="C1184" s="70" t="str">
        <f t="shared" si="20"/>
        <v/>
      </c>
    </row>
    <row r="1185" spans="3:3" ht="15" customHeight="1">
      <c r="C1185" s="70" t="str">
        <f t="shared" si="20"/>
        <v/>
      </c>
    </row>
    <row r="1186" spans="3:3" ht="15" customHeight="1">
      <c r="C1186" s="70" t="str">
        <f t="shared" si="20"/>
        <v/>
      </c>
    </row>
    <row r="1187" spans="3:3" ht="15" customHeight="1">
      <c r="C1187" s="70" t="str">
        <f t="shared" si="20"/>
        <v/>
      </c>
    </row>
    <row r="1188" spans="3:3" ht="15" customHeight="1">
      <c r="C1188" s="70" t="str">
        <f t="shared" si="20"/>
        <v/>
      </c>
    </row>
    <row r="1189" spans="3:3" ht="15" customHeight="1">
      <c r="C1189" s="70" t="str">
        <f t="shared" si="20"/>
        <v/>
      </c>
    </row>
    <row r="1190" spans="3:3" ht="15" customHeight="1">
      <c r="C1190" s="70" t="str">
        <f t="shared" si="20"/>
        <v/>
      </c>
    </row>
    <row r="1191" spans="3:3" ht="15" customHeight="1">
      <c r="C1191" s="70" t="str">
        <f t="shared" si="20"/>
        <v/>
      </c>
    </row>
    <row r="1192" spans="3:3" ht="15" customHeight="1">
      <c r="C1192" s="70" t="str">
        <f t="shared" si="20"/>
        <v/>
      </c>
    </row>
    <row r="1193" spans="3:3" ht="15" customHeight="1">
      <c r="C1193" s="70" t="str">
        <f t="shared" si="20"/>
        <v/>
      </c>
    </row>
    <row r="1194" spans="3:3" ht="15" customHeight="1">
      <c r="C1194" s="70" t="str">
        <f t="shared" si="20"/>
        <v/>
      </c>
    </row>
    <row r="1195" spans="3:3" ht="15" customHeight="1">
      <c r="C1195" s="70" t="str">
        <f t="shared" si="20"/>
        <v/>
      </c>
    </row>
    <row r="1196" spans="3:3" ht="15" customHeight="1">
      <c r="C1196" s="70" t="str">
        <f t="shared" si="20"/>
        <v/>
      </c>
    </row>
    <row r="1197" spans="3:3" ht="15" customHeight="1">
      <c r="C1197" s="70" t="str">
        <f t="shared" si="20"/>
        <v/>
      </c>
    </row>
    <row r="1198" spans="3:3" ht="15" customHeight="1">
      <c r="C1198" s="70" t="str">
        <f t="shared" si="20"/>
        <v/>
      </c>
    </row>
    <row r="1199" spans="3:3" ht="15" customHeight="1">
      <c r="C1199" s="70" t="str">
        <f t="shared" si="20"/>
        <v/>
      </c>
    </row>
    <row r="1200" spans="3:3" ht="15" customHeight="1">
      <c r="C1200" s="70" t="str">
        <f t="shared" si="20"/>
        <v/>
      </c>
    </row>
    <row r="1201" spans="3:3" ht="15" customHeight="1">
      <c r="C1201" s="70" t="str">
        <f t="shared" si="20"/>
        <v/>
      </c>
    </row>
    <row r="1202" spans="3:3" ht="15" customHeight="1">
      <c r="C1202" s="70" t="str">
        <f t="shared" si="20"/>
        <v/>
      </c>
    </row>
    <row r="1203" spans="3:3" ht="15" customHeight="1">
      <c r="C1203" s="70" t="str">
        <f t="shared" si="20"/>
        <v/>
      </c>
    </row>
    <row r="1204" spans="3:3" ht="15" customHeight="1">
      <c r="C1204" s="70" t="str">
        <f t="shared" si="20"/>
        <v/>
      </c>
    </row>
    <row r="1205" spans="3:3" ht="15" customHeight="1">
      <c r="C1205" s="70" t="str">
        <f t="shared" si="20"/>
        <v/>
      </c>
    </row>
    <row r="1206" spans="3:3" ht="15" customHeight="1">
      <c r="C1206" s="70" t="str">
        <f t="shared" si="20"/>
        <v/>
      </c>
    </row>
    <row r="1207" spans="3:3" ht="15" customHeight="1">
      <c r="C1207" s="70" t="str">
        <f t="shared" si="20"/>
        <v/>
      </c>
    </row>
    <row r="1208" spans="3:3" ht="15" customHeight="1">
      <c r="C1208" s="70" t="str">
        <f t="shared" si="20"/>
        <v/>
      </c>
    </row>
    <row r="1209" spans="3:3" ht="15" customHeight="1">
      <c r="C1209" s="70" t="str">
        <f t="shared" si="20"/>
        <v/>
      </c>
    </row>
    <row r="1210" spans="3:3" ht="15" customHeight="1">
      <c r="C1210" s="70" t="str">
        <f t="shared" si="20"/>
        <v/>
      </c>
    </row>
    <row r="1211" spans="3:3" ht="15" customHeight="1">
      <c r="C1211" s="70" t="str">
        <f t="shared" si="20"/>
        <v/>
      </c>
    </row>
    <row r="1212" spans="3:3" ht="15" customHeight="1">
      <c r="C1212" s="70" t="str">
        <f t="shared" si="20"/>
        <v/>
      </c>
    </row>
    <row r="1213" spans="3:3" ht="15" customHeight="1">
      <c r="C1213" s="70" t="str">
        <f t="shared" si="20"/>
        <v/>
      </c>
    </row>
    <row r="1214" spans="3:3" ht="15" customHeight="1">
      <c r="C1214" s="70" t="str">
        <f t="shared" si="20"/>
        <v/>
      </c>
    </row>
    <row r="1215" spans="3:3" ht="15" customHeight="1">
      <c r="C1215" s="70" t="str">
        <f t="shared" si="20"/>
        <v/>
      </c>
    </row>
    <row r="1216" spans="3:3" ht="15" customHeight="1">
      <c r="C1216" s="70" t="str">
        <f t="shared" si="20"/>
        <v/>
      </c>
    </row>
    <row r="1217" spans="3:3" ht="15" customHeight="1">
      <c r="C1217" s="70" t="str">
        <f t="shared" si="20"/>
        <v/>
      </c>
    </row>
    <row r="1218" spans="3:3" ht="15" customHeight="1">
      <c r="C1218" s="70" t="str">
        <f t="shared" si="20"/>
        <v/>
      </c>
    </row>
    <row r="1219" spans="3:3" ht="15" customHeight="1">
      <c r="C1219" s="70" t="str">
        <f t="shared" si="20"/>
        <v/>
      </c>
    </row>
    <row r="1220" spans="3:3" ht="15" customHeight="1">
      <c r="C1220" s="70" t="str">
        <f t="shared" si="20"/>
        <v/>
      </c>
    </row>
    <row r="1221" spans="3:3" ht="15" customHeight="1">
      <c r="C1221" s="70" t="str">
        <f t="shared" si="20"/>
        <v/>
      </c>
    </row>
    <row r="1222" spans="3:3" ht="15" customHeight="1">
      <c r="C1222" s="70" t="str">
        <f t="shared" si="20"/>
        <v/>
      </c>
    </row>
    <row r="1223" spans="3:3" ht="15" customHeight="1">
      <c r="C1223" s="70" t="str">
        <f t="shared" si="20"/>
        <v/>
      </c>
    </row>
    <row r="1224" spans="3:3" ht="15" customHeight="1">
      <c r="C1224" s="70" t="str">
        <f t="shared" si="20"/>
        <v/>
      </c>
    </row>
    <row r="1225" spans="3:3" ht="15" customHeight="1">
      <c r="C1225" s="70" t="str">
        <f t="shared" si="20"/>
        <v/>
      </c>
    </row>
    <row r="1226" spans="3:3" ht="15" customHeight="1">
      <c r="C1226" s="70" t="str">
        <f t="shared" si="20"/>
        <v/>
      </c>
    </row>
    <row r="1227" spans="3:3" ht="15" customHeight="1">
      <c r="C1227" s="70" t="str">
        <f t="shared" si="20"/>
        <v/>
      </c>
    </row>
    <row r="1228" spans="3:3" ht="15" customHeight="1">
      <c r="C1228" s="70" t="str">
        <f t="shared" si="20"/>
        <v/>
      </c>
    </row>
    <row r="1229" spans="3:3" ht="15" customHeight="1">
      <c r="C1229" s="70" t="str">
        <f t="shared" si="20"/>
        <v/>
      </c>
    </row>
    <row r="1230" spans="3:3" ht="15" customHeight="1">
      <c r="C1230" s="70" t="str">
        <f t="shared" si="20"/>
        <v/>
      </c>
    </row>
    <row r="1231" spans="3:3" ht="15" customHeight="1">
      <c r="C1231" s="70" t="str">
        <f t="shared" si="20"/>
        <v/>
      </c>
    </row>
    <row r="1232" spans="3:3" ht="15" customHeight="1">
      <c r="C1232" s="70" t="str">
        <f t="shared" si="20"/>
        <v/>
      </c>
    </row>
    <row r="1233" spans="3:3" ht="15" customHeight="1">
      <c r="C1233" s="70" t="str">
        <f t="shared" ref="C1233:C1296" si="21">IF(B1233&lt;&gt;"",TEXT(WEEKDAY(B1233),"dddd"),"")</f>
        <v/>
      </c>
    </row>
    <row r="1234" spans="3:3" ht="15" customHeight="1">
      <c r="C1234" s="70" t="str">
        <f t="shared" si="21"/>
        <v/>
      </c>
    </row>
    <row r="1235" spans="3:3" ht="15" customHeight="1">
      <c r="C1235" s="70" t="str">
        <f t="shared" si="21"/>
        <v/>
      </c>
    </row>
    <row r="1236" spans="3:3" ht="15" customHeight="1">
      <c r="C1236" s="70" t="str">
        <f t="shared" si="21"/>
        <v/>
      </c>
    </row>
    <row r="1237" spans="3:3" ht="15" customHeight="1">
      <c r="C1237" s="70" t="str">
        <f t="shared" si="21"/>
        <v/>
      </c>
    </row>
    <row r="1238" spans="3:3" ht="15" customHeight="1">
      <c r="C1238" s="70" t="str">
        <f t="shared" si="21"/>
        <v/>
      </c>
    </row>
    <row r="1239" spans="3:3" ht="15" customHeight="1">
      <c r="C1239" s="70" t="str">
        <f t="shared" si="21"/>
        <v/>
      </c>
    </row>
    <row r="1240" spans="3:3" ht="15" customHeight="1">
      <c r="C1240" s="70" t="str">
        <f t="shared" si="21"/>
        <v/>
      </c>
    </row>
    <row r="1241" spans="3:3" ht="15" customHeight="1">
      <c r="C1241" s="70" t="str">
        <f t="shared" si="21"/>
        <v/>
      </c>
    </row>
    <row r="1242" spans="3:3" ht="15" customHeight="1">
      <c r="C1242" s="70" t="str">
        <f t="shared" si="21"/>
        <v/>
      </c>
    </row>
    <row r="1243" spans="3:3" ht="15" customHeight="1">
      <c r="C1243" s="70" t="str">
        <f t="shared" si="21"/>
        <v/>
      </c>
    </row>
    <row r="1244" spans="3:3" ht="15" customHeight="1">
      <c r="C1244" s="70" t="str">
        <f t="shared" si="21"/>
        <v/>
      </c>
    </row>
    <row r="1245" spans="3:3" ht="15" customHeight="1">
      <c r="C1245" s="70" t="str">
        <f t="shared" si="21"/>
        <v/>
      </c>
    </row>
    <row r="1246" spans="3:3" ht="15" customHeight="1">
      <c r="C1246" s="70" t="str">
        <f t="shared" si="21"/>
        <v/>
      </c>
    </row>
    <row r="1247" spans="3:3" ht="15" customHeight="1">
      <c r="C1247" s="70" t="str">
        <f t="shared" si="21"/>
        <v/>
      </c>
    </row>
    <row r="1248" spans="3:3" ht="15" customHeight="1">
      <c r="C1248" s="70" t="str">
        <f t="shared" si="21"/>
        <v/>
      </c>
    </row>
    <row r="1249" spans="3:3" ht="15" customHeight="1">
      <c r="C1249" s="70" t="str">
        <f t="shared" si="21"/>
        <v/>
      </c>
    </row>
    <row r="1250" spans="3:3" ht="15" customHeight="1">
      <c r="C1250" s="70" t="str">
        <f t="shared" si="21"/>
        <v/>
      </c>
    </row>
    <row r="1251" spans="3:3" ht="15" customHeight="1">
      <c r="C1251" s="70" t="str">
        <f t="shared" si="21"/>
        <v/>
      </c>
    </row>
    <row r="1252" spans="3:3" ht="15" customHeight="1">
      <c r="C1252" s="70" t="str">
        <f t="shared" si="21"/>
        <v/>
      </c>
    </row>
    <row r="1253" spans="3:3" ht="15" customHeight="1">
      <c r="C1253" s="70" t="str">
        <f t="shared" si="21"/>
        <v/>
      </c>
    </row>
    <row r="1254" spans="3:3" ht="15" customHeight="1">
      <c r="C1254" s="70" t="str">
        <f t="shared" si="21"/>
        <v/>
      </c>
    </row>
    <row r="1255" spans="3:3" ht="15" customHeight="1">
      <c r="C1255" s="70" t="str">
        <f t="shared" si="21"/>
        <v/>
      </c>
    </row>
    <row r="1256" spans="3:3" ht="15" customHeight="1">
      <c r="C1256" s="70" t="str">
        <f t="shared" si="21"/>
        <v/>
      </c>
    </row>
    <row r="1257" spans="3:3" ht="15" customHeight="1">
      <c r="C1257" s="70" t="str">
        <f t="shared" si="21"/>
        <v/>
      </c>
    </row>
    <row r="1258" spans="3:3" ht="15" customHeight="1">
      <c r="C1258" s="70" t="str">
        <f t="shared" si="21"/>
        <v/>
      </c>
    </row>
    <row r="1259" spans="3:3" ht="15" customHeight="1">
      <c r="C1259" s="70" t="str">
        <f t="shared" si="21"/>
        <v/>
      </c>
    </row>
    <row r="1260" spans="3:3" ht="15" customHeight="1">
      <c r="C1260" s="70" t="str">
        <f t="shared" si="21"/>
        <v/>
      </c>
    </row>
    <row r="1261" spans="3:3" ht="15" customHeight="1">
      <c r="C1261" s="70" t="str">
        <f t="shared" si="21"/>
        <v/>
      </c>
    </row>
    <row r="1262" spans="3:3" ht="15" customHeight="1">
      <c r="C1262" s="70" t="str">
        <f t="shared" si="21"/>
        <v/>
      </c>
    </row>
    <row r="1263" spans="3:3" ht="15" customHeight="1">
      <c r="C1263" s="70" t="str">
        <f t="shared" si="21"/>
        <v/>
      </c>
    </row>
    <row r="1264" spans="3:3" ht="15" customHeight="1">
      <c r="C1264" s="70" t="str">
        <f t="shared" si="21"/>
        <v/>
      </c>
    </row>
    <row r="1265" spans="3:3" ht="15" customHeight="1">
      <c r="C1265" s="70" t="str">
        <f t="shared" si="21"/>
        <v/>
      </c>
    </row>
    <row r="1266" spans="3:3" ht="15" customHeight="1">
      <c r="C1266" s="70" t="str">
        <f t="shared" si="21"/>
        <v/>
      </c>
    </row>
    <row r="1267" spans="3:3" ht="15" customHeight="1">
      <c r="C1267" s="70" t="str">
        <f t="shared" si="21"/>
        <v/>
      </c>
    </row>
    <row r="1268" spans="3:3" ht="15" customHeight="1">
      <c r="C1268" s="70" t="str">
        <f t="shared" si="21"/>
        <v/>
      </c>
    </row>
    <row r="1269" spans="3:3" ht="15" customHeight="1">
      <c r="C1269" s="70" t="str">
        <f t="shared" si="21"/>
        <v/>
      </c>
    </row>
    <row r="1270" spans="3:3" ht="15" customHeight="1">
      <c r="C1270" s="70" t="str">
        <f t="shared" si="21"/>
        <v/>
      </c>
    </row>
    <row r="1271" spans="3:3" ht="15" customHeight="1">
      <c r="C1271" s="70" t="str">
        <f t="shared" si="21"/>
        <v/>
      </c>
    </row>
    <row r="1272" spans="3:3" ht="15" customHeight="1">
      <c r="C1272" s="70" t="str">
        <f t="shared" si="21"/>
        <v/>
      </c>
    </row>
    <row r="1273" spans="3:3" ht="15" customHeight="1">
      <c r="C1273" s="70" t="str">
        <f t="shared" si="21"/>
        <v/>
      </c>
    </row>
    <row r="1274" spans="3:3" ht="15" customHeight="1">
      <c r="C1274" s="70" t="str">
        <f t="shared" si="21"/>
        <v/>
      </c>
    </row>
    <row r="1275" spans="3:3" ht="15" customHeight="1">
      <c r="C1275" s="70" t="str">
        <f t="shared" si="21"/>
        <v/>
      </c>
    </row>
    <row r="1276" spans="3:3" ht="15" customHeight="1">
      <c r="C1276" s="70" t="str">
        <f t="shared" si="21"/>
        <v/>
      </c>
    </row>
    <row r="1277" spans="3:3" ht="15" customHeight="1">
      <c r="C1277" s="70" t="str">
        <f t="shared" si="21"/>
        <v/>
      </c>
    </row>
    <row r="1278" spans="3:3" ht="15" customHeight="1">
      <c r="C1278" s="70" t="str">
        <f t="shared" si="21"/>
        <v/>
      </c>
    </row>
    <row r="1279" spans="3:3" ht="15" customHeight="1">
      <c r="C1279" s="70" t="str">
        <f t="shared" si="21"/>
        <v/>
      </c>
    </row>
    <row r="1280" spans="3:3" ht="15" customHeight="1">
      <c r="C1280" s="70" t="str">
        <f t="shared" si="21"/>
        <v/>
      </c>
    </row>
    <row r="1281" spans="3:3" ht="15" customHeight="1">
      <c r="C1281" s="70" t="str">
        <f t="shared" si="21"/>
        <v/>
      </c>
    </row>
    <row r="1282" spans="3:3" ht="15" customHeight="1">
      <c r="C1282" s="70" t="str">
        <f t="shared" si="21"/>
        <v/>
      </c>
    </row>
    <row r="1283" spans="3:3" ht="15" customHeight="1">
      <c r="C1283" s="70" t="str">
        <f t="shared" si="21"/>
        <v/>
      </c>
    </row>
    <row r="1284" spans="3:3" ht="15" customHeight="1">
      <c r="C1284" s="70" t="str">
        <f t="shared" si="21"/>
        <v/>
      </c>
    </row>
    <row r="1285" spans="3:3" ht="15" customHeight="1">
      <c r="C1285" s="70" t="str">
        <f t="shared" si="21"/>
        <v/>
      </c>
    </row>
    <row r="1286" spans="3:3" ht="15" customHeight="1">
      <c r="C1286" s="70" t="str">
        <f t="shared" si="21"/>
        <v/>
      </c>
    </row>
    <row r="1287" spans="3:3" ht="15" customHeight="1">
      <c r="C1287" s="70" t="str">
        <f t="shared" si="21"/>
        <v/>
      </c>
    </row>
    <row r="1288" spans="3:3" ht="15" customHeight="1">
      <c r="C1288" s="70" t="str">
        <f t="shared" si="21"/>
        <v/>
      </c>
    </row>
    <row r="1289" spans="3:3" ht="15" customHeight="1">
      <c r="C1289" s="70" t="str">
        <f t="shared" si="21"/>
        <v/>
      </c>
    </row>
    <row r="1290" spans="3:3" ht="15" customHeight="1">
      <c r="C1290" s="70" t="str">
        <f t="shared" si="21"/>
        <v/>
      </c>
    </row>
    <row r="1291" spans="3:3" ht="15" customHeight="1">
      <c r="C1291" s="70" t="str">
        <f t="shared" si="21"/>
        <v/>
      </c>
    </row>
    <row r="1292" spans="3:3" ht="15" customHeight="1">
      <c r="C1292" s="70" t="str">
        <f t="shared" si="21"/>
        <v/>
      </c>
    </row>
    <row r="1293" spans="3:3" ht="15" customHeight="1">
      <c r="C1293" s="70" t="str">
        <f t="shared" si="21"/>
        <v/>
      </c>
    </row>
    <row r="1294" spans="3:3" ht="15" customHeight="1">
      <c r="C1294" s="70" t="str">
        <f t="shared" si="21"/>
        <v/>
      </c>
    </row>
    <row r="1295" spans="3:3" ht="15" customHeight="1">
      <c r="C1295" s="70" t="str">
        <f t="shared" si="21"/>
        <v/>
      </c>
    </row>
    <row r="1296" spans="3:3" ht="15" customHeight="1">
      <c r="C1296" s="70" t="str">
        <f t="shared" si="21"/>
        <v/>
      </c>
    </row>
    <row r="1297" spans="3:3" ht="15" customHeight="1">
      <c r="C1297" s="70" t="str">
        <f t="shared" ref="C1297:C1360" si="22">IF(B1297&lt;&gt;"",TEXT(WEEKDAY(B1297),"dddd"),"")</f>
        <v/>
      </c>
    </row>
    <row r="1298" spans="3:3" ht="15" customHeight="1">
      <c r="C1298" s="70" t="str">
        <f t="shared" si="22"/>
        <v/>
      </c>
    </row>
    <row r="1299" spans="3:3" ht="15" customHeight="1">
      <c r="C1299" s="70" t="str">
        <f t="shared" si="22"/>
        <v/>
      </c>
    </row>
    <row r="1300" spans="3:3" ht="15" customHeight="1">
      <c r="C1300" s="70" t="str">
        <f t="shared" si="22"/>
        <v/>
      </c>
    </row>
    <row r="1301" spans="3:3" ht="15" customHeight="1">
      <c r="C1301" s="70" t="str">
        <f t="shared" si="22"/>
        <v/>
      </c>
    </row>
    <row r="1302" spans="3:3" ht="15" customHeight="1">
      <c r="C1302" s="70" t="str">
        <f t="shared" si="22"/>
        <v/>
      </c>
    </row>
    <row r="1303" spans="3:3" ht="15" customHeight="1">
      <c r="C1303" s="70" t="str">
        <f t="shared" si="22"/>
        <v/>
      </c>
    </row>
    <row r="1304" spans="3:3" ht="15" customHeight="1">
      <c r="C1304" s="70" t="str">
        <f t="shared" si="22"/>
        <v/>
      </c>
    </row>
    <row r="1305" spans="3:3" ht="15" customHeight="1">
      <c r="C1305" s="70" t="str">
        <f t="shared" si="22"/>
        <v/>
      </c>
    </row>
    <row r="1306" spans="3:3" ht="15" customHeight="1">
      <c r="C1306" s="70" t="str">
        <f t="shared" si="22"/>
        <v/>
      </c>
    </row>
    <row r="1307" spans="3:3" ht="15" customHeight="1">
      <c r="C1307" s="70" t="str">
        <f t="shared" si="22"/>
        <v/>
      </c>
    </row>
    <row r="1308" spans="3:3" ht="15" customHeight="1">
      <c r="C1308" s="70" t="str">
        <f t="shared" si="22"/>
        <v/>
      </c>
    </row>
    <row r="1309" spans="3:3" ht="15" customHeight="1">
      <c r="C1309" s="70" t="str">
        <f t="shared" si="22"/>
        <v/>
      </c>
    </row>
    <row r="1310" spans="3:3" ht="15" customHeight="1">
      <c r="C1310" s="70" t="str">
        <f t="shared" si="22"/>
        <v/>
      </c>
    </row>
    <row r="1311" spans="3:3" ht="15" customHeight="1">
      <c r="C1311" s="70" t="str">
        <f t="shared" si="22"/>
        <v/>
      </c>
    </row>
    <row r="1312" spans="3:3" ht="15" customHeight="1">
      <c r="C1312" s="70" t="str">
        <f t="shared" si="22"/>
        <v/>
      </c>
    </row>
    <row r="1313" spans="3:3" ht="15" customHeight="1">
      <c r="C1313" s="70" t="str">
        <f t="shared" si="22"/>
        <v/>
      </c>
    </row>
    <row r="1314" spans="3:3" ht="15" customHeight="1">
      <c r="C1314" s="70" t="str">
        <f t="shared" si="22"/>
        <v/>
      </c>
    </row>
    <row r="1315" spans="3:3" ht="15" customHeight="1">
      <c r="C1315" s="70" t="str">
        <f t="shared" si="22"/>
        <v/>
      </c>
    </row>
    <row r="1316" spans="3:3" ht="15" customHeight="1">
      <c r="C1316" s="70" t="str">
        <f t="shared" si="22"/>
        <v/>
      </c>
    </row>
    <row r="1317" spans="3:3" ht="15" customHeight="1">
      <c r="C1317" s="70" t="str">
        <f t="shared" si="22"/>
        <v/>
      </c>
    </row>
    <row r="1318" spans="3:3" ht="15" customHeight="1">
      <c r="C1318" s="70" t="str">
        <f t="shared" si="22"/>
        <v/>
      </c>
    </row>
    <row r="1319" spans="3:3" ht="15" customHeight="1">
      <c r="C1319" s="70" t="str">
        <f t="shared" si="22"/>
        <v/>
      </c>
    </row>
    <row r="1320" spans="3:3" ht="15" customHeight="1">
      <c r="C1320" s="70" t="str">
        <f t="shared" si="22"/>
        <v/>
      </c>
    </row>
    <row r="1321" spans="3:3" ht="15" customHeight="1">
      <c r="C1321" s="70" t="str">
        <f t="shared" si="22"/>
        <v/>
      </c>
    </row>
    <row r="1322" spans="3:3" ht="15" customHeight="1">
      <c r="C1322" s="70" t="str">
        <f t="shared" si="22"/>
        <v/>
      </c>
    </row>
    <row r="1323" spans="3:3" ht="15" customHeight="1">
      <c r="C1323" s="70" t="str">
        <f t="shared" si="22"/>
        <v/>
      </c>
    </row>
    <row r="1324" spans="3:3" ht="15" customHeight="1">
      <c r="C1324" s="70" t="str">
        <f t="shared" si="22"/>
        <v/>
      </c>
    </row>
    <row r="1325" spans="3:3" ht="15" customHeight="1">
      <c r="C1325" s="70" t="str">
        <f t="shared" si="22"/>
        <v/>
      </c>
    </row>
    <row r="1326" spans="3:3" ht="15" customHeight="1">
      <c r="C1326" s="70" t="str">
        <f t="shared" si="22"/>
        <v/>
      </c>
    </row>
    <row r="1327" spans="3:3" ht="15" customHeight="1">
      <c r="C1327" s="70" t="str">
        <f t="shared" si="22"/>
        <v/>
      </c>
    </row>
    <row r="1328" spans="3:3" ht="15" customHeight="1">
      <c r="C1328" s="70" t="str">
        <f t="shared" si="22"/>
        <v/>
      </c>
    </row>
    <row r="1329" spans="3:3" ht="15" customHeight="1">
      <c r="C1329" s="70" t="str">
        <f t="shared" si="22"/>
        <v/>
      </c>
    </row>
    <row r="1330" spans="3:3" ht="15" customHeight="1">
      <c r="C1330" s="70" t="str">
        <f t="shared" si="22"/>
        <v/>
      </c>
    </row>
    <row r="1331" spans="3:3" ht="15" customHeight="1">
      <c r="C1331" s="70" t="str">
        <f t="shared" si="22"/>
        <v/>
      </c>
    </row>
    <row r="1332" spans="3:3" ht="15" customHeight="1">
      <c r="C1332" s="70" t="str">
        <f t="shared" si="22"/>
        <v/>
      </c>
    </row>
    <row r="1333" spans="3:3" ht="15" customHeight="1">
      <c r="C1333" s="70" t="str">
        <f t="shared" si="22"/>
        <v/>
      </c>
    </row>
    <row r="1334" spans="3:3" ht="15" customHeight="1">
      <c r="C1334" s="70" t="str">
        <f t="shared" si="22"/>
        <v/>
      </c>
    </row>
    <row r="1335" spans="3:3" ht="15" customHeight="1">
      <c r="C1335" s="70" t="str">
        <f t="shared" si="22"/>
        <v/>
      </c>
    </row>
    <row r="1336" spans="3:3" ht="15" customHeight="1">
      <c r="C1336" s="70" t="str">
        <f t="shared" si="22"/>
        <v/>
      </c>
    </row>
    <row r="1337" spans="3:3" ht="15" customHeight="1">
      <c r="C1337" s="70" t="str">
        <f t="shared" si="22"/>
        <v/>
      </c>
    </row>
    <row r="1338" spans="3:3" ht="15" customHeight="1">
      <c r="C1338" s="70" t="str">
        <f t="shared" si="22"/>
        <v/>
      </c>
    </row>
    <row r="1339" spans="3:3" ht="15" customHeight="1">
      <c r="C1339" s="70" t="str">
        <f t="shared" si="22"/>
        <v/>
      </c>
    </row>
    <row r="1340" spans="3:3" ht="15" customHeight="1">
      <c r="C1340" s="70" t="str">
        <f t="shared" si="22"/>
        <v/>
      </c>
    </row>
    <row r="1341" spans="3:3" ht="15" customHeight="1">
      <c r="C1341" s="70" t="str">
        <f t="shared" si="22"/>
        <v/>
      </c>
    </row>
    <row r="1342" spans="3:3" ht="15" customHeight="1">
      <c r="C1342" s="70" t="str">
        <f t="shared" si="22"/>
        <v/>
      </c>
    </row>
    <row r="1343" spans="3:3" ht="15" customHeight="1">
      <c r="C1343" s="70" t="str">
        <f t="shared" si="22"/>
        <v/>
      </c>
    </row>
    <row r="1344" spans="3:3" ht="15" customHeight="1">
      <c r="C1344" s="70" t="str">
        <f t="shared" si="22"/>
        <v/>
      </c>
    </row>
    <row r="1345" spans="3:3" ht="15" customHeight="1">
      <c r="C1345" s="70" t="str">
        <f t="shared" si="22"/>
        <v/>
      </c>
    </row>
    <row r="1346" spans="3:3" ht="15" customHeight="1">
      <c r="C1346" s="70" t="str">
        <f t="shared" si="22"/>
        <v/>
      </c>
    </row>
    <row r="1347" spans="3:3" ht="15" customHeight="1">
      <c r="C1347" s="70" t="str">
        <f t="shared" si="22"/>
        <v/>
      </c>
    </row>
    <row r="1348" spans="3:3" ht="15" customHeight="1">
      <c r="C1348" s="70" t="str">
        <f t="shared" si="22"/>
        <v/>
      </c>
    </row>
    <row r="1349" spans="3:3" ht="15" customHeight="1">
      <c r="C1349" s="70" t="str">
        <f t="shared" si="22"/>
        <v/>
      </c>
    </row>
    <row r="1350" spans="3:3" ht="15" customHeight="1">
      <c r="C1350" s="70" t="str">
        <f t="shared" si="22"/>
        <v/>
      </c>
    </row>
    <row r="1351" spans="3:3" ht="15" customHeight="1">
      <c r="C1351" s="70" t="str">
        <f t="shared" si="22"/>
        <v/>
      </c>
    </row>
    <row r="1352" spans="3:3" ht="15" customHeight="1">
      <c r="C1352" s="70" t="str">
        <f t="shared" si="22"/>
        <v/>
      </c>
    </row>
    <row r="1353" spans="3:3" ht="15" customHeight="1">
      <c r="C1353" s="70" t="str">
        <f t="shared" si="22"/>
        <v/>
      </c>
    </row>
    <row r="1354" spans="3:3" ht="15" customHeight="1">
      <c r="C1354" s="70" t="str">
        <f t="shared" si="22"/>
        <v/>
      </c>
    </row>
    <row r="1355" spans="3:3" ht="15" customHeight="1">
      <c r="C1355" s="70" t="str">
        <f t="shared" si="22"/>
        <v/>
      </c>
    </row>
    <row r="1356" spans="3:3" ht="15" customHeight="1">
      <c r="C1356" s="70" t="str">
        <f t="shared" si="22"/>
        <v/>
      </c>
    </row>
    <row r="1357" spans="3:3" ht="15" customHeight="1">
      <c r="C1357" s="70" t="str">
        <f t="shared" si="22"/>
        <v/>
      </c>
    </row>
    <row r="1358" spans="3:3" ht="15" customHeight="1">
      <c r="C1358" s="70" t="str">
        <f t="shared" si="22"/>
        <v/>
      </c>
    </row>
    <row r="1359" spans="3:3" ht="15" customHeight="1">
      <c r="C1359" s="70" t="str">
        <f t="shared" si="22"/>
        <v/>
      </c>
    </row>
    <row r="1360" spans="3:3" ht="15" customHeight="1">
      <c r="C1360" s="70" t="str">
        <f t="shared" si="22"/>
        <v/>
      </c>
    </row>
    <row r="1361" spans="3:3" ht="15" customHeight="1">
      <c r="C1361" s="70" t="str">
        <f t="shared" ref="C1361:C1424" si="23">IF(B1361&lt;&gt;"",TEXT(WEEKDAY(B1361),"dddd"),"")</f>
        <v/>
      </c>
    </row>
    <row r="1362" spans="3:3" ht="15" customHeight="1">
      <c r="C1362" s="70" t="str">
        <f t="shared" si="23"/>
        <v/>
      </c>
    </row>
    <row r="1363" spans="3:3" ht="15" customHeight="1">
      <c r="C1363" s="70" t="str">
        <f t="shared" si="23"/>
        <v/>
      </c>
    </row>
    <row r="1364" spans="3:3" ht="15" customHeight="1">
      <c r="C1364" s="70" t="str">
        <f t="shared" si="23"/>
        <v/>
      </c>
    </row>
    <row r="1365" spans="3:3" ht="15" customHeight="1">
      <c r="C1365" s="70" t="str">
        <f t="shared" si="23"/>
        <v/>
      </c>
    </row>
    <row r="1366" spans="3:3" ht="15" customHeight="1">
      <c r="C1366" s="70" t="str">
        <f t="shared" si="23"/>
        <v/>
      </c>
    </row>
    <row r="1367" spans="3:3" ht="15" customHeight="1">
      <c r="C1367" s="70" t="str">
        <f t="shared" si="23"/>
        <v/>
      </c>
    </row>
    <row r="1368" spans="3:3" ht="15" customHeight="1">
      <c r="C1368" s="70" t="str">
        <f t="shared" si="23"/>
        <v/>
      </c>
    </row>
    <row r="1369" spans="3:3" ht="15" customHeight="1">
      <c r="C1369" s="70" t="str">
        <f t="shared" si="23"/>
        <v/>
      </c>
    </row>
    <row r="1370" spans="3:3" ht="15" customHeight="1">
      <c r="C1370" s="70" t="str">
        <f t="shared" si="23"/>
        <v/>
      </c>
    </row>
    <row r="1371" spans="3:3" ht="15" customHeight="1">
      <c r="C1371" s="70" t="str">
        <f t="shared" si="23"/>
        <v/>
      </c>
    </row>
    <row r="1372" spans="3:3" ht="15" customHeight="1">
      <c r="C1372" s="70" t="str">
        <f t="shared" si="23"/>
        <v/>
      </c>
    </row>
    <row r="1373" spans="3:3" ht="15" customHeight="1">
      <c r="C1373" s="70" t="str">
        <f t="shared" si="23"/>
        <v/>
      </c>
    </row>
    <row r="1374" spans="3:3" ht="15" customHeight="1">
      <c r="C1374" s="70" t="str">
        <f t="shared" si="23"/>
        <v/>
      </c>
    </row>
    <row r="1375" spans="3:3" ht="15" customHeight="1">
      <c r="C1375" s="70" t="str">
        <f t="shared" si="23"/>
        <v/>
      </c>
    </row>
    <row r="1376" spans="3:3" ht="15" customHeight="1">
      <c r="C1376" s="70" t="str">
        <f t="shared" si="23"/>
        <v/>
      </c>
    </row>
    <row r="1377" spans="3:3" ht="15" customHeight="1">
      <c r="C1377" s="70" t="str">
        <f t="shared" si="23"/>
        <v/>
      </c>
    </row>
    <row r="1378" spans="3:3" ht="15" customHeight="1">
      <c r="C1378" s="70" t="str">
        <f t="shared" si="23"/>
        <v/>
      </c>
    </row>
    <row r="1379" spans="3:3" ht="15" customHeight="1">
      <c r="C1379" s="70" t="str">
        <f t="shared" si="23"/>
        <v/>
      </c>
    </row>
    <row r="1380" spans="3:3" ht="15" customHeight="1">
      <c r="C1380" s="70" t="str">
        <f t="shared" si="23"/>
        <v/>
      </c>
    </row>
    <row r="1381" spans="3:3" ht="15" customHeight="1">
      <c r="C1381" s="70" t="str">
        <f t="shared" si="23"/>
        <v/>
      </c>
    </row>
    <row r="1382" spans="3:3" ht="15" customHeight="1">
      <c r="C1382" s="70" t="str">
        <f t="shared" si="23"/>
        <v/>
      </c>
    </row>
    <row r="1383" spans="3:3" ht="15" customHeight="1">
      <c r="C1383" s="70" t="str">
        <f t="shared" si="23"/>
        <v/>
      </c>
    </row>
    <row r="1384" spans="3:3" ht="15" customHeight="1">
      <c r="C1384" s="70" t="str">
        <f t="shared" si="23"/>
        <v/>
      </c>
    </row>
    <row r="1385" spans="3:3" ht="15" customHeight="1">
      <c r="C1385" s="70" t="str">
        <f t="shared" si="23"/>
        <v/>
      </c>
    </row>
    <row r="1386" spans="3:3" ht="15" customHeight="1">
      <c r="C1386" s="70" t="str">
        <f t="shared" si="23"/>
        <v/>
      </c>
    </row>
    <row r="1387" spans="3:3" ht="15" customHeight="1">
      <c r="C1387" s="70" t="str">
        <f t="shared" si="23"/>
        <v/>
      </c>
    </row>
    <row r="1388" spans="3:3" ht="15" customHeight="1">
      <c r="C1388" s="70" t="str">
        <f t="shared" si="23"/>
        <v/>
      </c>
    </row>
    <row r="1389" spans="3:3" ht="15" customHeight="1">
      <c r="C1389" s="70" t="str">
        <f t="shared" si="23"/>
        <v/>
      </c>
    </row>
    <row r="1390" spans="3:3" ht="15" customHeight="1">
      <c r="C1390" s="70" t="str">
        <f t="shared" si="23"/>
        <v/>
      </c>
    </row>
    <row r="1391" spans="3:3" ht="15" customHeight="1">
      <c r="C1391" s="70" t="str">
        <f t="shared" si="23"/>
        <v/>
      </c>
    </row>
    <row r="1392" spans="3:3" ht="15" customHeight="1">
      <c r="C1392" s="70" t="str">
        <f t="shared" si="23"/>
        <v/>
      </c>
    </row>
    <row r="1393" spans="3:3" ht="15" customHeight="1">
      <c r="C1393" s="70" t="str">
        <f t="shared" si="23"/>
        <v/>
      </c>
    </row>
    <row r="1394" spans="3:3" ht="15" customHeight="1">
      <c r="C1394" s="70" t="str">
        <f t="shared" si="23"/>
        <v/>
      </c>
    </row>
    <row r="1395" spans="3:3" ht="15" customHeight="1">
      <c r="C1395" s="70" t="str">
        <f t="shared" si="23"/>
        <v/>
      </c>
    </row>
    <row r="1396" spans="3:3" ht="15" customHeight="1">
      <c r="C1396" s="70" t="str">
        <f t="shared" si="23"/>
        <v/>
      </c>
    </row>
    <row r="1397" spans="3:3" ht="15" customHeight="1">
      <c r="C1397" s="70" t="str">
        <f t="shared" si="23"/>
        <v/>
      </c>
    </row>
    <row r="1398" spans="3:3" ht="15" customHeight="1">
      <c r="C1398" s="70" t="str">
        <f t="shared" si="23"/>
        <v/>
      </c>
    </row>
    <row r="1399" spans="3:3" ht="15" customHeight="1">
      <c r="C1399" s="70" t="str">
        <f t="shared" si="23"/>
        <v/>
      </c>
    </row>
    <row r="1400" spans="3:3" ht="15" customHeight="1">
      <c r="C1400" s="70" t="str">
        <f t="shared" si="23"/>
        <v/>
      </c>
    </row>
    <row r="1401" spans="3:3" ht="15" customHeight="1">
      <c r="C1401" s="70" t="str">
        <f t="shared" si="23"/>
        <v/>
      </c>
    </row>
    <row r="1402" spans="3:3" ht="15" customHeight="1">
      <c r="C1402" s="70" t="str">
        <f t="shared" si="23"/>
        <v/>
      </c>
    </row>
    <row r="1403" spans="3:3" ht="15" customHeight="1">
      <c r="C1403" s="70" t="str">
        <f t="shared" si="23"/>
        <v/>
      </c>
    </row>
    <row r="1404" spans="3:3" ht="15" customHeight="1">
      <c r="C1404" s="70" t="str">
        <f t="shared" si="23"/>
        <v/>
      </c>
    </row>
    <row r="1405" spans="3:3" ht="15" customHeight="1">
      <c r="C1405" s="70" t="str">
        <f t="shared" si="23"/>
        <v/>
      </c>
    </row>
    <row r="1406" spans="3:3" ht="15" customHeight="1">
      <c r="C1406" s="70" t="str">
        <f t="shared" si="23"/>
        <v/>
      </c>
    </row>
    <row r="1407" spans="3:3" ht="15" customHeight="1">
      <c r="C1407" s="70" t="str">
        <f t="shared" si="23"/>
        <v/>
      </c>
    </row>
    <row r="1408" spans="3:3" ht="15" customHeight="1">
      <c r="C1408" s="70" t="str">
        <f t="shared" si="23"/>
        <v/>
      </c>
    </row>
    <row r="1409" spans="3:3" ht="15" customHeight="1">
      <c r="C1409" s="70" t="str">
        <f t="shared" si="23"/>
        <v/>
      </c>
    </row>
    <row r="1410" spans="3:3" ht="15" customHeight="1">
      <c r="C1410" s="70" t="str">
        <f t="shared" si="23"/>
        <v/>
      </c>
    </row>
    <row r="1411" spans="3:3" ht="15" customHeight="1">
      <c r="C1411" s="70" t="str">
        <f t="shared" si="23"/>
        <v/>
      </c>
    </row>
    <row r="1412" spans="3:3" ht="15" customHeight="1">
      <c r="C1412" s="70" t="str">
        <f t="shared" si="23"/>
        <v/>
      </c>
    </row>
    <row r="1413" spans="3:3" ht="15" customHeight="1">
      <c r="C1413" s="70" t="str">
        <f t="shared" si="23"/>
        <v/>
      </c>
    </row>
    <row r="1414" spans="3:3" ht="15" customHeight="1">
      <c r="C1414" s="70" t="str">
        <f t="shared" si="23"/>
        <v/>
      </c>
    </row>
    <row r="1415" spans="3:3" ht="15" customHeight="1">
      <c r="C1415" s="70" t="str">
        <f t="shared" si="23"/>
        <v/>
      </c>
    </row>
    <row r="1416" spans="3:3" ht="15" customHeight="1">
      <c r="C1416" s="70" t="str">
        <f t="shared" si="23"/>
        <v/>
      </c>
    </row>
    <row r="1417" spans="3:3" ht="15" customHeight="1">
      <c r="C1417" s="70" t="str">
        <f t="shared" si="23"/>
        <v/>
      </c>
    </row>
    <row r="1418" spans="3:3" ht="15" customHeight="1">
      <c r="C1418" s="70" t="str">
        <f t="shared" si="23"/>
        <v/>
      </c>
    </row>
    <row r="1419" spans="3:3" ht="15" customHeight="1">
      <c r="C1419" s="70" t="str">
        <f t="shared" si="23"/>
        <v/>
      </c>
    </row>
    <row r="1420" spans="3:3" ht="15" customHeight="1">
      <c r="C1420" s="70" t="str">
        <f t="shared" si="23"/>
        <v/>
      </c>
    </row>
    <row r="1421" spans="3:3" ht="15" customHeight="1">
      <c r="C1421" s="70" t="str">
        <f t="shared" si="23"/>
        <v/>
      </c>
    </row>
    <row r="1422" spans="3:3" ht="15" customHeight="1">
      <c r="C1422" s="70" t="str">
        <f t="shared" si="23"/>
        <v/>
      </c>
    </row>
    <row r="1423" spans="3:3" ht="15" customHeight="1">
      <c r="C1423" s="70" t="str">
        <f t="shared" si="23"/>
        <v/>
      </c>
    </row>
    <row r="1424" spans="3:3" ht="15" customHeight="1">
      <c r="C1424" s="70" t="str">
        <f t="shared" si="23"/>
        <v/>
      </c>
    </row>
    <row r="1425" spans="3:3" ht="15" customHeight="1">
      <c r="C1425" s="70" t="str">
        <f t="shared" ref="C1425:C1488" si="24">IF(B1425&lt;&gt;"",TEXT(WEEKDAY(B1425),"dddd"),"")</f>
        <v/>
      </c>
    </row>
    <row r="1426" spans="3:3" ht="15" customHeight="1">
      <c r="C1426" s="70" t="str">
        <f t="shared" si="24"/>
        <v/>
      </c>
    </row>
    <row r="1427" spans="3:3" ht="15" customHeight="1">
      <c r="C1427" s="70" t="str">
        <f t="shared" si="24"/>
        <v/>
      </c>
    </row>
    <row r="1428" spans="3:3" ht="15" customHeight="1">
      <c r="C1428" s="70" t="str">
        <f t="shared" si="24"/>
        <v/>
      </c>
    </row>
    <row r="1429" spans="3:3" ht="15" customHeight="1">
      <c r="C1429" s="70" t="str">
        <f t="shared" si="24"/>
        <v/>
      </c>
    </row>
    <row r="1430" spans="3:3" ht="15" customHeight="1">
      <c r="C1430" s="70" t="str">
        <f t="shared" si="24"/>
        <v/>
      </c>
    </row>
    <row r="1431" spans="3:3" ht="15" customHeight="1">
      <c r="C1431" s="70" t="str">
        <f t="shared" si="24"/>
        <v/>
      </c>
    </row>
    <row r="1432" spans="3:3" ht="15" customHeight="1">
      <c r="C1432" s="70" t="str">
        <f t="shared" si="24"/>
        <v/>
      </c>
    </row>
    <row r="1433" spans="3:3" ht="15" customHeight="1">
      <c r="C1433" s="70" t="str">
        <f t="shared" si="24"/>
        <v/>
      </c>
    </row>
    <row r="1434" spans="3:3" ht="15" customHeight="1">
      <c r="C1434" s="70" t="str">
        <f t="shared" si="24"/>
        <v/>
      </c>
    </row>
    <row r="1435" spans="3:3" ht="15" customHeight="1">
      <c r="C1435" s="70" t="str">
        <f t="shared" si="24"/>
        <v/>
      </c>
    </row>
    <row r="1436" spans="3:3" ht="15" customHeight="1">
      <c r="C1436" s="70" t="str">
        <f t="shared" si="24"/>
        <v/>
      </c>
    </row>
    <row r="1437" spans="3:3" ht="15" customHeight="1">
      <c r="C1437" s="70" t="str">
        <f t="shared" si="24"/>
        <v/>
      </c>
    </row>
    <row r="1438" spans="3:3" ht="15" customHeight="1">
      <c r="C1438" s="70" t="str">
        <f t="shared" si="24"/>
        <v/>
      </c>
    </row>
    <row r="1439" spans="3:3" ht="15" customHeight="1">
      <c r="C1439" s="70" t="str">
        <f t="shared" si="24"/>
        <v/>
      </c>
    </row>
    <row r="1440" spans="3:3" ht="15" customHeight="1">
      <c r="C1440" s="70" t="str">
        <f t="shared" si="24"/>
        <v/>
      </c>
    </row>
    <row r="1441" spans="3:3" ht="15" customHeight="1">
      <c r="C1441" s="70" t="str">
        <f t="shared" si="24"/>
        <v/>
      </c>
    </row>
    <row r="1442" spans="3:3" ht="15" customHeight="1">
      <c r="C1442" s="70" t="str">
        <f t="shared" si="24"/>
        <v/>
      </c>
    </row>
    <row r="1443" spans="3:3" ht="15" customHeight="1">
      <c r="C1443" s="70" t="str">
        <f t="shared" si="24"/>
        <v/>
      </c>
    </row>
    <row r="1444" spans="3:3" ht="15" customHeight="1">
      <c r="C1444" s="70" t="str">
        <f t="shared" si="24"/>
        <v/>
      </c>
    </row>
    <row r="1445" spans="3:3" ht="15" customHeight="1">
      <c r="C1445" s="70" t="str">
        <f t="shared" si="24"/>
        <v/>
      </c>
    </row>
    <row r="1446" spans="3:3" ht="15" customHeight="1">
      <c r="C1446" s="70" t="str">
        <f t="shared" si="24"/>
        <v/>
      </c>
    </row>
    <row r="1447" spans="3:3" ht="15" customHeight="1">
      <c r="C1447" s="70" t="str">
        <f t="shared" si="24"/>
        <v/>
      </c>
    </row>
    <row r="1448" spans="3:3" ht="15" customHeight="1">
      <c r="C1448" s="70" t="str">
        <f t="shared" si="24"/>
        <v/>
      </c>
    </row>
    <row r="1449" spans="3:3" ht="15" customHeight="1">
      <c r="C1449" s="70" t="str">
        <f t="shared" si="24"/>
        <v/>
      </c>
    </row>
    <row r="1450" spans="3:3" ht="15" customHeight="1">
      <c r="C1450" s="70" t="str">
        <f t="shared" si="24"/>
        <v/>
      </c>
    </row>
    <row r="1451" spans="3:3" ht="15" customHeight="1">
      <c r="C1451" s="70" t="str">
        <f t="shared" si="24"/>
        <v/>
      </c>
    </row>
    <row r="1452" spans="3:3" ht="15" customHeight="1">
      <c r="C1452" s="70" t="str">
        <f t="shared" si="24"/>
        <v/>
      </c>
    </row>
    <row r="1453" spans="3:3" ht="15" customHeight="1">
      <c r="C1453" s="70" t="str">
        <f t="shared" si="24"/>
        <v/>
      </c>
    </row>
    <row r="1454" spans="3:3" ht="15" customHeight="1">
      <c r="C1454" s="70" t="str">
        <f t="shared" si="24"/>
        <v/>
      </c>
    </row>
    <row r="1455" spans="3:3" ht="15" customHeight="1">
      <c r="C1455" s="70" t="str">
        <f t="shared" si="24"/>
        <v/>
      </c>
    </row>
    <row r="1456" spans="3:3" ht="15" customHeight="1">
      <c r="C1456" s="70" t="str">
        <f t="shared" si="24"/>
        <v/>
      </c>
    </row>
    <row r="1457" spans="3:3" ht="15" customHeight="1">
      <c r="C1457" s="70" t="str">
        <f t="shared" si="24"/>
        <v/>
      </c>
    </row>
    <row r="1458" spans="3:3" ht="15" customHeight="1">
      <c r="C1458" s="70" t="str">
        <f t="shared" si="24"/>
        <v/>
      </c>
    </row>
    <row r="1459" spans="3:3" ht="15" customHeight="1">
      <c r="C1459" s="70" t="str">
        <f t="shared" si="24"/>
        <v/>
      </c>
    </row>
    <row r="1460" spans="3:3" ht="15" customHeight="1">
      <c r="C1460" s="70" t="str">
        <f t="shared" si="24"/>
        <v/>
      </c>
    </row>
    <row r="1461" spans="3:3" ht="15" customHeight="1">
      <c r="C1461" s="70" t="str">
        <f t="shared" si="24"/>
        <v/>
      </c>
    </row>
    <row r="1462" spans="3:3" ht="15" customHeight="1">
      <c r="C1462" s="70" t="str">
        <f t="shared" si="24"/>
        <v/>
      </c>
    </row>
    <row r="1463" spans="3:3" ht="15" customHeight="1">
      <c r="C1463" s="70" t="str">
        <f t="shared" si="24"/>
        <v/>
      </c>
    </row>
    <row r="1464" spans="3:3" ht="15" customHeight="1">
      <c r="C1464" s="70" t="str">
        <f t="shared" si="24"/>
        <v/>
      </c>
    </row>
    <row r="1465" spans="3:3" ht="15" customHeight="1">
      <c r="C1465" s="70" t="str">
        <f t="shared" si="24"/>
        <v/>
      </c>
    </row>
    <row r="1466" spans="3:3" ht="15" customHeight="1">
      <c r="C1466" s="70" t="str">
        <f t="shared" si="24"/>
        <v/>
      </c>
    </row>
    <row r="1467" spans="3:3" ht="15" customHeight="1">
      <c r="C1467" s="70" t="str">
        <f t="shared" si="24"/>
        <v/>
      </c>
    </row>
    <row r="1468" spans="3:3" ht="15" customHeight="1">
      <c r="C1468" s="70" t="str">
        <f t="shared" si="24"/>
        <v/>
      </c>
    </row>
    <row r="1469" spans="3:3" ht="15" customHeight="1">
      <c r="C1469" s="70" t="str">
        <f t="shared" si="24"/>
        <v/>
      </c>
    </row>
    <row r="1470" spans="3:3" ht="15" customHeight="1">
      <c r="C1470" s="70" t="str">
        <f t="shared" si="24"/>
        <v/>
      </c>
    </row>
    <row r="1471" spans="3:3" ht="15" customHeight="1">
      <c r="C1471" s="70" t="str">
        <f t="shared" si="24"/>
        <v/>
      </c>
    </row>
    <row r="1472" spans="3:3" ht="15" customHeight="1">
      <c r="C1472" s="70" t="str">
        <f t="shared" si="24"/>
        <v/>
      </c>
    </row>
    <row r="1473" spans="3:3" ht="15" customHeight="1">
      <c r="C1473" s="70" t="str">
        <f t="shared" si="24"/>
        <v/>
      </c>
    </row>
    <row r="1474" spans="3:3" ht="15" customHeight="1">
      <c r="C1474" s="70" t="str">
        <f t="shared" si="24"/>
        <v/>
      </c>
    </row>
    <row r="1475" spans="3:3" ht="15" customHeight="1">
      <c r="C1475" s="70" t="str">
        <f t="shared" si="24"/>
        <v/>
      </c>
    </row>
    <row r="1476" spans="3:3" ht="15" customHeight="1">
      <c r="C1476" s="70" t="str">
        <f t="shared" si="24"/>
        <v/>
      </c>
    </row>
    <row r="1477" spans="3:3" ht="15" customHeight="1">
      <c r="C1477" s="70" t="str">
        <f t="shared" si="24"/>
        <v/>
      </c>
    </row>
    <row r="1478" spans="3:3" ht="15" customHeight="1">
      <c r="C1478" s="70" t="str">
        <f t="shared" si="24"/>
        <v/>
      </c>
    </row>
    <row r="1479" spans="3:3" ht="15" customHeight="1">
      <c r="C1479" s="70" t="str">
        <f t="shared" si="24"/>
        <v/>
      </c>
    </row>
    <row r="1480" spans="3:3" ht="15" customHeight="1">
      <c r="C1480" s="70" t="str">
        <f t="shared" si="24"/>
        <v/>
      </c>
    </row>
    <row r="1481" spans="3:3" ht="15" customHeight="1">
      <c r="C1481" s="70" t="str">
        <f t="shared" si="24"/>
        <v/>
      </c>
    </row>
    <row r="1482" spans="3:3" ht="15" customHeight="1">
      <c r="C1482" s="70" t="str">
        <f t="shared" si="24"/>
        <v/>
      </c>
    </row>
    <row r="1483" spans="3:3" ht="15" customHeight="1">
      <c r="C1483" s="70" t="str">
        <f t="shared" si="24"/>
        <v/>
      </c>
    </row>
    <row r="1484" spans="3:3" ht="15" customHeight="1">
      <c r="C1484" s="70" t="str">
        <f t="shared" si="24"/>
        <v/>
      </c>
    </row>
    <row r="1485" spans="3:3" ht="15" customHeight="1">
      <c r="C1485" s="70" t="str">
        <f t="shared" si="24"/>
        <v/>
      </c>
    </row>
    <row r="1486" spans="3:3" ht="15" customHeight="1">
      <c r="C1486" s="70" t="str">
        <f t="shared" si="24"/>
        <v/>
      </c>
    </row>
    <row r="1487" spans="3:3" ht="15" customHeight="1">
      <c r="C1487" s="70" t="str">
        <f t="shared" si="24"/>
        <v/>
      </c>
    </row>
    <row r="1488" spans="3:3" ht="15" customHeight="1">
      <c r="C1488" s="70" t="str">
        <f t="shared" si="24"/>
        <v/>
      </c>
    </row>
    <row r="1489" spans="3:3" ht="15" customHeight="1">
      <c r="C1489" s="70" t="str">
        <f t="shared" ref="C1489:C1552" si="25">IF(B1489&lt;&gt;"",TEXT(WEEKDAY(B1489),"dddd"),"")</f>
        <v/>
      </c>
    </row>
    <row r="1490" spans="3:3" ht="15" customHeight="1">
      <c r="C1490" s="70" t="str">
        <f t="shared" si="25"/>
        <v/>
      </c>
    </row>
    <row r="1491" spans="3:3" ht="15" customHeight="1">
      <c r="C1491" s="70" t="str">
        <f t="shared" si="25"/>
        <v/>
      </c>
    </row>
    <row r="1492" spans="3:3" ht="15" customHeight="1">
      <c r="C1492" s="70" t="str">
        <f t="shared" si="25"/>
        <v/>
      </c>
    </row>
    <row r="1493" spans="3:3" ht="15" customHeight="1">
      <c r="C1493" s="70" t="str">
        <f t="shared" si="25"/>
        <v/>
      </c>
    </row>
    <row r="1494" spans="3:3" ht="15" customHeight="1">
      <c r="C1494" s="70" t="str">
        <f t="shared" si="25"/>
        <v/>
      </c>
    </row>
    <row r="1495" spans="3:3" ht="15" customHeight="1">
      <c r="C1495" s="70" t="str">
        <f t="shared" si="25"/>
        <v/>
      </c>
    </row>
    <row r="1496" spans="3:3" ht="15" customHeight="1">
      <c r="C1496" s="70" t="str">
        <f t="shared" si="25"/>
        <v/>
      </c>
    </row>
    <row r="1497" spans="3:3" ht="15" customHeight="1">
      <c r="C1497" s="70" t="str">
        <f t="shared" si="25"/>
        <v/>
      </c>
    </row>
    <row r="1498" spans="3:3" ht="15" customHeight="1">
      <c r="C1498" s="70" t="str">
        <f t="shared" si="25"/>
        <v/>
      </c>
    </row>
    <row r="1499" spans="3:3" ht="15" customHeight="1">
      <c r="C1499" s="70" t="str">
        <f t="shared" si="25"/>
        <v/>
      </c>
    </row>
    <row r="1500" spans="3:3" ht="15" customHeight="1">
      <c r="C1500" s="70" t="str">
        <f t="shared" si="25"/>
        <v/>
      </c>
    </row>
    <row r="1501" spans="3:3" ht="15" customHeight="1">
      <c r="C1501" s="70" t="str">
        <f t="shared" si="25"/>
        <v/>
      </c>
    </row>
    <row r="1502" spans="3:3" ht="15" customHeight="1">
      <c r="C1502" s="70" t="str">
        <f t="shared" si="25"/>
        <v/>
      </c>
    </row>
    <row r="1503" spans="3:3" ht="15" customHeight="1">
      <c r="C1503" s="70" t="str">
        <f t="shared" si="25"/>
        <v/>
      </c>
    </row>
    <row r="1504" spans="3:3" ht="15" customHeight="1">
      <c r="C1504" s="70" t="str">
        <f t="shared" si="25"/>
        <v/>
      </c>
    </row>
    <row r="1505" spans="3:3" ht="15" customHeight="1">
      <c r="C1505" s="70" t="str">
        <f t="shared" si="25"/>
        <v/>
      </c>
    </row>
    <row r="1506" spans="3:3" ht="15" customHeight="1">
      <c r="C1506" s="70" t="str">
        <f t="shared" si="25"/>
        <v/>
      </c>
    </row>
    <row r="1507" spans="3:3" ht="15" customHeight="1">
      <c r="C1507" s="70" t="str">
        <f t="shared" si="25"/>
        <v/>
      </c>
    </row>
    <row r="1508" spans="3:3" ht="15" customHeight="1">
      <c r="C1508" s="70" t="str">
        <f t="shared" si="25"/>
        <v/>
      </c>
    </row>
    <row r="1509" spans="3:3" ht="15" customHeight="1">
      <c r="C1509" s="70" t="str">
        <f t="shared" si="25"/>
        <v/>
      </c>
    </row>
    <row r="1510" spans="3:3" ht="15" customHeight="1">
      <c r="C1510" s="70" t="str">
        <f t="shared" si="25"/>
        <v/>
      </c>
    </row>
    <row r="1511" spans="3:3" ht="15" customHeight="1">
      <c r="C1511" s="70" t="str">
        <f t="shared" si="25"/>
        <v/>
      </c>
    </row>
    <row r="1512" spans="3:3" ht="15" customHeight="1">
      <c r="C1512" s="70" t="str">
        <f t="shared" si="25"/>
        <v/>
      </c>
    </row>
    <row r="1513" spans="3:3" ht="15" customHeight="1">
      <c r="C1513" s="70" t="str">
        <f t="shared" si="25"/>
        <v/>
      </c>
    </row>
    <row r="1514" spans="3:3" ht="15" customHeight="1">
      <c r="C1514" s="70" t="str">
        <f t="shared" si="25"/>
        <v/>
      </c>
    </row>
    <row r="1515" spans="3:3" ht="15" customHeight="1">
      <c r="C1515" s="70" t="str">
        <f t="shared" si="25"/>
        <v/>
      </c>
    </row>
    <row r="1516" spans="3:3" ht="15" customHeight="1">
      <c r="C1516" s="70" t="str">
        <f t="shared" si="25"/>
        <v/>
      </c>
    </row>
    <row r="1517" spans="3:3" ht="15" customHeight="1">
      <c r="C1517" s="70" t="str">
        <f t="shared" si="25"/>
        <v/>
      </c>
    </row>
    <row r="1518" spans="3:3" ht="15" customHeight="1">
      <c r="C1518" s="70" t="str">
        <f t="shared" si="25"/>
        <v/>
      </c>
    </row>
    <row r="1519" spans="3:3" ht="15" customHeight="1">
      <c r="C1519" s="70" t="str">
        <f t="shared" si="25"/>
        <v/>
      </c>
    </row>
    <row r="1520" spans="3:3" ht="15" customHeight="1">
      <c r="C1520" s="70" t="str">
        <f t="shared" si="25"/>
        <v/>
      </c>
    </row>
    <row r="1521" spans="3:3" ht="15" customHeight="1">
      <c r="C1521" s="70" t="str">
        <f t="shared" si="25"/>
        <v/>
      </c>
    </row>
    <row r="1522" spans="3:3" ht="15" customHeight="1">
      <c r="C1522" s="70" t="str">
        <f t="shared" si="25"/>
        <v/>
      </c>
    </row>
    <row r="1523" spans="3:3" ht="15" customHeight="1">
      <c r="C1523" s="70" t="str">
        <f t="shared" si="25"/>
        <v/>
      </c>
    </row>
    <row r="1524" spans="3:3" ht="15" customHeight="1">
      <c r="C1524" s="70" t="str">
        <f t="shared" si="25"/>
        <v/>
      </c>
    </row>
    <row r="1525" spans="3:3" ht="15" customHeight="1">
      <c r="C1525" s="70" t="str">
        <f t="shared" si="25"/>
        <v/>
      </c>
    </row>
    <row r="1526" spans="3:3" ht="15" customHeight="1">
      <c r="C1526" s="70" t="str">
        <f t="shared" si="25"/>
        <v/>
      </c>
    </row>
    <row r="1527" spans="3:3" ht="15" customHeight="1">
      <c r="C1527" s="70" t="str">
        <f t="shared" si="25"/>
        <v/>
      </c>
    </row>
    <row r="1528" spans="3:3" ht="15" customHeight="1">
      <c r="C1528" s="70" t="str">
        <f t="shared" si="25"/>
        <v/>
      </c>
    </row>
    <row r="1529" spans="3:3" ht="15" customHeight="1">
      <c r="C1529" s="70" t="str">
        <f t="shared" si="25"/>
        <v/>
      </c>
    </row>
    <row r="1530" spans="3:3" ht="15" customHeight="1">
      <c r="C1530" s="70" t="str">
        <f t="shared" si="25"/>
        <v/>
      </c>
    </row>
    <row r="1531" spans="3:3" ht="15" customHeight="1">
      <c r="C1531" s="70" t="str">
        <f t="shared" si="25"/>
        <v/>
      </c>
    </row>
    <row r="1532" spans="3:3" ht="15" customHeight="1">
      <c r="C1532" s="70" t="str">
        <f t="shared" si="25"/>
        <v/>
      </c>
    </row>
    <row r="1533" spans="3:3" ht="15" customHeight="1">
      <c r="C1533" s="70" t="str">
        <f t="shared" si="25"/>
        <v/>
      </c>
    </row>
    <row r="1534" spans="3:3" ht="15" customHeight="1">
      <c r="C1534" s="70" t="str">
        <f t="shared" si="25"/>
        <v/>
      </c>
    </row>
    <row r="1535" spans="3:3" ht="15" customHeight="1">
      <c r="C1535" s="70" t="str">
        <f t="shared" si="25"/>
        <v/>
      </c>
    </row>
    <row r="1536" spans="3:3" ht="15" customHeight="1">
      <c r="C1536" s="70" t="str">
        <f t="shared" si="25"/>
        <v/>
      </c>
    </row>
    <row r="1537" spans="3:3" ht="15" customHeight="1">
      <c r="C1537" s="70" t="str">
        <f t="shared" si="25"/>
        <v/>
      </c>
    </row>
    <row r="1538" spans="3:3" ht="15" customHeight="1">
      <c r="C1538" s="70" t="str">
        <f t="shared" si="25"/>
        <v/>
      </c>
    </row>
    <row r="1539" spans="3:3" ht="15" customHeight="1">
      <c r="C1539" s="70" t="str">
        <f t="shared" si="25"/>
        <v/>
      </c>
    </row>
    <row r="1540" spans="3:3" ht="15" customHeight="1">
      <c r="C1540" s="70" t="str">
        <f t="shared" si="25"/>
        <v/>
      </c>
    </row>
    <row r="1541" spans="3:3" ht="15" customHeight="1">
      <c r="C1541" s="70" t="str">
        <f t="shared" si="25"/>
        <v/>
      </c>
    </row>
    <row r="1542" spans="3:3" ht="15" customHeight="1">
      <c r="C1542" s="70" t="str">
        <f t="shared" si="25"/>
        <v/>
      </c>
    </row>
    <row r="1543" spans="3:3" ht="15" customHeight="1">
      <c r="C1543" s="70" t="str">
        <f t="shared" si="25"/>
        <v/>
      </c>
    </row>
    <row r="1544" spans="3:3" ht="15" customHeight="1">
      <c r="C1544" s="70" t="str">
        <f t="shared" si="25"/>
        <v/>
      </c>
    </row>
    <row r="1545" spans="3:3" ht="15" customHeight="1">
      <c r="C1545" s="70" t="str">
        <f t="shared" si="25"/>
        <v/>
      </c>
    </row>
    <row r="1546" spans="3:3" ht="15" customHeight="1">
      <c r="C1546" s="70" t="str">
        <f t="shared" si="25"/>
        <v/>
      </c>
    </row>
    <row r="1547" spans="3:3" ht="15" customHeight="1">
      <c r="C1547" s="70" t="str">
        <f t="shared" si="25"/>
        <v/>
      </c>
    </row>
    <row r="1548" spans="3:3" ht="15" customHeight="1">
      <c r="C1548" s="70" t="str">
        <f t="shared" si="25"/>
        <v/>
      </c>
    </row>
    <row r="1549" spans="3:3" ht="15" customHeight="1">
      <c r="C1549" s="70" t="str">
        <f t="shared" si="25"/>
        <v/>
      </c>
    </row>
    <row r="1550" spans="3:3" ht="15" customHeight="1">
      <c r="C1550" s="70" t="str">
        <f t="shared" si="25"/>
        <v/>
      </c>
    </row>
    <row r="1551" spans="3:3" ht="15" customHeight="1">
      <c r="C1551" s="70" t="str">
        <f t="shared" si="25"/>
        <v/>
      </c>
    </row>
    <row r="1552" spans="3:3" ht="15" customHeight="1">
      <c r="C1552" s="70" t="str">
        <f t="shared" si="25"/>
        <v/>
      </c>
    </row>
    <row r="1553" spans="3:3" ht="15" customHeight="1">
      <c r="C1553" s="70" t="str">
        <f t="shared" ref="C1553:C1616" si="26">IF(B1553&lt;&gt;"",TEXT(WEEKDAY(B1553),"dddd"),"")</f>
        <v/>
      </c>
    </row>
    <row r="1554" spans="3:3" ht="15" customHeight="1">
      <c r="C1554" s="70" t="str">
        <f t="shared" si="26"/>
        <v/>
      </c>
    </row>
    <row r="1555" spans="3:3" ht="15" customHeight="1">
      <c r="C1555" s="70" t="str">
        <f t="shared" si="26"/>
        <v/>
      </c>
    </row>
    <row r="1556" spans="3:3" ht="15" customHeight="1">
      <c r="C1556" s="70" t="str">
        <f t="shared" si="26"/>
        <v/>
      </c>
    </row>
    <row r="1557" spans="3:3" ht="15" customHeight="1">
      <c r="C1557" s="70" t="str">
        <f t="shared" si="26"/>
        <v/>
      </c>
    </row>
    <row r="1558" spans="3:3" ht="15" customHeight="1">
      <c r="C1558" s="70" t="str">
        <f t="shared" si="26"/>
        <v/>
      </c>
    </row>
    <row r="1559" spans="3:3" ht="15" customHeight="1">
      <c r="C1559" s="70" t="str">
        <f t="shared" si="26"/>
        <v/>
      </c>
    </row>
    <row r="1560" spans="3:3" ht="15" customHeight="1">
      <c r="C1560" s="70" t="str">
        <f t="shared" si="26"/>
        <v/>
      </c>
    </row>
    <row r="1561" spans="3:3" ht="15" customHeight="1">
      <c r="C1561" s="70" t="str">
        <f t="shared" si="26"/>
        <v/>
      </c>
    </row>
    <row r="1562" spans="3:3" ht="15" customHeight="1">
      <c r="C1562" s="70" t="str">
        <f t="shared" si="26"/>
        <v/>
      </c>
    </row>
    <row r="1563" spans="3:3" ht="15" customHeight="1">
      <c r="C1563" s="70" t="str">
        <f t="shared" si="26"/>
        <v/>
      </c>
    </row>
    <row r="1564" spans="3:3" ht="15" customHeight="1">
      <c r="C1564" s="70" t="str">
        <f t="shared" si="26"/>
        <v/>
      </c>
    </row>
    <row r="1565" spans="3:3" ht="15" customHeight="1">
      <c r="C1565" s="70" t="str">
        <f t="shared" si="26"/>
        <v/>
      </c>
    </row>
    <row r="1566" spans="3:3" ht="15" customHeight="1">
      <c r="C1566" s="70" t="str">
        <f t="shared" si="26"/>
        <v/>
      </c>
    </row>
    <row r="1567" spans="3:3" ht="15" customHeight="1">
      <c r="C1567" s="70" t="str">
        <f t="shared" si="26"/>
        <v/>
      </c>
    </row>
    <row r="1568" spans="3:3" ht="15" customHeight="1">
      <c r="C1568" s="70" t="str">
        <f t="shared" si="26"/>
        <v/>
      </c>
    </row>
    <row r="1569" spans="3:3" ht="15" customHeight="1">
      <c r="C1569" s="70" t="str">
        <f t="shared" si="26"/>
        <v/>
      </c>
    </row>
    <row r="1570" spans="3:3" ht="15" customHeight="1">
      <c r="C1570" s="70" t="str">
        <f t="shared" si="26"/>
        <v/>
      </c>
    </row>
    <row r="1571" spans="3:3" ht="15" customHeight="1">
      <c r="C1571" s="70" t="str">
        <f t="shared" si="26"/>
        <v/>
      </c>
    </row>
    <row r="1572" spans="3:3" ht="15" customHeight="1">
      <c r="C1572" s="70" t="str">
        <f t="shared" si="26"/>
        <v/>
      </c>
    </row>
    <row r="1573" spans="3:3" ht="15" customHeight="1">
      <c r="C1573" s="70" t="str">
        <f t="shared" si="26"/>
        <v/>
      </c>
    </row>
    <row r="1574" spans="3:3" ht="15" customHeight="1">
      <c r="C1574" s="70" t="str">
        <f t="shared" si="26"/>
        <v/>
      </c>
    </row>
    <row r="1575" spans="3:3" ht="15" customHeight="1">
      <c r="C1575" s="70" t="str">
        <f t="shared" si="26"/>
        <v/>
      </c>
    </row>
    <row r="1576" spans="3:3" ht="15" customHeight="1">
      <c r="C1576" s="70" t="str">
        <f t="shared" si="26"/>
        <v/>
      </c>
    </row>
    <row r="1577" spans="3:3" ht="15" customHeight="1">
      <c r="C1577" s="70" t="str">
        <f t="shared" si="26"/>
        <v/>
      </c>
    </row>
    <row r="1578" spans="3:3" ht="15" customHeight="1">
      <c r="C1578" s="70" t="str">
        <f t="shared" si="26"/>
        <v/>
      </c>
    </row>
    <row r="1579" spans="3:3" ht="15" customHeight="1">
      <c r="C1579" s="70" t="str">
        <f t="shared" si="26"/>
        <v/>
      </c>
    </row>
    <row r="1580" spans="3:3" ht="15" customHeight="1">
      <c r="C1580" s="70" t="str">
        <f t="shared" si="26"/>
        <v/>
      </c>
    </row>
    <row r="1581" spans="3:3" ht="15" customHeight="1">
      <c r="C1581" s="70" t="str">
        <f t="shared" si="26"/>
        <v/>
      </c>
    </row>
    <row r="1582" spans="3:3" ht="15" customHeight="1">
      <c r="C1582" s="70" t="str">
        <f t="shared" si="26"/>
        <v/>
      </c>
    </row>
    <row r="1583" spans="3:3" ht="15" customHeight="1">
      <c r="C1583" s="70" t="str">
        <f t="shared" si="26"/>
        <v/>
      </c>
    </row>
    <row r="1584" spans="3:3" ht="15" customHeight="1">
      <c r="C1584" s="70" t="str">
        <f t="shared" si="26"/>
        <v/>
      </c>
    </row>
    <row r="1585" spans="3:3" ht="15" customHeight="1">
      <c r="C1585" s="70" t="str">
        <f t="shared" si="26"/>
        <v/>
      </c>
    </row>
    <row r="1586" spans="3:3" ht="15" customHeight="1">
      <c r="C1586" s="70" t="str">
        <f t="shared" si="26"/>
        <v/>
      </c>
    </row>
    <row r="1587" spans="3:3" ht="15" customHeight="1">
      <c r="C1587" s="70" t="str">
        <f t="shared" si="26"/>
        <v/>
      </c>
    </row>
    <row r="1588" spans="3:3" ht="15" customHeight="1">
      <c r="C1588" s="70" t="str">
        <f t="shared" si="26"/>
        <v/>
      </c>
    </row>
    <row r="1589" spans="3:3" ht="15" customHeight="1">
      <c r="C1589" s="70" t="str">
        <f t="shared" si="26"/>
        <v/>
      </c>
    </row>
    <row r="1590" spans="3:3" ht="15" customHeight="1">
      <c r="C1590" s="70" t="str">
        <f t="shared" si="26"/>
        <v/>
      </c>
    </row>
    <row r="1591" spans="3:3" ht="15" customHeight="1">
      <c r="C1591" s="70" t="str">
        <f t="shared" si="26"/>
        <v/>
      </c>
    </row>
    <row r="1592" spans="3:3" ht="15" customHeight="1">
      <c r="C1592" s="70" t="str">
        <f t="shared" si="26"/>
        <v/>
      </c>
    </row>
    <row r="1593" spans="3:3" ht="15" customHeight="1">
      <c r="C1593" s="70" t="str">
        <f t="shared" si="26"/>
        <v/>
      </c>
    </row>
    <row r="1594" spans="3:3" ht="15" customHeight="1">
      <c r="C1594" s="70" t="str">
        <f t="shared" si="26"/>
        <v/>
      </c>
    </row>
    <row r="1595" spans="3:3" ht="15" customHeight="1">
      <c r="C1595" s="70" t="str">
        <f t="shared" si="26"/>
        <v/>
      </c>
    </row>
    <row r="1596" spans="3:3" ht="15" customHeight="1">
      <c r="C1596" s="70" t="str">
        <f t="shared" si="26"/>
        <v/>
      </c>
    </row>
    <row r="1597" spans="3:3" ht="15" customHeight="1">
      <c r="C1597" s="70" t="str">
        <f t="shared" si="26"/>
        <v/>
      </c>
    </row>
    <row r="1598" spans="3:3" ht="15" customHeight="1">
      <c r="C1598" s="70" t="str">
        <f t="shared" si="26"/>
        <v/>
      </c>
    </row>
    <row r="1599" spans="3:3" ht="15" customHeight="1">
      <c r="C1599" s="70" t="str">
        <f t="shared" si="26"/>
        <v/>
      </c>
    </row>
    <row r="1600" spans="3:3" ht="15" customHeight="1">
      <c r="C1600" s="70" t="str">
        <f t="shared" si="26"/>
        <v/>
      </c>
    </row>
    <row r="1601" spans="3:3" ht="15" customHeight="1">
      <c r="C1601" s="70" t="str">
        <f t="shared" si="26"/>
        <v/>
      </c>
    </row>
    <row r="1602" spans="3:3" ht="15" customHeight="1">
      <c r="C1602" s="70" t="str">
        <f t="shared" si="26"/>
        <v/>
      </c>
    </row>
    <row r="1603" spans="3:3" ht="15" customHeight="1">
      <c r="C1603" s="70" t="str">
        <f t="shared" si="26"/>
        <v/>
      </c>
    </row>
    <row r="1604" spans="3:3" ht="15" customHeight="1">
      <c r="C1604" s="70" t="str">
        <f t="shared" si="26"/>
        <v/>
      </c>
    </row>
    <row r="1605" spans="3:3" ht="15" customHeight="1">
      <c r="C1605" s="70" t="str">
        <f t="shared" si="26"/>
        <v/>
      </c>
    </row>
    <row r="1606" spans="3:3" ht="15" customHeight="1">
      <c r="C1606" s="70" t="str">
        <f t="shared" si="26"/>
        <v/>
      </c>
    </row>
    <row r="1607" spans="3:3" ht="15" customHeight="1">
      <c r="C1607" s="70" t="str">
        <f t="shared" si="26"/>
        <v/>
      </c>
    </row>
    <row r="1608" spans="3:3" ht="15" customHeight="1">
      <c r="C1608" s="70" t="str">
        <f t="shared" si="26"/>
        <v/>
      </c>
    </row>
    <row r="1609" spans="3:3" ht="15" customHeight="1">
      <c r="C1609" s="70" t="str">
        <f t="shared" si="26"/>
        <v/>
      </c>
    </row>
    <row r="1610" spans="3:3" ht="15" customHeight="1">
      <c r="C1610" s="70" t="str">
        <f t="shared" si="26"/>
        <v/>
      </c>
    </row>
    <row r="1611" spans="3:3" ht="15" customHeight="1">
      <c r="C1611" s="70" t="str">
        <f t="shared" si="26"/>
        <v/>
      </c>
    </row>
    <row r="1612" spans="3:3" ht="15" customHeight="1">
      <c r="C1612" s="70" t="str">
        <f t="shared" si="26"/>
        <v/>
      </c>
    </row>
    <row r="1613" spans="3:3" ht="15" customHeight="1">
      <c r="C1613" s="70" t="str">
        <f t="shared" si="26"/>
        <v/>
      </c>
    </row>
    <row r="1614" spans="3:3" ht="15" customHeight="1">
      <c r="C1614" s="70" t="str">
        <f t="shared" si="26"/>
        <v/>
      </c>
    </row>
    <row r="1615" spans="3:3" ht="15" customHeight="1">
      <c r="C1615" s="70" t="str">
        <f t="shared" si="26"/>
        <v/>
      </c>
    </row>
    <row r="1616" spans="3:3" ht="15" customHeight="1">
      <c r="C1616" s="70" t="str">
        <f t="shared" si="26"/>
        <v/>
      </c>
    </row>
    <row r="1617" spans="3:3" ht="15" customHeight="1">
      <c r="C1617" s="70" t="str">
        <f t="shared" ref="C1617:C1680" si="27">IF(B1617&lt;&gt;"",TEXT(WEEKDAY(B1617),"dddd"),"")</f>
        <v/>
      </c>
    </row>
    <row r="1618" spans="3:3" ht="15" customHeight="1">
      <c r="C1618" s="70" t="str">
        <f t="shared" si="27"/>
        <v/>
      </c>
    </row>
    <row r="1619" spans="3:3" ht="15" customHeight="1">
      <c r="C1619" s="70" t="str">
        <f t="shared" si="27"/>
        <v/>
      </c>
    </row>
    <row r="1620" spans="3:3" ht="15" customHeight="1">
      <c r="C1620" s="70" t="str">
        <f t="shared" si="27"/>
        <v/>
      </c>
    </row>
    <row r="1621" spans="3:3" ht="15" customHeight="1">
      <c r="C1621" s="70" t="str">
        <f t="shared" si="27"/>
        <v/>
      </c>
    </row>
    <row r="1622" spans="3:3" ht="15" customHeight="1">
      <c r="C1622" s="70" t="str">
        <f t="shared" si="27"/>
        <v/>
      </c>
    </row>
    <row r="1623" spans="3:3" ht="15" customHeight="1">
      <c r="C1623" s="70" t="str">
        <f t="shared" si="27"/>
        <v/>
      </c>
    </row>
    <row r="1624" spans="3:3" ht="15" customHeight="1">
      <c r="C1624" s="70" t="str">
        <f t="shared" si="27"/>
        <v/>
      </c>
    </row>
    <row r="1625" spans="3:3" ht="15" customHeight="1">
      <c r="C1625" s="70" t="str">
        <f t="shared" si="27"/>
        <v/>
      </c>
    </row>
    <row r="1626" spans="3:3" ht="15" customHeight="1">
      <c r="C1626" s="70" t="str">
        <f t="shared" si="27"/>
        <v/>
      </c>
    </row>
    <row r="1627" spans="3:3" ht="15" customHeight="1">
      <c r="C1627" s="70" t="str">
        <f t="shared" si="27"/>
        <v/>
      </c>
    </row>
    <row r="1628" spans="3:3" ht="15" customHeight="1">
      <c r="C1628" s="70" t="str">
        <f t="shared" si="27"/>
        <v/>
      </c>
    </row>
    <row r="1629" spans="3:3" ht="15" customHeight="1">
      <c r="C1629" s="70" t="str">
        <f t="shared" si="27"/>
        <v/>
      </c>
    </row>
    <row r="1630" spans="3:3" ht="15" customHeight="1">
      <c r="C1630" s="70" t="str">
        <f t="shared" si="27"/>
        <v/>
      </c>
    </row>
    <row r="1631" spans="3:3" ht="15" customHeight="1">
      <c r="C1631" s="70" t="str">
        <f t="shared" si="27"/>
        <v/>
      </c>
    </row>
    <row r="1632" spans="3:3" ht="15" customHeight="1">
      <c r="C1632" s="70" t="str">
        <f t="shared" si="27"/>
        <v/>
      </c>
    </row>
    <row r="1633" spans="3:3" ht="15" customHeight="1">
      <c r="C1633" s="70" t="str">
        <f t="shared" si="27"/>
        <v/>
      </c>
    </row>
    <row r="1634" spans="3:3" ht="15" customHeight="1">
      <c r="C1634" s="70" t="str">
        <f t="shared" si="27"/>
        <v/>
      </c>
    </row>
    <row r="1635" spans="3:3" ht="15" customHeight="1">
      <c r="C1635" s="70" t="str">
        <f t="shared" si="27"/>
        <v/>
      </c>
    </row>
    <row r="1636" spans="3:3" ht="15" customHeight="1">
      <c r="C1636" s="70" t="str">
        <f t="shared" si="27"/>
        <v/>
      </c>
    </row>
    <row r="1637" spans="3:3" ht="15" customHeight="1">
      <c r="C1637" s="70" t="str">
        <f t="shared" si="27"/>
        <v/>
      </c>
    </row>
    <row r="1638" spans="3:3" ht="15" customHeight="1">
      <c r="C1638" s="70" t="str">
        <f t="shared" si="27"/>
        <v/>
      </c>
    </row>
    <row r="1639" spans="3:3" ht="15" customHeight="1">
      <c r="C1639" s="70" t="str">
        <f t="shared" si="27"/>
        <v/>
      </c>
    </row>
    <row r="1640" spans="3:3" ht="15" customHeight="1">
      <c r="C1640" s="70" t="str">
        <f t="shared" si="27"/>
        <v/>
      </c>
    </row>
    <row r="1641" spans="3:3" ht="15" customHeight="1">
      <c r="C1641" s="70" t="str">
        <f t="shared" si="27"/>
        <v/>
      </c>
    </row>
    <row r="1642" spans="3:3" ht="15" customHeight="1">
      <c r="C1642" s="70" t="str">
        <f t="shared" si="27"/>
        <v/>
      </c>
    </row>
    <row r="1643" spans="3:3" ht="15" customHeight="1">
      <c r="C1643" s="70" t="str">
        <f t="shared" si="27"/>
        <v/>
      </c>
    </row>
    <row r="1644" spans="3:3" ht="15" customHeight="1">
      <c r="C1644" s="70" t="str">
        <f t="shared" si="27"/>
        <v/>
      </c>
    </row>
    <row r="1645" spans="3:3" ht="15" customHeight="1">
      <c r="C1645" s="70" t="str">
        <f t="shared" si="27"/>
        <v/>
      </c>
    </row>
    <row r="1646" spans="3:3" ht="15" customHeight="1">
      <c r="C1646" s="70" t="str">
        <f t="shared" si="27"/>
        <v/>
      </c>
    </row>
    <row r="1647" spans="3:3" ht="15" customHeight="1">
      <c r="C1647" s="70" t="str">
        <f t="shared" si="27"/>
        <v/>
      </c>
    </row>
    <row r="1648" spans="3:3" ht="15" customHeight="1">
      <c r="C1648" s="70" t="str">
        <f t="shared" si="27"/>
        <v/>
      </c>
    </row>
    <row r="1649" spans="3:3" ht="15" customHeight="1">
      <c r="C1649" s="70" t="str">
        <f t="shared" si="27"/>
        <v/>
      </c>
    </row>
    <row r="1650" spans="3:3" ht="15" customHeight="1">
      <c r="C1650" s="70" t="str">
        <f t="shared" si="27"/>
        <v/>
      </c>
    </row>
    <row r="1651" spans="3:3" ht="15" customHeight="1">
      <c r="C1651" s="70" t="str">
        <f t="shared" si="27"/>
        <v/>
      </c>
    </row>
    <row r="1652" spans="3:3" ht="15" customHeight="1">
      <c r="C1652" s="70" t="str">
        <f t="shared" si="27"/>
        <v/>
      </c>
    </row>
    <row r="1653" spans="3:3" ht="15" customHeight="1">
      <c r="C1653" s="70" t="str">
        <f t="shared" si="27"/>
        <v/>
      </c>
    </row>
    <row r="1654" spans="3:3" ht="15" customHeight="1">
      <c r="C1654" s="70" t="str">
        <f t="shared" si="27"/>
        <v/>
      </c>
    </row>
    <row r="1655" spans="3:3" ht="15" customHeight="1">
      <c r="C1655" s="70" t="str">
        <f t="shared" si="27"/>
        <v/>
      </c>
    </row>
    <row r="1656" spans="3:3" ht="15" customHeight="1">
      <c r="C1656" s="70" t="str">
        <f t="shared" si="27"/>
        <v/>
      </c>
    </row>
    <row r="1657" spans="3:3" ht="15" customHeight="1">
      <c r="C1657" s="70" t="str">
        <f t="shared" si="27"/>
        <v/>
      </c>
    </row>
    <row r="1658" spans="3:3" ht="15" customHeight="1">
      <c r="C1658" s="70" t="str">
        <f t="shared" si="27"/>
        <v/>
      </c>
    </row>
    <row r="1659" spans="3:3" ht="15" customHeight="1">
      <c r="C1659" s="70" t="str">
        <f t="shared" si="27"/>
        <v/>
      </c>
    </row>
    <row r="1660" spans="3:3" ht="15" customHeight="1">
      <c r="C1660" s="70" t="str">
        <f t="shared" si="27"/>
        <v/>
      </c>
    </row>
    <row r="1661" spans="3:3" ht="15" customHeight="1">
      <c r="C1661" s="70" t="str">
        <f t="shared" si="27"/>
        <v/>
      </c>
    </row>
    <row r="1662" spans="3:3" ht="15" customHeight="1">
      <c r="C1662" s="70" t="str">
        <f t="shared" si="27"/>
        <v/>
      </c>
    </row>
    <row r="1663" spans="3:3" ht="15" customHeight="1">
      <c r="C1663" s="70" t="str">
        <f t="shared" si="27"/>
        <v/>
      </c>
    </row>
    <row r="1664" spans="3:3" ht="15" customHeight="1">
      <c r="C1664" s="70" t="str">
        <f t="shared" si="27"/>
        <v/>
      </c>
    </row>
    <row r="1665" spans="3:3" ht="15" customHeight="1">
      <c r="C1665" s="70" t="str">
        <f t="shared" si="27"/>
        <v/>
      </c>
    </row>
    <row r="1666" spans="3:3" ht="15" customHeight="1">
      <c r="C1666" s="70" t="str">
        <f t="shared" si="27"/>
        <v/>
      </c>
    </row>
    <row r="1667" spans="3:3" ht="15" customHeight="1">
      <c r="C1667" s="70" t="str">
        <f t="shared" si="27"/>
        <v/>
      </c>
    </row>
    <row r="1668" spans="3:3" ht="15" customHeight="1">
      <c r="C1668" s="70" t="str">
        <f t="shared" si="27"/>
        <v/>
      </c>
    </row>
    <row r="1669" spans="3:3" ht="15" customHeight="1">
      <c r="C1669" s="70" t="str">
        <f t="shared" si="27"/>
        <v/>
      </c>
    </row>
    <row r="1670" spans="3:3" ht="15" customHeight="1">
      <c r="C1670" s="70" t="str">
        <f t="shared" si="27"/>
        <v/>
      </c>
    </row>
    <row r="1671" spans="3:3" ht="15" customHeight="1">
      <c r="C1671" s="70" t="str">
        <f t="shared" si="27"/>
        <v/>
      </c>
    </row>
    <row r="1672" spans="3:3" ht="15" customHeight="1">
      <c r="C1672" s="70" t="str">
        <f t="shared" si="27"/>
        <v/>
      </c>
    </row>
    <row r="1673" spans="3:3" ht="15" customHeight="1">
      <c r="C1673" s="70" t="str">
        <f t="shared" si="27"/>
        <v/>
      </c>
    </row>
    <row r="1674" spans="3:3" ht="15" customHeight="1">
      <c r="C1674" s="70" t="str">
        <f t="shared" si="27"/>
        <v/>
      </c>
    </row>
    <row r="1675" spans="3:3" ht="15" customHeight="1">
      <c r="C1675" s="70" t="str">
        <f t="shared" si="27"/>
        <v/>
      </c>
    </row>
    <row r="1676" spans="3:3" ht="15" customHeight="1">
      <c r="C1676" s="70" t="str">
        <f t="shared" si="27"/>
        <v/>
      </c>
    </row>
    <row r="1677" spans="3:3" ht="15" customHeight="1">
      <c r="C1677" s="70" t="str">
        <f t="shared" si="27"/>
        <v/>
      </c>
    </row>
    <row r="1678" spans="3:3" ht="15" customHeight="1">
      <c r="C1678" s="70" t="str">
        <f t="shared" si="27"/>
        <v/>
      </c>
    </row>
    <row r="1679" spans="3:3" ht="15" customHeight="1">
      <c r="C1679" s="70" t="str">
        <f t="shared" si="27"/>
        <v/>
      </c>
    </row>
    <row r="1680" spans="3:3" ht="15" customHeight="1">
      <c r="C1680" s="70" t="str">
        <f t="shared" si="27"/>
        <v/>
      </c>
    </row>
    <row r="1681" spans="3:3" ht="15" customHeight="1">
      <c r="C1681" s="70" t="str">
        <f t="shared" ref="C1681:C1744" si="28">IF(B1681&lt;&gt;"",TEXT(WEEKDAY(B1681),"dddd"),"")</f>
        <v/>
      </c>
    </row>
    <row r="1682" spans="3:3" ht="15" customHeight="1">
      <c r="C1682" s="70" t="str">
        <f t="shared" si="28"/>
        <v/>
      </c>
    </row>
    <row r="1683" spans="3:3" ht="15" customHeight="1">
      <c r="C1683" s="70" t="str">
        <f t="shared" si="28"/>
        <v/>
      </c>
    </row>
    <row r="1684" spans="3:3" ht="15" customHeight="1">
      <c r="C1684" s="70" t="str">
        <f t="shared" si="28"/>
        <v/>
      </c>
    </row>
    <row r="1685" spans="3:3" ht="15" customHeight="1">
      <c r="C1685" s="70" t="str">
        <f t="shared" si="28"/>
        <v/>
      </c>
    </row>
    <row r="1686" spans="3:3" ht="15" customHeight="1">
      <c r="C1686" s="70" t="str">
        <f t="shared" si="28"/>
        <v/>
      </c>
    </row>
    <row r="1687" spans="3:3" ht="15" customHeight="1">
      <c r="C1687" s="70" t="str">
        <f t="shared" si="28"/>
        <v/>
      </c>
    </row>
    <row r="1688" spans="3:3" ht="15" customHeight="1">
      <c r="C1688" s="70" t="str">
        <f t="shared" si="28"/>
        <v/>
      </c>
    </row>
    <row r="1689" spans="3:3" ht="15" customHeight="1">
      <c r="C1689" s="70" t="str">
        <f t="shared" si="28"/>
        <v/>
      </c>
    </row>
    <row r="1690" spans="3:3" ht="15" customHeight="1">
      <c r="C1690" s="70" t="str">
        <f t="shared" si="28"/>
        <v/>
      </c>
    </row>
    <row r="1691" spans="3:3" ht="15" customHeight="1">
      <c r="C1691" s="70" t="str">
        <f t="shared" si="28"/>
        <v/>
      </c>
    </row>
    <row r="1692" spans="3:3" ht="15" customHeight="1">
      <c r="C1692" s="70" t="str">
        <f t="shared" si="28"/>
        <v/>
      </c>
    </row>
    <row r="1693" spans="3:3" ht="15" customHeight="1">
      <c r="C1693" s="70" t="str">
        <f t="shared" si="28"/>
        <v/>
      </c>
    </row>
    <row r="1694" spans="3:3" ht="15" customHeight="1">
      <c r="C1694" s="70" t="str">
        <f t="shared" si="28"/>
        <v/>
      </c>
    </row>
    <row r="1695" spans="3:3" ht="15" customHeight="1">
      <c r="C1695" s="70" t="str">
        <f t="shared" si="28"/>
        <v/>
      </c>
    </row>
    <row r="1696" spans="3:3" ht="15" customHeight="1">
      <c r="C1696" s="70" t="str">
        <f t="shared" si="28"/>
        <v/>
      </c>
    </row>
    <row r="1697" spans="3:3" ht="15" customHeight="1">
      <c r="C1697" s="70" t="str">
        <f t="shared" si="28"/>
        <v/>
      </c>
    </row>
    <row r="1698" spans="3:3" ht="15" customHeight="1">
      <c r="C1698" s="70" t="str">
        <f t="shared" si="28"/>
        <v/>
      </c>
    </row>
    <row r="1699" spans="3:3" ht="15" customHeight="1">
      <c r="C1699" s="70" t="str">
        <f t="shared" si="28"/>
        <v/>
      </c>
    </row>
    <row r="1700" spans="3:3" ht="15" customHeight="1">
      <c r="C1700" s="70" t="str">
        <f t="shared" si="28"/>
        <v/>
      </c>
    </row>
    <row r="1701" spans="3:3" ht="15" customHeight="1">
      <c r="C1701" s="70" t="str">
        <f t="shared" si="28"/>
        <v/>
      </c>
    </row>
    <row r="1702" spans="3:3" ht="15" customHeight="1">
      <c r="C1702" s="70" t="str">
        <f t="shared" si="28"/>
        <v/>
      </c>
    </row>
    <row r="1703" spans="3:3" ht="15" customHeight="1">
      <c r="C1703" s="70" t="str">
        <f t="shared" si="28"/>
        <v/>
      </c>
    </row>
    <row r="1704" spans="3:3" ht="15" customHeight="1">
      <c r="C1704" s="70" t="str">
        <f t="shared" si="28"/>
        <v/>
      </c>
    </row>
    <row r="1705" spans="3:3" ht="15" customHeight="1">
      <c r="C1705" s="70" t="str">
        <f t="shared" si="28"/>
        <v/>
      </c>
    </row>
    <row r="1706" spans="3:3" ht="15" customHeight="1">
      <c r="C1706" s="70" t="str">
        <f t="shared" si="28"/>
        <v/>
      </c>
    </row>
    <row r="1707" spans="3:3" ht="15" customHeight="1">
      <c r="C1707" s="70" t="str">
        <f t="shared" si="28"/>
        <v/>
      </c>
    </row>
    <row r="1708" spans="3:3" ht="15" customHeight="1">
      <c r="C1708" s="70" t="str">
        <f t="shared" si="28"/>
        <v/>
      </c>
    </row>
    <row r="1709" spans="3:3" ht="15" customHeight="1">
      <c r="C1709" s="70" t="str">
        <f t="shared" si="28"/>
        <v/>
      </c>
    </row>
    <row r="1710" spans="3:3" ht="15" customHeight="1">
      <c r="C1710" s="70" t="str">
        <f t="shared" si="28"/>
        <v/>
      </c>
    </row>
    <row r="1711" spans="3:3" ht="15" customHeight="1">
      <c r="C1711" s="70" t="str">
        <f t="shared" si="28"/>
        <v/>
      </c>
    </row>
    <row r="1712" spans="3:3" ht="15" customHeight="1">
      <c r="C1712" s="70" t="str">
        <f t="shared" si="28"/>
        <v/>
      </c>
    </row>
    <row r="1713" spans="3:3" ht="15" customHeight="1">
      <c r="C1713" s="70" t="str">
        <f t="shared" si="28"/>
        <v/>
      </c>
    </row>
    <row r="1714" spans="3:3" ht="15" customHeight="1">
      <c r="C1714" s="70" t="str">
        <f t="shared" si="28"/>
        <v/>
      </c>
    </row>
    <row r="1715" spans="3:3" ht="15" customHeight="1">
      <c r="C1715" s="70" t="str">
        <f t="shared" si="28"/>
        <v/>
      </c>
    </row>
    <row r="1716" spans="3:3" ht="15" customHeight="1">
      <c r="C1716" s="70" t="str">
        <f t="shared" si="28"/>
        <v/>
      </c>
    </row>
    <row r="1717" spans="3:3" ht="15" customHeight="1">
      <c r="C1717" s="70" t="str">
        <f t="shared" si="28"/>
        <v/>
      </c>
    </row>
    <row r="1718" spans="3:3" ht="15" customHeight="1">
      <c r="C1718" s="70" t="str">
        <f t="shared" si="28"/>
        <v/>
      </c>
    </row>
    <row r="1719" spans="3:3" ht="15" customHeight="1">
      <c r="C1719" s="70" t="str">
        <f t="shared" si="28"/>
        <v/>
      </c>
    </row>
    <row r="1720" spans="3:3" ht="15" customHeight="1">
      <c r="C1720" s="70" t="str">
        <f t="shared" si="28"/>
        <v/>
      </c>
    </row>
    <row r="1721" spans="3:3" ht="15" customHeight="1">
      <c r="C1721" s="70" t="str">
        <f t="shared" si="28"/>
        <v/>
      </c>
    </row>
    <row r="1722" spans="3:3" ht="15" customHeight="1">
      <c r="C1722" s="70" t="str">
        <f t="shared" si="28"/>
        <v/>
      </c>
    </row>
    <row r="1723" spans="3:3" ht="15" customHeight="1">
      <c r="C1723" s="70" t="str">
        <f t="shared" si="28"/>
        <v/>
      </c>
    </row>
    <row r="1724" spans="3:3" ht="15" customHeight="1">
      <c r="C1724" s="70" t="str">
        <f t="shared" si="28"/>
        <v/>
      </c>
    </row>
    <row r="1725" spans="3:3" ht="15" customHeight="1">
      <c r="C1725" s="70" t="str">
        <f t="shared" si="28"/>
        <v/>
      </c>
    </row>
    <row r="1726" spans="3:3" ht="15" customHeight="1">
      <c r="C1726" s="70" t="str">
        <f t="shared" si="28"/>
        <v/>
      </c>
    </row>
    <row r="1727" spans="3:3" ht="15" customHeight="1">
      <c r="C1727" s="70" t="str">
        <f t="shared" si="28"/>
        <v/>
      </c>
    </row>
    <row r="1728" spans="3:3" ht="15" customHeight="1">
      <c r="C1728" s="70" t="str">
        <f t="shared" si="28"/>
        <v/>
      </c>
    </row>
    <row r="1729" spans="3:3" ht="15" customHeight="1">
      <c r="C1729" s="70" t="str">
        <f t="shared" si="28"/>
        <v/>
      </c>
    </row>
    <row r="1730" spans="3:3" ht="15" customHeight="1">
      <c r="C1730" s="70" t="str">
        <f t="shared" si="28"/>
        <v/>
      </c>
    </row>
    <row r="1731" spans="3:3" ht="15" customHeight="1">
      <c r="C1731" s="70" t="str">
        <f t="shared" si="28"/>
        <v/>
      </c>
    </row>
    <row r="1732" spans="3:3" ht="15" customHeight="1">
      <c r="C1732" s="70" t="str">
        <f t="shared" si="28"/>
        <v/>
      </c>
    </row>
    <row r="1733" spans="3:3" ht="15" customHeight="1">
      <c r="C1733" s="70" t="str">
        <f t="shared" si="28"/>
        <v/>
      </c>
    </row>
    <row r="1734" spans="3:3" ht="15" customHeight="1">
      <c r="C1734" s="70" t="str">
        <f t="shared" si="28"/>
        <v/>
      </c>
    </row>
    <row r="1735" spans="3:3" ht="15" customHeight="1">
      <c r="C1735" s="70" t="str">
        <f t="shared" si="28"/>
        <v/>
      </c>
    </row>
    <row r="1736" spans="3:3" ht="15" customHeight="1">
      <c r="C1736" s="70" t="str">
        <f t="shared" si="28"/>
        <v/>
      </c>
    </row>
    <row r="1737" spans="3:3" ht="15" customHeight="1">
      <c r="C1737" s="70" t="str">
        <f t="shared" si="28"/>
        <v/>
      </c>
    </row>
    <row r="1738" spans="3:3" ht="15" customHeight="1">
      <c r="C1738" s="70" t="str">
        <f t="shared" si="28"/>
        <v/>
      </c>
    </row>
    <row r="1739" spans="3:3" ht="15" customHeight="1">
      <c r="C1739" s="70" t="str">
        <f t="shared" si="28"/>
        <v/>
      </c>
    </row>
    <row r="1740" spans="3:3" ht="15" customHeight="1">
      <c r="C1740" s="70" t="str">
        <f t="shared" si="28"/>
        <v/>
      </c>
    </row>
    <row r="1741" spans="3:3" ht="15" customHeight="1">
      <c r="C1741" s="70" t="str">
        <f t="shared" si="28"/>
        <v/>
      </c>
    </row>
    <row r="1742" spans="3:3" ht="15" customHeight="1">
      <c r="C1742" s="70" t="str">
        <f t="shared" si="28"/>
        <v/>
      </c>
    </row>
    <row r="1743" spans="3:3" ht="15" customHeight="1">
      <c r="C1743" s="70" t="str">
        <f t="shared" si="28"/>
        <v/>
      </c>
    </row>
    <row r="1744" spans="3:3" ht="15" customHeight="1">
      <c r="C1744" s="70" t="str">
        <f t="shared" si="28"/>
        <v/>
      </c>
    </row>
    <row r="1745" spans="3:3" ht="15" customHeight="1">
      <c r="C1745" s="70" t="str">
        <f t="shared" ref="C1745:C1808" si="29">IF(B1745&lt;&gt;"",TEXT(WEEKDAY(B1745),"dddd"),"")</f>
        <v/>
      </c>
    </row>
    <row r="1746" spans="3:3" ht="15" customHeight="1">
      <c r="C1746" s="70" t="str">
        <f t="shared" si="29"/>
        <v/>
      </c>
    </row>
    <row r="1747" spans="3:3" ht="15" customHeight="1">
      <c r="C1747" s="70" t="str">
        <f t="shared" si="29"/>
        <v/>
      </c>
    </row>
    <row r="1748" spans="3:3" ht="15" customHeight="1">
      <c r="C1748" s="70" t="str">
        <f t="shared" si="29"/>
        <v/>
      </c>
    </row>
    <row r="1749" spans="3:3" ht="15" customHeight="1">
      <c r="C1749" s="70" t="str">
        <f t="shared" si="29"/>
        <v/>
      </c>
    </row>
    <row r="1750" spans="3:3" ht="15" customHeight="1">
      <c r="C1750" s="70" t="str">
        <f t="shared" si="29"/>
        <v/>
      </c>
    </row>
    <row r="1751" spans="3:3" ht="15" customHeight="1">
      <c r="C1751" s="70" t="str">
        <f t="shared" si="29"/>
        <v/>
      </c>
    </row>
    <row r="1752" spans="3:3" ht="15" customHeight="1">
      <c r="C1752" s="70" t="str">
        <f t="shared" si="29"/>
        <v/>
      </c>
    </row>
    <row r="1753" spans="3:3" ht="15" customHeight="1">
      <c r="C1753" s="70" t="str">
        <f t="shared" si="29"/>
        <v/>
      </c>
    </row>
    <row r="1754" spans="3:3" ht="15" customHeight="1">
      <c r="C1754" s="70" t="str">
        <f t="shared" si="29"/>
        <v/>
      </c>
    </row>
    <row r="1755" spans="3:3" ht="15" customHeight="1">
      <c r="C1755" s="70" t="str">
        <f t="shared" si="29"/>
        <v/>
      </c>
    </row>
    <row r="1756" spans="3:3" ht="15" customHeight="1">
      <c r="C1756" s="70" t="str">
        <f t="shared" si="29"/>
        <v/>
      </c>
    </row>
    <row r="1757" spans="3:3" ht="15" customHeight="1">
      <c r="C1757" s="70" t="str">
        <f t="shared" si="29"/>
        <v/>
      </c>
    </row>
    <row r="1758" spans="3:3" ht="15" customHeight="1">
      <c r="C1758" s="70" t="str">
        <f t="shared" si="29"/>
        <v/>
      </c>
    </row>
    <row r="1759" spans="3:3" ht="15" customHeight="1">
      <c r="C1759" s="70" t="str">
        <f t="shared" si="29"/>
        <v/>
      </c>
    </row>
    <row r="1760" spans="3:3" ht="15" customHeight="1">
      <c r="C1760" s="70" t="str">
        <f t="shared" si="29"/>
        <v/>
      </c>
    </row>
    <row r="1761" spans="3:3" ht="15" customHeight="1">
      <c r="C1761" s="70" t="str">
        <f t="shared" si="29"/>
        <v/>
      </c>
    </row>
    <row r="1762" spans="3:3" ht="15" customHeight="1">
      <c r="C1762" s="70" t="str">
        <f t="shared" si="29"/>
        <v/>
      </c>
    </row>
    <row r="1763" spans="3:3" ht="15" customHeight="1">
      <c r="C1763" s="70" t="str">
        <f t="shared" si="29"/>
        <v/>
      </c>
    </row>
    <row r="1764" spans="3:3" ht="15" customHeight="1">
      <c r="C1764" s="70" t="str">
        <f t="shared" si="29"/>
        <v/>
      </c>
    </row>
    <row r="1765" spans="3:3" ht="15" customHeight="1">
      <c r="C1765" s="70" t="str">
        <f t="shared" si="29"/>
        <v/>
      </c>
    </row>
    <row r="1766" spans="3:3" ht="15" customHeight="1">
      <c r="C1766" s="70" t="str">
        <f t="shared" si="29"/>
        <v/>
      </c>
    </row>
    <row r="1767" spans="3:3" ht="15" customHeight="1">
      <c r="C1767" s="70" t="str">
        <f t="shared" si="29"/>
        <v/>
      </c>
    </row>
    <row r="1768" spans="3:3" ht="15" customHeight="1">
      <c r="C1768" s="70" t="str">
        <f t="shared" si="29"/>
        <v/>
      </c>
    </row>
    <row r="1769" spans="3:3" ht="15" customHeight="1">
      <c r="C1769" s="70" t="str">
        <f t="shared" si="29"/>
        <v/>
      </c>
    </row>
    <row r="1770" spans="3:3" ht="15" customHeight="1">
      <c r="C1770" s="70" t="str">
        <f t="shared" si="29"/>
        <v/>
      </c>
    </row>
    <row r="1771" spans="3:3" ht="15" customHeight="1">
      <c r="C1771" s="70" t="str">
        <f t="shared" si="29"/>
        <v/>
      </c>
    </row>
    <row r="1772" spans="3:3" ht="15" customHeight="1">
      <c r="C1772" s="70" t="str">
        <f t="shared" si="29"/>
        <v/>
      </c>
    </row>
    <row r="1773" spans="3:3" ht="15" customHeight="1">
      <c r="C1773" s="70" t="str">
        <f t="shared" si="29"/>
        <v/>
      </c>
    </row>
    <row r="1774" spans="3:3" ht="15" customHeight="1">
      <c r="C1774" s="70" t="str">
        <f t="shared" si="29"/>
        <v/>
      </c>
    </row>
    <row r="1775" spans="3:3" ht="15" customHeight="1">
      <c r="C1775" s="70" t="str">
        <f t="shared" si="29"/>
        <v/>
      </c>
    </row>
    <row r="1776" spans="3:3" ht="15" customHeight="1">
      <c r="C1776" s="70" t="str">
        <f t="shared" si="29"/>
        <v/>
      </c>
    </row>
    <row r="1777" spans="3:3" ht="15" customHeight="1">
      <c r="C1777" s="70" t="str">
        <f t="shared" si="29"/>
        <v/>
      </c>
    </row>
    <row r="1778" spans="3:3" ht="15" customHeight="1">
      <c r="C1778" s="70" t="str">
        <f t="shared" si="29"/>
        <v/>
      </c>
    </row>
    <row r="1779" spans="3:3" ht="15" customHeight="1">
      <c r="C1779" s="70" t="str">
        <f t="shared" si="29"/>
        <v/>
      </c>
    </row>
    <row r="1780" spans="3:3" ht="15" customHeight="1">
      <c r="C1780" s="70" t="str">
        <f t="shared" si="29"/>
        <v/>
      </c>
    </row>
    <row r="1781" spans="3:3" ht="15" customHeight="1">
      <c r="C1781" s="70" t="str">
        <f t="shared" si="29"/>
        <v/>
      </c>
    </row>
    <row r="1782" spans="3:3" ht="15" customHeight="1">
      <c r="C1782" s="70" t="str">
        <f t="shared" si="29"/>
        <v/>
      </c>
    </row>
    <row r="1783" spans="3:3" ht="15" customHeight="1">
      <c r="C1783" s="70" t="str">
        <f t="shared" si="29"/>
        <v/>
      </c>
    </row>
    <row r="1784" spans="3:3" ht="15" customHeight="1">
      <c r="C1784" s="70" t="str">
        <f t="shared" si="29"/>
        <v/>
      </c>
    </row>
    <row r="1785" spans="3:3" ht="15" customHeight="1">
      <c r="C1785" s="70" t="str">
        <f t="shared" si="29"/>
        <v/>
      </c>
    </row>
    <row r="1786" spans="3:3" ht="15" customHeight="1">
      <c r="C1786" s="70" t="str">
        <f t="shared" si="29"/>
        <v/>
      </c>
    </row>
    <row r="1787" spans="3:3" ht="15" customHeight="1">
      <c r="C1787" s="70" t="str">
        <f t="shared" si="29"/>
        <v/>
      </c>
    </row>
    <row r="1788" spans="3:3" ht="15" customHeight="1">
      <c r="C1788" s="70" t="str">
        <f t="shared" si="29"/>
        <v/>
      </c>
    </row>
    <row r="1789" spans="3:3" ht="15" customHeight="1">
      <c r="C1789" s="70" t="str">
        <f t="shared" si="29"/>
        <v/>
      </c>
    </row>
    <row r="1790" spans="3:3" ht="15" customHeight="1">
      <c r="C1790" s="70" t="str">
        <f t="shared" si="29"/>
        <v/>
      </c>
    </row>
    <row r="1791" spans="3:3" ht="15" customHeight="1">
      <c r="C1791" s="70" t="str">
        <f t="shared" si="29"/>
        <v/>
      </c>
    </row>
    <row r="1792" spans="3:3" ht="15" customHeight="1">
      <c r="C1792" s="70" t="str">
        <f t="shared" si="29"/>
        <v/>
      </c>
    </row>
    <row r="1793" spans="3:3" ht="15" customHeight="1">
      <c r="C1793" s="70" t="str">
        <f t="shared" si="29"/>
        <v/>
      </c>
    </row>
    <row r="1794" spans="3:3" ht="15" customHeight="1">
      <c r="C1794" s="70" t="str">
        <f t="shared" si="29"/>
        <v/>
      </c>
    </row>
    <row r="1795" spans="3:3" ht="15" customHeight="1">
      <c r="C1795" s="70" t="str">
        <f t="shared" si="29"/>
        <v/>
      </c>
    </row>
    <row r="1796" spans="3:3" ht="15" customHeight="1">
      <c r="C1796" s="70" t="str">
        <f t="shared" si="29"/>
        <v/>
      </c>
    </row>
    <row r="1797" spans="3:3" ht="15" customHeight="1">
      <c r="C1797" s="70" t="str">
        <f t="shared" si="29"/>
        <v/>
      </c>
    </row>
    <row r="1798" spans="3:3" ht="15" customHeight="1">
      <c r="C1798" s="70" t="str">
        <f t="shared" si="29"/>
        <v/>
      </c>
    </row>
    <row r="1799" spans="3:3" ht="15" customHeight="1">
      <c r="C1799" s="70" t="str">
        <f t="shared" si="29"/>
        <v/>
      </c>
    </row>
    <row r="1800" spans="3:3" ht="15" customHeight="1">
      <c r="C1800" s="70" t="str">
        <f t="shared" si="29"/>
        <v/>
      </c>
    </row>
    <row r="1801" spans="3:3" ht="15" customHeight="1">
      <c r="C1801" s="70" t="str">
        <f t="shared" si="29"/>
        <v/>
      </c>
    </row>
    <row r="1802" spans="3:3" ht="15" customHeight="1">
      <c r="C1802" s="70" t="str">
        <f t="shared" si="29"/>
        <v/>
      </c>
    </row>
    <row r="1803" spans="3:3" ht="15" customHeight="1">
      <c r="C1803" s="70" t="str">
        <f t="shared" si="29"/>
        <v/>
      </c>
    </row>
    <row r="1804" spans="3:3" ht="15" customHeight="1">
      <c r="C1804" s="70" t="str">
        <f t="shared" si="29"/>
        <v/>
      </c>
    </row>
    <row r="1805" spans="3:3" ht="15" customHeight="1">
      <c r="C1805" s="70" t="str">
        <f t="shared" si="29"/>
        <v/>
      </c>
    </row>
    <row r="1806" spans="3:3" ht="15" customHeight="1">
      <c r="C1806" s="70" t="str">
        <f t="shared" si="29"/>
        <v/>
      </c>
    </row>
    <row r="1807" spans="3:3" ht="15" customHeight="1">
      <c r="C1807" s="70" t="str">
        <f t="shared" si="29"/>
        <v/>
      </c>
    </row>
    <row r="1808" spans="3:3" ht="15" customHeight="1">
      <c r="C1808" s="70" t="str">
        <f t="shared" si="29"/>
        <v/>
      </c>
    </row>
    <row r="1809" spans="3:3" ht="15" customHeight="1">
      <c r="C1809" s="70" t="str">
        <f t="shared" ref="C1809:C1872" si="30">IF(B1809&lt;&gt;"",TEXT(WEEKDAY(B1809),"dddd"),"")</f>
        <v/>
      </c>
    </row>
    <row r="1810" spans="3:3" ht="15" customHeight="1">
      <c r="C1810" s="70" t="str">
        <f t="shared" si="30"/>
        <v/>
      </c>
    </row>
    <row r="1811" spans="3:3" ht="15" customHeight="1">
      <c r="C1811" s="70" t="str">
        <f t="shared" si="30"/>
        <v/>
      </c>
    </row>
    <row r="1812" spans="3:3" ht="15" customHeight="1">
      <c r="C1812" s="70" t="str">
        <f t="shared" si="30"/>
        <v/>
      </c>
    </row>
    <row r="1813" spans="3:3" ht="15" customHeight="1">
      <c r="C1813" s="70" t="str">
        <f t="shared" si="30"/>
        <v/>
      </c>
    </row>
    <row r="1814" spans="3:3" ht="15" customHeight="1">
      <c r="C1814" s="70" t="str">
        <f t="shared" si="30"/>
        <v/>
      </c>
    </row>
    <row r="1815" spans="3:3" ht="15" customHeight="1">
      <c r="C1815" s="70" t="str">
        <f t="shared" si="30"/>
        <v/>
      </c>
    </row>
    <row r="1816" spans="3:3" ht="15" customHeight="1">
      <c r="C1816" s="70" t="str">
        <f t="shared" si="30"/>
        <v/>
      </c>
    </row>
    <row r="1817" spans="3:3" ht="15" customHeight="1">
      <c r="C1817" s="70" t="str">
        <f t="shared" si="30"/>
        <v/>
      </c>
    </row>
    <row r="1818" spans="3:3" ht="15" customHeight="1">
      <c r="C1818" s="70" t="str">
        <f t="shared" si="30"/>
        <v/>
      </c>
    </row>
    <row r="1819" spans="3:3" ht="15" customHeight="1">
      <c r="C1819" s="70" t="str">
        <f t="shared" si="30"/>
        <v/>
      </c>
    </row>
    <row r="1820" spans="3:3" ht="15" customHeight="1">
      <c r="C1820" s="70" t="str">
        <f t="shared" si="30"/>
        <v/>
      </c>
    </row>
    <row r="1821" spans="3:3" ht="15" customHeight="1">
      <c r="C1821" s="70" t="str">
        <f t="shared" si="30"/>
        <v/>
      </c>
    </row>
    <row r="1822" spans="3:3" ht="15" customHeight="1">
      <c r="C1822" s="70" t="str">
        <f t="shared" si="30"/>
        <v/>
      </c>
    </row>
    <row r="1823" spans="3:3" ht="15" customHeight="1">
      <c r="C1823" s="70" t="str">
        <f t="shared" si="30"/>
        <v/>
      </c>
    </row>
    <row r="1824" spans="3:3" ht="15" customHeight="1">
      <c r="C1824" s="70" t="str">
        <f t="shared" si="30"/>
        <v/>
      </c>
    </row>
    <row r="1825" spans="3:3" ht="15" customHeight="1">
      <c r="C1825" s="70" t="str">
        <f t="shared" si="30"/>
        <v/>
      </c>
    </row>
    <row r="1826" spans="3:3" ht="15" customHeight="1">
      <c r="C1826" s="70" t="str">
        <f t="shared" si="30"/>
        <v/>
      </c>
    </row>
    <row r="1827" spans="3:3" ht="15" customHeight="1">
      <c r="C1827" s="70" t="str">
        <f t="shared" si="30"/>
        <v/>
      </c>
    </row>
    <row r="1828" spans="3:3" ht="15" customHeight="1">
      <c r="C1828" s="70" t="str">
        <f t="shared" si="30"/>
        <v/>
      </c>
    </row>
    <row r="1829" spans="3:3" ht="15" customHeight="1">
      <c r="C1829" s="70" t="str">
        <f t="shared" si="30"/>
        <v/>
      </c>
    </row>
    <row r="1830" spans="3:3" ht="15" customHeight="1">
      <c r="C1830" s="70" t="str">
        <f t="shared" si="30"/>
        <v/>
      </c>
    </row>
    <row r="1831" spans="3:3" ht="15" customHeight="1">
      <c r="C1831" s="70" t="str">
        <f t="shared" si="30"/>
        <v/>
      </c>
    </row>
    <row r="1832" spans="3:3" ht="15" customHeight="1">
      <c r="C1832" s="70" t="str">
        <f t="shared" si="30"/>
        <v/>
      </c>
    </row>
    <row r="1833" spans="3:3" ht="15" customHeight="1">
      <c r="C1833" s="70" t="str">
        <f t="shared" si="30"/>
        <v/>
      </c>
    </row>
    <row r="1834" spans="3:3" ht="15" customHeight="1">
      <c r="C1834" s="70" t="str">
        <f t="shared" si="30"/>
        <v/>
      </c>
    </row>
    <row r="1835" spans="3:3" ht="15" customHeight="1">
      <c r="C1835" s="70" t="str">
        <f t="shared" si="30"/>
        <v/>
      </c>
    </row>
    <row r="1836" spans="3:3" ht="15" customHeight="1">
      <c r="C1836" s="70" t="str">
        <f t="shared" si="30"/>
        <v/>
      </c>
    </row>
    <row r="1837" spans="3:3" ht="15" customHeight="1">
      <c r="C1837" s="70" t="str">
        <f t="shared" si="30"/>
        <v/>
      </c>
    </row>
    <row r="1838" spans="3:3" ht="15" customHeight="1">
      <c r="C1838" s="70" t="str">
        <f t="shared" si="30"/>
        <v/>
      </c>
    </row>
    <row r="1839" spans="3:3" ht="15" customHeight="1">
      <c r="C1839" s="70" t="str">
        <f t="shared" si="30"/>
        <v/>
      </c>
    </row>
    <row r="1840" spans="3:3" ht="15" customHeight="1">
      <c r="C1840" s="70" t="str">
        <f t="shared" si="30"/>
        <v/>
      </c>
    </row>
    <row r="1841" spans="3:3" ht="15" customHeight="1">
      <c r="C1841" s="70" t="str">
        <f t="shared" si="30"/>
        <v/>
      </c>
    </row>
    <row r="1842" spans="3:3" ht="15" customHeight="1">
      <c r="C1842" s="70" t="str">
        <f t="shared" si="30"/>
        <v/>
      </c>
    </row>
    <row r="1843" spans="3:3" ht="15" customHeight="1">
      <c r="C1843" s="70" t="str">
        <f t="shared" si="30"/>
        <v/>
      </c>
    </row>
    <row r="1844" spans="3:3" ht="15" customHeight="1">
      <c r="C1844" s="70" t="str">
        <f t="shared" si="30"/>
        <v/>
      </c>
    </row>
    <row r="1845" spans="3:3" ht="15" customHeight="1">
      <c r="C1845" s="70" t="str">
        <f t="shared" si="30"/>
        <v/>
      </c>
    </row>
    <row r="1846" spans="3:3" ht="15" customHeight="1">
      <c r="C1846" s="70" t="str">
        <f t="shared" si="30"/>
        <v/>
      </c>
    </row>
    <row r="1847" spans="3:3" ht="15" customHeight="1">
      <c r="C1847" s="70" t="str">
        <f t="shared" si="30"/>
        <v/>
      </c>
    </row>
    <row r="1848" spans="3:3" ht="15" customHeight="1">
      <c r="C1848" s="70" t="str">
        <f t="shared" si="30"/>
        <v/>
      </c>
    </row>
    <row r="1849" spans="3:3" ht="15" customHeight="1">
      <c r="C1849" s="70" t="str">
        <f t="shared" si="30"/>
        <v/>
      </c>
    </row>
    <row r="1850" spans="3:3" ht="15" customHeight="1">
      <c r="C1850" s="70" t="str">
        <f t="shared" si="30"/>
        <v/>
      </c>
    </row>
    <row r="1851" spans="3:3" ht="15" customHeight="1">
      <c r="C1851" s="70" t="str">
        <f t="shared" si="30"/>
        <v/>
      </c>
    </row>
    <row r="1852" spans="3:3" ht="15" customHeight="1">
      <c r="C1852" s="70" t="str">
        <f t="shared" si="30"/>
        <v/>
      </c>
    </row>
    <row r="1853" spans="3:3" ht="15" customHeight="1">
      <c r="C1853" s="70" t="str">
        <f t="shared" si="30"/>
        <v/>
      </c>
    </row>
    <row r="1854" spans="3:3" ht="15" customHeight="1">
      <c r="C1854" s="70" t="str">
        <f t="shared" si="30"/>
        <v/>
      </c>
    </row>
    <row r="1855" spans="3:3" ht="15" customHeight="1">
      <c r="C1855" s="70" t="str">
        <f t="shared" si="30"/>
        <v/>
      </c>
    </row>
    <row r="1856" spans="3:3" ht="15" customHeight="1">
      <c r="C1856" s="70" t="str">
        <f t="shared" si="30"/>
        <v/>
      </c>
    </row>
    <row r="1857" spans="3:3" ht="15" customHeight="1">
      <c r="C1857" s="70" t="str">
        <f t="shared" si="30"/>
        <v/>
      </c>
    </row>
    <row r="1858" spans="3:3" ht="15" customHeight="1">
      <c r="C1858" s="70" t="str">
        <f t="shared" si="30"/>
        <v/>
      </c>
    </row>
    <row r="1859" spans="3:3" ht="15" customHeight="1">
      <c r="C1859" s="70" t="str">
        <f t="shared" si="30"/>
        <v/>
      </c>
    </row>
    <row r="1860" spans="3:3" ht="15" customHeight="1">
      <c r="C1860" s="70" t="str">
        <f t="shared" si="30"/>
        <v/>
      </c>
    </row>
    <row r="1861" spans="3:3" ht="15" customHeight="1">
      <c r="C1861" s="70" t="str">
        <f t="shared" si="30"/>
        <v/>
      </c>
    </row>
    <row r="1862" spans="3:3" ht="15" customHeight="1">
      <c r="C1862" s="70" t="str">
        <f t="shared" si="30"/>
        <v/>
      </c>
    </row>
    <row r="1863" spans="3:3" ht="15" customHeight="1">
      <c r="C1863" s="70" t="str">
        <f t="shared" si="30"/>
        <v/>
      </c>
    </row>
    <row r="1864" spans="3:3" ht="15" customHeight="1">
      <c r="C1864" s="70" t="str">
        <f t="shared" si="30"/>
        <v/>
      </c>
    </row>
    <row r="1865" spans="3:3" ht="15" customHeight="1">
      <c r="C1865" s="70" t="str">
        <f t="shared" si="30"/>
        <v/>
      </c>
    </row>
    <row r="1866" spans="3:3" ht="15" customHeight="1">
      <c r="C1866" s="70" t="str">
        <f t="shared" si="30"/>
        <v/>
      </c>
    </row>
    <row r="1867" spans="3:3" ht="15" customHeight="1">
      <c r="C1867" s="70" t="str">
        <f t="shared" si="30"/>
        <v/>
      </c>
    </row>
    <row r="1868" spans="3:3" ht="15" customHeight="1">
      <c r="C1868" s="70" t="str">
        <f t="shared" si="30"/>
        <v/>
      </c>
    </row>
    <row r="1869" spans="3:3" ht="15" customHeight="1">
      <c r="C1869" s="70" t="str">
        <f t="shared" si="30"/>
        <v/>
      </c>
    </row>
    <row r="1870" spans="3:3" ht="15" customHeight="1">
      <c r="C1870" s="70" t="str">
        <f t="shared" si="30"/>
        <v/>
      </c>
    </row>
    <row r="1871" spans="3:3" ht="15" customHeight="1">
      <c r="C1871" s="70" t="str">
        <f t="shared" si="30"/>
        <v/>
      </c>
    </row>
    <row r="1872" spans="3:3" ht="15" customHeight="1">
      <c r="C1872" s="70" t="str">
        <f t="shared" si="30"/>
        <v/>
      </c>
    </row>
    <row r="1873" spans="3:3" ht="15" customHeight="1">
      <c r="C1873" s="70" t="str">
        <f t="shared" ref="C1873:C1936" si="31">IF(B1873&lt;&gt;"",TEXT(WEEKDAY(B1873),"dddd"),"")</f>
        <v/>
      </c>
    </row>
    <row r="1874" spans="3:3" ht="15" customHeight="1">
      <c r="C1874" s="70" t="str">
        <f t="shared" si="31"/>
        <v/>
      </c>
    </row>
    <row r="1875" spans="3:3" ht="15" customHeight="1">
      <c r="C1875" s="70" t="str">
        <f t="shared" si="31"/>
        <v/>
      </c>
    </row>
    <row r="1876" spans="3:3" ht="15" customHeight="1">
      <c r="C1876" s="70" t="str">
        <f t="shared" si="31"/>
        <v/>
      </c>
    </row>
    <row r="1877" spans="3:3" ht="15" customHeight="1">
      <c r="C1877" s="70" t="str">
        <f t="shared" si="31"/>
        <v/>
      </c>
    </row>
    <row r="1878" spans="3:3" ht="15" customHeight="1">
      <c r="C1878" s="70" t="str">
        <f t="shared" si="31"/>
        <v/>
      </c>
    </row>
    <row r="1879" spans="3:3" ht="15" customHeight="1">
      <c r="C1879" s="70" t="str">
        <f t="shared" si="31"/>
        <v/>
      </c>
    </row>
    <row r="1880" spans="3:3" ht="15" customHeight="1">
      <c r="C1880" s="70" t="str">
        <f t="shared" si="31"/>
        <v/>
      </c>
    </row>
    <row r="1881" spans="3:3" ht="15" customHeight="1">
      <c r="C1881" s="70" t="str">
        <f t="shared" si="31"/>
        <v/>
      </c>
    </row>
    <row r="1882" spans="3:3" ht="15" customHeight="1">
      <c r="C1882" s="70" t="str">
        <f t="shared" si="31"/>
        <v/>
      </c>
    </row>
    <row r="1883" spans="3:3" ht="15" customHeight="1">
      <c r="C1883" s="70" t="str">
        <f t="shared" si="31"/>
        <v/>
      </c>
    </row>
    <row r="1884" spans="3:3" ht="15" customHeight="1">
      <c r="C1884" s="70" t="str">
        <f t="shared" si="31"/>
        <v/>
      </c>
    </row>
    <row r="1885" spans="3:3" ht="15" customHeight="1">
      <c r="C1885" s="70" t="str">
        <f t="shared" si="31"/>
        <v/>
      </c>
    </row>
    <row r="1886" spans="3:3" ht="15" customHeight="1">
      <c r="C1886" s="70" t="str">
        <f t="shared" si="31"/>
        <v/>
      </c>
    </row>
    <row r="1887" spans="3:3" ht="15" customHeight="1">
      <c r="C1887" s="70" t="str">
        <f t="shared" si="31"/>
        <v/>
      </c>
    </row>
    <row r="1888" spans="3:3" ht="15" customHeight="1">
      <c r="C1888" s="70" t="str">
        <f t="shared" si="31"/>
        <v/>
      </c>
    </row>
    <row r="1889" spans="3:3" ht="15" customHeight="1">
      <c r="C1889" s="70" t="str">
        <f t="shared" si="31"/>
        <v/>
      </c>
    </row>
    <row r="1890" spans="3:3" ht="15" customHeight="1">
      <c r="C1890" s="70" t="str">
        <f t="shared" si="31"/>
        <v/>
      </c>
    </row>
    <row r="1891" spans="3:3" ht="15" customHeight="1">
      <c r="C1891" s="70" t="str">
        <f t="shared" si="31"/>
        <v/>
      </c>
    </row>
    <row r="1892" spans="3:3" ht="15" customHeight="1">
      <c r="C1892" s="70" t="str">
        <f t="shared" si="31"/>
        <v/>
      </c>
    </row>
    <row r="1893" spans="3:3" ht="15" customHeight="1">
      <c r="C1893" s="70" t="str">
        <f t="shared" si="31"/>
        <v/>
      </c>
    </row>
    <row r="1894" spans="3:3" ht="15" customHeight="1">
      <c r="C1894" s="70" t="str">
        <f t="shared" si="31"/>
        <v/>
      </c>
    </row>
    <row r="1895" spans="3:3" ht="15" customHeight="1">
      <c r="C1895" s="70" t="str">
        <f t="shared" si="31"/>
        <v/>
      </c>
    </row>
    <row r="1896" spans="3:3" ht="15" customHeight="1">
      <c r="C1896" s="70" t="str">
        <f t="shared" si="31"/>
        <v/>
      </c>
    </row>
    <row r="1897" spans="3:3" ht="15" customHeight="1">
      <c r="C1897" s="70" t="str">
        <f t="shared" si="31"/>
        <v/>
      </c>
    </row>
    <row r="1898" spans="3:3" ht="15" customHeight="1">
      <c r="C1898" s="70" t="str">
        <f t="shared" si="31"/>
        <v/>
      </c>
    </row>
    <row r="1899" spans="3:3" ht="15" customHeight="1">
      <c r="C1899" s="70" t="str">
        <f t="shared" si="31"/>
        <v/>
      </c>
    </row>
    <row r="1900" spans="3:3" ht="15" customHeight="1">
      <c r="C1900" s="70" t="str">
        <f t="shared" si="31"/>
        <v/>
      </c>
    </row>
    <row r="1901" spans="3:3" ht="15" customHeight="1">
      <c r="C1901" s="70" t="str">
        <f t="shared" si="31"/>
        <v/>
      </c>
    </row>
    <row r="1902" spans="3:3" ht="15" customHeight="1">
      <c r="C1902" s="70" t="str">
        <f t="shared" si="31"/>
        <v/>
      </c>
    </row>
    <row r="1903" spans="3:3" ht="15" customHeight="1">
      <c r="C1903" s="70" t="str">
        <f t="shared" si="31"/>
        <v/>
      </c>
    </row>
    <row r="1904" spans="3:3" ht="15" customHeight="1">
      <c r="C1904" s="70" t="str">
        <f t="shared" si="31"/>
        <v/>
      </c>
    </row>
    <row r="1905" spans="3:3" ht="15" customHeight="1">
      <c r="C1905" s="70" t="str">
        <f t="shared" si="31"/>
        <v/>
      </c>
    </row>
    <row r="1906" spans="3:3" ht="15" customHeight="1">
      <c r="C1906" s="70" t="str">
        <f t="shared" si="31"/>
        <v/>
      </c>
    </row>
    <row r="1907" spans="3:3" ht="15" customHeight="1">
      <c r="C1907" s="70" t="str">
        <f t="shared" si="31"/>
        <v/>
      </c>
    </row>
    <row r="1908" spans="3:3" ht="15" customHeight="1">
      <c r="C1908" s="70" t="str">
        <f t="shared" si="31"/>
        <v/>
      </c>
    </row>
    <row r="1909" spans="3:3" ht="15" customHeight="1">
      <c r="C1909" s="70" t="str">
        <f t="shared" si="31"/>
        <v/>
      </c>
    </row>
    <row r="1910" spans="3:3" ht="15" customHeight="1">
      <c r="C1910" s="70" t="str">
        <f t="shared" si="31"/>
        <v/>
      </c>
    </row>
    <row r="1911" spans="3:3" ht="15" customHeight="1">
      <c r="C1911" s="70" t="str">
        <f t="shared" si="31"/>
        <v/>
      </c>
    </row>
    <row r="1912" spans="3:3" ht="15" customHeight="1">
      <c r="C1912" s="70" t="str">
        <f t="shared" si="31"/>
        <v/>
      </c>
    </row>
    <row r="1913" spans="3:3" ht="15" customHeight="1">
      <c r="C1913" s="70" t="str">
        <f t="shared" si="31"/>
        <v/>
      </c>
    </row>
    <row r="1914" spans="3:3" ht="15" customHeight="1">
      <c r="C1914" s="70" t="str">
        <f t="shared" si="31"/>
        <v/>
      </c>
    </row>
    <row r="1915" spans="3:3" ht="15" customHeight="1">
      <c r="C1915" s="70" t="str">
        <f t="shared" si="31"/>
        <v/>
      </c>
    </row>
    <row r="1916" spans="3:3" ht="15" customHeight="1">
      <c r="C1916" s="70" t="str">
        <f t="shared" si="31"/>
        <v/>
      </c>
    </row>
    <row r="1917" spans="3:3" ht="15" customHeight="1">
      <c r="C1917" s="70" t="str">
        <f t="shared" si="31"/>
        <v/>
      </c>
    </row>
    <row r="1918" spans="3:3" ht="15" customHeight="1">
      <c r="C1918" s="70" t="str">
        <f t="shared" si="31"/>
        <v/>
      </c>
    </row>
    <row r="1919" spans="3:3" ht="15" customHeight="1">
      <c r="C1919" s="70" t="str">
        <f t="shared" si="31"/>
        <v/>
      </c>
    </row>
    <row r="1920" spans="3:3" ht="15" customHeight="1">
      <c r="C1920" s="70" t="str">
        <f t="shared" si="31"/>
        <v/>
      </c>
    </row>
    <row r="1921" spans="3:3" ht="15" customHeight="1">
      <c r="C1921" s="70" t="str">
        <f t="shared" si="31"/>
        <v/>
      </c>
    </row>
    <row r="1922" spans="3:3" ht="15" customHeight="1">
      <c r="C1922" s="70" t="str">
        <f t="shared" si="31"/>
        <v/>
      </c>
    </row>
    <row r="1923" spans="3:3" ht="15" customHeight="1">
      <c r="C1923" s="70" t="str">
        <f t="shared" si="31"/>
        <v/>
      </c>
    </row>
    <row r="1924" spans="3:3" ht="15" customHeight="1">
      <c r="C1924" s="70" t="str">
        <f t="shared" si="31"/>
        <v/>
      </c>
    </row>
    <row r="1925" spans="3:3" ht="15" customHeight="1">
      <c r="C1925" s="70" t="str">
        <f t="shared" si="31"/>
        <v/>
      </c>
    </row>
    <row r="1926" spans="3:3" ht="15" customHeight="1">
      <c r="C1926" s="70" t="str">
        <f t="shared" si="31"/>
        <v/>
      </c>
    </row>
    <row r="1927" spans="3:3" ht="15" customHeight="1">
      <c r="C1927" s="70" t="str">
        <f t="shared" si="31"/>
        <v/>
      </c>
    </row>
    <row r="1928" spans="3:3" ht="15" customHeight="1">
      <c r="C1928" s="70" t="str">
        <f t="shared" si="31"/>
        <v/>
      </c>
    </row>
    <row r="1929" spans="3:3" ht="15" customHeight="1">
      <c r="C1929" s="70" t="str">
        <f t="shared" si="31"/>
        <v/>
      </c>
    </row>
    <row r="1930" spans="3:3" ht="15" customHeight="1">
      <c r="C1930" s="70" t="str">
        <f t="shared" si="31"/>
        <v/>
      </c>
    </row>
    <row r="1931" spans="3:3" ht="15" customHeight="1">
      <c r="C1931" s="70" t="str">
        <f t="shared" si="31"/>
        <v/>
      </c>
    </row>
    <row r="1932" spans="3:3" ht="15" customHeight="1">
      <c r="C1932" s="70" t="str">
        <f t="shared" si="31"/>
        <v/>
      </c>
    </row>
    <row r="1933" spans="3:3" ht="15" customHeight="1">
      <c r="C1933" s="70" t="str">
        <f t="shared" si="31"/>
        <v/>
      </c>
    </row>
    <row r="1934" spans="3:3" ht="15" customHeight="1">
      <c r="C1934" s="70" t="str">
        <f t="shared" si="31"/>
        <v/>
      </c>
    </row>
    <row r="1935" spans="3:3" ht="15" customHeight="1">
      <c r="C1935" s="70" t="str">
        <f t="shared" si="31"/>
        <v/>
      </c>
    </row>
    <row r="1936" spans="3:3" ht="15" customHeight="1">
      <c r="C1936" s="70" t="str">
        <f t="shared" si="31"/>
        <v/>
      </c>
    </row>
    <row r="1937" spans="3:3" ht="15" customHeight="1">
      <c r="C1937" s="70" t="str">
        <f t="shared" ref="C1937:C2000" si="32">IF(B1937&lt;&gt;"",TEXT(WEEKDAY(B1937),"dddd"),"")</f>
        <v/>
      </c>
    </row>
    <row r="1938" spans="3:3" ht="15" customHeight="1">
      <c r="C1938" s="70" t="str">
        <f t="shared" si="32"/>
        <v/>
      </c>
    </row>
    <row r="1939" spans="3:3" ht="15" customHeight="1">
      <c r="C1939" s="70" t="str">
        <f t="shared" si="32"/>
        <v/>
      </c>
    </row>
    <row r="1940" spans="3:3" ht="15" customHeight="1">
      <c r="C1940" s="70" t="str">
        <f t="shared" si="32"/>
        <v/>
      </c>
    </row>
    <row r="1941" spans="3:3" ht="15" customHeight="1">
      <c r="C1941" s="70" t="str">
        <f t="shared" si="32"/>
        <v/>
      </c>
    </row>
    <row r="1942" spans="3:3" ht="15" customHeight="1">
      <c r="C1942" s="70" t="str">
        <f t="shared" si="32"/>
        <v/>
      </c>
    </row>
    <row r="1943" spans="3:3" ht="15" customHeight="1">
      <c r="C1943" s="70" t="str">
        <f t="shared" si="32"/>
        <v/>
      </c>
    </row>
    <row r="1944" spans="3:3" ht="15" customHeight="1">
      <c r="C1944" s="70" t="str">
        <f t="shared" si="32"/>
        <v/>
      </c>
    </row>
    <row r="1945" spans="3:3" ht="15" customHeight="1">
      <c r="C1945" s="70" t="str">
        <f t="shared" si="32"/>
        <v/>
      </c>
    </row>
    <row r="1946" spans="3:3" ht="15" customHeight="1">
      <c r="C1946" s="70" t="str">
        <f t="shared" si="32"/>
        <v/>
      </c>
    </row>
    <row r="1947" spans="3:3" ht="15" customHeight="1">
      <c r="C1947" s="70" t="str">
        <f t="shared" si="32"/>
        <v/>
      </c>
    </row>
    <row r="1948" spans="3:3" ht="15" customHeight="1">
      <c r="C1948" s="70" t="str">
        <f t="shared" si="32"/>
        <v/>
      </c>
    </row>
    <row r="1949" spans="3:3" ht="15" customHeight="1">
      <c r="C1949" s="70" t="str">
        <f t="shared" si="32"/>
        <v/>
      </c>
    </row>
    <row r="1950" spans="3:3" ht="15" customHeight="1">
      <c r="C1950" s="70" t="str">
        <f t="shared" si="32"/>
        <v/>
      </c>
    </row>
    <row r="1951" spans="3:3" ht="15" customHeight="1">
      <c r="C1951" s="70" t="str">
        <f t="shared" si="32"/>
        <v/>
      </c>
    </row>
    <row r="1952" spans="3:3" ht="15" customHeight="1">
      <c r="C1952" s="70" t="str">
        <f t="shared" si="32"/>
        <v/>
      </c>
    </row>
    <row r="1953" spans="3:3" ht="15" customHeight="1">
      <c r="C1953" s="70" t="str">
        <f t="shared" si="32"/>
        <v/>
      </c>
    </row>
    <row r="1954" spans="3:3" ht="15" customHeight="1">
      <c r="C1954" s="70" t="str">
        <f t="shared" si="32"/>
        <v/>
      </c>
    </row>
    <row r="1955" spans="3:3" ht="15" customHeight="1">
      <c r="C1955" s="70" t="str">
        <f t="shared" si="32"/>
        <v/>
      </c>
    </row>
    <row r="1956" spans="3:3" ht="15" customHeight="1">
      <c r="C1956" s="70" t="str">
        <f t="shared" si="32"/>
        <v/>
      </c>
    </row>
    <row r="1957" spans="3:3" ht="15" customHeight="1">
      <c r="C1957" s="70" t="str">
        <f t="shared" si="32"/>
        <v/>
      </c>
    </row>
    <row r="1958" spans="3:3" ht="15" customHeight="1">
      <c r="C1958" s="70" t="str">
        <f t="shared" si="32"/>
        <v/>
      </c>
    </row>
    <row r="1959" spans="3:3" ht="15" customHeight="1">
      <c r="C1959" s="70" t="str">
        <f t="shared" si="32"/>
        <v/>
      </c>
    </row>
    <row r="1960" spans="3:3" ht="15" customHeight="1">
      <c r="C1960" s="70" t="str">
        <f t="shared" si="32"/>
        <v/>
      </c>
    </row>
    <row r="1961" spans="3:3" ht="15" customHeight="1">
      <c r="C1961" s="70" t="str">
        <f t="shared" si="32"/>
        <v/>
      </c>
    </row>
    <row r="1962" spans="3:3" ht="15" customHeight="1">
      <c r="C1962" s="70" t="str">
        <f t="shared" si="32"/>
        <v/>
      </c>
    </row>
    <row r="1963" spans="3:3" ht="15" customHeight="1">
      <c r="C1963" s="70" t="str">
        <f t="shared" si="32"/>
        <v/>
      </c>
    </row>
    <row r="1964" spans="3:3" ht="15" customHeight="1">
      <c r="C1964" s="70" t="str">
        <f t="shared" si="32"/>
        <v/>
      </c>
    </row>
    <row r="1965" spans="3:3" ht="15" customHeight="1">
      <c r="C1965" s="70" t="str">
        <f t="shared" si="32"/>
        <v/>
      </c>
    </row>
    <row r="1966" spans="3:3" ht="15" customHeight="1">
      <c r="C1966" s="70" t="str">
        <f t="shared" si="32"/>
        <v/>
      </c>
    </row>
    <row r="1967" spans="3:3" ht="15" customHeight="1">
      <c r="C1967" s="70" t="str">
        <f t="shared" si="32"/>
        <v/>
      </c>
    </row>
    <row r="1968" spans="3:3" ht="15" customHeight="1">
      <c r="C1968" s="70" t="str">
        <f t="shared" si="32"/>
        <v/>
      </c>
    </row>
    <row r="1969" spans="3:3" ht="15" customHeight="1">
      <c r="C1969" s="70" t="str">
        <f t="shared" si="32"/>
        <v/>
      </c>
    </row>
    <row r="1970" spans="3:3" ht="15" customHeight="1">
      <c r="C1970" s="70" t="str">
        <f t="shared" si="32"/>
        <v/>
      </c>
    </row>
    <row r="1971" spans="3:3" ht="15" customHeight="1">
      <c r="C1971" s="70" t="str">
        <f t="shared" si="32"/>
        <v/>
      </c>
    </row>
    <row r="1972" spans="3:3" ht="15" customHeight="1">
      <c r="C1972" s="70" t="str">
        <f t="shared" si="32"/>
        <v/>
      </c>
    </row>
    <row r="1973" spans="3:3" ht="15" customHeight="1">
      <c r="C1973" s="70" t="str">
        <f t="shared" si="32"/>
        <v/>
      </c>
    </row>
    <row r="1974" spans="3:3" ht="15" customHeight="1">
      <c r="C1974" s="70" t="str">
        <f t="shared" si="32"/>
        <v/>
      </c>
    </row>
    <row r="1975" spans="3:3" ht="15" customHeight="1">
      <c r="C1975" s="70" t="str">
        <f t="shared" si="32"/>
        <v/>
      </c>
    </row>
    <row r="1976" spans="3:3" ht="15" customHeight="1">
      <c r="C1976" s="70" t="str">
        <f t="shared" si="32"/>
        <v/>
      </c>
    </row>
    <row r="1977" spans="3:3" ht="15" customHeight="1">
      <c r="C1977" s="70" t="str">
        <f t="shared" si="32"/>
        <v/>
      </c>
    </row>
    <row r="1978" spans="3:3" ht="15" customHeight="1">
      <c r="C1978" s="70" t="str">
        <f t="shared" si="32"/>
        <v/>
      </c>
    </row>
    <row r="1979" spans="3:3" ht="15" customHeight="1">
      <c r="C1979" s="70" t="str">
        <f t="shared" si="32"/>
        <v/>
      </c>
    </row>
    <row r="1980" spans="3:3" ht="15" customHeight="1">
      <c r="C1980" s="70" t="str">
        <f t="shared" si="32"/>
        <v/>
      </c>
    </row>
    <row r="1981" spans="3:3" ht="15" customHeight="1">
      <c r="C1981" s="70" t="str">
        <f t="shared" si="32"/>
        <v/>
      </c>
    </row>
    <row r="1982" spans="3:3" ht="15" customHeight="1">
      <c r="C1982" s="70" t="str">
        <f t="shared" si="32"/>
        <v/>
      </c>
    </row>
    <row r="1983" spans="3:3" ht="15" customHeight="1">
      <c r="C1983" s="70" t="str">
        <f t="shared" si="32"/>
        <v/>
      </c>
    </row>
    <row r="1984" spans="3:3" ht="15" customHeight="1">
      <c r="C1984" s="70" t="str">
        <f t="shared" si="32"/>
        <v/>
      </c>
    </row>
    <row r="1985" spans="3:3" ht="15" customHeight="1">
      <c r="C1985" s="70" t="str">
        <f t="shared" si="32"/>
        <v/>
      </c>
    </row>
    <row r="1986" spans="3:3" ht="15" customHeight="1">
      <c r="C1986" s="70" t="str">
        <f t="shared" si="32"/>
        <v/>
      </c>
    </row>
    <row r="1987" spans="3:3" ht="15" customHeight="1">
      <c r="C1987" s="70" t="str">
        <f t="shared" si="32"/>
        <v/>
      </c>
    </row>
    <row r="1988" spans="3:3" ht="15" customHeight="1">
      <c r="C1988" s="70" t="str">
        <f t="shared" si="32"/>
        <v/>
      </c>
    </row>
    <row r="1989" spans="3:3" ht="15" customHeight="1">
      <c r="C1989" s="70" t="str">
        <f t="shared" si="32"/>
        <v/>
      </c>
    </row>
    <row r="1990" spans="3:3" ht="15" customHeight="1">
      <c r="C1990" s="70" t="str">
        <f t="shared" si="32"/>
        <v/>
      </c>
    </row>
    <row r="1991" spans="3:3" ht="15" customHeight="1">
      <c r="C1991" s="70" t="str">
        <f t="shared" si="32"/>
        <v/>
      </c>
    </row>
    <row r="1992" spans="3:3" ht="15" customHeight="1">
      <c r="C1992" s="70" t="str">
        <f t="shared" si="32"/>
        <v/>
      </c>
    </row>
    <row r="1993" spans="3:3" ht="15" customHeight="1">
      <c r="C1993" s="70" t="str">
        <f t="shared" si="32"/>
        <v/>
      </c>
    </row>
    <row r="1994" spans="3:3" ht="15" customHeight="1">
      <c r="C1994" s="70" t="str">
        <f t="shared" si="32"/>
        <v/>
      </c>
    </row>
    <row r="1995" spans="3:3" ht="15" customHeight="1">
      <c r="C1995" s="70" t="str">
        <f t="shared" si="32"/>
        <v/>
      </c>
    </row>
    <row r="1996" spans="3:3" ht="15" customHeight="1">
      <c r="C1996" s="70" t="str">
        <f t="shared" si="32"/>
        <v/>
      </c>
    </row>
    <row r="1997" spans="3:3" ht="15" customHeight="1">
      <c r="C1997" s="70" t="str">
        <f t="shared" si="32"/>
        <v/>
      </c>
    </row>
    <row r="1998" spans="3:3" ht="15" customHeight="1">
      <c r="C1998" s="70" t="str">
        <f t="shared" si="32"/>
        <v/>
      </c>
    </row>
    <row r="1999" spans="3:3" ht="15" customHeight="1">
      <c r="C1999" s="70" t="str">
        <f t="shared" si="32"/>
        <v/>
      </c>
    </row>
    <row r="2000" spans="3:3" ht="15" customHeight="1">
      <c r="C2000" s="70" t="str">
        <f t="shared" si="32"/>
        <v/>
      </c>
    </row>
    <row r="2001" spans="3:3" ht="15" customHeight="1">
      <c r="C2001" s="70" t="str">
        <f t="shared" ref="C2001:C2064" si="33">IF(B2001&lt;&gt;"",TEXT(WEEKDAY(B2001),"dddd"),"")</f>
        <v/>
      </c>
    </row>
    <row r="2002" spans="3:3" ht="15" customHeight="1">
      <c r="C2002" s="70" t="str">
        <f t="shared" si="33"/>
        <v/>
      </c>
    </row>
    <row r="2003" spans="3:3" ht="15" customHeight="1">
      <c r="C2003" s="70" t="str">
        <f t="shared" si="33"/>
        <v/>
      </c>
    </row>
    <row r="2004" spans="3:3" ht="15" customHeight="1">
      <c r="C2004" s="70" t="str">
        <f t="shared" si="33"/>
        <v/>
      </c>
    </row>
    <row r="2005" spans="3:3" ht="15" customHeight="1">
      <c r="C2005" s="70" t="str">
        <f t="shared" si="33"/>
        <v/>
      </c>
    </row>
    <row r="2006" spans="3:3" ht="15" customHeight="1">
      <c r="C2006" s="70" t="str">
        <f t="shared" si="33"/>
        <v/>
      </c>
    </row>
    <row r="2007" spans="3:3" ht="15" customHeight="1">
      <c r="C2007" s="70" t="str">
        <f t="shared" si="33"/>
        <v/>
      </c>
    </row>
    <row r="2008" spans="3:3" ht="15" customHeight="1">
      <c r="C2008" s="70" t="str">
        <f t="shared" si="33"/>
        <v/>
      </c>
    </row>
    <row r="2009" spans="3:3" ht="15" customHeight="1">
      <c r="C2009" s="70" t="str">
        <f t="shared" si="33"/>
        <v/>
      </c>
    </row>
    <row r="2010" spans="3:3" ht="15" customHeight="1">
      <c r="C2010" s="70" t="str">
        <f t="shared" si="33"/>
        <v/>
      </c>
    </row>
    <row r="2011" spans="3:3" ht="15" customHeight="1">
      <c r="C2011" s="70" t="str">
        <f t="shared" si="33"/>
        <v/>
      </c>
    </row>
    <row r="2012" spans="3:3" ht="15" customHeight="1">
      <c r="C2012" s="70" t="str">
        <f t="shared" si="33"/>
        <v/>
      </c>
    </row>
    <row r="2013" spans="3:3" ht="15" customHeight="1">
      <c r="C2013" s="70" t="str">
        <f t="shared" si="33"/>
        <v/>
      </c>
    </row>
    <row r="2014" spans="3:3" ht="15" customHeight="1">
      <c r="C2014" s="70" t="str">
        <f t="shared" si="33"/>
        <v/>
      </c>
    </row>
    <row r="2015" spans="3:3" ht="15" customHeight="1">
      <c r="C2015" s="70" t="str">
        <f t="shared" si="33"/>
        <v/>
      </c>
    </row>
    <row r="2016" spans="3:3" ht="15" customHeight="1">
      <c r="C2016" s="70" t="str">
        <f t="shared" si="33"/>
        <v/>
      </c>
    </row>
    <row r="2017" spans="3:3" ht="15" customHeight="1">
      <c r="C2017" s="70" t="str">
        <f t="shared" si="33"/>
        <v/>
      </c>
    </row>
    <row r="2018" spans="3:3" ht="15" customHeight="1">
      <c r="C2018" s="70" t="str">
        <f t="shared" si="33"/>
        <v/>
      </c>
    </row>
    <row r="2019" spans="3:3" ht="15" customHeight="1">
      <c r="C2019" s="70" t="str">
        <f t="shared" si="33"/>
        <v/>
      </c>
    </row>
    <row r="2020" spans="3:3" ht="15" customHeight="1">
      <c r="C2020" s="70" t="str">
        <f t="shared" si="33"/>
        <v/>
      </c>
    </row>
    <row r="2021" spans="3:3" ht="15" customHeight="1">
      <c r="C2021" s="70" t="str">
        <f t="shared" si="33"/>
        <v/>
      </c>
    </row>
    <row r="2022" spans="3:3" ht="15" customHeight="1">
      <c r="C2022" s="70" t="str">
        <f t="shared" si="33"/>
        <v/>
      </c>
    </row>
    <row r="2023" spans="3:3" ht="15" customHeight="1">
      <c r="C2023" s="70" t="str">
        <f t="shared" si="33"/>
        <v/>
      </c>
    </row>
    <row r="2024" spans="3:3" ht="15" customHeight="1">
      <c r="C2024" s="70" t="str">
        <f t="shared" si="33"/>
        <v/>
      </c>
    </row>
    <row r="2025" spans="3:3" ht="15" customHeight="1">
      <c r="C2025" s="70" t="str">
        <f t="shared" si="33"/>
        <v/>
      </c>
    </row>
    <row r="2026" spans="3:3" ht="15" customHeight="1">
      <c r="C2026" s="70" t="str">
        <f t="shared" si="33"/>
        <v/>
      </c>
    </row>
    <row r="2027" spans="3:3" ht="15" customHeight="1">
      <c r="C2027" s="70" t="str">
        <f t="shared" si="33"/>
        <v/>
      </c>
    </row>
    <row r="2028" spans="3:3" ht="15" customHeight="1">
      <c r="C2028" s="70" t="str">
        <f t="shared" si="33"/>
        <v/>
      </c>
    </row>
    <row r="2029" spans="3:3" ht="15" customHeight="1">
      <c r="C2029" s="70" t="str">
        <f t="shared" si="33"/>
        <v/>
      </c>
    </row>
    <row r="2030" spans="3:3" ht="15" customHeight="1">
      <c r="C2030" s="70" t="str">
        <f t="shared" si="33"/>
        <v/>
      </c>
    </row>
    <row r="2031" spans="3:3" ht="15" customHeight="1">
      <c r="C2031" s="70" t="str">
        <f t="shared" si="33"/>
        <v/>
      </c>
    </row>
    <row r="2032" spans="3:3" ht="15" customHeight="1">
      <c r="C2032" s="70" t="str">
        <f t="shared" si="33"/>
        <v/>
      </c>
    </row>
    <row r="2033" spans="3:3" ht="15" customHeight="1">
      <c r="C2033" s="70" t="str">
        <f t="shared" si="33"/>
        <v/>
      </c>
    </row>
    <row r="2034" spans="3:3" ht="15" customHeight="1">
      <c r="C2034" s="70" t="str">
        <f t="shared" si="33"/>
        <v/>
      </c>
    </row>
    <row r="2035" spans="3:3" ht="15" customHeight="1">
      <c r="C2035" s="70" t="str">
        <f t="shared" si="33"/>
        <v/>
      </c>
    </row>
    <row r="2036" spans="3:3" ht="15" customHeight="1">
      <c r="C2036" s="70" t="str">
        <f t="shared" si="33"/>
        <v/>
      </c>
    </row>
    <row r="2037" spans="3:3" ht="15" customHeight="1">
      <c r="C2037" s="70" t="str">
        <f t="shared" si="33"/>
        <v/>
      </c>
    </row>
    <row r="2038" spans="3:3" ht="15" customHeight="1">
      <c r="C2038" s="70" t="str">
        <f t="shared" si="33"/>
        <v/>
      </c>
    </row>
    <row r="2039" spans="3:3" ht="15" customHeight="1">
      <c r="C2039" s="70" t="str">
        <f t="shared" si="33"/>
        <v/>
      </c>
    </row>
    <row r="2040" spans="3:3" ht="15" customHeight="1">
      <c r="C2040" s="70" t="str">
        <f t="shared" si="33"/>
        <v/>
      </c>
    </row>
    <row r="2041" spans="3:3" ht="15" customHeight="1">
      <c r="C2041" s="70" t="str">
        <f t="shared" si="33"/>
        <v/>
      </c>
    </row>
    <row r="2042" spans="3:3" ht="15" customHeight="1">
      <c r="C2042" s="70" t="str">
        <f t="shared" si="33"/>
        <v/>
      </c>
    </row>
    <row r="2043" spans="3:3" ht="15" customHeight="1">
      <c r="C2043" s="70" t="str">
        <f t="shared" si="33"/>
        <v/>
      </c>
    </row>
    <row r="2044" spans="3:3" ht="15" customHeight="1">
      <c r="C2044" s="70" t="str">
        <f t="shared" si="33"/>
        <v/>
      </c>
    </row>
    <row r="2045" spans="3:3" ht="15" customHeight="1">
      <c r="C2045" s="70" t="str">
        <f t="shared" si="33"/>
        <v/>
      </c>
    </row>
    <row r="2046" spans="3:3" ht="15" customHeight="1">
      <c r="C2046" s="70" t="str">
        <f t="shared" si="33"/>
        <v/>
      </c>
    </row>
    <row r="2047" spans="3:3" ht="15" customHeight="1">
      <c r="C2047" s="70" t="str">
        <f t="shared" si="33"/>
        <v/>
      </c>
    </row>
    <row r="2048" spans="3:3" ht="15" customHeight="1">
      <c r="C2048" s="70" t="str">
        <f t="shared" si="33"/>
        <v/>
      </c>
    </row>
    <row r="2049" spans="3:3" ht="15" customHeight="1">
      <c r="C2049" s="70" t="str">
        <f t="shared" si="33"/>
        <v/>
      </c>
    </row>
    <row r="2050" spans="3:3" ht="15" customHeight="1">
      <c r="C2050" s="70" t="str">
        <f t="shared" si="33"/>
        <v/>
      </c>
    </row>
    <row r="2051" spans="3:3" ht="15" customHeight="1">
      <c r="C2051" s="70" t="str">
        <f t="shared" si="33"/>
        <v/>
      </c>
    </row>
    <row r="2052" spans="3:3" ht="15" customHeight="1">
      <c r="C2052" s="70" t="str">
        <f t="shared" si="33"/>
        <v/>
      </c>
    </row>
    <row r="2053" spans="3:3" ht="15" customHeight="1">
      <c r="C2053" s="70" t="str">
        <f t="shared" si="33"/>
        <v/>
      </c>
    </row>
    <row r="2054" spans="3:3" ht="15" customHeight="1">
      <c r="C2054" s="70" t="str">
        <f t="shared" si="33"/>
        <v/>
      </c>
    </row>
    <row r="2055" spans="3:3" ht="15" customHeight="1">
      <c r="C2055" s="70" t="str">
        <f t="shared" si="33"/>
        <v/>
      </c>
    </row>
    <row r="2056" spans="3:3" ht="15" customHeight="1">
      <c r="C2056" s="70" t="str">
        <f t="shared" si="33"/>
        <v/>
      </c>
    </row>
    <row r="2057" spans="3:3" ht="15" customHeight="1">
      <c r="C2057" s="70" t="str">
        <f t="shared" si="33"/>
        <v/>
      </c>
    </row>
    <row r="2058" spans="3:3" ht="15" customHeight="1">
      <c r="C2058" s="70" t="str">
        <f t="shared" si="33"/>
        <v/>
      </c>
    </row>
    <row r="2059" spans="3:3" ht="15" customHeight="1">
      <c r="C2059" s="70" t="str">
        <f t="shared" si="33"/>
        <v/>
      </c>
    </row>
    <row r="2060" spans="3:3" ht="15" customHeight="1">
      <c r="C2060" s="70" t="str">
        <f t="shared" si="33"/>
        <v/>
      </c>
    </row>
    <row r="2061" spans="3:3" ht="15" customHeight="1">
      <c r="C2061" s="70" t="str">
        <f t="shared" si="33"/>
        <v/>
      </c>
    </row>
    <row r="2062" spans="3:3" ht="15" customHeight="1">
      <c r="C2062" s="70" t="str">
        <f t="shared" si="33"/>
        <v/>
      </c>
    </row>
    <row r="2063" spans="3:3" ht="15" customHeight="1">
      <c r="C2063" s="70" t="str">
        <f t="shared" si="33"/>
        <v/>
      </c>
    </row>
    <row r="2064" spans="3:3" ht="15" customHeight="1">
      <c r="C2064" s="70" t="str">
        <f t="shared" si="33"/>
        <v/>
      </c>
    </row>
    <row r="2065" spans="3:3" ht="15" customHeight="1">
      <c r="C2065" s="70" t="str">
        <f t="shared" ref="C2065:C2128" si="34">IF(B2065&lt;&gt;"",TEXT(WEEKDAY(B2065),"dddd"),"")</f>
        <v/>
      </c>
    </row>
    <row r="2066" spans="3:3" ht="15" customHeight="1">
      <c r="C2066" s="70" t="str">
        <f t="shared" si="34"/>
        <v/>
      </c>
    </row>
    <row r="2067" spans="3:3" ht="15" customHeight="1">
      <c r="C2067" s="70" t="str">
        <f t="shared" si="34"/>
        <v/>
      </c>
    </row>
    <row r="2068" spans="3:3" ht="15" customHeight="1">
      <c r="C2068" s="70" t="str">
        <f t="shared" si="34"/>
        <v/>
      </c>
    </row>
    <row r="2069" spans="3:3" ht="15" customHeight="1">
      <c r="C2069" s="70" t="str">
        <f t="shared" si="34"/>
        <v/>
      </c>
    </row>
    <row r="2070" spans="3:3" ht="15" customHeight="1">
      <c r="C2070" s="70" t="str">
        <f t="shared" si="34"/>
        <v/>
      </c>
    </row>
    <row r="2071" spans="3:3" ht="15" customHeight="1">
      <c r="C2071" s="70" t="str">
        <f t="shared" si="34"/>
        <v/>
      </c>
    </row>
    <row r="2072" spans="3:3" ht="15" customHeight="1">
      <c r="C2072" s="70" t="str">
        <f t="shared" si="34"/>
        <v/>
      </c>
    </row>
    <row r="2073" spans="3:3" ht="15" customHeight="1">
      <c r="C2073" s="70" t="str">
        <f t="shared" si="34"/>
        <v/>
      </c>
    </row>
    <row r="2074" spans="3:3" ht="15" customHeight="1">
      <c r="C2074" s="70" t="str">
        <f t="shared" si="34"/>
        <v/>
      </c>
    </row>
    <row r="2075" spans="3:3" ht="15" customHeight="1">
      <c r="C2075" s="70" t="str">
        <f t="shared" si="34"/>
        <v/>
      </c>
    </row>
    <row r="2076" spans="3:3" ht="15" customHeight="1">
      <c r="C2076" s="70" t="str">
        <f t="shared" si="34"/>
        <v/>
      </c>
    </row>
    <row r="2077" spans="3:3" ht="15" customHeight="1">
      <c r="C2077" s="70" t="str">
        <f t="shared" si="34"/>
        <v/>
      </c>
    </row>
    <row r="2078" spans="3:3" ht="15" customHeight="1">
      <c r="C2078" s="70" t="str">
        <f t="shared" si="34"/>
        <v/>
      </c>
    </row>
    <row r="2079" spans="3:3" ht="15" customHeight="1">
      <c r="C2079" s="70" t="str">
        <f t="shared" si="34"/>
        <v/>
      </c>
    </row>
    <row r="2080" spans="3:3" ht="15" customHeight="1">
      <c r="C2080" s="70" t="str">
        <f t="shared" si="34"/>
        <v/>
      </c>
    </row>
    <row r="2081" spans="3:3" ht="15" customHeight="1">
      <c r="C2081" s="70" t="str">
        <f t="shared" si="34"/>
        <v/>
      </c>
    </row>
    <row r="2082" spans="3:3" ht="15" customHeight="1">
      <c r="C2082" s="70" t="str">
        <f t="shared" si="34"/>
        <v/>
      </c>
    </row>
    <row r="2083" spans="3:3" ht="15" customHeight="1">
      <c r="C2083" s="70" t="str">
        <f t="shared" si="34"/>
        <v/>
      </c>
    </row>
    <row r="2084" spans="3:3" ht="15" customHeight="1">
      <c r="C2084" s="70" t="str">
        <f t="shared" si="34"/>
        <v/>
      </c>
    </row>
    <row r="2085" spans="3:3" ht="15" customHeight="1">
      <c r="C2085" s="70" t="str">
        <f t="shared" si="34"/>
        <v/>
      </c>
    </row>
    <row r="2086" spans="3:3" ht="15" customHeight="1">
      <c r="C2086" s="70" t="str">
        <f t="shared" si="34"/>
        <v/>
      </c>
    </row>
    <row r="2087" spans="3:3" ht="15" customHeight="1">
      <c r="C2087" s="70" t="str">
        <f t="shared" si="34"/>
        <v/>
      </c>
    </row>
    <row r="2088" spans="3:3" ht="15" customHeight="1">
      <c r="C2088" s="70" t="str">
        <f t="shared" si="34"/>
        <v/>
      </c>
    </row>
    <row r="2089" spans="3:3" ht="15" customHeight="1">
      <c r="C2089" s="70" t="str">
        <f t="shared" si="34"/>
        <v/>
      </c>
    </row>
    <row r="2090" spans="3:3" ht="15" customHeight="1">
      <c r="C2090" s="70" t="str">
        <f t="shared" si="34"/>
        <v/>
      </c>
    </row>
    <row r="2091" spans="3:3" ht="15" customHeight="1">
      <c r="C2091" s="70" t="str">
        <f t="shared" si="34"/>
        <v/>
      </c>
    </row>
    <row r="2092" spans="3:3" ht="15" customHeight="1">
      <c r="C2092" s="70" t="str">
        <f t="shared" si="34"/>
        <v/>
      </c>
    </row>
    <row r="2093" spans="3:3" ht="15" customHeight="1">
      <c r="C2093" s="70" t="str">
        <f t="shared" si="34"/>
        <v/>
      </c>
    </row>
    <row r="2094" spans="3:3" ht="15" customHeight="1">
      <c r="C2094" s="70" t="str">
        <f t="shared" si="34"/>
        <v/>
      </c>
    </row>
    <row r="2095" spans="3:3" ht="15" customHeight="1">
      <c r="C2095" s="70" t="str">
        <f t="shared" si="34"/>
        <v/>
      </c>
    </row>
    <row r="2096" spans="3:3" ht="15" customHeight="1">
      <c r="C2096" s="70" t="str">
        <f t="shared" si="34"/>
        <v/>
      </c>
    </row>
    <row r="2097" spans="3:3" ht="15" customHeight="1">
      <c r="C2097" s="70" t="str">
        <f t="shared" si="34"/>
        <v/>
      </c>
    </row>
    <row r="2098" spans="3:3" ht="15" customHeight="1">
      <c r="C2098" s="70" t="str">
        <f t="shared" si="34"/>
        <v/>
      </c>
    </row>
    <row r="2099" spans="3:3" ht="15" customHeight="1">
      <c r="C2099" s="70" t="str">
        <f t="shared" si="34"/>
        <v/>
      </c>
    </row>
    <row r="2100" spans="3:3" ht="15" customHeight="1">
      <c r="C2100" s="70" t="str">
        <f t="shared" si="34"/>
        <v/>
      </c>
    </row>
    <row r="2101" spans="3:3" ht="15" customHeight="1">
      <c r="C2101" s="70" t="str">
        <f t="shared" si="34"/>
        <v/>
      </c>
    </row>
    <row r="2102" spans="3:3" ht="15" customHeight="1">
      <c r="C2102" s="70" t="str">
        <f t="shared" si="34"/>
        <v/>
      </c>
    </row>
    <row r="2103" spans="3:3" ht="15" customHeight="1">
      <c r="C2103" s="70" t="str">
        <f t="shared" si="34"/>
        <v/>
      </c>
    </row>
    <row r="2104" spans="3:3" ht="15" customHeight="1">
      <c r="C2104" s="70" t="str">
        <f t="shared" si="34"/>
        <v/>
      </c>
    </row>
    <row r="2105" spans="3:3" ht="15" customHeight="1">
      <c r="C2105" s="70" t="str">
        <f t="shared" si="34"/>
        <v/>
      </c>
    </row>
    <row r="2106" spans="3:3" ht="15" customHeight="1">
      <c r="C2106" s="70" t="str">
        <f t="shared" si="34"/>
        <v/>
      </c>
    </row>
    <row r="2107" spans="3:3" ht="15" customHeight="1">
      <c r="C2107" s="70" t="str">
        <f t="shared" si="34"/>
        <v/>
      </c>
    </row>
    <row r="2108" spans="3:3" ht="15" customHeight="1">
      <c r="C2108" s="70" t="str">
        <f t="shared" si="34"/>
        <v/>
      </c>
    </row>
    <row r="2109" spans="3:3" ht="15" customHeight="1">
      <c r="C2109" s="70" t="str">
        <f t="shared" si="34"/>
        <v/>
      </c>
    </row>
    <row r="2110" spans="3:3" ht="15" customHeight="1">
      <c r="C2110" s="70" t="str">
        <f t="shared" si="34"/>
        <v/>
      </c>
    </row>
    <row r="2111" spans="3:3" ht="15" customHeight="1">
      <c r="C2111" s="70" t="str">
        <f t="shared" si="34"/>
        <v/>
      </c>
    </row>
    <row r="2112" spans="3:3" ht="15" customHeight="1">
      <c r="C2112" s="70" t="str">
        <f t="shared" si="34"/>
        <v/>
      </c>
    </row>
    <row r="2113" spans="3:3" ht="15" customHeight="1">
      <c r="C2113" s="70" t="str">
        <f t="shared" si="34"/>
        <v/>
      </c>
    </row>
    <row r="2114" spans="3:3" ht="15" customHeight="1">
      <c r="C2114" s="70" t="str">
        <f t="shared" si="34"/>
        <v/>
      </c>
    </row>
    <row r="2115" spans="3:3" ht="15" customHeight="1">
      <c r="C2115" s="70" t="str">
        <f t="shared" si="34"/>
        <v/>
      </c>
    </row>
    <row r="2116" spans="3:3" ht="15" customHeight="1">
      <c r="C2116" s="70" t="str">
        <f t="shared" si="34"/>
        <v/>
      </c>
    </row>
    <row r="2117" spans="3:3" ht="15" customHeight="1">
      <c r="C2117" s="70" t="str">
        <f t="shared" si="34"/>
        <v/>
      </c>
    </row>
    <row r="2118" spans="3:3" ht="15" customHeight="1">
      <c r="C2118" s="70" t="str">
        <f t="shared" si="34"/>
        <v/>
      </c>
    </row>
    <row r="2119" spans="3:3" ht="15" customHeight="1">
      <c r="C2119" s="70" t="str">
        <f t="shared" si="34"/>
        <v/>
      </c>
    </row>
    <row r="2120" spans="3:3" ht="15" customHeight="1">
      <c r="C2120" s="70" t="str">
        <f t="shared" si="34"/>
        <v/>
      </c>
    </row>
    <row r="2121" spans="3:3" ht="15" customHeight="1">
      <c r="C2121" s="70" t="str">
        <f t="shared" si="34"/>
        <v/>
      </c>
    </row>
    <row r="2122" spans="3:3" ht="15" customHeight="1">
      <c r="C2122" s="70" t="str">
        <f t="shared" si="34"/>
        <v/>
      </c>
    </row>
    <row r="2123" spans="3:3" ht="15" customHeight="1">
      <c r="C2123" s="70" t="str">
        <f t="shared" si="34"/>
        <v/>
      </c>
    </row>
    <row r="2124" spans="3:3" ht="15" customHeight="1">
      <c r="C2124" s="70" t="str">
        <f t="shared" si="34"/>
        <v/>
      </c>
    </row>
    <row r="2125" spans="3:3" ht="15" customHeight="1">
      <c r="C2125" s="70" t="str">
        <f t="shared" si="34"/>
        <v/>
      </c>
    </row>
    <row r="2126" spans="3:3" ht="15" customHeight="1">
      <c r="C2126" s="70" t="str">
        <f t="shared" si="34"/>
        <v/>
      </c>
    </row>
    <row r="2127" spans="3:3" ht="15" customHeight="1">
      <c r="C2127" s="70" t="str">
        <f t="shared" si="34"/>
        <v/>
      </c>
    </row>
    <row r="2128" spans="3:3" ht="15" customHeight="1">
      <c r="C2128" s="70" t="str">
        <f t="shared" si="34"/>
        <v/>
      </c>
    </row>
    <row r="2129" spans="3:3" ht="15" customHeight="1">
      <c r="C2129" s="70" t="str">
        <f t="shared" ref="C2129:C2192" si="35">IF(B2129&lt;&gt;"",TEXT(WEEKDAY(B2129),"dddd"),"")</f>
        <v/>
      </c>
    </row>
    <row r="2130" spans="3:3" ht="15" customHeight="1">
      <c r="C2130" s="70" t="str">
        <f t="shared" si="35"/>
        <v/>
      </c>
    </row>
    <row r="2131" spans="3:3" ht="15" customHeight="1">
      <c r="C2131" s="70" t="str">
        <f t="shared" si="35"/>
        <v/>
      </c>
    </row>
    <row r="2132" spans="3:3" ht="15" customHeight="1">
      <c r="C2132" s="70" t="str">
        <f t="shared" si="35"/>
        <v/>
      </c>
    </row>
    <row r="2133" spans="3:3" ht="15" customHeight="1">
      <c r="C2133" s="70" t="str">
        <f t="shared" si="35"/>
        <v/>
      </c>
    </row>
    <row r="2134" spans="3:3" ht="15" customHeight="1">
      <c r="C2134" s="70" t="str">
        <f t="shared" si="35"/>
        <v/>
      </c>
    </row>
    <row r="2135" spans="3:3" ht="15" customHeight="1">
      <c r="C2135" s="70" t="str">
        <f t="shared" si="35"/>
        <v/>
      </c>
    </row>
    <row r="2136" spans="3:3" ht="15" customHeight="1">
      <c r="C2136" s="70" t="str">
        <f t="shared" si="35"/>
        <v/>
      </c>
    </row>
    <row r="2137" spans="3:3" ht="15" customHeight="1">
      <c r="C2137" s="70" t="str">
        <f t="shared" si="35"/>
        <v/>
      </c>
    </row>
    <row r="2138" spans="3:3" ht="15" customHeight="1">
      <c r="C2138" s="70" t="str">
        <f t="shared" si="35"/>
        <v/>
      </c>
    </row>
    <row r="2139" spans="3:3" ht="15" customHeight="1">
      <c r="C2139" s="70" t="str">
        <f t="shared" si="35"/>
        <v/>
      </c>
    </row>
    <row r="2140" spans="3:3" ht="15" customHeight="1">
      <c r="C2140" s="70" t="str">
        <f t="shared" si="35"/>
        <v/>
      </c>
    </row>
    <row r="2141" spans="3:3" ht="15" customHeight="1">
      <c r="C2141" s="70" t="str">
        <f t="shared" si="35"/>
        <v/>
      </c>
    </row>
    <row r="2142" spans="3:3" ht="15" customHeight="1">
      <c r="C2142" s="70" t="str">
        <f t="shared" si="35"/>
        <v/>
      </c>
    </row>
    <row r="2143" spans="3:3" ht="15" customHeight="1">
      <c r="C2143" s="70" t="str">
        <f t="shared" si="35"/>
        <v/>
      </c>
    </row>
    <row r="2144" spans="3:3" ht="15" customHeight="1">
      <c r="C2144" s="70" t="str">
        <f t="shared" si="35"/>
        <v/>
      </c>
    </row>
    <row r="2145" spans="3:3" ht="15" customHeight="1">
      <c r="C2145" s="70" t="str">
        <f t="shared" si="35"/>
        <v/>
      </c>
    </row>
    <row r="2146" spans="3:3" ht="15" customHeight="1">
      <c r="C2146" s="70" t="str">
        <f t="shared" si="35"/>
        <v/>
      </c>
    </row>
    <row r="2147" spans="3:3" ht="15" customHeight="1">
      <c r="C2147" s="70" t="str">
        <f t="shared" si="35"/>
        <v/>
      </c>
    </row>
    <row r="2148" spans="3:3" ht="15" customHeight="1">
      <c r="C2148" s="70" t="str">
        <f t="shared" si="35"/>
        <v/>
      </c>
    </row>
    <row r="2149" spans="3:3" ht="15" customHeight="1">
      <c r="C2149" s="70" t="str">
        <f t="shared" si="35"/>
        <v/>
      </c>
    </row>
    <row r="2150" spans="3:3" ht="15" customHeight="1">
      <c r="C2150" s="70" t="str">
        <f t="shared" si="35"/>
        <v/>
      </c>
    </row>
    <row r="2151" spans="3:3" ht="15" customHeight="1">
      <c r="C2151" s="70" t="str">
        <f t="shared" si="35"/>
        <v/>
      </c>
    </row>
    <row r="2152" spans="3:3" ht="15" customHeight="1">
      <c r="C2152" s="70" t="str">
        <f t="shared" si="35"/>
        <v/>
      </c>
    </row>
    <row r="2153" spans="3:3" ht="15" customHeight="1">
      <c r="C2153" s="70" t="str">
        <f t="shared" si="35"/>
        <v/>
      </c>
    </row>
    <row r="2154" spans="3:3" ht="15" customHeight="1">
      <c r="C2154" s="70" t="str">
        <f t="shared" si="35"/>
        <v/>
      </c>
    </row>
    <row r="2155" spans="3:3" ht="15" customHeight="1">
      <c r="C2155" s="70" t="str">
        <f t="shared" si="35"/>
        <v/>
      </c>
    </row>
    <row r="2156" spans="3:3" ht="15" customHeight="1">
      <c r="C2156" s="70" t="str">
        <f t="shared" si="35"/>
        <v/>
      </c>
    </row>
    <row r="2157" spans="3:3" ht="15" customHeight="1">
      <c r="C2157" s="70" t="str">
        <f t="shared" si="35"/>
        <v/>
      </c>
    </row>
    <row r="2158" spans="3:3" ht="15" customHeight="1">
      <c r="C2158" s="70" t="str">
        <f t="shared" si="35"/>
        <v/>
      </c>
    </row>
    <row r="2159" spans="3:3" ht="15" customHeight="1">
      <c r="C2159" s="70" t="str">
        <f t="shared" si="35"/>
        <v/>
      </c>
    </row>
    <row r="2160" spans="3:3" ht="15" customHeight="1">
      <c r="C2160" s="70" t="str">
        <f t="shared" si="35"/>
        <v/>
      </c>
    </row>
    <row r="2161" spans="3:3" ht="15" customHeight="1">
      <c r="C2161" s="70" t="str">
        <f t="shared" si="35"/>
        <v/>
      </c>
    </row>
    <row r="2162" spans="3:3" ht="15" customHeight="1">
      <c r="C2162" s="70" t="str">
        <f t="shared" si="35"/>
        <v/>
      </c>
    </row>
    <row r="2163" spans="3:3" ht="15" customHeight="1">
      <c r="C2163" s="70" t="str">
        <f t="shared" si="35"/>
        <v/>
      </c>
    </row>
    <row r="2164" spans="3:3" ht="15" customHeight="1">
      <c r="C2164" s="70" t="str">
        <f t="shared" si="35"/>
        <v/>
      </c>
    </row>
    <row r="2165" spans="3:3" ht="15" customHeight="1">
      <c r="C2165" s="70" t="str">
        <f t="shared" si="35"/>
        <v/>
      </c>
    </row>
    <row r="2166" spans="3:3" ht="15" customHeight="1">
      <c r="C2166" s="70" t="str">
        <f t="shared" si="35"/>
        <v/>
      </c>
    </row>
    <row r="2167" spans="3:3" ht="15" customHeight="1">
      <c r="C2167" s="70" t="str">
        <f t="shared" si="35"/>
        <v/>
      </c>
    </row>
    <row r="2168" spans="3:3" ht="15" customHeight="1">
      <c r="C2168" s="70" t="str">
        <f t="shared" si="35"/>
        <v/>
      </c>
    </row>
    <row r="2169" spans="3:3" ht="15" customHeight="1">
      <c r="C2169" s="70" t="str">
        <f t="shared" si="35"/>
        <v/>
      </c>
    </row>
    <row r="2170" spans="3:3" ht="15" customHeight="1">
      <c r="C2170" s="70" t="str">
        <f t="shared" si="35"/>
        <v/>
      </c>
    </row>
    <row r="2171" spans="3:3" ht="15" customHeight="1">
      <c r="C2171" s="70" t="str">
        <f t="shared" si="35"/>
        <v/>
      </c>
    </row>
    <row r="2172" spans="3:3" ht="15" customHeight="1">
      <c r="C2172" s="70" t="str">
        <f t="shared" si="35"/>
        <v/>
      </c>
    </row>
    <row r="2173" spans="3:3" ht="15" customHeight="1">
      <c r="C2173" s="70" t="str">
        <f t="shared" si="35"/>
        <v/>
      </c>
    </row>
    <row r="2174" spans="3:3" ht="15" customHeight="1">
      <c r="C2174" s="70" t="str">
        <f t="shared" si="35"/>
        <v/>
      </c>
    </row>
    <row r="2175" spans="3:3" ht="15" customHeight="1">
      <c r="C2175" s="70" t="str">
        <f t="shared" si="35"/>
        <v/>
      </c>
    </row>
    <row r="2176" spans="3:3" ht="15" customHeight="1">
      <c r="C2176" s="70" t="str">
        <f t="shared" si="35"/>
        <v/>
      </c>
    </row>
    <row r="2177" spans="3:3" ht="15" customHeight="1">
      <c r="C2177" s="70" t="str">
        <f t="shared" si="35"/>
        <v/>
      </c>
    </row>
    <row r="2178" spans="3:3" ht="15" customHeight="1">
      <c r="C2178" s="70" t="str">
        <f t="shared" si="35"/>
        <v/>
      </c>
    </row>
    <row r="2179" spans="3:3" ht="15" customHeight="1">
      <c r="C2179" s="70" t="str">
        <f t="shared" si="35"/>
        <v/>
      </c>
    </row>
    <row r="2180" spans="3:3" ht="15" customHeight="1">
      <c r="C2180" s="70" t="str">
        <f t="shared" si="35"/>
        <v/>
      </c>
    </row>
    <row r="2181" spans="3:3" ht="15" customHeight="1">
      <c r="C2181" s="70" t="str">
        <f t="shared" si="35"/>
        <v/>
      </c>
    </row>
    <row r="2182" spans="3:3" ht="15" customHeight="1">
      <c r="C2182" s="70" t="str">
        <f t="shared" si="35"/>
        <v/>
      </c>
    </row>
    <row r="2183" spans="3:3" ht="15" customHeight="1">
      <c r="C2183" s="70" t="str">
        <f t="shared" si="35"/>
        <v/>
      </c>
    </row>
    <row r="2184" spans="3:3" ht="15" customHeight="1">
      <c r="C2184" s="70" t="str">
        <f t="shared" si="35"/>
        <v/>
      </c>
    </row>
    <row r="2185" spans="3:3" ht="15" customHeight="1">
      <c r="C2185" s="70" t="str">
        <f t="shared" si="35"/>
        <v/>
      </c>
    </row>
    <row r="2186" spans="3:3" ht="15" customHeight="1">
      <c r="C2186" s="70" t="str">
        <f t="shared" si="35"/>
        <v/>
      </c>
    </row>
    <row r="2187" spans="3:3" ht="15" customHeight="1">
      <c r="C2187" s="70" t="str">
        <f t="shared" si="35"/>
        <v/>
      </c>
    </row>
    <row r="2188" spans="3:3" ht="15" customHeight="1">
      <c r="C2188" s="70" t="str">
        <f t="shared" si="35"/>
        <v/>
      </c>
    </row>
    <row r="2189" spans="3:3" ht="15" customHeight="1">
      <c r="C2189" s="70" t="str">
        <f t="shared" si="35"/>
        <v/>
      </c>
    </row>
    <row r="2190" spans="3:3" ht="15" customHeight="1">
      <c r="C2190" s="70" t="str">
        <f t="shared" si="35"/>
        <v/>
      </c>
    </row>
    <row r="2191" spans="3:3" ht="15" customHeight="1">
      <c r="C2191" s="70" t="str">
        <f t="shared" si="35"/>
        <v/>
      </c>
    </row>
    <row r="2192" spans="3:3" ht="15" customHeight="1">
      <c r="C2192" s="70" t="str">
        <f t="shared" si="35"/>
        <v/>
      </c>
    </row>
    <row r="2193" spans="3:3" ht="15" customHeight="1">
      <c r="C2193" s="70" t="str">
        <f t="shared" ref="C2193:C2256" si="36">IF(B2193&lt;&gt;"",TEXT(WEEKDAY(B2193),"dddd"),"")</f>
        <v/>
      </c>
    </row>
    <row r="2194" spans="3:3" ht="15" customHeight="1">
      <c r="C2194" s="70" t="str">
        <f t="shared" si="36"/>
        <v/>
      </c>
    </row>
    <row r="2195" spans="3:3" ht="15" customHeight="1">
      <c r="C2195" s="70" t="str">
        <f t="shared" si="36"/>
        <v/>
      </c>
    </row>
    <row r="2196" spans="3:3" ht="15" customHeight="1">
      <c r="C2196" s="70" t="str">
        <f t="shared" si="36"/>
        <v/>
      </c>
    </row>
    <row r="2197" spans="3:3" ht="15" customHeight="1">
      <c r="C2197" s="70" t="str">
        <f t="shared" si="36"/>
        <v/>
      </c>
    </row>
    <row r="2198" spans="3:3" ht="15" customHeight="1">
      <c r="C2198" s="70" t="str">
        <f t="shared" si="36"/>
        <v/>
      </c>
    </row>
    <row r="2199" spans="3:3" ht="15" customHeight="1">
      <c r="C2199" s="70" t="str">
        <f t="shared" si="36"/>
        <v/>
      </c>
    </row>
    <row r="2200" spans="3:3" ht="15" customHeight="1">
      <c r="C2200" s="70" t="str">
        <f t="shared" si="36"/>
        <v/>
      </c>
    </row>
    <row r="2201" spans="3:3" ht="15" customHeight="1">
      <c r="C2201" s="70" t="str">
        <f t="shared" si="36"/>
        <v/>
      </c>
    </row>
    <row r="2202" spans="3:3" ht="15" customHeight="1">
      <c r="C2202" s="70" t="str">
        <f t="shared" si="36"/>
        <v/>
      </c>
    </row>
    <row r="2203" spans="3:3" ht="15" customHeight="1">
      <c r="C2203" s="70" t="str">
        <f t="shared" si="36"/>
        <v/>
      </c>
    </row>
    <row r="2204" spans="3:3" ht="15" customHeight="1">
      <c r="C2204" s="70" t="str">
        <f t="shared" si="36"/>
        <v/>
      </c>
    </row>
    <row r="2205" spans="3:3" ht="15" customHeight="1">
      <c r="C2205" s="70" t="str">
        <f t="shared" si="36"/>
        <v/>
      </c>
    </row>
    <row r="2206" spans="3:3" ht="15" customHeight="1">
      <c r="C2206" s="70" t="str">
        <f t="shared" si="36"/>
        <v/>
      </c>
    </row>
    <row r="2207" spans="3:3" ht="15" customHeight="1">
      <c r="C2207" s="70" t="str">
        <f t="shared" si="36"/>
        <v/>
      </c>
    </row>
    <row r="2208" spans="3:3" ht="15" customHeight="1">
      <c r="C2208" s="70" t="str">
        <f t="shared" si="36"/>
        <v/>
      </c>
    </row>
    <row r="2209" spans="3:3" ht="15" customHeight="1">
      <c r="C2209" s="70" t="str">
        <f t="shared" si="36"/>
        <v/>
      </c>
    </row>
    <row r="2210" spans="3:3" ht="15" customHeight="1">
      <c r="C2210" s="70" t="str">
        <f t="shared" si="36"/>
        <v/>
      </c>
    </row>
    <row r="2211" spans="3:3" ht="15" customHeight="1">
      <c r="C2211" s="70" t="str">
        <f t="shared" si="36"/>
        <v/>
      </c>
    </row>
    <row r="2212" spans="3:3" ht="15" customHeight="1">
      <c r="C2212" s="70" t="str">
        <f t="shared" si="36"/>
        <v/>
      </c>
    </row>
    <row r="2213" spans="3:3" ht="15" customHeight="1">
      <c r="C2213" s="70" t="str">
        <f t="shared" si="36"/>
        <v/>
      </c>
    </row>
    <row r="2214" spans="3:3" ht="15" customHeight="1">
      <c r="C2214" s="70" t="str">
        <f t="shared" si="36"/>
        <v/>
      </c>
    </row>
    <row r="2215" spans="3:3" ht="15" customHeight="1">
      <c r="C2215" s="70" t="str">
        <f t="shared" si="36"/>
        <v/>
      </c>
    </row>
    <row r="2216" spans="3:3" ht="15" customHeight="1">
      <c r="C2216" s="70" t="str">
        <f t="shared" si="36"/>
        <v/>
      </c>
    </row>
    <row r="2217" spans="3:3" ht="15" customHeight="1">
      <c r="C2217" s="70" t="str">
        <f t="shared" si="36"/>
        <v/>
      </c>
    </row>
    <row r="2218" spans="3:3" ht="15" customHeight="1">
      <c r="C2218" s="70" t="str">
        <f t="shared" si="36"/>
        <v/>
      </c>
    </row>
    <row r="2219" spans="3:3" ht="15" customHeight="1">
      <c r="C2219" s="70" t="str">
        <f t="shared" si="36"/>
        <v/>
      </c>
    </row>
    <row r="2220" spans="3:3" ht="15" customHeight="1">
      <c r="C2220" s="70" t="str">
        <f t="shared" si="36"/>
        <v/>
      </c>
    </row>
    <row r="2221" spans="3:3" ht="15" customHeight="1">
      <c r="C2221" s="70" t="str">
        <f t="shared" si="36"/>
        <v/>
      </c>
    </row>
    <row r="2222" spans="3:3" ht="15" customHeight="1">
      <c r="C2222" s="70" t="str">
        <f t="shared" si="36"/>
        <v/>
      </c>
    </row>
    <row r="2223" spans="3:3" ht="15" customHeight="1">
      <c r="C2223" s="70" t="str">
        <f t="shared" si="36"/>
        <v/>
      </c>
    </row>
    <row r="2224" spans="3:3" ht="15" customHeight="1">
      <c r="C2224" s="70" t="str">
        <f t="shared" si="36"/>
        <v/>
      </c>
    </row>
    <row r="2225" spans="3:3" ht="15" customHeight="1">
      <c r="C2225" s="70" t="str">
        <f t="shared" si="36"/>
        <v/>
      </c>
    </row>
    <row r="2226" spans="3:3" ht="15" customHeight="1">
      <c r="C2226" s="70" t="str">
        <f t="shared" si="36"/>
        <v/>
      </c>
    </row>
    <row r="2227" spans="3:3" ht="15" customHeight="1">
      <c r="C2227" s="70" t="str">
        <f t="shared" si="36"/>
        <v/>
      </c>
    </row>
    <row r="2228" spans="3:3" ht="15" customHeight="1">
      <c r="C2228" s="70" t="str">
        <f t="shared" si="36"/>
        <v/>
      </c>
    </row>
    <row r="2229" spans="3:3" ht="15" customHeight="1">
      <c r="C2229" s="70" t="str">
        <f t="shared" si="36"/>
        <v/>
      </c>
    </row>
    <row r="2230" spans="3:3" ht="15" customHeight="1">
      <c r="C2230" s="70" t="str">
        <f t="shared" si="36"/>
        <v/>
      </c>
    </row>
    <row r="2231" spans="3:3" ht="15" customHeight="1">
      <c r="C2231" s="70" t="str">
        <f t="shared" si="36"/>
        <v/>
      </c>
    </row>
    <row r="2232" spans="3:3" ht="15" customHeight="1">
      <c r="C2232" s="70" t="str">
        <f t="shared" si="36"/>
        <v/>
      </c>
    </row>
    <row r="2233" spans="3:3" ht="15" customHeight="1">
      <c r="C2233" s="70" t="str">
        <f t="shared" si="36"/>
        <v/>
      </c>
    </row>
    <row r="2234" spans="3:3" ht="15" customHeight="1">
      <c r="C2234" s="70" t="str">
        <f t="shared" si="36"/>
        <v/>
      </c>
    </row>
    <row r="2235" spans="3:3" ht="15" customHeight="1">
      <c r="C2235" s="70" t="str">
        <f t="shared" si="36"/>
        <v/>
      </c>
    </row>
    <row r="2236" spans="3:3" ht="15" customHeight="1">
      <c r="C2236" s="70" t="str">
        <f t="shared" si="36"/>
        <v/>
      </c>
    </row>
    <row r="2237" spans="3:3" ht="15" customHeight="1">
      <c r="C2237" s="70" t="str">
        <f t="shared" si="36"/>
        <v/>
      </c>
    </row>
    <row r="2238" spans="3:3" ht="15" customHeight="1">
      <c r="C2238" s="70" t="str">
        <f t="shared" si="36"/>
        <v/>
      </c>
    </row>
    <row r="2239" spans="3:3" ht="15" customHeight="1">
      <c r="C2239" s="70" t="str">
        <f t="shared" si="36"/>
        <v/>
      </c>
    </row>
    <row r="2240" spans="3:3" ht="15" customHeight="1">
      <c r="C2240" s="70" t="str">
        <f t="shared" si="36"/>
        <v/>
      </c>
    </row>
    <row r="2241" spans="3:3" ht="15" customHeight="1">
      <c r="C2241" s="70" t="str">
        <f t="shared" si="36"/>
        <v/>
      </c>
    </row>
    <row r="2242" spans="3:3" ht="15" customHeight="1">
      <c r="C2242" s="70" t="str">
        <f t="shared" si="36"/>
        <v/>
      </c>
    </row>
    <row r="2243" spans="3:3" ht="15" customHeight="1">
      <c r="C2243" s="70" t="str">
        <f t="shared" si="36"/>
        <v/>
      </c>
    </row>
    <row r="2244" spans="3:3" ht="15" customHeight="1">
      <c r="C2244" s="70" t="str">
        <f t="shared" si="36"/>
        <v/>
      </c>
    </row>
    <row r="2245" spans="3:3" ht="15" customHeight="1">
      <c r="C2245" s="70" t="str">
        <f t="shared" si="36"/>
        <v/>
      </c>
    </row>
    <row r="2246" spans="3:3" ht="15" customHeight="1">
      <c r="C2246" s="70" t="str">
        <f t="shared" si="36"/>
        <v/>
      </c>
    </row>
    <row r="2247" spans="3:3" ht="15" customHeight="1">
      <c r="C2247" s="70" t="str">
        <f t="shared" si="36"/>
        <v/>
      </c>
    </row>
    <row r="2248" spans="3:3" ht="15" customHeight="1">
      <c r="C2248" s="70" t="str">
        <f t="shared" si="36"/>
        <v/>
      </c>
    </row>
    <row r="2249" spans="3:3" ht="15" customHeight="1">
      <c r="C2249" s="70" t="str">
        <f t="shared" si="36"/>
        <v/>
      </c>
    </row>
    <row r="2250" spans="3:3" ht="15" customHeight="1">
      <c r="C2250" s="70" t="str">
        <f t="shared" si="36"/>
        <v/>
      </c>
    </row>
    <row r="2251" spans="3:3" ht="15" customHeight="1">
      <c r="C2251" s="70" t="str">
        <f t="shared" si="36"/>
        <v/>
      </c>
    </row>
    <row r="2252" spans="3:3" ht="15" customHeight="1">
      <c r="C2252" s="70" t="str">
        <f t="shared" si="36"/>
        <v/>
      </c>
    </row>
    <row r="2253" spans="3:3" ht="15" customHeight="1">
      <c r="C2253" s="70" t="str">
        <f t="shared" si="36"/>
        <v/>
      </c>
    </row>
    <row r="2254" spans="3:3" ht="15" customHeight="1">
      <c r="C2254" s="70" t="str">
        <f t="shared" si="36"/>
        <v/>
      </c>
    </row>
    <row r="2255" spans="3:3" ht="15" customHeight="1">
      <c r="C2255" s="70" t="str">
        <f t="shared" si="36"/>
        <v/>
      </c>
    </row>
    <row r="2256" spans="3:3" ht="15" customHeight="1">
      <c r="C2256" s="70" t="str">
        <f t="shared" si="36"/>
        <v/>
      </c>
    </row>
    <row r="2257" spans="3:3" ht="15" customHeight="1">
      <c r="C2257" s="70" t="str">
        <f t="shared" ref="C2257:C2320" si="37">IF(B2257&lt;&gt;"",TEXT(WEEKDAY(B2257),"dddd"),"")</f>
        <v/>
      </c>
    </row>
    <row r="2258" spans="3:3" ht="15" customHeight="1">
      <c r="C2258" s="70" t="str">
        <f t="shared" si="37"/>
        <v/>
      </c>
    </row>
    <row r="2259" spans="3:3" ht="15" customHeight="1">
      <c r="C2259" s="70" t="str">
        <f t="shared" si="37"/>
        <v/>
      </c>
    </row>
    <row r="2260" spans="3:3" ht="15" customHeight="1">
      <c r="C2260" s="70" t="str">
        <f t="shared" si="37"/>
        <v/>
      </c>
    </row>
    <row r="2261" spans="3:3" ht="15" customHeight="1">
      <c r="C2261" s="70" t="str">
        <f t="shared" si="37"/>
        <v/>
      </c>
    </row>
    <row r="2262" spans="3:3" ht="15" customHeight="1">
      <c r="C2262" s="70" t="str">
        <f t="shared" si="37"/>
        <v/>
      </c>
    </row>
    <row r="2263" spans="3:3" ht="15" customHeight="1">
      <c r="C2263" s="70" t="str">
        <f t="shared" si="37"/>
        <v/>
      </c>
    </row>
    <row r="2264" spans="3:3" ht="15" customHeight="1">
      <c r="C2264" s="70" t="str">
        <f t="shared" si="37"/>
        <v/>
      </c>
    </row>
    <row r="2265" spans="3:3" ht="15" customHeight="1">
      <c r="C2265" s="70" t="str">
        <f t="shared" si="37"/>
        <v/>
      </c>
    </row>
    <row r="2266" spans="3:3" ht="15" customHeight="1">
      <c r="C2266" s="70" t="str">
        <f t="shared" si="37"/>
        <v/>
      </c>
    </row>
    <row r="2267" spans="3:3" ht="15" customHeight="1">
      <c r="C2267" s="70" t="str">
        <f t="shared" si="37"/>
        <v/>
      </c>
    </row>
    <row r="2268" spans="3:3" ht="15" customHeight="1">
      <c r="C2268" s="70" t="str">
        <f t="shared" si="37"/>
        <v/>
      </c>
    </row>
    <row r="2269" spans="3:3" ht="15" customHeight="1">
      <c r="C2269" s="70" t="str">
        <f t="shared" si="37"/>
        <v/>
      </c>
    </row>
    <row r="2270" spans="3:3" ht="15" customHeight="1">
      <c r="C2270" s="70" t="str">
        <f t="shared" si="37"/>
        <v/>
      </c>
    </row>
    <row r="2271" spans="3:3" ht="15" customHeight="1">
      <c r="C2271" s="70" t="str">
        <f t="shared" si="37"/>
        <v/>
      </c>
    </row>
    <row r="2272" spans="3:3" ht="15" customHeight="1">
      <c r="C2272" s="70" t="str">
        <f t="shared" si="37"/>
        <v/>
      </c>
    </row>
    <row r="2273" spans="3:3" ht="15" customHeight="1">
      <c r="C2273" s="70" t="str">
        <f t="shared" si="37"/>
        <v/>
      </c>
    </row>
    <row r="2274" spans="3:3" ht="15" customHeight="1">
      <c r="C2274" s="70" t="str">
        <f t="shared" si="37"/>
        <v/>
      </c>
    </row>
    <row r="2275" spans="3:3" ht="15" customHeight="1">
      <c r="C2275" s="70" t="str">
        <f t="shared" si="37"/>
        <v/>
      </c>
    </row>
    <row r="2276" spans="3:3" ht="15" customHeight="1">
      <c r="C2276" s="70" t="str">
        <f t="shared" si="37"/>
        <v/>
      </c>
    </row>
    <row r="2277" spans="3:3" ht="15" customHeight="1">
      <c r="C2277" s="70" t="str">
        <f t="shared" si="37"/>
        <v/>
      </c>
    </row>
    <row r="2278" spans="3:3" ht="15" customHeight="1">
      <c r="C2278" s="70" t="str">
        <f t="shared" si="37"/>
        <v/>
      </c>
    </row>
    <row r="2279" spans="3:3" ht="15" customHeight="1">
      <c r="C2279" s="70" t="str">
        <f t="shared" si="37"/>
        <v/>
      </c>
    </row>
    <row r="2280" spans="3:3" ht="15" customHeight="1">
      <c r="C2280" s="70" t="str">
        <f t="shared" si="37"/>
        <v/>
      </c>
    </row>
    <row r="2281" spans="3:3" ht="15" customHeight="1">
      <c r="C2281" s="70" t="str">
        <f t="shared" si="37"/>
        <v/>
      </c>
    </row>
    <row r="2282" spans="3:3" ht="15" customHeight="1">
      <c r="C2282" s="70" t="str">
        <f t="shared" si="37"/>
        <v/>
      </c>
    </row>
    <row r="2283" spans="3:3" ht="15" customHeight="1">
      <c r="C2283" s="70" t="str">
        <f t="shared" si="37"/>
        <v/>
      </c>
    </row>
    <row r="2284" spans="3:3" ht="15" customHeight="1">
      <c r="C2284" s="70" t="str">
        <f t="shared" si="37"/>
        <v/>
      </c>
    </row>
    <row r="2285" spans="3:3" ht="15" customHeight="1">
      <c r="C2285" s="70" t="str">
        <f t="shared" si="37"/>
        <v/>
      </c>
    </row>
    <row r="2286" spans="3:3" ht="15" customHeight="1">
      <c r="C2286" s="70" t="str">
        <f t="shared" si="37"/>
        <v/>
      </c>
    </row>
    <row r="2287" spans="3:3" ht="15" customHeight="1">
      <c r="C2287" s="70" t="str">
        <f t="shared" si="37"/>
        <v/>
      </c>
    </row>
    <row r="2288" spans="3:3" ht="15" customHeight="1">
      <c r="C2288" s="70" t="str">
        <f t="shared" si="37"/>
        <v/>
      </c>
    </row>
    <row r="2289" spans="3:3" ht="15" customHeight="1">
      <c r="C2289" s="70" t="str">
        <f t="shared" si="37"/>
        <v/>
      </c>
    </row>
    <row r="2290" spans="3:3" ht="15" customHeight="1">
      <c r="C2290" s="70" t="str">
        <f t="shared" si="37"/>
        <v/>
      </c>
    </row>
    <row r="2291" spans="3:3" ht="15" customHeight="1">
      <c r="C2291" s="70" t="str">
        <f t="shared" si="37"/>
        <v/>
      </c>
    </row>
    <row r="2292" spans="3:3" ht="15" customHeight="1">
      <c r="C2292" s="70" t="str">
        <f t="shared" si="37"/>
        <v/>
      </c>
    </row>
    <row r="2293" spans="3:3" ht="15" customHeight="1">
      <c r="C2293" s="70" t="str">
        <f t="shared" si="37"/>
        <v/>
      </c>
    </row>
    <row r="2294" spans="3:3" ht="15" customHeight="1">
      <c r="C2294" s="70" t="str">
        <f t="shared" si="37"/>
        <v/>
      </c>
    </row>
    <row r="2295" spans="3:3" ht="15" customHeight="1">
      <c r="C2295" s="70" t="str">
        <f t="shared" si="37"/>
        <v/>
      </c>
    </row>
    <row r="2296" spans="3:3" ht="15" customHeight="1">
      <c r="C2296" s="70" t="str">
        <f t="shared" si="37"/>
        <v/>
      </c>
    </row>
    <row r="2297" spans="3:3" ht="15" customHeight="1">
      <c r="C2297" s="70" t="str">
        <f t="shared" si="37"/>
        <v/>
      </c>
    </row>
    <row r="2298" spans="3:3" ht="15" customHeight="1">
      <c r="C2298" s="70" t="str">
        <f t="shared" si="37"/>
        <v/>
      </c>
    </row>
    <row r="2299" spans="3:3" ht="15" customHeight="1">
      <c r="C2299" s="70" t="str">
        <f t="shared" si="37"/>
        <v/>
      </c>
    </row>
    <row r="2300" spans="3:3" ht="15" customHeight="1">
      <c r="C2300" s="70" t="str">
        <f t="shared" si="37"/>
        <v/>
      </c>
    </row>
    <row r="2301" spans="3:3" ht="15" customHeight="1">
      <c r="C2301" s="70" t="str">
        <f t="shared" si="37"/>
        <v/>
      </c>
    </row>
    <row r="2302" spans="3:3" ht="15" customHeight="1">
      <c r="C2302" s="70" t="str">
        <f t="shared" si="37"/>
        <v/>
      </c>
    </row>
    <row r="2303" spans="3:3" ht="15" customHeight="1">
      <c r="C2303" s="70" t="str">
        <f t="shared" si="37"/>
        <v/>
      </c>
    </row>
    <row r="2304" spans="3:3" ht="15" customHeight="1">
      <c r="C2304" s="70" t="str">
        <f t="shared" si="37"/>
        <v/>
      </c>
    </row>
    <row r="2305" spans="3:3" ht="15" customHeight="1">
      <c r="C2305" s="70" t="str">
        <f t="shared" si="37"/>
        <v/>
      </c>
    </row>
    <row r="2306" spans="3:3" ht="15" customHeight="1">
      <c r="C2306" s="70" t="str">
        <f t="shared" si="37"/>
        <v/>
      </c>
    </row>
    <row r="2307" spans="3:3" ht="15" customHeight="1">
      <c r="C2307" s="70" t="str">
        <f t="shared" si="37"/>
        <v/>
      </c>
    </row>
    <row r="2308" spans="3:3" ht="15" customHeight="1">
      <c r="C2308" s="70" t="str">
        <f t="shared" si="37"/>
        <v/>
      </c>
    </row>
    <row r="2309" spans="3:3" ht="15" customHeight="1">
      <c r="C2309" s="70" t="str">
        <f t="shared" si="37"/>
        <v/>
      </c>
    </row>
    <row r="2310" spans="3:3" ht="15" customHeight="1">
      <c r="C2310" s="70" t="str">
        <f t="shared" si="37"/>
        <v/>
      </c>
    </row>
    <row r="2311" spans="3:3" ht="15" customHeight="1">
      <c r="C2311" s="70" t="str">
        <f t="shared" si="37"/>
        <v/>
      </c>
    </row>
    <row r="2312" spans="3:3" ht="15" customHeight="1">
      <c r="C2312" s="70" t="str">
        <f t="shared" si="37"/>
        <v/>
      </c>
    </row>
    <row r="2313" spans="3:3" ht="15" customHeight="1">
      <c r="C2313" s="70" t="str">
        <f t="shared" si="37"/>
        <v/>
      </c>
    </row>
    <row r="2314" spans="3:3" ht="15" customHeight="1">
      <c r="C2314" s="70" t="str">
        <f t="shared" si="37"/>
        <v/>
      </c>
    </row>
    <row r="2315" spans="3:3" ht="15" customHeight="1">
      <c r="C2315" s="70" t="str">
        <f t="shared" si="37"/>
        <v/>
      </c>
    </row>
    <row r="2316" spans="3:3" ht="15" customHeight="1">
      <c r="C2316" s="70" t="str">
        <f t="shared" si="37"/>
        <v/>
      </c>
    </row>
    <row r="2317" spans="3:3" ht="15" customHeight="1">
      <c r="C2317" s="70" t="str">
        <f t="shared" si="37"/>
        <v/>
      </c>
    </row>
    <row r="2318" spans="3:3" ht="15" customHeight="1">
      <c r="C2318" s="70" t="str">
        <f t="shared" si="37"/>
        <v/>
      </c>
    </row>
    <row r="2319" spans="3:3" ht="15" customHeight="1">
      <c r="C2319" s="70" t="str">
        <f t="shared" si="37"/>
        <v/>
      </c>
    </row>
    <row r="2320" spans="3:3" ht="15" customHeight="1">
      <c r="C2320" s="70" t="str">
        <f t="shared" si="37"/>
        <v/>
      </c>
    </row>
    <row r="2321" spans="3:3" ht="15" customHeight="1">
      <c r="C2321" s="70" t="str">
        <f t="shared" ref="C2321:C2384" si="38">IF(B2321&lt;&gt;"",TEXT(WEEKDAY(B2321),"dddd"),"")</f>
        <v/>
      </c>
    </row>
    <row r="2322" spans="3:3" ht="15" customHeight="1">
      <c r="C2322" s="70" t="str">
        <f t="shared" si="38"/>
        <v/>
      </c>
    </row>
    <row r="2323" spans="3:3" ht="15" customHeight="1">
      <c r="C2323" s="70" t="str">
        <f t="shared" si="38"/>
        <v/>
      </c>
    </row>
    <row r="2324" spans="3:3" ht="15" customHeight="1">
      <c r="C2324" s="70" t="str">
        <f t="shared" si="38"/>
        <v/>
      </c>
    </row>
    <row r="2325" spans="3:3" ht="15" customHeight="1">
      <c r="C2325" s="70" t="str">
        <f t="shared" si="38"/>
        <v/>
      </c>
    </row>
    <row r="2326" spans="3:3" ht="15" customHeight="1">
      <c r="C2326" s="70" t="str">
        <f t="shared" si="38"/>
        <v/>
      </c>
    </row>
    <row r="2327" spans="3:3" ht="15" customHeight="1">
      <c r="C2327" s="70" t="str">
        <f t="shared" si="38"/>
        <v/>
      </c>
    </row>
    <row r="2328" spans="3:3" ht="15" customHeight="1">
      <c r="C2328" s="70" t="str">
        <f t="shared" si="38"/>
        <v/>
      </c>
    </row>
    <row r="2329" spans="3:3" ht="15" customHeight="1">
      <c r="C2329" s="70" t="str">
        <f t="shared" si="38"/>
        <v/>
      </c>
    </row>
    <row r="2330" spans="3:3" ht="15" customHeight="1">
      <c r="C2330" s="70" t="str">
        <f t="shared" si="38"/>
        <v/>
      </c>
    </row>
    <row r="2331" spans="3:3" ht="15" customHeight="1">
      <c r="C2331" s="70" t="str">
        <f t="shared" si="38"/>
        <v/>
      </c>
    </row>
    <row r="2332" spans="3:3" ht="15" customHeight="1">
      <c r="C2332" s="70" t="str">
        <f t="shared" si="38"/>
        <v/>
      </c>
    </row>
    <row r="2333" spans="3:3" ht="15" customHeight="1">
      <c r="C2333" s="70" t="str">
        <f t="shared" si="38"/>
        <v/>
      </c>
    </row>
    <row r="2334" spans="3:3" ht="15" customHeight="1">
      <c r="C2334" s="70" t="str">
        <f t="shared" si="38"/>
        <v/>
      </c>
    </row>
    <row r="2335" spans="3:3" ht="15" customHeight="1">
      <c r="C2335" s="70" t="str">
        <f t="shared" si="38"/>
        <v/>
      </c>
    </row>
    <row r="2336" spans="3:3" ht="15" customHeight="1">
      <c r="C2336" s="70" t="str">
        <f t="shared" si="38"/>
        <v/>
      </c>
    </row>
    <row r="2337" spans="3:3" ht="15" customHeight="1">
      <c r="C2337" s="70" t="str">
        <f t="shared" si="38"/>
        <v/>
      </c>
    </row>
    <row r="2338" spans="3:3" ht="15" customHeight="1">
      <c r="C2338" s="70" t="str">
        <f t="shared" si="38"/>
        <v/>
      </c>
    </row>
    <row r="2339" spans="3:3" ht="15" customHeight="1">
      <c r="C2339" s="70" t="str">
        <f t="shared" si="38"/>
        <v/>
      </c>
    </row>
    <row r="2340" spans="3:3" ht="15" customHeight="1">
      <c r="C2340" s="70" t="str">
        <f t="shared" si="38"/>
        <v/>
      </c>
    </row>
    <row r="2341" spans="3:3" ht="15" customHeight="1">
      <c r="C2341" s="70" t="str">
        <f t="shared" si="38"/>
        <v/>
      </c>
    </row>
    <row r="2342" spans="3:3" ht="15" customHeight="1">
      <c r="C2342" s="70" t="str">
        <f t="shared" si="38"/>
        <v/>
      </c>
    </row>
    <row r="2343" spans="3:3" ht="15" customHeight="1">
      <c r="C2343" s="70" t="str">
        <f t="shared" si="38"/>
        <v/>
      </c>
    </row>
    <row r="2344" spans="3:3" ht="15" customHeight="1">
      <c r="C2344" s="70" t="str">
        <f t="shared" si="38"/>
        <v/>
      </c>
    </row>
    <row r="2345" spans="3:3" ht="15" customHeight="1">
      <c r="C2345" s="70" t="str">
        <f t="shared" si="38"/>
        <v/>
      </c>
    </row>
    <row r="2346" spans="3:3" ht="15" customHeight="1">
      <c r="C2346" s="70" t="str">
        <f t="shared" si="38"/>
        <v/>
      </c>
    </row>
    <row r="2347" spans="3:3" ht="15" customHeight="1">
      <c r="C2347" s="70" t="str">
        <f t="shared" si="38"/>
        <v/>
      </c>
    </row>
    <row r="2348" spans="3:3" ht="15" customHeight="1">
      <c r="C2348" s="70" t="str">
        <f t="shared" si="38"/>
        <v/>
      </c>
    </row>
    <row r="2349" spans="3:3" ht="15" customHeight="1">
      <c r="C2349" s="70" t="str">
        <f t="shared" si="38"/>
        <v/>
      </c>
    </row>
    <row r="2350" spans="3:3" ht="15" customHeight="1">
      <c r="C2350" s="70" t="str">
        <f t="shared" si="38"/>
        <v/>
      </c>
    </row>
    <row r="2351" spans="3:3" ht="15" customHeight="1">
      <c r="C2351" s="70" t="str">
        <f t="shared" si="38"/>
        <v/>
      </c>
    </row>
    <row r="2352" spans="3:3" ht="15" customHeight="1">
      <c r="C2352" s="70" t="str">
        <f t="shared" si="38"/>
        <v/>
      </c>
    </row>
    <row r="2353" spans="3:3" ht="15" customHeight="1">
      <c r="C2353" s="70" t="str">
        <f t="shared" si="38"/>
        <v/>
      </c>
    </row>
    <row r="2354" spans="3:3" ht="15" customHeight="1">
      <c r="C2354" s="70" t="str">
        <f t="shared" si="38"/>
        <v/>
      </c>
    </row>
    <row r="2355" spans="3:3" ht="15" customHeight="1">
      <c r="C2355" s="70" t="str">
        <f t="shared" si="38"/>
        <v/>
      </c>
    </row>
    <row r="2356" spans="3:3" ht="15" customHeight="1">
      <c r="C2356" s="70" t="str">
        <f t="shared" si="38"/>
        <v/>
      </c>
    </row>
    <row r="2357" spans="3:3" ht="15" customHeight="1">
      <c r="C2357" s="70" t="str">
        <f t="shared" si="38"/>
        <v/>
      </c>
    </row>
    <row r="2358" spans="3:3" ht="15" customHeight="1">
      <c r="C2358" s="70" t="str">
        <f t="shared" si="38"/>
        <v/>
      </c>
    </row>
    <row r="2359" spans="3:3" ht="15" customHeight="1">
      <c r="C2359" s="70" t="str">
        <f t="shared" si="38"/>
        <v/>
      </c>
    </row>
    <row r="2360" spans="3:3" ht="15" customHeight="1">
      <c r="C2360" s="70" t="str">
        <f t="shared" si="38"/>
        <v/>
      </c>
    </row>
    <row r="2361" spans="3:3" ht="15" customHeight="1">
      <c r="C2361" s="70" t="str">
        <f t="shared" si="38"/>
        <v/>
      </c>
    </row>
    <row r="2362" spans="3:3" ht="15" customHeight="1">
      <c r="C2362" s="70" t="str">
        <f t="shared" si="38"/>
        <v/>
      </c>
    </row>
    <row r="2363" spans="3:3" ht="15" customHeight="1">
      <c r="C2363" s="70" t="str">
        <f t="shared" si="38"/>
        <v/>
      </c>
    </row>
    <row r="2364" spans="3:3" ht="15" customHeight="1">
      <c r="C2364" s="70" t="str">
        <f t="shared" si="38"/>
        <v/>
      </c>
    </row>
    <row r="2365" spans="3:3" ht="15" customHeight="1">
      <c r="C2365" s="70" t="str">
        <f t="shared" si="38"/>
        <v/>
      </c>
    </row>
    <row r="2366" spans="3:3" ht="15" customHeight="1">
      <c r="C2366" s="70" t="str">
        <f t="shared" si="38"/>
        <v/>
      </c>
    </row>
    <row r="2367" spans="3:3" ht="15" customHeight="1">
      <c r="C2367" s="70" t="str">
        <f t="shared" si="38"/>
        <v/>
      </c>
    </row>
    <row r="2368" spans="3:3" ht="15" customHeight="1">
      <c r="C2368" s="70" t="str">
        <f t="shared" si="38"/>
        <v/>
      </c>
    </row>
    <row r="2369" spans="3:3" ht="15" customHeight="1">
      <c r="C2369" s="70" t="str">
        <f t="shared" si="38"/>
        <v/>
      </c>
    </row>
    <row r="2370" spans="3:3" ht="15" customHeight="1">
      <c r="C2370" s="70" t="str">
        <f t="shared" si="38"/>
        <v/>
      </c>
    </row>
    <row r="2371" spans="3:3" ht="15" customHeight="1">
      <c r="C2371" s="70" t="str">
        <f t="shared" si="38"/>
        <v/>
      </c>
    </row>
    <row r="2372" spans="3:3" ht="15" customHeight="1">
      <c r="C2372" s="70" t="str">
        <f t="shared" si="38"/>
        <v/>
      </c>
    </row>
    <row r="2373" spans="3:3" ht="15" customHeight="1">
      <c r="C2373" s="70" t="str">
        <f t="shared" si="38"/>
        <v/>
      </c>
    </row>
    <row r="2374" spans="3:3" ht="15" customHeight="1">
      <c r="C2374" s="70" t="str">
        <f t="shared" si="38"/>
        <v/>
      </c>
    </row>
    <row r="2375" spans="3:3" ht="15" customHeight="1">
      <c r="C2375" s="70" t="str">
        <f t="shared" si="38"/>
        <v/>
      </c>
    </row>
    <row r="2376" spans="3:3" ht="15" customHeight="1">
      <c r="C2376" s="70" t="str">
        <f t="shared" si="38"/>
        <v/>
      </c>
    </row>
    <row r="2377" spans="3:3" ht="15" customHeight="1">
      <c r="C2377" s="70" t="str">
        <f t="shared" si="38"/>
        <v/>
      </c>
    </row>
    <row r="2378" spans="3:3" ht="15" customHeight="1">
      <c r="C2378" s="70" t="str">
        <f t="shared" si="38"/>
        <v/>
      </c>
    </row>
    <row r="2379" spans="3:3" ht="15" customHeight="1">
      <c r="C2379" s="70" t="str">
        <f t="shared" si="38"/>
        <v/>
      </c>
    </row>
    <row r="2380" spans="3:3" ht="15" customHeight="1">
      <c r="C2380" s="70" t="str">
        <f t="shared" si="38"/>
        <v/>
      </c>
    </row>
    <row r="2381" spans="3:3" ht="15" customHeight="1">
      <c r="C2381" s="70" t="str">
        <f t="shared" si="38"/>
        <v/>
      </c>
    </row>
    <row r="2382" spans="3:3" ht="15" customHeight="1">
      <c r="C2382" s="70" t="str">
        <f t="shared" si="38"/>
        <v/>
      </c>
    </row>
    <row r="2383" spans="3:3" ht="15" customHeight="1">
      <c r="C2383" s="70" t="str">
        <f t="shared" si="38"/>
        <v/>
      </c>
    </row>
    <row r="2384" spans="3:3" ht="15" customHeight="1">
      <c r="C2384" s="70" t="str">
        <f t="shared" si="38"/>
        <v/>
      </c>
    </row>
    <row r="2385" spans="3:3" ht="15" customHeight="1">
      <c r="C2385" s="70" t="str">
        <f t="shared" ref="C2385:C2448" si="39">IF(B2385&lt;&gt;"",TEXT(WEEKDAY(B2385),"dddd"),"")</f>
        <v/>
      </c>
    </row>
    <row r="2386" spans="3:3" ht="15" customHeight="1">
      <c r="C2386" s="70" t="str">
        <f t="shared" si="39"/>
        <v/>
      </c>
    </row>
    <row r="2387" spans="3:3" ht="15" customHeight="1">
      <c r="C2387" s="70" t="str">
        <f t="shared" si="39"/>
        <v/>
      </c>
    </row>
    <row r="2388" spans="3:3" ht="15" customHeight="1">
      <c r="C2388" s="70" t="str">
        <f t="shared" si="39"/>
        <v/>
      </c>
    </row>
    <row r="2389" spans="3:3" ht="15" customHeight="1">
      <c r="C2389" s="70" t="str">
        <f t="shared" si="39"/>
        <v/>
      </c>
    </row>
    <row r="2390" spans="3:3" ht="15" customHeight="1">
      <c r="C2390" s="70" t="str">
        <f t="shared" si="39"/>
        <v/>
      </c>
    </row>
    <row r="2391" spans="3:3" ht="15" customHeight="1">
      <c r="C2391" s="70" t="str">
        <f t="shared" si="39"/>
        <v/>
      </c>
    </row>
    <row r="2392" spans="3:3" ht="15" customHeight="1">
      <c r="C2392" s="70" t="str">
        <f t="shared" si="39"/>
        <v/>
      </c>
    </row>
    <row r="2393" spans="3:3" ht="15" customHeight="1">
      <c r="C2393" s="70" t="str">
        <f t="shared" si="39"/>
        <v/>
      </c>
    </row>
    <row r="2394" spans="3:3" ht="15" customHeight="1">
      <c r="C2394" s="70" t="str">
        <f t="shared" si="39"/>
        <v/>
      </c>
    </row>
    <row r="2395" spans="3:3" ht="15" customHeight="1">
      <c r="C2395" s="70" t="str">
        <f t="shared" si="39"/>
        <v/>
      </c>
    </row>
    <row r="2396" spans="3:3" ht="15" customHeight="1">
      <c r="C2396" s="70" t="str">
        <f t="shared" si="39"/>
        <v/>
      </c>
    </row>
    <row r="2397" spans="3:3" ht="15" customHeight="1">
      <c r="C2397" s="70" t="str">
        <f t="shared" si="39"/>
        <v/>
      </c>
    </row>
    <row r="2398" spans="3:3" ht="15" customHeight="1">
      <c r="C2398" s="70" t="str">
        <f t="shared" si="39"/>
        <v/>
      </c>
    </row>
    <row r="2399" spans="3:3" ht="15" customHeight="1">
      <c r="C2399" s="70" t="str">
        <f t="shared" si="39"/>
        <v/>
      </c>
    </row>
    <row r="2400" spans="3:3" ht="15" customHeight="1">
      <c r="C2400" s="70" t="str">
        <f t="shared" si="39"/>
        <v/>
      </c>
    </row>
    <row r="2401" spans="3:3" ht="15" customHeight="1">
      <c r="C2401" s="70" t="str">
        <f t="shared" si="39"/>
        <v/>
      </c>
    </row>
    <row r="2402" spans="3:3" ht="15" customHeight="1">
      <c r="C2402" s="70" t="str">
        <f t="shared" si="39"/>
        <v/>
      </c>
    </row>
    <row r="2403" spans="3:3" ht="15" customHeight="1">
      <c r="C2403" s="70" t="str">
        <f t="shared" si="39"/>
        <v/>
      </c>
    </row>
    <row r="2404" spans="3:3" ht="15" customHeight="1">
      <c r="C2404" s="70" t="str">
        <f t="shared" si="39"/>
        <v/>
      </c>
    </row>
    <row r="2405" spans="3:3" ht="15" customHeight="1">
      <c r="C2405" s="70" t="str">
        <f t="shared" si="39"/>
        <v/>
      </c>
    </row>
    <row r="2406" spans="3:3" ht="15" customHeight="1">
      <c r="C2406" s="70" t="str">
        <f t="shared" si="39"/>
        <v/>
      </c>
    </row>
    <row r="2407" spans="3:3" ht="15" customHeight="1">
      <c r="C2407" s="70" t="str">
        <f t="shared" si="39"/>
        <v/>
      </c>
    </row>
    <row r="2408" spans="3:3" ht="15" customHeight="1">
      <c r="C2408" s="70" t="str">
        <f t="shared" si="39"/>
        <v/>
      </c>
    </row>
    <row r="2409" spans="3:3" ht="15" customHeight="1">
      <c r="C2409" s="70" t="str">
        <f t="shared" si="39"/>
        <v/>
      </c>
    </row>
    <row r="2410" spans="3:3" ht="15" customHeight="1">
      <c r="C2410" s="70" t="str">
        <f t="shared" si="39"/>
        <v/>
      </c>
    </row>
    <row r="2411" spans="3:3" ht="15" customHeight="1">
      <c r="C2411" s="70" t="str">
        <f t="shared" si="39"/>
        <v/>
      </c>
    </row>
    <row r="2412" spans="3:3" ht="15" customHeight="1">
      <c r="C2412" s="70" t="str">
        <f t="shared" si="39"/>
        <v/>
      </c>
    </row>
    <row r="2413" spans="3:3" ht="15" customHeight="1">
      <c r="C2413" s="70" t="str">
        <f t="shared" si="39"/>
        <v/>
      </c>
    </row>
    <row r="2414" spans="3:3" ht="15" customHeight="1">
      <c r="C2414" s="70" t="str">
        <f t="shared" si="39"/>
        <v/>
      </c>
    </row>
    <row r="2415" spans="3:3" ht="15" customHeight="1">
      <c r="C2415" s="70" t="str">
        <f t="shared" si="39"/>
        <v/>
      </c>
    </row>
    <row r="2416" spans="3:3" ht="15" customHeight="1">
      <c r="C2416" s="70" t="str">
        <f t="shared" si="39"/>
        <v/>
      </c>
    </row>
    <row r="2417" spans="3:3" ht="15" customHeight="1">
      <c r="C2417" s="70" t="str">
        <f t="shared" si="39"/>
        <v/>
      </c>
    </row>
    <row r="2418" spans="3:3" ht="15" customHeight="1">
      <c r="C2418" s="70" t="str">
        <f t="shared" si="39"/>
        <v/>
      </c>
    </row>
    <row r="2419" spans="3:3" ht="15" customHeight="1">
      <c r="C2419" s="70" t="str">
        <f t="shared" si="39"/>
        <v/>
      </c>
    </row>
    <row r="2420" spans="3:3" ht="15" customHeight="1">
      <c r="C2420" s="70" t="str">
        <f t="shared" si="39"/>
        <v/>
      </c>
    </row>
    <row r="2421" spans="3:3" ht="15" customHeight="1">
      <c r="C2421" s="70" t="str">
        <f t="shared" si="39"/>
        <v/>
      </c>
    </row>
    <row r="2422" spans="3:3" ht="15" customHeight="1">
      <c r="C2422" s="70" t="str">
        <f t="shared" si="39"/>
        <v/>
      </c>
    </row>
    <row r="2423" spans="3:3" ht="15" customHeight="1">
      <c r="C2423" s="70" t="str">
        <f t="shared" si="39"/>
        <v/>
      </c>
    </row>
    <row r="2424" spans="3:3" ht="15" customHeight="1">
      <c r="C2424" s="70" t="str">
        <f t="shared" si="39"/>
        <v/>
      </c>
    </row>
    <row r="2425" spans="3:3" ht="15" customHeight="1">
      <c r="C2425" s="70" t="str">
        <f t="shared" si="39"/>
        <v/>
      </c>
    </row>
    <row r="2426" spans="3:3" ht="15" customHeight="1">
      <c r="C2426" s="70" t="str">
        <f t="shared" si="39"/>
        <v/>
      </c>
    </row>
    <row r="2427" spans="3:3" ht="15" customHeight="1">
      <c r="C2427" s="70" t="str">
        <f t="shared" si="39"/>
        <v/>
      </c>
    </row>
    <row r="2428" spans="3:3" ht="15" customHeight="1">
      <c r="C2428" s="70" t="str">
        <f t="shared" si="39"/>
        <v/>
      </c>
    </row>
    <row r="2429" spans="3:3" ht="15" customHeight="1">
      <c r="C2429" s="70" t="str">
        <f t="shared" si="39"/>
        <v/>
      </c>
    </row>
    <row r="2430" spans="3:3" ht="15" customHeight="1">
      <c r="C2430" s="70" t="str">
        <f t="shared" si="39"/>
        <v/>
      </c>
    </row>
    <row r="2431" spans="3:3" ht="15" customHeight="1">
      <c r="C2431" s="70" t="str">
        <f t="shared" si="39"/>
        <v/>
      </c>
    </row>
    <row r="2432" spans="3:3" ht="15" customHeight="1">
      <c r="C2432" s="70" t="str">
        <f t="shared" si="39"/>
        <v/>
      </c>
    </row>
    <row r="2433" spans="3:3" ht="15" customHeight="1">
      <c r="C2433" s="70" t="str">
        <f t="shared" si="39"/>
        <v/>
      </c>
    </row>
    <row r="2434" spans="3:3" ht="15" customHeight="1">
      <c r="C2434" s="70" t="str">
        <f t="shared" si="39"/>
        <v/>
      </c>
    </row>
    <row r="2435" spans="3:3" ht="15" customHeight="1">
      <c r="C2435" s="70" t="str">
        <f t="shared" si="39"/>
        <v/>
      </c>
    </row>
    <row r="2436" spans="3:3" ht="15" customHeight="1">
      <c r="C2436" s="70" t="str">
        <f t="shared" si="39"/>
        <v/>
      </c>
    </row>
    <row r="2437" spans="3:3" ht="15" customHeight="1">
      <c r="C2437" s="70" t="str">
        <f t="shared" si="39"/>
        <v/>
      </c>
    </row>
    <row r="2438" spans="3:3" ht="15" customHeight="1">
      <c r="C2438" s="70" t="str">
        <f t="shared" si="39"/>
        <v/>
      </c>
    </row>
    <row r="2439" spans="3:3" ht="15" customHeight="1">
      <c r="C2439" s="70" t="str">
        <f t="shared" si="39"/>
        <v/>
      </c>
    </row>
    <row r="2440" spans="3:3" ht="15" customHeight="1">
      <c r="C2440" s="70" t="str">
        <f t="shared" si="39"/>
        <v/>
      </c>
    </row>
    <row r="2441" spans="3:3" ht="15" customHeight="1">
      <c r="C2441" s="70" t="str">
        <f t="shared" si="39"/>
        <v/>
      </c>
    </row>
    <row r="2442" spans="3:3" ht="15" customHeight="1">
      <c r="C2442" s="70" t="str">
        <f t="shared" si="39"/>
        <v/>
      </c>
    </row>
    <row r="2443" spans="3:3" ht="15" customHeight="1">
      <c r="C2443" s="70" t="str">
        <f t="shared" si="39"/>
        <v/>
      </c>
    </row>
    <row r="2444" spans="3:3" ht="15" customHeight="1">
      <c r="C2444" s="70" t="str">
        <f t="shared" si="39"/>
        <v/>
      </c>
    </row>
    <row r="2445" spans="3:3" ht="15" customHeight="1">
      <c r="C2445" s="70" t="str">
        <f t="shared" si="39"/>
        <v/>
      </c>
    </row>
    <row r="2446" spans="3:3" ht="15" customHeight="1">
      <c r="C2446" s="70" t="str">
        <f t="shared" si="39"/>
        <v/>
      </c>
    </row>
    <row r="2447" spans="3:3" ht="15" customHeight="1">
      <c r="C2447" s="70" t="str">
        <f t="shared" si="39"/>
        <v/>
      </c>
    </row>
    <row r="2448" spans="3:3" ht="15" customHeight="1">
      <c r="C2448" s="70" t="str">
        <f t="shared" si="39"/>
        <v/>
      </c>
    </row>
    <row r="2449" spans="3:3" ht="15" customHeight="1">
      <c r="C2449" s="70" t="str">
        <f t="shared" ref="C2449:C2512" si="40">IF(B2449&lt;&gt;"",TEXT(WEEKDAY(B2449),"dddd"),"")</f>
        <v/>
      </c>
    </row>
    <row r="2450" spans="3:3" ht="15" customHeight="1">
      <c r="C2450" s="70" t="str">
        <f t="shared" si="40"/>
        <v/>
      </c>
    </row>
    <row r="2451" spans="3:3" ht="15" customHeight="1">
      <c r="C2451" s="70" t="str">
        <f t="shared" si="40"/>
        <v/>
      </c>
    </row>
    <row r="2452" spans="3:3" ht="15" customHeight="1">
      <c r="C2452" s="70" t="str">
        <f t="shared" si="40"/>
        <v/>
      </c>
    </row>
    <row r="2453" spans="3:3" ht="15" customHeight="1">
      <c r="C2453" s="70" t="str">
        <f t="shared" si="40"/>
        <v/>
      </c>
    </row>
    <row r="2454" spans="3:3" ht="15" customHeight="1">
      <c r="C2454" s="70" t="str">
        <f t="shared" si="40"/>
        <v/>
      </c>
    </row>
    <row r="2455" spans="3:3" ht="15" customHeight="1">
      <c r="C2455" s="70" t="str">
        <f t="shared" si="40"/>
        <v/>
      </c>
    </row>
    <row r="2456" spans="3:3" ht="15" customHeight="1">
      <c r="C2456" s="70" t="str">
        <f t="shared" si="40"/>
        <v/>
      </c>
    </row>
    <row r="2457" spans="3:3" ht="15" customHeight="1">
      <c r="C2457" s="70" t="str">
        <f t="shared" si="40"/>
        <v/>
      </c>
    </row>
    <row r="2458" spans="3:3" ht="15" customHeight="1">
      <c r="C2458" s="70" t="str">
        <f t="shared" si="40"/>
        <v/>
      </c>
    </row>
    <row r="2459" spans="3:3" ht="15" customHeight="1">
      <c r="C2459" s="70" t="str">
        <f t="shared" si="40"/>
        <v/>
      </c>
    </row>
    <row r="2460" spans="3:3" ht="15" customHeight="1">
      <c r="C2460" s="70" t="str">
        <f t="shared" si="40"/>
        <v/>
      </c>
    </row>
    <row r="2461" spans="3:3" ht="15" customHeight="1">
      <c r="C2461" s="70" t="str">
        <f t="shared" si="40"/>
        <v/>
      </c>
    </row>
    <row r="2462" spans="3:3" ht="15" customHeight="1">
      <c r="C2462" s="70" t="str">
        <f t="shared" si="40"/>
        <v/>
      </c>
    </row>
    <row r="2463" spans="3:3" ht="15" customHeight="1">
      <c r="C2463" s="70" t="str">
        <f t="shared" si="40"/>
        <v/>
      </c>
    </row>
    <row r="2464" spans="3:3" ht="15" customHeight="1">
      <c r="C2464" s="70" t="str">
        <f t="shared" si="40"/>
        <v/>
      </c>
    </row>
    <row r="2465" spans="3:3" ht="15" customHeight="1">
      <c r="C2465" s="70" t="str">
        <f t="shared" si="40"/>
        <v/>
      </c>
    </row>
    <row r="2466" spans="3:3" ht="15" customHeight="1">
      <c r="C2466" s="70" t="str">
        <f t="shared" si="40"/>
        <v/>
      </c>
    </row>
    <row r="2467" spans="3:3" ht="15" customHeight="1">
      <c r="C2467" s="70" t="str">
        <f t="shared" si="40"/>
        <v/>
      </c>
    </row>
    <row r="2468" spans="3:3" ht="15" customHeight="1">
      <c r="C2468" s="70" t="str">
        <f t="shared" si="40"/>
        <v/>
      </c>
    </row>
    <row r="2469" spans="3:3" ht="15" customHeight="1">
      <c r="C2469" s="70" t="str">
        <f t="shared" si="40"/>
        <v/>
      </c>
    </row>
    <row r="2470" spans="3:3" ht="15" customHeight="1">
      <c r="C2470" s="70" t="str">
        <f t="shared" si="40"/>
        <v/>
      </c>
    </row>
    <row r="2471" spans="3:3" ht="15" customHeight="1">
      <c r="C2471" s="70" t="str">
        <f t="shared" si="40"/>
        <v/>
      </c>
    </row>
    <row r="2472" spans="3:3" ht="15" customHeight="1">
      <c r="C2472" s="70" t="str">
        <f t="shared" si="40"/>
        <v/>
      </c>
    </row>
    <row r="2473" spans="3:3" ht="15" customHeight="1">
      <c r="C2473" s="70" t="str">
        <f t="shared" si="40"/>
        <v/>
      </c>
    </row>
    <row r="2474" spans="3:3" ht="15" customHeight="1">
      <c r="C2474" s="70" t="str">
        <f t="shared" si="40"/>
        <v/>
      </c>
    </row>
    <row r="2475" spans="3:3" ht="15" customHeight="1">
      <c r="C2475" s="70" t="str">
        <f t="shared" si="40"/>
        <v/>
      </c>
    </row>
    <row r="2476" spans="3:3" ht="15" customHeight="1">
      <c r="C2476" s="70" t="str">
        <f t="shared" si="40"/>
        <v/>
      </c>
    </row>
    <row r="2477" spans="3:3" ht="15" customHeight="1">
      <c r="C2477" s="70" t="str">
        <f t="shared" si="40"/>
        <v/>
      </c>
    </row>
    <row r="2478" spans="3:3" ht="15" customHeight="1">
      <c r="C2478" s="70" t="str">
        <f t="shared" si="40"/>
        <v/>
      </c>
    </row>
    <row r="2479" spans="3:3" ht="15" customHeight="1">
      <c r="C2479" s="70" t="str">
        <f t="shared" si="40"/>
        <v/>
      </c>
    </row>
    <row r="2480" spans="3:3" ht="15" customHeight="1">
      <c r="C2480" s="70" t="str">
        <f t="shared" si="40"/>
        <v/>
      </c>
    </row>
    <row r="2481" spans="3:3" ht="15" customHeight="1">
      <c r="C2481" s="70" t="str">
        <f t="shared" si="40"/>
        <v/>
      </c>
    </row>
    <row r="2482" spans="3:3" ht="15" customHeight="1">
      <c r="C2482" s="70" t="str">
        <f t="shared" si="40"/>
        <v/>
      </c>
    </row>
    <row r="2483" spans="3:3" ht="15" customHeight="1">
      <c r="C2483" s="70" t="str">
        <f t="shared" si="40"/>
        <v/>
      </c>
    </row>
    <row r="2484" spans="3:3" ht="15" customHeight="1">
      <c r="C2484" s="70" t="str">
        <f t="shared" si="40"/>
        <v/>
      </c>
    </row>
    <row r="2485" spans="3:3" ht="15" customHeight="1">
      <c r="C2485" s="70" t="str">
        <f t="shared" si="40"/>
        <v/>
      </c>
    </row>
    <row r="2486" spans="3:3" ht="15" customHeight="1">
      <c r="C2486" s="70" t="str">
        <f t="shared" si="40"/>
        <v/>
      </c>
    </row>
    <row r="2487" spans="3:3" ht="15" customHeight="1">
      <c r="C2487" s="70" t="str">
        <f t="shared" si="40"/>
        <v/>
      </c>
    </row>
    <row r="2488" spans="3:3" ht="15" customHeight="1">
      <c r="C2488" s="70" t="str">
        <f t="shared" si="40"/>
        <v/>
      </c>
    </row>
    <row r="2489" spans="3:3" ht="15" customHeight="1">
      <c r="C2489" s="70" t="str">
        <f t="shared" si="40"/>
        <v/>
      </c>
    </row>
    <row r="2490" spans="3:3" ht="15" customHeight="1">
      <c r="C2490" s="70" t="str">
        <f t="shared" si="40"/>
        <v/>
      </c>
    </row>
    <row r="2491" spans="3:3" ht="15" customHeight="1">
      <c r="C2491" s="70" t="str">
        <f t="shared" si="40"/>
        <v/>
      </c>
    </row>
    <row r="2492" spans="3:3" ht="15" customHeight="1">
      <c r="C2492" s="70" t="str">
        <f t="shared" si="40"/>
        <v/>
      </c>
    </row>
    <row r="2493" spans="3:3" ht="15" customHeight="1">
      <c r="C2493" s="70" t="str">
        <f t="shared" si="40"/>
        <v/>
      </c>
    </row>
    <row r="2494" spans="3:3" ht="15" customHeight="1">
      <c r="C2494" s="70" t="str">
        <f t="shared" si="40"/>
        <v/>
      </c>
    </row>
    <row r="2495" spans="3:3" ht="15" customHeight="1">
      <c r="C2495" s="70" t="str">
        <f t="shared" si="40"/>
        <v/>
      </c>
    </row>
    <row r="2496" spans="3:3" ht="15" customHeight="1">
      <c r="C2496" s="70" t="str">
        <f t="shared" si="40"/>
        <v/>
      </c>
    </row>
    <row r="2497" spans="3:3" ht="15" customHeight="1">
      <c r="C2497" s="70" t="str">
        <f t="shared" si="40"/>
        <v/>
      </c>
    </row>
    <row r="2498" spans="3:3" ht="15" customHeight="1">
      <c r="C2498" s="70" t="str">
        <f t="shared" si="40"/>
        <v/>
      </c>
    </row>
    <row r="2499" spans="3:3" ht="15" customHeight="1">
      <c r="C2499" s="70" t="str">
        <f t="shared" si="40"/>
        <v/>
      </c>
    </row>
    <row r="2500" spans="3:3" ht="15" customHeight="1">
      <c r="C2500" s="70" t="str">
        <f t="shared" si="40"/>
        <v/>
      </c>
    </row>
    <row r="2501" spans="3:3" ht="15" customHeight="1">
      <c r="C2501" s="70" t="str">
        <f t="shared" si="40"/>
        <v/>
      </c>
    </row>
    <row r="2502" spans="3:3" ht="15" customHeight="1">
      <c r="C2502" s="70" t="str">
        <f t="shared" si="40"/>
        <v/>
      </c>
    </row>
    <row r="2503" spans="3:3" ht="15" customHeight="1">
      <c r="C2503" s="70" t="str">
        <f t="shared" si="40"/>
        <v/>
      </c>
    </row>
    <row r="2504" spans="3:3" ht="15" customHeight="1">
      <c r="C2504" s="70" t="str">
        <f t="shared" si="40"/>
        <v/>
      </c>
    </row>
    <row r="2505" spans="3:3" ht="15" customHeight="1">
      <c r="C2505" s="70" t="str">
        <f t="shared" si="40"/>
        <v/>
      </c>
    </row>
    <row r="2506" spans="3:3" ht="15" customHeight="1">
      <c r="C2506" s="70" t="str">
        <f t="shared" si="40"/>
        <v/>
      </c>
    </row>
    <row r="2507" spans="3:3" ht="15" customHeight="1">
      <c r="C2507" s="70" t="str">
        <f t="shared" si="40"/>
        <v/>
      </c>
    </row>
    <row r="2508" spans="3:3" ht="15" customHeight="1">
      <c r="C2508" s="70" t="str">
        <f t="shared" si="40"/>
        <v/>
      </c>
    </row>
    <row r="2509" spans="3:3" ht="15" customHeight="1">
      <c r="C2509" s="70" t="str">
        <f t="shared" si="40"/>
        <v/>
      </c>
    </row>
    <row r="2510" spans="3:3" ht="15" customHeight="1">
      <c r="C2510" s="70" t="str">
        <f t="shared" si="40"/>
        <v/>
      </c>
    </row>
    <row r="2511" spans="3:3" ht="15" customHeight="1">
      <c r="C2511" s="70" t="str">
        <f t="shared" si="40"/>
        <v/>
      </c>
    </row>
    <row r="2512" spans="3:3" ht="15" customHeight="1">
      <c r="C2512" s="70" t="str">
        <f t="shared" si="40"/>
        <v/>
      </c>
    </row>
    <row r="2513" spans="3:3" ht="15" customHeight="1">
      <c r="C2513" s="70" t="str">
        <f t="shared" ref="C2513:C2576" si="41">IF(B2513&lt;&gt;"",TEXT(WEEKDAY(B2513),"dddd"),"")</f>
        <v/>
      </c>
    </row>
    <row r="2514" spans="3:3" ht="15" customHeight="1">
      <c r="C2514" s="70" t="str">
        <f t="shared" si="41"/>
        <v/>
      </c>
    </row>
    <row r="2515" spans="3:3" ht="15" customHeight="1">
      <c r="C2515" s="70" t="str">
        <f t="shared" si="41"/>
        <v/>
      </c>
    </row>
    <row r="2516" spans="3:3" ht="15" customHeight="1">
      <c r="C2516" s="70" t="str">
        <f t="shared" si="41"/>
        <v/>
      </c>
    </row>
    <row r="2517" spans="3:3" ht="15" customHeight="1">
      <c r="C2517" s="70" t="str">
        <f t="shared" si="41"/>
        <v/>
      </c>
    </row>
    <row r="2518" spans="3:3" ht="15" customHeight="1">
      <c r="C2518" s="70" t="str">
        <f t="shared" si="41"/>
        <v/>
      </c>
    </row>
    <row r="2519" spans="3:3" ht="15" customHeight="1">
      <c r="C2519" s="70" t="str">
        <f t="shared" si="41"/>
        <v/>
      </c>
    </row>
    <row r="2520" spans="3:3" ht="15" customHeight="1">
      <c r="C2520" s="70" t="str">
        <f t="shared" si="41"/>
        <v/>
      </c>
    </row>
    <row r="2521" spans="3:3" ht="15" customHeight="1">
      <c r="C2521" s="70" t="str">
        <f t="shared" si="41"/>
        <v/>
      </c>
    </row>
    <row r="2522" spans="3:3" ht="15" customHeight="1">
      <c r="C2522" s="70" t="str">
        <f t="shared" si="41"/>
        <v/>
      </c>
    </row>
    <row r="2523" spans="3:3" ht="15" customHeight="1">
      <c r="C2523" s="70" t="str">
        <f t="shared" si="41"/>
        <v/>
      </c>
    </row>
    <row r="2524" spans="3:3" ht="15" customHeight="1">
      <c r="C2524" s="70" t="str">
        <f t="shared" si="41"/>
        <v/>
      </c>
    </row>
    <row r="2525" spans="3:3" ht="15" customHeight="1">
      <c r="C2525" s="70" t="str">
        <f t="shared" si="41"/>
        <v/>
      </c>
    </row>
    <row r="2526" spans="3:3" ht="15" customHeight="1">
      <c r="C2526" s="70" t="str">
        <f t="shared" si="41"/>
        <v/>
      </c>
    </row>
    <row r="2527" spans="3:3" ht="15" customHeight="1">
      <c r="C2527" s="70" t="str">
        <f t="shared" si="41"/>
        <v/>
      </c>
    </row>
    <row r="2528" spans="3:3" ht="15" customHeight="1">
      <c r="C2528" s="70" t="str">
        <f t="shared" si="41"/>
        <v/>
      </c>
    </row>
    <row r="2529" spans="3:3" ht="15" customHeight="1">
      <c r="C2529" s="70" t="str">
        <f t="shared" si="41"/>
        <v/>
      </c>
    </row>
    <row r="2530" spans="3:3" ht="15" customHeight="1">
      <c r="C2530" s="70" t="str">
        <f t="shared" si="41"/>
        <v/>
      </c>
    </row>
    <row r="2531" spans="3:3" ht="15" customHeight="1">
      <c r="C2531" s="70" t="str">
        <f t="shared" si="41"/>
        <v/>
      </c>
    </row>
    <row r="2532" spans="3:3" ht="15" customHeight="1">
      <c r="C2532" s="70" t="str">
        <f t="shared" si="41"/>
        <v/>
      </c>
    </row>
    <row r="2533" spans="3:3" ht="15" customHeight="1">
      <c r="C2533" s="70" t="str">
        <f t="shared" si="41"/>
        <v/>
      </c>
    </row>
    <row r="2534" spans="3:3" ht="15" customHeight="1">
      <c r="C2534" s="70" t="str">
        <f t="shared" si="41"/>
        <v/>
      </c>
    </row>
    <row r="2535" spans="3:3" ht="15" customHeight="1">
      <c r="C2535" s="70" t="str">
        <f t="shared" si="41"/>
        <v/>
      </c>
    </row>
    <row r="2536" spans="3:3" ht="15" customHeight="1">
      <c r="C2536" s="70" t="str">
        <f t="shared" si="41"/>
        <v/>
      </c>
    </row>
    <row r="2537" spans="3:3" ht="15" customHeight="1">
      <c r="C2537" s="70" t="str">
        <f t="shared" si="41"/>
        <v/>
      </c>
    </row>
    <row r="2538" spans="3:3" ht="15" customHeight="1">
      <c r="C2538" s="70" t="str">
        <f t="shared" si="41"/>
        <v/>
      </c>
    </row>
    <row r="2539" spans="3:3" ht="15" customHeight="1">
      <c r="C2539" s="70" t="str">
        <f t="shared" si="41"/>
        <v/>
      </c>
    </row>
    <row r="2540" spans="3:3" ht="15" customHeight="1">
      <c r="C2540" s="70" t="str">
        <f t="shared" si="41"/>
        <v/>
      </c>
    </row>
    <row r="2541" spans="3:3" ht="15" customHeight="1">
      <c r="C2541" s="70" t="str">
        <f t="shared" si="41"/>
        <v/>
      </c>
    </row>
    <row r="2542" spans="3:3" ht="15" customHeight="1">
      <c r="C2542" s="70" t="str">
        <f t="shared" si="41"/>
        <v/>
      </c>
    </row>
    <row r="2543" spans="3:3" ht="15" customHeight="1">
      <c r="C2543" s="70" t="str">
        <f t="shared" si="41"/>
        <v/>
      </c>
    </row>
    <row r="2544" spans="3:3" ht="15" customHeight="1">
      <c r="C2544" s="70" t="str">
        <f t="shared" si="41"/>
        <v/>
      </c>
    </row>
    <row r="2545" spans="3:3" ht="15" customHeight="1">
      <c r="C2545" s="70" t="str">
        <f t="shared" si="41"/>
        <v/>
      </c>
    </row>
    <row r="2546" spans="3:3" ht="15" customHeight="1">
      <c r="C2546" s="70" t="str">
        <f t="shared" si="41"/>
        <v/>
      </c>
    </row>
    <row r="2547" spans="3:3" ht="15" customHeight="1">
      <c r="C2547" s="70" t="str">
        <f t="shared" si="41"/>
        <v/>
      </c>
    </row>
    <row r="2548" spans="3:3" ht="15" customHeight="1">
      <c r="C2548" s="70" t="str">
        <f t="shared" si="41"/>
        <v/>
      </c>
    </row>
    <row r="2549" spans="3:3" ht="15" customHeight="1">
      <c r="C2549" s="70" t="str">
        <f t="shared" si="41"/>
        <v/>
      </c>
    </row>
    <row r="2550" spans="3:3" ht="15" customHeight="1">
      <c r="C2550" s="70" t="str">
        <f t="shared" si="41"/>
        <v/>
      </c>
    </row>
    <row r="2551" spans="3:3" ht="15" customHeight="1">
      <c r="C2551" s="70" t="str">
        <f t="shared" si="41"/>
        <v/>
      </c>
    </row>
    <row r="2552" spans="3:3" ht="15" customHeight="1">
      <c r="C2552" s="70" t="str">
        <f t="shared" si="41"/>
        <v/>
      </c>
    </row>
    <row r="2553" spans="3:3" ht="15" customHeight="1">
      <c r="C2553" s="70" t="str">
        <f t="shared" si="41"/>
        <v/>
      </c>
    </row>
    <row r="2554" spans="3:3" ht="15" customHeight="1">
      <c r="C2554" s="70" t="str">
        <f t="shared" si="41"/>
        <v/>
      </c>
    </row>
    <row r="2555" spans="3:3" ht="15" customHeight="1">
      <c r="C2555" s="70" t="str">
        <f t="shared" si="41"/>
        <v/>
      </c>
    </row>
    <row r="2556" spans="3:3" ht="15" customHeight="1">
      <c r="C2556" s="70" t="str">
        <f t="shared" si="41"/>
        <v/>
      </c>
    </row>
    <row r="2557" spans="3:3" ht="15" customHeight="1">
      <c r="C2557" s="70" t="str">
        <f t="shared" si="41"/>
        <v/>
      </c>
    </row>
    <row r="2558" spans="3:3" ht="15" customHeight="1">
      <c r="C2558" s="70" t="str">
        <f t="shared" si="41"/>
        <v/>
      </c>
    </row>
    <row r="2559" spans="3:3" ht="15" customHeight="1">
      <c r="C2559" s="70" t="str">
        <f t="shared" si="41"/>
        <v/>
      </c>
    </row>
    <row r="2560" spans="3:3" ht="15" customHeight="1">
      <c r="C2560" s="70" t="str">
        <f t="shared" si="41"/>
        <v/>
      </c>
    </row>
    <row r="2561" spans="3:3" ht="15" customHeight="1">
      <c r="C2561" s="70" t="str">
        <f t="shared" si="41"/>
        <v/>
      </c>
    </row>
    <row r="2562" spans="3:3" ht="15" customHeight="1">
      <c r="C2562" s="70" t="str">
        <f t="shared" si="41"/>
        <v/>
      </c>
    </row>
    <row r="2563" spans="3:3" ht="15" customHeight="1">
      <c r="C2563" s="70" t="str">
        <f t="shared" si="41"/>
        <v/>
      </c>
    </row>
    <row r="2564" spans="3:3" ht="15" customHeight="1">
      <c r="C2564" s="70" t="str">
        <f t="shared" si="41"/>
        <v/>
      </c>
    </row>
    <row r="2565" spans="3:3" ht="15" customHeight="1">
      <c r="C2565" s="70" t="str">
        <f t="shared" si="41"/>
        <v/>
      </c>
    </row>
    <row r="2566" spans="3:3" ht="15" customHeight="1">
      <c r="C2566" s="70" t="str">
        <f t="shared" si="41"/>
        <v/>
      </c>
    </row>
    <row r="2567" spans="3:3" ht="15" customHeight="1">
      <c r="C2567" s="70" t="str">
        <f t="shared" si="41"/>
        <v/>
      </c>
    </row>
    <row r="2568" spans="3:3" ht="15" customHeight="1">
      <c r="C2568" s="70" t="str">
        <f t="shared" si="41"/>
        <v/>
      </c>
    </row>
    <row r="2569" spans="3:3" ht="15" customHeight="1">
      <c r="C2569" s="70" t="str">
        <f t="shared" si="41"/>
        <v/>
      </c>
    </row>
    <row r="2570" spans="3:3" ht="15" customHeight="1">
      <c r="C2570" s="70" t="str">
        <f t="shared" si="41"/>
        <v/>
      </c>
    </row>
    <row r="2571" spans="3:3" ht="15" customHeight="1">
      <c r="C2571" s="70" t="str">
        <f t="shared" si="41"/>
        <v/>
      </c>
    </row>
    <row r="2572" spans="3:3" ht="15" customHeight="1">
      <c r="C2572" s="70" t="str">
        <f t="shared" si="41"/>
        <v/>
      </c>
    </row>
    <row r="2573" spans="3:3" ht="15" customHeight="1">
      <c r="C2573" s="70" t="str">
        <f t="shared" si="41"/>
        <v/>
      </c>
    </row>
    <row r="2574" spans="3:3" ht="15" customHeight="1">
      <c r="C2574" s="70" t="str">
        <f t="shared" si="41"/>
        <v/>
      </c>
    </row>
    <row r="2575" spans="3:3" ht="15" customHeight="1">
      <c r="C2575" s="70" t="str">
        <f t="shared" si="41"/>
        <v/>
      </c>
    </row>
    <row r="2576" spans="3:3" ht="15" customHeight="1">
      <c r="C2576" s="70" t="str">
        <f t="shared" si="41"/>
        <v/>
      </c>
    </row>
    <row r="2577" spans="3:3" ht="15" customHeight="1">
      <c r="C2577" s="70" t="str">
        <f t="shared" ref="C2577:C2640" si="42">IF(B2577&lt;&gt;"",TEXT(WEEKDAY(B2577),"dddd"),"")</f>
        <v/>
      </c>
    </row>
    <row r="2578" spans="3:3" ht="15" customHeight="1">
      <c r="C2578" s="70" t="str">
        <f t="shared" si="42"/>
        <v/>
      </c>
    </row>
    <row r="2579" spans="3:3" ht="15" customHeight="1">
      <c r="C2579" s="70" t="str">
        <f t="shared" si="42"/>
        <v/>
      </c>
    </row>
    <row r="2580" spans="3:3" ht="15" customHeight="1">
      <c r="C2580" s="70" t="str">
        <f t="shared" si="42"/>
        <v/>
      </c>
    </row>
    <row r="2581" spans="3:3" ht="15" customHeight="1">
      <c r="C2581" s="70" t="str">
        <f t="shared" si="42"/>
        <v/>
      </c>
    </row>
    <row r="2582" spans="3:3" ht="15" customHeight="1">
      <c r="C2582" s="70" t="str">
        <f t="shared" si="42"/>
        <v/>
      </c>
    </row>
    <row r="2583" spans="3:3" ht="15" customHeight="1">
      <c r="C2583" s="70" t="str">
        <f t="shared" si="42"/>
        <v/>
      </c>
    </row>
    <row r="2584" spans="3:3" ht="15" customHeight="1">
      <c r="C2584" s="70" t="str">
        <f t="shared" si="42"/>
        <v/>
      </c>
    </row>
    <row r="2585" spans="3:3" ht="15" customHeight="1">
      <c r="C2585" s="70" t="str">
        <f t="shared" si="42"/>
        <v/>
      </c>
    </row>
    <row r="2586" spans="3:3" ht="15" customHeight="1">
      <c r="C2586" s="70" t="str">
        <f t="shared" si="42"/>
        <v/>
      </c>
    </row>
    <row r="2587" spans="3:3" ht="15" customHeight="1">
      <c r="C2587" s="70" t="str">
        <f t="shared" si="42"/>
        <v/>
      </c>
    </row>
    <row r="2588" spans="3:3" ht="15" customHeight="1">
      <c r="C2588" s="70" t="str">
        <f t="shared" si="42"/>
        <v/>
      </c>
    </row>
    <row r="2589" spans="3:3" ht="15" customHeight="1">
      <c r="C2589" s="70" t="str">
        <f t="shared" si="42"/>
        <v/>
      </c>
    </row>
    <row r="2590" spans="3:3" ht="15" customHeight="1">
      <c r="C2590" s="70" t="str">
        <f t="shared" si="42"/>
        <v/>
      </c>
    </row>
    <row r="2591" spans="3:3" ht="15" customHeight="1">
      <c r="C2591" s="70" t="str">
        <f t="shared" si="42"/>
        <v/>
      </c>
    </row>
    <row r="2592" spans="3:3" ht="15" customHeight="1">
      <c r="C2592" s="70" t="str">
        <f t="shared" si="42"/>
        <v/>
      </c>
    </row>
    <row r="2593" spans="3:3" ht="15" customHeight="1">
      <c r="C2593" s="70" t="str">
        <f t="shared" si="42"/>
        <v/>
      </c>
    </row>
    <row r="2594" spans="3:3" ht="15" customHeight="1">
      <c r="C2594" s="70" t="str">
        <f t="shared" si="42"/>
        <v/>
      </c>
    </row>
    <row r="2595" spans="3:3" ht="15" customHeight="1">
      <c r="C2595" s="70" t="str">
        <f t="shared" si="42"/>
        <v/>
      </c>
    </row>
    <row r="2596" spans="3:3" ht="15" customHeight="1">
      <c r="C2596" s="70" t="str">
        <f t="shared" si="42"/>
        <v/>
      </c>
    </row>
    <row r="2597" spans="3:3" ht="15" customHeight="1">
      <c r="C2597" s="70" t="str">
        <f t="shared" si="42"/>
        <v/>
      </c>
    </row>
    <row r="2598" spans="3:3" ht="15" customHeight="1">
      <c r="C2598" s="70" t="str">
        <f t="shared" si="42"/>
        <v/>
      </c>
    </row>
    <row r="2599" spans="3:3" ht="15" customHeight="1">
      <c r="C2599" s="70" t="str">
        <f t="shared" si="42"/>
        <v/>
      </c>
    </row>
    <row r="2600" spans="3:3" ht="15" customHeight="1">
      <c r="C2600" s="70" t="str">
        <f t="shared" si="42"/>
        <v/>
      </c>
    </row>
    <row r="2601" spans="3:3" ht="15" customHeight="1">
      <c r="C2601" s="70" t="str">
        <f t="shared" si="42"/>
        <v/>
      </c>
    </row>
    <row r="2602" spans="3:3" ht="15" customHeight="1">
      <c r="C2602" s="70" t="str">
        <f t="shared" si="42"/>
        <v/>
      </c>
    </row>
    <row r="2603" spans="3:3" ht="15" customHeight="1">
      <c r="C2603" s="70" t="str">
        <f t="shared" si="42"/>
        <v/>
      </c>
    </row>
    <row r="2604" spans="3:3" ht="15" customHeight="1">
      <c r="C2604" s="70" t="str">
        <f t="shared" si="42"/>
        <v/>
      </c>
    </row>
    <row r="2605" spans="3:3" ht="15" customHeight="1">
      <c r="C2605" s="70" t="str">
        <f t="shared" si="42"/>
        <v/>
      </c>
    </row>
    <row r="2606" spans="3:3" ht="15" customHeight="1">
      <c r="C2606" s="70" t="str">
        <f t="shared" si="42"/>
        <v/>
      </c>
    </row>
    <row r="2607" spans="3:3" ht="15" customHeight="1">
      <c r="C2607" s="70" t="str">
        <f t="shared" si="42"/>
        <v/>
      </c>
    </row>
    <row r="2608" spans="3:3" ht="15" customHeight="1">
      <c r="C2608" s="70" t="str">
        <f t="shared" si="42"/>
        <v/>
      </c>
    </row>
    <row r="2609" spans="3:3" ht="15" customHeight="1">
      <c r="C2609" s="70" t="str">
        <f t="shared" si="42"/>
        <v/>
      </c>
    </row>
    <row r="2610" spans="3:3" ht="15" customHeight="1">
      <c r="C2610" s="70" t="str">
        <f t="shared" si="42"/>
        <v/>
      </c>
    </row>
    <row r="2611" spans="3:3" ht="15" customHeight="1">
      <c r="C2611" s="70" t="str">
        <f t="shared" si="42"/>
        <v/>
      </c>
    </row>
    <row r="2612" spans="3:3" ht="15" customHeight="1">
      <c r="C2612" s="70" t="str">
        <f t="shared" si="42"/>
        <v/>
      </c>
    </row>
    <row r="2613" spans="3:3" ht="15" customHeight="1">
      <c r="C2613" s="70" t="str">
        <f t="shared" si="42"/>
        <v/>
      </c>
    </row>
    <row r="2614" spans="3:3" ht="15" customHeight="1">
      <c r="C2614" s="70" t="str">
        <f t="shared" si="42"/>
        <v/>
      </c>
    </row>
    <row r="2615" spans="3:3" ht="15" customHeight="1">
      <c r="C2615" s="70" t="str">
        <f t="shared" si="42"/>
        <v/>
      </c>
    </row>
    <row r="2616" spans="3:3" ht="15" customHeight="1">
      <c r="C2616" s="70" t="str">
        <f t="shared" si="42"/>
        <v/>
      </c>
    </row>
    <row r="2617" spans="3:3" ht="15" customHeight="1">
      <c r="C2617" s="70" t="str">
        <f t="shared" si="42"/>
        <v/>
      </c>
    </row>
    <row r="2618" spans="3:3" ht="15" customHeight="1">
      <c r="C2618" s="70" t="str">
        <f t="shared" si="42"/>
        <v/>
      </c>
    </row>
    <row r="2619" spans="3:3" ht="15" customHeight="1">
      <c r="C2619" s="70" t="str">
        <f t="shared" si="42"/>
        <v/>
      </c>
    </row>
    <row r="2620" spans="3:3" ht="15" customHeight="1">
      <c r="C2620" s="70" t="str">
        <f t="shared" si="42"/>
        <v/>
      </c>
    </row>
    <row r="2621" spans="3:3" ht="15" customHeight="1">
      <c r="C2621" s="70" t="str">
        <f t="shared" si="42"/>
        <v/>
      </c>
    </row>
    <row r="2622" spans="3:3" ht="15" customHeight="1">
      <c r="C2622" s="70" t="str">
        <f t="shared" si="42"/>
        <v/>
      </c>
    </row>
    <row r="2623" spans="3:3" ht="15" customHeight="1">
      <c r="C2623" s="70" t="str">
        <f t="shared" si="42"/>
        <v/>
      </c>
    </row>
    <row r="2624" spans="3:3" ht="15" customHeight="1">
      <c r="C2624" s="70" t="str">
        <f t="shared" si="42"/>
        <v/>
      </c>
    </row>
    <row r="2625" spans="3:3" ht="15" customHeight="1">
      <c r="C2625" s="70" t="str">
        <f t="shared" si="42"/>
        <v/>
      </c>
    </row>
    <row r="2626" spans="3:3" ht="15" customHeight="1">
      <c r="C2626" s="70" t="str">
        <f t="shared" si="42"/>
        <v/>
      </c>
    </row>
    <row r="2627" spans="3:3" ht="15" customHeight="1">
      <c r="C2627" s="70" t="str">
        <f t="shared" si="42"/>
        <v/>
      </c>
    </row>
    <row r="2628" spans="3:3" ht="15" customHeight="1">
      <c r="C2628" s="70" t="str">
        <f t="shared" si="42"/>
        <v/>
      </c>
    </row>
    <row r="2629" spans="3:3" ht="15" customHeight="1">
      <c r="C2629" s="70" t="str">
        <f t="shared" si="42"/>
        <v/>
      </c>
    </row>
    <row r="2630" spans="3:3" ht="15" customHeight="1">
      <c r="C2630" s="70" t="str">
        <f t="shared" si="42"/>
        <v/>
      </c>
    </row>
    <row r="2631" spans="3:3" ht="15" customHeight="1">
      <c r="C2631" s="70" t="str">
        <f t="shared" si="42"/>
        <v/>
      </c>
    </row>
    <row r="2632" spans="3:3" ht="15" customHeight="1">
      <c r="C2632" s="70" t="str">
        <f t="shared" si="42"/>
        <v/>
      </c>
    </row>
    <row r="2633" spans="3:3" ht="15" customHeight="1">
      <c r="C2633" s="70" t="str">
        <f t="shared" si="42"/>
        <v/>
      </c>
    </row>
    <row r="2634" spans="3:3" ht="15" customHeight="1">
      <c r="C2634" s="70" t="str">
        <f t="shared" si="42"/>
        <v/>
      </c>
    </row>
    <row r="2635" spans="3:3" ht="15" customHeight="1">
      <c r="C2635" s="70" t="str">
        <f t="shared" si="42"/>
        <v/>
      </c>
    </row>
    <row r="2636" spans="3:3" ht="15" customHeight="1">
      <c r="C2636" s="70" t="str">
        <f t="shared" si="42"/>
        <v/>
      </c>
    </row>
    <row r="2637" spans="3:3" ht="15" customHeight="1">
      <c r="C2637" s="70" t="str">
        <f t="shared" si="42"/>
        <v/>
      </c>
    </row>
    <row r="2638" spans="3:3" ht="15" customHeight="1">
      <c r="C2638" s="70" t="str">
        <f t="shared" si="42"/>
        <v/>
      </c>
    </row>
    <row r="2639" spans="3:3" ht="15" customHeight="1">
      <c r="C2639" s="70" t="str">
        <f t="shared" si="42"/>
        <v/>
      </c>
    </row>
    <row r="2640" spans="3:3" ht="15" customHeight="1">
      <c r="C2640" s="70" t="str">
        <f t="shared" si="42"/>
        <v/>
      </c>
    </row>
    <row r="2641" spans="3:3" ht="15" customHeight="1">
      <c r="C2641" s="70" t="str">
        <f t="shared" ref="C2641:C2704" si="43">IF(B2641&lt;&gt;"",TEXT(WEEKDAY(B2641),"dddd"),"")</f>
        <v/>
      </c>
    </row>
    <row r="2642" spans="3:3" ht="15" customHeight="1">
      <c r="C2642" s="70" t="str">
        <f t="shared" si="43"/>
        <v/>
      </c>
    </row>
    <row r="2643" spans="3:3" ht="15" customHeight="1">
      <c r="C2643" s="70" t="str">
        <f t="shared" si="43"/>
        <v/>
      </c>
    </row>
    <row r="2644" spans="3:3" ht="15" customHeight="1">
      <c r="C2644" s="70" t="str">
        <f t="shared" si="43"/>
        <v/>
      </c>
    </row>
    <row r="2645" spans="3:3" ht="15" customHeight="1">
      <c r="C2645" s="70" t="str">
        <f t="shared" si="43"/>
        <v/>
      </c>
    </row>
    <row r="2646" spans="3:3" ht="15" customHeight="1">
      <c r="C2646" s="70" t="str">
        <f t="shared" si="43"/>
        <v/>
      </c>
    </row>
    <row r="2647" spans="3:3" ht="15" customHeight="1">
      <c r="C2647" s="70" t="str">
        <f t="shared" si="43"/>
        <v/>
      </c>
    </row>
    <row r="2648" spans="3:3" ht="15" customHeight="1">
      <c r="C2648" s="70" t="str">
        <f t="shared" si="43"/>
        <v/>
      </c>
    </row>
    <row r="2649" spans="3:3" ht="15" customHeight="1">
      <c r="C2649" s="70" t="str">
        <f t="shared" si="43"/>
        <v/>
      </c>
    </row>
    <row r="2650" spans="3:3" ht="15" customHeight="1">
      <c r="C2650" s="70" t="str">
        <f t="shared" si="43"/>
        <v/>
      </c>
    </row>
    <row r="2651" spans="3:3" ht="15" customHeight="1">
      <c r="C2651" s="70" t="str">
        <f t="shared" si="43"/>
        <v/>
      </c>
    </row>
    <row r="2652" spans="3:3" ht="15" customHeight="1">
      <c r="C2652" s="70" t="str">
        <f t="shared" si="43"/>
        <v/>
      </c>
    </row>
    <row r="2653" spans="3:3" ht="15" customHeight="1">
      <c r="C2653" s="70" t="str">
        <f t="shared" si="43"/>
        <v/>
      </c>
    </row>
    <row r="2654" spans="3:3" ht="15" customHeight="1">
      <c r="C2654" s="70" t="str">
        <f t="shared" si="43"/>
        <v/>
      </c>
    </row>
    <row r="2655" spans="3:3" ht="15" customHeight="1">
      <c r="C2655" s="70" t="str">
        <f t="shared" si="43"/>
        <v/>
      </c>
    </row>
    <row r="2656" spans="3:3" ht="15" customHeight="1">
      <c r="C2656" s="70" t="str">
        <f t="shared" si="43"/>
        <v/>
      </c>
    </row>
    <row r="2657" spans="3:3" ht="15" customHeight="1">
      <c r="C2657" s="70" t="str">
        <f t="shared" si="43"/>
        <v/>
      </c>
    </row>
    <row r="2658" spans="3:3" ht="15" customHeight="1">
      <c r="C2658" s="70" t="str">
        <f t="shared" si="43"/>
        <v/>
      </c>
    </row>
    <row r="2659" spans="3:3" ht="15" customHeight="1">
      <c r="C2659" s="70" t="str">
        <f t="shared" si="43"/>
        <v/>
      </c>
    </row>
    <row r="2660" spans="3:3" ht="15" customHeight="1">
      <c r="C2660" s="70" t="str">
        <f t="shared" si="43"/>
        <v/>
      </c>
    </row>
    <row r="2661" spans="3:3" ht="15" customHeight="1">
      <c r="C2661" s="70" t="str">
        <f t="shared" si="43"/>
        <v/>
      </c>
    </row>
    <row r="2662" spans="3:3" ht="15" customHeight="1">
      <c r="C2662" s="70" t="str">
        <f t="shared" si="43"/>
        <v/>
      </c>
    </row>
    <row r="2663" spans="3:3" ht="15" customHeight="1">
      <c r="C2663" s="70" t="str">
        <f t="shared" si="43"/>
        <v/>
      </c>
    </row>
    <row r="2664" spans="3:3" ht="15" customHeight="1">
      <c r="C2664" s="70" t="str">
        <f t="shared" si="43"/>
        <v/>
      </c>
    </row>
    <row r="2665" spans="3:3" ht="15" customHeight="1">
      <c r="C2665" s="70" t="str">
        <f t="shared" si="43"/>
        <v/>
      </c>
    </row>
    <row r="2666" spans="3:3" ht="15" customHeight="1">
      <c r="C2666" s="70" t="str">
        <f t="shared" si="43"/>
        <v/>
      </c>
    </row>
    <row r="2667" spans="3:3" ht="15" customHeight="1">
      <c r="C2667" s="70" t="str">
        <f t="shared" si="43"/>
        <v/>
      </c>
    </row>
    <row r="2668" spans="3:3" ht="15" customHeight="1">
      <c r="C2668" s="70" t="str">
        <f t="shared" si="43"/>
        <v/>
      </c>
    </row>
    <row r="2669" spans="3:3" ht="15" customHeight="1">
      <c r="C2669" s="70" t="str">
        <f t="shared" si="43"/>
        <v/>
      </c>
    </row>
    <row r="2670" spans="3:3" ht="15" customHeight="1">
      <c r="C2670" s="70" t="str">
        <f t="shared" si="43"/>
        <v/>
      </c>
    </row>
    <row r="2671" spans="3:3" ht="15" customHeight="1">
      <c r="C2671" s="70" t="str">
        <f t="shared" si="43"/>
        <v/>
      </c>
    </row>
    <row r="2672" spans="3:3" ht="15" customHeight="1">
      <c r="C2672" s="70" t="str">
        <f t="shared" si="43"/>
        <v/>
      </c>
    </row>
    <row r="2673" spans="3:3" ht="15" customHeight="1">
      <c r="C2673" s="70" t="str">
        <f t="shared" si="43"/>
        <v/>
      </c>
    </row>
    <row r="2674" spans="3:3" ht="15" customHeight="1">
      <c r="C2674" s="70" t="str">
        <f t="shared" si="43"/>
        <v/>
      </c>
    </row>
    <row r="2675" spans="3:3" ht="15" customHeight="1">
      <c r="C2675" s="70" t="str">
        <f t="shared" si="43"/>
        <v/>
      </c>
    </row>
    <row r="2676" spans="3:3" ht="15" customHeight="1">
      <c r="C2676" s="70" t="str">
        <f t="shared" si="43"/>
        <v/>
      </c>
    </row>
    <row r="2677" spans="3:3" ht="15" customHeight="1">
      <c r="C2677" s="70" t="str">
        <f t="shared" si="43"/>
        <v/>
      </c>
    </row>
    <row r="2678" spans="3:3" ht="15" customHeight="1">
      <c r="C2678" s="70" t="str">
        <f t="shared" si="43"/>
        <v/>
      </c>
    </row>
    <row r="2679" spans="3:3" ht="15" customHeight="1">
      <c r="C2679" s="70" t="str">
        <f t="shared" si="43"/>
        <v/>
      </c>
    </row>
    <row r="2680" spans="3:3" ht="15" customHeight="1">
      <c r="C2680" s="70" t="str">
        <f t="shared" si="43"/>
        <v/>
      </c>
    </row>
    <row r="2681" spans="3:3" ht="15" customHeight="1">
      <c r="C2681" s="70" t="str">
        <f t="shared" si="43"/>
        <v/>
      </c>
    </row>
    <row r="2682" spans="3:3" ht="15" customHeight="1">
      <c r="C2682" s="70" t="str">
        <f t="shared" si="43"/>
        <v/>
      </c>
    </row>
    <row r="2683" spans="3:3" ht="15" customHeight="1">
      <c r="C2683" s="70" t="str">
        <f t="shared" si="43"/>
        <v/>
      </c>
    </row>
    <row r="2684" spans="3:3" ht="15" customHeight="1">
      <c r="C2684" s="70" t="str">
        <f t="shared" si="43"/>
        <v/>
      </c>
    </row>
    <row r="2685" spans="3:3" ht="15" customHeight="1">
      <c r="C2685" s="70" t="str">
        <f t="shared" si="43"/>
        <v/>
      </c>
    </row>
    <row r="2686" spans="3:3" ht="15" customHeight="1">
      <c r="C2686" s="70" t="str">
        <f t="shared" si="43"/>
        <v/>
      </c>
    </row>
    <row r="2687" spans="3:3" ht="15" customHeight="1">
      <c r="C2687" s="70" t="str">
        <f t="shared" si="43"/>
        <v/>
      </c>
    </row>
    <row r="2688" spans="3:3" ht="15" customHeight="1">
      <c r="C2688" s="70" t="str">
        <f t="shared" si="43"/>
        <v/>
      </c>
    </row>
    <row r="2689" spans="3:3" ht="15" customHeight="1">
      <c r="C2689" s="70" t="str">
        <f t="shared" si="43"/>
        <v/>
      </c>
    </row>
    <row r="2690" spans="3:3" ht="15" customHeight="1">
      <c r="C2690" s="70" t="str">
        <f t="shared" si="43"/>
        <v/>
      </c>
    </row>
    <row r="2691" spans="3:3" ht="15" customHeight="1">
      <c r="C2691" s="70" t="str">
        <f t="shared" si="43"/>
        <v/>
      </c>
    </row>
    <row r="2692" spans="3:3" ht="15" customHeight="1">
      <c r="C2692" s="70" t="str">
        <f t="shared" si="43"/>
        <v/>
      </c>
    </row>
    <row r="2693" spans="3:3" ht="15" customHeight="1">
      <c r="C2693" s="70" t="str">
        <f t="shared" si="43"/>
        <v/>
      </c>
    </row>
    <row r="2694" spans="3:3" ht="15" customHeight="1">
      <c r="C2694" s="70" t="str">
        <f t="shared" si="43"/>
        <v/>
      </c>
    </row>
    <row r="2695" spans="3:3" ht="15" customHeight="1">
      <c r="C2695" s="70" t="str">
        <f t="shared" si="43"/>
        <v/>
      </c>
    </row>
    <row r="2696" spans="3:3" ht="15" customHeight="1">
      <c r="C2696" s="70" t="str">
        <f t="shared" si="43"/>
        <v/>
      </c>
    </row>
    <row r="2697" spans="3:3" ht="15" customHeight="1">
      <c r="C2697" s="70" t="str">
        <f t="shared" si="43"/>
        <v/>
      </c>
    </row>
    <row r="2698" spans="3:3" ht="15" customHeight="1">
      <c r="C2698" s="70" t="str">
        <f t="shared" si="43"/>
        <v/>
      </c>
    </row>
    <row r="2699" spans="3:3" ht="15" customHeight="1">
      <c r="C2699" s="70" t="str">
        <f t="shared" si="43"/>
        <v/>
      </c>
    </row>
    <row r="2700" spans="3:3" ht="15" customHeight="1">
      <c r="C2700" s="70" t="str">
        <f t="shared" si="43"/>
        <v/>
      </c>
    </row>
    <row r="2701" spans="3:3" ht="15" customHeight="1">
      <c r="C2701" s="70" t="str">
        <f t="shared" si="43"/>
        <v/>
      </c>
    </row>
    <row r="2702" spans="3:3" ht="15" customHeight="1">
      <c r="C2702" s="70" t="str">
        <f t="shared" si="43"/>
        <v/>
      </c>
    </row>
    <row r="2703" spans="3:3" ht="15" customHeight="1">
      <c r="C2703" s="70" t="str">
        <f t="shared" si="43"/>
        <v/>
      </c>
    </row>
    <row r="2704" spans="3:3" ht="15" customHeight="1">
      <c r="C2704" s="70" t="str">
        <f t="shared" si="43"/>
        <v/>
      </c>
    </row>
    <row r="2705" spans="3:3" ht="15" customHeight="1">
      <c r="C2705" s="70" t="str">
        <f t="shared" ref="C2705:C2768" si="44">IF(B2705&lt;&gt;"",TEXT(WEEKDAY(B2705),"dddd"),"")</f>
        <v/>
      </c>
    </row>
    <row r="2706" spans="3:3" ht="15" customHeight="1">
      <c r="C2706" s="70" t="str">
        <f t="shared" si="44"/>
        <v/>
      </c>
    </row>
    <row r="2707" spans="3:3" ht="15" customHeight="1">
      <c r="C2707" s="70" t="str">
        <f t="shared" si="44"/>
        <v/>
      </c>
    </row>
    <row r="2708" spans="3:3" ht="15" customHeight="1">
      <c r="C2708" s="70" t="str">
        <f t="shared" si="44"/>
        <v/>
      </c>
    </row>
    <row r="2709" spans="3:3" ht="15" customHeight="1">
      <c r="C2709" s="70" t="str">
        <f t="shared" si="44"/>
        <v/>
      </c>
    </row>
    <row r="2710" spans="3:3" ht="15" customHeight="1">
      <c r="C2710" s="70" t="str">
        <f t="shared" si="44"/>
        <v/>
      </c>
    </row>
    <row r="2711" spans="3:3" ht="15" customHeight="1">
      <c r="C2711" s="70" t="str">
        <f t="shared" si="44"/>
        <v/>
      </c>
    </row>
    <row r="2712" spans="3:3" ht="15" customHeight="1">
      <c r="C2712" s="70" t="str">
        <f t="shared" si="44"/>
        <v/>
      </c>
    </row>
    <row r="2713" spans="3:3" ht="15" customHeight="1">
      <c r="C2713" s="70" t="str">
        <f t="shared" si="44"/>
        <v/>
      </c>
    </row>
    <row r="2714" spans="3:3" ht="15" customHeight="1">
      <c r="C2714" s="70" t="str">
        <f t="shared" si="44"/>
        <v/>
      </c>
    </row>
    <row r="2715" spans="3:3" ht="15" customHeight="1">
      <c r="C2715" s="70" t="str">
        <f t="shared" si="44"/>
        <v/>
      </c>
    </row>
    <row r="2716" spans="3:3" ht="15" customHeight="1">
      <c r="C2716" s="70" t="str">
        <f t="shared" si="44"/>
        <v/>
      </c>
    </row>
    <row r="2717" spans="3:3" ht="15" customHeight="1">
      <c r="C2717" s="70" t="str">
        <f t="shared" si="44"/>
        <v/>
      </c>
    </row>
    <row r="2718" spans="3:3" ht="15" customHeight="1">
      <c r="C2718" s="70" t="str">
        <f t="shared" si="44"/>
        <v/>
      </c>
    </row>
    <row r="2719" spans="3:3" ht="15" customHeight="1">
      <c r="C2719" s="70" t="str">
        <f t="shared" si="44"/>
        <v/>
      </c>
    </row>
    <row r="2720" spans="3:3" ht="15" customHeight="1">
      <c r="C2720" s="70" t="str">
        <f t="shared" si="44"/>
        <v/>
      </c>
    </row>
    <row r="2721" spans="3:3" ht="15" customHeight="1">
      <c r="C2721" s="70" t="str">
        <f t="shared" si="44"/>
        <v/>
      </c>
    </row>
    <row r="2722" spans="3:3" ht="15" customHeight="1">
      <c r="C2722" s="70" t="str">
        <f t="shared" si="44"/>
        <v/>
      </c>
    </row>
    <row r="2723" spans="3:3" ht="15" customHeight="1">
      <c r="C2723" s="70" t="str">
        <f t="shared" si="44"/>
        <v/>
      </c>
    </row>
    <row r="2724" spans="3:3" ht="15" customHeight="1">
      <c r="C2724" s="70" t="str">
        <f t="shared" si="44"/>
        <v/>
      </c>
    </row>
    <row r="2725" spans="3:3" ht="15" customHeight="1">
      <c r="C2725" s="70" t="str">
        <f t="shared" si="44"/>
        <v/>
      </c>
    </row>
    <row r="2726" spans="3:3" ht="15" customHeight="1">
      <c r="C2726" s="70" t="str">
        <f t="shared" si="44"/>
        <v/>
      </c>
    </row>
    <row r="2727" spans="3:3" ht="15" customHeight="1">
      <c r="C2727" s="70" t="str">
        <f t="shared" si="44"/>
        <v/>
      </c>
    </row>
    <row r="2728" spans="3:3" ht="15" customHeight="1">
      <c r="C2728" s="70" t="str">
        <f t="shared" si="44"/>
        <v/>
      </c>
    </row>
    <row r="2729" spans="3:3" ht="15" customHeight="1">
      <c r="C2729" s="70" t="str">
        <f t="shared" si="44"/>
        <v/>
      </c>
    </row>
    <row r="2730" spans="3:3" ht="15" customHeight="1">
      <c r="C2730" s="70" t="str">
        <f t="shared" si="44"/>
        <v/>
      </c>
    </row>
    <row r="2731" spans="3:3" ht="15" customHeight="1">
      <c r="C2731" s="70" t="str">
        <f t="shared" si="44"/>
        <v/>
      </c>
    </row>
    <row r="2732" spans="3:3" ht="15" customHeight="1">
      <c r="C2732" s="70" t="str">
        <f t="shared" si="44"/>
        <v/>
      </c>
    </row>
    <row r="2733" spans="3:3" ht="15" customHeight="1">
      <c r="C2733" s="70" t="str">
        <f t="shared" si="44"/>
        <v/>
      </c>
    </row>
    <row r="2734" spans="3:3" ht="15" customHeight="1">
      <c r="C2734" s="70" t="str">
        <f t="shared" si="44"/>
        <v/>
      </c>
    </row>
    <row r="2735" spans="3:3" ht="15" customHeight="1">
      <c r="C2735" s="70" t="str">
        <f t="shared" si="44"/>
        <v/>
      </c>
    </row>
    <row r="2736" spans="3:3" ht="15" customHeight="1">
      <c r="C2736" s="70" t="str">
        <f t="shared" si="44"/>
        <v/>
      </c>
    </row>
    <row r="2737" spans="3:3" ht="15" customHeight="1">
      <c r="C2737" s="70" t="str">
        <f t="shared" si="44"/>
        <v/>
      </c>
    </row>
    <row r="2738" spans="3:3" ht="15" customHeight="1">
      <c r="C2738" s="70" t="str">
        <f t="shared" si="44"/>
        <v/>
      </c>
    </row>
    <row r="2739" spans="3:3" ht="15" customHeight="1">
      <c r="C2739" s="70" t="str">
        <f t="shared" si="44"/>
        <v/>
      </c>
    </row>
    <row r="2740" spans="3:3" ht="15" customHeight="1">
      <c r="C2740" s="70" t="str">
        <f t="shared" si="44"/>
        <v/>
      </c>
    </row>
    <row r="2741" spans="3:3" ht="15" customHeight="1">
      <c r="C2741" s="70" t="str">
        <f t="shared" si="44"/>
        <v/>
      </c>
    </row>
    <row r="2742" spans="3:3" ht="15" customHeight="1">
      <c r="C2742" s="70" t="str">
        <f t="shared" si="44"/>
        <v/>
      </c>
    </row>
    <row r="2743" spans="3:3" ht="15" customHeight="1">
      <c r="C2743" s="70" t="str">
        <f t="shared" si="44"/>
        <v/>
      </c>
    </row>
    <row r="2744" spans="3:3" ht="15" customHeight="1">
      <c r="C2744" s="70" t="str">
        <f t="shared" si="44"/>
        <v/>
      </c>
    </row>
    <row r="2745" spans="3:3" ht="15" customHeight="1">
      <c r="C2745" s="70" t="str">
        <f t="shared" si="44"/>
        <v/>
      </c>
    </row>
    <row r="2746" spans="3:3" ht="15" customHeight="1">
      <c r="C2746" s="70" t="str">
        <f t="shared" si="44"/>
        <v/>
      </c>
    </row>
    <row r="2747" spans="3:3" ht="15" customHeight="1">
      <c r="C2747" s="70" t="str">
        <f t="shared" si="44"/>
        <v/>
      </c>
    </row>
    <row r="2748" spans="3:3" ht="15" customHeight="1">
      <c r="C2748" s="70" t="str">
        <f t="shared" si="44"/>
        <v/>
      </c>
    </row>
    <row r="2749" spans="3:3" ht="15" customHeight="1">
      <c r="C2749" s="70" t="str">
        <f t="shared" si="44"/>
        <v/>
      </c>
    </row>
    <row r="2750" spans="3:3" ht="15" customHeight="1">
      <c r="C2750" s="70" t="str">
        <f t="shared" si="44"/>
        <v/>
      </c>
    </row>
    <row r="2751" spans="3:3" ht="15" customHeight="1">
      <c r="C2751" s="70" t="str">
        <f t="shared" si="44"/>
        <v/>
      </c>
    </row>
    <row r="2752" spans="3:3" ht="15" customHeight="1">
      <c r="C2752" s="70" t="str">
        <f t="shared" si="44"/>
        <v/>
      </c>
    </row>
    <row r="2753" spans="3:3" ht="15" customHeight="1">
      <c r="C2753" s="70" t="str">
        <f t="shared" si="44"/>
        <v/>
      </c>
    </row>
    <row r="2754" spans="3:3" ht="15" customHeight="1">
      <c r="C2754" s="70" t="str">
        <f t="shared" si="44"/>
        <v/>
      </c>
    </row>
    <row r="2755" spans="3:3" ht="15" customHeight="1">
      <c r="C2755" s="70" t="str">
        <f t="shared" si="44"/>
        <v/>
      </c>
    </row>
    <row r="2756" spans="3:3" ht="15" customHeight="1">
      <c r="C2756" s="70" t="str">
        <f t="shared" si="44"/>
        <v/>
      </c>
    </row>
    <row r="2757" spans="3:3" ht="15" customHeight="1">
      <c r="C2757" s="70" t="str">
        <f t="shared" si="44"/>
        <v/>
      </c>
    </row>
    <row r="2758" spans="3:3" ht="15" customHeight="1">
      <c r="C2758" s="70" t="str">
        <f t="shared" si="44"/>
        <v/>
      </c>
    </row>
    <row r="2759" spans="3:3" ht="15" customHeight="1">
      <c r="C2759" s="70" t="str">
        <f t="shared" si="44"/>
        <v/>
      </c>
    </row>
    <row r="2760" spans="3:3" ht="15" customHeight="1">
      <c r="C2760" s="70" t="str">
        <f t="shared" si="44"/>
        <v/>
      </c>
    </row>
    <row r="2761" spans="3:3" ht="15" customHeight="1">
      <c r="C2761" s="70" t="str">
        <f t="shared" si="44"/>
        <v/>
      </c>
    </row>
    <row r="2762" spans="3:3" ht="15" customHeight="1">
      <c r="C2762" s="70" t="str">
        <f t="shared" si="44"/>
        <v/>
      </c>
    </row>
    <row r="2763" spans="3:3" ht="15" customHeight="1">
      <c r="C2763" s="70" t="str">
        <f t="shared" si="44"/>
        <v/>
      </c>
    </row>
    <row r="2764" spans="3:3" ht="15" customHeight="1">
      <c r="C2764" s="70" t="str">
        <f t="shared" si="44"/>
        <v/>
      </c>
    </row>
    <row r="2765" spans="3:3" ht="15" customHeight="1">
      <c r="C2765" s="70" t="str">
        <f t="shared" si="44"/>
        <v/>
      </c>
    </row>
    <row r="2766" spans="3:3" ht="15" customHeight="1">
      <c r="C2766" s="70" t="str">
        <f t="shared" si="44"/>
        <v/>
      </c>
    </row>
    <row r="2767" spans="3:3" ht="15" customHeight="1">
      <c r="C2767" s="70" t="str">
        <f t="shared" si="44"/>
        <v/>
      </c>
    </row>
    <row r="2768" spans="3:3" ht="15" customHeight="1">
      <c r="C2768" s="70" t="str">
        <f t="shared" si="44"/>
        <v/>
      </c>
    </row>
    <row r="2769" spans="3:3" ht="15" customHeight="1">
      <c r="C2769" s="70" t="str">
        <f t="shared" ref="C2769:C2832" si="45">IF(B2769&lt;&gt;"",TEXT(WEEKDAY(B2769),"dddd"),"")</f>
        <v/>
      </c>
    </row>
    <row r="2770" spans="3:3" ht="15" customHeight="1">
      <c r="C2770" s="70" t="str">
        <f t="shared" si="45"/>
        <v/>
      </c>
    </row>
    <row r="2771" spans="3:3" ht="15" customHeight="1">
      <c r="C2771" s="70" t="str">
        <f t="shared" si="45"/>
        <v/>
      </c>
    </row>
    <row r="2772" spans="3:3" ht="15" customHeight="1">
      <c r="C2772" s="70" t="str">
        <f t="shared" si="45"/>
        <v/>
      </c>
    </row>
    <row r="2773" spans="3:3" ht="15" customHeight="1">
      <c r="C2773" s="70" t="str">
        <f t="shared" si="45"/>
        <v/>
      </c>
    </row>
    <row r="2774" spans="3:3" ht="15" customHeight="1">
      <c r="C2774" s="70" t="str">
        <f t="shared" si="45"/>
        <v/>
      </c>
    </row>
    <row r="2775" spans="3:3" ht="15" customHeight="1">
      <c r="C2775" s="70" t="str">
        <f t="shared" si="45"/>
        <v/>
      </c>
    </row>
    <row r="2776" spans="3:3" ht="15" customHeight="1">
      <c r="C2776" s="70" t="str">
        <f t="shared" si="45"/>
        <v/>
      </c>
    </row>
    <row r="2777" spans="3:3" ht="15" customHeight="1">
      <c r="C2777" s="70" t="str">
        <f t="shared" si="45"/>
        <v/>
      </c>
    </row>
    <row r="2778" spans="3:3" ht="15" customHeight="1">
      <c r="C2778" s="70" t="str">
        <f t="shared" si="45"/>
        <v/>
      </c>
    </row>
    <row r="2779" spans="3:3" ht="15" customHeight="1">
      <c r="C2779" s="70" t="str">
        <f t="shared" si="45"/>
        <v/>
      </c>
    </row>
    <row r="2780" spans="3:3" ht="15" customHeight="1">
      <c r="C2780" s="70" t="str">
        <f t="shared" si="45"/>
        <v/>
      </c>
    </row>
    <row r="2781" spans="3:3" ht="15" customHeight="1">
      <c r="C2781" s="70" t="str">
        <f t="shared" si="45"/>
        <v/>
      </c>
    </row>
    <row r="2782" spans="3:3" ht="15" customHeight="1">
      <c r="C2782" s="70" t="str">
        <f t="shared" si="45"/>
        <v/>
      </c>
    </row>
    <row r="2783" spans="3:3" ht="15" customHeight="1">
      <c r="C2783" s="70" t="str">
        <f t="shared" si="45"/>
        <v/>
      </c>
    </row>
    <row r="2784" spans="3:3" ht="15" customHeight="1">
      <c r="C2784" s="70" t="str">
        <f t="shared" si="45"/>
        <v/>
      </c>
    </row>
    <row r="2785" spans="3:3" ht="15" customHeight="1">
      <c r="C2785" s="70" t="str">
        <f t="shared" si="45"/>
        <v/>
      </c>
    </row>
    <row r="2786" spans="3:3" ht="15" customHeight="1">
      <c r="C2786" s="70" t="str">
        <f t="shared" si="45"/>
        <v/>
      </c>
    </row>
    <row r="2787" spans="3:3" ht="15" customHeight="1">
      <c r="C2787" s="70" t="str">
        <f t="shared" si="45"/>
        <v/>
      </c>
    </row>
    <row r="2788" spans="3:3" ht="15" customHeight="1">
      <c r="C2788" s="70" t="str">
        <f t="shared" si="45"/>
        <v/>
      </c>
    </row>
    <row r="2789" spans="3:3" ht="15" customHeight="1">
      <c r="C2789" s="70" t="str">
        <f t="shared" si="45"/>
        <v/>
      </c>
    </row>
    <row r="2790" spans="3:3" ht="15" customHeight="1">
      <c r="C2790" s="70" t="str">
        <f t="shared" si="45"/>
        <v/>
      </c>
    </row>
    <row r="2791" spans="3:3" ht="15" customHeight="1">
      <c r="C2791" s="70" t="str">
        <f t="shared" si="45"/>
        <v/>
      </c>
    </row>
    <row r="2792" spans="3:3" ht="15" customHeight="1">
      <c r="C2792" s="70" t="str">
        <f t="shared" si="45"/>
        <v/>
      </c>
    </row>
    <row r="2793" spans="3:3" ht="15" customHeight="1">
      <c r="C2793" s="70" t="str">
        <f t="shared" si="45"/>
        <v/>
      </c>
    </row>
    <row r="2794" spans="3:3" ht="15" customHeight="1">
      <c r="C2794" s="70" t="str">
        <f t="shared" si="45"/>
        <v/>
      </c>
    </row>
    <row r="2795" spans="3:3" ht="15" customHeight="1">
      <c r="C2795" s="70" t="str">
        <f t="shared" si="45"/>
        <v/>
      </c>
    </row>
    <row r="2796" spans="3:3" ht="15" customHeight="1">
      <c r="C2796" s="70" t="str">
        <f t="shared" si="45"/>
        <v/>
      </c>
    </row>
    <row r="2797" spans="3:3" ht="15" customHeight="1">
      <c r="C2797" s="70" t="str">
        <f t="shared" si="45"/>
        <v/>
      </c>
    </row>
    <row r="2798" spans="3:3" ht="15" customHeight="1">
      <c r="C2798" s="70" t="str">
        <f t="shared" si="45"/>
        <v/>
      </c>
    </row>
    <row r="2799" spans="3:3" ht="15" customHeight="1">
      <c r="C2799" s="70" t="str">
        <f t="shared" si="45"/>
        <v/>
      </c>
    </row>
    <row r="2800" spans="3:3" ht="15" customHeight="1">
      <c r="C2800" s="70" t="str">
        <f t="shared" si="45"/>
        <v/>
      </c>
    </row>
    <row r="2801" spans="3:3" ht="15" customHeight="1">
      <c r="C2801" s="70" t="str">
        <f t="shared" si="45"/>
        <v/>
      </c>
    </row>
    <row r="2802" spans="3:3" ht="15" customHeight="1">
      <c r="C2802" s="70" t="str">
        <f t="shared" si="45"/>
        <v/>
      </c>
    </row>
    <row r="2803" spans="3:3" ht="15" customHeight="1">
      <c r="C2803" s="70" t="str">
        <f t="shared" si="45"/>
        <v/>
      </c>
    </row>
    <row r="2804" spans="3:3" ht="15" customHeight="1">
      <c r="C2804" s="70" t="str">
        <f t="shared" si="45"/>
        <v/>
      </c>
    </row>
    <row r="2805" spans="3:3" ht="15" customHeight="1">
      <c r="C2805" s="70" t="str">
        <f t="shared" si="45"/>
        <v/>
      </c>
    </row>
    <row r="2806" spans="3:3" ht="15" customHeight="1">
      <c r="C2806" s="70" t="str">
        <f t="shared" si="45"/>
        <v/>
      </c>
    </row>
    <row r="2807" spans="3:3" ht="15" customHeight="1">
      <c r="C2807" s="70" t="str">
        <f t="shared" si="45"/>
        <v/>
      </c>
    </row>
    <row r="2808" spans="3:3" ht="15" customHeight="1">
      <c r="C2808" s="70" t="str">
        <f t="shared" si="45"/>
        <v/>
      </c>
    </row>
    <row r="2809" spans="3:3" ht="15" customHeight="1">
      <c r="C2809" s="70" t="str">
        <f t="shared" si="45"/>
        <v/>
      </c>
    </row>
    <row r="2810" spans="3:3" ht="15" customHeight="1">
      <c r="C2810" s="70" t="str">
        <f t="shared" si="45"/>
        <v/>
      </c>
    </row>
    <row r="2811" spans="3:3" ht="15" customHeight="1">
      <c r="C2811" s="70" t="str">
        <f t="shared" si="45"/>
        <v/>
      </c>
    </row>
    <row r="2812" spans="3:3" ht="15" customHeight="1">
      <c r="C2812" s="70" t="str">
        <f t="shared" si="45"/>
        <v/>
      </c>
    </row>
    <row r="2813" spans="3:3" ht="15" customHeight="1">
      <c r="C2813" s="70" t="str">
        <f t="shared" si="45"/>
        <v/>
      </c>
    </row>
    <row r="2814" spans="3:3" ht="15" customHeight="1">
      <c r="C2814" s="70" t="str">
        <f t="shared" si="45"/>
        <v/>
      </c>
    </row>
    <row r="2815" spans="3:3" ht="15" customHeight="1">
      <c r="C2815" s="70" t="str">
        <f t="shared" si="45"/>
        <v/>
      </c>
    </row>
    <row r="2816" spans="3:3" ht="15" customHeight="1">
      <c r="C2816" s="70" t="str">
        <f t="shared" si="45"/>
        <v/>
      </c>
    </row>
    <row r="2817" spans="3:3" ht="15" customHeight="1">
      <c r="C2817" s="70" t="str">
        <f t="shared" si="45"/>
        <v/>
      </c>
    </row>
    <row r="2818" spans="3:3" ht="15" customHeight="1">
      <c r="C2818" s="70" t="str">
        <f t="shared" si="45"/>
        <v/>
      </c>
    </row>
    <row r="2819" spans="3:3" ht="15" customHeight="1">
      <c r="C2819" s="70" t="str">
        <f t="shared" si="45"/>
        <v/>
      </c>
    </row>
    <row r="2820" spans="3:3" ht="15" customHeight="1">
      <c r="C2820" s="70" t="str">
        <f t="shared" si="45"/>
        <v/>
      </c>
    </row>
    <row r="2821" spans="3:3" ht="15" customHeight="1">
      <c r="C2821" s="70" t="str">
        <f t="shared" si="45"/>
        <v/>
      </c>
    </row>
    <row r="2822" spans="3:3" ht="15" customHeight="1">
      <c r="C2822" s="70" t="str">
        <f t="shared" si="45"/>
        <v/>
      </c>
    </row>
    <row r="2823" spans="3:3" ht="15" customHeight="1">
      <c r="C2823" s="70" t="str">
        <f t="shared" si="45"/>
        <v/>
      </c>
    </row>
    <row r="2824" spans="3:3" ht="15" customHeight="1">
      <c r="C2824" s="70" t="str">
        <f t="shared" si="45"/>
        <v/>
      </c>
    </row>
    <row r="2825" spans="3:3" ht="15" customHeight="1">
      <c r="C2825" s="70" t="str">
        <f t="shared" si="45"/>
        <v/>
      </c>
    </row>
    <row r="2826" spans="3:3" ht="15" customHeight="1">
      <c r="C2826" s="70" t="str">
        <f t="shared" si="45"/>
        <v/>
      </c>
    </row>
    <row r="2827" spans="3:3" ht="15" customHeight="1">
      <c r="C2827" s="70" t="str">
        <f t="shared" si="45"/>
        <v/>
      </c>
    </row>
    <row r="2828" spans="3:3" ht="15" customHeight="1">
      <c r="C2828" s="70" t="str">
        <f t="shared" si="45"/>
        <v/>
      </c>
    </row>
    <row r="2829" spans="3:3" ht="15" customHeight="1">
      <c r="C2829" s="70" t="str">
        <f t="shared" si="45"/>
        <v/>
      </c>
    </row>
    <row r="2830" spans="3:3" ht="15" customHeight="1">
      <c r="C2830" s="70" t="str">
        <f t="shared" si="45"/>
        <v/>
      </c>
    </row>
    <row r="2831" spans="3:3" ht="15" customHeight="1">
      <c r="C2831" s="70" t="str">
        <f t="shared" si="45"/>
        <v/>
      </c>
    </row>
    <row r="2832" spans="3:3" ht="15" customHeight="1">
      <c r="C2832" s="70" t="str">
        <f t="shared" si="45"/>
        <v/>
      </c>
    </row>
    <row r="2833" spans="3:3" ht="15" customHeight="1">
      <c r="C2833" s="70" t="str">
        <f t="shared" ref="C2833:C2896" si="46">IF(B2833&lt;&gt;"",TEXT(WEEKDAY(B2833),"dddd"),"")</f>
        <v/>
      </c>
    </row>
    <row r="2834" spans="3:3" ht="15" customHeight="1">
      <c r="C2834" s="70" t="str">
        <f t="shared" si="46"/>
        <v/>
      </c>
    </row>
    <row r="2835" spans="3:3" ht="15" customHeight="1">
      <c r="C2835" s="70" t="str">
        <f t="shared" si="46"/>
        <v/>
      </c>
    </row>
    <row r="2836" spans="3:3" ht="15" customHeight="1">
      <c r="C2836" s="70" t="str">
        <f t="shared" si="46"/>
        <v/>
      </c>
    </row>
    <row r="2837" spans="3:3" ht="15" customHeight="1">
      <c r="C2837" s="70" t="str">
        <f t="shared" si="46"/>
        <v/>
      </c>
    </row>
    <row r="2838" spans="3:3" ht="15" customHeight="1">
      <c r="C2838" s="70" t="str">
        <f t="shared" si="46"/>
        <v/>
      </c>
    </row>
    <row r="2839" spans="3:3" ht="15" customHeight="1">
      <c r="C2839" s="70" t="str">
        <f t="shared" si="46"/>
        <v/>
      </c>
    </row>
    <row r="2840" spans="3:3" ht="15" customHeight="1">
      <c r="C2840" s="70" t="str">
        <f t="shared" si="46"/>
        <v/>
      </c>
    </row>
    <row r="2841" spans="3:3" ht="15" customHeight="1">
      <c r="C2841" s="70" t="str">
        <f t="shared" si="46"/>
        <v/>
      </c>
    </row>
    <row r="2842" spans="3:3" ht="15" customHeight="1">
      <c r="C2842" s="70" t="str">
        <f t="shared" si="46"/>
        <v/>
      </c>
    </row>
    <row r="2843" spans="3:3" ht="15" customHeight="1">
      <c r="C2843" s="70" t="str">
        <f t="shared" si="46"/>
        <v/>
      </c>
    </row>
    <row r="2844" spans="3:3" ht="15" customHeight="1">
      <c r="C2844" s="70" t="str">
        <f t="shared" si="46"/>
        <v/>
      </c>
    </row>
    <row r="2845" spans="3:3" ht="15" customHeight="1">
      <c r="C2845" s="70" t="str">
        <f t="shared" si="46"/>
        <v/>
      </c>
    </row>
    <row r="2846" spans="3:3" ht="15" customHeight="1">
      <c r="C2846" s="70" t="str">
        <f t="shared" si="46"/>
        <v/>
      </c>
    </row>
    <row r="2847" spans="3:3" ht="15" customHeight="1">
      <c r="C2847" s="70" t="str">
        <f t="shared" si="46"/>
        <v/>
      </c>
    </row>
    <row r="2848" spans="3:3" ht="15" customHeight="1">
      <c r="C2848" s="70" t="str">
        <f t="shared" si="46"/>
        <v/>
      </c>
    </row>
    <row r="2849" spans="3:3" ht="15" customHeight="1">
      <c r="C2849" s="70" t="str">
        <f t="shared" si="46"/>
        <v/>
      </c>
    </row>
    <row r="2850" spans="3:3" ht="15" customHeight="1">
      <c r="C2850" s="70" t="str">
        <f t="shared" si="46"/>
        <v/>
      </c>
    </row>
    <row r="2851" spans="3:3" ht="15" customHeight="1">
      <c r="C2851" s="70" t="str">
        <f t="shared" si="46"/>
        <v/>
      </c>
    </row>
    <row r="2852" spans="3:3" ht="15" customHeight="1">
      <c r="C2852" s="70" t="str">
        <f t="shared" si="46"/>
        <v/>
      </c>
    </row>
    <row r="2853" spans="3:3" ht="15" customHeight="1">
      <c r="C2853" s="70" t="str">
        <f t="shared" si="46"/>
        <v/>
      </c>
    </row>
    <row r="2854" spans="3:3" ht="15" customHeight="1">
      <c r="C2854" s="70" t="str">
        <f t="shared" si="46"/>
        <v/>
      </c>
    </row>
    <row r="2855" spans="3:3" ht="15" customHeight="1">
      <c r="C2855" s="70" t="str">
        <f t="shared" si="46"/>
        <v/>
      </c>
    </row>
    <row r="2856" spans="3:3" ht="15" customHeight="1">
      <c r="C2856" s="70" t="str">
        <f t="shared" si="46"/>
        <v/>
      </c>
    </row>
    <row r="2857" spans="3:3" ht="15" customHeight="1">
      <c r="C2857" s="70" t="str">
        <f t="shared" si="46"/>
        <v/>
      </c>
    </row>
    <row r="2858" spans="3:3" ht="15" customHeight="1">
      <c r="C2858" s="70" t="str">
        <f t="shared" si="46"/>
        <v/>
      </c>
    </row>
    <row r="2859" spans="3:3" ht="15" customHeight="1">
      <c r="C2859" s="70" t="str">
        <f t="shared" si="46"/>
        <v/>
      </c>
    </row>
    <row r="2860" spans="3:3" ht="15" customHeight="1">
      <c r="C2860" s="70" t="str">
        <f t="shared" si="46"/>
        <v/>
      </c>
    </row>
    <row r="2861" spans="3:3" ht="15" customHeight="1">
      <c r="C2861" s="70" t="str">
        <f t="shared" si="46"/>
        <v/>
      </c>
    </row>
    <row r="2862" spans="3:3" ht="15" customHeight="1">
      <c r="C2862" s="70" t="str">
        <f t="shared" si="46"/>
        <v/>
      </c>
    </row>
    <row r="2863" spans="3:3" ht="15" customHeight="1">
      <c r="C2863" s="70" t="str">
        <f t="shared" si="46"/>
        <v/>
      </c>
    </row>
    <row r="2864" spans="3:3" ht="15" customHeight="1">
      <c r="C2864" s="70" t="str">
        <f t="shared" si="46"/>
        <v/>
      </c>
    </row>
    <row r="2865" spans="3:3" ht="15" customHeight="1">
      <c r="C2865" s="70" t="str">
        <f t="shared" si="46"/>
        <v/>
      </c>
    </row>
    <row r="2866" spans="3:3" ht="15" customHeight="1">
      <c r="C2866" s="70" t="str">
        <f t="shared" si="46"/>
        <v/>
      </c>
    </row>
    <row r="2867" spans="3:3" ht="15" customHeight="1">
      <c r="C2867" s="70" t="str">
        <f t="shared" si="46"/>
        <v/>
      </c>
    </row>
    <row r="2868" spans="3:3" ht="15" customHeight="1">
      <c r="C2868" s="70" t="str">
        <f t="shared" si="46"/>
        <v/>
      </c>
    </row>
    <row r="2869" spans="3:3" ht="15" customHeight="1">
      <c r="C2869" s="70" t="str">
        <f t="shared" si="46"/>
        <v/>
      </c>
    </row>
    <row r="2870" spans="3:3" ht="15" customHeight="1">
      <c r="C2870" s="70" t="str">
        <f t="shared" si="46"/>
        <v/>
      </c>
    </row>
    <row r="2871" spans="3:3" ht="15" customHeight="1">
      <c r="C2871" s="70" t="str">
        <f t="shared" si="46"/>
        <v/>
      </c>
    </row>
    <row r="2872" spans="3:3" ht="15" customHeight="1">
      <c r="C2872" s="70" t="str">
        <f t="shared" si="46"/>
        <v/>
      </c>
    </row>
    <row r="2873" spans="3:3" ht="15" customHeight="1">
      <c r="C2873" s="70" t="str">
        <f t="shared" si="46"/>
        <v/>
      </c>
    </row>
    <row r="2874" spans="3:3" ht="15" customHeight="1">
      <c r="C2874" s="70" t="str">
        <f t="shared" si="46"/>
        <v/>
      </c>
    </row>
    <row r="2875" spans="3:3" ht="15" customHeight="1">
      <c r="C2875" s="70" t="str">
        <f t="shared" si="46"/>
        <v/>
      </c>
    </row>
    <row r="2876" spans="3:3" ht="15" customHeight="1">
      <c r="C2876" s="70" t="str">
        <f t="shared" si="46"/>
        <v/>
      </c>
    </row>
    <row r="2877" spans="3:3" ht="15" customHeight="1">
      <c r="C2877" s="70" t="str">
        <f t="shared" si="46"/>
        <v/>
      </c>
    </row>
    <row r="2878" spans="3:3" ht="15" customHeight="1">
      <c r="C2878" s="70" t="str">
        <f t="shared" si="46"/>
        <v/>
      </c>
    </row>
    <row r="2879" spans="3:3" ht="15" customHeight="1">
      <c r="C2879" s="70" t="str">
        <f t="shared" si="46"/>
        <v/>
      </c>
    </row>
    <row r="2880" spans="3:3" ht="15" customHeight="1">
      <c r="C2880" s="70" t="str">
        <f t="shared" si="46"/>
        <v/>
      </c>
    </row>
    <row r="2881" spans="3:3" ht="15" customHeight="1">
      <c r="C2881" s="70" t="str">
        <f t="shared" si="46"/>
        <v/>
      </c>
    </row>
    <row r="2882" spans="3:3" ht="15" customHeight="1">
      <c r="C2882" s="70" t="str">
        <f t="shared" si="46"/>
        <v/>
      </c>
    </row>
    <row r="2883" spans="3:3" ht="15" customHeight="1">
      <c r="C2883" s="70" t="str">
        <f t="shared" si="46"/>
        <v/>
      </c>
    </row>
    <row r="2884" spans="3:3" ht="15" customHeight="1">
      <c r="C2884" s="70" t="str">
        <f t="shared" si="46"/>
        <v/>
      </c>
    </row>
    <row r="2885" spans="3:3" ht="15" customHeight="1">
      <c r="C2885" s="70" t="str">
        <f t="shared" si="46"/>
        <v/>
      </c>
    </row>
    <row r="2886" spans="3:3" ht="15" customHeight="1">
      <c r="C2886" s="70" t="str">
        <f t="shared" si="46"/>
        <v/>
      </c>
    </row>
    <row r="2887" spans="3:3" ht="15" customHeight="1">
      <c r="C2887" s="70" t="str">
        <f t="shared" si="46"/>
        <v/>
      </c>
    </row>
    <row r="2888" spans="3:3" ht="15" customHeight="1">
      <c r="C2888" s="70" t="str">
        <f t="shared" si="46"/>
        <v/>
      </c>
    </row>
    <row r="2889" spans="3:3" ht="15" customHeight="1">
      <c r="C2889" s="70" t="str">
        <f t="shared" si="46"/>
        <v/>
      </c>
    </row>
    <row r="2890" spans="3:3" ht="15" customHeight="1">
      <c r="C2890" s="70" t="str">
        <f t="shared" si="46"/>
        <v/>
      </c>
    </row>
    <row r="2891" spans="3:3" ht="15" customHeight="1">
      <c r="C2891" s="70" t="str">
        <f t="shared" si="46"/>
        <v/>
      </c>
    </row>
    <row r="2892" spans="3:3" ht="15" customHeight="1">
      <c r="C2892" s="70" t="str">
        <f t="shared" si="46"/>
        <v/>
      </c>
    </row>
    <row r="2893" spans="3:3" ht="15" customHeight="1">
      <c r="C2893" s="70" t="str">
        <f t="shared" si="46"/>
        <v/>
      </c>
    </row>
    <row r="2894" spans="3:3" ht="15" customHeight="1">
      <c r="C2894" s="70" t="str">
        <f t="shared" si="46"/>
        <v/>
      </c>
    </row>
    <row r="2895" spans="3:3" ht="15" customHeight="1">
      <c r="C2895" s="70" t="str">
        <f t="shared" si="46"/>
        <v/>
      </c>
    </row>
    <row r="2896" spans="3:3" ht="15" customHeight="1">
      <c r="C2896" s="70" t="str">
        <f t="shared" si="46"/>
        <v/>
      </c>
    </row>
    <row r="2897" spans="3:3" ht="15" customHeight="1">
      <c r="C2897" s="70" t="str">
        <f t="shared" ref="C2897:C2960" si="47">IF(B2897&lt;&gt;"",TEXT(WEEKDAY(B2897),"dddd"),"")</f>
        <v/>
      </c>
    </row>
    <row r="2898" spans="3:3" ht="15" customHeight="1">
      <c r="C2898" s="70" t="str">
        <f t="shared" si="47"/>
        <v/>
      </c>
    </row>
    <row r="2899" spans="3:3" ht="15" customHeight="1">
      <c r="C2899" s="70" t="str">
        <f t="shared" si="47"/>
        <v/>
      </c>
    </row>
    <row r="2900" spans="3:3" ht="15" customHeight="1">
      <c r="C2900" s="70" t="str">
        <f t="shared" si="47"/>
        <v/>
      </c>
    </row>
    <row r="2901" spans="3:3" ht="15" customHeight="1">
      <c r="C2901" s="70" t="str">
        <f t="shared" si="47"/>
        <v/>
      </c>
    </row>
    <row r="2902" spans="3:3" ht="15" customHeight="1">
      <c r="C2902" s="70" t="str">
        <f t="shared" si="47"/>
        <v/>
      </c>
    </row>
    <row r="2903" spans="3:3" ht="15" customHeight="1">
      <c r="C2903" s="70" t="str">
        <f t="shared" si="47"/>
        <v/>
      </c>
    </row>
    <row r="2904" spans="3:3" ht="15" customHeight="1">
      <c r="C2904" s="70" t="str">
        <f t="shared" si="47"/>
        <v/>
      </c>
    </row>
    <row r="2905" spans="3:3" ht="15" customHeight="1">
      <c r="C2905" s="70" t="str">
        <f t="shared" si="47"/>
        <v/>
      </c>
    </row>
    <row r="2906" spans="3:3" ht="15" customHeight="1">
      <c r="C2906" s="70" t="str">
        <f t="shared" si="47"/>
        <v/>
      </c>
    </row>
    <row r="2907" spans="3:3" ht="15" customHeight="1">
      <c r="C2907" s="70" t="str">
        <f t="shared" si="47"/>
        <v/>
      </c>
    </row>
    <row r="2908" spans="3:3" ht="15" customHeight="1">
      <c r="C2908" s="70" t="str">
        <f t="shared" si="47"/>
        <v/>
      </c>
    </row>
    <row r="2909" spans="3:3" ht="15" customHeight="1">
      <c r="C2909" s="70" t="str">
        <f t="shared" si="47"/>
        <v/>
      </c>
    </row>
    <row r="2910" spans="3:3" ht="15" customHeight="1">
      <c r="C2910" s="70" t="str">
        <f t="shared" si="47"/>
        <v/>
      </c>
    </row>
    <row r="2911" spans="3:3" ht="15" customHeight="1">
      <c r="C2911" s="70" t="str">
        <f t="shared" si="47"/>
        <v/>
      </c>
    </row>
    <row r="2912" spans="3:3" ht="15" customHeight="1">
      <c r="C2912" s="70" t="str">
        <f t="shared" si="47"/>
        <v/>
      </c>
    </row>
    <row r="2913" spans="3:3" ht="15" customHeight="1">
      <c r="C2913" s="70" t="str">
        <f t="shared" si="47"/>
        <v/>
      </c>
    </row>
    <row r="2914" spans="3:3" ht="15" customHeight="1">
      <c r="C2914" s="70" t="str">
        <f t="shared" si="47"/>
        <v/>
      </c>
    </row>
    <row r="2915" spans="3:3" ht="15" customHeight="1">
      <c r="C2915" s="70" t="str">
        <f t="shared" si="47"/>
        <v/>
      </c>
    </row>
    <row r="2916" spans="3:3" ht="15" customHeight="1">
      <c r="C2916" s="70" t="str">
        <f t="shared" si="47"/>
        <v/>
      </c>
    </row>
    <row r="2917" spans="3:3" ht="15" customHeight="1">
      <c r="C2917" s="70" t="str">
        <f t="shared" si="47"/>
        <v/>
      </c>
    </row>
    <row r="2918" spans="3:3" ht="15" customHeight="1">
      <c r="C2918" s="70" t="str">
        <f t="shared" si="47"/>
        <v/>
      </c>
    </row>
    <row r="2919" spans="3:3" ht="15" customHeight="1">
      <c r="C2919" s="70" t="str">
        <f t="shared" si="47"/>
        <v/>
      </c>
    </row>
    <row r="2920" spans="3:3" ht="15" customHeight="1">
      <c r="C2920" s="70" t="str">
        <f t="shared" si="47"/>
        <v/>
      </c>
    </row>
    <row r="2921" spans="3:3" ht="15" customHeight="1">
      <c r="C2921" s="70" t="str">
        <f t="shared" si="47"/>
        <v/>
      </c>
    </row>
    <row r="2922" spans="3:3" ht="15" customHeight="1">
      <c r="C2922" s="70" t="str">
        <f t="shared" si="47"/>
        <v/>
      </c>
    </row>
    <row r="2923" spans="3:3" ht="15" customHeight="1">
      <c r="C2923" s="70" t="str">
        <f t="shared" si="47"/>
        <v/>
      </c>
    </row>
    <row r="2924" spans="3:3" ht="15" customHeight="1">
      <c r="C2924" s="70" t="str">
        <f t="shared" si="47"/>
        <v/>
      </c>
    </row>
    <row r="2925" spans="3:3" ht="15" customHeight="1">
      <c r="C2925" s="70" t="str">
        <f t="shared" si="47"/>
        <v/>
      </c>
    </row>
    <row r="2926" spans="3:3" ht="15" customHeight="1">
      <c r="C2926" s="70" t="str">
        <f t="shared" si="47"/>
        <v/>
      </c>
    </row>
    <row r="2927" spans="3:3" ht="15" customHeight="1">
      <c r="C2927" s="70" t="str">
        <f t="shared" si="47"/>
        <v/>
      </c>
    </row>
    <row r="2928" spans="3:3" ht="15" customHeight="1">
      <c r="C2928" s="70" t="str">
        <f t="shared" si="47"/>
        <v/>
      </c>
    </row>
    <row r="2929" spans="3:3" ht="15" customHeight="1">
      <c r="C2929" s="70" t="str">
        <f t="shared" si="47"/>
        <v/>
      </c>
    </row>
    <row r="2930" spans="3:3" ht="15" customHeight="1">
      <c r="C2930" s="70" t="str">
        <f t="shared" si="47"/>
        <v/>
      </c>
    </row>
    <row r="2931" spans="3:3" ht="15" customHeight="1">
      <c r="C2931" s="70" t="str">
        <f t="shared" si="47"/>
        <v/>
      </c>
    </row>
    <row r="2932" spans="3:3" ht="15" customHeight="1">
      <c r="C2932" s="70" t="str">
        <f t="shared" si="47"/>
        <v/>
      </c>
    </row>
    <row r="2933" spans="3:3" ht="15" customHeight="1">
      <c r="C2933" s="70" t="str">
        <f t="shared" si="47"/>
        <v/>
      </c>
    </row>
    <row r="2934" spans="3:3" ht="15" customHeight="1">
      <c r="C2934" s="70" t="str">
        <f t="shared" si="47"/>
        <v/>
      </c>
    </row>
    <row r="2935" spans="3:3" ht="15" customHeight="1">
      <c r="C2935" s="70" t="str">
        <f t="shared" si="47"/>
        <v/>
      </c>
    </row>
    <row r="2936" spans="3:3" ht="15" customHeight="1">
      <c r="C2936" s="70" t="str">
        <f t="shared" si="47"/>
        <v/>
      </c>
    </row>
    <row r="2937" spans="3:3" ht="15" customHeight="1">
      <c r="C2937" s="70" t="str">
        <f t="shared" si="47"/>
        <v/>
      </c>
    </row>
    <row r="2938" spans="3:3" ht="15" customHeight="1">
      <c r="C2938" s="70" t="str">
        <f t="shared" si="47"/>
        <v/>
      </c>
    </row>
    <row r="2939" spans="3:3" ht="15" customHeight="1">
      <c r="C2939" s="70" t="str">
        <f t="shared" si="47"/>
        <v/>
      </c>
    </row>
    <row r="2940" spans="3:3" ht="15" customHeight="1">
      <c r="C2940" s="70" t="str">
        <f t="shared" si="47"/>
        <v/>
      </c>
    </row>
    <row r="2941" spans="3:3" ht="15" customHeight="1">
      <c r="C2941" s="70" t="str">
        <f t="shared" si="47"/>
        <v/>
      </c>
    </row>
    <row r="2942" spans="3:3" ht="15" customHeight="1">
      <c r="C2942" s="70" t="str">
        <f t="shared" si="47"/>
        <v/>
      </c>
    </row>
    <row r="2943" spans="3:3" ht="15" customHeight="1">
      <c r="C2943" s="70" t="str">
        <f t="shared" si="47"/>
        <v/>
      </c>
    </row>
    <row r="2944" spans="3:3" ht="15" customHeight="1">
      <c r="C2944" s="70" t="str">
        <f t="shared" si="47"/>
        <v/>
      </c>
    </row>
    <row r="2945" spans="3:3" ht="15" customHeight="1">
      <c r="C2945" s="70" t="str">
        <f t="shared" si="47"/>
        <v/>
      </c>
    </row>
    <row r="2946" spans="3:3" ht="15" customHeight="1">
      <c r="C2946" s="70" t="str">
        <f t="shared" si="47"/>
        <v/>
      </c>
    </row>
    <row r="2947" spans="3:3" ht="15" customHeight="1">
      <c r="C2947" s="70" t="str">
        <f t="shared" si="47"/>
        <v/>
      </c>
    </row>
    <row r="2948" spans="3:3" ht="15" customHeight="1">
      <c r="C2948" s="70" t="str">
        <f t="shared" si="47"/>
        <v/>
      </c>
    </row>
    <row r="2949" spans="3:3" ht="15" customHeight="1">
      <c r="C2949" s="70" t="str">
        <f t="shared" si="47"/>
        <v/>
      </c>
    </row>
    <row r="2950" spans="3:3" ht="15" customHeight="1">
      <c r="C2950" s="70" t="str">
        <f t="shared" si="47"/>
        <v/>
      </c>
    </row>
    <row r="2951" spans="3:3" ht="15" customHeight="1">
      <c r="C2951" s="70" t="str">
        <f t="shared" si="47"/>
        <v/>
      </c>
    </row>
    <row r="2952" spans="3:3" ht="15" customHeight="1">
      <c r="C2952" s="70" t="str">
        <f t="shared" si="47"/>
        <v/>
      </c>
    </row>
    <row r="2953" spans="3:3" ht="15" customHeight="1">
      <c r="C2953" s="70" t="str">
        <f t="shared" si="47"/>
        <v/>
      </c>
    </row>
    <row r="2954" spans="3:3" ht="15" customHeight="1">
      <c r="C2954" s="70" t="str">
        <f t="shared" si="47"/>
        <v/>
      </c>
    </row>
    <row r="2955" spans="3:3" ht="15" customHeight="1">
      <c r="C2955" s="70" t="str">
        <f t="shared" si="47"/>
        <v/>
      </c>
    </row>
    <row r="2956" spans="3:3" ht="15" customHeight="1">
      <c r="C2956" s="70" t="str">
        <f t="shared" si="47"/>
        <v/>
      </c>
    </row>
    <row r="2957" spans="3:3" ht="15" customHeight="1">
      <c r="C2957" s="70" t="str">
        <f t="shared" si="47"/>
        <v/>
      </c>
    </row>
    <row r="2958" spans="3:3" ht="15" customHeight="1">
      <c r="C2958" s="70" t="str">
        <f t="shared" si="47"/>
        <v/>
      </c>
    </row>
    <row r="2959" spans="3:3" ht="15" customHeight="1">
      <c r="C2959" s="70" t="str">
        <f t="shared" si="47"/>
        <v/>
      </c>
    </row>
    <row r="2960" spans="3:3" ht="15" customHeight="1">
      <c r="C2960" s="70" t="str">
        <f t="shared" si="47"/>
        <v/>
      </c>
    </row>
    <row r="2961" spans="3:3" ht="15" customHeight="1">
      <c r="C2961" s="70" t="str">
        <f t="shared" ref="C2961:C3024" si="48">IF(B2961&lt;&gt;"",TEXT(WEEKDAY(B2961),"dddd"),"")</f>
        <v/>
      </c>
    </row>
    <row r="2962" spans="3:3" ht="15" customHeight="1">
      <c r="C2962" s="70" t="str">
        <f t="shared" si="48"/>
        <v/>
      </c>
    </row>
    <row r="2963" spans="3:3" ht="15" customHeight="1">
      <c r="C2963" s="70" t="str">
        <f t="shared" si="48"/>
        <v/>
      </c>
    </row>
    <row r="2964" spans="3:3" ht="15" customHeight="1">
      <c r="C2964" s="70" t="str">
        <f t="shared" si="48"/>
        <v/>
      </c>
    </row>
    <row r="2965" spans="3:3" ht="15" customHeight="1">
      <c r="C2965" s="70" t="str">
        <f t="shared" si="48"/>
        <v/>
      </c>
    </row>
    <row r="2966" spans="3:3" ht="15" customHeight="1">
      <c r="C2966" s="70" t="str">
        <f t="shared" si="48"/>
        <v/>
      </c>
    </row>
    <row r="2967" spans="3:3" ht="15" customHeight="1">
      <c r="C2967" s="70" t="str">
        <f t="shared" si="48"/>
        <v/>
      </c>
    </row>
    <row r="2968" spans="3:3" ht="15" customHeight="1">
      <c r="C2968" s="70" t="str">
        <f t="shared" si="48"/>
        <v/>
      </c>
    </row>
    <row r="2969" spans="3:3" ht="15" customHeight="1">
      <c r="C2969" s="70" t="str">
        <f t="shared" si="48"/>
        <v/>
      </c>
    </row>
    <row r="2970" spans="3:3" ht="15" customHeight="1">
      <c r="C2970" s="70" t="str">
        <f t="shared" si="48"/>
        <v/>
      </c>
    </row>
    <row r="2971" spans="3:3" ht="15" customHeight="1">
      <c r="C2971" s="70" t="str">
        <f t="shared" si="48"/>
        <v/>
      </c>
    </row>
    <row r="2972" spans="3:3" ht="15" customHeight="1">
      <c r="C2972" s="70" t="str">
        <f t="shared" si="48"/>
        <v/>
      </c>
    </row>
    <row r="2973" spans="3:3" ht="15" customHeight="1">
      <c r="C2973" s="70" t="str">
        <f t="shared" si="48"/>
        <v/>
      </c>
    </row>
    <row r="2974" spans="3:3" ht="15" customHeight="1">
      <c r="C2974" s="70" t="str">
        <f t="shared" si="48"/>
        <v/>
      </c>
    </row>
    <row r="2975" spans="3:3" ht="15" customHeight="1">
      <c r="C2975" s="70" t="str">
        <f t="shared" si="48"/>
        <v/>
      </c>
    </row>
    <row r="2976" spans="3:3" ht="15" customHeight="1">
      <c r="C2976" s="70" t="str">
        <f t="shared" si="48"/>
        <v/>
      </c>
    </row>
    <row r="2977" spans="3:3" ht="15" customHeight="1">
      <c r="C2977" s="70" t="str">
        <f t="shared" si="48"/>
        <v/>
      </c>
    </row>
    <row r="2978" spans="3:3" ht="15" customHeight="1">
      <c r="C2978" s="70" t="str">
        <f t="shared" si="48"/>
        <v/>
      </c>
    </row>
    <row r="2979" spans="3:3" ht="15" customHeight="1">
      <c r="C2979" s="70" t="str">
        <f t="shared" si="48"/>
        <v/>
      </c>
    </row>
    <row r="2980" spans="3:3" ht="15" customHeight="1">
      <c r="C2980" s="70" t="str">
        <f t="shared" si="48"/>
        <v/>
      </c>
    </row>
    <row r="2981" spans="3:3" ht="15" customHeight="1">
      <c r="C2981" s="70" t="str">
        <f t="shared" si="48"/>
        <v/>
      </c>
    </row>
    <row r="2982" spans="3:3" ht="15" customHeight="1">
      <c r="C2982" s="70" t="str">
        <f t="shared" si="48"/>
        <v/>
      </c>
    </row>
    <row r="2983" spans="3:3" ht="15" customHeight="1">
      <c r="C2983" s="70" t="str">
        <f t="shared" si="48"/>
        <v/>
      </c>
    </row>
    <row r="2984" spans="3:3" ht="15" customHeight="1">
      <c r="C2984" s="70" t="str">
        <f t="shared" si="48"/>
        <v/>
      </c>
    </row>
    <row r="2985" spans="3:3" ht="15" customHeight="1">
      <c r="C2985" s="70" t="str">
        <f t="shared" si="48"/>
        <v/>
      </c>
    </row>
    <row r="2986" spans="3:3" ht="15" customHeight="1">
      <c r="C2986" s="70" t="str">
        <f t="shared" si="48"/>
        <v/>
      </c>
    </row>
    <row r="2987" spans="3:3" ht="15" customHeight="1">
      <c r="C2987" s="70" t="str">
        <f t="shared" si="48"/>
        <v/>
      </c>
    </row>
    <row r="2988" spans="3:3" ht="15" customHeight="1">
      <c r="C2988" s="70" t="str">
        <f t="shared" si="48"/>
        <v/>
      </c>
    </row>
    <row r="2989" spans="3:3" ht="15" customHeight="1">
      <c r="C2989" s="70" t="str">
        <f t="shared" si="48"/>
        <v/>
      </c>
    </row>
    <row r="2990" spans="3:3" ht="15" customHeight="1">
      <c r="C2990" s="70" t="str">
        <f t="shared" si="48"/>
        <v/>
      </c>
    </row>
    <row r="2991" spans="3:3" ht="15" customHeight="1">
      <c r="C2991" s="70" t="str">
        <f t="shared" si="48"/>
        <v/>
      </c>
    </row>
    <row r="2992" spans="3:3" ht="15" customHeight="1">
      <c r="C2992" s="70" t="str">
        <f t="shared" si="48"/>
        <v/>
      </c>
    </row>
    <row r="2993" spans="3:3" ht="15" customHeight="1">
      <c r="C2993" s="70" t="str">
        <f t="shared" si="48"/>
        <v/>
      </c>
    </row>
    <row r="2994" spans="3:3" ht="15" customHeight="1">
      <c r="C2994" s="70" t="str">
        <f t="shared" si="48"/>
        <v/>
      </c>
    </row>
    <row r="2995" spans="3:3" ht="15" customHeight="1">
      <c r="C2995" s="70" t="str">
        <f t="shared" si="48"/>
        <v/>
      </c>
    </row>
    <row r="2996" spans="3:3" ht="15" customHeight="1">
      <c r="C2996" s="70" t="str">
        <f t="shared" si="48"/>
        <v/>
      </c>
    </row>
    <row r="2997" spans="3:3" ht="15" customHeight="1">
      <c r="C2997" s="70" t="str">
        <f t="shared" si="48"/>
        <v/>
      </c>
    </row>
    <row r="2998" spans="3:3" ht="15" customHeight="1">
      <c r="C2998" s="70" t="str">
        <f t="shared" si="48"/>
        <v/>
      </c>
    </row>
    <row r="2999" spans="3:3" ht="15" customHeight="1">
      <c r="C2999" s="70" t="str">
        <f t="shared" si="48"/>
        <v/>
      </c>
    </row>
    <row r="3000" spans="3:3" ht="15" customHeight="1">
      <c r="C3000" s="70" t="str">
        <f t="shared" si="48"/>
        <v/>
      </c>
    </row>
    <row r="3001" spans="3:3" ht="15" customHeight="1">
      <c r="C3001" s="70" t="str">
        <f t="shared" si="48"/>
        <v/>
      </c>
    </row>
    <row r="3002" spans="3:3" ht="15" customHeight="1">
      <c r="C3002" s="70" t="str">
        <f t="shared" si="48"/>
        <v/>
      </c>
    </row>
    <row r="3003" spans="3:3" ht="15" customHeight="1">
      <c r="C3003" s="70" t="str">
        <f t="shared" si="48"/>
        <v/>
      </c>
    </row>
    <row r="3004" spans="3:3" ht="15" customHeight="1">
      <c r="C3004" s="70" t="str">
        <f t="shared" si="48"/>
        <v/>
      </c>
    </row>
    <row r="3005" spans="3:3" ht="15" customHeight="1">
      <c r="C3005" s="70" t="str">
        <f t="shared" si="48"/>
        <v/>
      </c>
    </row>
    <row r="3006" spans="3:3" ht="15" customHeight="1">
      <c r="C3006" s="70" t="str">
        <f t="shared" si="48"/>
        <v/>
      </c>
    </row>
    <row r="3007" spans="3:3" ht="15" customHeight="1">
      <c r="C3007" s="70" t="str">
        <f t="shared" si="48"/>
        <v/>
      </c>
    </row>
    <row r="3008" spans="3:3" ht="15" customHeight="1">
      <c r="C3008" s="70" t="str">
        <f t="shared" si="48"/>
        <v/>
      </c>
    </row>
    <row r="3009" spans="3:3" ht="15" customHeight="1">
      <c r="C3009" s="70" t="str">
        <f t="shared" si="48"/>
        <v/>
      </c>
    </row>
    <row r="3010" spans="3:3" ht="15" customHeight="1">
      <c r="C3010" s="70" t="str">
        <f t="shared" si="48"/>
        <v/>
      </c>
    </row>
    <row r="3011" spans="3:3" ht="15" customHeight="1">
      <c r="C3011" s="70" t="str">
        <f t="shared" si="48"/>
        <v/>
      </c>
    </row>
    <row r="3012" spans="3:3" ht="15" customHeight="1">
      <c r="C3012" s="70" t="str">
        <f t="shared" si="48"/>
        <v/>
      </c>
    </row>
    <row r="3013" spans="3:3" ht="15" customHeight="1">
      <c r="C3013" s="70" t="str">
        <f t="shared" si="48"/>
        <v/>
      </c>
    </row>
    <row r="3014" spans="3:3" ht="15" customHeight="1">
      <c r="C3014" s="70" t="str">
        <f t="shared" si="48"/>
        <v/>
      </c>
    </row>
    <row r="3015" spans="3:3" ht="15" customHeight="1">
      <c r="C3015" s="70" t="str">
        <f t="shared" si="48"/>
        <v/>
      </c>
    </row>
    <row r="3016" spans="3:3" ht="15" customHeight="1">
      <c r="C3016" s="70" t="str">
        <f t="shared" si="48"/>
        <v/>
      </c>
    </row>
    <row r="3017" spans="3:3" ht="15" customHeight="1">
      <c r="C3017" s="70" t="str">
        <f t="shared" si="48"/>
        <v/>
      </c>
    </row>
    <row r="3018" spans="3:3" ht="15" customHeight="1">
      <c r="C3018" s="70" t="str">
        <f t="shared" si="48"/>
        <v/>
      </c>
    </row>
    <row r="3019" spans="3:3" ht="15" customHeight="1">
      <c r="C3019" s="70" t="str">
        <f t="shared" si="48"/>
        <v/>
      </c>
    </row>
    <row r="3020" spans="3:3" ht="15" customHeight="1">
      <c r="C3020" s="70" t="str">
        <f t="shared" si="48"/>
        <v/>
      </c>
    </row>
    <row r="3021" spans="3:3" ht="15" customHeight="1">
      <c r="C3021" s="70" t="str">
        <f t="shared" si="48"/>
        <v/>
      </c>
    </row>
    <row r="3022" spans="3:3" ht="15" customHeight="1">
      <c r="C3022" s="70" t="str">
        <f t="shared" si="48"/>
        <v/>
      </c>
    </row>
    <row r="3023" spans="3:3" ht="15" customHeight="1">
      <c r="C3023" s="70" t="str">
        <f t="shared" si="48"/>
        <v/>
      </c>
    </row>
    <row r="3024" spans="3:3" ht="15" customHeight="1">
      <c r="C3024" s="70" t="str">
        <f t="shared" si="48"/>
        <v/>
      </c>
    </row>
    <row r="3025" spans="3:3" ht="15" customHeight="1">
      <c r="C3025" s="70" t="str">
        <f t="shared" ref="C3025:C3088" si="49">IF(B3025&lt;&gt;"",TEXT(WEEKDAY(B3025),"dddd"),"")</f>
        <v/>
      </c>
    </row>
    <row r="3026" spans="3:3" ht="15" customHeight="1">
      <c r="C3026" s="70" t="str">
        <f t="shared" si="49"/>
        <v/>
      </c>
    </row>
    <row r="3027" spans="3:3" ht="15" customHeight="1">
      <c r="C3027" s="70" t="str">
        <f t="shared" si="49"/>
        <v/>
      </c>
    </row>
    <row r="3028" spans="3:3" ht="15" customHeight="1">
      <c r="C3028" s="70" t="str">
        <f t="shared" si="49"/>
        <v/>
      </c>
    </row>
    <row r="3029" spans="3:3" ht="15" customHeight="1">
      <c r="C3029" s="70" t="str">
        <f t="shared" si="49"/>
        <v/>
      </c>
    </row>
    <row r="3030" spans="3:3" ht="15" customHeight="1">
      <c r="C3030" s="70" t="str">
        <f t="shared" si="49"/>
        <v/>
      </c>
    </row>
    <row r="3031" spans="3:3" ht="15" customHeight="1">
      <c r="C3031" s="70" t="str">
        <f t="shared" si="49"/>
        <v/>
      </c>
    </row>
    <row r="3032" spans="3:3" ht="15" customHeight="1">
      <c r="C3032" s="70" t="str">
        <f t="shared" si="49"/>
        <v/>
      </c>
    </row>
    <row r="3033" spans="3:3" ht="15" customHeight="1">
      <c r="C3033" s="70" t="str">
        <f t="shared" si="49"/>
        <v/>
      </c>
    </row>
    <row r="3034" spans="3:3" ht="15" customHeight="1">
      <c r="C3034" s="70" t="str">
        <f t="shared" si="49"/>
        <v/>
      </c>
    </row>
    <row r="3035" spans="3:3" ht="15" customHeight="1">
      <c r="C3035" s="70" t="str">
        <f t="shared" si="49"/>
        <v/>
      </c>
    </row>
    <row r="3036" spans="3:3" ht="15" customHeight="1">
      <c r="C3036" s="70" t="str">
        <f t="shared" si="49"/>
        <v/>
      </c>
    </row>
    <row r="3037" spans="3:3" ht="15" customHeight="1">
      <c r="C3037" s="70" t="str">
        <f t="shared" si="49"/>
        <v/>
      </c>
    </row>
    <row r="3038" spans="3:3" ht="15" customHeight="1">
      <c r="C3038" s="70" t="str">
        <f t="shared" si="49"/>
        <v/>
      </c>
    </row>
    <row r="3039" spans="3:3" ht="15" customHeight="1">
      <c r="C3039" s="70" t="str">
        <f t="shared" si="49"/>
        <v/>
      </c>
    </row>
    <row r="3040" spans="3:3" ht="15" customHeight="1">
      <c r="C3040" s="70" t="str">
        <f t="shared" si="49"/>
        <v/>
      </c>
    </row>
    <row r="3041" spans="3:3" ht="15" customHeight="1">
      <c r="C3041" s="70" t="str">
        <f t="shared" si="49"/>
        <v/>
      </c>
    </row>
    <row r="3042" spans="3:3" ht="15" customHeight="1">
      <c r="C3042" s="70" t="str">
        <f t="shared" si="49"/>
        <v/>
      </c>
    </row>
    <row r="3043" spans="3:3" ht="15" customHeight="1">
      <c r="C3043" s="70" t="str">
        <f t="shared" si="49"/>
        <v/>
      </c>
    </row>
    <row r="3044" spans="3:3" ht="15" customHeight="1">
      <c r="C3044" s="70" t="str">
        <f t="shared" si="49"/>
        <v/>
      </c>
    </row>
    <row r="3045" spans="3:3" ht="15" customHeight="1">
      <c r="C3045" s="70" t="str">
        <f t="shared" si="49"/>
        <v/>
      </c>
    </row>
    <row r="3046" spans="3:3" ht="15" customHeight="1">
      <c r="C3046" s="70" t="str">
        <f t="shared" si="49"/>
        <v/>
      </c>
    </row>
    <row r="3047" spans="3:3" ht="15" customHeight="1">
      <c r="C3047" s="70" t="str">
        <f t="shared" si="49"/>
        <v/>
      </c>
    </row>
    <row r="3048" spans="3:3" ht="15" customHeight="1">
      <c r="C3048" s="70" t="str">
        <f t="shared" si="49"/>
        <v/>
      </c>
    </row>
    <row r="3049" spans="3:3" ht="15" customHeight="1">
      <c r="C3049" s="70" t="str">
        <f t="shared" si="49"/>
        <v/>
      </c>
    </row>
    <row r="3050" spans="3:3" ht="15" customHeight="1">
      <c r="C3050" s="70" t="str">
        <f t="shared" si="49"/>
        <v/>
      </c>
    </row>
    <row r="3051" spans="3:3" ht="15" customHeight="1">
      <c r="C3051" s="70" t="str">
        <f t="shared" si="49"/>
        <v/>
      </c>
    </row>
    <row r="3052" spans="3:3" ht="15" customHeight="1">
      <c r="C3052" s="70" t="str">
        <f t="shared" si="49"/>
        <v/>
      </c>
    </row>
    <row r="3053" spans="3:3" ht="15" customHeight="1">
      <c r="C3053" s="70" t="str">
        <f t="shared" si="49"/>
        <v/>
      </c>
    </row>
    <row r="3054" spans="3:3" ht="15" customHeight="1">
      <c r="C3054" s="70" t="str">
        <f t="shared" si="49"/>
        <v/>
      </c>
    </row>
    <row r="3055" spans="3:3" ht="15" customHeight="1">
      <c r="C3055" s="70" t="str">
        <f t="shared" si="49"/>
        <v/>
      </c>
    </row>
    <row r="3056" spans="3:3" ht="15" customHeight="1">
      <c r="C3056" s="70" t="str">
        <f t="shared" si="49"/>
        <v/>
      </c>
    </row>
    <row r="3057" spans="3:3" ht="15" customHeight="1">
      <c r="C3057" s="70" t="str">
        <f t="shared" si="49"/>
        <v/>
      </c>
    </row>
    <row r="3058" spans="3:3" ht="15" customHeight="1">
      <c r="C3058" s="70" t="str">
        <f t="shared" si="49"/>
        <v/>
      </c>
    </row>
    <row r="3059" spans="3:3" ht="15" customHeight="1">
      <c r="C3059" s="70" t="str">
        <f t="shared" si="49"/>
        <v/>
      </c>
    </row>
    <row r="3060" spans="3:3" ht="15" customHeight="1">
      <c r="C3060" s="70" t="str">
        <f t="shared" si="49"/>
        <v/>
      </c>
    </row>
    <row r="3061" spans="3:3" ht="15" customHeight="1">
      <c r="C3061" s="70" t="str">
        <f t="shared" si="49"/>
        <v/>
      </c>
    </row>
    <row r="3062" spans="3:3" ht="15" customHeight="1">
      <c r="C3062" s="70" t="str">
        <f t="shared" si="49"/>
        <v/>
      </c>
    </row>
    <row r="3063" spans="3:3" ht="15" customHeight="1">
      <c r="C3063" s="70" t="str">
        <f t="shared" si="49"/>
        <v/>
      </c>
    </row>
    <row r="3064" spans="3:3" ht="15" customHeight="1">
      <c r="C3064" s="70" t="str">
        <f t="shared" si="49"/>
        <v/>
      </c>
    </row>
    <row r="3065" spans="3:3" ht="15" customHeight="1">
      <c r="C3065" s="70" t="str">
        <f t="shared" si="49"/>
        <v/>
      </c>
    </row>
    <row r="3066" spans="3:3" ht="15" customHeight="1">
      <c r="C3066" s="70" t="str">
        <f t="shared" si="49"/>
        <v/>
      </c>
    </row>
    <row r="3067" spans="3:3" ht="15" customHeight="1">
      <c r="C3067" s="70" t="str">
        <f t="shared" si="49"/>
        <v/>
      </c>
    </row>
    <row r="3068" spans="3:3" ht="15" customHeight="1">
      <c r="C3068" s="70" t="str">
        <f t="shared" si="49"/>
        <v/>
      </c>
    </row>
    <row r="3069" spans="3:3" ht="15" customHeight="1">
      <c r="C3069" s="70" t="str">
        <f t="shared" si="49"/>
        <v/>
      </c>
    </row>
    <row r="3070" spans="3:3" ht="15" customHeight="1">
      <c r="C3070" s="70" t="str">
        <f t="shared" si="49"/>
        <v/>
      </c>
    </row>
    <row r="3071" spans="3:3" ht="15" customHeight="1">
      <c r="C3071" s="70" t="str">
        <f t="shared" si="49"/>
        <v/>
      </c>
    </row>
    <row r="3072" spans="3:3" ht="15" customHeight="1">
      <c r="C3072" s="70" t="str">
        <f t="shared" si="49"/>
        <v/>
      </c>
    </row>
    <row r="3073" spans="3:3" ht="15" customHeight="1">
      <c r="C3073" s="70" t="str">
        <f t="shared" si="49"/>
        <v/>
      </c>
    </row>
    <row r="3074" spans="3:3" ht="15" customHeight="1">
      <c r="C3074" s="70" t="str">
        <f t="shared" si="49"/>
        <v/>
      </c>
    </row>
    <row r="3075" spans="3:3" ht="15" customHeight="1">
      <c r="C3075" s="70" t="str">
        <f t="shared" si="49"/>
        <v/>
      </c>
    </row>
    <row r="3076" spans="3:3" ht="15" customHeight="1">
      <c r="C3076" s="70" t="str">
        <f t="shared" si="49"/>
        <v/>
      </c>
    </row>
    <row r="3077" spans="3:3" ht="15" customHeight="1">
      <c r="C3077" s="70" t="str">
        <f t="shared" si="49"/>
        <v/>
      </c>
    </row>
    <row r="3078" spans="3:3" ht="15" customHeight="1">
      <c r="C3078" s="70" t="str">
        <f t="shared" si="49"/>
        <v/>
      </c>
    </row>
    <row r="3079" spans="3:3" ht="15" customHeight="1">
      <c r="C3079" s="70" t="str">
        <f t="shared" si="49"/>
        <v/>
      </c>
    </row>
    <row r="3080" spans="3:3" ht="15" customHeight="1">
      <c r="C3080" s="70" t="str">
        <f t="shared" si="49"/>
        <v/>
      </c>
    </row>
    <row r="3081" spans="3:3" ht="15" customHeight="1">
      <c r="C3081" s="70" t="str">
        <f t="shared" si="49"/>
        <v/>
      </c>
    </row>
    <row r="3082" spans="3:3" ht="15" customHeight="1">
      <c r="C3082" s="70" t="str">
        <f t="shared" si="49"/>
        <v/>
      </c>
    </row>
    <row r="3083" spans="3:3" ht="15" customHeight="1">
      <c r="C3083" s="70" t="str">
        <f t="shared" si="49"/>
        <v/>
      </c>
    </row>
    <row r="3084" spans="3:3" ht="15" customHeight="1">
      <c r="C3084" s="70" t="str">
        <f t="shared" si="49"/>
        <v/>
      </c>
    </row>
    <row r="3085" spans="3:3" ht="15" customHeight="1">
      <c r="C3085" s="70" t="str">
        <f t="shared" si="49"/>
        <v/>
      </c>
    </row>
    <row r="3086" spans="3:3" ht="15" customHeight="1">
      <c r="C3086" s="70" t="str">
        <f t="shared" si="49"/>
        <v/>
      </c>
    </row>
    <row r="3087" spans="3:3" ht="15" customHeight="1">
      <c r="C3087" s="70" t="str">
        <f t="shared" si="49"/>
        <v/>
      </c>
    </row>
    <row r="3088" spans="3:3" ht="15" customHeight="1">
      <c r="C3088" s="70" t="str">
        <f t="shared" si="49"/>
        <v/>
      </c>
    </row>
    <row r="3089" spans="3:3" ht="15" customHeight="1">
      <c r="C3089" s="70" t="str">
        <f t="shared" ref="C3089:C3152" si="50">IF(B3089&lt;&gt;"",TEXT(WEEKDAY(B3089),"dddd"),"")</f>
        <v/>
      </c>
    </row>
    <row r="3090" spans="3:3" ht="15" customHeight="1">
      <c r="C3090" s="70" t="str">
        <f t="shared" si="50"/>
        <v/>
      </c>
    </row>
    <row r="3091" spans="3:3" ht="15" customHeight="1">
      <c r="C3091" s="70" t="str">
        <f t="shared" si="50"/>
        <v/>
      </c>
    </row>
    <row r="3092" spans="3:3" ht="15" customHeight="1">
      <c r="C3092" s="70" t="str">
        <f t="shared" si="50"/>
        <v/>
      </c>
    </row>
    <row r="3093" spans="3:3" ht="15" customHeight="1">
      <c r="C3093" s="70" t="str">
        <f t="shared" si="50"/>
        <v/>
      </c>
    </row>
    <row r="3094" spans="3:3" ht="15" customHeight="1">
      <c r="C3094" s="70" t="str">
        <f t="shared" si="50"/>
        <v/>
      </c>
    </row>
    <row r="3095" spans="3:3" ht="15" customHeight="1">
      <c r="C3095" s="70" t="str">
        <f t="shared" si="50"/>
        <v/>
      </c>
    </row>
    <row r="3096" spans="3:3" ht="15" customHeight="1">
      <c r="C3096" s="70" t="str">
        <f t="shared" si="50"/>
        <v/>
      </c>
    </row>
    <row r="3097" spans="3:3" ht="15" customHeight="1">
      <c r="C3097" s="70" t="str">
        <f t="shared" si="50"/>
        <v/>
      </c>
    </row>
    <row r="3098" spans="3:3" ht="15" customHeight="1">
      <c r="C3098" s="70" t="str">
        <f t="shared" si="50"/>
        <v/>
      </c>
    </row>
    <row r="3099" spans="3:3" ht="15" customHeight="1">
      <c r="C3099" s="70" t="str">
        <f t="shared" si="50"/>
        <v/>
      </c>
    </row>
    <row r="3100" spans="3:3" ht="15" customHeight="1">
      <c r="C3100" s="70" t="str">
        <f t="shared" si="50"/>
        <v/>
      </c>
    </row>
    <row r="3101" spans="3:3" ht="15" customHeight="1">
      <c r="C3101" s="70" t="str">
        <f t="shared" si="50"/>
        <v/>
      </c>
    </row>
    <row r="3102" spans="3:3" ht="15" customHeight="1">
      <c r="C3102" s="70" t="str">
        <f t="shared" si="50"/>
        <v/>
      </c>
    </row>
    <row r="3103" spans="3:3" ht="15" customHeight="1">
      <c r="C3103" s="70" t="str">
        <f t="shared" si="50"/>
        <v/>
      </c>
    </row>
    <row r="3104" spans="3:3" ht="15" customHeight="1">
      <c r="C3104" s="70" t="str">
        <f t="shared" si="50"/>
        <v/>
      </c>
    </row>
    <row r="3105" spans="3:3" ht="15" customHeight="1">
      <c r="C3105" s="70" t="str">
        <f t="shared" si="50"/>
        <v/>
      </c>
    </row>
    <row r="3106" spans="3:3" ht="15" customHeight="1">
      <c r="C3106" s="70" t="str">
        <f t="shared" si="50"/>
        <v/>
      </c>
    </row>
    <row r="3107" spans="3:3" ht="15" customHeight="1">
      <c r="C3107" s="70" t="str">
        <f t="shared" si="50"/>
        <v/>
      </c>
    </row>
    <row r="3108" spans="3:3" ht="15" customHeight="1">
      <c r="C3108" s="70" t="str">
        <f t="shared" si="50"/>
        <v/>
      </c>
    </row>
    <row r="3109" spans="3:3" ht="15" customHeight="1">
      <c r="C3109" s="70" t="str">
        <f t="shared" si="50"/>
        <v/>
      </c>
    </row>
    <row r="3110" spans="3:3" ht="15" customHeight="1">
      <c r="C3110" s="70" t="str">
        <f t="shared" si="50"/>
        <v/>
      </c>
    </row>
    <row r="3111" spans="3:3" ht="15" customHeight="1">
      <c r="C3111" s="70" t="str">
        <f t="shared" si="50"/>
        <v/>
      </c>
    </row>
    <row r="3112" spans="3:3" ht="15" customHeight="1">
      <c r="C3112" s="70" t="str">
        <f t="shared" si="50"/>
        <v/>
      </c>
    </row>
    <row r="3113" spans="3:3" ht="15" customHeight="1">
      <c r="C3113" s="70" t="str">
        <f t="shared" si="50"/>
        <v/>
      </c>
    </row>
    <row r="3114" spans="3:3" ht="15" customHeight="1">
      <c r="C3114" s="70" t="str">
        <f t="shared" si="50"/>
        <v/>
      </c>
    </row>
    <row r="3115" spans="3:3" ht="15" customHeight="1">
      <c r="C3115" s="70" t="str">
        <f t="shared" si="50"/>
        <v/>
      </c>
    </row>
    <row r="3116" spans="3:3" ht="15" customHeight="1">
      <c r="C3116" s="70" t="str">
        <f t="shared" si="50"/>
        <v/>
      </c>
    </row>
    <row r="3117" spans="3:3" ht="15" customHeight="1">
      <c r="C3117" s="70" t="str">
        <f t="shared" si="50"/>
        <v/>
      </c>
    </row>
    <row r="3118" spans="3:3" ht="15" customHeight="1">
      <c r="C3118" s="70" t="str">
        <f t="shared" si="50"/>
        <v/>
      </c>
    </row>
    <row r="3119" spans="3:3" ht="15" customHeight="1">
      <c r="C3119" s="70" t="str">
        <f t="shared" si="50"/>
        <v/>
      </c>
    </row>
    <row r="3120" spans="3:3" ht="15" customHeight="1">
      <c r="C3120" s="70" t="str">
        <f t="shared" si="50"/>
        <v/>
      </c>
    </row>
    <row r="3121" spans="3:3" ht="15" customHeight="1">
      <c r="C3121" s="70" t="str">
        <f t="shared" si="50"/>
        <v/>
      </c>
    </row>
    <row r="3122" spans="3:3" ht="15" customHeight="1">
      <c r="C3122" s="70" t="str">
        <f t="shared" si="50"/>
        <v/>
      </c>
    </row>
    <row r="3123" spans="3:3" ht="15" customHeight="1">
      <c r="C3123" s="70" t="str">
        <f t="shared" si="50"/>
        <v/>
      </c>
    </row>
    <row r="3124" spans="3:3" ht="15" customHeight="1">
      <c r="C3124" s="70" t="str">
        <f t="shared" si="50"/>
        <v/>
      </c>
    </row>
    <row r="3125" spans="3:3" ht="15" customHeight="1">
      <c r="C3125" s="70" t="str">
        <f t="shared" si="50"/>
        <v/>
      </c>
    </row>
    <row r="3126" spans="3:3" ht="15" customHeight="1">
      <c r="C3126" s="70" t="str">
        <f t="shared" si="50"/>
        <v/>
      </c>
    </row>
    <row r="3127" spans="3:3" ht="15" customHeight="1">
      <c r="C3127" s="70" t="str">
        <f t="shared" si="50"/>
        <v/>
      </c>
    </row>
    <row r="3128" spans="3:3" ht="15" customHeight="1">
      <c r="C3128" s="70" t="str">
        <f t="shared" si="50"/>
        <v/>
      </c>
    </row>
    <row r="3129" spans="3:3" ht="15" customHeight="1">
      <c r="C3129" s="70" t="str">
        <f t="shared" si="50"/>
        <v/>
      </c>
    </row>
    <row r="3130" spans="3:3" ht="15" customHeight="1">
      <c r="C3130" s="70" t="str">
        <f t="shared" si="50"/>
        <v/>
      </c>
    </row>
    <row r="3131" spans="3:3" ht="15" customHeight="1">
      <c r="C3131" s="70" t="str">
        <f t="shared" si="50"/>
        <v/>
      </c>
    </row>
    <row r="3132" spans="3:3" ht="15" customHeight="1">
      <c r="C3132" s="70" t="str">
        <f t="shared" si="50"/>
        <v/>
      </c>
    </row>
    <row r="3133" spans="3:3" ht="15" customHeight="1">
      <c r="C3133" s="70" t="str">
        <f t="shared" si="50"/>
        <v/>
      </c>
    </row>
    <row r="3134" spans="3:3" ht="15" customHeight="1">
      <c r="C3134" s="70" t="str">
        <f t="shared" si="50"/>
        <v/>
      </c>
    </row>
    <row r="3135" spans="3:3" ht="15" customHeight="1">
      <c r="C3135" s="70" t="str">
        <f t="shared" si="50"/>
        <v/>
      </c>
    </row>
    <row r="3136" spans="3:3" ht="15" customHeight="1">
      <c r="C3136" s="70" t="str">
        <f t="shared" si="50"/>
        <v/>
      </c>
    </row>
    <row r="3137" spans="3:3" ht="15" customHeight="1">
      <c r="C3137" s="70" t="str">
        <f t="shared" si="50"/>
        <v/>
      </c>
    </row>
    <row r="3138" spans="3:3" ht="15" customHeight="1">
      <c r="C3138" s="70" t="str">
        <f t="shared" si="50"/>
        <v/>
      </c>
    </row>
    <row r="3139" spans="3:3" ht="15" customHeight="1">
      <c r="C3139" s="70" t="str">
        <f t="shared" si="50"/>
        <v/>
      </c>
    </row>
    <row r="3140" spans="3:3" ht="15" customHeight="1">
      <c r="C3140" s="70" t="str">
        <f t="shared" si="50"/>
        <v/>
      </c>
    </row>
    <row r="3141" spans="3:3" ht="15" customHeight="1">
      <c r="C3141" s="70" t="str">
        <f t="shared" si="50"/>
        <v/>
      </c>
    </row>
    <row r="3142" spans="3:3" ht="15" customHeight="1">
      <c r="C3142" s="70" t="str">
        <f t="shared" si="50"/>
        <v/>
      </c>
    </row>
    <row r="3143" spans="3:3" ht="15" customHeight="1">
      <c r="C3143" s="70" t="str">
        <f t="shared" si="50"/>
        <v/>
      </c>
    </row>
    <row r="3144" spans="3:3" ht="15" customHeight="1">
      <c r="C3144" s="70" t="str">
        <f t="shared" si="50"/>
        <v/>
      </c>
    </row>
    <row r="3145" spans="3:3" ht="15" customHeight="1">
      <c r="C3145" s="70" t="str">
        <f t="shared" si="50"/>
        <v/>
      </c>
    </row>
    <row r="3146" spans="3:3" ht="15" customHeight="1">
      <c r="C3146" s="70" t="str">
        <f t="shared" si="50"/>
        <v/>
      </c>
    </row>
    <row r="3147" spans="3:3" ht="15" customHeight="1">
      <c r="C3147" s="70" t="str">
        <f t="shared" si="50"/>
        <v/>
      </c>
    </row>
    <row r="3148" spans="3:3" ht="15" customHeight="1">
      <c r="C3148" s="70" t="str">
        <f t="shared" si="50"/>
        <v/>
      </c>
    </row>
    <row r="3149" spans="3:3" ht="15" customHeight="1">
      <c r="C3149" s="70" t="str">
        <f t="shared" si="50"/>
        <v/>
      </c>
    </row>
    <row r="3150" spans="3:3" ht="15" customHeight="1">
      <c r="C3150" s="70" t="str">
        <f t="shared" si="50"/>
        <v/>
      </c>
    </row>
    <row r="3151" spans="3:3" ht="15" customHeight="1">
      <c r="C3151" s="70" t="str">
        <f t="shared" si="50"/>
        <v/>
      </c>
    </row>
    <row r="3152" spans="3:3" ht="15" customHeight="1">
      <c r="C3152" s="70" t="str">
        <f t="shared" si="50"/>
        <v/>
      </c>
    </row>
    <row r="3153" spans="3:3" ht="15" customHeight="1">
      <c r="C3153" s="70" t="str">
        <f t="shared" ref="C3153:C3216" si="51">IF(B3153&lt;&gt;"",TEXT(WEEKDAY(B3153),"dddd"),"")</f>
        <v/>
      </c>
    </row>
    <row r="3154" spans="3:3" ht="15" customHeight="1">
      <c r="C3154" s="70" t="str">
        <f t="shared" si="51"/>
        <v/>
      </c>
    </row>
    <row r="3155" spans="3:3" ht="15" customHeight="1">
      <c r="C3155" s="70" t="str">
        <f t="shared" si="51"/>
        <v/>
      </c>
    </row>
    <row r="3156" spans="3:3" ht="15" customHeight="1">
      <c r="C3156" s="70" t="str">
        <f t="shared" si="51"/>
        <v/>
      </c>
    </row>
    <row r="3157" spans="3:3" ht="15" customHeight="1">
      <c r="C3157" s="70" t="str">
        <f t="shared" si="51"/>
        <v/>
      </c>
    </row>
    <row r="3158" spans="3:3" ht="15" customHeight="1">
      <c r="C3158" s="70" t="str">
        <f t="shared" si="51"/>
        <v/>
      </c>
    </row>
    <row r="3159" spans="3:3" ht="15" customHeight="1">
      <c r="C3159" s="70" t="str">
        <f t="shared" si="51"/>
        <v/>
      </c>
    </row>
    <row r="3160" spans="3:3" ht="15" customHeight="1">
      <c r="C3160" s="70" t="str">
        <f t="shared" si="51"/>
        <v/>
      </c>
    </row>
    <row r="3161" spans="3:3" ht="15" customHeight="1">
      <c r="C3161" s="70" t="str">
        <f t="shared" si="51"/>
        <v/>
      </c>
    </row>
    <row r="3162" spans="3:3" ht="15" customHeight="1">
      <c r="C3162" s="70" t="str">
        <f t="shared" si="51"/>
        <v/>
      </c>
    </row>
    <row r="3163" spans="3:3" ht="15" customHeight="1">
      <c r="C3163" s="70" t="str">
        <f t="shared" si="51"/>
        <v/>
      </c>
    </row>
    <row r="3164" spans="3:3" ht="15" customHeight="1">
      <c r="C3164" s="70" t="str">
        <f t="shared" si="51"/>
        <v/>
      </c>
    </row>
    <row r="3165" spans="3:3" ht="15" customHeight="1">
      <c r="C3165" s="70" t="str">
        <f t="shared" si="51"/>
        <v/>
      </c>
    </row>
    <row r="3166" spans="3:3" ht="15" customHeight="1">
      <c r="C3166" s="70" t="str">
        <f t="shared" si="51"/>
        <v/>
      </c>
    </row>
    <row r="3167" spans="3:3" ht="15" customHeight="1">
      <c r="C3167" s="70" t="str">
        <f t="shared" si="51"/>
        <v/>
      </c>
    </row>
    <row r="3168" spans="3:3" ht="15" customHeight="1">
      <c r="C3168" s="70" t="str">
        <f t="shared" si="51"/>
        <v/>
      </c>
    </row>
    <row r="3169" spans="3:3" ht="15" customHeight="1">
      <c r="C3169" s="70" t="str">
        <f t="shared" si="51"/>
        <v/>
      </c>
    </row>
    <row r="3170" spans="3:3" ht="15" customHeight="1">
      <c r="C3170" s="70" t="str">
        <f t="shared" si="51"/>
        <v/>
      </c>
    </row>
    <row r="3171" spans="3:3" ht="15" customHeight="1">
      <c r="C3171" s="70" t="str">
        <f t="shared" si="51"/>
        <v/>
      </c>
    </row>
    <row r="3172" spans="3:3" ht="15" customHeight="1">
      <c r="C3172" s="70" t="str">
        <f t="shared" si="51"/>
        <v/>
      </c>
    </row>
    <row r="3173" spans="3:3" ht="15" customHeight="1">
      <c r="C3173" s="70" t="str">
        <f t="shared" si="51"/>
        <v/>
      </c>
    </row>
    <row r="3174" spans="3:3" ht="15" customHeight="1">
      <c r="C3174" s="70" t="str">
        <f t="shared" si="51"/>
        <v/>
      </c>
    </row>
    <row r="3175" spans="3:3" ht="15" customHeight="1">
      <c r="C3175" s="70" t="str">
        <f t="shared" si="51"/>
        <v/>
      </c>
    </row>
    <row r="3176" spans="3:3" ht="15" customHeight="1">
      <c r="C3176" s="70" t="str">
        <f t="shared" si="51"/>
        <v/>
      </c>
    </row>
    <row r="3177" spans="3:3" ht="15" customHeight="1">
      <c r="C3177" s="70" t="str">
        <f t="shared" si="51"/>
        <v/>
      </c>
    </row>
    <row r="3178" spans="3:3" ht="15" customHeight="1">
      <c r="C3178" s="70" t="str">
        <f t="shared" si="51"/>
        <v/>
      </c>
    </row>
    <row r="3179" spans="3:3" ht="15" customHeight="1">
      <c r="C3179" s="70" t="str">
        <f t="shared" si="51"/>
        <v/>
      </c>
    </row>
    <row r="3180" spans="3:3" ht="15" customHeight="1">
      <c r="C3180" s="70" t="str">
        <f t="shared" si="51"/>
        <v/>
      </c>
    </row>
    <row r="3181" spans="3:3" ht="15" customHeight="1">
      <c r="C3181" s="70" t="str">
        <f t="shared" si="51"/>
        <v/>
      </c>
    </row>
    <row r="3182" spans="3:3" ht="15" customHeight="1">
      <c r="C3182" s="70" t="str">
        <f t="shared" si="51"/>
        <v/>
      </c>
    </row>
    <row r="3183" spans="3:3" ht="15" customHeight="1">
      <c r="C3183" s="70" t="str">
        <f t="shared" si="51"/>
        <v/>
      </c>
    </row>
    <row r="3184" spans="3:3" ht="15" customHeight="1">
      <c r="C3184" s="70" t="str">
        <f t="shared" si="51"/>
        <v/>
      </c>
    </row>
    <row r="3185" spans="3:3" ht="15" customHeight="1">
      <c r="C3185" s="70" t="str">
        <f t="shared" si="51"/>
        <v/>
      </c>
    </row>
    <row r="3186" spans="3:3" ht="15" customHeight="1">
      <c r="C3186" s="70" t="str">
        <f t="shared" si="51"/>
        <v/>
      </c>
    </row>
    <row r="3187" spans="3:3" ht="15" customHeight="1">
      <c r="C3187" s="70" t="str">
        <f t="shared" si="51"/>
        <v/>
      </c>
    </row>
    <row r="3188" spans="3:3" ht="15" customHeight="1">
      <c r="C3188" s="70" t="str">
        <f t="shared" si="51"/>
        <v/>
      </c>
    </row>
    <row r="3189" spans="3:3" ht="15" customHeight="1">
      <c r="C3189" s="70" t="str">
        <f t="shared" si="51"/>
        <v/>
      </c>
    </row>
    <row r="3190" spans="3:3" ht="15" customHeight="1">
      <c r="C3190" s="70" t="str">
        <f t="shared" si="51"/>
        <v/>
      </c>
    </row>
    <row r="3191" spans="3:3" ht="15" customHeight="1">
      <c r="C3191" s="70" t="str">
        <f t="shared" si="51"/>
        <v/>
      </c>
    </row>
    <row r="3192" spans="3:3" ht="15" customHeight="1">
      <c r="C3192" s="70" t="str">
        <f t="shared" si="51"/>
        <v/>
      </c>
    </row>
    <row r="3193" spans="3:3" ht="15" customHeight="1">
      <c r="C3193" s="70" t="str">
        <f t="shared" si="51"/>
        <v/>
      </c>
    </row>
    <row r="3194" spans="3:3" ht="15" customHeight="1">
      <c r="C3194" s="70" t="str">
        <f t="shared" si="51"/>
        <v/>
      </c>
    </row>
    <row r="3195" spans="3:3" ht="15" customHeight="1">
      <c r="C3195" s="70" t="str">
        <f t="shared" si="51"/>
        <v/>
      </c>
    </row>
    <row r="3196" spans="3:3" ht="15" customHeight="1">
      <c r="C3196" s="70" t="str">
        <f t="shared" si="51"/>
        <v/>
      </c>
    </row>
    <row r="3197" spans="3:3" ht="15" customHeight="1">
      <c r="C3197" s="70" t="str">
        <f t="shared" si="51"/>
        <v/>
      </c>
    </row>
    <row r="3198" spans="3:3" ht="15" customHeight="1">
      <c r="C3198" s="70" t="str">
        <f t="shared" si="51"/>
        <v/>
      </c>
    </row>
    <row r="3199" spans="3:3" ht="15" customHeight="1">
      <c r="C3199" s="70" t="str">
        <f t="shared" si="51"/>
        <v/>
      </c>
    </row>
    <row r="3200" spans="3:3" ht="15" customHeight="1">
      <c r="C3200" s="70" t="str">
        <f t="shared" si="51"/>
        <v/>
      </c>
    </row>
    <row r="3201" spans="3:3" ht="15" customHeight="1">
      <c r="C3201" s="70" t="str">
        <f t="shared" si="51"/>
        <v/>
      </c>
    </row>
    <row r="3202" spans="3:3" ht="15" customHeight="1">
      <c r="C3202" s="70" t="str">
        <f t="shared" si="51"/>
        <v/>
      </c>
    </row>
    <row r="3203" spans="3:3" ht="15" customHeight="1">
      <c r="C3203" s="70" t="str">
        <f t="shared" si="51"/>
        <v/>
      </c>
    </row>
    <row r="3204" spans="3:3" ht="15" customHeight="1">
      <c r="C3204" s="70" t="str">
        <f t="shared" si="51"/>
        <v/>
      </c>
    </row>
    <row r="3205" spans="3:3" ht="15" customHeight="1">
      <c r="C3205" s="70" t="str">
        <f t="shared" si="51"/>
        <v/>
      </c>
    </row>
    <row r="3206" spans="3:3" ht="15" customHeight="1">
      <c r="C3206" s="70" t="str">
        <f t="shared" si="51"/>
        <v/>
      </c>
    </row>
    <row r="3207" spans="3:3" ht="15" customHeight="1">
      <c r="C3207" s="70" t="str">
        <f t="shared" si="51"/>
        <v/>
      </c>
    </row>
    <row r="3208" spans="3:3" ht="15" customHeight="1">
      <c r="C3208" s="70" t="str">
        <f t="shared" si="51"/>
        <v/>
      </c>
    </row>
    <row r="3209" spans="3:3" ht="15" customHeight="1">
      <c r="C3209" s="70" t="str">
        <f t="shared" si="51"/>
        <v/>
      </c>
    </row>
    <row r="3210" spans="3:3" ht="15" customHeight="1">
      <c r="C3210" s="70" t="str">
        <f t="shared" si="51"/>
        <v/>
      </c>
    </row>
    <row r="3211" spans="3:3" ht="15" customHeight="1">
      <c r="C3211" s="70" t="str">
        <f t="shared" si="51"/>
        <v/>
      </c>
    </row>
    <row r="3212" spans="3:3" ht="15" customHeight="1">
      <c r="C3212" s="70" t="str">
        <f t="shared" si="51"/>
        <v/>
      </c>
    </row>
    <row r="3213" spans="3:3" ht="15" customHeight="1">
      <c r="C3213" s="70" t="str">
        <f t="shared" si="51"/>
        <v/>
      </c>
    </row>
    <row r="3214" spans="3:3" ht="15" customHeight="1">
      <c r="C3214" s="70" t="str">
        <f t="shared" si="51"/>
        <v/>
      </c>
    </row>
    <row r="3215" spans="3:3" ht="15" customHeight="1">
      <c r="C3215" s="70" t="str">
        <f t="shared" si="51"/>
        <v/>
      </c>
    </row>
    <row r="3216" spans="3:3" ht="15" customHeight="1">
      <c r="C3216" s="70" t="str">
        <f t="shared" si="51"/>
        <v/>
      </c>
    </row>
    <row r="3217" spans="3:3" ht="15" customHeight="1">
      <c r="C3217" s="70" t="str">
        <f t="shared" ref="C3217:C3280" si="52">IF(B3217&lt;&gt;"",TEXT(WEEKDAY(B3217),"dddd"),"")</f>
        <v/>
      </c>
    </row>
    <row r="3218" spans="3:3" ht="15" customHeight="1">
      <c r="C3218" s="70" t="str">
        <f t="shared" si="52"/>
        <v/>
      </c>
    </row>
    <row r="3219" spans="3:3" ht="15" customHeight="1">
      <c r="C3219" s="70" t="str">
        <f t="shared" si="52"/>
        <v/>
      </c>
    </row>
    <row r="3220" spans="3:3" ht="15" customHeight="1">
      <c r="C3220" s="70" t="str">
        <f t="shared" si="52"/>
        <v/>
      </c>
    </row>
    <row r="3221" spans="3:3" ht="15" customHeight="1">
      <c r="C3221" s="70" t="str">
        <f t="shared" si="52"/>
        <v/>
      </c>
    </row>
    <row r="3222" spans="3:3" ht="15" customHeight="1">
      <c r="C3222" s="70" t="str">
        <f t="shared" si="52"/>
        <v/>
      </c>
    </row>
    <row r="3223" spans="3:3" ht="15" customHeight="1">
      <c r="C3223" s="70" t="str">
        <f t="shared" si="52"/>
        <v/>
      </c>
    </row>
    <row r="3224" spans="3:3" ht="15" customHeight="1">
      <c r="C3224" s="70" t="str">
        <f t="shared" si="52"/>
        <v/>
      </c>
    </row>
    <row r="3225" spans="3:3" ht="15" customHeight="1">
      <c r="C3225" s="70" t="str">
        <f t="shared" si="52"/>
        <v/>
      </c>
    </row>
    <row r="3226" spans="3:3" ht="15" customHeight="1">
      <c r="C3226" s="70" t="str">
        <f t="shared" si="52"/>
        <v/>
      </c>
    </row>
    <row r="3227" spans="3:3" ht="15" customHeight="1">
      <c r="C3227" s="70" t="str">
        <f t="shared" si="52"/>
        <v/>
      </c>
    </row>
    <row r="3228" spans="3:3" ht="15" customHeight="1">
      <c r="C3228" s="70" t="str">
        <f t="shared" si="52"/>
        <v/>
      </c>
    </row>
    <row r="3229" spans="3:3" ht="15" customHeight="1">
      <c r="C3229" s="70" t="str">
        <f t="shared" si="52"/>
        <v/>
      </c>
    </row>
    <row r="3230" spans="3:3" ht="15" customHeight="1">
      <c r="C3230" s="70" t="str">
        <f t="shared" si="52"/>
        <v/>
      </c>
    </row>
    <row r="3231" spans="3:3" ht="15" customHeight="1">
      <c r="C3231" s="70" t="str">
        <f t="shared" si="52"/>
        <v/>
      </c>
    </row>
    <row r="3232" spans="3:3" ht="15" customHeight="1">
      <c r="C3232" s="70" t="str">
        <f t="shared" si="52"/>
        <v/>
      </c>
    </row>
    <row r="3233" spans="3:3" ht="15" customHeight="1">
      <c r="C3233" s="70" t="str">
        <f t="shared" si="52"/>
        <v/>
      </c>
    </row>
    <row r="3234" spans="3:3" ht="15" customHeight="1">
      <c r="C3234" s="70" t="str">
        <f t="shared" si="52"/>
        <v/>
      </c>
    </row>
    <row r="3235" spans="3:3" ht="15" customHeight="1">
      <c r="C3235" s="70" t="str">
        <f t="shared" si="52"/>
        <v/>
      </c>
    </row>
    <row r="3236" spans="3:3" ht="15" customHeight="1">
      <c r="C3236" s="70" t="str">
        <f t="shared" si="52"/>
        <v/>
      </c>
    </row>
    <row r="3237" spans="3:3" ht="15" customHeight="1">
      <c r="C3237" s="70" t="str">
        <f t="shared" si="52"/>
        <v/>
      </c>
    </row>
    <row r="3238" spans="3:3" ht="15" customHeight="1">
      <c r="C3238" s="70" t="str">
        <f t="shared" si="52"/>
        <v/>
      </c>
    </row>
    <row r="3239" spans="3:3" ht="15" customHeight="1">
      <c r="C3239" s="70" t="str">
        <f t="shared" si="52"/>
        <v/>
      </c>
    </row>
    <row r="3240" spans="3:3" ht="15" customHeight="1">
      <c r="C3240" s="70" t="str">
        <f t="shared" si="52"/>
        <v/>
      </c>
    </row>
    <row r="3241" spans="3:3" ht="15" customHeight="1">
      <c r="C3241" s="70" t="str">
        <f t="shared" si="52"/>
        <v/>
      </c>
    </row>
    <row r="3242" spans="3:3" ht="15" customHeight="1">
      <c r="C3242" s="70" t="str">
        <f t="shared" si="52"/>
        <v/>
      </c>
    </row>
    <row r="3243" spans="3:3" ht="15" customHeight="1">
      <c r="C3243" s="70" t="str">
        <f t="shared" si="52"/>
        <v/>
      </c>
    </row>
    <row r="3244" spans="3:3" ht="15" customHeight="1">
      <c r="C3244" s="70" t="str">
        <f t="shared" si="52"/>
        <v/>
      </c>
    </row>
    <row r="3245" spans="3:3" ht="15" customHeight="1">
      <c r="C3245" s="70" t="str">
        <f t="shared" si="52"/>
        <v/>
      </c>
    </row>
    <row r="3246" spans="3:3" ht="15" customHeight="1">
      <c r="C3246" s="70" t="str">
        <f t="shared" si="52"/>
        <v/>
      </c>
    </row>
    <row r="3247" spans="3:3" ht="15" customHeight="1">
      <c r="C3247" s="70" t="str">
        <f t="shared" si="52"/>
        <v/>
      </c>
    </row>
    <row r="3248" spans="3:3" ht="15" customHeight="1">
      <c r="C3248" s="70" t="str">
        <f t="shared" si="52"/>
        <v/>
      </c>
    </row>
    <row r="3249" spans="3:3" ht="15" customHeight="1">
      <c r="C3249" s="70" t="str">
        <f t="shared" si="52"/>
        <v/>
      </c>
    </row>
    <row r="3250" spans="3:3" ht="15" customHeight="1">
      <c r="C3250" s="70" t="str">
        <f t="shared" si="52"/>
        <v/>
      </c>
    </row>
    <row r="3251" spans="3:3" ht="15" customHeight="1">
      <c r="C3251" s="70" t="str">
        <f t="shared" si="52"/>
        <v/>
      </c>
    </row>
    <row r="3252" spans="3:3" ht="15" customHeight="1">
      <c r="C3252" s="70" t="str">
        <f t="shared" si="52"/>
        <v/>
      </c>
    </row>
    <row r="3253" spans="3:3" ht="15" customHeight="1">
      <c r="C3253" s="70" t="str">
        <f t="shared" si="52"/>
        <v/>
      </c>
    </row>
    <row r="3254" spans="3:3" ht="15" customHeight="1">
      <c r="C3254" s="70" t="str">
        <f t="shared" si="52"/>
        <v/>
      </c>
    </row>
    <row r="3255" spans="3:3" ht="15" customHeight="1">
      <c r="C3255" s="70" t="str">
        <f t="shared" si="52"/>
        <v/>
      </c>
    </row>
    <row r="3256" spans="3:3" ht="15" customHeight="1">
      <c r="C3256" s="70" t="str">
        <f t="shared" si="52"/>
        <v/>
      </c>
    </row>
    <row r="3257" spans="3:3" ht="15" customHeight="1">
      <c r="C3257" s="70" t="str">
        <f t="shared" si="52"/>
        <v/>
      </c>
    </row>
    <row r="3258" spans="3:3" ht="15" customHeight="1">
      <c r="C3258" s="70" t="str">
        <f t="shared" si="52"/>
        <v/>
      </c>
    </row>
    <row r="3259" spans="3:3" ht="15" customHeight="1">
      <c r="C3259" s="70" t="str">
        <f t="shared" si="52"/>
        <v/>
      </c>
    </row>
    <row r="3260" spans="3:3" ht="15" customHeight="1">
      <c r="C3260" s="70" t="str">
        <f t="shared" si="52"/>
        <v/>
      </c>
    </row>
    <row r="3261" spans="3:3" ht="15" customHeight="1">
      <c r="C3261" s="70" t="str">
        <f t="shared" si="52"/>
        <v/>
      </c>
    </row>
    <row r="3262" spans="3:3" ht="15" customHeight="1">
      <c r="C3262" s="70" t="str">
        <f t="shared" si="52"/>
        <v/>
      </c>
    </row>
    <row r="3263" spans="3:3" ht="15" customHeight="1">
      <c r="C3263" s="70" t="str">
        <f t="shared" si="52"/>
        <v/>
      </c>
    </row>
    <row r="3264" spans="3:3" ht="15" customHeight="1">
      <c r="C3264" s="70" t="str">
        <f t="shared" si="52"/>
        <v/>
      </c>
    </row>
    <row r="3265" spans="3:3" ht="15" customHeight="1">
      <c r="C3265" s="70" t="str">
        <f t="shared" si="52"/>
        <v/>
      </c>
    </row>
    <row r="3266" spans="3:3" ht="15" customHeight="1">
      <c r="C3266" s="70" t="str">
        <f t="shared" si="52"/>
        <v/>
      </c>
    </row>
    <row r="3267" spans="3:3" ht="15" customHeight="1">
      <c r="C3267" s="70" t="str">
        <f t="shared" si="52"/>
        <v/>
      </c>
    </row>
    <row r="3268" spans="3:3" ht="15" customHeight="1">
      <c r="C3268" s="70" t="str">
        <f t="shared" si="52"/>
        <v/>
      </c>
    </row>
    <row r="3269" spans="3:3" ht="15" customHeight="1">
      <c r="C3269" s="70" t="str">
        <f t="shared" si="52"/>
        <v/>
      </c>
    </row>
    <row r="3270" spans="3:3" ht="15" customHeight="1">
      <c r="C3270" s="70" t="str">
        <f t="shared" si="52"/>
        <v/>
      </c>
    </row>
    <row r="3271" spans="3:3" ht="15" customHeight="1">
      <c r="C3271" s="70" t="str">
        <f t="shared" si="52"/>
        <v/>
      </c>
    </row>
    <row r="3272" spans="3:3" ht="15" customHeight="1">
      <c r="C3272" s="70" t="str">
        <f t="shared" si="52"/>
        <v/>
      </c>
    </row>
    <row r="3273" spans="3:3" ht="15" customHeight="1">
      <c r="C3273" s="70" t="str">
        <f t="shared" si="52"/>
        <v/>
      </c>
    </row>
    <row r="3274" spans="3:3" ht="15" customHeight="1">
      <c r="C3274" s="70" t="str">
        <f t="shared" si="52"/>
        <v/>
      </c>
    </row>
    <row r="3275" spans="3:3" ht="15" customHeight="1">
      <c r="C3275" s="70" t="str">
        <f t="shared" si="52"/>
        <v/>
      </c>
    </row>
    <row r="3276" spans="3:3" ht="15" customHeight="1">
      <c r="C3276" s="70" t="str">
        <f t="shared" si="52"/>
        <v/>
      </c>
    </row>
    <row r="3277" spans="3:3" ht="15" customHeight="1">
      <c r="C3277" s="70" t="str">
        <f t="shared" si="52"/>
        <v/>
      </c>
    </row>
    <row r="3278" spans="3:3" ht="15" customHeight="1">
      <c r="C3278" s="70" t="str">
        <f t="shared" si="52"/>
        <v/>
      </c>
    </row>
    <row r="3279" spans="3:3" ht="15" customHeight="1">
      <c r="C3279" s="70" t="str">
        <f t="shared" si="52"/>
        <v/>
      </c>
    </row>
    <row r="3280" spans="3:3" ht="15" customHeight="1">
      <c r="C3280" s="70" t="str">
        <f t="shared" si="52"/>
        <v/>
      </c>
    </row>
    <row r="3281" spans="3:3" ht="15" customHeight="1">
      <c r="C3281" s="70" t="str">
        <f t="shared" ref="C3281:C3344" si="53">IF(B3281&lt;&gt;"",TEXT(WEEKDAY(B3281),"dddd"),"")</f>
        <v/>
      </c>
    </row>
    <row r="3282" spans="3:3" ht="15" customHeight="1">
      <c r="C3282" s="70" t="str">
        <f t="shared" si="53"/>
        <v/>
      </c>
    </row>
    <row r="3283" spans="3:3" ht="15" customHeight="1">
      <c r="C3283" s="70" t="str">
        <f t="shared" si="53"/>
        <v/>
      </c>
    </row>
    <row r="3284" spans="3:3" ht="15" customHeight="1">
      <c r="C3284" s="70" t="str">
        <f t="shared" si="53"/>
        <v/>
      </c>
    </row>
    <row r="3285" spans="3:3" ht="15" customHeight="1">
      <c r="C3285" s="70" t="str">
        <f t="shared" si="53"/>
        <v/>
      </c>
    </row>
    <row r="3286" spans="3:3" ht="15" customHeight="1">
      <c r="C3286" s="70" t="str">
        <f t="shared" si="53"/>
        <v/>
      </c>
    </row>
    <row r="3287" spans="3:3" ht="15" customHeight="1">
      <c r="C3287" s="70" t="str">
        <f t="shared" si="53"/>
        <v/>
      </c>
    </row>
    <row r="3288" spans="3:3" ht="15" customHeight="1">
      <c r="C3288" s="70" t="str">
        <f t="shared" si="53"/>
        <v/>
      </c>
    </row>
    <row r="3289" spans="3:3" ht="15" customHeight="1">
      <c r="C3289" s="70" t="str">
        <f t="shared" si="53"/>
        <v/>
      </c>
    </row>
    <row r="3290" spans="3:3" ht="15" customHeight="1">
      <c r="C3290" s="70" t="str">
        <f t="shared" si="53"/>
        <v/>
      </c>
    </row>
    <row r="3291" spans="3:3" ht="15" customHeight="1">
      <c r="C3291" s="70" t="str">
        <f t="shared" si="53"/>
        <v/>
      </c>
    </row>
    <row r="3292" spans="3:3" ht="15" customHeight="1">
      <c r="C3292" s="70" t="str">
        <f t="shared" si="53"/>
        <v/>
      </c>
    </row>
    <row r="3293" spans="3:3" ht="15" customHeight="1">
      <c r="C3293" s="70" t="str">
        <f t="shared" si="53"/>
        <v/>
      </c>
    </row>
    <row r="3294" spans="3:3" ht="15" customHeight="1">
      <c r="C3294" s="70" t="str">
        <f t="shared" si="53"/>
        <v/>
      </c>
    </row>
    <row r="3295" spans="3:3" ht="15" customHeight="1">
      <c r="C3295" s="70" t="str">
        <f t="shared" si="53"/>
        <v/>
      </c>
    </row>
    <row r="3296" spans="3:3" ht="15" customHeight="1">
      <c r="C3296" s="70" t="str">
        <f t="shared" si="53"/>
        <v/>
      </c>
    </row>
    <row r="3297" spans="3:3" ht="15" customHeight="1">
      <c r="C3297" s="70" t="str">
        <f t="shared" si="53"/>
        <v/>
      </c>
    </row>
    <row r="3298" spans="3:3" ht="15" customHeight="1">
      <c r="C3298" s="70" t="str">
        <f t="shared" si="53"/>
        <v/>
      </c>
    </row>
    <row r="3299" spans="3:3" ht="15" customHeight="1">
      <c r="C3299" s="70" t="str">
        <f t="shared" si="53"/>
        <v/>
      </c>
    </row>
    <row r="3300" spans="3:3" ht="15" customHeight="1">
      <c r="C3300" s="70" t="str">
        <f t="shared" si="53"/>
        <v/>
      </c>
    </row>
    <row r="3301" spans="3:3" ht="15" customHeight="1">
      <c r="C3301" s="70" t="str">
        <f t="shared" si="53"/>
        <v/>
      </c>
    </row>
    <row r="3302" spans="3:3" ht="15" customHeight="1">
      <c r="C3302" s="70" t="str">
        <f t="shared" si="53"/>
        <v/>
      </c>
    </row>
    <row r="3303" spans="3:3" ht="15" customHeight="1">
      <c r="C3303" s="70" t="str">
        <f t="shared" si="53"/>
        <v/>
      </c>
    </row>
    <row r="3304" spans="3:3" ht="15" customHeight="1">
      <c r="C3304" s="70" t="str">
        <f t="shared" si="53"/>
        <v/>
      </c>
    </row>
    <row r="3305" spans="3:3" ht="15" customHeight="1">
      <c r="C3305" s="70" t="str">
        <f t="shared" si="53"/>
        <v/>
      </c>
    </row>
    <row r="3306" spans="3:3" ht="15" customHeight="1">
      <c r="C3306" s="70" t="str">
        <f t="shared" si="53"/>
        <v/>
      </c>
    </row>
    <row r="3307" spans="3:3" ht="15" customHeight="1">
      <c r="C3307" s="70" t="str">
        <f t="shared" si="53"/>
        <v/>
      </c>
    </row>
    <row r="3308" spans="3:3" ht="15" customHeight="1">
      <c r="C3308" s="70" t="str">
        <f t="shared" si="53"/>
        <v/>
      </c>
    </row>
    <row r="3309" spans="3:3" ht="15" customHeight="1">
      <c r="C3309" s="70" t="str">
        <f t="shared" si="53"/>
        <v/>
      </c>
    </row>
    <row r="3310" spans="3:3" ht="15" customHeight="1">
      <c r="C3310" s="70" t="str">
        <f t="shared" si="53"/>
        <v/>
      </c>
    </row>
    <row r="3311" spans="3:3" ht="15" customHeight="1">
      <c r="C3311" s="70" t="str">
        <f t="shared" si="53"/>
        <v/>
      </c>
    </row>
    <row r="3312" spans="3:3" ht="15" customHeight="1">
      <c r="C3312" s="70" t="str">
        <f t="shared" si="53"/>
        <v/>
      </c>
    </row>
    <row r="3313" spans="3:3" ht="15" customHeight="1">
      <c r="C3313" s="70" t="str">
        <f t="shared" si="53"/>
        <v/>
      </c>
    </row>
    <row r="3314" spans="3:3" ht="15" customHeight="1">
      <c r="C3314" s="70" t="str">
        <f t="shared" si="53"/>
        <v/>
      </c>
    </row>
    <row r="3315" spans="3:3" ht="15" customHeight="1">
      <c r="C3315" s="70" t="str">
        <f t="shared" si="53"/>
        <v/>
      </c>
    </row>
    <row r="3316" spans="3:3" ht="15" customHeight="1">
      <c r="C3316" s="70" t="str">
        <f t="shared" si="53"/>
        <v/>
      </c>
    </row>
    <row r="3317" spans="3:3" ht="15" customHeight="1">
      <c r="C3317" s="70" t="str">
        <f t="shared" si="53"/>
        <v/>
      </c>
    </row>
    <row r="3318" spans="3:3" ht="15" customHeight="1">
      <c r="C3318" s="70" t="str">
        <f t="shared" si="53"/>
        <v/>
      </c>
    </row>
    <row r="3319" spans="3:3" ht="15" customHeight="1">
      <c r="C3319" s="70" t="str">
        <f t="shared" si="53"/>
        <v/>
      </c>
    </row>
    <row r="3320" spans="3:3" ht="15" customHeight="1">
      <c r="C3320" s="70" t="str">
        <f t="shared" si="53"/>
        <v/>
      </c>
    </row>
    <row r="3321" spans="3:3" ht="15" customHeight="1">
      <c r="C3321" s="70" t="str">
        <f t="shared" si="53"/>
        <v/>
      </c>
    </row>
    <row r="3322" spans="3:3" ht="15" customHeight="1">
      <c r="C3322" s="70" t="str">
        <f t="shared" si="53"/>
        <v/>
      </c>
    </row>
    <row r="3323" spans="3:3" ht="15" customHeight="1">
      <c r="C3323" s="70" t="str">
        <f t="shared" si="53"/>
        <v/>
      </c>
    </row>
    <row r="3324" spans="3:3" ht="15" customHeight="1">
      <c r="C3324" s="70" t="str">
        <f t="shared" si="53"/>
        <v/>
      </c>
    </row>
    <row r="3325" spans="3:3" ht="15" customHeight="1">
      <c r="C3325" s="70" t="str">
        <f t="shared" si="53"/>
        <v/>
      </c>
    </row>
    <row r="3326" spans="3:3" ht="15" customHeight="1">
      <c r="C3326" s="70" t="str">
        <f t="shared" si="53"/>
        <v/>
      </c>
    </row>
    <row r="3327" spans="3:3" ht="15" customHeight="1">
      <c r="C3327" s="70" t="str">
        <f t="shared" si="53"/>
        <v/>
      </c>
    </row>
    <row r="3328" spans="3:3" ht="15" customHeight="1">
      <c r="C3328" s="70" t="str">
        <f t="shared" si="53"/>
        <v/>
      </c>
    </row>
    <row r="3329" spans="3:3" ht="15" customHeight="1">
      <c r="C3329" s="70" t="str">
        <f t="shared" si="53"/>
        <v/>
      </c>
    </row>
    <row r="3330" spans="3:3" ht="15" customHeight="1">
      <c r="C3330" s="70" t="str">
        <f t="shared" si="53"/>
        <v/>
      </c>
    </row>
    <row r="3331" spans="3:3" ht="15" customHeight="1">
      <c r="C3331" s="70" t="str">
        <f t="shared" si="53"/>
        <v/>
      </c>
    </row>
    <row r="3332" spans="3:3" ht="15" customHeight="1">
      <c r="C3332" s="70" t="str">
        <f t="shared" si="53"/>
        <v/>
      </c>
    </row>
    <row r="3333" spans="3:3" ht="15" customHeight="1">
      <c r="C3333" s="70" t="str">
        <f t="shared" si="53"/>
        <v/>
      </c>
    </row>
    <row r="3334" spans="3:3" ht="15" customHeight="1">
      <c r="C3334" s="70" t="str">
        <f t="shared" si="53"/>
        <v/>
      </c>
    </row>
    <row r="3335" spans="3:3" ht="15" customHeight="1">
      <c r="C3335" s="70" t="str">
        <f t="shared" si="53"/>
        <v/>
      </c>
    </row>
    <row r="3336" spans="3:3" ht="15" customHeight="1">
      <c r="C3336" s="70" t="str">
        <f t="shared" si="53"/>
        <v/>
      </c>
    </row>
    <row r="3337" spans="3:3" ht="15" customHeight="1">
      <c r="C3337" s="70" t="str">
        <f t="shared" si="53"/>
        <v/>
      </c>
    </row>
    <row r="3338" spans="3:3" ht="15" customHeight="1">
      <c r="C3338" s="70" t="str">
        <f t="shared" si="53"/>
        <v/>
      </c>
    </row>
    <row r="3339" spans="3:3" ht="15" customHeight="1">
      <c r="C3339" s="70" t="str">
        <f t="shared" si="53"/>
        <v/>
      </c>
    </row>
    <row r="3340" spans="3:3" ht="15" customHeight="1">
      <c r="C3340" s="70" t="str">
        <f t="shared" si="53"/>
        <v/>
      </c>
    </row>
    <row r="3341" spans="3:3" ht="15" customHeight="1">
      <c r="C3341" s="70" t="str">
        <f t="shared" si="53"/>
        <v/>
      </c>
    </row>
    <row r="3342" spans="3:3" ht="15" customHeight="1">
      <c r="C3342" s="70" t="str">
        <f t="shared" si="53"/>
        <v/>
      </c>
    </row>
    <row r="3343" spans="3:3" ht="15" customHeight="1">
      <c r="C3343" s="70" t="str">
        <f t="shared" si="53"/>
        <v/>
      </c>
    </row>
    <row r="3344" spans="3:3" ht="15" customHeight="1">
      <c r="C3344" s="70" t="str">
        <f t="shared" si="53"/>
        <v/>
      </c>
    </row>
    <row r="3345" spans="3:3" ht="15" customHeight="1">
      <c r="C3345" s="70" t="str">
        <f t="shared" ref="C3345:C3408" si="54">IF(B3345&lt;&gt;"",TEXT(WEEKDAY(B3345),"dddd"),"")</f>
        <v/>
      </c>
    </row>
    <row r="3346" spans="3:3" ht="15" customHeight="1">
      <c r="C3346" s="70" t="str">
        <f t="shared" si="54"/>
        <v/>
      </c>
    </row>
    <row r="3347" spans="3:3" ht="15" customHeight="1">
      <c r="C3347" s="70" t="str">
        <f t="shared" si="54"/>
        <v/>
      </c>
    </row>
    <row r="3348" spans="3:3" ht="15" customHeight="1">
      <c r="C3348" s="70" t="str">
        <f t="shared" si="54"/>
        <v/>
      </c>
    </row>
    <row r="3349" spans="3:3" ht="15" customHeight="1">
      <c r="C3349" s="70" t="str">
        <f t="shared" si="54"/>
        <v/>
      </c>
    </row>
    <row r="3350" spans="3:3" ht="15" customHeight="1">
      <c r="C3350" s="70" t="str">
        <f t="shared" si="54"/>
        <v/>
      </c>
    </row>
    <row r="3351" spans="3:3" ht="15" customHeight="1">
      <c r="C3351" s="70" t="str">
        <f t="shared" si="54"/>
        <v/>
      </c>
    </row>
    <row r="3352" spans="3:3" ht="15" customHeight="1">
      <c r="C3352" s="70" t="str">
        <f t="shared" si="54"/>
        <v/>
      </c>
    </row>
    <row r="3353" spans="3:3" ht="15" customHeight="1">
      <c r="C3353" s="70" t="str">
        <f t="shared" si="54"/>
        <v/>
      </c>
    </row>
    <row r="3354" spans="3:3" ht="15" customHeight="1">
      <c r="C3354" s="70" t="str">
        <f t="shared" si="54"/>
        <v/>
      </c>
    </row>
    <row r="3355" spans="3:3" ht="15" customHeight="1">
      <c r="C3355" s="70" t="str">
        <f t="shared" si="54"/>
        <v/>
      </c>
    </row>
    <row r="3356" spans="3:3" ht="15" customHeight="1">
      <c r="C3356" s="70" t="str">
        <f t="shared" si="54"/>
        <v/>
      </c>
    </row>
    <row r="3357" spans="3:3" ht="15" customHeight="1">
      <c r="C3357" s="70" t="str">
        <f t="shared" si="54"/>
        <v/>
      </c>
    </row>
    <row r="3358" spans="3:3" ht="15" customHeight="1">
      <c r="C3358" s="70" t="str">
        <f t="shared" si="54"/>
        <v/>
      </c>
    </row>
    <row r="3359" spans="3:3" ht="15" customHeight="1">
      <c r="C3359" s="70" t="str">
        <f t="shared" si="54"/>
        <v/>
      </c>
    </row>
    <row r="3360" spans="3:3" ht="15" customHeight="1">
      <c r="C3360" s="70" t="str">
        <f t="shared" si="54"/>
        <v/>
      </c>
    </row>
    <row r="3361" spans="3:3" ht="15" customHeight="1">
      <c r="C3361" s="70" t="str">
        <f t="shared" si="54"/>
        <v/>
      </c>
    </row>
    <row r="3362" spans="3:3" ht="15" customHeight="1">
      <c r="C3362" s="70" t="str">
        <f t="shared" si="54"/>
        <v/>
      </c>
    </row>
    <row r="3363" spans="3:3" ht="15" customHeight="1">
      <c r="C3363" s="70" t="str">
        <f t="shared" si="54"/>
        <v/>
      </c>
    </row>
    <row r="3364" spans="3:3" ht="15" customHeight="1">
      <c r="C3364" s="70" t="str">
        <f t="shared" si="54"/>
        <v/>
      </c>
    </row>
    <row r="3365" spans="3:3" ht="15" customHeight="1">
      <c r="C3365" s="70" t="str">
        <f t="shared" si="54"/>
        <v/>
      </c>
    </row>
    <row r="3366" spans="3:3" ht="15" customHeight="1">
      <c r="C3366" s="70" t="str">
        <f t="shared" si="54"/>
        <v/>
      </c>
    </row>
    <row r="3367" spans="3:3" ht="15" customHeight="1">
      <c r="C3367" s="70" t="str">
        <f t="shared" si="54"/>
        <v/>
      </c>
    </row>
    <row r="3368" spans="3:3" ht="15" customHeight="1">
      <c r="C3368" s="70" t="str">
        <f t="shared" si="54"/>
        <v/>
      </c>
    </row>
    <row r="3369" spans="3:3" ht="15" customHeight="1">
      <c r="C3369" s="70" t="str">
        <f t="shared" si="54"/>
        <v/>
      </c>
    </row>
    <row r="3370" spans="3:3" ht="15" customHeight="1">
      <c r="C3370" s="70" t="str">
        <f t="shared" si="54"/>
        <v/>
      </c>
    </row>
    <row r="3371" spans="3:3" ht="15" customHeight="1">
      <c r="C3371" s="70" t="str">
        <f t="shared" si="54"/>
        <v/>
      </c>
    </row>
    <row r="3372" spans="3:3" ht="15" customHeight="1">
      <c r="C3372" s="70" t="str">
        <f t="shared" si="54"/>
        <v/>
      </c>
    </row>
    <row r="3373" spans="3:3" ht="15" customHeight="1">
      <c r="C3373" s="70" t="str">
        <f t="shared" si="54"/>
        <v/>
      </c>
    </row>
    <row r="3374" spans="3:3" ht="15" customHeight="1">
      <c r="C3374" s="70" t="str">
        <f t="shared" si="54"/>
        <v/>
      </c>
    </row>
    <row r="3375" spans="3:3" ht="15" customHeight="1">
      <c r="C3375" s="70" t="str">
        <f t="shared" si="54"/>
        <v/>
      </c>
    </row>
    <row r="3376" spans="3:3" ht="15" customHeight="1">
      <c r="C3376" s="70" t="str">
        <f t="shared" si="54"/>
        <v/>
      </c>
    </row>
    <row r="3377" spans="3:3" ht="15" customHeight="1">
      <c r="C3377" s="70" t="str">
        <f t="shared" si="54"/>
        <v/>
      </c>
    </row>
    <row r="3378" spans="3:3" ht="15" customHeight="1">
      <c r="C3378" s="70" t="str">
        <f t="shared" si="54"/>
        <v/>
      </c>
    </row>
    <row r="3379" spans="3:3" ht="15" customHeight="1">
      <c r="C3379" s="70" t="str">
        <f t="shared" si="54"/>
        <v/>
      </c>
    </row>
    <row r="3380" spans="3:3" ht="15" customHeight="1">
      <c r="C3380" s="70" t="str">
        <f t="shared" si="54"/>
        <v/>
      </c>
    </row>
    <row r="3381" spans="3:3" ht="15" customHeight="1">
      <c r="C3381" s="70" t="str">
        <f t="shared" si="54"/>
        <v/>
      </c>
    </row>
    <row r="3382" spans="3:3" ht="15" customHeight="1">
      <c r="C3382" s="70" t="str">
        <f t="shared" si="54"/>
        <v/>
      </c>
    </row>
    <row r="3383" spans="3:3" ht="15" customHeight="1">
      <c r="C3383" s="70" t="str">
        <f t="shared" si="54"/>
        <v/>
      </c>
    </row>
    <row r="3384" spans="3:3" ht="15" customHeight="1">
      <c r="C3384" s="70" t="str">
        <f t="shared" si="54"/>
        <v/>
      </c>
    </row>
    <row r="3385" spans="3:3" ht="15" customHeight="1">
      <c r="C3385" s="70" t="str">
        <f t="shared" si="54"/>
        <v/>
      </c>
    </row>
    <row r="3386" spans="3:3" ht="15" customHeight="1">
      <c r="C3386" s="70" t="str">
        <f t="shared" si="54"/>
        <v/>
      </c>
    </row>
    <row r="3387" spans="3:3" ht="15" customHeight="1">
      <c r="C3387" s="70" t="str">
        <f t="shared" si="54"/>
        <v/>
      </c>
    </row>
    <row r="3388" spans="3:3" ht="15" customHeight="1">
      <c r="C3388" s="70" t="str">
        <f t="shared" si="54"/>
        <v/>
      </c>
    </row>
    <row r="3389" spans="3:3" ht="15" customHeight="1">
      <c r="C3389" s="70" t="str">
        <f t="shared" si="54"/>
        <v/>
      </c>
    </row>
    <row r="3390" spans="3:3" ht="15" customHeight="1">
      <c r="C3390" s="70" t="str">
        <f t="shared" si="54"/>
        <v/>
      </c>
    </row>
    <row r="3391" spans="3:3" ht="15" customHeight="1">
      <c r="C3391" s="70" t="str">
        <f t="shared" si="54"/>
        <v/>
      </c>
    </row>
    <row r="3392" spans="3:3" ht="15" customHeight="1">
      <c r="C3392" s="70" t="str">
        <f t="shared" si="54"/>
        <v/>
      </c>
    </row>
    <row r="3393" spans="3:3" ht="15" customHeight="1">
      <c r="C3393" s="70" t="str">
        <f t="shared" si="54"/>
        <v/>
      </c>
    </row>
    <row r="3394" spans="3:3" ht="15" customHeight="1">
      <c r="C3394" s="70" t="str">
        <f t="shared" si="54"/>
        <v/>
      </c>
    </row>
    <row r="3395" spans="3:3" ht="15" customHeight="1">
      <c r="C3395" s="70" t="str">
        <f t="shared" si="54"/>
        <v/>
      </c>
    </row>
    <row r="3396" spans="3:3" ht="15" customHeight="1">
      <c r="C3396" s="70" t="str">
        <f t="shared" si="54"/>
        <v/>
      </c>
    </row>
    <row r="3397" spans="3:3" ht="15" customHeight="1">
      <c r="C3397" s="70" t="str">
        <f t="shared" si="54"/>
        <v/>
      </c>
    </row>
    <row r="3398" spans="3:3" ht="15" customHeight="1">
      <c r="C3398" s="70" t="str">
        <f t="shared" si="54"/>
        <v/>
      </c>
    </row>
    <row r="3399" spans="3:3" ht="15" customHeight="1">
      <c r="C3399" s="70" t="str">
        <f t="shared" si="54"/>
        <v/>
      </c>
    </row>
    <row r="3400" spans="3:3" ht="15" customHeight="1">
      <c r="C3400" s="70" t="str">
        <f t="shared" si="54"/>
        <v/>
      </c>
    </row>
    <row r="3401" spans="3:3" ht="15" customHeight="1">
      <c r="C3401" s="70" t="str">
        <f t="shared" si="54"/>
        <v/>
      </c>
    </row>
    <row r="3402" spans="3:3" ht="15" customHeight="1">
      <c r="C3402" s="70" t="str">
        <f t="shared" si="54"/>
        <v/>
      </c>
    </row>
    <row r="3403" spans="3:3" ht="15" customHeight="1">
      <c r="C3403" s="70" t="str">
        <f t="shared" si="54"/>
        <v/>
      </c>
    </row>
    <row r="3404" spans="3:3" ht="15" customHeight="1">
      <c r="C3404" s="70" t="str">
        <f t="shared" si="54"/>
        <v/>
      </c>
    </row>
    <row r="3405" spans="3:3" ht="15" customHeight="1">
      <c r="C3405" s="70" t="str">
        <f t="shared" si="54"/>
        <v/>
      </c>
    </row>
    <row r="3406" spans="3:3" ht="15" customHeight="1">
      <c r="C3406" s="70" t="str">
        <f t="shared" si="54"/>
        <v/>
      </c>
    </row>
    <row r="3407" spans="3:3" ht="15" customHeight="1">
      <c r="C3407" s="70" t="str">
        <f t="shared" si="54"/>
        <v/>
      </c>
    </row>
    <row r="3408" spans="3:3" ht="15" customHeight="1">
      <c r="C3408" s="70" t="str">
        <f t="shared" si="54"/>
        <v/>
      </c>
    </row>
    <row r="3409" spans="3:3" ht="15" customHeight="1">
      <c r="C3409" s="70" t="str">
        <f t="shared" ref="C3409:C3472" si="55">IF(B3409&lt;&gt;"",TEXT(WEEKDAY(B3409),"dddd"),"")</f>
        <v/>
      </c>
    </row>
    <row r="3410" spans="3:3" ht="15" customHeight="1">
      <c r="C3410" s="70" t="str">
        <f t="shared" si="55"/>
        <v/>
      </c>
    </row>
    <row r="3411" spans="3:3" ht="15" customHeight="1">
      <c r="C3411" s="70" t="str">
        <f t="shared" si="55"/>
        <v/>
      </c>
    </row>
    <row r="3412" spans="3:3" ht="15" customHeight="1">
      <c r="C3412" s="70" t="str">
        <f t="shared" si="55"/>
        <v/>
      </c>
    </row>
    <row r="3413" spans="3:3" ht="15" customHeight="1">
      <c r="C3413" s="70" t="str">
        <f t="shared" si="55"/>
        <v/>
      </c>
    </row>
    <row r="3414" spans="3:3" ht="15" customHeight="1">
      <c r="C3414" s="70" t="str">
        <f t="shared" si="55"/>
        <v/>
      </c>
    </row>
    <row r="3415" spans="3:3" ht="15" customHeight="1">
      <c r="C3415" s="70" t="str">
        <f t="shared" si="55"/>
        <v/>
      </c>
    </row>
    <row r="3416" spans="3:3" ht="15" customHeight="1">
      <c r="C3416" s="70" t="str">
        <f t="shared" si="55"/>
        <v/>
      </c>
    </row>
    <row r="3417" spans="3:3" ht="15" customHeight="1">
      <c r="C3417" s="70" t="str">
        <f t="shared" si="55"/>
        <v/>
      </c>
    </row>
    <row r="3418" spans="3:3" ht="15" customHeight="1">
      <c r="C3418" s="70" t="str">
        <f t="shared" si="55"/>
        <v/>
      </c>
    </row>
    <row r="3419" spans="3:3" ht="15" customHeight="1">
      <c r="C3419" s="70" t="str">
        <f t="shared" si="55"/>
        <v/>
      </c>
    </row>
    <row r="3420" spans="3:3" ht="15" customHeight="1">
      <c r="C3420" s="70" t="str">
        <f t="shared" si="55"/>
        <v/>
      </c>
    </row>
    <row r="3421" spans="3:3" ht="15" customHeight="1">
      <c r="C3421" s="70" t="str">
        <f t="shared" si="55"/>
        <v/>
      </c>
    </row>
    <row r="3422" spans="3:3" ht="15" customHeight="1">
      <c r="C3422" s="70" t="str">
        <f t="shared" si="55"/>
        <v/>
      </c>
    </row>
    <row r="3423" spans="3:3" ht="15" customHeight="1">
      <c r="C3423" s="70" t="str">
        <f t="shared" si="55"/>
        <v/>
      </c>
    </row>
    <row r="3424" spans="3:3" ht="15" customHeight="1">
      <c r="C3424" s="70" t="str">
        <f t="shared" si="55"/>
        <v/>
      </c>
    </row>
    <row r="3425" spans="3:3" ht="15" customHeight="1">
      <c r="C3425" s="70" t="str">
        <f t="shared" si="55"/>
        <v/>
      </c>
    </row>
    <row r="3426" spans="3:3" ht="15" customHeight="1">
      <c r="C3426" s="70" t="str">
        <f t="shared" si="55"/>
        <v/>
      </c>
    </row>
    <row r="3427" spans="3:3" ht="15" customHeight="1">
      <c r="C3427" s="70" t="str">
        <f t="shared" si="55"/>
        <v/>
      </c>
    </row>
    <row r="3428" spans="3:3" ht="15" customHeight="1">
      <c r="C3428" s="70" t="str">
        <f t="shared" si="55"/>
        <v/>
      </c>
    </row>
    <row r="3429" spans="3:3" ht="15" customHeight="1">
      <c r="C3429" s="70" t="str">
        <f t="shared" si="55"/>
        <v/>
      </c>
    </row>
    <row r="3430" spans="3:3" ht="15" customHeight="1">
      <c r="C3430" s="70" t="str">
        <f t="shared" si="55"/>
        <v/>
      </c>
    </row>
    <row r="3431" spans="3:3" ht="15" customHeight="1">
      <c r="C3431" s="70" t="str">
        <f t="shared" si="55"/>
        <v/>
      </c>
    </row>
    <row r="3432" spans="3:3" ht="15" customHeight="1">
      <c r="C3432" s="70" t="str">
        <f t="shared" si="55"/>
        <v/>
      </c>
    </row>
    <row r="3433" spans="3:3" ht="15" customHeight="1">
      <c r="C3433" s="70" t="str">
        <f t="shared" si="55"/>
        <v/>
      </c>
    </row>
    <row r="3434" spans="3:3" ht="15" customHeight="1">
      <c r="C3434" s="70" t="str">
        <f t="shared" si="55"/>
        <v/>
      </c>
    </row>
    <row r="3435" spans="3:3" ht="15" customHeight="1">
      <c r="C3435" s="70" t="str">
        <f t="shared" si="55"/>
        <v/>
      </c>
    </row>
    <row r="3436" spans="3:3" ht="15" customHeight="1">
      <c r="C3436" s="70" t="str">
        <f t="shared" si="55"/>
        <v/>
      </c>
    </row>
    <row r="3437" spans="3:3" ht="15" customHeight="1">
      <c r="C3437" s="70" t="str">
        <f t="shared" si="55"/>
        <v/>
      </c>
    </row>
    <row r="3438" spans="3:3" ht="15" customHeight="1">
      <c r="C3438" s="70" t="str">
        <f t="shared" si="55"/>
        <v/>
      </c>
    </row>
    <row r="3439" spans="3:3" ht="15" customHeight="1">
      <c r="C3439" s="70" t="str">
        <f t="shared" si="55"/>
        <v/>
      </c>
    </row>
    <row r="3440" spans="3:3" ht="15" customHeight="1">
      <c r="C3440" s="70" t="str">
        <f t="shared" si="55"/>
        <v/>
      </c>
    </row>
    <row r="3441" spans="3:3" ht="15" customHeight="1">
      <c r="C3441" s="70" t="str">
        <f t="shared" si="55"/>
        <v/>
      </c>
    </row>
    <row r="3442" spans="3:3" ht="15" customHeight="1">
      <c r="C3442" s="70" t="str">
        <f t="shared" si="55"/>
        <v/>
      </c>
    </row>
    <row r="3443" spans="3:3" ht="15" customHeight="1">
      <c r="C3443" s="70" t="str">
        <f t="shared" si="55"/>
        <v/>
      </c>
    </row>
    <row r="3444" spans="3:3" ht="15" customHeight="1">
      <c r="C3444" s="70" t="str">
        <f t="shared" si="55"/>
        <v/>
      </c>
    </row>
    <row r="3445" spans="3:3" ht="15" customHeight="1">
      <c r="C3445" s="70" t="str">
        <f t="shared" si="55"/>
        <v/>
      </c>
    </row>
    <row r="3446" spans="3:3" ht="15" customHeight="1">
      <c r="C3446" s="70" t="str">
        <f t="shared" si="55"/>
        <v/>
      </c>
    </row>
    <row r="3447" spans="3:3" ht="15" customHeight="1">
      <c r="C3447" s="70" t="str">
        <f t="shared" si="55"/>
        <v/>
      </c>
    </row>
    <row r="3448" spans="3:3" ht="15" customHeight="1">
      <c r="C3448" s="70" t="str">
        <f t="shared" si="55"/>
        <v/>
      </c>
    </row>
    <row r="3449" spans="3:3" ht="15" customHeight="1">
      <c r="C3449" s="70" t="str">
        <f t="shared" si="55"/>
        <v/>
      </c>
    </row>
    <row r="3450" spans="3:3" ht="15" customHeight="1">
      <c r="C3450" s="70" t="str">
        <f t="shared" si="55"/>
        <v/>
      </c>
    </row>
    <row r="3451" spans="3:3" ht="15" customHeight="1">
      <c r="C3451" s="70" t="str">
        <f t="shared" si="55"/>
        <v/>
      </c>
    </row>
    <row r="3452" spans="3:3" ht="15" customHeight="1">
      <c r="C3452" s="70" t="str">
        <f t="shared" si="55"/>
        <v/>
      </c>
    </row>
    <row r="3453" spans="3:3" ht="15" customHeight="1">
      <c r="C3453" s="70" t="str">
        <f t="shared" si="55"/>
        <v/>
      </c>
    </row>
    <row r="3454" spans="3:3" ht="15" customHeight="1">
      <c r="C3454" s="70" t="str">
        <f t="shared" si="55"/>
        <v/>
      </c>
    </row>
    <row r="3455" spans="3:3" ht="15" customHeight="1">
      <c r="C3455" s="70" t="str">
        <f t="shared" si="55"/>
        <v/>
      </c>
    </row>
    <row r="3456" spans="3:3" ht="15" customHeight="1">
      <c r="C3456" s="70" t="str">
        <f t="shared" si="55"/>
        <v/>
      </c>
    </row>
    <row r="3457" spans="3:3" ht="15" customHeight="1">
      <c r="C3457" s="70" t="str">
        <f t="shared" si="55"/>
        <v/>
      </c>
    </row>
    <row r="3458" spans="3:3" ht="15" customHeight="1">
      <c r="C3458" s="70" t="str">
        <f t="shared" si="55"/>
        <v/>
      </c>
    </row>
    <row r="3459" spans="3:3" ht="15" customHeight="1">
      <c r="C3459" s="70" t="str">
        <f t="shared" si="55"/>
        <v/>
      </c>
    </row>
    <row r="3460" spans="3:3" ht="15" customHeight="1">
      <c r="C3460" s="70" t="str">
        <f t="shared" si="55"/>
        <v/>
      </c>
    </row>
    <row r="3461" spans="3:3" ht="15" customHeight="1">
      <c r="C3461" s="70" t="str">
        <f t="shared" si="55"/>
        <v/>
      </c>
    </row>
    <row r="3462" spans="3:3" ht="15" customHeight="1">
      <c r="C3462" s="70" t="str">
        <f t="shared" si="55"/>
        <v/>
      </c>
    </row>
    <row r="3463" spans="3:3" ht="15" customHeight="1">
      <c r="C3463" s="70" t="str">
        <f t="shared" si="55"/>
        <v/>
      </c>
    </row>
    <row r="3464" spans="3:3" ht="15" customHeight="1">
      <c r="C3464" s="70" t="str">
        <f t="shared" si="55"/>
        <v/>
      </c>
    </row>
    <row r="3465" spans="3:3" ht="15" customHeight="1">
      <c r="C3465" s="70" t="str">
        <f t="shared" si="55"/>
        <v/>
      </c>
    </row>
    <row r="3466" spans="3:3" ht="15" customHeight="1">
      <c r="C3466" s="70" t="str">
        <f t="shared" si="55"/>
        <v/>
      </c>
    </row>
    <row r="3467" spans="3:3" ht="15" customHeight="1">
      <c r="C3467" s="70" t="str">
        <f t="shared" si="55"/>
        <v/>
      </c>
    </row>
    <row r="3468" spans="3:3" ht="15" customHeight="1">
      <c r="C3468" s="70" t="str">
        <f t="shared" si="55"/>
        <v/>
      </c>
    </row>
    <row r="3469" spans="3:3" ht="15" customHeight="1">
      <c r="C3469" s="70" t="str">
        <f t="shared" si="55"/>
        <v/>
      </c>
    </row>
    <row r="3470" spans="3:3" ht="15" customHeight="1">
      <c r="C3470" s="70" t="str">
        <f t="shared" si="55"/>
        <v/>
      </c>
    </row>
    <row r="3471" spans="3:3" ht="15" customHeight="1">
      <c r="C3471" s="70" t="str">
        <f t="shared" si="55"/>
        <v/>
      </c>
    </row>
    <row r="3472" spans="3:3" ht="15" customHeight="1">
      <c r="C3472" s="70" t="str">
        <f t="shared" si="55"/>
        <v/>
      </c>
    </row>
    <row r="3473" spans="3:3" ht="15" customHeight="1">
      <c r="C3473" s="70" t="str">
        <f t="shared" ref="C3473:C3536" si="56">IF(B3473&lt;&gt;"",TEXT(WEEKDAY(B3473),"dddd"),"")</f>
        <v/>
      </c>
    </row>
    <row r="3474" spans="3:3" ht="15" customHeight="1">
      <c r="C3474" s="70" t="str">
        <f t="shared" si="56"/>
        <v/>
      </c>
    </row>
    <row r="3475" spans="3:3" ht="15" customHeight="1">
      <c r="C3475" s="70" t="str">
        <f t="shared" si="56"/>
        <v/>
      </c>
    </row>
    <row r="3476" spans="3:3" ht="15" customHeight="1">
      <c r="C3476" s="70" t="str">
        <f t="shared" si="56"/>
        <v/>
      </c>
    </row>
    <row r="3477" spans="3:3" ht="15" customHeight="1">
      <c r="C3477" s="70" t="str">
        <f t="shared" si="56"/>
        <v/>
      </c>
    </row>
    <row r="3478" spans="3:3" ht="15" customHeight="1">
      <c r="C3478" s="70" t="str">
        <f t="shared" si="56"/>
        <v/>
      </c>
    </row>
    <row r="3479" spans="3:3" ht="15" customHeight="1">
      <c r="C3479" s="70" t="str">
        <f t="shared" si="56"/>
        <v/>
      </c>
    </row>
    <row r="3480" spans="3:3" ht="15" customHeight="1">
      <c r="C3480" s="70" t="str">
        <f t="shared" si="56"/>
        <v/>
      </c>
    </row>
    <row r="3481" spans="3:3" ht="15" customHeight="1">
      <c r="C3481" s="70" t="str">
        <f t="shared" si="56"/>
        <v/>
      </c>
    </row>
    <row r="3482" spans="3:3" ht="15" customHeight="1">
      <c r="C3482" s="70" t="str">
        <f t="shared" si="56"/>
        <v/>
      </c>
    </row>
    <row r="3483" spans="3:3" ht="15" customHeight="1">
      <c r="C3483" s="70" t="str">
        <f t="shared" si="56"/>
        <v/>
      </c>
    </row>
    <row r="3484" spans="3:3" ht="15" customHeight="1">
      <c r="C3484" s="70" t="str">
        <f t="shared" si="56"/>
        <v/>
      </c>
    </row>
    <row r="3485" spans="3:3" ht="15" customHeight="1">
      <c r="C3485" s="70" t="str">
        <f t="shared" si="56"/>
        <v/>
      </c>
    </row>
    <row r="3486" spans="3:3" ht="15" customHeight="1">
      <c r="C3486" s="70" t="str">
        <f t="shared" si="56"/>
        <v/>
      </c>
    </row>
    <row r="3487" spans="3:3" ht="15" customHeight="1">
      <c r="C3487" s="70" t="str">
        <f t="shared" si="56"/>
        <v/>
      </c>
    </row>
    <row r="3488" spans="3:3" ht="15" customHeight="1">
      <c r="C3488" s="70" t="str">
        <f t="shared" si="56"/>
        <v/>
      </c>
    </row>
    <row r="3489" spans="3:3" ht="15" customHeight="1">
      <c r="C3489" s="70" t="str">
        <f t="shared" si="56"/>
        <v/>
      </c>
    </row>
    <row r="3490" spans="3:3" ht="15" customHeight="1">
      <c r="C3490" s="70" t="str">
        <f t="shared" si="56"/>
        <v/>
      </c>
    </row>
    <row r="3491" spans="3:3" ht="15" customHeight="1">
      <c r="C3491" s="70" t="str">
        <f t="shared" si="56"/>
        <v/>
      </c>
    </row>
    <row r="3492" spans="3:3" ht="15" customHeight="1">
      <c r="C3492" s="70" t="str">
        <f t="shared" si="56"/>
        <v/>
      </c>
    </row>
    <row r="3493" spans="3:3" ht="15" customHeight="1">
      <c r="C3493" s="70" t="str">
        <f t="shared" si="56"/>
        <v/>
      </c>
    </row>
    <row r="3494" spans="3:3" ht="15" customHeight="1">
      <c r="C3494" s="70" t="str">
        <f t="shared" si="56"/>
        <v/>
      </c>
    </row>
    <row r="3495" spans="3:3" ht="15" customHeight="1">
      <c r="C3495" s="70" t="str">
        <f t="shared" si="56"/>
        <v/>
      </c>
    </row>
    <row r="3496" spans="3:3" ht="15" customHeight="1">
      <c r="C3496" s="70" t="str">
        <f t="shared" si="56"/>
        <v/>
      </c>
    </row>
    <row r="3497" spans="3:3" ht="15" customHeight="1">
      <c r="C3497" s="70" t="str">
        <f t="shared" si="56"/>
        <v/>
      </c>
    </row>
    <row r="3498" spans="3:3" ht="15" customHeight="1">
      <c r="C3498" s="70" t="str">
        <f t="shared" si="56"/>
        <v/>
      </c>
    </row>
    <row r="3499" spans="3:3" ht="15" customHeight="1">
      <c r="C3499" s="70" t="str">
        <f t="shared" si="56"/>
        <v/>
      </c>
    </row>
    <row r="3500" spans="3:3" ht="15" customHeight="1">
      <c r="C3500" s="70" t="str">
        <f t="shared" si="56"/>
        <v/>
      </c>
    </row>
    <row r="3501" spans="3:3" ht="15" customHeight="1">
      <c r="C3501" s="70" t="str">
        <f t="shared" si="56"/>
        <v/>
      </c>
    </row>
    <row r="3502" spans="3:3" ht="15" customHeight="1">
      <c r="C3502" s="70" t="str">
        <f t="shared" si="56"/>
        <v/>
      </c>
    </row>
    <row r="3503" spans="3:3" ht="15" customHeight="1">
      <c r="C3503" s="70" t="str">
        <f t="shared" si="56"/>
        <v/>
      </c>
    </row>
    <row r="3504" spans="3:3" ht="15" customHeight="1">
      <c r="C3504" s="70" t="str">
        <f t="shared" si="56"/>
        <v/>
      </c>
    </row>
    <row r="3505" spans="3:3" ht="15" customHeight="1">
      <c r="C3505" s="70" t="str">
        <f t="shared" si="56"/>
        <v/>
      </c>
    </row>
    <row r="3506" spans="3:3" ht="15" customHeight="1">
      <c r="C3506" s="70" t="str">
        <f t="shared" si="56"/>
        <v/>
      </c>
    </row>
    <row r="3507" spans="3:3" ht="15" customHeight="1">
      <c r="C3507" s="70" t="str">
        <f t="shared" si="56"/>
        <v/>
      </c>
    </row>
    <row r="3508" spans="3:3" ht="15" customHeight="1">
      <c r="C3508" s="70" t="str">
        <f t="shared" si="56"/>
        <v/>
      </c>
    </row>
    <row r="3509" spans="3:3" ht="15" customHeight="1">
      <c r="C3509" s="70" t="str">
        <f t="shared" si="56"/>
        <v/>
      </c>
    </row>
    <row r="3510" spans="3:3" ht="15" customHeight="1">
      <c r="C3510" s="70" t="str">
        <f t="shared" si="56"/>
        <v/>
      </c>
    </row>
    <row r="3511" spans="3:3" ht="15" customHeight="1">
      <c r="C3511" s="70" t="str">
        <f t="shared" si="56"/>
        <v/>
      </c>
    </row>
    <row r="3512" spans="3:3" ht="15" customHeight="1">
      <c r="C3512" s="70" t="str">
        <f t="shared" si="56"/>
        <v/>
      </c>
    </row>
    <row r="3513" spans="3:3" ht="15" customHeight="1">
      <c r="C3513" s="70" t="str">
        <f t="shared" si="56"/>
        <v/>
      </c>
    </row>
    <row r="3514" spans="3:3" ht="15" customHeight="1">
      <c r="C3514" s="70" t="str">
        <f t="shared" si="56"/>
        <v/>
      </c>
    </row>
    <row r="3515" spans="3:3" ht="15" customHeight="1">
      <c r="C3515" s="70" t="str">
        <f t="shared" si="56"/>
        <v/>
      </c>
    </row>
    <row r="3516" spans="3:3" ht="15" customHeight="1">
      <c r="C3516" s="70" t="str">
        <f t="shared" si="56"/>
        <v/>
      </c>
    </row>
    <row r="3517" spans="3:3" ht="15" customHeight="1">
      <c r="C3517" s="70" t="str">
        <f t="shared" si="56"/>
        <v/>
      </c>
    </row>
    <row r="3518" spans="3:3" ht="15" customHeight="1">
      <c r="C3518" s="70" t="str">
        <f t="shared" si="56"/>
        <v/>
      </c>
    </row>
    <row r="3519" spans="3:3" ht="15" customHeight="1">
      <c r="C3519" s="70" t="str">
        <f t="shared" si="56"/>
        <v/>
      </c>
    </row>
    <row r="3520" spans="3:3" ht="15" customHeight="1">
      <c r="C3520" s="70" t="str">
        <f t="shared" si="56"/>
        <v/>
      </c>
    </row>
    <row r="3521" spans="3:3" ht="15" customHeight="1">
      <c r="C3521" s="70" t="str">
        <f t="shared" si="56"/>
        <v/>
      </c>
    </row>
    <row r="3522" spans="3:3" ht="15" customHeight="1">
      <c r="C3522" s="70" t="str">
        <f t="shared" si="56"/>
        <v/>
      </c>
    </row>
    <row r="3523" spans="3:3" ht="15" customHeight="1">
      <c r="C3523" s="70" t="str">
        <f t="shared" si="56"/>
        <v/>
      </c>
    </row>
    <row r="3524" spans="3:3" ht="15" customHeight="1">
      <c r="C3524" s="70" t="str">
        <f t="shared" si="56"/>
        <v/>
      </c>
    </row>
    <row r="3525" spans="3:3" ht="15" customHeight="1">
      <c r="C3525" s="70" t="str">
        <f t="shared" si="56"/>
        <v/>
      </c>
    </row>
    <row r="3526" spans="3:3" ht="15" customHeight="1">
      <c r="C3526" s="70" t="str">
        <f t="shared" si="56"/>
        <v/>
      </c>
    </row>
    <row r="3527" spans="3:3" ht="15" customHeight="1">
      <c r="C3527" s="70" t="str">
        <f t="shared" si="56"/>
        <v/>
      </c>
    </row>
    <row r="3528" spans="3:3" ht="15" customHeight="1">
      <c r="C3528" s="70" t="str">
        <f t="shared" si="56"/>
        <v/>
      </c>
    </row>
    <row r="3529" spans="3:3" ht="15" customHeight="1">
      <c r="C3529" s="70" t="str">
        <f t="shared" si="56"/>
        <v/>
      </c>
    </row>
    <row r="3530" spans="3:3" ht="15" customHeight="1">
      <c r="C3530" s="70" t="str">
        <f t="shared" si="56"/>
        <v/>
      </c>
    </row>
    <row r="3531" spans="3:3" ht="15" customHeight="1">
      <c r="C3531" s="70" t="str">
        <f t="shared" si="56"/>
        <v/>
      </c>
    </row>
    <row r="3532" spans="3:3" ht="15" customHeight="1">
      <c r="C3532" s="70" t="str">
        <f t="shared" si="56"/>
        <v/>
      </c>
    </row>
    <row r="3533" spans="3:3" ht="15" customHeight="1">
      <c r="C3533" s="70" t="str">
        <f t="shared" si="56"/>
        <v/>
      </c>
    </row>
    <row r="3534" spans="3:3" ht="15" customHeight="1">
      <c r="C3534" s="70" t="str">
        <f t="shared" si="56"/>
        <v/>
      </c>
    </row>
    <row r="3535" spans="3:3" ht="15" customHeight="1">
      <c r="C3535" s="70" t="str">
        <f t="shared" si="56"/>
        <v/>
      </c>
    </row>
    <row r="3536" spans="3:3" ht="15" customHeight="1">
      <c r="C3536" s="70" t="str">
        <f t="shared" si="56"/>
        <v/>
      </c>
    </row>
    <row r="3537" spans="3:3" ht="15" customHeight="1">
      <c r="C3537" s="70" t="str">
        <f t="shared" ref="C3537:C3600" si="57">IF(B3537&lt;&gt;"",TEXT(WEEKDAY(B3537),"dddd"),"")</f>
        <v/>
      </c>
    </row>
    <row r="3538" spans="3:3" ht="15" customHeight="1">
      <c r="C3538" s="70" t="str">
        <f t="shared" si="57"/>
        <v/>
      </c>
    </row>
    <row r="3539" spans="3:3" ht="15" customHeight="1">
      <c r="C3539" s="70" t="str">
        <f t="shared" si="57"/>
        <v/>
      </c>
    </row>
    <row r="3540" spans="3:3" ht="15" customHeight="1">
      <c r="C3540" s="70" t="str">
        <f t="shared" si="57"/>
        <v/>
      </c>
    </row>
    <row r="3541" spans="3:3" ht="15" customHeight="1">
      <c r="C3541" s="70" t="str">
        <f t="shared" si="57"/>
        <v/>
      </c>
    </row>
    <row r="3542" spans="3:3" ht="15" customHeight="1">
      <c r="C3542" s="70" t="str">
        <f t="shared" si="57"/>
        <v/>
      </c>
    </row>
    <row r="3543" spans="3:3" ht="15" customHeight="1">
      <c r="C3543" s="70" t="str">
        <f t="shared" si="57"/>
        <v/>
      </c>
    </row>
    <row r="3544" spans="3:3" ht="15" customHeight="1">
      <c r="C3544" s="70" t="str">
        <f t="shared" si="57"/>
        <v/>
      </c>
    </row>
    <row r="3545" spans="3:3" ht="15" customHeight="1">
      <c r="C3545" s="70" t="str">
        <f t="shared" si="57"/>
        <v/>
      </c>
    </row>
    <row r="3546" spans="3:3" ht="15" customHeight="1">
      <c r="C3546" s="70" t="str">
        <f t="shared" si="57"/>
        <v/>
      </c>
    </row>
    <row r="3547" spans="3:3" ht="15" customHeight="1">
      <c r="C3547" s="70" t="str">
        <f t="shared" si="57"/>
        <v/>
      </c>
    </row>
    <row r="3548" spans="3:3" ht="15" customHeight="1">
      <c r="C3548" s="70" t="str">
        <f t="shared" si="57"/>
        <v/>
      </c>
    </row>
    <row r="3549" spans="3:3" ht="15" customHeight="1">
      <c r="C3549" s="70" t="str">
        <f t="shared" si="57"/>
        <v/>
      </c>
    </row>
    <row r="3550" spans="3:3" ht="15" customHeight="1">
      <c r="C3550" s="70" t="str">
        <f t="shared" si="57"/>
        <v/>
      </c>
    </row>
    <row r="3551" spans="3:3" ht="15" customHeight="1">
      <c r="C3551" s="70" t="str">
        <f t="shared" si="57"/>
        <v/>
      </c>
    </row>
    <row r="3552" spans="3:3" ht="15" customHeight="1">
      <c r="C3552" s="70" t="str">
        <f t="shared" si="57"/>
        <v/>
      </c>
    </row>
    <row r="3553" spans="3:3" ht="15" customHeight="1">
      <c r="C3553" s="70" t="str">
        <f t="shared" si="57"/>
        <v/>
      </c>
    </row>
    <row r="3554" spans="3:3" ht="15" customHeight="1">
      <c r="C3554" s="70" t="str">
        <f t="shared" si="57"/>
        <v/>
      </c>
    </row>
    <row r="3555" spans="3:3" ht="15" customHeight="1">
      <c r="C3555" s="70" t="str">
        <f t="shared" si="57"/>
        <v/>
      </c>
    </row>
    <row r="3556" spans="3:3" ht="15" customHeight="1">
      <c r="C3556" s="70" t="str">
        <f t="shared" si="57"/>
        <v/>
      </c>
    </row>
    <row r="3557" spans="3:3" ht="15" customHeight="1">
      <c r="C3557" s="70" t="str">
        <f t="shared" si="57"/>
        <v/>
      </c>
    </row>
    <row r="3558" spans="3:3" ht="15" customHeight="1">
      <c r="C3558" s="70" t="str">
        <f t="shared" si="57"/>
        <v/>
      </c>
    </row>
    <row r="3559" spans="3:3" ht="15" customHeight="1">
      <c r="C3559" s="70" t="str">
        <f t="shared" si="57"/>
        <v/>
      </c>
    </row>
    <row r="3560" spans="3:3" ht="15" customHeight="1">
      <c r="C3560" s="70" t="str">
        <f t="shared" si="57"/>
        <v/>
      </c>
    </row>
    <row r="3561" spans="3:3" ht="15" customHeight="1">
      <c r="C3561" s="70" t="str">
        <f t="shared" si="57"/>
        <v/>
      </c>
    </row>
    <row r="3562" spans="3:3" ht="15" customHeight="1">
      <c r="C3562" s="70" t="str">
        <f t="shared" si="57"/>
        <v/>
      </c>
    </row>
    <row r="3563" spans="3:3" ht="15" customHeight="1">
      <c r="C3563" s="70" t="str">
        <f t="shared" si="57"/>
        <v/>
      </c>
    </row>
    <row r="3564" spans="3:3" ht="15" customHeight="1">
      <c r="C3564" s="70" t="str">
        <f t="shared" si="57"/>
        <v/>
      </c>
    </row>
    <row r="3565" spans="3:3" ht="15" customHeight="1">
      <c r="C3565" s="70" t="str">
        <f t="shared" si="57"/>
        <v/>
      </c>
    </row>
    <row r="3566" spans="3:3" ht="15" customHeight="1">
      <c r="C3566" s="70" t="str">
        <f t="shared" si="57"/>
        <v/>
      </c>
    </row>
    <row r="3567" spans="3:3" ht="15" customHeight="1">
      <c r="C3567" s="70" t="str">
        <f t="shared" si="57"/>
        <v/>
      </c>
    </row>
    <row r="3568" spans="3:3" ht="15" customHeight="1">
      <c r="C3568" s="70" t="str">
        <f t="shared" si="57"/>
        <v/>
      </c>
    </row>
    <row r="3569" spans="3:3" ht="15" customHeight="1">
      <c r="C3569" s="70" t="str">
        <f t="shared" si="57"/>
        <v/>
      </c>
    </row>
    <row r="3570" spans="3:3" ht="15" customHeight="1">
      <c r="C3570" s="70" t="str">
        <f t="shared" si="57"/>
        <v/>
      </c>
    </row>
    <row r="3571" spans="3:3" ht="15" customHeight="1">
      <c r="C3571" s="70" t="str">
        <f t="shared" si="57"/>
        <v/>
      </c>
    </row>
    <row r="3572" spans="3:3" ht="15" customHeight="1">
      <c r="C3572" s="70" t="str">
        <f t="shared" si="57"/>
        <v/>
      </c>
    </row>
    <row r="3573" spans="3:3" ht="15" customHeight="1">
      <c r="C3573" s="70" t="str">
        <f t="shared" si="57"/>
        <v/>
      </c>
    </row>
    <row r="3574" spans="3:3" ht="15" customHeight="1">
      <c r="C3574" s="70" t="str">
        <f t="shared" si="57"/>
        <v/>
      </c>
    </row>
    <row r="3575" spans="3:3" ht="15" customHeight="1">
      <c r="C3575" s="70" t="str">
        <f t="shared" si="57"/>
        <v/>
      </c>
    </row>
    <row r="3576" spans="3:3" ht="15" customHeight="1">
      <c r="C3576" s="70" t="str">
        <f t="shared" si="57"/>
        <v/>
      </c>
    </row>
    <row r="3577" spans="3:3" ht="15" customHeight="1">
      <c r="C3577" s="70" t="str">
        <f t="shared" si="57"/>
        <v/>
      </c>
    </row>
    <row r="3578" spans="3:3" ht="15" customHeight="1">
      <c r="C3578" s="70" t="str">
        <f t="shared" si="57"/>
        <v/>
      </c>
    </row>
    <row r="3579" spans="3:3" ht="15" customHeight="1">
      <c r="C3579" s="70" t="str">
        <f t="shared" si="57"/>
        <v/>
      </c>
    </row>
    <row r="3580" spans="3:3" ht="15" customHeight="1">
      <c r="C3580" s="70" t="str">
        <f t="shared" si="57"/>
        <v/>
      </c>
    </row>
    <row r="3581" spans="3:3" ht="15" customHeight="1">
      <c r="C3581" s="70" t="str">
        <f t="shared" si="57"/>
        <v/>
      </c>
    </row>
    <row r="3582" spans="3:3" ht="15" customHeight="1">
      <c r="C3582" s="70" t="str">
        <f t="shared" si="57"/>
        <v/>
      </c>
    </row>
    <row r="3583" spans="3:3" ht="15" customHeight="1">
      <c r="C3583" s="70" t="str">
        <f t="shared" si="57"/>
        <v/>
      </c>
    </row>
    <row r="3584" spans="3:3" ht="15" customHeight="1">
      <c r="C3584" s="70" t="str">
        <f t="shared" si="57"/>
        <v/>
      </c>
    </row>
    <row r="3585" spans="3:3" ht="15" customHeight="1">
      <c r="C3585" s="70" t="str">
        <f t="shared" si="57"/>
        <v/>
      </c>
    </row>
    <row r="3586" spans="3:3" ht="15" customHeight="1">
      <c r="C3586" s="70" t="str">
        <f t="shared" si="57"/>
        <v/>
      </c>
    </row>
    <row r="3587" spans="3:3" ht="15" customHeight="1">
      <c r="C3587" s="70" t="str">
        <f t="shared" si="57"/>
        <v/>
      </c>
    </row>
    <row r="3588" spans="3:3" ht="15" customHeight="1">
      <c r="C3588" s="70" t="str">
        <f t="shared" si="57"/>
        <v/>
      </c>
    </row>
    <row r="3589" spans="3:3" ht="15" customHeight="1">
      <c r="C3589" s="70" t="str">
        <f t="shared" si="57"/>
        <v/>
      </c>
    </row>
    <row r="3590" spans="3:3" ht="15" customHeight="1">
      <c r="C3590" s="70" t="str">
        <f t="shared" si="57"/>
        <v/>
      </c>
    </row>
    <row r="3591" spans="3:3" ht="15" customHeight="1">
      <c r="C3591" s="70" t="str">
        <f t="shared" si="57"/>
        <v/>
      </c>
    </row>
    <row r="3592" spans="3:3" ht="15" customHeight="1">
      <c r="C3592" s="70" t="str">
        <f t="shared" si="57"/>
        <v/>
      </c>
    </row>
    <row r="3593" spans="3:3" ht="15" customHeight="1">
      <c r="C3593" s="70" t="str">
        <f t="shared" si="57"/>
        <v/>
      </c>
    </row>
    <row r="3594" spans="3:3" ht="15" customHeight="1">
      <c r="C3594" s="70" t="str">
        <f t="shared" si="57"/>
        <v/>
      </c>
    </row>
    <row r="3595" spans="3:3" ht="15" customHeight="1">
      <c r="C3595" s="70" t="str">
        <f t="shared" si="57"/>
        <v/>
      </c>
    </row>
    <row r="3596" spans="3:3" ht="15" customHeight="1">
      <c r="C3596" s="70" t="str">
        <f t="shared" si="57"/>
        <v/>
      </c>
    </row>
    <row r="3597" spans="3:3" ht="15" customHeight="1">
      <c r="C3597" s="70" t="str">
        <f t="shared" si="57"/>
        <v/>
      </c>
    </row>
    <row r="3598" spans="3:3" ht="15" customHeight="1">
      <c r="C3598" s="70" t="str">
        <f t="shared" si="57"/>
        <v/>
      </c>
    </row>
    <row r="3599" spans="3:3" ht="15" customHeight="1">
      <c r="C3599" s="70" t="str">
        <f t="shared" si="57"/>
        <v/>
      </c>
    </row>
    <row r="3600" spans="3:3" ht="15" customHeight="1">
      <c r="C3600" s="70" t="str">
        <f t="shared" si="57"/>
        <v/>
      </c>
    </row>
    <row r="3601" spans="3:3" ht="15" customHeight="1">
      <c r="C3601" s="70" t="str">
        <f t="shared" ref="C3601:C3664" si="58">IF(B3601&lt;&gt;"",TEXT(WEEKDAY(B3601),"dddd"),"")</f>
        <v/>
      </c>
    </row>
    <row r="3602" spans="3:3" ht="15" customHeight="1">
      <c r="C3602" s="70" t="str">
        <f t="shared" si="58"/>
        <v/>
      </c>
    </row>
    <row r="3603" spans="3:3" ht="15" customHeight="1">
      <c r="C3603" s="70" t="str">
        <f t="shared" si="58"/>
        <v/>
      </c>
    </row>
    <row r="3604" spans="3:3" ht="15" customHeight="1">
      <c r="C3604" s="70" t="str">
        <f t="shared" si="58"/>
        <v/>
      </c>
    </row>
    <row r="3605" spans="3:3" ht="15" customHeight="1">
      <c r="C3605" s="70" t="str">
        <f t="shared" si="58"/>
        <v/>
      </c>
    </row>
    <row r="3606" spans="3:3" ht="15" customHeight="1">
      <c r="C3606" s="70" t="str">
        <f t="shared" si="58"/>
        <v/>
      </c>
    </row>
    <row r="3607" spans="3:3" ht="15" customHeight="1">
      <c r="C3607" s="70" t="str">
        <f t="shared" si="58"/>
        <v/>
      </c>
    </row>
    <row r="3608" spans="3:3" ht="15" customHeight="1">
      <c r="C3608" s="70" t="str">
        <f t="shared" si="58"/>
        <v/>
      </c>
    </row>
    <row r="3609" spans="3:3" ht="15" customHeight="1">
      <c r="C3609" s="70" t="str">
        <f t="shared" si="58"/>
        <v/>
      </c>
    </row>
    <row r="3610" spans="3:3" ht="15" customHeight="1">
      <c r="C3610" s="70" t="str">
        <f t="shared" si="58"/>
        <v/>
      </c>
    </row>
    <row r="3611" spans="3:3" ht="15" customHeight="1">
      <c r="C3611" s="70" t="str">
        <f t="shared" si="58"/>
        <v/>
      </c>
    </row>
    <row r="3612" spans="3:3" ht="15" customHeight="1">
      <c r="C3612" s="70" t="str">
        <f t="shared" si="58"/>
        <v/>
      </c>
    </row>
    <row r="3613" spans="3:3" ht="15" customHeight="1">
      <c r="C3613" s="70" t="str">
        <f t="shared" si="58"/>
        <v/>
      </c>
    </row>
    <row r="3614" spans="3:3" ht="15" customHeight="1">
      <c r="C3614" s="70" t="str">
        <f t="shared" si="58"/>
        <v/>
      </c>
    </row>
    <row r="3615" spans="3:3" ht="15" customHeight="1">
      <c r="C3615" s="70" t="str">
        <f t="shared" si="58"/>
        <v/>
      </c>
    </row>
    <row r="3616" spans="3:3" ht="15" customHeight="1">
      <c r="C3616" s="70" t="str">
        <f t="shared" si="58"/>
        <v/>
      </c>
    </row>
    <row r="3617" spans="3:3" ht="15" customHeight="1">
      <c r="C3617" s="70" t="str">
        <f t="shared" si="58"/>
        <v/>
      </c>
    </row>
    <row r="3618" spans="3:3" ht="15" customHeight="1">
      <c r="C3618" s="70" t="str">
        <f t="shared" si="58"/>
        <v/>
      </c>
    </row>
    <row r="3619" spans="3:3" ht="15" customHeight="1">
      <c r="C3619" s="70" t="str">
        <f t="shared" si="58"/>
        <v/>
      </c>
    </row>
    <row r="3620" spans="3:3" ht="15" customHeight="1">
      <c r="C3620" s="70" t="str">
        <f t="shared" si="58"/>
        <v/>
      </c>
    </row>
    <row r="3621" spans="3:3" ht="15" customHeight="1">
      <c r="C3621" s="70" t="str">
        <f t="shared" si="58"/>
        <v/>
      </c>
    </row>
    <row r="3622" spans="3:3" ht="15" customHeight="1">
      <c r="C3622" s="70" t="str">
        <f t="shared" si="58"/>
        <v/>
      </c>
    </row>
    <row r="3623" spans="3:3" ht="15" customHeight="1">
      <c r="C3623" s="70" t="str">
        <f t="shared" si="58"/>
        <v/>
      </c>
    </row>
    <row r="3624" spans="3:3" ht="15" customHeight="1">
      <c r="C3624" s="70" t="str">
        <f t="shared" si="58"/>
        <v/>
      </c>
    </row>
    <row r="3625" spans="3:3" ht="15" customHeight="1">
      <c r="C3625" s="70" t="str">
        <f t="shared" si="58"/>
        <v/>
      </c>
    </row>
    <row r="3626" spans="3:3" ht="15" customHeight="1">
      <c r="C3626" s="70" t="str">
        <f t="shared" si="58"/>
        <v/>
      </c>
    </row>
    <row r="3627" spans="3:3" ht="15" customHeight="1">
      <c r="C3627" s="70" t="str">
        <f t="shared" si="58"/>
        <v/>
      </c>
    </row>
    <row r="3628" spans="3:3" ht="15" customHeight="1">
      <c r="C3628" s="70" t="str">
        <f t="shared" si="58"/>
        <v/>
      </c>
    </row>
    <row r="3629" spans="3:3" ht="15" customHeight="1">
      <c r="C3629" s="70" t="str">
        <f t="shared" si="58"/>
        <v/>
      </c>
    </row>
    <row r="3630" spans="3:3" ht="15" customHeight="1">
      <c r="C3630" s="70" t="str">
        <f t="shared" si="58"/>
        <v/>
      </c>
    </row>
    <row r="3631" spans="3:3" ht="15" customHeight="1">
      <c r="C3631" s="70" t="str">
        <f t="shared" si="58"/>
        <v/>
      </c>
    </row>
    <row r="3632" spans="3:3" ht="15" customHeight="1">
      <c r="C3632" s="70" t="str">
        <f t="shared" si="58"/>
        <v/>
      </c>
    </row>
    <row r="3633" spans="3:3" ht="15" customHeight="1">
      <c r="C3633" s="70" t="str">
        <f t="shared" si="58"/>
        <v/>
      </c>
    </row>
    <row r="3634" spans="3:3" ht="15" customHeight="1">
      <c r="C3634" s="70" t="str">
        <f t="shared" si="58"/>
        <v/>
      </c>
    </row>
    <row r="3635" spans="3:3" ht="15" customHeight="1">
      <c r="C3635" s="70" t="str">
        <f t="shared" si="58"/>
        <v/>
      </c>
    </row>
    <row r="3636" spans="3:3" ht="15" customHeight="1">
      <c r="C3636" s="70" t="str">
        <f t="shared" si="58"/>
        <v/>
      </c>
    </row>
    <row r="3637" spans="3:3" ht="15" customHeight="1">
      <c r="C3637" s="70" t="str">
        <f t="shared" si="58"/>
        <v/>
      </c>
    </row>
    <row r="3638" spans="3:3" ht="15" customHeight="1">
      <c r="C3638" s="70" t="str">
        <f t="shared" si="58"/>
        <v/>
      </c>
    </row>
    <row r="3639" spans="3:3" ht="15" customHeight="1">
      <c r="C3639" s="70" t="str">
        <f t="shared" si="58"/>
        <v/>
      </c>
    </row>
    <row r="3640" spans="3:3" ht="15" customHeight="1">
      <c r="C3640" s="70" t="str">
        <f t="shared" si="58"/>
        <v/>
      </c>
    </row>
    <row r="3641" spans="3:3" ht="15" customHeight="1">
      <c r="C3641" s="70" t="str">
        <f t="shared" si="58"/>
        <v/>
      </c>
    </row>
    <row r="3642" spans="3:3" ht="15" customHeight="1">
      <c r="C3642" s="70" t="str">
        <f t="shared" si="58"/>
        <v/>
      </c>
    </row>
    <row r="3643" spans="3:3" ht="15" customHeight="1">
      <c r="C3643" s="70" t="str">
        <f t="shared" si="58"/>
        <v/>
      </c>
    </row>
    <row r="3644" spans="3:3" ht="15" customHeight="1">
      <c r="C3644" s="70" t="str">
        <f t="shared" si="58"/>
        <v/>
      </c>
    </row>
    <row r="3645" spans="3:3" ht="15" customHeight="1">
      <c r="C3645" s="70" t="str">
        <f t="shared" si="58"/>
        <v/>
      </c>
    </row>
    <row r="3646" spans="3:3" ht="15" customHeight="1">
      <c r="C3646" s="70" t="str">
        <f t="shared" si="58"/>
        <v/>
      </c>
    </row>
    <row r="3647" spans="3:3" ht="15" customHeight="1">
      <c r="C3647" s="70" t="str">
        <f t="shared" si="58"/>
        <v/>
      </c>
    </row>
    <row r="3648" spans="3:3" ht="15" customHeight="1">
      <c r="C3648" s="70" t="str">
        <f t="shared" si="58"/>
        <v/>
      </c>
    </row>
    <row r="3649" spans="3:3" ht="15" customHeight="1">
      <c r="C3649" s="70" t="str">
        <f t="shared" si="58"/>
        <v/>
      </c>
    </row>
    <row r="3650" spans="3:3" ht="15" customHeight="1">
      <c r="C3650" s="70" t="str">
        <f t="shared" si="58"/>
        <v/>
      </c>
    </row>
    <row r="3651" spans="3:3" ht="15" customHeight="1">
      <c r="C3651" s="70" t="str">
        <f t="shared" si="58"/>
        <v/>
      </c>
    </row>
    <row r="3652" spans="3:3" ht="15" customHeight="1">
      <c r="C3652" s="70" t="str">
        <f t="shared" si="58"/>
        <v/>
      </c>
    </row>
    <row r="3653" spans="3:3" ht="15" customHeight="1">
      <c r="C3653" s="70" t="str">
        <f t="shared" si="58"/>
        <v/>
      </c>
    </row>
    <row r="3654" spans="3:3" ht="15" customHeight="1">
      <c r="C3654" s="70" t="str">
        <f t="shared" si="58"/>
        <v/>
      </c>
    </row>
    <row r="3655" spans="3:3" ht="15" customHeight="1">
      <c r="C3655" s="70" t="str">
        <f t="shared" si="58"/>
        <v/>
      </c>
    </row>
    <row r="3656" spans="3:3" ht="15" customHeight="1">
      <c r="C3656" s="70" t="str">
        <f t="shared" si="58"/>
        <v/>
      </c>
    </row>
    <row r="3657" spans="3:3" ht="15" customHeight="1">
      <c r="C3657" s="70" t="str">
        <f t="shared" si="58"/>
        <v/>
      </c>
    </row>
    <row r="3658" spans="3:3" ht="15" customHeight="1">
      <c r="C3658" s="70" t="str">
        <f t="shared" si="58"/>
        <v/>
      </c>
    </row>
    <row r="3659" spans="3:3" ht="15" customHeight="1">
      <c r="C3659" s="70" t="str">
        <f t="shared" si="58"/>
        <v/>
      </c>
    </row>
    <row r="3660" spans="3:3" ht="15" customHeight="1">
      <c r="C3660" s="70" t="str">
        <f t="shared" si="58"/>
        <v/>
      </c>
    </row>
    <row r="3661" spans="3:3" ht="15" customHeight="1">
      <c r="C3661" s="70" t="str">
        <f t="shared" si="58"/>
        <v/>
      </c>
    </row>
    <row r="3662" spans="3:3" ht="15" customHeight="1">
      <c r="C3662" s="70" t="str">
        <f t="shared" si="58"/>
        <v/>
      </c>
    </row>
    <row r="3663" spans="3:3" ht="15" customHeight="1">
      <c r="C3663" s="70" t="str">
        <f t="shared" si="58"/>
        <v/>
      </c>
    </row>
    <row r="3664" spans="3:3" ht="15" customHeight="1">
      <c r="C3664" s="70" t="str">
        <f t="shared" si="58"/>
        <v/>
      </c>
    </row>
    <row r="3665" spans="3:3" ht="15" customHeight="1">
      <c r="C3665" s="70" t="str">
        <f t="shared" ref="C3665:C3728" si="59">IF(B3665&lt;&gt;"",TEXT(WEEKDAY(B3665),"dddd"),"")</f>
        <v/>
      </c>
    </row>
    <row r="3666" spans="3:3" ht="15" customHeight="1">
      <c r="C3666" s="70" t="str">
        <f t="shared" si="59"/>
        <v/>
      </c>
    </row>
    <row r="3667" spans="3:3" ht="15" customHeight="1">
      <c r="C3667" s="70" t="str">
        <f t="shared" si="59"/>
        <v/>
      </c>
    </row>
    <row r="3668" spans="3:3" ht="15" customHeight="1">
      <c r="C3668" s="70" t="str">
        <f t="shared" si="59"/>
        <v/>
      </c>
    </row>
    <row r="3669" spans="3:3" ht="15" customHeight="1">
      <c r="C3669" s="70" t="str">
        <f t="shared" si="59"/>
        <v/>
      </c>
    </row>
    <row r="3670" spans="3:3" ht="15" customHeight="1">
      <c r="C3670" s="70" t="str">
        <f t="shared" si="59"/>
        <v/>
      </c>
    </row>
    <row r="3671" spans="3:3" ht="15" customHeight="1">
      <c r="C3671" s="70" t="str">
        <f t="shared" si="59"/>
        <v/>
      </c>
    </row>
    <row r="3672" spans="3:3" ht="15" customHeight="1">
      <c r="C3672" s="70" t="str">
        <f t="shared" si="59"/>
        <v/>
      </c>
    </row>
    <row r="3673" spans="3:3" ht="15" customHeight="1">
      <c r="C3673" s="70" t="str">
        <f t="shared" si="59"/>
        <v/>
      </c>
    </row>
    <row r="3674" spans="3:3" ht="15" customHeight="1">
      <c r="C3674" s="70" t="str">
        <f t="shared" si="59"/>
        <v/>
      </c>
    </row>
    <row r="3675" spans="3:3" ht="15" customHeight="1">
      <c r="C3675" s="70" t="str">
        <f t="shared" si="59"/>
        <v/>
      </c>
    </row>
    <row r="3676" spans="3:3" ht="15" customHeight="1">
      <c r="C3676" s="70" t="str">
        <f t="shared" si="59"/>
        <v/>
      </c>
    </row>
    <row r="3677" spans="3:3" ht="15" customHeight="1">
      <c r="C3677" s="70" t="str">
        <f t="shared" si="59"/>
        <v/>
      </c>
    </row>
    <row r="3678" spans="3:3" ht="15" customHeight="1">
      <c r="C3678" s="70" t="str">
        <f t="shared" si="59"/>
        <v/>
      </c>
    </row>
    <row r="3679" spans="3:3" ht="15" customHeight="1">
      <c r="C3679" s="70" t="str">
        <f t="shared" si="59"/>
        <v/>
      </c>
    </row>
    <row r="3680" spans="3:3" ht="15" customHeight="1">
      <c r="C3680" s="70" t="str">
        <f t="shared" si="59"/>
        <v/>
      </c>
    </row>
    <row r="3681" spans="3:3" ht="15" customHeight="1">
      <c r="C3681" s="70" t="str">
        <f t="shared" si="59"/>
        <v/>
      </c>
    </row>
    <row r="3682" spans="3:3" ht="15" customHeight="1">
      <c r="C3682" s="70" t="str">
        <f t="shared" si="59"/>
        <v/>
      </c>
    </row>
    <row r="3683" spans="3:3" ht="15" customHeight="1">
      <c r="C3683" s="70" t="str">
        <f t="shared" si="59"/>
        <v/>
      </c>
    </row>
    <row r="3684" spans="3:3" ht="15" customHeight="1">
      <c r="C3684" s="70" t="str">
        <f t="shared" si="59"/>
        <v/>
      </c>
    </row>
    <row r="3685" spans="3:3" ht="15" customHeight="1">
      <c r="C3685" s="70" t="str">
        <f t="shared" si="59"/>
        <v/>
      </c>
    </row>
    <row r="3686" spans="3:3" ht="15" customHeight="1">
      <c r="C3686" s="70" t="str">
        <f t="shared" si="59"/>
        <v/>
      </c>
    </row>
    <row r="3687" spans="3:3" ht="15" customHeight="1">
      <c r="C3687" s="70" t="str">
        <f t="shared" si="59"/>
        <v/>
      </c>
    </row>
    <row r="3688" spans="3:3" ht="15" customHeight="1">
      <c r="C3688" s="70" t="str">
        <f t="shared" si="59"/>
        <v/>
      </c>
    </row>
    <row r="3689" spans="3:3" ht="15" customHeight="1">
      <c r="C3689" s="70" t="str">
        <f t="shared" si="59"/>
        <v/>
      </c>
    </row>
    <row r="3690" spans="3:3" ht="15" customHeight="1">
      <c r="C3690" s="70" t="str">
        <f t="shared" si="59"/>
        <v/>
      </c>
    </row>
    <row r="3691" spans="3:3" ht="15" customHeight="1">
      <c r="C3691" s="70" t="str">
        <f t="shared" si="59"/>
        <v/>
      </c>
    </row>
    <row r="3692" spans="3:3" ht="15" customHeight="1">
      <c r="C3692" s="70" t="str">
        <f t="shared" si="59"/>
        <v/>
      </c>
    </row>
    <row r="3693" spans="3:3" ht="15" customHeight="1">
      <c r="C3693" s="70" t="str">
        <f t="shared" si="59"/>
        <v/>
      </c>
    </row>
    <row r="3694" spans="3:3" ht="15" customHeight="1">
      <c r="C3694" s="70" t="str">
        <f t="shared" si="59"/>
        <v/>
      </c>
    </row>
    <row r="3695" spans="3:3" ht="15" customHeight="1">
      <c r="C3695" s="70" t="str">
        <f t="shared" si="59"/>
        <v/>
      </c>
    </row>
    <row r="3696" spans="3:3" ht="15" customHeight="1">
      <c r="C3696" s="70" t="str">
        <f t="shared" si="59"/>
        <v/>
      </c>
    </row>
    <row r="3697" spans="3:3" ht="15" customHeight="1">
      <c r="C3697" s="70" t="str">
        <f t="shared" si="59"/>
        <v/>
      </c>
    </row>
    <row r="3698" spans="3:3" ht="15" customHeight="1">
      <c r="C3698" s="70" t="str">
        <f t="shared" si="59"/>
        <v/>
      </c>
    </row>
    <row r="3699" spans="3:3" ht="15" customHeight="1">
      <c r="C3699" s="70" t="str">
        <f t="shared" si="59"/>
        <v/>
      </c>
    </row>
    <row r="3700" spans="3:3" ht="15" customHeight="1">
      <c r="C3700" s="70" t="str">
        <f t="shared" si="59"/>
        <v/>
      </c>
    </row>
    <row r="3701" spans="3:3" ht="15" customHeight="1">
      <c r="C3701" s="70" t="str">
        <f t="shared" si="59"/>
        <v/>
      </c>
    </row>
    <row r="3702" spans="3:3" ht="15" customHeight="1">
      <c r="C3702" s="70" t="str">
        <f t="shared" si="59"/>
        <v/>
      </c>
    </row>
    <row r="3703" spans="3:3" ht="15" customHeight="1">
      <c r="C3703" s="70" t="str">
        <f t="shared" si="59"/>
        <v/>
      </c>
    </row>
    <row r="3704" spans="3:3" ht="15" customHeight="1">
      <c r="C3704" s="70" t="str">
        <f t="shared" si="59"/>
        <v/>
      </c>
    </row>
    <row r="3705" spans="3:3" ht="15" customHeight="1">
      <c r="C3705" s="70" t="str">
        <f t="shared" si="59"/>
        <v/>
      </c>
    </row>
    <row r="3706" spans="3:3" ht="15" customHeight="1">
      <c r="C3706" s="70" t="str">
        <f t="shared" si="59"/>
        <v/>
      </c>
    </row>
    <row r="3707" spans="3:3" ht="15" customHeight="1">
      <c r="C3707" s="70" t="str">
        <f t="shared" si="59"/>
        <v/>
      </c>
    </row>
    <row r="3708" spans="3:3" ht="15" customHeight="1">
      <c r="C3708" s="70" t="str">
        <f t="shared" si="59"/>
        <v/>
      </c>
    </row>
    <row r="3709" spans="3:3" ht="15" customHeight="1">
      <c r="C3709" s="70" t="str">
        <f t="shared" si="59"/>
        <v/>
      </c>
    </row>
    <row r="3710" spans="3:3" ht="15" customHeight="1">
      <c r="C3710" s="70" t="str">
        <f t="shared" si="59"/>
        <v/>
      </c>
    </row>
    <row r="3711" spans="3:3" ht="15" customHeight="1">
      <c r="C3711" s="70" t="str">
        <f t="shared" si="59"/>
        <v/>
      </c>
    </row>
    <row r="3712" spans="3:3" ht="15" customHeight="1">
      <c r="C3712" s="70" t="str">
        <f t="shared" si="59"/>
        <v/>
      </c>
    </row>
    <row r="3713" spans="3:3" ht="15" customHeight="1">
      <c r="C3713" s="70" t="str">
        <f t="shared" si="59"/>
        <v/>
      </c>
    </row>
    <row r="3714" spans="3:3" ht="15" customHeight="1">
      <c r="C3714" s="70" t="str">
        <f t="shared" si="59"/>
        <v/>
      </c>
    </row>
    <row r="3715" spans="3:3" ht="15" customHeight="1">
      <c r="C3715" s="70" t="str">
        <f t="shared" si="59"/>
        <v/>
      </c>
    </row>
    <row r="3716" spans="3:3" ht="15" customHeight="1">
      <c r="C3716" s="70" t="str">
        <f t="shared" si="59"/>
        <v/>
      </c>
    </row>
    <row r="3717" spans="3:3" ht="15" customHeight="1">
      <c r="C3717" s="70" t="str">
        <f t="shared" si="59"/>
        <v/>
      </c>
    </row>
    <row r="3718" spans="3:3" ht="15" customHeight="1">
      <c r="C3718" s="70" t="str">
        <f t="shared" si="59"/>
        <v/>
      </c>
    </row>
    <row r="3719" spans="3:3" ht="15" customHeight="1">
      <c r="C3719" s="70" t="str">
        <f t="shared" si="59"/>
        <v/>
      </c>
    </row>
    <row r="3720" spans="3:3" ht="15" customHeight="1">
      <c r="C3720" s="70" t="str">
        <f t="shared" si="59"/>
        <v/>
      </c>
    </row>
    <row r="3721" spans="3:3" ht="15" customHeight="1">
      <c r="C3721" s="70" t="str">
        <f t="shared" si="59"/>
        <v/>
      </c>
    </row>
    <row r="3722" spans="3:3" ht="15" customHeight="1">
      <c r="C3722" s="70" t="str">
        <f t="shared" si="59"/>
        <v/>
      </c>
    </row>
    <row r="3723" spans="3:3" ht="15" customHeight="1">
      <c r="C3723" s="70" t="str">
        <f t="shared" si="59"/>
        <v/>
      </c>
    </row>
    <row r="3724" spans="3:3" ht="15" customHeight="1">
      <c r="C3724" s="70" t="str">
        <f t="shared" si="59"/>
        <v/>
      </c>
    </row>
    <row r="3725" spans="3:3" ht="15" customHeight="1">
      <c r="C3725" s="70" t="str">
        <f t="shared" si="59"/>
        <v/>
      </c>
    </row>
    <row r="3726" spans="3:3" ht="15" customHeight="1">
      <c r="C3726" s="70" t="str">
        <f t="shared" si="59"/>
        <v/>
      </c>
    </row>
    <row r="3727" spans="3:3" ht="15" customHeight="1">
      <c r="C3727" s="70" t="str">
        <f t="shared" si="59"/>
        <v/>
      </c>
    </row>
    <row r="3728" spans="3:3" ht="15" customHeight="1">
      <c r="C3728" s="70" t="str">
        <f t="shared" si="59"/>
        <v/>
      </c>
    </row>
    <row r="3729" spans="3:3" ht="15" customHeight="1">
      <c r="C3729" s="70" t="str">
        <f t="shared" ref="C3729:C3792" si="60">IF(B3729&lt;&gt;"",TEXT(WEEKDAY(B3729),"dddd"),"")</f>
        <v/>
      </c>
    </row>
    <row r="3730" spans="3:3" ht="15" customHeight="1">
      <c r="C3730" s="70" t="str">
        <f t="shared" si="60"/>
        <v/>
      </c>
    </row>
    <row r="3731" spans="3:3" ht="15" customHeight="1">
      <c r="C3731" s="70" t="str">
        <f t="shared" si="60"/>
        <v/>
      </c>
    </row>
    <row r="3732" spans="3:3" ht="15" customHeight="1">
      <c r="C3732" s="70" t="str">
        <f t="shared" si="60"/>
        <v/>
      </c>
    </row>
    <row r="3733" spans="3:3" ht="15" customHeight="1">
      <c r="C3733" s="70" t="str">
        <f t="shared" si="60"/>
        <v/>
      </c>
    </row>
    <row r="3734" spans="3:3" ht="15" customHeight="1">
      <c r="C3734" s="70" t="str">
        <f t="shared" si="60"/>
        <v/>
      </c>
    </row>
    <row r="3735" spans="3:3" ht="15" customHeight="1">
      <c r="C3735" s="70" t="str">
        <f t="shared" si="60"/>
        <v/>
      </c>
    </row>
    <row r="3736" spans="3:3" ht="15" customHeight="1">
      <c r="C3736" s="70" t="str">
        <f t="shared" si="60"/>
        <v/>
      </c>
    </row>
    <row r="3737" spans="3:3" ht="15" customHeight="1">
      <c r="C3737" s="70" t="str">
        <f t="shared" si="60"/>
        <v/>
      </c>
    </row>
    <row r="3738" spans="3:3" ht="15" customHeight="1">
      <c r="C3738" s="70" t="str">
        <f t="shared" si="60"/>
        <v/>
      </c>
    </row>
    <row r="3739" spans="3:3" ht="15" customHeight="1">
      <c r="C3739" s="70" t="str">
        <f t="shared" si="60"/>
        <v/>
      </c>
    </row>
    <row r="3740" spans="3:3" ht="15" customHeight="1">
      <c r="C3740" s="70" t="str">
        <f t="shared" si="60"/>
        <v/>
      </c>
    </row>
    <row r="3741" spans="3:3" ht="15" customHeight="1">
      <c r="C3741" s="70" t="str">
        <f t="shared" si="60"/>
        <v/>
      </c>
    </row>
    <row r="3742" spans="3:3" ht="15" customHeight="1">
      <c r="C3742" s="70" t="str">
        <f t="shared" si="60"/>
        <v/>
      </c>
    </row>
    <row r="3743" spans="3:3" ht="15" customHeight="1">
      <c r="C3743" s="70" t="str">
        <f t="shared" si="60"/>
        <v/>
      </c>
    </row>
    <row r="3744" spans="3:3" ht="15" customHeight="1">
      <c r="C3744" s="70" t="str">
        <f t="shared" si="60"/>
        <v/>
      </c>
    </row>
    <row r="3745" spans="3:3" ht="15" customHeight="1">
      <c r="C3745" s="70" t="str">
        <f t="shared" si="60"/>
        <v/>
      </c>
    </row>
    <row r="3746" spans="3:3" ht="15" customHeight="1">
      <c r="C3746" s="70" t="str">
        <f t="shared" si="60"/>
        <v/>
      </c>
    </row>
    <row r="3747" spans="3:3" ht="15" customHeight="1">
      <c r="C3747" s="70" t="str">
        <f t="shared" si="60"/>
        <v/>
      </c>
    </row>
    <row r="3748" spans="3:3" ht="15" customHeight="1">
      <c r="C3748" s="70" t="str">
        <f t="shared" si="60"/>
        <v/>
      </c>
    </row>
    <row r="3749" spans="3:3" ht="15" customHeight="1">
      <c r="C3749" s="70" t="str">
        <f t="shared" si="60"/>
        <v/>
      </c>
    </row>
    <row r="3750" spans="3:3" ht="15" customHeight="1">
      <c r="C3750" s="70" t="str">
        <f t="shared" si="60"/>
        <v/>
      </c>
    </row>
    <row r="3751" spans="3:3" ht="15" customHeight="1">
      <c r="C3751" s="70" t="str">
        <f t="shared" si="60"/>
        <v/>
      </c>
    </row>
    <row r="3752" spans="3:3" ht="15" customHeight="1">
      <c r="C3752" s="70" t="str">
        <f t="shared" si="60"/>
        <v/>
      </c>
    </row>
    <row r="3753" spans="3:3" ht="15" customHeight="1">
      <c r="C3753" s="70" t="str">
        <f t="shared" si="60"/>
        <v/>
      </c>
    </row>
    <row r="3754" spans="3:3" ht="15" customHeight="1">
      <c r="C3754" s="70" t="str">
        <f t="shared" si="60"/>
        <v/>
      </c>
    </row>
    <row r="3755" spans="3:3" ht="15" customHeight="1">
      <c r="C3755" s="70" t="str">
        <f t="shared" si="60"/>
        <v/>
      </c>
    </row>
    <row r="3756" spans="3:3" ht="15" customHeight="1">
      <c r="C3756" s="70" t="str">
        <f t="shared" si="60"/>
        <v/>
      </c>
    </row>
    <row r="3757" spans="3:3" ht="15" customHeight="1">
      <c r="C3757" s="70" t="str">
        <f t="shared" si="60"/>
        <v/>
      </c>
    </row>
    <row r="3758" spans="3:3" ht="15" customHeight="1">
      <c r="C3758" s="70" t="str">
        <f t="shared" si="60"/>
        <v/>
      </c>
    </row>
    <row r="3759" spans="3:3" ht="15" customHeight="1">
      <c r="C3759" s="70" t="str">
        <f t="shared" si="60"/>
        <v/>
      </c>
    </row>
    <row r="3760" spans="3:3" ht="15" customHeight="1">
      <c r="C3760" s="70" t="str">
        <f t="shared" si="60"/>
        <v/>
      </c>
    </row>
    <row r="3761" spans="3:3" ht="15" customHeight="1">
      <c r="C3761" s="70" t="str">
        <f t="shared" si="60"/>
        <v/>
      </c>
    </row>
    <row r="3762" spans="3:3" ht="15" customHeight="1">
      <c r="C3762" s="70" t="str">
        <f t="shared" si="60"/>
        <v/>
      </c>
    </row>
    <row r="3763" spans="3:3" ht="15" customHeight="1">
      <c r="C3763" s="70" t="str">
        <f t="shared" si="60"/>
        <v/>
      </c>
    </row>
    <row r="3764" spans="3:3" ht="15" customHeight="1">
      <c r="C3764" s="70" t="str">
        <f t="shared" si="60"/>
        <v/>
      </c>
    </row>
    <row r="3765" spans="3:3" ht="15" customHeight="1">
      <c r="C3765" s="70" t="str">
        <f t="shared" si="60"/>
        <v/>
      </c>
    </row>
    <row r="3766" spans="3:3" ht="15" customHeight="1">
      <c r="C3766" s="70" t="str">
        <f t="shared" si="60"/>
        <v/>
      </c>
    </row>
    <row r="3767" spans="3:3" ht="15" customHeight="1">
      <c r="C3767" s="70" t="str">
        <f t="shared" si="60"/>
        <v/>
      </c>
    </row>
    <row r="3768" spans="3:3" ht="15" customHeight="1">
      <c r="C3768" s="70" t="str">
        <f t="shared" si="60"/>
        <v/>
      </c>
    </row>
    <row r="3769" spans="3:3" ht="15" customHeight="1">
      <c r="C3769" s="70" t="str">
        <f t="shared" si="60"/>
        <v/>
      </c>
    </row>
    <row r="3770" spans="3:3" ht="15" customHeight="1">
      <c r="C3770" s="70" t="str">
        <f t="shared" si="60"/>
        <v/>
      </c>
    </row>
    <row r="3771" spans="3:3" ht="15" customHeight="1">
      <c r="C3771" s="70" t="str">
        <f t="shared" si="60"/>
        <v/>
      </c>
    </row>
    <row r="3772" spans="3:3" ht="15" customHeight="1">
      <c r="C3772" s="70" t="str">
        <f t="shared" si="60"/>
        <v/>
      </c>
    </row>
    <row r="3773" spans="3:3" ht="15" customHeight="1">
      <c r="C3773" s="70" t="str">
        <f t="shared" si="60"/>
        <v/>
      </c>
    </row>
    <row r="3774" spans="3:3" ht="15" customHeight="1">
      <c r="C3774" s="70" t="str">
        <f t="shared" si="60"/>
        <v/>
      </c>
    </row>
    <row r="3775" spans="3:3" ht="15" customHeight="1">
      <c r="C3775" s="70" t="str">
        <f t="shared" si="60"/>
        <v/>
      </c>
    </row>
    <row r="3776" spans="3:3" ht="15" customHeight="1">
      <c r="C3776" s="70" t="str">
        <f t="shared" si="60"/>
        <v/>
      </c>
    </row>
    <row r="3777" spans="3:3" ht="15" customHeight="1">
      <c r="C3777" s="70" t="str">
        <f t="shared" si="60"/>
        <v/>
      </c>
    </row>
    <row r="3778" spans="3:3" ht="15" customHeight="1">
      <c r="C3778" s="70" t="str">
        <f t="shared" si="60"/>
        <v/>
      </c>
    </row>
    <row r="3779" spans="3:3" ht="15" customHeight="1">
      <c r="C3779" s="70" t="str">
        <f t="shared" si="60"/>
        <v/>
      </c>
    </row>
    <row r="3780" spans="3:3" ht="15" customHeight="1">
      <c r="C3780" s="70" t="str">
        <f t="shared" si="60"/>
        <v/>
      </c>
    </row>
    <row r="3781" spans="3:3" ht="15" customHeight="1">
      <c r="C3781" s="70" t="str">
        <f t="shared" si="60"/>
        <v/>
      </c>
    </row>
    <row r="3782" spans="3:3" ht="15" customHeight="1">
      <c r="C3782" s="70" t="str">
        <f t="shared" si="60"/>
        <v/>
      </c>
    </row>
    <row r="3783" spans="3:3" ht="15" customHeight="1">
      <c r="C3783" s="70" t="str">
        <f t="shared" si="60"/>
        <v/>
      </c>
    </row>
    <row r="3784" spans="3:3" ht="15" customHeight="1">
      <c r="C3784" s="70" t="str">
        <f t="shared" si="60"/>
        <v/>
      </c>
    </row>
    <row r="3785" spans="3:3" ht="15" customHeight="1">
      <c r="C3785" s="70" t="str">
        <f t="shared" si="60"/>
        <v/>
      </c>
    </row>
    <row r="3786" spans="3:3" ht="15" customHeight="1">
      <c r="C3786" s="70" t="str">
        <f t="shared" si="60"/>
        <v/>
      </c>
    </row>
    <row r="3787" spans="3:3" ht="15" customHeight="1">
      <c r="C3787" s="70" t="str">
        <f t="shared" si="60"/>
        <v/>
      </c>
    </row>
    <row r="3788" spans="3:3" ht="15" customHeight="1">
      <c r="C3788" s="70" t="str">
        <f t="shared" si="60"/>
        <v/>
      </c>
    </row>
    <row r="3789" spans="3:3" ht="15" customHeight="1">
      <c r="C3789" s="70" t="str">
        <f t="shared" si="60"/>
        <v/>
      </c>
    </row>
    <row r="3790" spans="3:3" ht="15" customHeight="1">
      <c r="C3790" s="70" t="str">
        <f t="shared" si="60"/>
        <v/>
      </c>
    </row>
    <row r="3791" spans="3:3" ht="15" customHeight="1">
      <c r="C3791" s="70" t="str">
        <f t="shared" si="60"/>
        <v/>
      </c>
    </row>
    <row r="3792" spans="3:3" ht="15" customHeight="1">
      <c r="C3792" s="70" t="str">
        <f t="shared" si="60"/>
        <v/>
      </c>
    </row>
    <row r="3793" spans="3:3" ht="15" customHeight="1">
      <c r="C3793" s="70" t="str">
        <f t="shared" ref="C3793:C3856" si="61">IF(B3793&lt;&gt;"",TEXT(WEEKDAY(B3793),"dddd"),"")</f>
        <v/>
      </c>
    </row>
    <row r="3794" spans="3:3" ht="15" customHeight="1">
      <c r="C3794" s="70" t="str">
        <f t="shared" si="61"/>
        <v/>
      </c>
    </row>
    <row r="3795" spans="3:3" ht="15" customHeight="1">
      <c r="C3795" s="70" t="str">
        <f t="shared" si="61"/>
        <v/>
      </c>
    </row>
    <row r="3796" spans="3:3" ht="15" customHeight="1">
      <c r="C3796" s="70" t="str">
        <f t="shared" si="61"/>
        <v/>
      </c>
    </row>
    <row r="3797" spans="3:3" ht="15" customHeight="1">
      <c r="C3797" s="70" t="str">
        <f t="shared" si="61"/>
        <v/>
      </c>
    </row>
    <row r="3798" spans="3:3" ht="15" customHeight="1">
      <c r="C3798" s="70" t="str">
        <f t="shared" si="61"/>
        <v/>
      </c>
    </row>
    <row r="3799" spans="3:3" ht="15" customHeight="1">
      <c r="C3799" s="70" t="str">
        <f t="shared" si="61"/>
        <v/>
      </c>
    </row>
    <row r="3800" spans="3:3" ht="15" customHeight="1">
      <c r="C3800" s="70" t="str">
        <f t="shared" si="61"/>
        <v/>
      </c>
    </row>
    <row r="3801" spans="3:3" ht="15" customHeight="1">
      <c r="C3801" s="70" t="str">
        <f t="shared" si="61"/>
        <v/>
      </c>
    </row>
    <row r="3802" spans="3:3" ht="15" customHeight="1">
      <c r="C3802" s="70" t="str">
        <f t="shared" si="61"/>
        <v/>
      </c>
    </row>
    <row r="3803" spans="3:3" ht="15" customHeight="1">
      <c r="C3803" s="70" t="str">
        <f t="shared" si="61"/>
        <v/>
      </c>
    </row>
    <row r="3804" spans="3:3" ht="15" customHeight="1">
      <c r="C3804" s="70" t="str">
        <f t="shared" si="61"/>
        <v/>
      </c>
    </row>
    <row r="3805" spans="3:3" ht="15" customHeight="1">
      <c r="C3805" s="70" t="str">
        <f t="shared" si="61"/>
        <v/>
      </c>
    </row>
    <row r="3806" spans="3:3" ht="15" customHeight="1">
      <c r="C3806" s="70" t="str">
        <f t="shared" si="61"/>
        <v/>
      </c>
    </row>
    <row r="3807" spans="3:3" ht="15" customHeight="1">
      <c r="C3807" s="70" t="str">
        <f t="shared" si="61"/>
        <v/>
      </c>
    </row>
    <row r="3808" spans="3:3" ht="15" customHeight="1">
      <c r="C3808" s="70" t="str">
        <f t="shared" si="61"/>
        <v/>
      </c>
    </row>
    <row r="3809" spans="3:3" ht="15" customHeight="1">
      <c r="C3809" s="70" t="str">
        <f t="shared" si="61"/>
        <v/>
      </c>
    </row>
    <row r="3810" spans="3:3" ht="15" customHeight="1">
      <c r="C3810" s="70" t="str">
        <f t="shared" si="61"/>
        <v/>
      </c>
    </row>
    <row r="3811" spans="3:3" ht="15" customHeight="1">
      <c r="C3811" s="70" t="str">
        <f t="shared" si="61"/>
        <v/>
      </c>
    </row>
    <row r="3812" spans="3:3" ht="15" customHeight="1">
      <c r="C3812" s="70" t="str">
        <f t="shared" si="61"/>
        <v/>
      </c>
    </row>
    <row r="3813" spans="3:3" ht="15" customHeight="1">
      <c r="C3813" s="70" t="str">
        <f t="shared" si="61"/>
        <v/>
      </c>
    </row>
    <row r="3814" spans="3:3" ht="15" customHeight="1">
      <c r="C3814" s="70" t="str">
        <f t="shared" si="61"/>
        <v/>
      </c>
    </row>
    <row r="3815" spans="3:3" ht="15" customHeight="1">
      <c r="C3815" s="70" t="str">
        <f t="shared" si="61"/>
        <v/>
      </c>
    </row>
    <row r="3816" spans="3:3" ht="15" customHeight="1">
      <c r="C3816" s="70" t="str">
        <f t="shared" si="61"/>
        <v/>
      </c>
    </row>
    <row r="3817" spans="3:3" ht="15" customHeight="1">
      <c r="C3817" s="70" t="str">
        <f t="shared" si="61"/>
        <v/>
      </c>
    </row>
    <row r="3818" spans="3:3" ht="15" customHeight="1">
      <c r="C3818" s="70" t="str">
        <f t="shared" si="61"/>
        <v/>
      </c>
    </row>
    <row r="3819" spans="3:3" ht="15" customHeight="1">
      <c r="C3819" s="70" t="str">
        <f t="shared" si="61"/>
        <v/>
      </c>
    </row>
    <row r="3820" spans="3:3" ht="15" customHeight="1">
      <c r="C3820" s="70" t="str">
        <f t="shared" si="61"/>
        <v/>
      </c>
    </row>
    <row r="3821" spans="3:3" ht="15" customHeight="1">
      <c r="C3821" s="70" t="str">
        <f t="shared" si="61"/>
        <v/>
      </c>
    </row>
    <row r="3822" spans="3:3" ht="15" customHeight="1">
      <c r="C3822" s="70" t="str">
        <f t="shared" si="61"/>
        <v/>
      </c>
    </row>
    <row r="3823" spans="3:3" ht="15" customHeight="1">
      <c r="C3823" s="70" t="str">
        <f t="shared" si="61"/>
        <v/>
      </c>
    </row>
    <row r="3824" spans="3:3" ht="15" customHeight="1">
      <c r="C3824" s="70" t="str">
        <f t="shared" si="61"/>
        <v/>
      </c>
    </row>
    <row r="3825" spans="3:3" ht="15" customHeight="1">
      <c r="C3825" s="70" t="str">
        <f t="shared" si="61"/>
        <v/>
      </c>
    </row>
    <row r="3826" spans="3:3" ht="15" customHeight="1">
      <c r="C3826" s="70" t="str">
        <f t="shared" si="61"/>
        <v/>
      </c>
    </row>
    <row r="3827" spans="3:3" ht="15" customHeight="1">
      <c r="C3827" s="70" t="str">
        <f t="shared" si="61"/>
        <v/>
      </c>
    </row>
    <row r="3828" spans="3:3" ht="15" customHeight="1">
      <c r="C3828" s="70" t="str">
        <f t="shared" si="61"/>
        <v/>
      </c>
    </row>
    <row r="3829" spans="3:3" ht="15" customHeight="1">
      <c r="C3829" s="70" t="str">
        <f t="shared" si="61"/>
        <v/>
      </c>
    </row>
    <row r="3830" spans="3:3" ht="15" customHeight="1">
      <c r="C3830" s="70" t="str">
        <f t="shared" si="61"/>
        <v/>
      </c>
    </row>
    <row r="3831" spans="3:3" ht="15" customHeight="1">
      <c r="C3831" s="70" t="str">
        <f t="shared" si="61"/>
        <v/>
      </c>
    </row>
    <row r="3832" spans="3:3" ht="15" customHeight="1">
      <c r="C3832" s="70" t="str">
        <f t="shared" si="61"/>
        <v/>
      </c>
    </row>
    <row r="3833" spans="3:3" ht="15" customHeight="1">
      <c r="C3833" s="70" t="str">
        <f t="shared" si="61"/>
        <v/>
      </c>
    </row>
    <row r="3834" spans="3:3" ht="15" customHeight="1">
      <c r="C3834" s="70" t="str">
        <f t="shared" si="61"/>
        <v/>
      </c>
    </row>
    <row r="3835" spans="3:3" ht="15" customHeight="1">
      <c r="C3835" s="70" t="str">
        <f t="shared" si="61"/>
        <v/>
      </c>
    </row>
    <row r="3836" spans="3:3" ht="15" customHeight="1">
      <c r="C3836" s="70" t="str">
        <f t="shared" si="61"/>
        <v/>
      </c>
    </row>
    <row r="3837" spans="3:3" ht="15" customHeight="1">
      <c r="C3837" s="70" t="str">
        <f t="shared" si="61"/>
        <v/>
      </c>
    </row>
    <row r="3838" spans="3:3" ht="15" customHeight="1">
      <c r="C3838" s="70" t="str">
        <f t="shared" si="61"/>
        <v/>
      </c>
    </row>
    <row r="3839" spans="3:3" ht="15" customHeight="1">
      <c r="C3839" s="70" t="str">
        <f t="shared" si="61"/>
        <v/>
      </c>
    </row>
    <row r="3840" spans="3:3" ht="15" customHeight="1">
      <c r="C3840" s="70" t="str">
        <f t="shared" si="61"/>
        <v/>
      </c>
    </row>
    <row r="3841" spans="3:3" ht="15" customHeight="1">
      <c r="C3841" s="70" t="str">
        <f t="shared" si="61"/>
        <v/>
      </c>
    </row>
    <row r="3842" spans="3:3" ht="15" customHeight="1">
      <c r="C3842" s="70" t="str">
        <f t="shared" si="61"/>
        <v/>
      </c>
    </row>
    <row r="3843" spans="3:3" ht="15" customHeight="1">
      <c r="C3843" s="70" t="str">
        <f t="shared" si="61"/>
        <v/>
      </c>
    </row>
    <row r="3844" spans="3:3" ht="15" customHeight="1">
      <c r="C3844" s="70" t="str">
        <f t="shared" si="61"/>
        <v/>
      </c>
    </row>
    <row r="3845" spans="3:3" ht="15" customHeight="1">
      <c r="C3845" s="70" t="str">
        <f t="shared" si="61"/>
        <v/>
      </c>
    </row>
    <row r="3846" spans="3:3" ht="15" customHeight="1">
      <c r="C3846" s="70" t="str">
        <f t="shared" si="61"/>
        <v/>
      </c>
    </row>
    <row r="3847" spans="3:3" ht="15" customHeight="1">
      <c r="C3847" s="70" t="str">
        <f t="shared" si="61"/>
        <v/>
      </c>
    </row>
    <row r="3848" spans="3:3" ht="15" customHeight="1">
      <c r="C3848" s="70" t="str">
        <f t="shared" si="61"/>
        <v/>
      </c>
    </row>
    <row r="3849" spans="3:3" ht="15" customHeight="1">
      <c r="C3849" s="70" t="str">
        <f t="shared" si="61"/>
        <v/>
      </c>
    </row>
    <row r="3850" spans="3:3" ht="15" customHeight="1">
      <c r="C3850" s="70" t="str">
        <f t="shared" si="61"/>
        <v/>
      </c>
    </row>
    <row r="3851" spans="3:3" ht="15" customHeight="1">
      <c r="C3851" s="70" t="str">
        <f t="shared" si="61"/>
        <v/>
      </c>
    </row>
    <row r="3852" spans="3:3" ht="15" customHeight="1">
      <c r="C3852" s="70" t="str">
        <f t="shared" si="61"/>
        <v/>
      </c>
    </row>
    <row r="3853" spans="3:3" ht="15" customHeight="1">
      <c r="C3853" s="70" t="str">
        <f t="shared" si="61"/>
        <v/>
      </c>
    </row>
    <row r="3854" spans="3:3" ht="15" customHeight="1">
      <c r="C3854" s="70" t="str">
        <f t="shared" si="61"/>
        <v/>
      </c>
    </row>
    <row r="3855" spans="3:3" ht="15" customHeight="1">
      <c r="C3855" s="70" t="str">
        <f t="shared" si="61"/>
        <v/>
      </c>
    </row>
    <row r="3856" spans="3:3" ht="15" customHeight="1">
      <c r="C3856" s="70" t="str">
        <f t="shared" si="61"/>
        <v/>
      </c>
    </row>
    <row r="3857" spans="3:3" ht="15" customHeight="1">
      <c r="C3857" s="70" t="str">
        <f t="shared" ref="C3857:C3920" si="62">IF(B3857&lt;&gt;"",TEXT(WEEKDAY(B3857),"dddd"),"")</f>
        <v/>
      </c>
    </row>
    <row r="3858" spans="3:3" ht="15" customHeight="1">
      <c r="C3858" s="70" t="str">
        <f t="shared" si="62"/>
        <v/>
      </c>
    </row>
    <row r="3859" spans="3:3" ht="15" customHeight="1">
      <c r="C3859" s="70" t="str">
        <f t="shared" si="62"/>
        <v/>
      </c>
    </row>
    <row r="3860" spans="3:3" ht="15" customHeight="1">
      <c r="C3860" s="70" t="str">
        <f t="shared" si="62"/>
        <v/>
      </c>
    </row>
    <row r="3861" spans="3:3" ht="15" customHeight="1">
      <c r="C3861" s="70" t="str">
        <f t="shared" si="62"/>
        <v/>
      </c>
    </row>
    <row r="3862" spans="3:3" ht="15" customHeight="1">
      <c r="C3862" s="70" t="str">
        <f t="shared" si="62"/>
        <v/>
      </c>
    </row>
    <row r="3863" spans="3:3" ht="15" customHeight="1">
      <c r="C3863" s="70" t="str">
        <f t="shared" si="62"/>
        <v/>
      </c>
    </row>
    <row r="3864" spans="3:3" ht="15" customHeight="1">
      <c r="C3864" s="70" t="str">
        <f t="shared" si="62"/>
        <v/>
      </c>
    </row>
    <row r="3865" spans="3:3" ht="15" customHeight="1">
      <c r="C3865" s="70" t="str">
        <f t="shared" si="62"/>
        <v/>
      </c>
    </row>
    <row r="3866" spans="3:3" ht="15" customHeight="1">
      <c r="C3866" s="70" t="str">
        <f t="shared" si="62"/>
        <v/>
      </c>
    </row>
    <row r="3867" spans="3:3" ht="15" customHeight="1">
      <c r="C3867" s="70" t="str">
        <f t="shared" si="62"/>
        <v/>
      </c>
    </row>
    <row r="3868" spans="3:3" ht="15" customHeight="1">
      <c r="C3868" s="70" t="str">
        <f t="shared" si="62"/>
        <v/>
      </c>
    </row>
    <row r="3869" spans="3:3" ht="15" customHeight="1">
      <c r="C3869" s="70" t="str">
        <f t="shared" si="62"/>
        <v/>
      </c>
    </row>
    <row r="3870" spans="3:3" ht="15" customHeight="1">
      <c r="C3870" s="70" t="str">
        <f t="shared" si="62"/>
        <v/>
      </c>
    </row>
    <row r="3871" spans="3:3" ht="15" customHeight="1">
      <c r="C3871" s="70" t="str">
        <f t="shared" si="62"/>
        <v/>
      </c>
    </row>
    <row r="3872" spans="3:3" ht="15" customHeight="1">
      <c r="C3872" s="70" t="str">
        <f t="shared" si="62"/>
        <v/>
      </c>
    </row>
    <row r="3873" spans="3:3" ht="15" customHeight="1">
      <c r="C3873" s="70" t="str">
        <f t="shared" si="62"/>
        <v/>
      </c>
    </row>
    <row r="3874" spans="3:3" ht="15" customHeight="1">
      <c r="C3874" s="70" t="str">
        <f t="shared" si="62"/>
        <v/>
      </c>
    </row>
    <row r="3875" spans="3:3" ht="15" customHeight="1">
      <c r="C3875" s="70" t="str">
        <f t="shared" si="62"/>
        <v/>
      </c>
    </row>
    <row r="3876" spans="3:3" ht="15" customHeight="1">
      <c r="C3876" s="70" t="str">
        <f t="shared" si="62"/>
        <v/>
      </c>
    </row>
    <row r="3877" spans="3:3" ht="15" customHeight="1">
      <c r="C3877" s="70" t="str">
        <f t="shared" si="62"/>
        <v/>
      </c>
    </row>
    <row r="3878" spans="3:3" ht="15" customHeight="1">
      <c r="C3878" s="70" t="str">
        <f t="shared" si="62"/>
        <v/>
      </c>
    </row>
    <row r="3879" spans="3:3" ht="15" customHeight="1">
      <c r="C3879" s="70" t="str">
        <f t="shared" si="62"/>
        <v/>
      </c>
    </row>
    <row r="3880" spans="3:3" ht="15" customHeight="1">
      <c r="C3880" s="70" t="str">
        <f t="shared" si="62"/>
        <v/>
      </c>
    </row>
    <row r="3881" spans="3:3" ht="15" customHeight="1">
      <c r="C3881" s="70" t="str">
        <f t="shared" si="62"/>
        <v/>
      </c>
    </row>
    <row r="3882" spans="3:3" ht="15" customHeight="1">
      <c r="C3882" s="70" t="str">
        <f t="shared" si="62"/>
        <v/>
      </c>
    </row>
    <row r="3883" spans="3:3" ht="15" customHeight="1">
      <c r="C3883" s="70" t="str">
        <f t="shared" si="62"/>
        <v/>
      </c>
    </row>
    <row r="3884" spans="3:3" ht="15" customHeight="1">
      <c r="C3884" s="70" t="str">
        <f t="shared" si="62"/>
        <v/>
      </c>
    </row>
    <row r="3885" spans="3:3" ht="15" customHeight="1">
      <c r="C3885" s="70" t="str">
        <f t="shared" si="62"/>
        <v/>
      </c>
    </row>
    <row r="3886" spans="3:3" ht="15" customHeight="1">
      <c r="C3886" s="70" t="str">
        <f t="shared" si="62"/>
        <v/>
      </c>
    </row>
    <row r="3887" spans="3:3" ht="15" customHeight="1">
      <c r="C3887" s="70" t="str">
        <f t="shared" si="62"/>
        <v/>
      </c>
    </row>
    <row r="3888" spans="3:3" ht="15" customHeight="1">
      <c r="C3888" s="70" t="str">
        <f t="shared" si="62"/>
        <v/>
      </c>
    </row>
    <row r="3889" spans="3:3" ht="15" customHeight="1">
      <c r="C3889" s="70" t="str">
        <f t="shared" si="62"/>
        <v/>
      </c>
    </row>
    <row r="3890" spans="3:3" ht="15" customHeight="1">
      <c r="C3890" s="70" t="str">
        <f t="shared" si="62"/>
        <v/>
      </c>
    </row>
    <row r="3891" spans="3:3" ht="15" customHeight="1">
      <c r="C3891" s="70" t="str">
        <f t="shared" si="62"/>
        <v/>
      </c>
    </row>
    <row r="3892" spans="3:3" ht="15" customHeight="1">
      <c r="C3892" s="70" t="str">
        <f t="shared" si="62"/>
        <v/>
      </c>
    </row>
    <row r="3893" spans="3:3" ht="15" customHeight="1">
      <c r="C3893" s="70" t="str">
        <f t="shared" si="62"/>
        <v/>
      </c>
    </row>
    <row r="3894" spans="3:3" ht="15" customHeight="1">
      <c r="C3894" s="70" t="str">
        <f t="shared" si="62"/>
        <v/>
      </c>
    </row>
    <row r="3895" spans="3:3" ht="15" customHeight="1">
      <c r="C3895" s="70" t="str">
        <f t="shared" si="62"/>
        <v/>
      </c>
    </row>
    <row r="3896" spans="3:3" ht="15" customHeight="1">
      <c r="C3896" s="70" t="str">
        <f t="shared" si="62"/>
        <v/>
      </c>
    </row>
    <row r="3897" spans="3:3" ht="15" customHeight="1">
      <c r="C3897" s="70" t="str">
        <f t="shared" si="62"/>
        <v/>
      </c>
    </row>
    <row r="3898" spans="3:3" ht="15" customHeight="1">
      <c r="C3898" s="70" t="str">
        <f t="shared" si="62"/>
        <v/>
      </c>
    </row>
    <row r="3899" spans="3:3" ht="15" customHeight="1">
      <c r="C3899" s="70" t="str">
        <f t="shared" si="62"/>
        <v/>
      </c>
    </row>
    <row r="3900" spans="3:3" ht="15" customHeight="1">
      <c r="C3900" s="70" t="str">
        <f t="shared" si="62"/>
        <v/>
      </c>
    </row>
    <row r="3901" spans="3:3" ht="15" customHeight="1">
      <c r="C3901" s="70" t="str">
        <f t="shared" si="62"/>
        <v/>
      </c>
    </row>
    <row r="3902" spans="3:3" ht="15" customHeight="1">
      <c r="C3902" s="70" t="str">
        <f t="shared" si="62"/>
        <v/>
      </c>
    </row>
    <row r="3903" spans="3:3" ht="15" customHeight="1">
      <c r="C3903" s="70" t="str">
        <f t="shared" si="62"/>
        <v/>
      </c>
    </row>
    <row r="3904" spans="3:3" ht="15" customHeight="1">
      <c r="C3904" s="70" t="str">
        <f t="shared" si="62"/>
        <v/>
      </c>
    </row>
    <row r="3905" spans="3:3" ht="15" customHeight="1">
      <c r="C3905" s="70" t="str">
        <f t="shared" si="62"/>
        <v/>
      </c>
    </row>
    <row r="3906" spans="3:3" ht="15" customHeight="1">
      <c r="C3906" s="70" t="str">
        <f t="shared" si="62"/>
        <v/>
      </c>
    </row>
    <row r="3907" spans="3:3" ht="15" customHeight="1">
      <c r="C3907" s="70" t="str">
        <f t="shared" si="62"/>
        <v/>
      </c>
    </row>
    <row r="3908" spans="3:3" ht="15" customHeight="1">
      <c r="C3908" s="70" t="str">
        <f t="shared" si="62"/>
        <v/>
      </c>
    </row>
    <row r="3909" spans="3:3" ht="15" customHeight="1">
      <c r="C3909" s="70" t="str">
        <f t="shared" si="62"/>
        <v/>
      </c>
    </row>
    <row r="3910" spans="3:3" ht="15" customHeight="1">
      <c r="C3910" s="70" t="str">
        <f t="shared" si="62"/>
        <v/>
      </c>
    </row>
    <row r="3911" spans="3:3" ht="15" customHeight="1">
      <c r="C3911" s="70" t="str">
        <f t="shared" si="62"/>
        <v/>
      </c>
    </row>
    <row r="3912" spans="3:3" ht="15" customHeight="1">
      <c r="C3912" s="70" t="str">
        <f t="shared" si="62"/>
        <v/>
      </c>
    </row>
    <row r="3913" spans="3:3" ht="15" customHeight="1">
      <c r="C3913" s="70" t="str">
        <f t="shared" si="62"/>
        <v/>
      </c>
    </row>
    <row r="3914" spans="3:3" ht="15" customHeight="1">
      <c r="C3914" s="70" t="str">
        <f t="shared" si="62"/>
        <v/>
      </c>
    </row>
    <row r="3915" spans="3:3" ht="15" customHeight="1">
      <c r="C3915" s="70" t="str">
        <f t="shared" si="62"/>
        <v/>
      </c>
    </row>
    <row r="3916" spans="3:3" ht="15" customHeight="1">
      <c r="C3916" s="70" t="str">
        <f t="shared" si="62"/>
        <v/>
      </c>
    </row>
    <row r="3917" spans="3:3" ht="15" customHeight="1">
      <c r="C3917" s="70" t="str">
        <f t="shared" si="62"/>
        <v/>
      </c>
    </row>
    <row r="3918" spans="3:3" ht="15" customHeight="1">
      <c r="C3918" s="70" t="str">
        <f t="shared" si="62"/>
        <v/>
      </c>
    </row>
    <row r="3919" spans="3:3" ht="15" customHeight="1">
      <c r="C3919" s="70" t="str">
        <f t="shared" si="62"/>
        <v/>
      </c>
    </row>
    <row r="3920" spans="3:3" ht="15" customHeight="1">
      <c r="C3920" s="70" t="str">
        <f t="shared" si="62"/>
        <v/>
      </c>
    </row>
    <row r="3921" spans="3:3" ht="15" customHeight="1">
      <c r="C3921" s="70" t="str">
        <f t="shared" ref="C3921:C3984" si="63">IF(B3921&lt;&gt;"",TEXT(WEEKDAY(B3921),"dddd"),"")</f>
        <v/>
      </c>
    </row>
    <row r="3922" spans="3:3" ht="15" customHeight="1">
      <c r="C3922" s="70" t="str">
        <f t="shared" si="63"/>
        <v/>
      </c>
    </row>
    <row r="3923" spans="3:3" ht="15" customHeight="1">
      <c r="C3923" s="70" t="str">
        <f t="shared" si="63"/>
        <v/>
      </c>
    </row>
    <row r="3924" spans="3:3" ht="15" customHeight="1">
      <c r="C3924" s="70" t="str">
        <f t="shared" si="63"/>
        <v/>
      </c>
    </row>
    <row r="3925" spans="3:3" ht="15" customHeight="1">
      <c r="C3925" s="70" t="str">
        <f t="shared" si="63"/>
        <v/>
      </c>
    </row>
    <row r="3926" spans="3:3" ht="15" customHeight="1">
      <c r="C3926" s="70" t="str">
        <f t="shared" si="63"/>
        <v/>
      </c>
    </row>
    <row r="3927" spans="3:3" ht="15" customHeight="1">
      <c r="C3927" s="70" t="str">
        <f t="shared" si="63"/>
        <v/>
      </c>
    </row>
    <row r="3928" spans="3:3" ht="15" customHeight="1">
      <c r="C3928" s="70" t="str">
        <f t="shared" si="63"/>
        <v/>
      </c>
    </row>
    <row r="3929" spans="3:3" ht="15" customHeight="1">
      <c r="C3929" s="70" t="str">
        <f t="shared" si="63"/>
        <v/>
      </c>
    </row>
    <row r="3930" spans="3:3" ht="15" customHeight="1">
      <c r="C3930" s="70" t="str">
        <f t="shared" si="63"/>
        <v/>
      </c>
    </row>
    <row r="3931" spans="3:3" ht="15" customHeight="1">
      <c r="C3931" s="70" t="str">
        <f t="shared" si="63"/>
        <v/>
      </c>
    </row>
    <row r="3932" spans="3:3" ht="15" customHeight="1">
      <c r="C3932" s="70" t="str">
        <f t="shared" si="63"/>
        <v/>
      </c>
    </row>
    <row r="3933" spans="3:3" ht="15" customHeight="1">
      <c r="C3933" s="70" t="str">
        <f t="shared" si="63"/>
        <v/>
      </c>
    </row>
    <row r="3934" spans="3:3" ht="15" customHeight="1">
      <c r="C3934" s="70" t="str">
        <f t="shared" si="63"/>
        <v/>
      </c>
    </row>
    <row r="3935" spans="3:3" ht="15" customHeight="1">
      <c r="C3935" s="70" t="str">
        <f t="shared" si="63"/>
        <v/>
      </c>
    </row>
    <row r="3936" spans="3:3" ht="15" customHeight="1">
      <c r="C3936" s="70" t="str">
        <f t="shared" si="63"/>
        <v/>
      </c>
    </row>
    <row r="3937" spans="3:3" ht="15" customHeight="1">
      <c r="C3937" s="70" t="str">
        <f t="shared" si="63"/>
        <v/>
      </c>
    </row>
    <row r="3938" spans="3:3" ht="15" customHeight="1">
      <c r="C3938" s="70" t="str">
        <f t="shared" si="63"/>
        <v/>
      </c>
    </row>
    <row r="3939" spans="3:3" ht="15" customHeight="1">
      <c r="C3939" s="70" t="str">
        <f t="shared" si="63"/>
        <v/>
      </c>
    </row>
    <row r="3940" spans="3:3" ht="15" customHeight="1">
      <c r="C3940" s="70" t="str">
        <f t="shared" si="63"/>
        <v/>
      </c>
    </row>
    <row r="3941" spans="3:3" ht="15" customHeight="1">
      <c r="C3941" s="70" t="str">
        <f t="shared" si="63"/>
        <v/>
      </c>
    </row>
    <row r="3942" spans="3:3" ht="15" customHeight="1">
      <c r="C3942" s="70" t="str">
        <f t="shared" si="63"/>
        <v/>
      </c>
    </row>
    <row r="3943" spans="3:3" ht="15" customHeight="1">
      <c r="C3943" s="70" t="str">
        <f t="shared" si="63"/>
        <v/>
      </c>
    </row>
    <row r="3944" spans="3:3" ht="15" customHeight="1">
      <c r="C3944" s="70" t="str">
        <f t="shared" si="63"/>
        <v/>
      </c>
    </row>
    <row r="3945" spans="3:3" ht="15" customHeight="1">
      <c r="C3945" s="70" t="str">
        <f t="shared" si="63"/>
        <v/>
      </c>
    </row>
    <row r="3946" spans="3:3" ht="15" customHeight="1">
      <c r="C3946" s="70" t="str">
        <f t="shared" si="63"/>
        <v/>
      </c>
    </row>
    <row r="3947" spans="3:3" ht="15" customHeight="1">
      <c r="C3947" s="70" t="str">
        <f t="shared" si="63"/>
        <v/>
      </c>
    </row>
    <row r="3948" spans="3:3" ht="15" customHeight="1">
      <c r="C3948" s="70" t="str">
        <f t="shared" si="63"/>
        <v/>
      </c>
    </row>
    <row r="3949" spans="3:3" ht="15" customHeight="1">
      <c r="C3949" s="70" t="str">
        <f t="shared" si="63"/>
        <v/>
      </c>
    </row>
    <row r="3950" spans="3:3" ht="15" customHeight="1">
      <c r="C3950" s="70" t="str">
        <f t="shared" si="63"/>
        <v/>
      </c>
    </row>
    <row r="3951" spans="3:3" ht="15" customHeight="1">
      <c r="C3951" s="70" t="str">
        <f t="shared" si="63"/>
        <v/>
      </c>
    </row>
    <row r="3952" spans="3:3" ht="15" customHeight="1">
      <c r="C3952" s="70" t="str">
        <f t="shared" si="63"/>
        <v/>
      </c>
    </row>
    <row r="3953" spans="3:3" ht="15" customHeight="1">
      <c r="C3953" s="70" t="str">
        <f t="shared" si="63"/>
        <v/>
      </c>
    </row>
    <row r="3954" spans="3:3" ht="15" customHeight="1">
      <c r="C3954" s="70" t="str">
        <f t="shared" si="63"/>
        <v/>
      </c>
    </row>
    <row r="3955" spans="3:3" ht="15" customHeight="1">
      <c r="C3955" s="70" t="str">
        <f t="shared" si="63"/>
        <v/>
      </c>
    </row>
    <row r="3956" spans="3:3" ht="15" customHeight="1">
      <c r="C3956" s="70" t="str">
        <f t="shared" si="63"/>
        <v/>
      </c>
    </row>
    <row r="3957" spans="3:3" ht="15" customHeight="1">
      <c r="C3957" s="70" t="str">
        <f t="shared" si="63"/>
        <v/>
      </c>
    </row>
    <row r="3958" spans="3:3" ht="15" customHeight="1">
      <c r="C3958" s="70" t="str">
        <f t="shared" si="63"/>
        <v/>
      </c>
    </row>
    <row r="3959" spans="3:3" ht="15" customHeight="1">
      <c r="C3959" s="70" t="str">
        <f t="shared" si="63"/>
        <v/>
      </c>
    </row>
    <row r="3960" spans="3:3" ht="15" customHeight="1">
      <c r="C3960" s="70" t="str">
        <f t="shared" si="63"/>
        <v/>
      </c>
    </row>
    <row r="3961" spans="3:3" ht="15" customHeight="1">
      <c r="C3961" s="70" t="str">
        <f t="shared" si="63"/>
        <v/>
      </c>
    </row>
    <row r="3962" spans="3:3" ht="15" customHeight="1">
      <c r="C3962" s="70" t="str">
        <f t="shared" si="63"/>
        <v/>
      </c>
    </row>
    <row r="3963" spans="3:3" ht="15" customHeight="1">
      <c r="C3963" s="70" t="str">
        <f t="shared" si="63"/>
        <v/>
      </c>
    </row>
    <row r="3964" spans="3:3" ht="15" customHeight="1">
      <c r="C3964" s="70" t="str">
        <f t="shared" si="63"/>
        <v/>
      </c>
    </row>
    <row r="3965" spans="3:3" ht="15" customHeight="1">
      <c r="C3965" s="70" t="str">
        <f t="shared" si="63"/>
        <v/>
      </c>
    </row>
    <row r="3966" spans="3:3" ht="15" customHeight="1">
      <c r="C3966" s="70" t="str">
        <f t="shared" si="63"/>
        <v/>
      </c>
    </row>
    <row r="3967" spans="3:3" ht="15" customHeight="1">
      <c r="C3967" s="70" t="str">
        <f t="shared" si="63"/>
        <v/>
      </c>
    </row>
    <row r="3968" spans="3:3" ht="15" customHeight="1">
      <c r="C3968" s="70" t="str">
        <f t="shared" si="63"/>
        <v/>
      </c>
    </row>
    <row r="3969" spans="3:3" ht="15" customHeight="1">
      <c r="C3969" s="70" t="str">
        <f t="shared" si="63"/>
        <v/>
      </c>
    </row>
    <row r="3970" spans="3:3" ht="15" customHeight="1">
      <c r="C3970" s="70" t="str">
        <f t="shared" si="63"/>
        <v/>
      </c>
    </row>
    <row r="3971" spans="3:3" ht="15" customHeight="1">
      <c r="C3971" s="70" t="str">
        <f t="shared" si="63"/>
        <v/>
      </c>
    </row>
    <row r="3972" spans="3:3" ht="15" customHeight="1">
      <c r="C3972" s="70" t="str">
        <f t="shared" si="63"/>
        <v/>
      </c>
    </row>
    <row r="3973" spans="3:3" ht="15" customHeight="1">
      <c r="C3973" s="70" t="str">
        <f t="shared" si="63"/>
        <v/>
      </c>
    </row>
    <row r="3974" spans="3:3" ht="15" customHeight="1">
      <c r="C3974" s="70" t="str">
        <f t="shared" si="63"/>
        <v/>
      </c>
    </row>
    <row r="3975" spans="3:3" ht="15" customHeight="1">
      <c r="C3975" s="70" t="str">
        <f t="shared" si="63"/>
        <v/>
      </c>
    </row>
    <row r="3976" spans="3:3" ht="15" customHeight="1">
      <c r="C3976" s="70" t="str">
        <f t="shared" si="63"/>
        <v/>
      </c>
    </row>
    <row r="3977" spans="3:3" ht="15" customHeight="1">
      <c r="C3977" s="70" t="str">
        <f t="shared" si="63"/>
        <v/>
      </c>
    </row>
    <row r="3978" spans="3:3" ht="15" customHeight="1">
      <c r="C3978" s="70" t="str">
        <f t="shared" si="63"/>
        <v/>
      </c>
    </row>
    <row r="3979" spans="3:3" ht="15" customHeight="1">
      <c r="C3979" s="70" t="str">
        <f t="shared" si="63"/>
        <v/>
      </c>
    </row>
    <row r="3980" spans="3:3" ht="15" customHeight="1">
      <c r="C3980" s="70" t="str">
        <f t="shared" si="63"/>
        <v/>
      </c>
    </row>
    <row r="3981" spans="3:3" ht="15" customHeight="1">
      <c r="C3981" s="70" t="str">
        <f t="shared" si="63"/>
        <v/>
      </c>
    </row>
    <row r="3982" spans="3:3" ht="15" customHeight="1">
      <c r="C3982" s="70" t="str">
        <f t="shared" si="63"/>
        <v/>
      </c>
    </row>
    <row r="3983" spans="3:3" ht="15" customHeight="1">
      <c r="C3983" s="70" t="str">
        <f t="shared" si="63"/>
        <v/>
      </c>
    </row>
    <row r="3984" spans="3:3" ht="15" customHeight="1">
      <c r="C3984" s="70" t="str">
        <f t="shared" si="63"/>
        <v/>
      </c>
    </row>
    <row r="3985" spans="3:3" ht="15" customHeight="1">
      <c r="C3985" s="70" t="str">
        <f t="shared" ref="C3985:C4048" si="64">IF(B3985&lt;&gt;"",TEXT(WEEKDAY(B3985),"dddd"),"")</f>
        <v/>
      </c>
    </row>
    <row r="3986" spans="3:3" ht="15" customHeight="1">
      <c r="C3986" s="70" t="str">
        <f t="shared" si="64"/>
        <v/>
      </c>
    </row>
    <row r="3987" spans="3:3" ht="15" customHeight="1">
      <c r="C3987" s="70" t="str">
        <f t="shared" si="64"/>
        <v/>
      </c>
    </row>
    <row r="3988" spans="3:3" ht="15" customHeight="1">
      <c r="C3988" s="70" t="str">
        <f t="shared" si="64"/>
        <v/>
      </c>
    </row>
    <row r="3989" spans="3:3" ht="15" customHeight="1">
      <c r="C3989" s="70" t="str">
        <f t="shared" si="64"/>
        <v/>
      </c>
    </row>
    <row r="3990" spans="3:3" ht="15" customHeight="1">
      <c r="C3990" s="70" t="str">
        <f t="shared" si="64"/>
        <v/>
      </c>
    </row>
    <row r="3991" spans="3:3" ht="15" customHeight="1">
      <c r="C3991" s="70" t="str">
        <f t="shared" si="64"/>
        <v/>
      </c>
    </row>
    <row r="3992" spans="3:3" ht="15" customHeight="1">
      <c r="C3992" s="70" t="str">
        <f t="shared" si="64"/>
        <v/>
      </c>
    </row>
    <row r="3993" spans="3:3" ht="15" customHeight="1">
      <c r="C3993" s="70" t="str">
        <f t="shared" si="64"/>
        <v/>
      </c>
    </row>
    <row r="3994" spans="3:3" ht="15" customHeight="1">
      <c r="C3994" s="70" t="str">
        <f t="shared" si="64"/>
        <v/>
      </c>
    </row>
    <row r="3995" spans="3:3" ht="15" customHeight="1">
      <c r="C3995" s="70" t="str">
        <f t="shared" si="64"/>
        <v/>
      </c>
    </row>
    <row r="3996" spans="3:3" ht="15" customHeight="1">
      <c r="C3996" s="70" t="str">
        <f t="shared" si="64"/>
        <v/>
      </c>
    </row>
    <row r="3997" spans="3:3" ht="15" customHeight="1">
      <c r="C3997" s="70" t="str">
        <f t="shared" si="64"/>
        <v/>
      </c>
    </row>
    <row r="3998" spans="3:3" ht="15" customHeight="1">
      <c r="C3998" s="70" t="str">
        <f t="shared" si="64"/>
        <v/>
      </c>
    </row>
    <row r="3999" spans="3:3" ht="15" customHeight="1">
      <c r="C3999" s="70" t="str">
        <f t="shared" si="64"/>
        <v/>
      </c>
    </row>
    <row r="4000" spans="3:3" ht="15" customHeight="1">
      <c r="C4000" s="70" t="str">
        <f t="shared" si="64"/>
        <v/>
      </c>
    </row>
    <row r="4001" spans="3:3" ht="15" customHeight="1">
      <c r="C4001" s="70" t="str">
        <f t="shared" si="64"/>
        <v/>
      </c>
    </row>
    <row r="4002" spans="3:3" ht="15" customHeight="1">
      <c r="C4002" s="70" t="str">
        <f t="shared" si="64"/>
        <v/>
      </c>
    </row>
    <row r="4003" spans="3:3" ht="15" customHeight="1">
      <c r="C4003" s="70" t="str">
        <f t="shared" si="64"/>
        <v/>
      </c>
    </row>
    <row r="4004" spans="3:3" ht="15" customHeight="1">
      <c r="C4004" s="70" t="str">
        <f t="shared" si="64"/>
        <v/>
      </c>
    </row>
    <row r="4005" spans="3:3" ht="15" customHeight="1">
      <c r="C4005" s="70" t="str">
        <f t="shared" si="64"/>
        <v/>
      </c>
    </row>
    <row r="4006" spans="3:3" ht="15" customHeight="1">
      <c r="C4006" s="70" t="str">
        <f t="shared" si="64"/>
        <v/>
      </c>
    </row>
    <row r="4007" spans="3:3" ht="15" customHeight="1">
      <c r="C4007" s="70" t="str">
        <f t="shared" si="64"/>
        <v/>
      </c>
    </row>
    <row r="4008" spans="3:3" ht="15" customHeight="1">
      <c r="C4008" s="70" t="str">
        <f t="shared" si="64"/>
        <v/>
      </c>
    </row>
    <row r="4009" spans="3:3" ht="15" customHeight="1">
      <c r="C4009" s="70" t="str">
        <f t="shared" si="64"/>
        <v/>
      </c>
    </row>
    <row r="4010" spans="3:3" ht="15" customHeight="1">
      <c r="C4010" s="70" t="str">
        <f t="shared" si="64"/>
        <v/>
      </c>
    </row>
    <row r="4011" spans="3:3" ht="15" customHeight="1">
      <c r="C4011" s="70" t="str">
        <f t="shared" si="64"/>
        <v/>
      </c>
    </row>
    <row r="4012" spans="3:3" ht="15" customHeight="1">
      <c r="C4012" s="70" t="str">
        <f t="shared" si="64"/>
        <v/>
      </c>
    </row>
    <row r="4013" spans="3:3" ht="15" customHeight="1">
      <c r="C4013" s="70" t="str">
        <f t="shared" si="64"/>
        <v/>
      </c>
    </row>
    <row r="4014" spans="3:3" ht="15" customHeight="1">
      <c r="C4014" s="70" t="str">
        <f t="shared" si="64"/>
        <v/>
      </c>
    </row>
    <row r="4015" spans="3:3" ht="15" customHeight="1">
      <c r="C4015" s="70" t="str">
        <f t="shared" si="64"/>
        <v/>
      </c>
    </row>
    <row r="4016" spans="3:3" ht="15" customHeight="1">
      <c r="C4016" s="70" t="str">
        <f t="shared" si="64"/>
        <v/>
      </c>
    </row>
    <row r="4017" spans="3:3" ht="15" customHeight="1">
      <c r="C4017" s="70" t="str">
        <f t="shared" si="64"/>
        <v/>
      </c>
    </row>
    <row r="4018" spans="3:3" ht="15" customHeight="1">
      <c r="C4018" s="70" t="str">
        <f t="shared" si="64"/>
        <v/>
      </c>
    </row>
    <row r="4019" spans="3:3" ht="15" customHeight="1">
      <c r="C4019" s="70" t="str">
        <f t="shared" si="64"/>
        <v/>
      </c>
    </row>
    <row r="4020" spans="3:3" ht="15" customHeight="1">
      <c r="C4020" s="70" t="str">
        <f t="shared" si="64"/>
        <v/>
      </c>
    </row>
    <row r="4021" spans="3:3" ht="15" customHeight="1">
      <c r="C4021" s="70" t="str">
        <f t="shared" si="64"/>
        <v/>
      </c>
    </row>
    <row r="4022" spans="3:3" ht="15" customHeight="1">
      <c r="C4022" s="70" t="str">
        <f t="shared" si="64"/>
        <v/>
      </c>
    </row>
    <row r="4023" spans="3:3" ht="15" customHeight="1">
      <c r="C4023" s="70" t="str">
        <f t="shared" si="64"/>
        <v/>
      </c>
    </row>
    <row r="4024" spans="3:3" ht="15" customHeight="1">
      <c r="C4024" s="70" t="str">
        <f t="shared" si="64"/>
        <v/>
      </c>
    </row>
    <row r="4025" spans="3:3" ht="15" customHeight="1">
      <c r="C4025" s="70" t="str">
        <f t="shared" si="64"/>
        <v/>
      </c>
    </row>
    <row r="4026" spans="3:3" ht="15" customHeight="1">
      <c r="C4026" s="70" t="str">
        <f t="shared" si="64"/>
        <v/>
      </c>
    </row>
    <row r="4027" spans="3:3" ht="15" customHeight="1">
      <c r="C4027" s="70" t="str">
        <f t="shared" si="64"/>
        <v/>
      </c>
    </row>
    <row r="4028" spans="3:3" ht="15" customHeight="1">
      <c r="C4028" s="70" t="str">
        <f t="shared" si="64"/>
        <v/>
      </c>
    </row>
    <row r="4029" spans="3:3" ht="15" customHeight="1">
      <c r="C4029" s="70" t="str">
        <f t="shared" si="64"/>
        <v/>
      </c>
    </row>
    <row r="4030" spans="3:3" ht="15" customHeight="1">
      <c r="C4030" s="70" t="str">
        <f t="shared" si="64"/>
        <v/>
      </c>
    </row>
    <row r="4031" spans="3:3" ht="15" customHeight="1">
      <c r="C4031" s="70" t="str">
        <f t="shared" si="64"/>
        <v/>
      </c>
    </row>
    <row r="4032" spans="3:3" ht="15" customHeight="1">
      <c r="C4032" s="70" t="str">
        <f t="shared" si="64"/>
        <v/>
      </c>
    </row>
    <row r="4033" spans="3:3" ht="15" customHeight="1">
      <c r="C4033" s="70" t="str">
        <f t="shared" si="64"/>
        <v/>
      </c>
    </row>
    <row r="4034" spans="3:3" ht="15" customHeight="1">
      <c r="C4034" s="70" t="str">
        <f t="shared" si="64"/>
        <v/>
      </c>
    </row>
    <row r="4035" spans="3:3" ht="15" customHeight="1">
      <c r="C4035" s="70" t="str">
        <f t="shared" si="64"/>
        <v/>
      </c>
    </row>
    <row r="4036" spans="3:3" ht="15" customHeight="1">
      <c r="C4036" s="70" t="str">
        <f t="shared" si="64"/>
        <v/>
      </c>
    </row>
    <row r="4037" spans="3:3" ht="15" customHeight="1">
      <c r="C4037" s="70" t="str">
        <f t="shared" si="64"/>
        <v/>
      </c>
    </row>
    <row r="4038" spans="3:3" ht="15" customHeight="1">
      <c r="C4038" s="70" t="str">
        <f t="shared" si="64"/>
        <v/>
      </c>
    </row>
    <row r="4039" spans="3:3" ht="15" customHeight="1">
      <c r="C4039" s="70" t="str">
        <f t="shared" si="64"/>
        <v/>
      </c>
    </row>
    <row r="4040" spans="3:3" ht="15" customHeight="1">
      <c r="C4040" s="70" t="str">
        <f t="shared" si="64"/>
        <v/>
      </c>
    </row>
    <row r="4041" spans="3:3" ht="15" customHeight="1">
      <c r="C4041" s="70" t="str">
        <f t="shared" si="64"/>
        <v/>
      </c>
    </row>
    <row r="4042" spans="3:3" ht="15" customHeight="1">
      <c r="C4042" s="70" t="str">
        <f t="shared" si="64"/>
        <v/>
      </c>
    </row>
    <row r="4043" spans="3:3" ht="15" customHeight="1">
      <c r="C4043" s="70" t="str">
        <f t="shared" si="64"/>
        <v/>
      </c>
    </row>
    <row r="4044" spans="3:3" ht="15" customHeight="1">
      <c r="C4044" s="70" t="str">
        <f t="shared" si="64"/>
        <v/>
      </c>
    </row>
    <row r="4045" spans="3:3" ht="15" customHeight="1">
      <c r="C4045" s="70" t="str">
        <f t="shared" si="64"/>
        <v/>
      </c>
    </row>
    <row r="4046" spans="3:3" ht="15" customHeight="1">
      <c r="C4046" s="70" t="str">
        <f t="shared" si="64"/>
        <v/>
      </c>
    </row>
    <row r="4047" spans="3:3" ht="15" customHeight="1">
      <c r="C4047" s="70" t="str">
        <f t="shared" si="64"/>
        <v/>
      </c>
    </row>
    <row r="4048" spans="3:3" ht="15" customHeight="1">
      <c r="C4048" s="70" t="str">
        <f t="shared" si="64"/>
        <v/>
      </c>
    </row>
    <row r="4049" spans="3:3" ht="15" customHeight="1">
      <c r="C4049" s="70" t="str">
        <f t="shared" ref="C4049:C4112" si="65">IF(B4049&lt;&gt;"",TEXT(WEEKDAY(B4049),"dddd"),"")</f>
        <v/>
      </c>
    </row>
    <row r="4050" spans="3:3" ht="15" customHeight="1">
      <c r="C4050" s="70" t="str">
        <f t="shared" si="65"/>
        <v/>
      </c>
    </row>
    <row r="4051" spans="3:3" ht="15" customHeight="1">
      <c r="C4051" s="70" t="str">
        <f t="shared" si="65"/>
        <v/>
      </c>
    </row>
    <row r="4052" spans="3:3" ht="15" customHeight="1">
      <c r="C4052" s="70" t="str">
        <f t="shared" si="65"/>
        <v/>
      </c>
    </row>
    <row r="4053" spans="3:3" ht="15" customHeight="1">
      <c r="C4053" s="70" t="str">
        <f t="shared" si="65"/>
        <v/>
      </c>
    </row>
    <row r="4054" spans="3:3" ht="15" customHeight="1">
      <c r="C4054" s="70" t="str">
        <f t="shared" si="65"/>
        <v/>
      </c>
    </row>
    <row r="4055" spans="3:3" ht="15" customHeight="1">
      <c r="C4055" s="70" t="str">
        <f t="shared" si="65"/>
        <v/>
      </c>
    </row>
    <row r="4056" spans="3:3" ht="15" customHeight="1">
      <c r="C4056" s="70" t="str">
        <f t="shared" si="65"/>
        <v/>
      </c>
    </row>
    <row r="4057" spans="3:3" ht="15" customHeight="1">
      <c r="C4057" s="70" t="str">
        <f t="shared" si="65"/>
        <v/>
      </c>
    </row>
    <row r="4058" spans="3:3" ht="15" customHeight="1">
      <c r="C4058" s="70" t="str">
        <f t="shared" si="65"/>
        <v/>
      </c>
    </row>
    <row r="4059" spans="3:3" ht="15" customHeight="1">
      <c r="C4059" s="70" t="str">
        <f t="shared" si="65"/>
        <v/>
      </c>
    </row>
    <row r="4060" spans="3:3" ht="15" customHeight="1">
      <c r="C4060" s="70" t="str">
        <f t="shared" si="65"/>
        <v/>
      </c>
    </row>
    <row r="4061" spans="3:3" ht="15" customHeight="1">
      <c r="C4061" s="70" t="str">
        <f t="shared" si="65"/>
        <v/>
      </c>
    </row>
    <row r="4062" spans="3:3" ht="15" customHeight="1">
      <c r="C4062" s="70" t="str">
        <f t="shared" si="65"/>
        <v/>
      </c>
    </row>
    <row r="4063" spans="3:3" ht="15" customHeight="1">
      <c r="C4063" s="70" t="str">
        <f t="shared" si="65"/>
        <v/>
      </c>
    </row>
    <row r="4064" spans="3:3" ht="15" customHeight="1">
      <c r="C4064" s="70" t="str">
        <f t="shared" si="65"/>
        <v/>
      </c>
    </row>
    <row r="4065" spans="3:3" ht="15" customHeight="1">
      <c r="C4065" s="70" t="str">
        <f t="shared" si="65"/>
        <v/>
      </c>
    </row>
    <row r="4066" spans="3:3" ht="15" customHeight="1">
      <c r="C4066" s="70" t="str">
        <f t="shared" si="65"/>
        <v/>
      </c>
    </row>
    <row r="4067" spans="3:3" ht="15" customHeight="1">
      <c r="C4067" s="70" t="str">
        <f t="shared" si="65"/>
        <v/>
      </c>
    </row>
    <row r="4068" spans="3:3" ht="15" customHeight="1">
      <c r="C4068" s="70" t="str">
        <f t="shared" si="65"/>
        <v/>
      </c>
    </row>
    <row r="4069" spans="3:3" ht="15" customHeight="1">
      <c r="C4069" s="70" t="str">
        <f t="shared" si="65"/>
        <v/>
      </c>
    </row>
    <row r="4070" spans="3:3" ht="15" customHeight="1">
      <c r="C4070" s="70" t="str">
        <f t="shared" si="65"/>
        <v/>
      </c>
    </row>
    <row r="4071" spans="3:3" ht="15" customHeight="1">
      <c r="C4071" s="70" t="str">
        <f t="shared" si="65"/>
        <v/>
      </c>
    </row>
    <row r="4072" spans="3:3" ht="15" customHeight="1">
      <c r="C4072" s="70" t="str">
        <f t="shared" si="65"/>
        <v/>
      </c>
    </row>
    <row r="4073" spans="3:3" ht="15" customHeight="1">
      <c r="C4073" s="70" t="str">
        <f t="shared" si="65"/>
        <v/>
      </c>
    </row>
    <row r="4074" spans="3:3" ht="15" customHeight="1">
      <c r="C4074" s="70" t="str">
        <f t="shared" si="65"/>
        <v/>
      </c>
    </row>
    <row r="4075" spans="3:3" ht="15" customHeight="1">
      <c r="C4075" s="70" t="str">
        <f t="shared" si="65"/>
        <v/>
      </c>
    </row>
    <row r="4076" spans="3:3" ht="15" customHeight="1">
      <c r="C4076" s="70" t="str">
        <f t="shared" si="65"/>
        <v/>
      </c>
    </row>
    <row r="4077" spans="3:3" ht="15" customHeight="1">
      <c r="C4077" s="70" t="str">
        <f t="shared" si="65"/>
        <v/>
      </c>
    </row>
    <row r="4078" spans="3:3" ht="15" customHeight="1">
      <c r="C4078" s="70" t="str">
        <f t="shared" si="65"/>
        <v/>
      </c>
    </row>
    <row r="4079" spans="3:3" ht="15" customHeight="1">
      <c r="C4079" s="70" t="str">
        <f t="shared" si="65"/>
        <v/>
      </c>
    </row>
    <row r="4080" spans="3:3" ht="15" customHeight="1">
      <c r="C4080" s="70" t="str">
        <f t="shared" si="65"/>
        <v/>
      </c>
    </row>
    <row r="4081" spans="3:3" ht="15" customHeight="1">
      <c r="C4081" s="70" t="str">
        <f t="shared" si="65"/>
        <v/>
      </c>
    </row>
    <row r="4082" spans="3:3" ht="15" customHeight="1">
      <c r="C4082" s="70" t="str">
        <f t="shared" si="65"/>
        <v/>
      </c>
    </row>
    <row r="4083" spans="3:3" ht="15" customHeight="1">
      <c r="C4083" s="70" t="str">
        <f t="shared" si="65"/>
        <v/>
      </c>
    </row>
    <row r="4084" spans="3:3" ht="15" customHeight="1">
      <c r="C4084" s="70" t="str">
        <f t="shared" si="65"/>
        <v/>
      </c>
    </row>
    <row r="4085" spans="3:3" ht="15" customHeight="1">
      <c r="C4085" s="70" t="str">
        <f t="shared" si="65"/>
        <v/>
      </c>
    </row>
    <row r="4086" spans="3:3" ht="15" customHeight="1">
      <c r="C4086" s="70" t="str">
        <f t="shared" si="65"/>
        <v/>
      </c>
    </row>
    <row r="4087" spans="3:3" ht="15" customHeight="1">
      <c r="C4087" s="70" t="str">
        <f t="shared" si="65"/>
        <v/>
      </c>
    </row>
    <row r="4088" spans="3:3" ht="15" customHeight="1">
      <c r="C4088" s="70" t="str">
        <f t="shared" si="65"/>
        <v/>
      </c>
    </row>
    <row r="4089" spans="3:3" ht="15" customHeight="1">
      <c r="C4089" s="70" t="str">
        <f t="shared" si="65"/>
        <v/>
      </c>
    </row>
    <row r="4090" spans="3:3" ht="15" customHeight="1">
      <c r="C4090" s="70" t="str">
        <f t="shared" si="65"/>
        <v/>
      </c>
    </row>
    <row r="4091" spans="3:3" ht="15" customHeight="1">
      <c r="C4091" s="70" t="str">
        <f t="shared" si="65"/>
        <v/>
      </c>
    </row>
    <row r="4092" spans="3:3" ht="15" customHeight="1">
      <c r="C4092" s="70" t="str">
        <f t="shared" si="65"/>
        <v/>
      </c>
    </row>
    <row r="4093" spans="3:3" ht="15" customHeight="1">
      <c r="C4093" s="70" t="str">
        <f t="shared" si="65"/>
        <v/>
      </c>
    </row>
    <row r="4094" spans="3:3" ht="15" customHeight="1">
      <c r="C4094" s="70" t="str">
        <f t="shared" si="65"/>
        <v/>
      </c>
    </row>
    <row r="4095" spans="3:3" ht="15" customHeight="1">
      <c r="C4095" s="70" t="str">
        <f t="shared" si="65"/>
        <v/>
      </c>
    </row>
    <row r="4096" spans="3:3" ht="15" customHeight="1">
      <c r="C4096" s="70" t="str">
        <f t="shared" si="65"/>
        <v/>
      </c>
    </row>
    <row r="4097" spans="3:3" ht="15" customHeight="1">
      <c r="C4097" s="70" t="str">
        <f t="shared" si="65"/>
        <v/>
      </c>
    </row>
    <row r="4098" spans="3:3" ht="15" customHeight="1">
      <c r="C4098" s="70" t="str">
        <f t="shared" si="65"/>
        <v/>
      </c>
    </row>
    <row r="4099" spans="3:3" ht="15" customHeight="1">
      <c r="C4099" s="70" t="str">
        <f t="shared" si="65"/>
        <v/>
      </c>
    </row>
    <row r="4100" spans="3:3" ht="15" customHeight="1">
      <c r="C4100" s="70" t="str">
        <f t="shared" si="65"/>
        <v/>
      </c>
    </row>
    <row r="4101" spans="3:3" ht="15" customHeight="1">
      <c r="C4101" s="70" t="str">
        <f t="shared" si="65"/>
        <v/>
      </c>
    </row>
    <row r="4102" spans="3:3" ht="15" customHeight="1">
      <c r="C4102" s="70" t="str">
        <f t="shared" si="65"/>
        <v/>
      </c>
    </row>
    <row r="4103" spans="3:3" ht="15" customHeight="1">
      <c r="C4103" s="70" t="str">
        <f t="shared" si="65"/>
        <v/>
      </c>
    </row>
    <row r="4104" spans="3:3" ht="15" customHeight="1">
      <c r="C4104" s="70" t="str">
        <f t="shared" si="65"/>
        <v/>
      </c>
    </row>
    <row r="4105" spans="3:3" ht="15" customHeight="1">
      <c r="C4105" s="70" t="str">
        <f t="shared" si="65"/>
        <v/>
      </c>
    </row>
    <row r="4106" spans="3:3" ht="15" customHeight="1">
      <c r="C4106" s="70" t="str">
        <f t="shared" si="65"/>
        <v/>
      </c>
    </row>
    <row r="4107" spans="3:3" ht="15" customHeight="1">
      <c r="C4107" s="70" t="str">
        <f t="shared" si="65"/>
        <v/>
      </c>
    </row>
    <row r="4108" spans="3:3" ht="15" customHeight="1">
      <c r="C4108" s="70" t="str">
        <f t="shared" si="65"/>
        <v/>
      </c>
    </row>
    <row r="4109" spans="3:3" ht="15" customHeight="1">
      <c r="C4109" s="70" t="str">
        <f t="shared" si="65"/>
        <v/>
      </c>
    </row>
    <row r="4110" spans="3:3" ht="15" customHeight="1">
      <c r="C4110" s="70" t="str">
        <f t="shared" si="65"/>
        <v/>
      </c>
    </row>
    <row r="4111" spans="3:3" ht="15" customHeight="1">
      <c r="C4111" s="70" t="str">
        <f t="shared" si="65"/>
        <v/>
      </c>
    </row>
    <row r="4112" spans="3:3" ht="15" customHeight="1">
      <c r="C4112" s="70" t="str">
        <f t="shared" si="65"/>
        <v/>
      </c>
    </row>
    <row r="4113" spans="3:3" ht="15" customHeight="1">
      <c r="C4113" s="70" t="str">
        <f t="shared" ref="C4113:C4176" si="66">IF(B4113&lt;&gt;"",TEXT(WEEKDAY(B4113),"dddd"),"")</f>
        <v/>
      </c>
    </row>
    <row r="4114" spans="3:3" ht="15" customHeight="1">
      <c r="C4114" s="70" t="str">
        <f t="shared" si="66"/>
        <v/>
      </c>
    </row>
    <row r="4115" spans="3:3" ht="15" customHeight="1">
      <c r="C4115" s="70" t="str">
        <f t="shared" si="66"/>
        <v/>
      </c>
    </row>
    <row r="4116" spans="3:3" ht="15" customHeight="1">
      <c r="C4116" s="70" t="str">
        <f t="shared" si="66"/>
        <v/>
      </c>
    </row>
    <row r="4117" spans="3:3" ht="15" customHeight="1">
      <c r="C4117" s="70" t="str">
        <f t="shared" si="66"/>
        <v/>
      </c>
    </row>
    <row r="4118" spans="3:3" ht="15" customHeight="1">
      <c r="C4118" s="70" t="str">
        <f t="shared" si="66"/>
        <v/>
      </c>
    </row>
    <row r="4119" spans="3:3" ht="15" customHeight="1">
      <c r="C4119" s="70" t="str">
        <f t="shared" si="66"/>
        <v/>
      </c>
    </row>
    <row r="4120" spans="3:3" ht="15" customHeight="1">
      <c r="C4120" s="70" t="str">
        <f t="shared" si="66"/>
        <v/>
      </c>
    </row>
    <row r="4121" spans="3:3" ht="15" customHeight="1">
      <c r="C4121" s="70" t="str">
        <f t="shared" si="66"/>
        <v/>
      </c>
    </row>
    <row r="4122" spans="3:3" ht="15" customHeight="1">
      <c r="C4122" s="70" t="str">
        <f t="shared" si="66"/>
        <v/>
      </c>
    </row>
    <row r="4123" spans="3:3" ht="15" customHeight="1">
      <c r="C4123" s="70" t="str">
        <f t="shared" si="66"/>
        <v/>
      </c>
    </row>
    <row r="4124" spans="3:3" ht="15" customHeight="1">
      <c r="C4124" s="70" t="str">
        <f t="shared" si="66"/>
        <v/>
      </c>
    </row>
    <row r="4125" spans="3:3" ht="15" customHeight="1">
      <c r="C4125" s="70" t="str">
        <f t="shared" si="66"/>
        <v/>
      </c>
    </row>
    <row r="4126" spans="3:3" ht="15" customHeight="1">
      <c r="C4126" s="70" t="str">
        <f t="shared" si="66"/>
        <v/>
      </c>
    </row>
    <row r="4127" spans="3:3" ht="15" customHeight="1">
      <c r="C4127" s="70" t="str">
        <f t="shared" si="66"/>
        <v/>
      </c>
    </row>
    <row r="4128" spans="3:3" ht="15" customHeight="1">
      <c r="C4128" s="70" t="str">
        <f t="shared" si="66"/>
        <v/>
      </c>
    </row>
    <row r="4129" spans="3:3" ht="15" customHeight="1">
      <c r="C4129" s="70" t="str">
        <f t="shared" si="66"/>
        <v/>
      </c>
    </row>
    <row r="4130" spans="3:3" ht="15" customHeight="1">
      <c r="C4130" s="70" t="str">
        <f t="shared" si="66"/>
        <v/>
      </c>
    </row>
    <row r="4131" spans="3:3" ht="15" customHeight="1">
      <c r="C4131" s="70" t="str">
        <f t="shared" si="66"/>
        <v/>
      </c>
    </row>
    <row r="4132" spans="3:3" ht="15" customHeight="1">
      <c r="C4132" s="70" t="str">
        <f t="shared" si="66"/>
        <v/>
      </c>
    </row>
    <row r="4133" spans="3:3" ht="15" customHeight="1">
      <c r="C4133" s="70" t="str">
        <f t="shared" si="66"/>
        <v/>
      </c>
    </row>
    <row r="4134" spans="3:3" ht="15" customHeight="1">
      <c r="C4134" s="70" t="str">
        <f t="shared" si="66"/>
        <v/>
      </c>
    </row>
    <row r="4135" spans="3:3" ht="15" customHeight="1">
      <c r="C4135" s="70" t="str">
        <f t="shared" si="66"/>
        <v/>
      </c>
    </row>
    <row r="4136" spans="3:3" ht="15" customHeight="1">
      <c r="C4136" s="70" t="str">
        <f t="shared" si="66"/>
        <v/>
      </c>
    </row>
    <row r="4137" spans="3:3" ht="15" customHeight="1">
      <c r="C4137" s="70" t="str">
        <f t="shared" si="66"/>
        <v/>
      </c>
    </row>
    <row r="4138" spans="3:3" ht="15" customHeight="1">
      <c r="C4138" s="70" t="str">
        <f t="shared" si="66"/>
        <v/>
      </c>
    </row>
    <row r="4139" spans="3:3" ht="15" customHeight="1">
      <c r="C4139" s="70" t="str">
        <f t="shared" si="66"/>
        <v/>
      </c>
    </row>
    <row r="4140" spans="3:3" ht="15" customHeight="1">
      <c r="C4140" s="70" t="str">
        <f t="shared" si="66"/>
        <v/>
      </c>
    </row>
    <row r="4141" spans="3:3" ht="15" customHeight="1">
      <c r="C4141" s="70" t="str">
        <f t="shared" si="66"/>
        <v/>
      </c>
    </row>
    <row r="4142" spans="3:3" ht="15" customHeight="1">
      <c r="C4142" s="70" t="str">
        <f t="shared" si="66"/>
        <v/>
      </c>
    </row>
    <row r="4143" spans="3:3" ht="15" customHeight="1">
      <c r="C4143" s="70" t="str">
        <f t="shared" si="66"/>
        <v/>
      </c>
    </row>
    <row r="4144" spans="3:3" ht="15" customHeight="1">
      <c r="C4144" s="70" t="str">
        <f t="shared" si="66"/>
        <v/>
      </c>
    </row>
    <row r="4145" spans="3:3" ht="15" customHeight="1">
      <c r="C4145" s="70" t="str">
        <f t="shared" si="66"/>
        <v/>
      </c>
    </row>
    <row r="4146" spans="3:3" ht="15" customHeight="1">
      <c r="C4146" s="70" t="str">
        <f t="shared" si="66"/>
        <v/>
      </c>
    </row>
    <row r="4147" spans="3:3" ht="15" customHeight="1">
      <c r="C4147" s="70" t="str">
        <f t="shared" si="66"/>
        <v/>
      </c>
    </row>
    <row r="4148" spans="3:3" ht="15" customHeight="1">
      <c r="C4148" s="70" t="str">
        <f t="shared" si="66"/>
        <v/>
      </c>
    </row>
    <row r="4149" spans="3:3" ht="15" customHeight="1">
      <c r="C4149" s="70" t="str">
        <f t="shared" si="66"/>
        <v/>
      </c>
    </row>
    <row r="4150" spans="3:3" ht="15" customHeight="1">
      <c r="C4150" s="70" t="str">
        <f t="shared" si="66"/>
        <v/>
      </c>
    </row>
    <row r="4151" spans="3:3" ht="15" customHeight="1">
      <c r="C4151" s="70" t="str">
        <f t="shared" si="66"/>
        <v/>
      </c>
    </row>
    <row r="4152" spans="3:3" ht="15" customHeight="1">
      <c r="C4152" s="70" t="str">
        <f t="shared" si="66"/>
        <v/>
      </c>
    </row>
    <row r="4153" spans="3:3" ht="15" customHeight="1">
      <c r="C4153" s="70" t="str">
        <f t="shared" si="66"/>
        <v/>
      </c>
    </row>
    <row r="4154" spans="3:3" ht="15" customHeight="1">
      <c r="C4154" s="70" t="str">
        <f t="shared" si="66"/>
        <v/>
      </c>
    </row>
    <row r="4155" spans="3:3" ht="15" customHeight="1">
      <c r="C4155" s="70" t="str">
        <f t="shared" si="66"/>
        <v/>
      </c>
    </row>
    <row r="4156" spans="3:3" ht="15" customHeight="1">
      <c r="C4156" s="70" t="str">
        <f t="shared" si="66"/>
        <v/>
      </c>
    </row>
    <row r="4157" spans="3:3" ht="15" customHeight="1">
      <c r="C4157" s="70" t="str">
        <f t="shared" si="66"/>
        <v/>
      </c>
    </row>
    <row r="4158" spans="3:3" ht="15" customHeight="1">
      <c r="C4158" s="70" t="str">
        <f t="shared" si="66"/>
        <v/>
      </c>
    </row>
    <row r="4159" spans="3:3" ht="15" customHeight="1">
      <c r="C4159" s="70" t="str">
        <f t="shared" si="66"/>
        <v/>
      </c>
    </row>
    <row r="4160" spans="3:3" ht="15" customHeight="1">
      <c r="C4160" s="70" t="str">
        <f t="shared" si="66"/>
        <v/>
      </c>
    </row>
    <row r="4161" spans="3:3" ht="15" customHeight="1">
      <c r="C4161" s="70" t="str">
        <f t="shared" si="66"/>
        <v/>
      </c>
    </row>
    <row r="4162" spans="3:3" ht="15" customHeight="1">
      <c r="C4162" s="70" t="str">
        <f t="shared" si="66"/>
        <v/>
      </c>
    </row>
    <row r="4163" spans="3:3" ht="15" customHeight="1">
      <c r="C4163" s="70" t="str">
        <f t="shared" si="66"/>
        <v/>
      </c>
    </row>
    <row r="4164" spans="3:3" ht="15" customHeight="1">
      <c r="C4164" s="70" t="str">
        <f t="shared" si="66"/>
        <v/>
      </c>
    </row>
    <row r="4165" spans="3:3" ht="15" customHeight="1">
      <c r="C4165" s="70" t="str">
        <f t="shared" si="66"/>
        <v/>
      </c>
    </row>
    <row r="4166" spans="3:3" ht="15" customHeight="1">
      <c r="C4166" s="70" t="str">
        <f t="shared" si="66"/>
        <v/>
      </c>
    </row>
    <row r="4167" spans="3:3" ht="15" customHeight="1">
      <c r="C4167" s="70" t="str">
        <f t="shared" si="66"/>
        <v/>
      </c>
    </row>
    <row r="4168" spans="3:3" ht="15" customHeight="1">
      <c r="C4168" s="70" t="str">
        <f t="shared" si="66"/>
        <v/>
      </c>
    </row>
    <row r="4169" spans="3:3" ht="15" customHeight="1">
      <c r="C4169" s="70" t="str">
        <f t="shared" si="66"/>
        <v/>
      </c>
    </row>
    <row r="4170" spans="3:3" ht="15" customHeight="1">
      <c r="C4170" s="70" t="str">
        <f t="shared" si="66"/>
        <v/>
      </c>
    </row>
    <row r="4171" spans="3:3" ht="15" customHeight="1">
      <c r="C4171" s="70" t="str">
        <f t="shared" si="66"/>
        <v/>
      </c>
    </row>
    <row r="4172" spans="3:3" ht="15" customHeight="1">
      <c r="C4172" s="70" t="str">
        <f t="shared" si="66"/>
        <v/>
      </c>
    </row>
    <row r="4173" spans="3:3" ht="15" customHeight="1">
      <c r="C4173" s="70" t="str">
        <f t="shared" si="66"/>
        <v/>
      </c>
    </row>
    <row r="4174" spans="3:3" ht="15" customHeight="1">
      <c r="C4174" s="70" t="str">
        <f t="shared" si="66"/>
        <v/>
      </c>
    </row>
    <row r="4175" spans="3:3" ht="15" customHeight="1">
      <c r="C4175" s="70" t="str">
        <f t="shared" si="66"/>
        <v/>
      </c>
    </row>
    <row r="4176" spans="3:3" ht="15" customHeight="1">
      <c r="C4176" s="70" t="str">
        <f t="shared" si="66"/>
        <v/>
      </c>
    </row>
    <row r="4177" spans="3:3" ht="15" customHeight="1">
      <c r="C4177" s="70" t="str">
        <f t="shared" ref="C4177:C4240" si="67">IF(B4177&lt;&gt;"",TEXT(WEEKDAY(B4177),"dddd"),"")</f>
        <v/>
      </c>
    </row>
    <row r="4178" spans="3:3" ht="15" customHeight="1">
      <c r="C4178" s="70" t="str">
        <f t="shared" si="67"/>
        <v/>
      </c>
    </row>
    <row r="4179" spans="3:3" ht="15" customHeight="1">
      <c r="C4179" s="70" t="str">
        <f t="shared" si="67"/>
        <v/>
      </c>
    </row>
    <row r="4180" spans="3:3" ht="15" customHeight="1">
      <c r="C4180" s="70" t="str">
        <f t="shared" si="67"/>
        <v/>
      </c>
    </row>
    <row r="4181" spans="3:3" ht="15" customHeight="1">
      <c r="C4181" s="70" t="str">
        <f t="shared" si="67"/>
        <v/>
      </c>
    </row>
    <row r="4182" spans="3:3" ht="15" customHeight="1">
      <c r="C4182" s="70" t="str">
        <f t="shared" si="67"/>
        <v/>
      </c>
    </row>
    <row r="4183" spans="3:3" ht="15" customHeight="1">
      <c r="C4183" s="70" t="str">
        <f t="shared" si="67"/>
        <v/>
      </c>
    </row>
    <row r="4184" spans="3:3" ht="15" customHeight="1">
      <c r="C4184" s="70" t="str">
        <f t="shared" si="67"/>
        <v/>
      </c>
    </row>
    <row r="4185" spans="3:3" ht="15" customHeight="1">
      <c r="C4185" s="70" t="str">
        <f t="shared" si="67"/>
        <v/>
      </c>
    </row>
    <row r="4186" spans="3:3" ht="15" customHeight="1">
      <c r="C4186" s="70" t="str">
        <f t="shared" si="67"/>
        <v/>
      </c>
    </row>
    <row r="4187" spans="3:3" ht="15" customHeight="1">
      <c r="C4187" s="70" t="str">
        <f t="shared" si="67"/>
        <v/>
      </c>
    </row>
    <row r="4188" spans="3:3" ht="15" customHeight="1">
      <c r="C4188" s="70" t="str">
        <f t="shared" si="67"/>
        <v/>
      </c>
    </row>
    <row r="4189" spans="3:3" ht="15" customHeight="1">
      <c r="C4189" s="70" t="str">
        <f t="shared" si="67"/>
        <v/>
      </c>
    </row>
    <row r="4190" spans="3:3" ht="15" customHeight="1">
      <c r="C4190" s="70" t="str">
        <f t="shared" si="67"/>
        <v/>
      </c>
    </row>
    <row r="4191" spans="3:3" ht="15" customHeight="1">
      <c r="C4191" s="70" t="str">
        <f t="shared" si="67"/>
        <v/>
      </c>
    </row>
    <row r="4192" spans="3:3" ht="15" customHeight="1">
      <c r="C4192" s="70" t="str">
        <f t="shared" si="67"/>
        <v/>
      </c>
    </row>
    <row r="4193" spans="3:3" ht="15" customHeight="1">
      <c r="C4193" s="70" t="str">
        <f t="shared" si="67"/>
        <v/>
      </c>
    </row>
    <row r="4194" spans="3:3" ht="15" customHeight="1">
      <c r="C4194" s="70" t="str">
        <f t="shared" si="67"/>
        <v/>
      </c>
    </row>
    <row r="4195" spans="3:3" ht="15" customHeight="1">
      <c r="C4195" s="70" t="str">
        <f t="shared" si="67"/>
        <v/>
      </c>
    </row>
    <row r="4196" spans="3:3" ht="15" customHeight="1">
      <c r="C4196" s="70" t="str">
        <f t="shared" si="67"/>
        <v/>
      </c>
    </row>
    <row r="4197" spans="3:3" ht="15" customHeight="1">
      <c r="C4197" s="70" t="str">
        <f t="shared" si="67"/>
        <v/>
      </c>
    </row>
    <row r="4198" spans="3:3" ht="15" customHeight="1">
      <c r="C4198" s="70" t="str">
        <f t="shared" si="67"/>
        <v/>
      </c>
    </row>
    <row r="4199" spans="3:3" ht="15" customHeight="1">
      <c r="C4199" s="70" t="str">
        <f t="shared" si="67"/>
        <v/>
      </c>
    </row>
    <row r="4200" spans="3:3" ht="15" customHeight="1">
      <c r="C4200" s="70" t="str">
        <f t="shared" si="67"/>
        <v/>
      </c>
    </row>
    <row r="4201" spans="3:3" ht="15" customHeight="1">
      <c r="C4201" s="70" t="str">
        <f t="shared" si="67"/>
        <v/>
      </c>
    </row>
    <row r="4202" spans="3:3" ht="15" customHeight="1">
      <c r="C4202" s="70" t="str">
        <f t="shared" si="67"/>
        <v/>
      </c>
    </row>
    <row r="4203" spans="3:3" ht="15" customHeight="1">
      <c r="C4203" s="70" t="str">
        <f t="shared" si="67"/>
        <v/>
      </c>
    </row>
    <row r="4204" spans="3:3" ht="15" customHeight="1">
      <c r="C4204" s="70" t="str">
        <f t="shared" si="67"/>
        <v/>
      </c>
    </row>
    <row r="4205" spans="3:3" ht="15" customHeight="1">
      <c r="C4205" s="70" t="str">
        <f t="shared" si="67"/>
        <v/>
      </c>
    </row>
    <row r="4206" spans="3:3" ht="15" customHeight="1">
      <c r="C4206" s="70" t="str">
        <f t="shared" si="67"/>
        <v/>
      </c>
    </row>
    <row r="4207" spans="3:3" ht="15" customHeight="1">
      <c r="C4207" s="70" t="str">
        <f t="shared" si="67"/>
        <v/>
      </c>
    </row>
    <row r="4208" spans="3:3" ht="15" customHeight="1">
      <c r="C4208" s="70" t="str">
        <f t="shared" si="67"/>
        <v/>
      </c>
    </row>
    <row r="4209" spans="3:3" ht="15" customHeight="1">
      <c r="C4209" s="70" t="str">
        <f t="shared" si="67"/>
        <v/>
      </c>
    </row>
    <row r="4210" spans="3:3" ht="15" customHeight="1">
      <c r="C4210" s="70" t="str">
        <f t="shared" si="67"/>
        <v/>
      </c>
    </row>
    <row r="4211" spans="3:3" ht="15" customHeight="1">
      <c r="C4211" s="70" t="str">
        <f t="shared" si="67"/>
        <v/>
      </c>
    </row>
    <row r="4212" spans="3:3" ht="15" customHeight="1">
      <c r="C4212" s="70" t="str">
        <f t="shared" si="67"/>
        <v/>
      </c>
    </row>
    <row r="4213" spans="3:3" ht="15" customHeight="1">
      <c r="C4213" s="70" t="str">
        <f t="shared" si="67"/>
        <v/>
      </c>
    </row>
    <row r="4214" spans="3:3" ht="15" customHeight="1">
      <c r="C4214" s="70" t="str">
        <f t="shared" si="67"/>
        <v/>
      </c>
    </row>
    <row r="4215" spans="3:3" ht="15" customHeight="1">
      <c r="C4215" s="70" t="str">
        <f t="shared" si="67"/>
        <v/>
      </c>
    </row>
    <row r="4216" spans="3:3" ht="15" customHeight="1">
      <c r="C4216" s="70" t="str">
        <f t="shared" si="67"/>
        <v/>
      </c>
    </row>
    <row r="4217" spans="3:3" ht="15" customHeight="1">
      <c r="C4217" s="70" t="str">
        <f t="shared" si="67"/>
        <v/>
      </c>
    </row>
    <row r="4218" spans="3:3" ht="15" customHeight="1">
      <c r="C4218" s="70" t="str">
        <f t="shared" si="67"/>
        <v/>
      </c>
    </row>
    <row r="4219" spans="3:3" ht="15" customHeight="1">
      <c r="C4219" s="70" t="str">
        <f t="shared" si="67"/>
        <v/>
      </c>
    </row>
    <row r="4220" spans="3:3" ht="15" customHeight="1">
      <c r="C4220" s="70" t="str">
        <f t="shared" si="67"/>
        <v/>
      </c>
    </row>
    <row r="4221" spans="3:3" ht="15" customHeight="1">
      <c r="C4221" s="70" t="str">
        <f t="shared" si="67"/>
        <v/>
      </c>
    </row>
    <row r="4222" spans="3:3" ht="15" customHeight="1">
      <c r="C4222" s="70" t="str">
        <f t="shared" si="67"/>
        <v/>
      </c>
    </row>
    <row r="4223" spans="3:3" ht="15" customHeight="1">
      <c r="C4223" s="70" t="str">
        <f t="shared" si="67"/>
        <v/>
      </c>
    </row>
    <row r="4224" spans="3:3" ht="15" customHeight="1">
      <c r="C4224" s="70" t="str">
        <f t="shared" si="67"/>
        <v/>
      </c>
    </row>
    <row r="4225" spans="3:3" ht="15" customHeight="1">
      <c r="C4225" s="70" t="str">
        <f t="shared" si="67"/>
        <v/>
      </c>
    </row>
    <row r="4226" spans="3:3" ht="15" customHeight="1">
      <c r="C4226" s="70" t="str">
        <f t="shared" si="67"/>
        <v/>
      </c>
    </row>
    <row r="4227" spans="3:3" ht="15" customHeight="1">
      <c r="C4227" s="70" t="str">
        <f t="shared" si="67"/>
        <v/>
      </c>
    </row>
    <row r="4228" spans="3:3" ht="15" customHeight="1">
      <c r="C4228" s="70" t="str">
        <f t="shared" si="67"/>
        <v/>
      </c>
    </row>
    <row r="4229" spans="3:3" ht="15" customHeight="1">
      <c r="C4229" s="70" t="str">
        <f t="shared" si="67"/>
        <v/>
      </c>
    </row>
    <row r="4230" spans="3:3" ht="15" customHeight="1">
      <c r="C4230" s="70" t="str">
        <f t="shared" si="67"/>
        <v/>
      </c>
    </row>
    <row r="4231" spans="3:3" ht="15" customHeight="1">
      <c r="C4231" s="70" t="str">
        <f t="shared" si="67"/>
        <v/>
      </c>
    </row>
    <row r="4232" spans="3:3" ht="15" customHeight="1">
      <c r="C4232" s="70" t="str">
        <f t="shared" si="67"/>
        <v/>
      </c>
    </row>
    <row r="4233" spans="3:3" ht="15" customHeight="1">
      <c r="C4233" s="70" t="str">
        <f t="shared" si="67"/>
        <v/>
      </c>
    </row>
    <row r="4234" spans="3:3" ht="15" customHeight="1">
      <c r="C4234" s="70" t="str">
        <f t="shared" si="67"/>
        <v/>
      </c>
    </row>
    <row r="4235" spans="3:3" ht="15" customHeight="1">
      <c r="C4235" s="70" t="str">
        <f t="shared" si="67"/>
        <v/>
      </c>
    </row>
    <row r="4236" spans="3:3" ht="15" customHeight="1">
      <c r="C4236" s="70" t="str">
        <f t="shared" si="67"/>
        <v/>
      </c>
    </row>
    <row r="4237" spans="3:3" ht="15" customHeight="1">
      <c r="C4237" s="70" t="str">
        <f t="shared" si="67"/>
        <v/>
      </c>
    </row>
    <row r="4238" spans="3:3" ht="15" customHeight="1">
      <c r="C4238" s="70" t="str">
        <f t="shared" si="67"/>
        <v/>
      </c>
    </row>
    <row r="4239" spans="3:3" ht="15" customHeight="1">
      <c r="C4239" s="70" t="str">
        <f t="shared" si="67"/>
        <v/>
      </c>
    </row>
    <row r="4240" spans="3:3" ht="15" customHeight="1">
      <c r="C4240" s="70" t="str">
        <f t="shared" si="67"/>
        <v/>
      </c>
    </row>
    <row r="4241" spans="3:3" ht="15" customHeight="1">
      <c r="C4241" s="70" t="str">
        <f t="shared" ref="C4241:C4304" si="68">IF(B4241&lt;&gt;"",TEXT(WEEKDAY(B4241),"dddd"),"")</f>
        <v/>
      </c>
    </row>
    <row r="4242" spans="3:3" ht="15" customHeight="1">
      <c r="C4242" s="70" t="str">
        <f t="shared" si="68"/>
        <v/>
      </c>
    </row>
    <row r="4243" spans="3:3" ht="15" customHeight="1">
      <c r="C4243" s="70" t="str">
        <f t="shared" si="68"/>
        <v/>
      </c>
    </row>
    <row r="4244" spans="3:3" ht="15" customHeight="1">
      <c r="C4244" s="70" t="str">
        <f t="shared" si="68"/>
        <v/>
      </c>
    </row>
    <row r="4245" spans="3:3" ht="15" customHeight="1">
      <c r="C4245" s="70" t="str">
        <f t="shared" si="68"/>
        <v/>
      </c>
    </row>
    <row r="4246" spans="3:3" ht="15" customHeight="1">
      <c r="C4246" s="70" t="str">
        <f t="shared" si="68"/>
        <v/>
      </c>
    </row>
    <row r="4247" spans="3:3" ht="15" customHeight="1">
      <c r="C4247" s="70" t="str">
        <f t="shared" si="68"/>
        <v/>
      </c>
    </row>
    <row r="4248" spans="3:3" ht="15" customHeight="1">
      <c r="C4248" s="70" t="str">
        <f t="shared" si="68"/>
        <v/>
      </c>
    </row>
    <row r="4249" spans="3:3" ht="15" customHeight="1">
      <c r="C4249" s="70" t="str">
        <f t="shared" si="68"/>
        <v/>
      </c>
    </row>
    <row r="4250" spans="3:3" ht="15" customHeight="1">
      <c r="C4250" s="70" t="str">
        <f t="shared" si="68"/>
        <v/>
      </c>
    </row>
    <row r="4251" spans="3:3" ht="15" customHeight="1">
      <c r="C4251" s="70" t="str">
        <f t="shared" si="68"/>
        <v/>
      </c>
    </row>
    <row r="4252" spans="3:3" ht="15" customHeight="1">
      <c r="C4252" s="70" t="str">
        <f t="shared" si="68"/>
        <v/>
      </c>
    </row>
    <row r="4253" spans="3:3" ht="15" customHeight="1">
      <c r="C4253" s="70" t="str">
        <f t="shared" si="68"/>
        <v/>
      </c>
    </row>
    <row r="4254" spans="3:3" ht="15" customHeight="1">
      <c r="C4254" s="70" t="str">
        <f t="shared" si="68"/>
        <v/>
      </c>
    </row>
    <row r="4255" spans="3:3" ht="15" customHeight="1">
      <c r="C4255" s="70" t="str">
        <f t="shared" si="68"/>
        <v/>
      </c>
    </row>
    <row r="4256" spans="3:3" ht="15" customHeight="1">
      <c r="C4256" s="70" t="str">
        <f t="shared" si="68"/>
        <v/>
      </c>
    </row>
    <row r="4257" spans="3:3" ht="15" customHeight="1">
      <c r="C4257" s="70" t="str">
        <f t="shared" si="68"/>
        <v/>
      </c>
    </row>
    <row r="4258" spans="3:3" ht="15" customHeight="1">
      <c r="C4258" s="70" t="str">
        <f t="shared" si="68"/>
        <v/>
      </c>
    </row>
    <row r="4259" spans="3:3" ht="15" customHeight="1">
      <c r="C4259" s="70" t="str">
        <f t="shared" si="68"/>
        <v/>
      </c>
    </row>
    <row r="4260" spans="3:3" ht="15" customHeight="1">
      <c r="C4260" s="70" t="str">
        <f t="shared" si="68"/>
        <v/>
      </c>
    </row>
    <row r="4261" spans="3:3" ht="15" customHeight="1">
      <c r="C4261" s="70" t="str">
        <f t="shared" si="68"/>
        <v/>
      </c>
    </row>
    <row r="4262" spans="3:3" ht="15" customHeight="1">
      <c r="C4262" s="70" t="str">
        <f t="shared" si="68"/>
        <v/>
      </c>
    </row>
    <row r="4263" spans="3:3" ht="15" customHeight="1">
      <c r="C4263" s="70" t="str">
        <f t="shared" si="68"/>
        <v/>
      </c>
    </row>
    <row r="4264" spans="3:3" ht="15" customHeight="1">
      <c r="C4264" s="70" t="str">
        <f t="shared" si="68"/>
        <v/>
      </c>
    </row>
    <row r="4265" spans="3:3" ht="15" customHeight="1">
      <c r="C4265" s="70" t="str">
        <f t="shared" si="68"/>
        <v/>
      </c>
    </row>
    <row r="4266" spans="3:3" ht="15" customHeight="1">
      <c r="C4266" s="70" t="str">
        <f t="shared" si="68"/>
        <v/>
      </c>
    </row>
    <row r="4267" spans="3:3" ht="15" customHeight="1">
      <c r="C4267" s="70" t="str">
        <f t="shared" si="68"/>
        <v/>
      </c>
    </row>
    <row r="4268" spans="3:3" ht="15" customHeight="1">
      <c r="C4268" s="70" t="str">
        <f t="shared" si="68"/>
        <v/>
      </c>
    </row>
    <row r="4269" spans="3:3" ht="15" customHeight="1">
      <c r="C4269" s="70" t="str">
        <f t="shared" si="68"/>
        <v/>
      </c>
    </row>
    <row r="4270" spans="3:3" ht="15" customHeight="1">
      <c r="C4270" s="70" t="str">
        <f t="shared" si="68"/>
        <v/>
      </c>
    </row>
    <row r="4271" spans="3:3" ht="15" customHeight="1">
      <c r="C4271" s="70" t="str">
        <f t="shared" si="68"/>
        <v/>
      </c>
    </row>
    <row r="4272" spans="3:3" ht="15" customHeight="1">
      <c r="C4272" s="70" t="str">
        <f t="shared" si="68"/>
        <v/>
      </c>
    </row>
    <row r="4273" spans="3:3" ht="15" customHeight="1">
      <c r="C4273" s="70" t="str">
        <f t="shared" si="68"/>
        <v/>
      </c>
    </row>
    <row r="4274" spans="3:3" ht="15" customHeight="1">
      <c r="C4274" s="70" t="str">
        <f t="shared" si="68"/>
        <v/>
      </c>
    </row>
    <row r="4275" spans="3:3" ht="15" customHeight="1">
      <c r="C4275" s="70" t="str">
        <f t="shared" si="68"/>
        <v/>
      </c>
    </row>
    <row r="4276" spans="3:3" ht="15" customHeight="1">
      <c r="C4276" s="70" t="str">
        <f t="shared" si="68"/>
        <v/>
      </c>
    </row>
    <row r="4277" spans="3:3" ht="15" customHeight="1">
      <c r="C4277" s="70" t="str">
        <f t="shared" si="68"/>
        <v/>
      </c>
    </row>
    <row r="4278" spans="3:3" ht="15" customHeight="1">
      <c r="C4278" s="70" t="str">
        <f t="shared" si="68"/>
        <v/>
      </c>
    </row>
    <row r="4279" spans="3:3" ht="15" customHeight="1">
      <c r="C4279" s="70" t="str">
        <f t="shared" si="68"/>
        <v/>
      </c>
    </row>
    <row r="4280" spans="3:3" ht="15" customHeight="1">
      <c r="C4280" s="70" t="str">
        <f t="shared" si="68"/>
        <v/>
      </c>
    </row>
    <row r="4281" spans="3:3" ht="15" customHeight="1">
      <c r="C4281" s="70" t="str">
        <f t="shared" si="68"/>
        <v/>
      </c>
    </row>
    <row r="4282" spans="3:3" ht="15" customHeight="1">
      <c r="C4282" s="70" t="str">
        <f t="shared" si="68"/>
        <v/>
      </c>
    </row>
    <row r="4283" spans="3:3" ht="15" customHeight="1">
      <c r="C4283" s="70" t="str">
        <f t="shared" si="68"/>
        <v/>
      </c>
    </row>
    <row r="4284" spans="3:3" ht="15" customHeight="1">
      <c r="C4284" s="70" t="str">
        <f t="shared" si="68"/>
        <v/>
      </c>
    </row>
    <row r="4285" spans="3:3" ht="15" customHeight="1">
      <c r="C4285" s="70" t="str">
        <f t="shared" si="68"/>
        <v/>
      </c>
    </row>
    <row r="4286" spans="3:3" ht="15" customHeight="1">
      <c r="C4286" s="70" t="str">
        <f t="shared" si="68"/>
        <v/>
      </c>
    </row>
    <row r="4287" spans="3:3" ht="15" customHeight="1">
      <c r="C4287" s="70" t="str">
        <f t="shared" si="68"/>
        <v/>
      </c>
    </row>
    <row r="4288" spans="3:3" ht="15" customHeight="1">
      <c r="C4288" s="70" t="str">
        <f t="shared" si="68"/>
        <v/>
      </c>
    </row>
    <row r="4289" spans="3:3" ht="15" customHeight="1">
      <c r="C4289" s="70" t="str">
        <f t="shared" si="68"/>
        <v/>
      </c>
    </row>
    <row r="4290" spans="3:3" ht="15" customHeight="1">
      <c r="C4290" s="70" t="str">
        <f t="shared" si="68"/>
        <v/>
      </c>
    </row>
    <row r="4291" spans="3:3" ht="15" customHeight="1">
      <c r="C4291" s="70" t="str">
        <f t="shared" si="68"/>
        <v/>
      </c>
    </row>
    <row r="4292" spans="3:3" ht="15" customHeight="1">
      <c r="C4292" s="70" t="str">
        <f t="shared" si="68"/>
        <v/>
      </c>
    </row>
    <row r="4293" spans="3:3" ht="15" customHeight="1">
      <c r="C4293" s="70" t="str">
        <f t="shared" si="68"/>
        <v/>
      </c>
    </row>
    <row r="4294" spans="3:3" ht="15" customHeight="1">
      <c r="C4294" s="70" t="str">
        <f t="shared" si="68"/>
        <v/>
      </c>
    </row>
    <row r="4295" spans="3:3" ht="15" customHeight="1">
      <c r="C4295" s="70" t="str">
        <f t="shared" si="68"/>
        <v/>
      </c>
    </row>
    <row r="4296" spans="3:3" ht="15" customHeight="1">
      <c r="C4296" s="70" t="str">
        <f t="shared" si="68"/>
        <v/>
      </c>
    </row>
    <row r="4297" spans="3:3" ht="15" customHeight="1">
      <c r="C4297" s="70" t="str">
        <f t="shared" si="68"/>
        <v/>
      </c>
    </row>
    <row r="4298" spans="3:3" ht="15" customHeight="1">
      <c r="C4298" s="70" t="str">
        <f t="shared" si="68"/>
        <v/>
      </c>
    </row>
    <row r="4299" spans="3:3" ht="15" customHeight="1">
      <c r="C4299" s="70" t="str">
        <f t="shared" si="68"/>
        <v/>
      </c>
    </row>
    <row r="4300" spans="3:3" ht="15" customHeight="1">
      <c r="C4300" s="70" t="str">
        <f t="shared" si="68"/>
        <v/>
      </c>
    </row>
    <row r="4301" spans="3:3" ht="15" customHeight="1">
      <c r="C4301" s="70" t="str">
        <f t="shared" si="68"/>
        <v/>
      </c>
    </row>
    <row r="4302" spans="3:3" ht="15" customHeight="1">
      <c r="C4302" s="70" t="str">
        <f t="shared" si="68"/>
        <v/>
      </c>
    </row>
    <row r="4303" spans="3:3" ht="15" customHeight="1">
      <c r="C4303" s="70" t="str">
        <f t="shared" si="68"/>
        <v/>
      </c>
    </row>
    <row r="4304" spans="3:3" ht="15" customHeight="1">
      <c r="C4304" s="70" t="str">
        <f t="shared" si="68"/>
        <v/>
      </c>
    </row>
    <row r="4305" spans="3:3" ht="15" customHeight="1">
      <c r="C4305" s="70" t="str">
        <f t="shared" ref="C4305:C4368" si="69">IF(B4305&lt;&gt;"",TEXT(WEEKDAY(B4305),"dddd"),"")</f>
        <v/>
      </c>
    </row>
    <row r="4306" spans="3:3" ht="15" customHeight="1">
      <c r="C4306" s="70" t="str">
        <f t="shared" si="69"/>
        <v/>
      </c>
    </row>
    <row r="4307" spans="3:3" ht="15" customHeight="1">
      <c r="C4307" s="70" t="str">
        <f t="shared" si="69"/>
        <v/>
      </c>
    </row>
    <row r="4308" spans="3:3" ht="15" customHeight="1">
      <c r="C4308" s="70" t="str">
        <f t="shared" si="69"/>
        <v/>
      </c>
    </row>
    <row r="4309" spans="3:3" ht="15" customHeight="1">
      <c r="C4309" s="70" t="str">
        <f t="shared" si="69"/>
        <v/>
      </c>
    </row>
    <row r="4310" spans="3:3" ht="15" customHeight="1">
      <c r="C4310" s="70" t="str">
        <f t="shared" si="69"/>
        <v/>
      </c>
    </row>
    <row r="4311" spans="3:3" ht="15" customHeight="1">
      <c r="C4311" s="70" t="str">
        <f t="shared" si="69"/>
        <v/>
      </c>
    </row>
    <row r="4312" spans="3:3" ht="15" customHeight="1">
      <c r="C4312" s="70" t="str">
        <f t="shared" si="69"/>
        <v/>
      </c>
    </row>
    <row r="4313" spans="3:3" ht="15" customHeight="1">
      <c r="C4313" s="70" t="str">
        <f t="shared" si="69"/>
        <v/>
      </c>
    </row>
    <row r="4314" spans="3:3" ht="15" customHeight="1">
      <c r="C4314" s="70" t="str">
        <f t="shared" si="69"/>
        <v/>
      </c>
    </row>
    <row r="4315" spans="3:3" ht="15" customHeight="1">
      <c r="C4315" s="70" t="str">
        <f t="shared" si="69"/>
        <v/>
      </c>
    </row>
    <row r="4316" spans="3:3" ht="15" customHeight="1">
      <c r="C4316" s="70" t="str">
        <f t="shared" si="69"/>
        <v/>
      </c>
    </row>
    <row r="4317" spans="3:3" ht="15" customHeight="1">
      <c r="C4317" s="70" t="str">
        <f t="shared" si="69"/>
        <v/>
      </c>
    </row>
    <row r="4318" spans="3:3" ht="15" customHeight="1">
      <c r="C4318" s="70" t="str">
        <f t="shared" si="69"/>
        <v/>
      </c>
    </row>
    <row r="4319" spans="3:3" ht="15" customHeight="1">
      <c r="C4319" s="70" t="str">
        <f t="shared" si="69"/>
        <v/>
      </c>
    </row>
    <row r="4320" spans="3:3" ht="15" customHeight="1">
      <c r="C4320" s="70" t="str">
        <f t="shared" si="69"/>
        <v/>
      </c>
    </row>
    <row r="4321" spans="3:3" ht="15" customHeight="1">
      <c r="C4321" s="70" t="str">
        <f t="shared" si="69"/>
        <v/>
      </c>
    </row>
    <row r="4322" spans="3:3" ht="15" customHeight="1">
      <c r="C4322" s="70" t="str">
        <f t="shared" si="69"/>
        <v/>
      </c>
    </row>
    <row r="4323" spans="3:3" ht="15" customHeight="1">
      <c r="C4323" s="70" t="str">
        <f t="shared" si="69"/>
        <v/>
      </c>
    </row>
    <row r="4324" spans="3:3" ht="15" customHeight="1">
      <c r="C4324" s="70" t="str">
        <f t="shared" si="69"/>
        <v/>
      </c>
    </row>
    <row r="4325" spans="3:3" ht="15" customHeight="1">
      <c r="C4325" s="70" t="str">
        <f t="shared" si="69"/>
        <v/>
      </c>
    </row>
    <row r="4326" spans="3:3" ht="15" customHeight="1">
      <c r="C4326" s="70" t="str">
        <f t="shared" si="69"/>
        <v/>
      </c>
    </row>
    <row r="4327" spans="3:3" ht="15" customHeight="1">
      <c r="C4327" s="70" t="str">
        <f t="shared" si="69"/>
        <v/>
      </c>
    </row>
    <row r="4328" spans="3:3" ht="15" customHeight="1">
      <c r="C4328" s="70" t="str">
        <f t="shared" si="69"/>
        <v/>
      </c>
    </row>
    <row r="4329" spans="3:3" ht="15" customHeight="1">
      <c r="C4329" s="70" t="str">
        <f t="shared" si="69"/>
        <v/>
      </c>
    </row>
    <row r="4330" spans="3:3" ht="15" customHeight="1">
      <c r="C4330" s="70" t="str">
        <f t="shared" si="69"/>
        <v/>
      </c>
    </row>
    <row r="4331" spans="3:3" ht="15" customHeight="1">
      <c r="C4331" s="70" t="str">
        <f t="shared" si="69"/>
        <v/>
      </c>
    </row>
    <row r="4332" spans="3:3" ht="15" customHeight="1">
      <c r="C4332" s="70" t="str">
        <f t="shared" si="69"/>
        <v/>
      </c>
    </row>
    <row r="4333" spans="3:3" ht="15" customHeight="1">
      <c r="C4333" s="70" t="str">
        <f t="shared" si="69"/>
        <v/>
      </c>
    </row>
    <row r="4334" spans="3:3" ht="15" customHeight="1">
      <c r="C4334" s="70" t="str">
        <f t="shared" si="69"/>
        <v/>
      </c>
    </row>
    <row r="4335" spans="3:3" ht="15" customHeight="1">
      <c r="C4335" s="70" t="str">
        <f t="shared" si="69"/>
        <v/>
      </c>
    </row>
    <row r="4336" spans="3:3" ht="15" customHeight="1">
      <c r="C4336" s="70" t="str">
        <f t="shared" si="69"/>
        <v/>
      </c>
    </row>
    <row r="4337" spans="3:3" ht="15" customHeight="1">
      <c r="C4337" s="70" t="str">
        <f t="shared" si="69"/>
        <v/>
      </c>
    </row>
    <row r="4338" spans="3:3" ht="15" customHeight="1">
      <c r="C4338" s="70" t="str">
        <f t="shared" si="69"/>
        <v/>
      </c>
    </row>
    <row r="4339" spans="3:3" ht="15" customHeight="1">
      <c r="C4339" s="70" t="str">
        <f t="shared" si="69"/>
        <v/>
      </c>
    </row>
    <row r="4340" spans="3:3" ht="15" customHeight="1">
      <c r="C4340" s="70" t="str">
        <f t="shared" si="69"/>
        <v/>
      </c>
    </row>
    <row r="4341" spans="3:3" ht="15" customHeight="1">
      <c r="C4341" s="70" t="str">
        <f t="shared" si="69"/>
        <v/>
      </c>
    </row>
    <row r="4342" spans="3:3" ht="15" customHeight="1">
      <c r="C4342" s="70" t="str">
        <f t="shared" si="69"/>
        <v/>
      </c>
    </row>
    <row r="4343" spans="3:3" ht="15" customHeight="1">
      <c r="C4343" s="70" t="str">
        <f t="shared" si="69"/>
        <v/>
      </c>
    </row>
    <row r="4344" spans="3:3" ht="15" customHeight="1">
      <c r="C4344" s="70" t="str">
        <f t="shared" si="69"/>
        <v/>
      </c>
    </row>
    <row r="4345" spans="3:3" ht="15" customHeight="1">
      <c r="C4345" s="70" t="str">
        <f t="shared" si="69"/>
        <v/>
      </c>
    </row>
    <row r="4346" spans="3:3" ht="15" customHeight="1">
      <c r="C4346" s="70" t="str">
        <f t="shared" si="69"/>
        <v/>
      </c>
    </row>
    <row r="4347" spans="3:3" ht="15" customHeight="1">
      <c r="C4347" s="70" t="str">
        <f t="shared" si="69"/>
        <v/>
      </c>
    </row>
    <row r="4348" spans="3:3" ht="15" customHeight="1">
      <c r="C4348" s="70" t="str">
        <f t="shared" si="69"/>
        <v/>
      </c>
    </row>
    <row r="4349" spans="3:3" ht="15" customHeight="1">
      <c r="C4349" s="70" t="str">
        <f t="shared" si="69"/>
        <v/>
      </c>
    </row>
    <row r="4350" spans="3:3" ht="15" customHeight="1">
      <c r="C4350" s="70" t="str">
        <f t="shared" si="69"/>
        <v/>
      </c>
    </row>
    <row r="4351" spans="3:3" ht="15" customHeight="1">
      <c r="C4351" s="70" t="str">
        <f t="shared" si="69"/>
        <v/>
      </c>
    </row>
    <row r="4352" spans="3:3" ht="15" customHeight="1">
      <c r="C4352" s="70" t="str">
        <f t="shared" si="69"/>
        <v/>
      </c>
    </row>
    <row r="4353" spans="3:3" ht="15" customHeight="1">
      <c r="C4353" s="70" t="str">
        <f t="shared" si="69"/>
        <v/>
      </c>
    </row>
    <row r="4354" spans="3:3" ht="15" customHeight="1">
      <c r="C4354" s="70" t="str">
        <f t="shared" si="69"/>
        <v/>
      </c>
    </row>
    <row r="4355" spans="3:3" ht="15" customHeight="1">
      <c r="C4355" s="70" t="str">
        <f t="shared" si="69"/>
        <v/>
      </c>
    </row>
    <row r="4356" spans="3:3" ht="15" customHeight="1">
      <c r="C4356" s="70" t="str">
        <f t="shared" si="69"/>
        <v/>
      </c>
    </row>
    <row r="4357" spans="3:3" ht="15" customHeight="1">
      <c r="C4357" s="70" t="str">
        <f t="shared" si="69"/>
        <v/>
      </c>
    </row>
    <row r="4358" spans="3:3" ht="15" customHeight="1">
      <c r="C4358" s="70" t="str">
        <f t="shared" si="69"/>
        <v/>
      </c>
    </row>
    <row r="4359" spans="3:3" ht="15" customHeight="1">
      <c r="C4359" s="70" t="str">
        <f t="shared" si="69"/>
        <v/>
      </c>
    </row>
    <row r="4360" spans="3:3" ht="15" customHeight="1">
      <c r="C4360" s="70" t="str">
        <f t="shared" si="69"/>
        <v/>
      </c>
    </row>
    <row r="4361" spans="3:3" ht="15" customHeight="1">
      <c r="C4361" s="70" t="str">
        <f t="shared" si="69"/>
        <v/>
      </c>
    </row>
    <row r="4362" spans="3:3" ht="15" customHeight="1">
      <c r="C4362" s="70" t="str">
        <f t="shared" si="69"/>
        <v/>
      </c>
    </row>
    <row r="4363" spans="3:3" ht="15" customHeight="1">
      <c r="C4363" s="70" t="str">
        <f t="shared" si="69"/>
        <v/>
      </c>
    </row>
    <row r="4364" spans="3:3" ht="15" customHeight="1">
      <c r="C4364" s="70" t="str">
        <f t="shared" si="69"/>
        <v/>
      </c>
    </row>
    <row r="4365" spans="3:3" ht="15" customHeight="1">
      <c r="C4365" s="70" t="str">
        <f t="shared" si="69"/>
        <v/>
      </c>
    </row>
    <row r="4366" spans="3:3" ht="15" customHeight="1">
      <c r="C4366" s="70" t="str">
        <f t="shared" si="69"/>
        <v/>
      </c>
    </row>
    <row r="4367" spans="3:3" ht="15" customHeight="1">
      <c r="C4367" s="70" t="str">
        <f t="shared" si="69"/>
        <v/>
      </c>
    </row>
    <row r="4368" spans="3:3" ht="15" customHeight="1">
      <c r="C4368" s="70" t="str">
        <f t="shared" si="69"/>
        <v/>
      </c>
    </row>
    <row r="4369" spans="3:3" ht="15" customHeight="1">
      <c r="C4369" s="70" t="str">
        <f t="shared" ref="C4369:C4432" si="70">IF(B4369&lt;&gt;"",TEXT(WEEKDAY(B4369),"dddd"),"")</f>
        <v/>
      </c>
    </row>
    <row r="4370" spans="3:3" ht="15" customHeight="1">
      <c r="C4370" s="70" t="str">
        <f t="shared" si="70"/>
        <v/>
      </c>
    </row>
    <row r="4371" spans="3:3" ht="15" customHeight="1">
      <c r="C4371" s="70" t="str">
        <f t="shared" si="70"/>
        <v/>
      </c>
    </row>
    <row r="4372" spans="3:3" ht="15" customHeight="1">
      <c r="C4372" s="70" t="str">
        <f t="shared" si="70"/>
        <v/>
      </c>
    </row>
    <row r="4373" spans="3:3" ht="15" customHeight="1">
      <c r="C4373" s="70" t="str">
        <f t="shared" si="70"/>
        <v/>
      </c>
    </row>
    <row r="4374" spans="3:3" ht="15" customHeight="1">
      <c r="C4374" s="70" t="str">
        <f t="shared" si="70"/>
        <v/>
      </c>
    </row>
    <row r="4375" spans="3:3" ht="15" customHeight="1">
      <c r="C4375" s="70" t="str">
        <f t="shared" si="70"/>
        <v/>
      </c>
    </row>
    <row r="4376" spans="3:3" ht="15" customHeight="1">
      <c r="C4376" s="70" t="str">
        <f t="shared" si="70"/>
        <v/>
      </c>
    </row>
    <row r="4377" spans="3:3" ht="15" customHeight="1">
      <c r="C4377" s="70" t="str">
        <f t="shared" si="70"/>
        <v/>
      </c>
    </row>
    <row r="4378" spans="3:3" ht="15" customHeight="1">
      <c r="C4378" s="70" t="str">
        <f t="shared" si="70"/>
        <v/>
      </c>
    </row>
    <row r="4379" spans="3:3" ht="15" customHeight="1">
      <c r="C4379" s="70" t="str">
        <f t="shared" si="70"/>
        <v/>
      </c>
    </row>
    <row r="4380" spans="3:3" ht="15" customHeight="1">
      <c r="C4380" s="70" t="str">
        <f t="shared" si="70"/>
        <v/>
      </c>
    </row>
    <row r="4381" spans="3:3" ht="15" customHeight="1">
      <c r="C4381" s="70" t="str">
        <f t="shared" si="70"/>
        <v/>
      </c>
    </row>
    <row r="4382" spans="3:3" ht="15" customHeight="1">
      <c r="C4382" s="70" t="str">
        <f t="shared" si="70"/>
        <v/>
      </c>
    </row>
    <row r="4383" spans="3:3" ht="15" customHeight="1">
      <c r="C4383" s="70" t="str">
        <f t="shared" si="70"/>
        <v/>
      </c>
    </row>
    <row r="4384" spans="3:3" ht="15" customHeight="1">
      <c r="C4384" s="70" t="str">
        <f t="shared" si="70"/>
        <v/>
      </c>
    </row>
    <row r="4385" spans="3:3" ht="15" customHeight="1">
      <c r="C4385" s="70" t="str">
        <f t="shared" si="70"/>
        <v/>
      </c>
    </row>
    <row r="4386" spans="3:3" ht="15" customHeight="1">
      <c r="C4386" s="70" t="str">
        <f t="shared" si="70"/>
        <v/>
      </c>
    </row>
    <row r="4387" spans="3:3" ht="15" customHeight="1">
      <c r="C4387" s="70" t="str">
        <f t="shared" si="70"/>
        <v/>
      </c>
    </row>
    <row r="4388" spans="3:3" ht="15" customHeight="1">
      <c r="C4388" s="70" t="str">
        <f t="shared" si="70"/>
        <v/>
      </c>
    </row>
    <row r="4389" spans="3:3" ht="15" customHeight="1">
      <c r="C4389" s="70" t="str">
        <f t="shared" si="70"/>
        <v/>
      </c>
    </row>
    <row r="4390" spans="3:3" ht="15" customHeight="1">
      <c r="C4390" s="70" t="str">
        <f t="shared" si="70"/>
        <v/>
      </c>
    </row>
    <row r="4391" spans="3:3" ht="15" customHeight="1">
      <c r="C4391" s="70" t="str">
        <f t="shared" si="70"/>
        <v/>
      </c>
    </row>
    <row r="4392" spans="3:3" ht="15" customHeight="1">
      <c r="C4392" s="70" t="str">
        <f t="shared" si="70"/>
        <v/>
      </c>
    </row>
    <row r="4393" spans="3:3" ht="15" customHeight="1">
      <c r="C4393" s="70" t="str">
        <f t="shared" si="70"/>
        <v/>
      </c>
    </row>
    <row r="4394" spans="3:3" ht="15" customHeight="1">
      <c r="C4394" s="70" t="str">
        <f t="shared" si="70"/>
        <v/>
      </c>
    </row>
    <row r="4395" spans="3:3" ht="15" customHeight="1">
      <c r="C4395" s="70" t="str">
        <f t="shared" si="70"/>
        <v/>
      </c>
    </row>
    <row r="4396" spans="3:3" ht="15" customHeight="1">
      <c r="C4396" s="70" t="str">
        <f t="shared" si="70"/>
        <v/>
      </c>
    </row>
    <row r="4397" spans="3:3" ht="15" customHeight="1">
      <c r="C4397" s="70" t="str">
        <f t="shared" si="70"/>
        <v/>
      </c>
    </row>
    <row r="4398" spans="3:3" ht="15" customHeight="1">
      <c r="C4398" s="70" t="str">
        <f t="shared" si="70"/>
        <v/>
      </c>
    </row>
    <row r="4399" spans="3:3" ht="15" customHeight="1">
      <c r="C4399" s="70" t="str">
        <f t="shared" si="70"/>
        <v/>
      </c>
    </row>
    <row r="4400" spans="3:3" ht="15" customHeight="1">
      <c r="C4400" s="70" t="str">
        <f t="shared" si="70"/>
        <v/>
      </c>
    </row>
    <row r="4401" spans="3:3" ht="15" customHeight="1">
      <c r="C4401" s="70" t="str">
        <f t="shared" si="70"/>
        <v/>
      </c>
    </row>
    <row r="4402" spans="3:3" ht="15" customHeight="1">
      <c r="C4402" s="70" t="str">
        <f t="shared" si="70"/>
        <v/>
      </c>
    </row>
    <row r="4403" spans="3:3" ht="15" customHeight="1">
      <c r="C4403" s="70" t="str">
        <f t="shared" si="70"/>
        <v/>
      </c>
    </row>
    <row r="4404" spans="3:3" ht="15" customHeight="1">
      <c r="C4404" s="70" t="str">
        <f t="shared" si="70"/>
        <v/>
      </c>
    </row>
    <row r="4405" spans="3:3" ht="15" customHeight="1">
      <c r="C4405" s="70" t="str">
        <f t="shared" si="70"/>
        <v/>
      </c>
    </row>
    <row r="4406" spans="3:3" ht="15" customHeight="1">
      <c r="C4406" s="70" t="str">
        <f t="shared" si="70"/>
        <v/>
      </c>
    </row>
    <row r="4407" spans="3:3" ht="15" customHeight="1">
      <c r="C4407" s="70" t="str">
        <f t="shared" si="70"/>
        <v/>
      </c>
    </row>
    <row r="4408" spans="3:3" ht="15" customHeight="1">
      <c r="C4408" s="70" t="str">
        <f t="shared" si="70"/>
        <v/>
      </c>
    </row>
    <row r="4409" spans="3:3" ht="15" customHeight="1">
      <c r="C4409" s="70" t="str">
        <f t="shared" si="70"/>
        <v/>
      </c>
    </row>
    <row r="4410" spans="3:3" ht="15" customHeight="1">
      <c r="C4410" s="70" t="str">
        <f t="shared" si="70"/>
        <v/>
      </c>
    </row>
    <row r="4411" spans="3:3" ht="15" customHeight="1">
      <c r="C4411" s="70" t="str">
        <f t="shared" si="70"/>
        <v/>
      </c>
    </row>
    <row r="4412" spans="3:3" ht="15" customHeight="1">
      <c r="C4412" s="70" t="str">
        <f t="shared" si="70"/>
        <v/>
      </c>
    </row>
    <row r="4413" spans="3:3" ht="15" customHeight="1">
      <c r="C4413" s="70" t="str">
        <f t="shared" si="70"/>
        <v/>
      </c>
    </row>
    <row r="4414" spans="3:3" ht="15" customHeight="1">
      <c r="C4414" s="70" t="str">
        <f t="shared" si="70"/>
        <v/>
      </c>
    </row>
    <row r="4415" spans="3:3" ht="15" customHeight="1">
      <c r="C4415" s="70" t="str">
        <f t="shared" si="70"/>
        <v/>
      </c>
    </row>
    <row r="4416" spans="3:3" ht="15" customHeight="1">
      <c r="C4416" s="70" t="str">
        <f t="shared" si="70"/>
        <v/>
      </c>
    </row>
    <row r="4417" spans="3:3" ht="15" customHeight="1">
      <c r="C4417" s="70" t="str">
        <f t="shared" si="70"/>
        <v/>
      </c>
    </row>
    <row r="4418" spans="3:3" ht="15" customHeight="1">
      <c r="C4418" s="70" t="str">
        <f t="shared" si="70"/>
        <v/>
      </c>
    </row>
    <row r="4419" spans="3:3" ht="15" customHeight="1">
      <c r="C4419" s="70" t="str">
        <f t="shared" si="70"/>
        <v/>
      </c>
    </row>
    <row r="4420" spans="3:3" ht="15" customHeight="1">
      <c r="C4420" s="70" t="str">
        <f t="shared" si="70"/>
        <v/>
      </c>
    </row>
    <row r="4421" spans="3:3" ht="15" customHeight="1">
      <c r="C4421" s="70" t="str">
        <f t="shared" si="70"/>
        <v/>
      </c>
    </row>
    <row r="4422" spans="3:3" ht="15" customHeight="1">
      <c r="C4422" s="70" t="str">
        <f t="shared" si="70"/>
        <v/>
      </c>
    </row>
    <row r="4423" spans="3:3" ht="15" customHeight="1">
      <c r="C4423" s="70" t="str">
        <f t="shared" si="70"/>
        <v/>
      </c>
    </row>
    <row r="4424" spans="3:3" ht="15" customHeight="1">
      <c r="C4424" s="70" t="str">
        <f t="shared" si="70"/>
        <v/>
      </c>
    </row>
    <row r="4425" spans="3:3" ht="15" customHeight="1">
      <c r="C4425" s="70" t="str">
        <f t="shared" si="70"/>
        <v/>
      </c>
    </row>
    <row r="4426" spans="3:3" ht="15" customHeight="1">
      <c r="C4426" s="70" t="str">
        <f t="shared" si="70"/>
        <v/>
      </c>
    </row>
    <row r="4427" spans="3:3" ht="15" customHeight="1">
      <c r="C4427" s="70" t="str">
        <f t="shared" si="70"/>
        <v/>
      </c>
    </row>
    <row r="4428" spans="3:3" ht="15" customHeight="1">
      <c r="C4428" s="70" t="str">
        <f t="shared" si="70"/>
        <v/>
      </c>
    </row>
    <row r="4429" spans="3:3" ht="15" customHeight="1">
      <c r="C4429" s="70" t="str">
        <f t="shared" si="70"/>
        <v/>
      </c>
    </row>
    <row r="4430" spans="3:3" ht="15" customHeight="1">
      <c r="C4430" s="70" t="str">
        <f t="shared" si="70"/>
        <v/>
      </c>
    </row>
    <row r="4431" spans="3:3" ht="15" customHeight="1">
      <c r="C4431" s="70" t="str">
        <f t="shared" si="70"/>
        <v/>
      </c>
    </row>
    <row r="4432" spans="3:3" ht="15" customHeight="1">
      <c r="C4432" s="70" t="str">
        <f t="shared" si="70"/>
        <v/>
      </c>
    </row>
    <row r="4433" spans="3:3" ht="15" customHeight="1">
      <c r="C4433" s="70" t="str">
        <f t="shared" ref="C4433:C4496" si="71">IF(B4433&lt;&gt;"",TEXT(WEEKDAY(B4433),"dddd"),"")</f>
        <v/>
      </c>
    </row>
    <row r="4434" spans="3:3" ht="15" customHeight="1">
      <c r="C4434" s="70" t="str">
        <f t="shared" si="71"/>
        <v/>
      </c>
    </row>
    <row r="4435" spans="3:3" ht="15" customHeight="1">
      <c r="C4435" s="70" t="str">
        <f t="shared" si="71"/>
        <v/>
      </c>
    </row>
    <row r="4436" spans="3:3" ht="15" customHeight="1">
      <c r="C4436" s="70" t="str">
        <f t="shared" si="71"/>
        <v/>
      </c>
    </row>
    <row r="4437" spans="3:3" ht="15" customHeight="1">
      <c r="C4437" s="70" t="str">
        <f t="shared" si="71"/>
        <v/>
      </c>
    </row>
    <row r="4438" spans="3:3" ht="15" customHeight="1">
      <c r="C4438" s="70" t="str">
        <f t="shared" si="71"/>
        <v/>
      </c>
    </row>
    <row r="4439" spans="3:3" ht="15" customHeight="1">
      <c r="C4439" s="70" t="str">
        <f t="shared" si="71"/>
        <v/>
      </c>
    </row>
    <row r="4440" spans="3:3" ht="15" customHeight="1">
      <c r="C4440" s="70" t="str">
        <f t="shared" si="71"/>
        <v/>
      </c>
    </row>
    <row r="4441" spans="3:3" ht="15" customHeight="1">
      <c r="C4441" s="70" t="str">
        <f t="shared" si="71"/>
        <v/>
      </c>
    </row>
    <row r="4442" spans="3:3" ht="15" customHeight="1">
      <c r="C4442" s="70" t="str">
        <f t="shared" si="71"/>
        <v/>
      </c>
    </row>
    <row r="4443" spans="3:3" ht="15" customHeight="1">
      <c r="C4443" s="70" t="str">
        <f t="shared" si="71"/>
        <v/>
      </c>
    </row>
    <row r="4444" spans="3:3" ht="15" customHeight="1">
      <c r="C4444" s="70" t="str">
        <f t="shared" si="71"/>
        <v/>
      </c>
    </row>
    <row r="4445" spans="3:3" ht="15" customHeight="1">
      <c r="C4445" s="70" t="str">
        <f t="shared" si="71"/>
        <v/>
      </c>
    </row>
    <row r="4446" spans="3:3" ht="15" customHeight="1">
      <c r="C4446" s="70" t="str">
        <f t="shared" si="71"/>
        <v/>
      </c>
    </row>
    <row r="4447" spans="3:3" ht="15" customHeight="1">
      <c r="C4447" s="70" t="str">
        <f t="shared" si="71"/>
        <v/>
      </c>
    </row>
    <row r="4448" spans="3:3" ht="15" customHeight="1">
      <c r="C4448" s="70" t="str">
        <f t="shared" si="71"/>
        <v/>
      </c>
    </row>
    <row r="4449" spans="3:3" ht="15" customHeight="1">
      <c r="C4449" s="70" t="str">
        <f t="shared" si="71"/>
        <v/>
      </c>
    </row>
    <row r="4450" spans="3:3" ht="15" customHeight="1">
      <c r="C4450" s="70" t="str">
        <f t="shared" si="71"/>
        <v/>
      </c>
    </row>
    <row r="4451" spans="3:3" ht="15" customHeight="1">
      <c r="C4451" s="70" t="str">
        <f t="shared" si="71"/>
        <v/>
      </c>
    </row>
    <row r="4452" spans="3:3" ht="15" customHeight="1">
      <c r="C4452" s="70" t="str">
        <f t="shared" si="71"/>
        <v/>
      </c>
    </row>
    <row r="4453" spans="3:3" ht="15" customHeight="1">
      <c r="C4453" s="70" t="str">
        <f t="shared" si="71"/>
        <v/>
      </c>
    </row>
    <row r="4454" spans="3:3" ht="15" customHeight="1">
      <c r="C4454" s="70" t="str">
        <f t="shared" si="71"/>
        <v/>
      </c>
    </row>
    <row r="4455" spans="3:3" ht="15" customHeight="1">
      <c r="C4455" s="70" t="str">
        <f t="shared" si="71"/>
        <v/>
      </c>
    </row>
    <row r="4456" spans="3:3" ht="15" customHeight="1">
      <c r="C4456" s="70" t="str">
        <f t="shared" si="71"/>
        <v/>
      </c>
    </row>
    <row r="4457" spans="3:3" ht="15" customHeight="1">
      <c r="C4457" s="70" t="str">
        <f t="shared" si="71"/>
        <v/>
      </c>
    </row>
    <row r="4458" spans="3:3" ht="15" customHeight="1">
      <c r="C4458" s="70" t="str">
        <f t="shared" si="71"/>
        <v/>
      </c>
    </row>
    <row r="4459" spans="3:3" ht="15" customHeight="1">
      <c r="C4459" s="70" t="str">
        <f t="shared" si="71"/>
        <v/>
      </c>
    </row>
    <row r="4460" spans="3:3" ht="15" customHeight="1">
      <c r="C4460" s="70" t="str">
        <f t="shared" si="71"/>
        <v/>
      </c>
    </row>
    <row r="4461" spans="3:3" ht="15" customHeight="1">
      <c r="C4461" s="70" t="str">
        <f t="shared" si="71"/>
        <v/>
      </c>
    </row>
    <row r="4462" spans="3:3" ht="15" customHeight="1">
      <c r="C4462" s="70" t="str">
        <f t="shared" si="71"/>
        <v/>
      </c>
    </row>
    <row r="4463" spans="3:3" ht="15" customHeight="1">
      <c r="C4463" s="70" t="str">
        <f t="shared" si="71"/>
        <v/>
      </c>
    </row>
    <row r="4464" spans="3:3" ht="15" customHeight="1">
      <c r="C4464" s="70" t="str">
        <f t="shared" si="71"/>
        <v/>
      </c>
    </row>
    <row r="4465" spans="3:3" ht="15" customHeight="1">
      <c r="C4465" s="70" t="str">
        <f t="shared" si="71"/>
        <v/>
      </c>
    </row>
    <row r="4466" spans="3:3" ht="15" customHeight="1">
      <c r="C4466" s="70" t="str">
        <f t="shared" si="71"/>
        <v/>
      </c>
    </row>
    <row r="4467" spans="3:3" ht="15" customHeight="1">
      <c r="C4467" s="70" t="str">
        <f t="shared" si="71"/>
        <v/>
      </c>
    </row>
    <row r="4468" spans="3:3" ht="15" customHeight="1">
      <c r="C4468" s="70" t="str">
        <f t="shared" si="71"/>
        <v/>
      </c>
    </row>
    <row r="4469" spans="3:3" ht="15" customHeight="1">
      <c r="C4469" s="70" t="str">
        <f t="shared" si="71"/>
        <v/>
      </c>
    </row>
    <row r="4470" spans="3:3" ht="15" customHeight="1">
      <c r="C4470" s="70" t="str">
        <f t="shared" si="71"/>
        <v/>
      </c>
    </row>
    <row r="4471" spans="3:3" ht="15" customHeight="1">
      <c r="C4471" s="70" t="str">
        <f t="shared" si="71"/>
        <v/>
      </c>
    </row>
    <row r="4472" spans="3:3" ht="15" customHeight="1">
      <c r="C4472" s="70" t="str">
        <f t="shared" si="71"/>
        <v/>
      </c>
    </row>
    <row r="4473" spans="3:3" ht="15" customHeight="1">
      <c r="C4473" s="70" t="str">
        <f t="shared" si="71"/>
        <v/>
      </c>
    </row>
    <row r="4474" spans="3:3" ht="15" customHeight="1">
      <c r="C4474" s="70" t="str">
        <f t="shared" si="71"/>
        <v/>
      </c>
    </row>
    <row r="4475" spans="3:3" ht="15" customHeight="1">
      <c r="C4475" s="70" t="str">
        <f t="shared" si="71"/>
        <v/>
      </c>
    </row>
    <row r="4476" spans="3:3" ht="15" customHeight="1">
      <c r="C4476" s="70" t="str">
        <f t="shared" si="71"/>
        <v/>
      </c>
    </row>
    <row r="4477" spans="3:3" ht="15" customHeight="1">
      <c r="C4477" s="70" t="str">
        <f t="shared" si="71"/>
        <v/>
      </c>
    </row>
    <row r="4478" spans="3:3" ht="15" customHeight="1">
      <c r="C4478" s="70" t="str">
        <f t="shared" si="71"/>
        <v/>
      </c>
    </row>
    <row r="4479" spans="3:3" ht="15" customHeight="1">
      <c r="C4479" s="70" t="str">
        <f t="shared" si="71"/>
        <v/>
      </c>
    </row>
    <row r="4480" spans="3:3" ht="15" customHeight="1">
      <c r="C4480" s="70" t="str">
        <f t="shared" si="71"/>
        <v/>
      </c>
    </row>
    <row r="4481" spans="3:3" ht="15" customHeight="1">
      <c r="C4481" s="70" t="str">
        <f t="shared" si="71"/>
        <v/>
      </c>
    </row>
    <row r="4482" spans="3:3" ht="15" customHeight="1">
      <c r="C4482" s="70" t="str">
        <f t="shared" si="71"/>
        <v/>
      </c>
    </row>
    <row r="4483" spans="3:3" ht="15" customHeight="1">
      <c r="C4483" s="70" t="str">
        <f t="shared" si="71"/>
        <v/>
      </c>
    </row>
    <row r="4484" spans="3:3" ht="15" customHeight="1">
      <c r="C4484" s="70" t="str">
        <f t="shared" si="71"/>
        <v/>
      </c>
    </row>
    <row r="4485" spans="3:3" ht="15" customHeight="1">
      <c r="C4485" s="70" t="str">
        <f t="shared" si="71"/>
        <v/>
      </c>
    </row>
    <row r="4486" spans="3:3" ht="15" customHeight="1">
      <c r="C4486" s="70" t="str">
        <f t="shared" si="71"/>
        <v/>
      </c>
    </row>
    <row r="4487" spans="3:3" ht="15" customHeight="1">
      <c r="C4487" s="70" t="str">
        <f t="shared" si="71"/>
        <v/>
      </c>
    </row>
    <row r="4488" spans="3:3" ht="15" customHeight="1">
      <c r="C4488" s="70" t="str">
        <f t="shared" si="71"/>
        <v/>
      </c>
    </row>
    <row r="4489" spans="3:3" ht="15" customHeight="1">
      <c r="C4489" s="70" t="str">
        <f t="shared" si="71"/>
        <v/>
      </c>
    </row>
    <row r="4490" spans="3:3" ht="15" customHeight="1">
      <c r="C4490" s="70" t="str">
        <f t="shared" si="71"/>
        <v/>
      </c>
    </row>
    <row r="4491" spans="3:3" ht="15" customHeight="1">
      <c r="C4491" s="70" t="str">
        <f t="shared" si="71"/>
        <v/>
      </c>
    </row>
    <row r="4492" spans="3:3" ht="15" customHeight="1">
      <c r="C4492" s="70" t="str">
        <f t="shared" si="71"/>
        <v/>
      </c>
    </row>
    <row r="4493" spans="3:3" ht="15" customHeight="1">
      <c r="C4493" s="70" t="str">
        <f t="shared" si="71"/>
        <v/>
      </c>
    </row>
    <row r="4494" spans="3:3" ht="15" customHeight="1">
      <c r="C4494" s="70" t="str">
        <f t="shared" si="71"/>
        <v/>
      </c>
    </row>
    <row r="4495" spans="3:3" ht="15" customHeight="1">
      <c r="C4495" s="70" t="str">
        <f t="shared" si="71"/>
        <v/>
      </c>
    </row>
    <row r="4496" spans="3:3" ht="15" customHeight="1">
      <c r="C4496" s="70" t="str">
        <f t="shared" si="71"/>
        <v/>
      </c>
    </row>
    <row r="4497" spans="3:3" ht="15" customHeight="1">
      <c r="C4497" s="70" t="str">
        <f t="shared" ref="C4497:C4560" si="72">IF(B4497&lt;&gt;"",TEXT(WEEKDAY(B4497),"dddd"),"")</f>
        <v/>
      </c>
    </row>
    <row r="4498" spans="3:3" ht="15" customHeight="1">
      <c r="C4498" s="70" t="str">
        <f t="shared" si="72"/>
        <v/>
      </c>
    </row>
    <row r="4499" spans="3:3" ht="15" customHeight="1">
      <c r="C4499" s="70" t="str">
        <f t="shared" si="72"/>
        <v/>
      </c>
    </row>
    <row r="4500" spans="3:3" ht="15" customHeight="1">
      <c r="C4500" s="70" t="str">
        <f t="shared" si="72"/>
        <v/>
      </c>
    </row>
    <row r="4501" spans="3:3" ht="15" customHeight="1">
      <c r="C4501" s="70" t="str">
        <f t="shared" si="72"/>
        <v/>
      </c>
    </row>
    <row r="4502" spans="3:3" ht="15" customHeight="1">
      <c r="C4502" s="70" t="str">
        <f t="shared" si="72"/>
        <v/>
      </c>
    </row>
    <row r="4503" spans="3:3" ht="15" customHeight="1">
      <c r="C4503" s="70" t="str">
        <f t="shared" si="72"/>
        <v/>
      </c>
    </row>
    <row r="4504" spans="3:3" ht="15" customHeight="1">
      <c r="C4504" s="70" t="str">
        <f t="shared" si="72"/>
        <v/>
      </c>
    </row>
    <row r="4505" spans="3:3" ht="15" customHeight="1">
      <c r="C4505" s="70" t="str">
        <f t="shared" si="72"/>
        <v/>
      </c>
    </row>
    <row r="4506" spans="3:3" ht="15" customHeight="1">
      <c r="C4506" s="70" t="str">
        <f t="shared" si="72"/>
        <v/>
      </c>
    </row>
    <row r="4507" spans="3:3" ht="15" customHeight="1">
      <c r="C4507" s="70" t="str">
        <f t="shared" si="72"/>
        <v/>
      </c>
    </row>
    <row r="4508" spans="3:3" ht="15" customHeight="1">
      <c r="C4508" s="70" t="str">
        <f t="shared" si="72"/>
        <v/>
      </c>
    </row>
    <row r="4509" spans="3:3" ht="15" customHeight="1">
      <c r="C4509" s="70" t="str">
        <f t="shared" si="72"/>
        <v/>
      </c>
    </row>
    <row r="4510" spans="3:3" ht="15" customHeight="1">
      <c r="C4510" s="70" t="str">
        <f t="shared" si="72"/>
        <v/>
      </c>
    </row>
    <row r="4511" spans="3:3" ht="15" customHeight="1">
      <c r="C4511" s="70" t="str">
        <f t="shared" si="72"/>
        <v/>
      </c>
    </row>
    <row r="4512" spans="3:3" ht="15" customHeight="1">
      <c r="C4512" s="70" t="str">
        <f t="shared" si="72"/>
        <v/>
      </c>
    </row>
    <row r="4513" spans="3:3" ht="15" customHeight="1">
      <c r="C4513" s="70" t="str">
        <f t="shared" si="72"/>
        <v/>
      </c>
    </row>
    <row r="4514" spans="3:3" ht="15" customHeight="1">
      <c r="C4514" s="70" t="str">
        <f t="shared" si="72"/>
        <v/>
      </c>
    </row>
    <row r="4515" spans="3:3" ht="15" customHeight="1">
      <c r="C4515" s="70" t="str">
        <f t="shared" si="72"/>
        <v/>
      </c>
    </row>
    <row r="4516" spans="3:3" ht="15" customHeight="1">
      <c r="C4516" s="70" t="str">
        <f t="shared" si="72"/>
        <v/>
      </c>
    </row>
    <row r="4517" spans="3:3" ht="15" customHeight="1">
      <c r="C4517" s="70" t="str">
        <f t="shared" si="72"/>
        <v/>
      </c>
    </row>
    <row r="4518" spans="3:3" ht="15" customHeight="1">
      <c r="C4518" s="70" t="str">
        <f t="shared" si="72"/>
        <v/>
      </c>
    </row>
    <row r="4519" spans="3:3" ht="15" customHeight="1">
      <c r="C4519" s="70" t="str">
        <f t="shared" si="72"/>
        <v/>
      </c>
    </row>
    <row r="4520" spans="3:3" ht="15" customHeight="1">
      <c r="C4520" s="70" t="str">
        <f t="shared" si="72"/>
        <v/>
      </c>
    </row>
    <row r="4521" spans="3:3" ht="15" customHeight="1">
      <c r="C4521" s="70" t="str">
        <f t="shared" si="72"/>
        <v/>
      </c>
    </row>
    <row r="4522" spans="3:3" ht="15" customHeight="1">
      <c r="C4522" s="70" t="str">
        <f t="shared" si="72"/>
        <v/>
      </c>
    </row>
    <row r="4523" spans="3:3" ht="15" customHeight="1">
      <c r="C4523" s="70" t="str">
        <f t="shared" si="72"/>
        <v/>
      </c>
    </row>
    <row r="4524" spans="3:3" ht="15" customHeight="1">
      <c r="C4524" s="70" t="str">
        <f t="shared" si="72"/>
        <v/>
      </c>
    </row>
    <row r="4525" spans="3:3" ht="15" customHeight="1">
      <c r="C4525" s="70" t="str">
        <f t="shared" si="72"/>
        <v/>
      </c>
    </row>
    <row r="4526" spans="3:3" ht="15" customHeight="1">
      <c r="C4526" s="70" t="str">
        <f t="shared" si="72"/>
        <v/>
      </c>
    </row>
    <row r="4527" spans="3:3" ht="15" customHeight="1">
      <c r="C4527" s="70" t="str">
        <f t="shared" si="72"/>
        <v/>
      </c>
    </row>
    <row r="4528" spans="3:3" ht="15" customHeight="1">
      <c r="C4528" s="70" t="str">
        <f t="shared" si="72"/>
        <v/>
      </c>
    </row>
    <row r="4529" spans="3:3" ht="15" customHeight="1">
      <c r="C4529" s="70" t="str">
        <f t="shared" si="72"/>
        <v/>
      </c>
    </row>
    <row r="4530" spans="3:3" ht="15" customHeight="1">
      <c r="C4530" s="70" t="str">
        <f t="shared" si="72"/>
        <v/>
      </c>
    </row>
    <row r="4531" spans="3:3" ht="15" customHeight="1">
      <c r="C4531" s="70" t="str">
        <f t="shared" si="72"/>
        <v/>
      </c>
    </row>
    <row r="4532" spans="3:3" ht="15" customHeight="1">
      <c r="C4532" s="70" t="str">
        <f t="shared" si="72"/>
        <v/>
      </c>
    </row>
    <row r="4533" spans="3:3" ht="15" customHeight="1">
      <c r="C4533" s="70" t="str">
        <f t="shared" si="72"/>
        <v/>
      </c>
    </row>
    <row r="4534" spans="3:3" ht="15" customHeight="1">
      <c r="C4534" s="70" t="str">
        <f t="shared" si="72"/>
        <v/>
      </c>
    </row>
    <row r="4535" spans="3:3" ht="15" customHeight="1">
      <c r="C4535" s="70" t="str">
        <f t="shared" si="72"/>
        <v/>
      </c>
    </row>
    <row r="4536" spans="3:3" ht="15" customHeight="1">
      <c r="C4536" s="70" t="str">
        <f t="shared" si="72"/>
        <v/>
      </c>
    </row>
    <row r="4537" spans="3:3" ht="15" customHeight="1">
      <c r="C4537" s="70" t="str">
        <f t="shared" si="72"/>
        <v/>
      </c>
    </row>
    <row r="4538" spans="3:3" ht="15" customHeight="1">
      <c r="C4538" s="70" t="str">
        <f t="shared" si="72"/>
        <v/>
      </c>
    </row>
    <row r="4539" spans="3:3" ht="15" customHeight="1">
      <c r="C4539" s="70" t="str">
        <f t="shared" si="72"/>
        <v/>
      </c>
    </row>
    <row r="4540" spans="3:3" ht="15" customHeight="1">
      <c r="C4540" s="70" t="str">
        <f t="shared" si="72"/>
        <v/>
      </c>
    </row>
    <row r="4541" spans="3:3" ht="15" customHeight="1">
      <c r="C4541" s="70" t="str">
        <f t="shared" si="72"/>
        <v/>
      </c>
    </row>
    <row r="4542" spans="3:3" ht="15" customHeight="1">
      <c r="C4542" s="70" t="str">
        <f t="shared" si="72"/>
        <v/>
      </c>
    </row>
    <row r="4543" spans="3:3" ht="15" customHeight="1">
      <c r="C4543" s="70" t="str">
        <f t="shared" si="72"/>
        <v/>
      </c>
    </row>
    <row r="4544" spans="3:3" ht="15" customHeight="1">
      <c r="C4544" s="70" t="str">
        <f t="shared" si="72"/>
        <v/>
      </c>
    </row>
    <row r="4545" spans="3:3" ht="15" customHeight="1">
      <c r="C4545" s="70" t="str">
        <f t="shared" si="72"/>
        <v/>
      </c>
    </row>
    <row r="4546" spans="3:3" ht="15" customHeight="1">
      <c r="C4546" s="70" t="str">
        <f t="shared" si="72"/>
        <v/>
      </c>
    </row>
    <row r="4547" spans="3:3" ht="15" customHeight="1">
      <c r="C4547" s="70" t="str">
        <f t="shared" si="72"/>
        <v/>
      </c>
    </row>
    <row r="4548" spans="3:3" ht="15" customHeight="1">
      <c r="C4548" s="70" t="str">
        <f t="shared" si="72"/>
        <v/>
      </c>
    </row>
    <row r="4549" spans="3:3" ht="15" customHeight="1">
      <c r="C4549" s="70" t="str">
        <f t="shared" si="72"/>
        <v/>
      </c>
    </row>
    <row r="4550" spans="3:3" ht="15" customHeight="1">
      <c r="C4550" s="70" t="str">
        <f t="shared" si="72"/>
        <v/>
      </c>
    </row>
    <row r="4551" spans="3:3" ht="15" customHeight="1">
      <c r="C4551" s="70" t="str">
        <f t="shared" si="72"/>
        <v/>
      </c>
    </row>
    <row r="4552" spans="3:3" ht="15" customHeight="1">
      <c r="C4552" s="70" t="str">
        <f t="shared" si="72"/>
        <v/>
      </c>
    </row>
    <row r="4553" spans="3:3" ht="15" customHeight="1">
      <c r="C4553" s="70" t="str">
        <f t="shared" si="72"/>
        <v/>
      </c>
    </row>
    <row r="4554" spans="3:3" ht="15" customHeight="1">
      <c r="C4554" s="70" t="str">
        <f t="shared" si="72"/>
        <v/>
      </c>
    </row>
    <row r="4555" spans="3:3" ht="15" customHeight="1">
      <c r="C4555" s="70" t="str">
        <f t="shared" si="72"/>
        <v/>
      </c>
    </row>
    <row r="4556" spans="3:3" ht="15" customHeight="1">
      <c r="C4556" s="70" t="str">
        <f t="shared" si="72"/>
        <v/>
      </c>
    </row>
    <row r="4557" spans="3:3" ht="15" customHeight="1">
      <c r="C4557" s="70" t="str">
        <f t="shared" si="72"/>
        <v/>
      </c>
    </row>
    <row r="4558" spans="3:3" ht="15" customHeight="1">
      <c r="C4558" s="70" t="str">
        <f t="shared" si="72"/>
        <v/>
      </c>
    </row>
    <row r="4559" spans="3:3" ht="15" customHeight="1">
      <c r="C4559" s="70" t="str">
        <f t="shared" si="72"/>
        <v/>
      </c>
    </row>
    <row r="4560" spans="3:3" ht="15" customHeight="1">
      <c r="C4560" s="70" t="str">
        <f t="shared" si="72"/>
        <v/>
      </c>
    </row>
    <row r="4561" spans="3:3" ht="15" customHeight="1">
      <c r="C4561" s="70" t="str">
        <f t="shared" ref="C4561:C4624" si="73">IF(B4561&lt;&gt;"",TEXT(WEEKDAY(B4561),"dddd"),"")</f>
        <v/>
      </c>
    </row>
    <row r="4562" spans="3:3" ht="15" customHeight="1">
      <c r="C4562" s="70" t="str">
        <f t="shared" si="73"/>
        <v/>
      </c>
    </row>
    <row r="4563" spans="3:3" ht="15" customHeight="1">
      <c r="C4563" s="70" t="str">
        <f t="shared" si="73"/>
        <v/>
      </c>
    </row>
    <row r="4564" spans="3:3" ht="15" customHeight="1">
      <c r="C4564" s="70" t="str">
        <f t="shared" si="73"/>
        <v/>
      </c>
    </row>
    <row r="4565" spans="3:3" ht="15" customHeight="1">
      <c r="C4565" s="70" t="str">
        <f t="shared" si="73"/>
        <v/>
      </c>
    </row>
    <row r="4566" spans="3:3" ht="15" customHeight="1">
      <c r="C4566" s="70" t="str">
        <f t="shared" si="73"/>
        <v/>
      </c>
    </row>
    <row r="4567" spans="3:3" ht="15" customHeight="1">
      <c r="C4567" s="70" t="str">
        <f t="shared" si="73"/>
        <v/>
      </c>
    </row>
    <row r="4568" spans="3:3" ht="15" customHeight="1">
      <c r="C4568" s="70" t="str">
        <f t="shared" si="73"/>
        <v/>
      </c>
    </row>
    <row r="4569" spans="3:3" ht="15" customHeight="1">
      <c r="C4569" s="70" t="str">
        <f t="shared" si="73"/>
        <v/>
      </c>
    </row>
    <row r="4570" spans="3:3" ht="15" customHeight="1">
      <c r="C4570" s="70" t="str">
        <f t="shared" si="73"/>
        <v/>
      </c>
    </row>
    <row r="4571" spans="3:3" ht="15" customHeight="1">
      <c r="C4571" s="70" t="str">
        <f t="shared" si="73"/>
        <v/>
      </c>
    </row>
    <row r="4572" spans="3:3" ht="15" customHeight="1">
      <c r="C4572" s="70" t="str">
        <f t="shared" si="73"/>
        <v/>
      </c>
    </row>
    <row r="4573" spans="3:3" ht="15" customHeight="1">
      <c r="C4573" s="70" t="str">
        <f t="shared" si="73"/>
        <v/>
      </c>
    </row>
    <row r="4574" spans="3:3" ht="15" customHeight="1">
      <c r="C4574" s="70" t="str">
        <f t="shared" si="73"/>
        <v/>
      </c>
    </row>
    <row r="4575" spans="3:3" ht="15" customHeight="1">
      <c r="C4575" s="70" t="str">
        <f t="shared" si="73"/>
        <v/>
      </c>
    </row>
    <row r="4576" spans="3:3" ht="15" customHeight="1">
      <c r="C4576" s="70" t="str">
        <f t="shared" si="73"/>
        <v/>
      </c>
    </row>
    <row r="4577" spans="3:3" ht="15" customHeight="1">
      <c r="C4577" s="70" t="str">
        <f t="shared" si="73"/>
        <v/>
      </c>
    </row>
    <row r="4578" spans="3:3" ht="15" customHeight="1">
      <c r="C4578" s="70" t="str">
        <f t="shared" si="73"/>
        <v/>
      </c>
    </row>
    <row r="4579" spans="3:3" ht="15" customHeight="1">
      <c r="C4579" s="70" t="str">
        <f t="shared" si="73"/>
        <v/>
      </c>
    </row>
    <row r="4580" spans="3:3" ht="15" customHeight="1">
      <c r="C4580" s="70" t="str">
        <f t="shared" si="73"/>
        <v/>
      </c>
    </row>
    <row r="4581" spans="3:3" ht="15" customHeight="1">
      <c r="C4581" s="70" t="str">
        <f t="shared" si="73"/>
        <v/>
      </c>
    </row>
    <row r="4582" spans="3:3" ht="15" customHeight="1">
      <c r="C4582" s="70" t="str">
        <f t="shared" si="73"/>
        <v/>
      </c>
    </row>
    <row r="4583" spans="3:3" ht="15" customHeight="1">
      <c r="C4583" s="70" t="str">
        <f t="shared" si="73"/>
        <v/>
      </c>
    </row>
    <row r="4584" spans="3:3" ht="15" customHeight="1">
      <c r="C4584" s="70" t="str">
        <f t="shared" si="73"/>
        <v/>
      </c>
    </row>
    <row r="4585" spans="3:3" ht="15" customHeight="1">
      <c r="C4585" s="70" t="str">
        <f t="shared" si="73"/>
        <v/>
      </c>
    </row>
    <row r="4586" spans="3:3" ht="15" customHeight="1">
      <c r="C4586" s="70" t="str">
        <f t="shared" si="73"/>
        <v/>
      </c>
    </row>
    <row r="4587" spans="3:3" ht="15" customHeight="1">
      <c r="C4587" s="70" t="str">
        <f t="shared" si="73"/>
        <v/>
      </c>
    </row>
    <row r="4588" spans="3:3" ht="15" customHeight="1">
      <c r="C4588" s="70" t="str">
        <f t="shared" si="73"/>
        <v/>
      </c>
    </row>
    <row r="4589" spans="3:3" ht="15" customHeight="1">
      <c r="C4589" s="70" t="str">
        <f t="shared" si="73"/>
        <v/>
      </c>
    </row>
    <row r="4590" spans="3:3" ht="15" customHeight="1">
      <c r="C4590" s="70" t="str">
        <f t="shared" si="73"/>
        <v/>
      </c>
    </row>
    <row r="4591" spans="3:3" ht="15" customHeight="1">
      <c r="C4591" s="70" t="str">
        <f t="shared" si="73"/>
        <v/>
      </c>
    </row>
    <row r="4592" spans="3:3" ht="15" customHeight="1">
      <c r="C4592" s="70" t="str">
        <f t="shared" si="73"/>
        <v/>
      </c>
    </row>
    <row r="4593" spans="3:3" ht="15" customHeight="1">
      <c r="C4593" s="70" t="str">
        <f t="shared" si="73"/>
        <v/>
      </c>
    </row>
    <row r="4594" spans="3:3" ht="15" customHeight="1">
      <c r="C4594" s="70" t="str">
        <f t="shared" si="73"/>
        <v/>
      </c>
    </row>
    <row r="4595" spans="3:3" ht="15" customHeight="1">
      <c r="C4595" s="70" t="str">
        <f t="shared" si="73"/>
        <v/>
      </c>
    </row>
    <row r="4596" spans="3:3" ht="15" customHeight="1">
      <c r="C4596" s="70" t="str">
        <f t="shared" si="73"/>
        <v/>
      </c>
    </row>
    <row r="4597" spans="3:3" ht="15" customHeight="1">
      <c r="C4597" s="70" t="str">
        <f t="shared" si="73"/>
        <v/>
      </c>
    </row>
    <row r="4598" spans="3:3" ht="15" customHeight="1">
      <c r="C4598" s="70" t="str">
        <f t="shared" si="73"/>
        <v/>
      </c>
    </row>
    <row r="4599" spans="3:3" ht="15" customHeight="1">
      <c r="C4599" s="70" t="str">
        <f t="shared" si="73"/>
        <v/>
      </c>
    </row>
    <row r="4600" spans="3:3" ht="15" customHeight="1">
      <c r="C4600" s="70" t="str">
        <f t="shared" si="73"/>
        <v/>
      </c>
    </row>
    <row r="4601" spans="3:3" ht="15" customHeight="1">
      <c r="C4601" s="70" t="str">
        <f t="shared" si="73"/>
        <v/>
      </c>
    </row>
    <row r="4602" spans="3:3" ht="15" customHeight="1">
      <c r="C4602" s="70" t="str">
        <f t="shared" si="73"/>
        <v/>
      </c>
    </row>
    <row r="4603" spans="3:3" ht="15" customHeight="1">
      <c r="C4603" s="70" t="str">
        <f t="shared" si="73"/>
        <v/>
      </c>
    </row>
    <row r="4604" spans="3:3" ht="15" customHeight="1">
      <c r="C4604" s="70" t="str">
        <f t="shared" si="73"/>
        <v/>
      </c>
    </row>
    <row r="4605" spans="3:3" ht="15" customHeight="1">
      <c r="C4605" s="70" t="str">
        <f t="shared" si="73"/>
        <v/>
      </c>
    </row>
    <row r="4606" spans="3:3" ht="15" customHeight="1">
      <c r="C4606" s="70" t="str">
        <f t="shared" si="73"/>
        <v/>
      </c>
    </row>
    <row r="4607" spans="3:3" ht="15" customHeight="1">
      <c r="C4607" s="70" t="str">
        <f t="shared" si="73"/>
        <v/>
      </c>
    </row>
    <row r="4608" spans="3:3" ht="15" customHeight="1">
      <c r="C4608" s="70" t="str">
        <f t="shared" si="73"/>
        <v/>
      </c>
    </row>
    <row r="4609" spans="3:3" ht="15" customHeight="1">
      <c r="C4609" s="70" t="str">
        <f t="shared" si="73"/>
        <v/>
      </c>
    </row>
    <row r="4610" spans="3:3" ht="15" customHeight="1">
      <c r="C4610" s="70" t="str">
        <f t="shared" si="73"/>
        <v/>
      </c>
    </row>
    <row r="4611" spans="3:3" ht="15" customHeight="1">
      <c r="C4611" s="70" t="str">
        <f t="shared" si="73"/>
        <v/>
      </c>
    </row>
    <row r="4612" spans="3:3" ht="15" customHeight="1">
      <c r="C4612" s="70" t="str">
        <f t="shared" si="73"/>
        <v/>
      </c>
    </row>
    <row r="4613" spans="3:3" ht="15" customHeight="1">
      <c r="C4613" s="70" t="str">
        <f t="shared" si="73"/>
        <v/>
      </c>
    </row>
    <row r="4614" spans="3:3" ht="15" customHeight="1">
      <c r="C4614" s="70" t="str">
        <f t="shared" si="73"/>
        <v/>
      </c>
    </row>
    <row r="4615" spans="3:3" ht="15" customHeight="1">
      <c r="C4615" s="70" t="str">
        <f t="shared" si="73"/>
        <v/>
      </c>
    </row>
    <row r="4616" spans="3:3" ht="15" customHeight="1">
      <c r="C4616" s="70" t="str">
        <f t="shared" si="73"/>
        <v/>
      </c>
    </row>
    <row r="4617" spans="3:3" ht="15" customHeight="1">
      <c r="C4617" s="70" t="str">
        <f t="shared" si="73"/>
        <v/>
      </c>
    </row>
    <row r="4618" spans="3:3" ht="15" customHeight="1">
      <c r="C4618" s="70" t="str">
        <f t="shared" si="73"/>
        <v/>
      </c>
    </row>
    <row r="4619" spans="3:3" ht="15" customHeight="1">
      <c r="C4619" s="70" t="str">
        <f t="shared" si="73"/>
        <v/>
      </c>
    </row>
    <row r="4620" spans="3:3" ht="15" customHeight="1">
      <c r="C4620" s="70" t="str">
        <f t="shared" si="73"/>
        <v/>
      </c>
    </row>
    <row r="4621" spans="3:3" ht="15" customHeight="1">
      <c r="C4621" s="70" t="str">
        <f t="shared" si="73"/>
        <v/>
      </c>
    </row>
    <row r="4622" spans="3:3" ht="15" customHeight="1">
      <c r="C4622" s="70" t="str">
        <f t="shared" si="73"/>
        <v/>
      </c>
    </row>
    <row r="4623" spans="3:3" ht="15" customHeight="1">
      <c r="C4623" s="70" t="str">
        <f t="shared" si="73"/>
        <v/>
      </c>
    </row>
    <row r="4624" spans="3:3" ht="15" customHeight="1">
      <c r="C4624" s="70" t="str">
        <f t="shared" si="73"/>
        <v/>
      </c>
    </row>
    <row r="4625" spans="3:3" ht="15" customHeight="1">
      <c r="C4625" s="70" t="str">
        <f t="shared" ref="C4625:C4688" si="74">IF(B4625&lt;&gt;"",TEXT(WEEKDAY(B4625),"dddd"),"")</f>
        <v/>
      </c>
    </row>
    <row r="4626" spans="3:3" ht="15" customHeight="1">
      <c r="C4626" s="70" t="str">
        <f t="shared" si="74"/>
        <v/>
      </c>
    </row>
    <row r="4627" spans="3:3" ht="15" customHeight="1">
      <c r="C4627" s="70" t="str">
        <f t="shared" si="74"/>
        <v/>
      </c>
    </row>
    <row r="4628" spans="3:3" ht="15" customHeight="1">
      <c r="C4628" s="70" t="str">
        <f t="shared" si="74"/>
        <v/>
      </c>
    </row>
    <row r="4629" spans="3:3" ht="15" customHeight="1">
      <c r="C4629" s="70" t="str">
        <f t="shared" si="74"/>
        <v/>
      </c>
    </row>
    <row r="4630" spans="3:3" ht="15" customHeight="1">
      <c r="C4630" s="70" t="str">
        <f t="shared" si="74"/>
        <v/>
      </c>
    </row>
    <row r="4631" spans="3:3" ht="15" customHeight="1">
      <c r="C4631" s="70" t="str">
        <f t="shared" si="74"/>
        <v/>
      </c>
    </row>
    <row r="4632" spans="3:3" ht="15" customHeight="1">
      <c r="C4632" s="70" t="str">
        <f t="shared" si="74"/>
        <v/>
      </c>
    </row>
    <row r="4633" spans="3:3" ht="15" customHeight="1">
      <c r="C4633" s="70" t="str">
        <f t="shared" si="74"/>
        <v/>
      </c>
    </row>
    <row r="4634" spans="3:3" ht="15" customHeight="1">
      <c r="C4634" s="70" t="str">
        <f t="shared" si="74"/>
        <v/>
      </c>
    </row>
    <row r="4635" spans="3:3" ht="15" customHeight="1">
      <c r="C4635" s="70" t="str">
        <f t="shared" si="74"/>
        <v/>
      </c>
    </row>
    <row r="4636" spans="3:3" ht="15" customHeight="1">
      <c r="C4636" s="70" t="str">
        <f t="shared" si="74"/>
        <v/>
      </c>
    </row>
    <row r="4637" spans="3:3" ht="15" customHeight="1">
      <c r="C4637" s="70" t="str">
        <f t="shared" si="74"/>
        <v/>
      </c>
    </row>
    <row r="4638" spans="3:3" ht="15" customHeight="1">
      <c r="C4638" s="70" t="str">
        <f t="shared" si="74"/>
        <v/>
      </c>
    </row>
    <row r="4639" spans="3:3" ht="15" customHeight="1">
      <c r="C4639" s="70" t="str">
        <f t="shared" si="74"/>
        <v/>
      </c>
    </row>
    <row r="4640" spans="3:3" ht="15" customHeight="1">
      <c r="C4640" s="70" t="str">
        <f t="shared" si="74"/>
        <v/>
      </c>
    </row>
    <row r="4641" spans="3:3" ht="15" customHeight="1">
      <c r="C4641" s="70" t="str">
        <f t="shared" si="74"/>
        <v/>
      </c>
    </row>
    <row r="4642" spans="3:3" ht="15" customHeight="1">
      <c r="C4642" s="70" t="str">
        <f t="shared" si="74"/>
        <v/>
      </c>
    </row>
    <row r="4643" spans="3:3" ht="15" customHeight="1">
      <c r="C4643" s="70" t="str">
        <f t="shared" si="74"/>
        <v/>
      </c>
    </row>
    <row r="4644" spans="3:3" ht="15" customHeight="1">
      <c r="C4644" s="70" t="str">
        <f t="shared" si="74"/>
        <v/>
      </c>
    </row>
    <row r="4645" spans="3:3" ht="15" customHeight="1">
      <c r="C4645" s="70" t="str">
        <f t="shared" si="74"/>
        <v/>
      </c>
    </row>
    <row r="4646" spans="3:3" ht="15" customHeight="1">
      <c r="C4646" s="70" t="str">
        <f t="shared" si="74"/>
        <v/>
      </c>
    </row>
    <row r="4647" spans="3:3" ht="15" customHeight="1">
      <c r="C4647" s="70" t="str">
        <f t="shared" si="74"/>
        <v/>
      </c>
    </row>
    <row r="4648" spans="3:3" ht="15" customHeight="1">
      <c r="C4648" s="70" t="str">
        <f t="shared" si="74"/>
        <v/>
      </c>
    </row>
    <row r="4649" spans="3:3" ht="15" customHeight="1">
      <c r="C4649" s="70" t="str">
        <f t="shared" si="74"/>
        <v/>
      </c>
    </row>
    <row r="4650" spans="3:3" ht="15" customHeight="1">
      <c r="C4650" s="70" t="str">
        <f t="shared" si="74"/>
        <v/>
      </c>
    </row>
    <row r="4651" spans="3:3" ht="15" customHeight="1">
      <c r="C4651" s="70" t="str">
        <f t="shared" si="74"/>
        <v/>
      </c>
    </row>
    <row r="4652" spans="3:3" ht="15" customHeight="1">
      <c r="C4652" s="70" t="str">
        <f t="shared" si="74"/>
        <v/>
      </c>
    </row>
    <row r="4653" spans="3:3" ht="15" customHeight="1">
      <c r="C4653" s="70" t="str">
        <f t="shared" si="74"/>
        <v/>
      </c>
    </row>
    <row r="4654" spans="3:3" ht="15" customHeight="1">
      <c r="C4654" s="70" t="str">
        <f t="shared" si="74"/>
        <v/>
      </c>
    </row>
    <row r="4655" spans="3:3" ht="15" customHeight="1">
      <c r="C4655" s="70" t="str">
        <f t="shared" si="74"/>
        <v/>
      </c>
    </row>
    <row r="4656" spans="3:3" ht="15" customHeight="1">
      <c r="C4656" s="70" t="str">
        <f t="shared" si="74"/>
        <v/>
      </c>
    </row>
    <row r="4657" spans="3:3" ht="15" customHeight="1">
      <c r="C4657" s="70" t="str">
        <f t="shared" si="74"/>
        <v/>
      </c>
    </row>
    <row r="4658" spans="3:3" ht="15" customHeight="1">
      <c r="C4658" s="70" t="str">
        <f t="shared" si="74"/>
        <v/>
      </c>
    </row>
    <row r="4659" spans="3:3" ht="15" customHeight="1">
      <c r="C4659" s="70" t="str">
        <f t="shared" si="74"/>
        <v/>
      </c>
    </row>
    <row r="4660" spans="3:3" ht="15" customHeight="1">
      <c r="C4660" s="70" t="str">
        <f t="shared" si="74"/>
        <v/>
      </c>
    </row>
    <row r="4661" spans="3:3" ht="15" customHeight="1">
      <c r="C4661" s="70" t="str">
        <f t="shared" si="74"/>
        <v/>
      </c>
    </row>
    <row r="4662" spans="3:3" ht="15" customHeight="1">
      <c r="C4662" s="70" t="str">
        <f t="shared" si="74"/>
        <v/>
      </c>
    </row>
    <row r="4663" spans="3:3" ht="15" customHeight="1">
      <c r="C4663" s="70" t="str">
        <f t="shared" si="74"/>
        <v/>
      </c>
    </row>
    <row r="4664" spans="3:3" ht="15" customHeight="1">
      <c r="C4664" s="70" t="str">
        <f t="shared" si="74"/>
        <v/>
      </c>
    </row>
    <row r="4665" spans="3:3" ht="15" customHeight="1">
      <c r="C4665" s="70" t="str">
        <f t="shared" si="74"/>
        <v/>
      </c>
    </row>
    <row r="4666" spans="3:3" ht="15" customHeight="1">
      <c r="C4666" s="70" t="str">
        <f t="shared" si="74"/>
        <v/>
      </c>
    </row>
    <row r="4667" spans="3:3" ht="15" customHeight="1">
      <c r="C4667" s="70" t="str">
        <f t="shared" si="74"/>
        <v/>
      </c>
    </row>
    <row r="4668" spans="3:3" ht="15" customHeight="1">
      <c r="C4668" s="70" t="str">
        <f t="shared" si="74"/>
        <v/>
      </c>
    </row>
    <row r="4669" spans="3:3" ht="15" customHeight="1">
      <c r="C4669" s="70" t="str">
        <f t="shared" si="74"/>
        <v/>
      </c>
    </row>
    <row r="4670" spans="3:3" ht="15" customHeight="1">
      <c r="C4670" s="70" t="str">
        <f t="shared" si="74"/>
        <v/>
      </c>
    </row>
    <row r="4671" spans="3:3" ht="15" customHeight="1">
      <c r="C4671" s="70" t="str">
        <f t="shared" si="74"/>
        <v/>
      </c>
    </row>
    <row r="4672" spans="3:3" ht="15" customHeight="1">
      <c r="C4672" s="70" t="str">
        <f t="shared" si="74"/>
        <v/>
      </c>
    </row>
    <row r="4673" spans="3:3" ht="15" customHeight="1">
      <c r="C4673" s="70" t="str">
        <f t="shared" si="74"/>
        <v/>
      </c>
    </row>
    <row r="4674" spans="3:3" ht="15" customHeight="1">
      <c r="C4674" s="70" t="str">
        <f t="shared" si="74"/>
        <v/>
      </c>
    </row>
    <row r="4675" spans="3:3" ht="15" customHeight="1">
      <c r="C4675" s="70" t="str">
        <f t="shared" si="74"/>
        <v/>
      </c>
    </row>
    <row r="4676" spans="3:3" ht="15" customHeight="1">
      <c r="C4676" s="70" t="str">
        <f t="shared" si="74"/>
        <v/>
      </c>
    </row>
    <row r="4677" spans="3:3" ht="15" customHeight="1">
      <c r="C4677" s="70" t="str">
        <f t="shared" si="74"/>
        <v/>
      </c>
    </row>
    <row r="4678" spans="3:3" ht="15" customHeight="1">
      <c r="C4678" s="70" t="str">
        <f t="shared" si="74"/>
        <v/>
      </c>
    </row>
    <row r="4679" spans="3:3" ht="15" customHeight="1">
      <c r="C4679" s="70" t="str">
        <f t="shared" si="74"/>
        <v/>
      </c>
    </row>
    <row r="4680" spans="3:3" ht="15" customHeight="1">
      <c r="C4680" s="70" t="str">
        <f t="shared" si="74"/>
        <v/>
      </c>
    </row>
    <row r="4681" spans="3:3" ht="15" customHeight="1">
      <c r="C4681" s="70" t="str">
        <f t="shared" si="74"/>
        <v/>
      </c>
    </row>
    <row r="4682" spans="3:3" ht="15" customHeight="1">
      <c r="C4682" s="70" t="str">
        <f t="shared" si="74"/>
        <v/>
      </c>
    </row>
    <row r="4683" spans="3:3" ht="15" customHeight="1">
      <c r="C4683" s="70" t="str">
        <f t="shared" si="74"/>
        <v/>
      </c>
    </row>
    <row r="4684" spans="3:3" ht="15" customHeight="1">
      <c r="C4684" s="70" t="str">
        <f t="shared" si="74"/>
        <v/>
      </c>
    </row>
    <row r="4685" spans="3:3" ht="15" customHeight="1">
      <c r="C4685" s="70" t="str">
        <f t="shared" si="74"/>
        <v/>
      </c>
    </row>
    <row r="4686" spans="3:3" ht="15" customHeight="1">
      <c r="C4686" s="70" t="str">
        <f t="shared" si="74"/>
        <v/>
      </c>
    </row>
    <row r="4687" spans="3:3" ht="15" customHeight="1">
      <c r="C4687" s="70" t="str">
        <f t="shared" si="74"/>
        <v/>
      </c>
    </row>
    <row r="4688" spans="3:3" ht="15" customHeight="1">
      <c r="C4688" s="70" t="str">
        <f t="shared" si="74"/>
        <v/>
      </c>
    </row>
    <row r="4689" spans="3:3" ht="15" customHeight="1">
      <c r="C4689" s="70" t="str">
        <f t="shared" ref="C4689:C4752" si="75">IF(B4689&lt;&gt;"",TEXT(WEEKDAY(B4689),"dddd"),"")</f>
        <v/>
      </c>
    </row>
    <row r="4690" spans="3:3" ht="15" customHeight="1">
      <c r="C4690" s="70" t="str">
        <f t="shared" si="75"/>
        <v/>
      </c>
    </row>
    <row r="4691" spans="3:3" ht="15" customHeight="1">
      <c r="C4691" s="70" t="str">
        <f t="shared" si="75"/>
        <v/>
      </c>
    </row>
    <row r="4692" spans="3:3" ht="15" customHeight="1">
      <c r="C4692" s="70" t="str">
        <f t="shared" si="75"/>
        <v/>
      </c>
    </row>
    <row r="4693" spans="3:3" ht="15" customHeight="1">
      <c r="C4693" s="70" t="str">
        <f t="shared" si="75"/>
        <v/>
      </c>
    </row>
    <row r="4694" spans="3:3" ht="15" customHeight="1">
      <c r="C4694" s="70" t="str">
        <f t="shared" si="75"/>
        <v/>
      </c>
    </row>
    <row r="4695" spans="3:3" ht="15" customHeight="1">
      <c r="C4695" s="70" t="str">
        <f t="shared" si="75"/>
        <v/>
      </c>
    </row>
    <row r="4696" spans="3:3" ht="15" customHeight="1">
      <c r="C4696" s="70" t="str">
        <f t="shared" si="75"/>
        <v/>
      </c>
    </row>
    <row r="4697" spans="3:3" ht="15" customHeight="1">
      <c r="C4697" s="70" t="str">
        <f t="shared" si="75"/>
        <v/>
      </c>
    </row>
    <row r="4698" spans="3:3" ht="15" customHeight="1">
      <c r="C4698" s="70" t="str">
        <f t="shared" si="75"/>
        <v/>
      </c>
    </row>
    <row r="4699" spans="3:3" ht="15" customHeight="1">
      <c r="C4699" s="70" t="str">
        <f t="shared" si="75"/>
        <v/>
      </c>
    </row>
    <row r="4700" spans="3:3" ht="15" customHeight="1">
      <c r="C4700" s="70" t="str">
        <f t="shared" si="75"/>
        <v/>
      </c>
    </row>
    <row r="4701" spans="3:3" ht="15" customHeight="1">
      <c r="C4701" s="70" t="str">
        <f t="shared" si="75"/>
        <v/>
      </c>
    </row>
    <row r="4702" spans="3:3" ht="15" customHeight="1">
      <c r="C4702" s="70" t="str">
        <f t="shared" si="75"/>
        <v/>
      </c>
    </row>
    <row r="4703" spans="3:3" ht="15" customHeight="1">
      <c r="C4703" s="70" t="str">
        <f t="shared" si="75"/>
        <v/>
      </c>
    </row>
    <row r="4704" spans="3:3" ht="15" customHeight="1">
      <c r="C4704" s="70" t="str">
        <f t="shared" si="75"/>
        <v/>
      </c>
    </row>
    <row r="4705" spans="3:3" ht="15" customHeight="1">
      <c r="C4705" s="70" t="str">
        <f t="shared" si="75"/>
        <v/>
      </c>
    </row>
    <row r="4706" spans="3:3" ht="15" customHeight="1">
      <c r="C4706" s="70" t="str">
        <f t="shared" si="75"/>
        <v/>
      </c>
    </row>
    <row r="4707" spans="3:3" ht="15" customHeight="1">
      <c r="C4707" s="70" t="str">
        <f t="shared" si="75"/>
        <v/>
      </c>
    </row>
    <row r="4708" spans="3:3" ht="15" customHeight="1">
      <c r="C4708" s="70" t="str">
        <f t="shared" si="75"/>
        <v/>
      </c>
    </row>
    <row r="4709" spans="3:3" ht="15" customHeight="1">
      <c r="C4709" s="70" t="str">
        <f t="shared" si="75"/>
        <v/>
      </c>
    </row>
    <row r="4710" spans="3:3" ht="15" customHeight="1">
      <c r="C4710" s="70" t="str">
        <f t="shared" si="75"/>
        <v/>
      </c>
    </row>
    <row r="4711" spans="3:3" ht="15" customHeight="1">
      <c r="C4711" s="70" t="str">
        <f t="shared" si="75"/>
        <v/>
      </c>
    </row>
    <row r="4712" spans="3:3" ht="15" customHeight="1">
      <c r="C4712" s="70" t="str">
        <f t="shared" si="75"/>
        <v/>
      </c>
    </row>
    <row r="4713" spans="3:3" ht="15" customHeight="1">
      <c r="C4713" s="70" t="str">
        <f t="shared" si="75"/>
        <v/>
      </c>
    </row>
    <row r="4714" spans="3:3" ht="15" customHeight="1">
      <c r="C4714" s="70" t="str">
        <f t="shared" si="75"/>
        <v/>
      </c>
    </row>
    <row r="4715" spans="3:3" ht="15" customHeight="1">
      <c r="C4715" s="70" t="str">
        <f t="shared" si="75"/>
        <v/>
      </c>
    </row>
    <row r="4716" spans="3:3" ht="15" customHeight="1">
      <c r="C4716" s="70" t="str">
        <f t="shared" si="75"/>
        <v/>
      </c>
    </row>
    <row r="4717" spans="3:3" ht="15" customHeight="1">
      <c r="C4717" s="70" t="str">
        <f t="shared" si="75"/>
        <v/>
      </c>
    </row>
    <row r="4718" spans="3:3" ht="15" customHeight="1">
      <c r="C4718" s="70" t="str">
        <f t="shared" si="75"/>
        <v/>
      </c>
    </row>
    <row r="4719" spans="3:3" ht="15" customHeight="1">
      <c r="C4719" s="70" t="str">
        <f t="shared" si="75"/>
        <v/>
      </c>
    </row>
    <row r="4720" spans="3:3" ht="15" customHeight="1">
      <c r="C4720" s="70" t="str">
        <f t="shared" si="75"/>
        <v/>
      </c>
    </row>
    <row r="4721" spans="3:3" ht="15" customHeight="1">
      <c r="C4721" s="70" t="str">
        <f t="shared" si="75"/>
        <v/>
      </c>
    </row>
    <row r="4722" spans="3:3" ht="15" customHeight="1">
      <c r="C4722" s="70" t="str">
        <f t="shared" si="75"/>
        <v/>
      </c>
    </row>
    <row r="4723" spans="3:3" ht="15" customHeight="1">
      <c r="C4723" s="70" t="str">
        <f t="shared" si="75"/>
        <v/>
      </c>
    </row>
    <row r="4724" spans="3:3" ht="15" customHeight="1">
      <c r="C4724" s="70" t="str">
        <f t="shared" si="75"/>
        <v/>
      </c>
    </row>
    <row r="4725" spans="3:3" ht="15" customHeight="1">
      <c r="C4725" s="70" t="str">
        <f t="shared" si="75"/>
        <v/>
      </c>
    </row>
    <row r="4726" spans="3:3" ht="15" customHeight="1">
      <c r="C4726" s="70" t="str">
        <f t="shared" si="75"/>
        <v/>
      </c>
    </row>
    <row r="4727" spans="3:3" ht="15" customHeight="1">
      <c r="C4727" s="70" t="str">
        <f t="shared" si="75"/>
        <v/>
      </c>
    </row>
    <row r="4728" spans="3:3" ht="15" customHeight="1">
      <c r="C4728" s="70" t="str">
        <f t="shared" si="75"/>
        <v/>
      </c>
    </row>
    <row r="4729" spans="3:3" ht="15" customHeight="1">
      <c r="C4729" s="70" t="str">
        <f t="shared" si="75"/>
        <v/>
      </c>
    </row>
    <row r="4730" spans="3:3" ht="15" customHeight="1">
      <c r="C4730" s="70" t="str">
        <f t="shared" si="75"/>
        <v/>
      </c>
    </row>
    <row r="4731" spans="3:3" ht="15" customHeight="1">
      <c r="C4731" s="70" t="str">
        <f t="shared" si="75"/>
        <v/>
      </c>
    </row>
    <row r="4732" spans="3:3" ht="15" customHeight="1">
      <c r="C4732" s="70" t="str">
        <f t="shared" si="75"/>
        <v/>
      </c>
    </row>
    <row r="4733" spans="3:3" ht="15" customHeight="1">
      <c r="C4733" s="70" t="str">
        <f t="shared" si="75"/>
        <v/>
      </c>
    </row>
    <row r="4734" spans="3:3" ht="15" customHeight="1">
      <c r="C4734" s="70" t="str">
        <f t="shared" si="75"/>
        <v/>
      </c>
    </row>
    <row r="4735" spans="3:3" ht="15" customHeight="1">
      <c r="C4735" s="70" t="str">
        <f t="shared" si="75"/>
        <v/>
      </c>
    </row>
    <row r="4736" spans="3:3" ht="15" customHeight="1">
      <c r="C4736" s="70" t="str">
        <f t="shared" si="75"/>
        <v/>
      </c>
    </row>
    <row r="4737" spans="3:3" ht="15" customHeight="1">
      <c r="C4737" s="70" t="str">
        <f t="shared" si="75"/>
        <v/>
      </c>
    </row>
    <row r="4738" spans="3:3" ht="15" customHeight="1">
      <c r="C4738" s="70" t="str">
        <f t="shared" si="75"/>
        <v/>
      </c>
    </row>
    <row r="4739" spans="3:3" ht="15" customHeight="1">
      <c r="C4739" s="70" t="str">
        <f t="shared" si="75"/>
        <v/>
      </c>
    </row>
    <row r="4740" spans="3:3" ht="15" customHeight="1">
      <c r="C4740" s="70" t="str">
        <f t="shared" si="75"/>
        <v/>
      </c>
    </row>
    <row r="4741" spans="3:3" ht="15" customHeight="1">
      <c r="C4741" s="70" t="str">
        <f t="shared" si="75"/>
        <v/>
      </c>
    </row>
    <row r="4742" spans="3:3" ht="15" customHeight="1">
      <c r="C4742" s="70" t="str">
        <f t="shared" si="75"/>
        <v/>
      </c>
    </row>
    <row r="4743" spans="3:3" ht="15" customHeight="1">
      <c r="C4743" s="70" t="str">
        <f t="shared" si="75"/>
        <v/>
      </c>
    </row>
    <row r="4744" spans="3:3" ht="15" customHeight="1">
      <c r="C4744" s="70" t="str">
        <f t="shared" si="75"/>
        <v/>
      </c>
    </row>
    <row r="4745" spans="3:3" ht="15" customHeight="1">
      <c r="C4745" s="70" t="str">
        <f t="shared" si="75"/>
        <v/>
      </c>
    </row>
    <row r="4746" spans="3:3" ht="15" customHeight="1">
      <c r="C4746" s="70" t="str">
        <f t="shared" si="75"/>
        <v/>
      </c>
    </row>
    <row r="4747" spans="3:3" ht="15" customHeight="1">
      <c r="C4747" s="70" t="str">
        <f t="shared" si="75"/>
        <v/>
      </c>
    </row>
    <row r="4748" spans="3:3" ht="15" customHeight="1">
      <c r="C4748" s="70" t="str">
        <f t="shared" si="75"/>
        <v/>
      </c>
    </row>
    <row r="4749" spans="3:3" ht="15" customHeight="1">
      <c r="C4749" s="70" t="str">
        <f t="shared" si="75"/>
        <v/>
      </c>
    </row>
    <row r="4750" spans="3:3" ht="15" customHeight="1">
      <c r="C4750" s="70" t="str">
        <f t="shared" si="75"/>
        <v/>
      </c>
    </row>
    <row r="4751" spans="3:3" ht="15" customHeight="1">
      <c r="C4751" s="70" t="str">
        <f t="shared" si="75"/>
        <v/>
      </c>
    </row>
    <row r="4752" spans="3:3" ht="15" customHeight="1">
      <c r="C4752" s="70" t="str">
        <f t="shared" si="75"/>
        <v/>
      </c>
    </row>
    <row r="4753" spans="3:3" ht="15" customHeight="1">
      <c r="C4753" s="70" t="str">
        <f t="shared" ref="C4753:C4816" si="76">IF(B4753&lt;&gt;"",TEXT(WEEKDAY(B4753),"dddd"),"")</f>
        <v/>
      </c>
    </row>
    <row r="4754" spans="3:3" ht="15" customHeight="1">
      <c r="C4754" s="70" t="str">
        <f t="shared" si="76"/>
        <v/>
      </c>
    </row>
    <row r="4755" spans="3:3" ht="15" customHeight="1">
      <c r="C4755" s="70" t="str">
        <f t="shared" si="76"/>
        <v/>
      </c>
    </row>
    <row r="4756" spans="3:3" ht="15" customHeight="1">
      <c r="C4756" s="70" t="str">
        <f t="shared" si="76"/>
        <v/>
      </c>
    </row>
    <row r="4757" spans="3:3" ht="15" customHeight="1">
      <c r="C4757" s="70" t="str">
        <f t="shared" si="76"/>
        <v/>
      </c>
    </row>
    <row r="4758" spans="3:3" ht="15" customHeight="1">
      <c r="C4758" s="70" t="str">
        <f t="shared" si="76"/>
        <v/>
      </c>
    </row>
    <row r="4759" spans="3:3" ht="15" customHeight="1">
      <c r="C4759" s="70" t="str">
        <f t="shared" si="76"/>
        <v/>
      </c>
    </row>
    <row r="4760" spans="3:3" ht="15" customHeight="1">
      <c r="C4760" s="70" t="str">
        <f t="shared" si="76"/>
        <v/>
      </c>
    </row>
    <row r="4761" spans="3:3" ht="15" customHeight="1">
      <c r="C4761" s="70" t="str">
        <f t="shared" si="76"/>
        <v/>
      </c>
    </row>
    <row r="4762" spans="3:3" ht="15" customHeight="1">
      <c r="C4762" s="70" t="str">
        <f t="shared" si="76"/>
        <v/>
      </c>
    </row>
    <row r="4763" spans="3:3" ht="15" customHeight="1">
      <c r="C4763" s="70" t="str">
        <f t="shared" si="76"/>
        <v/>
      </c>
    </row>
    <row r="4764" spans="3:3" ht="15" customHeight="1">
      <c r="C4764" s="70" t="str">
        <f t="shared" si="76"/>
        <v/>
      </c>
    </row>
    <row r="4765" spans="3:3" ht="15" customHeight="1">
      <c r="C4765" s="70" t="str">
        <f t="shared" si="76"/>
        <v/>
      </c>
    </row>
    <row r="4766" spans="3:3" ht="15" customHeight="1">
      <c r="C4766" s="70" t="str">
        <f t="shared" si="76"/>
        <v/>
      </c>
    </row>
    <row r="4767" spans="3:3" ht="15" customHeight="1">
      <c r="C4767" s="70" t="str">
        <f t="shared" si="76"/>
        <v/>
      </c>
    </row>
    <row r="4768" spans="3:3" ht="15" customHeight="1">
      <c r="C4768" s="70" t="str">
        <f t="shared" si="76"/>
        <v/>
      </c>
    </row>
    <row r="4769" spans="3:3" ht="15" customHeight="1">
      <c r="C4769" s="70" t="str">
        <f t="shared" si="76"/>
        <v/>
      </c>
    </row>
    <row r="4770" spans="3:3" ht="15" customHeight="1">
      <c r="C4770" s="70" t="str">
        <f t="shared" si="76"/>
        <v/>
      </c>
    </row>
    <row r="4771" spans="3:3" ht="15" customHeight="1">
      <c r="C4771" s="70" t="str">
        <f t="shared" si="76"/>
        <v/>
      </c>
    </row>
    <row r="4772" spans="3:3" ht="15" customHeight="1">
      <c r="C4772" s="70" t="str">
        <f t="shared" si="76"/>
        <v/>
      </c>
    </row>
    <row r="4773" spans="3:3" ht="15" customHeight="1">
      <c r="C4773" s="70" t="str">
        <f t="shared" si="76"/>
        <v/>
      </c>
    </row>
    <row r="4774" spans="3:3" ht="15" customHeight="1">
      <c r="C4774" s="70" t="str">
        <f t="shared" si="76"/>
        <v/>
      </c>
    </row>
    <row r="4775" spans="3:3" ht="15" customHeight="1">
      <c r="C4775" s="70" t="str">
        <f t="shared" si="76"/>
        <v/>
      </c>
    </row>
    <row r="4776" spans="3:3" ht="15" customHeight="1">
      <c r="C4776" s="70" t="str">
        <f t="shared" si="76"/>
        <v/>
      </c>
    </row>
    <row r="4777" spans="3:3" ht="15" customHeight="1">
      <c r="C4777" s="70" t="str">
        <f t="shared" si="76"/>
        <v/>
      </c>
    </row>
    <row r="4778" spans="3:3" ht="15" customHeight="1">
      <c r="C4778" s="70" t="str">
        <f t="shared" si="76"/>
        <v/>
      </c>
    </row>
    <row r="4779" spans="3:3" ht="15" customHeight="1">
      <c r="C4779" s="70" t="str">
        <f t="shared" si="76"/>
        <v/>
      </c>
    </row>
    <row r="4780" spans="3:3" ht="15" customHeight="1">
      <c r="C4780" s="70" t="str">
        <f t="shared" si="76"/>
        <v/>
      </c>
    </row>
    <row r="4781" spans="3:3" ht="15" customHeight="1">
      <c r="C4781" s="70" t="str">
        <f t="shared" si="76"/>
        <v/>
      </c>
    </row>
    <row r="4782" spans="3:3" ht="15" customHeight="1">
      <c r="C4782" s="70" t="str">
        <f t="shared" si="76"/>
        <v/>
      </c>
    </row>
    <row r="4783" spans="3:3" ht="15" customHeight="1">
      <c r="C4783" s="70" t="str">
        <f t="shared" si="76"/>
        <v/>
      </c>
    </row>
    <row r="4784" spans="3:3" ht="15" customHeight="1">
      <c r="C4784" s="70" t="str">
        <f t="shared" si="76"/>
        <v/>
      </c>
    </row>
    <row r="4785" spans="3:3" ht="15" customHeight="1">
      <c r="C4785" s="70" t="str">
        <f t="shared" si="76"/>
        <v/>
      </c>
    </row>
    <row r="4786" spans="3:3" ht="15" customHeight="1">
      <c r="C4786" s="70" t="str">
        <f t="shared" si="76"/>
        <v/>
      </c>
    </row>
    <row r="4787" spans="3:3" ht="15" customHeight="1">
      <c r="C4787" s="70" t="str">
        <f t="shared" si="76"/>
        <v/>
      </c>
    </row>
    <row r="4788" spans="3:3" ht="15" customHeight="1">
      <c r="C4788" s="70" t="str">
        <f t="shared" si="76"/>
        <v/>
      </c>
    </row>
    <row r="4789" spans="3:3" ht="15" customHeight="1">
      <c r="C4789" s="70" t="str">
        <f t="shared" si="76"/>
        <v/>
      </c>
    </row>
    <row r="4790" spans="3:3" ht="15" customHeight="1">
      <c r="C4790" s="70" t="str">
        <f t="shared" si="76"/>
        <v/>
      </c>
    </row>
    <row r="4791" spans="3:3" ht="15" customHeight="1">
      <c r="C4791" s="70" t="str">
        <f t="shared" si="76"/>
        <v/>
      </c>
    </row>
    <row r="4792" spans="3:3" ht="15" customHeight="1">
      <c r="C4792" s="70" t="str">
        <f t="shared" si="76"/>
        <v/>
      </c>
    </row>
    <row r="4793" spans="3:3" ht="15" customHeight="1">
      <c r="C4793" s="70" t="str">
        <f t="shared" si="76"/>
        <v/>
      </c>
    </row>
    <row r="4794" spans="3:3" ht="15" customHeight="1">
      <c r="C4794" s="70" t="str">
        <f t="shared" si="76"/>
        <v/>
      </c>
    </row>
    <row r="4795" spans="3:3" ht="15" customHeight="1">
      <c r="C4795" s="70" t="str">
        <f t="shared" si="76"/>
        <v/>
      </c>
    </row>
    <row r="4796" spans="3:3" ht="15" customHeight="1">
      <c r="C4796" s="70" t="str">
        <f t="shared" si="76"/>
        <v/>
      </c>
    </row>
    <row r="4797" spans="3:3" ht="15" customHeight="1">
      <c r="C4797" s="70" t="str">
        <f t="shared" si="76"/>
        <v/>
      </c>
    </row>
    <row r="4798" spans="3:3" ht="15" customHeight="1">
      <c r="C4798" s="70" t="str">
        <f t="shared" si="76"/>
        <v/>
      </c>
    </row>
    <row r="4799" spans="3:3" ht="15" customHeight="1">
      <c r="C4799" s="70" t="str">
        <f t="shared" si="76"/>
        <v/>
      </c>
    </row>
    <row r="4800" spans="3:3" ht="15" customHeight="1">
      <c r="C4800" s="70" t="str">
        <f t="shared" si="76"/>
        <v/>
      </c>
    </row>
    <row r="4801" spans="3:3" ht="15" customHeight="1">
      <c r="C4801" s="70" t="str">
        <f t="shared" si="76"/>
        <v/>
      </c>
    </row>
    <row r="4802" spans="3:3" ht="15" customHeight="1">
      <c r="C4802" s="70" t="str">
        <f t="shared" si="76"/>
        <v/>
      </c>
    </row>
    <row r="4803" spans="3:3" ht="15" customHeight="1">
      <c r="C4803" s="70" t="str">
        <f t="shared" si="76"/>
        <v/>
      </c>
    </row>
    <row r="4804" spans="3:3" ht="15" customHeight="1">
      <c r="C4804" s="70" t="str">
        <f t="shared" si="76"/>
        <v/>
      </c>
    </row>
    <row r="4805" spans="3:3" ht="15" customHeight="1">
      <c r="C4805" s="70" t="str">
        <f t="shared" si="76"/>
        <v/>
      </c>
    </row>
    <row r="4806" spans="3:3" ht="15" customHeight="1">
      <c r="C4806" s="70" t="str">
        <f t="shared" si="76"/>
        <v/>
      </c>
    </row>
    <row r="4807" spans="3:3" ht="15" customHeight="1">
      <c r="C4807" s="70" t="str">
        <f t="shared" si="76"/>
        <v/>
      </c>
    </row>
    <row r="4808" spans="3:3" ht="15" customHeight="1">
      <c r="C4808" s="70" t="str">
        <f t="shared" si="76"/>
        <v/>
      </c>
    </row>
    <row r="4809" spans="3:3" ht="15" customHeight="1">
      <c r="C4809" s="70" t="str">
        <f t="shared" si="76"/>
        <v/>
      </c>
    </row>
    <row r="4810" spans="3:3" ht="15" customHeight="1">
      <c r="C4810" s="70" t="str">
        <f t="shared" si="76"/>
        <v/>
      </c>
    </row>
    <row r="4811" spans="3:3" ht="15" customHeight="1">
      <c r="C4811" s="70" t="str">
        <f t="shared" si="76"/>
        <v/>
      </c>
    </row>
    <row r="4812" spans="3:3" ht="15" customHeight="1">
      <c r="C4812" s="70" t="str">
        <f t="shared" si="76"/>
        <v/>
      </c>
    </row>
    <row r="4813" spans="3:3" ht="15" customHeight="1">
      <c r="C4813" s="70" t="str">
        <f t="shared" si="76"/>
        <v/>
      </c>
    </row>
    <row r="4814" spans="3:3" ht="15" customHeight="1">
      <c r="C4814" s="70" t="str">
        <f t="shared" si="76"/>
        <v/>
      </c>
    </row>
    <row r="4815" spans="3:3" ht="15" customHeight="1">
      <c r="C4815" s="70" t="str">
        <f t="shared" si="76"/>
        <v/>
      </c>
    </row>
    <row r="4816" spans="3:3" ht="15" customHeight="1">
      <c r="C4816" s="70" t="str">
        <f t="shared" si="76"/>
        <v/>
      </c>
    </row>
    <row r="4817" spans="3:3" ht="15" customHeight="1">
      <c r="C4817" s="70" t="str">
        <f t="shared" ref="C4817:C4880" si="77">IF(B4817&lt;&gt;"",TEXT(WEEKDAY(B4817),"dddd"),"")</f>
        <v/>
      </c>
    </row>
    <row r="4818" spans="3:3" ht="15" customHeight="1">
      <c r="C4818" s="70" t="str">
        <f t="shared" si="77"/>
        <v/>
      </c>
    </row>
    <row r="4819" spans="3:3" ht="15" customHeight="1">
      <c r="C4819" s="70" t="str">
        <f t="shared" si="77"/>
        <v/>
      </c>
    </row>
    <row r="4820" spans="3:3" ht="15" customHeight="1">
      <c r="C4820" s="70" t="str">
        <f t="shared" si="77"/>
        <v/>
      </c>
    </row>
    <row r="4821" spans="3:3" ht="15" customHeight="1">
      <c r="C4821" s="70" t="str">
        <f t="shared" si="77"/>
        <v/>
      </c>
    </row>
    <row r="4822" spans="3:3" ht="15" customHeight="1">
      <c r="C4822" s="70" t="str">
        <f t="shared" si="77"/>
        <v/>
      </c>
    </row>
    <row r="4823" spans="3:3" ht="15" customHeight="1">
      <c r="C4823" s="70" t="str">
        <f t="shared" si="77"/>
        <v/>
      </c>
    </row>
    <row r="4824" spans="3:3" ht="15" customHeight="1">
      <c r="C4824" s="70" t="str">
        <f t="shared" si="77"/>
        <v/>
      </c>
    </row>
    <row r="4825" spans="3:3" ht="15" customHeight="1">
      <c r="C4825" s="70" t="str">
        <f t="shared" si="77"/>
        <v/>
      </c>
    </row>
    <row r="4826" spans="3:3" ht="15" customHeight="1">
      <c r="C4826" s="70" t="str">
        <f t="shared" si="77"/>
        <v/>
      </c>
    </row>
    <row r="4827" spans="3:3" ht="15" customHeight="1">
      <c r="C4827" s="70" t="str">
        <f t="shared" si="77"/>
        <v/>
      </c>
    </row>
    <row r="4828" spans="3:3" ht="15" customHeight="1">
      <c r="C4828" s="70" t="str">
        <f t="shared" si="77"/>
        <v/>
      </c>
    </row>
    <row r="4829" spans="3:3" ht="15" customHeight="1">
      <c r="C4829" s="70" t="str">
        <f t="shared" si="77"/>
        <v/>
      </c>
    </row>
    <row r="4830" spans="3:3" ht="15" customHeight="1">
      <c r="C4830" s="70" t="str">
        <f t="shared" si="77"/>
        <v/>
      </c>
    </row>
    <row r="4831" spans="3:3" ht="15" customHeight="1">
      <c r="C4831" s="70" t="str">
        <f t="shared" si="77"/>
        <v/>
      </c>
    </row>
    <row r="4832" spans="3:3" ht="15" customHeight="1">
      <c r="C4832" s="70" t="str">
        <f t="shared" si="77"/>
        <v/>
      </c>
    </row>
    <row r="4833" spans="3:3" ht="15" customHeight="1">
      <c r="C4833" s="70" t="str">
        <f t="shared" si="77"/>
        <v/>
      </c>
    </row>
    <row r="4834" spans="3:3" ht="15" customHeight="1">
      <c r="C4834" s="70" t="str">
        <f t="shared" si="77"/>
        <v/>
      </c>
    </row>
    <row r="4835" spans="3:3" ht="15" customHeight="1">
      <c r="C4835" s="70" t="str">
        <f t="shared" si="77"/>
        <v/>
      </c>
    </row>
    <row r="4836" spans="3:3" ht="15" customHeight="1">
      <c r="C4836" s="70" t="str">
        <f t="shared" si="77"/>
        <v/>
      </c>
    </row>
    <row r="4837" spans="3:3" ht="15" customHeight="1">
      <c r="C4837" s="70" t="str">
        <f t="shared" si="77"/>
        <v/>
      </c>
    </row>
    <row r="4838" spans="3:3" ht="15" customHeight="1">
      <c r="C4838" s="70" t="str">
        <f t="shared" si="77"/>
        <v/>
      </c>
    </row>
    <row r="4839" spans="3:3" ht="15" customHeight="1">
      <c r="C4839" s="70" t="str">
        <f t="shared" si="77"/>
        <v/>
      </c>
    </row>
    <row r="4840" spans="3:3" ht="15" customHeight="1">
      <c r="C4840" s="70" t="str">
        <f t="shared" si="77"/>
        <v/>
      </c>
    </row>
    <row r="4841" spans="3:3" ht="15" customHeight="1">
      <c r="C4841" s="70" t="str">
        <f t="shared" si="77"/>
        <v/>
      </c>
    </row>
    <row r="4842" spans="3:3" ht="15" customHeight="1">
      <c r="C4842" s="70" t="str">
        <f t="shared" si="77"/>
        <v/>
      </c>
    </row>
    <row r="4843" spans="3:3" ht="15" customHeight="1">
      <c r="C4843" s="70" t="str">
        <f t="shared" si="77"/>
        <v/>
      </c>
    </row>
    <row r="4844" spans="3:3" ht="15" customHeight="1">
      <c r="C4844" s="70" t="str">
        <f t="shared" si="77"/>
        <v/>
      </c>
    </row>
    <row r="4845" spans="3:3" ht="15" customHeight="1">
      <c r="C4845" s="70" t="str">
        <f t="shared" si="77"/>
        <v/>
      </c>
    </row>
    <row r="4846" spans="3:3" ht="15" customHeight="1">
      <c r="C4846" s="70" t="str">
        <f t="shared" si="77"/>
        <v/>
      </c>
    </row>
    <row r="4847" spans="3:3" ht="15" customHeight="1">
      <c r="C4847" s="70" t="str">
        <f t="shared" si="77"/>
        <v/>
      </c>
    </row>
    <row r="4848" spans="3:3" ht="15" customHeight="1">
      <c r="C4848" s="70" t="str">
        <f t="shared" si="77"/>
        <v/>
      </c>
    </row>
    <row r="4849" spans="3:3" ht="15" customHeight="1">
      <c r="C4849" s="70" t="str">
        <f t="shared" si="77"/>
        <v/>
      </c>
    </row>
    <row r="4850" spans="3:3" ht="15" customHeight="1">
      <c r="C4850" s="70" t="str">
        <f t="shared" si="77"/>
        <v/>
      </c>
    </row>
    <row r="4851" spans="3:3" ht="15" customHeight="1">
      <c r="C4851" s="70" t="str">
        <f t="shared" si="77"/>
        <v/>
      </c>
    </row>
    <row r="4852" spans="3:3" ht="15" customHeight="1">
      <c r="C4852" s="70" t="str">
        <f t="shared" si="77"/>
        <v/>
      </c>
    </row>
    <row r="4853" spans="3:3" ht="15" customHeight="1">
      <c r="C4853" s="70" t="str">
        <f t="shared" si="77"/>
        <v/>
      </c>
    </row>
    <row r="4854" spans="3:3" ht="15" customHeight="1">
      <c r="C4854" s="70" t="str">
        <f t="shared" si="77"/>
        <v/>
      </c>
    </row>
    <row r="4855" spans="3:3" ht="15" customHeight="1">
      <c r="C4855" s="70" t="str">
        <f t="shared" si="77"/>
        <v/>
      </c>
    </row>
    <row r="4856" spans="3:3" ht="15" customHeight="1">
      <c r="C4856" s="70" t="str">
        <f t="shared" si="77"/>
        <v/>
      </c>
    </row>
    <row r="4857" spans="3:3" ht="15" customHeight="1">
      <c r="C4857" s="70" t="str">
        <f t="shared" si="77"/>
        <v/>
      </c>
    </row>
    <row r="4858" spans="3:3" ht="15" customHeight="1">
      <c r="C4858" s="70" t="str">
        <f t="shared" si="77"/>
        <v/>
      </c>
    </row>
    <row r="4859" spans="3:3" ht="15" customHeight="1">
      <c r="C4859" s="70" t="str">
        <f t="shared" si="77"/>
        <v/>
      </c>
    </row>
    <row r="4860" spans="3:3" ht="15" customHeight="1">
      <c r="C4860" s="70" t="str">
        <f t="shared" si="77"/>
        <v/>
      </c>
    </row>
    <row r="4861" spans="3:3" ht="15" customHeight="1">
      <c r="C4861" s="70" t="str">
        <f t="shared" si="77"/>
        <v/>
      </c>
    </row>
    <row r="4862" spans="3:3" ht="15" customHeight="1">
      <c r="C4862" s="70" t="str">
        <f t="shared" si="77"/>
        <v/>
      </c>
    </row>
    <row r="4863" spans="3:3" ht="15" customHeight="1">
      <c r="C4863" s="70" t="str">
        <f t="shared" si="77"/>
        <v/>
      </c>
    </row>
    <row r="4864" spans="3:3" ht="15" customHeight="1">
      <c r="C4864" s="70" t="str">
        <f t="shared" si="77"/>
        <v/>
      </c>
    </row>
    <row r="4865" spans="3:3" ht="15" customHeight="1">
      <c r="C4865" s="70" t="str">
        <f t="shared" si="77"/>
        <v/>
      </c>
    </row>
    <row r="4866" spans="3:3" ht="15" customHeight="1">
      <c r="C4866" s="70" t="str">
        <f t="shared" si="77"/>
        <v/>
      </c>
    </row>
    <row r="4867" spans="3:3" ht="15" customHeight="1">
      <c r="C4867" s="70" t="str">
        <f t="shared" si="77"/>
        <v/>
      </c>
    </row>
    <row r="4868" spans="3:3" ht="15" customHeight="1">
      <c r="C4868" s="70" t="str">
        <f t="shared" si="77"/>
        <v/>
      </c>
    </row>
    <row r="4869" spans="3:3" ht="15" customHeight="1">
      <c r="C4869" s="70" t="str">
        <f t="shared" si="77"/>
        <v/>
      </c>
    </row>
    <row r="4870" spans="3:3" ht="15" customHeight="1">
      <c r="C4870" s="70" t="str">
        <f t="shared" si="77"/>
        <v/>
      </c>
    </row>
    <row r="4871" spans="3:3" ht="15" customHeight="1">
      <c r="C4871" s="70" t="str">
        <f t="shared" si="77"/>
        <v/>
      </c>
    </row>
    <row r="4872" spans="3:3" ht="15" customHeight="1">
      <c r="C4872" s="70" t="str">
        <f t="shared" si="77"/>
        <v/>
      </c>
    </row>
    <row r="4873" spans="3:3" ht="15" customHeight="1">
      <c r="C4873" s="70" t="str">
        <f t="shared" si="77"/>
        <v/>
      </c>
    </row>
    <row r="4874" spans="3:3" ht="15" customHeight="1">
      <c r="C4874" s="70" t="str">
        <f t="shared" si="77"/>
        <v/>
      </c>
    </row>
    <row r="4875" spans="3:3" ht="15" customHeight="1">
      <c r="C4875" s="70" t="str">
        <f t="shared" si="77"/>
        <v/>
      </c>
    </row>
    <row r="4876" spans="3:3" ht="15" customHeight="1">
      <c r="C4876" s="70" t="str">
        <f t="shared" si="77"/>
        <v/>
      </c>
    </row>
    <row r="4877" spans="3:3" ht="15" customHeight="1">
      <c r="C4877" s="70" t="str">
        <f t="shared" si="77"/>
        <v/>
      </c>
    </row>
    <row r="4878" spans="3:3" ht="15" customHeight="1">
      <c r="C4878" s="70" t="str">
        <f t="shared" si="77"/>
        <v/>
      </c>
    </row>
    <row r="4879" spans="3:3" ht="15" customHeight="1">
      <c r="C4879" s="70" t="str">
        <f t="shared" si="77"/>
        <v/>
      </c>
    </row>
    <row r="4880" spans="3:3" ht="15" customHeight="1">
      <c r="C4880" s="70" t="str">
        <f t="shared" si="77"/>
        <v/>
      </c>
    </row>
    <row r="4881" spans="3:3" ht="15" customHeight="1">
      <c r="C4881" s="70" t="str">
        <f t="shared" ref="C4881:C4944" si="78">IF(B4881&lt;&gt;"",TEXT(WEEKDAY(B4881),"dddd"),"")</f>
        <v/>
      </c>
    </row>
    <row r="4882" spans="3:3" ht="15" customHeight="1">
      <c r="C4882" s="70" t="str">
        <f t="shared" si="78"/>
        <v/>
      </c>
    </row>
    <row r="4883" spans="3:3" ht="15" customHeight="1">
      <c r="C4883" s="70" t="str">
        <f t="shared" si="78"/>
        <v/>
      </c>
    </row>
    <row r="4884" spans="3:3" ht="15" customHeight="1">
      <c r="C4884" s="70" t="str">
        <f t="shared" si="78"/>
        <v/>
      </c>
    </row>
    <row r="4885" spans="3:3" ht="15" customHeight="1">
      <c r="C4885" s="70" t="str">
        <f t="shared" si="78"/>
        <v/>
      </c>
    </row>
    <row r="4886" spans="3:3" ht="15" customHeight="1">
      <c r="C4886" s="70" t="str">
        <f t="shared" si="78"/>
        <v/>
      </c>
    </row>
    <row r="4887" spans="3:3" ht="15" customHeight="1">
      <c r="C4887" s="70" t="str">
        <f t="shared" si="78"/>
        <v/>
      </c>
    </row>
    <row r="4888" spans="3:3" ht="15" customHeight="1">
      <c r="C4888" s="70" t="str">
        <f t="shared" si="78"/>
        <v/>
      </c>
    </row>
    <row r="4889" spans="3:3" ht="15" customHeight="1">
      <c r="C4889" s="70" t="str">
        <f t="shared" si="78"/>
        <v/>
      </c>
    </row>
    <row r="4890" spans="3:3" ht="15" customHeight="1">
      <c r="C4890" s="70" t="str">
        <f t="shared" si="78"/>
        <v/>
      </c>
    </row>
    <row r="4891" spans="3:3" ht="15" customHeight="1">
      <c r="C4891" s="70" t="str">
        <f t="shared" si="78"/>
        <v/>
      </c>
    </row>
    <row r="4892" spans="3:3" ht="15" customHeight="1">
      <c r="C4892" s="70" t="str">
        <f t="shared" si="78"/>
        <v/>
      </c>
    </row>
    <row r="4893" spans="3:3" ht="15" customHeight="1">
      <c r="C4893" s="70" t="str">
        <f t="shared" si="78"/>
        <v/>
      </c>
    </row>
    <row r="4894" spans="3:3" ht="15" customHeight="1">
      <c r="C4894" s="70" t="str">
        <f t="shared" si="78"/>
        <v/>
      </c>
    </row>
    <row r="4895" spans="3:3" ht="15" customHeight="1">
      <c r="C4895" s="70" t="str">
        <f t="shared" si="78"/>
        <v/>
      </c>
    </row>
    <row r="4896" spans="3:3" ht="15" customHeight="1">
      <c r="C4896" s="70" t="str">
        <f t="shared" si="78"/>
        <v/>
      </c>
    </row>
    <row r="4897" spans="3:3" ht="15" customHeight="1">
      <c r="C4897" s="70" t="str">
        <f t="shared" si="78"/>
        <v/>
      </c>
    </row>
    <row r="4898" spans="3:3" ht="15" customHeight="1">
      <c r="C4898" s="70" t="str">
        <f t="shared" si="78"/>
        <v/>
      </c>
    </row>
    <row r="4899" spans="3:3" ht="15" customHeight="1">
      <c r="C4899" s="70" t="str">
        <f t="shared" si="78"/>
        <v/>
      </c>
    </row>
    <row r="4900" spans="3:3" ht="15" customHeight="1">
      <c r="C4900" s="70" t="str">
        <f t="shared" si="78"/>
        <v/>
      </c>
    </row>
    <row r="4901" spans="3:3" ht="15" customHeight="1">
      <c r="C4901" s="70" t="str">
        <f t="shared" si="78"/>
        <v/>
      </c>
    </row>
    <row r="4902" spans="3:3" ht="15" customHeight="1">
      <c r="C4902" s="70" t="str">
        <f t="shared" si="78"/>
        <v/>
      </c>
    </row>
    <row r="4903" spans="3:3" ht="15" customHeight="1">
      <c r="C4903" s="70" t="str">
        <f t="shared" si="78"/>
        <v/>
      </c>
    </row>
    <row r="4904" spans="3:3" ht="15" customHeight="1">
      <c r="C4904" s="70" t="str">
        <f t="shared" si="78"/>
        <v/>
      </c>
    </row>
    <row r="4905" spans="3:3" ht="15" customHeight="1">
      <c r="C4905" s="70" t="str">
        <f t="shared" si="78"/>
        <v/>
      </c>
    </row>
    <row r="4906" spans="3:3" ht="15" customHeight="1">
      <c r="C4906" s="70" t="str">
        <f t="shared" si="78"/>
        <v/>
      </c>
    </row>
    <row r="4907" spans="3:3" ht="15" customHeight="1">
      <c r="C4907" s="70" t="str">
        <f t="shared" si="78"/>
        <v/>
      </c>
    </row>
    <row r="4908" spans="3:3" ht="15" customHeight="1">
      <c r="C4908" s="70" t="str">
        <f t="shared" si="78"/>
        <v/>
      </c>
    </row>
    <row r="4909" spans="3:3" ht="15" customHeight="1">
      <c r="C4909" s="70" t="str">
        <f t="shared" si="78"/>
        <v/>
      </c>
    </row>
    <row r="4910" spans="3:3" ht="15" customHeight="1">
      <c r="C4910" s="70" t="str">
        <f t="shared" si="78"/>
        <v/>
      </c>
    </row>
    <row r="4911" spans="3:3" ht="15" customHeight="1">
      <c r="C4911" s="70" t="str">
        <f t="shared" si="78"/>
        <v/>
      </c>
    </row>
    <row r="4912" spans="3:3" ht="15" customHeight="1">
      <c r="C4912" s="70" t="str">
        <f t="shared" si="78"/>
        <v/>
      </c>
    </row>
    <row r="4913" spans="3:3" ht="15" customHeight="1">
      <c r="C4913" s="70" t="str">
        <f t="shared" si="78"/>
        <v/>
      </c>
    </row>
    <row r="4914" spans="3:3" ht="15" customHeight="1">
      <c r="C4914" s="70" t="str">
        <f t="shared" si="78"/>
        <v/>
      </c>
    </row>
    <row r="4915" spans="3:3" ht="15" customHeight="1">
      <c r="C4915" s="70" t="str">
        <f t="shared" si="78"/>
        <v/>
      </c>
    </row>
    <row r="4916" spans="3:3" ht="15" customHeight="1">
      <c r="C4916" s="70" t="str">
        <f t="shared" si="78"/>
        <v/>
      </c>
    </row>
    <row r="4917" spans="3:3" ht="15" customHeight="1">
      <c r="C4917" s="70" t="str">
        <f t="shared" si="78"/>
        <v/>
      </c>
    </row>
    <row r="4918" spans="3:3" ht="15" customHeight="1">
      <c r="C4918" s="70" t="str">
        <f t="shared" si="78"/>
        <v/>
      </c>
    </row>
    <row r="4919" spans="3:3" ht="15" customHeight="1">
      <c r="C4919" s="70" t="str">
        <f t="shared" si="78"/>
        <v/>
      </c>
    </row>
    <row r="4920" spans="3:3" ht="15" customHeight="1">
      <c r="C4920" s="70" t="str">
        <f t="shared" si="78"/>
        <v/>
      </c>
    </row>
    <row r="4921" spans="3:3" ht="15" customHeight="1">
      <c r="C4921" s="70" t="str">
        <f t="shared" si="78"/>
        <v/>
      </c>
    </row>
    <row r="4922" spans="3:3" ht="15" customHeight="1">
      <c r="C4922" s="70" t="str">
        <f t="shared" si="78"/>
        <v/>
      </c>
    </row>
    <row r="4923" spans="3:3" ht="15" customHeight="1">
      <c r="C4923" s="70" t="str">
        <f t="shared" si="78"/>
        <v/>
      </c>
    </row>
    <row r="4924" spans="3:3" ht="15" customHeight="1">
      <c r="C4924" s="70" t="str">
        <f t="shared" si="78"/>
        <v/>
      </c>
    </row>
    <row r="4925" spans="3:3" ht="15" customHeight="1">
      <c r="C4925" s="70" t="str">
        <f t="shared" si="78"/>
        <v/>
      </c>
    </row>
    <row r="4926" spans="3:3" ht="15" customHeight="1">
      <c r="C4926" s="70" t="str">
        <f t="shared" si="78"/>
        <v/>
      </c>
    </row>
    <row r="4927" spans="3:3" ht="15" customHeight="1">
      <c r="C4927" s="70" t="str">
        <f t="shared" si="78"/>
        <v/>
      </c>
    </row>
    <row r="4928" spans="3:3" ht="15" customHeight="1">
      <c r="C4928" s="70" t="str">
        <f t="shared" si="78"/>
        <v/>
      </c>
    </row>
    <row r="4929" spans="3:3" ht="15" customHeight="1">
      <c r="C4929" s="70" t="str">
        <f t="shared" si="78"/>
        <v/>
      </c>
    </row>
    <row r="4930" spans="3:3" ht="15" customHeight="1">
      <c r="C4930" s="70" t="str">
        <f t="shared" si="78"/>
        <v/>
      </c>
    </row>
    <row r="4931" spans="3:3" ht="15" customHeight="1">
      <c r="C4931" s="70" t="str">
        <f t="shared" si="78"/>
        <v/>
      </c>
    </row>
    <row r="4932" spans="3:3" ht="15" customHeight="1">
      <c r="C4932" s="70" t="str">
        <f t="shared" si="78"/>
        <v/>
      </c>
    </row>
    <row r="4933" spans="3:3" ht="15" customHeight="1">
      <c r="C4933" s="70" t="str">
        <f t="shared" si="78"/>
        <v/>
      </c>
    </row>
    <row r="4934" spans="3:3" ht="15" customHeight="1">
      <c r="C4934" s="70" t="str">
        <f t="shared" si="78"/>
        <v/>
      </c>
    </row>
    <row r="4935" spans="3:3" ht="15" customHeight="1">
      <c r="C4935" s="70" t="str">
        <f t="shared" si="78"/>
        <v/>
      </c>
    </row>
    <row r="4936" spans="3:3" ht="15" customHeight="1">
      <c r="C4936" s="70" t="str">
        <f t="shared" si="78"/>
        <v/>
      </c>
    </row>
    <row r="4937" spans="3:3" ht="15" customHeight="1">
      <c r="C4937" s="70" t="str">
        <f t="shared" si="78"/>
        <v/>
      </c>
    </row>
    <row r="4938" spans="3:3" ht="15" customHeight="1">
      <c r="C4938" s="70" t="str">
        <f t="shared" si="78"/>
        <v/>
      </c>
    </row>
    <row r="4939" spans="3:3" ht="15" customHeight="1">
      <c r="C4939" s="70" t="str">
        <f t="shared" si="78"/>
        <v/>
      </c>
    </row>
    <row r="4940" spans="3:3" ht="15" customHeight="1">
      <c r="C4940" s="70" t="str">
        <f t="shared" si="78"/>
        <v/>
      </c>
    </row>
    <row r="4941" spans="3:3" ht="15" customHeight="1">
      <c r="C4941" s="70" t="str">
        <f t="shared" si="78"/>
        <v/>
      </c>
    </row>
    <row r="4942" spans="3:3" ht="15" customHeight="1">
      <c r="C4942" s="70" t="str">
        <f t="shared" si="78"/>
        <v/>
      </c>
    </row>
    <row r="4943" spans="3:3" ht="15" customHeight="1">
      <c r="C4943" s="70" t="str">
        <f t="shared" si="78"/>
        <v/>
      </c>
    </row>
    <row r="4944" spans="3:3" ht="15" customHeight="1">
      <c r="C4944" s="70" t="str">
        <f t="shared" si="78"/>
        <v/>
      </c>
    </row>
    <row r="4945" spans="3:3" ht="15" customHeight="1">
      <c r="C4945" s="70" t="str">
        <f t="shared" ref="C4945:C5008" si="79">IF(B4945&lt;&gt;"",TEXT(WEEKDAY(B4945),"dddd"),"")</f>
        <v/>
      </c>
    </row>
    <row r="4946" spans="3:3" ht="15" customHeight="1">
      <c r="C4946" s="70" t="str">
        <f t="shared" si="79"/>
        <v/>
      </c>
    </row>
    <row r="4947" spans="3:3" ht="15" customHeight="1">
      <c r="C4947" s="70" t="str">
        <f t="shared" si="79"/>
        <v/>
      </c>
    </row>
    <row r="4948" spans="3:3" ht="15" customHeight="1">
      <c r="C4948" s="70" t="str">
        <f t="shared" si="79"/>
        <v/>
      </c>
    </row>
    <row r="4949" spans="3:3" ht="15" customHeight="1">
      <c r="C4949" s="70" t="str">
        <f t="shared" si="79"/>
        <v/>
      </c>
    </row>
    <row r="4950" spans="3:3" ht="15" customHeight="1">
      <c r="C4950" s="70" t="str">
        <f t="shared" si="79"/>
        <v/>
      </c>
    </row>
    <row r="4951" spans="3:3" ht="15" customHeight="1">
      <c r="C4951" s="70" t="str">
        <f t="shared" si="79"/>
        <v/>
      </c>
    </row>
    <row r="4952" spans="3:3" ht="15" customHeight="1">
      <c r="C4952" s="70" t="str">
        <f t="shared" si="79"/>
        <v/>
      </c>
    </row>
    <row r="4953" spans="3:3" ht="15" customHeight="1">
      <c r="C4953" s="70" t="str">
        <f t="shared" si="79"/>
        <v/>
      </c>
    </row>
    <row r="4954" spans="3:3" ht="15" customHeight="1">
      <c r="C4954" s="70" t="str">
        <f t="shared" si="79"/>
        <v/>
      </c>
    </row>
    <row r="4955" spans="3:3" ht="15" customHeight="1">
      <c r="C4955" s="70" t="str">
        <f t="shared" si="79"/>
        <v/>
      </c>
    </row>
    <row r="4956" spans="3:3" ht="15" customHeight="1">
      <c r="C4956" s="70" t="str">
        <f t="shared" si="79"/>
        <v/>
      </c>
    </row>
    <row r="4957" spans="3:3" ht="15" customHeight="1">
      <c r="C4957" s="70" t="str">
        <f t="shared" si="79"/>
        <v/>
      </c>
    </row>
    <row r="4958" spans="3:3" ht="15" customHeight="1">
      <c r="C4958" s="70" t="str">
        <f t="shared" si="79"/>
        <v/>
      </c>
    </row>
    <row r="4959" spans="3:3" ht="15" customHeight="1">
      <c r="C4959" s="70" t="str">
        <f t="shared" si="79"/>
        <v/>
      </c>
    </row>
    <row r="4960" spans="3:3" ht="15" customHeight="1">
      <c r="C4960" s="70" t="str">
        <f t="shared" si="79"/>
        <v/>
      </c>
    </row>
    <row r="4961" spans="3:3" ht="15" customHeight="1">
      <c r="C4961" s="70" t="str">
        <f t="shared" si="79"/>
        <v/>
      </c>
    </row>
    <row r="4962" spans="3:3" ht="15" customHeight="1">
      <c r="C4962" s="70" t="str">
        <f t="shared" si="79"/>
        <v/>
      </c>
    </row>
    <row r="4963" spans="3:3" ht="15" customHeight="1">
      <c r="C4963" s="70" t="str">
        <f t="shared" si="79"/>
        <v/>
      </c>
    </row>
    <row r="4964" spans="3:3" ht="15" customHeight="1">
      <c r="C4964" s="70" t="str">
        <f t="shared" si="79"/>
        <v/>
      </c>
    </row>
    <row r="4965" spans="3:3" ht="15" customHeight="1">
      <c r="C4965" s="70" t="str">
        <f t="shared" si="79"/>
        <v/>
      </c>
    </row>
    <row r="4966" spans="3:3" ht="15" customHeight="1">
      <c r="C4966" s="70" t="str">
        <f t="shared" si="79"/>
        <v/>
      </c>
    </row>
    <row r="4967" spans="3:3" ht="15" customHeight="1">
      <c r="C4967" s="70" t="str">
        <f t="shared" si="79"/>
        <v/>
      </c>
    </row>
    <row r="4968" spans="3:3" ht="15" customHeight="1">
      <c r="C4968" s="70" t="str">
        <f t="shared" si="79"/>
        <v/>
      </c>
    </row>
    <row r="4969" spans="3:3" ht="15" customHeight="1">
      <c r="C4969" s="70" t="str">
        <f t="shared" si="79"/>
        <v/>
      </c>
    </row>
    <row r="4970" spans="3:3" ht="15" customHeight="1">
      <c r="C4970" s="70" t="str">
        <f t="shared" si="79"/>
        <v/>
      </c>
    </row>
    <row r="4971" spans="3:3" ht="15" customHeight="1">
      <c r="C4971" s="70" t="str">
        <f t="shared" si="79"/>
        <v/>
      </c>
    </row>
    <row r="4972" spans="3:3" ht="15" customHeight="1">
      <c r="C4972" s="70" t="str">
        <f t="shared" si="79"/>
        <v/>
      </c>
    </row>
    <row r="4973" spans="3:3" ht="15" customHeight="1">
      <c r="C4973" s="70" t="str">
        <f t="shared" si="79"/>
        <v/>
      </c>
    </row>
    <row r="4974" spans="3:3" ht="15" customHeight="1">
      <c r="C4974" s="70" t="str">
        <f t="shared" si="79"/>
        <v/>
      </c>
    </row>
    <row r="4975" spans="3:3" ht="15" customHeight="1">
      <c r="C4975" s="70" t="str">
        <f t="shared" si="79"/>
        <v/>
      </c>
    </row>
    <row r="4976" spans="3:3" ht="15" customHeight="1">
      <c r="C4976" s="70" t="str">
        <f t="shared" si="79"/>
        <v/>
      </c>
    </row>
    <row r="4977" spans="3:3" ht="15" customHeight="1">
      <c r="C4977" s="70" t="str">
        <f t="shared" si="79"/>
        <v/>
      </c>
    </row>
    <row r="4978" spans="3:3" ht="15" customHeight="1">
      <c r="C4978" s="70" t="str">
        <f t="shared" si="79"/>
        <v/>
      </c>
    </row>
    <row r="4979" spans="3:3" ht="15" customHeight="1">
      <c r="C4979" s="70" t="str">
        <f t="shared" si="79"/>
        <v/>
      </c>
    </row>
    <row r="4980" spans="3:3" ht="15" customHeight="1">
      <c r="C4980" s="70" t="str">
        <f t="shared" si="79"/>
        <v/>
      </c>
    </row>
    <row r="4981" spans="3:3" ht="15" customHeight="1">
      <c r="C4981" s="70" t="str">
        <f t="shared" si="79"/>
        <v/>
      </c>
    </row>
    <row r="4982" spans="3:3" ht="15" customHeight="1">
      <c r="C4982" s="70" t="str">
        <f t="shared" si="79"/>
        <v/>
      </c>
    </row>
    <row r="4983" spans="3:3" ht="15" customHeight="1">
      <c r="C4983" s="70" t="str">
        <f t="shared" si="79"/>
        <v/>
      </c>
    </row>
    <row r="4984" spans="3:3" ht="15" customHeight="1">
      <c r="C4984" s="70" t="str">
        <f t="shared" si="79"/>
        <v/>
      </c>
    </row>
    <row r="4985" spans="3:3" ht="15" customHeight="1">
      <c r="C4985" s="70" t="str">
        <f t="shared" si="79"/>
        <v/>
      </c>
    </row>
    <row r="4986" spans="3:3" ht="15" customHeight="1">
      <c r="C4986" s="70" t="str">
        <f t="shared" si="79"/>
        <v/>
      </c>
    </row>
    <row r="4987" spans="3:3" ht="15" customHeight="1">
      <c r="C4987" s="70" t="str">
        <f t="shared" si="79"/>
        <v/>
      </c>
    </row>
    <row r="4988" spans="3:3" ht="15" customHeight="1">
      <c r="C4988" s="70" t="str">
        <f t="shared" si="79"/>
        <v/>
      </c>
    </row>
    <row r="4989" spans="3:3" ht="15" customHeight="1">
      <c r="C4989" s="70" t="str">
        <f t="shared" si="79"/>
        <v/>
      </c>
    </row>
    <row r="4990" spans="3:3" ht="15" customHeight="1">
      <c r="C4990" s="70" t="str">
        <f t="shared" si="79"/>
        <v/>
      </c>
    </row>
    <row r="4991" spans="3:3" ht="15" customHeight="1">
      <c r="C4991" s="70" t="str">
        <f t="shared" si="79"/>
        <v/>
      </c>
    </row>
    <row r="4992" spans="3:3" ht="15" customHeight="1">
      <c r="C4992" s="70" t="str">
        <f t="shared" si="79"/>
        <v/>
      </c>
    </row>
    <row r="4993" spans="3:3" ht="15" customHeight="1">
      <c r="C4993" s="70" t="str">
        <f t="shared" si="79"/>
        <v/>
      </c>
    </row>
    <row r="4994" spans="3:3" ht="15" customHeight="1">
      <c r="C4994" s="70" t="str">
        <f t="shared" si="79"/>
        <v/>
      </c>
    </row>
    <row r="4995" spans="3:3" ht="15" customHeight="1">
      <c r="C4995" s="70" t="str">
        <f t="shared" si="79"/>
        <v/>
      </c>
    </row>
    <row r="4996" spans="3:3" ht="15" customHeight="1">
      <c r="C4996" s="70" t="str">
        <f t="shared" si="79"/>
        <v/>
      </c>
    </row>
    <row r="4997" spans="3:3" ht="15" customHeight="1">
      <c r="C4997" s="70" t="str">
        <f t="shared" si="79"/>
        <v/>
      </c>
    </row>
    <row r="4998" spans="3:3" ht="15" customHeight="1">
      <c r="C4998" s="70" t="str">
        <f t="shared" si="79"/>
        <v/>
      </c>
    </row>
    <row r="4999" spans="3:3" ht="15" customHeight="1">
      <c r="C4999" s="70" t="str">
        <f t="shared" si="79"/>
        <v/>
      </c>
    </row>
    <row r="5000" spans="3:3" ht="15" customHeight="1">
      <c r="C5000" s="70" t="str">
        <f t="shared" si="79"/>
        <v/>
      </c>
    </row>
    <row r="5001" spans="3:3" ht="15" customHeight="1">
      <c r="C5001" s="70" t="str">
        <f t="shared" si="79"/>
        <v/>
      </c>
    </row>
    <row r="5002" spans="3:3" ht="15" customHeight="1">
      <c r="C5002" s="70" t="str">
        <f t="shared" si="79"/>
        <v/>
      </c>
    </row>
    <row r="5003" spans="3:3" ht="15" customHeight="1">
      <c r="C5003" s="70" t="str">
        <f t="shared" si="79"/>
        <v/>
      </c>
    </row>
    <row r="5004" spans="3:3" ht="15" customHeight="1">
      <c r="C5004" s="70" t="str">
        <f t="shared" si="79"/>
        <v/>
      </c>
    </row>
    <row r="5005" spans="3:3" ht="15" customHeight="1">
      <c r="C5005" s="70" t="str">
        <f t="shared" si="79"/>
        <v/>
      </c>
    </row>
    <row r="5006" spans="3:3" ht="15" customHeight="1">
      <c r="C5006" s="70" t="str">
        <f t="shared" si="79"/>
        <v/>
      </c>
    </row>
    <row r="5007" spans="3:3" ht="15" customHeight="1">
      <c r="C5007" s="70" t="str">
        <f t="shared" si="79"/>
        <v/>
      </c>
    </row>
    <row r="5008" spans="3:3" ht="15" customHeight="1">
      <c r="C5008" s="70" t="str">
        <f t="shared" si="79"/>
        <v/>
      </c>
    </row>
    <row r="5009" spans="3:3" ht="15" customHeight="1">
      <c r="C5009" s="70" t="str">
        <f t="shared" ref="C5009:C5072" si="80">IF(B5009&lt;&gt;"",TEXT(WEEKDAY(B5009),"dddd"),"")</f>
        <v/>
      </c>
    </row>
    <row r="5010" spans="3:3" ht="15" customHeight="1">
      <c r="C5010" s="70" t="str">
        <f t="shared" si="80"/>
        <v/>
      </c>
    </row>
    <row r="5011" spans="3:3" ht="15" customHeight="1">
      <c r="C5011" s="70" t="str">
        <f t="shared" si="80"/>
        <v/>
      </c>
    </row>
    <row r="5012" spans="3:3" ht="15" customHeight="1">
      <c r="C5012" s="70" t="str">
        <f t="shared" si="80"/>
        <v/>
      </c>
    </row>
    <row r="5013" spans="3:3" ht="15" customHeight="1">
      <c r="C5013" s="70" t="str">
        <f t="shared" si="80"/>
        <v/>
      </c>
    </row>
    <row r="5014" spans="3:3" ht="15" customHeight="1">
      <c r="C5014" s="70" t="str">
        <f t="shared" si="80"/>
        <v/>
      </c>
    </row>
    <row r="5015" spans="3:3" ht="15" customHeight="1">
      <c r="C5015" s="70" t="str">
        <f t="shared" si="80"/>
        <v/>
      </c>
    </row>
    <row r="5016" spans="3:3" ht="15" customHeight="1">
      <c r="C5016" s="70" t="str">
        <f t="shared" si="80"/>
        <v/>
      </c>
    </row>
    <row r="5017" spans="3:3" ht="15" customHeight="1">
      <c r="C5017" s="70" t="str">
        <f t="shared" si="80"/>
        <v/>
      </c>
    </row>
    <row r="5018" spans="3:3" ht="15" customHeight="1">
      <c r="C5018" s="70" t="str">
        <f t="shared" si="80"/>
        <v/>
      </c>
    </row>
    <row r="5019" spans="3:3" ht="15" customHeight="1">
      <c r="C5019" s="70" t="str">
        <f t="shared" si="80"/>
        <v/>
      </c>
    </row>
    <row r="5020" spans="3:3" ht="15" customHeight="1">
      <c r="C5020" s="70" t="str">
        <f t="shared" si="80"/>
        <v/>
      </c>
    </row>
    <row r="5021" spans="3:3" ht="15" customHeight="1">
      <c r="C5021" s="70" t="str">
        <f t="shared" si="80"/>
        <v/>
      </c>
    </row>
    <row r="5022" spans="3:3" ht="15" customHeight="1">
      <c r="C5022" s="70" t="str">
        <f t="shared" si="80"/>
        <v/>
      </c>
    </row>
    <row r="5023" spans="3:3" ht="15" customHeight="1">
      <c r="C5023" s="70" t="str">
        <f t="shared" si="80"/>
        <v/>
      </c>
    </row>
    <row r="5024" spans="3:3" ht="15" customHeight="1">
      <c r="C5024" s="70" t="str">
        <f t="shared" si="80"/>
        <v/>
      </c>
    </row>
    <row r="5025" spans="3:3" ht="15" customHeight="1">
      <c r="C5025" s="70" t="str">
        <f t="shared" si="80"/>
        <v/>
      </c>
    </row>
    <row r="5026" spans="3:3" ht="15" customHeight="1">
      <c r="C5026" s="70" t="str">
        <f t="shared" si="80"/>
        <v/>
      </c>
    </row>
    <row r="5027" spans="3:3" ht="15" customHeight="1">
      <c r="C5027" s="70" t="str">
        <f t="shared" si="80"/>
        <v/>
      </c>
    </row>
    <row r="5028" spans="3:3" ht="15" customHeight="1">
      <c r="C5028" s="70" t="str">
        <f t="shared" si="80"/>
        <v/>
      </c>
    </row>
    <row r="5029" spans="3:3" ht="15" customHeight="1">
      <c r="C5029" s="70" t="str">
        <f t="shared" si="80"/>
        <v/>
      </c>
    </row>
    <row r="5030" spans="3:3" ht="15" customHeight="1">
      <c r="C5030" s="70" t="str">
        <f t="shared" si="80"/>
        <v/>
      </c>
    </row>
    <row r="5031" spans="3:3" ht="15" customHeight="1">
      <c r="C5031" s="70" t="str">
        <f t="shared" si="80"/>
        <v/>
      </c>
    </row>
    <row r="5032" spans="3:3" ht="15" customHeight="1">
      <c r="C5032" s="70" t="str">
        <f t="shared" si="80"/>
        <v/>
      </c>
    </row>
    <row r="5033" spans="3:3" ht="15" customHeight="1">
      <c r="C5033" s="70" t="str">
        <f t="shared" si="80"/>
        <v/>
      </c>
    </row>
    <row r="5034" spans="3:3" ht="15" customHeight="1">
      <c r="C5034" s="70" t="str">
        <f t="shared" si="80"/>
        <v/>
      </c>
    </row>
    <row r="5035" spans="3:3" ht="15" customHeight="1">
      <c r="C5035" s="70" t="str">
        <f t="shared" si="80"/>
        <v/>
      </c>
    </row>
    <row r="5036" spans="3:3" ht="15" customHeight="1">
      <c r="C5036" s="70" t="str">
        <f t="shared" si="80"/>
        <v/>
      </c>
    </row>
    <row r="5037" spans="3:3" ht="15" customHeight="1">
      <c r="C5037" s="70" t="str">
        <f t="shared" si="80"/>
        <v/>
      </c>
    </row>
    <row r="5038" spans="3:3" ht="15" customHeight="1">
      <c r="C5038" s="70" t="str">
        <f t="shared" si="80"/>
        <v/>
      </c>
    </row>
    <row r="5039" spans="3:3" ht="15" customHeight="1">
      <c r="C5039" s="70" t="str">
        <f t="shared" si="80"/>
        <v/>
      </c>
    </row>
    <row r="5040" spans="3:3" ht="15" customHeight="1">
      <c r="C5040" s="70" t="str">
        <f t="shared" si="80"/>
        <v/>
      </c>
    </row>
    <row r="5041" spans="3:3" ht="15" customHeight="1">
      <c r="C5041" s="70" t="str">
        <f t="shared" si="80"/>
        <v/>
      </c>
    </row>
    <row r="5042" spans="3:3" ht="15" customHeight="1">
      <c r="C5042" s="70" t="str">
        <f t="shared" si="80"/>
        <v/>
      </c>
    </row>
    <row r="5043" spans="3:3" ht="15" customHeight="1">
      <c r="C5043" s="70" t="str">
        <f t="shared" si="80"/>
        <v/>
      </c>
    </row>
    <row r="5044" spans="3:3" ht="15" customHeight="1">
      <c r="C5044" s="70" t="str">
        <f t="shared" si="80"/>
        <v/>
      </c>
    </row>
    <row r="5045" spans="3:3" ht="15" customHeight="1">
      <c r="C5045" s="70" t="str">
        <f t="shared" si="80"/>
        <v/>
      </c>
    </row>
    <row r="5046" spans="3:3" ht="15" customHeight="1">
      <c r="C5046" s="70" t="str">
        <f t="shared" si="80"/>
        <v/>
      </c>
    </row>
    <row r="5047" spans="3:3" ht="15" customHeight="1">
      <c r="C5047" s="70" t="str">
        <f t="shared" si="80"/>
        <v/>
      </c>
    </row>
    <row r="5048" spans="3:3" ht="15" customHeight="1">
      <c r="C5048" s="70" t="str">
        <f t="shared" si="80"/>
        <v/>
      </c>
    </row>
    <row r="5049" spans="3:3" ht="15" customHeight="1">
      <c r="C5049" s="70" t="str">
        <f t="shared" si="80"/>
        <v/>
      </c>
    </row>
    <row r="5050" spans="3:3" ht="15" customHeight="1">
      <c r="C5050" s="70" t="str">
        <f t="shared" si="80"/>
        <v/>
      </c>
    </row>
    <row r="5051" spans="3:3" ht="15" customHeight="1">
      <c r="C5051" s="70" t="str">
        <f t="shared" si="80"/>
        <v/>
      </c>
    </row>
    <row r="5052" spans="3:3" ht="15" customHeight="1">
      <c r="C5052" s="70" t="str">
        <f t="shared" si="80"/>
        <v/>
      </c>
    </row>
    <row r="5053" spans="3:3" ht="15" customHeight="1">
      <c r="C5053" s="70" t="str">
        <f t="shared" si="80"/>
        <v/>
      </c>
    </row>
    <row r="5054" spans="3:3" ht="15" customHeight="1">
      <c r="C5054" s="70" t="str">
        <f t="shared" si="80"/>
        <v/>
      </c>
    </row>
    <row r="5055" spans="3:3" ht="15" customHeight="1">
      <c r="C5055" s="70" t="str">
        <f t="shared" si="80"/>
        <v/>
      </c>
    </row>
    <row r="5056" spans="3:3" ht="15" customHeight="1">
      <c r="C5056" s="70" t="str">
        <f t="shared" si="80"/>
        <v/>
      </c>
    </row>
    <row r="5057" spans="3:3" ht="15" customHeight="1">
      <c r="C5057" s="70" t="str">
        <f t="shared" si="80"/>
        <v/>
      </c>
    </row>
    <row r="5058" spans="3:3" ht="15" customHeight="1">
      <c r="C5058" s="70" t="str">
        <f t="shared" si="80"/>
        <v/>
      </c>
    </row>
    <row r="5059" spans="3:3" ht="15" customHeight="1">
      <c r="C5059" s="70" t="str">
        <f t="shared" si="80"/>
        <v/>
      </c>
    </row>
    <row r="5060" spans="3:3" ht="15" customHeight="1">
      <c r="C5060" s="70" t="str">
        <f t="shared" si="80"/>
        <v/>
      </c>
    </row>
    <row r="5061" spans="3:3" ht="15" customHeight="1">
      <c r="C5061" s="70" t="str">
        <f t="shared" si="80"/>
        <v/>
      </c>
    </row>
    <row r="5062" spans="3:3" ht="15" customHeight="1">
      <c r="C5062" s="70" t="str">
        <f t="shared" si="80"/>
        <v/>
      </c>
    </row>
    <row r="5063" spans="3:3" ht="15" customHeight="1">
      <c r="C5063" s="70" t="str">
        <f t="shared" si="80"/>
        <v/>
      </c>
    </row>
    <row r="5064" spans="3:3" ht="15" customHeight="1">
      <c r="C5064" s="70" t="str">
        <f t="shared" si="80"/>
        <v/>
      </c>
    </row>
    <row r="5065" spans="3:3" ht="15" customHeight="1">
      <c r="C5065" s="70" t="str">
        <f t="shared" si="80"/>
        <v/>
      </c>
    </row>
    <row r="5066" spans="3:3" ht="15" customHeight="1">
      <c r="C5066" s="70" t="str">
        <f t="shared" si="80"/>
        <v/>
      </c>
    </row>
    <row r="5067" spans="3:3" ht="15" customHeight="1">
      <c r="C5067" s="70" t="str">
        <f t="shared" si="80"/>
        <v/>
      </c>
    </row>
    <row r="5068" spans="3:3" ht="15" customHeight="1">
      <c r="C5068" s="70" t="str">
        <f t="shared" si="80"/>
        <v/>
      </c>
    </row>
    <row r="5069" spans="3:3" ht="15" customHeight="1">
      <c r="C5069" s="70" t="str">
        <f t="shared" si="80"/>
        <v/>
      </c>
    </row>
    <row r="5070" spans="3:3" ht="15" customHeight="1">
      <c r="C5070" s="70" t="str">
        <f t="shared" si="80"/>
        <v/>
      </c>
    </row>
    <row r="5071" spans="3:3" ht="15" customHeight="1">
      <c r="C5071" s="70" t="str">
        <f t="shared" si="80"/>
        <v/>
      </c>
    </row>
    <row r="5072" spans="3:3" ht="15" customHeight="1">
      <c r="C5072" s="70" t="str">
        <f t="shared" si="80"/>
        <v/>
      </c>
    </row>
    <row r="5073" spans="3:3" ht="15" customHeight="1">
      <c r="C5073" s="70" t="str">
        <f t="shared" ref="C5073:C5136" si="81">IF(B5073&lt;&gt;"",TEXT(WEEKDAY(B5073),"dddd"),"")</f>
        <v/>
      </c>
    </row>
    <row r="5074" spans="3:3" ht="15" customHeight="1">
      <c r="C5074" s="70" t="str">
        <f t="shared" si="81"/>
        <v/>
      </c>
    </row>
    <row r="5075" spans="3:3" ht="15" customHeight="1">
      <c r="C5075" s="70" t="str">
        <f t="shared" si="81"/>
        <v/>
      </c>
    </row>
    <row r="5076" spans="3:3" ht="15" customHeight="1">
      <c r="C5076" s="70" t="str">
        <f t="shared" si="81"/>
        <v/>
      </c>
    </row>
    <row r="5077" spans="3:3" ht="15" customHeight="1">
      <c r="C5077" s="70" t="str">
        <f t="shared" si="81"/>
        <v/>
      </c>
    </row>
    <row r="5078" spans="3:3" ht="15" customHeight="1">
      <c r="C5078" s="70" t="str">
        <f t="shared" si="81"/>
        <v/>
      </c>
    </row>
    <row r="5079" spans="3:3" ht="15" customHeight="1">
      <c r="C5079" s="70" t="str">
        <f t="shared" si="81"/>
        <v/>
      </c>
    </row>
    <row r="5080" spans="3:3" ht="15" customHeight="1">
      <c r="C5080" s="70" t="str">
        <f t="shared" si="81"/>
        <v/>
      </c>
    </row>
    <row r="5081" spans="3:3" ht="15" customHeight="1">
      <c r="C5081" s="70" t="str">
        <f t="shared" si="81"/>
        <v/>
      </c>
    </row>
    <row r="5082" spans="3:3" ht="15" customHeight="1">
      <c r="C5082" s="70" t="str">
        <f t="shared" si="81"/>
        <v/>
      </c>
    </row>
    <row r="5083" spans="3:3" ht="15" customHeight="1">
      <c r="C5083" s="70" t="str">
        <f t="shared" si="81"/>
        <v/>
      </c>
    </row>
    <row r="5084" spans="3:3" ht="15" customHeight="1">
      <c r="C5084" s="70" t="str">
        <f t="shared" si="81"/>
        <v/>
      </c>
    </row>
    <row r="5085" spans="3:3" ht="15" customHeight="1">
      <c r="C5085" s="70" t="str">
        <f t="shared" si="81"/>
        <v/>
      </c>
    </row>
    <row r="5086" spans="3:3" ht="15" customHeight="1">
      <c r="C5086" s="70" t="str">
        <f t="shared" si="81"/>
        <v/>
      </c>
    </row>
    <row r="5087" spans="3:3" ht="15" customHeight="1">
      <c r="C5087" s="70" t="str">
        <f t="shared" si="81"/>
        <v/>
      </c>
    </row>
    <row r="5088" spans="3:3" ht="15" customHeight="1">
      <c r="C5088" s="70" t="str">
        <f t="shared" si="81"/>
        <v/>
      </c>
    </row>
    <row r="5089" spans="3:3" ht="15" customHeight="1">
      <c r="C5089" s="70" t="str">
        <f t="shared" si="81"/>
        <v/>
      </c>
    </row>
    <row r="5090" spans="3:3" ht="15" customHeight="1">
      <c r="C5090" s="70" t="str">
        <f t="shared" si="81"/>
        <v/>
      </c>
    </row>
    <row r="5091" spans="3:3" ht="15" customHeight="1">
      <c r="C5091" s="70" t="str">
        <f t="shared" si="81"/>
        <v/>
      </c>
    </row>
    <row r="5092" spans="3:3" ht="15" customHeight="1">
      <c r="C5092" s="70" t="str">
        <f t="shared" si="81"/>
        <v/>
      </c>
    </row>
    <row r="5093" spans="3:3" ht="15" customHeight="1">
      <c r="C5093" s="70" t="str">
        <f t="shared" si="81"/>
        <v/>
      </c>
    </row>
    <row r="5094" spans="3:3" ht="15" customHeight="1">
      <c r="C5094" s="70" t="str">
        <f t="shared" si="81"/>
        <v/>
      </c>
    </row>
    <row r="5095" spans="3:3" ht="15" customHeight="1">
      <c r="C5095" s="70" t="str">
        <f t="shared" si="81"/>
        <v/>
      </c>
    </row>
    <row r="5096" spans="3:3" ht="15" customHeight="1">
      <c r="C5096" s="70" t="str">
        <f t="shared" si="81"/>
        <v/>
      </c>
    </row>
    <row r="5097" spans="3:3" ht="15" customHeight="1">
      <c r="C5097" s="70" t="str">
        <f t="shared" si="81"/>
        <v/>
      </c>
    </row>
    <row r="5098" spans="3:3" ht="15" customHeight="1">
      <c r="C5098" s="70" t="str">
        <f t="shared" si="81"/>
        <v/>
      </c>
    </row>
    <row r="5099" spans="3:3" ht="15" customHeight="1">
      <c r="C5099" s="70" t="str">
        <f t="shared" si="81"/>
        <v/>
      </c>
    </row>
    <row r="5100" spans="3:3" ht="15" customHeight="1">
      <c r="C5100" s="70" t="str">
        <f t="shared" si="81"/>
        <v/>
      </c>
    </row>
    <row r="5101" spans="3:3" ht="15" customHeight="1">
      <c r="C5101" s="70" t="str">
        <f t="shared" si="81"/>
        <v/>
      </c>
    </row>
    <row r="5102" spans="3:3" ht="15" customHeight="1">
      <c r="C5102" s="70" t="str">
        <f t="shared" si="81"/>
        <v/>
      </c>
    </row>
    <row r="5103" spans="3:3" ht="15" customHeight="1">
      <c r="C5103" s="70" t="str">
        <f t="shared" si="81"/>
        <v/>
      </c>
    </row>
    <row r="5104" spans="3:3" ht="15" customHeight="1">
      <c r="C5104" s="70" t="str">
        <f t="shared" si="81"/>
        <v/>
      </c>
    </row>
    <row r="5105" spans="3:3" ht="15" customHeight="1">
      <c r="C5105" s="70" t="str">
        <f t="shared" si="81"/>
        <v/>
      </c>
    </row>
    <row r="5106" spans="3:3" ht="15" customHeight="1">
      <c r="C5106" s="70" t="str">
        <f t="shared" si="81"/>
        <v/>
      </c>
    </row>
    <row r="5107" spans="3:3" ht="15" customHeight="1">
      <c r="C5107" s="70" t="str">
        <f t="shared" si="81"/>
        <v/>
      </c>
    </row>
    <row r="5108" spans="3:3" ht="15" customHeight="1">
      <c r="C5108" s="70" t="str">
        <f t="shared" si="81"/>
        <v/>
      </c>
    </row>
    <row r="5109" spans="3:3" ht="15" customHeight="1">
      <c r="C5109" s="70" t="str">
        <f t="shared" si="81"/>
        <v/>
      </c>
    </row>
    <row r="5110" spans="3:3" ht="15" customHeight="1">
      <c r="C5110" s="70" t="str">
        <f t="shared" si="81"/>
        <v/>
      </c>
    </row>
    <row r="5111" spans="3:3" ht="15" customHeight="1">
      <c r="C5111" s="70" t="str">
        <f t="shared" si="81"/>
        <v/>
      </c>
    </row>
    <row r="5112" spans="3:3" ht="15" customHeight="1">
      <c r="C5112" s="70" t="str">
        <f t="shared" si="81"/>
        <v/>
      </c>
    </row>
    <row r="5113" spans="3:3" ht="15" customHeight="1">
      <c r="C5113" s="70" t="str">
        <f t="shared" si="81"/>
        <v/>
      </c>
    </row>
    <row r="5114" spans="3:3" ht="15" customHeight="1">
      <c r="C5114" s="70" t="str">
        <f t="shared" si="81"/>
        <v/>
      </c>
    </row>
    <row r="5115" spans="3:3" ht="15" customHeight="1">
      <c r="C5115" s="70" t="str">
        <f t="shared" si="81"/>
        <v/>
      </c>
    </row>
    <row r="5116" spans="3:3" ht="15" customHeight="1">
      <c r="C5116" s="70" t="str">
        <f t="shared" si="81"/>
        <v/>
      </c>
    </row>
    <row r="5117" spans="3:3" ht="15" customHeight="1">
      <c r="C5117" s="70" t="str">
        <f t="shared" si="81"/>
        <v/>
      </c>
    </row>
    <row r="5118" spans="3:3" ht="15" customHeight="1">
      <c r="C5118" s="70" t="str">
        <f t="shared" si="81"/>
        <v/>
      </c>
    </row>
    <row r="5119" spans="3:3" ht="15" customHeight="1">
      <c r="C5119" s="70" t="str">
        <f t="shared" si="81"/>
        <v/>
      </c>
    </row>
    <row r="5120" spans="3:3" ht="15" customHeight="1">
      <c r="C5120" s="70" t="str">
        <f t="shared" si="81"/>
        <v/>
      </c>
    </row>
    <row r="5121" spans="3:3" ht="15" customHeight="1">
      <c r="C5121" s="70" t="str">
        <f t="shared" si="81"/>
        <v/>
      </c>
    </row>
    <row r="5122" spans="3:3" ht="15" customHeight="1">
      <c r="C5122" s="70" t="str">
        <f t="shared" si="81"/>
        <v/>
      </c>
    </row>
    <row r="5123" spans="3:3" ht="15" customHeight="1">
      <c r="C5123" s="70" t="str">
        <f t="shared" si="81"/>
        <v/>
      </c>
    </row>
    <row r="5124" spans="3:3" ht="15" customHeight="1">
      <c r="C5124" s="70" t="str">
        <f t="shared" si="81"/>
        <v/>
      </c>
    </row>
    <row r="5125" spans="3:3" ht="15" customHeight="1">
      <c r="C5125" s="70" t="str">
        <f t="shared" si="81"/>
        <v/>
      </c>
    </row>
    <row r="5126" spans="3:3" ht="15" customHeight="1">
      <c r="C5126" s="70" t="str">
        <f t="shared" si="81"/>
        <v/>
      </c>
    </row>
    <row r="5127" spans="3:3" ht="15" customHeight="1">
      <c r="C5127" s="70" t="str">
        <f t="shared" si="81"/>
        <v/>
      </c>
    </row>
    <row r="5128" spans="3:3" ht="15" customHeight="1">
      <c r="C5128" s="70" t="str">
        <f t="shared" si="81"/>
        <v/>
      </c>
    </row>
    <row r="5129" spans="3:3" ht="15" customHeight="1">
      <c r="C5129" s="70" t="str">
        <f t="shared" si="81"/>
        <v/>
      </c>
    </row>
    <row r="5130" spans="3:3" ht="15" customHeight="1">
      <c r="C5130" s="70" t="str">
        <f t="shared" si="81"/>
        <v/>
      </c>
    </row>
    <row r="5131" spans="3:3" ht="15" customHeight="1">
      <c r="C5131" s="70" t="str">
        <f t="shared" si="81"/>
        <v/>
      </c>
    </row>
    <row r="5132" spans="3:3" ht="15" customHeight="1">
      <c r="C5132" s="70" t="str">
        <f t="shared" si="81"/>
        <v/>
      </c>
    </row>
    <row r="5133" spans="3:3" ht="15" customHeight="1">
      <c r="C5133" s="70" t="str">
        <f t="shared" si="81"/>
        <v/>
      </c>
    </row>
    <row r="5134" spans="3:3" ht="15" customHeight="1">
      <c r="C5134" s="70" t="str">
        <f t="shared" si="81"/>
        <v/>
      </c>
    </row>
    <row r="5135" spans="3:3" ht="15" customHeight="1">
      <c r="C5135" s="70" t="str">
        <f t="shared" si="81"/>
        <v/>
      </c>
    </row>
    <row r="5136" spans="3:3" ht="15" customHeight="1">
      <c r="C5136" s="70" t="str">
        <f t="shared" si="81"/>
        <v/>
      </c>
    </row>
    <row r="5137" spans="3:3" ht="15" customHeight="1">
      <c r="C5137" s="70" t="str">
        <f t="shared" ref="C5137:C5200" si="82">IF(B5137&lt;&gt;"",TEXT(WEEKDAY(B5137),"dddd"),"")</f>
        <v/>
      </c>
    </row>
    <row r="5138" spans="3:3" ht="15" customHeight="1">
      <c r="C5138" s="70" t="str">
        <f t="shared" si="82"/>
        <v/>
      </c>
    </row>
    <row r="5139" spans="3:3" ht="15" customHeight="1">
      <c r="C5139" s="70" t="str">
        <f t="shared" si="82"/>
        <v/>
      </c>
    </row>
    <row r="5140" spans="3:3" ht="15" customHeight="1">
      <c r="C5140" s="70" t="str">
        <f t="shared" si="82"/>
        <v/>
      </c>
    </row>
    <row r="5141" spans="3:3" ht="15" customHeight="1">
      <c r="C5141" s="70" t="str">
        <f t="shared" si="82"/>
        <v/>
      </c>
    </row>
    <row r="5142" spans="3:3" ht="15" customHeight="1">
      <c r="C5142" s="70" t="str">
        <f t="shared" si="82"/>
        <v/>
      </c>
    </row>
    <row r="5143" spans="3:3" ht="15" customHeight="1">
      <c r="C5143" s="70" t="str">
        <f t="shared" si="82"/>
        <v/>
      </c>
    </row>
    <row r="5144" spans="3:3" ht="15" customHeight="1">
      <c r="C5144" s="70" t="str">
        <f t="shared" si="82"/>
        <v/>
      </c>
    </row>
    <row r="5145" spans="3:3" ht="15" customHeight="1">
      <c r="C5145" s="70" t="str">
        <f t="shared" si="82"/>
        <v/>
      </c>
    </row>
    <row r="5146" spans="3:3" ht="15" customHeight="1">
      <c r="C5146" s="70" t="str">
        <f t="shared" si="82"/>
        <v/>
      </c>
    </row>
    <row r="5147" spans="3:3" ht="15" customHeight="1">
      <c r="C5147" s="70" t="str">
        <f t="shared" si="82"/>
        <v/>
      </c>
    </row>
    <row r="5148" spans="3:3" ht="15" customHeight="1">
      <c r="C5148" s="70" t="str">
        <f t="shared" si="82"/>
        <v/>
      </c>
    </row>
    <row r="5149" spans="3:3" ht="15" customHeight="1">
      <c r="C5149" s="70" t="str">
        <f t="shared" si="82"/>
        <v/>
      </c>
    </row>
    <row r="5150" spans="3:3" ht="15" customHeight="1">
      <c r="C5150" s="70" t="str">
        <f t="shared" si="82"/>
        <v/>
      </c>
    </row>
    <row r="5151" spans="3:3" ht="15" customHeight="1">
      <c r="C5151" s="70" t="str">
        <f t="shared" si="82"/>
        <v/>
      </c>
    </row>
    <row r="5152" spans="3:3" ht="15" customHeight="1">
      <c r="C5152" s="70" t="str">
        <f t="shared" si="82"/>
        <v/>
      </c>
    </row>
    <row r="5153" spans="3:3" ht="15" customHeight="1">
      <c r="C5153" s="70" t="str">
        <f t="shared" si="82"/>
        <v/>
      </c>
    </row>
    <row r="5154" spans="3:3" ht="15" customHeight="1">
      <c r="C5154" s="70" t="str">
        <f t="shared" si="82"/>
        <v/>
      </c>
    </row>
    <row r="5155" spans="3:3" ht="15" customHeight="1">
      <c r="C5155" s="70" t="str">
        <f t="shared" si="82"/>
        <v/>
      </c>
    </row>
    <row r="5156" spans="3:3" ht="15" customHeight="1">
      <c r="C5156" s="70" t="str">
        <f t="shared" si="82"/>
        <v/>
      </c>
    </row>
    <row r="5157" spans="3:3" ht="15" customHeight="1">
      <c r="C5157" s="70" t="str">
        <f t="shared" si="82"/>
        <v/>
      </c>
    </row>
    <row r="5158" spans="3:3" ht="15" customHeight="1">
      <c r="C5158" s="70" t="str">
        <f t="shared" si="82"/>
        <v/>
      </c>
    </row>
    <row r="5159" spans="3:3" ht="15" customHeight="1">
      <c r="C5159" s="70" t="str">
        <f t="shared" si="82"/>
        <v/>
      </c>
    </row>
    <row r="5160" spans="3:3" ht="15" customHeight="1">
      <c r="C5160" s="70" t="str">
        <f t="shared" si="82"/>
        <v/>
      </c>
    </row>
    <row r="5161" spans="3:3" ht="15" customHeight="1">
      <c r="C5161" s="70" t="str">
        <f t="shared" si="82"/>
        <v/>
      </c>
    </row>
    <row r="5162" spans="3:3" ht="15" customHeight="1">
      <c r="C5162" s="70" t="str">
        <f t="shared" si="82"/>
        <v/>
      </c>
    </row>
    <row r="5163" spans="3:3" ht="15" customHeight="1">
      <c r="C5163" s="70" t="str">
        <f t="shared" si="82"/>
        <v/>
      </c>
    </row>
    <row r="5164" spans="3:3" ht="15" customHeight="1">
      <c r="C5164" s="70" t="str">
        <f t="shared" si="82"/>
        <v/>
      </c>
    </row>
    <row r="5165" spans="3:3" ht="15" customHeight="1">
      <c r="C5165" s="70" t="str">
        <f t="shared" si="82"/>
        <v/>
      </c>
    </row>
    <row r="5166" spans="3:3" ht="15" customHeight="1">
      <c r="C5166" s="70" t="str">
        <f t="shared" si="82"/>
        <v/>
      </c>
    </row>
    <row r="5167" spans="3:3" ht="15" customHeight="1">
      <c r="C5167" s="70" t="str">
        <f t="shared" si="82"/>
        <v/>
      </c>
    </row>
    <row r="5168" spans="3:3" ht="15" customHeight="1">
      <c r="C5168" s="70" t="str">
        <f t="shared" si="82"/>
        <v/>
      </c>
    </row>
    <row r="5169" spans="3:3" ht="15" customHeight="1">
      <c r="C5169" s="70" t="str">
        <f t="shared" si="82"/>
        <v/>
      </c>
    </row>
    <row r="5170" spans="3:3" ht="15" customHeight="1">
      <c r="C5170" s="70" t="str">
        <f t="shared" si="82"/>
        <v/>
      </c>
    </row>
    <row r="5171" spans="3:3" ht="15" customHeight="1">
      <c r="C5171" s="70" t="str">
        <f t="shared" si="82"/>
        <v/>
      </c>
    </row>
    <row r="5172" spans="3:3" ht="15" customHeight="1">
      <c r="C5172" s="70" t="str">
        <f t="shared" si="82"/>
        <v/>
      </c>
    </row>
    <row r="5173" spans="3:3" ht="15" customHeight="1">
      <c r="C5173" s="70" t="str">
        <f t="shared" si="82"/>
        <v/>
      </c>
    </row>
    <row r="5174" spans="3:3" ht="15" customHeight="1">
      <c r="C5174" s="70" t="str">
        <f t="shared" si="82"/>
        <v/>
      </c>
    </row>
    <row r="5175" spans="3:3" ht="15" customHeight="1">
      <c r="C5175" s="70" t="str">
        <f t="shared" si="82"/>
        <v/>
      </c>
    </row>
    <row r="5176" spans="3:3" ht="15" customHeight="1">
      <c r="C5176" s="70" t="str">
        <f t="shared" si="82"/>
        <v/>
      </c>
    </row>
    <row r="5177" spans="3:3" ht="15" customHeight="1">
      <c r="C5177" s="70" t="str">
        <f t="shared" si="82"/>
        <v/>
      </c>
    </row>
    <row r="5178" spans="3:3" ht="15" customHeight="1">
      <c r="C5178" s="70" t="str">
        <f t="shared" si="82"/>
        <v/>
      </c>
    </row>
    <row r="5179" spans="3:3" ht="15" customHeight="1">
      <c r="C5179" s="70" t="str">
        <f t="shared" si="82"/>
        <v/>
      </c>
    </row>
    <row r="5180" spans="3:3" ht="15" customHeight="1">
      <c r="C5180" s="70" t="str">
        <f t="shared" si="82"/>
        <v/>
      </c>
    </row>
    <row r="5181" spans="3:3" ht="15" customHeight="1">
      <c r="C5181" s="70" t="str">
        <f t="shared" si="82"/>
        <v/>
      </c>
    </row>
    <row r="5182" spans="3:3" ht="15" customHeight="1">
      <c r="C5182" s="70" t="str">
        <f t="shared" si="82"/>
        <v/>
      </c>
    </row>
    <row r="5183" spans="3:3" ht="15" customHeight="1">
      <c r="C5183" s="70" t="str">
        <f t="shared" si="82"/>
        <v/>
      </c>
    </row>
    <row r="5184" spans="3:3" ht="15" customHeight="1">
      <c r="C5184" s="70" t="str">
        <f t="shared" si="82"/>
        <v/>
      </c>
    </row>
    <row r="5185" spans="3:3" ht="15" customHeight="1">
      <c r="C5185" s="70" t="str">
        <f t="shared" si="82"/>
        <v/>
      </c>
    </row>
    <row r="5186" spans="3:3" ht="15" customHeight="1">
      <c r="C5186" s="70" t="str">
        <f t="shared" si="82"/>
        <v/>
      </c>
    </row>
    <row r="5187" spans="3:3" ht="15" customHeight="1">
      <c r="C5187" s="70" t="str">
        <f t="shared" si="82"/>
        <v/>
      </c>
    </row>
    <row r="5188" spans="3:3" ht="15" customHeight="1">
      <c r="C5188" s="70" t="str">
        <f t="shared" si="82"/>
        <v/>
      </c>
    </row>
    <row r="5189" spans="3:3" ht="15" customHeight="1">
      <c r="C5189" s="70" t="str">
        <f t="shared" si="82"/>
        <v/>
      </c>
    </row>
    <row r="5190" spans="3:3" ht="15" customHeight="1">
      <c r="C5190" s="70" t="str">
        <f t="shared" si="82"/>
        <v/>
      </c>
    </row>
    <row r="5191" spans="3:3" ht="15" customHeight="1">
      <c r="C5191" s="70" t="str">
        <f t="shared" si="82"/>
        <v/>
      </c>
    </row>
    <row r="5192" spans="3:3" ht="15" customHeight="1">
      <c r="C5192" s="70" t="str">
        <f t="shared" si="82"/>
        <v/>
      </c>
    </row>
    <row r="5193" spans="3:3" ht="15" customHeight="1">
      <c r="C5193" s="70" t="str">
        <f t="shared" si="82"/>
        <v/>
      </c>
    </row>
    <row r="5194" spans="3:3" ht="15" customHeight="1">
      <c r="C5194" s="70" t="str">
        <f t="shared" si="82"/>
        <v/>
      </c>
    </row>
    <row r="5195" spans="3:3" ht="15" customHeight="1">
      <c r="C5195" s="70" t="str">
        <f t="shared" si="82"/>
        <v/>
      </c>
    </row>
    <row r="5196" spans="3:3" ht="15" customHeight="1">
      <c r="C5196" s="70" t="str">
        <f t="shared" si="82"/>
        <v/>
      </c>
    </row>
    <row r="5197" spans="3:3" ht="15" customHeight="1">
      <c r="C5197" s="70" t="str">
        <f t="shared" si="82"/>
        <v/>
      </c>
    </row>
    <row r="5198" spans="3:3" ht="15" customHeight="1">
      <c r="C5198" s="70" t="str">
        <f t="shared" si="82"/>
        <v/>
      </c>
    </row>
    <row r="5199" spans="3:3" ht="15" customHeight="1">
      <c r="C5199" s="70" t="str">
        <f t="shared" si="82"/>
        <v/>
      </c>
    </row>
    <row r="5200" spans="3:3" ht="15" customHeight="1">
      <c r="C5200" s="70" t="str">
        <f t="shared" si="82"/>
        <v/>
      </c>
    </row>
    <row r="5201" spans="3:3" ht="15" customHeight="1">
      <c r="C5201" s="70" t="str">
        <f t="shared" ref="C5201:C5264" si="83">IF(B5201&lt;&gt;"",TEXT(WEEKDAY(B5201),"dddd"),"")</f>
        <v/>
      </c>
    </row>
    <row r="5202" spans="3:3" ht="15" customHeight="1">
      <c r="C5202" s="70" t="str">
        <f t="shared" si="83"/>
        <v/>
      </c>
    </row>
    <row r="5203" spans="3:3" ht="15" customHeight="1">
      <c r="C5203" s="70" t="str">
        <f t="shared" si="83"/>
        <v/>
      </c>
    </row>
    <row r="5204" spans="3:3" ht="15" customHeight="1">
      <c r="C5204" s="70" t="str">
        <f t="shared" si="83"/>
        <v/>
      </c>
    </row>
    <row r="5205" spans="3:3" ht="15" customHeight="1">
      <c r="C5205" s="70" t="str">
        <f t="shared" si="83"/>
        <v/>
      </c>
    </row>
    <row r="5206" spans="3:3" ht="15" customHeight="1">
      <c r="C5206" s="70" t="str">
        <f t="shared" si="83"/>
        <v/>
      </c>
    </row>
    <row r="5207" spans="3:3" ht="15" customHeight="1">
      <c r="C5207" s="70" t="str">
        <f t="shared" si="83"/>
        <v/>
      </c>
    </row>
    <row r="5208" spans="3:3" ht="15" customHeight="1">
      <c r="C5208" s="70" t="str">
        <f t="shared" si="83"/>
        <v/>
      </c>
    </row>
    <row r="5209" spans="3:3" ht="15" customHeight="1">
      <c r="C5209" s="70" t="str">
        <f t="shared" si="83"/>
        <v/>
      </c>
    </row>
    <row r="5210" spans="3:3" ht="15" customHeight="1">
      <c r="C5210" s="70" t="str">
        <f t="shared" si="83"/>
        <v/>
      </c>
    </row>
    <row r="5211" spans="3:3" ht="15" customHeight="1">
      <c r="C5211" s="70" t="str">
        <f t="shared" si="83"/>
        <v/>
      </c>
    </row>
    <row r="5212" spans="3:3" ht="15" customHeight="1">
      <c r="C5212" s="70" t="str">
        <f t="shared" si="83"/>
        <v/>
      </c>
    </row>
    <row r="5213" spans="3:3" ht="15" customHeight="1">
      <c r="C5213" s="70" t="str">
        <f t="shared" si="83"/>
        <v/>
      </c>
    </row>
    <row r="5214" spans="3:3" ht="15" customHeight="1">
      <c r="C5214" s="70" t="str">
        <f t="shared" si="83"/>
        <v/>
      </c>
    </row>
    <row r="5215" spans="3:3" ht="15" customHeight="1">
      <c r="C5215" s="70" t="str">
        <f t="shared" si="83"/>
        <v/>
      </c>
    </row>
    <row r="5216" spans="3:3" ht="15" customHeight="1">
      <c r="C5216" s="70" t="str">
        <f t="shared" si="83"/>
        <v/>
      </c>
    </row>
    <row r="5217" spans="3:3" ht="15" customHeight="1">
      <c r="C5217" s="70" t="str">
        <f t="shared" si="83"/>
        <v/>
      </c>
    </row>
    <row r="5218" spans="3:3" ht="15" customHeight="1">
      <c r="C5218" s="70" t="str">
        <f t="shared" si="83"/>
        <v/>
      </c>
    </row>
    <row r="5219" spans="3:3" ht="15" customHeight="1">
      <c r="C5219" s="70" t="str">
        <f t="shared" si="83"/>
        <v/>
      </c>
    </row>
    <row r="5220" spans="3:3" ht="15" customHeight="1">
      <c r="C5220" s="70" t="str">
        <f t="shared" si="83"/>
        <v/>
      </c>
    </row>
    <row r="5221" spans="3:3" ht="15" customHeight="1">
      <c r="C5221" s="70" t="str">
        <f t="shared" si="83"/>
        <v/>
      </c>
    </row>
    <row r="5222" spans="3:3" ht="15" customHeight="1">
      <c r="C5222" s="70" t="str">
        <f t="shared" si="83"/>
        <v/>
      </c>
    </row>
    <row r="5223" spans="3:3" ht="15" customHeight="1">
      <c r="C5223" s="70" t="str">
        <f t="shared" si="83"/>
        <v/>
      </c>
    </row>
    <row r="5224" spans="3:3" ht="15" customHeight="1">
      <c r="C5224" s="70" t="str">
        <f t="shared" si="83"/>
        <v/>
      </c>
    </row>
    <row r="5225" spans="3:3" ht="15" customHeight="1">
      <c r="C5225" s="70" t="str">
        <f t="shared" si="83"/>
        <v/>
      </c>
    </row>
    <row r="5226" spans="3:3" ht="15" customHeight="1">
      <c r="C5226" s="70" t="str">
        <f t="shared" si="83"/>
        <v/>
      </c>
    </row>
    <row r="5227" spans="3:3" ht="15" customHeight="1">
      <c r="C5227" s="70" t="str">
        <f t="shared" si="83"/>
        <v/>
      </c>
    </row>
    <row r="5228" spans="3:3" ht="15" customHeight="1">
      <c r="C5228" s="70" t="str">
        <f t="shared" si="83"/>
        <v/>
      </c>
    </row>
    <row r="5229" spans="3:3" ht="15" customHeight="1">
      <c r="C5229" s="70" t="str">
        <f t="shared" si="83"/>
        <v/>
      </c>
    </row>
    <row r="5230" spans="3:3" ht="15" customHeight="1">
      <c r="C5230" s="70" t="str">
        <f t="shared" si="83"/>
        <v/>
      </c>
    </row>
    <row r="5231" spans="3:3" ht="15" customHeight="1">
      <c r="C5231" s="70" t="str">
        <f t="shared" si="83"/>
        <v/>
      </c>
    </row>
    <row r="5232" spans="3:3" ht="15" customHeight="1">
      <c r="C5232" s="70" t="str">
        <f t="shared" si="83"/>
        <v/>
      </c>
    </row>
    <row r="5233" spans="3:3" ht="15" customHeight="1">
      <c r="C5233" s="70" t="str">
        <f t="shared" si="83"/>
        <v/>
      </c>
    </row>
    <row r="5234" spans="3:3" ht="15" customHeight="1">
      <c r="C5234" s="70" t="str">
        <f t="shared" si="83"/>
        <v/>
      </c>
    </row>
    <row r="5235" spans="3:3" ht="15" customHeight="1">
      <c r="C5235" s="70" t="str">
        <f t="shared" si="83"/>
        <v/>
      </c>
    </row>
    <row r="5236" spans="3:3" ht="15" customHeight="1">
      <c r="C5236" s="70" t="str">
        <f t="shared" si="83"/>
        <v/>
      </c>
    </row>
    <row r="5237" spans="3:3" ht="15" customHeight="1">
      <c r="C5237" s="70" t="str">
        <f t="shared" si="83"/>
        <v/>
      </c>
    </row>
    <row r="5238" spans="3:3" ht="15" customHeight="1">
      <c r="C5238" s="70" t="str">
        <f t="shared" si="83"/>
        <v/>
      </c>
    </row>
    <row r="5239" spans="3:3" ht="15" customHeight="1">
      <c r="C5239" s="70" t="str">
        <f t="shared" si="83"/>
        <v/>
      </c>
    </row>
    <row r="5240" spans="3:3" ht="15" customHeight="1">
      <c r="C5240" s="70" t="str">
        <f t="shared" si="83"/>
        <v/>
      </c>
    </row>
    <row r="5241" spans="3:3" ht="15" customHeight="1">
      <c r="C5241" s="70" t="str">
        <f t="shared" si="83"/>
        <v/>
      </c>
    </row>
    <row r="5242" spans="3:3" ht="15" customHeight="1">
      <c r="C5242" s="70" t="str">
        <f t="shared" si="83"/>
        <v/>
      </c>
    </row>
    <row r="5243" spans="3:3" ht="15" customHeight="1">
      <c r="C5243" s="70" t="str">
        <f t="shared" si="83"/>
        <v/>
      </c>
    </row>
    <row r="5244" spans="3:3" ht="15" customHeight="1">
      <c r="C5244" s="70" t="str">
        <f t="shared" si="83"/>
        <v/>
      </c>
    </row>
    <row r="5245" spans="3:3" ht="15" customHeight="1">
      <c r="C5245" s="70" t="str">
        <f t="shared" si="83"/>
        <v/>
      </c>
    </row>
    <row r="5246" spans="3:3" ht="15" customHeight="1">
      <c r="C5246" s="70" t="str">
        <f t="shared" si="83"/>
        <v/>
      </c>
    </row>
    <row r="5247" spans="3:3" ht="15" customHeight="1">
      <c r="C5247" s="70" t="str">
        <f t="shared" si="83"/>
        <v/>
      </c>
    </row>
    <row r="5248" spans="3:3" ht="15" customHeight="1">
      <c r="C5248" s="70" t="str">
        <f t="shared" si="83"/>
        <v/>
      </c>
    </row>
    <row r="5249" spans="3:3" ht="15" customHeight="1">
      <c r="C5249" s="70" t="str">
        <f t="shared" si="83"/>
        <v/>
      </c>
    </row>
    <row r="5250" spans="3:3" ht="15" customHeight="1">
      <c r="C5250" s="70" t="str">
        <f t="shared" si="83"/>
        <v/>
      </c>
    </row>
    <row r="5251" spans="3:3" ht="15" customHeight="1">
      <c r="C5251" s="70" t="str">
        <f t="shared" si="83"/>
        <v/>
      </c>
    </row>
    <row r="5252" spans="3:3" ht="15" customHeight="1">
      <c r="C5252" s="70" t="str">
        <f t="shared" si="83"/>
        <v/>
      </c>
    </row>
    <row r="5253" spans="3:3" ht="15" customHeight="1">
      <c r="C5253" s="70" t="str">
        <f t="shared" si="83"/>
        <v/>
      </c>
    </row>
    <row r="5254" spans="3:3" ht="15" customHeight="1">
      <c r="C5254" s="70" t="str">
        <f t="shared" si="83"/>
        <v/>
      </c>
    </row>
    <row r="5255" spans="3:3" ht="15" customHeight="1">
      <c r="C5255" s="70" t="str">
        <f t="shared" si="83"/>
        <v/>
      </c>
    </row>
    <row r="5256" spans="3:3" ht="15" customHeight="1">
      <c r="C5256" s="70" t="str">
        <f t="shared" si="83"/>
        <v/>
      </c>
    </row>
    <row r="5257" spans="3:3" ht="15" customHeight="1">
      <c r="C5257" s="70" t="str">
        <f t="shared" si="83"/>
        <v/>
      </c>
    </row>
    <row r="5258" spans="3:3" ht="15" customHeight="1">
      <c r="C5258" s="70" t="str">
        <f t="shared" si="83"/>
        <v/>
      </c>
    </row>
    <row r="5259" spans="3:3" ht="15" customHeight="1">
      <c r="C5259" s="70" t="str">
        <f t="shared" si="83"/>
        <v/>
      </c>
    </row>
    <row r="5260" spans="3:3" ht="15" customHeight="1">
      <c r="C5260" s="70" t="str">
        <f t="shared" si="83"/>
        <v/>
      </c>
    </row>
    <row r="5261" spans="3:3" ht="15" customHeight="1">
      <c r="C5261" s="70" t="str">
        <f t="shared" si="83"/>
        <v/>
      </c>
    </row>
    <row r="5262" spans="3:3" ht="15" customHeight="1">
      <c r="C5262" s="70" t="str">
        <f t="shared" si="83"/>
        <v/>
      </c>
    </row>
    <row r="5263" spans="3:3" ht="15" customHeight="1">
      <c r="C5263" s="70" t="str">
        <f t="shared" si="83"/>
        <v/>
      </c>
    </row>
    <row r="5264" spans="3:3" ht="15" customHeight="1">
      <c r="C5264" s="70" t="str">
        <f t="shared" si="83"/>
        <v/>
      </c>
    </row>
    <row r="5265" spans="3:3" ht="15" customHeight="1">
      <c r="C5265" s="70" t="str">
        <f t="shared" ref="C5265:C5328" si="84">IF(B5265&lt;&gt;"",TEXT(WEEKDAY(B5265),"dddd"),"")</f>
        <v/>
      </c>
    </row>
    <row r="5266" spans="3:3" ht="15" customHeight="1">
      <c r="C5266" s="70" t="str">
        <f t="shared" si="84"/>
        <v/>
      </c>
    </row>
    <row r="5267" spans="3:3" ht="15" customHeight="1">
      <c r="C5267" s="70" t="str">
        <f t="shared" si="84"/>
        <v/>
      </c>
    </row>
    <row r="5268" spans="3:3" ht="15" customHeight="1">
      <c r="C5268" s="70" t="str">
        <f t="shared" si="84"/>
        <v/>
      </c>
    </row>
    <row r="5269" spans="3:3" ht="15" customHeight="1">
      <c r="C5269" s="70" t="str">
        <f t="shared" si="84"/>
        <v/>
      </c>
    </row>
    <row r="5270" spans="3:3" ht="15" customHeight="1">
      <c r="C5270" s="70" t="str">
        <f t="shared" si="84"/>
        <v/>
      </c>
    </row>
    <row r="5271" spans="3:3" ht="15" customHeight="1">
      <c r="C5271" s="70" t="str">
        <f t="shared" si="84"/>
        <v/>
      </c>
    </row>
    <row r="5272" spans="3:3" ht="15" customHeight="1">
      <c r="C5272" s="70" t="str">
        <f t="shared" si="84"/>
        <v/>
      </c>
    </row>
    <row r="5273" spans="3:3" ht="15" customHeight="1">
      <c r="C5273" s="70" t="str">
        <f t="shared" si="84"/>
        <v/>
      </c>
    </row>
    <row r="5274" spans="3:3" ht="15" customHeight="1">
      <c r="C5274" s="70" t="str">
        <f t="shared" si="84"/>
        <v/>
      </c>
    </row>
    <row r="5275" spans="3:3" ht="15" customHeight="1">
      <c r="C5275" s="70" t="str">
        <f t="shared" si="84"/>
        <v/>
      </c>
    </row>
    <row r="5276" spans="3:3" ht="15" customHeight="1">
      <c r="C5276" s="70" t="str">
        <f t="shared" si="84"/>
        <v/>
      </c>
    </row>
    <row r="5277" spans="3:3" ht="15" customHeight="1">
      <c r="C5277" s="70" t="str">
        <f t="shared" si="84"/>
        <v/>
      </c>
    </row>
    <row r="5278" spans="3:3" ht="15" customHeight="1">
      <c r="C5278" s="70" t="str">
        <f t="shared" si="84"/>
        <v/>
      </c>
    </row>
    <row r="5279" spans="3:3" ht="15" customHeight="1">
      <c r="C5279" s="70" t="str">
        <f t="shared" si="84"/>
        <v/>
      </c>
    </row>
    <row r="5280" spans="3:3" ht="15" customHeight="1">
      <c r="C5280" s="70" t="str">
        <f t="shared" si="84"/>
        <v/>
      </c>
    </row>
    <row r="5281" spans="3:3" ht="15" customHeight="1">
      <c r="C5281" s="70" t="str">
        <f t="shared" si="84"/>
        <v/>
      </c>
    </row>
    <row r="5282" spans="3:3" ht="15" customHeight="1">
      <c r="C5282" s="70" t="str">
        <f t="shared" si="84"/>
        <v/>
      </c>
    </row>
    <row r="5283" spans="3:3" ht="15" customHeight="1">
      <c r="C5283" s="70" t="str">
        <f t="shared" si="84"/>
        <v/>
      </c>
    </row>
    <row r="5284" spans="3:3" ht="15" customHeight="1">
      <c r="C5284" s="70" t="str">
        <f t="shared" si="84"/>
        <v/>
      </c>
    </row>
    <row r="5285" spans="3:3" ht="15" customHeight="1">
      <c r="C5285" s="70" t="str">
        <f t="shared" si="84"/>
        <v/>
      </c>
    </row>
    <row r="5286" spans="3:3" ht="15" customHeight="1">
      <c r="C5286" s="70" t="str">
        <f t="shared" si="84"/>
        <v/>
      </c>
    </row>
    <row r="5287" spans="3:3" ht="15" customHeight="1">
      <c r="C5287" s="70" t="str">
        <f t="shared" si="84"/>
        <v/>
      </c>
    </row>
    <row r="5288" spans="3:3" ht="15" customHeight="1">
      <c r="C5288" s="70" t="str">
        <f t="shared" si="84"/>
        <v/>
      </c>
    </row>
    <row r="5289" spans="3:3" ht="15" customHeight="1">
      <c r="C5289" s="70" t="str">
        <f t="shared" si="84"/>
        <v/>
      </c>
    </row>
    <row r="5290" spans="3:3" ht="15" customHeight="1">
      <c r="C5290" s="70" t="str">
        <f t="shared" si="84"/>
        <v/>
      </c>
    </row>
    <row r="5291" spans="3:3" ht="15" customHeight="1">
      <c r="C5291" s="70" t="str">
        <f t="shared" si="84"/>
        <v/>
      </c>
    </row>
    <row r="5292" spans="3:3" ht="15" customHeight="1">
      <c r="C5292" s="70" t="str">
        <f t="shared" si="84"/>
        <v/>
      </c>
    </row>
    <row r="5293" spans="3:3" ht="15" customHeight="1">
      <c r="C5293" s="70" t="str">
        <f t="shared" si="84"/>
        <v/>
      </c>
    </row>
    <row r="5294" spans="3:3" ht="15" customHeight="1">
      <c r="C5294" s="70" t="str">
        <f t="shared" si="84"/>
        <v/>
      </c>
    </row>
    <row r="5295" spans="3:3" ht="15" customHeight="1">
      <c r="C5295" s="70" t="str">
        <f t="shared" si="84"/>
        <v/>
      </c>
    </row>
    <row r="5296" spans="3:3" ht="15" customHeight="1">
      <c r="C5296" s="70" t="str">
        <f t="shared" si="84"/>
        <v/>
      </c>
    </row>
    <row r="5297" spans="3:3" ht="15" customHeight="1">
      <c r="C5297" s="70" t="str">
        <f t="shared" si="84"/>
        <v/>
      </c>
    </row>
    <row r="5298" spans="3:3" ht="15" customHeight="1">
      <c r="C5298" s="70" t="str">
        <f t="shared" si="84"/>
        <v/>
      </c>
    </row>
    <row r="5299" spans="3:3" ht="15" customHeight="1">
      <c r="C5299" s="70" t="str">
        <f t="shared" si="84"/>
        <v/>
      </c>
    </row>
    <row r="5300" spans="3:3" ht="15" customHeight="1">
      <c r="C5300" s="70" t="str">
        <f t="shared" si="84"/>
        <v/>
      </c>
    </row>
    <row r="5301" spans="3:3" ht="15" customHeight="1">
      <c r="C5301" s="70" t="str">
        <f t="shared" si="84"/>
        <v/>
      </c>
    </row>
    <row r="5302" spans="3:3" ht="15" customHeight="1">
      <c r="C5302" s="70" t="str">
        <f t="shared" si="84"/>
        <v/>
      </c>
    </row>
    <row r="5303" spans="3:3" ht="15" customHeight="1">
      <c r="C5303" s="70" t="str">
        <f t="shared" si="84"/>
        <v/>
      </c>
    </row>
    <row r="5304" spans="3:3" ht="15" customHeight="1">
      <c r="C5304" s="70" t="str">
        <f t="shared" si="84"/>
        <v/>
      </c>
    </row>
    <row r="5305" spans="3:3" ht="15" customHeight="1">
      <c r="C5305" s="70" t="str">
        <f t="shared" si="84"/>
        <v/>
      </c>
    </row>
    <row r="5306" spans="3:3" ht="15" customHeight="1">
      <c r="C5306" s="70" t="str">
        <f t="shared" si="84"/>
        <v/>
      </c>
    </row>
    <row r="5307" spans="3:3" ht="15" customHeight="1">
      <c r="C5307" s="70" t="str">
        <f t="shared" si="84"/>
        <v/>
      </c>
    </row>
    <row r="5308" spans="3:3" ht="15" customHeight="1">
      <c r="C5308" s="70" t="str">
        <f t="shared" si="84"/>
        <v/>
      </c>
    </row>
    <row r="5309" spans="3:3" ht="15" customHeight="1">
      <c r="C5309" s="70" t="str">
        <f t="shared" si="84"/>
        <v/>
      </c>
    </row>
    <row r="5310" spans="3:3" ht="15" customHeight="1">
      <c r="C5310" s="70" t="str">
        <f t="shared" si="84"/>
        <v/>
      </c>
    </row>
    <row r="5311" spans="3:3" ht="15" customHeight="1">
      <c r="C5311" s="70" t="str">
        <f t="shared" si="84"/>
        <v/>
      </c>
    </row>
    <row r="5312" spans="3:3" ht="15" customHeight="1">
      <c r="C5312" s="70" t="str">
        <f t="shared" si="84"/>
        <v/>
      </c>
    </row>
    <row r="5313" spans="3:3" ht="15" customHeight="1">
      <c r="C5313" s="70" t="str">
        <f t="shared" si="84"/>
        <v/>
      </c>
    </row>
    <row r="5314" spans="3:3" ht="15" customHeight="1">
      <c r="C5314" s="70" t="str">
        <f t="shared" si="84"/>
        <v/>
      </c>
    </row>
    <row r="5315" spans="3:3" ht="15" customHeight="1">
      <c r="C5315" s="70" t="str">
        <f t="shared" si="84"/>
        <v/>
      </c>
    </row>
    <row r="5316" spans="3:3" ht="15" customHeight="1">
      <c r="C5316" s="70" t="str">
        <f t="shared" si="84"/>
        <v/>
      </c>
    </row>
    <row r="5317" spans="3:3" ht="15" customHeight="1">
      <c r="C5317" s="70" t="str">
        <f t="shared" si="84"/>
        <v/>
      </c>
    </row>
    <row r="5318" spans="3:3" ht="15" customHeight="1">
      <c r="C5318" s="70" t="str">
        <f t="shared" si="84"/>
        <v/>
      </c>
    </row>
    <row r="5319" spans="3:3" ht="15" customHeight="1">
      <c r="C5319" s="70" t="str">
        <f t="shared" si="84"/>
        <v/>
      </c>
    </row>
    <row r="5320" spans="3:3" ht="15" customHeight="1">
      <c r="C5320" s="70" t="str">
        <f t="shared" si="84"/>
        <v/>
      </c>
    </row>
    <row r="5321" spans="3:3" ht="15" customHeight="1">
      <c r="C5321" s="70" t="str">
        <f t="shared" si="84"/>
        <v/>
      </c>
    </row>
    <row r="5322" spans="3:3" ht="15" customHeight="1">
      <c r="C5322" s="70" t="str">
        <f t="shared" si="84"/>
        <v/>
      </c>
    </row>
    <row r="5323" spans="3:3" ht="15" customHeight="1">
      <c r="C5323" s="70" t="str">
        <f t="shared" si="84"/>
        <v/>
      </c>
    </row>
    <row r="5324" spans="3:3" ht="15" customHeight="1">
      <c r="C5324" s="70" t="str">
        <f t="shared" si="84"/>
        <v/>
      </c>
    </row>
    <row r="5325" spans="3:3" ht="15" customHeight="1">
      <c r="C5325" s="70" t="str">
        <f t="shared" si="84"/>
        <v/>
      </c>
    </row>
    <row r="5326" spans="3:3" ht="15" customHeight="1">
      <c r="C5326" s="70" t="str">
        <f t="shared" si="84"/>
        <v/>
      </c>
    </row>
    <row r="5327" spans="3:3" ht="15" customHeight="1">
      <c r="C5327" s="70" t="str">
        <f t="shared" si="84"/>
        <v/>
      </c>
    </row>
    <row r="5328" spans="3:3" ht="15" customHeight="1">
      <c r="C5328" s="70" t="str">
        <f t="shared" si="84"/>
        <v/>
      </c>
    </row>
    <row r="5329" spans="3:3" ht="15" customHeight="1">
      <c r="C5329" s="70" t="str">
        <f t="shared" ref="C5329:C5392" si="85">IF(B5329&lt;&gt;"",TEXT(WEEKDAY(B5329),"dddd"),"")</f>
        <v/>
      </c>
    </row>
    <row r="5330" spans="3:3" ht="15" customHeight="1">
      <c r="C5330" s="70" t="str">
        <f t="shared" si="85"/>
        <v/>
      </c>
    </row>
    <row r="5331" spans="3:3" ht="15" customHeight="1">
      <c r="C5331" s="70" t="str">
        <f t="shared" si="85"/>
        <v/>
      </c>
    </row>
    <row r="5332" spans="3:3" ht="15" customHeight="1">
      <c r="C5332" s="70" t="str">
        <f t="shared" si="85"/>
        <v/>
      </c>
    </row>
    <row r="5333" spans="3:3" ht="15" customHeight="1">
      <c r="C5333" s="70" t="str">
        <f t="shared" si="85"/>
        <v/>
      </c>
    </row>
    <row r="5334" spans="3:3" ht="15" customHeight="1">
      <c r="C5334" s="70" t="str">
        <f t="shared" si="85"/>
        <v/>
      </c>
    </row>
    <row r="5335" spans="3:3" ht="15" customHeight="1">
      <c r="C5335" s="70" t="str">
        <f t="shared" si="85"/>
        <v/>
      </c>
    </row>
    <row r="5336" spans="3:3" ht="15" customHeight="1">
      <c r="C5336" s="70" t="str">
        <f t="shared" si="85"/>
        <v/>
      </c>
    </row>
    <row r="5337" spans="3:3" ht="15" customHeight="1">
      <c r="C5337" s="70" t="str">
        <f t="shared" si="85"/>
        <v/>
      </c>
    </row>
    <row r="5338" spans="3:3" ht="15" customHeight="1">
      <c r="C5338" s="70" t="str">
        <f t="shared" si="85"/>
        <v/>
      </c>
    </row>
    <row r="5339" spans="3:3" ht="15" customHeight="1">
      <c r="C5339" s="70" t="str">
        <f t="shared" si="85"/>
        <v/>
      </c>
    </row>
    <row r="5340" spans="3:3" ht="15" customHeight="1">
      <c r="C5340" s="70" t="str">
        <f t="shared" si="85"/>
        <v/>
      </c>
    </row>
    <row r="5341" spans="3:3" ht="15" customHeight="1">
      <c r="C5341" s="70" t="str">
        <f t="shared" si="85"/>
        <v/>
      </c>
    </row>
    <row r="5342" spans="3:3" ht="15" customHeight="1">
      <c r="C5342" s="70" t="str">
        <f t="shared" si="85"/>
        <v/>
      </c>
    </row>
    <row r="5343" spans="3:3" ht="15" customHeight="1">
      <c r="C5343" s="70" t="str">
        <f t="shared" si="85"/>
        <v/>
      </c>
    </row>
    <row r="5344" spans="3:3" ht="15" customHeight="1">
      <c r="C5344" s="70" t="str">
        <f t="shared" si="85"/>
        <v/>
      </c>
    </row>
    <row r="5345" spans="3:3" ht="15" customHeight="1">
      <c r="C5345" s="70" t="str">
        <f t="shared" si="85"/>
        <v/>
      </c>
    </row>
    <row r="5346" spans="3:3" ht="15" customHeight="1">
      <c r="C5346" s="70" t="str">
        <f t="shared" si="85"/>
        <v/>
      </c>
    </row>
    <row r="5347" spans="3:3" ht="15" customHeight="1">
      <c r="C5347" s="70" t="str">
        <f t="shared" si="85"/>
        <v/>
      </c>
    </row>
    <row r="5348" spans="3:3" ht="15" customHeight="1">
      <c r="C5348" s="70" t="str">
        <f t="shared" si="85"/>
        <v/>
      </c>
    </row>
    <row r="5349" spans="3:3" ht="15" customHeight="1">
      <c r="C5349" s="70" t="str">
        <f t="shared" si="85"/>
        <v/>
      </c>
    </row>
    <row r="5350" spans="3:3" ht="15" customHeight="1">
      <c r="C5350" s="70" t="str">
        <f t="shared" si="85"/>
        <v/>
      </c>
    </row>
    <row r="5351" spans="3:3" ht="15" customHeight="1">
      <c r="C5351" s="70" t="str">
        <f t="shared" si="85"/>
        <v/>
      </c>
    </row>
    <row r="5352" spans="3:3" ht="15" customHeight="1">
      <c r="C5352" s="70" t="str">
        <f t="shared" si="85"/>
        <v/>
      </c>
    </row>
    <row r="5353" spans="3:3" ht="15" customHeight="1">
      <c r="C5353" s="70" t="str">
        <f t="shared" si="85"/>
        <v/>
      </c>
    </row>
    <row r="5354" spans="3:3" ht="15" customHeight="1">
      <c r="C5354" s="70" t="str">
        <f t="shared" si="85"/>
        <v/>
      </c>
    </row>
    <row r="5355" spans="3:3" ht="15" customHeight="1">
      <c r="C5355" s="70" t="str">
        <f t="shared" si="85"/>
        <v/>
      </c>
    </row>
    <row r="5356" spans="3:3" ht="15" customHeight="1">
      <c r="C5356" s="70" t="str">
        <f t="shared" si="85"/>
        <v/>
      </c>
    </row>
    <row r="5357" spans="3:3" ht="15" customHeight="1">
      <c r="C5357" s="70" t="str">
        <f t="shared" si="85"/>
        <v/>
      </c>
    </row>
    <row r="5358" spans="3:3" ht="15" customHeight="1">
      <c r="C5358" s="70" t="str">
        <f t="shared" si="85"/>
        <v/>
      </c>
    </row>
    <row r="5359" spans="3:3" ht="15" customHeight="1">
      <c r="C5359" s="70" t="str">
        <f t="shared" si="85"/>
        <v/>
      </c>
    </row>
    <row r="5360" spans="3:3" ht="15" customHeight="1">
      <c r="C5360" s="70" t="str">
        <f t="shared" si="85"/>
        <v/>
      </c>
    </row>
    <row r="5361" spans="3:3" ht="15" customHeight="1">
      <c r="C5361" s="70" t="str">
        <f t="shared" si="85"/>
        <v/>
      </c>
    </row>
    <row r="5362" spans="3:3" ht="15" customHeight="1">
      <c r="C5362" s="70" t="str">
        <f t="shared" si="85"/>
        <v/>
      </c>
    </row>
    <row r="5363" spans="3:3" ht="15" customHeight="1">
      <c r="C5363" s="70" t="str">
        <f t="shared" si="85"/>
        <v/>
      </c>
    </row>
    <row r="5364" spans="3:3" ht="15" customHeight="1">
      <c r="C5364" s="70" t="str">
        <f t="shared" si="85"/>
        <v/>
      </c>
    </row>
    <row r="5365" spans="3:3" ht="15" customHeight="1">
      <c r="C5365" s="70" t="str">
        <f t="shared" si="85"/>
        <v/>
      </c>
    </row>
    <row r="5366" spans="3:3" ht="15" customHeight="1">
      <c r="C5366" s="70" t="str">
        <f t="shared" si="85"/>
        <v/>
      </c>
    </row>
    <row r="5367" spans="3:3" ht="15" customHeight="1">
      <c r="C5367" s="70" t="str">
        <f t="shared" si="85"/>
        <v/>
      </c>
    </row>
    <row r="5368" spans="3:3" ht="15" customHeight="1">
      <c r="C5368" s="70" t="str">
        <f t="shared" si="85"/>
        <v/>
      </c>
    </row>
    <row r="5369" spans="3:3" ht="15" customHeight="1">
      <c r="C5369" s="70" t="str">
        <f t="shared" si="85"/>
        <v/>
      </c>
    </row>
    <row r="5370" spans="3:3" ht="15" customHeight="1">
      <c r="C5370" s="70" t="str">
        <f t="shared" si="85"/>
        <v/>
      </c>
    </row>
    <row r="5371" spans="3:3" ht="15" customHeight="1">
      <c r="C5371" s="70" t="str">
        <f t="shared" si="85"/>
        <v/>
      </c>
    </row>
    <row r="5372" spans="3:3" ht="15" customHeight="1">
      <c r="C5372" s="70" t="str">
        <f t="shared" si="85"/>
        <v/>
      </c>
    </row>
    <row r="5373" spans="3:3" ht="15" customHeight="1">
      <c r="C5373" s="70" t="str">
        <f t="shared" si="85"/>
        <v/>
      </c>
    </row>
    <row r="5374" spans="3:3" ht="15" customHeight="1">
      <c r="C5374" s="70" t="str">
        <f t="shared" si="85"/>
        <v/>
      </c>
    </row>
    <row r="5375" spans="3:3" ht="15" customHeight="1">
      <c r="C5375" s="70" t="str">
        <f t="shared" si="85"/>
        <v/>
      </c>
    </row>
    <row r="5376" spans="3:3" ht="15" customHeight="1">
      <c r="C5376" s="70" t="str">
        <f t="shared" si="85"/>
        <v/>
      </c>
    </row>
    <row r="5377" spans="3:3" ht="15" customHeight="1">
      <c r="C5377" s="70" t="str">
        <f t="shared" si="85"/>
        <v/>
      </c>
    </row>
    <row r="5378" spans="3:3" ht="15" customHeight="1">
      <c r="C5378" s="70" t="str">
        <f t="shared" si="85"/>
        <v/>
      </c>
    </row>
    <row r="5379" spans="3:3" ht="15" customHeight="1">
      <c r="C5379" s="70" t="str">
        <f t="shared" si="85"/>
        <v/>
      </c>
    </row>
    <row r="5380" spans="3:3" ht="15" customHeight="1">
      <c r="C5380" s="70" t="str">
        <f t="shared" si="85"/>
        <v/>
      </c>
    </row>
    <row r="5381" spans="3:3" ht="15" customHeight="1">
      <c r="C5381" s="70" t="str">
        <f t="shared" si="85"/>
        <v/>
      </c>
    </row>
    <row r="5382" spans="3:3" ht="15" customHeight="1">
      <c r="C5382" s="70" t="str">
        <f t="shared" si="85"/>
        <v/>
      </c>
    </row>
    <row r="5383" spans="3:3" ht="15" customHeight="1">
      <c r="C5383" s="70" t="str">
        <f t="shared" si="85"/>
        <v/>
      </c>
    </row>
    <row r="5384" spans="3:3" ht="15" customHeight="1">
      <c r="C5384" s="70" t="str">
        <f t="shared" si="85"/>
        <v/>
      </c>
    </row>
    <row r="5385" spans="3:3" ht="15" customHeight="1">
      <c r="C5385" s="70" t="str">
        <f t="shared" si="85"/>
        <v/>
      </c>
    </row>
    <row r="5386" spans="3:3" ht="15" customHeight="1">
      <c r="C5386" s="70" t="str">
        <f t="shared" si="85"/>
        <v/>
      </c>
    </row>
    <row r="5387" spans="3:3" ht="15" customHeight="1">
      <c r="C5387" s="70" t="str">
        <f t="shared" si="85"/>
        <v/>
      </c>
    </row>
    <row r="5388" spans="3:3" ht="15" customHeight="1">
      <c r="C5388" s="70" t="str">
        <f t="shared" si="85"/>
        <v/>
      </c>
    </row>
    <row r="5389" spans="3:3" ht="15" customHeight="1">
      <c r="C5389" s="70" t="str">
        <f t="shared" si="85"/>
        <v/>
      </c>
    </row>
    <row r="5390" spans="3:3" ht="15" customHeight="1">
      <c r="C5390" s="70" t="str">
        <f t="shared" si="85"/>
        <v/>
      </c>
    </row>
    <row r="5391" spans="3:3" ht="15" customHeight="1">
      <c r="C5391" s="70" t="str">
        <f t="shared" si="85"/>
        <v/>
      </c>
    </row>
    <row r="5392" spans="3:3" ht="15" customHeight="1">
      <c r="C5392" s="70" t="str">
        <f t="shared" si="85"/>
        <v/>
      </c>
    </row>
    <row r="5393" spans="3:3" ht="15" customHeight="1">
      <c r="C5393" s="70" t="str">
        <f t="shared" ref="C5393:C5456" si="86">IF(B5393&lt;&gt;"",TEXT(WEEKDAY(B5393),"dddd"),"")</f>
        <v/>
      </c>
    </row>
    <row r="5394" spans="3:3" ht="15" customHeight="1">
      <c r="C5394" s="70" t="str">
        <f t="shared" si="86"/>
        <v/>
      </c>
    </row>
    <row r="5395" spans="3:3" ht="15" customHeight="1">
      <c r="C5395" s="70" t="str">
        <f t="shared" si="86"/>
        <v/>
      </c>
    </row>
    <row r="5396" spans="3:3" ht="15" customHeight="1">
      <c r="C5396" s="70" t="str">
        <f t="shared" si="86"/>
        <v/>
      </c>
    </row>
    <row r="5397" spans="3:3" ht="15" customHeight="1">
      <c r="C5397" s="70" t="str">
        <f t="shared" si="86"/>
        <v/>
      </c>
    </row>
    <row r="5398" spans="3:3" ht="15" customHeight="1">
      <c r="C5398" s="70" t="str">
        <f t="shared" si="86"/>
        <v/>
      </c>
    </row>
    <row r="5399" spans="3:3" ht="15" customHeight="1">
      <c r="C5399" s="70" t="str">
        <f t="shared" si="86"/>
        <v/>
      </c>
    </row>
    <row r="5400" spans="3:3" ht="15" customHeight="1">
      <c r="C5400" s="70" t="str">
        <f t="shared" si="86"/>
        <v/>
      </c>
    </row>
    <row r="5401" spans="3:3" ht="15" customHeight="1">
      <c r="C5401" s="70" t="str">
        <f t="shared" si="86"/>
        <v/>
      </c>
    </row>
    <row r="5402" spans="3:3" ht="15" customHeight="1">
      <c r="C5402" s="70" t="str">
        <f t="shared" si="86"/>
        <v/>
      </c>
    </row>
    <row r="5403" spans="3:3" ht="15" customHeight="1">
      <c r="C5403" s="70" t="str">
        <f t="shared" si="86"/>
        <v/>
      </c>
    </row>
    <row r="5404" spans="3:3" ht="15" customHeight="1">
      <c r="C5404" s="70" t="str">
        <f t="shared" si="86"/>
        <v/>
      </c>
    </row>
    <row r="5405" spans="3:3" ht="15" customHeight="1">
      <c r="C5405" s="70" t="str">
        <f t="shared" si="86"/>
        <v/>
      </c>
    </row>
    <row r="5406" spans="3:3" ht="15" customHeight="1">
      <c r="C5406" s="70" t="str">
        <f t="shared" si="86"/>
        <v/>
      </c>
    </row>
    <row r="5407" spans="3:3" ht="15" customHeight="1">
      <c r="C5407" s="70" t="str">
        <f t="shared" si="86"/>
        <v/>
      </c>
    </row>
    <row r="5408" spans="3:3" ht="15" customHeight="1">
      <c r="C5408" s="70" t="str">
        <f t="shared" si="86"/>
        <v/>
      </c>
    </row>
    <row r="5409" spans="3:3" ht="15" customHeight="1">
      <c r="C5409" s="70" t="str">
        <f t="shared" si="86"/>
        <v/>
      </c>
    </row>
    <row r="5410" spans="3:3" ht="15" customHeight="1">
      <c r="C5410" s="70" t="str">
        <f t="shared" si="86"/>
        <v/>
      </c>
    </row>
    <row r="5411" spans="3:3" ht="15" customHeight="1">
      <c r="C5411" s="70" t="str">
        <f t="shared" si="86"/>
        <v/>
      </c>
    </row>
    <row r="5412" spans="3:3" ht="15" customHeight="1">
      <c r="C5412" s="70" t="str">
        <f t="shared" si="86"/>
        <v/>
      </c>
    </row>
    <row r="5413" spans="3:3" ht="15" customHeight="1">
      <c r="C5413" s="70" t="str">
        <f t="shared" si="86"/>
        <v/>
      </c>
    </row>
    <row r="5414" spans="3:3" ht="15" customHeight="1">
      <c r="C5414" s="70" t="str">
        <f t="shared" si="86"/>
        <v/>
      </c>
    </row>
    <row r="5415" spans="3:3" ht="15" customHeight="1">
      <c r="C5415" s="70" t="str">
        <f t="shared" si="86"/>
        <v/>
      </c>
    </row>
    <row r="5416" spans="3:3" ht="15" customHeight="1">
      <c r="C5416" s="70" t="str">
        <f t="shared" si="86"/>
        <v/>
      </c>
    </row>
    <row r="5417" spans="3:3" ht="15" customHeight="1">
      <c r="C5417" s="70" t="str">
        <f t="shared" si="86"/>
        <v/>
      </c>
    </row>
    <row r="5418" spans="3:3" ht="15" customHeight="1">
      <c r="C5418" s="70" t="str">
        <f t="shared" si="86"/>
        <v/>
      </c>
    </row>
    <row r="5419" spans="3:3" ht="15" customHeight="1">
      <c r="C5419" s="70" t="str">
        <f t="shared" si="86"/>
        <v/>
      </c>
    </row>
    <row r="5420" spans="3:3" ht="15" customHeight="1">
      <c r="C5420" s="70" t="str">
        <f t="shared" si="86"/>
        <v/>
      </c>
    </row>
    <row r="5421" spans="3:3" ht="15" customHeight="1">
      <c r="C5421" s="70" t="str">
        <f t="shared" si="86"/>
        <v/>
      </c>
    </row>
    <row r="5422" spans="3:3" ht="15" customHeight="1">
      <c r="C5422" s="70" t="str">
        <f t="shared" si="86"/>
        <v/>
      </c>
    </row>
    <row r="5423" spans="3:3" ht="15" customHeight="1">
      <c r="C5423" s="70" t="str">
        <f t="shared" si="86"/>
        <v/>
      </c>
    </row>
    <row r="5424" spans="3:3" ht="15" customHeight="1">
      <c r="C5424" s="70" t="str">
        <f t="shared" si="86"/>
        <v/>
      </c>
    </row>
    <row r="5425" spans="3:3" ht="15" customHeight="1">
      <c r="C5425" s="70" t="str">
        <f t="shared" si="86"/>
        <v/>
      </c>
    </row>
    <row r="5426" spans="3:3" ht="15" customHeight="1">
      <c r="C5426" s="70" t="str">
        <f t="shared" si="86"/>
        <v/>
      </c>
    </row>
    <row r="5427" spans="3:3" ht="15" customHeight="1">
      <c r="C5427" s="70" t="str">
        <f t="shared" si="86"/>
        <v/>
      </c>
    </row>
    <row r="5428" spans="3:3" ht="15" customHeight="1">
      <c r="C5428" s="70" t="str">
        <f t="shared" si="86"/>
        <v/>
      </c>
    </row>
    <row r="5429" spans="3:3" ht="15" customHeight="1">
      <c r="C5429" s="70" t="str">
        <f t="shared" si="86"/>
        <v/>
      </c>
    </row>
    <row r="5430" spans="3:3" ht="15" customHeight="1">
      <c r="C5430" s="70" t="str">
        <f t="shared" si="86"/>
        <v/>
      </c>
    </row>
    <row r="5431" spans="3:3" ht="15" customHeight="1">
      <c r="C5431" s="70" t="str">
        <f t="shared" si="86"/>
        <v/>
      </c>
    </row>
    <row r="5432" spans="3:3" ht="15" customHeight="1">
      <c r="C5432" s="70" t="str">
        <f t="shared" si="86"/>
        <v/>
      </c>
    </row>
    <row r="5433" spans="3:3" ht="15" customHeight="1">
      <c r="C5433" s="70" t="str">
        <f t="shared" si="86"/>
        <v/>
      </c>
    </row>
    <row r="5434" spans="3:3" ht="15" customHeight="1">
      <c r="C5434" s="70" t="str">
        <f t="shared" si="86"/>
        <v/>
      </c>
    </row>
    <row r="5435" spans="3:3" ht="15" customHeight="1">
      <c r="C5435" s="70" t="str">
        <f t="shared" si="86"/>
        <v/>
      </c>
    </row>
    <row r="5436" spans="3:3" ht="15" customHeight="1">
      <c r="C5436" s="70" t="str">
        <f t="shared" si="86"/>
        <v/>
      </c>
    </row>
    <row r="5437" spans="3:3" ht="15" customHeight="1">
      <c r="C5437" s="70" t="str">
        <f t="shared" si="86"/>
        <v/>
      </c>
    </row>
    <row r="5438" spans="3:3" ht="15" customHeight="1">
      <c r="C5438" s="70" t="str">
        <f t="shared" si="86"/>
        <v/>
      </c>
    </row>
    <row r="5439" spans="3:3" ht="15" customHeight="1">
      <c r="C5439" s="70" t="str">
        <f t="shared" si="86"/>
        <v/>
      </c>
    </row>
    <row r="5440" spans="3:3" ht="15" customHeight="1">
      <c r="C5440" s="70" t="str">
        <f t="shared" si="86"/>
        <v/>
      </c>
    </row>
    <row r="5441" spans="3:3" ht="15" customHeight="1">
      <c r="C5441" s="70" t="str">
        <f t="shared" si="86"/>
        <v/>
      </c>
    </row>
    <row r="5442" spans="3:3" ht="15" customHeight="1">
      <c r="C5442" s="70" t="str">
        <f t="shared" si="86"/>
        <v/>
      </c>
    </row>
    <row r="5443" spans="3:3" ht="15" customHeight="1">
      <c r="C5443" s="70" t="str">
        <f t="shared" si="86"/>
        <v/>
      </c>
    </row>
    <row r="5444" spans="3:3" ht="15" customHeight="1">
      <c r="C5444" s="70" t="str">
        <f t="shared" si="86"/>
        <v/>
      </c>
    </row>
    <row r="5445" spans="3:3" ht="15" customHeight="1">
      <c r="C5445" s="70" t="str">
        <f t="shared" si="86"/>
        <v/>
      </c>
    </row>
    <row r="5446" spans="3:3" ht="15" customHeight="1">
      <c r="C5446" s="70" t="str">
        <f t="shared" si="86"/>
        <v/>
      </c>
    </row>
    <row r="5447" spans="3:3" ht="15" customHeight="1">
      <c r="C5447" s="70" t="str">
        <f t="shared" si="86"/>
        <v/>
      </c>
    </row>
    <row r="5448" spans="3:3" ht="15" customHeight="1">
      <c r="C5448" s="70" t="str">
        <f t="shared" si="86"/>
        <v/>
      </c>
    </row>
    <row r="5449" spans="3:3" ht="15" customHeight="1">
      <c r="C5449" s="70" t="str">
        <f t="shared" si="86"/>
        <v/>
      </c>
    </row>
    <row r="5450" spans="3:3" ht="15" customHeight="1">
      <c r="C5450" s="70" t="str">
        <f t="shared" si="86"/>
        <v/>
      </c>
    </row>
    <row r="5451" spans="3:3" ht="15" customHeight="1">
      <c r="C5451" s="70" t="str">
        <f t="shared" si="86"/>
        <v/>
      </c>
    </row>
    <row r="5452" spans="3:3" ht="15" customHeight="1">
      <c r="C5452" s="70" t="str">
        <f t="shared" si="86"/>
        <v/>
      </c>
    </row>
    <row r="5453" spans="3:3" ht="15" customHeight="1">
      <c r="C5453" s="70" t="str">
        <f t="shared" si="86"/>
        <v/>
      </c>
    </row>
    <row r="5454" spans="3:3" ht="15" customHeight="1">
      <c r="C5454" s="70" t="str">
        <f t="shared" si="86"/>
        <v/>
      </c>
    </row>
    <row r="5455" spans="3:3" ht="15" customHeight="1">
      <c r="C5455" s="70" t="str">
        <f t="shared" si="86"/>
        <v/>
      </c>
    </row>
    <row r="5456" spans="3:3" ht="15" customHeight="1">
      <c r="C5456" s="70" t="str">
        <f t="shared" si="86"/>
        <v/>
      </c>
    </row>
    <row r="5457" spans="3:3" ht="15" customHeight="1">
      <c r="C5457" s="70" t="str">
        <f t="shared" ref="C5457:C5520" si="87">IF(B5457&lt;&gt;"",TEXT(WEEKDAY(B5457),"dddd"),"")</f>
        <v/>
      </c>
    </row>
    <row r="5458" spans="3:3" ht="15" customHeight="1">
      <c r="C5458" s="70" t="str">
        <f t="shared" si="87"/>
        <v/>
      </c>
    </row>
    <row r="5459" spans="3:3" ht="15" customHeight="1">
      <c r="C5459" s="70" t="str">
        <f t="shared" si="87"/>
        <v/>
      </c>
    </row>
    <row r="5460" spans="3:3" ht="15" customHeight="1">
      <c r="C5460" s="70" t="str">
        <f t="shared" si="87"/>
        <v/>
      </c>
    </row>
    <row r="5461" spans="3:3" ht="15" customHeight="1">
      <c r="C5461" s="70" t="str">
        <f t="shared" si="87"/>
        <v/>
      </c>
    </row>
    <row r="5462" spans="3:3" ht="15" customHeight="1">
      <c r="C5462" s="70" t="str">
        <f t="shared" si="87"/>
        <v/>
      </c>
    </row>
    <row r="5463" spans="3:3" ht="15" customHeight="1">
      <c r="C5463" s="70" t="str">
        <f t="shared" si="87"/>
        <v/>
      </c>
    </row>
    <row r="5464" spans="3:3" ht="15" customHeight="1">
      <c r="C5464" s="70" t="str">
        <f t="shared" si="87"/>
        <v/>
      </c>
    </row>
    <row r="5465" spans="3:3" ht="15" customHeight="1">
      <c r="C5465" s="70" t="str">
        <f t="shared" si="87"/>
        <v/>
      </c>
    </row>
    <row r="5466" spans="3:3" ht="15" customHeight="1">
      <c r="C5466" s="70" t="str">
        <f t="shared" si="87"/>
        <v/>
      </c>
    </row>
    <row r="5467" spans="3:3" ht="15" customHeight="1">
      <c r="C5467" s="70" t="str">
        <f t="shared" si="87"/>
        <v/>
      </c>
    </row>
    <row r="5468" spans="3:3" ht="15" customHeight="1">
      <c r="C5468" s="70" t="str">
        <f t="shared" si="87"/>
        <v/>
      </c>
    </row>
    <row r="5469" spans="3:3" ht="15" customHeight="1">
      <c r="C5469" s="70" t="str">
        <f t="shared" si="87"/>
        <v/>
      </c>
    </row>
    <row r="5470" spans="3:3" ht="15" customHeight="1">
      <c r="C5470" s="70" t="str">
        <f t="shared" si="87"/>
        <v/>
      </c>
    </row>
    <row r="5471" spans="3:3" ht="15" customHeight="1">
      <c r="C5471" s="70" t="str">
        <f t="shared" si="87"/>
        <v/>
      </c>
    </row>
    <row r="5472" spans="3:3" ht="15" customHeight="1">
      <c r="C5472" s="70" t="str">
        <f t="shared" si="87"/>
        <v/>
      </c>
    </row>
    <row r="5473" spans="3:3" ht="15" customHeight="1">
      <c r="C5473" s="70" t="str">
        <f t="shared" si="87"/>
        <v/>
      </c>
    </row>
    <row r="5474" spans="3:3" ht="15" customHeight="1">
      <c r="C5474" s="70" t="str">
        <f t="shared" si="87"/>
        <v/>
      </c>
    </row>
    <row r="5475" spans="3:3" ht="15" customHeight="1">
      <c r="C5475" s="70" t="str">
        <f t="shared" si="87"/>
        <v/>
      </c>
    </row>
    <row r="5476" spans="3:3" ht="15" customHeight="1">
      <c r="C5476" s="70" t="str">
        <f t="shared" si="87"/>
        <v/>
      </c>
    </row>
    <row r="5477" spans="3:3" ht="15" customHeight="1">
      <c r="C5477" s="70" t="str">
        <f t="shared" si="87"/>
        <v/>
      </c>
    </row>
    <row r="5478" spans="3:3" ht="15" customHeight="1">
      <c r="C5478" s="70" t="str">
        <f t="shared" si="87"/>
        <v/>
      </c>
    </row>
    <row r="5479" spans="3:3" ht="15" customHeight="1">
      <c r="C5479" s="70" t="str">
        <f t="shared" si="87"/>
        <v/>
      </c>
    </row>
    <row r="5480" spans="3:3" ht="15" customHeight="1">
      <c r="C5480" s="70" t="str">
        <f t="shared" si="87"/>
        <v/>
      </c>
    </row>
    <row r="5481" spans="3:3" ht="15" customHeight="1">
      <c r="C5481" s="70" t="str">
        <f t="shared" si="87"/>
        <v/>
      </c>
    </row>
    <row r="5482" spans="3:3" ht="15" customHeight="1">
      <c r="C5482" s="70" t="str">
        <f t="shared" si="87"/>
        <v/>
      </c>
    </row>
    <row r="5483" spans="3:3" ht="15" customHeight="1">
      <c r="C5483" s="70" t="str">
        <f t="shared" si="87"/>
        <v/>
      </c>
    </row>
    <row r="5484" spans="3:3" ht="15" customHeight="1">
      <c r="C5484" s="70" t="str">
        <f t="shared" si="87"/>
        <v/>
      </c>
    </row>
    <row r="5485" spans="3:3" ht="15" customHeight="1">
      <c r="C5485" s="70" t="str">
        <f t="shared" si="87"/>
        <v/>
      </c>
    </row>
    <row r="5486" spans="3:3" ht="15" customHeight="1">
      <c r="C5486" s="70" t="str">
        <f t="shared" si="87"/>
        <v/>
      </c>
    </row>
    <row r="5487" spans="3:3" ht="15" customHeight="1">
      <c r="C5487" s="70" t="str">
        <f t="shared" si="87"/>
        <v/>
      </c>
    </row>
    <row r="5488" spans="3:3" ht="15" customHeight="1">
      <c r="C5488" s="70" t="str">
        <f t="shared" si="87"/>
        <v/>
      </c>
    </row>
    <row r="5489" spans="3:3" ht="15" customHeight="1">
      <c r="C5489" s="70" t="str">
        <f t="shared" si="87"/>
        <v/>
      </c>
    </row>
    <row r="5490" spans="3:3" ht="15" customHeight="1">
      <c r="C5490" s="70" t="str">
        <f t="shared" si="87"/>
        <v/>
      </c>
    </row>
    <row r="5491" spans="3:3" ht="15" customHeight="1">
      <c r="C5491" s="70" t="str">
        <f t="shared" si="87"/>
        <v/>
      </c>
    </row>
    <row r="5492" spans="3:3" ht="15" customHeight="1">
      <c r="C5492" s="70" t="str">
        <f t="shared" si="87"/>
        <v/>
      </c>
    </row>
    <row r="5493" spans="3:3" ht="15" customHeight="1">
      <c r="C5493" s="70" t="str">
        <f t="shared" si="87"/>
        <v/>
      </c>
    </row>
    <row r="5494" spans="3:3" ht="15" customHeight="1">
      <c r="C5494" s="70" t="str">
        <f t="shared" si="87"/>
        <v/>
      </c>
    </row>
    <row r="5495" spans="3:3" ht="15" customHeight="1">
      <c r="C5495" s="70" t="str">
        <f t="shared" si="87"/>
        <v/>
      </c>
    </row>
    <row r="5496" spans="3:3" ht="15" customHeight="1">
      <c r="C5496" s="70" t="str">
        <f t="shared" si="87"/>
        <v/>
      </c>
    </row>
    <row r="5497" spans="3:3" ht="15" customHeight="1">
      <c r="C5497" s="70" t="str">
        <f t="shared" si="87"/>
        <v/>
      </c>
    </row>
    <row r="5498" spans="3:3" ht="15" customHeight="1">
      <c r="C5498" s="70" t="str">
        <f t="shared" si="87"/>
        <v/>
      </c>
    </row>
    <row r="5499" spans="3:3" ht="15" customHeight="1">
      <c r="C5499" s="70" t="str">
        <f t="shared" si="87"/>
        <v/>
      </c>
    </row>
    <row r="5500" spans="3:3" ht="15" customHeight="1">
      <c r="C5500" s="70" t="str">
        <f t="shared" si="87"/>
        <v/>
      </c>
    </row>
    <row r="5501" spans="3:3" ht="15" customHeight="1">
      <c r="C5501" s="70" t="str">
        <f t="shared" si="87"/>
        <v/>
      </c>
    </row>
    <row r="5502" spans="3:3" ht="15" customHeight="1">
      <c r="C5502" s="70" t="str">
        <f t="shared" si="87"/>
        <v/>
      </c>
    </row>
    <row r="5503" spans="3:3" ht="15" customHeight="1">
      <c r="C5503" s="70" t="str">
        <f t="shared" si="87"/>
        <v/>
      </c>
    </row>
    <row r="5504" spans="3:3" ht="15" customHeight="1">
      <c r="C5504" s="70" t="str">
        <f t="shared" si="87"/>
        <v/>
      </c>
    </row>
    <row r="5505" spans="3:3" ht="15" customHeight="1">
      <c r="C5505" s="70" t="str">
        <f t="shared" si="87"/>
        <v/>
      </c>
    </row>
    <row r="5506" spans="3:3" ht="15" customHeight="1">
      <c r="C5506" s="70" t="str">
        <f t="shared" si="87"/>
        <v/>
      </c>
    </row>
    <row r="5507" spans="3:3" ht="15" customHeight="1">
      <c r="C5507" s="70" t="str">
        <f t="shared" si="87"/>
        <v/>
      </c>
    </row>
    <row r="5508" spans="3:3" ht="15" customHeight="1">
      <c r="C5508" s="70" t="str">
        <f t="shared" si="87"/>
        <v/>
      </c>
    </row>
    <row r="5509" spans="3:3" ht="15" customHeight="1">
      <c r="C5509" s="70" t="str">
        <f t="shared" si="87"/>
        <v/>
      </c>
    </row>
    <row r="5510" spans="3:3" ht="15" customHeight="1">
      <c r="C5510" s="70" t="str">
        <f t="shared" si="87"/>
        <v/>
      </c>
    </row>
    <row r="5511" spans="3:3" ht="15" customHeight="1">
      <c r="C5511" s="70" t="str">
        <f t="shared" si="87"/>
        <v/>
      </c>
    </row>
    <row r="5512" spans="3:3" ht="15" customHeight="1">
      <c r="C5512" s="70" t="str">
        <f t="shared" si="87"/>
        <v/>
      </c>
    </row>
    <row r="5513" spans="3:3" ht="15" customHeight="1">
      <c r="C5513" s="70" t="str">
        <f t="shared" si="87"/>
        <v/>
      </c>
    </row>
    <row r="5514" spans="3:3" ht="15" customHeight="1">
      <c r="C5514" s="70" t="str">
        <f t="shared" si="87"/>
        <v/>
      </c>
    </row>
    <row r="5515" spans="3:3" ht="15" customHeight="1">
      <c r="C5515" s="70" t="str">
        <f t="shared" si="87"/>
        <v/>
      </c>
    </row>
    <row r="5516" spans="3:3" ht="15" customHeight="1">
      <c r="C5516" s="70" t="str">
        <f t="shared" si="87"/>
        <v/>
      </c>
    </row>
    <row r="5517" spans="3:3" ht="15" customHeight="1">
      <c r="C5517" s="70" t="str">
        <f t="shared" si="87"/>
        <v/>
      </c>
    </row>
    <row r="5518" spans="3:3" ht="15" customHeight="1">
      <c r="C5518" s="70" t="str">
        <f t="shared" si="87"/>
        <v/>
      </c>
    </row>
    <row r="5519" spans="3:3" ht="15" customHeight="1">
      <c r="C5519" s="70" t="str">
        <f t="shared" si="87"/>
        <v/>
      </c>
    </row>
    <row r="5520" spans="3:3" ht="15" customHeight="1">
      <c r="C5520" s="70" t="str">
        <f t="shared" si="87"/>
        <v/>
      </c>
    </row>
    <row r="5521" spans="3:3" ht="15" customHeight="1">
      <c r="C5521" s="70" t="str">
        <f t="shared" ref="C5521:C5584" si="88">IF(B5521&lt;&gt;"",TEXT(WEEKDAY(B5521),"dddd"),"")</f>
        <v/>
      </c>
    </row>
    <row r="5522" spans="3:3" ht="15" customHeight="1">
      <c r="C5522" s="70" t="str">
        <f t="shared" si="88"/>
        <v/>
      </c>
    </row>
    <row r="5523" spans="3:3" ht="15" customHeight="1">
      <c r="C5523" s="70" t="str">
        <f t="shared" si="88"/>
        <v/>
      </c>
    </row>
    <row r="5524" spans="3:3" ht="15" customHeight="1">
      <c r="C5524" s="70" t="str">
        <f t="shared" si="88"/>
        <v/>
      </c>
    </row>
    <row r="5525" spans="3:3" ht="15" customHeight="1">
      <c r="C5525" s="70" t="str">
        <f t="shared" si="88"/>
        <v/>
      </c>
    </row>
    <row r="5526" spans="3:3" ht="15" customHeight="1">
      <c r="C5526" s="70" t="str">
        <f t="shared" si="88"/>
        <v/>
      </c>
    </row>
    <row r="5527" spans="3:3" ht="15" customHeight="1">
      <c r="C5527" s="70" t="str">
        <f t="shared" si="88"/>
        <v/>
      </c>
    </row>
    <row r="5528" spans="3:3" ht="15" customHeight="1">
      <c r="C5528" s="70" t="str">
        <f t="shared" si="88"/>
        <v/>
      </c>
    </row>
    <row r="5529" spans="3:3" ht="15" customHeight="1">
      <c r="C5529" s="70" t="str">
        <f t="shared" si="88"/>
        <v/>
      </c>
    </row>
    <row r="5530" spans="3:3" ht="15" customHeight="1">
      <c r="C5530" s="70" t="str">
        <f t="shared" si="88"/>
        <v/>
      </c>
    </row>
    <row r="5531" spans="3:3" ht="15" customHeight="1">
      <c r="C5531" s="70" t="str">
        <f t="shared" si="88"/>
        <v/>
      </c>
    </row>
    <row r="5532" spans="3:3" ht="15" customHeight="1">
      <c r="C5532" s="70" t="str">
        <f t="shared" si="88"/>
        <v/>
      </c>
    </row>
    <row r="5533" spans="3:3" ht="15" customHeight="1">
      <c r="C5533" s="70" t="str">
        <f t="shared" si="88"/>
        <v/>
      </c>
    </row>
    <row r="5534" spans="3:3" ht="15" customHeight="1">
      <c r="C5534" s="70" t="str">
        <f t="shared" si="88"/>
        <v/>
      </c>
    </row>
    <row r="5535" spans="3:3" ht="15" customHeight="1">
      <c r="C5535" s="70" t="str">
        <f t="shared" si="88"/>
        <v/>
      </c>
    </row>
    <row r="5536" spans="3:3" ht="15" customHeight="1">
      <c r="C5536" s="70" t="str">
        <f t="shared" si="88"/>
        <v/>
      </c>
    </row>
    <row r="5537" spans="3:3" ht="15" customHeight="1">
      <c r="C5537" s="70" t="str">
        <f t="shared" si="88"/>
        <v/>
      </c>
    </row>
    <row r="5538" spans="3:3" ht="15" customHeight="1">
      <c r="C5538" s="70" t="str">
        <f t="shared" si="88"/>
        <v/>
      </c>
    </row>
    <row r="5539" spans="3:3" ht="15" customHeight="1">
      <c r="C5539" s="70" t="str">
        <f t="shared" si="88"/>
        <v/>
      </c>
    </row>
    <row r="5540" spans="3:3" ht="15" customHeight="1">
      <c r="C5540" s="70" t="str">
        <f t="shared" si="88"/>
        <v/>
      </c>
    </row>
    <row r="5541" spans="3:3" ht="15" customHeight="1">
      <c r="C5541" s="70" t="str">
        <f t="shared" si="88"/>
        <v/>
      </c>
    </row>
    <row r="5542" spans="3:3" ht="15" customHeight="1">
      <c r="C5542" s="70" t="str">
        <f t="shared" si="88"/>
        <v/>
      </c>
    </row>
    <row r="5543" spans="3:3" ht="15" customHeight="1">
      <c r="C5543" s="70" t="str">
        <f t="shared" si="88"/>
        <v/>
      </c>
    </row>
    <row r="5544" spans="3:3" ht="15" customHeight="1">
      <c r="C5544" s="70" t="str">
        <f t="shared" si="88"/>
        <v/>
      </c>
    </row>
    <row r="5545" spans="3:3" ht="15" customHeight="1">
      <c r="C5545" s="70" t="str">
        <f t="shared" si="88"/>
        <v/>
      </c>
    </row>
    <row r="5546" spans="3:3" ht="15" customHeight="1">
      <c r="C5546" s="70" t="str">
        <f t="shared" si="88"/>
        <v/>
      </c>
    </row>
    <row r="5547" spans="3:3" ht="15" customHeight="1">
      <c r="C5547" s="70" t="str">
        <f t="shared" si="88"/>
        <v/>
      </c>
    </row>
    <row r="5548" spans="3:3" ht="15" customHeight="1">
      <c r="C5548" s="70" t="str">
        <f t="shared" si="88"/>
        <v/>
      </c>
    </row>
    <row r="5549" spans="3:3" ht="15" customHeight="1">
      <c r="C5549" s="70" t="str">
        <f t="shared" si="88"/>
        <v/>
      </c>
    </row>
    <row r="5550" spans="3:3" ht="15" customHeight="1">
      <c r="C5550" s="70" t="str">
        <f t="shared" si="88"/>
        <v/>
      </c>
    </row>
    <row r="5551" spans="3:3" ht="15" customHeight="1">
      <c r="C5551" s="70" t="str">
        <f t="shared" si="88"/>
        <v/>
      </c>
    </row>
    <row r="5552" spans="3:3" ht="15" customHeight="1">
      <c r="C5552" s="70" t="str">
        <f t="shared" si="88"/>
        <v/>
      </c>
    </row>
    <row r="5553" spans="3:3" ht="15" customHeight="1">
      <c r="C5553" s="70" t="str">
        <f t="shared" si="88"/>
        <v/>
      </c>
    </row>
    <row r="5554" spans="3:3" ht="15" customHeight="1">
      <c r="C5554" s="70" t="str">
        <f t="shared" si="88"/>
        <v/>
      </c>
    </row>
    <row r="5555" spans="3:3" ht="15" customHeight="1">
      <c r="C5555" s="70" t="str">
        <f t="shared" si="88"/>
        <v/>
      </c>
    </row>
    <row r="5556" spans="3:3" ht="15" customHeight="1">
      <c r="C5556" s="70" t="str">
        <f t="shared" si="88"/>
        <v/>
      </c>
    </row>
    <row r="5557" spans="3:3" ht="15" customHeight="1">
      <c r="C5557" s="70" t="str">
        <f t="shared" si="88"/>
        <v/>
      </c>
    </row>
    <row r="5558" spans="3:3" ht="15" customHeight="1">
      <c r="C5558" s="70" t="str">
        <f t="shared" si="88"/>
        <v/>
      </c>
    </row>
    <row r="5559" spans="3:3" ht="15" customHeight="1">
      <c r="C5559" s="70" t="str">
        <f t="shared" si="88"/>
        <v/>
      </c>
    </row>
    <row r="5560" spans="3:3" ht="15" customHeight="1">
      <c r="C5560" s="70" t="str">
        <f t="shared" si="88"/>
        <v/>
      </c>
    </row>
    <row r="5561" spans="3:3" ht="15" customHeight="1">
      <c r="C5561" s="70" t="str">
        <f t="shared" si="88"/>
        <v/>
      </c>
    </row>
    <row r="5562" spans="3:3" ht="15" customHeight="1">
      <c r="C5562" s="70" t="str">
        <f t="shared" si="88"/>
        <v/>
      </c>
    </row>
    <row r="5563" spans="3:3" ht="15" customHeight="1">
      <c r="C5563" s="70" t="str">
        <f t="shared" si="88"/>
        <v/>
      </c>
    </row>
    <row r="5564" spans="3:3" ht="15" customHeight="1">
      <c r="C5564" s="70" t="str">
        <f t="shared" si="88"/>
        <v/>
      </c>
    </row>
    <row r="5565" spans="3:3" ht="15" customHeight="1">
      <c r="C5565" s="70" t="str">
        <f t="shared" si="88"/>
        <v/>
      </c>
    </row>
    <row r="5566" spans="3:3" ht="15" customHeight="1">
      <c r="C5566" s="70" t="str">
        <f t="shared" si="88"/>
        <v/>
      </c>
    </row>
    <row r="5567" spans="3:3" ht="15" customHeight="1">
      <c r="C5567" s="70" t="str">
        <f t="shared" si="88"/>
        <v/>
      </c>
    </row>
    <row r="5568" spans="3:3" ht="15" customHeight="1">
      <c r="C5568" s="70" t="str">
        <f t="shared" si="88"/>
        <v/>
      </c>
    </row>
    <row r="5569" spans="3:3" ht="15" customHeight="1">
      <c r="C5569" s="70" t="str">
        <f t="shared" si="88"/>
        <v/>
      </c>
    </row>
    <row r="5570" spans="3:3" ht="15" customHeight="1">
      <c r="C5570" s="70" t="str">
        <f t="shared" si="88"/>
        <v/>
      </c>
    </row>
    <row r="5571" spans="3:3" ht="15" customHeight="1">
      <c r="C5571" s="70" t="str">
        <f t="shared" si="88"/>
        <v/>
      </c>
    </row>
    <row r="5572" spans="3:3" ht="15" customHeight="1">
      <c r="C5572" s="70" t="str">
        <f t="shared" si="88"/>
        <v/>
      </c>
    </row>
    <row r="5573" spans="3:3" ht="15" customHeight="1">
      <c r="C5573" s="70" t="str">
        <f t="shared" si="88"/>
        <v/>
      </c>
    </row>
    <row r="5574" spans="3:3" ht="15" customHeight="1">
      <c r="C5574" s="70" t="str">
        <f t="shared" si="88"/>
        <v/>
      </c>
    </row>
    <row r="5575" spans="3:3" ht="15" customHeight="1">
      <c r="C5575" s="70" t="str">
        <f t="shared" si="88"/>
        <v/>
      </c>
    </row>
    <row r="5576" spans="3:3" ht="15" customHeight="1">
      <c r="C5576" s="70" t="str">
        <f t="shared" si="88"/>
        <v/>
      </c>
    </row>
    <row r="5577" spans="3:3" ht="15" customHeight="1">
      <c r="C5577" s="70" t="str">
        <f t="shared" si="88"/>
        <v/>
      </c>
    </row>
    <row r="5578" spans="3:3" ht="15" customHeight="1">
      <c r="C5578" s="70" t="str">
        <f t="shared" si="88"/>
        <v/>
      </c>
    </row>
    <row r="5579" spans="3:3" ht="15" customHeight="1">
      <c r="C5579" s="70" t="str">
        <f t="shared" si="88"/>
        <v/>
      </c>
    </row>
    <row r="5580" spans="3:3" ht="15" customHeight="1">
      <c r="C5580" s="70" t="str">
        <f t="shared" si="88"/>
        <v/>
      </c>
    </row>
    <row r="5581" spans="3:3" ht="15" customHeight="1">
      <c r="C5581" s="70" t="str">
        <f t="shared" si="88"/>
        <v/>
      </c>
    </row>
    <row r="5582" spans="3:3" ht="15" customHeight="1">
      <c r="C5582" s="70" t="str">
        <f t="shared" si="88"/>
        <v/>
      </c>
    </row>
    <row r="5583" spans="3:3" ht="15" customHeight="1">
      <c r="C5583" s="70" t="str">
        <f t="shared" si="88"/>
        <v/>
      </c>
    </row>
    <row r="5584" spans="3:3" ht="15" customHeight="1">
      <c r="C5584" s="70" t="str">
        <f t="shared" si="88"/>
        <v/>
      </c>
    </row>
    <row r="5585" spans="3:3" ht="15" customHeight="1">
      <c r="C5585" s="70" t="str">
        <f t="shared" ref="C5585:C5648" si="89">IF(B5585&lt;&gt;"",TEXT(WEEKDAY(B5585),"dddd"),"")</f>
        <v/>
      </c>
    </row>
    <row r="5586" spans="3:3" ht="15" customHeight="1">
      <c r="C5586" s="70" t="str">
        <f t="shared" si="89"/>
        <v/>
      </c>
    </row>
    <row r="5587" spans="3:3" ht="15" customHeight="1">
      <c r="C5587" s="70" t="str">
        <f t="shared" si="89"/>
        <v/>
      </c>
    </row>
    <row r="5588" spans="3:3" ht="15" customHeight="1">
      <c r="C5588" s="70" t="str">
        <f t="shared" si="89"/>
        <v/>
      </c>
    </row>
    <row r="5589" spans="3:3" ht="15" customHeight="1">
      <c r="C5589" s="70" t="str">
        <f t="shared" si="89"/>
        <v/>
      </c>
    </row>
    <row r="5590" spans="3:3" ht="15" customHeight="1">
      <c r="C5590" s="70" t="str">
        <f t="shared" si="89"/>
        <v/>
      </c>
    </row>
    <row r="5591" spans="3:3" ht="15" customHeight="1">
      <c r="C5591" s="70" t="str">
        <f t="shared" si="89"/>
        <v/>
      </c>
    </row>
    <row r="5592" spans="3:3" ht="15" customHeight="1">
      <c r="C5592" s="70" t="str">
        <f t="shared" si="89"/>
        <v/>
      </c>
    </row>
    <row r="5593" spans="3:3" ht="15" customHeight="1">
      <c r="C5593" s="70" t="str">
        <f t="shared" si="89"/>
        <v/>
      </c>
    </row>
    <row r="5594" spans="3:3" ht="15" customHeight="1">
      <c r="C5594" s="70" t="str">
        <f t="shared" si="89"/>
        <v/>
      </c>
    </row>
    <row r="5595" spans="3:3" ht="15" customHeight="1">
      <c r="C5595" s="70" t="str">
        <f t="shared" si="89"/>
        <v/>
      </c>
    </row>
    <row r="5596" spans="3:3" ht="15" customHeight="1">
      <c r="C5596" s="70" t="str">
        <f t="shared" si="89"/>
        <v/>
      </c>
    </row>
    <row r="5597" spans="3:3" ht="15" customHeight="1">
      <c r="C5597" s="70" t="str">
        <f t="shared" si="89"/>
        <v/>
      </c>
    </row>
    <row r="5598" spans="3:3" ht="15" customHeight="1">
      <c r="C5598" s="70" t="str">
        <f t="shared" si="89"/>
        <v/>
      </c>
    </row>
    <row r="5599" spans="3:3" ht="15" customHeight="1">
      <c r="C5599" s="70" t="str">
        <f t="shared" si="89"/>
        <v/>
      </c>
    </row>
    <row r="5600" spans="3:3" ht="15" customHeight="1">
      <c r="C5600" s="70" t="str">
        <f t="shared" si="89"/>
        <v/>
      </c>
    </row>
    <row r="5601" spans="3:3" ht="15" customHeight="1">
      <c r="C5601" s="70" t="str">
        <f t="shared" si="89"/>
        <v/>
      </c>
    </row>
    <row r="5602" spans="3:3" ht="15" customHeight="1">
      <c r="C5602" s="70" t="str">
        <f t="shared" si="89"/>
        <v/>
      </c>
    </row>
    <row r="5603" spans="3:3" ht="15" customHeight="1">
      <c r="C5603" s="70" t="str">
        <f t="shared" si="89"/>
        <v/>
      </c>
    </row>
    <row r="5604" spans="3:3" ht="15" customHeight="1">
      <c r="C5604" s="70" t="str">
        <f t="shared" si="89"/>
        <v/>
      </c>
    </row>
    <row r="5605" spans="3:3" ht="15" customHeight="1">
      <c r="C5605" s="70" t="str">
        <f t="shared" si="89"/>
        <v/>
      </c>
    </row>
    <row r="5606" spans="3:3" ht="15" customHeight="1">
      <c r="C5606" s="70" t="str">
        <f t="shared" si="89"/>
        <v/>
      </c>
    </row>
    <row r="5607" spans="3:3" ht="15" customHeight="1">
      <c r="C5607" s="70" t="str">
        <f t="shared" si="89"/>
        <v/>
      </c>
    </row>
    <row r="5608" spans="3:3" ht="15" customHeight="1">
      <c r="C5608" s="70" t="str">
        <f t="shared" si="89"/>
        <v/>
      </c>
    </row>
    <row r="5609" spans="3:3" ht="15" customHeight="1">
      <c r="C5609" s="70" t="str">
        <f t="shared" si="89"/>
        <v/>
      </c>
    </row>
    <row r="5610" spans="3:3" ht="15" customHeight="1">
      <c r="C5610" s="70" t="str">
        <f t="shared" si="89"/>
        <v/>
      </c>
    </row>
    <row r="5611" spans="3:3" ht="15" customHeight="1">
      <c r="C5611" s="70" t="str">
        <f t="shared" si="89"/>
        <v/>
      </c>
    </row>
    <row r="5612" spans="3:3" ht="15" customHeight="1">
      <c r="C5612" s="70" t="str">
        <f t="shared" si="89"/>
        <v/>
      </c>
    </row>
    <row r="5613" spans="3:3" ht="15" customHeight="1">
      <c r="C5613" s="70" t="str">
        <f t="shared" si="89"/>
        <v/>
      </c>
    </row>
    <row r="5614" spans="3:3" ht="15" customHeight="1">
      <c r="C5614" s="70" t="str">
        <f t="shared" si="89"/>
        <v/>
      </c>
    </row>
    <row r="5615" spans="3:3" ht="15" customHeight="1">
      <c r="C5615" s="70" t="str">
        <f t="shared" si="89"/>
        <v/>
      </c>
    </row>
    <row r="5616" spans="3:3" ht="15" customHeight="1">
      <c r="C5616" s="70" t="str">
        <f t="shared" si="89"/>
        <v/>
      </c>
    </row>
    <row r="5617" spans="3:3" ht="15" customHeight="1">
      <c r="C5617" s="70" t="str">
        <f t="shared" si="89"/>
        <v/>
      </c>
    </row>
    <row r="5618" spans="3:3" ht="15" customHeight="1">
      <c r="C5618" s="70" t="str">
        <f t="shared" si="89"/>
        <v/>
      </c>
    </row>
    <row r="5619" spans="3:3" ht="15" customHeight="1">
      <c r="C5619" s="70" t="str">
        <f t="shared" si="89"/>
        <v/>
      </c>
    </row>
    <row r="5620" spans="3:3" ht="15" customHeight="1">
      <c r="C5620" s="70" t="str">
        <f t="shared" si="89"/>
        <v/>
      </c>
    </row>
    <row r="5621" spans="3:3" ht="15" customHeight="1">
      <c r="C5621" s="70" t="str">
        <f t="shared" si="89"/>
        <v/>
      </c>
    </row>
    <row r="5622" spans="3:3" ht="15" customHeight="1">
      <c r="C5622" s="70" t="str">
        <f t="shared" si="89"/>
        <v/>
      </c>
    </row>
    <row r="5623" spans="3:3" ht="15" customHeight="1">
      <c r="C5623" s="70" t="str">
        <f t="shared" si="89"/>
        <v/>
      </c>
    </row>
    <row r="5624" spans="3:3" ht="15" customHeight="1">
      <c r="C5624" s="70" t="str">
        <f t="shared" si="89"/>
        <v/>
      </c>
    </row>
    <row r="5625" spans="3:3" ht="15" customHeight="1">
      <c r="C5625" s="70" t="str">
        <f t="shared" si="89"/>
        <v/>
      </c>
    </row>
    <row r="5626" spans="3:3" ht="15" customHeight="1">
      <c r="C5626" s="70" t="str">
        <f t="shared" si="89"/>
        <v/>
      </c>
    </row>
    <row r="5627" spans="3:3" ht="15" customHeight="1">
      <c r="C5627" s="70" t="str">
        <f t="shared" si="89"/>
        <v/>
      </c>
    </row>
    <row r="5628" spans="3:3" ht="15" customHeight="1">
      <c r="C5628" s="70" t="str">
        <f t="shared" si="89"/>
        <v/>
      </c>
    </row>
    <row r="5629" spans="3:3" ht="15" customHeight="1">
      <c r="C5629" s="70" t="str">
        <f t="shared" si="89"/>
        <v/>
      </c>
    </row>
    <row r="5630" spans="3:3" ht="15" customHeight="1">
      <c r="C5630" s="70" t="str">
        <f t="shared" si="89"/>
        <v/>
      </c>
    </row>
    <row r="5631" spans="3:3" ht="15" customHeight="1">
      <c r="C5631" s="70" t="str">
        <f t="shared" si="89"/>
        <v/>
      </c>
    </row>
    <row r="5632" spans="3:3" ht="15" customHeight="1">
      <c r="C5632" s="70" t="str">
        <f t="shared" si="89"/>
        <v/>
      </c>
    </row>
    <row r="5633" spans="3:3" ht="15" customHeight="1">
      <c r="C5633" s="70" t="str">
        <f t="shared" si="89"/>
        <v/>
      </c>
    </row>
    <row r="5634" spans="3:3" ht="15" customHeight="1">
      <c r="C5634" s="70" t="str">
        <f t="shared" si="89"/>
        <v/>
      </c>
    </row>
    <row r="5635" spans="3:3" ht="15" customHeight="1">
      <c r="C5635" s="70" t="str">
        <f t="shared" si="89"/>
        <v/>
      </c>
    </row>
    <row r="5636" spans="3:3" ht="15" customHeight="1">
      <c r="C5636" s="70" t="str">
        <f t="shared" si="89"/>
        <v/>
      </c>
    </row>
    <row r="5637" spans="3:3" ht="15" customHeight="1">
      <c r="C5637" s="70" t="str">
        <f t="shared" si="89"/>
        <v/>
      </c>
    </row>
    <row r="5638" spans="3:3" ht="15" customHeight="1">
      <c r="C5638" s="70" t="str">
        <f t="shared" si="89"/>
        <v/>
      </c>
    </row>
    <row r="5639" spans="3:3" ht="15" customHeight="1">
      <c r="C5639" s="70" t="str">
        <f t="shared" si="89"/>
        <v/>
      </c>
    </row>
    <row r="5640" spans="3:3" ht="15" customHeight="1">
      <c r="C5640" s="70" t="str">
        <f t="shared" si="89"/>
        <v/>
      </c>
    </row>
    <row r="5641" spans="3:3" ht="15" customHeight="1">
      <c r="C5641" s="70" t="str">
        <f t="shared" si="89"/>
        <v/>
      </c>
    </row>
    <row r="5642" spans="3:3" ht="15" customHeight="1">
      <c r="C5642" s="70" t="str">
        <f t="shared" si="89"/>
        <v/>
      </c>
    </row>
    <row r="5643" spans="3:3" ht="15" customHeight="1">
      <c r="C5643" s="70" t="str">
        <f t="shared" si="89"/>
        <v/>
      </c>
    </row>
    <row r="5644" spans="3:3" ht="15" customHeight="1">
      <c r="C5644" s="70" t="str">
        <f t="shared" si="89"/>
        <v/>
      </c>
    </row>
    <row r="5645" spans="3:3" ht="15" customHeight="1">
      <c r="C5645" s="70" t="str">
        <f t="shared" si="89"/>
        <v/>
      </c>
    </row>
    <row r="5646" spans="3:3" ht="15" customHeight="1">
      <c r="C5646" s="70" t="str">
        <f t="shared" si="89"/>
        <v/>
      </c>
    </row>
    <row r="5647" spans="3:3" ht="15" customHeight="1">
      <c r="C5647" s="70" t="str">
        <f t="shared" si="89"/>
        <v/>
      </c>
    </row>
    <row r="5648" spans="3:3" ht="15" customHeight="1">
      <c r="C5648" s="70" t="str">
        <f t="shared" si="89"/>
        <v/>
      </c>
    </row>
    <row r="5649" spans="3:3" ht="15" customHeight="1">
      <c r="C5649" s="70" t="str">
        <f t="shared" ref="C5649:C5712" si="90">IF(B5649&lt;&gt;"",TEXT(WEEKDAY(B5649),"dddd"),"")</f>
        <v/>
      </c>
    </row>
    <row r="5650" spans="3:3" ht="15" customHeight="1">
      <c r="C5650" s="70" t="str">
        <f t="shared" si="90"/>
        <v/>
      </c>
    </row>
    <row r="5651" spans="3:3" ht="15" customHeight="1">
      <c r="C5651" s="70" t="str">
        <f t="shared" si="90"/>
        <v/>
      </c>
    </row>
    <row r="5652" spans="3:3" ht="15" customHeight="1">
      <c r="C5652" s="70" t="str">
        <f t="shared" si="90"/>
        <v/>
      </c>
    </row>
    <row r="5653" spans="3:3" ht="15" customHeight="1">
      <c r="C5653" s="70" t="str">
        <f t="shared" si="90"/>
        <v/>
      </c>
    </row>
    <row r="5654" spans="3:3" ht="15" customHeight="1">
      <c r="C5654" s="70" t="str">
        <f t="shared" si="90"/>
        <v/>
      </c>
    </row>
    <row r="5655" spans="3:3" ht="15" customHeight="1">
      <c r="C5655" s="70" t="str">
        <f t="shared" si="90"/>
        <v/>
      </c>
    </row>
    <row r="5656" spans="3:3" ht="15" customHeight="1">
      <c r="C5656" s="70" t="str">
        <f t="shared" si="90"/>
        <v/>
      </c>
    </row>
    <row r="5657" spans="3:3" ht="15" customHeight="1">
      <c r="C5657" s="70" t="str">
        <f t="shared" si="90"/>
        <v/>
      </c>
    </row>
    <row r="5658" spans="3:3" ht="15" customHeight="1">
      <c r="C5658" s="70" t="str">
        <f t="shared" si="90"/>
        <v/>
      </c>
    </row>
    <row r="5659" spans="3:3" ht="15" customHeight="1">
      <c r="C5659" s="70" t="str">
        <f t="shared" si="90"/>
        <v/>
      </c>
    </row>
    <row r="5660" spans="3:3" ht="15" customHeight="1">
      <c r="C5660" s="70" t="str">
        <f t="shared" si="90"/>
        <v/>
      </c>
    </row>
    <row r="5661" spans="3:3" ht="15" customHeight="1">
      <c r="C5661" s="70" t="str">
        <f t="shared" si="90"/>
        <v/>
      </c>
    </row>
    <row r="5662" spans="3:3" ht="15" customHeight="1">
      <c r="C5662" s="70" t="str">
        <f t="shared" si="90"/>
        <v/>
      </c>
    </row>
    <row r="5663" spans="3:3" ht="15" customHeight="1">
      <c r="C5663" s="70" t="str">
        <f t="shared" si="90"/>
        <v/>
      </c>
    </row>
    <row r="5664" spans="3:3" ht="15" customHeight="1">
      <c r="C5664" s="70" t="str">
        <f t="shared" si="90"/>
        <v/>
      </c>
    </row>
    <row r="5665" spans="3:3" ht="15" customHeight="1">
      <c r="C5665" s="70" t="str">
        <f t="shared" si="90"/>
        <v/>
      </c>
    </row>
    <row r="5666" spans="3:3" ht="15" customHeight="1">
      <c r="C5666" s="70" t="str">
        <f t="shared" si="90"/>
        <v/>
      </c>
    </row>
    <row r="5667" spans="3:3" ht="15" customHeight="1">
      <c r="C5667" s="70" t="str">
        <f t="shared" si="90"/>
        <v/>
      </c>
    </row>
    <row r="5668" spans="3:3" ht="15" customHeight="1">
      <c r="C5668" s="70" t="str">
        <f t="shared" si="90"/>
        <v/>
      </c>
    </row>
    <row r="5669" spans="3:3" ht="15" customHeight="1">
      <c r="C5669" s="70" t="str">
        <f t="shared" si="90"/>
        <v/>
      </c>
    </row>
    <row r="5670" spans="3:3" ht="15" customHeight="1">
      <c r="C5670" s="70" t="str">
        <f t="shared" si="90"/>
        <v/>
      </c>
    </row>
    <row r="5671" spans="3:3" ht="15" customHeight="1">
      <c r="C5671" s="70" t="str">
        <f t="shared" si="90"/>
        <v/>
      </c>
    </row>
    <row r="5672" spans="3:3" ht="15" customHeight="1">
      <c r="C5672" s="70" t="str">
        <f t="shared" si="90"/>
        <v/>
      </c>
    </row>
    <row r="5673" spans="3:3" ht="15" customHeight="1">
      <c r="C5673" s="70" t="str">
        <f t="shared" si="90"/>
        <v/>
      </c>
    </row>
    <row r="5674" spans="3:3" ht="15" customHeight="1">
      <c r="C5674" s="70" t="str">
        <f t="shared" si="90"/>
        <v/>
      </c>
    </row>
    <row r="5675" spans="3:3" ht="15" customHeight="1">
      <c r="C5675" s="70" t="str">
        <f t="shared" si="90"/>
        <v/>
      </c>
    </row>
    <row r="5676" spans="3:3" ht="15" customHeight="1">
      <c r="C5676" s="70" t="str">
        <f t="shared" si="90"/>
        <v/>
      </c>
    </row>
    <row r="5677" spans="3:3" ht="15" customHeight="1">
      <c r="C5677" s="70" t="str">
        <f t="shared" si="90"/>
        <v/>
      </c>
    </row>
    <row r="5678" spans="3:3" ht="15" customHeight="1">
      <c r="C5678" s="70" t="str">
        <f t="shared" si="90"/>
        <v/>
      </c>
    </row>
    <row r="5679" spans="3:3" ht="15" customHeight="1">
      <c r="C5679" s="70" t="str">
        <f t="shared" si="90"/>
        <v/>
      </c>
    </row>
    <row r="5680" spans="3:3" ht="15" customHeight="1">
      <c r="C5680" s="70" t="str">
        <f t="shared" si="90"/>
        <v/>
      </c>
    </row>
    <row r="5681" spans="3:3" ht="15" customHeight="1">
      <c r="C5681" s="70" t="str">
        <f t="shared" si="90"/>
        <v/>
      </c>
    </row>
    <row r="5682" spans="3:3" ht="15" customHeight="1">
      <c r="C5682" s="70" t="str">
        <f t="shared" si="90"/>
        <v/>
      </c>
    </row>
    <row r="5683" spans="3:3" ht="15" customHeight="1">
      <c r="C5683" s="70" t="str">
        <f t="shared" si="90"/>
        <v/>
      </c>
    </row>
    <row r="5684" spans="3:3" ht="15" customHeight="1">
      <c r="C5684" s="70" t="str">
        <f t="shared" si="90"/>
        <v/>
      </c>
    </row>
    <row r="5685" spans="3:3" ht="15" customHeight="1">
      <c r="C5685" s="70" t="str">
        <f t="shared" si="90"/>
        <v/>
      </c>
    </row>
    <row r="5686" spans="3:3" ht="15" customHeight="1">
      <c r="C5686" s="70" t="str">
        <f t="shared" si="90"/>
        <v/>
      </c>
    </row>
    <row r="5687" spans="3:3" ht="15" customHeight="1">
      <c r="C5687" s="70" t="str">
        <f t="shared" si="90"/>
        <v/>
      </c>
    </row>
    <row r="5688" spans="3:3" ht="15" customHeight="1">
      <c r="C5688" s="70" t="str">
        <f t="shared" si="90"/>
        <v/>
      </c>
    </row>
    <row r="5689" spans="3:3" ht="15" customHeight="1">
      <c r="C5689" s="70" t="str">
        <f t="shared" si="90"/>
        <v/>
      </c>
    </row>
    <row r="5690" spans="3:3" ht="15" customHeight="1">
      <c r="C5690" s="70" t="str">
        <f t="shared" si="90"/>
        <v/>
      </c>
    </row>
    <row r="5691" spans="3:3" ht="15" customHeight="1">
      <c r="C5691" s="70" t="str">
        <f t="shared" si="90"/>
        <v/>
      </c>
    </row>
    <row r="5692" spans="3:3" ht="15" customHeight="1">
      <c r="C5692" s="70" t="str">
        <f t="shared" si="90"/>
        <v/>
      </c>
    </row>
    <row r="5693" spans="3:3" ht="15" customHeight="1">
      <c r="C5693" s="70" t="str">
        <f t="shared" si="90"/>
        <v/>
      </c>
    </row>
    <row r="5694" spans="3:3" ht="15" customHeight="1">
      <c r="C5694" s="70" t="str">
        <f t="shared" si="90"/>
        <v/>
      </c>
    </row>
    <row r="5695" spans="3:3" ht="15" customHeight="1">
      <c r="C5695" s="70" t="str">
        <f t="shared" si="90"/>
        <v/>
      </c>
    </row>
    <row r="5696" spans="3:3" ht="15" customHeight="1">
      <c r="C5696" s="70" t="str">
        <f t="shared" si="90"/>
        <v/>
      </c>
    </row>
    <row r="5697" spans="3:3" ht="15" customHeight="1">
      <c r="C5697" s="70" t="str">
        <f t="shared" si="90"/>
        <v/>
      </c>
    </row>
    <row r="5698" spans="3:3" ht="15" customHeight="1">
      <c r="C5698" s="70" t="str">
        <f t="shared" si="90"/>
        <v/>
      </c>
    </row>
    <row r="5699" spans="3:3" ht="15" customHeight="1">
      <c r="C5699" s="70" t="str">
        <f t="shared" si="90"/>
        <v/>
      </c>
    </row>
    <row r="5700" spans="3:3" ht="15" customHeight="1">
      <c r="C5700" s="70" t="str">
        <f t="shared" si="90"/>
        <v/>
      </c>
    </row>
    <row r="5701" spans="3:3" ht="15" customHeight="1">
      <c r="C5701" s="70" t="str">
        <f t="shared" si="90"/>
        <v/>
      </c>
    </row>
    <row r="5702" spans="3:3" ht="15" customHeight="1">
      <c r="C5702" s="70" t="str">
        <f t="shared" si="90"/>
        <v/>
      </c>
    </row>
    <row r="5703" spans="3:3" ht="15" customHeight="1">
      <c r="C5703" s="70" t="str">
        <f t="shared" si="90"/>
        <v/>
      </c>
    </row>
    <row r="5704" spans="3:3" ht="15" customHeight="1">
      <c r="C5704" s="70" t="str">
        <f t="shared" si="90"/>
        <v/>
      </c>
    </row>
    <row r="5705" spans="3:3" ht="15" customHeight="1">
      <c r="C5705" s="70" t="str">
        <f t="shared" si="90"/>
        <v/>
      </c>
    </row>
    <row r="5706" spans="3:3" ht="15" customHeight="1">
      <c r="C5706" s="70" t="str">
        <f t="shared" si="90"/>
        <v/>
      </c>
    </row>
    <row r="5707" spans="3:3" ht="15" customHeight="1">
      <c r="C5707" s="70" t="str">
        <f t="shared" si="90"/>
        <v/>
      </c>
    </row>
    <row r="5708" spans="3:3" ht="15" customHeight="1">
      <c r="C5708" s="70" t="str">
        <f t="shared" si="90"/>
        <v/>
      </c>
    </row>
    <row r="5709" spans="3:3" ht="15" customHeight="1">
      <c r="C5709" s="70" t="str">
        <f t="shared" si="90"/>
        <v/>
      </c>
    </row>
    <row r="5710" spans="3:3" ht="15" customHeight="1">
      <c r="C5710" s="70" t="str">
        <f t="shared" si="90"/>
        <v/>
      </c>
    </row>
    <row r="5711" spans="3:3" ht="15" customHeight="1">
      <c r="C5711" s="70" t="str">
        <f t="shared" si="90"/>
        <v/>
      </c>
    </row>
    <row r="5712" spans="3:3" ht="15" customHeight="1">
      <c r="C5712" s="70" t="str">
        <f t="shared" si="90"/>
        <v/>
      </c>
    </row>
    <row r="5713" spans="3:3" ht="15" customHeight="1">
      <c r="C5713" s="70" t="str">
        <f t="shared" ref="C5713:C5776" si="91">IF(B5713&lt;&gt;"",TEXT(WEEKDAY(B5713),"dddd"),"")</f>
        <v/>
      </c>
    </row>
    <row r="5714" spans="3:3" ht="15" customHeight="1">
      <c r="C5714" s="70" t="str">
        <f t="shared" si="91"/>
        <v/>
      </c>
    </row>
    <row r="5715" spans="3:3" ht="15" customHeight="1">
      <c r="C5715" s="70" t="str">
        <f t="shared" si="91"/>
        <v/>
      </c>
    </row>
    <row r="5716" spans="3:3" ht="15" customHeight="1">
      <c r="C5716" s="70" t="str">
        <f t="shared" si="91"/>
        <v/>
      </c>
    </row>
    <row r="5717" spans="3:3" ht="15" customHeight="1">
      <c r="C5717" s="70" t="str">
        <f t="shared" si="91"/>
        <v/>
      </c>
    </row>
    <row r="5718" spans="3:3" ht="15" customHeight="1">
      <c r="C5718" s="70" t="str">
        <f t="shared" si="91"/>
        <v/>
      </c>
    </row>
    <row r="5719" spans="3:3" ht="15" customHeight="1">
      <c r="C5719" s="70" t="str">
        <f t="shared" si="91"/>
        <v/>
      </c>
    </row>
    <row r="5720" spans="3:3" ht="15" customHeight="1">
      <c r="C5720" s="70" t="str">
        <f t="shared" si="91"/>
        <v/>
      </c>
    </row>
    <row r="5721" spans="3:3" ht="15" customHeight="1">
      <c r="C5721" s="70" t="str">
        <f t="shared" si="91"/>
        <v/>
      </c>
    </row>
    <row r="5722" spans="3:3" ht="15" customHeight="1">
      <c r="C5722" s="70" t="str">
        <f t="shared" si="91"/>
        <v/>
      </c>
    </row>
    <row r="5723" spans="3:3" ht="15" customHeight="1">
      <c r="C5723" s="70" t="str">
        <f t="shared" si="91"/>
        <v/>
      </c>
    </row>
    <row r="5724" spans="3:3" ht="15" customHeight="1">
      <c r="C5724" s="70" t="str">
        <f t="shared" si="91"/>
        <v/>
      </c>
    </row>
    <row r="5725" spans="3:3" ht="15" customHeight="1">
      <c r="C5725" s="70" t="str">
        <f t="shared" si="91"/>
        <v/>
      </c>
    </row>
    <row r="5726" spans="3:3" ht="15" customHeight="1">
      <c r="C5726" s="70" t="str">
        <f t="shared" si="91"/>
        <v/>
      </c>
    </row>
    <row r="5727" spans="3:3" ht="15" customHeight="1">
      <c r="C5727" s="70" t="str">
        <f t="shared" si="91"/>
        <v/>
      </c>
    </row>
    <row r="5728" spans="3:3" ht="15" customHeight="1">
      <c r="C5728" s="70" t="str">
        <f t="shared" si="91"/>
        <v/>
      </c>
    </row>
    <row r="5729" spans="3:3" ht="15" customHeight="1">
      <c r="C5729" s="70" t="str">
        <f t="shared" si="91"/>
        <v/>
      </c>
    </row>
    <row r="5730" spans="3:3" ht="15" customHeight="1">
      <c r="C5730" s="70" t="str">
        <f t="shared" si="91"/>
        <v/>
      </c>
    </row>
    <row r="5731" spans="3:3" ht="15" customHeight="1">
      <c r="C5731" s="70" t="str">
        <f t="shared" si="91"/>
        <v/>
      </c>
    </row>
    <row r="5732" spans="3:3" ht="15" customHeight="1">
      <c r="C5732" s="70" t="str">
        <f t="shared" si="91"/>
        <v/>
      </c>
    </row>
    <row r="5733" spans="3:3" ht="15" customHeight="1">
      <c r="C5733" s="70" t="str">
        <f t="shared" si="91"/>
        <v/>
      </c>
    </row>
    <row r="5734" spans="3:3" ht="15" customHeight="1">
      <c r="C5734" s="70" t="str">
        <f t="shared" si="91"/>
        <v/>
      </c>
    </row>
    <row r="5735" spans="3:3" ht="15" customHeight="1">
      <c r="C5735" s="70" t="str">
        <f t="shared" si="91"/>
        <v/>
      </c>
    </row>
    <row r="5736" spans="3:3" ht="15" customHeight="1">
      <c r="C5736" s="70" t="str">
        <f t="shared" si="91"/>
        <v/>
      </c>
    </row>
    <row r="5737" spans="3:3" ht="15" customHeight="1">
      <c r="C5737" s="70" t="str">
        <f t="shared" si="91"/>
        <v/>
      </c>
    </row>
    <row r="5738" spans="3:3" ht="15" customHeight="1">
      <c r="C5738" s="70" t="str">
        <f t="shared" si="91"/>
        <v/>
      </c>
    </row>
    <row r="5739" spans="3:3" ht="15" customHeight="1">
      <c r="C5739" s="70" t="str">
        <f t="shared" si="91"/>
        <v/>
      </c>
    </row>
    <row r="5740" spans="3:3" ht="15" customHeight="1">
      <c r="C5740" s="70" t="str">
        <f t="shared" si="91"/>
        <v/>
      </c>
    </row>
    <row r="5741" spans="3:3" ht="15" customHeight="1">
      <c r="C5741" s="70" t="str">
        <f t="shared" si="91"/>
        <v/>
      </c>
    </row>
    <row r="5742" spans="3:3" ht="15" customHeight="1">
      <c r="C5742" s="70" t="str">
        <f t="shared" si="91"/>
        <v/>
      </c>
    </row>
    <row r="5743" spans="3:3" ht="15" customHeight="1">
      <c r="C5743" s="70" t="str">
        <f t="shared" si="91"/>
        <v/>
      </c>
    </row>
    <row r="5744" spans="3:3" ht="15" customHeight="1">
      <c r="C5744" s="70" t="str">
        <f t="shared" si="91"/>
        <v/>
      </c>
    </row>
    <row r="5745" spans="3:3" ht="15" customHeight="1">
      <c r="C5745" s="70" t="str">
        <f t="shared" si="91"/>
        <v/>
      </c>
    </row>
    <row r="5746" spans="3:3" ht="15" customHeight="1">
      <c r="C5746" s="70" t="str">
        <f t="shared" si="91"/>
        <v/>
      </c>
    </row>
    <row r="5747" spans="3:3" ht="15" customHeight="1">
      <c r="C5747" s="70" t="str">
        <f t="shared" si="91"/>
        <v/>
      </c>
    </row>
    <row r="5748" spans="3:3" ht="15" customHeight="1">
      <c r="C5748" s="70" t="str">
        <f t="shared" si="91"/>
        <v/>
      </c>
    </row>
    <row r="5749" spans="3:3" ht="15" customHeight="1">
      <c r="C5749" s="70" t="str">
        <f t="shared" si="91"/>
        <v/>
      </c>
    </row>
    <row r="5750" spans="3:3" ht="15" customHeight="1">
      <c r="C5750" s="70" t="str">
        <f t="shared" si="91"/>
        <v/>
      </c>
    </row>
    <row r="5751" spans="3:3" ht="15" customHeight="1">
      <c r="C5751" s="70" t="str">
        <f t="shared" si="91"/>
        <v/>
      </c>
    </row>
    <row r="5752" spans="3:3" ht="15" customHeight="1">
      <c r="C5752" s="70" t="str">
        <f t="shared" si="91"/>
        <v/>
      </c>
    </row>
    <row r="5753" spans="3:3" ht="15" customHeight="1">
      <c r="C5753" s="70" t="str">
        <f t="shared" si="91"/>
        <v/>
      </c>
    </row>
    <row r="5754" spans="3:3" ht="15" customHeight="1">
      <c r="C5754" s="70" t="str">
        <f t="shared" si="91"/>
        <v/>
      </c>
    </row>
    <row r="5755" spans="3:3" ht="15" customHeight="1">
      <c r="C5755" s="70" t="str">
        <f t="shared" si="91"/>
        <v/>
      </c>
    </row>
    <row r="5756" spans="3:3" ht="15" customHeight="1">
      <c r="C5756" s="70" t="str">
        <f t="shared" si="91"/>
        <v/>
      </c>
    </row>
    <row r="5757" spans="3:3" ht="15" customHeight="1">
      <c r="C5757" s="70" t="str">
        <f t="shared" si="91"/>
        <v/>
      </c>
    </row>
    <row r="5758" spans="3:3" ht="15" customHeight="1">
      <c r="C5758" s="70" t="str">
        <f t="shared" si="91"/>
        <v/>
      </c>
    </row>
    <row r="5759" spans="3:3" ht="15" customHeight="1">
      <c r="C5759" s="70" t="str">
        <f t="shared" si="91"/>
        <v/>
      </c>
    </row>
    <row r="5760" spans="3:3" ht="15" customHeight="1">
      <c r="C5760" s="70" t="str">
        <f t="shared" si="91"/>
        <v/>
      </c>
    </row>
    <row r="5761" spans="3:3" ht="15" customHeight="1">
      <c r="C5761" s="70" t="str">
        <f t="shared" si="91"/>
        <v/>
      </c>
    </row>
    <row r="5762" spans="3:3" ht="15" customHeight="1">
      <c r="C5762" s="70" t="str">
        <f t="shared" si="91"/>
        <v/>
      </c>
    </row>
    <row r="5763" spans="3:3" ht="15" customHeight="1">
      <c r="C5763" s="70" t="str">
        <f t="shared" si="91"/>
        <v/>
      </c>
    </row>
    <row r="5764" spans="3:3" ht="15" customHeight="1">
      <c r="C5764" s="70" t="str">
        <f t="shared" si="91"/>
        <v/>
      </c>
    </row>
    <row r="5765" spans="3:3" ht="15" customHeight="1">
      <c r="C5765" s="70" t="str">
        <f t="shared" si="91"/>
        <v/>
      </c>
    </row>
    <row r="5766" spans="3:3" ht="15" customHeight="1">
      <c r="C5766" s="70" t="str">
        <f t="shared" si="91"/>
        <v/>
      </c>
    </row>
    <row r="5767" spans="3:3" ht="15" customHeight="1">
      <c r="C5767" s="70" t="str">
        <f t="shared" si="91"/>
        <v/>
      </c>
    </row>
    <row r="5768" spans="3:3" ht="15" customHeight="1">
      <c r="C5768" s="70" t="str">
        <f t="shared" si="91"/>
        <v/>
      </c>
    </row>
    <row r="5769" spans="3:3" ht="15" customHeight="1">
      <c r="C5769" s="70" t="str">
        <f t="shared" si="91"/>
        <v/>
      </c>
    </row>
    <row r="5770" spans="3:3" ht="15" customHeight="1">
      <c r="C5770" s="70" t="str">
        <f t="shared" si="91"/>
        <v/>
      </c>
    </row>
    <row r="5771" spans="3:3" ht="15" customHeight="1">
      <c r="C5771" s="70" t="str">
        <f t="shared" si="91"/>
        <v/>
      </c>
    </row>
    <row r="5772" spans="3:3" ht="15" customHeight="1">
      <c r="C5772" s="70" t="str">
        <f t="shared" si="91"/>
        <v/>
      </c>
    </row>
    <row r="5773" spans="3:3" ht="15" customHeight="1">
      <c r="C5773" s="70" t="str">
        <f t="shared" si="91"/>
        <v/>
      </c>
    </row>
    <row r="5774" spans="3:3" ht="15" customHeight="1">
      <c r="C5774" s="70" t="str">
        <f t="shared" si="91"/>
        <v/>
      </c>
    </row>
    <row r="5775" spans="3:3" ht="15" customHeight="1">
      <c r="C5775" s="70" t="str">
        <f t="shared" si="91"/>
        <v/>
      </c>
    </row>
    <row r="5776" spans="3:3" ht="15" customHeight="1">
      <c r="C5776" s="70" t="str">
        <f t="shared" si="91"/>
        <v/>
      </c>
    </row>
    <row r="5777" spans="3:3" ht="15" customHeight="1">
      <c r="C5777" s="70" t="str">
        <f t="shared" ref="C5777:C5840" si="92">IF(B5777&lt;&gt;"",TEXT(WEEKDAY(B5777),"dddd"),"")</f>
        <v/>
      </c>
    </row>
    <row r="5778" spans="3:3" ht="15" customHeight="1">
      <c r="C5778" s="70" t="str">
        <f t="shared" si="92"/>
        <v/>
      </c>
    </row>
    <row r="5779" spans="3:3" ht="15" customHeight="1">
      <c r="C5779" s="70" t="str">
        <f t="shared" si="92"/>
        <v/>
      </c>
    </row>
    <row r="5780" spans="3:3" ht="15" customHeight="1">
      <c r="C5780" s="70" t="str">
        <f t="shared" si="92"/>
        <v/>
      </c>
    </row>
    <row r="5781" spans="3:3" ht="15" customHeight="1">
      <c r="C5781" s="70" t="str">
        <f t="shared" si="92"/>
        <v/>
      </c>
    </row>
    <row r="5782" spans="3:3" ht="15" customHeight="1">
      <c r="C5782" s="70" t="str">
        <f t="shared" si="92"/>
        <v/>
      </c>
    </row>
    <row r="5783" spans="3:3" ht="15" customHeight="1">
      <c r="C5783" s="70" t="str">
        <f t="shared" si="92"/>
        <v/>
      </c>
    </row>
    <row r="5784" spans="3:3" ht="15" customHeight="1">
      <c r="C5784" s="70" t="str">
        <f t="shared" si="92"/>
        <v/>
      </c>
    </row>
    <row r="5785" spans="3:3" ht="15" customHeight="1">
      <c r="C5785" s="70" t="str">
        <f t="shared" si="92"/>
        <v/>
      </c>
    </row>
    <row r="5786" spans="3:3" ht="15" customHeight="1">
      <c r="C5786" s="70" t="str">
        <f t="shared" si="92"/>
        <v/>
      </c>
    </row>
    <row r="5787" spans="3:3" ht="15" customHeight="1">
      <c r="C5787" s="70" t="str">
        <f t="shared" si="92"/>
        <v/>
      </c>
    </row>
    <row r="5788" spans="3:3" ht="15" customHeight="1">
      <c r="C5788" s="70" t="str">
        <f t="shared" si="92"/>
        <v/>
      </c>
    </row>
    <row r="5789" spans="3:3" ht="15" customHeight="1">
      <c r="C5789" s="70" t="str">
        <f t="shared" si="92"/>
        <v/>
      </c>
    </row>
    <row r="5790" spans="3:3" ht="15" customHeight="1">
      <c r="C5790" s="70" t="str">
        <f t="shared" si="92"/>
        <v/>
      </c>
    </row>
    <row r="5791" spans="3:3" ht="15" customHeight="1">
      <c r="C5791" s="70" t="str">
        <f t="shared" si="92"/>
        <v/>
      </c>
    </row>
    <row r="5792" spans="3:3" ht="15" customHeight="1">
      <c r="C5792" s="70" t="str">
        <f t="shared" si="92"/>
        <v/>
      </c>
    </row>
    <row r="5793" spans="3:3" ht="15" customHeight="1">
      <c r="C5793" s="70" t="str">
        <f t="shared" si="92"/>
        <v/>
      </c>
    </row>
    <row r="5794" spans="3:3" ht="15" customHeight="1">
      <c r="C5794" s="70" t="str">
        <f t="shared" si="92"/>
        <v/>
      </c>
    </row>
    <row r="5795" spans="3:3" ht="15" customHeight="1">
      <c r="C5795" s="70" t="str">
        <f t="shared" si="92"/>
        <v/>
      </c>
    </row>
    <row r="5796" spans="3:3" ht="15" customHeight="1">
      <c r="C5796" s="70" t="str">
        <f t="shared" si="92"/>
        <v/>
      </c>
    </row>
    <row r="5797" spans="3:3" ht="15" customHeight="1">
      <c r="C5797" s="70" t="str">
        <f t="shared" si="92"/>
        <v/>
      </c>
    </row>
    <row r="5798" spans="3:3" ht="15" customHeight="1">
      <c r="C5798" s="70" t="str">
        <f t="shared" si="92"/>
        <v/>
      </c>
    </row>
    <row r="5799" spans="3:3" ht="15" customHeight="1">
      <c r="C5799" s="70" t="str">
        <f t="shared" si="92"/>
        <v/>
      </c>
    </row>
    <row r="5800" spans="3:3" ht="15" customHeight="1">
      <c r="C5800" s="70" t="str">
        <f t="shared" si="92"/>
        <v/>
      </c>
    </row>
    <row r="5801" spans="3:3" ht="15" customHeight="1">
      <c r="C5801" s="70" t="str">
        <f t="shared" si="92"/>
        <v/>
      </c>
    </row>
    <row r="5802" spans="3:3" ht="15" customHeight="1">
      <c r="C5802" s="70" t="str">
        <f t="shared" si="92"/>
        <v/>
      </c>
    </row>
    <row r="5803" spans="3:3" ht="15" customHeight="1">
      <c r="C5803" s="70" t="str">
        <f t="shared" si="92"/>
        <v/>
      </c>
    </row>
    <row r="5804" spans="3:3" ht="15" customHeight="1">
      <c r="C5804" s="70" t="str">
        <f t="shared" si="92"/>
        <v/>
      </c>
    </row>
    <row r="5805" spans="3:3" ht="15" customHeight="1">
      <c r="C5805" s="70" t="str">
        <f t="shared" si="92"/>
        <v/>
      </c>
    </row>
    <row r="5806" spans="3:3" ht="15" customHeight="1">
      <c r="C5806" s="70" t="str">
        <f t="shared" si="92"/>
        <v/>
      </c>
    </row>
    <row r="5807" spans="3:3" ht="15" customHeight="1">
      <c r="C5807" s="70" t="str">
        <f t="shared" si="92"/>
        <v/>
      </c>
    </row>
    <row r="5808" spans="3:3" ht="15" customHeight="1">
      <c r="C5808" s="70" t="str">
        <f t="shared" si="92"/>
        <v/>
      </c>
    </row>
    <row r="5809" spans="3:3" ht="15" customHeight="1">
      <c r="C5809" s="70" t="str">
        <f t="shared" si="92"/>
        <v/>
      </c>
    </row>
    <row r="5810" spans="3:3" ht="15" customHeight="1">
      <c r="C5810" s="70" t="str">
        <f t="shared" si="92"/>
        <v/>
      </c>
    </row>
    <row r="5811" spans="3:3" ht="15" customHeight="1">
      <c r="C5811" s="70" t="str">
        <f t="shared" si="92"/>
        <v/>
      </c>
    </row>
    <row r="5812" spans="3:3" ht="15" customHeight="1">
      <c r="C5812" s="70" t="str">
        <f t="shared" si="92"/>
        <v/>
      </c>
    </row>
    <row r="5813" spans="3:3" ht="15" customHeight="1">
      <c r="C5813" s="70" t="str">
        <f t="shared" si="92"/>
        <v/>
      </c>
    </row>
    <row r="5814" spans="3:3" ht="15" customHeight="1">
      <c r="C5814" s="70" t="str">
        <f t="shared" si="92"/>
        <v/>
      </c>
    </row>
    <row r="5815" spans="3:3" ht="15" customHeight="1">
      <c r="C5815" s="70" t="str">
        <f t="shared" si="92"/>
        <v/>
      </c>
    </row>
    <row r="5816" spans="3:3" ht="15" customHeight="1">
      <c r="C5816" s="70" t="str">
        <f t="shared" si="92"/>
        <v/>
      </c>
    </row>
    <row r="5817" spans="3:3" ht="15" customHeight="1">
      <c r="C5817" s="70" t="str">
        <f t="shared" si="92"/>
        <v/>
      </c>
    </row>
    <row r="5818" spans="3:3" ht="15" customHeight="1">
      <c r="C5818" s="70" t="str">
        <f t="shared" si="92"/>
        <v/>
      </c>
    </row>
    <row r="5819" spans="3:3" ht="15" customHeight="1">
      <c r="C5819" s="70" t="str">
        <f t="shared" si="92"/>
        <v/>
      </c>
    </row>
    <row r="5820" spans="3:3" ht="15" customHeight="1">
      <c r="C5820" s="70" t="str">
        <f t="shared" si="92"/>
        <v/>
      </c>
    </row>
    <row r="5821" spans="3:3" ht="15" customHeight="1">
      <c r="C5821" s="70" t="str">
        <f t="shared" si="92"/>
        <v/>
      </c>
    </row>
    <row r="5822" spans="3:3" ht="15" customHeight="1">
      <c r="C5822" s="70" t="str">
        <f t="shared" si="92"/>
        <v/>
      </c>
    </row>
    <row r="5823" spans="3:3" ht="15" customHeight="1">
      <c r="C5823" s="70" t="str">
        <f t="shared" si="92"/>
        <v/>
      </c>
    </row>
    <row r="5824" spans="3:3" ht="15" customHeight="1">
      <c r="C5824" s="70" t="str">
        <f t="shared" si="92"/>
        <v/>
      </c>
    </row>
    <row r="5825" spans="3:3" ht="15" customHeight="1">
      <c r="C5825" s="70" t="str">
        <f t="shared" si="92"/>
        <v/>
      </c>
    </row>
    <row r="5826" spans="3:3" ht="15" customHeight="1">
      <c r="C5826" s="70" t="str">
        <f t="shared" si="92"/>
        <v/>
      </c>
    </row>
    <row r="5827" spans="3:3" ht="15" customHeight="1">
      <c r="C5827" s="70" t="str">
        <f t="shared" si="92"/>
        <v/>
      </c>
    </row>
    <row r="5828" spans="3:3" ht="15" customHeight="1">
      <c r="C5828" s="70" t="str">
        <f t="shared" si="92"/>
        <v/>
      </c>
    </row>
    <row r="5829" spans="3:3" ht="15" customHeight="1">
      <c r="C5829" s="70" t="str">
        <f t="shared" si="92"/>
        <v/>
      </c>
    </row>
    <row r="5830" spans="3:3" ht="15" customHeight="1">
      <c r="C5830" s="70" t="str">
        <f t="shared" si="92"/>
        <v/>
      </c>
    </row>
    <row r="5831" spans="3:3" ht="15" customHeight="1">
      <c r="C5831" s="70" t="str">
        <f t="shared" si="92"/>
        <v/>
      </c>
    </row>
    <row r="5832" spans="3:3" ht="15" customHeight="1">
      <c r="C5832" s="70" t="str">
        <f t="shared" si="92"/>
        <v/>
      </c>
    </row>
    <row r="5833" spans="3:3" ht="15" customHeight="1">
      <c r="C5833" s="70" t="str">
        <f t="shared" si="92"/>
        <v/>
      </c>
    </row>
    <row r="5834" spans="3:3" ht="15" customHeight="1">
      <c r="C5834" s="70" t="str">
        <f t="shared" si="92"/>
        <v/>
      </c>
    </row>
    <row r="5835" spans="3:3" ht="15" customHeight="1">
      <c r="C5835" s="70" t="str">
        <f t="shared" si="92"/>
        <v/>
      </c>
    </row>
    <row r="5836" spans="3:3" ht="15" customHeight="1">
      <c r="C5836" s="70" t="str">
        <f t="shared" si="92"/>
        <v/>
      </c>
    </row>
    <row r="5837" spans="3:3" ht="15" customHeight="1">
      <c r="C5837" s="70" t="str">
        <f t="shared" si="92"/>
        <v/>
      </c>
    </row>
    <row r="5838" spans="3:3" ht="15" customHeight="1">
      <c r="C5838" s="70" t="str">
        <f t="shared" si="92"/>
        <v/>
      </c>
    </row>
    <row r="5839" spans="3:3" ht="15" customHeight="1">
      <c r="C5839" s="70" t="str">
        <f t="shared" si="92"/>
        <v/>
      </c>
    </row>
    <row r="5840" spans="3:3" ht="15" customHeight="1">
      <c r="C5840" s="70" t="str">
        <f t="shared" si="92"/>
        <v/>
      </c>
    </row>
    <row r="5841" spans="3:3" ht="15" customHeight="1">
      <c r="C5841" s="70" t="str">
        <f t="shared" ref="C5841:C5904" si="93">IF(B5841&lt;&gt;"",TEXT(WEEKDAY(B5841),"dddd"),"")</f>
        <v/>
      </c>
    </row>
    <row r="5842" spans="3:3" ht="15" customHeight="1">
      <c r="C5842" s="70" t="str">
        <f t="shared" si="93"/>
        <v/>
      </c>
    </row>
    <row r="5843" spans="3:3" ht="15" customHeight="1">
      <c r="C5843" s="70" t="str">
        <f t="shared" si="93"/>
        <v/>
      </c>
    </row>
    <row r="5844" spans="3:3" ht="15" customHeight="1">
      <c r="C5844" s="70" t="str">
        <f t="shared" si="93"/>
        <v/>
      </c>
    </row>
    <row r="5845" spans="3:3" ht="15" customHeight="1">
      <c r="C5845" s="70" t="str">
        <f t="shared" si="93"/>
        <v/>
      </c>
    </row>
    <row r="5846" spans="3:3" ht="15" customHeight="1">
      <c r="C5846" s="70" t="str">
        <f t="shared" si="93"/>
        <v/>
      </c>
    </row>
    <row r="5847" spans="3:3" ht="15" customHeight="1">
      <c r="C5847" s="70" t="str">
        <f t="shared" si="93"/>
        <v/>
      </c>
    </row>
    <row r="5848" spans="3:3" ht="15" customHeight="1">
      <c r="C5848" s="70" t="str">
        <f t="shared" si="93"/>
        <v/>
      </c>
    </row>
    <row r="5849" spans="3:3" ht="15" customHeight="1">
      <c r="C5849" s="70" t="str">
        <f t="shared" si="93"/>
        <v/>
      </c>
    </row>
    <row r="5850" spans="3:3" ht="15" customHeight="1">
      <c r="C5850" s="70" t="str">
        <f t="shared" si="93"/>
        <v/>
      </c>
    </row>
    <row r="5851" spans="3:3" ht="15" customHeight="1">
      <c r="C5851" s="70" t="str">
        <f t="shared" si="93"/>
        <v/>
      </c>
    </row>
    <row r="5852" spans="3:3" ht="15" customHeight="1">
      <c r="C5852" s="70" t="str">
        <f t="shared" si="93"/>
        <v/>
      </c>
    </row>
    <row r="5853" spans="3:3" ht="15" customHeight="1">
      <c r="C5853" s="70" t="str">
        <f t="shared" si="93"/>
        <v/>
      </c>
    </row>
    <row r="5854" spans="3:3" ht="15" customHeight="1">
      <c r="C5854" s="70" t="str">
        <f t="shared" si="93"/>
        <v/>
      </c>
    </row>
    <row r="5855" spans="3:3" ht="15" customHeight="1">
      <c r="C5855" s="70" t="str">
        <f t="shared" si="93"/>
        <v/>
      </c>
    </row>
    <row r="5856" spans="3:3" ht="15" customHeight="1">
      <c r="C5856" s="70" t="str">
        <f t="shared" si="93"/>
        <v/>
      </c>
    </row>
    <row r="5857" spans="3:3" ht="15" customHeight="1">
      <c r="C5857" s="70" t="str">
        <f t="shared" si="93"/>
        <v/>
      </c>
    </row>
    <row r="5858" spans="3:3" ht="15" customHeight="1">
      <c r="C5858" s="70" t="str">
        <f t="shared" si="93"/>
        <v/>
      </c>
    </row>
    <row r="5859" spans="3:3" ht="15" customHeight="1">
      <c r="C5859" s="70" t="str">
        <f t="shared" si="93"/>
        <v/>
      </c>
    </row>
    <row r="5860" spans="3:3" ht="15" customHeight="1">
      <c r="C5860" s="70" t="str">
        <f t="shared" si="93"/>
        <v/>
      </c>
    </row>
    <row r="5861" spans="3:3" ht="15" customHeight="1">
      <c r="C5861" s="70" t="str">
        <f t="shared" si="93"/>
        <v/>
      </c>
    </row>
    <row r="5862" spans="3:3" ht="15" customHeight="1">
      <c r="C5862" s="70" t="str">
        <f t="shared" si="93"/>
        <v/>
      </c>
    </row>
    <row r="5863" spans="3:3" ht="15" customHeight="1">
      <c r="C5863" s="70" t="str">
        <f t="shared" si="93"/>
        <v/>
      </c>
    </row>
    <row r="5864" spans="3:3" ht="15" customHeight="1">
      <c r="C5864" s="70" t="str">
        <f t="shared" si="93"/>
        <v/>
      </c>
    </row>
    <row r="5865" spans="3:3" ht="15" customHeight="1">
      <c r="C5865" s="70" t="str">
        <f t="shared" si="93"/>
        <v/>
      </c>
    </row>
    <row r="5866" spans="3:3" ht="15" customHeight="1">
      <c r="C5866" s="70" t="str">
        <f t="shared" si="93"/>
        <v/>
      </c>
    </row>
    <row r="5867" spans="3:3" ht="15" customHeight="1">
      <c r="C5867" s="70" t="str">
        <f t="shared" si="93"/>
        <v/>
      </c>
    </row>
    <row r="5868" spans="3:3" ht="15" customHeight="1">
      <c r="C5868" s="70" t="str">
        <f t="shared" si="93"/>
        <v/>
      </c>
    </row>
    <row r="5869" spans="3:3" ht="15" customHeight="1">
      <c r="C5869" s="70" t="str">
        <f t="shared" si="93"/>
        <v/>
      </c>
    </row>
    <row r="5870" spans="3:3" ht="15" customHeight="1">
      <c r="C5870" s="70" t="str">
        <f t="shared" si="93"/>
        <v/>
      </c>
    </row>
    <row r="5871" spans="3:3" ht="15" customHeight="1">
      <c r="C5871" s="70" t="str">
        <f t="shared" si="93"/>
        <v/>
      </c>
    </row>
    <row r="5872" spans="3:3" ht="15" customHeight="1">
      <c r="C5872" s="70" t="str">
        <f t="shared" si="93"/>
        <v/>
      </c>
    </row>
    <row r="5873" spans="3:3" ht="15" customHeight="1">
      <c r="C5873" s="70" t="str">
        <f t="shared" si="93"/>
        <v/>
      </c>
    </row>
    <row r="5874" spans="3:3" ht="15" customHeight="1">
      <c r="C5874" s="70" t="str">
        <f t="shared" si="93"/>
        <v/>
      </c>
    </row>
    <row r="5875" spans="3:3" ht="15" customHeight="1">
      <c r="C5875" s="70" t="str">
        <f t="shared" si="93"/>
        <v/>
      </c>
    </row>
    <row r="5876" spans="3:3" ht="15" customHeight="1">
      <c r="C5876" s="70" t="str">
        <f t="shared" si="93"/>
        <v/>
      </c>
    </row>
    <row r="5877" spans="3:3" ht="15" customHeight="1">
      <c r="C5877" s="70" t="str">
        <f t="shared" si="93"/>
        <v/>
      </c>
    </row>
    <row r="5878" spans="3:3" ht="15" customHeight="1">
      <c r="C5878" s="70" t="str">
        <f t="shared" si="93"/>
        <v/>
      </c>
    </row>
    <row r="5879" spans="3:3" ht="15" customHeight="1">
      <c r="C5879" s="70" t="str">
        <f t="shared" si="93"/>
        <v/>
      </c>
    </row>
    <row r="5880" spans="3:3" ht="15" customHeight="1">
      <c r="C5880" s="70" t="str">
        <f t="shared" si="93"/>
        <v/>
      </c>
    </row>
    <row r="5881" spans="3:3" ht="15" customHeight="1">
      <c r="C5881" s="70" t="str">
        <f t="shared" si="93"/>
        <v/>
      </c>
    </row>
    <row r="5882" spans="3:3" ht="15" customHeight="1">
      <c r="C5882" s="70" t="str">
        <f t="shared" si="93"/>
        <v/>
      </c>
    </row>
    <row r="5883" spans="3:3" ht="15" customHeight="1">
      <c r="C5883" s="70" t="str">
        <f t="shared" si="93"/>
        <v/>
      </c>
    </row>
    <row r="5884" spans="3:3" ht="15" customHeight="1">
      <c r="C5884" s="70" t="str">
        <f t="shared" si="93"/>
        <v/>
      </c>
    </row>
    <row r="5885" spans="3:3" ht="15" customHeight="1">
      <c r="C5885" s="70" t="str">
        <f t="shared" si="93"/>
        <v/>
      </c>
    </row>
    <row r="5886" spans="3:3" ht="15" customHeight="1">
      <c r="C5886" s="70" t="str">
        <f t="shared" si="93"/>
        <v/>
      </c>
    </row>
    <row r="5887" spans="3:3" ht="15" customHeight="1">
      <c r="C5887" s="70" t="str">
        <f t="shared" si="93"/>
        <v/>
      </c>
    </row>
    <row r="5888" spans="3:3" ht="15" customHeight="1">
      <c r="C5888" s="70" t="str">
        <f t="shared" si="93"/>
        <v/>
      </c>
    </row>
    <row r="5889" spans="3:3" ht="15" customHeight="1">
      <c r="C5889" s="70" t="str">
        <f t="shared" si="93"/>
        <v/>
      </c>
    </row>
    <row r="5890" spans="3:3" ht="15" customHeight="1">
      <c r="C5890" s="70" t="str">
        <f t="shared" si="93"/>
        <v/>
      </c>
    </row>
    <row r="5891" spans="3:3" ht="15" customHeight="1">
      <c r="C5891" s="70" t="str">
        <f t="shared" si="93"/>
        <v/>
      </c>
    </row>
    <row r="5892" spans="3:3" ht="15" customHeight="1">
      <c r="C5892" s="70" t="str">
        <f t="shared" si="93"/>
        <v/>
      </c>
    </row>
    <row r="5893" spans="3:3" ht="15" customHeight="1">
      <c r="C5893" s="70" t="str">
        <f t="shared" si="93"/>
        <v/>
      </c>
    </row>
    <row r="5894" spans="3:3" ht="15" customHeight="1">
      <c r="C5894" s="70" t="str">
        <f t="shared" si="93"/>
        <v/>
      </c>
    </row>
    <row r="5895" spans="3:3" ht="15" customHeight="1">
      <c r="C5895" s="70" t="str">
        <f t="shared" si="93"/>
        <v/>
      </c>
    </row>
    <row r="5896" spans="3:3" ht="15" customHeight="1">
      <c r="C5896" s="70" t="str">
        <f t="shared" si="93"/>
        <v/>
      </c>
    </row>
    <row r="5897" spans="3:3" ht="15" customHeight="1">
      <c r="C5897" s="70" t="str">
        <f t="shared" si="93"/>
        <v/>
      </c>
    </row>
    <row r="5898" spans="3:3" ht="15" customHeight="1">
      <c r="C5898" s="70" t="str">
        <f t="shared" si="93"/>
        <v/>
      </c>
    </row>
    <row r="5899" spans="3:3" ht="15" customHeight="1">
      <c r="C5899" s="70" t="str">
        <f t="shared" si="93"/>
        <v/>
      </c>
    </row>
    <row r="5900" spans="3:3" ht="15" customHeight="1">
      <c r="C5900" s="70" t="str">
        <f t="shared" si="93"/>
        <v/>
      </c>
    </row>
    <row r="5901" spans="3:3" ht="15" customHeight="1">
      <c r="C5901" s="70" t="str">
        <f t="shared" si="93"/>
        <v/>
      </c>
    </row>
    <row r="5902" spans="3:3" ht="15" customHeight="1">
      <c r="C5902" s="70" t="str">
        <f t="shared" si="93"/>
        <v/>
      </c>
    </row>
    <row r="5903" spans="3:3" ht="15" customHeight="1">
      <c r="C5903" s="70" t="str">
        <f t="shared" si="93"/>
        <v/>
      </c>
    </row>
    <row r="5904" spans="3:3" ht="15" customHeight="1">
      <c r="C5904" s="70" t="str">
        <f t="shared" si="93"/>
        <v/>
      </c>
    </row>
    <row r="5905" spans="3:3" ht="15" customHeight="1">
      <c r="C5905" s="70" t="str">
        <f t="shared" ref="C5905:C5968" si="94">IF(B5905&lt;&gt;"",TEXT(WEEKDAY(B5905),"dddd"),"")</f>
        <v/>
      </c>
    </row>
    <row r="5906" spans="3:3" ht="15" customHeight="1">
      <c r="C5906" s="70" t="str">
        <f t="shared" si="94"/>
        <v/>
      </c>
    </row>
    <row r="5907" spans="3:3" ht="15" customHeight="1">
      <c r="C5907" s="70" t="str">
        <f t="shared" si="94"/>
        <v/>
      </c>
    </row>
    <row r="5908" spans="3:3" ht="15" customHeight="1">
      <c r="C5908" s="70" t="str">
        <f t="shared" si="94"/>
        <v/>
      </c>
    </row>
    <row r="5909" spans="3:3" ht="15" customHeight="1">
      <c r="C5909" s="70" t="str">
        <f t="shared" si="94"/>
        <v/>
      </c>
    </row>
    <row r="5910" spans="3:3" ht="15" customHeight="1">
      <c r="C5910" s="70" t="str">
        <f t="shared" si="94"/>
        <v/>
      </c>
    </row>
    <row r="5911" spans="3:3" ht="15" customHeight="1">
      <c r="C5911" s="70" t="str">
        <f t="shared" si="94"/>
        <v/>
      </c>
    </row>
    <row r="5912" spans="3:3" ht="15" customHeight="1">
      <c r="C5912" s="70" t="str">
        <f t="shared" si="94"/>
        <v/>
      </c>
    </row>
    <row r="5913" spans="3:3" ht="15" customHeight="1">
      <c r="C5913" s="70" t="str">
        <f t="shared" si="94"/>
        <v/>
      </c>
    </row>
    <row r="5914" spans="3:3" ht="15" customHeight="1">
      <c r="C5914" s="70" t="str">
        <f t="shared" si="94"/>
        <v/>
      </c>
    </row>
    <row r="5915" spans="3:3" ht="15" customHeight="1">
      <c r="C5915" s="70" t="str">
        <f t="shared" si="94"/>
        <v/>
      </c>
    </row>
    <row r="5916" spans="3:3" ht="15" customHeight="1">
      <c r="C5916" s="70" t="str">
        <f t="shared" si="94"/>
        <v/>
      </c>
    </row>
    <row r="5917" spans="3:3" ht="15" customHeight="1">
      <c r="C5917" s="70" t="str">
        <f t="shared" si="94"/>
        <v/>
      </c>
    </row>
    <row r="5918" spans="3:3" ht="15" customHeight="1">
      <c r="C5918" s="70" t="str">
        <f t="shared" si="94"/>
        <v/>
      </c>
    </row>
    <row r="5919" spans="3:3" ht="15" customHeight="1">
      <c r="C5919" s="70" t="str">
        <f t="shared" si="94"/>
        <v/>
      </c>
    </row>
    <row r="5920" spans="3:3" ht="15" customHeight="1">
      <c r="C5920" s="70" t="str">
        <f t="shared" si="94"/>
        <v/>
      </c>
    </row>
    <row r="5921" spans="3:3" ht="15" customHeight="1">
      <c r="C5921" s="70" t="str">
        <f t="shared" si="94"/>
        <v/>
      </c>
    </row>
    <row r="5922" spans="3:3" ht="15" customHeight="1">
      <c r="C5922" s="70" t="str">
        <f t="shared" si="94"/>
        <v/>
      </c>
    </row>
    <row r="5923" spans="3:3" ht="15" customHeight="1">
      <c r="C5923" s="70" t="str">
        <f t="shared" si="94"/>
        <v/>
      </c>
    </row>
    <row r="5924" spans="3:3" ht="15" customHeight="1">
      <c r="C5924" s="70" t="str">
        <f t="shared" si="94"/>
        <v/>
      </c>
    </row>
    <row r="5925" spans="3:3" ht="15" customHeight="1">
      <c r="C5925" s="70" t="str">
        <f t="shared" si="94"/>
        <v/>
      </c>
    </row>
    <row r="5926" spans="3:3" ht="15" customHeight="1">
      <c r="C5926" s="70" t="str">
        <f t="shared" si="94"/>
        <v/>
      </c>
    </row>
    <row r="5927" spans="3:3" ht="15" customHeight="1">
      <c r="C5927" s="70" t="str">
        <f t="shared" si="94"/>
        <v/>
      </c>
    </row>
    <row r="5928" spans="3:3" ht="15" customHeight="1">
      <c r="C5928" s="70" t="str">
        <f t="shared" si="94"/>
        <v/>
      </c>
    </row>
    <row r="5929" spans="3:3" ht="15" customHeight="1">
      <c r="C5929" s="70" t="str">
        <f t="shared" si="94"/>
        <v/>
      </c>
    </row>
    <row r="5930" spans="3:3" ht="15" customHeight="1">
      <c r="C5930" s="70" t="str">
        <f t="shared" si="94"/>
        <v/>
      </c>
    </row>
    <row r="5931" spans="3:3" ht="15" customHeight="1">
      <c r="C5931" s="70" t="str">
        <f t="shared" si="94"/>
        <v/>
      </c>
    </row>
    <row r="5932" spans="3:3" ht="15" customHeight="1">
      <c r="C5932" s="70" t="str">
        <f t="shared" si="94"/>
        <v/>
      </c>
    </row>
    <row r="5933" spans="3:3" ht="15" customHeight="1">
      <c r="C5933" s="70" t="str">
        <f t="shared" si="94"/>
        <v/>
      </c>
    </row>
    <row r="5934" spans="3:3" ht="15" customHeight="1">
      <c r="C5934" s="70" t="str">
        <f t="shared" si="94"/>
        <v/>
      </c>
    </row>
    <row r="5935" spans="3:3" ht="15" customHeight="1">
      <c r="C5935" s="70" t="str">
        <f t="shared" si="94"/>
        <v/>
      </c>
    </row>
    <row r="5936" spans="3:3" ht="15" customHeight="1">
      <c r="C5936" s="70" t="str">
        <f t="shared" si="94"/>
        <v/>
      </c>
    </row>
    <row r="5937" spans="3:3" ht="15" customHeight="1">
      <c r="C5937" s="70" t="str">
        <f t="shared" si="94"/>
        <v/>
      </c>
    </row>
    <row r="5938" spans="3:3" ht="15" customHeight="1">
      <c r="C5938" s="70" t="str">
        <f t="shared" si="94"/>
        <v/>
      </c>
    </row>
    <row r="5939" spans="3:3" ht="15" customHeight="1">
      <c r="C5939" s="70" t="str">
        <f t="shared" si="94"/>
        <v/>
      </c>
    </row>
    <row r="5940" spans="3:3" ht="15" customHeight="1">
      <c r="C5940" s="70" t="str">
        <f t="shared" si="94"/>
        <v/>
      </c>
    </row>
    <row r="5941" spans="3:3" ht="15" customHeight="1">
      <c r="C5941" s="70" t="str">
        <f t="shared" si="94"/>
        <v/>
      </c>
    </row>
    <row r="5942" spans="3:3" ht="15" customHeight="1">
      <c r="C5942" s="70" t="str">
        <f t="shared" si="94"/>
        <v/>
      </c>
    </row>
    <row r="5943" spans="3:3" ht="15" customHeight="1">
      <c r="C5943" s="70" t="str">
        <f t="shared" si="94"/>
        <v/>
      </c>
    </row>
    <row r="5944" spans="3:3" ht="15" customHeight="1">
      <c r="C5944" s="70" t="str">
        <f t="shared" si="94"/>
        <v/>
      </c>
    </row>
    <row r="5945" spans="3:3" ht="15" customHeight="1">
      <c r="C5945" s="70" t="str">
        <f t="shared" si="94"/>
        <v/>
      </c>
    </row>
    <row r="5946" spans="3:3" ht="15" customHeight="1">
      <c r="C5946" s="70" t="str">
        <f t="shared" si="94"/>
        <v/>
      </c>
    </row>
    <row r="5947" spans="3:3" ht="15" customHeight="1">
      <c r="C5947" s="70" t="str">
        <f t="shared" si="94"/>
        <v/>
      </c>
    </row>
    <row r="5948" spans="3:3" ht="15" customHeight="1">
      <c r="C5948" s="70" t="str">
        <f t="shared" si="94"/>
        <v/>
      </c>
    </row>
    <row r="5949" spans="3:3" ht="15" customHeight="1">
      <c r="C5949" s="70" t="str">
        <f t="shared" si="94"/>
        <v/>
      </c>
    </row>
    <row r="5950" spans="3:3" ht="15" customHeight="1">
      <c r="C5950" s="70" t="str">
        <f t="shared" si="94"/>
        <v/>
      </c>
    </row>
    <row r="5951" spans="3:3" ht="15" customHeight="1">
      <c r="C5951" s="70" t="str">
        <f t="shared" si="94"/>
        <v/>
      </c>
    </row>
    <row r="5952" spans="3:3" ht="15" customHeight="1">
      <c r="C5952" s="70" t="str">
        <f t="shared" si="94"/>
        <v/>
      </c>
    </row>
    <row r="5953" spans="3:3" ht="15" customHeight="1">
      <c r="C5953" s="70" t="str">
        <f t="shared" si="94"/>
        <v/>
      </c>
    </row>
    <row r="5954" spans="3:3" ht="15" customHeight="1">
      <c r="C5954" s="70" t="str">
        <f t="shared" si="94"/>
        <v/>
      </c>
    </row>
    <row r="5955" spans="3:3" ht="15" customHeight="1">
      <c r="C5955" s="70" t="str">
        <f t="shared" si="94"/>
        <v/>
      </c>
    </row>
    <row r="5956" spans="3:3" ht="15" customHeight="1">
      <c r="C5956" s="70" t="str">
        <f t="shared" si="94"/>
        <v/>
      </c>
    </row>
    <row r="5957" spans="3:3" ht="15" customHeight="1">
      <c r="C5957" s="70" t="str">
        <f t="shared" si="94"/>
        <v/>
      </c>
    </row>
    <row r="5958" spans="3:3" ht="15" customHeight="1">
      <c r="C5958" s="70" t="str">
        <f t="shared" si="94"/>
        <v/>
      </c>
    </row>
    <row r="5959" spans="3:3" ht="15" customHeight="1">
      <c r="C5959" s="70" t="str">
        <f t="shared" si="94"/>
        <v/>
      </c>
    </row>
    <row r="5960" spans="3:3" ht="15" customHeight="1">
      <c r="C5960" s="70" t="str">
        <f t="shared" si="94"/>
        <v/>
      </c>
    </row>
    <row r="5961" spans="3:3" ht="15" customHeight="1">
      <c r="C5961" s="70" t="str">
        <f t="shared" si="94"/>
        <v/>
      </c>
    </row>
    <row r="5962" spans="3:3" ht="15" customHeight="1">
      <c r="C5962" s="70" t="str">
        <f t="shared" si="94"/>
        <v/>
      </c>
    </row>
    <row r="5963" spans="3:3" ht="15" customHeight="1">
      <c r="C5963" s="70" t="str">
        <f t="shared" si="94"/>
        <v/>
      </c>
    </row>
    <row r="5964" spans="3:3" ht="15" customHeight="1">
      <c r="C5964" s="70" t="str">
        <f t="shared" si="94"/>
        <v/>
      </c>
    </row>
    <row r="5965" spans="3:3" ht="15" customHeight="1">
      <c r="C5965" s="70" t="str">
        <f t="shared" si="94"/>
        <v/>
      </c>
    </row>
    <row r="5966" spans="3:3" ht="15" customHeight="1">
      <c r="C5966" s="70" t="str">
        <f t="shared" si="94"/>
        <v/>
      </c>
    </row>
    <row r="5967" spans="3:3" ht="15" customHeight="1">
      <c r="C5967" s="70" t="str">
        <f t="shared" si="94"/>
        <v/>
      </c>
    </row>
    <row r="5968" spans="3:3" ht="15" customHeight="1">
      <c r="C5968" s="70" t="str">
        <f t="shared" si="94"/>
        <v/>
      </c>
    </row>
    <row r="5969" spans="3:3" ht="15" customHeight="1">
      <c r="C5969" s="70" t="str">
        <f t="shared" ref="C5969:C6032" si="95">IF(B5969&lt;&gt;"",TEXT(WEEKDAY(B5969),"dddd"),"")</f>
        <v/>
      </c>
    </row>
    <row r="5970" spans="3:3" ht="15" customHeight="1">
      <c r="C5970" s="70" t="str">
        <f t="shared" si="95"/>
        <v/>
      </c>
    </row>
    <row r="5971" spans="3:3" ht="15" customHeight="1">
      <c r="C5971" s="70" t="str">
        <f t="shared" si="95"/>
        <v/>
      </c>
    </row>
    <row r="5972" spans="3:3" ht="15" customHeight="1">
      <c r="C5972" s="70" t="str">
        <f t="shared" si="95"/>
        <v/>
      </c>
    </row>
    <row r="5973" spans="3:3" ht="15" customHeight="1">
      <c r="C5973" s="70" t="str">
        <f t="shared" si="95"/>
        <v/>
      </c>
    </row>
    <row r="5974" spans="3:3" ht="15" customHeight="1">
      <c r="C5974" s="70" t="str">
        <f t="shared" si="95"/>
        <v/>
      </c>
    </row>
    <row r="5975" spans="3:3" ht="15" customHeight="1">
      <c r="C5975" s="70" t="str">
        <f t="shared" si="95"/>
        <v/>
      </c>
    </row>
    <row r="5976" spans="3:3" ht="15" customHeight="1">
      <c r="C5976" s="70" t="str">
        <f t="shared" si="95"/>
        <v/>
      </c>
    </row>
    <row r="5977" spans="3:3" ht="15" customHeight="1">
      <c r="C5977" s="70" t="str">
        <f t="shared" si="95"/>
        <v/>
      </c>
    </row>
    <row r="5978" spans="3:3" ht="15" customHeight="1">
      <c r="C5978" s="70" t="str">
        <f t="shared" si="95"/>
        <v/>
      </c>
    </row>
    <row r="5979" spans="3:3" ht="15" customHeight="1">
      <c r="C5979" s="70" t="str">
        <f t="shared" si="95"/>
        <v/>
      </c>
    </row>
    <row r="5980" spans="3:3" ht="15" customHeight="1">
      <c r="C5980" s="70" t="str">
        <f t="shared" si="95"/>
        <v/>
      </c>
    </row>
    <row r="5981" spans="3:3" ht="15" customHeight="1">
      <c r="C5981" s="70" t="str">
        <f t="shared" si="95"/>
        <v/>
      </c>
    </row>
    <row r="5982" spans="3:3" ht="15" customHeight="1">
      <c r="C5982" s="70" t="str">
        <f t="shared" si="95"/>
        <v/>
      </c>
    </row>
    <row r="5983" spans="3:3" ht="15" customHeight="1">
      <c r="C5983" s="70" t="str">
        <f t="shared" si="95"/>
        <v/>
      </c>
    </row>
    <row r="5984" spans="3:3" ht="15" customHeight="1">
      <c r="C5984" s="70" t="str">
        <f t="shared" si="95"/>
        <v/>
      </c>
    </row>
    <row r="5985" spans="3:3" ht="15" customHeight="1">
      <c r="C5985" s="70" t="str">
        <f t="shared" si="95"/>
        <v/>
      </c>
    </row>
    <row r="5986" spans="3:3" ht="15" customHeight="1">
      <c r="C5986" s="70" t="str">
        <f t="shared" si="95"/>
        <v/>
      </c>
    </row>
    <row r="5987" spans="3:3" ht="15" customHeight="1">
      <c r="C5987" s="70" t="str">
        <f t="shared" si="95"/>
        <v/>
      </c>
    </row>
    <row r="5988" spans="3:3" ht="15" customHeight="1">
      <c r="C5988" s="70" t="str">
        <f t="shared" si="95"/>
        <v/>
      </c>
    </row>
    <row r="5989" spans="3:3" ht="15" customHeight="1">
      <c r="C5989" s="70" t="str">
        <f t="shared" si="95"/>
        <v/>
      </c>
    </row>
    <row r="5990" spans="3:3" ht="15" customHeight="1">
      <c r="C5990" s="70" t="str">
        <f t="shared" si="95"/>
        <v/>
      </c>
    </row>
    <row r="5991" spans="3:3" ht="15" customHeight="1">
      <c r="C5991" s="70" t="str">
        <f t="shared" si="95"/>
        <v/>
      </c>
    </row>
    <row r="5992" spans="3:3" ht="15" customHeight="1">
      <c r="C5992" s="70" t="str">
        <f t="shared" si="95"/>
        <v/>
      </c>
    </row>
    <row r="5993" spans="3:3" ht="15" customHeight="1">
      <c r="C5993" s="70" t="str">
        <f t="shared" si="95"/>
        <v/>
      </c>
    </row>
    <row r="5994" spans="3:3" ht="15" customHeight="1">
      <c r="C5994" s="70" t="str">
        <f t="shared" si="95"/>
        <v/>
      </c>
    </row>
    <row r="5995" spans="3:3" ht="15" customHeight="1">
      <c r="C5995" s="70" t="str">
        <f t="shared" si="95"/>
        <v/>
      </c>
    </row>
    <row r="5996" spans="3:3" ht="15" customHeight="1">
      <c r="C5996" s="70" t="str">
        <f t="shared" si="95"/>
        <v/>
      </c>
    </row>
    <row r="5997" spans="3:3" ht="15" customHeight="1">
      <c r="C5997" s="70" t="str">
        <f t="shared" si="95"/>
        <v/>
      </c>
    </row>
    <row r="5998" spans="3:3" ht="15" customHeight="1">
      <c r="C5998" s="70" t="str">
        <f t="shared" si="95"/>
        <v/>
      </c>
    </row>
    <row r="5999" spans="3:3" ht="15" customHeight="1">
      <c r="C5999" s="70" t="str">
        <f t="shared" si="95"/>
        <v/>
      </c>
    </row>
    <row r="6000" spans="3:3" ht="15" customHeight="1">
      <c r="C6000" s="70" t="str">
        <f t="shared" si="95"/>
        <v/>
      </c>
    </row>
    <row r="6001" spans="3:3" ht="15" customHeight="1">
      <c r="C6001" s="70" t="str">
        <f t="shared" si="95"/>
        <v/>
      </c>
    </row>
    <row r="6002" spans="3:3" ht="15" customHeight="1">
      <c r="C6002" s="70" t="str">
        <f t="shared" si="95"/>
        <v/>
      </c>
    </row>
    <row r="6003" spans="3:3" ht="15" customHeight="1">
      <c r="C6003" s="70" t="str">
        <f t="shared" si="95"/>
        <v/>
      </c>
    </row>
    <row r="6004" spans="3:3" ht="15" customHeight="1">
      <c r="C6004" s="70" t="str">
        <f t="shared" si="95"/>
        <v/>
      </c>
    </row>
    <row r="6005" spans="3:3" ht="15" customHeight="1">
      <c r="C6005" s="70" t="str">
        <f t="shared" si="95"/>
        <v/>
      </c>
    </row>
    <row r="6006" spans="3:3" ht="15" customHeight="1">
      <c r="C6006" s="70" t="str">
        <f t="shared" si="95"/>
        <v/>
      </c>
    </row>
    <row r="6007" spans="3:3" ht="15" customHeight="1">
      <c r="C6007" s="70" t="str">
        <f t="shared" si="95"/>
        <v/>
      </c>
    </row>
    <row r="6008" spans="3:3" ht="15" customHeight="1">
      <c r="C6008" s="70" t="str">
        <f t="shared" si="95"/>
        <v/>
      </c>
    </row>
    <row r="6009" spans="3:3" ht="15" customHeight="1">
      <c r="C6009" s="70" t="str">
        <f t="shared" si="95"/>
        <v/>
      </c>
    </row>
    <row r="6010" spans="3:3" ht="15" customHeight="1">
      <c r="C6010" s="70" t="str">
        <f t="shared" si="95"/>
        <v/>
      </c>
    </row>
    <row r="6011" spans="3:3" ht="15" customHeight="1">
      <c r="C6011" s="70" t="str">
        <f t="shared" si="95"/>
        <v/>
      </c>
    </row>
    <row r="6012" spans="3:3" ht="15" customHeight="1">
      <c r="C6012" s="70" t="str">
        <f t="shared" si="95"/>
        <v/>
      </c>
    </row>
    <row r="6013" spans="3:3" ht="15" customHeight="1">
      <c r="C6013" s="70" t="str">
        <f t="shared" si="95"/>
        <v/>
      </c>
    </row>
    <row r="6014" spans="3:3" ht="15" customHeight="1">
      <c r="C6014" s="70" t="str">
        <f t="shared" si="95"/>
        <v/>
      </c>
    </row>
    <row r="6015" spans="3:3" ht="15" customHeight="1">
      <c r="C6015" s="70" t="str">
        <f t="shared" si="95"/>
        <v/>
      </c>
    </row>
    <row r="6016" spans="3:3" ht="15" customHeight="1">
      <c r="C6016" s="70" t="str">
        <f t="shared" si="95"/>
        <v/>
      </c>
    </row>
    <row r="6017" spans="3:3" ht="15" customHeight="1">
      <c r="C6017" s="70" t="str">
        <f t="shared" si="95"/>
        <v/>
      </c>
    </row>
    <row r="6018" spans="3:3" ht="15" customHeight="1">
      <c r="C6018" s="70" t="str">
        <f t="shared" si="95"/>
        <v/>
      </c>
    </row>
    <row r="6019" spans="3:3" ht="15" customHeight="1">
      <c r="C6019" s="70" t="str">
        <f t="shared" si="95"/>
        <v/>
      </c>
    </row>
    <row r="6020" spans="3:3" ht="15" customHeight="1">
      <c r="C6020" s="70" t="str">
        <f t="shared" si="95"/>
        <v/>
      </c>
    </row>
    <row r="6021" spans="3:3" ht="15" customHeight="1">
      <c r="C6021" s="70" t="str">
        <f t="shared" si="95"/>
        <v/>
      </c>
    </row>
    <row r="6022" spans="3:3" ht="15" customHeight="1">
      <c r="C6022" s="70" t="str">
        <f t="shared" si="95"/>
        <v/>
      </c>
    </row>
    <row r="6023" spans="3:3" ht="15" customHeight="1">
      <c r="C6023" s="70" t="str">
        <f t="shared" si="95"/>
        <v/>
      </c>
    </row>
    <row r="6024" spans="3:3" ht="15" customHeight="1">
      <c r="C6024" s="70" t="str">
        <f t="shared" si="95"/>
        <v/>
      </c>
    </row>
    <row r="6025" spans="3:3" ht="15" customHeight="1">
      <c r="C6025" s="70" t="str">
        <f t="shared" si="95"/>
        <v/>
      </c>
    </row>
    <row r="6026" spans="3:3" ht="15" customHeight="1">
      <c r="C6026" s="70" t="str">
        <f t="shared" si="95"/>
        <v/>
      </c>
    </row>
    <row r="6027" spans="3:3" ht="15" customHeight="1">
      <c r="C6027" s="70" t="str">
        <f t="shared" si="95"/>
        <v/>
      </c>
    </row>
    <row r="6028" spans="3:3" ht="15" customHeight="1">
      <c r="C6028" s="70" t="str">
        <f t="shared" si="95"/>
        <v/>
      </c>
    </row>
    <row r="6029" spans="3:3" ht="15" customHeight="1">
      <c r="C6029" s="70" t="str">
        <f t="shared" si="95"/>
        <v/>
      </c>
    </row>
    <row r="6030" spans="3:3" ht="15" customHeight="1">
      <c r="C6030" s="70" t="str">
        <f t="shared" si="95"/>
        <v/>
      </c>
    </row>
    <row r="6031" spans="3:3" ht="15" customHeight="1">
      <c r="C6031" s="70" t="str">
        <f t="shared" si="95"/>
        <v/>
      </c>
    </row>
    <row r="6032" spans="3:3" ht="15" customHeight="1">
      <c r="C6032" s="70" t="str">
        <f t="shared" si="95"/>
        <v/>
      </c>
    </row>
    <row r="6033" spans="3:3" ht="15" customHeight="1">
      <c r="C6033" s="70" t="str">
        <f t="shared" ref="C6033:C6096" si="96">IF(B6033&lt;&gt;"",TEXT(WEEKDAY(B6033),"dddd"),"")</f>
        <v/>
      </c>
    </row>
    <row r="6034" spans="3:3" ht="15" customHeight="1">
      <c r="C6034" s="70" t="str">
        <f t="shared" si="96"/>
        <v/>
      </c>
    </row>
    <row r="6035" spans="3:3" ht="15" customHeight="1">
      <c r="C6035" s="70" t="str">
        <f t="shared" si="96"/>
        <v/>
      </c>
    </row>
    <row r="6036" spans="3:3" ht="15" customHeight="1">
      <c r="C6036" s="70" t="str">
        <f t="shared" si="96"/>
        <v/>
      </c>
    </row>
    <row r="6037" spans="3:3" ht="15" customHeight="1">
      <c r="C6037" s="70" t="str">
        <f t="shared" si="96"/>
        <v/>
      </c>
    </row>
    <row r="6038" spans="3:3" ht="15" customHeight="1">
      <c r="C6038" s="70" t="str">
        <f t="shared" si="96"/>
        <v/>
      </c>
    </row>
    <row r="6039" spans="3:3" ht="15" customHeight="1">
      <c r="C6039" s="70" t="str">
        <f t="shared" si="96"/>
        <v/>
      </c>
    </row>
    <row r="6040" spans="3:3" ht="15" customHeight="1">
      <c r="C6040" s="70" t="str">
        <f t="shared" si="96"/>
        <v/>
      </c>
    </row>
    <row r="6041" spans="3:3" ht="15" customHeight="1">
      <c r="C6041" s="70" t="str">
        <f t="shared" si="96"/>
        <v/>
      </c>
    </row>
    <row r="6042" spans="3:3" ht="15" customHeight="1">
      <c r="C6042" s="70" t="str">
        <f t="shared" si="96"/>
        <v/>
      </c>
    </row>
    <row r="6043" spans="3:3" ht="15" customHeight="1">
      <c r="C6043" s="70" t="str">
        <f t="shared" si="96"/>
        <v/>
      </c>
    </row>
    <row r="6044" spans="3:3" ht="15" customHeight="1">
      <c r="C6044" s="70" t="str">
        <f t="shared" si="96"/>
        <v/>
      </c>
    </row>
    <row r="6045" spans="3:3" ht="15" customHeight="1">
      <c r="C6045" s="70" t="str">
        <f t="shared" si="96"/>
        <v/>
      </c>
    </row>
    <row r="6046" spans="3:3" ht="15" customHeight="1">
      <c r="C6046" s="70" t="str">
        <f t="shared" si="96"/>
        <v/>
      </c>
    </row>
    <row r="6047" spans="3:3" ht="15" customHeight="1">
      <c r="C6047" s="70" t="str">
        <f t="shared" si="96"/>
        <v/>
      </c>
    </row>
    <row r="6048" spans="3:3" ht="15" customHeight="1">
      <c r="C6048" s="70" t="str">
        <f t="shared" si="96"/>
        <v/>
      </c>
    </row>
    <row r="6049" spans="3:3" ht="15" customHeight="1">
      <c r="C6049" s="70" t="str">
        <f t="shared" si="96"/>
        <v/>
      </c>
    </row>
    <row r="6050" spans="3:3" ht="15" customHeight="1">
      <c r="C6050" s="70" t="str">
        <f t="shared" si="96"/>
        <v/>
      </c>
    </row>
    <row r="6051" spans="3:3" ht="15" customHeight="1">
      <c r="C6051" s="70" t="str">
        <f t="shared" si="96"/>
        <v/>
      </c>
    </row>
    <row r="6052" spans="3:3" ht="15" customHeight="1">
      <c r="C6052" s="70" t="str">
        <f t="shared" si="96"/>
        <v/>
      </c>
    </row>
    <row r="6053" spans="3:3" ht="15" customHeight="1">
      <c r="C6053" s="70" t="str">
        <f t="shared" si="96"/>
        <v/>
      </c>
    </row>
    <row r="6054" spans="3:3" ht="15" customHeight="1">
      <c r="C6054" s="70" t="str">
        <f t="shared" si="96"/>
        <v/>
      </c>
    </row>
    <row r="6055" spans="3:3" ht="15" customHeight="1">
      <c r="C6055" s="70" t="str">
        <f t="shared" si="96"/>
        <v/>
      </c>
    </row>
    <row r="6056" spans="3:3" ht="15" customHeight="1">
      <c r="C6056" s="70" t="str">
        <f t="shared" si="96"/>
        <v/>
      </c>
    </row>
    <row r="6057" spans="3:3" ht="15" customHeight="1">
      <c r="C6057" s="70" t="str">
        <f t="shared" si="96"/>
        <v/>
      </c>
    </row>
    <row r="6058" spans="3:3" ht="15" customHeight="1">
      <c r="C6058" s="70" t="str">
        <f t="shared" si="96"/>
        <v/>
      </c>
    </row>
    <row r="6059" spans="3:3" ht="15" customHeight="1">
      <c r="C6059" s="70" t="str">
        <f t="shared" si="96"/>
        <v/>
      </c>
    </row>
    <row r="6060" spans="3:3" ht="15" customHeight="1">
      <c r="C6060" s="70" t="str">
        <f t="shared" si="96"/>
        <v/>
      </c>
    </row>
    <row r="6061" spans="3:3" ht="15" customHeight="1">
      <c r="C6061" s="70" t="str">
        <f t="shared" si="96"/>
        <v/>
      </c>
    </row>
    <row r="6062" spans="3:3" ht="15" customHeight="1">
      <c r="C6062" s="70" t="str">
        <f t="shared" si="96"/>
        <v/>
      </c>
    </row>
    <row r="6063" spans="3:3" ht="15" customHeight="1">
      <c r="C6063" s="70" t="str">
        <f t="shared" si="96"/>
        <v/>
      </c>
    </row>
    <row r="6064" spans="3:3" ht="15" customHeight="1">
      <c r="C6064" s="70" t="str">
        <f t="shared" si="96"/>
        <v/>
      </c>
    </row>
    <row r="6065" spans="3:3" ht="15" customHeight="1">
      <c r="C6065" s="70" t="str">
        <f t="shared" si="96"/>
        <v/>
      </c>
    </row>
    <row r="6066" spans="3:3" ht="15" customHeight="1">
      <c r="C6066" s="70" t="str">
        <f t="shared" si="96"/>
        <v/>
      </c>
    </row>
    <row r="6067" spans="3:3" ht="15" customHeight="1">
      <c r="C6067" s="70" t="str">
        <f t="shared" si="96"/>
        <v/>
      </c>
    </row>
    <row r="6068" spans="3:3" ht="15" customHeight="1">
      <c r="C6068" s="70" t="str">
        <f t="shared" si="96"/>
        <v/>
      </c>
    </row>
    <row r="6069" spans="3:3" ht="15" customHeight="1">
      <c r="C6069" s="70" t="str">
        <f t="shared" si="96"/>
        <v/>
      </c>
    </row>
    <row r="6070" spans="3:3" ht="15" customHeight="1">
      <c r="C6070" s="70" t="str">
        <f t="shared" si="96"/>
        <v/>
      </c>
    </row>
    <row r="6071" spans="3:3" ht="15" customHeight="1">
      <c r="C6071" s="70" t="str">
        <f t="shared" si="96"/>
        <v/>
      </c>
    </row>
    <row r="6072" spans="3:3" ht="15" customHeight="1">
      <c r="C6072" s="70" t="str">
        <f t="shared" si="96"/>
        <v/>
      </c>
    </row>
    <row r="6073" spans="3:3" ht="15" customHeight="1">
      <c r="C6073" s="70" t="str">
        <f t="shared" si="96"/>
        <v/>
      </c>
    </row>
    <row r="6074" spans="3:3" ht="15" customHeight="1">
      <c r="C6074" s="70" t="str">
        <f t="shared" si="96"/>
        <v/>
      </c>
    </row>
    <row r="6075" spans="3:3" ht="15" customHeight="1">
      <c r="C6075" s="70" t="str">
        <f t="shared" si="96"/>
        <v/>
      </c>
    </row>
    <row r="6076" spans="3:3" ht="15" customHeight="1">
      <c r="C6076" s="70" t="str">
        <f t="shared" si="96"/>
        <v/>
      </c>
    </row>
    <row r="6077" spans="3:3" ht="15" customHeight="1">
      <c r="C6077" s="70" t="str">
        <f t="shared" si="96"/>
        <v/>
      </c>
    </row>
    <row r="6078" spans="3:3" ht="15" customHeight="1">
      <c r="C6078" s="70" t="str">
        <f t="shared" si="96"/>
        <v/>
      </c>
    </row>
    <row r="6079" spans="3:3" ht="15" customHeight="1">
      <c r="C6079" s="70" t="str">
        <f t="shared" si="96"/>
        <v/>
      </c>
    </row>
    <row r="6080" spans="3:3" ht="15" customHeight="1">
      <c r="C6080" s="70" t="str">
        <f t="shared" si="96"/>
        <v/>
      </c>
    </row>
    <row r="6081" spans="3:3" ht="15" customHeight="1">
      <c r="C6081" s="70" t="str">
        <f t="shared" si="96"/>
        <v/>
      </c>
    </row>
    <row r="6082" spans="3:3" ht="15" customHeight="1">
      <c r="C6082" s="70" t="str">
        <f t="shared" si="96"/>
        <v/>
      </c>
    </row>
    <row r="6083" spans="3:3" ht="15" customHeight="1">
      <c r="C6083" s="70" t="str">
        <f t="shared" si="96"/>
        <v/>
      </c>
    </row>
    <row r="6084" spans="3:3" ht="15" customHeight="1">
      <c r="C6084" s="70" t="str">
        <f t="shared" si="96"/>
        <v/>
      </c>
    </row>
    <row r="6085" spans="3:3" ht="15" customHeight="1">
      <c r="C6085" s="70" t="str">
        <f t="shared" si="96"/>
        <v/>
      </c>
    </row>
    <row r="6086" spans="3:3" ht="15" customHeight="1">
      <c r="C6086" s="70" t="str">
        <f t="shared" si="96"/>
        <v/>
      </c>
    </row>
    <row r="6087" spans="3:3" ht="15" customHeight="1">
      <c r="C6087" s="70" t="str">
        <f t="shared" si="96"/>
        <v/>
      </c>
    </row>
    <row r="6088" spans="3:3" ht="15" customHeight="1">
      <c r="C6088" s="70" t="str">
        <f t="shared" si="96"/>
        <v/>
      </c>
    </row>
    <row r="6089" spans="3:3" ht="15" customHeight="1">
      <c r="C6089" s="70" t="str">
        <f t="shared" si="96"/>
        <v/>
      </c>
    </row>
    <row r="6090" spans="3:3" ht="15" customHeight="1">
      <c r="C6090" s="70" t="str">
        <f t="shared" si="96"/>
        <v/>
      </c>
    </row>
    <row r="6091" spans="3:3" ht="15" customHeight="1">
      <c r="C6091" s="70" t="str">
        <f t="shared" si="96"/>
        <v/>
      </c>
    </row>
    <row r="6092" spans="3:3" ht="15" customHeight="1">
      <c r="C6092" s="70" t="str">
        <f t="shared" si="96"/>
        <v/>
      </c>
    </row>
    <row r="6093" spans="3:3" ht="15" customHeight="1">
      <c r="C6093" s="70" t="str">
        <f t="shared" si="96"/>
        <v/>
      </c>
    </row>
    <row r="6094" spans="3:3" ht="15" customHeight="1">
      <c r="C6094" s="70" t="str">
        <f t="shared" si="96"/>
        <v/>
      </c>
    </row>
    <row r="6095" spans="3:3" ht="15" customHeight="1">
      <c r="C6095" s="70" t="str">
        <f t="shared" si="96"/>
        <v/>
      </c>
    </row>
    <row r="6096" spans="3:3" ht="15" customHeight="1">
      <c r="C6096" s="70" t="str">
        <f t="shared" si="96"/>
        <v/>
      </c>
    </row>
    <row r="6097" spans="3:3" ht="15" customHeight="1">
      <c r="C6097" s="70" t="str">
        <f t="shared" ref="C6097:C6160" si="97">IF(B6097&lt;&gt;"",TEXT(WEEKDAY(B6097),"dddd"),"")</f>
        <v/>
      </c>
    </row>
    <row r="6098" spans="3:3" ht="15" customHeight="1">
      <c r="C6098" s="70" t="str">
        <f t="shared" si="97"/>
        <v/>
      </c>
    </row>
    <row r="6099" spans="3:3" ht="15" customHeight="1">
      <c r="C6099" s="70" t="str">
        <f t="shared" si="97"/>
        <v/>
      </c>
    </row>
    <row r="6100" spans="3:3" ht="15" customHeight="1">
      <c r="C6100" s="70" t="str">
        <f t="shared" si="97"/>
        <v/>
      </c>
    </row>
    <row r="6101" spans="3:3" ht="15" customHeight="1">
      <c r="C6101" s="70" t="str">
        <f t="shared" si="97"/>
        <v/>
      </c>
    </row>
    <row r="6102" spans="3:3" ht="15" customHeight="1">
      <c r="C6102" s="70" t="str">
        <f t="shared" si="97"/>
        <v/>
      </c>
    </row>
    <row r="6103" spans="3:3" ht="15" customHeight="1">
      <c r="C6103" s="70" t="str">
        <f t="shared" si="97"/>
        <v/>
      </c>
    </row>
    <row r="6104" spans="3:3" ht="15" customHeight="1">
      <c r="C6104" s="70" t="str">
        <f t="shared" si="97"/>
        <v/>
      </c>
    </row>
    <row r="6105" spans="3:3" ht="15" customHeight="1">
      <c r="C6105" s="70" t="str">
        <f t="shared" si="97"/>
        <v/>
      </c>
    </row>
    <row r="6106" spans="3:3" ht="15" customHeight="1">
      <c r="C6106" s="70" t="str">
        <f t="shared" si="97"/>
        <v/>
      </c>
    </row>
    <row r="6107" spans="3:3" ht="15" customHeight="1">
      <c r="C6107" s="70" t="str">
        <f t="shared" si="97"/>
        <v/>
      </c>
    </row>
    <row r="6108" spans="3:3" ht="15" customHeight="1">
      <c r="C6108" s="70" t="str">
        <f t="shared" si="97"/>
        <v/>
      </c>
    </row>
    <row r="6109" spans="3:3" ht="15" customHeight="1">
      <c r="C6109" s="70" t="str">
        <f t="shared" si="97"/>
        <v/>
      </c>
    </row>
    <row r="6110" spans="3:3" ht="15" customHeight="1">
      <c r="C6110" s="70" t="str">
        <f t="shared" si="97"/>
        <v/>
      </c>
    </row>
    <row r="6111" spans="3:3" ht="15" customHeight="1">
      <c r="C6111" s="70" t="str">
        <f t="shared" si="97"/>
        <v/>
      </c>
    </row>
    <row r="6112" spans="3:3" ht="15" customHeight="1">
      <c r="C6112" s="70" t="str">
        <f t="shared" si="97"/>
        <v/>
      </c>
    </row>
    <row r="6113" spans="3:3" ht="15" customHeight="1">
      <c r="C6113" s="70" t="str">
        <f t="shared" si="97"/>
        <v/>
      </c>
    </row>
    <row r="6114" spans="3:3" ht="15" customHeight="1">
      <c r="C6114" s="70" t="str">
        <f t="shared" si="97"/>
        <v/>
      </c>
    </row>
    <row r="6115" spans="3:3" ht="15" customHeight="1">
      <c r="C6115" s="70" t="str">
        <f t="shared" si="97"/>
        <v/>
      </c>
    </row>
    <row r="6116" spans="3:3" ht="15" customHeight="1">
      <c r="C6116" s="70" t="str">
        <f t="shared" si="97"/>
        <v/>
      </c>
    </row>
    <row r="6117" spans="3:3" ht="15" customHeight="1">
      <c r="C6117" s="70" t="str">
        <f t="shared" si="97"/>
        <v/>
      </c>
    </row>
    <row r="6118" spans="3:3" ht="15" customHeight="1">
      <c r="C6118" s="70" t="str">
        <f t="shared" si="97"/>
        <v/>
      </c>
    </row>
    <row r="6119" spans="3:3" ht="15" customHeight="1">
      <c r="C6119" s="70" t="str">
        <f t="shared" si="97"/>
        <v/>
      </c>
    </row>
    <row r="6120" spans="3:3" ht="15" customHeight="1">
      <c r="C6120" s="70" t="str">
        <f t="shared" si="97"/>
        <v/>
      </c>
    </row>
    <row r="6121" spans="3:3" ht="15" customHeight="1">
      <c r="C6121" s="70" t="str">
        <f t="shared" si="97"/>
        <v/>
      </c>
    </row>
    <row r="6122" spans="3:3" ht="15" customHeight="1">
      <c r="C6122" s="70" t="str">
        <f t="shared" si="97"/>
        <v/>
      </c>
    </row>
    <row r="6123" spans="3:3" ht="15" customHeight="1">
      <c r="C6123" s="70" t="str">
        <f t="shared" si="97"/>
        <v/>
      </c>
    </row>
    <row r="6124" spans="3:3" ht="15" customHeight="1">
      <c r="C6124" s="70" t="str">
        <f t="shared" si="97"/>
        <v/>
      </c>
    </row>
    <row r="6125" spans="3:3" ht="15" customHeight="1">
      <c r="C6125" s="70" t="str">
        <f t="shared" si="97"/>
        <v/>
      </c>
    </row>
    <row r="6126" spans="3:3" ht="15" customHeight="1">
      <c r="C6126" s="70" t="str">
        <f t="shared" si="97"/>
        <v/>
      </c>
    </row>
    <row r="6127" spans="3:3" ht="15" customHeight="1">
      <c r="C6127" s="70" t="str">
        <f t="shared" si="97"/>
        <v/>
      </c>
    </row>
    <row r="6128" spans="3:3" ht="15" customHeight="1">
      <c r="C6128" s="70" t="str">
        <f t="shared" si="97"/>
        <v/>
      </c>
    </row>
    <row r="6129" spans="3:3" ht="15" customHeight="1">
      <c r="C6129" s="70" t="str">
        <f t="shared" si="97"/>
        <v/>
      </c>
    </row>
    <row r="6130" spans="3:3" ht="15" customHeight="1">
      <c r="C6130" s="70" t="str">
        <f t="shared" si="97"/>
        <v/>
      </c>
    </row>
    <row r="6131" spans="3:3" ht="15" customHeight="1">
      <c r="C6131" s="70" t="str">
        <f t="shared" si="97"/>
        <v/>
      </c>
    </row>
    <row r="6132" spans="3:3" ht="15" customHeight="1">
      <c r="C6132" s="70" t="str">
        <f t="shared" si="97"/>
        <v/>
      </c>
    </row>
    <row r="6133" spans="3:3" ht="15" customHeight="1">
      <c r="C6133" s="70" t="str">
        <f t="shared" si="97"/>
        <v/>
      </c>
    </row>
    <row r="6134" spans="3:3" ht="15" customHeight="1">
      <c r="C6134" s="70" t="str">
        <f t="shared" si="97"/>
        <v/>
      </c>
    </row>
    <row r="6135" spans="3:3" ht="15" customHeight="1">
      <c r="C6135" s="70" t="str">
        <f t="shared" si="97"/>
        <v/>
      </c>
    </row>
    <row r="6136" spans="3:3" ht="15" customHeight="1">
      <c r="C6136" s="70" t="str">
        <f t="shared" si="97"/>
        <v/>
      </c>
    </row>
    <row r="6137" spans="3:3" ht="15" customHeight="1">
      <c r="C6137" s="70" t="str">
        <f t="shared" si="97"/>
        <v/>
      </c>
    </row>
    <row r="6138" spans="3:3" ht="15" customHeight="1">
      <c r="C6138" s="70" t="str">
        <f t="shared" si="97"/>
        <v/>
      </c>
    </row>
    <row r="6139" spans="3:3" ht="15" customHeight="1">
      <c r="C6139" s="70" t="str">
        <f t="shared" si="97"/>
        <v/>
      </c>
    </row>
    <row r="6140" spans="3:3" ht="15" customHeight="1">
      <c r="C6140" s="70" t="str">
        <f t="shared" si="97"/>
        <v/>
      </c>
    </row>
    <row r="6141" spans="3:3" ht="15" customHeight="1">
      <c r="C6141" s="70" t="str">
        <f t="shared" si="97"/>
        <v/>
      </c>
    </row>
    <row r="6142" spans="3:3" ht="15" customHeight="1">
      <c r="C6142" s="70" t="str">
        <f t="shared" si="97"/>
        <v/>
      </c>
    </row>
    <row r="6143" spans="3:3" ht="15" customHeight="1">
      <c r="C6143" s="70" t="str">
        <f t="shared" si="97"/>
        <v/>
      </c>
    </row>
    <row r="6144" spans="3:3" ht="15" customHeight="1">
      <c r="C6144" s="70" t="str">
        <f t="shared" si="97"/>
        <v/>
      </c>
    </row>
    <row r="6145" spans="3:3" ht="15" customHeight="1">
      <c r="C6145" s="70" t="str">
        <f t="shared" si="97"/>
        <v/>
      </c>
    </row>
    <row r="6146" spans="3:3" ht="15" customHeight="1">
      <c r="C6146" s="70" t="str">
        <f t="shared" si="97"/>
        <v/>
      </c>
    </row>
    <row r="6147" spans="3:3" ht="15" customHeight="1">
      <c r="C6147" s="70" t="str">
        <f t="shared" si="97"/>
        <v/>
      </c>
    </row>
    <row r="6148" spans="3:3" ht="15" customHeight="1">
      <c r="C6148" s="70" t="str">
        <f t="shared" si="97"/>
        <v/>
      </c>
    </row>
    <row r="6149" spans="3:3" ht="15" customHeight="1">
      <c r="C6149" s="70" t="str">
        <f t="shared" si="97"/>
        <v/>
      </c>
    </row>
    <row r="6150" spans="3:3" ht="15" customHeight="1">
      <c r="C6150" s="70" t="str">
        <f t="shared" si="97"/>
        <v/>
      </c>
    </row>
    <row r="6151" spans="3:3" ht="15" customHeight="1">
      <c r="C6151" s="70" t="str">
        <f t="shared" si="97"/>
        <v/>
      </c>
    </row>
    <row r="6152" spans="3:3" ht="15" customHeight="1">
      <c r="C6152" s="70" t="str">
        <f t="shared" si="97"/>
        <v/>
      </c>
    </row>
    <row r="6153" spans="3:3" ht="15" customHeight="1">
      <c r="C6153" s="70" t="str">
        <f t="shared" si="97"/>
        <v/>
      </c>
    </row>
    <row r="6154" spans="3:3" ht="15" customHeight="1">
      <c r="C6154" s="70" t="str">
        <f t="shared" si="97"/>
        <v/>
      </c>
    </row>
    <row r="6155" spans="3:3" ht="15" customHeight="1">
      <c r="C6155" s="70" t="str">
        <f t="shared" si="97"/>
        <v/>
      </c>
    </row>
    <row r="6156" spans="3:3" ht="15" customHeight="1">
      <c r="C6156" s="70" t="str">
        <f t="shared" si="97"/>
        <v/>
      </c>
    </row>
    <row r="6157" spans="3:3" ht="15" customHeight="1">
      <c r="C6157" s="70" t="str">
        <f t="shared" si="97"/>
        <v/>
      </c>
    </row>
    <row r="6158" spans="3:3" ht="15" customHeight="1">
      <c r="C6158" s="70" t="str">
        <f t="shared" si="97"/>
        <v/>
      </c>
    </row>
    <row r="6159" spans="3:3" ht="15" customHeight="1">
      <c r="C6159" s="70" t="str">
        <f t="shared" si="97"/>
        <v/>
      </c>
    </row>
    <row r="6160" spans="3:3" ht="15" customHeight="1">
      <c r="C6160" s="70" t="str">
        <f t="shared" si="97"/>
        <v/>
      </c>
    </row>
    <row r="6161" spans="3:3" ht="15" customHeight="1">
      <c r="C6161" s="70" t="str">
        <f t="shared" ref="C6161:C6224" si="98">IF(B6161&lt;&gt;"",TEXT(WEEKDAY(B6161),"dddd"),"")</f>
        <v/>
      </c>
    </row>
    <row r="6162" spans="3:3" ht="15" customHeight="1">
      <c r="C6162" s="70" t="str">
        <f t="shared" si="98"/>
        <v/>
      </c>
    </row>
    <row r="6163" spans="3:3" ht="15" customHeight="1">
      <c r="C6163" s="70" t="str">
        <f t="shared" si="98"/>
        <v/>
      </c>
    </row>
    <row r="6164" spans="3:3" ht="15" customHeight="1">
      <c r="C6164" s="70" t="str">
        <f t="shared" si="98"/>
        <v/>
      </c>
    </row>
    <row r="6165" spans="3:3" ht="15" customHeight="1">
      <c r="C6165" s="70" t="str">
        <f t="shared" si="98"/>
        <v/>
      </c>
    </row>
    <row r="6166" spans="3:3" ht="15" customHeight="1">
      <c r="C6166" s="70" t="str">
        <f t="shared" si="98"/>
        <v/>
      </c>
    </row>
    <row r="6167" spans="3:3" ht="15" customHeight="1">
      <c r="C6167" s="70" t="str">
        <f t="shared" si="98"/>
        <v/>
      </c>
    </row>
    <row r="6168" spans="3:3" ht="15" customHeight="1">
      <c r="C6168" s="70" t="str">
        <f t="shared" si="98"/>
        <v/>
      </c>
    </row>
    <row r="6169" spans="3:3" ht="15" customHeight="1">
      <c r="C6169" s="70" t="str">
        <f t="shared" si="98"/>
        <v/>
      </c>
    </row>
    <row r="6170" spans="3:3" ht="15" customHeight="1">
      <c r="C6170" s="70" t="str">
        <f t="shared" si="98"/>
        <v/>
      </c>
    </row>
    <row r="6171" spans="3:3" ht="15" customHeight="1">
      <c r="C6171" s="70" t="str">
        <f t="shared" si="98"/>
        <v/>
      </c>
    </row>
    <row r="6172" spans="3:3" ht="15" customHeight="1">
      <c r="C6172" s="70" t="str">
        <f t="shared" si="98"/>
        <v/>
      </c>
    </row>
    <row r="6173" spans="3:3" ht="15" customHeight="1">
      <c r="C6173" s="70" t="str">
        <f t="shared" si="98"/>
        <v/>
      </c>
    </row>
    <row r="6174" spans="3:3" ht="15" customHeight="1">
      <c r="C6174" s="70" t="str">
        <f t="shared" si="98"/>
        <v/>
      </c>
    </row>
    <row r="6175" spans="3:3" ht="15" customHeight="1">
      <c r="C6175" s="70" t="str">
        <f t="shared" si="98"/>
        <v/>
      </c>
    </row>
    <row r="6176" spans="3:3" ht="15" customHeight="1">
      <c r="C6176" s="70" t="str">
        <f t="shared" si="98"/>
        <v/>
      </c>
    </row>
    <row r="6177" spans="3:3" ht="15" customHeight="1">
      <c r="C6177" s="70" t="str">
        <f t="shared" si="98"/>
        <v/>
      </c>
    </row>
    <row r="6178" spans="3:3" ht="15" customHeight="1">
      <c r="C6178" s="70" t="str">
        <f t="shared" si="98"/>
        <v/>
      </c>
    </row>
    <row r="6179" spans="3:3" ht="15" customHeight="1">
      <c r="C6179" s="70" t="str">
        <f t="shared" si="98"/>
        <v/>
      </c>
    </row>
    <row r="6180" spans="3:3" ht="15" customHeight="1">
      <c r="C6180" s="70" t="str">
        <f t="shared" si="98"/>
        <v/>
      </c>
    </row>
    <row r="6181" spans="3:3" ht="15" customHeight="1">
      <c r="C6181" s="70" t="str">
        <f t="shared" si="98"/>
        <v/>
      </c>
    </row>
    <row r="6182" spans="3:3" ht="15" customHeight="1">
      <c r="C6182" s="70" t="str">
        <f t="shared" si="98"/>
        <v/>
      </c>
    </row>
    <row r="6183" spans="3:3" ht="15" customHeight="1">
      <c r="C6183" s="70" t="str">
        <f t="shared" si="98"/>
        <v/>
      </c>
    </row>
    <row r="6184" spans="3:3" ht="15" customHeight="1">
      <c r="C6184" s="70" t="str">
        <f t="shared" si="98"/>
        <v/>
      </c>
    </row>
    <row r="6185" spans="3:3" ht="15" customHeight="1">
      <c r="C6185" s="70" t="str">
        <f t="shared" si="98"/>
        <v/>
      </c>
    </row>
    <row r="6186" spans="3:3" ht="15" customHeight="1">
      <c r="C6186" s="70" t="str">
        <f t="shared" si="98"/>
        <v/>
      </c>
    </row>
    <row r="6187" spans="3:3" ht="15" customHeight="1">
      <c r="C6187" s="70" t="str">
        <f t="shared" si="98"/>
        <v/>
      </c>
    </row>
    <row r="6188" spans="3:3" ht="15" customHeight="1">
      <c r="C6188" s="70" t="str">
        <f t="shared" si="98"/>
        <v/>
      </c>
    </row>
    <row r="6189" spans="3:3" ht="15" customHeight="1">
      <c r="C6189" s="70" t="str">
        <f t="shared" si="98"/>
        <v/>
      </c>
    </row>
    <row r="6190" spans="3:3" ht="15" customHeight="1">
      <c r="C6190" s="70" t="str">
        <f t="shared" si="98"/>
        <v/>
      </c>
    </row>
    <row r="6191" spans="3:3" ht="15" customHeight="1">
      <c r="C6191" s="70" t="str">
        <f t="shared" si="98"/>
        <v/>
      </c>
    </row>
    <row r="6192" spans="3:3" ht="15" customHeight="1">
      <c r="C6192" s="70" t="str">
        <f t="shared" si="98"/>
        <v/>
      </c>
    </row>
    <row r="6193" spans="3:3" ht="15" customHeight="1">
      <c r="C6193" s="70" t="str">
        <f t="shared" si="98"/>
        <v/>
      </c>
    </row>
    <row r="6194" spans="3:3" ht="15" customHeight="1">
      <c r="C6194" s="70" t="str">
        <f t="shared" si="98"/>
        <v/>
      </c>
    </row>
    <row r="6195" spans="3:3" ht="15" customHeight="1">
      <c r="C6195" s="70" t="str">
        <f t="shared" si="98"/>
        <v/>
      </c>
    </row>
    <row r="6196" spans="3:3" ht="15" customHeight="1">
      <c r="C6196" s="70" t="str">
        <f t="shared" si="98"/>
        <v/>
      </c>
    </row>
    <row r="6197" spans="3:3" ht="15" customHeight="1">
      <c r="C6197" s="70" t="str">
        <f t="shared" si="98"/>
        <v/>
      </c>
    </row>
    <row r="6198" spans="3:3" ht="15" customHeight="1">
      <c r="C6198" s="70" t="str">
        <f t="shared" si="98"/>
        <v/>
      </c>
    </row>
    <row r="6199" spans="3:3" ht="15" customHeight="1">
      <c r="C6199" s="70" t="str">
        <f t="shared" si="98"/>
        <v/>
      </c>
    </row>
    <row r="6200" spans="3:3" ht="15" customHeight="1">
      <c r="C6200" s="70" t="str">
        <f t="shared" si="98"/>
        <v/>
      </c>
    </row>
    <row r="6201" spans="3:3" ht="15" customHeight="1">
      <c r="C6201" s="70" t="str">
        <f t="shared" si="98"/>
        <v/>
      </c>
    </row>
    <row r="6202" spans="3:3" ht="15" customHeight="1">
      <c r="C6202" s="70" t="str">
        <f t="shared" si="98"/>
        <v/>
      </c>
    </row>
    <row r="6203" spans="3:3" ht="15" customHeight="1">
      <c r="C6203" s="70" t="str">
        <f t="shared" si="98"/>
        <v/>
      </c>
    </row>
    <row r="6204" spans="3:3" ht="15" customHeight="1">
      <c r="C6204" s="70" t="str">
        <f t="shared" si="98"/>
        <v/>
      </c>
    </row>
    <row r="6205" spans="3:3" ht="15" customHeight="1">
      <c r="C6205" s="70" t="str">
        <f t="shared" si="98"/>
        <v/>
      </c>
    </row>
    <row r="6206" spans="3:3" ht="15" customHeight="1">
      <c r="C6206" s="70" t="str">
        <f t="shared" si="98"/>
        <v/>
      </c>
    </row>
    <row r="6207" spans="3:3" ht="15" customHeight="1">
      <c r="C6207" s="70" t="str">
        <f t="shared" si="98"/>
        <v/>
      </c>
    </row>
    <row r="6208" spans="3:3" ht="15" customHeight="1">
      <c r="C6208" s="70" t="str">
        <f t="shared" si="98"/>
        <v/>
      </c>
    </row>
    <row r="6209" spans="3:3" ht="15" customHeight="1">
      <c r="C6209" s="70" t="str">
        <f t="shared" si="98"/>
        <v/>
      </c>
    </row>
    <row r="6210" spans="3:3" ht="15" customHeight="1">
      <c r="C6210" s="70" t="str">
        <f t="shared" si="98"/>
        <v/>
      </c>
    </row>
    <row r="6211" spans="3:3" ht="15" customHeight="1">
      <c r="C6211" s="70" t="str">
        <f t="shared" si="98"/>
        <v/>
      </c>
    </row>
    <row r="6212" spans="3:3" ht="15" customHeight="1">
      <c r="C6212" s="70" t="str">
        <f t="shared" si="98"/>
        <v/>
      </c>
    </row>
    <row r="6213" spans="3:3" ht="15" customHeight="1">
      <c r="C6213" s="70" t="str">
        <f t="shared" si="98"/>
        <v/>
      </c>
    </row>
    <row r="6214" spans="3:3" ht="15" customHeight="1">
      <c r="C6214" s="70" t="str">
        <f t="shared" si="98"/>
        <v/>
      </c>
    </row>
    <row r="6215" spans="3:3" ht="15" customHeight="1">
      <c r="C6215" s="70" t="str">
        <f t="shared" si="98"/>
        <v/>
      </c>
    </row>
    <row r="6216" spans="3:3" ht="15" customHeight="1">
      <c r="C6216" s="70" t="str">
        <f t="shared" si="98"/>
        <v/>
      </c>
    </row>
    <row r="6217" spans="3:3" ht="15" customHeight="1">
      <c r="C6217" s="70" t="str">
        <f t="shared" si="98"/>
        <v/>
      </c>
    </row>
    <row r="6218" spans="3:3" ht="15" customHeight="1">
      <c r="C6218" s="70" t="str">
        <f t="shared" si="98"/>
        <v/>
      </c>
    </row>
    <row r="6219" spans="3:3" ht="15" customHeight="1">
      <c r="C6219" s="70" t="str">
        <f t="shared" si="98"/>
        <v/>
      </c>
    </row>
    <row r="6220" spans="3:3" ht="15" customHeight="1">
      <c r="C6220" s="70" t="str">
        <f t="shared" si="98"/>
        <v/>
      </c>
    </row>
    <row r="6221" spans="3:3" ht="15" customHeight="1">
      <c r="C6221" s="70" t="str">
        <f t="shared" si="98"/>
        <v/>
      </c>
    </row>
    <row r="6222" spans="3:3" ht="15" customHeight="1">
      <c r="C6222" s="70" t="str">
        <f t="shared" si="98"/>
        <v/>
      </c>
    </row>
    <row r="6223" spans="3:3" ht="15" customHeight="1">
      <c r="C6223" s="70" t="str">
        <f t="shared" si="98"/>
        <v/>
      </c>
    </row>
    <row r="6224" spans="3:3" ht="15" customHeight="1">
      <c r="C6224" s="70" t="str">
        <f t="shared" si="98"/>
        <v/>
      </c>
    </row>
    <row r="6225" spans="3:3" ht="15" customHeight="1">
      <c r="C6225" s="70" t="str">
        <f t="shared" ref="C6225:C6288" si="99">IF(B6225&lt;&gt;"",TEXT(WEEKDAY(B6225),"dddd"),"")</f>
        <v/>
      </c>
    </row>
    <row r="6226" spans="3:3" ht="15" customHeight="1">
      <c r="C6226" s="70" t="str">
        <f t="shared" si="99"/>
        <v/>
      </c>
    </row>
    <row r="6227" spans="3:3" ht="15" customHeight="1">
      <c r="C6227" s="70" t="str">
        <f t="shared" si="99"/>
        <v/>
      </c>
    </row>
    <row r="6228" spans="3:3" ht="15" customHeight="1">
      <c r="C6228" s="70" t="str">
        <f t="shared" si="99"/>
        <v/>
      </c>
    </row>
    <row r="6229" spans="3:3" ht="15" customHeight="1">
      <c r="C6229" s="70" t="str">
        <f t="shared" si="99"/>
        <v/>
      </c>
    </row>
    <row r="6230" spans="3:3" ht="15" customHeight="1">
      <c r="C6230" s="70" t="str">
        <f t="shared" si="99"/>
        <v/>
      </c>
    </row>
    <row r="6231" spans="3:3" ht="15" customHeight="1">
      <c r="C6231" s="70" t="str">
        <f t="shared" si="99"/>
        <v/>
      </c>
    </row>
    <row r="6232" spans="3:3" ht="15" customHeight="1">
      <c r="C6232" s="70" t="str">
        <f t="shared" si="99"/>
        <v/>
      </c>
    </row>
    <row r="6233" spans="3:3" ht="15" customHeight="1">
      <c r="C6233" s="70" t="str">
        <f t="shared" si="99"/>
        <v/>
      </c>
    </row>
    <row r="6234" spans="3:3" ht="15" customHeight="1">
      <c r="C6234" s="70" t="str">
        <f t="shared" si="99"/>
        <v/>
      </c>
    </row>
    <row r="6235" spans="3:3" ht="15" customHeight="1">
      <c r="C6235" s="70" t="str">
        <f t="shared" si="99"/>
        <v/>
      </c>
    </row>
    <row r="6236" spans="3:3" ht="15" customHeight="1">
      <c r="C6236" s="70" t="str">
        <f t="shared" si="99"/>
        <v/>
      </c>
    </row>
    <row r="6237" spans="3:3" ht="15" customHeight="1">
      <c r="C6237" s="70" t="str">
        <f t="shared" si="99"/>
        <v/>
      </c>
    </row>
    <row r="6238" spans="3:3" ht="15" customHeight="1">
      <c r="C6238" s="70" t="str">
        <f t="shared" si="99"/>
        <v/>
      </c>
    </row>
    <row r="6239" spans="3:3" ht="15" customHeight="1">
      <c r="C6239" s="70" t="str">
        <f t="shared" si="99"/>
        <v/>
      </c>
    </row>
    <row r="6240" spans="3:3" ht="15" customHeight="1">
      <c r="C6240" s="70" t="str">
        <f t="shared" si="99"/>
        <v/>
      </c>
    </row>
    <row r="6241" spans="3:3" ht="15" customHeight="1">
      <c r="C6241" s="70" t="str">
        <f t="shared" si="99"/>
        <v/>
      </c>
    </row>
    <row r="6242" spans="3:3" ht="15" customHeight="1">
      <c r="C6242" s="70" t="str">
        <f t="shared" si="99"/>
        <v/>
      </c>
    </row>
    <row r="6243" spans="3:3" ht="15" customHeight="1">
      <c r="C6243" s="70" t="str">
        <f t="shared" si="99"/>
        <v/>
      </c>
    </row>
    <row r="6244" spans="3:3" ht="15" customHeight="1">
      <c r="C6244" s="70" t="str">
        <f t="shared" si="99"/>
        <v/>
      </c>
    </row>
    <row r="6245" spans="3:3" ht="15" customHeight="1">
      <c r="C6245" s="70" t="str">
        <f t="shared" si="99"/>
        <v/>
      </c>
    </row>
    <row r="6246" spans="3:3" ht="15" customHeight="1">
      <c r="C6246" s="70" t="str">
        <f t="shared" si="99"/>
        <v/>
      </c>
    </row>
    <row r="6247" spans="3:3" ht="15" customHeight="1">
      <c r="C6247" s="70" t="str">
        <f t="shared" si="99"/>
        <v/>
      </c>
    </row>
    <row r="6248" spans="3:3" ht="15" customHeight="1">
      <c r="C6248" s="70" t="str">
        <f t="shared" si="99"/>
        <v/>
      </c>
    </row>
    <row r="6249" spans="3:3" ht="15" customHeight="1">
      <c r="C6249" s="70" t="str">
        <f t="shared" si="99"/>
        <v/>
      </c>
    </row>
    <row r="6250" spans="3:3" ht="15" customHeight="1">
      <c r="C6250" s="70" t="str">
        <f t="shared" si="99"/>
        <v/>
      </c>
    </row>
    <row r="6251" spans="3:3" ht="15" customHeight="1">
      <c r="C6251" s="70" t="str">
        <f t="shared" si="99"/>
        <v/>
      </c>
    </row>
    <row r="6252" spans="3:3" ht="15" customHeight="1">
      <c r="C6252" s="70" t="str">
        <f t="shared" si="99"/>
        <v/>
      </c>
    </row>
    <row r="6253" spans="3:3" ht="15" customHeight="1">
      <c r="C6253" s="70" t="str">
        <f t="shared" si="99"/>
        <v/>
      </c>
    </row>
    <row r="6254" spans="3:3" ht="15" customHeight="1">
      <c r="C6254" s="70" t="str">
        <f t="shared" si="99"/>
        <v/>
      </c>
    </row>
    <row r="6255" spans="3:3" ht="15" customHeight="1">
      <c r="C6255" s="70" t="str">
        <f t="shared" si="99"/>
        <v/>
      </c>
    </row>
    <row r="6256" spans="3:3" ht="15" customHeight="1">
      <c r="C6256" s="70" t="str">
        <f t="shared" si="99"/>
        <v/>
      </c>
    </row>
    <row r="6257" spans="3:3" ht="15" customHeight="1">
      <c r="C6257" s="70" t="str">
        <f t="shared" si="99"/>
        <v/>
      </c>
    </row>
    <row r="6258" spans="3:3" ht="15" customHeight="1">
      <c r="C6258" s="70" t="str">
        <f t="shared" si="99"/>
        <v/>
      </c>
    </row>
    <row r="6259" spans="3:3" ht="15" customHeight="1">
      <c r="C6259" s="70" t="str">
        <f t="shared" si="99"/>
        <v/>
      </c>
    </row>
    <row r="6260" spans="3:3" ht="15" customHeight="1">
      <c r="C6260" s="70" t="str">
        <f t="shared" si="99"/>
        <v/>
      </c>
    </row>
    <row r="6261" spans="3:3" ht="15" customHeight="1">
      <c r="C6261" s="70" t="str">
        <f t="shared" si="99"/>
        <v/>
      </c>
    </row>
    <row r="6262" spans="3:3" ht="15" customHeight="1">
      <c r="C6262" s="70" t="str">
        <f t="shared" si="99"/>
        <v/>
      </c>
    </row>
    <row r="6263" spans="3:3" ht="15" customHeight="1">
      <c r="C6263" s="70" t="str">
        <f t="shared" si="99"/>
        <v/>
      </c>
    </row>
    <row r="6264" spans="3:3" ht="15" customHeight="1">
      <c r="C6264" s="70" t="str">
        <f t="shared" si="99"/>
        <v/>
      </c>
    </row>
    <row r="6265" spans="3:3" ht="15" customHeight="1">
      <c r="C6265" s="70" t="str">
        <f t="shared" si="99"/>
        <v/>
      </c>
    </row>
    <row r="6266" spans="3:3" ht="15" customHeight="1">
      <c r="C6266" s="70" t="str">
        <f t="shared" si="99"/>
        <v/>
      </c>
    </row>
    <row r="6267" spans="3:3" ht="15" customHeight="1">
      <c r="C6267" s="70" t="str">
        <f t="shared" si="99"/>
        <v/>
      </c>
    </row>
    <row r="6268" spans="3:3" ht="15" customHeight="1">
      <c r="C6268" s="70" t="str">
        <f t="shared" si="99"/>
        <v/>
      </c>
    </row>
    <row r="6269" spans="3:3" ht="15" customHeight="1">
      <c r="C6269" s="70" t="str">
        <f t="shared" si="99"/>
        <v/>
      </c>
    </row>
    <row r="6270" spans="3:3" ht="15" customHeight="1">
      <c r="C6270" s="70" t="str">
        <f t="shared" si="99"/>
        <v/>
      </c>
    </row>
    <row r="6271" spans="3:3" ht="15" customHeight="1">
      <c r="C6271" s="70" t="str">
        <f t="shared" si="99"/>
        <v/>
      </c>
    </row>
    <row r="6272" spans="3:3" ht="15" customHeight="1">
      <c r="C6272" s="70" t="str">
        <f t="shared" si="99"/>
        <v/>
      </c>
    </row>
    <row r="6273" spans="3:3" ht="15" customHeight="1">
      <c r="C6273" s="70" t="str">
        <f t="shared" si="99"/>
        <v/>
      </c>
    </row>
    <row r="6274" spans="3:3" ht="15" customHeight="1">
      <c r="C6274" s="70" t="str">
        <f t="shared" si="99"/>
        <v/>
      </c>
    </row>
    <row r="6275" spans="3:3" ht="15" customHeight="1">
      <c r="C6275" s="70" t="str">
        <f t="shared" si="99"/>
        <v/>
      </c>
    </row>
    <row r="6276" spans="3:3" ht="15" customHeight="1">
      <c r="C6276" s="70" t="str">
        <f t="shared" si="99"/>
        <v/>
      </c>
    </row>
    <row r="6277" spans="3:3" ht="15" customHeight="1">
      <c r="C6277" s="70" t="str">
        <f t="shared" si="99"/>
        <v/>
      </c>
    </row>
    <row r="6278" spans="3:3" ht="15" customHeight="1">
      <c r="C6278" s="70" t="str">
        <f t="shared" si="99"/>
        <v/>
      </c>
    </row>
    <row r="6279" spans="3:3" ht="15" customHeight="1">
      <c r="C6279" s="70" t="str">
        <f t="shared" si="99"/>
        <v/>
      </c>
    </row>
    <row r="6280" spans="3:3" ht="15" customHeight="1">
      <c r="C6280" s="70" t="str">
        <f t="shared" si="99"/>
        <v/>
      </c>
    </row>
    <row r="6281" spans="3:3" ht="15" customHeight="1">
      <c r="C6281" s="70" t="str">
        <f t="shared" si="99"/>
        <v/>
      </c>
    </row>
    <row r="6282" spans="3:3" ht="15" customHeight="1">
      <c r="C6282" s="70" t="str">
        <f t="shared" si="99"/>
        <v/>
      </c>
    </row>
    <row r="6283" spans="3:3" ht="15" customHeight="1">
      <c r="C6283" s="70" t="str">
        <f t="shared" si="99"/>
        <v/>
      </c>
    </row>
    <row r="6284" spans="3:3" ht="15" customHeight="1">
      <c r="C6284" s="70" t="str">
        <f t="shared" si="99"/>
        <v/>
      </c>
    </row>
    <row r="6285" spans="3:3" ht="15" customHeight="1">
      <c r="C6285" s="70" t="str">
        <f t="shared" si="99"/>
        <v/>
      </c>
    </row>
    <row r="6286" spans="3:3" ht="15" customHeight="1">
      <c r="C6286" s="70" t="str">
        <f t="shared" si="99"/>
        <v/>
      </c>
    </row>
    <row r="6287" spans="3:3" ht="15" customHeight="1">
      <c r="C6287" s="70" t="str">
        <f t="shared" si="99"/>
        <v/>
      </c>
    </row>
    <row r="6288" spans="3:3" ht="15" customHeight="1">
      <c r="C6288" s="70" t="str">
        <f t="shared" si="99"/>
        <v/>
      </c>
    </row>
    <row r="6289" spans="3:3" ht="15" customHeight="1">
      <c r="C6289" s="70" t="str">
        <f t="shared" ref="C6289:C6352" si="100">IF(B6289&lt;&gt;"",TEXT(WEEKDAY(B6289),"dddd"),"")</f>
        <v/>
      </c>
    </row>
    <row r="6290" spans="3:3" ht="15" customHeight="1">
      <c r="C6290" s="70" t="str">
        <f t="shared" si="100"/>
        <v/>
      </c>
    </row>
    <row r="6291" spans="3:3" ht="15" customHeight="1">
      <c r="C6291" s="70" t="str">
        <f t="shared" si="100"/>
        <v/>
      </c>
    </row>
    <row r="6292" spans="3:3" ht="15" customHeight="1">
      <c r="C6292" s="70" t="str">
        <f t="shared" si="100"/>
        <v/>
      </c>
    </row>
    <row r="6293" spans="3:3" ht="15" customHeight="1">
      <c r="C6293" s="70" t="str">
        <f t="shared" si="100"/>
        <v/>
      </c>
    </row>
    <row r="6294" spans="3:3" ht="15" customHeight="1">
      <c r="C6294" s="70" t="str">
        <f t="shared" si="100"/>
        <v/>
      </c>
    </row>
    <row r="6295" spans="3:3" ht="15" customHeight="1">
      <c r="C6295" s="70" t="str">
        <f t="shared" si="100"/>
        <v/>
      </c>
    </row>
    <row r="6296" spans="3:3" ht="15" customHeight="1">
      <c r="C6296" s="70" t="str">
        <f t="shared" si="100"/>
        <v/>
      </c>
    </row>
    <row r="6297" spans="3:3" ht="15" customHeight="1">
      <c r="C6297" s="70" t="str">
        <f t="shared" si="100"/>
        <v/>
      </c>
    </row>
    <row r="6298" spans="3:3" ht="15" customHeight="1">
      <c r="C6298" s="70" t="str">
        <f t="shared" si="100"/>
        <v/>
      </c>
    </row>
    <row r="6299" spans="3:3" ht="15" customHeight="1">
      <c r="C6299" s="70" t="str">
        <f t="shared" si="100"/>
        <v/>
      </c>
    </row>
    <row r="6300" spans="3:3" ht="15" customHeight="1">
      <c r="C6300" s="70" t="str">
        <f t="shared" si="100"/>
        <v/>
      </c>
    </row>
    <row r="6301" spans="3:3" ht="15" customHeight="1">
      <c r="C6301" s="70" t="str">
        <f t="shared" si="100"/>
        <v/>
      </c>
    </row>
    <row r="6302" spans="3:3" ht="15" customHeight="1">
      <c r="C6302" s="70" t="str">
        <f t="shared" si="100"/>
        <v/>
      </c>
    </row>
    <row r="6303" spans="3:3" ht="15" customHeight="1">
      <c r="C6303" s="70" t="str">
        <f t="shared" si="100"/>
        <v/>
      </c>
    </row>
    <row r="6304" spans="3:3" ht="15" customHeight="1">
      <c r="C6304" s="70" t="str">
        <f t="shared" si="100"/>
        <v/>
      </c>
    </row>
    <row r="6305" spans="3:3" ht="15" customHeight="1">
      <c r="C6305" s="70" t="str">
        <f t="shared" si="100"/>
        <v/>
      </c>
    </row>
    <row r="6306" spans="3:3" ht="15" customHeight="1">
      <c r="C6306" s="70" t="str">
        <f t="shared" si="100"/>
        <v/>
      </c>
    </row>
    <row r="6307" spans="3:3" ht="15" customHeight="1">
      <c r="C6307" s="70" t="str">
        <f t="shared" si="100"/>
        <v/>
      </c>
    </row>
    <row r="6308" spans="3:3" ht="15" customHeight="1">
      <c r="C6308" s="70" t="str">
        <f t="shared" si="100"/>
        <v/>
      </c>
    </row>
    <row r="6309" spans="3:3" ht="15" customHeight="1">
      <c r="C6309" s="70" t="str">
        <f t="shared" si="100"/>
        <v/>
      </c>
    </row>
    <row r="6310" spans="3:3" ht="15" customHeight="1">
      <c r="C6310" s="70" t="str">
        <f t="shared" si="100"/>
        <v/>
      </c>
    </row>
    <row r="6311" spans="3:3" ht="15" customHeight="1">
      <c r="C6311" s="70" t="str">
        <f t="shared" si="100"/>
        <v/>
      </c>
    </row>
    <row r="6312" spans="3:3" ht="15" customHeight="1">
      <c r="C6312" s="70" t="str">
        <f t="shared" si="100"/>
        <v/>
      </c>
    </row>
    <row r="6313" spans="3:3" ht="15" customHeight="1">
      <c r="C6313" s="70" t="str">
        <f t="shared" si="100"/>
        <v/>
      </c>
    </row>
    <row r="6314" spans="3:3" ht="15" customHeight="1">
      <c r="C6314" s="70" t="str">
        <f t="shared" si="100"/>
        <v/>
      </c>
    </row>
    <row r="6315" spans="3:3" ht="15" customHeight="1">
      <c r="C6315" s="70" t="str">
        <f t="shared" si="100"/>
        <v/>
      </c>
    </row>
    <row r="6316" spans="3:3" ht="15" customHeight="1">
      <c r="C6316" s="70" t="str">
        <f t="shared" si="100"/>
        <v/>
      </c>
    </row>
    <row r="6317" spans="3:3" ht="15" customHeight="1">
      <c r="C6317" s="70" t="str">
        <f t="shared" si="100"/>
        <v/>
      </c>
    </row>
    <row r="6318" spans="3:3" ht="15" customHeight="1">
      <c r="C6318" s="70" t="str">
        <f t="shared" si="100"/>
        <v/>
      </c>
    </row>
    <row r="6319" spans="3:3" ht="15" customHeight="1">
      <c r="C6319" s="70" t="str">
        <f t="shared" si="100"/>
        <v/>
      </c>
    </row>
    <row r="6320" spans="3:3" ht="15" customHeight="1">
      <c r="C6320" s="70" t="str">
        <f t="shared" si="100"/>
        <v/>
      </c>
    </row>
    <row r="6321" spans="3:3" ht="15" customHeight="1">
      <c r="C6321" s="70" t="str">
        <f t="shared" si="100"/>
        <v/>
      </c>
    </row>
    <row r="6322" spans="3:3" ht="15" customHeight="1">
      <c r="C6322" s="70" t="str">
        <f t="shared" si="100"/>
        <v/>
      </c>
    </row>
    <row r="6323" spans="3:3" ht="15" customHeight="1">
      <c r="C6323" s="70" t="str">
        <f t="shared" si="100"/>
        <v/>
      </c>
    </row>
    <row r="6324" spans="3:3" ht="15" customHeight="1">
      <c r="C6324" s="70" t="str">
        <f t="shared" si="100"/>
        <v/>
      </c>
    </row>
    <row r="6325" spans="3:3" ht="15" customHeight="1">
      <c r="C6325" s="70" t="str">
        <f t="shared" si="100"/>
        <v/>
      </c>
    </row>
    <row r="6326" spans="3:3" ht="15" customHeight="1">
      <c r="C6326" s="70" t="str">
        <f t="shared" si="100"/>
        <v/>
      </c>
    </row>
    <row r="6327" spans="3:3" ht="15" customHeight="1">
      <c r="C6327" s="70" t="str">
        <f t="shared" si="100"/>
        <v/>
      </c>
    </row>
    <row r="6328" spans="3:3" ht="15" customHeight="1">
      <c r="C6328" s="70" t="str">
        <f t="shared" si="100"/>
        <v/>
      </c>
    </row>
    <row r="6329" spans="3:3" ht="15" customHeight="1">
      <c r="C6329" s="70" t="str">
        <f t="shared" si="100"/>
        <v/>
      </c>
    </row>
    <row r="6330" spans="3:3" ht="15" customHeight="1">
      <c r="C6330" s="70" t="str">
        <f t="shared" si="100"/>
        <v/>
      </c>
    </row>
    <row r="6331" spans="3:3" ht="15" customHeight="1">
      <c r="C6331" s="70" t="str">
        <f t="shared" si="100"/>
        <v/>
      </c>
    </row>
    <row r="6332" spans="3:3" ht="15" customHeight="1">
      <c r="C6332" s="70" t="str">
        <f t="shared" si="100"/>
        <v/>
      </c>
    </row>
    <row r="6333" spans="3:3" ht="15" customHeight="1">
      <c r="C6333" s="70" t="str">
        <f t="shared" si="100"/>
        <v/>
      </c>
    </row>
    <row r="6334" spans="3:3" ht="15" customHeight="1">
      <c r="C6334" s="70" t="str">
        <f t="shared" si="100"/>
        <v/>
      </c>
    </row>
    <row r="6335" spans="3:3" ht="15" customHeight="1">
      <c r="C6335" s="70" t="str">
        <f t="shared" si="100"/>
        <v/>
      </c>
    </row>
    <row r="6336" spans="3:3" ht="15" customHeight="1">
      <c r="C6336" s="70" t="str">
        <f t="shared" si="100"/>
        <v/>
      </c>
    </row>
    <row r="6337" spans="3:3" ht="15" customHeight="1">
      <c r="C6337" s="70" t="str">
        <f t="shared" si="100"/>
        <v/>
      </c>
    </row>
    <row r="6338" spans="3:3" ht="15" customHeight="1">
      <c r="C6338" s="70" t="str">
        <f t="shared" si="100"/>
        <v/>
      </c>
    </row>
    <row r="6339" spans="3:3" ht="15" customHeight="1">
      <c r="C6339" s="70" t="str">
        <f t="shared" si="100"/>
        <v/>
      </c>
    </row>
    <row r="6340" spans="3:3" ht="15" customHeight="1">
      <c r="C6340" s="70" t="str">
        <f t="shared" si="100"/>
        <v/>
      </c>
    </row>
    <row r="6341" spans="3:3" ht="15" customHeight="1">
      <c r="C6341" s="70" t="str">
        <f t="shared" si="100"/>
        <v/>
      </c>
    </row>
    <row r="6342" spans="3:3" ht="15" customHeight="1">
      <c r="C6342" s="70" t="str">
        <f t="shared" si="100"/>
        <v/>
      </c>
    </row>
    <row r="6343" spans="3:3" ht="15" customHeight="1">
      <c r="C6343" s="70" t="str">
        <f t="shared" si="100"/>
        <v/>
      </c>
    </row>
    <row r="6344" spans="3:3" ht="15" customHeight="1">
      <c r="C6344" s="70" t="str">
        <f t="shared" si="100"/>
        <v/>
      </c>
    </row>
    <row r="6345" spans="3:3" ht="15" customHeight="1">
      <c r="C6345" s="70" t="str">
        <f t="shared" si="100"/>
        <v/>
      </c>
    </row>
    <row r="6346" spans="3:3" ht="15" customHeight="1">
      <c r="C6346" s="70" t="str">
        <f t="shared" si="100"/>
        <v/>
      </c>
    </row>
    <row r="6347" spans="3:3" ht="15" customHeight="1">
      <c r="C6347" s="70" t="str">
        <f t="shared" si="100"/>
        <v/>
      </c>
    </row>
    <row r="6348" spans="3:3" ht="15" customHeight="1">
      <c r="C6348" s="70" t="str">
        <f t="shared" si="100"/>
        <v/>
      </c>
    </row>
    <row r="6349" spans="3:3" ht="15" customHeight="1">
      <c r="C6349" s="70" t="str">
        <f t="shared" si="100"/>
        <v/>
      </c>
    </row>
    <row r="6350" spans="3:3" ht="15" customHeight="1">
      <c r="C6350" s="70" t="str">
        <f t="shared" si="100"/>
        <v/>
      </c>
    </row>
    <row r="6351" spans="3:3" ht="15" customHeight="1">
      <c r="C6351" s="70" t="str">
        <f t="shared" si="100"/>
        <v/>
      </c>
    </row>
    <row r="6352" spans="3:3" ht="15" customHeight="1">
      <c r="C6352" s="70" t="str">
        <f t="shared" si="100"/>
        <v/>
      </c>
    </row>
    <row r="6353" spans="3:3" ht="15" customHeight="1">
      <c r="C6353" s="70" t="str">
        <f t="shared" ref="C6353:C6416" si="101">IF(B6353&lt;&gt;"",TEXT(WEEKDAY(B6353),"dddd"),"")</f>
        <v/>
      </c>
    </row>
    <row r="6354" spans="3:3" ht="15" customHeight="1">
      <c r="C6354" s="70" t="str">
        <f t="shared" si="101"/>
        <v/>
      </c>
    </row>
    <row r="6355" spans="3:3" ht="15" customHeight="1">
      <c r="C6355" s="70" t="str">
        <f t="shared" si="101"/>
        <v/>
      </c>
    </row>
    <row r="6356" spans="3:3" ht="15" customHeight="1">
      <c r="C6356" s="70" t="str">
        <f t="shared" si="101"/>
        <v/>
      </c>
    </row>
    <row r="6357" spans="3:3" ht="15" customHeight="1">
      <c r="C6357" s="70" t="str">
        <f t="shared" si="101"/>
        <v/>
      </c>
    </row>
    <row r="6358" spans="3:3" ht="15" customHeight="1">
      <c r="C6358" s="70" t="str">
        <f t="shared" si="101"/>
        <v/>
      </c>
    </row>
    <row r="6359" spans="3:3" ht="15" customHeight="1">
      <c r="C6359" s="70" t="str">
        <f t="shared" si="101"/>
        <v/>
      </c>
    </row>
    <row r="6360" spans="3:3" ht="15" customHeight="1">
      <c r="C6360" s="70" t="str">
        <f t="shared" si="101"/>
        <v/>
      </c>
    </row>
    <row r="6361" spans="3:3" ht="15" customHeight="1">
      <c r="C6361" s="70" t="str">
        <f t="shared" si="101"/>
        <v/>
      </c>
    </row>
    <row r="6362" spans="3:3" ht="15" customHeight="1">
      <c r="C6362" s="70" t="str">
        <f t="shared" si="101"/>
        <v/>
      </c>
    </row>
    <row r="6363" spans="3:3" ht="15" customHeight="1">
      <c r="C6363" s="70" t="str">
        <f t="shared" si="101"/>
        <v/>
      </c>
    </row>
    <row r="6364" spans="3:3" ht="15" customHeight="1">
      <c r="C6364" s="70" t="str">
        <f t="shared" si="101"/>
        <v/>
      </c>
    </row>
    <row r="6365" spans="3:3" ht="15" customHeight="1">
      <c r="C6365" s="70" t="str">
        <f t="shared" si="101"/>
        <v/>
      </c>
    </row>
    <row r="6366" spans="3:3" ht="15" customHeight="1">
      <c r="C6366" s="70" t="str">
        <f t="shared" si="101"/>
        <v/>
      </c>
    </row>
    <row r="6367" spans="3:3" ht="15" customHeight="1">
      <c r="C6367" s="70" t="str">
        <f t="shared" si="101"/>
        <v/>
      </c>
    </row>
    <row r="6368" spans="3:3" ht="15" customHeight="1">
      <c r="C6368" s="70" t="str">
        <f t="shared" si="101"/>
        <v/>
      </c>
    </row>
    <row r="6369" spans="3:3" ht="15" customHeight="1">
      <c r="C6369" s="70" t="str">
        <f t="shared" si="101"/>
        <v/>
      </c>
    </row>
    <row r="6370" spans="3:3" ht="15" customHeight="1">
      <c r="C6370" s="70" t="str">
        <f t="shared" si="101"/>
        <v/>
      </c>
    </row>
    <row r="6371" spans="3:3" ht="15" customHeight="1">
      <c r="C6371" s="70" t="str">
        <f t="shared" si="101"/>
        <v/>
      </c>
    </row>
    <row r="6372" spans="3:3" ht="15" customHeight="1">
      <c r="C6372" s="70" t="str">
        <f t="shared" si="101"/>
        <v/>
      </c>
    </row>
    <row r="6373" spans="3:3" ht="15" customHeight="1">
      <c r="C6373" s="70" t="str">
        <f t="shared" si="101"/>
        <v/>
      </c>
    </row>
    <row r="6374" spans="3:3" ht="15" customHeight="1">
      <c r="C6374" s="70" t="str">
        <f t="shared" si="101"/>
        <v/>
      </c>
    </row>
    <row r="6375" spans="3:3" ht="15" customHeight="1">
      <c r="C6375" s="70" t="str">
        <f t="shared" si="101"/>
        <v/>
      </c>
    </row>
    <row r="6376" spans="3:3" ht="15" customHeight="1">
      <c r="C6376" s="70" t="str">
        <f t="shared" si="101"/>
        <v/>
      </c>
    </row>
    <row r="6377" spans="3:3" ht="15" customHeight="1">
      <c r="C6377" s="70" t="str">
        <f t="shared" si="101"/>
        <v/>
      </c>
    </row>
    <row r="6378" spans="3:3" ht="15" customHeight="1">
      <c r="C6378" s="70" t="str">
        <f t="shared" si="101"/>
        <v/>
      </c>
    </row>
    <row r="6379" spans="3:3" ht="15" customHeight="1">
      <c r="C6379" s="70" t="str">
        <f t="shared" si="101"/>
        <v/>
      </c>
    </row>
    <row r="6380" spans="3:3" ht="15" customHeight="1">
      <c r="C6380" s="70" t="str">
        <f t="shared" si="101"/>
        <v/>
      </c>
    </row>
    <row r="6381" spans="3:3" ht="15" customHeight="1">
      <c r="C6381" s="70" t="str">
        <f t="shared" si="101"/>
        <v/>
      </c>
    </row>
    <row r="6382" spans="3:3" ht="15" customHeight="1">
      <c r="C6382" s="70" t="str">
        <f t="shared" si="101"/>
        <v/>
      </c>
    </row>
    <row r="6383" spans="3:3" ht="15" customHeight="1">
      <c r="C6383" s="70" t="str">
        <f t="shared" si="101"/>
        <v/>
      </c>
    </row>
    <row r="6384" spans="3:3" ht="15" customHeight="1">
      <c r="C6384" s="70" t="str">
        <f t="shared" si="101"/>
        <v/>
      </c>
    </row>
    <row r="6385" spans="3:3" ht="15" customHeight="1">
      <c r="C6385" s="70" t="str">
        <f t="shared" si="101"/>
        <v/>
      </c>
    </row>
    <row r="6386" spans="3:3" ht="15" customHeight="1">
      <c r="C6386" s="70" t="str">
        <f t="shared" si="101"/>
        <v/>
      </c>
    </row>
    <row r="6387" spans="3:3" ht="15" customHeight="1">
      <c r="C6387" s="70" t="str">
        <f t="shared" si="101"/>
        <v/>
      </c>
    </row>
    <row r="6388" spans="3:3" ht="15" customHeight="1">
      <c r="C6388" s="70" t="str">
        <f t="shared" si="101"/>
        <v/>
      </c>
    </row>
    <row r="6389" spans="3:3" ht="15" customHeight="1">
      <c r="C6389" s="70" t="str">
        <f t="shared" si="101"/>
        <v/>
      </c>
    </row>
    <row r="6390" spans="3:3" ht="15" customHeight="1">
      <c r="C6390" s="70" t="str">
        <f t="shared" si="101"/>
        <v/>
      </c>
    </row>
    <row r="6391" spans="3:3" ht="15" customHeight="1">
      <c r="C6391" s="70" t="str">
        <f t="shared" si="101"/>
        <v/>
      </c>
    </row>
    <row r="6392" spans="3:3" ht="15" customHeight="1">
      <c r="C6392" s="70" t="str">
        <f t="shared" si="101"/>
        <v/>
      </c>
    </row>
    <row r="6393" spans="3:3" ht="15" customHeight="1">
      <c r="C6393" s="70" t="str">
        <f t="shared" si="101"/>
        <v/>
      </c>
    </row>
    <row r="6394" spans="3:3" ht="15" customHeight="1">
      <c r="C6394" s="70" t="str">
        <f t="shared" si="101"/>
        <v/>
      </c>
    </row>
    <row r="6395" spans="3:3" ht="15" customHeight="1">
      <c r="C6395" s="70" t="str">
        <f t="shared" si="101"/>
        <v/>
      </c>
    </row>
    <row r="6396" spans="3:3" ht="15" customHeight="1">
      <c r="C6396" s="70" t="str">
        <f t="shared" si="101"/>
        <v/>
      </c>
    </row>
    <row r="6397" spans="3:3" ht="15" customHeight="1">
      <c r="C6397" s="70" t="str">
        <f t="shared" si="101"/>
        <v/>
      </c>
    </row>
    <row r="6398" spans="3:3" ht="15" customHeight="1">
      <c r="C6398" s="70" t="str">
        <f t="shared" si="101"/>
        <v/>
      </c>
    </row>
    <row r="6399" spans="3:3" ht="15" customHeight="1">
      <c r="C6399" s="70" t="str">
        <f t="shared" si="101"/>
        <v/>
      </c>
    </row>
    <row r="6400" spans="3:3" ht="15" customHeight="1">
      <c r="C6400" s="70" t="str">
        <f t="shared" si="101"/>
        <v/>
      </c>
    </row>
    <row r="6401" spans="3:3" ht="15" customHeight="1">
      <c r="C6401" s="70" t="str">
        <f t="shared" si="101"/>
        <v/>
      </c>
    </row>
    <row r="6402" spans="3:3" ht="15" customHeight="1">
      <c r="C6402" s="70" t="str">
        <f t="shared" si="101"/>
        <v/>
      </c>
    </row>
    <row r="6403" spans="3:3" ht="15" customHeight="1">
      <c r="C6403" s="70" t="str">
        <f t="shared" si="101"/>
        <v/>
      </c>
    </row>
    <row r="6404" spans="3:3" ht="15" customHeight="1">
      <c r="C6404" s="70" t="str">
        <f t="shared" si="101"/>
        <v/>
      </c>
    </row>
    <row r="6405" spans="3:3" ht="15" customHeight="1">
      <c r="C6405" s="70" t="str">
        <f t="shared" si="101"/>
        <v/>
      </c>
    </row>
    <row r="6406" spans="3:3" ht="15" customHeight="1">
      <c r="C6406" s="70" t="str">
        <f t="shared" si="101"/>
        <v/>
      </c>
    </row>
    <row r="6407" spans="3:3" ht="15" customHeight="1">
      <c r="C6407" s="70" t="str">
        <f t="shared" si="101"/>
        <v/>
      </c>
    </row>
    <row r="6408" spans="3:3" ht="15" customHeight="1">
      <c r="C6408" s="70" t="str">
        <f t="shared" si="101"/>
        <v/>
      </c>
    </row>
    <row r="6409" spans="3:3" ht="15" customHeight="1">
      <c r="C6409" s="70" t="str">
        <f t="shared" si="101"/>
        <v/>
      </c>
    </row>
    <row r="6410" spans="3:3" ht="15" customHeight="1">
      <c r="C6410" s="70" t="str">
        <f t="shared" si="101"/>
        <v/>
      </c>
    </row>
    <row r="6411" spans="3:3" ht="15" customHeight="1">
      <c r="C6411" s="70" t="str">
        <f t="shared" si="101"/>
        <v/>
      </c>
    </row>
    <row r="6412" spans="3:3" ht="15" customHeight="1">
      <c r="C6412" s="70" t="str">
        <f t="shared" si="101"/>
        <v/>
      </c>
    </row>
    <row r="6413" spans="3:3" ht="15" customHeight="1">
      <c r="C6413" s="70" t="str">
        <f t="shared" si="101"/>
        <v/>
      </c>
    </row>
    <row r="6414" spans="3:3" ht="15" customHeight="1">
      <c r="C6414" s="70" t="str">
        <f t="shared" si="101"/>
        <v/>
      </c>
    </row>
    <row r="6415" spans="3:3" ht="15" customHeight="1">
      <c r="C6415" s="70" t="str">
        <f t="shared" si="101"/>
        <v/>
      </c>
    </row>
    <row r="6416" spans="3:3" ht="15" customHeight="1">
      <c r="C6416" s="70" t="str">
        <f t="shared" si="101"/>
        <v/>
      </c>
    </row>
    <row r="6417" spans="3:3" ht="15" customHeight="1">
      <c r="C6417" s="70" t="str">
        <f t="shared" ref="C6417:C6480" si="102">IF(B6417&lt;&gt;"",TEXT(WEEKDAY(B6417),"dddd"),"")</f>
        <v/>
      </c>
    </row>
    <row r="6418" spans="3:3" ht="15" customHeight="1">
      <c r="C6418" s="70" t="str">
        <f t="shared" si="102"/>
        <v/>
      </c>
    </row>
    <row r="6419" spans="3:3" ht="15" customHeight="1">
      <c r="C6419" s="70" t="str">
        <f t="shared" si="102"/>
        <v/>
      </c>
    </row>
    <row r="6420" spans="3:3" ht="15" customHeight="1">
      <c r="C6420" s="70" t="str">
        <f t="shared" si="102"/>
        <v/>
      </c>
    </row>
    <row r="6421" spans="3:3" ht="15" customHeight="1">
      <c r="C6421" s="70" t="str">
        <f t="shared" si="102"/>
        <v/>
      </c>
    </row>
    <row r="6422" spans="3:3" ht="15" customHeight="1">
      <c r="C6422" s="70" t="str">
        <f t="shared" si="102"/>
        <v/>
      </c>
    </row>
    <row r="6423" spans="3:3" ht="15" customHeight="1">
      <c r="C6423" s="70" t="str">
        <f t="shared" si="102"/>
        <v/>
      </c>
    </row>
    <row r="6424" spans="3:3" ht="15" customHeight="1">
      <c r="C6424" s="70" t="str">
        <f t="shared" si="102"/>
        <v/>
      </c>
    </row>
    <row r="6425" spans="3:3" ht="15" customHeight="1">
      <c r="C6425" s="70" t="str">
        <f t="shared" si="102"/>
        <v/>
      </c>
    </row>
    <row r="6426" spans="3:3" ht="15" customHeight="1">
      <c r="C6426" s="70" t="str">
        <f t="shared" si="102"/>
        <v/>
      </c>
    </row>
    <row r="6427" spans="3:3" ht="15" customHeight="1">
      <c r="C6427" s="70" t="str">
        <f t="shared" si="102"/>
        <v/>
      </c>
    </row>
    <row r="6428" spans="3:3" ht="15" customHeight="1">
      <c r="C6428" s="70" t="str">
        <f t="shared" si="102"/>
        <v/>
      </c>
    </row>
    <row r="6429" spans="3:3" ht="15" customHeight="1">
      <c r="C6429" s="70" t="str">
        <f t="shared" si="102"/>
        <v/>
      </c>
    </row>
    <row r="6430" spans="3:3" ht="15" customHeight="1">
      <c r="C6430" s="70" t="str">
        <f t="shared" si="102"/>
        <v/>
      </c>
    </row>
    <row r="6431" spans="3:3" ht="15" customHeight="1">
      <c r="C6431" s="70" t="str">
        <f t="shared" si="102"/>
        <v/>
      </c>
    </row>
    <row r="6432" spans="3:3" ht="15" customHeight="1">
      <c r="C6432" s="70" t="str">
        <f t="shared" si="102"/>
        <v/>
      </c>
    </row>
    <row r="6433" spans="3:3" ht="15" customHeight="1">
      <c r="C6433" s="70" t="str">
        <f t="shared" si="102"/>
        <v/>
      </c>
    </row>
    <row r="6434" spans="3:3" ht="15" customHeight="1">
      <c r="C6434" s="70" t="str">
        <f t="shared" si="102"/>
        <v/>
      </c>
    </row>
    <row r="6435" spans="3:3" ht="15" customHeight="1">
      <c r="C6435" s="70" t="str">
        <f t="shared" si="102"/>
        <v/>
      </c>
    </row>
    <row r="6436" spans="3:3" ht="15" customHeight="1">
      <c r="C6436" s="70" t="str">
        <f t="shared" si="102"/>
        <v/>
      </c>
    </row>
    <row r="6437" spans="3:3" ht="15" customHeight="1">
      <c r="C6437" s="70" t="str">
        <f t="shared" si="102"/>
        <v/>
      </c>
    </row>
    <row r="6438" spans="3:3" ht="15" customHeight="1">
      <c r="C6438" s="70" t="str">
        <f t="shared" si="102"/>
        <v/>
      </c>
    </row>
    <row r="6439" spans="3:3" ht="15" customHeight="1">
      <c r="C6439" s="70" t="str">
        <f t="shared" si="102"/>
        <v/>
      </c>
    </row>
    <row r="6440" spans="3:3" ht="15" customHeight="1">
      <c r="C6440" s="70" t="str">
        <f t="shared" si="102"/>
        <v/>
      </c>
    </row>
    <row r="6441" spans="3:3" ht="15" customHeight="1">
      <c r="C6441" s="70" t="str">
        <f t="shared" si="102"/>
        <v/>
      </c>
    </row>
    <row r="6442" spans="3:3" ht="15" customHeight="1">
      <c r="C6442" s="70" t="str">
        <f t="shared" si="102"/>
        <v/>
      </c>
    </row>
    <row r="6443" spans="3:3" ht="15" customHeight="1">
      <c r="C6443" s="70" t="str">
        <f t="shared" si="102"/>
        <v/>
      </c>
    </row>
    <row r="6444" spans="3:3" ht="15" customHeight="1">
      <c r="C6444" s="70" t="str">
        <f t="shared" si="102"/>
        <v/>
      </c>
    </row>
    <row r="6445" spans="3:3" ht="15" customHeight="1">
      <c r="C6445" s="70" t="str">
        <f t="shared" si="102"/>
        <v/>
      </c>
    </row>
    <row r="6446" spans="3:3" ht="15" customHeight="1">
      <c r="C6446" s="70" t="str">
        <f t="shared" si="102"/>
        <v/>
      </c>
    </row>
    <row r="6447" spans="3:3" ht="15" customHeight="1">
      <c r="C6447" s="70" t="str">
        <f t="shared" si="102"/>
        <v/>
      </c>
    </row>
    <row r="6448" spans="3:3" ht="15" customHeight="1">
      <c r="C6448" s="70" t="str">
        <f t="shared" si="102"/>
        <v/>
      </c>
    </row>
    <row r="6449" spans="3:3" ht="15" customHeight="1">
      <c r="C6449" s="70" t="str">
        <f t="shared" si="102"/>
        <v/>
      </c>
    </row>
    <row r="6450" spans="3:3" ht="15" customHeight="1">
      <c r="C6450" s="70" t="str">
        <f t="shared" si="102"/>
        <v/>
      </c>
    </row>
    <row r="6451" spans="3:3" ht="15" customHeight="1">
      <c r="C6451" s="70" t="str">
        <f t="shared" si="102"/>
        <v/>
      </c>
    </row>
    <row r="6452" spans="3:3" ht="15" customHeight="1">
      <c r="C6452" s="70" t="str">
        <f t="shared" si="102"/>
        <v/>
      </c>
    </row>
    <row r="6453" spans="3:3" ht="15" customHeight="1">
      <c r="C6453" s="70" t="str">
        <f t="shared" si="102"/>
        <v/>
      </c>
    </row>
    <row r="6454" spans="3:3" ht="15" customHeight="1">
      <c r="C6454" s="70" t="str">
        <f t="shared" si="102"/>
        <v/>
      </c>
    </row>
    <row r="6455" spans="3:3" ht="15" customHeight="1">
      <c r="C6455" s="70" t="str">
        <f t="shared" si="102"/>
        <v/>
      </c>
    </row>
    <row r="6456" spans="3:3" ht="15" customHeight="1">
      <c r="C6456" s="70" t="str">
        <f t="shared" si="102"/>
        <v/>
      </c>
    </row>
    <row r="6457" spans="3:3" ht="15" customHeight="1">
      <c r="C6457" s="70" t="str">
        <f t="shared" si="102"/>
        <v/>
      </c>
    </row>
    <row r="6458" spans="3:3" ht="15" customHeight="1">
      <c r="C6458" s="70" t="str">
        <f t="shared" si="102"/>
        <v/>
      </c>
    </row>
    <row r="6459" spans="3:3" ht="15" customHeight="1">
      <c r="C6459" s="70" t="str">
        <f t="shared" si="102"/>
        <v/>
      </c>
    </row>
    <row r="6460" spans="3:3" ht="15" customHeight="1">
      <c r="C6460" s="70" t="str">
        <f t="shared" si="102"/>
        <v/>
      </c>
    </row>
    <row r="6461" spans="3:3" ht="15" customHeight="1">
      <c r="C6461" s="70" t="str">
        <f t="shared" si="102"/>
        <v/>
      </c>
    </row>
    <row r="6462" spans="3:3" ht="15" customHeight="1">
      <c r="C6462" s="70" t="str">
        <f t="shared" si="102"/>
        <v/>
      </c>
    </row>
    <row r="6463" spans="3:3" ht="15" customHeight="1">
      <c r="C6463" s="70" t="str">
        <f t="shared" si="102"/>
        <v/>
      </c>
    </row>
    <row r="6464" spans="3:3" ht="15" customHeight="1">
      <c r="C6464" s="70" t="str">
        <f t="shared" si="102"/>
        <v/>
      </c>
    </row>
    <row r="6465" spans="3:3" ht="15" customHeight="1">
      <c r="C6465" s="70" t="str">
        <f t="shared" si="102"/>
        <v/>
      </c>
    </row>
    <row r="6466" spans="3:3" ht="15" customHeight="1">
      <c r="C6466" s="70" t="str">
        <f t="shared" si="102"/>
        <v/>
      </c>
    </row>
    <row r="6467" spans="3:3" ht="15" customHeight="1">
      <c r="C6467" s="70" t="str">
        <f t="shared" si="102"/>
        <v/>
      </c>
    </row>
    <row r="6468" spans="3:3" ht="15" customHeight="1">
      <c r="C6468" s="70" t="str">
        <f t="shared" si="102"/>
        <v/>
      </c>
    </row>
    <row r="6469" spans="3:3" ht="15" customHeight="1">
      <c r="C6469" s="70" t="str">
        <f t="shared" si="102"/>
        <v/>
      </c>
    </row>
    <row r="6470" spans="3:3" ht="15" customHeight="1">
      <c r="C6470" s="70" t="str">
        <f t="shared" si="102"/>
        <v/>
      </c>
    </row>
    <row r="6471" spans="3:3" ht="15" customHeight="1">
      <c r="C6471" s="70" t="str">
        <f t="shared" si="102"/>
        <v/>
      </c>
    </row>
    <row r="6472" spans="3:3" ht="15" customHeight="1">
      <c r="C6472" s="70" t="str">
        <f t="shared" si="102"/>
        <v/>
      </c>
    </row>
    <row r="6473" spans="3:3" ht="15" customHeight="1">
      <c r="C6473" s="70" t="str">
        <f t="shared" si="102"/>
        <v/>
      </c>
    </row>
    <row r="6474" spans="3:3" ht="15" customHeight="1">
      <c r="C6474" s="70" t="str">
        <f t="shared" si="102"/>
        <v/>
      </c>
    </row>
    <row r="6475" spans="3:3" ht="15" customHeight="1">
      <c r="C6475" s="70" t="str">
        <f t="shared" si="102"/>
        <v/>
      </c>
    </row>
    <row r="6476" spans="3:3" ht="15" customHeight="1">
      <c r="C6476" s="70" t="str">
        <f t="shared" si="102"/>
        <v/>
      </c>
    </row>
    <row r="6477" spans="3:3" ht="15" customHeight="1">
      <c r="C6477" s="70" t="str">
        <f t="shared" si="102"/>
        <v/>
      </c>
    </row>
    <row r="6478" spans="3:3" ht="15" customHeight="1">
      <c r="C6478" s="70" t="str">
        <f t="shared" si="102"/>
        <v/>
      </c>
    </row>
    <row r="6479" spans="3:3" ht="15" customHeight="1">
      <c r="C6479" s="70" t="str">
        <f t="shared" si="102"/>
        <v/>
      </c>
    </row>
    <row r="6480" spans="3:3" ht="15" customHeight="1">
      <c r="C6480" s="70" t="str">
        <f t="shared" si="102"/>
        <v/>
      </c>
    </row>
    <row r="6481" spans="3:3" ht="15" customHeight="1">
      <c r="C6481" s="70" t="str">
        <f t="shared" ref="C6481:C6544" si="103">IF(B6481&lt;&gt;"",TEXT(WEEKDAY(B6481),"dddd"),"")</f>
        <v/>
      </c>
    </row>
    <row r="6482" spans="3:3" ht="15" customHeight="1">
      <c r="C6482" s="70" t="str">
        <f t="shared" si="103"/>
        <v/>
      </c>
    </row>
    <row r="6483" spans="3:3" ht="15" customHeight="1">
      <c r="C6483" s="70" t="str">
        <f t="shared" si="103"/>
        <v/>
      </c>
    </row>
    <row r="6484" spans="3:3" ht="15" customHeight="1">
      <c r="C6484" s="70" t="str">
        <f t="shared" si="103"/>
        <v/>
      </c>
    </row>
    <row r="6485" spans="3:3" ht="15" customHeight="1">
      <c r="C6485" s="70" t="str">
        <f t="shared" si="103"/>
        <v/>
      </c>
    </row>
    <row r="6486" spans="3:3" ht="15" customHeight="1">
      <c r="C6486" s="70" t="str">
        <f t="shared" si="103"/>
        <v/>
      </c>
    </row>
    <row r="6487" spans="3:3" ht="15" customHeight="1">
      <c r="C6487" s="70" t="str">
        <f t="shared" si="103"/>
        <v/>
      </c>
    </row>
    <row r="6488" spans="3:3" ht="15" customHeight="1">
      <c r="C6488" s="70" t="str">
        <f t="shared" si="103"/>
        <v/>
      </c>
    </row>
    <row r="6489" spans="3:3" ht="15" customHeight="1">
      <c r="C6489" s="70" t="str">
        <f t="shared" si="103"/>
        <v/>
      </c>
    </row>
    <row r="6490" spans="3:3" ht="15" customHeight="1">
      <c r="C6490" s="70" t="str">
        <f t="shared" si="103"/>
        <v/>
      </c>
    </row>
    <row r="6491" spans="3:3" ht="15" customHeight="1">
      <c r="C6491" s="70" t="str">
        <f t="shared" si="103"/>
        <v/>
      </c>
    </row>
    <row r="6492" spans="3:3" ht="15" customHeight="1">
      <c r="C6492" s="70" t="str">
        <f t="shared" si="103"/>
        <v/>
      </c>
    </row>
    <row r="6493" spans="3:3" ht="15" customHeight="1">
      <c r="C6493" s="70" t="str">
        <f t="shared" si="103"/>
        <v/>
      </c>
    </row>
    <row r="6494" spans="3:3" ht="15" customHeight="1">
      <c r="C6494" s="70" t="str">
        <f t="shared" si="103"/>
        <v/>
      </c>
    </row>
    <row r="6495" spans="3:3" ht="15" customHeight="1">
      <c r="C6495" s="70" t="str">
        <f t="shared" si="103"/>
        <v/>
      </c>
    </row>
    <row r="6496" spans="3:3" ht="15" customHeight="1">
      <c r="C6496" s="70" t="str">
        <f t="shared" si="103"/>
        <v/>
      </c>
    </row>
    <row r="6497" spans="3:3" ht="15" customHeight="1">
      <c r="C6497" s="70" t="str">
        <f t="shared" si="103"/>
        <v/>
      </c>
    </row>
    <row r="6498" spans="3:3" ht="15" customHeight="1">
      <c r="C6498" s="70" t="str">
        <f t="shared" si="103"/>
        <v/>
      </c>
    </row>
    <row r="6499" spans="3:3" ht="15" customHeight="1">
      <c r="C6499" s="70" t="str">
        <f t="shared" si="103"/>
        <v/>
      </c>
    </row>
    <row r="6500" spans="3:3" ht="15" customHeight="1">
      <c r="C6500" s="70" t="str">
        <f t="shared" si="103"/>
        <v/>
      </c>
    </row>
    <row r="6501" spans="3:3" ht="15" customHeight="1">
      <c r="C6501" s="70" t="str">
        <f t="shared" si="103"/>
        <v/>
      </c>
    </row>
    <row r="6502" spans="3:3" ht="15" customHeight="1">
      <c r="C6502" s="70" t="str">
        <f t="shared" si="103"/>
        <v/>
      </c>
    </row>
    <row r="6503" spans="3:3" ht="15" customHeight="1">
      <c r="C6503" s="70" t="str">
        <f t="shared" si="103"/>
        <v/>
      </c>
    </row>
    <row r="6504" spans="3:3" ht="15" customHeight="1">
      <c r="C6504" s="70" t="str">
        <f t="shared" si="103"/>
        <v/>
      </c>
    </row>
    <row r="6505" spans="3:3" ht="15" customHeight="1">
      <c r="C6505" s="70" t="str">
        <f t="shared" si="103"/>
        <v/>
      </c>
    </row>
    <row r="6506" spans="3:3" ht="15" customHeight="1">
      <c r="C6506" s="70" t="str">
        <f t="shared" si="103"/>
        <v/>
      </c>
    </row>
    <row r="6507" spans="3:3" ht="15" customHeight="1">
      <c r="C6507" s="70" t="str">
        <f t="shared" si="103"/>
        <v/>
      </c>
    </row>
    <row r="6508" spans="3:3" ht="15" customHeight="1">
      <c r="C6508" s="70" t="str">
        <f t="shared" si="103"/>
        <v/>
      </c>
    </row>
    <row r="6509" spans="3:3" ht="15" customHeight="1">
      <c r="C6509" s="70" t="str">
        <f t="shared" si="103"/>
        <v/>
      </c>
    </row>
    <row r="6510" spans="3:3" ht="15" customHeight="1">
      <c r="C6510" s="70" t="str">
        <f t="shared" si="103"/>
        <v/>
      </c>
    </row>
    <row r="6511" spans="3:3" ht="15" customHeight="1">
      <c r="C6511" s="70" t="str">
        <f t="shared" si="103"/>
        <v/>
      </c>
    </row>
    <row r="6512" spans="3:3" ht="15" customHeight="1">
      <c r="C6512" s="70" t="str">
        <f t="shared" si="103"/>
        <v/>
      </c>
    </row>
    <row r="6513" spans="3:3" ht="15" customHeight="1">
      <c r="C6513" s="70" t="str">
        <f t="shared" si="103"/>
        <v/>
      </c>
    </row>
    <row r="6514" spans="3:3" ht="15" customHeight="1">
      <c r="C6514" s="70" t="str">
        <f t="shared" si="103"/>
        <v/>
      </c>
    </row>
    <row r="6515" spans="3:3" ht="15" customHeight="1">
      <c r="C6515" s="70" t="str">
        <f t="shared" si="103"/>
        <v/>
      </c>
    </row>
    <row r="6516" spans="3:3" ht="15" customHeight="1">
      <c r="C6516" s="70" t="str">
        <f t="shared" si="103"/>
        <v/>
      </c>
    </row>
    <row r="6517" spans="3:3" ht="15" customHeight="1">
      <c r="C6517" s="70" t="str">
        <f t="shared" si="103"/>
        <v/>
      </c>
    </row>
    <row r="6518" spans="3:3" ht="15" customHeight="1">
      <c r="C6518" s="70" t="str">
        <f t="shared" si="103"/>
        <v/>
      </c>
    </row>
    <row r="6519" spans="3:3" ht="15" customHeight="1">
      <c r="C6519" s="70" t="str">
        <f t="shared" si="103"/>
        <v/>
      </c>
    </row>
    <row r="6520" spans="3:3" ht="15" customHeight="1">
      <c r="C6520" s="70" t="str">
        <f t="shared" si="103"/>
        <v/>
      </c>
    </row>
    <row r="6521" spans="3:3" ht="15" customHeight="1">
      <c r="C6521" s="70" t="str">
        <f t="shared" si="103"/>
        <v/>
      </c>
    </row>
    <row r="6522" spans="3:3" ht="15" customHeight="1">
      <c r="C6522" s="70" t="str">
        <f t="shared" si="103"/>
        <v/>
      </c>
    </row>
    <row r="6523" spans="3:3" ht="15" customHeight="1">
      <c r="C6523" s="70" t="str">
        <f t="shared" si="103"/>
        <v/>
      </c>
    </row>
    <row r="6524" spans="3:3" ht="15" customHeight="1">
      <c r="C6524" s="70" t="str">
        <f t="shared" si="103"/>
        <v/>
      </c>
    </row>
    <row r="6525" spans="3:3" ht="15" customHeight="1">
      <c r="C6525" s="70" t="str">
        <f t="shared" si="103"/>
        <v/>
      </c>
    </row>
    <row r="6526" spans="3:3" ht="15" customHeight="1">
      <c r="C6526" s="70" t="str">
        <f t="shared" si="103"/>
        <v/>
      </c>
    </row>
    <row r="6527" spans="3:3" ht="15" customHeight="1">
      <c r="C6527" s="70" t="str">
        <f t="shared" si="103"/>
        <v/>
      </c>
    </row>
    <row r="6528" spans="3:3" ht="15" customHeight="1">
      <c r="C6528" s="70" t="str">
        <f t="shared" si="103"/>
        <v/>
      </c>
    </row>
    <row r="6529" spans="3:3" ht="15" customHeight="1">
      <c r="C6529" s="70" t="str">
        <f t="shared" si="103"/>
        <v/>
      </c>
    </row>
    <row r="6530" spans="3:3" ht="15" customHeight="1">
      <c r="C6530" s="70" t="str">
        <f t="shared" si="103"/>
        <v/>
      </c>
    </row>
    <row r="6531" spans="3:3" ht="15" customHeight="1">
      <c r="C6531" s="70" t="str">
        <f t="shared" si="103"/>
        <v/>
      </c>
    </row>
    <row r="6532" spans="3:3" ht="15" customHeight="1">
      <c r="C6532" s="70" t="str">
        <f t="shared" si="103"/>
        <v/>
      </c>
    </row>
    <row r="6533" spans="3:3" ht="15" customHeight="1">
      <c r="C6533" s="70" t="str">
        <f t="shared" si="103"/>
        <v/>
      </c>
    </row>
    <row r="6534" spans="3:3" ht="15" customHeight="1">
      <c r="C6534" s="70" t="str">
        <f t="shared" si="103"/>
        <v/>
      </c>
    </row>
    <row r="6535" spans="3:3" ht="15" customHeight="1">
      <c r="C6535" s="70" t="str">
        <f t="shared" si="103"/>
        <v/>
      </c>
    </row>
    <row r="6536" spans="3:3" ht="15" customHeight="1">
      <c r="C6536" s="70" t="str">
        <f t="shared" si="103"/>
        <v/>
      </c>
    </row>
    <row r="6537" spans="3:3" ht="15" customHeight="1">
      <c r="C6537" s="70" t="str">
        <f t="shared" si="103"/>
        <v/>
      </c>
    </row>
    <row r="6538" spans="3:3" ht="15" customHeight="1">
      <c r="C6538" s="70" t="str">
        <f t="shared" si="103"/>
        <v/>
      </c>
    </row>
    <row r="6539" spans="3:3" ht="15" customHeight="1">
      <c r="C6539" s="70" t="str">
        <f t="shared" si="103"/>
        <v/>
      </c>
    </row>
    <row r="6540" spans="3:3" ht="15" customHeight="1">
      <c r="C6540" s="70" t="str">
        <f t="shared" si="103"/>
        <v/>
      </c>
    </row>
    <row r="6541" spans="3:3" ht="15" customHeight="1">
      <c r="C6541" s="70" t="str">
        <f t="shared" si="103"/>
        <v/>
      </c>
    </row>
    <row r="6542" spans="3:3" ht="15" customHeight="1">
      <c r="C6542" s="70" t="str">
        <f t="shared" si="103"/>
        <v/>
      </c>
    </row>
    <row r="6543" spans="3:3" ht="15" customHeight="1">
      <c r="C6543" s="70" t="str">
        <f t="shared" si="103"/>
        <v/>
      </c>
    </row>
    <row r="6544" spans="3:3" ht="15" customHeight="1">
      <c r="C6544" s="70" t="str">
        <f t="shared" si="103"/>
        <v/>
      </c>
    </row>
    <row r="6545" spans="3:3" ht="15" customHeight="1">
      <c r="C6545" s="70" t="str">
        <f t="shared" ref="C6545:C6608" si="104">IF(B6545&lt;&gt;"",TEXT(WEEKDAY(B6545),"dddd"),"")</f>
        <v/>
      </c>
    </row>
    <row r="6546" spans="3:3" ht="15" customHeight="1">
      <c r="C6546" s="70" t="str">
        <f t="shared" si="104"/>
        <v/>
      </c>
    </row>
    <row r="6547" spans="3:3" ht="15" customHeight="1">
      <c r="C6547" s="70" t="str">
        <f t="shared" si="104"/>
        <v/>
      </c>
    </row>
    <row r="6548" spans="3:3" ht="15" customHeight="1">
      <c r="C6548" s="70" t="str">
        <f t="shared" si="104"/>
        <v/>
      </c>
    </row>
    <row r="6549" spans="3:3" ht="15" customHeight="1">
      <c r="C6549" s="70" t="str">
        <f t="shared" si="104"/>
        <v/>
      </c>
    </row>
    <row r="6550" spans="3:3" ht="15" customHeight="1">
      <c r="C6550" s="70" t="str">
        <f t="shared" si="104"/>
        <v/>
      </c>
    </row>
    <row r="6551" spans="3:3" ht="15" customHeight="1">
      <c r="C6551" s="70" t="str">
        <f t="shared" si="104"/>
        <v/>
      </c>
    </row>
    <row r="6552" spans="3:3" ht="15" customHeight="1">
      <c r="C6552" s="70" t="str">
        <f t="shared" si="104"/>
        <v/>
      </c>
    </row>
    <row r="6553" spans="3:3" ht="15" customHeight="1">
      <c r="C6553" s="70" t="str">
        <f t="shared" si="104"/>
        <v/>
      </c>
    </row>
    <row r="6554" spans="3:3" ht="15" customHeight="1">
      <c r="C6554" s="70" t="str">
        <f t="shared" si="104"/>
        <v/>
      </c>
    </row>
    <row r="6555" spans="3:3" ht="15" customHeight="1">
      <c r="C6555" s="70" t="str">
        <f t="shared" si="104"/>
        <v/>
      </c>
    </row>
    <row r="6556" spans="3:3" ht="15" customHeight="1">
      <c r="C6556" s="70" t="str">
        <f t="shared" si="104"/>
        <v/>
      </c>
    </row>
    <row r="6557" spans="3:3" ht="15" customHeight="1">
      <c r="C6557" s="70" t="str">
        <f t="shared" si="104"/>
        <v/>
      </c>
    </row>
    <row r="6558" spans="3:3" ht="15" customHeight="1">
      <c r="C6558" s="70" t="str">
        <f t="shared" si="104"/>
        <v/>
      </c>
    </row>
    <row r="6559" spans="3:3" ht="15" customHeight="1">
      <c r="C6559" s="70" t="str">
        <f t="shared" si="104"/>
        <v/>
      </c>
    </row>
    <row r="6560" spans="3:3" ht="15" customHeight="1">
      <c r="C6560" s="70" t="str">
        <f t="shared" si="104"/>
        <v/>
      </c>
    </row>
    <row r="6561" spans="3:3" ht="15" customHeight="1">
      <c r="C6561" s="70" t="str">
        <f t="shared" si="104"/>
        <v/>
      </c>
    </row>
    <row r="6562" spans="3:3" ht="15" customHeight="1">
      <c r="C6562" s="70" t="str">
        <f t="shared" si="104"/>
        <v/>
      </c>
    </row>
    <row r="6563" spans="3:3" ht="15" customHeight="1">
      <c r="C6563" s="70" t="str">
        <f t="shared" si="104"/>
        <v/>
      </c>
    </row>
    <row r="6564" spans="3:3" ht="15" customHeight="1">
      <c r="C6564" s="70" t="str">
        <f t="shared" si="104"/>
        <v/>
      </c>
    </row>
    <row r="6565" spans="3:3" ht="15" customHeight="1">
      <c r="C6565" s="70" t="str">
        <f t="shared" si="104"/>
        <v/>
      </c>
    </row>
    <row r="6566" spans="3:3" ht="15" customHeight="1">
      <c r="C6566" s="70" t="str">
        <f t="shared" si="104"/>
        <v/>
      </c>
    </row>
    <row r="6567" spans="3:3" ht="15" customHeight="1">
      <c r="C6567" s="70" t="str">
        <f t="shared" si="104"/>
        <v/>
      </c>
    </row>
    <row r="6568" spans="3:3" ht="15" customHeight="1">
      <c r="C6568" s="70" t="str">
        <f t="shared" si="104"/>
        <v/>
      </c>
    </row>
    <row r="6569" spans="3:3" ht="15" customHeight="1">
      <c r="C6569" s="70" t="str">
        <f t="shared" si="104"/>
        <v/>
      </c>
    </row>
    <row r="6570" spans="3:3" ht="15" customHeight="1">
      <c r="C6570" s="70" t="str">
        <f t="shared" si="104"/>
        <v/>
      </c>
    </row>
    <row r="6571" spans="3:3" ht="15" customHeight="1">
      <c r="C6571" s="70" t="str">
        <f t="shared" si="104"/>
        <v/>
      </c>
    </row>
    <row r="6572" spans="3:3" ht="15" customHeight="1">
      <c r="C6572" s="70" t="str">
        <f t="shared" si="104"/>
        <v/>
      </c>
    </row>
    <row r="6573" spans="3:3" ht="15" customHeight="1">
      <c r="C6573" s="70" t="str">
        <f t="shared" si="104"/>
        <v/>
      </c>
    </row>
    <row r="6574" spans="3:3" ht="15" customHeight="1">
      <c r="C6574" s="70" t="str">
        <f t="shared" si="104"/>
        <v/>
      </c>
    </row>
    <row r="6575" spans="3:3" ht="15" customHeight="1">
      <c r="C6575" s="70" t="str">
        <f t="shared" si="104"/>
        <v/>
      </c>
    </row>
    <row r="6576" spans="3:3" ht="15" customHeight="1">
      <c r="C6576" s="70" t="str">
        <f t="shared" si="104"/>
        <v/>
      </c>
    </row>
    <row r="6577" spans="3:3" ht="15" customHeight="1">
      <c r="C6577" s="70" t="str">
        <f t="shared" si="104"/>
        <v/>
      </c>
    </row>
    <row r="6578" spans="3:3" ht="15" customHeight="1">
      <c r="C6578" s="70" t="str">
        <f t="shared" si="104"/>
        <v/>
      </c>
    </row>
    <row r="6579" spans="3:3" ht="15" customHeight="1">
      <c r="C6579" s="70" t="str">
        <f t="shared" si="104"/>
        <v/>
      </c>
    </row>
    <row r="6580" spans="3:3" ht="15" customHeight="1">
      <c r="C6580" s="70" t="str">
        <f t="shared" si="104"/>
        <v/>
      </c>
    </row>
    <row r="6581" spans="3:3" ht="15" customHeight="1">
      <c r="C6581" s="70" t="str">
        <f t="shared" si="104"/>
        <v/>
      </c>
    </row>
    <row r="6582" spans="3:3" ht="15" customHeight="1">
      <c r="C6582" s="70" t="str">
        <f t="shared" si="104"/>
        <v/>
      </c>
    </row>
    <row r="6583" spans="3:3" ht="15" customHeight="1">
      <c r="C6583" s="70" t="str">
        <f t="shared" si="104"/>
        <v/>
      </c>
    </row>
    <row r="6584" spans="3:3" ht="15" customHeight="1">
      <c r="C6584" s="70" t="str">
        <f t="shared" si="104"/>
        <v/>
      </c>
    </row>
    <row r="6585" spans="3:3" ht="15" customHeight="1">
      <c r="C6585" s="70" t="str">
        <f t="shared" si="104"/>
        <v/>
      </c>
    </row>
    <row r="6586" spans="3:3" ht="15" customHeight="1">
      <c r="C6586" s="70" t="str">
        <f t="shared" si="104"/>
        <v/>
      </c>
    </row>
    <row r="6587" spans="3:3" ht="15" customHeight="1">
      <c r="C6587" s="70" t="str">
        <f t="shared" si="104"/>
        <v/>
      </c>
    </row>
    <row r="6588" spans="3:3" ht="15" customHeight="1">
      <c r="C6588" s="70" t="str">
        <f t="shared" si="104"/>
        <v/>
      </c>
    </row>
    <row r="6589" spans="3:3" ht="15" customHeight="1">
      <c r="C6589" s="70" t="str">
        <f t="shared" si="104"/>
        <v/>
      </c>
    </row>
    <row r="6590" spans="3:3" ht="15" customHeight="1">
      <c r="C6590" s="70" t="str">
        <f t="shared" si="104"/>
        <v/>
      </c>
    </row>
    <row r="6591" spans="3:3" ht="15" customHeight="1">
      <c r="C6591" s="70" t="str">
        <f t="shared" si="104"/>
        <v/>
      </c>
    </row>
    <row r="6592" spans="3:3" ht="15" customHeight="1">
      <c r="C6592" s="70" t="str">
        <f t="shared" si="104"/>
        <v/>
      </c>
    </row>
    <row r="6593" spans="3:3" ht="15" customHeight="1">
      <c r="C6593" s="70" t="str">
        <f t="shared" si="104"/>
        <v/>
      </c>
    </row>
    <row r="6594" spans="3:3" ht="15" customHeight="1">
      <c r="C6594" s="70" t="str">
        <f t="shared" si="104"/>
        <v/>
      </c>
    </row>
    <row r="6595" spans="3:3" ht="15" customHeight="1">
      <c r="C6595" s="70" t="str">
        <f t="shared" si="104"/>
        <v/>
      </c>
    </row>
    <row r="6596" spans="3:3" ht="15" customHeight="1">
      <c r="C6596" s="70" t="str">
        <f t="shared" si="104"/>
        <v/>
      </c>
    </row>
    <row r="6597" spans="3:3" ht="15" customHeight="1">
      <c r="C6597" s="70" t="str">
        <f t="shared" si="104"/>
        <v/>
      </c>
    </row>
    <row r="6598" spans="3:3" ht="15" customHeight="1">
      <c r="C6598" s="70" t="str">
        <f t="shared" si="104"/>
        <v/>
      </c>
    </row>
    <row r="6599" spans="3:3" ht="15" customHeight="1">
      <c r="C6599" s="70" t="str">
        <f t="shared" si="104"/>
        <v/>
      </c>
    </row>
    <row r="6600" spans="3:3" ht="15" customHeight="1">
      <c r="C6600" s="70" t="str">
        <f t="shared" si="104"/>
        <v/>
      </c>
    </row>
    <row r="6601" spans="3:3" ht="15" customHeight="1">
      <c r="C6601" s="70" t="str">
        <f t="shared" si="104"/>
        <v/>
      </c>
    </row>
    <row r="6602" spans="3:3" ht="15" customHeight="1">
      <c r="C6602" s="70" t="str">
        <f t="shared" si="104"/>
        <v/>
      </c>
    </row>
    <row r="6603" spans="3:3" ht="15" customHeight="1">
      <c r="C6603" s="70" t="str">
        <f t="shared" si="104"/>
        <v/>
      </c>
    </row>
    <row r="6604" spans="3:3" ht="15" customHeight="1">
      <c r="C6604" s="70" t="str">
        <f t="shared" si="104"/>
        <v/>
      </c>
    </row>
    <row r="6605" spans="3:3" ht="15" customHeight="1">
      <c r="C6605" s="70" t="str">
        <f t="shared" si="104"/>
        <v/>
      </c>
    </row>
    <row r="6606" spans="3:3" ht="15" customHeight="1">
      <c r="C6606" s="70" t="str">
        <f t="shared" si="104"/>
        <v/>
      </c>
    </row>
    <row r="6607" spans="3:3" ht="15" customHeight="1">
      <c r="C6607" s="70" t="str">
        <f t="shared" si="104"/>
        <v/>
      </c>
    </row>
    <row r="6608" spans="3:3" ht="15" customHeight="1">
      <c r="C6608" s="70" t="str">
        <f t="shared" si="104"/>
        <v/>
      </c>
    </row>
    <row r="6609" spans="3:3" ht="15" customHeight="1">
      <c r="C6609" s="70" t="str">
        <f t="shared" ref="C6609:C6672" si="105">IF(B6609&lt;&gt;"",TEXT(WEEKDAY(B6609),"dddd"),"")</f>
        <v/>
      </c>
    </row>
    <row r="6610" spans="3:3" ht="15" customHeight="1">
      <c r="C6610" s="70" t="str">
        <f t="shared" si="105"/>
        <v/>
      </c>
    </row>
    <row r="6611" spans="3:3" ht="15" customHeight="1">
      <c r="C6611" s="70" t="str">
        <f t="shared" si="105"/>
        <v/>
      </c>
    </row>
    <row r="6612" spans="3:3" ht="15" customHeight="1">
      <c r="C6612" s="70" t="str">
        <f t="shared" si="105"/>
        <v/>
      </c>
    </row>
    <row r="6613" spans="3:3" ht="15" customHeight="1">
      <c r="C6613" s="70" t="str">
        <f t="shared" si="105"/>
        <v/>
      </c>
    </row>
    <row r="6614" spans="3:3" ht="15" customHeight="1">
      <c r="C6614" s="70" t="str">
        <f t="shared" si="105"/>
        <v/>
      </c>
    </row>
    <row r="6615" spans="3:3" ht="15" customHeight="1">
      <c r="C6615" s="70" t="str">
        <f t="shared" si="105"/>
        <v/>
      </c>
    </row>
    <row r="6616" spans="3:3" ht="15" customHeight="1">
      <c r="C6616" s="70" t="str">
        <f t="shared" si="105"/>
        <v/>
      </c>
    </row>
    <row r="6617" spans="3:3" ht="15" customHeight="1">
      <c r="C6617" s="70" t="str">
        <f t="shared" si="105"/>
        <v/>
      </c>
    </row>
    <row r="6618" spans="3:3" ht="15" customHeight="1">
      <c r="C6618" s="70" t="str">
        <f t="shared" si="105"/>
        <v/>
      </c>
    </row>
    <row r="6619" spans="3:3" ht="15" customHeight="1">
      <c r="C6619" s="70" t="str">
        <f t="shared" si="105"/>
        <v/>
      </c>
    </row>
    <row r="6620" spans="3:3" ht="15" customHeight="1">
      <c r="C6620" s="70" t="str">
        <f t="shared" si="105"/>
        <v/>
      </c>
    </row>
    <row r="6621" spans="3:3" ht="15" customHeight="1">
      <c r="C6621" s="70" t="str">
        <f t="shared" si="105"/>
        <v/>
      </c>
    </row>
    <row r="6622" spans="3:3" ht="15" customHeight="1">
      <c r="C6622" s="70" t="str">
        <f t="shared" si="105"/>
        <v/>
      </c>
    </row>
    <row r="6623" spans="3:3" ht="15" customHeight="1">
      <c r="C6623" s="70" t="str">
        <f t="shared" si="105"/>
        <v/>
      </c>
    </row>
    <row r="6624" spans="3:3" ht="15" customHeight="1">
      <c r="C6624" s="70" t="str">
        <f t="shared" si="105"/>
        <v/>
      </c>
    </row>
    <row r="6625" spans="3:3" ht="15" customHeight="1">
      <c r="C6625" s="70" t="str">
        <f t="shared" si="105"/>
        <v/>
      </c>
    </row>
    <row r="6626" spans="3:3" ht="15" customHeight="1">
      <c r="C6626" s="70" t="str">
        <f t="shared" si="105"/>
        <v/>
      </c>
    </row>
    <row r="6627" spans="3:3" ht="15" customHeight="1">
      <c r="C6627" s="70" t="str">
        <f t="shared" si="105"/>
        <v/>
      </c>
    </row>
    <row r="6628" spans="3:3" ht="15" customHeight="1">
      <c r="C6628" s="70" t="str">
        <f t="shared" si="105"/>
        <v/>
      </c>
    </row>
    <row r="6629" spans="3:3" ht="15" customHeight="1">
      <c r="C6629" s="70" t="str">
        <f t="shared" si="105"/>
        <v/>
      </c>
    </row>
    <row r="6630" spans="3:3" ht="15" customHeight="1">
      <c r="C6630" s="70" t="str">
        <f t="shared" si="105"/>
        <v/>
      </c>
    </row>
    <row r="6631" spans="3:3" ht="15" customHeight="1">
      <c r="C6631" s="70" t="str">
        <f t="shared" si="105"/>
        <v/>
      </c>
    </row>
    <row r="6632" spans="3:3" ht="15" customHeight="1">
      <c r="C6632" s="70" t="str">
        <f t="shared" si="105"/>
        <v/>
      </c>
    </row>
    <row r="6633" spans="3:3" ht="15" customHeight="1">
      <c r="C6633" s="70" t="str">
        <f t="shared" si="105"/>
        <v/>
      </c>
    </row>
    <row r="6634" spans="3:3" ht="15" customHeight="1">
      <c r="C6634" s="70" t="str">
        <f t="shared" si="105"/>
        <v/>
      </c>
    </row>
    <row r="6635" spans="3:3" ht="15" customHeight="1">
      <c r="C6635" s="70" t="str">
        <f t="shared" si="105"/>
        <v/>
      </c>
    </row>
    <row r="6636" spans="3:3" ht="15" customHeight="1">
      <c r="C6636" s="70" t="str">
        <f t="shared" si="105"/>
        <v/>
      </c>
    </row>
    <row r="6637" spans="3:3" ht="15" customHeight="1">
      <c r="C6637" s="70" t="str">
        <f t="shared" si="105"/>
        <v/>
      </c>
    </row>
    <row r="6638" spans="3:3" ht="15" customHeight="1">
      <c r="C6638" s="70" t="str">
        <f t="shared" si="105"/>
        <v/>
      </c>
    </row>
    <row r="6639" spans="3:3" ht="15" customHeight="1">
      <c r="C6639" s="70" t="str">
        <f t="shared" si="105"/>
        <v/>
      </c>
    </row>
    <row r="6640" spans="3:3" ht="15" customHeight="1">
      <c r="C6640" s="70" t="str">
        <f t="shared" si="105"/>
        <v/>
      </c>
    </row>
    <row r="6641" spans="3:3" ht="15" customHeight="1">
      <c r="C6641" s="70" t="str">
        <f t="shared" si="105"/>
        <v/>
      </c>
    </row>
    <row r="6642" spans="3:3" ht="15" customHeight="1">
      <c r="C6642" s="70" t="str">
        <f t="shared" si="105"/>
        <v/>
      </c>
    </row>
    <row r="6643" spans="3:3" ht="15" customHeight="1">
      <c r="C6643" s="70" t="str">
        <f t="shared" si="105"/>
        <v/>
      </c>
    </row>
    <row r="6644" spans="3:3" ht="15" customHeight="1">
      <c r="C6644" s="70" t="str">
        <f t="shared" si="105"/>
        <v/>
      </c>
    </row>
    <row r="6645" spans="3:3" ht="15" customHeight="1">
      <c r="C6645" s="70" t="str">
        <f t="shared" si="105"/>
        <v/>
      </c>
    </row>
    <row r="6646" spans="3:3" ht="15" customHeight="1">
      <c r="C6646" s="70" t="str">
        <f t="shared" si="105"/>
        <v/>
      </c>
    </row>
    <row r="6647" spans="3:3" ht="15" customHeight="1">
      <c r="C6647" s="70" t="str">
        <f t="shared" si="105"/>
        <v/>
      </c>
    </row>
    <row r="6648" spans="3:3" ht="15" customHeight="1">
      <c r="C6648" s="70" t="str">
        <f t="shared" si="105"/>
        <v/>
      </c>
    </row>
    <row r="6649" spans="3:3" ht="15" customHeight="1">
      <c r="C6649" s="70" t="str">
        <f t="shared" si="105"/>
        <v/>
      </c>
    </row>
    <row r="6650" spans="3:3" ht="15" customHeight="1">
      <c r="C6650" s="70" t="str">
        <f t="shared" si="105"/>
        <v/>
      </c>
    </row>
    <row r="6651" spans="3:3" ht="15" customHeight="1">
      <c r="C6651" s="70" t="str">
        <f t="shared" si="105"/>
        <v/>
      </c>
    </row>
    <row r="6652" spans="3:3" ht="15" customHeight="1">
      <c r="C6652" s="70" t="str">
        <f t="shared" si="105"/>
        <v/>
      </c>
    </row>
    <row r="6653" spans="3:3" ht="15" customHeight="1">
      <c r="C6653" s="70" t="str">
        <f t="shared" si="105"/>
        <v/>
      </c>
    </row>
    <row r="6654" spans="3:3" ht="15" customHeight="1">
      <c r="C6654" s="70" t="str">
        <f t="shared" si="105"/>
        <v/>
      </c>
    </row>
    <row r="6655" spans="3:3" ht="15" customHeight="1">
      <c r="C6655" s="70" t="str">
        <f t="shared" si="105"/>
        <v/>
      </c>
    </row>
    <row r="6656" spans="3:3" ht="15" customHeight="1">
      <c r="C6656" s="70" t="str">
        <f t="shared" si="105"/>
        <v/>
      </c>
    </row>
    <row r="6657" spans="3:3" ht="15" customHeight="1">
      <c r="C6657" s="70" t="str">
        <f t="shared" si="105"/>
        <v/>
      </c>
    </row>
    <row r="6658" spans="3:3" ht="15" customHeight="1">
      <c r="C6658" s="70" t="str">
        <f t="shared" si="105"/>
        <v/>
      </c>
    </row>
    <row r="6659" spans="3:3" ht="15" customHeight="1">
      <c r="C6659" s="70" t="str">
        <f t="shared" si="105"/>
        <v/>
      </c>
    </row>
    <row r="6660" spans="3:3" ht="15" customHeight="1">
      <c r="C6660" s="70" t="str">
        <f t="shared" si="105"/>
        <v/>
      </c>
    </row>
    <row r="6661" spans="3:3" ht="15" customHeight="1">
      <c r="C6661" s="70" t="str">
        <f t="shared" si="105"/>
        <v/>
      </c>
    </row>
    <row r="6662" spans="3:3" ht="15" customHeight="1">
      <c r="C6662" s="70" t="str">
        <f t="shared" si="105"/>
        <v/>
      </c>
    </row>
    <row r="6663" spans="3:3" ht="15" customHeight="1">
      <c r="C6663" s="70" t="str">
        <f t="shared" si="105"/>
        <v/>
      </c>
    </row>
    <row r="6664" spans="3:3" ht="15" customHeight="1">
      <c r="C6664" s="70" t="str">
        <f t="shared" si="105"/>
        <v/>
      </c>
    </row>
    <row r="6665" spans="3:3" ht="15" customHeight="1">
      <c r="C6665" s="70" t="str">
        <f t="shared" si="105"/>
        <v/>
      </c>
    </row>
    <row r="6666" spans="3:3" ht="15" customHeight="1">
      <c r="C6666" s="70" t="str">
        <f t="shared" si="105"/>
        <v/>
      </c>
    </row>
    <row r="6667" spans="3:3" ht="15" customHeight="1">
      <c r="C6667" s="70" t="str">
        <f t="shared" si="105"/>
        <v/>
      </c>
    </row>
    <row r="6668" spans="3:3" ht="15" customHeight="1">
      <c r="C6668" s="70" t="str">
        <f t="shared" si="105"/>
        <v/>
      </c>
    </row>
    <row r="6669" spans="3:3" ht="15" customHeight="1">
      <c r="C6669" s="70" t="str">
        <f t="shared" si="105"/>
        <v/>
      </c>
    </row>
    <row r="6670" spans="3:3" ht="15" customHeight="1">
      <c r="C6670" s="70" t="str">
        <f t="shared" si="105"/>
        <v/>
      </c>
    </row>
    <row r="6671" spans="3:3" ht="15" customHeight="1">
      <c r="C6671" s="70" t="str">
        <f t="shared" si="105"/>
        <v/>
      </c>
    </row>
    <row r="6672" spans="3:3" ht="15" customHeight="1">
      <c r="C6672" s="70" t="str">
        <f t="shared" si="105"/>
        <v/>
      </c>
    </row>
    <row r="6673" spans="3:3" ht="15" customHeight="1">
      <c r="C6673" s="70" t="str">
        <f t="shared" ref="C6673:C6736" si="106">IF(B6673&lt;&gt;"",TEXT(WEEKDAY(B6673),"dddd"),"")</f>
        <v/>
      </c>
    </row>
    <row r="6674" spans="3:3" ht="15" customHeight="1">
      <c r="C6674" s="70" t="str">
        <f t="shared" si="106"/>
        <v/>
      </c>
    </row>
    <row r="6675" spans="3:3" ht="15" customHeight="1">
      <c r="C6675" s="70" t="str">
        <f t="shared" si="106"/>
        <v/>
      </c>
    </row>
    <row r="6676" spans="3:3" ht="15" customHeight="1">
      <c r="C6676" s="70" t="str">
        <f t="shared" si="106"/>
        <v/>
      </c>
    </row>
    <row r="6677" spans="3:3" ht="15" customHeight="1">
      <c r="C6677" s="70" t="str">
        <f t="shared" si="106"/>
        <v/>
      </c>
    </row>
    <row r="6678" spans="3:3" ht="15" customHeight="1">
      <c r="C6678" s="70" t="str">
        <f t="shared" si="106"/>
        <v/>
      </c>
    </row>
    <row r="6679" spans="3:3" ht="15" customHeight="1">
      <c r="C6679" s="70" t="str">
        <f t="shared" si="106"/>
        <v/>
      </c>
    </row>
    <row r="6680" spans="3:3" ht="15" customHeight="1">
      <c r="C6680" s="70" t="str">
        <f t="shared" si="106"/>
        <v/>
      </c>
    </row>
    <row r="6681" spans="3:3" ht="15" customHeight="1">
      <c r="C6681" s="70" t="str">
        <f t="shared" si="106"/>
        <v/>
      </c>
    </row>
    <row r="6682" spans="3:3" ht="15" customHeight="1">
      <c r="C6682" s="70" t="str">
        <f t="shared" si="106"/>
        <v/>
      </c>
    </row>
    <row r="6683" spans="3:3" ht="15" customHeight="1">
      <c r="C6683" s="70" t="str">
        <f t="shared" si="106"/>
        <v/>
      </c>
    </row>
    <row r="6684" spans="3:3" ht="15" customHeight="1">
      <c r="C6684" s="70" t="str">
        <f t="shared" si="106"/>
        <v/>
      </c>
    </row>
    <row r="6685" spans="3:3" ht="15" customHeight="1">
      <c r="C6685" s="70" t="str">
        <f t="shared" si="106"/>
        <v/>
      </c>
    </row>
    <row r="6686" spans="3:3" ht="15" customHeight="1">
      <c r="C6686" s="70" t="str">
        <f t="shared" si="106"/>
        <v/>
      </c>
    </row>
    <row r="6687" spans="3:3" ht="15" customHeight="1">
      <c r="C6687" s="70" t="str">
        <f t="shared" si="106"/>
        <v/>
      </c>
    </row>
    <row r="6688" spans="3:3" ht="15" customHeight="1">
      <c r="C6688" s="70" t="str">
        <f t="shared" si="106"/>
        <v/>
      </c>
    </row>
    <row r="6689" spans="3:3" ht="15" customHeight="1">
      <c r="C6689" s="70" t="str">
        <f t="shared" si="106"/>
        <v/>
      </c>
    </row>
    <row r="6690" spans="3:3" ht="15" customHeight="1">
      <c r="C6690" s="70" t="str">
        <f t="shared" si="106"/>
        <v/>
      </c>
    </row>
    <row r="6691" spans="3:3" ht="15" customHeight="1">
      <c r="C6691" s="70" t="str">
        <f t="shared" si="106"/>
        <v/>
      </c>
    </row>
    <row r="6692" spans="3:3" ht="15" customHeight="1">
      <c r="C6692" s="70" t="str">
        <f t="shared" si="106"/>
        <v/>
      </c>
    </row>
    <row r="6693" spans="3:3" ht="15" customHeight="1">
      <c r="C6693" s="70" t="str">
        <f t="shared" si="106"/>
        <v/>
      </c>
    </row>
    <row r="6694" spans="3:3" ht="15" customHeight="1">
      <c r="C6694" s="70" t="str">
        <f t="shared" si="106"/>
        <v/>
      </c>
    </row>
    <row r="6695" spans="3:3" ht="15" customHeight="1">
      <c r="C6695" s="70" t="str">
        <f t="shared" si="106"/>
        <v/>
      </c>
    </row>
    <row r="6696" spans="3:3" ht="15" customHeight="1">
      <c r="C6696" s="70" t="str">
        <f t="shared" si="106"/>
        <v/>
      </c>
    </row>
    <row r="6697" spans="3:3" ht="15" customHeight="1">
      <c r="C6697" s="70" t="str">
        <f t="shared" si="106"/>
        <v/>
      </c>
    </row>
    <row r="6698" spans="3:3" ht="15" customHeight="1">
      <c r="C6698" s="70" t="str">
        <f t="shared" si="106"/>
        <v/>
      </c>
    </row>
    <row r="6699" spans="3:3" ht="15" customHeight="1">
      <c r="C6699" s="70" t="str">
        <f t="shared" si="106"/>
        <v/>
      </c>
    </row>
    <row r="6700" spans="3:3" ht="15" customHeight="1">
      <c r="C6700" s="70" t="str">
        <f t="shared" si="106"/>
        <v/>
      </c>
    </row>
    <row r="6701" spans="3:3" ht="15" customHeight="1">
      <c r="C6701" s="70" t="str">
        <f t="shared" si="106"/>
        <v/>
      </c>
    </row>
    <row r="6702" spans="3:3" ht="15" customHeight="1">
      <c r="C6702" s="70" t="str">
        <f t="shared" si="106"/>
        <v/>
      </c>
    </row>
    <row r="6703" spans="3:3" ht="15" customHeight="1">
      <c r="C6703" s="70" t="str">
        <f t="shared" si="106"/>
        <v/>
      </c>
    </row>
    <row r="6704" spans="3:3" ht="15" customHeight="1">
      <c r="C6704" s="70" t="str">
        <f t="shared" si="106"/>
        <v/>
      </c>
    </row>
    <row r="6705" spans="3:3" ht="15" customHeight="1">
      <c r="C6705" s="70" t="str">
        <f t="shared" si="106"/>
        <v/>
      </c>
    </row>
    <row r="6706" spans="3:3" ht="15" customHeight="1">
      <c r="C6706" s="70" t="str">
        <f t="shared" si="106"/>
        <v/>
      </c>
    </row>
    <row r="6707" spans="3:3" ht="15" customHeight="1">
      <c r="C6707" s="70" t="str">
        <f t="shared" si="106"/>
        <v/>
      </c>
    </row>
    <row r="6708" spans="3:3" ht="15" customHeight="1">
      <c r="C6708" s="70" t="str">
        <f t="shared" si="106"/>
        <v/>
      </c>
    </row>
    <row r="6709" spans="3:3" ht="15" customHeight="1">
      <c r="C6709" s="70" t="str">
        <f t="shared" si="106"/>
        <v/>
      </c>
    </row>
    <row r="6710" spans="3:3" ht="15" customHeight="1">
      <c r="C6710" s="70" t="str">
        <f t="shared" si="106"/>
        <v/>
      </c>
    </row>
    <row r="6711" spans="3:3" ht="15" customHeight="1">
      <c r="C6711" s="70" t="str">
        <f t="shared" si="106"/>
        <v/>
      </c>
    </row>
    <row r="6712" spans="3:3" ht="15" customHeight="1">
      <c r="C6712" s="70" t="str">
        <f t="shared" si="106"/>
        <v/>
      </c>
    </row>
    <row r="6713" spans="3:3" ht="15" customHeight="1">
      <c r="C6713" s="70" t="str">
        <f t="shared" si="106"/>
        <v/>
      </c>
    </row>
    <row r="6714" spans="3:3" ht="15" customHeight="1">
      <c r="C6714" s="70" t="str">
        <f t="shared" si="106"/>
        <v/>
      </c>
    </row>
    <row r="6715" spans="3:3" ht="15" customHeight="1">
      <c r="C6715" s="70" t="str">
        <f t="shared" si="106"/>
        <v/>
      </c>
    </row>
    <row r="6716" spans="3:3" ht="15" customHeight="1">
      <c r="C6716" s="70" t="str">
        <f t="shared" si="106"/>
        <v/>
      </c>
    </row>
    <row r="6717" spans="3:3" ht="15" customHeight="1">
      <c r="C6717" s="70" t="str">
        <f t="shared" si="106"/>
        <v/>
      </c>
    </row>
    <row r="6718" spans="3:3" ht="15" customHeight="1">
      <c r="C6718" s="70" t="str">
        <f t="shared" si="106"/>
        <v/>
      </c>
    </row>
    <row r="6719" spans="3:3" ht="15" customHeight="1">
      <c r="C6719" s="70" t="str">
        <f t="shared" si="106"/>
        <v/>
      </c>
    </row>
    <row r="6720" spans="3:3" ht="15" customHeight="1">
      <c r="C6720" s="70" t="str">
        <f t="shared" si="106"/>
        <v/>
      </c>
    </row>
    <row r="6721" spans="3:3" ht="15" customHeight="1">
      <c r="C6721" s="70" t="str">
        <f t="shared" si="106"/>
        <v/>
      </c>
    </row>
    <row r="6722" spans="3:3" ht="15" customHeight="1">
      <c r="C6722" s="70" t="str">
        <f t="shared" si="106"/>
        <v/>
      </c>
    </row>
    <row r="6723" spans="3:3" ht="15" customHeight="1">
      <c r="C6723" s="70" t="str">
        <f t="shared" si="106"/>
        <v/>
      </c>
    </row>
    <row r="6724" spans="3:3" ht="15" customHeight="1">
      <c r="C6724" s="70" t="str">
        <f t="shared" si="106"/>
        <v/>
      </c>
    </row>
    <row r="6725" spans="3:3" ht="15" customHeight="1">
      <c r="C6725" s="70" t="str">
        <f t="shared" si="106"/>
        <v/>
      </c>
    </row>
    <row r="6726" spans="3:3" ht="15" customHeight="1">
      <c r="C6726" s="70" t="str">
        <f t="shared" si="106"/>
        <v/>
      </c>
    </row>
    <row r="6727" spans="3:3" ht="15" customHeight="1">
      <c r="C6727" s="70" t="str">
        <f t="shared" si="106"/>
        <v/>
      </c>
    </row>
    <row r="6728" spans="3:3" ht="15" customHeight="1">
      <c r="C6728" s="70" t="str">
        <f t="shared" si="106"/>
        <v/>
      </c>
    </row>
    <row r="6729" spans="3:3" ht="15" customHeight="1">
      <c r="C6729" s="70" t="str">
        <f t="shared" si="106"/>
        <v/>
      </c>
    </row>
    <row r="6730" spans="3:3" ht="15" customHeight="1">
      <c r="C6730" s="70" t="str">
        <f t="shared" si="106"/>
        <v/>
      </c>
    </row>
    <row r="6731" spans="3:3" ht="15" customHeight="1">
      <c r="C6731" s="70" t="str">
        <f t="shared" si="106"/>
        <v/>
      </c>
    </row>
    <row r="6732" spans="3:3" ht="15" customHeight="1">
      <c r="C6732" s="70" t="str">
        <f t="shared" si="106"/>
        <v/>
      </c>
    </row>
    <row r="6733" spans="3:3" ht="15" customHeight="1">
      <c r="C6733" s="70" t="str">
        <f t="shared" si="106"/>
        <v/>
      </c>
    </row>
    <row r="6734" spans="3:3" ht="15" customHeight="1">
      <c r="C6734" s="70" t="str">
        <f t="shared" si="106"/>
        <v/>
      </c>
    </row>
    <row r="6735" spans="3:3" ht="15" customHeight="1">
      <c r="C6735" s="70" t="str">
        <f t="shared" si="106"/>
        <v/>
      </c>
    </row>
    <row r="6736" spans="3:3" ht="15" customHeight="1">
      <c r="C6736" s="70" t="str">
        <f t="shared" si="106"/>
        <v/>
      </c>
    </row>
    <row r="6737" spans="3:3" ht="15" customHeight="1">
      <c r="C6737" s="70" t="str">
        <f t="shared" ref="C6737:C6800" si="107">IF(B6737&lt;&gt;"",TEXT(WEEKDAY(B6737),"dddd"),"")</f>
        <v/>
      </c>
    </row>
    <row r="6738" spans="3:3" ht="15" customHeight="1">
      <c r="C6738" s="70" t="str">
        <f t="shared" si="107"/>
        <v/>
      </c>
    </row>
    <row r="6739" spans="3:3" ht="15" customHeight="1">
      <c r="C6739" s="70" t="str">
        <f t="shared" si="107"/>
        <v/>
      </c>
    </row>
    <row r="6740" spans="3:3" ht="15" customHeight="1">
      <c r="C6740" s="70" t="str">
        <f t="shared" si="107"/>
        <v/>
      </c>
    </row>
    <row r="6741" spans="3:3" ht="15" customHeight="1">
      <c r="C6741" s="70" t="str">
        <f t="shared" si="107"/>
        <v/>
      </c>
    </row>
    <row r="6742" spans="3:3" ht="15" customHeight="1">
      <c r="C6742" s="70" t="str">
        <f t="shared" si="107"/>
        <v/>
      </c>
    </row>
    <row r="6743" spans="3:3" ht="15" customHeight="1">
      <c r="C6743" s="70" t="str">
        <f t="shared" si="107"/>
        <v/>
      </c>
    </row>
    <row r="6744" spans="3:3" ht="15" customHeight="1">
      <c r="C6744" s="70" t="str">
        <f t="shared" si="107"/>
        <v/>
      </c>
    </row>
    <row r="6745" spans="3:3" ht="15" customHeight="1">
      <c r="C6745" s="70" t="str">
        <f t="shared" si="107"/>
        <v/>
      </c>
    </row>
    <row r="6746" spans="3:3" ht="15" customHeight="1">
      <c r="C6746" s="70" t="str">
        <f t="shared" si="107"/>
        <v/>
      </c>
    </row>
    <row r="6747" spans="3:3" ht="15" customHeight="1">
      <c r="C6747" s="70" t="str">
        <f t="shared" si="107"/>
        <v/>
      </c>
    </row>
    <row r="6748" spans="3:3" ht="15" customHeight="1">
      <c r="C6748" s="70" t="str">
        <f t="shared" si="107"/>
        <v/>
      </c>
    </row>
    <row r="6749" spans="3:3" ht="15" customHeight="1">
      <c r="C6749" s="70" t="str">
        <f t="shared" si="107"/>
        <v/>
      </c>
    </row>
    <row r="6750" spans="3:3" ht="15" customHeight="1">
      <c r="C6750" s="70" t="str">
        <f t="shared" si="107"/>
        <v/>
      </c>
    </row>
    <row r="6751" spans="3:3" ht="15" customHeight="1">
      <c r="C6751" s="70" t="str">
        <f t="shared" si="107"/>
        <v/>
      </c>
    </row>
    <row r="6752" spans="3:3" ht="15" customHeight="1">
      <c r="C6752" s="70" t="str">
        <f t="shared" si="107"/>
        <v/>
      </c>
    </row>
    <row r="6753" spans="3:3" ht="15" customHeight="1">
      <c r="C6753" s="70" t="str">
        <f t="shared" si="107"/>
        <v/>
      </c>
    </row>
    <row r="6754" spans="3:3" ht="15" customHeight="1">
      <c r="C6754" s="70" t="str">
        <f t="shared" si="107"/>
        <v/>
      </c>
    </row>
    <row r="6755" spans="3:3" ht="15" customHeight="1">
      <c r="C6755" s="70" t="str">
        <f t="shared" si="107"/>
        <v/>
      </c>
    </row>
    <row r="6756" spans="3:3" ht="15" customHeight="1">
      <c r="C6756" s="70" t="str">
        <f t="shared" si="107"/>
        <v/>
      </c>
    </row>
    <row r="6757" spans="3:3" ht="15" customHeight="1">
      <c r="C6757" s="70" t="str">
        <f t="shared" si="107"/>
        <v/>
      </c>
    </row>
    <row r="6758" spans="3:3" ht="15" customHeight="1">
      <c r="C6758" s="70" t="str">
        <f t="shared" si="107"/>
        <v/>
      </c>
    </row>
    <row r="6759" spans="3:3" ht="15" customHeight="1">
      <c r="C6759" s="70" t="str">
        <f t="shared" si="107"/>
        <v/>
      </c>
    </row>
    <row r="6760" spans="3:3" ht="15" customHeight="1">
      <c r="C6760" s="70" t="str">
        <f t="shared" si="107"/>
        <v/>
      </c>
    </row>
    <row r="6761" spans="3:3" ht="15" customHeight="1">
      <c r="C6761" s="70" t="str">
        <f t="shared" si="107"/>
        <v/>
      </c>
    </row>
    <row r="6762" spans="3:3" ht="15" customHeight="1">
      <c r="C6762" s="70" t="str">
        <f t="shared" si="107"/>
        <v/>
      </c>
    </row>
    <row r="6763" spans="3:3" ht="15" customHeight="1">
      <c r="C6763" s="70" t="str">
        <f t="shared" si="107"/>
        <v/>
      </c>
    </row>
    <row r="6764" spans="3:3" ht="15" customHeight="1">
      <c r="C6764" s="70" t="str">
        <f t="shared" si="107"/>
        <v/>
      </c>
    </row>
    <row r="6765" spans="3:3" ht="15" customHeight="1">
      <c r="C6765" s="70" t="str">
        <f t="shared" si="107"/>
        <v/>
      </c>
    </row>
    <row r="6766" spans="3:3" ht="15" customHeight="1">
      <c r="C6766" s="70" t="str">
        <f t="shared" si="107"/>
        <v/>
      </c>
    </row>
    <row r="6767" spans="3:3" ht="15" customHeight="1">
      <c r="C6767" s="70" t="str">
        <f t="shared" si="107"/>
        <v/>
      </c>
    </row>
    <row r="6768" spans="3:3" ht="15" customHeight="1">
      <c r="C6768" s="70" t="str">
        <f t="shared" si="107"/>
        <v/>
      </c>
    </row>
    <row r="6769" spans="3:3" ht="15" customHeight="1">
      <c r="C6769" s="70" t="str">
        <f t="shared" si="107"/>
        <v/>
      </c>
    </row>
    <row r="6770" spans="3:3" ht="15" customHeight="1">
      <c r="C6770" s="70" t="str">
        <f t="shared" si="107"/>
        <v/>
      </c>
    </row>
    <row r="6771" spans="3:3" ht="15" customHeight="1">
      <c r="C6771" s="70" t="str">
        <f t="shared" si="107"/>
        <v/>
      </c>
    </row>
    <row r="6772" spans="3:3" ht="15" customHeight="1">
      <c r="C6772" s="70" t="str">
        <f t="shared" si="107"/>
        <v/>
      </c>
    </row>
    <row r="6773" spans="3:3" ht="15" customHeight="1">
      <c r="C6773" s="70" t="str">
        <f t="shared" si="107"/>
        <v/>
      </c>
    </row>
    <row r="6774" spans="3:3" ht="15" customHeight="1">
      <c r="C6774" s="70" t="str">
        <f t="shared" si="107"/>
        <v/>
      </c>
    </row>
    <row r="6775" spans="3:3" ht="15" customHeight="1">
      <c r="C6775" s="70" t="str">
        <f t="shared" si="107"/>
        <v/>
      </c>
    </row>
    <row r="6776" spans="3:3" ht="15" customHeight="1">
      <c r="C6776" s="70" t="str">
        <f t="shared" si="107"/>
        <v/>
      </c>
    </row>
    <row r="6777" spans="3:3" ht="15" customHeight="1">
      <c r="C6777" s="70" t="str">
        <f t="shared" si="107"/>
        <v/>
      </c>
    </row>
    <row r="6778" spans="3:3" ht="15" customHeight="1">
      <c r="C6778" s="70" t="str">
        <f t="shared" si="107"/>
        <v/>
      </c>
    </row>
    <row r="6779" spans="3:3" ht="15" customHeight="1">
      <c r="C6779" s="70" t="str">
        <f t="shared" si="107"/>
        <v/>
      </c>
    </row>
    <row r="6780" spans="3:3" ht="15" customHeight="1">
      <c r="C6780" s="70" t="str">
        <f t="shared" si="107"/>
        <v/>
      </c>
    </row>
    <row r="6781" spans="3:3" ht="15" customHeight="1">
      <c r="C6781" s="70" t="str">
        <f t="shared" si="107"/>
        <v/>
      </c>
    </row>
    <row r="6782" spans="3:3" ht="15" customHeight="1">
      <c r="C6782" s="70" t="str">
        <f t="shared" si="107"/>
        <v/>
      </c>
    </row>
    <row r="6783" spans="3:3" ht="15" customHeight="1">
      <c r="C6783" s="70" t="str">
        <f t="shared" si="107"/>
        <v/>
      </c>
    </row>
    <row r="6784" spans="3:3" ht="15" customHeight="1">
      <c r="C6784" s="70" t="str">
        <f t="shared" si="107"/>
        <v/>
      </c>
    </row>
    <row r="6785" spans="3:3" ht="15" customHeight="1">
      <c r="C6785" s="70" t="str">
        <f t="shared" si="107"/>
        <v/>
      </c>
    </row>
    <row r="6786" spans="3:3" ht="15" customHeight="1">
      <c r="C6786" s="70" t="str">
        <f t="shared" si="107"/>
        <v/>
      </c>
    </row>
    <row r="6787" spans="3:3" ht="15" customHeight="1">
      <c r="C6787" s="70" t="str">
        <f t="shared" si="107"/>
        <v/>
      </c>
    </row>
    <row r="6788" spans="3:3" ht="15" customHeight="1">
      <c r="C6788" s="70" t="str">
        <f t="shared" si="107"/>
        <v/>
      </c>
    </row>
    <row r="6789" spans="3:3" ht="15" customHeight="1">
      <c r="C6789" s="70" t="str">
        <f t="shared" si="107"/>
        <v/>
      </c>
    </row>
    <row r="6790" spans="3:3" ht="15" customHeight="1">
      <c r="C6790" s="70" t="str">
        <f t="shared" si="107"/>
        <v/>
      </c>
    </row>
    <row r="6791" spans="3:3" ht="15" customHeight="1">
      <c r="C6791" s="70" t="str">
        <f t="shared" si="107"/>
        <v/>
      </c>
    </row>
    <row r="6792" spans="3:3" ht="15" customHeight="1">
      <c r="C6792" s="70" t="str">
        <f t="shared" si="107"/>
        <v/>
      </c>
    </row>
    <row r="6793" spans="3:3" ht="15" customHeight="1">
      <c r="C6793" s="70" t="str">
        <f t="shared" si="107"/>
        <v/>
      </c>
    </row>
    <row r="6794" spans="3:3" ht="15" customHeight="1">
      <c r="C6794" s="70" t="str">
        <f t="shared" si="107"/>
        <v/>
      </c>
    </row>
    <row r="6795" spans="3:3" ht="15" customHeight="1">
      <c r="C6795" s="70" t="str">
        <f t="shared" si="107"/>
        <v/>
      </c>
    </row>
    <row r="6796" spans="3:3" ht="15" customHeight="1">
      <c r="C6796" s="70" t="str">
        <f t="shared" si="107"/>
        <v/>
      </c>
    </row>
    <row r="6797" spans="3:3" ht="15" customHeight="1">
      <c r="C6797" s="70" t="str">
        <f t="shared" si="107"/>
        <v/>
      </c>
    </row>
    <row r="6798" spans="3:3" ht="15" customHeight="1">
      <c r="C6798" s="70" t="str">
        <f t="shared" si="107"/>
        <v/>
      </c>
    </row>
    <row r="6799" spans="3:3" ht="15" customHeight="1">
      <c r="C6799" s="70" t="str">
        <f t="shared" si="107"/>
        <v/>
      </c>
    </row>
    <row r="6800" spans="3:3" ht="15" customHeight="1">
      <c r="C6800" s="70" t="str">
        <f t="shared" si="107"/>
        <v/>
      </c>
    </row>
    <row r="6801" spans="3:3" ht="15" customHeight="1">
      <c r="C6801" s="70" t="str">
        <f t="shared" ref="C6801:C6864" si="108">IF(B6801&lt;&gt;"",TEXT(WEEKDAY(B6801),"dddd"),"")</f>
        <v/>
      </c>
    </row>
    <row r="6802" spans="3:3" ht="15" customHeight="1">
      <c r="C6802" s="70" t="str">
        <f t="shared" si="108"/>
        <v/>
      </c>
    </row>
    <row r="6803" spans="3:3" ht="15" customHeight="1">
      <c r="C6803" s="70" t="str">
        <f t="shared" si="108"/>
        <v/>
      </c>
    </row>
    <row r="6804" spans="3:3" ht="15" customHeight="1">
      <c r="C6804" s="70" t="str">
        <f t="shared" si="108"/>
        <v/>
      </c>
    </row>
    <row r="6805" spans="3:3" ht="15" customHeight="1">
      <c r="C6805" s="70" t="str">
        <f t="shared" si="108"/>
        <v/>
      </c>
    </row>
    <row r="6806" spans="3:3" ht="15" customHeight="1">
      <c r="C6806" s="70" t="str">
        <f t="shared" si="108"/>
        <v/>
      </c>
    </row>
    <row r="6807" spans="3:3" ht="15" customHeight="1">
      <c r="C6807" s="70" t="str">
        <f t="shared" si="108"/>
        <v/>
      </c>
    </row>
    <row r="6808" spans="3:3" ht="15" customHeight="1">
      <c r="C6808" s="70" t="str">
        <f t="shared" si="108"/>
        <v/>
      </c>
    </row>
    <row r="6809" spans="3:3" ht="15" customHeight="1">
      <c r="C6809" s="70" t="str">
        <f t="shared" si="108"/>
        <v/>
      </c>
    </row>
    <row r="6810" spans="3:3" ht="15" customHeight="1">
      <c r="C6810" s="70" t="str">
        <f t="shared" si="108"/>
        <v/>
      </c>
    </row>
    <row r="6811" spans="3:3" ht="15" customHeight="1">
      <c r="C6811" s="70" t="str">
        <f t="shared" si="108"/>
        <v/>
      </c>
    </row>
    <row r="6812" spans="3:3" ht="15" customHeight="1">
      <c r="C6812" s="70" t="str">
        <f t="shared" si="108"/>
        <v/>
      </c>
    </row>
    <row r="6813" spans="3:3" ht="15" customHeight="1">
      <c r="C6813" s="70" t="str">
        <f t="shared" si="108"/>
        <v/>
      </c>
    </row>
    <row r="6814" spans="3:3" ht="15" customHeight="1">
      <c r="C6814" s="70" t="str">
        <f t="shared" si="108"/>
        <v/>
      </c>
    </row>
    <row r="6815" spans="3:3" ht="15" customHeight="1">
      <c r="C6815" s="70" t="str">
        <f t="shared" si="108"/>
        <v/>
      </c>
    </row>
    <row r="6816" spans="3:3" ht="15" customHeight="1">
      <c r="C6816" s="70" t="str">
        <f t="shared" si="108"/>
        <v/>
      </c>
    </row>
    <row r="6817" spans="3:3" ht="15" customHeight="1">
      <c r="C6817" s="70" t="str">
        <f t="shared" si="108"/>
        <v/>
      </c>
    </row>
    <row r="6818" spans="3:3" ht="15" customHeight="1">
      <c r="C6818" s="70" t="str">
        <f t="shared" si="108"/>
        <v/>
      </c>
    </row>
    <row r="6819" spans="3:3" ht="15" customHeight="1">
      <c r="C6819" s="70" t="str">
        <f t="shared" si="108"/>
        <v/>
      </c>
    </row>
    <row r="6820" spans="3:3" ht="15" customHeight="1">
      <c r="C6820" s="70" t="str">
        <f t="shared" si="108"/>
        <v/>
      </c>
    </row>
    <row r="6821" spans="3:3" ht="15" customHeight="1">
      <c r="C6821" s="70" t="str">
        <f t="shared" si="108"/>
        <v/>
      </c>
    </row>
    <row r="6822" spans="3:3" ht="15" customHeight="1">
      <c r="C6822" s="70" t="str">
        <f t="shared" si="108"/>
        <v/>
      </c>
    </row>
    <row r="6823" spans="3:3" ht="15" customHeight="1">
      <c r="C6823" s="70" t="str">
        <f t="shared" si="108"/>
        <v/>
      </c>
    </row>
    <row r="6824" spans="3:3" ht="15" customHeight="1">
      <c r="C6824" s="70" t="str">
        <f t="shared" si="108"/>
        <v/>
      </c>
    </row>
    <row r="6825" spans="3:3" ht="15" customHeight="1">
      <c r="C6825" s="70" t="str">
        <f t="shared" si="108"/>
        <v/>
      </c>
    </row>
    <row r="6826" spans="3:3" ht="15" customHeight="1">
      <c r="C6826" s="70" t="str">
        <f t="shared" si="108"/>
        <v/>
      </c>
    </row>
    <row r="6827" spans="3:3" ht="15" customHeight="1">
      <c r="C6827" s="70" t="str">
        <f t="shared" si="108"/>
        <v/>
      </c>
    </row>
    <row r="6828" spans="3:3" ht="15" customHeight="1">
      <c r="C6828" s="70" t="str">
        <f t="shared" si="108"/>
        <v/>
      </c>
    </row>
    <row r="6829" spans="3:3" ht="15" customHeight="1">
      <c r="C6829" s="70" t="str">
        <f t="shared" si="108"/>
        <v/>
      </c>
    </row>
    <row r="6830" spans="3:3" ht="15" customHeight="1">
      <c r="C6830" s="70" t="str">
        <f t="shared" si="108"/>
        <v/>
      </c>
    </row>
    <row r="6831" spans="3:3" ht="15" customHeight="1">
      <c r="C6831" s="70" t="str">
        <f t="shared" si="108"/>
        <v/>
      </c>
    </row>
    <row r="6832" spans="3:3" ht="15" customHeight="1">
      <c r="C6832" s="70" t="str">
        <f t="shared" si="108"/>
        <v/>
      </c>
    </row>
    <row r="6833" spans="3:3" ht="15" customHeight="1">
      <c r="C6833" s="70" t="str">
        <f t="shared" si="108"/>
        <v/>
      </c>
    </row>
    <row r="6834" spans="3:3" ht="15" customHeight="1">
      <c r="C6834" s="70" t="str">
        <f t="shared" si="108"/>
        <v/>
      </c>
    </row>
    <row r="6835" spans="3:3" ht="15" customHeight="1">
      <c r="C6835" s="70" t="str">
        <f t="shared" si="108"/>
        <v/>
      </c>
    </row>
    <row r="6836" spans="3:3" ht="15" customHeight="1">
      <c r="C6836" s="70" t="str">
        <f t="shared" si="108"/>
        <v/>
      </c>
    </row>
    <row r="6837" spans="3:3" ht="15" customHeight="1">
      <c r="C6837" s="70" t="str">
        <f t="shared" si="108"/>
        <v/>
      </c>
    </row>
    <row r="6838" spans="3:3" ht="15" customHeight="1">
      <c r="C6838" s="70" t="str">
        <f t="shared" si="108"/>
        <v/>
      </c>
    </row>
    <row r="6839" spans="3:3" ht="15" customHeight="1">
      <c r="C6839" s="70" t="str">
        <f t="shared" si="108"/>
        <v/>
      </c>
    </row>
    <row r="6840" spans="3:3" ht="15" customHeight="1">
      <c r="C6840" s="70" t="str">
        <f t="shared" si="108"/>
        <v/>
      </c>
    </row>
    <row r="6841" spans="3:3" ht="15" customHeight="1">
      <c r="C6841" s="70" t="str">
        <f t="shared" si="108"/>
        <v/>
      </c>
    </row>
    <row r="6842" spans="3:3" ht="15" customHeight="1">
      <c r="C6842" s="70" t="str">
        <f t="shared" si="108"/>
        <v/>
      </c>
    </row>
    <row r="6843" spans="3:3" ht="15" customHeight="1">
      <c r="C6843" s="70" t="str">
        <f t="shared" si="108"/>
        <v/>
      </c>
    </row>
    <row r="6844" spans="3:3" ht="15" customHeight="1">
      <c r="C6844" s="70" t="str">
        <f t="shared" si="108"/>
        <v/>
      </c>
    </row>
    <row r="6845" spans="3:3" ht="15" customHeight="1">
      <c r="C6845" s="70" t="str">
        <f t="shared" si="108"/>
        <v/>
      </c>
    </row>
    <row r="6846" spans="3:3" ht="15" customHeight="1">
      <c r="C6846" s="70" t="str">
        <f t="shared" si="108"/>
        <v/>
      </c>
    </row>
    <row r="6847" spans="3:3" ht="15" customHeight="1">
      <c r="C6847" s="70" t="str">
        <f t="shared" si="108"/>
        <v/>
      </c>
    </row>
    <row r="6848" spans="3:3" ht="15" customHeight="1">
      <c r="C6848" s="70" t="str">
        <f t="shared" si="108"/>
        <v/>
      </c>
    </row>
    <row r="6849" spans="3:3" ht="15" customHeight="1">
      <c r="C6849" s="70" t="str">
        <f t="shared" si="108"/>
        <v/>
      </c>
    </row>
    <row r="6850" spans="3:3" ht="15" customHeight="1">
      <c r="C6850" s="70" t="str">
        <f t="shared" si="108"/>
        <v/>
      </c>
    </row>
    <row r="6851" spans="3:3" ht="15" customHeight="1">
      <c r="C6851" s="70" t="str">
        <f t="shared" si="108"/>
        <v/>
      </c>
    </row>
    <row r="6852" spans="3:3" ht="15" customHeight="1">
      <c r="C6852" s="70" t="str">
        <f t="shared" si="108"/>
        <v/>
      </c>
    </row>
    <row r="6853" spans="3:3" ht="15" customHeight="1">
      <c r="C6853" s="70" t="str">
        <f t="shared" si="108"/>
        <v/>
      </c>
    </row>
    <row r="6854" spans="3:3" ht="15" customHeight="1">
      <c r="C6854" s="70" t="str">
        <f t="shared" si="108"/>
        <v/>
      </c>
    </row>
    <row r="6855" spans="3:3" ht="15" customHeight="1">
      <c r="C6855" s="70" t="str">
        <f t="shared" si="108"/>
        <v/>
      </c>
    </row>
    <row r="6856" spans="3:3" ht="15" customHeight="1">
      <c r="C6856" s="70" t="str">
        <f t="shared" si="108"/>
        <v/>
      </c>
    </row>
    <row r="6857" spans="3:3" ht="15" customHeight="1">
      <c r="C6857" s="70" t="str">
        <f t="shared" si="108"/>
        <v/>
      </c>
    </row>
    <row r="6858" spans="3:3" ht="15" customHeight="1">
      <c r="C6858" s="70" t="str">
        <f t="shared" si="108"/>
        <v/>
      </c>
    </row>
    <row r="6859" spans="3:3" ht="15" customHeight="1">
      <c r="C6859" s="70" t="str">
        <f t="shared" si="108"/>
        <v/>
      </c>
    </row>
    <row r="6860" spans="3:3" ht="15" customHeight="1">
      <c r="C6860" s="70" t="str">
        <f t="shared" si="108"/>
        <v/>
      </c>
    </row>
    <row r="6861" spans="3:3" ht="15" customHeight="1">
      <c r="C6861" s="70" t="str">
        <f t="shared" si="108"/>
        <v/>
      </c>
    </row>
    <row r="6862" spans="3:3" ht="15" customHeight="1">
      <c r="C6862" s="70" t="str">
        <f t="shared" si="108"/>
        <v/>
      </c>
    </row>
    <row r="6863" spans="3:3" ht="15" customHeight="1">
      <c r="C6863" s="70" t="str">
        <f t="shared" si="108"/>
        <v/>
      </c>
    </row>
    <row r="6864" spans="3:3" ht="15" customHeight="1">
      <c r="C6864" s="70" t="str">
        <f t="shared" si="108"/>
        <v/>
      </c>
    </row>
    <row r="6865" spans="3:3" ht="15" customHeight="1">
      <c r="C6865" s="70" t="str">
        <f t="shared" ref="C6865:C6928" si="109">IF(B6865&lt;&gt;"",TEXT(WEEKDAY(B6865),"dddd"),"")</f>
        <v/>
      </c>
    </row>
    <row r="6866" spans="3:3" ht="15" customHeight="1">
      <c r="C6866" s="70" t="str">
        <f t="shared" si="109"/>
        <v/>
      </c>
    </row>
    <row r="6867" spans="3:3" ht="15" customHeight="1">
      <c r="C6867" s="70" t="str">
        <f t="shared" si="109"/>
        <v/>
      </c>
    </row>
    <row r="6868" spans="3:3" ht="15" customHeight="1">
      <c r="C6868" s="70" t="str">
        <f t="shared" si="109"/>
        <v/>
      </c>
    </row>
    <row r="6869" spans="3:3" ht="15" customHeight="1">
      <c r="C6869" s="70" t="str">
        <f t="shared" si="109"/>
        <v/>
      </c>
    </row>
    <row r="6870" spans="3:3" ht="15" customHeight="1">
      <c r="C6870" s="70" t="str">
        <f t="shared" si="109"/>
        <v/>
      </c>
    </row>
    <row r="6871" spans="3:3" ht="15" customHeight="1">
      <c r="C6871" s="70" t="str">
        <f t="shared" si="109"/>
        <v/>
      </c>
    </row>
    <row r="6872" spans="3:3" ht="15" customHeight="1">
      <c r="C6872" s="70" t="str">
        <f t="shared" si="109"/>
        <v/>
      </c>
    </row>
    <row r="6873" spans="3:3" ht="15" customHeight="1">
      <c r="C6873" s="70" t="str">
        <f t="shared" si="109"/>
        <v/>
      </c>
    </row>
    <row r="6874" spans="3:3" ht="15" customHeight="1">
      <c r="C6874" s="70" t="str">
        <f t="shared" si="109"/>
        <v/>
      </c>
    </row>
    <row r="6875" spans="3:3" ht="15" customHeight="1">
      <c r="C6875" s="70" t="str">
        <f t="shared" si="109"/>
        <v/>
      </c>
    </row>
    <row r="6876" spans="3:3" ht="15" customHeight="1">
      <c r="C6876" s="70" t="str">
        <f t="shared" si="109"/>
        <v/>
      </c>
    </row>
    <row r="6877" spans="3:3" ht="15" customHeight="1">
      <c r="C6877" s="70" t="str">
        <f t="shared" si="109"/>
        <v/>
      </c>
    </row>
    <row r="6878" spans="3:3" ht="15" customHeight="1">
      <c r="C6878" s="70" t="str">
        <f t="shared" si="109"/>
        <v/>
      </c>
    </row>
    <row r="6879" spans="3:3" ht="15" customHeight="1">
      <c r="C6879" s="70" t="str">
        <f t="shared" si="109"/>
        <v/>
      </c>
    </row>
    <row r="6880" spans="3:3" ht="15" customHeight="1">
      <c r="C6880" s="70" t="str">
        <f t="shared" si="109"/>
        <v/>
      </c>
    </row>
    <row r="6881" spans="3:3" ht="15" customHeight="1">
      <c r="C6881" s="70" t="str">
        <f t="shared" si="109"/>
        <v/>
      </c>
    </row>
    <row r="6882" spans="3:3" ht="15" customHeight="1">
      <c r="C6882" s="70" t="str">
        <f t="shared" si="109"/>
        <v/>
      </c>
    </row>
    <row r="6883" spans="3:3" ht="15" customHeight="1">
      <c r="C6883" s="70" t="str">
        <f t="shared" si="109"/>
        <v/>
      </c>
    </row>
    <row r="6884" spans="3:3" ht="15" customHeight="1">
      <c r="C6884" s="70" t="str">
        <f t="shared" si="109"/>
        <v/>
      </c>
    </row>
    <row r="6885" spans="3:3" ht="15" customHeight="1">
      <c r="C6885" s="70" t="str">
        <f t="shared" si="109"/>
        <v/>
      </c>
    </row>
    <row r="6886" spans="3:3" ht="15" customHeight="1">
      <c r="C6886" s="70" t="str">
        <f t="shared" si="109"/>
        <v/>
      </c>
    </row>
    <row r="6887" spans="3:3" ht="15" customHeight="1">
      <c r="C6887" s="70" t="str">
        <f t="shared" si="109"/>
        <v/>
      </c>
    </row>
    <row r="6888" spans="3:3" ht="15" customHeight="1">
      <c r="C6888" s="70" t="str">
        <f t="shared" si="109"/>
        <v/>
      </c>
    </row>
    <row r="6889" spans="3:3" ht="15" customHeight="1">
      <c r="C6889" s="70" t="str">
        <f t="shared" si="109"/>
        <v/>
      </c>
    </row>
    <row r="6890" spans="3:3" ht="15" customHeight="1">
      <c r="C6890" s="70" t="str">
        <f t="shared" si="109"/>
        <v/>
      </c>
    </row>
    <row r="6891" spans="3:3" ht="15" customHeight="1">
      <c r="C6891" s="70" t="str">
        <f t="shared" si="109"/>
        <v/>
      </c>
    </row>
    <row r="6892" spans="3:3" ht="15" customHeight="1">
      <c r="C6892" s="70" t="str">
        <f t="shared" si="109"/>
        <v/>
      </c>
    </row>
    <row r="6893" spans="3:3" ht="15" customHeight="1">
      <c r="C6893" s="70" t="str">
        <f t="shared" si="109"/>
        <v/>
      </c>
    </row>
    <row r="6894" spans="3:3" ht="15" customHeight="1">
      <c r="C6894" s="70" t="str">
        <f t="shared" si="109"/>
        <v/>
      </c>
    </row>
    <row r="6895" spans="3:3" ht="15" customHeight="1">
      <c r="C6895" s="70" t="str">
        <f t="shared" si="109"/>
        <v/>
      </c>
    </row>
    <row r="6896" spans="3:3" ht="15" customHeight="1">
      <c r="C6896" s="70" t="str">
        <f t="shared" si="109"/>
        <v/>
      </c>
    </row>
    <row r="6897" spans="3:3" ht="15" customHeight="1">
      <c r="C6897" s="70" t="str">
        <f t="shared" si="109"/>
        <v/>
      </c>
    </row>
    <row r="6898" spans="3:3" ht="15" customHeight="1">
      <c r="C6898" s="70" t="str">
        <f t="shared" si="109"/>
        <v/>
      </c>
    </row>
    <row r="6899" spans="3:3" ht="15" customHeight="1">
      <c r="C6899" s="70" t="str">
        <f t="shared" si="109"/>
        <v/>
      </c>
    </row>
    <row r="6900" spans="3:3" ht="15" customHeight="1">
      <c r="C6900" s="70" t="str">
        <f t="shared" si="109"/>
        <v/>
      </c>
    </row>
    <row r="6901" spans="3:3" ht="15" customHeight="1">
      <c r="C6901" s="70" t="str">
        <f t="shared" si="109"/>
        <v/>
      </c>
    </row>
    <row r="6902" spans="3:3" ht="15" customHeight="1">
      <c r="C6902" s="70" t="str">
        <f t="shared" si="109"/>
        <v/>
      </c>
    </row>
    <row r="6903" spans="3:3" ht="15" customHeight="1">
      <c r="C6903" s="70" t="str">
        <f t="shared" si="109"/>
        <v/>
      </c>
    </row>
    <row r="6904" spans="3:3" ht="15" customHeight="1">
      <c r="C6904" s="70" t="str">
        <f t="shared" si="109"/>
        <v/>
      </c>
    </row>
    <row r="6905" spans="3:3" ht="15" customHeight="1">
      <c r="C6905" s="70" t="str">
        <f t="shared" si="109"/>
        <v/>
      </c>
    </row>
    <row r="6906" spans="3:3" ht="15" customHeight="1">
      <c r="C6906" s="70" t="str">
        <f t="shared" si="109"/>
        <v/>
      </c>
    </row>
    <row r="6907" spans="3:3" ht="15" customHeight="1">
      <c r="C6907" s="70" t="str">
        <f t="shared" si="109"/>
        <v/>
      </c>
    </row>
    <row r="6908" spans="3:3" ht="15" customHeight="1">
      <c r="C6908" s="70" t="str">
        <f t="shared" si="109"/>
        <v/>
      </c>
    </row>
    <row r="6909" spans="3:3" ht="15" customHeight="1">
      <c r="C6909" s="70" t="str">
        <f t="shared" si="109"/>
        <v/>
      </c>
    </row>
    <row r="6910" spans="3:3" ht="15" customHeight="1">
      <c r="C6910" s="70" t="str">
        <f t="shared" si="109"/>
        <v/>
      </c>
    </row>
    <row r="6911" spans="3:3" ht="15" customHeight="1">
      <c r="C6911" s="70" t="str">
        <f t="shared" si="109"/>
        <v/>
      </c>
    </row>
    <row r="6912" spans="3:3" ht="15" customHeight="1">
      <c r="C6912" s="70" t="str">
        <f t="shared" si="109"/>
        <v/>
      </c>
    </row>
    <row r="6913" spans="3:3" ht="15" customHeight="1">
      <c r="C6913" s="70" t="str">
        <f t="shared" si="109"/>
        <v/>
      </c>
    </row>
    <row r="6914" spans="3:3" ht="15" customHeight="1">
      <c r="C6914" s="70" t="str">
        <f t="shared" si="109"/>
        <v/>
      </c>
    </row>
    <row r="6915" spans="3:3" ht="15" customHeight="1">
      <c r="C6915" s="70" t="str">
        <f t="shared" si="109"/>
        <v/>
      </c>
    </row>
    <row r="6916" spans="3:3" ht="15" customHeight="1">
      <c r="C6916" s="70" t="str">
        <f t="shared" si="109"/>
        <v/>
      </c>
    </row>
    <row r="6917" spans="3:3" ht="15" customHeight="1">
      <c r="C6917" s="70" t="str">
        <f t="shared" si="109"/>
        <v/>
      </c>
    </row>
    <row r="6918" spans="3:3" ht="15" customHeight="1">
      <c r="C6918" s="70" t="str">
        <f t="shared" si="109"/>
        <v/>
      </c>
    </row>
    <row r="6919" spans="3:3" ht="15" customHeight="1">
      <c r="C6919" s="70" t="str">
        <f t="shared" si="109"/>
        <v/>
      </c>
    </row>
    <row r="6920" spans="3:3" ht="15" customHeight="1">
      <c r="C6920" s="70" t="str">
        <f t="shared" si="109"/>
        <v/>
      </c>
    </row>
    <row r="6921" spans="3:3" ht="15" customHeight="1">
      <c r="C6921" s="70" t="str">
        <f t="shared" si="109"/>
        <v/>
      </c>
    </row>
    <row r="6922" spans="3:3" ht="15" customHeight="1">
      <c r="C6922" s="70" t="str">
        <f t="shared" si="109"/>
        <v/>
      </c>
    </row>
    <row r="6923" spans="3:3" ht="15" customHeight="1">
      <c r="C6923" s="70" t="str">
        <f t="shared" si="109"/>
        <v/>
      </c>
    </row>
    <row r="6924" spans="3:3" ht="15" customHeight="1">
      <c r="C6924" s="70" t="str">
        <f t="shared" si="109"/>
        <v/>
      </c>
    </row>
    <row r="6925" spans="3:3" ht="15" customHeight="1">
      <c r="C6925" s="70" t="str">
        <f t="shared" si="109"/>
        <v/>
      </c>
    </row>
    <row r="6926" spans="3:3" ht="15" customHeight="1">
      <c r="C6926" s="70" t="str">
        <f t="shared" si="109"/>
        <v/>
      </c>
    </row>
    <row r="6927" spans="3:3" ht="15" customHeight="1">
      <c r="C6927" s="70" t="str">
        <f t="shared" si="109"/>
        <v/>
      </c>
    </row>
    <row r="6928" spans="3:3" ht="15" customHeight="1">
      <c r="C6928" s="70" t="str">
        <f t="shared" si="109"/>
        <v/>
      </c>
    </row>
    <row r="6929" spans="3:3" ht="15" customHeight="1">
      <c r="C6929" s="70" t="str">
        <f t="shared" ref="C6929:C6992" si="110">IF(B6929&lt;&gt;"",TEXT(WEEKDAY(B6929),"dddd"),"")</f>
        <v/>
      </c>
    </row>
    <row r="6930" spans="3:3" ht="15" customHeight="1">
      <c r="C6930" s="70" t="str">
        <f t="shared" si="110"/>
        <v/>
      </c>
    </row>
    <row r="6931" spans="3:3" ht="15" customHeight="1">
      <c r="C6931" s="70" t="str">
        <f t="shared" si="110"/>
        <v/>
      </c>
    </row>
    <row r="6932" spans="3:3" ht="15" customHeight="1">
      <c r="C6932" s="70" t="str">
        <f t="shared" si="110"/>
        <v/>
      </c>
    </row>
    <row r="6933" spans="3:3" ht="15" customHeight="1">
      <c r="C6933" s="70" t="str">
        <f t="shared" si="110"/>
        <v/>
      </c>
    </row>
    <row r="6934" spans="3:3" ht="15" customHeight="1">
      <c r="C6934" s="70" t="str">
        <f t="shared" si="110"/>
        <v/>
      </c>
    </row>
    <row r="6935" spans="3:3" ht="15" customHeight="1">
      <c r="C6935" s="70" t="str">
        <f t="shared" si="110"/>
        <v/>
      </c>
    </row>
    <row r="6936" spans="3:3" ht="15" customHeight="1">
      <c r="C6936" s="70" t="str">
        <f t="shared" si="110"/>
        <v/>
      </c>
    </row>
    <row r="6937" spans="3:3" ht="15" customHeight="1">
      <c r="C6937" s="70" t="str">
        <f t="shared" si="110"/>
        <v/>
      </c>
    </row>
    <row r="6938" spans="3:3" ht="15" customHeight="1">
      <c r="C6938" s="70" t="str">
        <f t="shared" si="110"/>
        <v/>
      </c>
    </row>
    <row r="6939" spans="3:3" ht="15" customHeight="1">
      <c r="C6939" s="70" t="str">
        <f t="shared" si="110"/>
        <v/>
      </c>
    </row>
    <row r="6940" spans="3:3" ht="15" customHeight="1">
      <c r="C6940" s="70" t="str">
        <f t="shared" si="110"/>
        <v/>
      </c>
    </row>
    <row r="6941" spans="3:3" ht="15" customHeight="1">
      <c r="C6941" s="70" t="str">
        <f t="shared" si="110"/>
        <v/>
      </c>
    </row>
    <row r="6942" spans="3:3" ht="15" customHeight="1">
      <c r="C6942" s="70" t="str">
        <f t="shared" si="110"/>
        <v/>
      </c>
    </row>
    <row r="6943" spans="3:3" ht="15" customHeight="1">
      <c r="C6943" s="70" t="str">
        <f t="shared" si="110"/>
        <v/>
      </c>
    </row>
    <row r="6944" spans="3:3" ht="15" customHeight="1">
      <c r="C6944" s="70" t="str">
        <f t="shared" si="110"/>
        <v/>
      </c>
    </row>
    <row r="6945" spans="3:3" ht="15" customHeight="1">
      <c r="C6945" s="70" t="str">
        <f t="shared" si="110"/>
        <v/>
      </c>
    </row>
    <row r="6946" spans="3:3" ht="15" customHeight="1">
      <c r="C6946" s="70" t="str">
        <f t="shared" si="110"/>
        <v/>
      </c>
    </row>
    <row r="6947" spans="3:3" ht="15" customHeight="1">
      <c r="C6947" s="70" t="str">
        <f t="shared" si="110"/>
        <v/>
      </c>
    </row>
    <row r="6948" spans="3:3" ht="15" customHeight="1">
      <c r="C6948" s="70" t="str">
        <f t="shared" si="110"/>
        <v/>
      </c>
    </row>
    <row r="6949" spans="3:3" ht="15" customHeight="1">
      <c r="C6949" s="70" t="str">
        <f t="shared" si="110"/>
        <v/>
      </c>
    </row>
    <row r="6950" spans="3:3" ht="15" customHeight="1">
      <c r="C6950" s="70" t="str">
        <f t="shared" si="110"/>
        <v/>
      </c>
    </row>
    <row r="6951" spans="3:3" ht="15" customHeight="1">
      <c r="C6951" s="70" t="str">
        <f t="shared" si="110"/>
        <v/>
      </c>
    </row>
    <row r="6952" spans="3:3" ht="15" customHeight="1">
      <c r="C6952" s="70" t="str">
        <f t="shared" si="110"/>
        <v/>
      </c>
    </row>
    <row r="6953" spans="3:3" ht="15" customHeight="1">
      <c r="C6953" s="70" t="str">
        <f t="shared" si="110"/>
        <v/>
      </c>
    </row>
    <row r="6954" spans="3:3" ht="15" customHeight="1">
      <c r="C6954" s="70" t="str">
        <f t="shared" si="110"/>
        <v/>
      </c>
    </row>
    <row r="6955" spans="3:3" ht="15" customHeight="1">
      <c r="C6955" s="70" t="str">
        <f t="shared" si="110"/>
        <v/>
      </c>
    </row>
    <row r="6956" spans="3:3" ht="15" customHeight="1">
      <c r="C6956" s="70" t="str">
        <f t="shared" si="110"/>
        <v/>
      </c>
    </row>
    <row r="6957" spans="3:3" ht="15" customHeight="1">
      <c r="C6957" s="70" t="str">
        <f t="shared" si="110"/>
        <v/>
      </c>
    </row>
    <row r="6958" spans="3:3" ht="15" customHeight="1">
      <c r="C6958" s="70" t="str">
        <f t="shared" si="110"/>
        <v/>
      </c>
    </row>
    <row r="6959" spans="3:3" ht="15" customHeight="1">
      <c r="C6959" s="70" t="str">
        <f t="shared" si="110"/>
        <v/>
      </c>
    </row>
    <row r="6960" spans="3:3" ht="15" customHeight="1">
      <c r="C6960" s="70" t="str">
        <f t="shared" si="110"/>
        <v/>
      </c>
    </row>
    <row r="6961" spans="3:3" ht="15" customHeight="1">
      <c r="C6961" s="70" t="str">
        <f t="shared" si="110"/>
        <v/>
      </c>
    </row>
    <row r="6962" spans="3:3" ht="15" customHeight="1">
      <c r="C6962" s="70" t="str">
        <f t="shared" si="110"/>
        <v/>
      </c>
    </row>
    <row r="6963" spans="3:3" ht="15" customHeight="1">
      <c r="C6963" s="70" t="str">
        <f t="shared" si="110"/>
        <v/>
      </c>
    </row>
    <row r="6964" spans="3:3" ht="15" customHeight="1">
      <c r="C6964" s="70" t="str">
        <f t="shared" si="110"/>
        <v/>
      </c>
    </row>
    <row r="6965" spans="3:3" ht="15" customHeight="1">
      <c r="C6965" s="70" t="str">
        <f t="shared" si="110"/>
        <v/>
      </c>
    </row>
    <row r="6966" spans="3:3" ht="15" customHeight="1">
      <c r="C6966" s="70" t="str">
        <f t="shared" si="110"/>
        <v/>
      </c>
    </row>
    <row r="6967" spans="3:3" ht="15" customHeight="1">
      <c r="C6967" s="70" t="str">
        <f t="shared" si="110"/>
        <v/>
      </c>
    </row>
    <row r="6968" spans="3:3" ht="15" customHeight="1">
      <c r="C6968" s="70" t="str">
        <f t="shared" si="110"/>
        <v/>
      </c>
    </row>
    <row r="6969" spans="3:3" ht="15" customHeight="1">
      <c r="C6969" s="70" t="str">
        <f t="shared" si="110"/>
        <v/>
      </c>
    </row>
    <row r="6970" spans="3:3" ht="15" customHeight="1">
      <c r="C6970" s="70" t="str">
        <f t="shared" si="110"/>
        <v/>
      </c>
    </row>
    <row r="6971" spans="3:3" ht="15" customHeight="1">
      <c r="C6971" s="70" t="str">
        <f t="shared" si="110"/>
        <v/>
      </c>
    </row>
    <row r="6972" spans="3:3" ht="15" customHeight="1">
      <c r="C6972" s="70" t="str">
        <f t="shared" si="110"/>
        <v/>
      </c>
    </row>
    <row r="6973" spans="3:3" ht="15" customHeight="1">
      <c r="C6973" s="70" t="str">
        <f t="shared" si="110"/>
        <v/>
      </c>
    </row>
    <row r="6974" spans="3:3" ht="15" customHeight="1">
      <c r="C6974" s="70" t="str">
        <f t="shared" si="110"/>
        <v/>
      </c>
    </row>
    <row r="6975" spans="3:3" ht="15" customHeight="1">
      <c r="C6975" s="70" t="str">
        <f t="shared" si="110"/>
        <v/>
      </c>
    </row>
    <row r="6976" spans="3:3" ht="15" customHeight="1">
      <c r="C6976" s="70" t="str">
        <f t="shared" si="110"/>
        <v/>
      </c>
    </row>
    <row r="6977" spans="3:3" ht="15" customHeight="1">
      <c r="C6977" s="70" t="str">
        <f t="shared" si="110"/>
        <v/>
      </c>
    </row>
    <row r="6978" spans="3:3" ht="15" customHeight="1">
      <c r="C6978" s="70" t="str">
        <f t="shared" si="110"/>
        <v/>
      </c>
    </row>
    <row r="6979" spans="3:3" ht="15" customHeight="1">
      <c r="C6979" s="70" t="str">
        <f t="shared" si="110"/>
        <v/>
      </c>
    </row>
    <row r="6980" spans="3:3" ht="15" customHeight="1">
      <c r="C6980" s="70" t="str">
        <f t="shared" si="110"/>
        <v/>
      </c>
    </row>
    <row r="6981" spans="3:3" ht="15" customHeight="1">
      <c r="C6981" s="70" t="str">
        <f t="shared" si="110"/>
        <v/>
      </c>
    </row>
    <row r="6982" spans="3:3" ht="15" customHeight="1">
      <c r="C6982" s="70" t="str">
        <f t="shared" si="110"/>
        <v/>
      </c>
    </row>
    <row r="6983" spans="3:3" ht="15" customHeight="1">
      <c r="C6983" s="70" t="str">
        <f t="shared" si="110"/>
        <v/>
      </c>
    </row>
    <row r="6984" spans="3:3" ht="15" customHeight="1">
      <c r="C6984" s="70" t="str">
        <f t="shared" si="110"/>
        <v/>
      </c>
    </row>
    <row r="6985" spans="3:3" ht="15" customHeight="1">
      <c r="C6985" s="70" t="str">
        <f t="shared" si="110"/>
        <v/>
      </c>
    </row>
    <row r="6986" spans="3:3" ht="15" customHeight="1">
      <c r="C6986" s="70" t="str">
        <f t="shared" si="110"/>
        <v/>
      </c>
    </row>
    <row r="6987" spans="3:3" ht="15" customHeight="1">
      <c r="C6987" s="70" t="str">
        <f t="shared" si="110"/>
        <v/>
      </c>
    </row>
    <row r="6988" spans="3:3" ht="15" customHeight="1">
      <c r="C6988" s="70" t="str">
        <f t="shared" si="110"/>
        <v/>
      </c>
    </row>
    <row r="6989" spans="3:3" ht="15" customHeight="1">
      <c r="C6989" s="70" t="str">
        <f t="shared" si="110"/>
        <v/>
      </c>
    </row>
    <row r="6990" spans="3:3" ht="15" customHeight="1">
      <c r="C6990" s="70" t="str">
        <f t="shared" si="110"/>
        <v/>
      </c>
    </row>
    <row r="6991" spans="3:3" ht="15" customHeight="1">
      <c r="C6991" s="70" t="str">
        <f t="shared" si="110"/>
        <v/>
      </c>
    </row>
    <row r="6992" spans="3:3" ht="15" customHeight="1">
      <c r="C6992" s="70" t="str">
        <f t="shared" si="110"/>
        <v/>
      </c>
    </row>
    <row r="6993" spans="3:3" ht="15" customHeight="1">
      <c r="C6993" s="70" t="str">
        <f t="shared" ref="C6993:C7056" si="111">IF(B6993&lt;&gt;"",TEXT(WEEKDAY(B6993),"dddd"),"")</f>
        <v/>
      </c>
    </row>
    <row r="6994" spans="3:3" ht="15" customHeight="1">
      <c r="C6994" s="70" t="str">
        <f t="shared" si="111"/>
        <v/>
      </c>
    </row>
    <row r="6995" spans="3:3" ht="15" customHeight="1">
      <c r="C6995" s="70" t="str">
        <f t="shared" si="111"/>
        <v/>
      </c>
    </row>
    <row r="6996" spans="3:3" ht="15" customHeight="1">
      <c r="C6996" s="70" t="str">
        <f t="shared" si="111"/>
        <v/>
      </c>
    </row>
    <row r="6997" spans="3:3" ht="15" customHeight="1">
      <c r="C6997" s="70" t="str">
        <f t="shared" si="111"/>
        <v/>
      </c>
    </row>
    <row r="6998" spans="3:3" ht="15" customHeight="1">
      <c r="C6998" s="70" t="str">
        <f t="shared" si="111"/>
        <v/>
      </c>
    </row>
    <row r="6999" spans="3:3" ht="15" customHeight="1">
      <c r="C6999" s="70" t="str">
        <f t="shared" si="111"/>
        <v/>
      </c>
    </row>
    <row r="7000" spans="3:3" ht="15" customHeight="1">
      <c r="C7000" s="70" t="str">
        <f t="shared" si="111"/>
        <v/>
      </c>
    </row>
    <row r="7001" spans="3:3" ht="15" customHeight="1">
      <c r="C7001" s="70" t="str">
        <f t="shared" si="111"/>
        <v/>
      </c>
    </row>
    <row r="7002" spans="3:3" ht="15" customHeight="1">
      <c r="C7002" s="70" t="str">
        <f t="shared" si="111"/>
        <v/>
      </c>
    </row>
    <row r="7003" spans="3:3" ht="15" customHeight="1">
      <c r="C7003" s="70" t="str">
        <f t="shared" si="111"/>
        <v/>
      </c>
    </row>
    <row r="7004" spans="3:3" ht="15" customHeight="1">
      <c r="C7004" s="70" t="str">
        <f t="shared" si="111"/>
        <v/>
      </c>
    </row>
    <row r="7005" spans="3:3" ht="15" customHeight="1">
      <c r="C7005" s="70" t="str">
        <f t="shared" si="111"/>
        <v/>
      </c>
    </row>
    <row r="7006" spans="3:3" ht="15" customHeight="1">
      <c r="C7006" s="70" t="str">
        <f t="shared" si="111"/>
        <v/>
      </c>
    </row>
    <row r="7007" spans="3:3" ht="15" customHeight="1">
      <c r="C7007" s="70" t="str">
        <f t="shared" si="111"/>
        <v/>
      </c>
    </row>
    <row r="7008" spans="3:3" ht="15" customHeight="1">
      <c r="C7008" s="70" t="str">
        <f t="shared" si="111"/>
        <v/>
      </c>
    </row>
    <row r="7009" spans="3:3" ht="15" customHeight="1">
      <c r="C7009" s="70" t="str">
        <f t="shared" si="111"/>
        <v/>
      </c>
    </row>
    <row r="7010" spans="3:3" ht="15" customHeight="1">
      <c r="C7010" s="70" t="str">
        <f t="shared" si="111"/>
        <v/>
      </c>
    </row>
    <row r="7011" spans="3:3" ht="15" customHeight="1">
      <c r="C7011" s="70" t="str">
        <f t="shared" si="111"/>
        <v/>
      </c>
    </row>
    <row r="7012" spans="3:3" ht="15" customHeight="1">
      <c r="C7012" s="70" t="str">
        <f t="shared" si="111"/>
        <v/>
      </c>
    </row>
    <row r="7013" spans="3:3" ht="15" customHeight="1">
      <c r="C7013" s="70" t="str">
        <f t="shared" si="111"/>
        <v/>
      </c>
    </row>
    <row r="7014" spans="3:3" ht="15" customHeight="1">
      <c r="C7014" s="70" t="str">
        <f t="shared" si="111"/>
        <v/>
      </c>
    </row>
    <row r="7015" spans="3:3" ht="15" customHeight="1">
      <c r="C7015" s="70" t="str">
        <f t="shared" si="111"/>
        <v/>
      </c>
    </row>
    <row r="7016" spans="3:3" ht="15" customHeight="1">
      <c r="C7016" s="70" t="str">
        <f t="shared" si="111"/>
        <v/>
      </c>
    </row>
    <row r="7017" spans="3:3" ht="15" customHeight="1">
      <c r="C7017" s="70" t="str">
        <f t="shared" si="111"/>
        <v/>
      </c>
    </row>
    <row r="7018" spans="3:3" ht="15" customHeight="1">
      <c r="C7018" s="70" t="str">
        <f t="shared" si="111"/>
        <v/>
      </c>
    </row>
    <row r="7019" spans="3:3" ht="15" customHeight="1">
      <c r="C7019" s="70" t="str">
        <f t="shared" si="111"/>
        <v/>
      </c>
    </row>
    <row r="7020" spans="3:3" ht="15" customHeight="1">
      <c r="C7020" s="70" t="str">
        <f t="shared" si="111"/>
        <v/>
      </c>
    </row>
    <row r="7021" spans="3:3" ht="15" customHeight="1">
      <c r="C7021" s="70" t="str">
        <f t="shared" si="111"/>
        <v/>
      </c>
    </row>
    <row r="7022" spans="3:3" ht="15" customHeight="1">
      <c r="C7022" s="70" t="str">
        <f t="shared" si="111"/>
        <v/>
      </c>
    </row>
    <row r="7023" spans="3:3" ht="15" customHeight="1">
      <c r="C7023" s="70" t="str">
        <f t="shared" si="111"/>
        <v/>
      </c>
    </row>
    <row r="7024" spans="3:3" ht="15" customHeight="1">
      <c r="C7024" s="70" t="str">
        <f t="shared" si="111"/>
        <v/>
      </c>
    </row>
    <row r="7025" spans="3:3" ht="15" customHeight="1">
      <c r="C7025" s="70" t="str">
        <f t="shared" si="111"/>
        <v/>
      </c>
    </row>
    <row r="7026" spans="3:3" ht="15" customHeight="1">
      <c r="C7026" s="70" t="str">
        <f t="shared" si="111"/>
        <v/>
      </c>
    </row>
    <row r="7027" spans="3:3" ht="15" customHeight="1">
      <c r="C7027" s="70" t="str">
        <f t="shared" si="111"/>
        <v/>
      </c>
    </row>
    <row r="7028" spans="3:3" ht="15" customHeight="1">
      <c r="C7028" s="70" t="str">
        <f t="shared" si="111"/>
        <v/>
      </c>
    </row>
    <row r="7029" spans="3:3" ht="15" customHeight="1">
      <c r="C7029" s="70" t="str">
        <f t="shared" si="111"/>
        <v/>
      </c>
    </row>
    <row r="7030" spans="3:3" ht="15" customHeight="1">
      <c r="C7030" s="70" t="str">
        <f t="shared" si="111"/>
        <v/>
      </c>
    </row>
    <row r="7031" spans="3:3" ht="15" customHeight="1">
      <c r="C7031" s="70" t="str">
        <f t="shared" si="111"/>
        <v/>
      </c>
    </row>
    <row r="7032" spans="3:3" ht="15" customHeight="1">
      <c r="C7032" s="70" t="str">
        <f t="shared" si="111"/>
        <v/>
      </c>
    </row>
    <row r="7033" spans="3:3" ht="15" customHeight="1">
      <c r="C7033" s="70" t="str">
        <f t="shared" si="111"/>
        <v/>
      </c>
    </row>
    <row r="7034" spans="3:3" ht="15" customHeight="1">
      <c r="C7034" s="70" t="str">
        <f t="shared" si="111"/>
        <v/>
      </c>
    </row>
    <row r="7035" spans="3:3" ht="15" customHeight="1">
      <c r="C7035" s="70" t="str">
        <f t="shared" si="111"/>
        <v/>
      </c>
    </row>
    <row r="7036" spans="3:3" ht="15" customHeight="1">
      <c r="C7036" s="70" t="str">
        <f t="shared" si="111"/>
        <v/>
      </c>
    </row>
    <row r="7037" spans="3:3" ht="15" customHeight="1">
      <c r="C7037" s="70" t="str">
        <f t="shared" si="111"/>
        <v/>
      </c>
    </row>
    <row r="7038" spans="3:3" ht="15" customHeight="1">
      <c r="C7038" s="70" t="str">
        <f t="shared" si="111"/>
        <v/>
      </c>
    </row>
    <row r="7039" spans="3:3" ht="15" customHeight="1">
      <c r="C7039" s="70" t="str">
        <f t="shared" si="111"/>
        <v/>
      </c>
    </row>
    <row r="7040" spans="3:3" ht="15" customHeight="1">
      <c r="C7040" s="70" t="str">
        <f t="shared" si="111"/>
        <v/>
      </c>
    </row>
    <row r="7041" spans="3:3" ht="15" customHeight="1">
      <c r="C7041" s="70" t="str">
        <f t="shared" si="111"/>
        <v/>
      </c>
    </row>
    <row r="7042" spans="3:3" ht="15" customHeight="1">
      <c r="C7042" s="70" t="str">
        <f t="shared" si="111"/>
        <v/>
      </c>
    </row>
    <row r="7043" spans="3:3" ht="15" customHeight="1">
      <c r="C7043" s="70" t="str">
        <f t="shared" si="111"/>
        <v/>
      </c>
    </row>
    <row r="7044" spans="3:3" ht="15" customHeight="1">
      <c r="C7044" s="70" t="str">
        <f t="shared" si="111"/>
        <v/>
      </c>
    </row>
    <row r="7045" spans="3:3" ht="15" customHeight="1">
      <c r="C7045" s="70" t="str">
        <f t="shared" si="111"/>
        <v/>
      </c>
    </row>
    <row r="7046" spans="3:3" ht="15" customHeight="1">
      <c r="C7046" s="70" t="str">
        <f t="shared" si="111"/>
        <v/>
      </c>
    </row>
    <row r="7047" spans="3:3" ht="15" customHeight="1">
      <c r="C7047" s="70" t="str">
        <f t="shared" si="111"/>
        <v/>
      </c>
    </row>
    <row r="7048" spans="3:3" ht="15" customHeight="1">
      <c r="C7048" s="70" t="str">
        <f t="shared" si="111"/>
        <v/>
      </c>
    </row>
    <row r="7049" spans="3:3" ht="15" customHeight="1">
      <c r="C7049" s="70" t="str">
        <f t="shared" si="111"/>
        <v/>
      </c>
    </row>
    <row r="7050" spans="3:3" ht="15" customHeight="1">
      <c r="C7050" s="70" t="str">
        <f t="shared" si="111"/>
        <v/>
      </c>
    </row>
    <row r="7051" spans="3:3" ht="15" customHeight="1">
      <c r="C7051" s="70" t="str">
        <f t="shared" si="111"/>
        <v/>
      </c>
    </row>
    <row r="7052" spans="3:3" ht="15" customHeight="1">
      <c r="C7052" s="70" t="str">
        <f t="shared" si="111"/>
        <v/>
      </c>
    </row>
    <row r="7053" spans="3:3" ht="15" customHeight="1">
      <c r="C7053" s="70" t="str">
        <f t="shared" si="111"/>
        <v/>
      </c>
    </row>
    <row r="7054" spans="3:3" ht="15" customHeight="1">
      <c r="C7054" s="70" t="str">
        <f t="shared" si="111"/>
        <v/>
      </c>
    </row>
    <row r="7055" spans="3:3" ht="15" customHeight="1">
      <c r="C7055" s="70" t="str">
        <f t="shared" si="111"/>
        <v/>
      </c>
    </row>
    <row r="7056" spans="3:3" ht="15" customHeight="1">
      <c r="C7056" s="70" t="str">
        <f t="shared" si="111"/>
        <v/>
      </c>
    </row>
    <row r="7057" spans="3:3" ht="15" customHeight="1">
      <c r="C7057" s="70" t="str">
        <f t="shared" ref="C7057:C7120" si="112">IF(B7057&lt;&gt;"",TEXT(WEEKDAY(B7057),"dddd"),"")</f>
        <v/>
      </c>
    </row>
    <row r="7058" spans="3:3" ht="15" customHeight="1">
      <c r="C7058" s="70" t="str">
        <f t="shared" si="112"/>
        <v/>
      </c>
    </row>
    <row r="7059" spans="3:3" ht="15" customHeight="1">
      <c r="C7059" s="70" t="str">
        <f t="shared" si="112"/>
        <v/>
      </c>
    </row>
    <row r="7060" spans="3:3" ht="15" customHeight="1">
      <c r="C7060" s="70" t="str">
        <f t="shared" si="112"/>
        <v/>
      </c>
    </row>
    <row r="7061" spans="3:3" ht="15" customHeight="1">
      <c r="C7061" s="70" t="str">
        <f t="shared" si="112"/>
        <v/>
      </c>
    </row>
    <row r="7062" spans="3:3" ht="15" customHeight="1">
      <c r="C7062" s="70" t="str">
        <f t="shared" si="112"/>
        <v/>
      </c>
    </row>
    <row r="7063" spans="3:3" ht="15" customHeight="1">
      <c r="C7063" s="70" t="str">
        <f t="shared" si="112"/>
        <v/>
      </c>
    </row>
    <row r="7064" spans="3:3" ht="15" customHeight="1">
      <c r="C7064" s="70" t="str">
        <f t="shared" si="112"/>
        <v/>
      </c>
    </row>
    <row r="7065" spans="3:3" ht="15" customHeight="1">
      <c r="C7065" s="70" t="str">
        <f t="shared" si="112"/>
        <v/>
      </c>
    </row>
    <row r="7066" spans="3:3" ht="15" customHeight="1">
      <c r="C7066" s="70" t="str">
        <f t="shared" si="112"/>
        <v/>
      </c>
    </row>
    <row r="7067" spans="3:3" ht="15" customHeight="1">
      <c r="C7067" s="70" t="str">
        <f t="shared" si="112"/>
        <v/>
      </c>
    </row>
    <row r="7068" spans="3:3" ht="15" customHeight="1">
      <c r="C7068" s="70" t="str">
        <f t="shared" si="112"/>
        <v/>
      </c>
    </row>
    <row r="7069" spans="3:3" ht="15" customHeight="1">
      <c r="C7069" s="70" t="str">
        <f t="shared" si="112"/>
        <v/>
      </c>
    </row>
    <row r="7070" spans="3:3" ht="15" customHeight="1">
      <c r="C7070" s="70" t="str">
        <f t="shared" si="112"/>
        <v/>
      </c>
    </row>
    <row r="7071" spans="3:3" ht="15" customHeight="1">
      <c r="C7071" s="70" t="str">
        <f t="shared" si="112"/>
        <v/>
      </c>
    </row>
    <row r="7072" spans="3:3" ht="15" customHeight="1">
      <c r="C7072" s="70" t="str">
        <f t="shared" si="112"/>
        <v/>
      </c>
    </row>
    <row r="7073" spans="3:3" ht="15" customHeight="1">
      <c r="C7073" s="70" t="str">
        <f t="shared" si="112"/>
        <v/>
      </c>
    </row>
    <row r="7074" spans="3:3" ht="15" customHeight="1">
      <c r="C7074" s="70" t="str">
        <f t="shared" si="112"/>
        <v/>
      </c>
    </row>
    <row r="7075" spans="3:3" ht="15" customHeight="1">
      <c r="C7075" s="70" t="str">
        <f t="shared" si="112"/>
        <v/>
      </c>
    </row>
    <row r="7076" spans="3:3" ht="15" customHeight="1">
      <c r="C7076" s="70" t="str">
        <f t="shared" si="112"/>
        <v/>
      </c>
    </row>
    <row r="7077" spans="3:3" ht="15" customHeight="1">
      <c r="C7077" s="70" t="str">
        <f t="shared" si="112"/>
        <v/>
      </c>
    </row>
    <row r="7078" spans="3:3" ht="15" customHeight="1">
      <c r="C7078" s="70" t="str">
        <f t="shared" si="112"/>
        <v/>
      </c>
    </row>
    <row r="7079" spans="3:3" ht="15" customHeight="1">
      <c r="C7079" s="70" t="str">
        <f t="shared" si="112"/>
        <v/>
      </c>
    </row>
    <row r="7080" spans="3:3" ht="15" customHeight="1">
      <c r="C7080" s="70" t="str">
        <f t="shared" si="112"/>
        <v/>
      </c>
    </row>
    <row r="7081" spans="3:3" ht="15" customHeight="1">
      <c r="C7081" s="70" t="str">
        <f t="shared" si="112"/>
        <v/>
      </c>
    </row>
    <row r="7082" spans="3:3" ht="15" customHeight="1">
      <c r="C7082" s="70" t="str">
        <f t="shared" si="112"/>
        <v/>
      </c>
    </row>
    <row r="7083" spans="3:3" ht="15" customHeight="1">
      <c r="C7083" s="70" t="str">
        <f t="shared" si="112"/>
        <v/>
      </c>
    </row>
    <row r="7084" spans="3:3" ht="15" customHeight="1">
      <c r="C7084" s="70" t="str">
        <f t="shared" si="112"/>
        <v/>
      </c>
    </row>
    <row r="7085" spans="3:3" ht="15" customHeight="1">
      <c r="C7085" s="70" t="str">
        <f t="shared" si="112"/>
        <v/>
      </c>
    </row>
    <row r="7086" spans="3:3" ht="15" customHeight="1">
      <c r="C7086" s="70" t="str">
        <f t="shared" si="112"/>
        <v/>
      </c>
    </row>
    <row r="7087" spans="3:3" ht="15" customHeight="1">
      <c r="C7087" s="70" t="str">
        <f t="shared" si="112"/>
        <v/>
      </c>
    </row>
    <row r="7088" spans="3:3" ht="15" customHeight="1">
      <c r="C7088" s="70" t="str">
        <f t="shared" si="112"/>
        <v/>
      </c>
    </row>
    <row r="7089" spans="3:3" ht="15" customHeight="1">
      <c r="C7089" s="70" t="str">
        <f t="shared" si="112"/>
        <v/>
      </c>
    </row>
    <row r="7090" spans="3:3" ht="15" customHeight="1">
      <c r="C7090" s="70" t="str">
        <f t="shared" si="112"/>
        <v/>
      </c>
    </row>
    <row r="7091" spans="3:3" ht="15" customHeight="1">
      <c r="C7091" s="70" t="str">
        <f t="shared" si="112"/>
        <v/>
      </c>
    </row>
    <row r="7092" spans="3:3" ht="15" customHeight="1">
      <c r="C7092" s="70" t="str">
        <f t="shared" si="112"/>
        <v/>
      </c>
    </row>
    <row r="7093" spans="3:3" ht="15" customHeight="1">
      <c r="C7093" s="70" t="str">
        <f t="shared" si="112"/>
        <v/>
      </c>
    </row>
    <row r="7094" spans="3:3" ht="15" customHeight="1">
      <c r="C7094" s="70" t="str">
        <f t="shared" si="112"/>
        <v/>
      </c>
    </row>
    <row r="7095" spans="3:3" ht="15" customHeight="1">
      <c r="C7095" s="70" t="str">
        <f t="shared" si="112"/>
        <v/>
      </c>
    </row>
    <row r="7096" spans="3:3" ht="15" customHeight="1">
      <c r="C7096" s="70" t="str">
        <f t="shared" si="112"/>
        <v/>
      </c>
    </row>
    <row r="7097" spans="3:3" ht="15" customHeight="1">
      <c r="C7097" s="70" t="str">
        <f t="shared" si="112"/>
        <v/>
      </c>
    </row>
    <row r="7098" spans="3:3" ht="15" customHeight="1">
      <c r="C7098" s="70" t="str">
        <f t="shared" si="112"/>
        <v/>
      </c>
    </row>
    <row r="7099" spans="3:3" ht="15" customHeight="1">
      <c r="C7099" s="70" t="str">
        <f t="shared" si="112"/>
        <v/>
      </c>
    </row>
    <row r="7100" spans="3:3" ht="15" customHeight="1">
      <c r="C7100" s="70" t="str">
        <f t="shared" si="112"/>
        <v/>
      </c>
    </row>
    <row r="7101" spans="3:3" ht="15" customHeight="1">
      <c r="C7101" s="70" t="str">
        <f t="shared" si="112"/>
        <v/>
      </c>
    </row>
    <row r="7102" spans="3:3" ht="15" customHeight="1">
      <c r="C7102" s="70" t="str">
        <f t="shared" si="112"/>
        <v/>
      </c>
    </row>
    <row r="7103" spans="3:3" ht="15" customHeight="1">
      <c r="C7103" s="70" t="str">
        <f t="shared" si="112"/>
        <v/>
      </c>
    </row>
    <row r="7104" spans="3:3" ht="15" customHeight="1">
      <c r="C7104" s="70" t="str">
        <f t="shared" si="112"/>
        <v/>
      </c>
    </row>
    <row r="7105" spans="3:3" ht="15" customHeight="1">
      <c r="C7105" s="70" t="str">
        <f t="shared" si="112"/>
        <v/>
      </c>
    </row>
    <row r="7106" spans="3:3" ht="15" customHeight="1">
      <c r="C7106" s="70" t="str">
        <f t="shared" si="112"/>
        <v/>
      </c>
    </row>
    <row r="7107" spans="3:3" ht="15" customHeight="1">
      <c r="C7107" s="70" t="str">
        <f t="shared" si="112"/>
        <v/>
      </c>
    </row>
    <row r="7108" spans="3:3" ht="15" customHeight="1">
      <c r="C7108" s="70" t="str">
        <f t="shared" si="112"/>
        <v/>
      </c>
    </row>
    <row r="7109" spans="3:3" ht="15" customHeight="1">
      <c r="C7109" s="70" t="str">
        <f t="shared" si="112"/>
        <v/>
      </c>
    </row>
    <row r="7110" spans="3:3" ht="15" customHeight="1">
      <c r="C7110" s="70" t="str">
        <f t="shared" si="112"/>
        <v/>
      </c>
    </row>
    <row r="7111" spans="3:3" ht="15" customHeight="1">
      <c r="C7111" s="70" t="str">
        <f t="shared" si="112"/>
        <v/>
      </c>
    </row>
    <row r="7112" spans="3:3" ht="15" customHeight="1">
      <c r="C7112" s="70" t="str">
        <f t="shared" si="112"/>
        <v/>
      </c>
    </row>
    <row r="7113" spans="3:3" ht="15" customHeight="1">
      <c r="C7113" s="70" t="str">
        <f t="shared" si="112"/>
        <v/>
      </c>
    </row>
    <row r="7114" spans="3:3" ht="15" customHeight="1">
      <c r="C7114" s="70" t="str">
        <f t="shared" si="112"/>
        <v/>
      </c>
    </row>
    <row r="7115" spans="3:3" ht="15" customHeight="1">
      <c r="C7115" s="70" t="str">
        <f t="shared" si="112"/>
        <v/>
      </c>
    </row>
    <row r="7116" spans="3:3" ht="15" customHeight="1">
      <c r="C7116" s="70" t="str">
        <f t="shared" si="112"/>
        <v/>
      </c>
    </row>
    <row r="7117" spans="3:3" ht="15" customHeight="1">
      <c r="C7117" s="70" t="str">
        <f t="shared" si="112"/>
        <v/>
      </c>
    </row>
    <row r="7118" spans="3:3" ht="15" customHeight="1">
      <c r="C7118" s="70" t="str">
        <f t="shared" si="112"/>
        <v/>
      </c>
    </row>
    <row r="7119" spans="3:3" ht="15" customHeight="1">
      <c r="C7119" s="70" t="str">
        <f t="shared" si="112"/>
        <v/>
      </c>
    </row>
    <row r="7120" spans="3:3" ht="15" customHeight="1">
      <c r="C7120" s="70" t="str">
        <f t="shared" si="112"/>
        <v/>
      </c>
    </row>
    <row r="7121" spans="3:3" ht="15" customHeight="1">
      <c r="C7121" s="70" t="str">
        <f t="shared" ref="C7121:C7184" si="113">IF(B7121&lt;&gt;"",TEXT(WEEKDAY(B7121),"dddd"),"")</f>
        <v/>
      </c>
    </row>
    <row r="7122" spans="3:3" ht="15" customHeight="1">
      <c r="C7122" s="70" t="str">
        <f t="shared" si="113"/>
        <v/>
      </c>
    </row>
    <row r="7123" spans="3:3" ht="15" customHeight="1">
      <c r="C7123" s="70" t="str">
        <f t="shared" si="113"/>
        <v/>
      </c>
    </row>
    <row r="7124" spans="3:3" ht="15" customHeight="1">
      <c r="C7124" s="70" t="str">
        <f t="shared" si="113"/>
        <v/>
      </c>
    </row>
    <row r="7125" spans="3:3" ht="15" customHeight="1">
      <c r="C7125" s="70" t="str">
        <f t="shared" si="113"/>
        <v/>
      </c>
    </row>
    <row r="7126" spans="3:3" ht="15" customHeight="1">
      <c r="C7126" s="70" t="str">
        <f t="shared" si="113"/>
        <v/>
      </c>
    </row>
    <row r="7127" spans="3:3" ht="15" customHeight="1">
      <c r="C7127" s="70" t="str">
        <f t="shared" si="113"/>
        <v/>
      </c>
    </row>
    <row r="7128" spans="3:3" ht="15" customHeight="1">
      <c r="C7128" s="70" t="str">
        <f t="shared" si="113"/>
        <v/>
      </c>
    </row>
    <row r="7129" spans="3:3" ht="15" customHeight="1">
      <c r="C7129" s="70" t="str">
        <f t="shared" si="113"/>
        <v/>
      </c>
    </row>
    <row r="7130" spans="3:3" ht="15" customHeight="1">
      <c r="C7130" s="70" t="str">
        <f t="shared" si="113"/>
        <v/>
      </c>
    </row>
    <row r="7131" spans="3:3" ht="15" customHeight="1">
      <c r="C7131" s="70" t="str">
        <f t="shared" si="113"/>
        <v/>
      </c>
    </row>
    <row r="7132" spans="3:3" ht="15" customHeight="1">
      <c r="C7132" s="70" t="str">
        <f t="shared" si="113"/>
        <v/>
      </c>
    </row>
    <row r="7133" spans="3:3" ht="15" customHeight="1">
      <c r="C7133" s="70" t="str">
        <f t="shared" si="113"/>
        <v/>
      </c>
    </row>
    <row r="7134" spans="3:3" ht="15" customHeight="1">
      <c r="C7134" s="70" t="str">
        <f t="shared" si="113"/>
        <v/>
      </c>
    </row>
    <row r="7135" spans="3:3" ht="15" customHeight="1">
      <c r="C7135" s="70" t="str">
        <f t="shared" si="113"/>
        <v/>
      </c>
    </row>
    <row r="7136" spans="3:3" ht="15" customHeight="1">
      <c r="C7136" s="70" t="str">
        <f t="shared" si="113"/>
        <v/>
      </c>
    </row>
    <row r="7137" spans="3:3" ht="15" customHeight="1">
      <c r="C7137" s="70" t="str">
        <f t="shared" si="113"/>
        <v/>
      </c>
    </row>
    <row r="7138" spans="3:3" ht="15" customHeight="1">
      <c r="C7138" s="70" t="str">
        <f t="shared" si="113"/>
        <v/>
      </c>
    </row>
    <row r="7139" spans="3:3" ht="15" customHeight="1">
      <c r="C7139" s="70" t="str">
        <f t="shared" si="113"/>
        <v/>
      </c>
    </row>
    <row r="7140" spans="3:3" ht="15" customHeight="1">
      <c r="C7140" s="70" t="str">
        <f t="shared" si="113"/>
        <v/>
      </c>
    </row>
    <row r="7141" spans="3:3" ht="15" customHeight="1">
      <c r="C7141" s="70" t="str">
        <f t="shared" si="113"/>
        <v/>
      </c>
    </row>
    <row r="7142" spans="3:3" ht="15" customHeight="1">
      <c r="C7142" s="70" t="str">
        <f t="shared" si="113"/>
        <v/>
      </c>
    </row>
    <row r="7143" spans="3:3" ht="15" customHeight="1">
      <c r="C7143" s="70" t="str">
        <f t="shared" si="113"/>
        <v/>
      </c>
    </row>
    <row r="7144" spans="3:3" ht="15" customHeight="1">
      <c r="C7144" s="70" t="str">
        <f t="shared" si="113"/>
        <v/>
      </c>
    </row>
    <row r="7145" spans="3:3" ht="15" customHeight="1">
      <c r="C7145" s="70" t="str">
        <f t="shared" si="113"/>
        <v/>
      </c>
    </row>
    <row r="7146" spans="3:3" ht="15" customHeight="1">
      <c r="C7146" s="70" t="str">
        <f t="shared" si="113"/>
        <v/>
      </c>
    </row>
    <row r="7147" spans="3:3" ht="15" customHeight="1">
      <c r="C7147" s="70" t="str">
        <f t="shared" si="113"/>
        <v/>
      </c>
    </row>
    <row r="7148" spans="3:3" ht="15" customHeight="1">
      <c r="C7148" s="70" t="str">
        <f t="shared" si="113"/>
        <v/>
      </c>
    </row>
    <row r="7149" spans="3:3" ht="15" customHeight="1">
      <c r="C7149" s="70" t="str">
        <f t="shared" si="113"/>
        <v/>
      </c>
    </row>
    <row r="7150" spans="3:3" ht="15" customHeight="1">
      <c r="C7150" s="70" t="str">
        <f t="shared" si="113"/>
        <v/>
      </c>
    </row>
    <row r="7151" spans="3:3" ht="15" customHeight="1">
      <c r="C7151" s="70" t="str">
        <f t="shared" si="113"/>
        <v/>
      </c>
    </row>
    <row r="7152" spans="3:3" ht="15" customHeight="1">
      <c r="C7152" s="70" t="str">
        <f t="shared" si="113"/>
        <v/>
      </c>
    </row>
    <row r="7153" spans="3:3" ht="15" customHeight="1">
      <c r="C7153" s="70" t="str">
        <f t="shared" si="113"/>
        <v/>
      </c>
    </row>
    <row r="7154" spans="3:3" ht="15" customHeight="1">
      <c r="C7154" s="70" t="str">
        <f t="shared" si="113"/>
        <v/>
      </c>
    </row>
    <row r="7155" spans="3:3" ht="15" customHeight="1">
      <c r="C7155" s="70" t="str">
        <f t="shared" si="113"/>
        <v/>
      </c>
    </row>
    <row r="7156" spans="3:3" ht="15" customHeight="1">
      <c r="C7156" s="70" t="str">
        <f t="shared" si="113"/>
        <v/>
      </c>
    </row>
    <row r="7157" spans="3:3" ht="15" customHeight="1">
      <c r="C7157" s="70" t="str">
        <f t="shared" si="113"/>
        <v/>
      </c>
    </row>
    <row r="7158" spans="3:3" ht="15" customHeight="1">
      <c r="C7158" s="70" t="str">
        <f t="shared" si="113"/>
        <v/>
      </c>
    </row>
    <row r="7159" spans="3:3" ht="15" customHeight="1">
      <c r="C7159" s="70" t="str">
        <f t="shared" si="113"/>
        <v/>
      </c>
    </row>
    <row r="7160" spans="3:3" ht="15" customHeight="1">
      <c r="C7160" s="70" t="str">
        <f t="shared" si="113"/>
        <v/>
      </c>
    </row>
    <row r="7161" spans="3:3" ht="15" customHeight="1">
      <c r="C7161" s="70" t="str">
        <f t="shared" si="113"/>
        <v/>
      </c>
    </row>
    <row r="7162" spans="3:3" ht="15" customHeight="1">
      <c r="C7162" s="70" t="str">
        <f t="shared" si="113"/>
        <v/>
      </c>
    </row>
    <row r="7163" spans="3:3" ht="15" customHeight="1">
      <c r="C7163" s="70" t="str">
        <f t="shared" si="113"/>
        <v/>
      </c>
    </row>
    <row r="7164" spans="3:3" ht="15" customHeight="1">
      <c r="C7164" s="70" t="str">
        <f t="shared" si="113"/>
        <v/>
      </c>
    </row>
    <row r="7165" spans="3:3" ht="15" customHeight="1">
      <c r="C7165" s="70" t="str">
        <f t="shared" si="113"/>
        <v/>
      </c>
    </row>
    <row r="7166" spans="3:3" ht="15" customHeight="1">
      <c r="C7166" s="70" t="str">
        <f t="shared" si="113"/>
        <v/>
      </c>
    </row>
    <row r="7167" spans="3:3" ht="15" customHeight="1">
      <c r="C7167" s="70" t="str">
        <f t="shared" si="113"/>
        <v/>
      </c>
    </row>
    <row r="7168" spans="3:3" ht="15" customHeight="1">
      <c r="C7168" s="70" t="str">
        <f t="shared" si="113"/>
        <v/>
      </c>
    </row>
    <row r="7169" spans="3:3" ht="15" customHeight="1">
      <c r="C7169" s="70" t="str">
        <f t="shared" si="113"/>
        <v/>
      </c>
    </row>
    <row r="7170" spans="3:3" ht="15" customHeight="1">
      <c r="C7170" s="70" t="str">
        <f t="shared" si="113"/>
        <v/>
      </c>
    </row>
    <row r="7171" spans="3:3" ht="15" customHeight="1">
      <c r="C7171" s="70" t="str">
        <f t="shared" si="113"/>
        <v/>
      </c>
    </row>
    <row r="7172" spans="3:3" ht="15" customHeight="1">
      <c r="C7172" s="70" t="str">
        <f t="shared" si="113"/>
        <v/>
      </c>
    </row>
    <row r="7173" spans="3:3" ht="15" customHeight="1">
      <c r="C7173" s="70" t="str">
        <f t="shared" si="113"/>
        <v/>
      </c>
    </row>
    <row r="7174" spans="3:3" ht="15" customHeight="1">
      <c r="C7174" s="70" t="str">
        <f t="shared" si="113"/>
        <v/>
      </c>
    </row>
    <row r="7175" spans="3:3" ht="15" customHeight="1">
      <c r="C7175" s="70" t="str">
        <f t="shared" si="113"/>
        <v/>
      </c>
    </row>
    <row r="7176" spans="3:3" ht="15" customHeight="1">
      <c r="C7176" s="70" t="str">
        <f t="shared" si="113"/>
        <v/>
      </c>
    </row>
    <row r="7177" spans="3:3" ht="15" customHeight="1">
      <c r="C7177" s="70" t="str">
        <f t="shared" si="113"/>
        <v/>
      </c>
    </row>
    <row r="7178" spans="3:3" ht="15" customHeight="1">
      <c r="C7178" s="70" t="str">
        <f t="shared" si="113"/>
        <v/>
      </c>
    </row>
    <row r="7179" spans="3:3" ht="15" customHeight="1">
      <c r="C7179" s="70" t="str">
        <f t="shared" si="113"/>
        <v/>
      </c>
    </row>
    <row r="7180" spans="3:3" ht="15" customHeight="1">
      <c r="C7180" s="70" t="str">
        <f t="shared" si="113"/>
        <v/>
      </c>
    </row>
    <row r="7181" spans="3:3" ht="15" customHeight="1">
      <c r="C7181" s="70" t="str">
        <f t="shared" si="113"/>
        <v/>
      </c>
    </row>
    <row r="7182" spans="3:3" ht="15" customHeight="1">
      <c r="C7182" s="70" t="str">
        <f t="shared" si="113"/>
        <v/>
      </c>
    </row>
    <row r="7183" spans="3:3" ht="15" customHeight="1">
      <c r="C7183" s="70" t="str">
        <f t="shared" si="113"/>
        <v/>
      </c>
    </row>
    <row r="7184" spans="3:3" ht="15" customHeight="1">
      <c r="C7184" s="70" t="str">
        <f t="shared" si="113"/>
        <v/>
      </c>
    </row>
    <row r="7185" spans="3:3" ht="15" customHeight="1">
      <c r="C7185" s="70" t="str">
        <f t="shared" ref="C7185:C7248" si="114">IF(B7185&lt;&gt;"",TEXT(WEEKDAY(B7185),"dddd"),"")</f>
        <v/>
      </c>
    </row>
    <row r="7186" spans="3:3" ht="15" customHeight="1">
      <c r="C7186" s="70" t="str">
        <f t="shared" si="114"/>
        <v/>
      </c>
    </row>
    <row r="7187" spans="3:3" ht="15" customHeight="1">
      <c r="C7187" s="70" t="str">
        <f t="shared" si="114"/>
        <v/>
      </c>
    </row>
    <row r="7188" spans="3:3" ht="15" customHeight="1">
      <c r="C7188" s="70" t="str">
        <f t="shared" si="114"/>
        <v/>
      </c>
    </row>
    <row r="7189" spans="3:3" ht="15" customHeight="1">
      <c r="C7189" s="70" t="str">
        <f t="shared" si="114"/>
        <v/>
      </c>
    </row>
    <row r="7190" spans="3:3" ht="15" customHeight="1">
      <c r="C7190" s="70" t="str">
        <f t="shared" si="114"/>
        <v/>
      </c>
    </row>
    <row r="7191" spans="3:3" ht="15" customHeight="1">
      <c r="C7191" s="70" t="str">
        <f t="shared" si="114"/>
        <v/>
      </c>
    </row>
    <row r="7192" spans="3:3" ht="15" customHeight="1">
      <c r="C7192" s="70" t="str">
        <f t="shared" si="114"/>
        <v/>
      </c>
    </row>
    <row r="7193" spans="3:3" ht="15" customHeight="1">
      <c r="C7193" s="70" t="str">
        <f t="shared" si="114"/>
        <v/>
      </c>
    </row>
    <row r="7194" spans="3:3" ht="15" customHeight="1">
      <c r="C7194" s="70" t="str">
        <f t="shared" si="114"/>
        <v/>
      </c>
    </row>
    <row r="7195" spans="3:3" ht="15" customHeight="1">
      <c r="C7195" s="70" t="str">
        <f t="shared" si="114"/>
        <v/>
      </c>
    </row>
    <row r="7196" spans="3:3" ht="15" customHeight="1">
      <c r="C7196" s="70" t="str">
        <f t="shared" si="114"/>
        <v/>
      </c>
    </row>
    <row r="7197" spans="3:3" ht="15" customHeight="1">
      <c r="C7197" s="70" t="str">
        <f t="shared" si="114"/>
        <v/>
      </c>
    </row>
    <row r="7198" spans="3:3" ht="15" customHeight="1">
      <c r="C7198" s="70" t="str">
        <f t="shared" si="114"/>
        <v/>
      </c>
    </row>
    <row r="7199" spans="3:3" ht="15" customHeight="1">
      <c r="C7199" s="70" t="str">
        <f t="shared" si="114"/>
        <v/>
      </c>
    </row>
    <row r="7200" spans="3:3" ht="15" customHeight="1">
      <c r="C7200" s="70" t="str">
        <f t="shared" si="114"/>
        <v/>
      </c>
    </row>
    <row r="7201" spans="3:3" ht="15" customHeight="1">
      <c r="C7201" s="70" t="str">
        <f t="shared" si="114"/>
        <v/>
      </c>
    </row>
    <row r="7202" spans="3:3" ht="15" customHeight="1">
      <c r="C7202" s="70" t="str">
        <f t="shared" si="114"/>
        <v/>
      </c>
    </row>
    <row r="7203" spans="3:3" ht="15" customHeight="1">
      <c r="C7203" s="70" t="str">
        <f t="shared" si="114"/>
        <v/>
      </c>
    </row>
    <row r="7204" spans="3:3" ht="15" customHeight="1">
      <c r="C7204" s="70" t="str">
        <f t="shared" si="114"/>
        <v/>
      </c>
    </row>
    <row r="7205" spans="3:3" ht="15" customHeight="1">
      <c r="C7205" s="70" t="str">
        <f t="shared" si="114"/>
        <v/>
      </c>
    </row>
    <row r="7206" spans="3:3" ht="15" customHeight="1">
      <c r="C7206" s="70" t="str">
        <f t="shared" si="114"/>
        <v/>
      </c>
    </row>
    <row r="7207" spans="3:3" ht="15" customHeight="1">
      <c r="C7207" s="70" t="str">
        <f t="shared" si="114"/>
        <v/>
      </c>
    </row>
    <row r="7208" spans="3:3" ht="15" customHeight="1">
      <c r="C7208" s="70" t="str">
        <f t="shared" si="114"/>
        <v/>
      </c>
    </row>
    <row r="7209" spans="3:3" ht="15" customHeight="1">
      <c r="C7209" s="70" t="str">
        <f t="shared" si="114"/>
        <v/>
      </c>
    </row>
    <row r="7210" spans="3:3" ht="15" customHeight="1">
      <c r="C7210" s="70" t="str">
        <f t="shared" si="114"/>
        <v/>
      </c>
    </row>
    <row r="7211" spans="3:3" ht="15" customHeight="1">
      <c r="C7211" s="70" t="str">
        <f t="shared" si="114"/>
        <v/>
      </c>
    </row>
    <row r="7212" spans="3:3" ht="15" customHeight="1">
      <c r="C7212" s="70" t="str">
        <f t="shared" si="114"/>
        <v/>
      </c>
    </row>
    <row r="7213" spans="3:3" ht="15" customHeight="1">
      <c r="C7213" s="70" t="str">
        <f t="shared" si="114"/>
        <v/>
      </c>
    </row>
    <row r="7214" spans="3:3" ht="15" customHeight="1">
      <c r="C7214" s="70" t="str">
        <f t="shared" si="114"/>
        <v/>
      </c>
    </row>
    <row r="7215" spans="3:3" ht="15" customHeight="1">
      <c r="C7215" s="70" t="str">
        <f t="shared" si="114"/>
        <v/>
      </c>
    </row>
    <row r="7216" spans="3:3" ht="15" customHeight="1">
      <c r="C7216" s="70" t="str">
        <f t="shared" si="114"/>
        <v/>
      </c>
    </row>
    <row r="7217" spans="3:3" ht="15" customHeight="1">
      <c r="C7217" s="70" t="str">
        <f t="shared" si="114"/>
        <v/>
      </c>
    </row>
    <row r="7218" spans="3:3" ht="15" customHeight="1">
      <c r="C7218" s="70" t="str">
        <f t="shared" si="114"/>
        <v/>
      </c>
    </row>
    <row r="7219" spans="3:3" ht="15" customHeight="1">
      <c r="C7219" s="70" t="str">
        <f t="shared" si="114"/>
        <v/>
      </c>
    </row>
    <row r="7220" spans="3:3" ht="15" customHeight="1">
      <c r="C7220" s="70" t="str">
        <f t="shared" si="114"/>
        <v/>
      </c>
    </row>
    <row r="7221" spans="3:3" ht="15" customHeight="1">
      <c r="C7221" s="70" t="str">
        <f t="shared" si="114"/>
        <v/>
      </c>
    </row>
    <row r="7222" spans="3:3" ht="15" customHeight="1">
      <c r="C7222" s="70" t="str">
        <f t="shared" si="114"/>
        <v/>
      </c>
    </row>
    <row r="7223" spans="3:3" ht="15" customHeight="1">
      <c r="C7223" s="70" t="str">
        <f t="shared" si="114"/>
        <v/>
      </c>
    </row>
    <row r="7224" spans="3:3" ht="15" customHeight="1">
      <c r="C7224" s="70" t="str">
        <f t="shared" si="114"/>
        <v/>
      </c>
    </row>
    <row r="7225" spans="3:3" ht="15" customHeight="1">
      <c r="C7225" s="70" t="str">
        <f t="shared" si="114"/>
        <v/>
      </c>
    </row>
    <row r="7226" spans="3:3" ht="15" customHeight="1">
      <c r="C7226" s="70" t="str">
        <f t="shared" si="114"/>
        <v/>
      </c>
    </row>
    <row r="7227" spans="3:3" ht="15" customHeight="1">
      <c r="C7227" s="70" t="str">
        <f t="shared" si="114"/>
        <v/>
      </c>
    </row>
    <row r="7228" spans="3:3" ht="15" customHeight="1">
      <c r="C7228" s="70" t="str">
        <f t="shared" si="114"/>
        <v/>
      </c>
    </row>
    <row r="7229" spans="3:3" ht="15" customHeight="1">
      <c r="C7229" s="70" t="str">
        <f t="shared" si="114"/>
        <v/>
      </c>
    </row>
    <row r="7230" spans="3:3" ht="15" customHeight="1">
      <c r="C7230" s="70" t="str">
        <f t="shared" si="114"/>
        <v/>
      </c>
    </row>
    <row r="7231" spans="3:3" ht="15" customHeight="1">
      <c r="C7231" s="70" t="str">
        <f t="shared" si="114"/>
        <v/>
      </c>
    </row>
    <row r="7232" spans="3:3" ht="15" customHeight="1">
      <c r="C7232" s="70" t="str">
        <f t="shared" si="114"/>
        <v/>
      </c>
    </row>
    <row r="7233" spans="3:3" ht="15" customHeight="1">
      <c r="C7233" s="70" t="str">
        <f t="shared" si="114"/>
        <v/>
      </c>
    </row>
    <row r="7234" spans="3:3" ht="15" customHeight="1">
      <c r="C7234" s="70" t="str">
        <f t="shared" si="114"/>
        <v/>
      </c>
    </row>
    <row r="7235" spans="3:3" ht="15" customHeight="1">
      <c r="C7235" s="70" t="str">
        <f t="shared" si="114"/>
        <v/>
      </c>
    </row>
    <row r="7236" spans="3:3" ht="15" customHeight="1">
      <c r="C7236" s="70" t="str">
        <f t="shared" si="114"/>
        <v/>
      </c>
    </row>
    <row r="7237" spans="3:3" ht="15" customHeight="1">
      <c r="C7237" s="70" t="str">
        <f t="shared" si="114"/>
        <v/>
      </c>
    </row>
    <row r="7238" spans="3:3" ht="15" customHeight="1">
      <c r="C7238" s="70" t="str">
        <f t="shared" si="114"/>
        <v/>
      </c>
    </row>
    <row r="7239" spans="3:3" ht="15" customHeight="1">
      <c r="C7239" s="70" t="str">
        <f t="shared" si="114"/>
        <v/>
      </c>
    </row>
    <row r="7240" spans="3:3" ht="15" customHeight="1">
      <c r="C7240" s="70" t="str">
        <f t="shared" si="114"/>
        <v/>
      </c>
    </row>
    <row r="7241" spans="3:3" ht="15" customHeight="1">
      <c r="C7241" s="70" t="str">
        <f t="shared" si="114"/>
        <v/>
      </c>
    </row>
    <row r="7242" spans="3:3" ht="15" customHeight="1">
      <c r="C7242" s="70" t="str">
        <f t="shared" si="114"/>
        <v/>
      </c>
    </row>
    <row r="7243" spans="3:3" ht="15" customHeight="1">
      <c r="C7243" s="70" t="str">
        <f t="shared" si="114"/>
        <v/>
      </c>
    </row>
    <row r="7244" spans="3:3" ht="15" customHeight="1">
      <c r="C7244" s="70" t="str">
        <f t="shared" si="114"/>
        <v/>
      </c>
    </row>
    <row r="7245" spans="3:3" ht="15" customHeight="1">
      <c r="C7245" s="70" t="str">
        <f t="shared" si="114"/>
        <v/>
      </c>
    </row>
    <row r="7246" spans="3:3" ht="15" customHeight="1">
      <c r="C7246" s="70" t="str">
        <f t="shared" si="114"/>
        <v/>
      </c>
    </row>
    <row r="7247" spans="3:3" ht="15" customHeight="1">
      <c r="C7247" s="70" t="str">
        <f t="shared" si="114"/>
        <v/>
      </c>
    </row>
    <row r="7248" spans="3:3" ht="15" customHeight="1">
      <c r="C7248" s="70" t="str">
        <f t="shared" si="114"/>
        <v/>
      </c>
    </row>
    <row r="7249" spans="3:3" ht="15" customHeight="1">
      <c r="C7249" s="70" t="str">
        <f t="shared" ref="C7249:C7312" si="115">IF(B7249&lt;&gt;"",TEXT(WEEKDAY(B7249),"dddd"),"")</f>
        <v/>
      </c>
    </row>
    <row r="7250" spans="3:3" ht="15" customHeight="1">
      <c r="C7250" s="70" t="str">
        <f t="shared" si="115"/>
        <v/>
      </c>
    </row>
    <row r="7251" spans="3:3" ht="15" customHeight="1">
      <c r="C7251" s="70" t="str">
        <f t="shared" si="115"/>
        <v/>
      </c>
    </row>
    <row r="7252" spans="3:3" ht="15" customHeight="1">
      <c r="C7252" s="70" t="str">
        <f t="shared" si="115"/>
        <v/>
      </c>
    </row>
    <row r="7253" spans="3:3" ht="15" customHeight="1">
      <c r="C7253" s="70" t="str">
        <f t="shared" si="115"/>
        <v/>
      </c>
    </row>
    <row r="7254" spans="3:3" ht="15" customHeight="1">
      <c r="C7254" s="70" t="str">
        <f t="shared" si="115"/>
        <v/>
      </c>
    </row>
    <row r="7255" spans="3:3" ht="15" customHeight="1">
      <c r="C7255" s="70" t="str">
        <f t="shared" si="115"/>
        <v/>
      </c>
    </row>
    <row r="7256" spans="3:3" ht="15" customHeight="1">
      <c r="C7256" s="70" t="str">
        <f t="shared" si="115"/>
        <v/>
      </c>
    </row>
    <row r="7257" spans="3:3" ht="15" customHeight="1">
      <c r="C7257" s="70" t="str">
        <f t="shared" si="115"/>
        <v/>
      </c>
    </row>
    <row r="7258" spans="3:3" ht="15" customHeight="1">
      <c r="C7258" s="70" t="str">
        <f t="shared" si="115"/>
        <v/>
      </c>
    </row>
    <row r="7259" spans="3:3" ht="15" customHeight="1">
      <c r="C7259" s="70" t="str">
        <f t="shared" si="115"/>
        <v/>
      </c>
    </row>
    <row r="7260" spans="3:3" ht="15" customHeight="1">
      <c r="C7260" s="70" t="str">
        <f t="shared" si="115"/>
        <v/>
      </c>
    </row>
    <row r="7261" spans="3:3" ht="15" customHeight="1">
      <c r="C7261" s="70" t="str">
        <f t="shared" si="115"/>
        <v/>
      </c>
    </row>
    <row r="7262" spans="3:3" ht="15" customHeight="1">
      <c r="C7262" s="70" t="str">
        <f t="shared" si="115"/>
        <v/>
      </c>
    </row>
    <row r="7263" spans="3:3" ht="15" customHeight="1">
      <c r="C7263" s="70" t="str">
        <f t="shared" si="115"/>
        <v/>
      </c>
    </row>
    <row r="7264" spans="3:3" ht="15" customHeight="1">
      <c r="C7264" s="70" t="str">
        <f t="shared" si="115"/>
        <v/>
      </c>
    </row>
    <row r="7265" spans="3:3" ht="15" customHeight="1">
      <c r="C7265" s="70" t="str">
        <f t="shared" si="115"/>
        <v/>
      </c>
    </row>
    <row r="7266" spans="3:3" ht="15" customHeight="1">
      <c r="C7266" s="70" t="str">
        <f t="shared" si="115"/>
        <v/>
      </c>
    </row>
    <row r="7267" spans="3:3" ht="15" customHeight="1">
      <c r="C7267" s="70" t="str">
        <f t="shared" si="115"/>
        <v/>
      </c>
    </row>
    <row r="7268" spans="3:3" ht="15" customHeight="1">
      <c r="C7268" s="70" t="str">
        <f t="shared" si="115"/>
        <v/>
      </c>
    </row>
    <row r="7269" spans="3:3" ht="15" customHeight="1">
      <c r="C7269" s="70" t="str">
        <f t="shared" si="115"/>
        <v/>
      </c>
    </row>
    <row r="7270" spans="3:3" ht="15" customHeight="1">
      <c r="C7270" s="70" t="str">
        <f t="shared" si="115"/>
        <v/>
      </c>
    </row>
    <row r="7271" spans="3:3" ht="15" customHeight="1">
      <c r="C7271" s="70" t="str">
        <f t="shared" si="115"/>
        <v/>
      </c>
    </row>
    <row r="7272" spans="3:3" ht="15" customHeight="1">
      <c r="C7272" s="70" t="str">
        <f t="shared" si="115"/>
        <v/>
      </c>
    </row>
    <row r="7273" spans="3:3" ht="15" customHeight="1">
      <c r="C7273" s="70" t="str">
        <f t="shared" si="115"/>
        <v/>
      </c>
    </row>
    <row r="7274" spans="3:3" ht="15" customHeight="1">
      <c r="C7274" s="70" t="str">
        <f t="shared" si="115"/>
        <v/>
      </c>
    </row>
    <row r="7275" spans="3:3" ht="15" customHeight="1">
      <c r="C7275" s="70" t="str">
        <f t="shared" si="115"/>
        <v/>
      </c>
    </row>
    <row r="7276" spans="3:3" ht="15" customHeight="1">
      <c r="C7276" s="70" t="str">
        <f t="shared" si="115"/>
        <v/>
      </c>
    </row>
    <row r="7277" spans="3:3" ht="15" customHeight="1">
      <c r="C7277" s="70" t="str">
        <f t="shared" si="115"/>
        <v/>
      </c>
    </row>
    <row r="7278" spans="3:3" ht="15" customHeight="1">
      <c r="C7278" s="70" t="str">
        <f t="shared" si="115"/>
        <v/>
      </c>
    </row>
    <row r="7279" spans="3:3" ht="15" customHeight="1">
      <c r="C7279" s="70" t="str">
        <f t="shared" si="115"/>
        <v/>
      </c>
    </row>
    <row r="7280" spans="3:3" ht="15" customHeight="1">
      <c r="C7280" s="70" t="str">
        <f t="shared" si="115"/>
        <v/>
      </c>
    </row>
    <row r="7281" spans="3:3" ht="15" customHeight="1">
      <c r="C7281" s="70" t="str">
        <f t="shared" si="115"/>
        <v/>
      </c>
    </row>
    <row r="7282" spans="3:3" ht="15" customHeight="1">
      <c r="C7282" s="70" t="str">
        <f t="shared" si="115"/>
        <v/>
      </c>
    </row>
    <row r="7283" spans="3:3" ht="15" customHeight="1">
      <c r="C7283" s="70" t="str">
        <f t="shared" si="115"/>
        <v/>
      </c>
    </row>
    <row r="7284" spans="3:3" ht="15" customHeight="1">
      <c r="C7284" s="70" t="str">
        <f t="shared" si="115"/>
        <v/>
      </c>
    </row>
    <row r="7285" spans="3:3" ht="15" customHeight="1">
      <c r="C7285" s="70" t="str">
        <f t="shared" si="115"/>
        <v/>
      </c>
    </row>
    <row r="7286" spans="3:3" ht="15" customHeight="1">
      <c r="C7286" s="70" t="str">
        <f t="shared" si="115"/>
        <v/>
      </c>
    </row>
    <row r="7287" spans="3:3" ht="15" customHeight="1">
      <c r="C7287" s="70" t="str">
        <f t="shared" si="115"/>
        <v/>
      </c>
    </row>
    <row r="7288" spans="3:3" ht="15" customHeight="1">
      <c r="C7288" s="70" t="str">
        <f t="shared" si="115"/>
        <v/>
      </c>
    </row>
    <row r="7289" spans="3:3" ht="15" customHeight="1">
      <c r="C7289" s="70" t="str">
        <f t="shared" si="115"/>
        <v/>
      </c>
    </row>
    <row r="7290" spans="3:3" ht="15" customHeight="1">
      <c r="C7290" s="70" t="str">
        <f t="shared" si="115"/>
        <v/>
      </c>
    </row>
    <row r="7291" spans="3:3" ht="15" customHeight="1">
      <c r="C7291" s="70" t="str">
        <f t="shared" si="115"/>
        <v/>
      </c>
    </row>
    <row r="7292" spans="3:3" ht="15" customHeight="1">
      <c r="C7292" s="70" t="str">
        <f t="shared" si="115"/>
        <v/>
      </c>
    </row>
    <row r="7293" spans="3:3" ht="15" customHeight="1">
      <c r="C7293" s="70" t="str">
        <f t="shared" si="115"/>
        <v/>
      </c>
    </row>
    <row r="7294" spans="3:3" ht="15" customHeight="1">
      <c r="C7294" s="70" t="str">
        <f t="shared" si="115"/>
        <v/>
      </c>
    </row>
    <row r="7295" spans="3:3" ht="15" customHeight="1">
      <c r="C7295" s="70" t="str">
        <f t="shared" si="115"/>
        <v/>
      </c>
    </row>
    <row r="7296" spans="3:3" ht="15" customHeight="1">
      <c r="C7296" s="70" t="str">
        <f t="shared" si="115"/>
        <v/>
      </c>
    </row>
    <row r="7297" spans="3:3" ht="15" customHeight="1">
      <c r="C7297" s="70" t="str">
        <f t="shared" si="115"/>
        <v/>
      </c>
    </row>
    <row r="7298" spans="3:3" ht="15" customHeight="1">
      <c r="C7298" s="70" t="str">
        <f t="shared" si="115"/>
        <v/>
      </c>
    </row>
    <row r="7299" spans="3:3" ht="15" customHeight="1">
      <c r="C7299" s="70" t="str">
        <f t="shared" si="115"/>
        <v/>
      </c>
    </row>
    <row r="7300" spans="3:3" ht="15" customHeight="1">
      <c r="C7300" s="70" t="str">
        <f t="shared" si="115"/>
        <v/>
      </c>
    </row>
    <row r="7301" spans="3:3" ht="15" customHeight="1">
      <c r="C7301" s="70" t="str">
        <f t="shared" si="115"/>
        <v/>
      </c>
    </row>
    <row r="7302" spans="3:3" ht="15" customHeight="1">
      <c r="C7302" s="70" t="str">
        <f t="shared" si="115"/>
        <v/>
      </c>
    </row>
    <row r="7303" spans="3:3" ht="15" customHeight="1">
      <c r="C7303" s="70" t="str">
        <f t="shared" si="115"/>
        <v/>
      </c>
    </row>
    <row r="7304" spans="3:3" ht="15" customHeight="1">
      <c r="C7304" s="70" t="str">
        <f t="shared" si="115"/>
        <v/>
      </c>
    </row>
    <row r="7305" spans="3:3" ht="15" customHeight="1">
      <c r="C7305" s="70" t="str">
        <f t="shared" si="115"/>
        <v/>
      </c>
    </row>
    <row r="7306" spans="3:3" ht="15" customHeight="1">
      <c r="C7306" s="70" t="str">
        <f t="shared" si="115"/>
        <v/>
      </c>
    </row>
    <row r="7307" spans="3:3" ht="15" customHeight="1">
      <c r="C7307" s="70" t="str">
        <f t="shared" si="115"/>
        <v/>
      </c>
    </row>
    <row r="7308" spans="3:3" ht="15" customHeight="1">
      <c r="C7308" s="70" t="str">
        <f t="shared" si="115"/>
        <v/>
      </c>
    </row>
    <row r="7309" spans="3:3" ht="15" customHeight="1">
      <c r="C7309" s="70" t="str">
        <f t="shared" si="115"/>
        <v/>
      </c>
    </row>
    <row r="7310" spans="3:3" ht="15" customHeight="1">
      <c r="C7310" s="70" t="str">
        <f t="shared" si="115"/>
        <v/>
      </c>
    </row>
    <row r="7311" spans="3:3" ht="15" customHeight="1">
      <c r="C7311" s="70" t="str">
        <f t="shared" si="115"/>
        <v/>
      </c>
    </row>
    <row r="7312" spans="3:3" ht="15" customHeight="1">
      <c r="C7312" s="70" t="str">
        <f t="shared" si="115"/>
        <v/>
      </c>
    </row>
    <row r="7313" spans="3:3" ht="15" customHeight="1">
      <c r="C7313" s="70" t="str">
        <f t="shared" ref="C7313:C7376" si="116">IF(B7313&lt;&gt;"",TEXT(WEEKDAY(B7313),"dddd"),"")</f>
        <v/>
      </c>
    </row>
    <row r="7314" spans="3:3" ht="15" customHeight="1">
      <c r="C7314" s="70" t="str">
        <f t="shared" si="116"/>
        <v/>
      </c>
    </row>
    <row r="7315" spans="3:3" ht="15" customHeight="1">
      <c r="C7315" s="70" t="str">
        <f t="shared" si="116"/>
        <v/>
      </c>
    </row>
    <row r="7316" spans="3:3" ht="15" customHeight="1">
      <c r="C7316" s="70" t="str">
        <f t="shared" si="116"/>
        <v/>
      </c>
    </row>
    <row r="7317" spans="3:3" ht="15" customHeight="1">
      <c r="C7317" s="70" t="str">
        <f t="shared" si="116"/>
        <v/>
      </c>
    </row>
    <row r="7318" spans="3:3" ht="15" customHeight="1">
      <c r="C7318" s="70" t="str">
        <f t="shared" si="116"/>
        <v/>
      </c>
    </row>
    <row r="7319" spans="3:3" ht="15" customHeight="1">
      <c r="C7319" s="70" t="str">
        <f t="shared" si="116"/>
        <v/>
      </c>
    </row>
    <row r="7320" spans="3:3" ht="15" customHeight="1">
      <c r="C7320" s="70" t="str">
        <f t="shared" si="116"/>
        <v/>
      </c>
    </row>
    <row r="7321" spans="3:3" ht="15" customHeight="1">
      <c r="C7321" s="70" t="str">
        <f t="shared" si="116"/>
        <v/>
      </c>
    </row>
    <row r="7322" spans="3:3" ht="15" customHeight="1">
      <c r="C7322" s="70" t="str">
        <f t="shared" si="116"/>
        <v/>
      </c>
    </row>
    <row r="7323" spans="3:3" ht="15" customHeight="1">
      <c r="C7323" s="70" t="str">
        <f t="shared" si="116"/>
        <v/>
      </c>
    </row>
    <row r="7324" spans="3:3" ht="15" customHeight="1">
      <c r="C7324" s="70" t="str">
        <f t="shared" si="116"/>
        <v/>
      </c>
    </row>
    <row r="7325" spans="3:3" ht="15" customHeight="1">
      <c r="C7325" s="70" t="str">
        <f t="shared" si="116"/>
        <v/>
      </c>
    </row>
    <row r="7326" spans="3:3" ht="15" customHeight="1">
      <c r="C7326" s="70" t="str">
        <f t="shared" si="116"/>
        <v/>
      </c>
    </row>
    <row r="7327" spans="3:3" ht="15" customHeight="1">
      <c r="C7327" s="70" t="str">
        <f t="shared" si="116"/>
        <v/>
      </c>
    </row>
    <row r="7328" spans="3:3" ht="15" customHeight="1">
      <c r="C7328" s="70" t="str">
        <f t="shared" si="116"/>
        <v/>
      </c>
    </row>
    <row r="7329" spans="3:3" ht="15" customHeight="1">
      <c r="C7329" s="70" t="str">
        <f t="shared" si="116"/>
        <v/>
      </c>
    </row>
    <row r="7330" spans="3:3" ht="15" customHeight="1">
      <c r="C7330" s="70" t="str">
        <f t="shared" si="116"/>
        <v/>
      </c>
    </row>
    <row r="7331" spans="3:3" ht="15" customHeight="1">
      <c r="C7331" s="70" t="str">
        <f t="shared" si="116"/>
        <v/>
      </c>
    </row>
    <row r="7332" spans="3:3" ht="15" customHeight="1">
      <c r="C7332" s="70" t="str">
        <f t="shared" si="116"/>
        <v/>
      </c>
    </row>
    <row r="7333" spans="3:3" ht="15" customHeight="1">
      <c r="C7333" s="70" t="str">
        <f t="shared" si="116"/>
        <v/>
      </c>
    </row>
    <row r="7334" spans="3:3" ht="15" customHeight="1">
      <c r="C7334" s="70" t="str">
        <f t="shared" si="116"/>
        <v/>
      </c>
    </row>
    <row r="7335" spans="3:3" ht="15" customHeight="1">
      <c r="C7335" s="70" t="str">
        <f t="shared" si="116"/>
        <v/>
      </c>
    </row>
    <row r="7336" spans="3:3" ht="15" customHeight="1">
      <c r="C7336" s="70" t="str">
        <f t="shared" si="116"/>
        <v/>
      </c>
    </row>
    <row r="7337" spans="3:3" ht="15" customHeight="1">
      <c r="C7337" s="70" t="str">
        <f t="shared" si="116"/>
        <v/>
      </c>
    </row>
    <row r="7338" spans="3:3" ht="15" customHeight="1">
      <c r="C7338" s="70" t="str">
        <f t="shared" si="116"/>
        <v/>
      </c>
    </row>
    <row r="7339" spans="3:3" ht="15" customHeight="1">
      <c r="C7339" s="70" t="str">
        <f t="shared" si="116"/>
        <v/>
      </c>
    </row>
    <row r="7340" spans="3:3" ht="15" customHeight="1">
      <c r="C7340" s="70" t="str">
        <f t="shared" si="116"/>
        <v/>
      </c>
    </row>
    <row r="7341" spans="3:3" ht="15" customHeight="1">
      <c r="C7341" s="70" t="str">
        <f t="shared" si="116"/>
        <v/>
      </c>
    </row>
    <row r="7342" spans="3:3" ht="15" customHeight="1">
      <c r="C7342" s="70" t="str">
        <f t="shared" si="116"/>
        <v/>
      </c>
    </row>
    <row r="7343" spans="3:3" ht="15" customHeight="1">
      <c r="C7343" s="70" t="str">
        <f t="shared" si="116"/>
        <v/>
      </c>
    </row>
    <row r="7344" spans="3:3" ht="15" customHeight="1">
      <c r="C7344" s="70" t="str">
        <f t="shared" si="116"/>
        <v/>
      </c>
    </row>
    <row r="7345" spans="3:3" ht="15" customHeight="1">
      <c r="C7345" s="70" t="str">
        <f t="shared" si="116"/>
        <v/>
      </c>
    </row>
    <row r="7346" spans="3:3" ht="15" customHeight="1">
      <c r="C7346" s="70" t="str">
        <f t="shared" si="116"/>
        <v/>
      </c>
    </row>
    <row r="7347" spans="3:3" ht="15" customHeight="1">
      <c r="C7347" s="70" t="str">
        <f t="shared" si="116"/>
        <v/>
      </c>
    </row>
    <row r="7348" spans="3:3" ht="15" customHeight="1">
      <c r="C7348" s="70" t="str">
        <f t="shared" si="116"/>
        <v/>
      </c>
    </row>
    <row r="7349" spans="3:3" ht="15" customHeight="1">
      <c r="C7349" s="70" t="str">
        <f t="shared" si="116"/>
        <v/>
      </c>
    </row>
    <row r="7350" spans="3:3" ht="15" customHeight="1">
      <c r="C7350" s="70" t="str">
        <f t="shared" si="116"/>
        <v/>
      </c>
    </row>
    <row r="7351" spans="3:3" ht="15" customHeight="1">
      <c r="C7351" s="70" t="str">
        <f t="shared" si="116"/>
        <v/>
      </c>
    </row>
    <row r="7352" spans="3:3" ht="15" customHeight="1">
      <c r="C7352" s="70" t="str">
        <f t="shared" si="116"/>
        <v/>
      </c>
    </row>
    <row r="7353" spans="3:3" ht="15" customHeight="1">
      <c r="C7353" s="70" t="str">
        <f t="shared" si="116"/>
        <v/>
      </c>
    </row>
    <row r="7354" spans="3:3" ht="15" customHeight="1">
      <c r="C7354" s="70" t="str">
        <f t="shared" si="116"/>
        <v/>
      </c>
    </row>
    <row r="7355" spans="3:3" ht="15" customHeight="1">
      <c r="C7355" s="70" t="str">
        <f t="shared" si="116"/>
        <v/>
      </c>
    </row>
    <row r="7356" spans="3:3" ht="15" customHeight="1">
      <c r="C7356" s="70" t="str">
        <f t="shared" si="116"/>
        <v/>
      </c>
    </row>
    <row r="7357" spans="3:3" ht="15" customHeight="1">
      <c r="C7357" s="70" t="str">
        <f t="shared" si="116"/>
        <v/>
      </c>
    </row>
    <row r="7358" spans="3:3" ht="15" customHeight="1">
      <c r="C7358" s="70" t="str">
        <f t="shared" si="116"/>
        <v/>
      </c>
    </row>
    <row r="7359" spans="3:3" ht="15" customHeight="1">
      <c r="C7359" s="70" t="str">
        <f t="shared" si="116"/>
        <v/>
      </c>
    </row>
    <row r="7360" spans="3:3" ht="15" customHeight="1">
      <c r="C7360" s="70" t="str">
        <f t="shared" si="116"/>
        <v/>
      </c>
    </row>
    <row r="7361" spans="3:3" ht="15" customHeight="1">
      <c r="C7361" s="70" t="str">
        <f t="shared" si="116"/>
        <v/>
      </c>
    </row>
    <row r="7362" spans="3:3" ht="15" customHeight="1">
      <c r="C7362" s="70" t="str">
        <f t="shared" si="116"/>
        <v/>
      </c>
    </row>
    <row r="7363" spans="3:3" ht="15" customHeight="1">
      <c r="C7363" s="70" t="str">
        <f t="shared" si="116"/>
        <v/>
      </c>
    </row>
    <row r="7364" spans="3:3" ht="15" customHeight="1">
      <c r="C7364" s="70" t="str">
        <f t="shared" si="116"/>
        <v/>
      </c>
    </row>
    <row r="7365" spans="3:3" ht="15" customHeight="1">
      <c r="C7365" s="70" t="str">
        <f t="shared" si="116"/>
        <v/>
      </c>
    </row>
    <row r="7366" spans="3:3" ht="15" customHeight="1">
      <c r="C7366" s="70" t="str">
        <f t="shared" si="116"/>
        <v/>
      </c>
    </row>
    <row r="7367" spans="3:3" ht="15" customHeight="1">
      <c r="C7367" s="70" t="str">
        <f t="shared" si="116"/>
        <v/>
      </c>
    </row>
    <row r="7368" spans="3:3" ht="15" customHeight="1">
      <c r="C7368" s="70" t="str">
        <f t="shared" si="116"/>
        <v/>
      </c>
    </row>
    <row r="7369" spans="3:3" ht="15" customHeight="1">
      <c r="C7369" s="70" t="str">
        <f t="shared" si="116"/>
        <v/>
      </c>
    </row>
    <row r="7370" spans="3:3" ht="15" customHeight="1">
      <c r="C7370" s="70" t="str">
        <f t="shared" si="116"/>
        <v/>
      </c>
    </row>
    <row r="7371" spans="3:3" ht="15" customHeight="1">
      <c r="C7371" s="70" t="str">
        <f t="shared" si="116"/>
        <v/>
      </c>
    </row>
    <row r="7372" spans="3:3" ht="15" customHeight="1">
      <c r="C7372" s="70" t="str">
        <f t="shared" si="116"/>
        <v/>
      </c>
    </row>
    <row r="7373" spans="3:3" ht="15" customHeight="1">
      <c r="C7373" s="70" t="str">
        <f t="shared" si="116"/>
        <v/>
      </c>
    </row>
    <row r="7374" spans="3:3" ht="15" customHeight="1">
      <c r="C7374" s="70" t="str">
        <f t="shared" si="116"/>
        <v/>
      </c>
    </row>
    <row r="7375" spans="3:3" ht="15" customHeight="1">
      <c r="C7375" s="70" t="str">
        <f t="shared" si="116"/>
        <v/>
      </c>
    </row>
    <row r="7376" spans="3:3" ht="15" customHeight="1">
      <c r="C7376" s="70" t="str">
        <f t="shared" si="116"/>
        <v/>
      </c>
    </row>
    <row r="7377" spans="3:3" ht="15" customHeight="1">
      <c r="C7377" s="70" t="str">
        <f t="shared" ref="C7377:C7440" si="117">IF(B7377&lt;&gt;"",TEXT(WEEKDAY(B7377),"dddd"),"")</f>
        <v/>
      </c>
    </row>
    <row r="7378" spans="3:3" ht="15" customHeight="1">
      <c r="C7378" s="70" t="str">
        <f t="shared" si="117"/>
        <v/>
      </c>
    </row>
    <row r="7379" spans="3:3" ht="15" customHeight="1">
      <c r="C7379" s="70" t="str">
        <f t="shared" si="117"/>
        <v/>
      </c>
    </row>
    <row r="7380" spans="3:3" ht="15" customHeight="1">
      <c r="C7380" s="70" t="str">
        <f t="shared" si="117"/>
        <v/>
      </c>
    </row>
    <row r="7381" spans="3:3" ht="15" customHeight="1">
      <c r="C7381" s="70" t="str">
        <f t="shared" si="117"/>
        <v/>
      </c>
    </row>
    <row r="7382" spans="3:3" ht="15" customHeight="1">
      <c r="C7382" s="70" t="str">
        <f t="shared" si="117"/>
        <v/>
      </c>
    </row>
    <row r="7383" spans="3:3" ht="15" customHeight="1">
      <c r="C7383" s="70" t="str">
        <f t="shared" si="117"/>
        <v/>
      </c>
    </row>
    <row r="7384" spans="3:3" ht="15" customHeight="1">
      <c r="C7384" s="70" t="str">
        <f t="shared" si="117"/>
        <v/>
      </c>
    </row>
    <row r="7385" spans="3:3" ht="15" customHeight="1">
      <c r="C7385" s="70" t="str">
        <f t="shared" si="117"/>
        <v/>
      </c>
    </row>
    <row r="7386" spans="3:3" ht="15" customHeight="1">
      <c r="C7386" s="70" t="str">
        <f t="shared" si="117"/>
        <v/>
      </c>
    </row>
    <row r="7387" spans="3:3" ht="15" customHeight="1">
      <c r="C7387" s="70" t="str">
        <f t="shared" si="117"/>
        <v/>
      </c>
    </row>
    <row r="7388" spans="3:3" ht="15" customHeight="1">
      <c r="C7388" s="70" t="str">
        <f t="shared" si="117"/>
        <v/>
      </c>
    </row>
    <row r="7389" spans="3:3" ht="15" customHeight="1">
      <c r="C7389" s="70" t="str">
        <f t="shared" si="117"/>
        <v/>
      </c>
    </row>
    <row r="7390" spans="3:3" ht="15" customHeight="1">
      <c r="C7390" s="70" t="str">
        <f t="shared" si="117"/>
        <v/>
      </c>
    </row>
    <row r="7391" spans="3:3" ht="15" customHeight="1">
      <c r="C7391" s="70" t="str">
        <f t="shared" si="117"/>
        <v/>
      </c>
    </row>
    <row r="7392" spans="3:3" ht="15" customHeight="1">
      <c r="C7392" s="70" t="str">
        <f t="shared" si="117"/>
        <v/>
      </c>
    </row>
    <row r="7393" spans="3:3" ht="15" customHeight="1">
      <c r="C7393" s="70" t="str">
        <f t="shared" si="117"/>
        <v/>
      </c>
    </row>
    <row r="7394" spans="3:3" ht="15" customHeight="1">
      <c r="C7394" s="70" t="str">
        <f t="shared" si="117"/>
        <v/>
      </c>
    </row>
    <row r="7395" spans="3:3" ht="15" customHeight="1">
      <c r="C7395" s="70" t="str">
        <f t="shared" si="117"/>
        <v/>
      </c>
    </row>
    <row r="7396" spans="3:3" ht="15" customHeight="1">
      <c r="C7396" s="70" t="str">
        <f t="shared" si="117"/>
        <v/>
      </c>
    </row>
    <row r="7397" spans="3:3" ht="15" customHeight="1">
      <c r="C7397" s="70" t="str">
        <f t="shared" si="117"/>
        <v/>
      </c>
    </row>
    <row r="7398" spans="3:3" ht="15" customHeight="1">
      <c r="C7398" s="70" t="str">
        <f t="shared" si="117"/>
        <v/>
      </c>
    </row>
    <row r="7399" spans="3:3" ht="15" customHeight="1">
      <c r="C7399" s="70" t="str">
        <f t="shared" si="117"/>
        <v/>
      </c>
    </row>
    <row r="7400" spans="3:3" ht="15" customHeight="1">
      <c r="C7400" s="70" t="str">
        <f t="shared" si="117"/>
        <v/>
      </c>
    </row>
    <row r="7401" spans="3:3" ht="15" customHeight="1">
      <c r="C7401" s="70" t="str">
        <f t="shared" si="117"/>
        <v/>
      </c>
    </row>
    <row r="7402" spans="3:3" ht="15" customHeight="1">
      <c r="C7402" s="70" t="str">
        <f t="shared" si="117"/>
        <v/>
      </c>
    </row>
    <row r="7403" spans="3:3" ht="15" customHeight="1">
      <c r="C7403" s="70" t="str">
        <f t="shared" si="117"/>
        <v/>
      </c>
    </row>
    <row r="7404" spans="3:3" ht="15" customHeight="1">
      <c r="C7404" s="70" t="str">
        <f t="shared" si="117"/>
        <v/>
      </c>
    </row>
    <row r="7405" spans="3:3" ht="15" customHeight="1">
      <c r="C7405" s="70" t="str">
        <f t="shared" si="117"/>
        <v/>
      </c>
    </row>
    <row r="7406" spans="3:3" ht="15" customHeight="1">
      <c r="C7406" s="70" t="str">
        <f t="shared" si="117"/>
        <v/>
      </c>
    </row>
    <row r="7407" spans="3:3" ht="15" customHeight="1">
      <c r="C7407" s="70" t="str">
        <f t="shared" si="117"/>
        <v/>
      </c>
    </row>
    <row r="7408" spans="3:3" ht="15" customHeight="1">
      <c r="C7408" s="70" t="str">
        <f t="shared" si="117"/>
        <v/>
      </c>
    </row>
    <row r="7409" spans="3:3" ht="15" customHeight="1">
      <c r="C7409" s="70" t="str">
        <f t="shared" si="117"/>
        <v/>
      </c>
    </row>
    <row r="7410" spans="3:3" ht="15" customHeight="1">
      <c r="C7410" s="70" t="str">
        <f t="shared" si="117"/>
        <v/>
      </c>
    </row>
    <row r="7411" spans="3:3" ht="15" customHeight="1">
      <c r="C7411" s="70" t="str">
        <f t="shared" si="117"/>
        <v/>
      </c>
    </row>
    <row r="7412" spans="3:3" ht="15" customHeight="1">
      <c r="C7412" s="70" t="str">
        <f t="shared" si="117"/>
        <v/>
      </c>
    </row>
    <row r="7413" spans="3:3" ht="15" customHeight="1">
      <c r="C7413" s="70" t="str">
        <f t="shared" si="117"/>
        <v/>
      </c>
    </row>
    <row r="7414" spans="3:3" ht="15" customHeight="1">
      <c r="C7414" s="70" t="str">
        <f t="shared" si="117"/>
        <v/>
      </c>
    </row>
    <row r="7415" spans="3:3" ht="15" customHeight="1">
      <c r="C7415" s="70" t="str">
        <f t="shared" si="117"/>
        <v/>
      </c>
    </row>
    <row r="7416" spans="3:3" ht="15" customHeight="1">
      <c r="C7416" s="70" t="str">
        <f t="shared" si="117"/>
        <v/>
      </c>
    </row>
    <row r="7417" spans="3:3" ht="15" customHeight="1">
      <c r="C7417" s="70" t="str">
        <f t="shared" si="117"/>
        <v/>
      </c>
    </row>
    <row r="7418" spans="3:3" ht="15" customHeight="1">
      <c r="C7418" s="70" t="str">
        <f t="shared" si="117"/>
        <v/>
      </c>
    </row>
    <row r="7419" spans="3:3" ht="15" customHeight="1">
      <c r="C7419" s="70" t="str">
        <f t="shared" si="117"/>
        <v/>
      </c>
    </row>
    <row r="7420" spans="3:3" ht="15" customHeight="1">
      <c r="C7420" s="70" t="str">
        <f t="shared" si="117"/>
        <v/>
      </c>
    </row>
    <row r="7421" spans="3:3" ht="15" customHeight="1">
      <c r="C7421" s="70" t="str">
        <f t="shared" si="117"/>
        <v/>
      </c>
    </row>
    <row r="7422" spans="3:3" ht="15" customHeight="1">
      <c r="C7422" s="70" t="str">
        <f t="shared" si="117"/>
        <v/>
      </c>
    </row>
    <row r="7423" spans="3:3" ht="15" customHeight="1">
      <c r="C7423" s="70" t="str">
        <f t="shared" si="117"/>
        <v/>
      </c>
    </row>
    <row r="7424" spans="3:3" ht="15" customHeight="1">
      <c r="C7424" s="70" t="str">
        <f t="shared" si="117"/>
        <v/>
      </c>
    </row>
    <row r="7425" spans="3:3" ht="15" customHeight="1">
      <c r="C7425" s="70" t="str">
        <f t="shared" si="117"/>
        <v/>
      </c>
    </row>
    <row r="7426" spans="3:3" ht="15" customHeight="1">
      <c r="C7426" s="70" t="str">
        <f t="shared" si="117"/>
        <v/>
      </c>
    </row>
    <row r="7427" spans="3:3" ht="15" customHeight="1">
      <c r="C7427" s="70" t="str">
        <f t="shared" si="117"/>
        <v/>
      </c>
    </row>
    <row r="7428" spans="3:3" ht="15" customHeight="1">
      <c r="C7428" s="70" t="str">
        <f t="shared" si="117"/>
        <v/>
      </c>
    </row>
    <row r="7429" spans="3:3" ht="15" customHeight="1">
      <c r="C7429" s="70" t="str">
        <f t="shared" si="117"/>
        <v/>
      </c>
    </row>
    <row r="7430" spans="3:3" ht="15" customHeight="1">
      <c r="C7430" s="70" t="str">
        <f t="shared" si="117"/>
        <v/>
      </c>
    </row>
    <row r="7431" spans="3:3" ht="15" customHeight="1">
      <c r="C7431" s="70" t="str">
        <f t="shared" si="117"/>
        <v/>
      </c>
    </row>
    <row r="7432" spans="3:3" ht="15" customHeight="1">
      <c r="C7432" s="70" t="str">
        <f t="shared" si="117"/>
        <v/>
      </c>
    </row>
    <row r="7433" spans="3:3" ht="15" customHeight="1">
      <c r="C7433" s="70" t="str">
        <f t="shared" si="117"/>
        <v/>
      </c>
    </row>
    <row r="7434" spans="3:3" ht="15" customHeight="1">
      <c r="C7434" s="70" t="str">
        <f t="shared" si="117"/>
        <v/>
      </c>
    </row>
    <row r="7435" spans="3:3" ht="15" customHeight="1">
      <c r="C7435" s="70" t="str">
        <f t="shared" si="117"/>
        <v/>
      </c>
    </row>
    <row r="7436" spans="3:3" ht="15" customHeight="1">
      <c r="C7436" s="70" t="str">
        <f t="shared" si="117"/>
        <v/>
      </c>
    </row>
    <row r="7437" spans="3:3" ht="15" customHeight="1">
      <c r="C7437" s="70" t="str">
        <f t="shared" si="117"/>
        <v/>
      </c>
    </row>
    <row r="7438" spans="3:3" ht="15" customHeight="1">
      <c r="C7438" s="70" t="str">
        <f t="shared" si="117"/>
        <v/>
      </c>
    </row>
    <row r="7439" spans="3:3" ht="15" customHeight="1">
      <c r="C7439" s="70" t="str">
        <f t="shared" si="117"/>
        <v/>
      </c>
    </row>
    <row r="7440" spans="3:3" ht="15" customHeight="1">
      <c r="C7440" s="70" t="str">
        <f t="shared" si="117"/>
        <v/>
      </c>
    </row>
    <row r="7441" spans="3:3" ht="15" customHeight="1">
      <c r="C7441" s="70" t="str">
        <f t="shared" ref="C7441:C7504" si="118">IF(B7441&lt;&gt;"",TEXT(WEEKDAY(B7441),"dddd"),"")</f>
        <v/>
      </c>
    </row>
    <row r="7442" spans="3:3" ht="15" customHeight="1">
      <c r="C7442" s="70" t="str">
        <f t="shared" si="118"/>
        <v/>
      </c>
    </row>
    <row r="7443" spans="3:3" ht="15" customHeight="1">
      <c r="C7443" s="70" t="str">
        <f t="shared" si="118"/>
        <v/>
      </c>
    </row>
    <row r="7444" spans="3:3" ht="15" customHeight="1">
      <c r="C7444" s="70" t="str">
        <f t="shared" si="118"/>
        <v/>
      </c>
    </row>
    <row r="7445" spans="3:3" ht="15" customHeight="1">
      <c r="C7445" s="70" t="str">
        <f t="shared" si="118"/>
        <v/>
      </c>
    </row>
    <row r="7446" spans="3:3" ht="15" customHeight="1">
      <c r="C7446" s="70" t="str">
        <f t="shared" si="118"/>
        <v/>
      </c>
    </row>
    <row r="7447" spans="3:3" ht="15" customHeight="1">
      <c r="C7447" s="70" t="str">
        <f t="shared" si="118"/>
        <v/>
      </c>
    </row>
    <row r="7448" spans="3:3" ht="15" customHeight="1">
      <c r="C7448" s="70" t="str">
        <f t="shared" si="118"/>
        <v/>
      </c>
    </row>
    <row r="7449" spans="3:3" ht="15" customHeight="1">
      <c r="C7449" s="70" t="str">
        <f t="shared" si="118"/>
        <v/>
      </c>
    </row>
    <row r="7450" spans="3:3" ht="15" customHeight="1">
      <c r="C7450" s="70" t="str">
        <f t="shared" si="118"/>
        <v/>
      </c>
    </row>
    <row r="7451" spans="3:3" ht="15" customHeight="1">
      <c r="C7451" s="70" t="str">
        <f t="shared" si="118"/>
        <v/>
      </c>
    </row>
    <row r="7452" spans="3:3" ht="15" customHeight="1">
      <c r="C7452" s="70" t="str">
        <f t="shared" si="118"/>
        <v/>
      </c>
    </row>
    <row r="7453" spans="3:3" ht="15" customHeight="1">
      <c r="C7453" s="70" t="str">
        <f t="shared" si="118"/>
        <v/>
      </c>
    </row>
    <row r="7454" spans="3:3" ht="15" customHeight="1">
      <c r="C7454" s="70" t="str">
        <f t="shared" si="118"/>
        <v/>
      </c>
    </row>
    <row r="7455" spans="3:3" ht="15" customHeight="1">
      <c r="C7455" s="70" t="str">
        <f t="shared" si="118"/>
        <v/>
      </c>
    </row>
    <row r="7456" spans="3:3" ht="15" customHeight="1">
      <c r="C7456" s="70" t="str">
        <f t="shared" si="118"/>
        <v/>
      </c>
    </row>
    <row r="7457" spans="3:3" ht="15" customHeight="1">
      <c r="C7457" s="70" t="str">
        <f t="shared" si="118"/>
        <v/>
      </c>
    </row>
    <row r="7458" spans="3:3" ht="15" customHeight="1">
      <c r="C7458" s="70" t="str">
        <f t="shared" si="118"/>
        <v/>
      </c>
    </row>
    <row r="7459" spans="3:3" ht="15" customHeight="1">
      <c r="C7459" s="70" t="str">
        <f t="shared" si="118"/>
        <v/>
      </c>
    </row>
    <row r="7460" spans="3:3" ht="15" customHeight="1">
      <c r="C7460" s="70" t="str">
        <f t="shared" si="118"/>
        <v/>
      </c>
    </row>
    <row r="7461" spans="3:3" ht="15" customHeight="1">
      <c r="C7461" s="70" t="str">
        <f t="shared" si="118"/>
        <v/>
      </c>
    </row>
    <row r="7462" spans="3:3" ht="15" customHeight="1">
      <c r="C7462" s="70" t="str">
        <f t="shared" si="118"/>
        <v/>
      </c>
    </row>
    <row r="7463" spans="3:3" ht="15" customHeight="1">
      <c r="C7463" s="70" t="str">
        <f t="shared" si="118"/>
        <v/>
      </c>
    </row>
    <row r="7464" spans="3:3" ht="15" customHeight="1">
      <c r="C7464" s="70" t="str">
        <f t="shared" si="118"/>
        <v/>
      </c>
    </row>
    <row r="7465" spans="3:3" ht="15" customHeight="1">
      <c r="C7465" s="70" t="str">
        <f t="shared" si="118"/>
        <v/>
      </c>
    </row>
    <row r="7466" spans="3:3" ht="15" customHeight="1">
      <c r="C7466" s="70" t="str">
        <f t="shared" si="118"/>
        <v/>
      </c>
    </row>
    <row r="7467" spans="3:3" ht="15" customHeight="1">
      <c r="C7467" s="70" t="str">
        <f t="shared" si="118"/>
        <v/>
      </c>
    </row>
    <row r="7468" spans="3:3" ht="15" customHeight="1">
      <c r="C7468" s="70" t="str">
        <f t="shared" si="118"/>
        <v/>
      </c>
    </row>
    <row r="7469" spans="3:3" ht="15" customHeight="1">
      <c r="C7469" s="70" t="str">
        <f t="shared" si="118"/>
        <v/>
      </c>
    </row>
    <row r="7470" spans="3:3" ht="15" customHeight="1">
      <c r="C7470" s="70" t="str">
        <f t="shared" si="118"/>
        <v/>
      </c>
    </row>
    <row r="7471" spans="3:3" ht="15" customHeight="1">
      <c r="C7471" s="70" t="str">
        <f t="shared" si="118"/>
        <v/>
      </c>
    </row>
    <row r="7472" spans="3:3" ht="15" customHeight="1">
      <c r="C7472" s="70" t="str">
        <f t="shared" si="118"/>
        <v/>
      </c>
    </row>
    <row r="7473" spans="3:3" ht="15" customHeight="1">
      <c r="C7473" s="70" t="str">
        <f t="shared" si="118"/>
        <v/>
      </c>
    </row>
    <row r="7474" spans="3:3" ht="15" customHeight="1">
      <c r="C7474" s="70" t="str">
        <f t="shared" si="118"/>
        <v/>
      </c>
    </row>
    <row r="7475" spans="3:3" ht="15" customHeight="1">
      <c r="C7475" s="70" t="str">
        <f t="shared" si="118"/>
        <v/>
      </c>
    </row>
    <row r="7476" spans="3:3" ht="15" customHeight="1">
      <c r="C7476" s="70" t="str">
        <f t="shared" si="118"/>
        <v/>
      </c>
    </row>
    <row r="7477" spans="3:3" ht="15" customHeight="1">
      <c r="C7477" s="70" t="str">
        <f t="shared" si="118"/>
        <v/>
      </c>
    </row>
    <row r="7478" spans="3:3" ht="15" customHeight="1">
      <c r="C7478" s="70" t="str">
        <f t="shared" si="118"/>
        <v/>
      </c>
    </row>
    <row r="7479" spans="3:3" ht="15" customHeight="1">
      <c r="C7479" s="70" t="str">
        <f t="shared" si="118"/>
        <v/>
      </c>
    </row>
    <row r="7480" spans="3:3" ht="15" customHeight="1">
      <c r="C7480" s="70" t="str">
        <f t="shared" si="118"/>
        <v/>
      </c>
    </row>
    <row r="7481" spans="3:3" ht="15" customHeight="1">
      <c r="C7481" s="70" t="str">
        <f t="shared" si="118"/>
        <v/>
      </c>
    </row>
    <row r="7482" spans="3:3" ht="15" customHeight="1">
      <c r="C7482" s="70" t="str">
        <f t="shared" si="118"/>
        <v/>
      </c>
    </row>
    <row r="7483" spans="3:3" ht="15" customHeight="1">
      <c r="C7483" s="70" t="str">
        <f t="shared" si="118"/>
        <v/>
      </c>
    </row>
    <row r="7484" spans="3:3" ht="15" customHeight="1">
      <c r="C7484" s="70" t="str">
        <f t="shared" si="118"/>
        <v/>
      </c>
    </row>
    <row r="7485" spans="3:3" ht="15" customHeight="1">
      <c r="C7485" s="70" t="str">
        <f t="shared" si="118"/>
        <v/>
      </c>
    </row>
    <row r="7486" spans="3:3" ht="15" customHeight="1">
      <c r="C7486" s="70" t="str">
        <f t="shared" si="118"/>
        <v/>
      </c>
    </row>
    <row r="7487" spans="3:3" ht="15" customHeight="1">
      <c r="C7487" s="70" t="str">
        <f t="shared" si="118"/>
        <v/>
      </c>
    </row>
    <row r="7488" spans="3:3" ht="15" customHeight="1">
      <c r="C7488" s="70" t="str">
        <f t="shared" si="118"/>
        <v/>
      </c>
    </row>
    <row r="7489" spans="3:3" ht="15" customHeight="1">
      <c r="C7489" s="70" t="str">
        <f t="shared" si="118"/>
        <v/>
      </c>
    </row>
    <row r="7490" spans="3:3" ht="15" customHeight="1">
      <c r="C7490" s="70" t="str">
        <f t="shared" si="118"/>
        <v/>
      </c>
    </row>
    <row r="7491" spans="3:3" ht="15" customHeight="1">
      <c r="C7491" s="70" t="str">
        <f t="shared" si="118"/>
        <v/>
      </c>
    </row>
    <row r="7492" spans="3:3" ht="15" customHeight="1">
      <c r="C7492" s="70" t="str">
        <f t="shared" si="118"/>
        <v/>
      </c>
    </row>
    <row r="7493" spans="3:3" ht="15" customHeight="1">
      <c r="C7493" s="70" t="str">
        <f t="shared" si="118"/>
        <v/>
      </c>
    </row>
    <row r="7494" spans="3:3" ht="15" customHeight="1">
      <c r="C7494" s="70" t="str">
        <f t="shared" si="118"/>
        <v/>
      </c>
    </row>
    <row r="7495" spans="3:3" ht="15" customHeight="1">
      <c r="C7495" s="70" t="str">
        <f t="shared" si="118"/>
        <v/>
      </c>
    </row>
    <row r="7496" spans="3:3" ht="15" customHeight="1">
      <c r="C7496" s="70" t="str">
        <f t="shared" si="118"/>
        <v/>
      </c>
    </row>
    <row r="7497" spans="3:3" ht="15" customHeight="1">
      <c r="C7497" s="70" t="str">
        <f t="shared" si="118"/>
        <v/>
      </c>
    </row>
    <row r="7498" spans="3:3" ht="15" customHeight="1">
      <c r="C7498" s="70" t="str">
        <f t="shared" si="118"/>
        <v/>
      </c>
    </row>
    <row r="7499" spans="3:3" ht="15" customHeight="1">
      <c r="C7499" s="70" t="str">
        <f t="shared" si="118"/>
        <v/>
      </c>
    </row>
    <row r="7500" spans="3:3" ht="15" customHeight="1">
      <c r="C7500" s="70" t="str">
        <f t="shared" si="118"/>
        <v/>
      </c>
    </row>
    <row r="7501" spans="3:3" ht="15" customHeight="1">
      <c r="C7501" s="70" t="str">
        <f t="shared" si="118"/>
        <v/>
      </c>
    </row>
    <row r="7502" spans="3:3" ht="15" customHeight="1">
      <c r="C7502" s="70" t="str">
        <f t="shared" si="118"/>
        <v/>
      </c>
    </row>
    <row r="7503" spans="3:3" ht="15" customHeight="1">
      <c r="C7503" s="70" t="str">
        <f t="shared" si="118"/>
        <v/>
      </c>
    </row>
    <row r="7504" spans="3:3" ht="15" customHeight="1">
      <c r="C7504" s="70" t="str">
        <f t="shared" si="118"/>
        <v/>
      </c>
    </row>
    <row r="7505" spans="3:3" ht="15" customHeight="1">
      <c r="C7505" s="70" t="str">
        <f t="shared" ref="C7505:C7568" si="119">IF(B7505&lt;&gt;"",TEXT(WEEKDAY(B7505),"dddd"),"")</f>
        <v/>
      </c>
    </row>
    <row r="7506" spans="3:3" ht="15" customHeight="1">
      <c r="C7506" s="70" t="str">
        <f t="shared" si="119"/>
        <v/>
      </c>
    </row>
    <row r="7507" spans="3:3" ht="15" customHeight="1">
      <c r="C7507" s="70" t="str">
        <f t="shared" si="119"/>
        <v/>
      </c>
    </row>
    <row r="7508" spans="3:3" ht="15" customHeight="1">
      <c r="C7508" s="70" t="str">
        <f t="shared" si="119"/>
        <v/>
      </c>
    </row>
    <row r="7509" spans="3:3" ht="15" customHeight="1">
      <c r="C7509" s="70" t="str">
        <f t="shared" si="119"/>
        <v/>
      </c>
    </row>
    <row r="7510" spans="3:3" ht="15" customHeight="1">
      <c r="C7510" s="70" t="str">
        <f t="shared" si="119"/>
        <v/>
      </c>
    </row>
    <row r="7511" spans="3:3" ht="15" customHeight="1">
      <c r="C7511" s="70" t="str">
        <f t="shared" si="119"/>
        <v/>
      </c>
    </row>
    <row r="7512" spans="3:3" ht="15" customHeight="1">
      <c r="C7512" s="70" t="str">
        <f t="shared" si="119"/>
        <v/>
      </c>
    </row>
    <row r="7513" spans="3:3" ht="15" customHeight="1">
      <c r="C7513" s="70" t="str">
        <f t="shared" si="119"/>
        <v/>
      </c>
    </row>
    <row r="7514" spans="3:3" ht="15" customHeight="1">
      <c r="C7514" s="70" t="str">
        <f t="shared" si="119"/>
        <v/>
      </c>
    </row>
    <row r="7515" spans="3:3" ht="15" customHeight="1">
      <c r="C7515" s="70" t="str">
        <f t="shared" si="119"/>
        <v/>
      </c>
    </row>
    <row r="7516" spans="3:3" ht="15" customHeight="1">
      <c r="C7516" s="70" t="str">
        <f t="shared" si="119"/>
        <v/>
      </c>
    </row>
    <row r="7517" spans="3:3" ht="15" customHeight="1">
      <c r="C7517" s="70" t="str">
        <f t="shared" si="119"/>
        <v/>
      </c>
    </row>
    <row r="7518" spans="3:3" ht="15" customHeight="1">
      <c r="C7518" s="70" t="str">
        <f t="shared" si="119"/>
        <v/>
      </c>
    </row>
    <row r="7519" spans="3:3" ht="15" customHeight="1">
      <c r="C7519" s="70" t="str">
        <f t="shared" si="119"/>
        <v/>
      </c>
    </row>
    <row r="7520" spans="3:3" ht="15" customHeight="1">
      <c r="C7520" s="70" t="str">
        <f t="shared" si="119"/>
        <v/>
      </c>
    </row>
    <row r="7521" spans="3:3" ht="15" customHeight="1">
      <c r="C7521" s="70" t="str">
        <f t="shared" si="119"/>
        <v/>
      </c>
    </row>
    <row r="7522" spans="3:3" ht="15" customHeight="1">
      <c r="C7522" s="70" t="str">
        <f t="shared" si="119"/>
        <v/>
      </c>
    </row>
    <row r="7523" spans="3:3" ht="15" customHeight="1">
      <c r="C7523" s="70" t="str">
        <f t="shared" si="119"/>
        <v/>
      </c>
    </row>
    <row r="7524" spans="3:3" ht="15" customHeight="1">
      <c r="C7524" s="70" t="str">
        <f t="shared" si="119"/>
        <v/>
      </c>
    </row>
    <row r="7525" spans="3:3" ht="15" customHeight="1">
      <c r="C7525" s="70" t="str">
        <f t="shared" si="119"/>
        <v/>
      </c>
    </row>
    <row r="7526" spans="3:3" ht="15" customHeight="1">
      <c r="C7526" s="70" t="str">
        <f t="shared" si="119"/>
        <v/>
      </c>
    </row>
    <row r="7527" spans="3:3" ht="15" customHeight="1">
      <c r="C7527" s="70" t="str">
        <f t="shared" si="119"/>
        <v/>
      </c>
    </row>
    <row r="7528" spans="3:3" ht="15" customHeight="1">
      <c r="C7528" s="70" t="str">
        <f t="shared" si="119"/>
        <v/>
      </c>
    </row>
    <row r="7529" spans="3:3" ht="15" customHeight="1">
      <c r="C7529" s="70" t="str">
        <f t="shared" si="119"/>
        <v/>
      </c>
    </row>
    <row r="7530" spans="3:3" ht="15" customHeight="1">
      <c r="C7530" s="70" t="str">
        <f t="shared" si="119"/>
        <v/>
      </c>
    </row>
    <row r="7531" spans="3:3" ht="15" customHeight="1">
      <c r="C7531" s="70" t="str">
        <f t="shared" si="119"/>
        <v/>
      </c>
    </row>
    <row r="7532" spans="3:3" ht="15" customHeight="1">
      <c r="C7532" s="70" t="str">
        <f t="shared" si="119"/>
        <v/>
      </c>
    </row>
    <row r="7533" spans="3:3" ht="15" customHeight="1">
      <c r="C7533" s="70" t="str">
        <f t="shared" si="119"/>
        <v/>
      </c>
    </row>
    <row r="7534" spans="3:3" ht="15" customHeight="1">
      <c r="C7534" s="70" t="str">
        <f t="shared" si="119"/>
        <v/>
      </c>
    </row>
    <row r="7535" spans="3:3" ht="15" customHeight="1">
      <c r="C7535" s="70" t="str">
        <f t="shared" si="119"/>
        <v/>
      </c>
    </row>
    <row r="7536" spans="3:3" ht="15" customHeight="1">
      <c r="C7536" s="70" t="str">
        <f t="shared" si="119"/>
        <v/>
      </c>
    </row>
    <row r="7537" spans="3:3" ht="15" customHeight="1">
      <c r="C7537" s="70" t="str">
        <f t="shared" si="119"/>
        <v/>
      </c>
    </row>
    <row r="7538" spans="3:3" ht="15" customHeight="1">
      <c r="C7538" s="70" t="str">
        <f t="shared" si="119"/>
        <v/>
      </c>
    </row>
    <row r="7539" spans="3:3" ht="15" customHeight="1">
      <c r="C7539" s="70" t="str">
        <f t="shared" si="119"/>
        <v/>
      </c>
    </row>
    <row r="7540" spans="3:3" ht="15" customHeight="1">
      <c r="C7540" s="70" t="str">
        <f t="shared" si="119"/>
        <v/>
      </c>
    </row>
    <row r="7541" spans="3:3" ht="15" customHeight="1">
      <c r="C7541" s="70" t="str">
        <f t="shared" si="119"/>
        <v/>
      </c>
    </row>
    <row r="7542" spans="3:3" ht="15" customHeight="1">
      <c r="C7542" s="70" t="str">
        <f t="shared" si="119"/>
        <v/>
      </c>
    </row>
    <row r="7543" spans="3:3" ht="15" customHeight="1">
      <c r="C7543" s="70" t="str">
        <f t="shared" si="119"/>
        <v/>
      </c>
    </row>
    <row r="7544" spans="3:3" ht="15" customHeight="1">
      <c r="C7544" s="70" t="str">
        <f t="shared" si="119"/>
        <v/>
      </c>
    </row>
    <row r="7545" spans="3:3" ht="15" customHeight="1">
      <c r="C7545" s="70" t="str">
        <f t="shared" si="119"/>
        <v/>
      </c>
    </row>
    <row r="7546" spans="3:3" ht="15" customHeight="1">
      <c r="C7546" s="70" t="str">
        <f t="shared" si="119"/>
        <v/>
      </c>
    </row>
    <row r="7547" spans="3:3" ht="15" customHeight="1">
      <c r="C7547" s="70" t="str">
        <f t="shared" si="119"/>
        <v/>
      </c>
    </row>
    <row r="7548" spans="3:3" ht="15" customHeight="1">
      <c r="C7548" s="70" t="str">
        <f t="shared" si="119"/>
        <v/>
      </c>
    </row>
    <row r="7549" spans="3:3" ht="15" customHeight="1">
      <c r="C7549" s="70" t="str">
        <f t="shared" si="119"/>
        <v/>
      </c>
    </row>
    <row r="7550" spans="3:3" ht="15" customHeight="1">
      <c r="C7550" s="70" t="str">
        <f t="shared" si="119"/>
        <v/>
      </c>
    </row>
    <row r="7551" spans="3:3" ht="15" customHeight="1">
      <c r="C7551" s="70" t="str">
        <f t="shared" si="119"/>
        <v/>
      </c>
    </row>
    <row r="7552" spans="3:3" ht="15" customHeight="1">
      <c r="C7552" s="70" t="str">
        <f t="shared" si="119"/>
        <v/>
      </c>
    </row>
    <row r="7553" spans="3:3" ht="15" customHeight="1">
      <c r="C7553" s="70" t="str">
        <f t="shared" si="119"/>
        <v/>
      </c>
    </row>
    <row r="7554" spans="3:3" ht="15" customHeight="1">
      <c r="C7554" s="70" t="str">
        <f t="shared" si="119"/>
        <v/>
      </c>
    </row>
    <row r="7555" spans="3:3" ht="15" customHeight="1">
      <c r="C7555" s="70" t="str">
        <f t="shared" si="119"/>
        <v/>
      </c>
    </row>
    <row r="7556" spans="3:3" ht="15" customHeight="1">
      <c r="C7556" s="70" t="str">
        <f t="shared" si="119"/>
        <v/>
      </c>
    </row>
    <row r="7557" spans="3:3" ht="15" customHeight="1">
      <c r="C7557" s="70" t="str">
        <f t="shared" si="119"/>
        <v/>
      </c>
    </row>
    <row r="7558" spans="3:3" ht="15" customHeight="1">
      <c r="C7558" s="70" t="str">
        <f t="shared" si="119"/>
        <v/>
      </c>
    </row>
    <row r="7559" spans="3:3" ht="15" customHeight="1">
      <c r="C7559" s="70" t="str">
        <f t="shared" si="119"/>
        <v/>
      </c>
    </row>
    <row r="7560" spans="3:3" ht="15" customHeight="1">
      <c r="C7560" s="70" t="str">
        <f t="shared" si="119"/>
        <v/>
      </c>
    </row>
    <row r="7561" spans="3:3" ht="15" customHeight="1">
      <c r="C7561" s="70" t="str">
        <f t="shared" si="119"/>
        <v/>
      </c>
    </row>
    <row r="7562" spans="3:3" ht="15" customHeight="1">
      <c r="C7562" s="70" t="str">
        <f t="shared" si="119"/>
        <v/>
      </c>
    </row>
    <row r="7563" spans="3:3" ht="15" customHeight="1">
      <c r="C7563" s="70" t="str">
        <f t="shared" si="119"/>
        <v/>
      </c>
    </row>
    <row r="7564" spans="3:3" ht="15" customHeight="1">
      <c r="C7564" s="70" t="str">
        <f t="shared" si="119"/>
        <v/>
      </c>
    </row>
    <row r="7565" spans="3:3" ht="15" customHeight="1">
      <c r="C7565" s="70" t="str">
        <f t="shared" si="119"/>
        <v/>
      </c>
    </row>
    <row r="7566" spans="3:3" ht="15" customHeight="1">
      <c r="C7566" s="70" t="str">
        <f t="shared" si="119"/>
        <v/>
      </c>
    </row>
    <row r="7567" spans="3:3" ht="15" customHeight="1">
      <c r="C7567" s="70" t="str">
        <f t="shared" si="119"/>
        <v/>
      </c>
    </row>
    <row r="7568" spans="3:3" ht="15" customHeight="1">
      <c r="C7568" s="70" t="str">
        <f t="shared" si="119"/>
        <v/>
      </c>
    </row>
    <row r="7569" spans="3:3" ht="15" customHeight="1">
      <c r="C7569" s="70" t="str">
        <f t="shared" ref="C7569:C7632" si="120">IF(B7569&lt;&gt;"",TEXT(WEEKDAY(B7569),"dddd"),"")</f>
        <v/>
      </c>
    </row>
    <row r="7570" spans="3:3" ht="15" customHeight="1">
      <c r="C7570" s="70" t="str">
        <f t="shared" si="120"/>
        <v/>
      </c>
    </row>
    <row r="7571" spans="3:3" ht="15" customHeight="1">
      <c r="C7571" s="70" t="str">
        <f t="shared" si="120"/>
        <v/>
      </c>
    </row>
    <row r="7572" spans="3:3" ht="15" customHeight="1">
      <c r="C7572" s="70" t="str">
        <f t="shared" si="120"/>
        <v/>
      </c>
    </row>
    <row r="7573" spans="3:3" ht="15" customHeight="1">
      <c r="C7573" s="70" t="str">
        <f t="shared" si="120"/>
        <v/>
      </c>
    </row>
    <row r="7574" spans="3:3" ht="15" customHeight="1">
      <c r="C7574" s="70" t="str">
        <f t="shared" si="120"/>
        <v/>
      </c>
    </row>
    <row r="7575" spans="3:3" ht="15" customHeight="1">
      <c r="C7575" s="70" t="str">
        <f t="shared" si="120"/>
        <v/>
      </c>
    </row>
    <row r="7576" spans="3:3" ht="15" customHeight="1">
      <c r="C7576" s="70" t="str">
        <f t="shared" si="120"/>
        <v/>
      </c>
    </row>
    <row r="7577" spans="3:3" ht="15" customHeight="1">
      <c r="C7577" s="70" t="str">
        <f t="shared" si="120"/>
        <v/>
      </c>
    </row>
    <row r="7578" spans="3:3" ht="15" customHeight="1">
      <c r="C7578" s="70" t="str">
        <f t="shared" si="120"/>
        <v/>
      </c>
    </row>
    <row r="7579" spans="3:3" ht="15" customHeight="1">
      <c r="C7579" s="70" t="str">
        <f t="shared" si="120"/>
        <v/>
      </c>
    </row>
    <row r="7580" spans="3:3" ht="15" customHeight="1">
      <c r="C7580" s="70" t="str">
        <f t="shared" si="120"/>
        <v/>
      </c>
    </row>
    <row r="7581" spans="3:3" ht="15" customHeight="1">
      <c r="C7581" s="70" t="str">
        <f t="shared" si="120"/>
        <v/>
      </c>
    </row>
    <row r="7582" spans="3:3" ht="15" customHeight="1">
      <c r="C7582" s="70" t="str">
        <f t="shared" si="120"/>
        <v/>
      </c>
    </row>
    <row r="7583" spans="3:3" ht="15" customHeight="1">
      <c r="C7583" s="70" t="str">
        <f t="shared" si="120"/>
        <v/>
      </c>
    </row>
    <row r="7584" spans="3:3" ht="15" customHeight="1">
      <c r="C7584" s="70" t="str">
        <f t="shared" si="120"/>
        <v/>
      </c>
    </row>
    <row r="7585" spans="3:3" ht="15" customHeight="1">
      <c r="C7585" s="70" t="str">
        <f t="shared" si="120"/>
        <v/>
      </c>
    </row>
    <row r="7586" spans="3:3" ht="15" customHeight="1">
      <c r="C7586" s="70" t="str">
        <f t="shared" si="120"/>
        <v/>
      </c>
    </row>
    <row r="7587" spans="3:3" ht="15" customHeight="1">
      <c r="C7587" s="70" t="str">
        <f t="shared" si="120"/>
        <v/>
      </c>
    </row>
    <row r="7588" spans="3:3" ht="15" customHeight="1">
      <c r="C7588" s="70" t="str">
        <f t="shared" si="120"/>
        <v/>
      </c>
    </row>
    <row r="7589" spans="3:3" ht="15" customHeight="1">
      <c r="C7589" s="70" t="str">
        <f t="shared" si="120"/>
        <v/>
      </c>
    </row>
    <row r="7590" spans="3:3" ht="15" customHeight="1">
      <c r="C7590" s="70" t="str">
        <f t="shared" si="120"/>
        <v/>
      </c>
    </row>
    <row r="7591" spans="3:3" ht="15" customHeight="1">
      <c r="C7591" s="70" t="str">
        <f t="shared" si="120"/>
        <v/>
      </c>
    </row>
    <row r="7592" spans="3:3" ht="15" customHeight="1">
      <c r="C7592" s="70" t="str">
        <f t="shared" si="120"/>
        <v/>
      </c>
    </row>
    <row r="7593" spans="3:3" ht="15" customHeight="1">
      <c r="C7593" s="70" t="str">
        <f t="shared" si="120"/>
        <v/>
      </c>
    </row>
    <row r="7594" spans="3:3" ht="15" customHeight="1">
      <c r="C7594" s="70" t="str">
        <f t="shared" si="120"/>
        <v/>
      </c>
    </row>
    <row r="7595" spans="3:3" ht="15" customHeight="1">
      <c r="C7595" s="70" t="str">
        <f t="shared" si="120"/>
        <v/>
      </c>
    </row>
    <row r="7596" spans="3:3" ht="15" customHeight="1">
      <c r="C7596" s="70" t="str">
        <f t="shared" si="120"/>
        <v/>
      </c>
    </row>
    <row r="7597" spans="3:3" ht="15" customHeight="1">
      <c r="C7597" s="70" t="str">
        <f t="shared" si="120"/>
        <v/>
      </c>
    </row>
    <row r="7598" spans="3:3" ht="15" customHeight="1">
      <c r="C7598" s="70" t="str">
        <f t="shared" si="120"/>
        <v/>
      </c>
    </row>
    <row r="7599" spans="3:3" ht="15" customHeight="1">
      <c r="C7599" s="70" t="str">
        <f t="shared" si="120"/>
        <v/>
      </c>
    </row>
    <row r="7600" spans="3:3" ht="15" customHeight="1">
      <c r="C7600" s="70" t="str">
        <f t="shared" si="120"/>
        <v/>
      </c>
    </row>
    <row r="7601" spans="3:3" ht="15" customHeight="1">
      <c r="C7601" s="70" t="str">
        <f t="shared" si="120"/>
        <v/>
      </c>
    </row>
    <row r="7602" spans="3:3" ht="15" customHeight="1">
      <c r="C7602" s="70" t="str">
        <f t="shared" si="120"/>
        <v/>
      </c>
    </row>
    <row r="7603" spans="3:3" ht="15" customHeight="1">
      <c r="C7603" s="70" t="str">
        <f t="shared" si="120"/>
        <v/>
      </c>
    </row>
    <row r="7604" spans="3:3" ht="15" customHeight="1">
      <c r="C7604" s="70" t="str">
        <f t="shared" si="120"/>
        <v/>
      </c>
    </row>
    <row r="7605" spans="3:3" ht="15" customHeight="1">
      <c r="C7605" s="70" t="str">
        <f t="shared" si="120"/>
        <v/>
      </c>
    </row>
    <row r="7606" spans="3:3" ht="15" customHeight="1">
      <c r="C7606" s="70" t="str">
        <f t="shared" si="120"/>
        <v/>
      </c>
    </row>
    <row r="7607" spans="3:3" ht="15" customHeight="1">
      <c r="C7607" s="70" t="str">
        <f t="shared" si="120"/>
        <v/>
      </c>
    </row>
    <row r="7608" spans="3:3" ht="15" customHeight="1">
      <c r="C7608" s="70" t="str">
        <f t="shared" si="120"/>
        <v/>
      </c>
    </row>
    <row r="7609" spans="3:3" ht="15" customHeight="1">
      <c r="C7609" s="70" t="str">
        <f t="shared" si="120"/>
        <v/>
      </c>
    </row>
    <row r="7610" spans="3:3" ht="15" customHeight="1">
      <c r="C7610" s="70" t="str">
        <f t="shared" si="120"/>
        <v/>
      </c>
    </row>
    <row r="7611" spans="3:3" ht="15" customHeight="1">
      <c r="C7611" s="70" t="str">
        <f t="shared" si="120"/>
        <v/>
      </c>
    </row>
    <row r="7612" spans="3:3" ht="15" customHeight="1">
      <c r="C7612" s="70" t="str">
        <f t="shared" si="120"/>
        <v/>
      </c>
    </row>
    <row r="7613" spans="3:3" ht="15" customHeight="1">
      <c r="C7613" s="70" t="str">
        <f t="shared" si="120"/>
        <v/>
      </c>
    </row>
    <row r="7614" spans="3:3" ht="15" customHeight="1">
      <c r="C7614" s="70" t="str">
        <f t="shared" si="120"/>
        <v/>
      </c>
    </row>
    <row r="7615" spans="3:3" ht="15" customHeight="1">
      <c r="C7615" s="70" t="str">
        <f t="shared" si="120"/>
        <v/>
      </c>
    </row>
    <row r="7616" spans="3:3" ht="15" customHeight="1">
      <c r="C7616" s="70" t="str">
        <f t="shared" si="120"/>
        <v/>
      </c>
    </row>
    <row r="7617" spans="3:3" ht="15" customHeight="1">
      <c r="C7617" s="70" t="str">
        <f t="shared" si="120"/>
        <v/>
      </c>
    </row>
    <row r="7618" spans="3:3" ht="15" customHeight="1">
      <c r="C7618" s="70" t="str">
        <f t="shared" si="120"/>
        <v/>
      </c>
    </row>
    <row r="7619" spans="3:3" ht="15" customHeight="1">
      <c r="C7619" s="70" t="str">
        <f t="shared" si="120"/>
        <v/>
      </c>
    </row>
    <row r="7620" spans="3:3" ht="15" customHeight="1">
      <c r="C7620" s="70" t="str">
        <f t="shared" si="120"/>
        <v/>
      </c>
    </row>
    <row r="7621" spans="3:3" ht="15" customHeight="1">
      <c r="C7621" s="70" t="str">
        <f t="shared" si="120"/>
        <v/>
      </c>
    </row>
    <row r="7622" spans="3:3" ht="15" customHeight="1">
      <c r="C7622" s="70" t="str">
        <f t="shared" si="120"/>
        <v/>
      </c>
    </row>
    <row r="7623" spans="3:3" ht="15" customHeight="1">
      <c r="C7623" s="70" t="str">
        <f t="shared" si="120"/>
        <v/>
      </c>
    </row>
    <row r="7624" spans="3:3" ht="15" customHeight="1">
      <c r="C7624" s="70" t="str">
        <f t="shared" si="120"/>
        <v/>
      </c>
    </row>
    <row r="7625" spans="3:3" ht="15" customHeight="1">
      <c r="C7625" s="70" t="str">
        <f t="shared" si="120"/>
        <v/>
      </c>
    </row>
    <row r="7626" spans="3:3" ht="15" customHeight="1">
      <c r="C7626" s="70" t="str">
        <f t="shared" si="120"/>
        <v/>
      </c>
    </row>
    <row r="7627" spans="3:3" ht="15" customHeight="1">
      <c r="C7627" s="70" t="str">
        <f t="shared" si="120"/>
        <v/>
      </c>
    </row>
    <row r="7628" spans="3:3" ht="15" customHeight="1">
      <c r="C7628" s="70" t="str">
        <f t="shared" si="120"/>
        <v/>
      </c>
    </row>
    <row r="7629" spans="3:3" ht="15" customHeight="1">
      <c r="C7629" s="70" t="str">
        <f t="shared" si="120"/>
        <v/>
      </c>
    </row>
    <row r="7630" spans="3:3" ht="15" customHeight="1">
      <c r="C7630" s="70" t="str">
        <f t="shared" si="120"/>
        <v/>
      </c>
    </row>
    <row r="7631" spans="3:3" ht="15" customHeight="1">
      <c r="C7631" s="70" t="str">
        <f t="shared" si="120"/>
        <v/>
      </c>
    </row>
    <row r="7632" spans="3:3" ht="15" customHeight="1">
      <c r="C7632" s="70" t="str">
        <f t="shared" si="120"/>
        <v/>
      </c>
    </row>
    <row r="7633" spans="3:3" ht="15" customHeight="1">
      <c r="C7633" s="70" t="str">
        <f t="shared" ref="C7633:C7696" si="121">IF(B7633&lt;&gt;"",TEXT(WEEKDAY(B7633),"dddd"),"")</f>
        <v/>
      </c>
    </row>
    <row r="7634" spans="3:3" ht="15" customHeight="1">
      <c r="C7634" s="70" t="str">
        <f t="shared" si="121"/>
        <v/>
      </c>
    </row>
    <row r="7635" spans="3:3" ht="15" customHeight="1">
      <c r="C7635" s="70" t="str">
        <f t="shared" si="121"/>
        <v/>
      </c>
    </row>
    <row r="7636" spans="3:3" ht="15" customHeight="1">
      <c r="C7636" s="70" t="str">
        <f t="shared" si="121"/>
        <v/>
      </c>
    </row>
    <row r="7637" spans="3:3" ht="15" customHeight="1">
      <c r="C7637" s="70" t="str">
        <f t="shared" si="121"/>
        <v/>
      </c>
    </row>
    <row r="7638" spans="3:3" ht="15" customHeight="1">
      <c r="C7638" s="70" t="str">
        <f t="shared" si="121"/>
        <v/>
      </c>
    </row>
    <row r="7639" spans="3:3" ht="15" customHeight="1">
      <c r="C7639" s="70" t="str">
        <f t="shared" si="121"/>
        <v/>
      </c>
    </row>
    <row r="7640" spans="3:3" ht="15" customHeight="1">
      <c r="C7640" s="70" t="str">
        <f t="shared" si="121"/>
        <v/>
      </c>
    </row>
    <row r="7641" spans="3:3" ht="15" customHeight="1">
      <c r="C7641" s="70" t="str">
        <f t="shared" si="121"/>
        <v/>
      </c>
    </row>
    <row r="7642" spans="3:3" ht="15" customHeight="1">
      <c r="C7642" s="70" t="str">
        <f t="shared" si="121"/>
        <v/>
      </c>
    </row>
    <row r="7643" spans="3:3" ht="15" customHeight="1">
      <c r="C7643" s="70" t="str">
        <f t="shared" si="121"/>
        <v/>
      </c>
    </row>
    <row r="7644" spans="3:3" ht="15" customHeight="1">
      <c r="C7644" s="70" t="str">
        <f t="shared" si="121"/>
        <v/>
      </c>
    </row>
    <row r="7645" spans="3:3" ht="15" customHeight="1">
      <c r="C7645" s="70" t="str">
        <f t="shared" si="121"/>
        <v/>
      </c>
    </row>
    <row r="7646" spans="3:3" ht="15" customHeight="1">
      <c r="C7646" s="70" t="str">
        <f t="shared" si="121"/>
        <v/>
      </c>
    </row>
    <row r="7647" spans="3:3" ht="15" customHeight="1">
      <c r="C7647" s="70" t="str">
        <f t="shared" si="121"/>
        <v/>
      </c>
    </row>
    <row r="7648" spans="3:3" ht="15" customHeight="1">
      <c r="C7648" s="70" t="str">
        <f t="shared" si="121"/>
        <v/>
      </c>
    </row>
    <row r="7649" spans="3:3" ht="15" customHeight="1">
      <c r="C7649" s="70" t="str">
        <f t="shared" si="121"/>
        <v/>
      </c>
    </row>
    <row r="7650" spans="3:3" ht="15" customHeight="1">
      <c r="C7650" s="70" t="str">
        <f t="shared" si="121"/>
        <v/>
      </c>
    </row>
    <row r="7651" spans="3:3" ht="15" customHeight="1">
      <c r="C7651" s="70" t="str">
        <f t="shared" si="121"/>
        <v/>
      </c>
    </row>
    <row r="7652" spans="3:3" ht="15" customHeight="1">
      <c r="C7652" s="70" t="str">
        <f t="shared" si="121"/>
        <v/>
      </c>
    </row>
    <row r="7653" spans="3:3" ht="15" customHeight="1">
      <c r="C7653" s="70" t="str">
        <f t="shared" si="121"/>
        <v/>
      </c>
    </row>
    <row r="7654" spans="3:3" ht="15" customHeight="1">
      <c r="C7654" s="70" t="str">
        <f t="shared" si="121"/>
        <v/>
      </c>
    </row>
    <row r="7655" spans="3:3" ht="15" customHeight="1">
      <c r="C7655" s="70" t="str">
        <f t="shared" si="121"/>
        <v/>
      </c>
    </row>
    <row r="7656" spans="3:3" ht="15" customHeight="1">
      <c r="C7656" s="70" t="str">
        <f t="shared" si="121"/>
        <v/>
      </c>
    </row>
    <row r="7657" spans="3:3" ht="15" customHeight="1">
      <c r="C7657" s="70" t="str">
        <f t="shared" si="121"/>
        <v/>
      </c>
    </row>
    <row r="7658" spans="3:3" ht="15" customHeight="1">
      <c r="C7658" s="70" t="str">
        <f t="shared" si="121"/>
        <v/>
      </c>
    </row>
    <row r="7659" spans="3:3" ht="15" customHeight="1">
      <c r="C7659" s="70" t="str">
        <f t="shared" si="121"/>
        <v/>
      </c>
    </row>
    <row r="7660" spans="3:3" ht="15" customHeight="1">
      <c r="C7660" s="70" t="str">
        <f t="shared" si="121"/>
        <v/>
      </c>
    </row>
    <row r="7661" spans="3:3" ht="15" customHeight="1">
      <c r="C7661" s="70" t="str">
        <f t="shared" si="121"/>
        <v/>
      </c>
    </row>
    <row r="7662" spans="3:3" ht="15" customHeight="1">
      <c r="C7662" s="70" t="str">
        <f t="shared" si="121"/>
        <v/>
      </c>
    </row>
    <row r="7663" spans="3:3" ht="15" customHeight="1">
      <c r="C7663" s="70" t="str">
        <f t="shared" si="121"/>
        <v/>
      </c>
    </row>
    <row r="7664" spans="3:3" ht="15" customHeight="1">
      <c r="C7664" s="70" t="str">
        <f t="shared" si="121"/>
        <v/>
      </c>
    </row>
    <row r="7665" spans="3:3" ht="15" customHeight="1">
      <c r="C7665" s="70" t="str">
        <f t="shared" si="121"/>
        <v/>
      </c>
    </row>
    <row r="7666" spans="3:3" ht="15" customHeight="1">
      <c r="C7666" s="70" t="str">
        <f t="shared" si="121"/>
        <v/>
      </c>
    </row>
    <row r="7667" spans="3:3" ht="15" customHeight="1">
      <c r="C7667" s="70" t="str">
        <f t="shared" si="121"/>
        <v/>
      </c>
    </row>
    <row r="7668" spans="3:3" ht="15" customHeight="1">
      <c r="C7668" s="70" t="str">
        <f t="shared" si="121"/>
        <v/>
      </c>
    </row>
    <row r="7669" spans="3:3" ht="15" customHeight="1">
      <c r="C7669" s="70" t="str">
        <f t="shared" si="121"/>
        <v/>
      </c>
    </row>
    <row r="7670" spans="3:3" ht="15" customHeight="1">
      <c r="C7670" s="70" t="str">
        <f t="shared" si="121"/>
        <v/>
      </c>
    </row>
    <row r="7671" spans="3:3" ht="15" customHeight="1">
      <c r="C7671" s="70" t="str">
        <f t="shared" si="121"/>
        <v/>
      </c>
    </row>
    <row r="7672" spans="3:3" ht="15" customHeight="1">
      <c r="C7672" s="70" t="str">
        <f t="shared" si="121"/>
        <v/>
      </c>
    </row>
    <row r="7673" spans="3:3" ht="15" customHeight="1">
      <c r="C7673" s="70" t="str">
        <f t="shared" si="121"/>
        <v/>
      </c>
    </row>
    <row r="7674" spans="3:3" ht="15" customHeight="1">
      <c r="C7674" s="70" t="str">
        <f t="shared" si="121"/>
        <v/>
      </c>
    </row>
    <row r="7675" spans="3:3" ht="15" customHeight="1">
      <c r="C7675" s="70" t="str">
        <f t="shared" si="121"/>
        <v/>
      </c>
    </row>
    <row r="7676" spans="3:3" ht="15" customHeight="1">
      <c r="C7676" s="70" t="str">
        <f t="shared" si="121"/>
        <v/>
      </c>
    </row>
    <row r="7677" spans="3:3" ht="15" customHeight="1">
      <c r="C7677" s="70" t="str">
        <f t="shared" si="121"/>
        <v/>
      </c>
    </row>
    <row r="7678" spans="3:3" ht="15" customHeight="1">
      <c r="C7678" s="70" t="str">
        <f t="shared" si="121"/>
        <v/>
      </c>
    </row>
    <row r="7679" spans="3:3" ht="15" customHeight="1">
      <c r="C7679" s="70" t="str">
        <f t="shared" si="121"/>
        <v/>
      </c>
    </row>
    <row r="7680" spans="3:3" ht="15" customHeight="1">
      <c r="C7680" s="70" t="str">
        <f t="shared" si="121"/>
        <v/>
      </c>
    </row>
    <row r="7681" spans="3:3" ht="15" customHeight="1">
      <c r="C7681" s="70" t="str">
        <f t="shared" si="121"/>
        <v/>
      </c>
    </row>
    <row r="7682" spans="3:3" ht="15" customHeight="1">
      <c r="C7682" s="70" t="str">
        <f t="shared" si="121"/>
        <v/>
      </c>
    </row>
    <row r="7683" spans="3:3" ht="15" customHeight="1">
      <c r="C7683" s="70" t="str">
        <f t="shared" si="121"/>
        <v/>
      </c>
    </row>
    <row r="7684" spans="3:3" ht="15" customHeight="1">
      <c r="C7684" s="70" t="str">
        <f t="shared" si="121"/>
        <v/>
      </c>
    </row>
    <row r="7685" spans="3:3" ht="15" customHeight="1">
      <c r="C7685" s="70" t="str">
        <f t="shared" si="121"/>
        <v/>
      </c>
    </row>
    <row r="7686" spans="3:3" ht="15" customHeight="1">
      <c r="C7686" s="70" t="str">
        <f t="shared" si="121"/>
        <v/>
      </c>
    </row>
    <row r="7687" spans="3:3" ht="15" customHeight="1">
      <c r="C7687" s="70" t="str">
        <f t="shared" si="121"/>
        <v/>
      </c>
    </row>
    <row r="7688" spans="3:3" ht="15" customHeight="1">
      <c r="C7688" s="70" t="str">
        <f t="shared" si="121"/>
        <v/>
      </c>
    </row>
    <row r="7689" spans="3:3" ht="15" customHeight="1">
      <c r="C7689" s="70" t="str">
        <f t="shared" si="121"/>
        <v/>
      </c>
    </row>
    <row r="7690" spans="3:3" ht="15" customHeight="1">
      <c r="C7690" s="70" t="str">
        <f t="shared" si="121"/>
        <v/>
      </c>
    </row>
    <row r="7691" spans="3:3" ht="15" customHeight="1">
      <c r="C7691" s="70" t="str">
        <f t="shared" si="121"/>
        <v/>
      </c>
    </row>
    <row r="7692" spans="3:3" ht="15" customHeight="1">
      <c r="C7692" s="70" t="str">
        <f t="shared" si="121"/>
        <v/>
      </c>
    </row>
    <row r="7693" spans="3:3" ht="15" customHeight="1">
      <c r="C7693" s="70" t="str">
        <f t="shared" si="121"/>
        <v/>
      </c>
    </row>
    <row r="7694" spans="3:3" ht="15" customHeight="1">
      <c r="C7694" s="70" t="str">
        <f t="shared" si="121"/>
        <v/>
      </c>
    </row>
    <row r="7695" spans="3:3" ht="15" customHeight="1">
      <c r="C7695" s="70" t="str">
        <f t="shared" si="121"/>
        <v/>
      </c>
    </row>
    <row r="7696" spans="3:3" ht="15" customHeight="1">
      <c r="C7696" s="70" t="str">
        <f t="shared" si="121"/>
        <v/>
      </c>
    </row>
    <row r="7697" spans="3:3" ht="15" customHeight="1">
      <c r="C7697" s="70" t="str">
        <f t="shared" ref="C7697:C7760" si="122">IF(B7697&lt;&gt;"",TEXT(WEEKDAY(B7697),"dddd"),"")</f>
        <v/>
      </c>
    </row>
    <row r="7698" spans="3:3" ht="15" customHeight="1">
      <c r="C7698" s="70" t="str">
        <f t="shared" si="122"/>
        <v/>
      </c>
    </row>
    <row r="7699" spans="3:3" ht="15" customHeight="1">
      <c r="C7699" s="70" t="str">
        <f t="shared" si="122"/>
        <v/>
      </c>
    </row>
    <row r="7700" spans="3:3" ht="15" customHeight="1">
      <c r="C7700" s="70" t="str">
        <f t="shared" si="122"/>
        <v/>
      </c>
    </row>
    <row r="7701" spans="3:3" ht="15" customHeight="1">
      <c r="C7701" s="70" t="str">
        <f t="shared" si="122"/>
        <v/>
      </c>
    </row>
    <row r="7702" spans="3:3" ht="15" customHeight="1">
      <c r="C7702" s="70" t="str">
        <f t="shared" si="122"/>
        <v/>
      </c>
    </row>
    <row r="7703" spans="3:3" ht="15" customHeight="1">
      <c r="C7703" s="70" t="str">
        <f t="shared" si="122"/>
        <v/>
      </c>
    </row>
    <row r="7704" spans="3:3" ht="15" customHeight="1">
      <c r="C7704" s="70" t="str">
        <f t="shared" si="122"/>
        <v/>
      </c>
    </row>
    <row r="7705" spans="3:3" ht="15" customHeight="1">
      <c r="C7705" s="70" t="str">
        <f t="shared" si="122"/>
        <v/>
      </c>
    </row>
    <row r="7706" spans="3:3" ht="15" customHeight="1">
      <c r="C7706" s="70" t="str">
        <f t="shared" si="122"/>
        <v/>
      </c>
    </row>
    <row r="7707" spans="3:3" ht="15" customHeight="1">
      <c r="C7707" s="70" t="str">
        <f t="shared" si="122"/>
        <v/>
      </c>
    </row>
    <row r="7708" spans="3:3" ht="15" customHeight="1">
      <c r="C7708" s="70" t="str">
        <f t="shared" si="122"/>
        <v/>
      </c>
    </row>
    <row r="7709" spans="3:3" ht="15" customHeight="1">
      <c r="C7709" s="70" t="str">
        <f t="shared" si="122"/>
        <v/>
      </c>
    </row>
    <row r="7710" spans="3:3" ht="15" customHeight="1">
      <c r="C7710" s="70" t="str">
        <f t="shared" si="122"/>
        <v/>
      </c>
    </row>
    <row r="7711" spans="3:3" ht="15" customHeight="1">
      <c r="C7711" s="70" t="str">
        <f t="shared" si="122"/>
        <v/>
      </c>
    </row>
    <row r="7712" spans="3:3" ht="15" customHeight="1">
      <c r="C7712" s="70" t="str">
        <f t="shared" si="122"/>
        <v/>
      </c>
    </row>
    <row r="7713" spans="3:3" ht="15" customHeight="1">
      <c r="C7713" s="70" t="str">
        <f t="shared" si="122"/>
        <v/>
      </c>
    </row>
    <row r="7714" spans="3:3" ht="15" customHeight="1">
      <c r="C7714" s="70" t="str">
        <f t="shared" si="122"/>
        <v/>
      </c>
    </row>
    <row r="7715" spans="3:3" ht="15" customHeight="1">
      <c r="C7715" s="70" t="str">
        <f t="shared" si="122"/>
        <v/>
      </c>
    </row>
    <row r="7716" spans="3:3" ht="15" customHeight="1">
      <c r="C7716" s="70" t="str">
        <f t="shared" si="122"/>
        <v/>
      </c>
    </row>
    <row r="7717" spans="3:3" ht="15" customHeight="1">
      <c r="C7717" s="70" t="str">
        <f t="shared" si="122"/>
        <v/>
      </c>
    </row>
    <row r="7718" spans="3:3" ht="15" customHeight="1">
      <c r="C7718" s="70" t="str">
        <f t="shared" si="122"/>
        <v/>
      </c>
    </row>
    <row r="7719" spans="3:3" ht="15" customHeight="1">
      <c r="C7719" s="70" t="str">
        <f t="shared" si="122"/>
        <v/>
      </c>
    </row>
    <row r="7720" spans="3:3" ht="15" customHeight="1">
      <c r="C7720" s="70" t="str">
        <f t="shared" si="122"/>
        <v/>
      </c>
    </row>
    <row r="7721" spans="3:3" ht="15" customHeight="1">
      <c r="C7721" s="70" t="str">
        <f t="shared" si="122"/>
        <v/>
      </c>
    </row>
    <row r="7722" spans="3:3" ht="15" customHeight="1">
      <c r="C7722" s="70" t="str">
        <f t="shared" si="122"/>
        <v/>
      </c>
    </row>
    <row r="7723" spans="3:3" ht="15" customHeight="1">
      <c r="C7723" s="70" t="str">
        <f t="shared" si="122"/>
        <v/>
      </c>
    </row>
    <row r="7724" spans="3:3" ht="15" customHeight="1">
      <c r="C7724" s="70" t="str">
        <f t="shared" si="122"/>
        <v/>
      </c>
    </row>
    <row r="7725" spans="3:3" ht="15" customHeight="1">
      <c r="C7725" s="70" t="str">
        <f t="shared" si="122"/>
        <v/>
      </c>
    </row>
    <row r="7726" spans="3:3" ht="15" customHeight="1">
      <c r="C7726" s="70" t="str">
        <f t="shared" si="122"/>
        <v/>
      </c>
    </row>
    <row r="7727" spans="3:3" ht="15" customHeight="1">
      <c r="C7727" s="70" t="str">
        <f t="shared" si="122"/>
        <v/>
      </c>
    </row>
    <row r="7728" spans="3:3" ht="15" customHeight="1">
      <c r="C7728" s="70" t="str">
        <f t="shared" si="122"/>
        <v/>
      </c>
    </row>
    <row r="7729" spans="3:3" ht="15" customHeight="1">
      <c r="C7729" s="70" t="str">
        <f t="shared" si="122"/>
        <v/>
      </c>
    </row>
    <row r="7730" spans="3:3" ht="15" customHeight="1">
      <c r="C7730" s="70" t="str">
        <f t="shared" si="122"/>
        <v/>
      </c>
    </row>
    <row r="7731" spans="3:3" ht="15" customHeight="1">
      <c r="C7731" s="70" t="str">
        <f t="shared" si="122"/>
        <v/>
      </c>
    </row>
    <row r="7732" spans="3:3" ht="15" customHeight="1">
      <c r="C7732" s="70" t="str">
        <f t="shared" si="122"/>
        <v/>
      </c>
    </row>
    <row r="7733" spans="3:3" ht="15" customHeight="1">
      <c r="C7733" s="70" t="str">
        <f t="shared" si="122"/>
        <v/>
      </c>
    </row>
    <row r="7734" spans="3:3" ht="15" customHeight="1">
      <c r="C7734" s="70" t="str">
        <f t="shared" si="122"/>
        <v/>
      </c>
    </row>
    <row r="7735" spans="3:3" ht="15" customHeight="1">
      <c r="C7735" s="70" t="str">
        <f t="shared" si="122"/>
        <v/>
      </c>
    </row>
    <row r="7736" spans="3:3" ht="15" customHeight="1">
      <c r="C7736" s="70" t="str">
        <f t="shared" si="122"/>
        <v/>
      </c>
    </row>
    <row r="7737" spans="3:3" ht="15" customHeight="1">
      <c r="C7737" s="70" t="str">
        <f t="shared" si="122"/>
        <v/>
      </c>
    </row>
    <row r="7738" spans="3:3" ht="15" customHeight="1">
      <c r="C7738" s="70" t="str">
        <f t="shared" si="122"/>
        <v/>
      </c>
    </row>
    <row r="7739" spans="3:3" ht="15" customHeight="1">
      <c r="C7739" s="70" t="str">
        <f t="shared" si="122"/>
        <v/>
      </c>
    </row>
    <row r="7740" spans="3:3" ht="15" customHeight="1">
      <c r="C7740" s="70" t="str">
        <f t="shared" si="122"/>
        <v/>
      </c>
    </row>
    <row r="7741" spans="3:3" ht="15" customHeight="1">
      <c r="C7741" s="70" t="str">
        <f t="shared" si="122"/>
        <v/>
      </c>
    </row>
    <row r="7742" spans="3:3" ht="15" customHeight="1">
      <c r="C7742" s="70" t="str">
        <f t="shared" si="122"/>
        <v/>
      </c>
    </row>
    <row r="7743" spans="3:3" ht="15" customHeight="1">
      <c r="C7743" s="70" t="str">
        <f t="shared" si="122"/>
        <v/>
      </c>
    </row>
    <row r="7744" spans="3:3" ht="15" customHeight="1">
      <c r="C7744" s="70" t="str">
        <f t="shared" si="122"/>
        <v/>
      </c>
    </row>
    <row r="7745" spans="3:3" ht="15" customHeight="1">
      <c r="C7745" s="70" t="str">
        <f t="shared" si="122"/>
        <v/>
      </c>
    </row>
    <row r="7746" spans="3:3" ht="15" customHeight="1">
      <c r="C7746" s="70" t="str">
        <f t="shared" si="122"/>
        <v/>
      </c>
    </row>
    <row r="7747" spans="3:3" ht="15" customHeight="1">
      <c r="C7747" s="70" t="str">
        <f t="shared" si="122"/>
        <v/>
      </c>
    </row>
    <row r="7748" spans="3:3" ht="15" customHeight="1">
      <c r="C7748" s="70" t="str">
        <f t="shared" si="122"/>
        <v/>
      </c>
    </row>
    <row r="7749" spans="3:3" ht="15" customHeight="1">
      <c r="C7749" s="70" t="str">
        <f t="shared" si="122"/>
        <v/>
      </c>
    </row>
    <row r="7750" spans="3:3" ht="15" customHeight="1">
      <c r="C7750" s="70" t="str">
        <f t="shared" si="122"/>
        <v/>
      </c>
    </row>
    <row r="7751" spans="3:3" ht="15" customHeight="1">
      <c r="C7751" s="70" t="str">
        <f t="shared" si="122"/>
        <v/>
      </c>
    </row>
    <row r="7752" spans="3:3" ht="15" customHeight="1">
      <c r="C7752" s="70" t="str">
        <f t="shared" si="122"/>
        <v/>
      </c>
    </row>
    <row r="7753" spans="3:3" ht="15" customHeight="1">
      <c r="C7753" s="70" t="str">
        <f t="shared" si="122"/>
        <v/>
      </c>
    </row>
    <row r="7754" spans="3:3" ht="15" customHeight="1">
      <c r="C7754" s="70" t="str">
        <f t="shared" si="122"/>
        <v/>
      </c>
    </row>
    <row r="7755" spans="3:3" ht="15" customHeight="1">
      <c r="C7755" s="70" t="str">
        <f t="shared" si="122"/>
        <v/>
      </c>
    </row>
    <row r="7756" spans="3:3" ht="15" customHeight="1">
      <c r="C7756" s="70" t="str">
        <f t="shared" si="122"/>
        <v/>
      </c>
    </row>
    <row r="7757" spans="3:3" ht="15" customHeight="1">
      <c r="C7757" s="70" t="str">
        <f t="shared" si="122"/>
        <v/>
      </c>
    </row>
    <row r="7758" spans="3:3" ht="15" customHeight="1">
      <c r="C7758" s="70" t="str">
        <f t="shared" si="122"/>
        <v/>
      </c>
    </row>
    <row r="7759" spans="3:3" ht="15" customHeight="1">
      <c r="C7759" s="70" t="str">
        <f t="shared" si="122"/>
        <v/>
      </c>
    </row>
    <row r="7760" spans="3:3" ht="15" customHeight="1">
      <c r="C7760" s="70" t="str">
        <f t="shared" si="122"/>
        <v/>
      </c>
    </row>
    <row r="7761" spans="3:3" ht="15" customHeight="1">
      <c r="C7761" s="70" t="str">
        <f t="shared" ref="C7761:C7824" si="123">IF(B7761&lt;&gt;"",TEXT(WEEKDAY(B7761),"dddd"),"")</f>
        <v/>
      </c>
    </row>
    <row r="7762" spans="3:3" ht="15" customHeight="1">
      <c r="C7762" s="70" t="str">
        <f t="shared" si="123"/>
        <v/>
      </c>
    </row>
    <row r="7763" spans="3:3" ht="15" customHeight="1">
      <c r="C7763" s="70" t="str">
        <f t="shared" si="123"/>
        <v/>
      </c>
    </row>
    <row r="7764" spans="3:3" ht="15" customHeight="1">
      <c r="C7764" s="70" t="str">
        <f t="shared" si="123"/>
        <v/>
      </c>
    </row>
    <row r="7765" spans="3:3" ht="15" customHeight="1">
      <c r="C7765" s="70" t="str">
        <f t="shared" si="123"/>
        <v/>
      </c>
    </row>
    <row r="7766" spans="3:3" ht="15" customHeight="1">
      <c r="C7766" s="70" t="str">
        <f t="shared" si="123"/>
        <v/>
      </c>
    </row>
    <row r="7767" spans="3:3" ht="15" customHeight="1">
      <c r="C7767" s="70" t="str">
        <f t="shared" si="123"/>
        <v/>
      </c>
    </row>
    <row r="7768" spans="3:3" ht="15" customHeight="1">
      <c r="C7768" s="70" t="str">
        <f t="shared" si="123"/>
        <v/>
      </c>
    </row>
    <row r="7769" spans="3:3" ht="15" customHeight="1">
      <c r="C7769" s="70" t="str">
        <f t="shared" si="123"/>
        <v/>
      </c>
    </row>
    <row r="7770" spans="3:3" ht="15" customHeight="1">
      <c r="C7770" s="70" t="str">
        <f t="shared" si="123"/>
        <v/>
      </c>
    </row>
    <row r="7771" spans="3:3" ht="15" customHeight="1">
      <c r="C7771" s="70" t="str">
        <f t="shared" si="123"/>
        <v/>
      </c>
    </row>
    <row r="7772" spans="3:3" ht="15" customHeight="1">
      <c r="C7772" s="70" t="str">
        <f t="shared" si="123"/>
        <v/>
      </c>
    </row>
    <row r="7773" spans="3:3" ht="15" customHeight="1">
      <c r="C7773" s="70" t="str">
        <f t="shared" si="123"/>
        <v/>
      </c>
    </row>
    <row r="7774" spans="3:3" ht="15" customHeight="1">
      <c r="C7774" s="70" t="str">
        <f t="shared" si="123"/>
        <v/>
      </c>
    </row>
    <row r="7775" spans="3:3" ht="15" customHeight="1">
      <c r="C7775" s="70" t="str">
        <f t="shared" si="123"/>
        <v/>
      </c>
    </row>
    <row r="7776" spans="3:3" ht="15" customHeight="1">
      <c r="C7776" s="70" t="str">
        <f t="shared" si="123"/>
        <v/>
      </c>
    </row>
    <row r="7777" spans="3:3" ht="15" customHeight="1">
      <c r="C7777" s="70" t="str">
        <f t="shared" si="123"/>
        <v/>
      </c>
    </row>
    <row r="7778" spans="3:3" ht="15" customHeight="1">
      <c r="C7778" s="70" t="str">
        <f t="shared" si="123"/>
        <v/>
      </c>
    </row>
    <row r="7779" spans="3:3" ht="15" customHeight="1">
      <c r="C7779" s="70" t="str">
        <f t="shared" si="123"/>
        <v/>
      </c>
    </row>
    <row r="7780" spans="3:3" ht="15" customHeight="1">
      <c r="C7780" s="70" t="str">
        <f t="shared" si="123"/>
        <v/>
      </c>
    </row>
    <row r="7781" spans="3:3" ht="15" customHeight="1">
      <c r="C7781" s="70" t="str">
        <f t="shared" si="123"/>
        <v/>
      </c>
    </row>
    <row r="7782" spans="3:3" ht="15" customHeight="1">
      <c r="C7782" s="70" t="str">
        <f t="shared" si="123"/>
        <v/>
      </c>
    </row>
    <row r="7783" spans="3:3" ht="15" customHeight="1">
      <c r="C7783" s="70" t="str">
        <f t="shared" si="123"/>
        <v/>
      </c>
    </row>
    <row r="7784" spans="3:3" ht="15" customHeight="1">
      <c r="C7784" s="70" t="str">
        <f t="shared" si="123"/>
        <v/>
      </c>
    </row>
    <row r="7785" spans="3:3" ht="15" customHeight="1">
      <c r="C7785" s="70" t="str">
        <f t="shared" si="123"/>
        <v/>
      </c>
    </row>
    <row r="7786" spans="3:3" ht="15" customHeight="1">
      <c r="C7786" s="70" t="str">
        <f t="shared" si="123"/>
        <v/>
      </c>
    </row>
    <row r="7787" spans="3:3" ht="15" customHeight="1">
      <c r="C7787" s="70" t="str">
        <f t="shared" si="123"/>
        <v/>
      </c>
    </row>
    <row r="7788" spans="3:3" ht="15" customHeight="1">
      <c r="C7788" s="70" t="str">
        <f t="shared" si="123"/>
        <v/>
      </c>
    </row>
    <row r="7789" spans="3:3" ht="15" customHeight="1">
      <c r="C7789" s="70" t="str">
        <f t="shared" si="123"/>
        <v/>
      </c>
    </row>
    <row r="7790" spans="3:3" ht="15" customHeight="1">
      <c r="C7790" s="70" t="str">
        <f t="shared" si="123"/>
        <v/>
      </c>
    </row>
    <row r="7791" spans="3:3" ht="15" customHeight="1">
      <c r="C7791" s="70" t="str">
        <f t="shared" si="123"/>
        <v/>
      </c>
    </row>
    <row r="7792" spans="3:3" ht="15" customHeight="1">
      <c r="C7792" s="70" t="str">
        <f t="shared" si="123"/>
        <v/>
      </c>
    </row>
    <row r="7793" spans="3:3" ht="15" customHeight="1">
      <c r="C7793" s="70" t="str">
        <f t="shared" si="123"/>
        <v/>
      </c>
    </row>
    <row r="7794" spans="3:3" ht="15" customHeight="1">
      <c r="C7794" s="70" t="str">
        <f t="shared" si="123"/>
        <v/>
      </c>
    </row>
    <row r="7795" spans="3:3" ht="15" customHeight="1">
      <c r="C7795" s="70" t="str">
        <f t="shared" si="123"/>
        <v/>
      </c>
    </row>
    <row r="7796" spans="3:3" ht="15" customHeight="1">
      <c r="C7796" s="70" t="str">
        <f t="shared" si="123"/>
        <v/>
      </c>
    </row>
    <row r="7797" spans="3:3" ht="15" customHeight="1">
      <c r="C7797" s="70" t="str">
        <f t="shared" si="123"/>
        <v/>
      </c>
    </row>
    <row r="7798" spans="3:3" ht="15" customHeight="1">
      <c r="C7798" s="70" t="str">
        <f t="shared" si="123"/>
        <v/>
      </c>
    </row>
    <row r="7799" spans="3:3" ht="15" customHeight="1">
      <c r="C7799" s="70" t="str">
        <f t="shared" si="123"/>
        <v/>
      </c>
    </row>
    <row r="7800" spans="3:3" ht="15" customHeight="1">
      <c r="C7800" s="70" t="str">
        <f t="shared" si="123"/>
        <v/>
      </c>
    </row>
    <row r="7801" spans="3:3" ht="15" customHeight="1">
      <c r="C7801" s="70" t="str">
        <f t="shared" si="123"/>
        <v/>
      </c>
    </row>
    <row r="7802" spans="3:3" ht="15" customHeight="1">
      <c r="C7802" s="70" t="str">
        <f t="shared" si="123"/>
        <v/>
      </c>
    </row>
    <row r="7803" spans="3:3" ht="15" customHeight="1">
      <c r="C7803" s="70" t="str">
        <f t="shared" si="123"/>
        <v/>
      </c>
    </row>
    <row r="7804" spans="3:3" ht="15" customHeight="1">
      <c r="C7804" s="70" t="str">
        <f t="shared" si="123"/>
        <v/>
      </c>
    </row>
    <row r="7805" spans="3:3" ht="15" customHeight="1">
      <c r="C7805" s="70" t="str">
        <f t="shared" si="123"/>
        <v/>
      </c>
    </row>
    <row r="7806" spans="3:3" ht="15" customHeight="1">
      <c r="C7806" s="70" t="str">
        <f t="shared" si="123"/>
        <v/>
      </c>
    </row>
    <row r="7807" spans="3:3" ht="15" customHeight="1">
      <c r="C7807" s="70" t="str">
        <f t="shared" si="123"/>
        <v/>
      </c>
    </row>
    <row r="7808" spans="3:3" ht="15" customHeight="1">
      <c r="C7808" s="70" t="str">
        <f t="shared" si="123"/>
        <v/>
      </c>
    </row>
    <row r="7809" spans="3:3" ht="15" customHeight="1">
      <c r="C7809" s="70" t="str">
        <f t="shared" si="123"/>
        <v/>
      </c>
    </row>
    <row r="7810" spans="3:3" ht="15" customHeight="1">
      <c r="C7810" s="70" t="str">
        <f t="shared" si="123"/>
        <v/>
      </c>
    </row>
    <row r="7811" spans="3:3" ht="15" customHeight="1">
      <c r="C7811" s="70" t="str">
        <f t="shared" si="123"/>
        <v/>
      </c>
    </row>
    <row r="7812" spans="3:3" ht="15" customHeight="1">
      <c r="C7812" s="70" t="str">
        <f t="shared" si="123"/>
        <v/>
      </c>
    </row>
    <row r="7813" spans="3:3" ht="15" customHeight="1">
      <c r="C7813" s="70" t="str">
        <f t="shared" si="123"/>
        <v/>
      </c>
    </row>
    <row r="7814" spans="3:3" ht="15" customHeight="1">
      <c r="C7814" s="70" t="str">
        <f t="shared" si="123"/>
        <v/>
      </c>
    </row>
    <row r="7815" spans="3:3" ht="15" customHeight="1">
      <c r="C7815" s="70" t="str">
        <f t="shared" si="123"/>
        <v/>
      </c>
    </row>
    <row r="7816" spans="3:3" ht="15" customHeight="1">
      <c r="C7816" s="70" t="str">
        <f t="shared" si="123"/>
        <v/>
      </c>
    </row>
    <row r="7817" spans="3:3" ht="15" customHeight="1">
      <c r="C7817" s="70" t="str">
        <f t="shared" si="123"/>
        <v/>
      </c>
    </row>
    <row r="7818" spans="3:3" ht="15" customHeight="1">
      <c r="C7818" s="70" t="str">
        <f t="shared" si="123"/>
        <v/>
      </c>
    </row>
    <row r="7819" spans="3:3" ht="15" customHeight="1">
      <c r="C7819" s="70" t="str">
        <f t="shared" si="123"/>
        <v/>
      </c>
    </row>
    <row r="7820" spans="3:3" ht="15" customHeight="1">
      <c r="C7820" s="70" t="str">
        <f t="shared" si="123"/>
        <v/>
      </c>
    </row>
    <row r="7821" spans="3:3" ht="15" customHeight="1">
      <c r="C7821" s="70" t="str">
        <f t="shared" si="123"/>
        <v/>
      </c>
    </row>
    <row r="7822" spans="3:3" ht="15" customHeight="1">
      <c r="C7822" s="70" t="str">
        <f t="shared" si="123"/>
        <v/>
      </c>
    </row>
    <row r="7823" spans="3:3" ht="15" customHeight="1">
      <c r="C7823" s="70" t="str">
        <f t="shared" si="123"/>
        <v/>
      </c>
    </row>
    <row r="7824" spans="3:3" ht="15" customHeight="1">
      <c r="C7824" s="70" t="str">
        <f t="shared" si="123"/>
        <v/>
      </c>
    </row>
    <row r="7825" spans="3:3" ht="15" customHeight="1">
      <c r="C7825" s="70" t="str">
        <f t="shared" ref="C7825:C7888" si="124">IF(B7825&lt;&gt;"",TEXT(WEEKDAY(B7825),"dddd"),"")</f>
        <v/>
      </c>
    </row>
    <row r="7826" spans="3:3" ht="15" customHeight="1">
      <c r="C7826" s="70" t="str">
        <f t="shared" si="124"/>
        <v/>
      </c>
    </row>
    <row r="7827" spans="3:3" ht="15" customHeight="1">
      <c r="C7827" s="70" t="str">
        <f t="shared" si="124"/>
        <v/>
      </c>
    </row>
    <row r="7828" spans="3:3" ht="15" customHeight="1">
      <c r="C7828" s="70" t="str">
        <f t="shared" si="124"/>
        <v/>
      </c>
    </row>
    <row r="7829" spans="3:3" ht="15" customHeight="1">
      <c r="C7829" s="70" t="str">
        <f t="shared" si="124"/>
        <v/>
      </c>
    </row>
    <row r="7830" spans="3:3" ht="15" customHeight="1">
      <c r="C7830" s="70" t="str">
        <f t="shared" si="124"/>
        <v/>
      </c>
    </row>
    <row r="7831" spans="3:3" ht="15" customHeight="1">
      <c r="C7831" s="70" t="str">
        <f t="shared" si="124"/>
        <v/>
      </c>
    </row>
    <row r="7832" spans="3:3" ht="15" customHeight="1">
      <c r="C7832" s="70" t="str">
        <f t="shared" si="124"/>
        <v/>
      </c>
    </row>
    <row r="7833" spans="3:3" ht="15" customHeight="1">
      <c r="C7833" s="70" t="str">
        <f t="shared" si="124"/>
        <v/>
      </c>
    </row>
    <row r="7834" spans="3:3" ht="15" customHeight="1">
      <c r="C7834" s="70" t="str">
        <f t="shared" si="124"/>
        <v/>
      </c>
    </row>
    <row r="7835" spans="3:3" ht="15" customHeight="1">
      <c r="C7835" s="70" t="str">
        <f t="shared" si="124"/>
        <v/>
      </c>
    </row>
    <row r="7836" spans="3:3" ht="15" customHeight="1">
      <c r="C7836" s="70" t="str">
        <f t="shared" si="124"/>
        <v/>
      </c>
    </row>
    <row r="7837" spans="3:3" ht="15" customHeight="1">
      <c r="C7837" s="70" t="str">
        <f t="shared" si="124"/>
        <v/>
      </c>
    </row>
    <row r="7838" spans="3:3" ht="15" customHeight="1">
      <c r="C7838" s="70" t="str">
        <f t="shared" si="124"/>
        <v/>
      </c>
    </row>
    <row r="7839" spans="3:3" ht="15" customHeight="1">
      <c r="C7839" s="70" t="str">
        <f t="shared" si="124"/>
        <v/>
      </c>
    </row>
    <row r="7840" spans="3:3" ht="15" customHeight="1">
      <c r="C7840" s="70" t="str">
        <f t="shared" si="124"/>
        <v/>
      </c>
    </row>
    <row r="7841" spans="3:3" ht="15" customHeight="1">
      <c r="C7841" s="70" t="str">
        <f t="shared" si="124"/>
        <v/>
      </c>
    </row>
    <row r="7842" spans="3:3" ht="15" customHeight="1">
      <c r="C7842" s="70" t="str">
        <f t="shared" si="124"/>
        <v/>
      </c>
    </row>
    <row r="7843" spans="3:3" ht="15" customHeight="1">
      <c r="C7843" s="70" t="str">
        <f t="shared" si="124"/>
        <v/>
      </c>
    </row>
    <row r="7844" spans="3:3" ht="15" customHeight="1">
      <c r="C7844" s="70" t="str">
        <f t="shared" si="124"/>
        <v/>
      </c>
    </row>
    <row r="7845" spans="3:3" ht="15" customHeight="1">
      <c r="C7845" s="70" t="str">
        <f t="shared" si="124"/>
        <v/>
      </c>
    </row>
    <row r="7846" spans="3:3" ht="15" customHeight="1">
      <c r="C7846" s="70" t="str">
        <f t="shared" si="124"/>
        <v/>
      </c>
    </row>
    <row r="7847" spans="3:3" ht="15" customHeight="1">
      <c r="C7847" s="70" t="str">
        <f t="shared" si="124"/>
        <v/>
      </c>
    </row>
    <row r="7848" spans="3:3" ht="15" customHeight="1">
      <c r="C7848" s="70" t="str">
        <f t="shared" si="124"/>
        <v/>
      </c>
    </row>
    <row r="7849" spans="3:3" ht="15" customHeight="1">
      <c r="C7849" s="70" t="str">
        <f t="shared" si="124"/>
        <v/>
      </c>
    </row>
    <row r="7850" spans="3:3" ht="15" customHeight="1">
      <c r="C7850" s="70" t="str">
        <f t="shared" si="124"/>
        <v/>
      </c>
    </row>
    <row r="7851" spans="3:3" ht="15" customHeight="1">
      <c r="C7851" s="70" t="str">
        <f t="shared" si="124"/>
        <v/>
      </c>
    </row>
    <row r="7852" spans="3:3" ht="15" customHeight="1">
      <c r="C7852" s="70" t="str">
        <f t="shared" si="124"/>
        <v/>
      </c>
    </row>
    <row r="7853" spans="3:3" ht="15" customHeight="1">
      <c r="C7853" s="70" t="str">
        <f t="shared" si="124"/>
        <v/>
      </c>
    </row>
    <row r="7854" spans="3:3" ht="15" customHeight="1">
      <c r="C7854" s="70" t="str">
        <f t="shared" si="124"/>
        <v/>
      </c>
    </row>
    <row r="7855" spans="3:3" ht="15" customHeight="1">
      <c r="C7855" s="70" t="str">
        <f t="shared" si="124"/>
        <v/>
      </c>
    </row>
    <row r="7856" spans="3:3" ht="15" customHeight="1">
      <c r="C7856" s="70" t="str">
        <f t="shared" si="124"/>
        <v/>
      </c>
    </row>
    <row r="7857" spans="3:3" ht="15" customHeight="1">
      <c r="C7857" s="70" t="str">
        <f t="shared" si="124"/>
        <v/>
      </c>
    </row>
    <row r="7858" spans="3:3" ht="15" customHeight="1">
      <c r="C7858" s="70" t="str">
        <f t="shared" si="124"/>
        <v/>
      </c>
    </row>
    <row r="7859" spans="3:3" ht="15" customHeight="1">
      <c r="C7859" s="70" t="str">
        <f t="shared" si="124"/>
        <v/>
      </c>
    </row>
    <row r="7860" spans="3:3" ht="15" customHeight="1">
      <c r="C7860" s="70" t="str">
        <f t="shared" si="124"/>
        <v/>
      </c>
    </row>
    <row r="7861" spans="3:3" ht="15" customHeight="1">
      <c r="C7861" s="70" t="str">
        <f t="shared" si="124"/>
        <v/>
      </c>
    </row>
    <row r="7862" spans="3:3" ht="15" customHeight="1">
      <c r="C7862" s="70" t="str">
        <f t="shared" si="124"/>
        <v/>
      </c>
    </row>
    <row r="7863" spans="3:3" ht="15" customHeight="1">
      <c r="C7863" s="70" t="str">
        <f t="shared" si="124"/>
        <v/>
      </c>
    </row>
    <row r="7864" spans="3:3" ht="15" customHeight="1">
      <c r="C7864" s="70" t="str">
        <f t="shared" si="124"/>
        <v/>
      </c>
    </row>
    <row r="7865" spans="3:3" ht="15" customHeight="1">
      <c r="C7865" s="70" t="str">
        <f t="shared" si="124"/>
        <v/>
      </c>
    </row>
    <row r="7866" spans="3:3" ht="15" customHeight="1">
      <c r="C7866" s="70" t="str">
        <f t="shared" si="124"/>
        <v/>
      </c>
    </row>
    <row r="7867" spans="3:3" ht="15" customHeight="1">
      <c r="C7867" s="70" t="str">
        <f t="shared" si="124"/>
        <v/>
      </c>
    </row>
    <row r="7868" spans="3:3" ht="15" customHeight="1">
      <c r="C7868" s="70" t="str">
        <f t="shared" si="124"/>
        <v/>
      </c>
    </row>
    <row r="7869" spans="3:3" ht="15" customHeight="1">
      <c r="C7869" s="70" t="str">
        <f t="shared" si="124"/>
        <v/>
      </c>
    </row>
    <row r="7870" spans="3:3" ht="15" customHeight="1">
      <c r="C7870" s="70" t="str">
        <f t="shared" si="124"/>
        <v/>
      </c>
    </row>
    <row r="7871" spans="3:3" ht="15" customHeight="1">
      <c r="C7871" s="70" t="str">
        <f t="shared" si="124"/>
        <v/>
      </c>
    </row>
    <row r="7872" spans="3:3" ht="15" customHeight="1">
      <c r="C7872" s="70" t="str">
        <f t="shared" si="124"/>
        <v/>
      </c>
    </row>
    <row r="7873" spans="3:3" ht="15" customHeight="1">
      <c r="C7873" s="70" t="str">
        <f t="shared" si="124"/>
        <v/>
      </c>
    </row>
    <row r="7874" spans="3:3" ht="15" customHeight="1">
      <c r="C7874" s="70" t="str">
        <f t="shared" si="124"/>
        <v/>
      </c>
    </row>
    <row r="7875" spans="3:3" ht="15" customHeight="1">
      <c r="C7875" s="70" t="str">
        <f t="shared" si="124"/>
        <v/>
      </c>
    </row>
    <row r="7876" spans="3:3" ht="15" customHeight="1">
      <c r="C7876" s="70" t="str">
        <f t="shared" si="124"/>
        <v/>
      </c>
    </row>
    <row r="7877" spans="3:3" ht="15" customHeight="1">
      <c r="C7877" s="70" t="str">
        <f t="shared" si="124"/>
        <v/>
      </c>
    </row>
    <row r="7878" spans="3:3" ht="15" customHeight="1">
      <c r="C7878" s="70" t="str">
        <f t="shared" si="124"/>
        <v/>
      </c>
    </row>
    <row r="7879" spans="3:3" ht="15" customHeight="1">
      <c r="C7879" s="70" t="str">
        <f t="shared" si="124"/>
        <v/>
      </c>
    </row>
    <row r="7880" spans="3:3" ht="15" customHeight="1">
      <c r="C7880" s="70" t="str">
        <f t="shared" si="124"/>
        <v/>
      </c>
    </row>
    <row r="7881" spans="3:3" ht="15" customHeight="1">
      <c r="C7881" s="70" t="str">
        <f t="shared" si="124"/>
        <v/>
      </c>
    </row>
    <row r="7882" spans="3:3" ht="15" customHeight="1">
      <c r="C7882" s="70" t="str">
        <f t="shared" si="124"/>
        <v/>
      </c>
    </row>
    <row r="7883" spans="3:3" ht="15" customHeight="1">
      <c r="C7883" s="70" t="str">
        <f t="shared" si="124"/>
        <v/>
      </c>
    </row>
    <row r="7884" spans="3:3" ht="15" customHeight="1">
      <c r="C7884" s="70" t="str">
        <f t="shared" si="124"/>
        <v/>
      </c>
    </row>
    <row r="7885" spans="3:3" ht="15" customHeight="1">
      <c r="C7885" s="70" t="str">
        <f t="shared" si="124"/>
        <v/>
      </c>
    </row>
    <row r="7886" spans="3:3" ht="15" customHeight="1">
      <c r="C7886" s="70" t="str">
        <f t="shared" si="124"/>
        <v/>
      </c>
    </row>
    <row r="7887" spans="3:3" ht="15" customHeight="1">
      <c r="C7887" s="70" t="str">
        <f t="shared" si="124"/>
        <v/>
      </c>
    </row>
    <row r="7888" spans="3:3" ht="15" customHeight="1">
      <c r="C7888" s="70" t="str">
        <f t="shared" si="124"/>
        <v/>
      </c>
    </row>
    <row r="7889" spans="3:3" ht="15" customHeight="1">
      <c r="C7889" s="70" t="str">
        <f t="shared" ref="C7889:C7952" si="125">IF(B7889&lt;&gt;"",TEXT(WEEKDAY(B7889),"dddd"),"")</f>
        <v/>
      </c>
    </row>
    <row r="7890" spans="3:3" ht="15" customHeight="1">
      <c r="C7890" s="70" t="str">
        <f t="shared" si="125"/>
        <v/>
      </c>
    </row>
    <row r="7891" spans="3:3" ht="15" customHeight="1">
      <c r="C7891" s="70" t="str">
        <f t="shared" si="125"/>
        <v/>
      </c>
    </row>
    <row r="7892" spans="3:3" ht="15" customHeight="1">
      <c r="C7892" s="70" t="str">
        <f t="shared" si="125"/>
        <v/>
      </c>
    </row>
    <row r="7893" spans="3:3" ht="15" customHeight="1">
      <c r="C7893" s="70" t="str">
        <f t="shared" si="125"/>
        <v/>
      </c>
    </row>
    <row r="7894" spans="3:3" ht="15" customHeight="1">
      <c r="C7894" s="70" t="str">
        <f t="shared" si="125"/>
        <v/>
      </c>
    </row>
    <row r="7895" spans="3:3" ht="15" customHeight="1">
      <c r="C7895" s="70" t="str">
        <f t="shared" si="125"/>
        <v/>
      </c>
    </row>
    <row r="7896" spans="3:3" ht="15" customHeight="1">
      <c r="C7896" s="70" t="str">
        <f t="shared" si="125"/>
        <v/>
      </c>
    </row>
    <row r="7897" spans="3:3" ht="15" customHeight="1">
      <c r="C7897" s="70" t="str">
        <f t="shared" si="125"/>
        <v/>
      </c>
    </row>
    <row r="7898" spans="3:3" ht="15" customHeight="1">
      <c r="C7898" s="70" t="str">
        <f t="shared" si="125"/>
        <v/>
      </c>
    </row>
    <row r="7899" spans="3:3" ht="15" customHeight="1">
      <c r="C7899" s="70" t="str">
        <f t="shared" si="125"/>
        <v/>
      </c>
    </row>
    <row r="7900" spans="3:3" ht="15" customHeight="1">
      <c r="C7900" s="70" t="str">
        <f t="shared" si="125"/>
        <v/>
      </c>
    </row>
    <row r="7901" spans="3:3" ht="15" customHeight="1">
      <c r="C7901" s="70" t="str">
        <f t="shared" si="125"/>
        <v/>
      </c>
    </row>
    <row r="7902" spans="3:3" ht="15" customHeight="1">
      <c r="C7902" s="70" t="str">
        <f t="shared" si="125"/>
        <v/>
      </c>
    </row>
    <row r="7903" spans="3:3" ht="15" customHeight="1">
      <c r="C7903" s="70" t="str">
        <f t="shared" si="125"/>
        <v/>
      </c>
    </row>
    <row r="7904" spans="3:3" ht="15" customHeight="1">
      <c r="C7904" s="70" t="str">
        <f t="shared" si="125"/>
        <v/>
      </c>
    </row>
    <row r="7905" spans="3:3" ht="15" customHeight="1">
      <c r="C7905" s="70" t="str">
        <f t="shared" si="125"/>
        <v/>
      </c>
    </row>
    <row r="7906" spans="3:3" ht="15" customHeight="1">
      <c r="C7906" s="70" t="str">
        <f t="shared" si="125"/>
        <v/>
      </c>
    </row>
    <row r="7907" spans="3:3" ht="15" customHeight="1">
      <c r="C7907" s="70" t="str">
        <f t="shared" si="125"/>
        <v/>
      </c>
    </row>
    <row r="7908" spans="3:3" ht="15" customHeight="1">
      <c r="C7908" s="70" t="str">
        <f t="shared" si="125"/>
        <v/>
      </c>
    </row>
    <row r="7909" spans="3:3" ht="15" customHeight="1">
      <c r="C7909" s="70" t="str">
        <f t="shared" si="125"/>
        <v/>
      </c>
    </row>
    <row r="7910" spans="3:3" ht="15" customHeight="1">
      <c r="C7910" s="70" t="str">
        <f t="shared" si="125"/>
        <v/>
      </c>
    </row>
    <row r="7911" spans="3:3" ht="15" customHeight="1">
      <c r="C7911" s="70" t="str">
        <f t="shared" si="125"/>
        <v/>
      </c>
    </row>
    <row r="7912" spans="3:3" ht="15" customHeight="1">
      <c r="C7912" s="70" t="str">
        <f t="shared" si="125"/>
        <v/>
      </c>
    </row>
    <row r="7913" spans="3:3" ht="15" customHeight="1">
      <c r="C7913" s="70" t="str">
        <f t="shared" si="125"/>
        <v/>
      </c>
    </row>
    <row r="7914" spans="3:3" ht="15" customHeight="1">
      <c r="C7914" s="70" t="str">
        <f t="shared" si="125"/>
        <v/>
      </c>
    </row>
    <row r="7915" spans="3:3" ht="15" customHeight="1">
      <c r="C7915" s="70" t="str">
        <f t="shared" si="125"/>
        <v/>
      </c>
    </row>
    <row r="7916" spans="3:3" ht="15" customHeight="1">
      <c r="C7916" s="70" t="str">
        <f t="shared" si="125"/>
        <v/>
      </c>
    </row>
    <row r="7917" spans="3:3" ht="15" customHeight="1">
      <c r="C7917" s="70" t="str">
        <f t="shared" si="125"/>
        <v/>
      </c>
    </row>
    <row r="7918" spans="3:3" ht="15" customHeight="1">
      <c r="C7918" s="70" t="str">
        <f t="shared" si="125"/>
        <v/>
      </c>
    </row>
    <row r="7919" spans="3:3" ht="15" customHeight="1">
      <c r="C7919" s="70" t="str">
        <f t="shared" si="125"/>
        <v/>
      </c>
    </row>
    <row r="7920" spans="3:3" ht="15" customHeight="1">
      <c r="C7920" s="70" t="str">
        <f t="shared" si="125"/>
        <v/>
      </c>
    </row>
    <row r="7921" spans="3:3" ht="15" customHeight="1">
      <c r="C7921" s="70" t="str">
        <f t="shared" si="125"/>
        <v/>
      </c>
    </row>
    <row r="7922" spans="3:3" ht="15" customHeight="1">
      <c r="C7922" s="70" t="str">
        <f t="shared" si="125"/>
        <v/>
      </c>
    </row>
    <row r="7923" spans="3:3" ht="15" customHeight="1">
      <c r="C7923" s="70" t="str">
        <f t="shared" si="125"/>
        <v/>
      </c>
    </row>
    <row r="7924" spans="3:3" ht="15" customHeight="1">
      <c r="C7924" s="70" t="str">
        <f t="shared" si="125"/>
        <v/>
      </c>
    </row>
    <row r="7925" spans="3:3" ht="15" customHeight="1">
      <c r="C7925" s="70" t="str">
        <f t="shared" si="125"/>
        <v/>
      </c>
    </row>
    <row r="7926" spans="3:3" ht="15" customHeight="1">
      <c r="C7926" s="70" t="str">
        <f t="shared" si="125"/>
        <v/>
      </c>
    </row>
    <row r="7927" spans="3:3" ht="15" customHeight="1">
      <c r="C7927" s="70" t="str">
        <f t="shared" si="125"/>
        <v/>
      </c>
    </row>
    <row r="7928" spans="3:3" ht="15" customHeight="1">
      <c r="C7928" s="70" t="str">
        <f t="shared" si="125"/>
        <v/>
      </c>
    </row>
    <row r="7929" spans="3:3" ht="15" customHeight="1">
      <c r="C7929" s="70" t="str">
        <f t="shared" si="125"/>
        <v/>
      </c>
    </row>
    <row r="7930" spans="3:3" ht="15" customHeight="1">
      <c r="C7930" s="70" t="str">
        <f t="shared" si="125"/>
        <v/>
      </c>
    </row>
    <row r="7931" spans="3:3" ht="15" customHeight="1">
      <c r="C7931" s="70" t="str">
        <f t="shared" si="125"/>
        <v/>
      </c>
    </row>
    <row r="7932" spans="3:3" ht="15" customHeight="1">
      <c r="C7932" s="70" t="str">
        <f t="shared" si="125"/>
        <v/>
      </c>
    </row>
    <row r="7933" spans="3:3" ht="15" customHeight="1">
      <c r="C7933" s="70" t="str">
        <f t="shared" si="125"/>
        <v/>
      </c>
    </row>
    <row r="7934" spans="3:3" ht="15" customHeight="1">
      <c r="C7934" s="70" t="str">
        <f t="shared" si="125"/>
        <v/>
      </c>
    </row>
    <row r="7935" spans="3:3" ht="15" customHeight="1">
      <c r="C7935" s="70" t="str">
        <f t="shared" si="125"/>
        <v/>
      </c>
    </row>
    <row r="7936" spans="3:3" ht="15" customHeight="1">
      <c r="C7936" s="70" t="str">
        <f t="shared" si="125"/>
        <v/>
      </c>
    </row>
    <row r="7937" spans="3:3" ht="15" customHeight="1">
      <c r="C7937" s="70" t="str">
        <f t="shared" si="125"/>
        <v/>
      </c>
    </row>
    <row r="7938" spans="3:3" ht="15" customHeight="1">
      <c r="C7938" s="70" t="str">
        <f t="shared" si="125"/>
        <v/>
      </c>
    </row>
    <row r="7939" spans="3:3" ht="15" customHeight="1">
      <c r="C7939" s="70" t="str">
        <f t="shared" si="125"/>
        <v/>
      </c>
    </row>
    <row r="7940" spans="3:3" ht="15" customHeight="1">
      <c r="C7940" s="70" t="str">
        <f t="shared" si="125"/>
        <v/>
      </c>
    </row>
    <row r="7941" spans="3:3" ht="15" customHeight="1">
      <c r="C7941" s="70" t="str">
        <f t="shared" si="125"/>
        <v/>
      </c>
    </row>
    <row r="7942" spans="3:3" ht="15" customHeight="1">
      <c r="C7942" s="70" t="str">
        <f t="shared" si="125"/>
        <v/>
      </c>
    </row>
    <row r="7943" spans="3:3" ht="15" customHeight="1">
      <c r="C7943" s="70" t="str">
        <f t="shared" si="125"/>
        <v/>
      </c>
    </row>
    <row r="7944" spans="3:3" ht="15" customHeight="1">
      <c r="C7944" s="70" t="str">
        <f t="shared" si="125"/>
        <v/>
      </c>
    </row>
    <row r="7945" spans="3:3" ht="15" customHeight="1">
      <c r="C7945" s="70" t="str">
        <f t="shared" si="125"/>
        <v/>
      </c>
    </row>
    <row r="7946" spans="3:3" ht="15" customHeight="1">
      <c r="C7946" s="70" t="str">
        <f t="shared" si="125"/>
        <v/>
      </c>
    </row>
    <row r="7947" spans="3:3" ht="15" customHeight="1">
      <c r="C7947" s="70" t="str">
        <f t="shared" si="125"/>
        <v/>
      </c>
    </row>
    <row r="7948" spans="3:3" ht="15" customHeight="1">
      <c r="C7948" s="70" t="str">
        <f t="shared" si="125"/>
        <v/>
      </c>
    </row>
    <row r="7949" spans="3:3" ht="15" customHeight="1">
      <c r="C7949" s="70" t="str">
        <f t="shared" si="125"/>
        <v/>
      </c>
    </row>
    <row r="7950" spans="3:3" ht="15" customHeight="1">
      <c r="C7950" s="70" t="str">
        <f t="shared" si="125"/>
        <v/>
      </c>
    </row>
    <row r="7951" spans="3:3" ht="15" customHeight="1">
      <c r="C7951" s="70" t="str">
        <f t="shared" si="125"/>
        <v/>
      </c>
    </row>
    <row r="7952" spans="3:3" ht="15" customHeight="1">
      <c r="C7952" s="70" t="str">
        <f t="shared" si="125"/>
        <v/>
      </c>
    </row>
    <row r="7953" spans="3:3" ht="15" customHeight="1">
      <c r="C7953" s="70" t="str">
        <f t="shared" ref="C7953:C8016" si="126">IF(B7953&lt;&gt;"",TEXT(WEEKDAY(B7953),"dddd"),"")</f>
        <v/>
      </c>
    </row>
    <row r="7954" spans="3:3" ht="15" customHeight="1">
      <c r="C7954" s="70" t="str">
        <f t="shared" si="126"/>
        <v/>
      </c>
    </row>
    <row r="7955" spans="3:3" ht="15" customHeight="1">
      <c r="C7955" s="70" t="str">
        <f t="shared" si="126"/>
        <v/>
      </c>
    </row>
    <row r="7956" spans="3:3" ht="15" customHeight="1">
      <c r="C7956" s="70" t="str">
        <f t="shared" si="126"/>
        <v/>
      </c>
    </row>
    <row r="7957" spans="3:3" ht="15" customHeight="1">
      <c r="C7957" s="70" t="str">
        <f t="shared" si="126"/>
        <v/>
      </c>
    </row>
    <row r="7958" spans="3:3" ht="15" customHeight="1">
      <c r="C7958" s="70" t="str">
        <f t="shared" si="126"/>
        <v/>
      </c>
    </row>
    <row r="7959" spans="3:3" ht="15" customHeight="1">
      <c r="C7959" s="70" t="str">
        <f t="shared" si="126"/>
        <v/>
      </c>
    </row>
    <row r="7960" spans="3:3" ht="15" customHeight="1">
      <c r="C7960" s="70" t="str">
        <f t="shared" si="126"/>
        <v/>
      </c>
    </row>
    <row r="7961" spans="3:3" ht="15" customHeight="1">
      <c r="C7961" s="70" t="str">
        <f t="shared" si="126"/>
        <v/>
      </c>
    </row>
    <row r="7962" spans="3:3" ht="15" customHeight="1">
      <c r="C7962" s="70" t="str">
        <f t="shared" si="126"/>
        <v/>
      </c>
    </row>
    <row r="7963" spans="3:3" ht="15" customHeight="1">
      <c r="C7963" s="70" t="str">
        <f t="shared" si="126"/>
        <v/>
      </c>
    </row>
    <row r="7964" spans="3:3" ht="15" customHeight="1">
      <c r="C7964" s="70" t="str">
        <f t="shared" si="126"/>
        <v/>
      </c>
    </row>
    <row r="7965" spans="3:3" ht="15" customHeight="1">
      <c r="C7965" s="70" t="str">
        <f t="shared" si="126"/>
        <v/>
      </c>
    </row>
    <row r="7966" spans="3:3" ht="15" customHeight="1">
      <c r="C7966" s="70" t="str">
        <f t="shared" si="126"/>
        <v/>
      </c>
    </row>
    <row r="7967" spans="3:3" ht="15" customHeight="1">
      <c r="C7967" s="70" t="str">
        <f t="shared" si="126"/>
        <v/>
      </c>
    </row>
    <row r="7968" spans="3:3" ht="15" customHeight="1">
      <c r="C7968" s="70" t="str">
        <f t="shared" si="126"/>
        <v/>
      </c>
    </row>
    <row r="7969" spans="3:3" ht="15" customHeight="1">
      <c r="C7969" s="70" t="str">
        <f t="shared" si="126"/>
        <v/>
      </c>
    </row>
    <row r="7970" spans="3:3" ht="15" customHeight="1">
      <c r="C7970" s="70" t="str">
        <f t="shared" si="126"/>
        <v/>
      </c>
    </row>
    <row r="7971" spans="3:3" ht="15" customHeight="1">
      <c r="C7971" s="70" t="str">
        <f t="shared" si="126"/>
        <v/>
      </c>
    </row>
    <row r="7972" spans="3:3" ht="15" customHeight="1">
      <c r="C7972" s="70" t="str">
        <f t="shared" si="126"/>
        <v/>
      </c>
    </row>
    <row r="7973" spans="3:3" ht="15" customHeight="1">
      <c r="C7973" s="70" t="str">
        <f t="shared" si="126"/>
        <v/>
      </c>
    </row>
    <row r="7974" spans="3:3" ht="15" customHeight="1">
      <c r="C7974" s="70" t="str">
        <f t="shared" si="126"/>
        <v/>
      </c>
    </row>
    <row r="7975" spans="3:3" ht="15" customHeight="1">
      <c r="C7975" s="70" t="str">
        <f t="shared" si="126"/>
        <v/>
      </c>
    </row>
    <row r="7976" spans="3:3" ht="15" customHeight="1">
      <c r="C7976" s="70" t="str">
        <f t="shared" si="126"/>
        <v/>
      </c>
    </row>
    <row r="7977" spans="3:3" ht="15" customHeight="1">
      <c r="C7977" s="70" t="str">
        <f t="shared" si="126"/>
        <v/>
      </c>
    </row>
    <row r="7978" spans="3:3" ht="15" customHeight="1">
      <c r="C7978" s="70" t="str">
        <f t="shared" si="126"/>
        <v/>
      </c>
    </row>
    <row r="7979" spans="3:3" ht="15" customHeight="1">
      <c r="C7979" s="70" t="str">
        <f t="shared" si="126"/>
        <v/>
      </c>
    </row>
    <row r="7980" spans="3:3" ht="15" customHeight="1">
      <c r="C7980" s="70" t="str">
        <f t="shared" si="126"/>
        <v/>
      </c>
    </row>
    <row r="7981" spans="3:3" ht="15" customHeight="1">
      <c r="C7981" s="70" t="str">
        <f t="shared" si="126"/>
        <v/>
      </c>
    </row>
    <row r="7982" spans="3:3" ht="15" customHeight="1">
      <c r="C7982" s="70" t="str">
        <f t="shared" si="126"/>
        <v/>
      </c>
    </row>
    <row r="7983" spans="3:3" ht="15" customHeight="1">
      <c r="C7983" s="70" t="str">
        <f t="shared" si="126"/>
        <v/>
      </c>
    </row>
    <row r="7984" spans="3:3" ht="15" customHeight="1">
      <c r="C7984" s="70" t="str">
        <f t="shared" si="126"/>
        <v/>
      </c>
    </row>
    <row r="7985" spans="3:3" ht="15" customHeight="1">
      <c r="C7985" s="70" t="str">
        <f t="shared" si="126"/>
        <v/>
      </c>
    </row>
    <row r="7986" spans="3:3" ht="15" customHeight="1">
      <c r="C7986" s="70" t="str">
        <f t="shared" si="126"/>
        <v/>
      </c>
    </row>
    <row r="7987" spans="3:3" ht="15" customHeight="1">
      <c r="C7987" s="70" t="str">
        <f t="shared" si="126"/>
        <v/>
      </c>
    </row>
    <row r="7988" spans="3:3" ht="15" customHeight="1">
      <c r="C7988" s="70" t="str">
        <f t="shared" si="126"/>
        <v/>
      </c>
    </row>
    <row r="7989" spans="3:3" ht="15" customHeight="1">
      <c r="C7989" s="70" t="str">
        <f t="shared" si="126"/>
        <v/>
      </c>
    </row>
    <row r="7990" spans="3:3" ht="15" customHeight="1">
      <c r="C7990" s="70" t="str">
        <f t="shared" si="126"/>
        <v/>
      </c>
    </row>
    <row r="7991" spans="3:3" ht="15" customHeight="1">
      <c r="C7991" s="70" t="str">
        <f t="shared" si="126"/>
        <v/>
      </c>
    </row>
    <row r="7992" spans="3:3" ht="15" customHeight="1">
      <c r="C7992" s="70" t="str">
        <f t="shared" si="126"/>
        <v/>
      </c>
    </row>
    <row r="7993" spans="3:3" ht="15" customHeight="1">
      <c r="C7993" s="70" t="str">
        <f t="shared" si="126"/>
        <v/>
      </c>
    </row>
    <row r="7994" spans="3:3" ht="15" customHeight="1">
      <c r="C7994" s="70" t="str">
        <f t="shared" si="126"/>
        <v/>
      </c>
    </row>
    <row r="7995" spans="3:3" ht="15" customHeight="1">
      <c r="C7995" s="70" t="str">
        <f t="shared" si="126"/>
        <v/>
      </c>
    </row>
    <row r="7996" spans="3:3" ht="15" customHeight="1">
      <c r="C7996" s="70" t="str">
        <f t="shared" si="126"/>
        <v/>
      </c>
    </row>
    <row r="7997" spans="3:3" ht="15" customHeight="1">
      <c r="C7997" s="70" t="str">
        <f t="shared" si="126"/>
        <v/>
      </c>
    </row>
    <row r="7998" spans="3:3" ht="15" customHeight="1">
      <c r="C7998" s="70" t="str">
        <f t="shared" si="126"/>
        <v/>
      </c>
    </row>
    <row r="7999" spans="3:3" ht="15" customHeight="1">
      <c r="C7999" s="70" t="str">
        <f t="shared" si="126"/>
        <v/>
      </c>
    </row>
    <row r="8000" spans="3:3" ht="15" customHeight="1">
      <c r="C8000" s="70" t="str">
        <f t="shared" si="126"/>
        <v/>
      </c>
    </row>
    <row r="8001" spans="3:3" ht="15" customHeight="1">
      <c r="C8001" s="70" t="str">
        <f t="shared" si="126"/>
        <v/>
      </c>
    </row>
    <row r="8002" spans="3:3" ht="15" customHeight="1">
      <c r="C8002" s="70" t="str">
        <f t="shared" si="126"/>
        <v/>
      </c>
    </row>
    <row r="8003" spans="3:3" ht="15" customHeight="1">
      <c r="C8003" s="70" t="str">
        <f t="shared" si="126"/>
        <v/>
      </c>
    </row>
    <row r="8004" spans="3:3" ht="15" customHeight="1">
      <c r="C8004" s="70" t="str">
        <f t="shared" si="126"/>
        <v/>
      </c>
    </row>
    <row r="8005" spans="3:3" ht="15" customHeight="1">
      <c r="C8005" s="70" t="str">
        <f t="shared" si="126"/>
        <v/>
      </c>
    </row>
    <row r="8006" spans="3:3" ht="15" customHeight="1">
      <c r="C8006" s="70" t="str">
        <f t="shared" si="126"/>
        <v/>
      </c>
    </row>
    <row r="8007" spans="3:3" ht="15" customHeight="1">
      <c r="C8007" s="70" t="str">
        <f t="shared" si="126"/>
        <v/>
      </c>
    </row>
    <row r="8008" spans="3:3" ht="15" customHeight="1">
      <c r="C8008" s="70" t="str">
        <f t="shared" si="126"/>
        <v/>
      </c>
    </row>
    <row r="8009" spans="3:3" ht="15" customHeight="1">
      <c r="C8009" s="70" t="str">
        <f t="shared" si="126"/>
        <v/>
      </c>
    </row>
    <row r="8010" spans="3:3" ht="15" customHeight="1">
      <c r="C8010" s="70" t="str">
        <f t="shared" si="126"/>
        <v/>
      </c>
    </row>
    <row r="8011" spans="3:3" ht="15" customHeight="1">
      <c r="C8011" s="70" t="str">
        <f t="shared" si="126"/>
        <v/>
      </c>
    </row>
    <row r="8012" spans="3:3" ht="15" customHeight="1">
      <c r="C8012" s="70" t="str">
        <f t="shared" si="126"/>
        <v/>
      </c>
    </row>
    <row r="8013" spans="3:3" ht="15" customHeight="1">
      <c r="C8013" s="70" t="str">
        <f t="shared" si="126"/>
        <v/>
      </c>
    </row>
    <row r="8014" spans="3:3" ht="15" customHeight="1">
      <c r="C8014" s="70" t="str">
        <f t="shared" si="126"/>
        <v/>
      </c>
    </row>
    <row r="8015" spans="3:3" ht="15" customHeight="1">
      <c r="C8015" s="70" t="str">
        <f t="shared" si="126"/>
        <v/>
      </c>
    </row>
    <row r="8016" spans="3:3" ht="15" customHeight="1">
      <c r="C8016" s="70" t="str">
        <f t="shared" si="126"/>
        <v/>
      </c>
    </row>
    <row r="8017" spans="3:3" ht="15" customHeight="1">
      <c r="C8017" s="70" t="str">
        <f t="shared" ref="C8017:C8080" si="127">IF(B8017&lt;&gt;"",TEXT(WEEKDAY(B8017),"dddd"),"")</f>
        <v/>
      </c>
    </row>
    <row r="8018" spans="3:3" ht="15" customHeight="1">
      <c r="C8018" s="70" t="str">
        <f t="shared" si="127"/>
        <v/>
      </c>
    </row>
    <row r="8019" spans="3:3" ht="15" customHeight="1">
      <c r="C8019" s="70" t="str">
        <f t="shared" si="127"/>
        <v/>
      </c>
    </row>
    <row r="8020" spans="3:3" ht="15" customHeight="1">
      <c r="C8020" s="70" t="str">
        <f t="shared" si="127"/>
        <v/>
      </c>
    </row>
    <row r="8021" spans="3:3" ht="15" customHeight="1">
      <c r="C8021" s="70" t="str">
        <f t="shared" si="127"/>
        <v/>
      </c>
    </row>
    <row r="8022" spans="3:3" ht="15" customHeight="1">
      <c r="C8022" s="70" t="str">
        <f t="shared" si="127"/>
        <v/>
      </c>
    </row>
    <row r="8023" spans="3:3" ht="15" customHeight="1">
      <c r="C8023" s="70" t="str">
        <f t="shared" si="127"/>
        <v/>
      </c>
    </row>
    <row r="8024" spans="3:3" ht="15" customHeight="1">
      <c r="C8024" s="70" t="str">
        <f t="shared" si="127"/>
        <v/>
      </c>
    </row>
    <row r="8025" spans="3:3" ht="15" customHeight="1">
      <c r="C8025" s="70" t="str">
        <f t="shared" si="127"/>
        <v/>
      </c>
    </row>
    <row r="8026" spans="3:3" ht="15" customHeight="1">
      <c r="C8026" s="70" t="str">
        <f t="shared" si="127"/>
        <v/>
      </c>
    </row>
    <row r="8027" spans="3:3" ht="15" customHeight="1">
      <c r="C8027" s="70" t="str">
        <f t="shared" si="127"/>
        <v/>
      </c>
    </row>
    <row r="8028" spans="3:3" ht="15" customHeight="1">
      <c r="C8028" s="70" t="str">
        <f t="shared" si="127"/>
        <v/>
      </c>
    </row>
    <row r="8029" spans="3:3" ht="15" customHeight="1">
      <c r="C8029" s="70" t="str">
        <f t="shared" si="127"/>
        <v/>
      </c>
    </row>
    <row r="8030" spans="3:3" ht="15" customHeight="1">
      <c r="C8030" s="70" t="str">
        <f t="shared" si="127"/>
        <v/>
      </c>
    </row>
    <row r="8031" spans="3:3" ht="15" customHeight="1">
      <c r="C8031" s="70" t="str">
        <f t="shared" si="127"/>
        <v/>
      </c>
    </row>
    <row r="8032" spans="3:3" ht="15" customHeight="1">
      <c r="C8032" s="70" t="str">
        <f t="shared" si="127"/>
        <v/>
      </c>
    </row>
    <row r="8033" spans="3:3" ht="15" customHeight="1">
      <c r="C8033" s="70" t="str">
        <f t="shared" si="127"/>
        <v/>
      </c>
    </row>
    <row r="8034" spans="3:3" ht="15" customHeight="1">
      <c r="C8034" s="70" t="str">
        <f t="shared" si="127"/>
        <v/>
      </c>
    </row>
    <row r="8035" spans="3:3" ht="15" customHeight="1">
      <c r="C8035" s="70" t="str">
        <f t="shared" si="127"/>
        <v/>
      </c>
    </row>
    <row r="8036" spans="3:3" ht="15" customHeight="1">
      <c r="C8036" s="70" t="str">
        <f t="shared" si="127"/>
        <v/>
      </c>
    </row>
    <row r="8037" spans="3:3" ht="15" customHeight="1">
      <c r="C8037" s="70" t="str">
        <f t="shared" si="127"/>
        <v/>
      </c>
    </row>
    <row r="8038" spans="3:3" ht="15" customHeight="1">
      <c r="C8038" s="70" t="str">
        <f t="shared" si="127"/>
        <v/>
      </c>
    </row>
    <row r="8039" spans="3:3" ht="15" customHeight="1">
      <c r="C8039" s="70" t="str">
        <f t="shared" si="127"/>
        <v/>
      </c>
    </row>
    <row r="8040" spans="3:3" ht="15" customHeight="1">
      <c r="C8040" s="70" t="str">
        <f t="shared" si="127"/>
        <v/>
      </c>
    </row>
    <row r="8041" spans="3:3" ht="15" customHeight="1">
      <c r="C8041" s="70" t="str">
        <f t="shared" si="127"/>
        <v/>
      </c>
    </row>
    <row r="8042" spans="3:3" ht="15" customHeight="1">
      <c r="C8042" s="70" t="str">
        <f t="shared" si="127"/>
        <v/>
      </c>
    </row>
    <row r="8043" spans="3:3" ht="15" customHeight="1">
      <c r="C8043" s="70" t="str">
        <f t="shared" si="127"/>
        <v/>
      </c>
    </row>
    <row r="8044" spans="3:3" ht="15" customHeight="1">
      <c r="C8044" s="70" t="str">
        <f t="shared" si="127"/>
        <v/>
      </c>
    </row>
    <row r="8045" spans="3:3" ht="15" customHeight="1">
      <c r="C8045" s="70" t="str">
        <f t="shared" si="127"/>
        <v/>
      </c>
    </row>
    <row r="8046" spans="3:3" ht="15" customHeight="1">
      <c r="C8046" s="70" t="str">
        <f t="shared" si="127"/>
        <v/>
      </c>
    </row>
    <row r="8047" spans="3:3" ht="15" customHeight="1">
      <c r="C8047" s="70" t="str">
        <f t="shared" si="127"/>
        <v/>
      </c>
    </row>
    <row r="8048" spans="3:3" ht="15" customHeight="1">
      <c r="C8048" s="70" t="str">
        <f t="shared" si="127"/>
        <v/>
      </c>
    </row>
    <row r="8049" spans="3:3" ht="15" customHeight="1">
      <c r="C8049" s="70" t="str">
        <f t="shared" si="127"/>
        <v/>
      </c>
    </row>
    <row r="8050" spans="3:3" ht="15" customHeight="1">
      <c r="C8050" s="70" t="str">
        <f t="shared" si="127"/>
        <v/>
      </c>
    </row>
    <row r="8051" spans="3:3" ht="15" customHeight="1">
      <c r="C8051" s="70" t="str">
        <f t="shared" si="127"/>
        <v/>
      </c>
    </row>
    <row r="8052" spans="3:3" ht="15" customHeight="1">
      <c r="C8052" s="70" t="str">
        <f t="shared" si="127"/>
        <v/>
      </c>
    </row>
    <row r="8053" spans="3:3" ht="15" customHeight="1">
      <c r="C8053" s="70" t="str">
        <f t="shared" si="127"/>
        <v/>
      </c>
    </row>
    <row r="8054" spans="3:3" ht="15" customHeight="1">
      <c r="C8054" s="70" t="str">
        <f t="shared" si="127"/>
        <v/>
      </c>
    </row>
    <row r="8055" spans="3:3" ht="15" customHeight="1">
      <c r="C8055" s="70" t="str">
        <f t="shared" si="127"/>
        <v/>
      </c>
    </row>
    <row r="8056" spans="3:3" ht="15" customHeight="1">
      <c r="C8056" s="70" t="str">
        <f t="shared" si="127"/>
        <v/>
      </c>
    </row>
    <row r="8057" spans="3:3" ht="15" customHeight="1">
      <c r="C8057" s="70" t="str">
        <f t="shared" si="127"/>
        <v/>
      </c>
    </row>
    <row r="8058" spans="3:3" ht="15" customHeight="1">
      <c r="C8058" s="70" t="str">
        <f t="shared" si="127"/>
        <v/>
      </c>
    </row>
    <row r="8059" spans="3:3" ht="15" customHeight="1">
      <c r="C8059" s="70" t="str">
        <f t="shared" si="127"/>
        <v/>
      </c>
    </row>
    <row r="8060" spans="3:3" ht="15" customHeight="1">
      <c r="C8060" s="70" t="str">
        <f t="shared" si="127"/>
        <v/>
      </c>
    </row>
    <row r="8061" spans="3:3" ht="15" customHeight="1">
      <c r="C8061" s="70" t="str">
        <f t="shared" si="127"/>
        <v/>
      </c>
    </row>
    <row r="8062" spans="3:3" ht="15" customHeight="1">
      <c r="C8062" s="70" t="str">
        <f t="shared" si="127"/>
        <v/>
      </c>
    </row>
    <row r="8063" spans="3:3" ht="15" customHeight="1">
      <c r="C8063" s="70" t="str">
        <f t="shared" si="127"/>
        <v/>
      </c>
    </row>
    <row r="8064" spans="3:3" ht="15" customHeight="1">
      <c r="C8064" s="70" t="str">
        <f t="shared" si="127"/>
        <v/>
      </c>
    </row>
    <row r="8065" spans="3:3" ht="15" customHeight="1">
      <c r="C8065" s="70" t="str">
        <f t="shared" si="127"/>
        <v/>
      </c>
    </row>
    <row r="8066" spans="3:3" ht="15" customHeight="1">
      <c r="C8066" s="70" t="str">
        <f t="shared" si="127"/>
        <v/>
      </c>
    </row>
    <row r="8067" spans="3:3" ht="15" customHeight="1">
      <c r="C8067" s="70" t="str">
        <f t="shared" si="127"/>
        <v/>
      </c>
    </row>
    <row r="8068" spans="3:3" ht="15" customHeight="1">
      <c r="C8068" s="70" t="str">
        <f t="shared" si="127"/>
        <v/>
      </c>
    </row>
    <row r="8069" spans="3:3" ht="15" customHeight="1">
      <c r="C8069" s="70" t="str">
        <f t="shared" si="127"/>
        <v/>
      </c>
    </row>
    <row r="8070" spans="3:3" ht="15" customHeight="1">
      <c r="C8070" s="70" t="str">
        <f t="shared" si="127"/>
        <v/>
      </c>
    </row>
    <row r="8071" spans="3:3" ht="15" customHeight="1">
      <c r="C8071" s="70" t="str">
        <f t="shared" si="127"/>
        <v/>
      </c>
    </row>
    <row r="8072" spans="3:3" ht="15" customHeight="1">
      <c r="C8072" s="70" t="str">
        <f t="shared" si="127"/>
        <v/>
      </c>
    </row>
    <row r="8073" spans="3:3" ht="15" customHeight="1">
      <c r="C8073" s="70" t="str">
        <f t="shared" si="127"/>
        <v/>
      </c>
    </row>
    <row r="8074" spans="3:3" ht="15" customHeight="1">
      <c r="C8074" s="70" t="str">
        <f t="shared" si="127"/>
        <v/>
      </c>
    </row>
    <row r="8075" spans="3:3" ht="15" customHeight="1">
      <c r="C8075" s="70" t="str">
        <f t="shared" si="127"/>
        <v/>
      </c>
    </row>
    <row r="8076" spans="3:3" ht="15" customHeight="1">
      <c r="C8076" s="70" t="str">
        <f t="shared" si="127"/>
        <v/>
      </c>
    </row>
    <row r="8077" spans="3:3" ht="15" customHeight="1">
      <c r="C8077" s="70" t="str">
        <f t="shared" si="127"/>
        <v/>
      </c>
    </row>
    <row r="8078" spans="3:3" ht="15" customHeight="1">
      <c r="C8078" s="70" t="str">
        <f t="shared" si="127"/>
        <v/>
      </c>
    </row>
    <row r="8079" spans="3:3" ht="15" customHeight="1">
      <c r="C8079" s="70" t="str">
        <f t="shared" si="127"/>
        <v/>
      </c>
    </row>
    <row r="8080" spans="3:3" ht="15" customHeight="1">
      <c r="C8080" s="70" t="str">
        <f t="shared" si="127"/>
        <v/>
      </c>
    </row>
    <row r="8081" spans="3:3" ht="15" customHeight="1">
      <c r="C8081" s="70" t="str">
        <f t="shared" ref="C8081:C8144" si="128">IF(B8081&lt;&gt;"",TEXT(WEEKDAY(B8081),"dddd"),"")</f>
        <v/>
      </c>
    </row>
    <row r="8082" spans="3:3" ht="15" customHeight="1">
      <c r="C8082" s="70" t="str">
        <f t="shared" si="128"/>
        <v/>
      </c>
    </row>
    <row r="8083" spans="3:3" ht="15" customHeight="1">
      <c r="C8083" s="70" t="str">
        <f t="shared" si="128"/>
        <v/>
      </c>
    </row>
    <row r="8084" spans="3:3" ht="15" customHeight="1">
      <c r="C8084" s="70" t="str">
        <f t="shared" si="128"/>
        <v/>
      </c>
    </row>
    <row r="8085" spans="3:3" ht="15" customHeight="1">
      <c r="C8085" s="70" t="str">
        <f t="shared" si="128"/>
        <v/>
      </c>
    </row>
    <row r="8086" spans="3:3" ht="15" customHeight="1">
      <c r="C8086" s="70" t="str">
        <f t="shared" si="128"/>
        <v/>
      </c>
    </row>
    <row r="8087" spans="3:3" ht="15" customHeight="1">
      <c r="C8087" s="70" t="str">
        <f t="shared" si="128"/>
        <v/>
      </c>
    </row>
    <row r="8088" spans="3:3" ht="15" customHeight="1">
      <c r="C8088" s="70" t="str">
        <f t="shared" si="128"/>
        <v/>
      </c>
    </row>
    <row r="8089" spans="3:3" ht="15" customHeight="1">
      <c r="C8089" s="70" t="str">
        <f t="shared" si="128"/>
        <v/>
      </c>
    </row>
    <row r="8090" spans="3:3" ht="15" customHeight="1">
      <c r="C8090" s="70" t="str">
        <f t="shared" si="128"/>
        <v/>
      </c>
    </row>
    <row r="8091" spans="3:3" ht="15" customHeight="1">
      <c r="C8091" s="70" t="str">
        <f t="shared" si="128"/>
        <v/>
      </c>
    </row>
    <row r="8092" spans="3:3" ht="15" customHeight="1">
      <c r="C8092" s="70" t="str">
        <f t="shared" si="128"/>
        <v/>
      </c>
    </row>
    <row r="8093" spans="3:3" ht="15" customHeight="1">
      <c r="C8093" s="70" t="str">
        <f t="shared" si="128"/>
        <v/>
      </c>
    </row>
    <row r="8094" spans="3:3" ht="15" customHeight="1">
      <c r="C8094" s="70" t="str">
        <f t="shared" si="128"/>
        <v/>
      </c>
    </row>
    <row r="8095" spans="3:3" ht="15" customHeight="1">
      <c r="C8095" s="70" t="str">
        <f t="shared" si="128"/>
        <v/>
      </c>
    </row>
    <row r="8096" spans="3:3" ht="15" customHeight="1">
      <c r="C8096" s="70" t="str">
        <f t="shared" si="128"/>
        <v/>
      </c>
    </row>
    <row r="8097" spans="3:3" ht="15" customHeight="1">
      <c r="C8097" s="70" t="str">
        <f t="shared" si="128"/>
        <v/>
      </c>
    </row>
    <row r="8098" spans="3:3" ht="15" customHeight="1">
      <c r="C8098" s="70" t="str">
        <f t="shared" si="128"/>
        <v/>
      </c>
    </row>
    <row r="8099" spans="3:3" ht="15" customHeight="1">
      <c r="C8099" s="70" t="str">
        <f t="shared" si="128"/>
        <v/>
      </c>
    </row>
    <row r="8100" spans="3:3" ht="15" customHeight="1">
      <c r="C8100" s="70" t="str">
        <f t="shared" si="128"/>
        <v/>
      </c>
    </row>
    <row r="8101" spans="3:3" ht="15" customHeight="1">
      <c r="C8101" s="70" t="str">
        <f t="shared" si="128"/>
        <v/>
      </c>
    </row>
    <row r="8102" spans="3:3" ht="15" customHeight="1">
      <c r="C8102" s="70" t="str">
        <f t="shared" si="128"/>
        <v/>
      </c>
    </row>
    <row r="8103" spans="3:3" ht="15" customHeight="1">
      <c r="C8103" s="70" t="str">
        <f t="shared" si="128"/>
        <v/>
      </c>
    </row>
    <row r="8104" spans="3:3" ht="15" customHeight="1">
      <c r="C8104" s="70" t="str">
        <f t="shared" si="128"/>
        <v/>
      </c>
    </row>
    <row r="8105" spans="3:3" ht="15" customHeight="1">
      <c r="C8105" s="70" t="str">
        <f t="shared" si="128"/>
        <v/>
      </c>
    </row>
    <row r="8106" spans="3:3" ht="15" customHeight="1">
      <c r="C8106" s="70" t="str">
        <f t="shared" si="128"/>
        <v/>
      </c>
    </row>
    <row r="8107" spans="3:3" ht="15" customHeight="1">
      <c r="C8107" s="70" t="str">
        <f t="shared" si="128"/>
        <v/>
      </c>
    </row>
    <row r="8108" spans="3:3" ht="15" customHeight="1">
      <c r="C8108" s="70" t="str">
        <f t="shared" si="128"/>
        <v/>
      </c>
    </row>
    <row r="8109" spans="3:3" ht="15" customHeight="1">
      <c r="C8109" s="70" t="str">
        <f t="shared" si="128"/>
        <v/>
      </c>
    </row>
    <row r="8110" spans="3:3" ht="15" customHeight="1">
      <c r="C8110" s="70" t="str">
        <f t="shared" si="128"/>
        <v/>
      </c>
    </row>
    <row r="8111" spans="3:3" ht="15" customHeight="1">
      <c r="C8111" s="70" t="str">
        <f t="shared" si="128"/>
        <v/>
      </c>
    </row>
    <row r="8112" spans="3:3" ht="15" customHeight="1">
      <c r="C8112" s="70" t="str">
        <f t="shared" si="128"/>
        <v/>
      </c>
    </row>
    <row r="8113" spans="3:3" ht="15" customHeight="1">
      <c r="C8113" s="70" t="str">
        <f t="shared" si="128"/>
        <v/>
      </c>
    </row>
    <row r="8114" spans="3:3" ht="15" customHeight="1">
      <c r="C8114" s="70" t="str">
        <f t="shared" si="128"/>
        <v/>
      </c>
    </row>
    <row r="8115" spans="3:3" ht="15" customHeight="1">
      <c r="C8115" s="70" t="str">
        <f t="shared" si="128"/>
        <v/>
      </c>
    </row>
    <row r="8116" spans="3:3" ht="15" customHeight="1">
      <c r="C8116" s="70" t="str">
        <f t="shared" si="128"/>
        <v/>
      </c>
    </row>
    <row r="8117" spans="3:3" ht="15" customHeight="1">
      <c r="C8117" s="70" t="str">
        <f t="shared" si="128"/>
        <v/>
      </c>
    </row>
    <row r="8118" spans="3:3" ht="15" customHeight="1">
      <c r="C8118" s="70" t="str">
        <f t="shared" si="128"/>
        <v/>
      </c>
    </row>
    <row r="8119" spans="3:3" ht="15" customHeight="1">
      <c r="C8119" s="70" t="str">
        <f t="shared" si="128"/>
        <v/>
      </c>
    </row>
    <row r="8120" spans="3:3" ht="15" customHeight="1">
      <c r="C8120" s="70" t="str">
        <f t="shared" si="128"/>
        <v/>
      </c>
    </row>
    <row r="8121" spans="3:3" ht="15" customHeight="1">
      <c r="C8121" s="70" t="str">
        <f t="shared" si="128"/>
        <v/>
      </c>
    </row>
    <row r="8122" spans="3:3" ht="15" customHeight="1">
      <c r="C8122" s="70" t="str">
        <f t="shared" si="128"/>
        <v/>
      </c>
    </row>
    <row r="8123" spans="3:3" ht="15" customHeight="1">
      <c r="C8123" s="70" t="str">
        <f t="shared" si="128"/>
        <v/>
      </c>
    </row>
    <row r="8124" spans="3:3" ht="15" customHeight="1">
      <c r="C8124" s="70" t="str">
        <f t="shared" si="128"/>
        <v/>
      </c>
    </row>
    <row r="8125" spans="3:3" ht="15" customHeight="1">
      <c r="C8125" s="70" t="str">
        <f t="shared" si="128"/>
        <v/>
      </c>
    </row>
    <row r="8126" spans="3:3" ht="15" customHeight="1">
      <c r="C8126" s="70" t="str">
        <f t="shared" si="128"/>
        <v/>
      </c>
    </row>
    <row r="8127" spans="3:3" ht="15" customHeight="1">
      <c r="C8127" s="70" t="str">
        <f t="shared" si="128"/>
        <v/>
      </c>
    </row>
    <row r="8128" spans="3:3" ht="15" customHeight="1">
      <c r="C8128" s="70" t="str">
        <f t="shared" si="128"/>
        <v/>
      </c>
    </row>
    <row r="8129" spans="3:3" ht="15" customHeight="1">
      <c r="C8129" s="70" t="str">
        <f t="shared" si="128"/>
        <v/>
      </c>
    </row>
    <row r="8130" spans="3:3" ht="15" customHeight="1">
      <c r="C8130" s="70" t="str">
        <f t="shared" si="128"/>
        <v/>
      </c>
    </row>
    <row r="8131" spans="3:3" ht="15" customHeight="1">
      <c r="C8131" s="70" t="str">
        <f t="shared" si="128"/>
        <v/>
      </c>
    </row>
    <row r="8132" spans="3:3" ht="15" customHeight="1">
      <c r="C8132" s="70" t="str">
        <f t="shared" si="128"/>
        <v/>
      </c>
    </row>
    <row r="8133" spans="3:3" ht="15" customHeight="1">
      <c r="C8133" s="70" t="str">
        <f t="shared" si="128"/>
        <v/>
      </c>
    </row>
    <row r="8134" spans="3:3" ht="15" customHeight="1">
      <c r="C8134" s="70" t="str">
        <f t="shared" si="128"/>
        <v/>
      </c>
    </row>
    <row r="8135" spans="3:3" ht="15" customHeight="1">
      <c r="C8135" s="70" t="str">
        <f t="shared" si="128"/>
        <v/>
      </c>
    </row>
    <row r="8136" spans="3:3" ht="15" customHeight="1">
      <c r="C8136" s="70" t="str">
        <f t="shared" si="128"/>
        <v/>
      </c>
    </row>
    <row r="8137" spans="3:3" ht="15" customHeight="1">
      <c r="C8137" s="70" t="str">
        <f t="shared" si="128"/>
        <v/>
      </c>
    </row>
    <row r="8138" spans="3:3" ht="15" customHeight="1">
      <c r="C8138" s="70" t="str">
        <f t="shared" si="128"/>
        <v/>
      </c>
    </row>
    <row r="8139" spans="3:3" ht="15" customHeight="1">
      <c r="C8139" s="70" t="str">
        <f t="shared" si="128"/>
        <v/>
      </c>
    </row>
    <row r="8140" spans="3:3" ht="15" customHeight="1">
      <c r="C8140" s="70" t="str">
        <f t="shared" si="128"/>
        <v/>
      </c>
    </row>
    <row r="8141" spans="3:3" ht="15" customHeight="1">
      <c r="C8141" s="70" t="str">
        <f t="shared" si="128"/>
        <v/>
      </c>
    </row>
    <row r="8142" spans="3:3" ht="15" customHeight="1">
      <c r="C8142" s="70" t="str">
        <f t="shared" si="128"/>
        <v/>
      </c>
    </row>
    <row r="8143" spans="3:3" ht="15" customHeight="1">
      <c r="C8143" s="70" t="str">
        <f t="shared" si="128"/>
        <v/>
      </c>
    </row>
    <row r="8144" spans="3:3" ht="15" customHeight="1">
      <c r="C8144" s="70" t="str">
        <f t="shared" si="128"/>
        <v/>
      </c>
    </row>
    <row r="8145" spans="3:3" ht="15" customHeight="1">
      <c r="C8145" s="70" t="str">
        <f t="shared" ref="C8145:C8208" si="129">IF(B8145&lt;&gt;"",TEXT(WEEKDAY(B8145),"dddd"),"")</f>
        <v/>
      </c>
    </row>
    <row r="8146" spans="3:3" ht="15" customHeight="1">
      <c r="C8146" s="70" t="str">
        <f t="shared" si="129"/>
        <v/>
      </c>
    </row>
    <row r="8147" spans="3:3" ht="15" customHeight="1">
      <c r="C8147" s="70" t="str">
        <f t="shared" si="129"/>
        <v/>
      </c>
    </row>
    <row r="8148" spans="3:3" ht="15" customHeight="1">
      <c r="C8148" s="70" t="str">
        <f t="shared" si="129"/>
        <v/>
      </c>
    </row>
    <row r="8149" spans="3:3" ht="15" customHeight="1">
      <c r="C8149" s="70" t="str">
        <f t="shared" si="129"/>
        <v/>
      </c>
    </row>
    <row r="8150" spans="3:3" ht="15" customHeight="1">
      <c r="C8150" s="70" t="str">
        <f t="shared" si="129"/>
        <v/>
      </c>
    </row>
    <row r="8151" spans="3:3" ht="15" customHeight="1">
      <c r="C8151" s="70" t="str">
        <f t="shared" si="129"/>
        <v/>
      </c>
    </row>
    <row r="8152" spans="3:3" ht="15" customHeight="1">
      <c r="C8152" s="70" t="str">
        <f t="shared" si="129"/>
        <v/>
      </c>
    </row>
    <row r="8153" spans="3:3" ht="15" customHeight="1">
      <c r="C8153" s="70" t="str">
        <f t="shared" si="129"/>
        <v/>
      </c>
    </row>
    <row r="8154" spans="3:3" ht="15" customHeight="1">
      <c r="C8154" s="70" t="str">
        <f t="shared" si="129"/>
        <v/>
      </c>
    </row>
    <row r="8155" spans="3:3" ht="15" customHeight="1">
      <c r="C8155" s="70" t="str">
        <f t="shared" si="129"/>
        <v/>
      </c>
    </row>
    <row r="8156" spans="3:3" ht="15" customHeight="1">
      <c r="C8156" s="70" t="str">
        <f t="shared" si="129"/>
        <v/>
      </c>
    </row>
    <row r="8157" spans="3:3" ht="15" customHeight="1">
      <c r="C8157" s="70" t="str">
        <f t="shared" si="129"/>
        <v/>
      </c>
    </row>
    <row r="8158" spans="3:3" ht="15" customHeight="1">
      <c r="C8158" s="70" t="str">
        <f t="shared" si="129"/>
        <v/>
      </c>
    </row>
    <row r="8159" spans="3:3" ht="15" customHeight="1">
      <c r="C8159" s="70" t="str">
        <f t="shared" si="129"/>
        <v/>
      </c>
    </row>
    <row r="8160" spans="3:3" ht="15" customHeight="1">
      <c r="C8160" s="70" t="str">
        <f t="shared" si="129"/>
        <v/>
      </c>
    </row>
    <row r="8161" spans="3:3" ht="15" customHeight="1">
      <c r="C8161" s="70" t="str">
        <f t="shared" si="129"/>
        <v/>
      </c>
    </row>
    <row r="8162" spans="3:3" ht="15" customHeight="1">
      <c r="C8162" s="70" t="str">
        <f t="shared" si="129"/>
        <v/>
      </c>
    </row>
    <row r="8163" spans="3:3" ht="15" customHeight="1">
      <c r="C8163" s="70" t="str">
        <f t="shared" si="129"/>
        <v/>
      </c>
    </row>
    <row r="8164" spans="3:3" ht="15" customHeight="1">
      <c r="C8164" s="70" t="str">
        <f t="shared" si="129"/>
        <v/>
      </c>
    </row>
    <row r="8165" spans="3:3" ht="15" customHeight="1">
      <c r="C8165" s="70" t="str">
        <f t="shared" si="129"/>
        <v/>
      </c>
    </row>
    <row r="8166" spans="3:3" ht="15" customHeight="1">
      <c r="C8166" s="70" t="str">
        <f t="shared" si="129"/>
        <v/>
      </c>
    </row>
    <row r="8167" spans="3:3" ht="15" customHeight="1">
      <c r="C8167" s="70" t="str">
        <f t="shared" si="129"/>
        <v/>
      </c>
    </row>
    <row r="8168" spans="3:3" ht="15" customHeight="1">
      <c r="C8168" s="70" t="str">
        <f t="shared" si="129"/>
        <v/>
      </c>
    </row>
    <row r="8169" spans="3:3" ht="15" customHeight="1">
      <c r="C8169" s="70" t="str">
        <f t="shared" si="129"/>
        <v/>
      </c>
    </row>
    <row r="8170" spans="3:3" ht="15" customHeight="1">
      <c r="C8170" s="70" t="str">
        <f t="shared" si="129"/>
        <v/>
      </c>
    </row>
    <row r="8171" spans="3:3" ht="15" customHeight="1">
      <c r="C8171" s="70" t="str">
        <f t="shared" si="129"/>
        <v/>
      </c>
    </row>
    <row r="8172" spans="3:3" ht="15" customHeight="1">
      <c r="C8172" s="70" t="str">
        <f t="shared" si="129"/>
        <v/>
      </c>
    </row>
    <row r="8173" spans="3:3" ht="15" customHeight="1">
      <c r="C8173" s="70" t="str">
        <f t="shared" si="129"/>
        <v/>
      </c>
    </row>
    <row r="8174" spans="3:3" ht="15" customHeight="1">
      <c r="C8174" s="70" t="str">
        <f t="shared" si="129"/>
        <v/>
      </c>
    </row>
    <row r="8175" spans="3:3" ht="15" customHeight="1">
      <c r="C8175" s="70" t="str">
        <f t="shared" si="129"/>
        <v/>
      </c>
    </row>
    <row r="8176" spans="3:3" ht="15" customHeight="1">
      <c r="C8176" s="70" t="str">
        <f t="shared" si="129"/>
        <v/>
      </c>
    </row>
    <row r="8177" spans="3:3" ht="15" customHeight="1">
      <c r="C8177" s="70" t="str">
        <f t="shared" si="129"/>
        <v/>
      </c>
    </row>
    <row r="8178" spans="3:3" ht="15" customHeight="1">
      <c r="C8178" s="70" t="str">
        <f t="shared" si="129"/>
        <v/>
      </c>
    </row>
    <row r="8179" spans="3:3" ht="15" customHeight="1">
      <c r="C8179" s="70" t="str">
        <f t="shared" si="129"/>
        <v/>
      </c>
    </row>
    <row r="8180" spans="3:3" ht="15" customHeight="1">
      <c r="C8180" s="70" t="str">
        <f t="shared" si="129"/>
        <v/>
      </c>
    </row>
    <row r="8181" spans="3:3" ht="15" customHeight="1">
      <c r="C8181" s="70" t="str">
        <f t="shared" si="129"/>
        <v/>
      </c>
    </row>
    <row r="8182" spans="3:3" ht="15" customHeight="1">
      <c r="C8182" s="70" t="str">
        <f t="shared" si="129"/>
        <v/>
      </c>
    </row>
    <row r="8183" spans="3:3" ht="15" customHeight="1">
      <c r="C8183" s="70" t="str">
        <f t="shared" si="129"/>
        <v/>
      </c>
    </row>
    <row r="8184" spans="3:3" ht="15" customHeight="1">
      <c r="C8184" s="70" t="str">
        <f t="shared" si="129"/>
        <v/>
      </c>
    </row>
    <row r="8185" spans="3:3" ht="15" customHeight="1">
      <c r="C8185" s="70" t="str">
        <f t="shared" si="129"/>
        <v/>
      </c>
    </row>
    <row r="8186" spans="3:3" ht="15" customHeight="1">
      <c r="C8186" s="70" t="str">
        <f t="shared" si="129"/>
        <v/>
      </c>
    </row>
    <row r="8187" spans="3:3" ht="15" customHeight="1">
      <c r="C8187" s="70" t="str">
        <f t="shared" si="129"/>
        <v/>
      </c>
    </row>
    <row r="8188" spans="3:3" ht="15" customHeight="1">
      <c r="C8188" s="70" t="str">
        <f t="shared" si="129"/>
        <v/>
      </c>
    </row>
    <row r="8189" spans="3:3" ht="15" customHeight="1">
      <c r="C8189" s="70" t="str">
        <f t="shared" si="129"/>
        <v/>
      </c>
    </row>
    <row r="8190" spans="3:3" ht="15" customHeight="1">
      <c r="C8190" s="70" t="str">
        <f t="shared" si="129"/>
        <v/>
      </c>
    </row>
    <row r="8191" spans="3:3" ht="15" customHeight="1">
      <c r="C8191" s="70" t="str">
        <f t="shared" si="129"/>
        <v/>
      </c>
    </row>
    <row r="8192" spans="3:3" ht="15" customHeight="1">
      <c r="C8192" s="70" t="str">
        <f t="shared" si="129"/>
        <v/>
      </c>
    </row>
    <row r="8193" spans="3:3" ht="15" customHeight="1">
      <c r="C8193" s="70" t="str">
        <f t="shared" si="129"/>
        <v/>
      </c>
    </row>
    <row r="8194" spans="3:3" ht="15" customHeight="1">
      <c r="C8194" s="70" t="str">
        <f t="shared" si="129"/>
        <v/>
      </c>
    </row>
    <row r="8195" spans="3:3" ht="15" customHeight="1">
      <c r="C8195" s="70" t="str">
        <f t="shared" si="129"/>
        <v/>
      </c>
    </row>
    <row r="8196" spans="3:3" ht="15" customHeight="1">
      <c r="C8196" s="70" t="str">
        <f t="shared" si="129"/>
        <v/>
      </c>
    </row>
    <row r="8197" spans="3:3" ht="15" customHeight="1">
      <c r="C8197" s="70" t="str">
        <f t="shared" si="129"/>
        <v/>
      </c>
    </row>
    <row r="8198" spans="3:3" ht="15" customHeight="1">
      <c r="C8198" s="70" t="str">
        <f t="shared" si="129"/>
        <v/>
      </c>
    </row>
    <row r="8199" spans="3:3" ht="15" customHeight="1">
      <c r="C8199" s="70" t="str">
        <f t="shared" si="129"/>
        <v/>
      </c>
    </row>
    <row r="8200" spans="3:3" ht="15" customHeight="1">
      <c r="C8200" s="70" t="str">
        <f t="shared" si="129"/>
        <v/>
      </c>
    </row>
    <row r="8201" spans="3:3" ht="15" customHeight="1">
      <c r="C8201" s="70" t="str">
        <f t="shared" si="129"/>
        <v/>
      </c>
    </row>
    <row r="8202" spans="3:3" ht="15" customHeight="1">
      <c r="C8202" s="70" t="str">
        <f t="shared" si="129"/>
        <v/>
      </c>
    </row>
    <row r="8203" spans="3:3" ht="15" customHeight="1">
      <c r="C8203" s="70" t="str">
        <f t="shared" si="129"/>
        <v/>
      </c>
    </row>
    <row r="8204" spans="3:3" ht="15" customHeight="1">
      <c r="C8204" s="70" t="str">
        <f t="shared" si="129"/>
        <v/>
      </c>
    </row>
    <row r="8205" spans="3:3" ht="15" customHeight="1">
      <c r="C8205" s="70" t="str">
        <f t="shared" si="129"/>
        <v/>
      </c>
    </row>
    <row r="8206" spans="3:3" ht="15" customHeight="1">
      <c r="C8206" s="70" t="str">
        <f t="shared" si="129"/>
        <v/>
      </c>
    </row>
    <row r="8207" spans="3:3" ht="15" customHeight="1">
      <c r="C8207" s="70" t="str">
        <f t="shared" si="129"/>
        <v/>
      </c>
    </row>
    <row r="8208" spans="3:3" ht="15" customHeight="1">
      <c r="C8208" s="70" t="str">
        <f t="shared" si="129"/>
        <v/>
      </c>
    </row>
    <row r="8209" spans="3:3" ht="15" customHeight="1">
      <c r="C8209" s="70" t="str">
        <f t="shared" ref="C8209:C8272" si="130">IF(B8209&lt;&gt;"",TEXT(WEEKDAY(B8209),"dddd"),"")</f>
        <v/>
      </c>
    </row>
    <row r="8210" spans="3:3" ht="15" customHeight="1">
      <c r="C8210" s="70" t="str">
        <f t="shared" si="130"/>
        <v/>
      </c>
    </row>
    <row r="8211" spans="3:3" ht="15" customHeight="1">
      <c r="C8211" s="70" t="str">
        <f t="shared" si="130"/>
        <v/>
      </c>
    </row>
    <row r="8212" spans="3:3" ht="15" customHeight="1">
      <c r="C8212" s="70" t="str">
        <f t="shared" si="130"/>
        <v/>
      </c>
    </row>
    <row r="8213" spans="3:3" ht="15" customHeight="1">
      <c r="C8213" s="70" t="str">
        <f t="shared" si="130"/>
        <v/>
      </c>
    </row>
    <row r="8214" spans="3:3" ht="15" customHeight="1">
      <c r="C8214" s="70" t="str">
        <f t="shared" si="130"/>
        <v/>
      </c>
    </row>
    <row r="8215" spans="3:3" ht="15" customHeight="1">
      <c r="C8215" s="70" t="str">
        <f t="shared" si="130"/>
        <v/>
      </c>
    </row>
    <row r="8216" spans="3:3" ht="15" customHeight="1">
      <c r="C8216" s="70" t="str">
        <f t="shared" si="130"/>
        <v/>
      </c>
    </row>
    <row r="8217" spans="3:3" ht="15" customHeight="1">
      <c r="C8217" s="70" t="str">
        <f t="shared" si="130"/>
        <v/>
      </c>
    </row>
    <row r="8218" spans="3:3" ht="15" customHeight="1">
      <c r="C8218" s="70" t="str">
        <f t="shared" si="130"/>
        <v/>
      </c>
    </row>
    <row r="8219" spans="3:3" ht="15" customHeight="1">
      <c r="C8219" s="70" t="str">
        <f t="shared" si="130"/>
        <v/>
      </c>
    </row>
    <row r="8220" spans="3:3" ht="15" customHeight="1">
      <c r="C8220" s="70" t="str">
        <f t="shared" si="130"/>
        <v/>
      </c>
    </row>
    <row r="8221" spans="3:3" ht="15" customHeight="1">
      <c r="C8221" s="70" t="str">
        <f t="shared" si="130"/>
        <v/>
      </c>
    </row>
    <row r="8222" spans="3:3" ht="15" customHeight="1">
      <c r="C8222" s="70" t="str">
        <f t="shared" si="130"/>
        <v/>
      </c>
    </row>
    <row r="8223" spans="3:3" ht="15" customHeight="1">
      <c r="C8223" s="70" t="str">
        <f t="shared" si="130"/>
        <v/>
      </c>
    </row>
    <row r="8224" spans="3:3" ht="15" customHeight="1">
      <c r="C8224" s="70" t="str">
        <f t="shared" si="130"/>
        <v/>
      </c>
    </row>
    <row r="8225" spans="3:3" ht="15" customHeight="1">
      <c r="C8225" s="70" t="str">
        <f t="shared" si="130"/>
        <v/>
      </c>
    </row>
    <row r="8226" spans="3:3" ht="15" customHeight="1">
      <c r="C8226" s="70" t="str">
        <f t="shared" si="130"/>
        <v/>
      </c>
    </row>
    <row r="8227" spans="3:3" ht="15" customHeight="1">
      <c r="C8227" s="70" t="str">
        <f t="shared" si="130"/>
        <v/>
      </c>
    </row>
    <row r="8228" spans="3:3" ht="15" customHeight="1">
      <c r="C8228" s="70" t="str">
        <f t="shared" si="130"/>
        <v/>
      </c>
    </row>
    <row r="8229" spans="3:3" ht="15" customHeight="1">
      <c r="C8229" s="70" t="str">
        <f t="shared" si="130"/>
        <v/>
      </c>
    </row>
    <row r="8230" spans="3:3" ht="15" customHeight="1">
      <c r="C8230" s="70" t="str">
        <f t="shared" si="130"/>
        <v/>
      </c>
    </row>
    <row r="8231" spans="3:3" ht="15" customHeight="1">
      <c r="C8231" s="70" t="str">
        <f t="shared" si="130"/>
        <v/>
      </c>
    </row>
    <row r="8232" spans="3:3" ht="15" customHeight="1">
      <c r="C8232" s="70" t="str">
        <f t="shared" si="130"/>
        <v/>
      </c>
    </row>
    <row r="8233" spans="3:3" ht="15" customHeight="1">
      <c r="C8233" s="70" t="str">
        <f t="shared" si="130"/>
        <v/>
      </c>
    </row>
    <row r="8234" spans="3:3" ht="15" customHeight="1">
      <c r="C8234" s="70" t="str">
        <f t="shared" si="130"/>
        <v/>
      </c>
    </row>
    <row r="8235" spans="3:3" ht="15" customHeight="1">
      <c r="C8235" s="70" t="str">
        <f t="shared" si="130"/>
        <v/>
      </c>
    </row>
    <row r="8236" spans="3:3" ht="15" customHeight="1">
      <c r="C8236" s="70" t="str">
        <f t="shared" si="130"/>
        <v/>
      </c>
    </row>
    <row r="8237" spans="3:3" ht="15" customHeight="1">
      <c r="C8237" s="70" t="str">
        <f t="shared" si="130"/>
        <v/>
      </c>
    </row>
    <row r="8238" spans="3:3" ht="15" customHeight="1">
      <c r="C8238" s="70" t="str">
        <f t="shared" si="130"/>
        <v/>
      </c>
    </row>
    <row r="8239" spans="3:3" ht="15" customHeight="1">
      <c r="C8239" s="70" t="str">
        <f t="shared" si="130"/>
        <v/>
      </c>
    </row>
    <row r="8240" spans="3:3" ht="15" customHeight="1">
      <c r="C8240" s="70" t="str">
        <f t="shared" si="130"/>
        <v/>
      </c>
    </row>
    <row r="8241" spans="3:3" ht="15" customHeight="1">
      <c r="C8241" s="70" t="str">
        <f t="shared" si="130"/>
        <v/>
      </c>
    </row>
    <row r="8242" spans="3:3" ht="15" customHeight="1">
      <c r="C8242" s="70" t="str">
        <f t="shared" si="130"/>
        <v/>
      </c>
    </row>
    <row r="8243" spans="3:3" ht="15" customHeight="1">
      <c r="C8243" s="70" t="str">
        <f t="shared" si="130"/>
        <v/>
      </c>
    </row>
    <row r="8244" spans="3:3" ht="15" customHeight="1">
      <c r="C8244" s="70" t="str">
        <f t="shared" si="130"/>
        <v/>
      </c>
    </row>
    <row r="8245" spans="3:3" ht="15" customHeight="1">
      <c r="C8245" s="70" t="str">
        <f t="shared" si="130"/>
        <v/>
      </c>
    </row>
    <row r="8246" spans="3:3" ht="15" customHeight="1">
      <c r="C8246" s="70" t="str">
        <f t="shared" si="130"/>
        <v/>
      </c>
    </row>
    <row r="8247" spans="3:3" ht="15" customHeight="1">
      <c r="C8247" s="70" t="str">
        <f t="shared" si="130"/>
        <v/>
      </c>
    </row>
    <row r="8248" spans="3:3" ht="15" customHeight="1">
      <c r="C8248" s="70" t="str">
        <f t="shared" si="130"/>
        <v/>
      </c>
    </row>
    <row r="8249" spans="3:3" ht="15" customHeight="1">
      <c r="C8249" s="70" t="str">
        <f t="shared" si="130"/>
        <v/>
      </c>
    </row>
    <row r="8250" spans="3:3" ht="15" customHeight="1">
      <c r="C8250" s="70" t="str">
        <f t="shared" si="130"/>
        <v/>
      </c>
    </row>
    <row r="8251" spans="3:3" ht="15" customHeight="1">
      <c r="C8251" s="70" t="str">
        <f t="shared" si="130"/>
        <v/>
      </c>
    </row>
    <row r="8252" spans="3:3" ht="15" customHeight="1">
      <c r="C8252" s="70" t="str">
        <f t="shared" si="130"/>
        <v/>
      </c>
    </row>
    <row r="8253" spans="3:3" ht="15" customHeight="1">
      <c r="C8253" s="70" t="str">
        <f t="shared" si="130"/>
        <v/>
      </c>
    </row>
    <row r="8254" spans="3:3" ht="15" customHeight="1">
      <c r="C8254" s="70" t="str">
        <f t="shared" si="130"/>
        <v/>
      </c>
    </row>
    <row r="8255" spans="3:3" ht="15" customHeight="1">
      <c r="C8255" s="70" t="str">
        <f t="shared" si="130"/>
        <v/>
      </c>
    </row>
    <row r="8256" spans="3:3" ht="15" customHeight="1">
      <c r="C8256" s="70" t="str">
        <f t="shared" si="130"/>
        <v/>
      </c>
    </row>
    <row r="8257" spans="3:3" ht="15" customHeight="1">
      <c r="C8257" s="70" t="str">
        <f t="shared" si="130"/>
        <v/>
      </c>
    </row>
    <row r="8258" spans="3:3" ht="15" customHeight="1">
      <c r="C8258" s="70" t="str">
        <f t="shared" si="130"/>
        <v/>
      </c>
    </row>
    <row r="8259" spans="3:3" ht="15" customHeight="1">
      <c r="C8259" s="70" t="str">
        <f t="shared" si="130"/>
        <v/>
      </c>
    </row>
    <row r="8260" spans="3:3" ht="15" customHeight="1">
      <c r="C8260" s="70" t="str">
        <f t="shared" si="130"/>
        <v/>
      </c>
    </row>
    <row r="8261" spans="3:3" ht="15" customHeight="1">
      <c r="C8261" s="70" t="str">
        <f t="shared" si="130"/>
        <v/>
      </c>
    </row>
    <row r="8262" spans="3:3" ht="15" customHeight="1">
      <c r="C8262" s="70" t="str">
        <f t="shared" si="130"/>
        <v/>
      </c>
    </row>
    <row r="8263" spans="3:3" ht="15" customHeight="1">
      <c r="C8263" s="70" t="str">
        <f t="shared" si="130"/>
        <v/>
      </c>
    </row>
    <row r="8264" spans="3:3" ht="15" customHeight="1">
      <c r="C8264" s="70" t="str">
        <f t="shared" si="130"/>
        <v/>
      </c>
    </row>
    <row r="8265" spans="3:3" ht="15" customHeight="1">
      <c r="C8265" s="70" t="str">
        <f t="shared" si="130"/>
        <v/>
      </c>
    </row>
    <row r="8266" spans="3:3" ht="15" customHeight="1">
      <c r="C8266" s="70" t="str">
        <f t="shared" si="130"/>
        <v/>
      </c>
    </row>
    <row r="8267" spans="3:3" ht="15" customHeight="1">
      <c r="C8267" s="70" t="str">
        <f t="shared" si="130"/>
        <v/>
      </c>
    </row>
    <row r="8268" spans="3:3" ht="15" customHeight="1">
      <c r="C8268" s="70" t="str">
        <f t="shared" si="130"/>
        <v/>
      </c>
    </row>
    <row r="8269" spans="3:3" ht="15" customHeight="1">
      <c r="C8269" s="70" t="str">
        <f t="shared" si="130"/>
        <v/>
      </c>
    </row>
    <row r="8270" spans="3:3" ht="15" customHeight="1">
      <c r="C8270" s="70" t="str">
        <f t="shared" si="130"/>
        <v/>
      </c>
    </row>
    <row r="8271" spans="3:3" ht="15" customHeight="1">
      <c r="C8271" s="70" t="str">
        <f t="shared" si="130"/>
        <v/>
      </c>
    </row>
    <row r="8272" spans="3:3" ht="15" customHeight="1">
      <c r="C8272" s="70" t="str">
        <f t="shared" si="130"/>
        <v/>
      </c>
    </row>
    <row r="8273" spans="3:3" ht="15" customHeight="1">
      <c r="C8273" s="70" t="str">
        <f t="shared" ref="C8273:C8336" si="131">IF(B8273&lt;&gt;"",TEXT(WEEKDAY(B8273),"dddd"),"")</f>
        <v/>
      </c>
    </row>
    <row r="8274" spans="3:3" ht="15" customHeight="1">
      <c r="C8274" s="70" t="str">
        <f t="shared" si="131"/>
        <v/>
      </c>
    </row>
    <row r="8275" spans="3:3" ht="15" customHeight="1">
      <c r="C8275" s="70" t="str">
        <f t="shared" si="131"/>
        <v/>
      </c>
    </row>
    <row r="8276" spans="3:3" ht="15" customHeight="1">
      <c r="C8276" s="70" t="str">
        <f t="shared" si="131"/>
        <v/>
      </c>
    </row>
    <row r="8277" spans="3:3" ht="15" customHeight="1">
      <c r="C8277" s="70" t="str">
        <f t="shared" si="131"/>
        <v/>
      </c>
    </row>
    <row r="8278" spans="3:3" ht="15" customHeight="1">
      <c r="C8278" s="70" t="str">
        <f t="shared" si="131"/>
        <v/>
      </c>
    </row>
    <row r="8279" spans="3:3" ht="15" customHeight="1">
      <c r="C8279" s="70" t="str">
        <f t="shared" si="131"/>
        <v/>
      </c>
    </row>
    <row r="8280" spans="3:3" ht="15" customHeight="1">
      <c r="C8280" s="70" t="str">
        <f t="shared" si="131"/>
        <v/>
      </c>
    </row>
    <row r="8281" spans="3:3" ht="15" customHeight="1">
      <c r="C8281" s="70" t="str">
        <f t="shared" si="131"/>
        <v/>
      </c>
    </row>
    <row r="8282" spans="3:3" ht="15" customHeight="1">
      <c r="C8282" s="70" t="str">
        <f t="shared" si="131"/>
        <v/>
      </c>
    </row>
    <row r="8283" spans="3:3" ht="15" customHeight="1">
      <c r="C8283" s="70" t="str">
        <f t="shared" si="131"/>
        <v/>
      </c>
    </row>
    <row r="8284" spans="3:3" ht="15" customHeight="1">
      <c r="C8284" s="70" t="str">
        <f t="shared" si="131"/>
        <v/>
      </c>
    </row>
    <row r="8285" spans="3:3" ht="15" customHeight="1">
      <c r="C8285" s="70" t="str">
        <f t="shared" si="131"/>
        <v/>
      </c>
    </row>
    <row r="8286" spans="3:3" ht="15" customHeight="1">
      <c r="C8286" s="70" t="str">
        <f t="shared" si="131"/>
        <v/>
      </c>
    </row>
    <row r="8287" spans="3:3" ht="15" customHeight="1">
      <c r="C8287" s="70" t="str">
        <f t="shared" si="131"/>
        <v/>
      </c>
    </row>
    <row r="8288" spans="3:3" ht="15" customHeight="1">
      <c r="C8288" s="70" t="str">
        <f t="shared" si="131"/>
        <v/>
      </c>
    </row>
    <row r="8289" spans="3:3" ht="15" customHeight="1">
      <c r="C8289" s="70" t="str">
        <f t="shared" si="131"/>
        <v/>
      </c>
    </row>
    <row r="8290" spans="3:3" ht="15" customHeight="1">
      <c r="C8290" s="70" t="str">
        <f t="shared" si="131"/>
        <v/>
      </c>
    </row>
    <row r="8291" spans="3:3" ht="15" customHeight="1">
      <c r="C8291" s="70" t="str">
        <f t="shared" si="131"/>
        <v/>
      </c>
    </row>
    <row r="8292" spans="3:3" ht="15" customHeight="1">
      <c r="C8292" s="70" t="str">
        <f t="shared" si="131"/>
        <v/>
      </c>
    </row>
    <row r="8293" spans="3:3" ht="15" customHeight="1">
      <c r="C8293" s="70" t="str">
        <f t="shared" si="131"/>
        <v/>
      </c>
    </row>
    <row r="8294" spans="3:3" ht="15" customHeight="1">
      <c r="C8294" s="70" t="str">
        <f t="shared" si="131"/>
        <v/>
      </c>
    </row>
    <row r="8295" spans="3:3" ht="15" customHeight="1">
      <c r="C8295" s="70" t="str">
        <f t="shared" si="131"/>
        <v/>
      </c>
    </row>
    <row r="8296" spans="3:3" ht="15" customHeight="1">
      <c r="C8296" s="70" t="str">
        <f t="shared" si="131"/>
        <v/>
      </c>
    </row>
    <row r="8297" spans="3:3" ht="15" customHeight="1">
      <c r="C8297" s="70" t="str">
        <f t="shared" si="131"/>
        <v/>
      </c>
    </row>
    <row r="8298" spans="3:3" ht="15" customHeight="1">
      <c r="C8298" s="70" t="str">
        <f t="shared" si="131"/>
        <v/>
      </c>
    </row>
    <row r="8299" spans="3:3" ht="15" customHeight="1">
      <c r="C8299" s="70" t="str">
        <f t="shared" si="131"/>
        <v/>
      </c>
    </row>
    <row r="8300" spans="3:3" ht="15" customHeight="1">
      <c r="C8300" s="70" t="str">
        <f t="shared" si="131"/>
        <v/>
      </c>
    </row>
    <row r="8301" spans="3:3" ht="15" customHeight="1">
      <c r="C8301" s="70" t="str">
        <f t="shared" si="131"/>
        <v/>
      </c>
    </row>
    <row r="8302" spans="3:3" ht="15" customHeight="1">
      <c r="C8302" s="70" t="str">
        <f t="shared" si="131"/>
        <v/>
      </c>
    </row>
    <row r="8303" spans="3:3" ht="15" customHeight="1">
      <c r="C8303" s="70" t="str">
        <f t="shared" si="131"/>
        <v/>
      </c>
    </row>
    <row r="8304" spans="3:3" ht="15" customHeight="1">
      <c r="C8304" s="70" t="str">
        <f t="shared" si="131"/>
        <v/>
      </c>
    </row>
    <row r="8305" spans="3:3" ht="15" customHeight="1">
      <c r="C8305" s="70" t="str">
        <f t="shared" si="131"/>
        <v/>
      </c>
    </row>
    <row r="8306" spans="3:3" ht="15" customHeight="1">
      <c r="C8306" s="70" t="str">
        <f t="shared" si="131"/>
        <v/>
      </c>
    </row>
    <row r="8307" spans="3:3" ht="15" customHeight="1">
      <c r="C8307" s="70" t="str">
        <f t="shared" si="131"/>
        <v/>
      </c>
    </row>
    <row r="8308" spans="3:3" ht="15" customHeight="1">
      <c r="C8308" s="70" t="str">
        <f t="shared" si="131"/>
        <v/>
      </c>
    </row>
    <row r="8309" spans="3:3" ht="15" customHeight="1">
      <c r="C8309" s="70" t="str">
        <f t="shared" si="131"/>
        <v/>
      </c>
    </row>
    <row r="8310" spans="3:3" ht="15" customHeight="1">
      <c r="C8310" s="70" t="str">
        <f t="shared" si="131"/>
        <v/>
      </c>
    </row>
    <row r="8311" spans="3:3" ht="15" customHeight="1">
      <c r="C8311" s="70" t="str">
        <f t="shared" si="131"/>
        <v/>
      </c>
    </row>
    <row r="8312" spans="3:3" ht="15" customHeight="1">
      <c r="C8312" s="70" t="str">
        <f t="shared" si="131"/>
        <v/>
      </c>
    </row>
    <row r="8313" spans="3:3" ht="15" customHeight="1">
      <c r="C8313" s="70" t="str">
        <f t="shared" si="131"/>
        <v/>
      </c>
    </row>
    <row r="8314" spans="3:3" ht="15" customHeight="1">
      <c r="C8314" s="70" t="str">
        <f t="shared" si="131"/>
        <v/>
      </c>
    </row>
    <row r="8315" spans="3:3" ht="15" customHeight="1">
      <c r="C8315" s="70" t="str">
        <f t="shared" si="131"/>
        <v/>
      </c>
    </row>
    <row r="8316" spans="3:3" ht="15" customHeight="1">
      <c r="C8316" s="70" t="str">
        <f t="shared" si="131"/>
        <v/>
      </c>
    </row>
    <row r="8317" spans="3:3" ht="15" customHeight="1">
      <c r="C8317" s="70" t="str">
        <f t="shared" si="131"/>
        <v/>
      </c>
    </row>
    <row r="8318" spans="3:3" ht="15" customHeight="1">
      <c r="C8318" s="70" t="str">
        <f t="shared" si="131"/>
        <v/>
      </c>
    </row>
    <row r="8319" spans="3:3" ht="15" customHeight="1">
      <c r="C8319" s="70" t="str">
        <f t="shared" si="131"/>
        <v/>
      </c>
    </row>
    <row r="8320" spans="3:3" ht="15" customHeight="1">
      <c r="C8320" s="70" t="str">
        <f t="shared" si="131"/>
        <v/>
      </c>
    </row>
    <row r="8321" spans="3:3" ht="15" customHeight="1">
      <c r="C8321" s="70" t="str">
        <f t="shared" si="131"/>
        <v/>
      </c>
    </row>
    <row r="8322" spans="3:3" ht="15" customHeight="1">
      <c r="C8322" s="70" t="str">
        <f t="shared" si="131"/>
        <v/>
      </c>
    </row>
    <row r="8323" spans="3:3" ht="15" customHeight="1">
      <c r="C8323" s="70" t="str">
        <f t="shared" si="131"/>
        <v/>
      </c>
    </row>
    <row r="8324" spans="3:3" ht="15" customHeight="1">
      <c r="C8324" s="70" t="str">
        <f t="shared" si="131"/>
        <v/>
      </c>
    </row>
    <row r="8325" spans="3:3" ht="15" customHeight="1">
      <c r="C8325" s="70" t="str">
        <f t="shared" si="131"/>
        <v/>
      </c>
    </row>
    <row r="8326" spans="3:3" ht="15" customHeight="1">
      <c r="C8326" s="70" t="str">
        <f t="shared" si="131"/>
        <v/>
      </c>
    </row>
    <row r="8327" spans="3:3" ht="15" customHeight="1">
      <c r="C8327" s="70" t="str">
        <f t="shared" si="131"/>
        <v/>
      </c>
    </row>
    <row r="8328" spans="3:3" ht="15" customHeight="1">
      <c r="C8328" s="70" t="str">
        <f t="shared" si="131"/>
        <v/>
      </c>
    </row>
    <row r="8329" spans="3:3" ht="15" customHeight="1">
      <c r="C8329" s="70" t="str">
        <f t="shared" si="131"/>
        <v/>
      </c>
    </row>
    <row r="8330" spans="3:3" ht="15" customHeight="1">
      <c r="C8330" s="70" t="str">
        <f t="shared" si="131"/>
        <v/>
      </c>
    </row>
    <row r="8331" spans="3:3" ht="15" customHeight="1">
      <c r="C8331" s="70" t="str">
        <f t="shared" si="131"/>
        <v/>
      </c>
    </row>
    <row r="8332" spans="3:3" ht="15" customHeight="1">
      <c r="C8332" s="70" t="str">
        <f t="shared" si="131"/>
        <v/>
      </c>
    </row>
    <row r="8333" spans="3:3" ht="15" customHeight="1">
      <c r="C8333" s="70" t="str">
        <f t="shared" si="131"/>
        <v/>
      </c>
    </row>
    <row r="8334" spans="3:3" ht="15" customHeight="1">
      <c r="C8334" s="70" t="str">
        <f t="shared" si="131"/>
        <v/>
      </c>
    </row>
    <row r="8335" spans="3:3" ht="15" customHeight="1">
      <c r="C8335" s="70" t="str">
        <f t="shared" si="131"/>
        <v/>
      </c>
    </row>
    <row r="8336" spans="3:3" ht="15" customHeight="1">
      <c r="C8336" s="70" t="str">
        <f t="shared" si="131"/>
        <v/>
      </c>
    </row>
    <row r="8337" spans="3:3" ht="15" customHeight="1">
      <c r="C8337" s="70" t="str">
        <f t="shared" ref="C8337:C8400" si="132">IF(B8337&lt;&gt;"",TEXT(WEEKDAY(B8337),"dddd"),"")</f>
        <v/>
      </c>
    </row>
    <row r="8338" spans="3:3" ht="15" customHeight="1">
      <c r="C8338" s="70" t="str">
        <f t="shared" si="132"/>
        <v/>
      </c>
    </row>
    <row r="8339" spans="3:3" ht="15" customHeight="1">
      <c r="C8339" s="70" t="str">
        <f t="shared" si="132"/>
        <v/>
      </c>
    </row>
    <row r="8340" spans="3:3" ht="15" customHeight="1">
      <c r="C8340" s="70" t="str">
        <f t="shared" si="132"/>
        <v/>
      </c>
    </row>
    <row r="8341" spans="3:3" ht="15" customHeight="1">
      <c r="C8341" s="70" t="str">
        <f t="shared" si="132"/>
        <v/>
      </c>
    </row>
    <row r="8342" spans="3:3" ht="15" customHeight="1">
      <c r="C8342" s="70" t="str">
        <f t="shared" si="132"/>
        <v/>
      </c>
    </row>
    <row r="8343" spans="3:3" ht="15" customHeight="1">
      <c r="C8343" s="70" t="str">
        <f t="shared" si="132"/>
        <v/>
      </c>
    </row>
    <row r="8344" spans="3:3" ht="15" customHeight="1">
      <c r="C8344" s="70" t="str">
        <f t="shared" si="132"/>
        <v/>
      </c>
    </row>
    <row r="8345" spans="3:3" ht="15" customHeight="1">
      <c r="C8345" s="70" t="str">
        <f t="shared" si="132"/>
        <v/>
      </c>
    </row>
    <row r="8346" spans="3:3" ht="15" customHeight="1">
      <c r="C8346" s="70" t="str">
        <f t="shared" si="132"/>
        <v/>
      </c>
    </row>
    <row r="8347" spans="3:3" ht="15" customHeight="1">
      <c r="C8347" s="70" t="str">
        <f t="shared" si="132"/>
        <v/>
      </c>
    </row>
    <row r="8348" spans="3:3" ht="15" customHeight="1">
      <c r="C8348" s="70" t="str">
        <f t="shared" si="132"/>
        <v/>
      </c>
    </row>
    <row r="8349" spans="3:3" ht="15" customHeight="1">
      <c r="C8349" s="70" t="str">
        <f t="shared" si="132"/>
        <v/>
      </c>
    </row>
    <row r="8350" spans="3:3" ht="15" customHeight="1">
      <c r="C8350" s="70" t="str">
        <f t="shared" si="132"/>
        <v/>
      </c>
    </row>
    <row r="8351" spans="3:3" ht="15" customHeight="1">
      <c r="C8351" s="70" t="str">
        <f t="shared" si="132"/>
        <v/>
      </c>
    </row>
    <row r="8352" spans="3:3" ht="15" customHeight="1">
      <c r="C8352" s="70" t="str">
        <f t="shared" si="132"/>
        <v/>
      </c>
    </row>
    <row r="8353" spans="3:3" ht="15" customHeight="1">
      <c r="C8353" s="70" t="str">
        <f t="shared" si="132"/>
        <v/>
      </c>
    </row>
    <row r="8354" spans="3:3" ht="15" customHeight="1">
      <c r="C8354" s="70" t="str">
        <f t="shared" si="132"/>
        <v/>
      </c>
    </row>
    <row r="8355" spans="3:3" ht="15" customHeight="1">
      <c r="C8355" s="70" t="str">
        <f t="shared" si="132"/>
        <v/>
      </c>
    </row>
    <row r="8356" spans="3:3" ht="15" customHeight="1">
      <c r="C8356" s="70" t="str">
        <f t="shared" si="132"/>
        <v/>
      </c>
    </row>
    <row r="8357" spans="3:3" ht="15" customHeight="1">
      <c r="C8357" s="70" t="str">
        <f t="shared" si="132"/>
        <v/>
      </c>
    </row>
    <row r="8358" spans="3:3" ht="15" customHeight="1">
      <c r="C8358" s="70" t="str">
        <f t="shared" si="132"/>
        <v/>
      </c>
    </row>
    <row r="8359" spans="3:3" ht="15" customHeight="1">
      <c r="C8359" s="70" t="str">
        <f t="shared" si="132"/>
        <v/>
      </c>
    </row>
    <row r="8360" spans="3:3" ht="15" customHeight="1">
      <c r="C8360" s="70" t="str">
        <f t="shared" si="132"/>
        <v/>
      </c>
    </row>
    <row r="8361" spans="3:3" ht="15" customHeight="1">
      <c r="C8361" s="70" t="str">
        <f t="shared" si="132"/>
        <v/>
      </c>
    </row>
    <row r="8362" spans="3:3" ht="15" customHeight="1">
      <c r="C8362" s="70" t="str">
        <f t="shared" si="132"/>
        <v/>
      </c>
    </row>
    <row r="8363" spans="3:3" ht="15" customHeight="1">
      <c r="C8363" s="70" t="str">
        <f t="shared" si="132"/>
        <v/>
      </c>
    </row>
    <row r="8364" spans="3:3" ht="15" customHeight="1">
      <c r="C8364" s="70" t="str">
        <f t="shared" si="132"/>
        <v/>
      </c>
    </row>
    <row r="8365" spans="3:3" ht="15" customHeight="1">
      <c r="C8365" s="70" t="str">
        <f t="shared" si="132"/>
        <v/>
      </c>
    </row>
    <row r="8366" spans="3:3" ht="15" customHeight="1">
      <c r="C8366" s="70" t="str">
        <f t="shared" si="132"/>
        <v/>
      </c>
    </row>
    <row r="8367" spans="3:3" ht="15" customHeight="1">
      <c r="C8367" s="70" t="str">
        <f t="shared" si="132"/>
        <v/>
      </c>
    </row>
    <row r="8368" spans="3:3" ht="15" customHeight="1">
      <c r="C8368" s="70" t="str">
        <f t="shared" si="132"/>
        <v/>
      </c>
    </row>
    <row r="8369" spans="3:3" ht="15" customHeight="1">
      <c r="C8369" s="70" t="str">
        <f t="shared" si="132"/>
        <v/>
      </c>
    </row>
    <row r="8370" spans="3:3" ht="15" customHeight="1">
      <c r="C8370" s="70" t="str">
        <f t="shared" si="132"/>
        <v/>
      </c>
    </row>
    <row r="8371" spans="3:3" ht="15" customHeight="1">
      <c r="C8371" s="70" t="str">
        <f t="shared" si="132"/>
        <v/>
      </c>
    </row>
    <row r="8372" spans="3:3" ht="15" customHeight="1">
      <c r="C8372" s="70" t="str">
        <f t="shared" si="132"/>
        <v/>
      </c>
    </row>
    <row r="8373" spans="3:3" ht="15" customHeight="1">
      <c r="C8373" s="70" t="str">
        <f t="shared" si="132"/>
        <v/>
      </c>
    </row>
    <row r="8374" spans="3:3" ht="15" customHeight="1">
      <c r="C8374" s="70" t="str">
        <f t="shared" si="132"/>
        <v/>
      </c>
    </row>
    <row r="8375" spans="3:3" ht="15" customHeight="1">
      <c r="C8375" s="70" t="str">
        <f t="shared" si="132"/>
        <v/>
      </c>
    </row>
    <row r="8376" spans="3:3" ht="15" customHeight="1">
      <c r="C8376" s="70" t="str">
        <f t="shared" si="132"/>
        <v/>
      </c>
    </row>
    <row r="8377" spans="3:3" ht="15" customHeight="1">
      <c r="C8377" s="70" t="str">
        <f t="shared" si="132"/>
        <v/>
      </c>
    </row>
    <row r="8378" spans="3:3" ht="15" customHeight="1">
      <c r="C8378" s="70" t="str">
        <f t="shared" si="132"/>
        <v/>
      </c>
    </row>
    <row r="8379" spans="3:3" ht="15" customHeight="1">
      <c r="C8379" s="70" t="str">
        <f t="shared" si="132"/>
        <v/>
      </c>
    </row>
    <row r="8380" spans="3:3" ht="15" customHeight="1">
      <c r="C8380" s="70" t="str">
        <f t="shared" si="132"/>
        <v/>
      </c>
    </row>
    <row r="8381" spans="3:3" ht="15" customHeight="1">
      <c r="C8381" s="70" t="str">
        <f t="shared" si="132"/>
        <v/>
      </c>
    </row>
    <row r="8382" spans="3:3" ht="15" customHeight="1">
      <c r="C8382" s="70" t="str">
        <f t="shared" si="132"/>
        <v/>
      </c>
    </row>
    <row r="8383" spans="3:3" ht="15" customHeight="1">
      <c r="C8383" s="70" t="str">
        <f t="shared" si="132"/>
        <v/>
      </c>
    </row>
    <row r="8384" spans="3:3" ht="15" customHeight="1">
      <c r="C8384" s="70" t="str">
        <f t="shared" si="132"/>
        <v/>
      </c>
    </row>
    <row r="8385" spans="3:3" ht="15" customHeight="1">
      <c r="C8385" s="70" t="str">
        <f t="shared" si="132"/>
        <v/>
      </c>
    </row>
    <row r="8386" spans="3:3" ht="15" customHeight="1">
      <c r="C8386" s="70" t="str">
        <f t="shared" si="132"/>
        <v/>
      </c>
    </row>
    <row r="8387" spans="3:3" ht="15" customHeight="1">
      <c r="C8387" s="70" t="str">
        <f t="shared" si="132"/>
        <v/>
      </c>
    </row>
    <row r="8388" spans="3:3" ht="15" customHeight="1">
      <c r="C8388" s="70" t="str">
        <f t="shared" si="132"/>
        <v/>
      </c>
    </row>
    <row r="8389" spans="3:3" ht="15" customHeight="1">
      <c r="C8389" s="70" t="str">
        <f t="shared" si="132"/>
        <v/>
      </c>
    </row>
    <row r="8390" spans="3:3" ht="15" customHeight="1">
      <c r="C8390" s="70" t="str">
        <f t="shared" si="132"/>
        <v/>
      </c>
    </row>
    <row r="8391" spans="3:3" ht="15" customHeight="1">
      <c r="C8391" s="70" t="str">
        <f t="shared" si="132"/>
        <v/>
      </c>
    </row>
    <row r="8392" spans="3:3" ht="15" customHeight="1">
      <c r="C8392" s="70" t="str">
        <f t="shared" si="132"/>
        <v/>
      </c>
    </row>
    <row r="8393" spans="3:3" ht="15" customHeight="1">
      <c r="C8393" s="70" t="str">
        <f t="shared" si="132"/>
        <v/>
      </c>
    </row>
    <row r="8394" spans="3:3" ht="15" customHeight="1">
      <c r="C8394" s="70" t="str">
        <f t="shared" si="132"/>
        <v/>
      </c>
    </row>
    <row r="8395" spans="3:3" ht="15" customHeight="1">
      <c r="C8395" s="70" t="str">
        <f t="shared" si="132"/>
        <v/>
      </c>
    </row>
    <row r="8396" spans="3:3" ht="15" customHeight="1">
      <c r="C8396" s="70" t="str">
        <f t="shared" si="132"/>
        <v/>
      </c>
    </row>
    <row r="8397" spans="3:3" ht="15" customHeight="1">
      <c r="C8397" s="70" t="str">
        <f t="shared" si="132"/>
        <v/>
      </c>
    </row>
    <row r="8398" spans="3:3" ht="15" customHeight="1">
      <c r="C8398" s="70" t="str">
        <f t="shared" si="132"/>
        <v/>
      </c>
    </row>
    <row r="8399" spans="3:3" ht="15" customHeight="1">
      <c r="C8399" s="70" t="str">
        <f t="shared" si="132"/>
        <v/>
      </c>
    </row>
    <row r="8400" spans="3:3" ht="15" customHeight="1">
      <c r="C8400" s="70" t="str">
        <f t="shared" si="132"/>
        <v/>
      </c>
    </row>
    <row r="8401" spans="3:3" ht="15" customHeight="1">
      <c r="C8401" s="70" t="str">
        <f t="shared" ref="C8401:C8464" si="133">IF(B8401&lt;&gt;"",TEXT(WEEKDAY(B8401),"dddd"),"")</f>
        <v/>
      </c>
    </row>
    <row r="8402" spans="3:3" ht="15" customHeight="1">
      <c r="C8402" s="70" t="str">
        <f t="shared" si="133"/>
        <v/>
      </c>
    </row>
    <row r="8403" spans="3:3" ht="15" customHeight="1">
      <c r="C8403" s="70" t="str">
        <f t="shared" si="133"/>
        <v/>
      </c>
    </row>
    <row r="8404" spans="3:3" ht="15" customHeight="1">
      <c r="C8404" s="70" t="str">
        <f t="shared" si="133"/>
        <v/>
      </c>
    </row>
    <row r="8405" spans="3:3" ht="15" customHeight="1">
      <c r="C8405" s="70" t="str">
        <f t="shared" si="133"/>
        <v/>
      </c>
    </row>
    <row r="8406" spans="3:3" ht="15" customHeight="1">
      <c r="C8406" s="70" t="str">
        <f t="shared" si="133"/>
        <v/>
      </c>
    </row>
    <row r="8407" spans="3:3" ht="15" customHeight="1">
      <c r="C8407" s="70" t="str">
        <f t="shared" si="133"/>
        <v/>
      </c>
    </row>
    <row r="8408" spans="3:3" ht="15" customHeight="1">
      <c r="C8408" s="70" t="str">
        <f t="shared" si="133"/>
        <v/>
      </c>
    </row>
    <row r="8409" spans="3:3" ht="15" customHeight="1">
      <c r="C8409" s="70" t="str">
        <f t="shared" si="133"/>
        <v/>
      </c>
    </row>
    <row r="8410" spans="3:3" ht="15" customHeight="1">
      <c r="C8410" s="70" t="str">
        <f t="shared" si="133"/>
        <v/>
      </c>
    </row>
    <row r="8411" spans="3:3" ht="15" customHeight="1">
      <c r="C8411" s="70" t="str">
        <f t="shared" si="133"/>
        <v/>
      </c>
    </row>
    <row r="8412" spans="3:3" ht="15" customHeight="1">
      <c r="C8412" s="70" t="str">
        <f t="shared" si="133"/>
        <v/>
      </c>
    </row>
    <row r="8413" spans="3:3" ht="15" customHeight="1">
      <c r="C8413" s="70" t="str">
        <f t="shared" si="133"/>
        <v/>
      </c>
    </row>
    <row r="8414" spans="3:3" ht="15" customHeight="1">
      <c r="C8414" s="70" t="str">
        <f t="shared" si="133"/>
        <v/>
      </c>
    </row>
    <row r="8415" spans="3:3" ht="15" customHeight="1">
      <c r="C8415" s="70" t="str">
        <f t="shared" si="133"/>
        <v/>
      </c>
    </row>
    <row r="8416" spans="3:3" ht="15" customHeight="1">
      <c r="C8416" s="70" t="str">
        <f t="shared" si="133"/>
        <v/>
      </c>
    </row>
    <row r="8417" spans="3:3" ht="15" customHeight="1">
      <c r="C8417" s="70" t="str">
        <f t="shared" si="133"/>
        <v/>
      </c>
    </row>
    <row r="8418" spans="3:3" ht="15" customHeight="1">
      <c r="C8418" s="70" t="str">
        <f t="shared" si="133"/>
        <v/>
      </c>
    </row>
    <row r="8419" spans="3:3" ht="15" customHeight="1">
      <c r="C8419" s="70" t="str">
        <f t="shared" si="133"/>
        <v/>
      </c>
    </row>
    <row r="8420" spans="3:3" ht="15" customHeight="1">
      <c r="C8420" s="70" t="str">
        <f t="shared" si="133"/>
        <v/>
      </c>
    </row>
    <row r="8421" spans="3:3" ht="15" customHeight="1">
      <c r="C8421" s="70" t="str">
        <f t="shared" si="133"/>
        <v/>
      </c>
    </row>
    <row r="8422" spans="3:3" ht="15" customHeight="1">
      <c r="C8422" s="70" t="str">
        <f t="shared" si="133"/>
        <v/>
      </c>
    </row>
    <row r="8423" spans="3:3" ht="15" customHeight="1">
      <c r="C8423" s="70" t="str">
        <f t="shared" si="133"/>
        <v/>
      </c>
    </row>
    <row r="8424" spans="3:3" ht="15" customHeight="1">
      <c r="C8424" s="70" t="str">
        <f t="shared" si="133"/>
        <v/>
      </c>
    </row>
    <row r="8425" spans="3:3" ht="15" customHeight="1">
      <c r="C8425" s="70" t="str">
        <f t="shared" si="133"/>
        <v/>
      </c>
    </row>
    <row r="8426" spans="3:3" ht="15" customHeight="1">
      <c r="C8426" s="70" t="str">
        <f t="shared" si="133"/>
        <v/>
      </c>
    </row>
    <row r="8427" spans="3:3" ht="15" customHeight="1">
      <c r="C8427" s="70" t="str">
        <f t="shared" si="133"/>
        <v/>
      </c>
    </row>
    <row r="8428" spans="3:3" ht="15" customHeight="1">
      <c r="C8428" s="70" t="str">
        <f t="shared" si="133"/>
        <v/>
      </c>
    </row>
    <row r="8429" spans="3:3" ht="15" customHeight="1">
      <c r="C8429" s="70" t="str">
        <f t="shared" si="133"/>
        <v/>
      </c>
    </row>
    <row r="8430" spans="3:3" ht="15" customHeight="1">
      <c r="C8430" s="70" t="str">
        <f t="shared" si="133"/>
        <v/>
      </c>
    </row>
    <row r="8431" spans="3:3" ht="15" customHeight="1">
      <c r="C8431" s="70" t="str">
        <f t="shared" si="133"/>
        <v/>
      </c>
    </row>
    <row r="8432" spans="3:3" ht="15" customHeight="1">
      <c r="C8432" s="70" t="str">
        <f t="shared" si="133"/>
        <v/>
      </c>
    </row>
    <row r="8433" spans="3:3" ht="15" customHeight="1">
      <c r="C8433" s="70" t="str">
        <f t="shared" si="133"/>
        <v/>
      </c>
    </row>
    <row r="8434" spans="3:3" ht="15" customHeight="1">
      <c r="C8434" s="70" t="str">
        <f t="shared" si="133"/>
        <v/>
      </c>
    </row>
    <row r="8435" spans="3:3" ht="15" customHeight="1">
      <c r="C8435" s="70" t="str">
        <f t="shared" si="133"/>
        <v/>
      </c>
    </row>
    <row r="8436" spans="3:3" ht="15" customHeight="1">
      <c r="C8436" s="70" t="str">
        <f t="shared" si="133"/>
        <v/>
      </c>
    </row>
    <row r="8437" spans="3:3" ht="15" customHeight="1">
      <c r="C8437" s="70" t="str">
        <f t="shared" si="133"/>
        <v/>
      </c>
    </row>
    <row r="8438" spans="3:3" ht="15" customHeight="1">
      <c r="C8438" s="70" t="str">
        <f t="shared" si="133"/>
        <v/>
      </c>
    </row>
    <row r="8439" spans="3:3" ht="15" customHeight="1">
      <c r="C8439" s="70" t="str">
        <f t="shared" si="133"/>
        <v/>
      </c>
    </row>
    <row r="8440" spans="3:3" ht="15" customHeight="1">
      <c r="C8440" s="70" t="str">
        <f t="shared" si="133"/>
        <v/>
      </c>
    </row>
    <row r="8441" spans="3:3" ht="15" customHeight="1">
      <c r="C8441" s="70" t="str">
        <f t="shared" si="133"/>
        <v/>
      </c>
    </row>
    <row r="8442" spans="3:3" ht="15" customHeight="1">
      <c r="C8442" s="70" t="str">
        <f t="shared" si="133"/>
        <v/>
      </c>
    </row>
    <row r="8443" spans="3:3" ht="15" customHeight="1">
      <c r="C8443" s="70" t="str">
        <f t="shared" si="133"/>
        <v/>
      </c>
    </row>
    <row r="8444" spans="3:3" ht="15" customHeight="1">
      <c r="C8444" s="70" t="str">
        <f t="shared" si="133"/>
        <v/>
      </c>
    </row>
    <row r="8445" spans="3:3" ht="15" customHeight="1">
      <c r="C8445" s="70" t="str">
        <f t="shared" si="133"/>
        <v/>
      </c>
    </row>
    <row r="8446" spans="3:3" ht="15" customHeight="1">
      <c r="C8446" s="70" t="str">
        <f t="shared" si="133"/>
        <v/>
      </c>
    </row>
    <row r="8447" spans="3:3" ht="15" customHeight="1">
      <c r="C8447" s="70" t="str">
        <f t="shared" si="133"/>
        <v/>
      </c>
    </row>
    <row r="8448" spans="3:3" ht="15" customHeight="1">
      <c r="C8448" s="70" t="str">
        <f t="shared" si="133"/>
        <v/>
      </c>
    </row>
    <row r="8449" spans="3:3" ht="15" customHeight="1">
      <c r="C8449" s="70" t="str">
        <f t="shared" si="133"/>
        <v/>
      </c>
    </row>
    <row r="8450" spans="3:3" ht="15" customHeight="1">
      <c r="C8450" s="70" t="str">
        <f t="shared" si="133"/>
        <v/>
      </c>
    </row>
    <row r="8451" spans="3:3" ht="15" customHeight="1">
      <c r="C8451" s="70" t="str">
        <f t="shared" si="133"/>
        <v/>
      </c>
    </row>
    <row r="8452" spans="3:3" ht="15" customHeight="1">
      <c r="C8452" s="70" t="str">
        <f t="shared" si="133"/>
        <v/>
      </c>
    </row>
    <row r="8453" spans="3:3" ht="15" customHeight="1">
      <c r="C8453" s="70" t="str">
        <f t="shared" si="133"/>
        <v/>
      </c>
    </row>
    <row r="8454" spans="3:3" ht="15" customHeight="1">
      <c r="C8454" s="70" t="str">
        <f t="shared" si="133"/>
        <v/>
      </c>
    </row>
    <row r="8455" spans="3:3" ht="15" customHeight="1">
      <c r="C8455" s="70" t="str">
        <f t="shared" si="133"/>
        <v/>
      </c>
    </row>
    <row r="8456" spans="3:3" ht="15" customHeight="1">
      <c r="C8456" s="70" t="str">
        <f t="shared" si="133"/>
        <v/>
      </c>
    </row>
    <row r="8457" spans="3:3" ht="15" customHeight="1">
      <c r="C8457" s="70" t="str">
        <f t="shared" si="133"/>
        <v/>
      </c>
    </row>
    <row r="8458" spans="3:3" ht="15" customHeight="1">
      <c r="C8458" s="70" t="str">
        <f t="shared" si="133"/>
        <v/>
      </c>
    </row>
    <row r="8459" spans="3:3" ht="15" customHeight="1">
      <c r="C8459" s="70" t="str">
        <f t="shared" si="133"/>
        <v/>
      </c>
    </row>
    <row r="8460" spans="3:3" ht="15" customHeight="1">
      <c r="C8460" s="70" t="str">
        <f t="shared" si="133"/>
        <v/>
      </c>
    </row>
    <row r="8461" spans="3:3" ht="15" customHeight="1">
      <c r="C8461" s="70" t="str">
        <f t="shared" si="133"/>
        <v/>
      </c>
    </row>
    <row r="8462" spans="3:3" ht="15" customHeight="1">
      <c r="C8462" s="70" t="str">
        <f t="shared" si="133"/>
        <v/>
      </c>
    </row>
    <row r="8463" spans="3:3" ht="15" customHeight="1">
      <c r="C8463" s="70" t="str">
        <f t="shared" si="133"/>
        <v/>
      </c>
    </row>
    <row r="8464" spans="3:3" ht="15" customHeight="1">
      <c r="C8464" s="70" t="str">
        <f t="shared" si="133"/>
        <v/>
      </c>
    </row>
    <row r="8465" spans="3:3" ht="15" customHeight="1">
      <c r="C8465" s="70" t="str">
        <f t="shared" ref="C8465:C8528" si="134">IF(B8465&lt;&gt;"",TEXT(WEEKDAY(B8465),"dddd"),"")</f>
        <v/>
      </c>
    </row>
    <row r="8466" spans="3:3" ht="15" customHeight="1">
      <c r="C8466" s="70" t="str">
        <f t="shared" si="134"/>
        <v/>
      </c>
    </row>
    <row r="8467" spans="3:3" ht="15" customHeight="1">
      <c r="C8467" s="70" t="str">
        <f t="shared" si="134"/>
        <v/>
      </c>
    </row>
    <row r="8468" spans="3:3" ht="15" customHeight="1">
      <c r="C8468" s="70" t="str">
        <f t="shared" si="134"/>
        <v/>
      </c>
    </row>
    <row r="8469" spans="3:3" ht="15" customHeight="1">
      <c r="C8469" s="70" t="str">
        <f t="shared" si="134"/>
        <v/>
      </c>
    </row>
    <row r="8470" spans="3:3" ht="15" customHeight="1">
      <c r="C8470" s="70" t="str">
        <f t="shared" si="134"/>
        <v/>
      </c>
    </row>
    <row r="8471" spans="3:3" ht="15" customHeight="1">
      <c r="C8471" s="70" t="str">
        <f t="shared" si="134"/>
        <v/>
      </c>
    </row>
    <row r="8472" spans="3:3" ht="15" customHeight="1">
      <c r="C8472" s="70" t="str">
        <f t="shared" si="134"/>
        <v/>
      </c>
    </row>
    <row r="8473" spans="3:3" ht="15" customHeight="1">
      <c r="C8473" s="70" t="str">
        <f t="shared" si="134"/>
        <v/>
      </c>
    </row>
    <row r="8474" spans="3:3" ht="15" customHeight="1">
      <c r="C8474" s="70" t="str">
        <f t="shared" si="134"/>
        <v/>
      </c>
    </row>
    <row r="8475" spans="3:3" ht="15" customHeight="1">
      <c r="C8475" s="70" t="str">
        <f t="shared" si="134"/>
        <v/>
      </c>
    </row>
    <row r="8476" spans="3:3" ht="15" customHeight="1">
      <c r="C8476" s="70" t="str">
        <f t="shared" si="134"/>
        <v/>
      </c>
    </row>
    <row r="8477" spans="3:3" ht="15" customHeight="1">
      <c r="C8477" s="70" t="str">
        <f t="shared" si="134"/>
        <v/>
      </c>
    </row>
    <row r="8478" spans="3:3" ht="15" customHeight="1">
      <c r="C8478" s="70" t="str">
        <f t="shared" si="134"/>
        <v/>
      </c>
    </row>
    <row r="8479" spans="3:3" ht="15" customHeight="1">
      <c r="C8479" s="70" t="str">
        <f t="shared" si="134"/>
        <v/>
      </c>
    </row>
    <row r="8480" spans="3:3" ht="15" customHeight="1">
      <c r="C8480" s="70" t="str">
        <f t="shared" si="134"/>
        <v/>
      </c>
    </row>
    <row r="8481" spans="3:3" ht="15" customHeight="1">
      <c r="C8481" s="70" t="str">
        <f t="shared" si="134"/>
        <v/>
      </c>
    </row>
    <row r="8482" spans="3:3" ht="15" customHeight="1">
      <c r="C8482" s="70" t="str">
        <f t="shared" si="134"/>
        <v/>
      </c>
    </row>
    <row r="8483" spans="3:3" ht="15" customHeight="1">
      <c r="C8483" s="70" t="str">
        <f t="shared" si="134"/>
        <v/>
      </c>
    </row>
    <row r="8484" spans="3:3" ht="15" customHeight="1">
      <c r="C8484" s="70" t="str">
        <f t="shared" si="134"/>
        <v/>
      </c>
    </row>
    <row r="8485" spans="3:3" ht="15" customHeight="1">
      <c r="C8485" s="70" t="str">
        <f t="shared" si="134"/>
        <v/>
      </c>
    </row>
    <row r="8486" spans="3:3" ht="15" customHeight="1">
      <c r="C8486" s="70" t="str">
        <f t="shared" si="134"/>
        <v/>
      </c>
    </row>
    <row r="8487" spans="3:3" ht="15" customHeight="1">
      <c r="C8487" s="70" t="str">
        <f t="shared" si="134"/>
        <v/>
      </c>
    </row>
    <row r="8488" spans="3:3" ht="15" customHeight="1">
      <c r="C8488" s="70" t="str">
        <f t="shared" si="134"/>
        <v/>
      </c>
    </row>
    <row r="8489" spans="3:3" ht="15" customHeight="1">
      <c r="C8489" s="70" t="str">
        <f t="shared" si="134"/>
        <v/>
      </c>
    </row>
    <row r="8490" spans="3:3" ht="15" customHeight="1">
      <c r="C8490" s="70" t="str">
        <f t="shared" si="134"/>
        <v/>
      </c>
    </row>
    <row r="8491" spans="3:3" ht="15" customHeight="1">
      <c r="C8491" s="70" t="str">
        <f t="shared" si="134"/>
        <v/>
      </c>
    </row>
    <row r="8492" spans="3:3" ht="15" customHeight="1">
      <c r="C8492" s="70" t="str">
        <f t="shared" si="134"/>
        <v/>
      </c>
    </row>
    <row r="8493" spans="3:3" ht="15" customHeight="1">
      <c r="C8493" s="70" t="str">
        <f t="shared" si="134"/>
        <v/>
      </c>
    </row>
    <row r="8494" spans="3:3" ht="15" customHeight="1">
      <c r="C8494" s="70" t="str">
        <f t="shared" si="134"/>
        <v/>
      </c>
    </row>
    <row r="8495" spans="3:3" ht="15" customHeight="1">
      <c r="C8495" s="70" t="str">
        <f t="shared" si="134"/>
        <v/>
      </c>
    </row>
    <row r="8496" spans="3:3" ht="15" customHeight="1">
      <c r="C8496" s="70" t="str">
        <f t="shared" si="134"/>
        <v/>
      </c>
    </row>
    <row r="8497" spans="3:3" ht="15" customHeight="1">
      <c r="C8497" s="70" t="str">
        <f t="shared" si="134"/>
        <v/>
      </c>
    </row>
    <row r="8498" spans="3:3" ht="15" customHeight="1">
      <c r="C8498" s="70" t="str">
        <f t="shared" si="134"/>
        <v/>
      </c>
    </row>
    <row r="8499" spans="3:3" ht="15" customHeight="1">
      <c r="C8499" s="70" t="str">
        <f t="shared" si="134"/>
        <v/>
      </c>
    </row>
    <row r="8500" spans="3:3" ht="15" customHeight="1">
      <c r="C8500" s="70" t="str">
        <f t="shared" si="134"/>
        <v/>
      </c>
    </row>
    <row r="8501" spans="3:3" ht="15" customHeight="1">
      <c r="C8501" s="70" t="str">
        <f t="shared" si="134"/>
        <v/>
      </c>
    </row>
    <row r="8502" spans="3:3" ht="15" customHeight="1">
      <c r="C8502" s="70" t="str">
        <f t="shared" si="134"/>
        <v/>
      </c>
    </row>
    <row r="8503" spans="3:3" ht="15" customHeight="1">
      <c r="C8503" s="70" t="str">
        <f t="shared" si="134"/>
        <v/>
      </c>
    </row>
    <row r="8504" spans="3:3" ht="15" customHeight="1">
      <c r="C8504" s="70" t="str">
        <f t="shared" si="134"/>
        <v/>
      </c>
    </row>
    <row r="8505" spans="3:3" ht="15" customHeight="1">
      <c r="C8505" s="70" t="str">
        <f t="shared" si="134"/>
        <v/>
      </c>
    </row>
    <row r="8506" spans="3:3" ht="15" customHeight="1">
      <c r="C8506" s="70" t="str">
        <f t="shared" si="134"/>
        <v/>
      </c>
    </row>
    <row r="8507" spans="3:3" ht="15" customHeight="1">
      <c r="C8507" s="70" t="str">
        <f t="shared" si="134"/>
        <v/>
      </c>
    </row>
    <row r="8508" spans="3:3" ht="15" customHeight="1">
      <c r="C8508" s="70" t="str">
        <f t="shared" si="134"/>
        <v/>
      </c>
    </row>
    <row r="8509" spans="3:3" ht="15" customHeight="1">
      <c r="C8509" s="70" t="str">
        <f t="shared" si="134"/>
        <v/>
      </c>
    </row>
    <row r="8510" spans="3:3" ht="15" customHeight="1">
      <c r="C8510" s="70" t="str">
        <f t="shared" si="134"/>
        <v/>
      </c>
    </row>
    <row r="8511" spans="3:3" ht="15" customHeight="1">
      <c r="C8511" s="70" t="str">
        <f t="shared" si="134"/>
        <v/>
      </c>
    </row>
    <row r="8512" spans="3:3" ht="15" customHeight="1">
      <c r="C8512" s="70" t="str">
        <f t="shared" si="134"/>
        <v/>
      </c>
    </row>
    <row r="8513" spans="3:3" ht="15" customHeight="1">
      <c r="C8513" s="70" t="str">
        <f t="shared" si="134"/>
        <v/>
      </c>
    </row>
    <row r="8514" spans="3:3" ht="15" customHeight="1">
      <c r="C8514" s="70" t="str">
        <f t="shared" si="134"/>
        <v/>
      </c>
    </row>
    <row r="8515" spans="3:3" ht="15" customHeight="1">
      <c r="C8515" s="70" t="str">
        <f t="shared" si="134"/>
        <v/>
      </c>
    </row>
    <row r="8516" spans="3:3" ht="15" customHeight="1">
      <c r="C8516" s="70" t="str">
        <f t="shared" si="134"/>
        <v/>
      </c>
    </row>
    <row r="8517" spans="3:3" ht="15" customHeight="1">
      <c r="C8517" s="70" t="str">
        <f t="shared" si="134"/>
        <v/>
      </c>
    </row>
    <row r="8518" spans="3:3" ht="15" customHeight="1">
      <c r="C8518" s="70" t="str">
        <f t="shared" si="134"/>
        <v/>
      </c>
    </row>
    <row r="8519" spans="3:3" ht="15" customHeight="1">
      <c r="C8519" s="70" t="str">
        <f t="shared" si="134"/>
        <v/>
      </c>
    </row>
    <row r="8520" spans="3:3" ht="15" customHeight="1">
      <c r="C8520" s="70" t="str">
        <f t="shared" si="134"/>
        <v/>
      </c>
    </row>
    <row r="8521" spans="3:3" ht="15" customHeight="1">
      <c r="C8521" s="70" t="str">
        <f t="shared" si="134"/>
        <v/>
      </c>
    </row>
    <row r="8522" spans="3:3" ht="15" customHeight="1">
      <c r="C8522" s="70" t="str">
        <f t="shared" si="134"/>
        <v/>
      </c>
    </row>
    <row r="8523" spans="3:3" ht="15" customHeight="1">
      <c r="C8523" s="70" t="str">
        <f t="shared" si="134"/>
        <v/>
      </c>
    </row>
    <row r="8524" spans="3:3" ht="15" customHeight="1">
      <c r="C8524" s="70" t="str">
        <f t="shared" si="134"/>
        <v/>
      </c>
    </row>
    <row r="8525" spans="3:3" ht="15" customHeight="1">
      <c r="C8525" s="70" t="str">
        <f t="shared" si="134"/>
        <v/>
      </c>
    </row>
    <row r="8526" spans="3:3" ht="15" customHeight="1">
      <c r="C8526" s="70" t="str">
        <f t="shared" si="134"/>
        <v/>
      </c>
    </row>
    <row r="8527" spans="3:3" ht="15" customHeight="1">
      <c r="C8527" s="70" t="str">
        <f t="shared" si="134"/>
        <v/>
      </c>
    </row>
    <row r="8528" spans="3:3" ht="15" customHeight="1">
      <c r="C8528" s="70" t="str">
        <f t="shared" si="134"/>
        <v/>
      </c>
    </row>
    <row r="8529" spans="3:3" ht="15" customHeight="1">
      <c r="C8529" s="70" t="str">
        <f t="shared" ref="C8529:C8592" si="135">IF(B8529&lt;&gt;"",TEXT(WEEKDAY(B8529),"dddd"),"")</f>
        <v/>
      </c>
    </row>
    <row r="8530" spans="3:3" ht="15" customHeight="1">
      <c r="C8530" s="70" t="str">
        <f t="shared" si="135"/>
        <v/>
      </c>
    </row>
    <row r="8531" spans="3:3" ht="15" customHeight="1">
      <c r="C8531" s="70" t="str">
        <f t="shared" si="135"/>
        <v/>
      </c>
    </row>
    <row r="8532" spans="3:3" ht="15" customHeight="1">
      <c r="C8532" s="70" t="str">
        <f t="shared" si="135"/>
        <v/>
      </c>
    </row>
    <row r="8533" spans="3:3" ht="15" customHeight="1">
      <c r="C8533" s="70" t="str">
        <f t="shared" si="135"/>
        <v/>
      </c>
    </row>
    <row r="8534" spans="3:3" ht="15" customHeight="1">
      <c r="C8534" s="70" t="str">
        <f t="shared" si="135"/>
        <v/>
      </c>
    </row>
    <row r="8535" spans="3:3" ht="15" customHeight="1">
      <c r="C8535" s="70" t="str">
        <f t="shared" si="135"/>
        <v/>
      </c>
    </row>
    <row r="8536" spans="3:3" ht="15" customHeight="1">
      <c r="C8536" s="70" t="str">
        <f t="shared" si="135"/>
        <v/>
      </c>
    </row>
    <row r="8537" spans="3:3" ht="15" customHeight="1">
      <c r="C8537" s="70" t="str">
        <f t="shared" si="135"/>
        <v/>
      </c>
    </row>
    <row r="8538" spans="3:3" ht="15" customHeight="1">
      <c r="C8538" s="70" t="str">
        <f t="shared" si="135"/>
        <v/>
      </c>
    </row>
    <row r="8539" spans="3:3" ht="15" customHeight="1">
      <c r="C8539" s="70" t="str">
        <f t="shared" si="135"/>
        <v/>
      </c>
    </row>
    <row r="8540" spans="3:3" ht="15" customHeight="1">
      <c r="C8540" s="70" t="str">
        <f t="shared" si="135"/>
        <v/>
      </c>
    </row>
    <row r="8541" spans="3:3" ht="15" customHeight="1">
      <c r="C8541" s="70" t="str">
        <f t="shared" si="135"/>
        <v/>
      </c>
    </row>
    <row r="8542" spans="3:3" ht="15" customHeight="1">
      <c r="C8542" s="70" t="str">
        <f t="shared" si="135"/>
        <v/>
      </c>
    </row>
    <row r="8543" spans="3:3" ht="15" customHeight="1">
      <c r="C8543" s="70" t="str">
        <f t="shared" si="135"/>
        <v/>
      </c>
    </row>
    <row r="8544" spans="3:3" ht="15" customHeight="1">
      <c r="C8544" s="70" t="str">
        <f t="shared" si="135"/>
        <v/>
      </c>
    </row>
    <row r="8545" spans="3:3" ht="15" customHeight="1">
      <c r="C8545" s="70" t="str">
        <f t="shared" si="135"/>
        <v/>
      </c>
    </row>
    <row r="8546" spans="3:3" ht="15" customHeight="1">
      <c r="C8546" s="70" t="str">
        <f t="shared" si="135"/>
        <v/>
      </c>
    </row>
    <row r="8547" spans="3:3" ht="15" customHeight="1">
      <c r="C8547" s="70" t="str">
        <f t="shared" si="135"/>
        <v/>
      </c>
    </row>
    <row r="8548" spans="3:3" ht="15" customHeight="1">
      <c r="C8548" s="70" t="str">
        <f t="shared" si="135"/>
        <v/>
      </c>
    </row>
    <row r="8549" spans="3:3" ht="15" customHeight="1">
      <c r="C8549" s="70" t="str">
        <f t="shared" si="135"/>
        <v/>
      </c>
    </row>
    <row r="8550" spans="3:3" ht="15" customHeight="1">
      <c r="C8550" s="70" t="str">
        <f t="shared" si="135"/>
        <v/>
      </c>
    </row>
    <row r="8551" spans="3:3" ht="15" customHeight="1">
      <c r="C8551" s="70" t="str">
        <f t="shared" si="135"/>
        <v/>
      </c>
    </row>
    <row r="8552" spans="3:3" ht="15" customHeight="1">
      <c r="C8552" s="70" t="str">
        <f t="shared" si="135"/>
        <v/>
      </c>
    </row>
    <row r="8553" spans="3:3" ht="15" customHeight="1">
      <c r="C8553" s="70" t="str">
        <f t="shared" si="135"/>
        <v/>
      </c>
    </row>
    <row r="8554" spans="3:3" ht="15" customHeight="1">
      <c r="C8554" s="70" t="str">
        <f t="shared" si="135"/>
        <v/>
      </c>
    </row>
    <row r="8555" spans="3:3" ht="15" customHeight="1">
      <c r="C8555" s="70" t="str">
        <f t="shared" si="135"/>
        <v/>
      </c>
    </row>
    <row r="8556" spans="3:3" ht="15" customHeight="1">
      <c r="C8556" s="70" t="str">
        <f t="shared" si="135"/>
        <v/>
      </c>
    </row>
    <row r="8557" spans="3:3" ht="15" customHeight="1">
      <c r="C8557" s="70" t="str">
        <f t="shared" si="135"/>
        <v/>
      </c>
    </row>
    <row r="8558" spans="3:3" ht="15" customHeight="1">
      <c r="C8558" s="70" t="str">
        <f t="shared" si="135"/>
        <v/>
      </c>
    </row>
    <row r="8559" spans="3:3" ht="15" customHeight="1">
      <c r="C8559" s="70" t="str">
        <f t="shared" si="135"/>
        <v/>
      </c>
    </row>
    <row r="8560" spans="3:3" ht="15" customHeight="1">
      <c r="C8560" s="70" t="str">
        <f t="shared" si="135"/>
        <v/>
      </c>
    </row>
    <row r="8561" spans="3:3" ht="15" customHeight="1">
      <c r="C8561" s="70" t="str">
        <f t="shared" si="135"/>
        <v/>
      </c>
    </row>
    <row r="8562" spans="3:3" ht="15" customHeight="1">
      <c r="C8562" s="70" t="str">
        <f t="shared" si="135"/>
        <v/>
      </c>
    </row>
    <row r="8563" spans="3:3" ht="15" customHeight="1">
      <c r="C8563" s="70" t="str">
        <f t="shared" si="135"/>
        <v/>
      </c>
    </row>
    <row r="8564" spans="3:3" ht="15" customHeight="1">
      <c r="C8564" s="70" t="str">
        <f t="shared" si="135"/>
        <v/>
      </c>
    </row>
    <row r="8565" spans="3:3" ht="15" customHeight="1">
      <c r="C8565" s="70" t="str">
        <f t="shared" si="135"/>
        <v/>
      </c>
    </row>
    <row r="8566" spans="3:3" ht="15" customHeight="1">
      <c r="C8566" s="70" t="str">
        <f t="shared" si="135"/>
        <v/>
      </c>
    </row>
    <row r="8567" spans="3:3" ht="15" customHeight="1">
      <c r="C8567" s="70" t="str">
        <f t="shared" si="135"/>
        <v/>
      </c>
    </row>
    <row r="8568" spans="3:3" ht="15" customHeight="1">
      <c r="C8568" s="70" t="str">
        <f t="shared" si="135"/>
        <v/>
      </c>
    </row>
    <row r="8569" spans="3:3" ht="15" customHeight="1">
      <c r="C8569" s="70" t="str">
        <f t="shared" si="135"/>
        <v/>
      </c>
    </row>
    <row r="8570" spans="3:3" ht="15" customHeight="1">
      <c r="C8570" s="70" t="str">
        <f t="shared" si="135"/>
        <v/>
      </c>
    </row>
    <row r="8571" spans="3:3" ht="15" customHeight="1">
      <c r="C8571" s="70" t="str">
        <f t="shared" si="135"/>
        <v/>
      </c>
    </row>
    <row r="8572" spans="3:3" ht="15" customHeight="1">
      <c r="C8572" s="70" t="str">
        <f t="shared" si="135"/>
        <v/>
      </c>
    </row>
    <row r="8573" spans="3:3" ht="15" customHeight="1">
      <c r="C8573" s="70" t="str">
        <f t="shared" si="135"/>
        <v/>
      </c>
    </row>
    <row r="8574" spans="3:3" ht="15" customHeight="1">
      <c r="C8574" s="70" t="str">
        <f t="shared" si="135"/>
        <v/>
      </c>
    </row>
    <row r="8575" spans="3:3" ht="15" customHeight="1">
      <c r="C8575" s="70" t="str">
        <f t="shared" si="135"/>
        <v/>
      </c>
    </row>
    <row r="8576" spans="3:3" ht="15" customHeight="1">
      <c r="C8576" s="70" t="str">
        <f t="shared" si="135"/>
        <v/>
      </c>
    </row>
    <row r="8577" spans="3:3" ht="15" customHeight="1">
      <c r="C8577" s="70" t="str">
        <f t="shared" si="135"/>
        <v/>
      </c>
    </row>
    <row r="8578" spans="3:3" ht="15" customHeight="1">
      <c r="C8578" s="70" t="str">
        <f t="shared" si="135"/>
        <v/>
      </c>
    </row>
    <row r="8579" spans="3:3" ht="15" customHeight="1">
      <c r="C8579" s="70" t="str">
        <f t="shared" si="135"/>
        <v/>
      </c>
    </row>
    <row r="8580" spans="3:3" ht="15" customHeight="1">
      <c r="C8580" s="70" t="str">
        <f t="shared" si="135"/>
        <v/>
      </c>
    </row>
    <row r="8581" spans="3:3" ht="15" customHeight="1">
      <c r="C8581" s="70" t="str">
        <f t="shared" si="135"/>
        <v/>
      </c>
    </row>
    <row r="8582" spans="3:3" ht="15" customHeight="1">
      <c r="C8582" s="70" t="str">
        <f t="shared" si="135"/>
        <v/>
      </c>
    </row>
    <row r="8583" spans="3:3" ht="15" customHeight="1">
      <c r="C8583" s="70" t="str">
        <f t="shared" si="135"/>
        <v/>
      </c>
    </row>
    <row r="8584" spans="3:3" ht="15" customHeight="1">
      <c r="C8584" s="70" t="str">
        <f t="shared" si="135"/>
        <v/>
      </c>
    </row>
    <row r="8585" spans="3:3" ht="15" customHeight="1">
      <c r="C8585" s="70" t="str">
        <f t="shared" si="135"/>
        <v/>
      </c>
    </row>
    <row r="8586" spans="3:3" ht="15" customHeight="1">
      <c r="C8586" s="70" t="str">
        <f t="shared" si="135"/>
        <v/>
      </c>
    </row>
    <row r="8587" spans="3:3" ht="15" customHeight="1">
      <c r="C8587" s="70" t="str">
        <f t="shared" si="135"/>
        <v/>
      </c>
    </row>
    <row r="8588" spans="3:3" ht="15" customHeight="1">
      <c r="C8588" s="70" t="str">
        <f t="shared" si="135"/>
        <v/>
      </c>
    </row>
    <row r="8589" spans="3:3" ht="15" customHeight="1">
      <c r="C8589" s="70" t="str">
        <f t="shared" si="135"/>
        <v/>
      </c>
    </row>
    <row r="8590" spans="3:3" ht="15" customHeight="1">
      <c r="C8590" s="70" t="str">
        <f t="shared" si="135"/>
        <v/>
      </c>
    </row>
    <row r="8591" spans="3:3" ht="15" customHeight="1">
      <c r="C8591" s="70" t="str">
        <f t="shared" si="135"/>
        <v/>
      </c>
    </row>
    <row r="8592" spans="3:3" ht="15" customHeight="1">
      <c r="C8592" s="70" t="str">
        <f t="shared" si="135"/>
        <v/>
      </c>
    </row>
    <row r="8593" spans="3:3" ht="15" customHeight="1">
      <c r="C8593" s="70" t="str">
        <f t="shared" ref="C8593:C8656" si="136">IF(B8593&lt;&gt;"",TEXT(WEEKDAY(B8593),"dddd"),"")</f>
        <v/>
      </c>
    </row>
    <row r="8594" spans="3:3" ht="15" customHeight="1">
      <c r="C8594" s="70" t="str">
        <f t="shared" si="136"/>
        <v/>
      </c>
    </row>
    <row r="8595" spans="3:3" ht="15" customHeight="1">
      <c r="C8595" s="70" t="str">
        <f t="shared" si="136"/>
        <v/>
      </c>
    </row>
    <row r="8596" spans="3:3" ht="15" customHeight="1">
      <c r="C8596" s="70" t="str">
        <f t="shared" si="136"/>
        <v/>
      </c>
    </row>
    <row r="8597" spans="3:3" ht="15" customHeight="1">
      <c r="C8597" s="70" t="str">
        <f t="shared" si="136"/>
        <v/>
      </c>
    </row>
    <row r="8598" spans="3:3" ht="15" customHeight="1">
      <c r="C8598" s="70" t="str">
        <f t="shared" si="136"/>
        <v/>
      </c>
    </row>
    <row r="8599" spans="3:3" ht="15" customHeight="1">
      <c r="C8599" s="70" t="str">
        <f t="shared" si="136"/>
        <v/>
      </c>
    </row>
    <row r="8600" spans="3:3" ht="15" customHeight="1">
      <c r="C8600" s="70" t="str">
        <f t="shared" si="136"/>
        <v/>
      </c>
    </row>
    <row r="8601" spans="3:3" ht="15" customHeight="1">
      <c r="C8601" s="70" t="str">
        <f t="shared" si="136"/>
        <v/>
      </c>
    </row>
    <row r="8602" spans="3:3" ht="15" customHeight="1">
      <c r="C8602" s="70" t="str">
        <f t="shared" si="136"/>
        <v/>
      </c>
    </row>
    <row r="8603" spans="3:3" ht="15" customHeight="1">
      <c r="C8603" s="70" t="str">
        <f t="shared" si="136"/>
        <v/>
      </c>
    </row>
    <row r="8604" spans="3:3" ht="15" customHeight="1">
      <c r="C8604" s="70" t="str">
        <f t="shared" si="136"/>
        <v/>
      </c>
    </row>
    <row r="8605" spans="3:3" ht="15" customHeight="1">
      <c r="C8605" s="70" t="str">
        <f t="shared" si="136"/>
        <v/>
      </c>
    </row>
    <row r="8606" spans="3:3" ht="15" customHeight="1">
      <c r="C8606" s="70" t="str">
        <f t="shared" si="136"/>
        <v/>
      </c>
    </row>
    <row r="8607" spans="3:3" ht="15" customHeight="1">
      <c r="C8607" s="70" t="str">
        <f t="shared" si="136"/>
        <v/>
      </c>
    </row>
    <row r="8608" spans="3:3" ht="15" customHeight="1">
      <c r="C8608" s="70" t="str">
        <f t="shared" si="136"/>
        <v/>
      </c>
    </row>
    <row r="8609" spans="3:3" ht="15" customHeight="1">
      <c r="C8609" s="70" t="str">
        <f t="shared" si="136"/>
        <v/>
      </c>
    </row>
    <row r="8610" spans="3:3" ht="15" customHeight="1">
      <c r="C8610" s="70" t="str">
        <f t="shared" si="136"/>
        <v/>
      </c>
    </row>
    <row r="8611" spans="3:3" ht="15" customHeight="1">
      <c r="C8611" s="70" t="str">
        <f t="shared" si="136"/>
        <v/>
      </c>
    </row>
    <row r="8612" spans="3:3" ht="15" customHeight="1">
      <c r="C8612" s="70" t="str">
        <f t="shared" si="136"/>
        <v/>
      </c>
    </row>
    <row r="8613" spans="3:3" ht="15" customHeight="1">
      <c r="C8613" s="70" t="str">
        <f t="shared" si="136"/>
        <v/>
      </c>
    </row>
    <row r="8614" spans="3:3" ht="15" customHeight="1">
      <c r="C8614" s="70" t="str">
        <f t="shared" si="136"/>
        <v/>
      </c>
    </row>
    <row r="8615" spans="3:3" ht="15" customHeight="1">
      <c r="C8615" s="70" t="str">
        <f t="shared" si="136"/>
        <v/>
      </c>
    </row>
    <row r="8616" spans="3:3" ht="15" customHeight="1">
      <c r="C8616" s="70" t="str">
        <f t="shared" si="136"/>
        <v/>
      </c>
    </row>
    <row r="8617" spans="3:3" ht="15" customHeight="1">
      <c r="C8617" s="70" t="str">
        <f t="shared" si="136"/>
        <v/>
      </c>
    </row>
    <row r="8618" spans="3:3" ht="15" customHeight="1">
      <c r="C8618" s="70" t="str">
        <f t="shared" si="136"/>
        <v/>
      </c>
    </row>
    <row r="8619" spans="3:3" ht="15" customHeight="1">
      <c r="C8619" s="70" t="str">
        <f t="shared" si="136"/>
        <v/>
      </c>
    </row>
    <row r="8620" spans="3:3" ht="15" customHeight="1">
      <c r="C8620" s="70" t="str">
        <f t="shared" si="136"/>
        <v/>
      </c>
    </row>
    <row r="8621" spans="3:3" ht="15" customHeight="1">
      <c r="C8621" s="70" t="str">
        <f t="shared" si="136"/>
        <v/>
      </c>
    </row>
    <row r="8622" spans="3:3" ht="15" customHeight="1">
      <c r="C8622" s="70" t="str">
        <f t="shared" si="136"/>
        <v/>
      </c>
    </row>
    <row r="8623" spans="3:3" ht="15" customHeight="1">
      <c r="C8623" s="70" t="str">
        <f t="shared" si="136"/>
        <v/>
      </c>
    </row>
    <row r="8624" spans="3:3" ht="15" customHeight="1">
      <c r="C8624" s="70" t="str">
        <f t="shared" si="136"/>
        <v/>
      </c>
    </row>
    <row r="8625" spans="3:3" ht="15" customHeight="1">
      <c r="C8625" s="70" t="str">
        <f t="shared" si="136"/>
        <v/>
      </c>
    </row>
    <row r="8626" spans="3:3" ht="15" customHeight="1">
      <c r="C8626" s="70" t="str">
        <f t="shared" si="136"/>
        <v/>
      </c>
    </row>
    <row r="8627" spans="3:3" ht="15" customHeight="1">
      <c r="C8627" s="70" t="str">
        <f t="shared" si="136"/>
        <v/>
      </c>
    </row>
    <row r="8628" spans="3:3" ht="15" customHeight="1">
      <c r="C8628" s="70" t="str">
        <f t="shared" si="136"/>
        <v/>
      </c>
    </row>
    <row r="8629" spans="3:3" ht="15" customHeight="1">
      <c r="C8629" s="70" t="str">
        <f t="shared" si="136"/>
        <v/>
      </c>
    </row>
    <row r="8630" spans="3:3" ht="15" customHeight="1">
      <c r="C8630" s="70" t="str">
        <f t="shared" si="136"/>
        <v/>
      </c>
    </row>
    <row r="8631" spans="3:3" ht="15" customHeight="1">
      <c r="C8631" s="70" t="str">
        <f t="shared" si="136"/>
        <v/>
      </c>
    </row>
    <row r="8632" spans="3:3" ht="15" customHeight="1">
      <c r="C8632" s="70" t="str">
        <f t="shared" si="136"/>
        <v/>
      </c>
    </row>
    <row r="8633" spans="3:3" ht="15" customHeight="1">
      <c r="C8633" s="70" t="str">
        <f t="shared" si="136"/>
        <v/>
      </c>
    </row>
    <row r="8634" spans="3:3" ht="15" customHeight="1">
      <c r="C8634" s="70" t="str">
        <f t="shared" si="136"/>
        <v/>
      </c>
    </row>
    <row r="8635" spans="3:3" ht="15" customHeight="1">
      <c r="C8635" s="70" t="str">
        <f t="shared" si="136"/>
        <v/>
      </c>
    </row>
    <row r="8636" spans="3:3" ht="15" customHeight="1">
      <c r="C8636" s="70" t="str">
        <f t="shared" si="136"/>
        <v/>
      </c>
    </row>
    <row r="8637" spans="3:3" ht="15" customHeight="1">
      <c r="C8637" s="70" t="str">
        <f t="shared" si="136"/>
        <v/>
      </c>
    </row>
    <row r="8638" spans="3:3" ht="15" customHeight="1">
      <c r="C8638" s="70" t="str">
        <f t="shared" si="136"/>
        <v/>
      </c>
    </row>
    <row r="8639" spans="3:3" ht="15" customHeight="1">
      <c r="C8639" s="70" t="str">
        <f t="shared" si="136"/>
        <v/>
      </c>
    </row>
    <row r="8640" spans="3:3" ht="15" customHeight="1">
      <c r="C8640" s="70" t="str">
        <f t="shared" si="136"/>
        <v/>
      </c>
    </row>
    <row r="8641" spans="3:3" ht="15" customHeight="1">
      <c r="C8641" s="70" t="str">
        <f t="shared" si="136"/>
        <v/>
      </c>
    </row>
    <row r="8642" spans="3:3" ht="15" customHeight="1">
      <c r="C8642" s="70" t="str">
        <f t="shared" si="136"/>
        <v/>
      </c>
    </row>
    <row r="8643" spans="3:3" ht="15" customHeight="1">
      <c r="C8643" s="70" t="str">
        <f t="shared" si="136"/>
        <v/>
      </c>
    </row>
    <row r="8644" spans="3:3" ht="15" customHeight="1">
      <c r="C8644" s="70" t="str">
        <f t="shared" si="136"/>
        <v/>
      </c>
    </row>
    <row r="8645" spans="3:3" ht="15" customHeight="1">
      <c r="C8645" s="70" t="str">
        <f t="shared" si="136"/>
        <v/>
      </c>
    </row>
    <row r="8646" spans="3:3" ht="15" customHeight="1">
      <c r="C8646" s="70" t="str">
        <f t="shared" si="136"/>
        <v/>
      </c>
    </row>
    <row r="8647" spans="3:3" ht="15" customHeight="1">
      <c r="C8647" s="70" t="str">
        <f t="shared" si="136"/>
        <v/>
      </c>
    </row>
    <row r="8648" spans="3:3" ht="15" customHeight="1">
      <c r="C8648" s="70" t="str">
        <f t="shared" si="136"/>
        <v/>
      </c>
    </row>
    <row r="8649" spans="3:3" ht="15" customHeight="1">
      <c r="C8649" s="70" t="str">
        <f t="shared" si="136"/>
        <v/>
      </c>
    </row>
    <row r="8650" spans="3:3" ht="15" customHeight="1">
      <c r="C8650" s="70" t="str">
        <f t="shared" si="136"/>
        <v/>
      </c>
    </row>
    <row r="8651" spans="3:3" ht="15" customHeight="1">
      <c r="C8651" s="70" t="str">
        <f t="shared" si="136"/>
        <v/>
      </c>
    </row>
    <row r="8652" spans="3:3" ht="15" customHeight="1">
      <c r="C8652" s="70" t="str">
        <f t="shared" si="136"/>
        <v/>
      </c>
    </row>
    <row r="8653" spans="3:3" ht="15" customHeight="1">
      <c r="C8653" s="70" t="str">
        <f t="shared" si="136"/>
        <v/>
      </c>
    </row>
    <row r="8654" spans="3:3" ht="15" customHeight="1">
      <c r="C8654" s="70" t="str">
        <f t="shared" si="136"/>
        <v/>
      </c>
    </row>
    <row r="8655" spans="3:3" ht="15" customHeight="1">
      <c r="C8655" s="70" t="str">
        <f t="shared" si="136"/>
        <v/>
      </c>
    </row>
    <row r="8656" spans="3:3" ht="15" customHeight="1">
      <c r="C8656" s="70" t="str">
        <f t="shared" si="136"/>
        <v/>
      </c>
    </row>
    <row r="8657" spans="3:3" ht="15" customHeight="1">
      <c r="C8657" s="70" t="str">
        <f t="shared" ref="C8657:C8720" si="137">IF(B8657&lt;&gt;"",TEXT(WEEKDAY(B8657),"dddd"),"")</f>
        <v/>
      </c>
    </row>
    <row r="8658" spans="3:3" ht="15" customHeight="1">
      <c r="C8658" s="70" t="str">
        <f t="shared" si="137"/>
        <v/>
      </c>
    </row>
    <row r="8659" spans="3:3" ht="15" customHeight="1">
      <c r="C8659" s="70" t="str">
        <f t="shared" si="137"/>
        <v/>
      </c>
    </row>
    <row r="8660" spans="3:3" ht="15" customHeight="1">
      <c r="C8660" s="70" t="str">
        <f t="shared" si="137"/>
        <v/>
      </c>
    </row>
    <row r="8661" spans="3:3" ht="15" customHeight="1">
      <c r="C8661" s="70" t="str">
        <f t="shared" si="137"/>
        <v/>
      </c>
    </row>
    <row r="8662" spans="3:3" ht="15" customHeight="1">
      <c r="C8662" s="70" t="str">
        <f t="shared" si="137"/>
        <v/>
      </c>
    </row>
    <row r="8663" spans="3:3" ht="15" customHeight="1">
      <c r="C8663" s="70" t="str">
        <f t="shared" si="137"/>
        <v/>
      </c>
    </row>
    <row r="8664" spans="3:3" ht="15" customHeight="1">
      <c r="C8664" s="70" t="str">
        <f t="shared" si="137"/>
        <v/>
      </c>
    </row>
    <row r="8665" spans="3:3" ht="15" customHeight="1">
      <c r="C8665" s="70" t="str">
        <f t="shared" si="137"/>
        <v/>
      </c>
    </row>
    <row r="8666" spans="3:3" ht="15" customHeight="1">
      <c r="C8666" s="70" t="str">
        <f t="shared" si="137"/>
        <v/>
      </c>
    </row>
    <row r="8667" spans="3:3" ht="15" customHeight="1">
      <c r="C8667" s="70" t="str">
        <f t="shared" si="137"/>
        <v/>
      </c>
    </row>
    <row r="8668" spans="3:3" ht="15" customHeight="1">
      <c r="C8668" s="70" t="str">
        <f t="shared" si="137"/>
        <v/>
      </c>
    </row>
    <row r="8669" spans="3:3" ht="15" customHeight="1">
      <c r="C8669" s="70" t="str">
        <f t="shared" si="137"/>
        <v/>
      </c>
    </row>
    <row r="8670" spans="3:3" ht="15" customHeight="1">
      <c r="C8670" s="70" t="str">
        <f t="shared" si="137"/>
        <v/>
      </c>
    </row>
    <row r="8671" spans="3:3" ht="15" customHeight="1">
      <c r="C8671" s="70" t="str">
        <f t="shared" si="137"/>
        <v/>
      </c>
    </row>
    <row r="8672" spans="3:3" ht="15" customHeight="1">
      <c r="C8672" s="70" t="str">
        <f t="shared" si="137"/>
        <v/>
      </c>
    </row>
    <row r="8673" spans="3:3" ht="15" customHeight="1">
      <c r="C8673" s="70" t="str">
        <f t="shared" si="137"/>
        <v/>
      </c>
    </row>
    <row r="8674" spans="3:3" ht="15" customHeight="1">
      <c r="C8674" s="70" t="str">
        <f t="shared" si="137"/>
        <v/>
      </c>
    </row>
    <row r="8675" spans="3:3" ht="15" customHeight="1">
      <c r="C8675" s="70" t="str">
        <f t="shared" si="137"/>
        <v/>
      </c>
    </row>
    <row r="8676" spans="3:3" ht="15" customHeight="1">
      <c r="C8676" s="70" t="str">
        <f t="shared" si="137"/>
        <v/>
      </c>
    </row>
    <row r="8677" spans="3:3" ht="15" customHeight="1">
      <c r="C8677" s="70" t="str">
        <f t="shared" si="137"/>
        <v/>
      </c>
    </row>
    <row r="8678" spans="3:3" ht="15" customHeight="1">
      <c r="C8678" s="70" t="str">
        <f t="shared" si="137"/>
        <v/>
      </c>
    </row>
    <row r="8679" spans="3:3" ht="15" customHeight="1">
      <c r="C8679" s="70" t="str">
        <f t="shared" si="137"/>
        <v/>
      </c>
    </row>
    <row r="8680" spans="3:3" ht="15" customHeight="1">
      <c r="C8680" s="70" t="str">
        <f t="shared" si="137"/>
        <v/>
      </c>
    </row>
    <row r="8681" spans="3:3" ht="15" customHeight="1">
      <c r="C8681" s="70" t="str">
        <f t="shared" si="137"/>
        <v/>
      </c>
    </row>
    <row r="8682" spans="3:3" ht="15" customHeight="1">
      <c r="C8682" s="70" t="str">
        <f t="shared" si="137"/>
        <v/>
      </c>
    </row>
    <row r="8683" spans="3:3" ht="15" customHeight="1">
      <c r="C8683" s="70" t="str">
        <f t="shared" si="137"/>
        <v/>
      </c>
    </row>
    <row r="8684" spans="3:3" ht="15" customHeight="1">
      <c r="C8684" s="70" t="str">
        <f t="shared" si="137"/>
        <v/>
      </c>
    </row>
    <row r="8685" spans="3:3" ht="15" customHeight="1">
      <c r="C8685" s="70" t="str">
        <f t="shared" si="137"/>
        <v/>
      </c>
    </row>
    <row r="8686" spans="3:3" ht="15" customHeight="1">
      <c r="C8686" s="70" t="str">
        <f t="shared" si="137"/>
        <v/>
      </c>
    </row>
    <row r="8687" spans="3:3" ht="15" customHeight="1">
      <c r="C8687" s="70" t="str">
        <f t="shared" si="137"/>
        <v/>
      </c>
    </row>
    <row r="8688" spans="3:3" ht="15" customHeight="1">
      <c r="C8688" s="70" t="str">
        <f t="shared" si="137"/>
        <v/>
      </c>
    </row>
    <row r="8689" spans="3:3" ht="15" customHeight="1">
      <c r="C8689" s="70" t="str">
        <f t="shared" si="137"/>
        <v/>
      </c>
    </row>
    <row r="8690" spans="3:3" ht="15" customHeight="1">
      <c r="C8690" s="70" t="str">
        <f t="shared" si="137"/>
        <v/>
      </c>
    </row>
    <row r="8691" spans="3:3" ht="15" customHeight="1">
      <c r="C8691" s="70" t="str">
        <f t="shared" si="137"/>
        <v/>
      </c>
    </row>
    <row r="8692" spans="3:3" ht="15" customHeight="1">
      <c r="C8692" s="70" t="str">
        <f t="shared" si="137"/>
        <v/>
      </c>
    </row>
    <row r="8693" spans="3:3" ht="15" customHeight="1">
      <c r="C8693" s="70" t="str">
        <f t="shared" si="137"/>
        <v/>
      </c>
    </row>
    <row r="8694" spans="3:3" ht="15" customHeight="1">
      <c r="C8694" s="70" t="str">
        <f t="shared" si="137"/>
        <v/>
      </c>
    </row>
    <row r="8695" spans="3:3" ht="15" customHeight="1">
      <c r="C8695" s="70" t="str">
        <f t="shared" si="137"/>
        <v/>
      </c>
    </row>
    <row r="8696" spans="3:3" ht="15" customHeight="1">
      <c r="C8696" s="70" t="str">
        <f t="shared" si="137"/>
        <v/>
      </c>
    </row>
    <row r="8697" spans="3:3" ht="15" customHeight="1">
      <c r="C8697" s="70" t="str">
        <f t="shared" si="137"/>
        <v/>
      </c>
    </row>
    <row r="8698" spans="3:3" ht="15" customHeight="1">
      <c r="C8698" s="70" t="str">
        <f t="shared" si="137"/>
        <v/>
      </c>
    </row>
    <row r="8699" spans="3:3" ht="15" customHeight="1">
      <c r="C8699" s="70" t="str">
        <f t="shared" si="137"/>
        <v/>
      </c>
    </row>
    <row r="8700" spans="3:3" ht="15" customHeight="1">
      <c r="C8700" s="70" t="str">
        <f t="shared" si="137"/>
        <v/>
      </c>
    </row>
    <row r="8701" spans="3:3" ht="15" customHeight="1">
      <c r="C8701" s="70" t="str">
        <f t="shared" si="137"/>
        <v/>
      </c>
    </row>
    <row r="8702" spans="3:3" ht="15" customHeight="1">
      <c r="C8702" s="70" t="str">
        <f t="shared" si="137"/>
        <v/>
      </c>
    </row>
    <row r="8703" spans="3:3" ht="15" customHeight="1">
      <c r="C8703" s="70" t="str">
        <f t="shared" si="137"/>
        <v/>
      </c>
    </row>
    <row r="8704" spans="3:3" ht="15" customHeight="1">
      <c r="C8704" s="70" t="str">
        <f t="shared" si="137"/>
        <v/>
      </c>
    </row>
    <row r="8705" spans="3:3" ht="15" customHeight="1">
      <c r="C8705" s="70" t="str">
        <f t="shared" si="137"/>
        <v/>
      </c>
    </row>
    <row r="8706" spans="3:3" ht="15" customHeight="1">
      <c r="C8706" s="70" t="str">
        <f t="shared" si="137"/>
        <v/>
      </c>
    </row>
    <row r="8707" spans="3:3" ht="15" customHeight="1">
      <c r="C8707" s="70" t="str">
        <f t="shared" si="137"/>
        <v/>
      </c>
    </row>
    <row r="8708" spans="3:3" ht="15" customHeight="1">
      <c r="C8708" s="70" t="str">
        <f t="shared" si="137"/>
        <v/>
      </c>
    </row>
    <row r="8709" spans="3:3" ht="15" customHeight="1">
      <c r="C8709" s="70" t="str">
        <f t="shared" si="137"/>
        <v/>
      </c>
    </row>
    <row r="8710" spans="3:3" ht="15" customHeight="1">
      <c r="C8710" s="70" t="str">
        <f t="shared" si="137"/>
        <v/>
      </c>
    </row>
    <row r="8711" spans="3:3" ht="15" customHeight="1">
      <c r="C8711" s="70" t="str">
        <f t="shared" si="137"/>
        <v/>
      </c>
    </row>
    <row r="8712" spans="3:3" ht="15" customHeight="1">
      <c r="C8712" s="70" t="str">
        <f t="shared" si="137"/>
        <v/>
      </c>
    </row>
    <row r="8713" spans="3:3" ht="15" customHeight="1">
      <c r="C8713" s="70" t="str">
        <f t="shared" si="137"/>
        <v/>
      </c>
    </row>
    <row r="8714" spans="3:3" ht="15" customHeight="1">
      <c r="C8714" s="70" t="str">
        <f t="shared" si="137"/>
        <v/>
      </c>
    </row>
    <row r="8715" spans="3:3" ht="15" customHeight="1">
      <c r="C8715" s="70" t="str">
        <f t="shared" si="137"/>
        <v/>
      </c>
    </row>
    <row r="8716" spans="3:3" ht="15" customHeight="1">
      <c r="C8716" s="70" t="str">
        <f t="shared" si="137"/>
        <v/>
      </c>
    </row>
    <row r="8717" spans="3:3" ht="15" customHeight="1">
      <c r="C8717" s="70" t="str">
        <f t="shared" si="137"/>
        <v/>
      </c>
    </row>
    <row r="8718" spans="3:3" ht="15" customHeight="1">
      <c r="C8718" s="70" t="str">
        <f t="shared" si="137"/>
        <v/>
      </c>
    </row>
    <row r="8719" spans="3:3" ht="15" customHeight="1">
      <c r="C8719" s="70" t="str">
        <f t="shared" si="137"/>
        <v/>
      </c>
    </row>
    <row r="8720" spans="3:3" ht="15" customHeight="1">
      <c r="C8720" s="70" t="str">
        <f t="shared" si="137"/>
        <v/>
      </c>
    </row>
    <row r="8721" spans="3:3" ht="15" customHeight="1">
      <c r="C8721" s="70" t="str">
        <f t="shared" ref="C8721:C8784" si="138">IF(B8721&lt;&gt;"",TEXT(WEEKDAY(B8721),"dddd"),"")</f>
        <v/>
      </c>
    </row>
    <row r="8722" spans="3:3" ht="15" customHeight="1">
      <c r="C8722" s="70" t="str">
        <f t="shared" si="138"/>
        <v/>
      </c>
    </row>
    <row r="8723" spans="3:3" ht="15" customHeight="1">
      <c r="C8723" s="70" t="str">
        <f t="shared" si="138"/>
        <v/>
      </c>
    </row>
    <row r="8724" spans="3:3" ht="15" customHeight="1">
      <c r="C8724" s="70" t="str">
        <f t="shared" si="138"/>
        <v/>
      </c>
    </row>
    <row r="8725" spans="3:3" ht="15" customHeight="1">
      <c r="C8725" s="70" t="str">
        <f t="shared" si="138"/>
        <v/>
      </c>
    </row>
    <row r="8726" spans="3:3" ht="15" customHeight="1">
      <c r="C8726" s="70" t="str">
        <f t="shared" si="138"/>
        <v/>
      </c>
    </row>
    <row r="8727" spans="3:3" ht="15" customHeight="1">
      <c r="C8727" s="70" t="str">
        <f t="shared" si="138"/>
        <v/>
      </c>
    </row>
    <row r="8728" spans="3:3" ht="15" customHeight="1">
      <c r="C8728" s="70" t="str">
        <f t="shared" si="138"/>
        <v/>
      </c>
    </row>
    <row r="8729" spans="3:3" ht="15" customHeight="1">
      <c r="C8729" s="70" t="str">
        <f t="shared" si="138"/>
        <v/>
      </c>
    </row>
    <row r="8730" spans="3:3" ht="15" customHeight="1">
      <c r="C8730" s="70" t="str">
        <f t="shared" si="138"/>
        <v/>
      </c>
    </row>
    <row r="8731" spans="3:3" ht="15" customHeight="1">
      <c r="C8731" s="70" t="str">
        <f t="shared" si="138"/>
        <v/>
      </c>
    </row>
    <row r="8732" spans="3:3" ht="15" customHeight="1">
      <c r="C8732" s="70" t="str">
        <f t="shared" si="138"/>
        <v/>
      </c>
    </row>
    <row r="8733" spans="3:3" ht="15" customHeight="1">
      <c r="C8733" s="70" t="str">
        <f t="shared" si="138"/>
        <v/>
      </c>
    </row>
    <row r="8734" spans="3:3" ht="15" customHeight="1">
      <c r="C8734" s="70" t="str">
        <f t="shared" si="138"/>
        <v/>
      </c>
    </row>
    <row r="8735" spans="3:3" ht="15" customHeight="1">
      <c r="C8735" s="70" t="str">
        <f t="shared" si="138"/>
        <v/>
      </c>
    </row>
    <row r="8736" spans="3:3" ht="15" customHeight="1">
      <c r="C8736" s="70" t="str">
        <f t="shared" si="138"/>
        <v/>
      </c>
    </row>
    <row r="8737" spans="3:3" ht="15" customHeight="1">
      <c r="C8737" s="70" t="str">
        <f t="shared" si="138"/>
        <v/>
      </c>
    </row>
    <row r="8738" spans="3:3" ht="15" customHeight="1">
      <c r="C8738" s="70" t="str">
        <f t="shared" si="138"/>
        <v/>
      </c>
    </row>
    <row r="8739" spans="3:3" ht="15" customHeight="1">
      <c r="C8739" s="70" t="str">
        <f t="shared" si="138"/>
        <v/>
      </c>
    </row>
    <row r="8740" spans="3:3" ht="15" customHeight="1">
      <c r="C8740" s="70" t="str">
        <f t="shared" si="138"/>
        <v/>
      </c>
    </row>
    <row r="8741" spans="3:3" ht="15" customHeight="1">
      <c r="C8741" s="70" t="str">
        <f t="shared" si="138"/>
        <v/>
      </c>
    </row>
    <row r="8742" spans="3:3" ht="15" customHeight="1">
      <c r="C8742" s="70" t="str">
        <f t="shared" si="138"/>
        <v/>
      </c>
    </row>
    <row r="8743" spans="3:3" ht="15" customHeight="1">
      <c r="C8743" s="70" t="str">
        <f t="shared" si="138"/>
        <v/>
      </c>
    </row>
    <row r="8744" spans="3:3" ht="15" customHeight="1">
      <c r="C8744" s="70" t="str">
        <f t="shared" si="138"/>
        <v/>
      </c>
    </row>
    <row r="8745" spans="3:3" ht="15" customHeight="1">
      <c r="C8745" s="70" t="str">
        <f t="shared" si="138"/>
        <v/>
      </c>
    </row>
    <row r="8746" spans="3:3" ht="15" customHeight="1">
      <c r="C8746" s="70" t="str">
        <f t="shared" si="138"/>
        <v/>
      </c>
    </row>
    <row r="8747" spans="3:3" ht="15" customHeight="1">
      <c r="C8747" s="70" t="str">
        <f t="shared" si="138"/>
        <v/>
      </c>
    </row>
    <row r="8748" spans="3:3" ht="15" customHeight="1">
      <c r="C8748" s="70" t="str">
        <f t="shared" si="138"/>
        <v/>
      </c>
    </row>
    <row r="8749" spans="3:3" ht="15" customHeight="1">
      <c r="C8749" s="70" t="str">
        <f t="shared" si="138"/>
        <v/>
      </c>
    </row>
    <row r="8750" spans="3:3" ht="15" customHeight="1">
      <c r="C8750" s="70" t="str">
        <f t="shared" si="138"/>
        <v/>
      </c>
    </row>
    <row r="8751" spans="3:3" ht="15" customHeight="1">
      <c r="C8751" s="70" t="str">
        <f t="shared" si="138"/>
        <v/>
      </c>
    </row>
    <row r="8752" spans="3:3" ht="15" customHeight="1">
      <c r="C8752" s="70" t="str">
        <f t="shared" si="138"/>
        <v/>
      </c>
    </row>
    <row r="8753" spans="3:3" ht="15" customHeight="1">
      <c r="C8753" s="70" t="str">
        <f t="shared" si="138"/>
        <v/>
      </c>
    </row>
    <row r="8754" spans="3:3" ht="15" customHeight="1">
      <c r="C8754" s="70" t="str">
        <f t="shared" si="138"/>
        <v/>
      </c>
    </row>
    <row r="8755" spans="3:3" ht="15" customHeight="1">
      <c r="C8755" s="70" t="str">
        <f t="shared" si="138"/>
        <v/>
      </c>
    </row>
    <row r="8756" spans="3:3" ht="15" customHeight="1">
      <c r="C8756" s="70" t="str">
        <f t="shared" si="138"/>
        <v/>
      </c>
    </row>
    <row r="8757" spans="3:3" ht="15" customHeight="1">
      <c r="C8757" s="70" t="str">
        <f t="shared" si="138"/>
        <v/>
      </c>
    </row>
    <row r="8758" spans="3:3" ht="15" customHeight="1">
      <c r="C8758" s="70" t="str">
        <f t="shared" si="138"/>
        <v/>
      </c>
    </row>
    <row r="8759" spans="3:3" ht="15" customHeight="1">
      <c r="C8759" s="70" t="str">
        <f t="shared" si="138"/>
        <v/>
      </c>
    </row>
    <row r="8760" spans="3:3" ht="15" customHeight="1">
      <c r="C8760" s="70" t="str">
        <f t="shared" si="138"/>
        <v/>
      </c>
    </row>
    <row r="8761" spans="3:3" ht="15" customHeight="1">
      <c r="C8761" s="70" t="str">
        <f t="shared" si="138"/>
        <v/>
      </c>
    </row>
    <row r="8762" spans="3:3" ht="15" customHeight="1">
      <c r="C8762" s="70" t="str">
        <f t="shared" si="138"/>
        <v/>
      </c>
    </row>
    <row r="8763" spans="3:3" ht="15" customHeight="1">
      <c r="C8763" s="70" t="str">
        <f t="shared" si="138"/>
        <v/>
      </c>
    </row>
    <row r="8764" spans="3:3" ht="15" customHeight="1">
      <c r="C8764" s="70" t="str">
        <f t="shared" si="138"/>
        <v/>
      </c>
    </row>
    <row r="8765" spans="3:3" ht="15" customHeight="1">
      <c r="C8765" s="70" t="str">
        <f t="shared" si="138"/>
        <v/>
      </c>
    </row>
    <row r="8766" spans="3:3" ht="15" customHeight="1">
      <c r="C8766" s="70" t="str">
        <f t="shared" si="138"/>
        <v/>
      </c>
    </row>
    <row r="8767" spans="3:3" ht="15" customHeight="1">
      <c r="C8767" s="70" t="str">
        <f t="shared" si="138"/>
        <v/>
      </c>
    </row>
    <row r="8768" spans="3:3" ht="15" customHeight="1">
      <c r="C8768" s="70" t="str">
        <f t="shared" si="138"/>
        <v/>
      </c>
    </row>
    <row r="8769" spans="3:3" ht="15" customHeight="1">
      <c r="C8769" s="70" t="str">
        <f t="shared" si="138"/>
        <v/>
      </c>
    </row>
    <row r="8770" spans="3:3" ht="15" customHeight="1">
      <c r="C8770" s="70" t="str">
        <f t="shared" si="138"/>
        <v/>
      </c>
    </row>
    <row r="8771" spans="3:3" ht="15" customHeight="1">
      <c r="C8771" s="70" t="str">
        <f t="shared" si="138"/>
        <v/>
      </c>
    </row>
    <row r="8772" spans="3:3" ht="15" customHeight="1">
      <c r="C8772" s="70" t="str">
        <f t="shared" si="138"/>
        <v/>
      </c>
    </row>
    <row r="8773" spans="3:3" ht="15" customHeight="1">
      <c r="C8773" s="70" t="str">
        <f t="shared" si="138"/>
        <v/>
      </c>
    </row>
    <row r="8774" spans="3:3" ht="15" customHeight="1">
      <c r="C8774" s="70" t="str">
        <f t="shared" si="138"/>
        <v/>
      </c>
    </row>
    <row r="8775" spans="3:3" ht="15" customHeight="1">
      <c r="C8775" s="70" t="str">
        <f t="shared" si="138"/>
        <v/>
      </c>
    </row>
    <row r="8776" spans="3:3" ht="15" customHeight="1">
      <c r="C8776" s="70" t="str">
        <f t="shared" si="138"/>
        <v/>
      </c>
    </row>
    <row r="8777" spans="3:3" ht="15" customHeight="1">
      <c r="C8777" s="70" t="str">
        <f t="shared" si="138"/>
        <v/>
      </c>
    </row>
    <row r="8778" spans="3:3" ht="15" customHeight="1">
      <c r="C8778" s="70" t="str">
        <f t="shared" si="138"/>
        <v/>
      </c>
    </row>
    <row r="8779" spans="3:3" ht="15" customHeight="1">
      <c r="C8779" s="70" t="str">
        <f t="shared" si="138"/>
        <v/>
      </c>
    </row>
    <row r="8780" spans="3:3" ht="15" customHeight="1">
      <c r="C8780" s="70" t="str">
        <f t="shared" si="138"/>
        <v/>
      </c>
    </row>
    <row r="8781" spans="3:3" ht="15" customHeight="1">
      <c r="C8781" s="70" t="str">
        <f t="shared" si="138"/>
        <v/>
      </c>
    </row>
    <row r="8782" spans="3:3" ht="15" customHeight="1">
      <c r="C8782" s="70" t="str">
        <f t="shared" si="138"/>
        <v/>
      </c>
    </row>
    <row r="8783" spans="3:3" ht="15" customHeight="1">
      <c r="C8783" s="70" t="str">
        <f t="shared" si="138"/>
        <v/>
      </c>
    </row>
    <row r="8784" spans="3:3" ht="15" customHeight="1">
      <c r="C8784" s="70" t="str">
        <f t="shared" si="138"/>
        <v/>
      </c>
    </row>
    <row r="8785" spans="3:3" ht="15" customHeight="1">
      <c r="C8785" s="70" t="str">
        <f t="shared" ref="C8785:C8848" si="139">IF(B8785&lt;&gt;"",TEXT(WEEKDAY(B8785),"dddd"),"")</f>
        <v/>
      </c>
    </row>
    <row r="8786" spans="3:3" ht="15" customHeight="1">
      <c r="C8786" s="70" t="str">
        <f t="shared" si="139"/>
        <v/>
      </c>
    </row>
    <row r="8787" spans="3:3" ht="15" customHeight="1">
      <c r="C8787" s="70" t="str">
        <f t="shared" si="139"/>
        <v/>
      </c>
    </row>
    <row r="8788" spans="3:3" ht="15" customHeight="1">
      <c r="C8788" s="70" t="str">
        <f t="shared" si="139"/>
        <v/>
      </c>
    </row>
    <row r="8789" spans="3:3" ht="15" customHeight="1">
      <c r="C8789" s="70" t="str">
        <f t="shared" si="139"/>
        <v/>
      </c>
    </row>
    <row r="8790" spans="3:3" ht="15" customHeight="1">
      <c r="C8790" s="70" t="str">
        <f t="shared" si="139"/>
        <v/>
      </c>
    </row>
    <row r="8791" spans="3:3" ht="15" customHeight="1">
      <c r="C8791" s="70" t="str">
        <f t="shared" si="139"/>
        <v/>
      </c>
    </row>
    <row r="8792" spans="3:3" ht="15" customHeight="1">
      <c r="C8792" s="70" t="str">
        <f t="shared" si="139"/>
        <v/>
      </c>
    </row>
    <row r="8793" spans="3:3" ht="15" customHeight="1">
      <c r="C8793" s="70" t="str">
        <f t="shared" si="139"/>
        <v/>
      </c>
    </row>
    <row r="8794" spans="3:3" ht="15" customHeight="1">
      <c r="C8794" s="70" t="str">
        <f t="shared" si="139"/>
        <v/>
      </c>
    </row>
    <row r="8795" spans="3:3" ht="15" customHeight="1">
      <c r="C8795" s="70" t="str">
        <f t="shared" si="139"/>
        <v/>
      </c>
    </row>
    <row r="8796" spans="3:3" ht="15" customHeight="1">
      <c r="C8796" s="70" t="str">
        <f t="shared" si="139"/>
        <v/>
      </c>
    </row>
    <row r="8797" spans="3:3" ht="15" customHeight="1">
      <c r="C8797" s="70" t="str">
        <f t="shared" si="139"/>
        <v/>
      </c>
    </row>
    <row r="8798" spans="3:3" ht="15" customHeight="1">
      <c r="C8798" s="70" t="str">
        <f t="shared" si="139"/>
        <v/>
      </c>
    </row>
    <row r="8799" spans="3:3" ht="15" customHeight="1">
      <c r="C8799" s="70" t="str">
        <f t="shared" si="139"/>
        <v/>
      </c>
    </row>
    <row r="8800" spans="3:3" ht="15" customHeight="1">
      <c r="C8800" s="70" t="str">
        <f t="shared" si="139"/>
        <v/>
      </c>
    </row>
    <row r="8801" spans="3:3" ht="15" customHeight="1">
      <c r="C8801" s="70" t="str">
        <f t="shared" si="139"/>
        <v/>
      </c>
    </row>
    <row r="8802" spans="3:3" ht="15" customHeight="1">
      <c r="C8802" s="70" t="str">
        <f t="shared" si="139"/>
        <v/>
      </c>
    </row>
    <row r="8803" spans="3:3" ht="15" customHeight="1">
      <c r="C8803" s="70" t="str">
        <f t="shared" si="139"/>
        <v/>
      </c>
    </row>
    <row r="8804" spans="3:3" ht="15" customHeight="1">
      <c r="C8804" s="70" t="str">
        <f t="shared" si="139"/>
        <v/>
      </c>
    </row>
    <row r="8805" spans="3:3" ht="15" customHeight="1">
      <c r="C8805" s="70" t="str">
        <f t="shared" si="139"/>
        <v/>
      </c>
    </row>
    <row r="8806" spans="3:3" ht="15" customHeight="1">
      <c r="C8806" s="70" t="str">
        <f t="shared" si="139"/>
        <v/>
      </c>
    </row>
    <row r="8807" spans="3:3" ht="15" customHeight="1">
      <c r="C8807" s="70" t="str">
        <f t="shared" si="139"/>
        <v/>
      </c>
    </row>
    <row r="8808" spans="3:3" ht="15" customHeight="1">
      <c r="C8808" s="70" t="str">
        <f t="shared" si="139"/>
        <v/>
      </c>
    </row>
    <row r="8809" spans="3:3" ht="15" customHeight="1">
      <c r="C8809" s="70" t="str">
        <f t="shared" si="139"/>
        <v/>
      </c>
    </row>
    <row r="8810" spans="3:3" ht="15" customHeight="1">
      <c r="C8810" s="70" t="str">
        <f t="shared" si="139"/>
        <v/>
      </c>
    </row>
    <row r="8811" spans="3:3" ht="15" customHeight="1">
      <c r="C8811" s="70" t="str">
        <f t="shared" si="139"/>
        <v/>
      </c>
    </row>
    <row r="8812" spans="3:3" ht="15" customHeight="1">
      <c r="C8812" s="70" t="str">
        <f t="shared" si="139"/>
        <v/>
      </c>
    </row>
    <row r="8813" spans="3:3" ht="15" customHeight="1">
      <c r="C8813" s="70" t="str">
        <f t="shared" si="139"/>
        <v/>
      </c>
    </row>
    <row r="8814" spans="3:3" ht="15" customHeight="1">
      <c r="C8814" s="70" t="str">
        <f t="shared" si="139"/>
        <v/>
      </c>
    </row>
    <row r="8815" spans="3:3" ht="15" customHeight="1">
      <c r="C8815" s="70" t="str">
        <f t="shared" si="139"/>
        <v/>
      </c>
    </row>
    <row r="8816" spans="3:3" ht="15" customHeight="1">
      <c r="C8816" s="70" t="str">
        <f t="shared" si="139"/>
        <v/>
      </c>
    </row>
    <row r="8817" spans="3:3" ht="15" customHeight="1">
      <c r="C8817" s="70" t="str">
        <f t="shared" si="139"/>
        <v/>
      </c>
    </row>
    <row r="8818" spans="3:3" ht="15" customHeight="1">
      <c r="C8818" s="70" t="str">
        <f t="shared" si="139"/>
        <v/>
      </c>
    </row>
    <row r="8819" spans="3:3" ht="15" customHeight="1">
      <c r="C8819" s="70" t="str">
        <f t="shared" si="139"/>
        <v/>
      </c>
    </row>
    <row r="8820" spans="3:3" ht="15" customHeight="1">
      <c r="C8820" s="70" t="str">
        <f t="shared" si="139"/>
        <v/>
      </c>
    </row>
    <row r="8821" spans="3:3" ht="15" customHeight="1">
      <c r="C8821" s="70" t="str">
        <f t="shared" si="139"/>
        <v/>
      </c>
    </row>
    <row r="8822" spans="3:3" ht="15" customHeight="1">
      <c r="C8822" s="70" t="str">
        <f t="shared" si="139"/>
        <v/>
      </c>
    </row>
    <row r="8823" spans="3:3" ht="15" customHeight="1">
      <c r="C8823" s="70" t="str">
        <f t="shared" si="139"/>
        <v/>
      </c>
    </row>
    <row r="8824" spans="3:3" ht="15" customHeight="1">
      <c r="C8824" s="70" t="str">
        <f t="shared" si="139"/>
        <v/>
      </c>
    </row>
    <row r="8825" spans="3:3" ht="15" customHeight="1">
      <c r="C8825" s="70" t="str">
        <f t="shared" si="139"/>
        <v/>
      </c>
    </row>
    <row r="8826" spans="3:3" ht="15" customHeight="1">
      <c r="C8826" s="70" t="str">
        <f t="shared" si="139"/>
        <v/>
      </c>
    </row>
    <row r="8827" spans="3:3" ht="15" customHeight="1">
      <c r="C8827" s="70" t="str">
        <f t="shared" si="139"/>
        <v/>
      </c>
    </row>
    <row r="8828" spans="3:3" ht="15" customHeight="1">
      <c r="C8828" s="70" t="str">
        <f t="shared" si="139"/>
        <v/>
      </c>
    </row>
    <row r="8829" spans="3:3" ht="15" customHeight="1">
      <c r="C8829" s="70" t="str">
        <f t="shared" si="139"/>
        <v/>
      </c>
    </row>
    <row r="8830" spans="3:3" ht="15" customHeight="1">
      <c r="C8830" s="70" t="str">
        <f t="shared" si="139"/>
        <v/>
      </c>
    </row>
    <row r="8831" spans="3:3" ht="15" customHeight="1">
      <c r="C8831" s="70" t="str">
        <f t="shared" si="139"/>
        <v/>
      </c>
    </row>
    <row r="8832" spans="3:3" ht="15" customHeight="1">
      <c r="C8832" s="70" t="str">
        <f t="shared" si="139"/>
        <v/>
      </c>
    </row>
    <row r="8833" spans="3:3" ht="15" customHeight="1">
      <c r="C8833" s="70" t="str">
        <f t="shared" si="139"/>
        <v/>
      </c>
    </row>
    <row r="8834" spans="3:3" ht="15" customHeight="1">
      <c r="C8834" s="70" t="str">
        <f t="shared" si="139"/>
        <v/>
      </c>
    </row>
    <row r="8835" spans="3:3" ht="15" customHeight="1">
      <c r="C8835" s="70" t="str">
        <f t="shared" si="139"/>
        <v/>
      </c>
    </row>
    <row r="8836" spans="3:3" ht="15" customHeight="1">
      <c r="C8836" s="70" t="str">
        <f t="shared" si="139"/>
        <v/>
      </c>
    </row>
    <row r="8837" spans="3:3" ht="15" customHeight="1">
      <c r="C8837" s="70" t="str">
        <f t="shared" si="139"/>
        <v/>
      </c>
    </row>
    <row r="8838" spans="3:3" ht="15" customHeight="1">
      <c r="C8838" s="70" t="str">
        <f t="shared" si="139"/>
        <v/>
      </c>
    </row>
    <row r="8839" spans="3:3" ht="15" customHeight="1">
      <c r="C8839" s="70" t="str">
        <f t="shared" si="139"/>
        <v/>
      </c>
    </row>
    <row r="8840" spans="3:3" ht="15" customHeight="1">
      <c r="C8840" s="70" t="str">
        <f t="shared" si="139"/>
        <v/>
      </c>
    </row>
    <row r="8841" spans="3:3" ht="15" customHeight="1">
      <c r="C8841" s="70" t="str">
        <f t="shared" si="139"/>
        <v/>
      </c>
    </row>
    <row r="8842" spans="3:3" ht="15" customHeight="1">
      <c r="C8842" s="70" t="str">
        <f t="shared" si="139"/>
        <v/>
      </c>
    </row>
    <row r="8843" spans="3:3" ht="15" customHeight="1">
      <c r="C8843" s="70" t="str">
        <f t="shared" si="139"/>
        <v/>
      </c>
    </row>
    <row r="8844" spans="3:3" ht="15" customHeight="1">
      <c r="C8844" s="70" t="str">
        <f t="shared" si="139"/>
        <v/>
      </c>
    </row>
    <row r="8845" spans="3:3" ht="15" customHeight="1">
      <c r="C8845" s="70" t="str">
        <f t="shared" si="139"/>
        <v/>
      </c>
    </row>
    <row r="8846" spans="3:3" ht="15" customHeight="1">
      <c r="C8846" s="70" t="str">
        <f t="shared" si="139"/>
        <v/>
      </c>
    </row>
    <row r="8847" spans="3:3" ht="15" customHeight="1">
      <c r="C8847" s="70" t="str">
        <f t="shared" si="139"/>
        <v/>
      </c>
    </row>
    <row r="8848" spans="3:3" ht="15" customHeight="1">
      <c r="C8848" s="70" t="str">
        <f t="shared" si="139"/>
        <v/>
      </c>
    </row>
    <row r="8849" spans="3:3" ht="15" customHeight="1">
      <c r="C8849" s="70" t="str">
        <f t="shared" ref="C8849:C8912" si="140">IF(B8849&lt;&gt;"",TEXT(WEEKDAY(B8849),"dddd"),"")</f>
        <v/>
      </c>
    </row>
    <row r="8850" spans="3:3" ht="15" customHeight="1">
      <c r="C8850" s="70" t="str">
        <f t="shared" si="140"/>
        <v/>
      </c>
    </row>
    <row r="8851" spans="3:3" ht="15" customHeight="1">
      <c r="C8851" s="70" t="str">
        <f t="shared" si="140"/>
        <v/>
      </c>
    </row>
    <row r="8852" spans="3:3" ht="15" customHeight="1">
      <c r="C8852" s="70" t="str">
        <f t="shared" si="140"/>
        <v/>
      </c>
    </row>
    <row r="8853" spans="3:3" ht="15" customHeight="1">
      <c r="C8853" s="70" t="str">
        <f t="shared" si="140"/>
        <v/>
      </c>
    </row>
    <row r="8854" spans="3:3" ht="15" customHeight="1">
      <c r="C8854" s="70" t="str">
        <f t="shared" si="140"/>
        <v/>
      </c>
    </row>
    <row r="8855" spans="3:3" ht="15" customHeight="1">
      <c r="C8855" s="70" t="str">
        <f t="shared" si="140"/>
        <v/>
      </c>
    </row>
    <row r="8856" spans="3:3" ht="15" customHeight="1">
      <c r="C8856" s="70" t="str">
        <f t="shared" si="140"/>
        <v/>
      </c>
    </row>
    <row r="8857" spans="3:3" ht="15" customHeight="1">
      <c r="C8857" s="70" t="str">
        <f t="shared" si="140"/>
        <v/>
      </c>
    </row>
    <row r="8858" spans="3:3" ht="15" customHeight="1">
      <c r="C8858" s="70" t="str">
        <f t="shared" si="140"/>
        <v/>
      </c>
    </row>
    <row r="8859" spans="3:3" ht="15" customHeight="1">
      <c r="C8859" s="70" t="str">
        <f t="shared" si="140"/>
        <v/>
      </c>
    </row>
    <row r="8860" spans="3:3" ht="15" customHeight="1">
      <c r="C8860" s="70" t="str">
        <f t="shared" si="140"/>
        <v/>
      </c>
    </row>
    <row r="8861" spans="3:3" ht="15" customHeight="1">
      <c r="C8861" s="70" t="str">
        <f t="shared" si="140"/>
        <v/>
      </c>
    </row>
    <row r="8862" spans="3:3" ht="15" customHeight="1">
      <c r="C8862" s="70" t="str">
        <f t="shared" si="140"/>
        <v/>
      </c>
    </row>
    <row r="8863" spans="3:3" ht="15" customHeight="1">
      <c r="C8863" s="70" t="str">
        <f t="shared" si="140"/>
        <v/>
      </c>
    </row>
    <row r="8864" spans="3:3" ht="15" customHeight="1">
      <c r="C8864" s="70" t="str">
        <f t="shared" si="140"/>
        <v/>
      </c>
    </row>
    <row r="8865" spans="3:3" ht="15" customHeight="1">
      <c r="C8865" s="70" t="str">
        <f t="shared" si="140"/>
        <v/>
      </c>
    </row>
    <row r="8866" spans="3:3" ht="15" customHeight="1">
      <c r="C8866" s="70" t="str">
        <f t="shared" si="140"/>
        <v/>
      </c>
    </row>
    <row r="8867" spans="3:3" ht="15" customHeight="1">
      <c r="C8867" s="70" t="str">
        <f t="shared" si="140"/>
        <v/>
      </c>
    </row>
    <row r="8868" spans="3:3" ht="15" customHeight="1">
      <c r="C8868" s="70" t="str">
        <f t="shared" si="140"/>
        <v/>
      </c>
    </row>
    <row r="8869" spans="3:3" ht="15" customHeight="1">
      <c r="C8869" s="70" t="str">
        <f t="shared" si="140"/>
        <v/>
      </c>
    </row>
    <row r="8870" spans="3:3" ht="15" customHeight="1">
      <c r="C8870" s="70" t="str">
        <f t="shared" si="140"/>
        <v/>
      </c>
    </row>
    <row r="8871" spans="3:3" ht="15" customHeight="1">
      <c r="C8871" s="70" t="str">
        <f t="shared" si="140"/>
        <v/>
      </c>
    </row>
    <row r="8872" spans="3:3" ht="15" customHeight="1">
      <c r="C8872" s="70" t="str">
        <f t="shared" si="140"/>
        <v/>
      </c>
    </row>
    <row r="8873" spans="3:3" ht="15" customHeight="1">
      <c r="C8873" s="70" t="str">
        <f t="shared" si="140"/>
        <v/>
      </c>
    </row>
    <row r="8874" spans="3:3" ht="15" customHeight="1">
      <c r="C8874" s="70" t="str">
        <f t="shared" si="140"/>
        <v/>
      </c>
    </row>
    <row r="8875" spans="3:3" ht="15" customHeight="1">
      <c r="C8875" s="70" t="str">
        <f t="shared" si="140"/>
        <v/>
      </c>
    </row>
    <row r="8876" spans="3:3" ht="15" customHeight="1">
      <c r="C8876" s="70" t="str">
        <f t="shared" si="140"/>
        <v/>
      </c>
    </row>
    <row r="8877" spans="3:3" ht="15" customHeight="1">
      <c r="C8877" s="70" t="str">
        <f t="shared" si="140"/>
        <v/>
      </c>
    </row>
    <row r="8878" spans="3:3" ht="15" customHeight="1">
      <c r="C8878" s="70" t="str">
        <f t="shared" si="140"/>
        <v/>
      </c>
    </row>
    <row r="8879" spans="3:3" ht="15" customHeight="1">
      <c r="C8879" s="70" t="str">
        <f t="shared" si="140"/>
        <v/>
      </c>
    </row>
    <row r="8880" spans="3:3" ht="15" customHeight="1">
      <c r="C8880" s="70" t="str">
        <f t="shared" si="140"/>
        <v/>
      </c>
    </row>
    <row r="8881" spans="3:3" ht="15" customHeight="1">
      <c r="C8881" s="70" t="str">
        <f t="shared" si="140"/>
        <v/>
      </c>
    </row>
    <row r="8882" spans="3:3" ht="15" customHeight="1">
      <c r="C8882" s="70" t="str">
        <f t="shared" si="140"/>
        <v/>
      </c>
    </row>
    <row r="8883" spans="3:3" ht="15" customHeight="1">
      <c r="C8883" s="70" t="str">
        <f t="shared" si="140"/>
        <v/>
      </c>
    </row>
    <row r="8884" spans="3:3" ht="15" customHeight="1">
      <c r="C8884" s="70" t="str">
        <f t="shared" si="140"/>
        <v/>
      </c>
    </row>
    <row r="8885" spans="3:3" ht="15" customHeight="1">
      <c r="C8885" s="70" t="str">
        <f t="shared" si="140"/>
        <v/>
      </c>
    </row>
    <row r="8886" spans="3:3" ht="15" customHeight="1">
      <c r="C8886" s="70" t="str">
        <f t="shared" si="140"/>
        <v/>
      </c>
    </row>
    <row r="8887" spans="3:3" ht="15" customHeight="1">
      <c r="C8887" s="70" t="str">
        <f t="shared" si="140"/>
        <v/>
      </c>
    </row>
    <row r="8888" spans="3:3" ht="15" customHeight="1">
      <c r="C8888" s="70" t="str">
        <f t="shared" si="140"/>
        <v/>
      </c>
    </row>
    <row r="8889" spans="3:3" ht="15" customHeight="1">
      <c r="C8889" s="70" t="str">
        <f t="shared" si="140"/>
        <v/>
      </c>
    </row>
    <row r="8890" spans="3:3" ht="15" customHeight="1">
      <c r="C8890" s="70" t="str">
        <f t="shared" si="140"/>
        <v/>
      </c>
    </row>
    <row r="8891" spans="3:3" ht="15" customHeight="1">
      <c r="C8891" s="70" t="str">
        <f t="shared" si="140"/>
        <v/>
      </c>
    </row>
    <row r="8892" spans="3:3" ht="15" customHeight="1">
      <c r="C8892" s="70" t="str">
        <f t="shared" si="140"/>
        <v/>
      </c>
    </row>
    <row r="8893" spans="3:3" ht="15" customHeight="1">
      <c r="C8893" s="70" t="str">
        <f t="shared" si="140"/>
        <v/>
      </c>
    </row>
    <row r="8894" spans="3:3" ht="15" customHeight="1">
      <c r="C8894" s="70" t="str">
        <f t="shared" si="140"/>
        <v/>
      </c>
    </row>
    <row r="8895" spans="3:3" ht="15" customHeight="1">
      <c r="C8895" s="70" t="str">
        <f t="shared" si="140"/>
        <v/>
      </c>
    </row>
    <row r="8896" spans="3:3" ht="15" customHeight="1">
      <c r="C8896" s="70" t="str">
        <f t="shared" si="140"/>
        <v/>
      </c>
    </row>
    <row r="8897" spans="3:3" ht="15" customHeight="1">
      <c r="C8897" s="70" t="str">
        <f t="shared" si="140"/>
        <v/>
      </c>
    </row>
    <row r="8898" spans="3:3" ht="15" customHeight="1">
      <c r="C8898" s="70" t="str">
        <f t="shared" si="140"/>
        <v/>
      </c>
    </row>
    <row r="8899" spans="3:3" ht="15" customHeight="1">
      <c r="C8899" s="70" t="str">
        <f t="shared" si="140"/>
        <v/>
      </c>
    </row>
    <row r="8900" spans="3:3" ht="15" customHeight="1">
      <c r="C8900" s="70" t="str">
        <f t="shared" si="140"/>
        <v/>
      </c>
    </row>
    <row r="8901" spans="3:3" ht="15" customHeight="1">
      <c r="C8901" s="70" t="str">
        <f t="shared" si="140"/>
        <v/>
      </c>
    </row>
    <row r="8902" spans="3:3" ht="15" customHeight="1">
      <c r="C8902" s="70" t="str">
        <f t="shared" si="140"/>
        <v/>
      </c>
    </row>
    <row r="8903" spans="3:3" ht="15" customHeight="1">
      <c r="C8903" s="70" t="str">
        <f t="shared" si="140"/>
        <v/>
      </c>
    </row>
    <row r="8904" spans="3:3" ht="15" customHeight="1">
      <c r="C8904" s="70" t="str">
        <f t="shared" si="140"/>
        <v/>
      </c>
    </row>
    <row r="8905" spans="3:3" ht="15" customHeight="1">
      <c r="C8905" s="70" t="str">
        <f t="shared" si="140"/>
        <v/>
      </c>
    </row>
    <row r="8906" spans="3:3" ht="15" customHeight="1">
      <c r="C8906" s="70" t="str">
        <f t="shared" si="140"/>
        <v/>
      </c>
    </row>
    <row r="8907" spans="3:3" ht="15" customHeight="1">
      <c r="C8907" s="70" t="str">
        <f t="shared" si="140"/>
        <v/>
      </c>
    </row>
    <row r="8908" spans="3:3" ht="15" customHeight="1">
      <c r="C8908" s="70" t="str">
        <f t="shared" si="140"/>
        <v/>
      </c>
    </row>
    <row r="8909" spans="3:3" ht="15" customHeight="1">
      <c r="C8909" s="70" t="str">
        <f t="shared" si="140"/>
        <v/>
      </c>
    </row>
    <row r="8910" spans="3:3" ht="15" customHeight="1">
      <c r="C8910" s="70" t="str">
        <f t="shared" si="140"/>
        <v/>
      </c>
    </row>
    <row r="8911" spans="3:3" ht="15" customHeight="1">
      <c r="C8911" s="70" t="str">
        <f t="shared" si="140"/>
        <v/>
      </c>
    </row>
    <row r="8912" spans="3:3" ht="15" customHeight="1">
      <c r="C8912" s="70" t="str">
        <f t="shared" si="140"/>
        <v/>
      </c>
    </row>
    <row r="8913" spans="3:3" ht="15" customHeight="1">
      <c r="C8913" s="70" t="str">
        <f t="shared" ref="C8913:C8976" si="141">IF(B8913&lt;&gt;"",TEXT(WEEKDAY(B8913),"dddd"),"")</f>
        <v/>
      </c>
    </row>
    <row r="8914" spans="3:3" ht="15" customHeight="1">
      <c r="C8914" s="70" t="str">
        <f t="shared" si="141"/>
        <v/>
      </c>
    </row>
    <row r="8915" spans="3:3" ht="15" customHeight="1">
      <c r="C8915" s="70" t="str">
        <f t="shared" si="141"/>
        <v/>
      </c>
    </row>
    <row r="8916" spans="3:3" ht="15" customHeight="1">
      <c r="C8916" s="70" t="str">
        <f t="shared" si="141"/>
        <v/>
      </c>
    </row>
    <row r="8917" spans="3:3" ht="15" customHeight="1">
      <c r="C8917" s="70" t="str">
        <f t="shared" si="141"/>
        <v/>
      </c>
    </row>
    <row r="8918" spans="3:3" ht="15" customHeight="1">
      <c r="C8918" s="70" t="str">
        <f t="shared" si="141"/>
        <v/>
      </c>
    </row>
    <row r="8919" spans="3:3" ht="15" customHeight="1">
      <c r="C8919" s="70" t="str">
        <f t="shared" si="141"/>
        <v/>
      </c>
    </row>
    <row r="8920" spans="3:3" ht="15" customHeight="1">
      <c r="C8920" s="70" t="str">
        <f t="shared" si="141"/>
        <v/>
      </c>
    </row>
    <row r="8921" spans="3:3" ht="15" customHeight="1">
      <c r="C8921" s="70" t="str">
        <f t="shared" si="141"/>
        <v/>
      </c>
    </row>
    <row r="8922" spans="3:3" ht="15" customHeight="1">
      <c r="C8922" s="70" t="str">
        <f t="shared" si="141"/>
        <v/>
      </c>
    </row>
    <row r="8923" spans="3:3" ht="15" customHeight="1">
      <c r="C8923" s="70" t="str">
        <f t="shared" si="141"/>
        <v/>
      </c>
    </row>
    <row r="8924" spans="3:3" ht="15" customHeight="1">
      <c r="C8924" s="70" t="str">
        <f t="shared" si="141"/>
        <v/>
      </c>
    </row>
    <row r="8925" spans="3:3" ht="15" customHeight="1">
      <c r="C8925" s="70" t="str">
        <f t="shared" si="141"/>
        <v/>
      </c>
    </row>
    <row r="8926" spans="3:3" ht="15" customHeight="1">
      <c r="C8926" s="70" t="str">
        <f t="shared" si="141"/>
        <v/>
      </c>
    </row>
    <row r="8927" spans="3:3" ht="15" customHeight="1">
      <c r="C8927" s="70" t="str">
        <f t="shared" si="141"/>
        <v/>
      </c>
    </row>
    <row r="8928" spans="3:3" ht="15" customHeight="1">
      <c r="C8928" s="70" t="str">
        <f t="shared" si="141"/>
        <v/>
      </c>
    </row>
    <row r="8929" spans="3:3" ht="15" customHeight="1">
      <c r="C8929" s="70" t="str">
        <f t="shared" si="141"/>
        <v/>
      </c>
    </row>
    <row r="8930" spans="3:3" ht="15" customHeight="1">
      <c r="C8930" s="70" t="str">
        <f t="shared" si="141"/>
        <v/>
      </c>
    </row>
    <row r="8931" spans="3:3" ht="15" customHeight="1">
      <c r="C8931" s="70" t="str">
        <f t="shared" si="141"/>
        <v/>
      </c>
    </row>
    <row r="8932" spans="3:3" ht="15" customHeight="1">
      <c r="C8932" s="70" t="str">
        <f t="shared" si="141"/>
        <v/>
      </c>
    </row>
    <row r="8933" spans="3:3" ht="15" customHeight="1">
      <c r="C8933" s="70" t="str">
        <f t="shared" si="141"/>
        <v/>
      </c>
    </row>
    <row r="8934" spans="3:3" ht="15" customHeight="1">
      <c r="C8934" s="70" t="str">
        <f t="shared" si="141"/>
        <v/>
      </c>
    </row>
    <row r="8935" spans="3:3" ht="15" customHeight="1">
      <c r="C8935" s="70" t="str">
        <f t="shared" si="141"/>
        <v/>
      </c>
    </row>
    <row r="8936" spans="3:3" ht="15" customHeight="1">
      <c r="C8936" s="70" t="str">
        <f t="shared" si="141"/>
        <v/>
      </c>
    </row>
    <row r="8937" spans="3:3" ht="15" customHeight="1">
      <c r="C8937" s="70" t="str">
        <f t="shared" si="141"/>
        <v/>
      </c>
    </row>
    <row r="8938" spans="3:3" ht="15" customHeight="1">
      <c r="C8938" s="70" t="str">
        <f t="shared" si="141"/>
        <v/>
      </c>
    </row>
    <row r="8939" spans="3:3" ht="15" customHeight="1">
      <c r="C8939" s="70" t="str">
        <f t="shared" si="141"/>
        <v/>
      </c>
    </row>
    <row r="8940" spans="3:3" ht="15" customHeight="1">
      <c r="C8940" s="70" t="str">
        <f t="shared" si="141"/>
        <v/>
      </c>
    </row>
    <row r="8941" spans="3:3" ht="15" customHeight="1">
      <c r="C8941" s="70" t="str">
        <f t="shared" si="141"/>
        <v/>
      </c>
    </row>
    <row r="8942" spans="3:3" ht="15" customHeight="1">
      <c r="C8942" s="70" t="str">
        <f t="shared" si="141"/>
        <v/>
      </c>
    </row>
    <row r="8943" spans="3:3" ht="15" customHeight="1">
      <c r="C8943" s="70" t="str">
        <f t="shared" si="141"/>
        <v/>
      </c>
    </row>
    <row r="8944" spans="3:3" ht="15" customHeight="1">
      <c r="C8944" s="70" t="str">
        <f t="shared" si="141"/>
        <v/>
      </c>
    </row>
    <row r="8945" spans="3:3" ht="15" customHeight="1">
      <c r="C8945" s="70" t="str">
        <f t="shared" si="141"/>
        <v/>
      </c>
    </row>
    <row r="8946" spans="3:3" ht="15" customHeight="1">
      <c r="C8946" s="70" t="str">
        <f t="shared" si="141"/>
        <v/>
      </c>
    </row>
    <row r="8947" spans="3:3" ht="15" customHeight="1">
      <c r="C8947" s="70" t="str">
        <f t="shared" si="141"/>
        <v/>
      </c>
    </row>
    <row r="8948" spans="3:3" ht="15" customHeight="1">
      <c r="C8948" s="70" t="str">
        <f t="shared" si="141"/>
        <v/>
      </c>
    </row>
    <row r="8949" spans="3:3" ht="15" customHeight="1">
      <c r="C8949" s="70" t="str">
        <f t="shared" si="141"/>
        <v/>
      </c>
    </row>
    <row r="8950" spans="3:3" ht="15" customHeight="1">
      <c r="C8950" s="70" t="str">
        <f t="shared" si="141"/>
        <v/>
      </c>
    </row>
    <row r="8951" spans="3:3" ht="15" customHeight="1">
      <c r="C8951" s="70" t="str">
        <f t="shared" si="141"/>
        <v/>
      </c>
    </row>
    <row r="8952" spans="3:3" ht="15" customHeight="1">
      <c r="C8952" s="70" t="str">
        <f t="shared" si="141"/>
        <v/>
      </c>
    </row>
    <row r="8953" spans="3:3" ht="15" customHeight="1">
      <c r="C8953" s="70" t="str">
        <f t="shared" si="141"/>
        <v/>
      </c>
    </row>
    <row r="8954" spans="3:3" ht="15" customHeight="1">
      <c r="C8954" s="70" t="str">
        <f t="shared" si="141"/>
        <v/>
      </c>
    </row>
    <row r="8955" spans="3:3" ht="15" customHeight="1">
      <c r="C8955" s="70" t="str">
        <f t="shared" si="141"/>
        <v/>
      </c>
    </row>
    <row r="8956" spans="3:3" ht="15" customHeight="1">
      <c r="C8956" s="70" t="str">
        <f t="shared" si="141"/>
        <v/>
      </c>
    </row>
    <row r="8957" spans="3:3" ht="15" customHeight="1">
      <c r="C8957" s="70" t="str">
        <f t="shared" si="141"/>
        <v/>
      </c>
    </row>
    <row r="8958" spans="3:3" ht="15" customHeight="1">
      <c r="C8958" s="70" t="str">
        <f t="shared" si="141"/>
        <v/>
      </c>
    </row>
    <row r="8959" spans="3:3" ht="15" customHeight="1">
      <c r="C8959" s="70" t="str">
        <f t="shared" si="141"/>
        <v/>
      </c>
    </row>
    <row r="8960" spans="3:3" ht="15" customHeight="1">
      <c r="C8960" s="70" t="str">
        <f t="shared" si="141"/>
        <v/>
      </c>
    </row>
    <row r="8961" spans="3:3" ht="15" customHeight="1">
      <c r="C8961" s="70" t="str">
        <f t="shared" si="141"/>
        <v/>
      </c>
    </row>
    <row r="8962" spans="3:3" ht="15" customHeight="1">
      <c r="C8962" s="70" t="str">
        <f t="shared" si="141"/>
        <v/>
      </c>
    </row>
    <row r="8963" spans="3:3" ht="15" customHeight="1">
      <c r="C8963" s="70" t="str">
        <f t="shared" si="141"/>
        <v/>
      </c>
    </row>
    <row r="8964" spans="3:3" ht="15" customHeight="1">
      <c r="C8964" s="70" t="str">
        <f t="shared" si="141"/>
        <v/>
      </c>
    </row>
    <row r="8965" spans="3:3" ht="15" customHeight="1">
      <c r="C8965" s="70" t="str">
        <f t="shared" si="141"/>
        <v/>
      </c>
    </row>
    <row r="8966" spans="3:3" ht="15" customHeight="1">
      <c r="C8966" s="70" t="str">
        <f t="shared" si="141"/>
        <v/>
      </c>
    </row>
    <row r="8967" spans="3:3" ht="15" customHeight="1">
      <c r="C8967" s="70" t="str">
        <f t="shared" si="141"/>
        <v/>
      </c>
    </row>
    <row r="8968" spans="3:3" ht="15" customHeight="1">
      <c r="C8968" s="70" t="str">
        <f t="shared" si="141"/>
        <v/>
      </c>
    </row>
    <row r="8969" spans="3:3" ht="15" customHeight="1">
      <c r="C8969" s="70" t="str">
        <f t="shared" si="141"/>
        <v/>
      </c>
    </row>
    <row r="8970" spans="3:3" ht="15" customHeight="1">
      <c r="C8970" s="70" t="str">
        <f t="shared" si="141"/>
        <v/>
      </c>
    </row>
    <row r="8971" spans="3:3" ht="15" customHeight="1">
      <c r="C8971" s="70" t="str">
        <f t="shared" si="141"/>
        <v/>
      </c>
    </row>
    <row r="8972" spans="3:3" ht="15" customHeight="1">
      <c r="C8972" s="70" t="str">
        <f t="shared" si="141"/>
        <v/>
      </c>
    </row>
    <row r="8973" spans="3:3" ht="15" customHeight="1">
      <c r="C8973" s="70" t="str">
        <f t="shared" si="141"/>
        <v/>
      </c>
    </row>
    <row r="8974" spans="3:3" ht="15" customHeight="1">
      <c r="C8974" s="70" t="str">
        <f t="shared" si="141"/>
        <v/>
      </c>
    </row>
    <row r="8975" spans="3:3" ht="15" customHeight="1">
      <c r="C8975" s="70" t="str">
        <f t="shared" si="141"/>
        <v/>
      </c>
    </row>
    <row r="8976" spans="3:3" ht="15" customHeight="1">
      <c r="C8976" s="70" t="str">
        <f t="shared" si="141"/>
        <v/>
      </c>
    </row>
    <row r="8977" spans="3:3" ht="15" customHeight="1">
      <c r="C8977" s="70" t="str">
        <f t="shared" ref="C8977:C9040" si="142">IF(B8977&lt;&gt;"",TEXT(WEEKDAY(B8977),"dddd"),"")</f>
        <v/>
      </c>
    </row>
    <row r="8978" spans="3:3" ht="15" customHeight="1">
      <c r="C8978" s="70" t="str">
        <f t="shared" si="142"/>
        <v/>
      </c>
    </row>
    <row r="8979" spans="3:3" ht="15" customHeight="1">
      <c r="C8979" s="70" t="str">
        <f t="shared" si="142"/>
        <v/>
      </c>
    </row>
    <row r="8980" spans="3:3" ht="15" customHeight="1">
      <c r="C8980" s="70" t="str">
        <f t="shared" si="142"/>
        <v/>
      </c>
    </row>
    <row r="8981" spans="3:3" ht="15" customHeight="1">
      <c r="C8981" s="70" t="str">
        <f t="shared" si="142"/>
        <v/>
      </c>
    </row>
    <row r="8982" spans="3:3" ht="15" customHeight="1">
      <c r="C8982" s="70" t="str">
        <f t="shared" si="142"/>
        <v/>
      </c>
    </row>
    <row r="8983" spans="3:3" ht="15" customHeight="1">
      <c r="C8983" s="70" t="str">
        <f t="shared" si="142"/>
        <v/>
      </c>
    </row>
    <row r="8984" spans="3:3" ht="15" customHeight="1">
      <c r="C8984" s="70" t="str">
        <f t="shared" si="142"/>
        <v/>
      </c>
    </row>
    <row r="8985" spans="3:3" ht="15" customHeight="1">
      <c r="C8985" s="70" t="str">
        <f t="shared" si="142"/>
        <v/>
      </c>
    </row>
    <row r="8986" spans="3:3" ht="15" customHeight="1">
      <c r="C8986" s="70" t="str">
        <f t="shared" si="142"/>
        <v/>
      </c>
    </row>
    <row r="8987" spans="3:3" ht="15" customHeight="1">
      <c r="C8987" s="70" t="str">
        <f t="shared" si="142"/>
        <v/>
      </c>
    </row>
    <row r="8988" spans="3:3" ht="15" customHeight="1">
      <c r="C8988" s="70" t="str">
        <f t="shared" si="142"/>
        <v/>
      </c>
    </row>
    <row r="8989" spans="3:3" ht="15" customHeight="1">
      <c r="C8989" s="70" t="str">
        <f t="shared" si="142"/>
        <v/>
      </c>
    </row>
    <row r="8990" spans="3:3" ht="15" customHeight="1">
      <c r="C8990" s="70" t="str">
        <f t="shared" si="142"/>
        <v/>
      </c>
    </row>
    <row r="8991" spans="3:3" ht="15" customHeight="1">
      <c r="C8991" s="70" t="str">
        <f t="shared" si="142"/>
        <v/>
      </c>
    </row>
    <row r="8992" spans="3:3" ht="15" customHeight="1">
      <c r="C8992" s="70" t="str">
        <f t="shared" si="142"/>
        <v/>
      </c>
    </row>
    <row r="8993" spans="3:3" ht="15" customHeight="1">
      <c r="C8993" s="70" t="str">
        <f t="shared" si="142"/>
        <v/>
      </c>
    </row>
    <row r="8994" spans="3:3" ht="15" customHeight="1">
      <c r="C8994" s="70" t="str">
        <f t="shared" si="142"/>
        <v/>
      </c>
    </row>
    <row r="8995" spans="3:3" ht="15" customHeight="1">
      <c r="C8995" s="70" t="str">
        <f t="shared" si="142"/>
        <v/>
      </c>
    </row>
    <row r="8996" spans="3:3" ht="15" customHeight="1">
      <c r="C8996" s="70" t="str">
        <f t="shared" si="142"/>
        <v/>
      </c>
    </row>
    <row r="8997" spans="3:3" ht="15" customHeight="1">
      <c r="C8997" s="70" t="str">
        <f t="shared" si="142"/>
        <v/>
      </c>
    </row>
    <row r="8998" spans="3:3" ht="15" customHeight="1">
      <c r="C8998" s="70" t="str">
        <f t="shared" si="142"/>
        <v/>
      </c>
    </row>
    <row r="8999" spans="3:3" ht="15" customHeight="1">
      <c r="C8999" s="70" t="str">
        <f t="shared" si="142"/>
        <v/>
      </c>
    </row>
    <row r="9000" spans="3:3" ht="15" customHeight="1">
      <c r="C9000" s="70" t="str">
        <f t="shared" si="142"/>
        <v/>
      </c>
    </row>
    <row r="9001" spans="3:3" ht="15" customHeight="1">
      <c r="C9001" s="70" t="str">
        <f t="shared" si="142"/>
        <v/>
      </c>
    </row>
    <row r="9002" spans="3:3" ht="15" customHeight="1">
      <c r="C9002" s="70" t="str">
        <f t="shared" si="142"/>
        <v/>
      </c>
    </row>
    <row r="9003" spans="3:3" ht="15" customHeight="1">
      <c r="C9003" s="70" t="str">
        <f t="shared" si="142"/>
        <v/>
      </c>
    </row>
    <row r="9004" spans="3:3" ht="15" customHeight="1">
      <c r="C9004" s="70" t="str">
        <f t="shared" si="142"/>
        <v/>
      </c>
    </row>
    <row r="9005" spans="3:3" ht="15" customHeight="1">
      <c r="C9005" s="70" t="str">
        <f t="shared" si="142"/>
        <v/>
      </c>
    </row>
    <row r="9006" spans="3:3" ht="15" customHeight="1">
      <c r="C9006" s="70" t="str">
        <f t="shared" si="142"/>
        <v/>
      </c>
    </row>
    <row r="9007" spans="3:3" ht="15" customHeight="1">
      <c r="C9007" s="70" t="str">
        <f t="shared" si="142"/>
        <v/>
      </c>
    </row>
    <row r="9008" spans="3:3" ht="15" customHeight="1">
      <c r="C9008" s="70" t="str">
        <f t="shared" si="142"/>
        <v/>
      </c>
    </row>
    <row r="9009" spans="3:3" ht="15" customHeight="1">
      <c r="C9009" s="70" t="str">
        <f t="shared" si="142"/>
        <v/>
      </c>
    </row>
    <row r="9010" spans="3:3" ht="15" customHeight="1">
      <c r="C9010" s="70" t="str">
        <f t="shared" si="142"/>
        <v/>
      </c>
    </row>
    <row r="9011" spans="3:3" ht="15" customHeight="1">
      <c r="C9011" s="70" t="str">
        <f t="shared" si="142"/>
        <v/>
      </c>
    </row>
    <row r="9012" spans="3:3" ht="15" customHeight="1">
      <c r="C9012" s="70" t="str">
        <f t="shared" si="142"/>
        <v/>
      </c>
    </row>
    <row r="9013" spans="3:3" ht="15" customHeight="1">
      <c r="C9013" s="70" t="str">
        <f t="shared" si="142"/>
        <v/>
      </c>
    </row>
    <row r="9014" spans="3:3" ht="15" customHeight="1">
      <c r="C9014" s="70" t="str">
        <f t="shared" si="142"/>
        <v/>
      </c>
    </row>
    <row r="9015" spans="3:3" ht="15" customHeight="1">
      <c r="C9015" s="70" t="str">
        <f t="shared" si="142"/>
        <v/>
      </c>
    </row>
    <row r="9016" spans="3:3" ht="15" customHeight="1">
      <c r="C9016" s="70" t="str">
        <f t="shared" si="142"/>
        <v/>
      </c>
    </row>
    <row r="9017" spans="3:3" ht="15" customHeight="1">
      <c r="C9017" s="70" t="str">
        <f t="shared" si="142"/>
        <v/>
      </c>
    </row>
    <row r="9018" spans="3:3" ht="15" customHeight="1">
      <c r="C9018" s="70" t="str">
        <f t="shared" si="142"/>
        <v/>
      </c>
    </row>
    <row r="9019" spans="3:3" ht="15" customHeight="1">
      <c r="C9019" s="70" t="str">
        <f t="shared" si="142"/>
        <v/>
      </c>
    </row>
    <row r="9020" spans="3:3" ht="15" customHeight="1">
      <c r="C9020" s="70" t="str">
        <f t="shared" si="142"/>
        <v/>
      </c>
    </row>
    <row r="9021" spans="3:3" ht="15" customHeight="1">
      <c r="C9021" s="70" t="str">
        <f t="shared" si="142"/>
        <v/>
      </c>
    </row>
    <row r="9022" spans="3:3" ht="15" customHeight="1">
      <c r="C9022" s="70" t="str">
        <f t="shared" si="142"/>
        <v/>
      </c>
    </row>
    <row r="9023" spans="3:3" ht="15" customHeight="1">
      <c r="C9023" s="70" t="str">
        <f t="shared" si="142"/>
        <v/>
      </c>
    </row>
    <row r="9024" spans="3:3" ht="15" customHeight="1">
      <c r="C9024" s="70" t="str">
        <f t="shared" si="142"/>
        <v/>
      </c>
    </row>
    <row r="9025" spans="3:3" ht="15" customHeight="1">
      <c r="C9025" s="70" t="str">
        <f t="shared" si="142"/>
        <v/>
      </c>
    </row>
    <row r="9026" spans="3:3" ht="15" customHeight="1">
      <c r="C9026" s="70" t="str">
        <f t="shared" si="142"/>
        <v/>
      </c>
    </row>
    <row r="9027" spans="3:3" ht="15" customHeight="1">
      <c r="C9027" s="70" t="str">
        <f t="shared" si="142"/>
        <v/>
      </c>
    </row>
    <row r="9028" spans="3:3" ht="15" customHeight="1">
      <c r="C9028" s="70" t="str">
        <f t="shared" si="142"/>
        <v/>
      </c>
    </row>
    <row r="9029" spans="3:3" ht="15" customHeight="1">
      <c r="C9029" s="70" t="str">
        <f t="shared" si="142"/>
        <v/>
      </c>
    </row>
    <row r="9030" spans="3:3" ht="15" customHeight="1">
      <c r="C9030" s="70" t="str">
        <f t="shared" si="142"/>
        <v/>
      </c>
    </row>
    <row r="9031" spans="3:3" ht="15" customHeight="1">
      <c r="C9031" s="70" t="str">
        <f t="shared" si="142"/>
        <v/>
      </c>
    </row>
    <row r="9032" spans="3:3" ht="15" customHeight="1">
      <c r="C9032" s="70" t="str">
        <f t="shared" si="142"/>
        <v/>
      </c>
    </row>
    <row r="9033" spans="3:3" ht="15" customHeight="1">
      <c r="C9033" s="70" t="str">
        <f t="shared" si="142"/>
        <v/>
      </c>
    </row>
    <row r="9034" spans="3:3" ht="15" customHeight="1">
      <c r="C9034" s="70" t="str">
        <f t="shared" si="142"/>
        <v/>
      </c>
    </row>
    <row r="9035" spans="3:3" ht="15" customHeight="1">
      <c r="C9035" s="70" t="str">
        <f t="shared" si="142"/>
        <v/>
      </c>
    </row>
    <row r="9036" spans="3:3" ht="15" customHeight="1">
      <c r="C9036" s="70" t="str">
        <f t="shared" si="142"/>
        <v/>
      </c>
    </row>
    <row r="9037" spans="3:3" ht="15" customHeight="1">
      <c r="C9037" s="70" t="str">
        <f t="shared" si="142"/>
        <v/>
      </c>
    </row>
    <row r="9038" spans="3:3" ht="15" customHeight="1">
      <c r="C9038" s="70" t="str">
        <f t="shared" si="142"/>
        <v/>
      </c>
    </row>
    <row r="9039" spans="3:3" ht="15" customHeight="1">
      <c r="C9039" s="70" t="str">
        <f t="shared" si="142"/>
        <v/>
      </c>
    </row>
    <row r="9040" spans="3:3" ht="15" customHeight="1">
      <c r="C9040" s="70" t="str">
        <f t="shared" si="142"/>
        <v/>
      </c>
    </row>
    <row r="9041" spans="3:3" ht="15" customHeight="1">
      <c r="C9041" s="70" t="str">
        <f t="shared" ref="C9041:C9104" si="143">IF(B9041&lt;&gt;"",TEXT(WEEKDAY(B9041),"dddd"),"")</f>
        <v/>
      </c>
    </row>
    <row r="9042" spans="3:3" ht="15" customHeight="1">
      <c r="C9042" s="70" t="str">
        <f t="shared" si="143"/>
        <v/>
      </c>
    </row>
    <row r="9043" spans="3:3" ht="15" customHeight="1">
      <c r="C9043" s="70" t="str">
        <f t="shared" si="143"/>
        <v/>
      </c>
    </row>
    <row r="9044" spans="3:3" ht="15" customHeight="1">
      <c r="C9044" s="70" t="str">
        <f t="shared" si="143"/>
        <v/>
      </c>
    </row>
    <row r="9045" spans="3:3" ht="15" customHeight="1">
      <c r="C9045" s="70" t="str">
        <f t="shared" si="143"/>
        <v/>
      </c>
    </row>
    <row r="9046" spans="3:3" ht="15" customHeight="1">
      <c r="C9046" s="70" t="str">
        <f t="shared" si="143"/>
        <v/>
      </c>
    </row>
    <row r="9047" spans="3:3" ht="15" customHeight="1">
      <c r="C9047" s="70" t="str">
        <f t="shared" si="143"/>
        <v/>
      </c>
    </row>
    <row r="9048" spans="3:3" ht="15" customHeight="1">
      <c r="C9048" s="70" t="str">
        <f t="shared" si="143"/>
        <v/>
      </c>
    </row>
    <row r="9049" spans="3:3" ht="15" customHeight="1">
      <c r="C9049" s="70" t="str">
        <f t="shared" si="143"/>
        <v/>
      </c>
    </row>
    <row r="9050" spans="3:3" ht="15" customHeight="1">
      <c r="C9050" s="70" t="str">
        <f t="shared" si="143"/>
        <v/>
      </c>
    </row>
    <row r="9051" spans="3:3" ht="15" customHeight="1">
      <c r="C9051" s="70" t="str">
        <f t="shared" si="143"/>
        <v/>
      </c>
    </row>
    <row r="9052" spans="3:3" ht="15" customHeight="1">
      <c r="C9052" s="70" t="str">
        <f t="shared" si="143"/>
        <v/>
      </c>
    </row>
    <row r="9053" spans="3:3" ht="15" customHeight="1">
      <c r="C9053" s="70" t="str">
        <f t="shared" si="143"/>
        <v/>
      </c>
    </row>
    <row r="9054" spans="3:3" ht="15" customHeight="1">
      <c r="C9054" s="70" t="str">
        <f t="shared" si="143"/>
        <v/>
      </c>
    </row>
    <row r="9055" spans="3:3" ht="15" customHeight="1">
      <c r="C9055" s="70" t="str">
        <f t="shared" si="143"/>
        <v/>
      </c>
    </row>
    <row r="9056" spans="3:3" ht="15" customHeight="1">
      <c r="C9056" s="70" t="str">
        <f t="shared" si="143"/>
        <v/>
      </c>
    </row>
    <row r="9057" spans="3:3" ht="15" customHeight="1">
      <c r="C9057" s="70" t="str">
        <f t="shared" si="143"/>
        <v/>
      </c>
    </row>
    <row r="9058" spans="3:3" ht="15" customHeight="1">
      <c r="C9058" s="70" t="str">
        <f t="shared" si="143"/>
        <v/>
      </c>
    </row>
    <row r="9059" spans="3:3" ht="15" customHeight="1">
      <c r="C9059" s="70" t="str">
        <f t="shared" si="143"/>
        <v/>
      </c>
    </row>
    <row r="9060" spans="3:3" ht="15" customHeight="1">
      <c r="C9060" s="70" t="str">
        <f t="shared" si="143"/>
        <v/>
      </c>
    </row>
    <row r="9061" spans="3:3" ht="15" customHeight="1">
      <c r="C9061" s="70" t="str">
        <f t="shared" si="143"/>
        <v/>
      </c>
    </row>
    <row r="9062" spans="3:3" ht="15" customHeight="1">
      <c r="C9062" s="70" t="str">
        <f t="shared" si="143"/>
        <v/>
      </c>
    </row>
    <row r="9063" spans="3:3" ht="15" customHeight="1">
      <c r="C9063" s="70" t="str">
        <f t="shared" si="143"/>
        <v/>
      </c>
    </row>
    <row r="9064" spans="3:3" ht="15" customHeight="1">
      <c r="C9064" s="70" t="str">
        <f t="shared" si="143"/>
        <v/>
      </c>
    </row>
    <row r="9065" spans="3:3" ht="15" customHeight="1">
      <c r="C9065" s="70" t="str">
        <f t="shared" si="143"/>
        <v/>
      </c>
    </row>
    <row r="9066" spans="3:3" ht="15" customHeight="1">
      <c r="C9066" s="70" t="str">
        <f t="shared" si="143"/>
        <v/>
      </c>
    </row>
    <row r="9067" spans="3:3" ht="15" customHeight="1">
      <c r="C9067" s="70" t="str">
        <f t="shared" si="143"/>
        <v/>
      </c>
    </row>
    <row r="9068" spans="3:3" ht="15" customHeight="1">
      <c r="C9068" s="70" t="str">
        <f t="shared" si="143"/>
        <v/>
      </c>
    </row>
    <row r="9069" spans="3:3" ht="15" customHeight="1">
      <c r="C9069" s="70" t="str">
        <f t="shared" si="143"/>
        <v/>
      </c>
    </row>
    <row r="9070" spans="3:3" ht="15" customHeight="1">
      <c r="C9070" s="70" t="str">
        <f t="shared" si="143"/>
        <v/>
      </c>
    </row>
    <row r="9071" spans="3:3" ht="15" customHeight="1">
      <c r="C9071" s="70" t="str">
        <f t="shared" si="143"/>
        <v/>
      </c>
    </row>
    <row r="9072" spans="3:3" ht="15" customHeight="1">
      <c r="C9072" s="70" t="str">
        <f t="shared" si="143"/>
        <v/>
      </c>
    </row>
    <row r="9073" spans="3:3" ht="15" customHeight="1">
      <c r="C9073" s="70" t="str">
        <f t="shared" si="143"/>
        <v/>
      </c>
    </row>
    <row r="9074" spans="3:3" ht="15" customHeight="1">
      <c r="C9074" s="70" t="str">
        <f t="shared" si="143"/>
        <v/>
      </c>
    </row>
    <row r="9075" spans="3:3" ht="15" customHeight="1">
      <c r="C9075" s="70" t="str">
        <f t="shared" si="143"/>
        <v/>
      </c>
    </row>
    <row r="9076" spans="3:3" ht="15" customHeight="1">
      <c r="C9076" s="70" t="str">
        <f t="shared" si="143"/>
        <v/>
      </c>
    </row>
    <row r="9077" spans="3:3" ht="15" customHeight="1">
      <c r="C9077" s="70" t="str">
        <f t="shared" si="143"/>
        <v/>
      </c>
    </row>
    <row r="9078" spans="3:3" ht="15" customHeight="1">
      <c r="C9078" s="70" t="str">
        <f t="shared" si="143"/>
        <v/>
      </c>
    </row>
    <row r="9079" spans="3:3" ht="15" customHeight="1">
      <c r="C9079" s="70" t="str">
        <f t="shared" si="143"/>
        <v/>
      </c>
    </row>
    <row r="9080" spans="3:3" ht="15" customHeight="1">
      <c r="C9080" s="70" t="str">
        <f t="shared" si="143"/>
        <v/>
      </c>
    </row>
    <row r="9081" spans="3:3" ht="15" customHeight="1">
      <c r="C9081" s="70" t="str">
        <f t="shared" si="143"/>
        <v/>
      </c>
    </row>
    <row r="9082" spans="3:3" ht="15" customHeight="1">
      <c r="C9082" s="70" t="str">
        <f t="shared" si="143"/>
        <v/>
      </c>
    </row>
    <row r="9083" spans="3:3" ht="15" customHeight="1">
      <c r="C9083" s="70" t="str">
        <f t="shared" si="143"/>
        <v/>
      </c>
    </row>
    <row r="9084" spans="3:3" ht="15" customHeight="1">
      <c r="C9084" s="70" t="str">
        <f t="shared" si="143"/>
        <v/>
      </c>
    </row>
    <row r="9085" spans="3:3" ht="15" customHeight="1">
      <c r="C9085" s="70" t="str">
        <f t="shared" si="143"/>
        <v/>
      </c>
    </row>
    <row r="9086" spans="3:3" ht="15" customHeight="1">
      <c r="C9086" s="70" t="str">
        <f t="shared" si="143"/>
        <v/>
      </c>
    </row>
    <row r="9087" spans="3:3" ht="15" customHeight="1">
      <c r="C9087" s="70" t="str">
        <f t="shared" si="143"/>
        <v/>
      </c>
    </row>
    <row r="9088" spans="3:3" ht="15" customHeight="1">
      <c r="C9088" s="70" t="str">
        <f t="shared" si="143"/>
        <v/>
      </c>
    </row>
    <row r="9089" spans="3:3" ht="15" customHeight="1">
      <c r="C9089" s="70" t="str">
        <f t="shared" si="143"/>
        <v/>
      </c>
    </row>
    <row r="9090" spans="3:3" ht="15" customHeight="1">
      <c r="C9090" s="70" t="str">
        <f t="shared" si="143"/>
        <v/>
      </c>
    </row>
    <row r="9091" spans="3:3" ht="15" customHeight="1">
      <c r="C9091" s="70" t="str">
        <f t="shared" si="143"/>
        <v/>
      </c>
    </row>
    <row r="9092" spans="3:3" ht="15" customHeight="1">
      <c r="C9092" s="70" t="str">
        <f t="shared" si="143"/>
        <v/>
      </c>
    </row>
    <row r="9093" spans="3:3" ht="15" customHeight="1">
      <c r="C9093" s="70" t="str">
        <f t="shared" si="143"/>
        <v/>
      </c>
    </row>
    <row r="9094" spans="3:3" ht="15" customHeight="1">
      <c r="C9094" s="70" t="str">
        <f t="shared" si="143"/>
        <v/>
      </c>
    </row>
    <row r="9095" spans="3:3" ht="15" customHeight="1">
      <c r="C9095" s="70" t="str">
        <f t="shared" si="143"/>
        <v/>
      </c>
    </row>
    <row r="9096" spans="3:3" ht="15" customHeight="1">
      <c r="C9096" s="70" t="str">
        <f t="shared" si="143"/>
        <v/>
      </c>
    </row>
    <row r="9097" spans="3:3" ht="15" customHeight="1">
      <c r="C9097" s="70" t="str">
        <f t="shared" si="143"/>
        <v/>
      </c>
    </row>
    <row r="9098" spans="3:3" ht="15" customHeight="1">
      <c r="C9098" s="70" t="str">
        <f t="shared" si="143"/>
        <v/>
      </c>
    </row>
    <row r="9099" spans="3:3" ht="15" customHeight="1">
      <c r="C9099" s="70" t="str">
        <f t="shared" si="143"/>
        <v/>
      </c>
    </row>
    <row r="9100" spans="3:3" ht="15" customHeight="1">
      <c r="C9100" s="70" t="str">
        <f t="shared" si="143"/>
        <v/>
      </c>
    </row>
    <row r="9101" spans="3:3" ht="15" customHeight="1">
      <c r="C9101" s="70" t="str">
        <f t="shared" si="143"/>
        <v/>
      </c>
    </row>
    <row r="9102" spans="3:3" ht="15" customHeight="1">
      <c r="C9102" s="70" t="str">
        <f t="shared" si="143"/>
        <v/>
      </c>
    </row>
    <row r="9103" spans="3:3" ht="15" customHeight="1">
      <c r="C9103" s="70" t="str">
        <f t="shared" si="143"/>
        <v/>
      </c>
    </row>
    <row r="9104" spans="3:3" ht="15" customHeight="1">
      <c r="C9104" s="70" t="str">
        <f t="shared" si="143"/>
        <v/>
      </c>
    </row>
    <row r="9105" spans="3:3" ht="15" customHeight="1">
      <c r="C9105" s="70" t="str">
        <f t="shared" ref="C9105:C9168" si="144">IF(B9105&lt;&gt;"",TEXT(WEEKDAY(B9105),"dddd"),"")</f>
        <v/>
      </c>
    </row>
    <row r="9106" spans="3:3" ht="15" customHeight="1">
      <c r="C9106" s="70" t="str">
        <f t="shared" si="144"/>
        <v/>
      </c>
    </row>
    <row r="9107" spans="3:3" ht="15" customHeight="1">
      <c r="C9107" s="70" t="str">
        <f t="shared" si="144"/>
        <v/>
      </c>
    </row>
    <row r="9108" spans="3:3" ht="15" customHeight="1">
      <c r="C9108" s="70" t="str">
        <f t="shared" si="144"/>
        <v/>
      </c>
    </row>
    <row r="9109" spans="3:3" ht="15" customHeight="1">
      <c r="C9109" s="70" t="str">
        <f t="shared" si="144"/>
        <v/>
      </c>
    </row>
    <row r="9110" spans="3:3" ht="15" customHeight="1">
      <c r="C9110" s="70" t="str">
        <f t="shared" si="144"/>
        <v/>
      </c>
    </row>
    <row r="9111" spans="3:3" ht="15" customHeight="1">
      <c r="C9111" s="70" t="str">
        <f t="shared" si="144"/>
        <v/>
      </c>
    </row>
    <row r="9112" spans="3:3" ht="15" customHeight="1">
      <c r="C9112" s="70" t="str">
        <f t="shared" si="144"/>
        <v/>
      </c>
    </row>
    <row r="9113" spans="3:3" ht="15" customHeight="1">
      <c r="C9113" s="70" t="str">
        <f t="shared" si="144"/>
        <v/>
      </c>
    </row>
    <row r="9114" spans="3:3" ht="15" customHeight="1">
      <c r="C9114" s="70" t="str">
        <f t="shared" si="144"/>
        <v/>
      </c>
    </row>
    <row r="9115" spans="3:3" ht="15" customHeight="1">
      <c r="C9115" s="70" t="str">
        <f t="shared" si="144"/>
        <v/>
      </c>
    </row>
    <row r="9116" spans="3:3" ht="15" customHeight="1">
      <c r="C9116" s="70" t="str">
        <f t="shared" si="144"/>
        <v/>
      </c>
    </row>
    <row r="9117" spans="3:3" ht="15" customHeight="1">
      <c r="C9117" s="70" t="str">
        <f t="shared" si="144"/>
        <v/>
      </c>
    </row>
    <row r="9118" spans="3:3" ht="15" customHeight="1">
      <c r="C9118" s="70" t="str">
        <f t="shared" si="144"/>
        <v/>
      </c>
    </row>
    <row r="9119" spans="3:3" ht="15" customHeight="1">
      <c r="C9119" s="70" t="str">
        <f t="shared" si="144"/>
        <v/>
      </c>
    </row>
    <row r="9120" spans="3:3" ht="15" customHeight="1">
      <c r="C9120" s="70" t="str">
        <f t="shared" si="144"/>
        <v/>
      </c>
    </row>
    <row r="9121" spans="3:3" ht="15" customHeight="1">
      <c r="C9121" s="70" t="str">
        <f t="shared" si="144"/>
        <v/>
      </c>
    </row>
    <row r="9122" spans="3:3" ht="15" customHeight="1">
      <c r="C9122" s="70" t="str">
        <f t="shared" si="144"/>
        <v/>
      </c>
    </row>
    <row r="9123" spans="3:3" ht="15" customHeight="1">
      <c r="C9123" s="70" t="str">
        <f t="shared" si="144"/>
        <v/>
      </c>
    </row>
    <row r="9124" spans="3:3" ht="15" customHeight="1">
      <c r="C9124" s="70" t="str">
        <f t="shared" si="144"/>
        <v/>
      </c>
    </row>
    <row r="9125" spans="3:3" ht="15" customHeight="1">
      <c r="C9125" s="70" t="str">
        <f t="shared" si="144"/>
        <v/>
      </c>
    </row>
    <row r="9126" spans="3:3" ht="15" customHeight="1">
      <c r="C9126" s="70" t="str">
        <f t="shared" si="144"/>
        <v/>
      </c>
    </row>
    <row r="9127" spans="3:3" ht="15" customHeight="1">
      <c r="C9127" s="70" t="str">
        <f t="shared" si="144"/>
        <v/>
      </c>
    </row>
    <row r="9128" spans="3:3" ht="15" customHeight="1">
      <c r="C9128" s="70" t="str">
        <f t="shared" si="144"/>
        <v/>
      </c>
    </row>
    <row r="9129" spans="3:3" ht="15" customHeight="1">
      <c r="C9129" s="70" t="str">
        <f t="shared" si="144"/>
        <v/>
      </c>
    </row>
    <row r="9130" spans="3:3" ht="15" customHeight="1">
      <c r="C9130" s="70" t="str">
        <f t="shared" si="144"/>
        <v/>
      </c>
    </row>
    <row r="9131" spans="3:3" ht="15" customHeight="1">
      <c r="C9131" s="70" t="str">
        <f t="shared" si="144"/>
        <v/>
      </c>
    </row>
    <row r="9132" spans="3:3" ht="15" customHeight="1">
      <c r="C9132" s="70" t="str">
        <f t="shared" si="144"/>
        <v/>
      </c>
    </row>
    <row r="9133" spans="3:3" ht="15" customHeight="1">
      <c r="C9133" s="70" t="str">
        <f t="shared" si="144"/>
        <v/>
      </c>
    </row>
    <row r="9134" spans="3:3" ht="15" customHeight="1">
      <c r="C9134" s="70" t="str">
        <f t="shared" si="144"/>
        <v/>
      </c>
    </row>
    <row r="9135" spans="3:3" ht="15" customHeight="1">
      <c r="C9135" s="70" t="str">
        <f t="shared" si="144"/>
        <v/>
      </c>
    </row>
    <row r="9136" spans="3:3" ht="15" customHeight="1">
      <c r="C9136" s="70" t="str">
        <f t="shared" si="144"/>
        <v/>
      </c>
    </row>
    <row r="9137" spans="3:3" ht="15" customHeight="1">
      <c r="C9137" s="70" t="str">
        <f t="shared" si="144"/>
        <v/>
      </c>
    </row>
    <row r="9138" spans="3:3" ht="15" customHeight="1">
      <c r="C9138" s="70" t="str">
        <f t="shared" si="144"/>
        <v/>
      </c>
    </row>
    <row r="9139" spans="3:3" ht="15" customHeight="1">
      <c r="C9139" s="70" t="str">
        <f t="shared" si="144"/>
        <v/>
      </c>
    </row>
    <row r="9140" spans="3:3" ht="15" customHeight="1">
      <c r="C9140" s="70" t="str">
        <f t="shared" si="144"/>
        <v/>
      </c>
    </row>
    <row r="9141" spans="3:3" ht="15" customHeight="1">
      <c r="C9141" s="70" t="str">
        <f t="shared" si="144"/>
        <v/>
      </c>
    </row>
    <row r="9142" spans="3:3" ht="15" customHeight="1">
      <c r="C9142" s="70" t="str">
        <f t="shared" si="144"/>
        <v/>
      </c>
    </row>
    <row r="9143" spans="3:3" ht="15" customHeight="1">
      <c r="C9143" s="70" t="str">
        <f t="shared" si="144"/>
        <v/>
      </c>
    </row>
    <row r="9144" spans="3:3" ht="15" customHeight="1">
      <c r="C9144" s="70" t="str">
        <f t="shared" si="144"/>
        <v/>
      </c>
    </row>
    <row r="9145" spans="3:3" ht="15" customHeight="1">
      <c r="C9145" s="70" t="str">
        <f t="shared" si="144"/>
        <v/>
      </c>
    </row>
    <row r="9146" spans="3:3" ht="15" customHeight="1">
      <c r="C9146" s="70" t="str">
        <f t="shared" si="144"/>
        <v/>
      </c>
    </row>
    <row r="9147" spans="3:3" ht="15" customHeight="1">
      <c r="C9147" s="70" t="str">
        <f t="shared" si="144"/>
        <v/>
      </c>
    </row>
    <row r="9148" spans="3:3" ht="15" customHeight="1">
      <c r="C9148" s="70" t="str">
        <f t="shared" si="144"/>
        <v/>
      </c>
    </row>
    <row r="9149" spans="3:3" ht="15" customHeight="1">
      <c r="C9149" s="70" t="str">
        <f t="shared" si="144"/>
        <v/>
      </c>
    </row>
    <row r="9150" spans="3:3" ht="15" customHeight="1">
      <c r="C9150" s="70" t="str">
        <f t="shared" si="144"/>
        <v/>
      </c>
    </row>
    <row r="9151" spans="3:3" ht="15" customHeight="1">
      <c r="C9151" s="70" t="str">
        <f t="shared" si="144"/>
        <v/>
      </c>
    </row>
    <row r="9152" spans="3:3" ht="15" customHeight="1">
      <c r="C9152" s="70" t="str">
        <f t="shared" si="144"/>
        <v/>
      </c>
    </row>
    <row r="9153" spans="3:3" ht="15" customHeight="1">
      <c r="C9153" s="70" t="str">
        <f t="shared" si="144"/>
        <v/>
      </c>
    </row>
    <row r="9154" spans="3:3" ht="15" customHeight="1">
      <c r="C9154" s="70" t="str">
        <f t="shared" si="144"/>
        <v/>
      </c>
    </row>
    <row r="9155" spans="3:3" ht="15" customHeight="1">
      <c r="C9155" s="70" t="str">
        <f t="shared" si="144"/>
        <v/>
      </c>
    </row>
    <row r="9156" spans="3:3" ht="15" customHeight="1">
      <c r="C9156" s="70" t="str">
        <f t="shared" si="144"/>
        <v/>
      </c>
    </row>
    <row r="9157" spans="3:3" ht="15" customHeight="1">
      <c r="C9157" s="70" t="str">
        <f t="shared" si="144"/>
        <v/>
      </c>
    </row>
    <row r="9158" spans="3:3" ht="15" customHeight="1">
      <c r="C9158" s="70" t="str">
        <f t="shared" si="144"/>
        <v/>
      </c>
    </row>
    <row r="9159" spans="3:3" ht="15" customHeight="1">
      <c r="C9159" s="70" t="str">
        <f t="shared" si="144"/>
        <v/>
      </c>
    </row>
    <row r="9160" spans="3:3" ht="15" customHeight="1">
      <c r="C9160" s="70" t="str">
        <f t="shared" si="144"/>
        <v/>
      </c>
    </row>
    <row r="9161" spans="3:3" ht="15" customHeight="1">
      <c r="C9161" s="70" t="str">
        <f t="shared" si="144"/>
        <v/>
      </c>
    </row>
    <row r="9162" spans="3:3" ht="15" customHeight="1">
      <c r="C9162" s="70" t="str">
        <f t="shared" si="144"/>
        <v/>
      </c>
    </row>
    <row r="9163" spans="3:3" ht="15" customHeight="1">
      <c r="C9163" s="70" t="str">
        <f t="shared" si="144"/>
        <v/>
      </c>
    </row>
    <row r="9164" spans="3:3" ht="15" customHeight="1">
      <c r="C9164" s="70" t="str">
        <f t="shared" si="144"/>
        <v/>
      </c>
    </row>
    <row r="9165" spans="3:3" ht="15" customHeight="1">
      <c r="C9165" s="70" t="str">
        <f t="shared" si="144"/>
        <v/>
      </c>
    </row>
    <row r="9166" spans="3:3" ht="15" customHeight="1">
      <c r="C9166" s="70" t="str">
        <f t="shared" si="144"/>
        <v/>
      </c>
    </row>
    <row r="9167" spans="3:3" ht="15" customHeight="1">
      <c r="C9167" s="70" t="str">
        <f t="shared" si="144"/>
        <v/>
      </c>
    </row>
    <row r="9168" spans="3:3" ht="15" customHeight="1">
      <c r="C9168" s="70" t="str">
        <f t="shared" si="144"/>
        <v/>
      </c>
    </row>
    <row r="9169" spans="3:3" ht="15" customHeight="1">
      <c r="C9169" s="70" t="str">
        <f t="shared" ref="C9169:C9232" si="145">IF(B9169&lt;&gt;"",TEXT(WEEKDAY(B9169),"dddd"),"")</f>
        <v/>
      </c>
    </row>
    <row r="9170" spans="3:3" ht="15" customHeight="1">
      <c r="C9170" s="70" t="str">
        <f t="shared" si="145"/>
        <v/>
      </c>
    </row>
    <row r="9171" spans="3:3" ht="15" customHeight="1">
      <c r="C9171" s="70" t="str">
        <f t="shared" si="145"/>
        <v/>
      </c>
    </row>
    <row r="9172" spans="3:3" ht="15" customHeight="1">
      <c r="C9172" s="70" t="str">
        <f t="shared" si="145"/>
        <v/>
      </c>
    </row>
    <row r="9173" spans="3:3" ht="15" customHeight="1">
      <c r="C9173" s="70" t="str">
        <f t="shared" si="145"/>
        <v/>
      </c>
    </row>
    <row r="9174" spans="3:3" ht="15" customHeight="1">
      <c r="C9174" s="70" t="str">
        <f t="shared" si="145"/>
        <v/>
      </c>
    </row>
    <row r="9175" spans="3:3" ht="15" customHeight="1">
      <c r="C9175" s="70" t="str">
        <f t="shared" si="145"/>
        <v/>
      </c>
    </row>
    <row r="9176" spans="3:3" ht="15" customHeight="1">
      <c r="C9176" s="70" t="str">
        <f t="shared" si="145"/>
        <v/>
      </c>
    </row>
    <row r="9177" spans="3:3" ht="15" customHeight="1">
      <c r="C9177" s="70" t="str">
        <f t="shared" si="145"/>
        <v/>
      </c>
    </row>
    <row r="9178" spans="3:3" ht="15" customHeight="1">
      <c r="C9178" s="70" t="str">
        <f t="shared" si="145"/>
        <v/>
      </c>
    </row>
    <row r="9179" spans="3:3" ht="15" customHeight="1">
      <c r="C9179" s="70" t="str">
        <f t="shared" si="145"/>
        <v/>
      </c>
    </row>
    <row r="9180" spans="3:3" ht="15" customHeight="1">
      <c r="C9180" s="70" t="str">
        <f t="shared" si="145"/>
        <v/>
      </c>
    </row>
    <row r="9181" spans="3:3" ht="15" customHeight="1">
      <c r="C9181" s="70" t="str">
        <f t="shared" si="145"/>
        <v/>
      </c>
    </row>
    <row r="9182" spans="3:3" ht="15" customHeight="1">
      <c r="C9182" s="70" t="str">
        <f t="shared" si="145"/>
        <v/>
      </c>
    </row>
    <row r="9183" spans="3:3" ht="15" customHeight="1">
      <c r="C9183" s="70" t="str">
        <f t="shared" si="145"/>
        <v/>
      </c>
    </row>
    <row r="9184" spans="3:3" ht="15" customHeight="1">
      <c r="C9184" s="70" t="str">
        <f t="shared" si="145"/>
        <v/>
      </c>
    </row>
    <row r="9185" spans="3:3" ht="15" customHeight="1">
      <c r="C9185" s="70" t="str">
        <f t="shared" si="145"/>
        <v/>
      </c>
    </row>
    <row r="9186" spans="3:3" ht="15" customHeight="1">
      <c r="C9186" s="70" t="str">
        <f t="shared" si="145"/>
        <v/>
      </c>
    </row>
    <row r="9187" spans="3:3" ht="15" customHeight="1">
      <c r="C9187" s="70" t="str">
        <f t="shared" si="145"/>
        <v/>
      </c>
    </row>
    <row r="9188" spans="3:3" ht="15" customHeight="1">
      <c r="C9188" s="70" t="str">
        <f t="shared" si="145"/>
        <v/>
      </c>
    </row>
    <row r="9189" spans="3:3" ht="15" customHeight="1">
      <c r="C9189" s="70" t="str">
        <f t="shared" si="145"/>
        <v/>
      </c>
    </row>
    <row r="9190" spans="3:3" ht="15" customHeight="1">
      <c r="C9190" s="70" t="str">
        <f t="shared" si="145"/>
        <v/>
      </c>
    </row>
    <row r="9191" spans="3:3" ht="15" customHeight="1">
      <c r="C9191" s="70" t="str">
        <f t="shared" si="145"/>
        <v/>
      </c>
    </row>
    <row r="9192" spans="3:3" ht="15" customHeight="1">
      <c r="C9192" s="70" t="str">
        <f t="shared" si="145"/>
        <v/>
      </c>
    </row>
    <row r="9193" spans="3:3" ht="15" customHeight="1">
      <c r="C9193" s="70" t="str">
        <f t="shared" si="145"/>
        <v/>
      </c>
    </row>
    <row r="9194" spans="3:3" ht="15" customHeight="1">
      <c r="C9194" s="70" t="str">
        <f t="shared" si="145"/>
        <v/>
      </c>
    </row>
    <row r="9195" spans="3:3" ht="15" customHeight="1">
      <c r="C9195" s="70" t="str">
        <f t="shared" si="145"/>
        <v/>
      </c>
    </row>
    <row r="9196" spans="3:3" ht="15" customHeight="1">
      <c r="C9196" s="70" t="str">
        <f t="shared" si="145"/>
        <v/>
      </c>
    </row>
    <row r="9197" spans="3:3" ht="15" customHeight="1">
      <c r="C9197" s="70" t="str">
        <f t="shared" si="145"/>
        <v/>
      </c>
    </row>
    <row r="9198" spans="3:3" ht="15" customHeight="1">
      <c r="C9198" s="70" t="str">
        <f t="shared" si="145"/>
        <v/>
      </c>
    </row>
    <row r="9199" spans="3:3" ht="15" customHeight="1">
      <c r="C9199" s="70" t="str">
        <f t="shared" si="145"/>
        <v/>
      </c>
    </row>
    <row r="9200" spans="3:3" ht="15" customHeight="1">
      <c r="C9200" s="70" t="str">
        <f t="shared" si="145"/>
        <v/>
      </c>
    </row>
    <row r="9201" spans="3:3" ht="15" customHeight="1">
      <c r="C9201" s="70" t="str">
        <f t="shared" si="145"/>
        <v/>
      </c>
    </row>
    <row r="9202" spans="3:3" ht="15" customHeight="1">
      <c r="C9202" s="70" t="str">
        <f t="shared" si="145"/>
        <v/>
      </c>
    </row>
    <row r="9203" spans="3:3" ht="15" customHeight="1">
      <c r="C9203" s="70" t="str">
        <f t="shared" si="145"/>
        <v/>
      </c>
    </row>
    <row r="9204" spans="3:3" ht="15" customHeight="1">
      <c r="C9204" s="70" t="str">
        <f t="shared" si="145"/>
        <v/>
      </c>
    </row>
    <row r="9205" spans="3:3" ht="15" customHeight="1">
      <c r="C9205" s="70" t="str">
        <f t="shared" si="145"/>
        <v/>
      </c>
    </row>
    <row r="9206" spans="3:3" ht="15" customHeight="1">
      <c r="C9206" s="70" t="str">
        <f t="shared" si="145"/>
        <v/>
      </c>
    </row>
    <row r="9207" spans="3:3" ht="15" customHeight="1">
      <c r="C9207" s="70" t="str">
        <f t="shared" si="145"/>
        <v/>
      </c>
    </row>
    <row r="9208" spans="3:3" ht="15" customHeight="1">
      <c r="C9208" s="70" t="str">
        <f t="shared" si="145"/>
        <v/>
      </c>
    </row>
    <row r="9209" spans="3:3" ht="15" customHeight="1">
      <c r="C9209" s="70" t="str">
        <f t="shared" si="145"/>
        <v/>
      </c>
    </row>
    <row r="9210" spans="3:3" ht="15" customHeight="1">
      <c r="C9210" s="70" t="str">
        <f t="shared" si="145"/>
        <v/>
      </c>
    </row>
    <row r="9211" spans="3:3" ht="15" customHeight="1">
      <c r="C9211" s="70" t="str">
        <f t="shared" si="145"/>
        <v/>
      </c>
    </row>
    <row r="9212" spans="3:3" ht="15" customHeight="1">
      <c r="C9212" s="70" t="str">
        <f t="shared" si="145"/>
        <v/>
      </c>
    </row>
    <row r="9213" spans="3:3" ht="15" customHeight="1">
      <c r="C9213" s="70" t="str">
        <f t="shared" si="145"/>
        <v/>
      </c>
    </row>
    <row r="9214" spans="3:3" ht="15" customHeight="1">
      <c r="C9214" s="70" t="str">
        <f t="shared" si="145"/>
        <v/>
      </c>
    </row>
    <row r="9215" spans="3:3" ht="15" customHeight="1">
      <c r="C9215" s="70" t="str">
        <f t="shared" si="145"/>
        <v/>
      </c>
    </row>
    <row r="9216" spans="3:3" ht="15" customHeight="1">
      <c r="C9216" s="70" t="str">
        <f t="shared" si="145"/>
        <v/>
      </c>
    </row>
    <row r="9217" spans="3:3" ht="15" customHeight="1">
      <c r="C9217" s="70" t="str">
        <f t="shared" si="145"/>
        <v/>
      </c>
    </row>
    <row r="9218" spans="3:3" ht="15" customHeight="1">
      <c r="C9218" s="70" t="str">
        <f t="shared" si="145"/>
        <v/>
      </c>
    </row>
    <row r="9219" spans="3:3" ht="15" customHeight="1">
      <c r="C9219" s="70" t="str">
        <f t="shared" si="145"/>
        <v/>
      </c>
    </row>
    <row r="9220" spans="3:3" ht="15" customHeight="1">
      <c r="C9220" s="70" t="str">
        <f t="shared" si="145"/>
        <v/>
      </c>
    </row>
    <row r="9221" spans="3:3" ht="15" customHeight="1">
      <c r="C9221" s="70" t="str">
        <f t="shared" si="145"/>
        <v/>
      </c>
    </row>
    <row r="9222" spans="3:3" ht="15" customHeight="1">
      <c r="C9222" s="70" t="str">
        <f t="shared" si="145"/>
        <v/>
      </c>
    </row>
    <row r="9223" spans="3:3" ht="15" customHeight="1">
      <c r="C9223" s="70" t="str">
        <f t="shared" si="145"/>
        <v/>
      </c>
    </row>
    <row r="9224" spans="3:3" ht="15" customHeight="1">
      <c r="C9224" s="70" t="str">
        <f t="shared" si="145"/>
        <v/>
      </c>
    </row>
    <row r="9225" spans="3:3" ht="15" customHeight="1">
      <c r="C9225" s="70" t="str">
        <f t="shared" si="145"/>
        <v/>
      </c>
    </row>
    <row r="9226" spans="3:3" ht="15" customHeight="1">
      <c r="C9226" s="70" t="str">
        <f t="shared" si="145"/>
        <v/>
      </c>
    </row>
    <row r="9227" spans="3:3" ht="15" customHeight="1">
      <c r="C9227" s="70" t="str">
        <f t="shared" si="145"/>
        <v/>
      </c>
    </row>
    <row r="9228" spans="3:3" ht="15" customHeight="1">
      <c r="C9228" s="70" t="str">
        <f t="shared" si="145"/>
        <v/>
      </c>
    </row>
    <row r="9229" spans="3:3" ht="15" customHeight="1">
      <c r="C9229" s="70" t="str">
        <f t="shared" si="145"/>
        <v/>
      </c>
    </row>
    <row r="9230" spans="3:3" ht="15" customHeight="1">
      <c r="C9230" s="70" t="str">
        <f t="shared" si="145"/>
        <v/>
      </c>
    </row>
    <row r="9231" spans="3:3" ht="15" customHeight="1">
      <c r="C9231" s="70" t="str">
        <f t="shared" si="145"/>
        <v/>
      </c>
    </row>
    <row r="9232" spans="3:3" ht="15" customHeight="1">
      <c r="C9232" s="70" t="str">
        <f t="shared" si="145"/>
        <v/>
      </c>
    </row>
    <row r="9233" spans="3:3" ht="15" customHeight="1">
      <c r="C9233" s="70" t="str">
        <f t="shared" ref="C9233:C9296" si="146">IF(B9233&lt;&gt;"",TEXT(WEEKDAY(B9233),"dddd"),"")</f>
        <v/>
      </c>
    </row>
    <row r="9234" spans="3:3" ht="15" customHeight="1">
      <c r="C9234" s="70" t="str">
        <f t="shared" si="146"/>
        <v/>
      </c>
    </row>
    <row r="9235" spans="3:3" ht="15" customHeight="1">
      <c r="C9235" s="70" t="str">
        <f t="shared" si="146"/>
        <v/>
      </c>
    </row>
    <row r="9236" spans="3:3" ht="15" customHeight="1">
      <c r="C9236" s="70" t="str">
        <f t="shared" si="146"/>
        <v/>
      </c>
    </row>
    <row r="9237" spans="3:3" ht="15" customHeight="1">
      <c r="C9237" s="70" t="str">
        <f t="shared" si="146"/>
        <v/>
      </c>
    </row>
    <row r="9238" spans="3:3" ht="15" customHeight="1">
      <c r="C9238" s="70" t="str">
        <f t="shared" si="146"/>
        <v/>
      </c>
    </row>
    <row r="9239" spans="3:3" ht="15" customHeight="1">
      <c r="C9239" s="70" t="str">
        <f t="shared" si="146"/>
        <v/>
      </c>
    </row>
    <row r="9240" spans="3:3" ht="15" customHeight="1">
      <c r="C9240" s="70" t="str">
        <f t="shared" si="146"/>
        <v/>
      </c>
    </row>
    <row r="9241" spans="3:3" ht="15" customHeight="1">
      <c r="C9241" s="70" t="str">
        <f t="shared" si="146"/>
        <v/>
      </c>
    </row>
    <row r="9242" spans="3:3" ht="15" customHeight="1">
      <c r="C9242" s="70" t="str">
        <f t="shared" si="146"/>
        <v/>
      </c>
    </row>
    <row r="9243" spans="3:3" ht="15" customHeight="1">
      <c r="C9243" s="70" t="str">
        <f t="shared" si="146"/>
        <v/>
      </c>
    </row>
    <row r="9244" spans="3:3" ht="15" customHeight="1">
      <c r="C9244" s="70" t="str">
        <f t="shared" si="146"/>
        <v/>
      </c>
    </row>
    <row r="9245" spans="3:3" ht="15" customHeight="1">
      <c r="C9245" s="70" t="str">
        <f t="shared" si="146"/>
        <v/>
      </c>
    </row>
    <row r="9246" spans="3:3" ht="15" customHeight="1">
      <c r="C9246" s="70" t="str">
        <f t="shared" si="146"/>
        <v/>
      </c>
    </row>
    <row r="9247" spans="3:3" ht="15" customHeight="1">
      <c r="C9247" s="70" t="str">
        <f t="shared" si="146"/>
        <v/>
      </c>
    </row>
    <row r="9248" spans="3:3" ht="15" customHeight="1">
      <c r="C9248" s="70" t="str">
        <f t="shared" si="146"/>
        <v/>
      </c>
    </row>
    <row r="9249" spans="3:3" ht="15" customHeight="1">
      <c r="C9249" s="70" t="str">
        <f t="shared" si="146"/>
        <v/>
      </c>
    </row>
    <row r="9250" spans="3:3" ht="15" customHeight="1">
      <c r="C9250" s="70" t="str">
        <f t="shared" si="146"/>
        <v/>
      </c>
    </row>
    <row r="9251" spans="3:3" ht="15" customHeight="1">
      <c r="C9251" s="70" t="str">
        <f t="shared" si="146"/>
        <v/>
      </c>
    </row>
    <row r="9252" spans="3:3" ht="15" customHeight="1">
      <c r="C9252" s="70" t="str">
        <f t="shared" si="146"/>
        <v/>
      </c>
    </row>
    <row r="9253" spans="3:3" ht="15" customHeight="1">
      <c r="C9253" s="70" t="str">
        <f t="shared" si="146"/>
        <v/>
      </c>
    </row>
    <row r="9254" spans="3:3" ht="15" customHeight="1">
      <c r="C9254" s="70" t="str">
        <f t="shared" si="146"/>
        <v/>
      </c>
    </row>
    <row r="9255" spans="3:3" ht="15" customHeight="1">
      <c r="C9255" s="70" t="str">
        <f t="shared" si="146"/>
        <v/>
      </c>
    </row>
    <row r="9256" spans="3:3" ht="15" customHeight="1">
      <c r="C9256" s="70" t="str">
        <f t="shared" si="146"/>
        <v/>
      </c>
    </row>
    <row r="9257" spans="3:3" ht="15" customHeight="1">
      <c r="C9257" s="70" t="str">
        <f t="shared" si="146"/>
        <v/>
      </c>
    </row>
    <row r="9258" spans="3:3" ht="15" customHeight="1">
      <c r="C9258" s="70" t="str">
        <f t="shared" si="146"/>
        <v/>
      </c>
    </row>
    <row r="9259" spans="3:3" ht="15" customHeight="1">
      <c r="C9259" s="70" t="str">
        <f t="shared" si="146"/>
        <v/>
      </c>
    </row>
    <row r="9260" spans="3:3" ht="15" customHeight="1">
      <c r="C9260" s="70" t="str">
        <f t="shared" si="146"/>
        <v/>
      </c>
    </row>
    <row r="9261" spans="3:3" ht="15" customHeight="1">
      <c r="C9261" s="70" t="str">
        <f t="shared" si="146"/>
        <v/>
      </c>
    </row>
    <row r="9262" spans="3:3" ht="15" customHeight="1">
      <c r="C9262" s="70" t="str">
        <f t="shared" si="146"/>
        <v/>
      </c>
    </row>
    <row r="9263" spans="3:3" ht="15" customHeight="1">
      <c r="C9263" s="70" t="str">
        <f t="shared" si="146"/>
        <v/>
      </c>
    </row>
    <row r="9264" spans="3:3" ht="15" customHeight="1">
      <c r="C9264" s="70" t="str">
        <f t="shared" si="146"/>
        <v/>
      </c>
    </row>
    <row r="9265" spans="3:3" ht="15" customHeight="1">
      <c r="C9265" s="70" t="str">
        <f t="shared" si="146"/>
        <v/>
      </c>
    </row>
    <row r="9266" spans="3:3" ht="15" customHeight="1">
      <c r="C9266" s="70" t="str">
        <f t="shared" si="146"/>
        <v/>
      </c>
    </row>
    <row r="9267" spans="3:3" ht="15" customHeight="1">
      <c r="C9267" s="70" t="str">
        <f t="shared" si="146"/>
        <v/>
      </c>
    </row>
    <row r="9268" spans="3:3" ht="15" customHeight="1">
      <c r="C9268" s="70" t="str">
        <f t="shared" si="146"/>
        <v/>
      </c>
    </row>
    <row r="9269" spans="3:3" ht="15" customHeight="1">
      <c r="C9269" s="70" t="str">
        <f t="shared" si="146"/>
        <v/>
      </c>
    </row>
    <row r="9270" spans="3:3" ht="15" customHeight="1">
      <c r="C9270" s="70" t="str">
        <f t="shared" si="146"/>
        <v/>
      </c>
    </row>
    <row r="9271" spans="3:3" ht="15" customHeight="1">
      <c r="C9271" s="70" t="str">
        <f t="shared" si="146"/>
        <v/>
      </c>
    </row>
    <row r="9272" spans="3:3" ht="15" customHeight="1">
      <c r="C9272" s="70" t="str">
        <f t="shared" si="146"/>
        <v/>
      </c>
    </row>
    <row r="9273" spans="3:3" ht="15" customHeight="1">
      <c r="C9273" s="70" t="str">
        <f t="shared" si="146"/>
        <v/>
      </c>
    </row>
    <row r="9274" spans="3:3" ht="15" customHeight="1">
      <c r="C9274" s="70" t="str">
        <f t="shared" si="146"/>
        <v/>
      </c>
    </row>
    <row r="9275" spans="3:3" ht="15" customHeight="1">
      <c r="C9275" s="70" t="str">
        <f t="shared" si="146"/>
        <v/>
      </c>
    </row>
    <row r="9276" spans="3:3" ht="15" customHeight="1">
      <c r="C9276" s="70" t="str">
        <f t="shared" si="146"/>
        <v/>
      </c>
    </row>
    <row r="9277" spans="3:3" ht="15" customHeight="1">
      <c r="C9277" s="70" t="str">
        <f t="shared" si="146"/>
        <v/>
      </c>
    </row>
    <row r="9278" spans="3:3" ht="15" customHeight="1">
      <c r="C9278" s="70" t="str">
        <f t="shared" si="146"/>
        <v/>
      </c>
    </row>
    <row r="9279" spans="3:3" ht="15" customHeight="1">
      <c r="C9279" s="70" t="str">
        <f t="shared" si="146"/>
        <v/>
      </c>
    </row>
    <row r="9280" spans="3:3" ht="15" customHeight="1">
      <c r="C9280" s="70" t="str">
        <f t="shared" si="146"/>
        <v/>
      </c>
    </row>
    <row r="9281" spans="3:3" ht="15" customHeight="1">
      <c r="C9281" s="70" t="str">
        <f t="shared" si="146"/>
        <v/>
      </c>
    </row>
    <row r="9282" spans="3:3" ht="15" customHeight="1">
      <c r="C9282" s="70" t="str">
        <f t="shared" si="146"/>
        <v/>
      </c>
    </row>
    <row r="9283" spans="3:3" ht="15" customHeight="1">
      <c r="C9283" s="70" t="str">
        <f t="shared" si="146"/>
        <v/>
      </c>
    </row>
    <row r="9284" spans="3:3" ht="15" customHeight="1">
      <c r="C9284" s="70" t="str">
        <f t="shared" si="146"/>
        <v/>
      </c>
    </row>
    <row r="9285" spans="3:3" ht="15" customHeight="1">
      <c r="C9285" s="70" t="str">
        <f t="shared" si="146"/>
        <v/>
      </c>
    </row>
    <row r="9286" spans="3:3" ht="15" customHeight="1">
      <c r="C9286" s="70" t="str">
        <f t="shared" si="146"/>
        <v/>
      </c>
    </row>
    <row r="9287" spans="3:3" ht="15" customHeight="1">
      <c r="C9287" s="70" t="str">
        <f t="shared" si="146"/>
        <v/>
      </c>
    </row>
    <row r="9288" spans="3:3" ht="15" customHeight="1">
      <c r="C9288" s="70" t="str">
        <f t="shared" si="146"/>
        <v/>
      </c>
    </row>
    <row r="9289" spans="3:3" ht="15" customHeight="1">
      <c r="C9289" s="70" t="str">
        <f t="shared" si="146"/>
        <v/>
      </c>
    </row>
    <row r="9290" spans="3:3" ht="15" customHeight="1">
      <c r="C9290" s="70" t="str">
        <f t="shared" si="146"/>
        <v/>
      </c>
    </row>
    <row r="9291" spans="3:3" ht="15" customHeight="1">
      <c r="C9291" s="70" t="str">
        <f t="shared" si="146"/>
        <v/>
      </c>
    </row>
    <row r="9292" spans="3:3" ht="15" customHeight="1">
      <c r="C9292" s="70" t="str">
        <f t="shared" si="146"/>
        <v/>
      </c>
    </row>
    <row r="9293" spans="3:3" ht="15" customHeight="1">
      <c r="C9293" s="70" t="str">
        <f t="shared" si="146"/>
        <v/>
      </c>
    </row>
    <row r="9294" spans="3:3" ht="15" customHeight="1">
      <c r="C9294" s="70" t="str">
        <f t="shared" si="146"/>
        <v/>
      </c>
    </row>
    <row r="9295" spans="3:3" ht="15" customHeight="1">
      <c r="C9295" s="70" t="str">
        <f t="shared" si="146"/>
        <v/>
      </c>
    </row>
    <row r="9296" spans="3:3" ht="15" customHeight="1">
      <c r="C9296" s="70" t="str">
        <f t="shared" si="146"/>
        <v/>
      </c>
    </row>
    <row r="9297" spans="3:3" ht="15" customHeight="1">
      <c r="C9297" s="70" t="str">
        <f t="shared" ref="C9297:C9360" si="147">IF(B9297&lt;&gt;"",TEXT(WEEKDAY(B9297),"dddd"),"")</f>
        <v/>
      </c>
    </row>
    <row r="9298" spans="3:3" ht="15" customHeight="1">
      <c r="C9298" s="70" t="str">
        <f t="shared" si="147"/>
        <v/>
      </c>
    </row>
    <row r="9299" spans="3:3" ht="15" customHeight="1">
      <c r="C9299" s="70" t="str">
        <f t="shared" si="147"/>
        <v/>
      </c>
    </row>
    <row r="9300" spans="3:3" ht="15" customHeight="1">
      <c r="C9300" s="70" t="str">
        <f t="shared" si="147"/>
        <v/>
      </c>
    </row>
    <row r="9301" spans="3:3" ht="15" customHeight="1">
      <c r="C9301" s="70" t="str">
        <f t="shared" si="147"/>
        <v/>
      </c>
    </row>
    <row r="9302" spans="3:3" ht="15" customHeight="1">
      <c r="C9302" s="70" t="str">
        <f t="shared" si="147"/>
        <v/>
      </c>
    </row>
    <row r="9303" spans="3:3" ht="15" customHeight="1">
      <c r="C9303" s="70" t="str">
        <f t="shared" si="147"/>
        <v/>
      </c>
    </row>
    <row r="9304" spans="3:3" ht="15" customHeight="1">
      <c r="C9304" s="70" t="str">
        <f t="shared" si="147"/>
        <v/>
      </c>
    </row>
    <row r="9305" spans="3:3" ht="15" customHeight="1">
      <c r="C9305" s="70" t="str">
        <f t="shared" si="147"/>
        <v/>
      </c>
    </row>
    <row r="9306" spans="3:3" ht="15" customHeight="1">
      <c r="C9306" s="70" t="str">
        <f t="shared" si="147"/>
        <v/>
      </c>
    </row>
    <row r="9307" spans="3:3" ht="15" customHeight="1">
      <c r="C9307" s="70" t="str">
        <f t="shared" si="147"/>
        <v/>
      </c>
    </row>
    <row r="9308" spans="3:3" ht="15" customHeight="1">
      <c r="C9308" s="70" t="str">
        <f t="shared" si="147"/>
        <v/>
      </c>
    </row>
    <row r="9309" spans="3:3" ht="15" customHeight="1">
      <c r="C9309" s="70" t="str">
        <f t="shared" si="147"/>
        <v/>
      </c>
    </row>
    <row r="9310" spans="3:3" ht="15" customHeight="1">
      <c r="C9310" s="70" t="str">
        <f t="shared" si="147"/>
        <v/>
      </c>
    </row>
    <row r="9311" spans="3:3" ht="15" customHeight="1">
      <c r="C9311" s="70" t="str">
        <f t="shared" si="147"/>
        <v/>
      </c>
    </row>
    <row r="9312" spans="3:3" ht="15" customHeight="1">
      <c r="C9312" s="70" t="str">
        <f t="shared" si="147"/>
        <v/>
      </c>
    </row>
    <row r="9313" spans="3:3" ht="15" customHeight="1">
      <c r="C9313" s="70" t="str">
        <f t="shared" si="147"/>
        <v/>
      </c>
    </row>
    <row r="9314" spans="3:3" ht="15" customHeight="1">
      <c r="C9314" s="70" t="str">
        <f t="shared" si="147"/>
        <v/>
      </c>
    </row>
    <row r="9315" spans="3:3" ht="15" customHeight="1">
      <c r="C9315" s="70" t="str">
        <f t="shared" si="147"/>
        <v/>
      </c>
    </row>
    <row r="9316" spans="3:3" ht="15" customHeight="1">
      <c r="C9316" s="70" t="str">
        <f t="shared" si="147"/>
        <v/>
      </c>
    </row>
    <row r="9317" spans="3:3" ht="15" customHeight="1">
      <c r="C9317" s="70" t="str">
        <f t="shared" si="147"/>
        <v/>
      </c>
    </row>
    <row r="9318" spans="3:3" ht="15" customHeight="1">
      <c r="C9318" s="70" t="str">
        <f t="shared" si="147"/>
        <v/>
      </c>
    </row>
    <row r="9319" spans="3:3" ht="15" customHeight="1">
      <c r="C9319" s="70" t="str">
        <f t="shared" si="147"/>
        <v/>
      </c>
    </row>
    <row r="9320" spans="3:3" ht="15" customHeight="1">
      <c r="C9320" s="70" t="str">
        <f t="shared" si="147"/>
        <v/>
      </c>
    </row>
    <row r="9321" spans="3:3" ht="15" customHeight="1">
      <c r="C9321" s="70" t="str">
        <f t="shared" si="147"/>
        <v/>
      </c>
    </row>
    <row r="9322" spans="3:3" ht="15" customHeight="1">
      <c r="C9322" s="70" t="str">
        <f t="shared" si="147"/>
        <v/>
      </c>
    </row>
    <row r="9323" spans="3:3" ht="15" customHeight="1">
      <c r="C9323" s="70" t="str">
        <f t="shared" si="147"/>
        <v/>
      </c>
    </row>
    <row r="9324" spans="3:3" ht="15" customHeight="1">
      <c r="C9324" s="70" t="str">
        <f t="shared" si="147"/>
        <v/>
      </c>
    </row>
    <row r="9325" spans="3:3" ht="15" customHeight="1">
      <c r="C9325" s="70" t="str">
        <f t="shared" si="147"/>
        <v/>
      </c>
    </row>
    <row r="9326" spans="3:3" ht="15" customHeight="1">
      <c r="C9326" s="70" t="str">
        <f t="shared" si="147"/>
        <v/>
      </c>
    </row>
    <row r="9327" spans="3:3" ht="15" customHeight="1">
      <c r="C9327" s="70" t="str">
        <f t="shared" si="147"/>
        <v/>
      </c>
    </row>
    <row r="9328" spans="3:3" ht="15" customHeight="1">
      <c r="C9328" s="70" t="str">
        <f t="shared" si="147"/>
        <v/>
      </c>
    </row>
    <row r="9329" spans="3:3" ht="15" customHeight="1">
      <c r="C9329" s="70" t="str">
        <f t="shared" si="147"/>
        <v/>
      </c>
    </row>
    <row r="9330" spans="3:3" ht="15" customHeight="1">
      <c r="C9330" s="70" t="str">
        <f t="shared" si="147"/>
        <v/>
      </c>
    </row>
    <row r="9331" spans="3:3" ht="15" customHeight="1">
      <c r="C9331" s="70" t="str">
        <f t="shared" si="147"/>
        <v/>
      </c>
    </row>
    <row r="9332" spans="3:3" ht="15" customHeight="1">
      <c r="C9332" s="70" t="str">
        <f t="shared" si="147"/>
        <v/>
      </c>
    </row>
    <row r="9333" spans="3:3" ht="15" customHeight="1">
      <c r="C9333" s="70" t="str">
        <f t="shared" si="147"/>
        <v/>
      </c>
    </row>
    <row r="9334" spans="3:3" ht="15" customHeight="1">
      <c r="C9334" s="70" t="str">
        <f t="shared" si="147"/>
        <v/>
      </c>
    </row>
    <row r="9335" spans="3:3" ht="15" customHeight="1">
      <c r="C9335" s="70" t="str">
        <f t="shared" si="147"/>
        <v/>
      </c>
    </row>
    <row r="9336" spans="3:3" ht="15" customHeight="1">
      <c r="C9336" s="70" t="str">
        <f t="shared" si="147"/>
        <v/>
      </c>
    </row>
    <row r="9337" spans="3:3" ht="15" customHeight="1">
      <c r="C9337" s="70" t="str">
        <f t="shared" si="147"/>
        <v/>
      </c>
    </row>
    <row r="9338" spans="3:3" ht="15" customHeight="1">
      <c r="C9338" s="70" t="str">
        <f t="shared" si="147"/>
        <v/>
      </c>
    </row>
    <row r="9339" spans="3:3" ht="15" customHeight="1">
      <c r="C9339" s="70" t="str">
        <f t="shared" si="147"/>
        <v/>
      </c>
    </row>
    <row r="9340" spans="3:3" ht="15" customHeight="1">
      <c r="C9340" s="70" t="str">
        <f t="shared" si="147"/>
        <v/>
      </c>
    </row>
    <row r="9341" spans="3:3" ht="15" customHeight="1">
      <c r="C9341" s="70" t="str">
        <f t="shared" si="147"/>
        <v/>
      </c>
    </row>
    <row r="9342" spans="3:3" ht="15" customHeight="1">
      <c r="C9342" s="70" t="str">
        <f t="shared" si="147"/>
        <v/>
      </c>
    </row>
    <row r="9343" spans="3:3" ht="15" customHeight="1">
      <c r="C9343" s="70" t="str">
        <f t="shared" si="147"/>
        <v/>
      </c>
    </row>
    <row r="9344" spans="3:3" ht="15" customHeight="1">
      <c r="C9344" s="70" t="str">
        <f t="shared" si="147"/>
        <v/>
      </c>
    </row>
    <row r="9345" spans="3:3" ht="15" customHeight="1">
      <c r="C9345" s="70" t="str">
        <f t="shared" si="147"/>
        <v/>
      </c>
    </row>
    <row r="9346" spans="3:3" ht="15" customHeight="1">
      <c r="C9346" s="70" t="str">
        <f t="shared" si="147"/>
        <v/>
      </c>
    </row>
    <row r="9347" spans="3:3" ht="15" customHeight="1">
      <c r="C9347" s="70" t="str">
        <f t="shared" si="147"/>
        <v/>
      </c>
    </row>
    <row r="9348" spans="3:3" ht="15" customHeight="1">
      <c r="C9348" s="70" t="str">
        <f t="shared" si="147"/>
        <v/>
      </c>
    </row>
    <row r="9349" spans="3:3" ht="15" customHeight="1">
      <c r="C9349" s="70" t="str">
        <f t="shared" si="147"/>
        <v/>
      </c>
    </row>
    <row r="9350" spans="3:3" ht="15" customHeight="1">
      <c r="C9350" s="70" t="str">
        <f t="shared" si="147"/>
        <v/>
      </c>
    </row>
    <row r="9351" spans="3:3" ht="15" customHeight="1">
      <c r="C9351" s="70" t="str">
        <f t="shared" si="147"/>
        <v/>
      </c>
    </row>
    <row r="9352" spans="3:3" ht="15" customHeight="1">
      <c r="C9352" s="70" t="str">
        <f t="shared" si="147"/>
        <v/>
      </c>
    </row>
    <row r="9353" spans="3:3" ht="15" customHeight="1">
      <c r="C9353" s="70" t="str">
        <f t="shared" si="147"/>
        <v/>
      </c>
    </row>
    <row r="9354" spans="3:3" ht="15" customHeight="1">
      <c r="C9354" s="70" t="str">
        <f t="shared" si="147"/>
        <v/>
      </c>
    </row>
    <row r="9355" spans="3:3" ht="15" customHeight="1">
      <c r="C9355" s="70" t="str">
        <f t="shared" si="147"/>
        <v/>
      </c>
    </row>
    <row r="9356" spans="3:3" ht="15" customHeight="1">
      <c r="C9356" s="70" t="str">
        <f t="shared" si="147"/>
        <v/>
      </c>
    </row>
    <row r="9357" spans="3:3" ht="15" customHeight="1">
      <c r="C9357" s="70" t="str">
        <f t="shared" si="147"/>
        <v/>
      </c>
    </row>
    <row r="9358" spans="3:3" ht="15" customHeight="1">
      <c r="C9358" s="70" t="str">
        <f t="shared" si="147"/>
        <v/>
      </c>
    </row>
    <row r="9359" spans="3:3" ht="15" customHeight="1">
      <c r="C9359" s="70" t="str">
        <f t="shared" si="147"/>
        <v/>
      </c>
    </row>
    <row r="9360" spans="3:3" ht="15" customHeight="1">
      <c r="C9360" s="70" t="str">
        <f t="shared" si="147"/>
        <v/>
      </c>
    </row>
    <row r="9361" spans="3:3" ht="15" customHeight="1">
      <c r="C9361" s="70" t="str">
        <f t="shared" ref="C9361:C9424" si="148">IF(B9361&lt;&gt;"",TEXT(WEEKDAY(B9361),"dddd"),"")</f>
        <v/>
      </c>
    </row>
    <row r="9362" spans="3:3" ht="15" customHeight="1">
      <c r="C9362" s="70" t="str">
        <f t="shared" si="148"/>
        <v/>
      </c>
    </row>
    <row r="9363" spans="3:3" ht="15" customHeight="1">
      <c r="C9363" s="70" t="str">
        <f t="shared" si="148"/>
        <v/>
      </c>
    </row>
    <row r="9364" spans="3:3" ht="15" customHeight="1">
      <c r="C9364" s="70" t="str">
        <f t="shared" si="148"/>
        <v/>
      </c>
    </row>
    <row r="9365" spans="3:3" ht="15" customHeight="1">
      <c r="C9365" s="70" t="str">
        <f t="shared" si="148"/>
        <v/>
      </c>
    </row>
    <row r="9366" spans="3:3" ht="15" customHeight="1">
      <c r="C9366" s="70" t="str">
        <f t="shared" si="148"/>
        <v/>
      </c>
    </row>
    <row r="9367" spans="3:3" ht="15" customHeight="1">
      <c r="C9367" s="70" t="str">
        <f t="shared" si="148"/>
        <v/>
      </c>
    </row>
    <row r="9368" spans="3:3" ht="15" customHeight="1">
      <c r="C9368" s="70" t="str">
        <f t="shared" si="148"/>
        <v/>
      </c>
    </row>
    <row r="9369" spans="3:3" ht="15" customHeight="1">
      <c r="C9369" s="70" t="str">
        <f t="shared" si="148"/>
        <v/>
      </c>
    </row>
    <row r="9370" spans="3:3" ht="15" customHeight="1">
      <c r="C9370" s="70" t="str">
        <f t="shared" si="148"/>
        <v/>
      </c>
    </row>
    <row r="9371" spans="3:3" ht="15" customHeight="1">
      <c r="C9371" s="70" t="str">
        <f t="shared" si="148"/>
        <v/>
      </c>
    </row>
    <row r="9372" spans="3:3" ht="15" customHeight="1">
      <c r="C9372" s="70" t="str">
        <f t="shared" si="148"/>
        <v/>
      </c>
    </row>
    <row r="9373" spans="3:3" ht="15" customHeight="1">
      <c r="C9373" s="70" t="str">
        <f t="shared" si="148"/>
        <v/>
      </c>
    </row>
    <row r="9374" spans="3:3" ht="15" customHeight="1">
      <c r="C9374" s="70" t="str">
        <f t="shared" si="148"/>
        <v/>
      </c>
    </row>
    <row r="9375" spans="3:3" ht="15" customHeight="1">
      <c r="C9375" s="70" t="str">
        <f t="shared" si="148"/>
        <v/>
      </c>
    </row>
    <row r="9376" spans="3:3" ht="15" customHeight="1">
      <c r="C9376" s="70" t="str">
        <f t="shared" si="148"/>
        <v/>
      </c>
    </row>
    <row r="9377" spans="3:3" ht="15" customHeight="1">
      <c r="C9377" s="70" t="str">
        <f t="shared" si="148"/>
        <v/>
      </c>
    </row>
    <row r="9378" spans="3:3" ht="15" customHeight="1">
      <c r="C9378" s="70" t="str">
        <f t="shared" si="148"/>
        <v/>
      </c>
    </row>
    <row r="9379" spans="3:3" ht="15" customHeight="1">
      <c r="C9379" s="70" t="str">
        <f t="shared" si="148"/>
        <v/>
      </c>
    </row>
    <row r="9380" spans="3:3" ht="15" customHeight="1">
      <c r="C9380" s="70" t="str">
        <f t="shared" si="148"/>
        <v/>
      </c>
    </row>
    <row r="9381" spans="3:3" ht="15" customHeight="1">
      <c r="C9381" s="70" t="str">
        <f t="shared" si="148"/>
        <v/>
      </c>
    </row>
    <row r="9382" spans="3:3" ht="15" customHeight="1">
      <c r="C9382" s="70" t="str">
        <f t="shared" si="148"/>
        <v/>
      </c>
    </row>
    <row r="9383" spans="3:3" ht="15" customHeight="1">
      <c r="C9383" s="70" t="str">
        <f t="shared" si="148"/>
        <v/>
      </c>
    </row>
    <row r="9384" spans="3:3" ht="15" customHeight="1">
      <c r="C9384" s="70" t="str">
        <f t="shared" si="148"/>
        <v/>
      </c>
    </row>
    <row r="9385" spans="3:3" ht="15" customHeight="1">
      <c r="C9385" s="70" t="str">
        <f t="shared" si="148"/>
        <v/>
      </c>
    </row>
    <row r="9386" spans="3:3" ht="15" customHeight="1">
      <c r="C9386" s="70" t="str">
        <f t="shared" si="148"/>
        <v/>
      </c>
    </row>
    <row r="9387" spans="3:3" ht="15" customHeight="1">
      <c r="C9387" s="70" t="str">
        <f t="shared" si="148"/>
        <v/>
      </c>
    </row>
    <row r="9388" spans="3:3" ht="15" customHeight="1">
      <c r="C9388" s="70" t="str">
        <f t="shared" si="148"/>
        <v/>
      </c>
    </row>
    <row r="9389" spans="3:3" ht="15" customHeight="1">
      <c r="C9389" s="70" t="str">
        <f t="shared" si="148"/>
        <v/>
      </c>
    </row>
    <row r="9390" spans="3:3" ht="15" customHeight="1">
      <c r="C9390" s="70" t="str">
        <f t="shared" si="148"/>
        <v/>
      </c>
    </row>
    <row r="9391" spans="3:3" ht="15" customHeight="1">
      <c r="C9391" s="70" t="str">
        <f t="shared" si="148"/>
        <v/>
      </c>
    </row>
    <row r="9392" spans="3:3" ht="15" customHeight="1">
      <c r="C9392" s="70" t="str">
        <f t="shared" si="148"/>
        <v/>
      </c>
    </row>
    <row r="9393" spans="3:3" ht="15" customHeight="1">
      <c r="C9393" s="70" t="str">
        <f t="shared" si="148"/>
        <v/>
      </c>
    </row>
    <row r="9394" spans="3:3" ht="15" customHeight="1">
      <c r="C9394" s="70" t="str">
        <f t="shared" si="148"/>
        <v/>
      </c>
    </row>
    <row r="9395" spans="3:3" ht="15" customHeight="1">
      <c r="C9395" s="70" t="str">
        <f t="shared" si="148"/>
        <v/>
      </c>
    </row>
    <row r="9396" spans="3:3" ht="15" customHeight="1">
      <c r="C9396" s="70" t="str">
        <f t="shared" si="148"/>
        <v/>
      </c>
    </row>
    <row r="9397" spans="3:3" ht="15" customHeight="1">
      <c r="C9397" s="70" t="str">
        <f t="shared" si="148"/>
        <v/>
      </c>
    </row>
    <row r="9398" spans="3:3" ht="15" customHeight="1">
      <c r="C9398" s="70" t="str">
        <f t="shared" si="148"/>
        <v/>
      </c>
    </row>
    <row r="9399" spans="3:3" ht="15" customHeight="1">
      <c r="C9399" s="70" t="str">
        <f t="shared" si="148"/>
        <v/>
      </c>
    </row>
    <row r="9400" spans="3:3" ht="15" customHeight="1">
      <c r="C9400" s="70" t="str">
        <f t="shared" si="148"/>
        <v/>
      </c>
    </row>
    <row r="9401" spans="3:3" ht="15" customHeight="1">
      <c r="C9401" s="70" t="str">
        <f t="shared" si="148"/>
        <v/>
      </c>
    </row>
    <row r="9402" spans="3:3" ht="15" customHeight="1">
      <c r="C9402" s="70" t="str">
        <f t="shared" si="148"/>
        <v/>
      </c>
    </row>
    <row r="9403" spans="3:3" ht="15" customHeight="1">
      <c r="C9403" s="70" t="str">
        <f t="shared" si="148"/>
        <v/>
      </c>
    </row>
    <row r="9404" spans="3:3" ht="15" customHeight="1">
      <c r="C9404" s="70" t="str">
        <f t="shared" si="148"/>
        <v/>
      </c>
    </row>
    <row r="9405" spans="3:3" ht="15" customHeight="1">
      <c r="C9405" s="70" t="str">
        <f t="shared" si="148"/>
        <v/>
      </c>
    </row>
    <row r="9406" spans="3:3" ht="15" customHeight="1">
      <c r="C9406" s="70" t="str">
        <f t="shared" si="148"/>
        <v/>
      </c>
    </row>
    <row r="9407" spans="3:3" ht="15" customHeight="1">
      <c r="C9407" s="70" t="str">
        <f t="shared" si="148"/>
        <v/>
      </c>
    </row>
    <row r="9408" spans="3:3" ht="15" customHeight="1">
      <c r="C9408" s="70" t="str">
        <f t="shared" si="148"/>
        <v/>
      </c>
    </row>
    <row r="9409" spans="3:3" ht="15" customHeight="1">
      <c r="C9409" s="70" t="str">
        <f t="shared" si="148"/>
        <v/>
      </c>
    </row>
    <row r="9410" spans="3:3" ht="15" customHeight="1">
      <c r="C9410" s="70" t="str">
        <f t="shared" si="148"/>
        <v/>
      </c>
    </row>
    <row r="9411" spans="3:3" ht="15" customHeight="1">
      <c r="C9411" s="70" t="str">
        <f t="shared" si="148"/>
        <v/>
      </c>
    </row>
    <row r="9412" spans="3:3" ht="15" customHeight="1">
      <c r="C9412" s="70" t="str">
        <f t="shared" si="148"/>
        <v/>
      </c>
    </row>
    <row r="9413" spans="3:3" ht="15" customHeight="1">
      <c r="C9413" s="70" t="str">
        <f t="shared" si="148"/>
        <v/>
      </c>
    </row>
    <row r="9414" spans="3:3" ht="15" customHeight="1">
      <c r="C9414" s="70" t="str">
        <f t="shared" si="148"/>
        <v/>
      </c>
    </row>
    <row r="9415" spans="3:3" ht="15" customHeight="1">
      <c r="C9415" s="70" t="str">
        <f t="shared" si="148"/>
        <v/>
      </c>
    </row>
    <row r="9416" spans="3:3" ht="15" customHeight="1">
      <c r="C9416" s="70" t="str">
        <f t="shared" si="148"/>
        <v/>
      </c>
    </row>
    <row r="9417" spans="3:3" ht="15" customHeight="1">
      <c r="C9417" s="70" t="str">
        <f t="shared" si="148"/>
        <v/>
      </c>
    </row>
    <row r="9418" spans="3:3" ht="15" customHeight="1">
      <c r="C9418" s="70" t="str">
        <f t="shared" si="148"/>
        <v/>
      </c>
    </row>
    <row r="9419" spans="3:3" ht="15" customHeight="1">
      <c r="C9419" s="70" t="str">
        <f t="shared" si="148"/>
        <v/>
      </c>
    </row>
    <row r="9420" spans="3:3" ht="15" customHeight="1">
      <c r="C9420" s="70" t="str">
        <f t="shared" si="148"/>
        <v/>
      </c>
    </row>
    <row r="9421" spans="3:3" ht="15" customHeight="1">
      <c r="C9421" s="70" t="str">
        <f t="shared" si="148"/>
        <v/>
      </c>
    </row>
    <row r="9422" spans="3:3" ht="15" customHeight="1">
      <c r="C9422" s="70" t="str">
        <f t="shared" si="148"/>
        <v/>
      </c>
    </row>
    <row r="9423" spans="3:3" ht="15" customHeight="1">
      <c r="C9423" s="70" t="str">
        <f t="shared" si="148"/>
        <v/>
      </c>
    </row>
    <row r="9424" spans="3:3" ht="15" customHeight="1">
      <c r="C9424" s="70" t="str">
        <f t="shared" si="148"/>
        <v/>
      </c>
    </row>
    <row r="9425" spans="3:3" ht="15" customHeight="1">
      <c r="C9425" s="70" t="str">
        <f t="shared" ref="C9425:C9488" si="149">IF(B9425&lt;&gt;"",TEXT(WEEKDAY(B9425),"dddd"),"")</f>
        <v/>
      </c>
    </row>
    <row r="9426" spans="3:3" ht="15" customHeight="1">
      <c r="C9426" s="70" t="str">
        <f t="shared" si="149"/>
        <v/>
      </c>
    </row>
    <row r="9427" spans="3:3" ht="15" customHeight="1">
      <c r="C9427" s="70" t="str">
        <f t="shared" si="149"/>
        <v/>
      </c>
    </row>
    <row r="9428" spans="3:3" ht="15" customHeight="1">
      <c r="C9428" s="70" t="str">
        <f t="shared" si="149"/>
        <v/>
      </c>
    </row>
    <row r="9429" spans="3:3" ht="15" customHeight="1">
      <c r="C9429" s="70" t="str">
        <f t="shared" si="149"/>
        <v/>
      </c>
    </row>
    <row r="9430" spans="3:3" ht="15" customHeight="1">
      <c r="C9430" s="70" t="str">
        <f t="shared" si="149"/>
        <v/>
      </c>
    </row>
    <row r="9431" spans="3:3" ht="15" customHeight="1">
      <c r="C9431" s="70" t="str">
        <f t="shared" si="149"/>
        <v/>
      </c>
    </row>
    <row r="9432" spans="3:3" ht="15" customHeight="1">
      <c r="C9432" s="70" t="str">
        <f t="shared" si="149"/>
        <v/>
      </c>
    </row>
    <row r="9433" spans="3:3" ht="15" customHeight="1">
      <c r="C9433" s="70" t="str">
        <f t="shared" si="149"/>
        <v/>
      </c>
    </row>
    <row r="9434" spans="3:3" ht="15" customHeight="1">
      <c r="C9434" s="70" t="str">
        <f t="shared" si="149"/>
        <v/>
      </c>
    </row>
    <row r="9435" spans="3:3" ht="15" customHeight="1">
      <c r="C9435" s="70" t="str">
        <f t="shared" si="149"/>
        <v/>
      </c>
    </row>
    <row r="9436" spans="3:3" ht="15" customHeight="1">
      <c r="C9436" s="70" t="str">
        <f t="shared" si="149"/>
        <v/>
      </c>
    </row>
    <row r="9437" spans="3:3" ht="15" customHeight="1">
      <c r="C9437" s="70" t="str">
        <f t="shared" si="149"/>
        <v/>
      </c>
    </row>
    <row r="9438" spans="3:3" ht="15" customHeight="1">
      <c r="C9438" s="70" t="str">
        <f t="shared" si="149"/>
        <v/>
      </c>
    </row>
    <row r="9439" spans="3:3" ht="15" customHeight="1">
      <c r="C9439" s="70" t="str">
        <f t="shared" si="149"/>
        <v/>
      </c>
    </row>
    <row r="9440" spans="3:3" ht="15" customHeight="1">
      <c r="C9440" s="70" t="str">
        <f t="shared" si="149"/>
        <v/>
      </c>
    </row>
    <row r="9441" spans="3:3" ht="15" customHeight="1">
      <c r="C9441" s="70" t="str">
        <f t="shared" si="149"/>
        <v/>
      </c>
    </row>
    <row r="9442" spans="3:3" ht="15" customHeight="1">
      <c r="C9442" s="70" t="str">
        <f t="shared" si="149"/>
        <v/>
      </c>
    </row>
    <row r="9443" spans="3:3" ht="15" customHeight="1">
      <c r="C9443" s="70" t="str">
        <f t="shared" si="149"/>
        <v/>
      </c>
    </row>
    <row r="9444" spans="3:3" ht="15" customHeight="1">
      <c r="C9444" s="70" t="str">
        <f t="shared" si="149"/>
        <v/>
      </c>
    </row>
    <row r="9445" spans="3:3" ht="15" customHeight="1">
      <c r="C9445" s="70" t="str">
        <f t="shared" si="149"/>
        <v/>
      </c>
    </row>
    <row r="9446" spans="3:3" ht="15" customHeight="1">
      <c r="C9446" s="70" t="str">
        <f t="shared" si="149"/>
        <v/>
      </c>
    </row>
    <row r="9447" spans="3:3" ht="15" customHeight="1">
      <c r="C9447" s="70" t="str">
        <f t="shared" si="149"/>
        <v/>
      </c>
    </row>
    <row r="9448" spans="3:3" ht="15" customHeight="1">
      <c r="C9448" s="70" t="str">
        <f t="shared" si="149"/>
        <v/>
      </c>
    </row>
    <row r="9449" spans="3:3" ht="15" customHeight="1">
      <c r="C9449" s="70" t="str">
        <f t="shared" si="149"/>
        <v/>
      </c>
    </row>
    <row r="9450" spans="3:3" ht="15" customHeight="1">
      <c r="C9450" s="70" t="str">
        <f t="shared" si="149"/>
        <v/>
      </c>
    </row>
    <row r="9451" spans="3:3" ht="15" customHeight="1">
      <c r="C9451" s="70" t="str">
        <f t="shared" si="149"/>
        <v/>
      </c>
    </row>
    <row r="9452" spans="3:3" ht="15" customHeight="1">
      <c r="C9452" s="70" t="str">
        <f t="shared" si="149"/>
        <v/>
      </c>
    </row>
    <row r="9453" spans="3:3" ht="15" customHeight="1">
      <c r="C9453" s="70" t="str">
        <f t="shared" si="149"/>
        <v/>
      </c>
    </row>
    <row r="9454" spans="3:3" ht="15" customHeight="1">
      <c r="C9454" s="70" t="str">
        <f t="shared" si="149"/>
        <v/>
      </c>
    </row>
    <row r="9455" spans="3:3" ht="15" customHeight="1">
      <c r="C9455" s="70" t="str">
        <f t="shared" si="149"/>
        <v/>
      </c>
    </row>
    <row r="9456" spans="3:3" ht="15" customHeight="1">
      <c r="C9456" s="70" t="str">
        <f t="shared" si="149"/>
        <v/>
      </c>
    </row>
    <row r="9457" spans="3:3" ht="15" customHeight="1">
      <c r="C9457" s="70" t="str">
        <f t="shared" si="149"/>
        <v/>
      </c>
    </row>
    <row r="9458" spans="3:3" ht="15" customHeight="1">
      <c r="C9458" s="70" t="str">
        <f t="shared" si="149"/>
        <v/>
      </c>
    </row>
    <row r="9459" spans="3:3" ht="15" customHeight="1">
      <c r="C9459" s="70" t="str">
        <f t="shared" si="149"/>
        <v/>
      </c>
    </row>
    <row r="9460" spans="3:3" ht="15" customHeight="1">
      <c r="C9460" s="70" t="str">
        <f t="shared" si="149"/>
        <v/>
      </c>
    </row>
    <row r="9461" spans="3:3" ht="15" customHeight="1">
      <c r="C9461" s="70" t="str">
        <f t="shared" si="149"/>
        <v/>
      </c>
    </row>
    <row r="9462" spans="3:3" ht="15" customHeight="1">
      <c r="C9462" s="70" t="str">
        <f t="shared" si="149"/>
        <v/>
      </c>
    </row>
    <row r="9463" spans="3:3" ht="15" customHeight="1">
      <c r="C9463" s="70" t="str">
        <f t="shared" si="149"/>
        <v/>
      </c>
    </row>
    <row r="9464" spans="3:3" ht="15" customHeight="1">
      <c r="C9464" s="70" t="str">
        <f t="shared" si="149"/>
        <v/>
      </c>
    </row>
    <row r="9465" spans="3:3" ht="15" customHeight="1">
      <c r="C9465" s="70" t="str">
        <f t="shared" si="149"/>
        <v/>
      </c>
    </row>
    <row r="9466" spans="3:3" ht="15" customHeight="1">
      <c r="C9466" s="70" t="str">
        <f t="shared" si="149"/>
        <v/>
      </c>
    </row>
    <row r="9467" spans="3:3" ht="15" customHeight="1">
      <c r="C9467" s="70" t="str">
        <f t="shared" si="149"/>
        <v/>
      </c>
    </row>
    <row r="9468" spans="3:3" ht="15" customHeight="1">
      <c r="C9468" s="70" t="str">
        <f t="shared" si="149"/>
        <v/>
      </c>
    </row>
    <row r="9469" spans="3:3" ht="15" customHeight="1">
      <c r="C9469" s="70" t="str">
        <f t="shared" si="149"/>
        <v/>
      </c>
    </row>
    <row r="9470" spans="3:3" ht="15" customHeight="1">
      <c r="C9470" s="70" t="str">
        <f t="shared" si="149"/>
        <v/>
      </c>
    </row>
    <row r="9471" spans="3:3" ht="15" customHeight="1">
      <c r="C9471" s="70" t="str">
        <f t="shared" si="149"/>
        <v/>
      </c>
    </row>
    <row r="9472" spans="3:3" ht="15" customHeight="1">
      <c r="C9472" s="70" t="str">
        <f t="shared" si="149"/>
        <v/>
      </c>
    </row>
    <row r="9473" spans="3:3" ht="15" customHeight="1">
      <c r="C9473" s="70" t="str">
        <f t="shared" si="149"/>
        <v/>
      </c>
    </row>
    <row r="9474" spans="3:3" ht="15" customHeight="1">
      <c r="C9474" s="70" t="str">
        <f t="shared" si="149"/>
        <v/>
      </c>
    </row>
    <row r="9475" spans="3:3" ht="15" customHeight="1">
      <c r="C9475" s="70" t="str">
        <f t="shared" si="149"/>
        <v/>
      </c>
    </row>
    <row r="9476" spans="3:3" ht="15" customHeight="1">
      <c r="C9476" s="70" t="str">
        <f t="shared" si="149"/>
        <v/>
      </c>
    </row>
    <row r="9477" spans="3:3" ht="15" customHeight="1">
      <c r="C9477" s="70" t="str">
        <f t="shared" si="149"/>
        <v/>
      </c>
    </row>
    <row r="9478" spans="3:3" ht="15" customHeight="1">
      <c r="C9478" s="70" t="str">
        <f t="shared" si="149"/>
        <v/>
      </c>
    </row>
    <row r="9479" spans="3:3" ht="15" customHeight="1">
      <c r="C9479" s="70" t="str">
        <f t="shared" si="149"/>
        <v/>
      </c>
    </row>
    <row r="9480" spans="3:3" ht="15" customHeight="1">
      <c r="C9480" s="70" t="str">
        <f t="shared" si="149"/>
        <v/>
      </c>
    </row>
    <row r="9481" spans="3:3" ht="15" customHeight="1">
      <c r="C9481" s="70" t="str">
        <f t="shared" si="149"/>
        <v/>
      </c>
    </row>
    <row r="9482" spans="3:3" ht="15" customHeight="1">
      <c r="C9482" s="70" t="str">
        <f t="shared" si="149"/>
        <v/>
      </c>
    </row>
    <row r="9483" spans="3:3" ht="15" customHeight="1">
      <c r="C9483" s="70" t="str">
        <f t="shared" si="149"/>
        <v/>
      </c>
    </row>
    <row r="9484" spans="3:3" ht="15" customHeight="1">
      <c r="C9484" s="70" t="str">
        <f t="shared" si="149"/>
        <v/>
      </c>
    </row>
    <row r="9485" spans="3:3" ht="15" customHeight="1">
      <c r="C9485" s="70" t="str">
        <f t="shared" si="149"/>
        <v/>
      </c>
    </row>
    <row r="9486" spans="3:3" ht="15" customHeight="1">
      <c r="C9486" s="70" t="str">
        <f t="shared" si="149"/>
        <v/>
      </c>
    </row>
    <row r="9487" spans="3:3" ht="15" customHeight="1">
      <c r="C9487" s="70" t="str">
        <f t="shared" si="149"/>
        <v/>
      </c>
    </row>
    <row r="9488" spans="3:3" ht="15" customHeight="1">
      <c r="C9488" s="70" t="str">
        <f t="shared" si="149"/>
        <v/>
      </c>
    </row>
    <row r="9489" spans="3:3" ht="15" customHeight="1">
      <c r="C9489" s="70" t="str">
        <f t="shared" ref="C9489:C9552" si="150">IF(B9489&lt;&gt;"",TEXT(WEEKDAY(B9489),"dddd"),"")</f>
        <v/>
      </c>
    </row>
    <row r="9490" spans="3:3" ht="15" customHeight="1">
      <c r="C9490" s="70" t="str">
        <f t="shared" si="150"/>
        <v/>
      </c>
    </row>
    <row r="9491" spans="3:3" ht="15" customHeight="1">
      <c r="C9491" s="70" t="str">
        <f t="shared" si="150"/>
        <v/>
      </c>
    </row>
    <row r="9492" spans="3:3" ht="15" customHeight="1">
      <c r="C9492" s="70" t="str">
        <f t="shared" si="150"/>
        <v/>
      </c>
    </row>
    <row r="9493" spans="3:3" ht="15" customHeight="1">
      <c r="C9493" s="70" t="str">
        <f t="shared" si="150"/>
        <v/>
      </c>
    </row>
    <row r="9494" spans="3:3" ht="15" customHeight="1">
      <c r="C9494" s="70" t="str">
        <f t="shared" si="150"/>
        <v/>
      </c>
    </row>
    <row r="9495" spans="3:3" ht="15" customHeight="1">
      <c r="C9495" s="70" t="str">
        <f t="shared" si="150"/>
        <v/>
      </c>
    </row>
    <row r="9496" spans="3:3" ht="15" customHeight="1">
      <c r="C9496" s="70" t="str">
        <f t="shared" si="150"/>
        <v/>
      </c>
    </row>
    <row r="9497" spans="3:3" ht="15" customHeight="1">
      <c r="C9497" s="70" t="str">
        <f t="shared" si="150"/>
        <v/>
      </c>
    </row>
    <row r="9498" spans="3:3" ht="15" customHeight="1">
      <c r="C9498" s="70" t="str">
        <f t="shared" si="150"/>
        <v/>
      </c>
    </row>
    <row r="9499" spans="3:3" ht="15" customHeight="1">
      <c r="C9499" s="70" t="str">
        <f t="shared" si="150"/>
        <v/>
      </c>
    </row>
    <row r="9500" spans="3:3" ht="15" customHeight="1">
      <c r="C9500" s="70" t="str">
        <f t="shared" si="150"/>
        <v/>
      </c>
    </row>
    <row r="9501" spans="3:3" ht="15" customHeight="1">
      <c r="C9501" s="70" t="str">
        <f t="shared" si="150"/>
        <v/>
      </c>
    </row>
    <row r="9502" spans="3:3" ht="15" customHeight="1">
      <c r="C9502" s="70" t="str">
        <f t="shared" si="150"/>
        <v/>
      </c>
    </row>
    <row r="9503" spans="3:3" ht="15" customHeight="1">
      <c r="C9503" s="70" t="str">
        <f t="shared" si="150"/>
        <v/>
      </c>
    </row>
    <row r="9504" spans="3:3" ht="15" customHeight="1">
      <c r="C9504" s="70" t="str">
        <f t="shared" si="150"/>
        <v/>
      </c>
    </row>
    <row r="9505" spans="3:3" ht="15" customHeight="1">
      <c r="C9505" s="70" t="str">
        <f t="shared" si="150"/>
        <v/>
      </c>
    </row>
    <row r="9506" spans="3:3" ht="15" customHeight="1">
      <c r="C9506" s="70" t="str">
        <f t="shared" si="150"/>
        <v/>
      </c>
    </row>
    <row r="9507" spans="3:3" ht="15" customHeight="1">
      <c r="C9507" s="70" t="str">
        <f t="shared" si="150"/>
        <v/>
      </c>
    </row>
    <row r="9508" spans="3:3" ht="15" customHeight="1">
      <c r="C9508" s="70" t="str">
        <f t="shared" si="150"/>
        <v/>
      </c>
    </row>
    <row r="9509" spans="3:3" ht="15" customHeight="1">
      <c r="C9509" s="70" t="str">
        <f t="shared" si="150"/>
        <v/>
      </c>
    </row>
    <row r="9510" spans="3:3" ht="15" customHeight="1">
      <c r="C9510" s="70" t="str">
        <f t="shared" si="150"/>
        <v/>
      </c>
    </row>
    <row r="9511" spans="3:3" ht="15" customHeight="1">
      <c r="C9511" s="70" t="str">
        <f t="shared" si="150"/>
        <v/>
      </c>
    </row>
    <row r="9512" spans="3:3" ht="15" customHeight="1">
      <c r="C9512" s="70" t="str">
        <f t="shared" si="150"/>
        <v/>
      </c>
    </row>
    <row r="9513" spans="3:3" ht="15" customHeight="1">
      <c r="C9513" s="70" t="str">
        <f t="shared" si="150"/>
        <v/>
      </c>
    </row>
    <row r="9514" spans="3:3" ht="15" customHeight="1">
      <c r="C9514" s="70" t="str">
        <f t="shared" si="150"/>
        <v/>
      </c>
    </row>
    <row r="9515" spans="3:3" ht="15" customHeight="1">
      <c r="C9515" s="70" t="str">
        <f t="shared" si="150"/>
        <v/>
      </c>
    </row>
    <row r="9516" spans="3:3" ht="15" customHeight="1">
      <c r="C9516" s="70" t="str">
        <f t="shared" si="150"/>
        <v/>
      </c>
    </row>
    <row r="9517" spans="3:3" ht="15" customHeight="1">
      <c r="C9517" s="70" t="str">
        <f t="shared" si="150"/>
        <v/>
      </c>
    </row>
    <row r="9518" spans="3:3" ht="15" customHeight="1">
      <c r="C9518" s="70" t="str">
        <f t="shared" si="150"/>
        <v/>
      </c>
    </row>
    <row r="9519" spans="3:3" ht="15" customHeight="1">
      <c r="C9519" s="70" t="str">
        <f t="shared" si="150"/>
        <v/>
      </c>
    </row>
    <row r="9520" spans="3:3" ht="15" customHeight="1">
      <c r="C9520" s="70" t="str">
        <f t="shared" si="150"/>
        <v/>
      </c>
    </row>
    <row r="9521" spans="3:3" ht="15" customHeight="1">
      <c r="C9521" s="70" t="str">
        <f t="shared" si="150"/>
        <v/>
      </c>
    </row>
    <row r="9522" spans="3:3" ht="15" customHeight="1">
      <c r="C9522" s="70" t="str">
        <f t="shared" si="150"/>
        <v/>
      </c>
    </row>
    <row r="9523" spans="3:3" ht="15" customHeight="1">
      <c r="C9523" s="70" t="str">
        <f t="shared" si="150"/>
        <v/>
      </c>
    </row>
    <row r="9524" spans="3:3" ht="15" customHeight="1">
      <c r="C9524" s="70" t="str">
        <f t="shared" si="150"/>
        <v/>
      </c>
    </row>
    <row r="9525" spans="3:3" ht="15" customHeight="1">
      <c r="C9525" s="70" t="str">
        <f t="shared" si="150"/>
        <v/>
      </c>
    </row>
    <row r="9526" spans="3:3" ht="15" customHeight="1">
      <c r="C9526" s="70" t="str">
        <f t="shared" si="150"/>
        <v/>
      </c>
    </row>
    <row r="9527" spans="3:3" ht="15" customHeight="1">
      <c r="C9527" s="70" t="str">
        <f t="shared" si="150"/>
        <v/>
      </c>
    </row>
    <row r="9528" spans="3:3" ht="15" customHeight="1">
      <c r="C9528" s="70" t="str">
        <f t="shared" si="150"/>
        <v/>
      </c>
    </row>
    <row r="9529" spans="3:3" ht="15" customHeight="1">
      <c r="C9529" s="70" t="str">
        <f t="shared" si="150"/>
        <v/>
      </c>
    </row>
    <row r="9530" spans="3:3" ht="15" customHeight="1">
      <c r="C9530" s="70" t="str">
        <f t="shared" si="150"/>
        <v/>
      </c>
    </row>
    <row r="9531" spans="3:3" ht="15" customHeight="1">
      <c r="C9531" s="70" t="str">
        <f t="shared" si="150"/>
        <v/>
      </c>
    </row>
    <row r="9532" spans="3:3" ht="15" customHeight="1">
      <c r="C9532" s="70" t="str">
        <f t="shared" si="150"/>
        <v/>
      </c>
    </row>
    <row r="9533" spans="3:3" ht="15" customHeight="1">
      <c r="C9533" s="70" t="str">
        <f t="shared" si="150"/>
        <v/>
      </c>
    </row>
    <row r="9534" spans="3:3" ht="15" customHeight="1">
      <c r="C9534" s="70" t="str">
        <f t="shared" si="150"/>
        <v/>
      </c>
    </row>
    <row r="9535" spans="3:3" ht="15" customHeight="1">
      <c r="C9535" s="70" t="str">
        <f t="shared" si="150"/>
        <v/>
      </c>
    </row>
    <row r="9536" spans="3:3" ht="15" customHeight="1">
      <c r="C9536" s="70" t="str">
        <f t="shared" si="150"/>
        <v/>
      </c>
    </row>
    <row r="9537" spans="3:3" ht="15" customHeight="1">
      <c r="C9537" s="70" t="str">
        <f t="shared" si="150"/>
        <v/>
      </c>
    </row>
    <row r="9538" spans="3:3" ht="15" customHeight="1">
      <c r="C9538" s="70" t="str">
        <f t="shared" si="150"/>
        <v/>
      </c>
    </row>
    <row r="9539" spans="3:3" ht="15" customHeight="1">
      <c r="C9539" s="70" t="str">
        <f t="shared" si="150"/>
        <v/>
      </c>
    </row>
    <row r="9540" spans="3:3" ht="15" customHeight="1">
      <c r="C9540" s="70" t="str">
        <f t="shared" si="150"/>
        <v/>
      </c>
    </row>
    <row r="9541" spans="3:3" ht="15" customHeight="1">
      <c r="C9541" s="70" t="str">
        <f t="shared" si="150"/>
        <v/>
      </c>
    </row>
    <row r="9542" spans="3:3" ht="15" customHeight="1">
      <c r="C9542" s="70" t="str">
        <f t="shared" si="150"/>
        <v/>
      </c>
    </row>
    <row r="9543" spans="3:3" ht="15" customHeight="1">
      <c r="C9543" s="70" t="str">
        <f t="shared" si="150"/>
        <v/>
      </c>
    </row>
    <row r="9544" spans="3:3" ht="15" customHeight="1">
      <c r="C9544" s="70" t="str">
        <f t="shared" si="150"/>
        <v/>
      </c>
    </row>
    <row r="9545" spans="3:3" ht="15" customHeight="1">
      <c r="C9545" s="70" t="str">
        <f t="shared" si="150"/>
        <v/>
      </c>
    </row>
    <row r="9546" spans="3:3" ht="15" customHeight="1">
      <c r="C9546" s="70" t="str">
        <f t="shared" si="150"/>
        <v/>
      </c>
    </row>
    <row r="9547" spans="3:3" ht="15" customHeight="1">
      <c r="C9547" s="70" t="str">
        <f t="shared" si="150"/>
        <v/>
      </c>
    </row>
    <row r="9548" spans="3:3" ht="15" customHeight="1">
      <c r="C9548" s="70" t="str">
        <f t="shared" si="150"/>
        <v/>
      </c>
    </row>
    <row r="9549" spans="3:3" ht="15" customHeight="1">
      <c r="C9549" s="70" t="str">
        <f t="shared" si="150"/>
        <v/>
      </c>
    </row>
    <row r="9550" spans="3:3" ht="15" customHeight="1">
      <c r="C9550" s="70" t="str">
        <f t="shared" si="150"/>
        <v/>
      </c>
    </row>
    <row r="9551" spans="3:3" ht="15" customHeight="1">
      <c r="C9551" s="70" t="str">
        <f t="shared" si="150"/>
        <v/>
      </c>
    </row>
    <row r="9552" spans="3:3" ht="15" customHeight="1">
      <c r="C9552" s="70" t="str">
        <f t="shared" si="150"/>
        <v/>
      </c>
    </row>
    <row r="9553" spans="3:3" ht="15" customHeight="1">
      <c r="C9553" s="70" t="str">
        <f t="shared" ref="C9553:C9616" si="151">IF(B9553&lt;&gt;"",TEXT(WEEKDAY(B9553),"dddd"),"")</f>
        <v/>
      </c>
    </row>
    <row r="9554" spans="3:3" ht="15" customHeight="1">
      <c r="C9554" s="70" t="str">
        <f t="shared" si="151"/>
        <v/>
      </c>
    </row>
    <row r="9555" spans="3:3" ht="15" customHeight="1">
      <c r="C9555" s="70" t="str">
        <f t="shared" si="151"/>
        <v/>
      </c>
    </row>
    <row r="9556" spans="3:3" ht="15" customHeight="1">
      <c r="C9556" s="70" t="str">
        <f t="shared" si="151"/>
        <v/>
      </c>
    </row>
    <row r="9557" spans="3:3" ht="15" customHeight="1">
      <c r="C9557" s="70" t="str">
        <f t="shared" si="151"/>
        <v/>
      </c>
    </row>
    <row r="9558" spans="3:3" ht="15" customHeight="1">
      <c r="C9558" s="70" t="str">
        <f t="shared" si="151"/>
        <v/>
      </c>
    </row>
    <row r="9559" spans="3:3" ht="15" customHeight="1">
      <c r="C9559" s="70" t="str">
        <f t="shared" si="151"/>
        <v/>
      </c>
    </row>
    <row r="9560" spans="3:3" ht="15" customHeight="1">
      <c r="C9560" s="70" t="str">
        <f t="shared" si="151"/>
        <v/>
      </c>
    </row>
    <row r="9561" spans="3:3" ht="15" customHeight="1">
      <c r="C9561" s="70" t="str">
        <f t="shared" si="151"/>
        <v/>
      </c>
    </row>
    <row r="9562" spans="3:3" ht="15" customHeight="1">
      <c r="C9562" s="70" t="str">
        <f t="shared" si="151"/>
        <v/>
      </c>
    </row>
    <row r="9563" spans="3:3" ht="15" customHeight="1">
      <c r="C9563" s="70" t="str">
        <f t="shared" si="151"/>
        <v/>
      </c>
    </row>
    <row r="9564" spans="3:3" ht="15" customHeight="1">
      <c r="C9564" s="70" t="str">
        <f t="shared" si="151"/>
        <v/>
      </c>
    </row>
    <row r="9565" spans="3:3" ht="15" customHeight="1">
      <c r="C9565" s="70" t="str">
        <f t="shared" si="151"/>
        <v/>
      </c>
    </row>
    <row r="9566" spans="3:3" ht="15" customHeight="1">
      <c r="C9566" s="70" t="str">
        <f t="shared" si="151"/>
        <v/>
      </c>
    </row>
    <row r="9567" spans="3:3" ht="15" customHeight="1">
      <c r="C9567" s="70" t="str">
        <f t="shared" si="151"/>
        <v/>
      </c>
    </row>
    <row r="9568" spans="3:3" ht="15" customHeight="1">
      <c r="C9568" s="70" t="str">
        <f t="shared" si="151"/>
        <v/>
      </c>
    </row>
    <row r="9569" spans="3:3" ht="15" customHeight="1">
      <c r="C9569" s="70" t="str">
        <f t="shared" si="151"/>
        <v/>
      </c>
    </row>
    <row r="9570" spans="3:3" ht="15" customHeight="1">
      <c r="C9570" s="70" t="str">
        <f t="shared" si="151"/>
        <v/>
      </c>
    </row>
    <row r="9571" spans="3:3" ht="15" customHeight="1">
      <c r="C9571" s="70" t="str">
        <f t="shared" si="151"/>
        <v/>
      </c>
    </row>
    <row r="9572" spans="3:3" ht="15" customHeight="1">
      <c r="C9572" s="70" t="str">
        <f t="shared" si="151"/>
        <v/>
      </c>
    </row>
    <row r="9573" spans="3:3" ht="15" customHeight="1">
      <c r="C9573" s="70" t="str">
        <f t="shared" si="151"/>
        <v/>
      </c>
    </row>
    <row r="9574" spans="3:3" ht="15" customHeight="1">
      <c r="C9574" s="70" t="str">
        <f t="shared" si="151"/>
        <v/>
      </c>
    </row>
    <row r="9575" spans="3:3" ht="15" customHeight="1">
      <c r="C9575" s="70" t="str">
        <f t="shared" si="151"/>
        <v/>
      </c>
    </row>
    <row r="9576" spans="3:3" ht="15" customHeight="1">
      <c r="C9576" s="70" t="str">
        <f t="shared" si="151"/>
        <v/>
      </c>
    </row>
    <row r="9577" spans="3:3" ht="15" customHeight="1">
      <c r="C9577" s="70" t="str">
        <f t="shared" si="151"/>
        <v/>
      </c>
    </row>
    <row r="9578" spans="3:3" ht="15" customHeight="1">
      <c r="C9578" s="70" t="str">
        <f t="shared" si="151"/>
        <v/>
      </c>
    </row>
    <row r="9579" spans="3:3" ht="15" customHeight="1">
      <c r="C9579" s="70" t="str">
        <f t="shared" si="151"/>
        <v/>
      </c>
    </row>
    <row r="9580" spans="3:3" ht="15" customHeight="1">
      <c r="C9580" s="70" t="str">
        <f t="shared" si="151"/>
        <v/>
      </c>
    </row>
    <row r="9581" spans="3:3" ht="15" customHeight="1">
      <c r="C9581" s="70" t="str">
        <f t="shared" si="151"/>
        <v/>
      </c>
    </row>
    <row r="9582" spans="3:3" ht="15" customHeight="1">
      <c r="C9582" s="70" t="str">
        <f t="shared" si="151"/>
        <v/>
      </c>
    </row>
    <row r="9583" spans="3:3" ht="15" customHeight="1">
      <c r="C9583" s="70" t="str">
        <f t="shared" si="151"/>
        <v/>
      </c>
    </row>
    <row r="9584" spans="3:3" ht="15" customHeight="1">
      <c r="C9584" s="70" t="str">
        <f t="shared" si="151"/>
        <v/>
      </c>
    </row>
    <row r="9585" spans="3:3" ht="15" customHeight="1">
      <c r="C9585" s="70" t="str">
        <f t="shared" si="151"/>
        <v/>
      </c>
    </row>
    <row r="9586" spans="3:3" ht="15" customHeight="1">
      <c r="C9586" s="70" t="str">
        <f t="shared" si="151"/>
        <v/>
      </c>
    </row>
    <row r="9587" spans="3:3" ht="15" customHeight="1">
      <c r="C9587" s="70" t="str">
        <f t="shared" si="151"/>
        <v/>
      </c>
    </row>
    <row r="9588" spans="3:3" ht="15" customHeight="1">
      <c r="C9588" s="70" t="str">
        <f t="shared" si="151"/>
        <v/>
      </c>
    </row>
    <row r="9589" spans="3:3" ht="15" customHeight="1">
      <c r="C9589" s="70" t="str">
        <f t="shared" si="151"/>
        <v/>
      </c>
    </row>
    <row r="9590" spans="3:3" ht="15" customHeight="1">
      <c r="C9590" s="70" t="str">
        <f t="shared" si="151"/>
        <v/>
      </c>
    </row>
    <row r="9591" spans="3:3" ht="15" customHeight="1">
      <c r="C9591" s="70" t="str">
        <f t="shared" si="151"/>
        <v/>
      </c>
    </row>
    <row r="9592" spans="3:3" ht="15" customHeight="1">
      <c r="C9592" s="70" t="str">
        <f t="shared" si="151"/>
        <v/>
      </c>
    </row>
    <row r="9593" spans="3:3" ht="15" customHeight="1">
      <c r="C9593" s="70" t="str">
        <f t="shared" si="151"/>
        <v/>
      </c>
    </row>
    <row r="9594" spans="3:3" ht="15" customHeight="1">
      <c r="C9594" s="70" t="str">
        <f t="shared" si="151"/>
        <v/>
      </c>
    </row>
    <row r="9595" spans="3:3" ht="15" customHeight="1">
      <c r="C9595" s="70" t="str">
        <f t="shared" si="151"/>
        <v/>
      </c>
    </row>
    <row r="9596" spans="3:3" ht="15" customHeight="1">
      <c r="C9596" s="70" t="str">
        <f t="shared" si="151"/>
        <v/>
      </c>
    </row>
    <row r="9597" spans="3:3" ht="15" customHeight="1">
      <c r="C9597" s="70" t="str">
        <f t="shared" si="151"/>
        <v/>
      </c>
    </row>
    <row r="9598" spans="3:3" ht="15" customHeight="1">
      <c r="C9598" s="70" t="str">
        <f t="shared" si="151"/>
        <v/>
      </c>
    </row>
    <row r="9599" spans="3:3" ht="15" customHeight="1">
      <c r="C9599" s="70" t="str">
        <f t="shared" si="151"/>
        <v/>
      </c>
    </row>
    <row r="9600" spans="3:3" ht="15" customHeight="1">
      <c r="C9600" s="70" t="str">
        <f t="shared" si="151"/>
        <v/>
      </c>
    </row>
    <row r="9601" spans="3:3" ht="15" customHeight="1">
      <c r="C9601" s="70" t="str">
        <f t="shared" si="151"/>
        <v/>
      </c>
    </row>
    <row r="9602" spans="3:3" ht="15" customHeight="1">
      <c r="C9602" s="70" t="str">
        <f t="shared" si="151"/>
        <v/>
      </c>
    </row>
    <row r="9603" spans="3:3" ht="15" customHeight="1">
      <c r="C9603" s="70" t="str">
        <f t="shared" si="151"/>
        <v/>
      </c>
    </row>
    <row r="9604" spans="3:3" ht="15" customHeight="1">
      <c r="C9604" s="70" t="str">
        <f t="shared" si="151"/>
        <v/>
      </c>
    </row>
    <row r="9605" spans="3:3" ht="15" customHeight="1">
      <c r="C9605" s="70" t="str">
        <f t="shared" si="151"/>
        <v/>
      </c>
    </row>
    <row r="9606" spans="3:3" ht="15" customHeight="1">
      <c r="C9606" s="70" t="str">
        <f t="shared" si="151"/>
        <v/>
      </c>
    </row>
    <row r="9607" spans="3:3" ht="15" customHeight="1">
      <c r="C9607" s="70" t="str">
        <f t="shared" si="151"/>
        <v/>
      </c>
    </row>
    <row r="9608" spans="3:3" ht="15" customHeight="1">
      <c r="C9608" s="70" t="str">
        <f t="shared" si="151"/>
        <v/>
      </c>
    </row>
    <row r="9609" spans="3:3" ht="15" customHeight="1">
      <c r="C9609" s="70" t="str">
        <f t="shared" si="151"/>
        <v/>
      </c>
    </row>
    <row r="9610" spans="3:3" ht="15" customHeight="1">
      <c r="C9610" s="70" t="str">
        <f t="shared" si="151"/>
        <v/>
      </c>
    </row>
    <row r="9611" spans="3:3" ht="15" customHeight="1">
      <c r="C9611" s="70" t="str">
        <f t="shared" si="151"/>
        <v/>
      </c>
    </row>
    <row r="9612" spans="3:3" ht="15" customHeight="1">
      <c r="C9612" s="70" t="str">
        <f t="shared" si="151"/>
        <v/>
      </c>
    </row>
    <row r="9613" spans="3:3" ht="15" customHeight="1">
      <c r="C9613" s="70" t="str">
        <f t="shared" si="151"/>
        <v/>
      </c>
    </row>
    <row r="9614" spans="3:3" ht="15" customHeight="1">
      <c r="C9614" s="70" t="str">
        <f t="shared" si="151"/>
        <v/>
      </c>
    </row>
    <row r="9615" spans="3:3" ht="15" customHeight="1">
      <c r="C9615" s="70" t="str">
        <f t="shared" si="151"/>
        <v/>
      </c>
    </row>
    <row r="9616" spans="3:3" ht="15" customHeight="1">
      <c r="C9616" s="70" t="str">
        <f t="shared" si="151"/>
        <v/>
      </c>
    </row>
    <row r="9617" spans="3:3" ht="15" customHeight="1">
      <c r="C9617" s="70" t="str">
        <f t="shared" ref="C9617:C9680" si="152">IF(B9617&lt;&gt;"",TEXT(WEEKDAY(B9617),"dddd"),"")</f>
        <v/>
      </c>
    </row>
    <row r="9618" spans="3:3" ht="15" customHeight="1">
      <c r="C9618" s="70" t="str">
        <f t="shared" si="152"/>
        <v/>
      </c>
    </row>
    <row r="9619" spans="3:3" ht="15" customHeight="1">
      <c r="C9619" s="70" t="str">
        <f t="shared" si="152"/>
        <v/>
      </c>
    </row>
    <row r="9620" spans="3:3" ht="15" customHeight="1">
      <c r="C9620" s="70" t="str">
        <f t="shared" si="152"/>
        <v/>
      </c>
    </row>
    <row r="9621" spans="3:3" ht="15" customHeight="1">
      <c r="C9621" s="70" t="str">
        <f t="shared" si="152"/>
        <v/>
      </c>
    </row>
    <row r="9622" spans="3:3" ht="15" customHeight="1">
      <c r="C9622" s="70" t="str">
        <f t="shared" si="152"/>
        <v/>
      </c>
    </row>
    <row r="9623" spans="3:3" ht="15" customHeight="1">
      <c r="C9623" s="70" t="str">
        <f t="shared" si="152"/>
        <v/>
      </c>
    </row>
    <row r="9624" spans="3:3" ht="15" customHeight="1">
      <c r="C9624" s="70" t="str">
        <f t="shared" si="152"/>
        <v/>
      </c>
    </row>
    <row r="9625" spans="3:3" ht="15" customHeight="1">
      <c r="C9625" s="70" t="str">
        <f t="shared" si="152"/>
        <v/>
      </c>
    </row>
    <row r="9626" spans="3:3" ht="15" customHeight="1">
      <c r="C9626" s="70" t="str">
        <f t="shared" si="152"/>
        <v/>
      </c>
    </row>
    <row r="9627" spans="3:3" ht="15" customHeight="1">
      <c r="C9627" s="70" t="str">
        <f t="shared" si="152"/>
        <v/>
      </c>
    </row>
    <row r="9628" spans="3:3" ht="15" customHeight="1">
      <c r="C9628" s="70" t="str">
        <f t="shared" si="152"/>
        <v/>
      </c>
    </row>
    <row r="9629" spans="3:3" ht="15" customHeight="1">
      <c r="C9629" s="70" t="str">
        <f t="shared" si="152"/>
        <v/>
      </c>
    </row>
    <row r="9630" spans="3:3" ht="15" customHeight="1">
      <c r="C9630" s="70" t="str">
        <f t="shared" si="152"/>
        <v/>
      </c>
    </row>
    <row r="9631" spans="3:3" ht="15" customHeight="1">
      <c r="C9631" s="70" t="str">
        <f t="shared" si="152"/>
        <v/>
      </c>
    </row>
    <row r="9632" spans="3:3" ht="15" customHeight="1">
      <c r="C9632" s="70" t="str">
        <f t="shared" si="152"/>
        <v/>
      </c>
    </row>
    <row r="9633" spans="3:3" ht="15" customHeight="1">
      <c r="C9633" s="70" t="str">
        <f t="shared" si="152"/>
        <v/>
      </c>
    </row>
    <row r="9634" spans="3:3" ht="15" customHeight="1">
      <c r="C9634" s="70" t="str">
        <f t="shared" si="152"/>
        <v/>
      </c>
    </row>
    <row r="9635" spans="3:3" ht="15" customHeight="1">
      <c r="C9635" s="70" t="str">
        <f t="shared" si="152"/>
        <v/>
      </c>
    </row>
    <row r="9636" spans="3:3" ht="15" customHeight="1">
      <c r="C9636" s="70" t="str">
        <f t="shared" si="152"/>
        <v/>
      </c>
    </row>
    <row r="9637" spans="3:3" ht="15" customHeight="1">
      <c r="C9637" s="70" t="str">
        <f t="shared" si="152"/>
        <v/>
      </c>
    </row>
    <row r="9638" spans="3:3" ht="15" customHeight="1">
      <c r="C9638" s="70" t="str">
        <f t="shared" si="152"/>
        <v/>
      </c>
    </row>
    <row r="9639" spans="3:3" ht="15" customHeight="1">
      <c r="C9639" s="70" t="str">
        <f t="shared" si="152"/>
        <v/>
      </c>
    </row>
    <row r="9640" spans="3:3" ht="15" customHeight="1">
      <c r="C9640" s="70" t="str">
        <f t="shared" si="152"/>
        <v/>
      </c>
    </row>
    <row r="9641" spans="3:3" ht="15" customHeight="1">
      <c r="C9641" s="70" t="str">
        <f t="shared" si="152"/>
        <v/>
      </c>
    </row>
    <row r="9642" spans="3:3" ht="15" customHeight="1">
      <c r="C9642" s="70" t="str">
        <f t="shared" si="152"/>
        <v/>
      </c>
    </row>
    <row r="9643" spans="3:3" ht="15" customHeight="1">
      <c r="C9643" s="70" t="str">
        <f t="shared" si="152"/>
        <v/>
      </c>
    </row>
    <row r="9644" spans="3:3" ht="15" customHeight="1">
      <c r="C9644" s="70" t="str">
        <f t="shared" si="152"/>
        <v/>
      </c>
    </row>
    <row r="9645" spans="3:3" ht="15" customHeight="1">
      <c r="C9645" s="70" t="str">
        <f t="shared" si="152"/>
        <v/>
      </c>
    </row>
    <row r="9646" spans="3:3" ht="15" customHeight="1">
      <c r="C9646" s="70" t="str">
        <f t="shared" si="152"/>
        <v/>
      </c>
    </row>
    <row r="9647" spans="3:3" ht="15" customHeight="1">
      <c r="C9647" s="70" t="str">
        <f t="shared" si="152"/>
        <v/>
      </c>
    </row>
    <row r="9648" spans="3:3" ht="15" customHeight="1">
      <c r="C9648" s="70" t="str">
        <f t="shared" si="152"/>
        <v/>
      </c>
    </row>
    <row r="9649" spans="3:3" ht="15" customHeight="1">
      <c r="C9649" s="70" t="str">
        <f t="shared" si="152"/>
        <v/>
      </c>
    </row>
    <row r="9650" spans="3:3" ht="15" customHeight="1">
      <c r="C9650" s="70" t="str">
        <f t="shared" si="152"/>
        <v/>
      </c>
    </row>
    <row r="9651" spans="3:3" ht="15" customHeight="1">
      <c r="C9651" s="70" t="str">
        <f t="shared" si="152"/>
        <v/>
      </c>
    </row>
    <row r="9652" spans="3:3" ht="15" customHeight="1">
      <c r="C9652" s="70" t="str">
        <f t="shared" si="152"/>
        <v/>
      </c>
    </row>
    <row r="9653" spans="3:3" ht="15" customHeight="1">
      <c r="C9653" s="70" t="str">
        <f t="shared" si="152"/>
        <v/>
      </c>
    </row>
    <row r="9654" spans="3:3" ht="15" customHeight="1">
      <c r="C9654" s="70" t="str">
        <f t="shared" si="152"/>
        <v/>
      </c>
    </row>
    <row r="9655" spans="3:3" ht="15" customHeight="1">
      <c r="C9655" s="70" t="str">
        <f t="shared" si="152"/>
        <v/>
      </c>
    </row>
    <row r="9656" spans="3:3" ht="15" customHeight="1">
      <c r="C9656" s="70" t="str">
        <f t="shared" si="152"/>
        <v/>
      </c>
    </row>
    <row r="9657" spans="3:3" ht="15" customHeight="1">
      <c r="C9657" s="70" t="str">
        <f t="shared" si="152"/>
        <v/>
      </c>
    </row>
    <row r="9658" spans="3:3" ht="15" customHeight="1">
      <c r="C9658" s="70" t="str">
        <f t="shared" si="152"/>
        <v/>
      </c>
    </row>
    <row r="9659" spans="3:3" ht="15" customHeight="1">
      <c r="C9659" s="70" t="str">
        <f t="shared" si="152"/>
        <v/>
      </c>
    </row>
    <row r="9660" spans="3:3" ht="15" customHeight="1">
      <c r="C9660" s="70" t="str">
        <f t="shared" si="152"/>
        <v/>
      </c>
    </row>
    <row r="9661" spans="3:3" ht="15" customHeight="1">
      <c r="C9661" s="70" t="str">
        <f t="shared" si="152"/>
        <v/>
      </c>
    </row>
    <row r="9662" spans="3:3" ht="15" customHeight="1">
      <c r="C9662" s="70" t="str">
        <f t="shared" si="152"/>
        <v/>
      </c>
    </row>
    <row r="9663" spans="3:3" ht="15" customHeight="1">
      <c r="C9663" s="70" t="str">
        <f t="shared" si="152"/>
        <v/>
      </c>
    </row>
    <row r="9664" spans="3:3" ht="15" customHeight="1">
      <c r="C9664" s="70" t="str">
        <f t="shared" si="152"/>
        <v/>
      </c>
    </row>
    <row r="9665" spans="3:3" ht="15" customHeight="1">
      <c r="C9665" s="70" t="str">
        <f t="shared" si="152"/>
        <v/>
      </c>
    </row>
    <row r="9666" spans="3:3" ht="15" customHeight="1">
      <c r="C9666" s="70" t="str">
        <f t="shared" si="152"/>
        <v/>
      </c>
    </row>
    <row r="9667" spans="3:3" ht="15" customHeight="1">
      <c r="C9667" s="70" t="str">
        <f t="shared" si="152"/>
        <v/>
      </c>
    </row>
    <row r="9668" spans="3:3" ht="15" customHeight="1">
      <c r="C9668" s="70" t="str">
        <f t="shared" si="152"/>
        <v/>
      </c>
    </row>
    <row r="9669" spans="3:3" ht="15" customHeight="1">
      <c r="C9669" s="70" t="str">
        <f t="shared" si="152"/>
        <v/>
      </c>
    </row>
    <row r="9670" spans="3:3" ht="15" customHeight="1">
      <c r="C9670" s="70" t="str">
        <f t="shared" si="152"/>
        <v/>
      </c>
    </row>
    <row r="9671" spans="3:3" ht="15" customHeight="1">
      <c r="C9671" s="70" t="str">
        <f t="shared" si="152"/>
        <v/>
      </c>
    </row>
    <row r="9672" spans="3:3" ht="15" customHeight="1">
      <c r="C9672" s="70" t="str">
        <f t="shared" si="152"/>
        <v/>
      </c>
    </row>
    <row r="9673" spans="3:3" ht="15" customHeight="1">
      <c r="C9673" s="70" t="str">
        <f t="shared" si="152"/>
        <v/>
      </c>
    </row>
    <row r="9674" spans="3:3" ht="15" customHeight="1">
      <c r="C9674" s="70" t="str">
        <f t="shared" si="152"/>
        <v/>
      </c>
    </row>
    <row r="9675" spans="3:3" ht="15" customHeight="1">
      <c r="C9675" s="70" t="str">
        <f t="shared" si="152"/>
        <v/>
      </c>
    </row>
    <row r="9676" spans="3:3" ht="15" customHeight="1">
      <c r="C9676" s="70" t="str">
        <f t="shared" si="152"/>
        <v/>
      </c>
    </row>
    <row r="9677" spans="3:3" ht="15" customHeight="1">
      <c r="C9677" s="70" t="str">
        <f t="shared" si="152"/>
        <v/>
      </c>
    </row>
    <row r="9678" spans="3:3" ht="15" customHeight="1">
      <c r="C9678" s="70" t="str">
        <f t="shared" si="152"/>
        <v/>
      </c>
    </row>
    <row r="9679" spans="3:3" ht="15" customHeight="1">
      <c r="C9679" s="70" t="str">
        <f t="shared" si="152"/>
        <v/>
      </c>
    </row>
    <row r="9680" spans="3:3" ht="15" customHeight="1">
      <c r="C9680" s="70" t="str">
        <f t="shared" si="152"/>
        <v/>
      </c>
    </row>
    <row r="9681" spans="3:3" ht="15" customHeight="1">
      <c r="C9681" s="70" t="str">
        <f t="shared" ref="C9681:C9744" si="153">IF(B9681&lt;&gt;"",TEXT(WEEKDAY(B9681),"dddd"),"")</f>
        <v/>
      </c>
    </row>
    <row r="9682" spans="3:3" ht="15" customHeight="1">
      <c r="C9682" s="70" t="str">
        <f t="shared" si="153"/>
        <v/>
      </c>
    </row>
    <row r="9683" spans="3:3" ht="15" customHeight="1">
      <c r="C9683" s="70" t="str">
        <f t="shared" si="153"/>
        <v/>
      </c>
    </row>
    <row r="9684" spans="3:3" ht="15" customHeight="1">
      <c r="C9684" s="70" t="str">
        <f t="shared" si="153"/>
        <v/>
      </c>
    </row>
    <row r="9685" spans="3:3" ht="15" customHeight="1">
      <c r="C9685" s="70" t="str">
        <f t="shared" si="153"/>
        <v/>
      </c>
    </row>
    <row r="9686" spans="3:3" ht="15" customHeight="1">
      <c r="C9686" s="70" t="str">
        <f t="shared" si="153"/>
        <v/>
      </c>
    </row>
    <row r="9687" spans="3:3" ht="15" customHeight="1">
      <c r="C9687" s="70" t="str">
        <f t="shared" si="153"/>
        <v/>
      </c>
    </row>
    <row r="9688" spans="3:3" ht="15" customHeight="1">
      <c r="C9688" s="70" t="str">
        <f t="shared" si="153"/>
        <v/>
      </c>
    </row>
    <row r="9689" spans="3:3" ht="15" customHeight="1">
      <c r="C9689" s="70" t="str">
        <f t="shared" si="153"/>
        <v/>
      </c>
    </row>
    <row r="9690" spans="3:3" ht="15" customHeight="1">
      <c r="C9690" s="70" t="str">
        <f t="shared" si="153"/>
        <v/>
      </c>
    </row>
    <row r="9691" spans="3:3" ht="15" customHeight="1">
      <c r="C9691" s="70" t="str">
        <f t="shared" si="153"/>
        <v/>
      </c>
    </row>
    <row r="9692" spans="3:3" ht="15" customHeight="1">
      <c r="C9692" s="70" t="str">
        <f t="shared" si="153"/>
        <v/>
      </c>
    </row>
    <row r="9693" spans="3:3" ht="15" customHeight="1">
      <c r="C9693" s="70" t="str">
        <f t="shared" si="153"/>
        <v/>
      </c>
    </row>
    <row r="9694" spans="3:3" ht="15" customHeight="1">
      <c r="C9694" s="70" t="str">
        <f t="shared" si="153"/>
        <v/>
      </c>
    </row>
    <row r="9695" spans="3:3" ht="15" customHeight="1">
      <c r="C9695" s="70" t="str">
        <f t="shared" si="153"/>
        <v/>
      </c>
    </row>
    <row r="9696" spans="3:3" ht="15" customHeight="1">
      <c r="C9696" s="70" t="str">
        <f t="shared" si="153"/>
        <v/>
      </c>
    </row>
    <row r="9697" spans="3:3" ht="15" customHeight="1">
      <c r="C9697" s="70" t="str">
        <f t="shared" si="153"/>
        <v/>
      </c>
    </row>
    <row r="9698" spans="3:3" ht="15" customHeight="1">
      <c r="C9698" s="70" t="str">
        <f t="shared" si="153"/>
        <v/>
      </c>
    </row>
    <row r="9699" spans="3:3" ht="15" customHeight="1">
      <c r="C9699" s="70" t="str">
        <f t="shared" si="153"/>
        <v/>
      </c>
    </row>
    <row r="9700" spans="3:3" ht="15" customHeight="1">
      <c r="C9700" s="70" t="str">
        <f t="shared" si="153"/>
        <v/>
      </c>
    </row>
    <row r="9701" spans="3:3" ht="15" customHeight="1">
      <c r="C9701" s="70" t="str">
        <f t="shared" si="153"/>
        <v/>
      </c>
    </row>
    <row r="9702" spans="3:3" ht="15" customHeight="1">
      <c r="C9702" s="70" t="str">
        <f t="shared" si="153"/>
        <v/>
      </c>
    </row>
    <row r="9703" spans="3:3" ht="15" customHeight="1">
      <c r="C9703" s="70" t="str">
        <f t="shared" si="153"/>
        <v/>
      </c>
    </row>
    <row r="9704" spans="3:3" ht="15" customHeight="1">
      <c r="C9704" s="70" t="str">
        <f t="shared" si="153"/>
        <v/>
      </c>
    </row>
    <row r="9705" spans="3:3" ht="15" customHeight="1">
      <c r="C9705" s="70" t="str">
        <f t="shared" si="153"/>
        <v/>
      </c>
    </row>
    <row r="9706" spans="3:3" ht="15" customHeight="1">
      <c r="C9706" s="70" t="str">
        <f t="shared" si="153"/>
        <v/>
      </c>
    </row>
    <row r="9707" spans="3:3" ht="15" customHeight="1">
      <c r="C9707" s="70" t="str">
        <f t="shared" si="153"/>
        <v/>
      </c>
    </row>
    <row r="9708" spans="3:3" ht="15" customHeight="1">
      <c r="C9708" s="70" t="str">
        <f t="shared" si="153"/>
        <v/>
      </c>
    </row>
    <row r="9709" spans="3:3" ht="15" customHeight="1">
      <c r="C9709" s="70" t="str">
        <f t="shared" si="153"/>
        <v/>
      </c>
    </row>
    <row r="9710" spans="3:3" ht="15" customHeight="1">
      <c r="C9710" s="70" t="str">
        <f t="shared" si="153"/>
        <v/>
      </c>
    </row>
    <row r="9711" spans="3:3" ht="15" customHeight="1">
      <c r="C9711" s="70" t="str">
        <f t="shared" si="153"/>
        <v/>
      </c>
    </row>
    <row r="9712" spans="3:3" ht="15" customHeight="1">
      <c r="C9712" s="70" t="str">
        <f t="shared" si="153"/>
        <v/>
      </c>
    </row>
    <row r="9713" spans="3:3" ht="15" customHeight="1">
      <c r="C9713" s="70" t="str">
        <f t="shared" si="153"/>
        <v/>
      </c>
    </row>
    <row r="9714" spans="3:3" ht="15" customHeight="1">
      <c r="C9714" s="70" t="str">
        <f t="shared" si="153"/>
        <v/>
      </c>
    </row>
    <row r="9715" spans="3:3" ht="15" customHeight="1">
      <c r="C9715" s="70" t="str">
        <f t="shared" si="153"/>
        <v/>
      </c>
    </row>
    <row r="9716" spans="3:3" ht="15" customHeight="1">
      <c r="C9716" s="70" t="str">
        <f t="shared" si="153"/>
        <v/>
      </c>
    </row>
    <row r="9717" spans="3:3" ht="15" customHeight="1">
      <c r="C9717" s="70" t="str">
        <f t="shared" si="153"/>
        <v/>
      </c>
    </row>
    <row r="9718" spans="3:3" ht="15" customHeight="1">
      <c r="C9718" s="70" t="str">
        <f t="shared" si="153"/>
        <v/>
      </c>
    </row>
    <row r="9719" spans="3:3" ht="15" customHeight="1">
      <c r="C9719" s="70" t="str">
        <f t="shared" si="153"/>
        <v/>
      </c>
    </row>
    <row r="9720" spans="3:3" ht="15" customHeight="1">
      <c r="C9720" s="70" t="str">
        <f t="shared" si="153"/>
        <v/>
      </c>
    </row>
    <row r="9721" spans="3:3" ht="15" customHeight="1">
      <c r="C9721" s="70" t="str">
        <f t="shared" si="153"/>
        <v/>
      </c>
    </row>
    <row r="9722" spans="3:3" ht="15" customHeight="1">
      <c r="C9722" s="70" t="str">
        <f t="shared" si="153"/>
        <v/>
      </c>
    </row>
    <row r="9723" spans="3:3" ht="15" customHeight="1">
      <c r="C9723" s="70" t="str">
        <f t="shared" si="153"/>
        <v/>
      </c>
    </row>
    <row r="9724" spans="3:3" ht="15" customHeight="1">
      <c r="C9724" s="70" t="str">
        <f t="shared" si="153"/>
        <v/>
      </c>
    </row>
    <row r="9725" spans="3:3" ht="15" customHeight="1">
      <c r="C9725" s="70" t="str">
        <f t="shared" si="153"/>
        <v/>
      </c>
    </row>
    <row r="9726" spans="3:3" ht="15" customHeight="1">
      <c r="C9726" s="70" t="str">
        <f t="shared" si="153"/>
        <v/>
      </c>
    </row>
    <row r="9727" spans="3:3" ht="15" customHeight="1">
      <c r="C9727" s="70" t="str">
        <f t="shared" si="153"/>
        <v/>
      </c>
    </row>
    <row r="9728" spans="3:3" ht="15" customHeight="1">
      <c r="C9728" s="70" t="str">
        <f t="shared" si="153"/>
        <v/>
      </c>
    </row>
    <row r="9729" spans="3:3" ht="15" customHeight="1">
      <c r="C9729" s="70" t="str">
        <f t="shared" si="153"/>
        <v/>
      </c>
    </row>
    <row r="9730" spans="3:3" ht="15" customHeight="1">
      <c r="C9730" s="70" t="str">
        <f t="shared" si="153"/>
        <v/>
      </c>
    </row>
    <row r="9731" spans="3:3" ht="15" customHeight="1">
      <c r="C9731" s="70" t="str">
        <f t="shared" si="153"/>
        <v/>
      </c>
    </row>
    <row r="9732" spans="3:3" ht="15" customHeight="1">
      <c r="C9732" s="70" t="str">
        <f t="shared" si="153"/>
        <v/>
      </c>
    </row>
    <row r="9733" spans="3:3" ht="15" customHeight="1">
      <c r="C9733" s="70" t="str">
        <f t="shared" si="153"/>
        <v/>
      </c>
    </row>
    <row r="9734" spans="3:3" ht="15" customHeight="1">
      <c r="C9734" s="70" t="str">
        <f t="shared" si="153"/>
        <v/>
      </c>
    </row>
    <row r="9735" spans="3:3" ht="15" customHeight="1">
      <c r="C9735" s="70" t="str">
        <f t="shared" si="153"/>
        <v/>
      </c>
    </row>
    <row r="9736" spans="3:3" ht="15" customHeight="1">
      <c r="C9736" s="70" t="str">
        <f t="shared" si="153"/>
        <v/>
      </c>
    </row>
    <row r="9737" spans="3:3" ht="15" customHeight="1">
      <c r="C9737" s="70" t="str">
        <f t="shared" si="153"/>
        <v/>
      </c>
    </row>
    <row r="9738" spans="3:3" ht="15" customHeight="1">
      <c r="C9738" s="70" t="str">
        <f t="shared" si="153"/>
        <v/>
      </c>
    </row>
    <row r="9739" spans="3:3" ht="15" customHeight="1">
      <c r="C9739" s="70" t="str">
        <f t="shared" si="153"/>
        <v/>
      </c>
    </row>
    <row r="9740" spans="3:3" ht="15" customHeight="1">
      <c r="C9740" s="70" t="str">
        <f t="shared" si="153"/>
        <v/>
      </c>
    </row>
    <row r="9741" spans="3:3" ht="15" customHeight="1">
      <c r="C9741" s="70" t="str">
        <f t="shared" si="153"/>
        <v/>
      </c>
    </row>
    <row r="9742" spans="3:3" ht="15" customHeight="1">
      <c r="C9742" s="70" t="str">
        <f t="shared" si="153"/>
        <v/>
      </c>
    </row>
    <row r="9743" spans="3:3" ht="15" customHeight="1">
      <c r="C9743" s="70" t="str">
        <f t="shared" si="153"/>
        <v/>
      </c>
    </row>
    <row r="9744" spans="3:3" ht="15" customHeight="1">
      <c r="C9744" s="70" t="str">
        <f t="shared" si="153"/>
        <v/>
      </c>
    </row>
    <row r="9745" spans="3:3" ht="15" customHeight="1">
      <c r="C9745" s="70" t="str">
        <f t="shared" ref="C9745:C9808" si="154">IF(B9745&lt;&gt;"",TEXT(WEEKDAY(B9745),"dddd"),"")</f>
        <v/>
      </c>
    </row>
    <row r="9746" spans="3:3" ht="15" customHeight="1">
      <c r="C9746" s="70" t="str">
        <f t="shared" si="154"/>
        <v/>
      </c>
    </row>
    <row r="9747" spans="3:3" ht="15" customHeight="1">
      <c r="C9747" s="70" t="str">
        <f t="shared" si="154"/>
        <v/>
      </c>
    </row>
    <row r="9748" spans="3:3" ht="15" customHeight="1">
      <c r="C9748" s="70" t="str">
        <f t="shared" si="154"/>
        <v/>
      </c>
    </row>
    <row r="9749" spans="3:3" ht="15" customHeight="1">
      <c r="C9749" s="70" t="str">
        <f t="shared" si="154"/>
        <v/>
      </c>
    </row>
    <row r="9750" spans="3:3" ht="15" customHeight="1">
      <c r="C9750" s="70" t="str">
        <f t="shared" si="154"/>
        <v/>
      </c>
    </row>
    <row r="9751" spans="3:3" ht="15" customHeight="1">
      <c r="C9751" s="70" t="str">
        <f t="shared" si="154"/>
        <v/>
      </c>
    </row>
    <row r="9752" spans="3:3" ht="15" customHeight="1">
      <c r="C9752" s="70" t="str">
        <f t="shared" si="154"/>
        <v/>
      </c>
    </row>
    <row r="9753" spans="3:3" ht="15" customHeight="1">
      <c r="C9753" s="70" t="str">
        <f t="shared" si="154"/>
        <v/>
      </c>
    </row>
    <row r="9754" spans="3:3" ht="15" customHeight="1">
      <c r="C9754" s="70" t="str">
        <f t="shared" si="154"/>
        <v/>
      </c>
    </row>
    <row r="9755" spans="3:3" ht="15" customHeight="1">
      <c r="C9755" s="70" t="str">
        <f t="shared" si="154"/>
        <v/>
      </c>
    </row>
    <row r="9756" spans="3:3" ht="15" customHeight="1">
      <c r="C9756" s="70" t="str">
        <f t="shared" si="154"/>
        <v/>
      </c>
    </row>
    <row r="9757" spans="3:3" ht="15" customHeight="1">
      <c r="C9757" s="70" t="str">
        <f t="shared" si="154"/>
        <v/>
      </c>
    </row>
    <row r="9758" spans="3:3" ht="15" customHeight="1">
      <c r="C9758" s="70" t="str">
        <f t="shared" si="154"/>
        <v/>
      </c>
    </row>
    <row r="9759" spans="3:3" ht="15" customHeight="1">
      <c r="C9759" s="70" t="str">
        <f t="shared" si="154"/>
        <v/>
      </c>
    </row>
    <row r="9760" spans="3:3" ht="15" customHeight="1">
      <c r="C9760" s="70" t="str">
        <f t="shared" si="154"/>
        <v/>
      </c>
    </row>
    <row r="9761" spans="3:3" ht="15" customHeight="1">
      <c r="C9761" s="70" t="str">
        <f t="shared" si="154"/>
        <v/>
      </c>
    </row>
    <row r="9762" spans="3:3" ht="15" customHeight="1">
      <c r="C9762" s="70" t="str">
        <f t="shared" si="154"/>
        <v/>
      </c>
    </row>
    <row r="9763" spans="3:3" ht="15" customHeight="1">
      <c r="C9763" s="70" t="str">
        <f t="shared" si="154"/>
        <v/>
      </c>
    </row>
    <row r="9764" spans="3:3" ht="15" customHeight="1">
      <c r="C9764" s="70" t="str">
        <f t="shared" si="154"/>
        <v/>
      </c>
    </row>
    <row r="9765" spans="3:3" ht="15" customHeight="1">
      <c r="C9765" s="70" t="str">
        <f t="shared" si="154"/>
        <v/>
      </c>
    </row>
    <row r="9766" spans="3:3" ht="15" customHeight="1">
      <c r="C9766" s="70" t="str">
        <f t="shared" si="154"/>
        <v/>
      </c>
    </row>
    <row r="9767" spans="3:3" ht="15" customHeight="1">
      <c r="C9767" s="70" t="str">
        <f t="shared" si="154"/>
        <v/>
      </c>
    </row>
    <row r="9768" spans="3:3" ht="15" customHeight="1">
      <c r="C9768" s="70" t="str">
        <f t="shared" si="154"/>
        <v/>
      </c>
    </row>
    <row r="9769" spans="3:3" ht="15" customHeight="1">
      <c r="C9769" s="70" t="str">
        <f t="shared" si="154"/>
        <v/>
      </c>
    </row>
    <row r="9770" spans="3:3" ht="15" customHeight="1">
      <c r="C9770" s="70" t="str">
        <f t="shared" si="154"/>
        <v/>
      </c>
    </row>
    <row r="9771" spans="3:3" ht="15" customHeight="1">
      <c r="C9771" s="70" t="str">
        <f t="shared" si="154"/>
        <v/>
      </c>
    </row>
    <row r="9772" spans="3:3" ht="15" customHeight="1">
      <c r="C9772" s="70" t="str">
        <f t="shared" si="154"/>
        <v/>
      </c>
    </row>
    <row r="9773" spans="3:3" ht="15" customHeight="1">
      <c r="C9773" s="70" t="str">
        <f t="shared" si="154"/>
        <v/>
      </c>
    </row>
    <row r="9774" spans="3:3" ht="15" customHeight="1">
      <c r="C9774" s="70" t="str">
        <f t="shared" si="154"/>
        <v/>
      </c>
    </row>
    <row r="9775" spans="3:3" ht="15" customHeight="1">
      <c r="C9775" s="70" t="str">
        <f t="shared" si="154"/>
        <v/>
      </c>
    </row>
    <row r="9776" spans="3:3" ht="15" customHeight="1">
      <c r="C9776" s="70" t="str">
        <f t="shared" si="154"/>
        <v/>
      </c>
    </row>
    <row r="9777" spans="3:3" ht="15" customHeight="1">
      <c r="C9777" s="70" t="str">
        <f t="shared" si="154"/>
        <v/>
      </c>
    </row>
    <row r="9778" spans="3:3" ht="15" customHeight="1">
      <c r="C9778" s="70" t="str">
        <f t="shared" si="154"/>
        <v/>
      </c>
    </row>
    <row r="9779" spans="3:3" ht="15" customHeight="1">
      <c r="C9779" s="70" t="str">
        <f t="shared" si="154"/>
        <v/>
      </c>
    </row>
    <row r="9780" spans="3:3" ht="15" customHeight="1">
      <c r="C9780" s="70" t="str">
        <f t="shared" si="154"/>
        <v/>
      </c>
    </row>
    <row r="9781" spans="3:3" ht="15" customHeight="1">
      <c r="C9781" s="70" t="str">
        <f t="shared" si="154"/>
        <v/>
      </c>
    </row>
    <row r="9782" spans="3:3" ht="15" customHeight="1">
      <c r="C9782" s="70" t="str">
        <f t="shared" si="154"/>
        <v/>
      </c>
    </row>
    <row r="9783" spans="3:3" ht="15" customHeight="1">
      <c r="C9783" s="70" t="str">
        <f t="shared" si="154"/>
        <v/>
      </c>
    </row>
    <row r="9784" spans="3:3" ht="15" customHeight="1">
      <c r="C9784" s="70" t="str">
        <f t="shared" si="154"/>
        <v/>
      </c>
    </row>
    <row r="9785" spans="3:3" ht="15" customHeight="1">
      <c r="C9785" s="70" t="str">
        <f t="shared" si="154"/>
        <v/>
      </c>
    </row>
    <row r="9786" spans="3:3" ht="15" customHeight="1">
      <c r="C9786" s="70" t="str">
        <f t="shared" si="154"/>
        <v/>
      </c>
    </row>
    <row r="9787" spans="3:3" ht="15" customHeight="1">
      <c r="C9787" s="70" t="str">
        <f t="shared" si="154"/>
        <v/>
      </c>
    </row>
    <row r="9788" spans="3:3" ht="15" customHeight="1">
      <c r="C9788" s="70" t="str">
        <f t="shared" si="154"/>
        <v/>
      </c>
    </row>
    <row r="9789" spans="3:3" ht="15" customHeight="1">
      <c r="C9789" s="70" t="str">
        <f t="shared" si="154"/>
        <v/>
      </c>
    </row>
    <row r="9790" spans="3:3" ht="15" customHeight="1">
      <c r="C9790" s="70" t="str">
        <f t="shared" si="154"/>
        <v/>
      </c>
    </row>
    <row r="9791" spans="3:3" ht="15" customHeight="1">
      <c r="C9791" s="70" t="str">
        <f t="shared" si="154"/>
        <v/>
      </c>
    </row>
    <row r="9792" spans="3:3" ht="15" customHeight="1">
      <c r="C9792" s="70" t="str">
        <f t="shared" si="154"/>
        <v/>
      </c>
    </row>
    <row r="9793" spans="3:3" ht="15" customHeight="1">
      <c r="C9793" s="70" t="str">
        <f t="shared" si="154"/>
        <v/>
      </c>
    </row>
    <row r="9794" spans="3:3" ht="15" customHeight="1">
      <c r="C9794" s="70" t="str">
        <f t="shared" si="154"/>
        <v/>
      </c>
    </row>
    <row r="9795" spans="3:3" ht="15" customHeight="1">
      <c r="C9795" s="70" t="str">
        <f t="shared" si="154"/>
        <v/>
      </c>
    </row>
    <row r="9796" spans="3:3" ht="15" customHeight="1">
      <c r="C9796" s="70" t="str">
        <f t="shared" si="154"/>
        <v/>
      </c>
    </row>
    <row r="9797" spans="3:3" ht="15" customHeight="1">
      <c r="C9797" s="70" t="str">
        <f t="shared" si="154"/>
        <v/>
      </c>
    </row>
    <row r="9798" spans="3:3" ht="15" customHeight="1">
      <c r="C9798" s="70" t="str">
        <f t="shared" si="154"/>
        <v/>
      </c>
    </row>
    <row r="9799" spans="3:3" ht="15" customHeight="1">
      <c r="C9799" s="70" t="str">
        <f t="shared" si="154"/>
        <v/>
      </c>
    </row>
    <row r="9800" spans="3:3" ht="15" customHeight="1">
      <c r="C9800" s="70" t="str">
        <f t="shared" si="154"/>
        <v/>
      </c>
    </row>
    <row r="9801" spans="3:3" ht="15" customHeight="1">
      <c r="C9801" s="70" t="str">
        <f t="shared" si="154"/>
        <v/>
      </c>
    </row>
    <row r="9802" spans="3:3" ht="15" customHeight="1">
      <c r="C9802" s="70" t="str">
        <f t="shared" si="154"/>
        <v/>
      </c>
    </row>
    <row r="9803" spans="3:3" ht="15" customHeight="1">
      <c r="C9803" s="70" t="str">
        <f t="shared" si="154"/>
        <v/>
      </c>
    </row>
    <row r="9804" spans="3:3" ht="15" customHeight="1">
      <c r="C9804" s="70" t="str">
        <f t="shared" si="154"/>
        <v/>
      </c>
    </row>
    <row r="9805" spans="3:3" ht="15" customHeight="1">
      <c r="C9805" s="70" t="str">
        <f t="shared" si="154"/>
        <v/>
      </c>
    </row>
    <row r="9806" spans="3:3" ht="15" customHeight="1">
      <c r="C9806" s="70" t="str">
        <f t="shared" si="154"/>
        <v/>
      </c>
    </row>
    <row r="9807" spans="3:3" ht="15" customHeight="1">
      <c r="C9807" s="70" t="str">
        <f t="shared" si="154"/>
        <v/>
      </c>
    </row>
    <row r="9808" spans="3:3" ht="15" customHeight="1">
      <c r="C9808" s="70" t="str">
        <f t="shared" si="154"/>
        <v/>
      </c>
    </row>
    <row r="9809" spans="3:3" ht="15" customHeight="1">
      <c r="C9809" s="70" t="str">
        <f t="shared" ref="C9809:C9872" si="155">IF(B9809&lt;&gt;"",TEXT(WEEKDAY(B9809),"dddd"),"")</f>
        <v/>
      </c>
    </row>
    <row r="9810" spans="3:3" ht="15" customHeight="1">
      <c r="C9810" s="70" t="str">
        <f t="shared" si="155"/>
        <v/>
      </c>
    </row>
    <row r="9811" spans="3:3" ht="15" customHeight="1">
      <c r="C9811" s="70" t="str">
        <f t="shared" si="155"/>
        <v/>
      </c>
    </row>
    <row r="9812" spans="3:3" ht="15" customHeight="1">
      <c r="C9812" s="70" t="str">
        <f t="shared" si="155"/>
        <v/>
      </c>
    </row>
    <row r="9813" spans="3:3" ht="15" customHeight="1">
      <c r="C9813" s="70" t="str">
        <f t="shared" si="155"/>
        <v/>
      </c>
    </row>
    <row r="9814" spans="3:3" ht="15" customHeight="1">
      <c r="C9814" s="70" t="str">
        <f t="shared" si="155"/>
        <v/>
      </c>
    </row>
    <row r="9815" spans="3:3" ht="15" customHeight="1">
      <c r="C9815" s="70" t="str">
        <f t="shared" si="155"/>
        <v/>
      </c>
    </row>
    <row r="9816" spans="3:3" ht="15" customHeight="1">
      <c r="C9816" s="70" t="str">
        <f t="shared" si="155"/>
        <v/>
      </c>
    </row>
    <row r="9817" spans="3:3" ht="15" customHeight="1">
      <c r="C9817" s="70" t="str">
        <f t="shared" si="155"/>
        <v/>
      </c>
    </row>
    <row r="9818" spans="3:3" ht="15" customHeight="1">
      <c r="C9818" s="70" t="str">
        <f t="shared" si="155"/>
        <v/>
      </c>
    </row>
    <row r="9819" spans="3:3" ht="15" customHeight="1">
      <c r="C9819" s="70" t="str">
        <f t="shared" si="155"/>
        <v/>
      </c>
    </row>
    <row r="9820" spans="3:3" ht="15" customHeight="1">
      <c r="C9820" s="70" t="str">
        <f t="shared" si="155"/>
        <v/>
      </c>
    </row>
    <row r="9821" spans="3:3" ht="15" customHeight="1">
      <c r="C9821" s="70" t="str">
        <f t="shared" si="155"/>
        <v/>
      </c>
    </row>
    <row r="9822" spans="3:3" ht="15" customHeight="1">
      <c r="C9822" s="70" t="str">
        <f t="shared" si="155"/>
        <v/>
      </c>
    </row>
    <row r="9823" spans="3:3" ht="15" customHeight="1">
      <c r="C9823" s="70" t="str">
        <f t="shared" si="155"/>
        <v/>
      </c>
    </row>
    <row r="9824" spans="3:3" ht="15" customHeight="1">
      <c r="C9824" s="70" t="str">
        <f t="shared" si="155"/>
        <v/>
      </c>
    </row>
    <row r="9825" spans="3:3" ht="15" customHeight="1">
      <c r="C9825" s="70" t="str">
        <f t="shared" si="155"/>
        <v/>
      </c>
    </row>
    <row r="9826" spans="3:3" ht="15" customHeight="1">
      <c r="C9826" s="70" t="str">
        <f t="shared" si="155"/>
        <v/>
      </c>
    </row>
    <row r="9827" spans="3:3" ht="15" customHeight="1">
      <c r="C9827" s="70" t="str">
        <f t="shared" si="155"/>
        <v/>
      </c>
    </row>
    <row r="9828" spans="3:3" ht="15" customHeight="1">
      <c r="C9828" s="70" t="str">
        <f t="shared" si="155"/>
        <v/>
      </c>
    </row>
    <row r="9829" spans="3:3" ht="15" customHeight="1">
      <c r="C9829" s="70" t="str">
        <f t="shared" si="155"/>
        <v/>
      </c>
    </row>
    <row r="9830" spans="3:3" ht="15" customHeight="1">
      <c r="C9830" s="70" t="str">
        <f t="shared" si="155"/>
        <v/>
      </c>
    </row>
    <row r="9831" spans="3:3" ht="15" customHeight="1">
      <c r="C9831" s="70" t="str">
        <f t="shared" si="155"/>
        <v/>
      </c>
    </row>
    <row r="9832" spans="3:3" ht="15" customHeight="1">
      <c r="C9832" s="70" t="str">
        <f t="shared" si="155"/>
        <v/>
      </c>
    </row>
    <row r="9833" spans="3:3" ht="15" customHeight="1">
      <c r="C9833" s="70" t="str">
        <f t="shared" si="155"/>
        <v/>
      </c>
    </row>
    <row r="9834" spans="3:3" ht="15" customHeight="1">
      <c r="C9834" s="70" t="str">
        <f t="shared" si="155"/>
        <v/>
      </c>
    </row>
    <row r="9835" spans="3:3" ht="15" customHeight="1">
      <c r="C9835" s="70" t="str">
        <f t="shared" si="155"/>
        <v/>
      </c>
    </row>
    <row r="9836" spans="3:3" ht="15" customHeight="1">
      <c r="C9836" s="70" t="str">
        <f t="shared" si="155"/>
        <v/>
      </c>
    </row>
    <row r="9837" spans="3:3" ht="15" customHeight="1">
      <c r="C9837" s="70" t="str">
        <f t="shared" si="155"/>
        <v/>
      </c>
    </row>
    <row r="9838" spans="3:3" ht="15" customHeight="1">
      <c r="C9838" s="70" t="str">
        <f t="shared" si="155"/>
        <v/>
      </c>
    </row>
    <row r="9839" spans="3:3" ht="15" customHeight="1">
      <c r="C9839" s="70" t="str">
        <f t="shared" si="155"/>
        <v/>
      </c>
    </row>
    <row r="9840" spans="3:3" ht="15" customHeight="1">
      <c r="C9840" s="70" t="str">
        <f t="shared" si="155"/>
        <v/>
      </c>
    </row>
    <row r="9841" spans="3:3" ht="15" customHeight="1">
      <c r="C9841" s="70" t="str">
        <f t="shared" si="155"/>
        <v/>
      </c>
    </row>
    <row r="9842" spans="3:3" ht="15" customHeight="1">
      <c r="C9842" s="70" t="str">
        <f t="shared" si="155"/>
        <v/>
      </c>
    </row>
    <row r="9843" spans="3:3" ht="15" customHeight="1">
      <c r="C9843" s="70" t="str">
        <f t="shared" si="155"/>
        <v/>
      </c>
    </row>
    <row r="9844" spans="3:3" ht="15" customHeight="1">
      <c r="C9844" s="70" t="str">
        <f t="shared" si="155"/>
        <v/>
      </c>
    </row>
    <row r="9845" spans="3:3" ht="15" customHeight="1">
      <c r="C9845" s="70" t="str">
        <f t="shared" si="155"/>
        <v/>
      </c>
    </row>
    <row r="9846" spans="3:3" ht="15" customHeight="1">
      <c r="C9846" s="70" t="str">
        <f t="shared" si="155"/>
        <v/>
      </c>
    </row>
    <row r="9847" spans="3:3" ht="15" customHeight="1">
      <c r="C9847" s="70" t="str">
        <f t="shared" si="155"/>
        <v/>
      </c>
    </row>
    <row r="9848" spans="3:3" ht="15" customHeight="1">
      <c r="C9848" s="70" t="str">
        <f t="shared" si="155"/>
        <v/>
      </c>
    </row>
    <row r="9849" spans="3:3" ht="15" customHeight="1">
      <c r="C9849" s="70" t="str">
        <f t="shared" si="155"/>
        <v/>
      </c>
    </row>
    <row r="9850" spans="3:3" ht="15" customHeight="1">
      <c r="C9850" s="70" t="str">
        <f t="shared" si="155"/>
        <v/>
      </c>
    </row>
    <row r="9851" spans="3:3" ht="15" customHeight="1">
      <c r="C9851" s="70" t="str">
        <f t="shared" si="155"/>
        <v/>
      </c>
    </row>
    <row r="9852" spans="3:3" ht="15" customHeight="1">
      <c r="C9852" s="70" t="str">
        <f t="shared" si="155"/>
        <v/>
      </c>
    </row>
    <row r="9853" spans="3:3" ht="15" customHeight="1">
      <c r="C9853" s="70" t="str">
        <f t="shared" si="155"/>
        <v/>
      </c>
    </row>
    <row r="9854" spans="3:3" ht="15" customHeight="1">
      <c r="C9854" s="70" t="str">
        <f t="shared" si="155"/>
        <v/>
      </c>
    </row>
    <row r="9855" spans="3:3" ht="15" customHeight="1">
      <c r="C9855" s="70" t="str">
        <f t="shared" si="155"/>
        <v/>
      </c>
    </row>
    <row r="9856" spans="3:3" ht="15" customHeight="1">
      <c r="C9856" s="70" t="str">
        <f t="shared" si="155"/>
        <v/>
      </c>
    </row>
    <row r="9857" spans="3:3" ht="15" customHeight="1">
      <c r="C9857" s="70" t="str">
        <f t="shared" si="155"/>
        <v/>
      </c>
    </row>
    <row r="9858" spans="3:3" ht="15" customHeight="1">
      <c r="C9858" s="70" t="str">
        <f t="shared" si="155"/>
        <v/>
      </c>
    </row>
    <row r="9859" spans="3:3" ht="15" customHeight="1">
      <c r="C9859" s="70" t="str">
        <f t="shared" si="155"/>
        <v/>
      </c>
    </row>
    <row r="9860" spans="3:3" ht="15" customHeight="1">
      <c r="C9860" s="70" t="str">
        <f t="shared" si="155"/>
        <v/>
      </c>
    </row>
    <row r="9861" spans="3:3" ht="15" customHeight="1">
      <c r="C9861" s="70" t="str">
        <f t="shared" si="155"/>
        <v/>
      </c>
    </row>
    <row r="9862" spans="3:3" ht="15" customHeight="1">
      <c r="C9862" s="70" t="str">
        <f t="shared" si="155"/>
        <v/>
      </c>
    </row>
    <row r="9863" spans="3:3" ht="15" customHeight="1">
      <c r="C9863" s="70" t="str">
        <f t="shared" si="155"/>
        <v/>
      </c>
    </row>
    <row r="9864" spans="3:3" ht="15" customHeight="1">
      <c r="C9864" s="70" t="str">
        <f t="shared" si="155"/>
        <v/>
      </c>
    </row>
    <row r="9865" spans="3:3" ht="15" customHeight="1">
      <c r="C9865" s="70" t="str">
        <f t="shared" si="155"/>
        <v/>
      </c>
    </row>
    <row r="9866" spans="3:3" ht="15" customHeight="1">
      <c r="C9866" s="70" t="str">
        <f t="shared" si="155"/>
        <v/>
      </c>
    </row>
    <row r="9867" spans="3:3" ht="15" customHeight="1">
      <c r="C9867" s="70" t="str">
        <f t="shared" si="155"/>
        <v/>
      </c>
    </row>
    <row r="9868" spans="3:3" ht="15" customHeight="1">
      <c r="C9868" s="70" t="str">
        <f t="shared" si="155"/>
        <v/>
      </c>
    </row>
    <row r="9869" spans="3:3" ht="15" customHeight="1">
      <c r="C9869" s="70" t="str">
        <f t="shared" si="155"/>
        <v/>
      </c>
    </row>
    <row r="9870" spans="3:3" ht="15" customHeight="1">
      <c r="C9870" s="70" t="str">
        <f t="shared" si="155"/>
        <v/>
      </c>
    </row>
    <row r="9871" spans="3:3" ht="15" customHeight="1">
      <c r="C9871" s="70" t="str">
        <f t="shared" si="155"/>
        <v/>
      </c>
    </row>
    <row r="9872" spans="3:3" ht="15" customHeight="1">
      <c r="C9872" s="70" t="str">
        <f t="shared" si="155"/>
        <v/>
      </c>
    </row>
    <row r="9873" spans="3:3" ht="15" customHeight="1">
      <c r="C9873" s="70" t="str">
        <f t="shared" ref="C9873:C9914" si="156">IF(B9873&lt;&gt;"",TEXT(WEEKDAY(B9873),"dddd"),"")</f>
        <v/>
      </c>
    </row>
    <row r="9874" spans="3:3" ht="15" customHeight="1">
      <c r="C9874" s="70" t="str">
        <f t="shared" si="156"/>
        <v/>
      </c>
    </row>
    <row r="9875" spans="3:3" ht="15" customHeight="1">
      <c r="C9875" s="70" t="str">
        <f t="shared" si="156"/>
        <v/>
      </c>
    </row>
    <row r="9876" spans="3:3" ht="15" customHeight="1">
      <c r="C9876" s="70" t="str">
        <f t="shared" si="156"/>
        <v/>
      </c>
    </row>
    <row r="9877" spans="3:3" ht="15" customHeight="1">
      <c r="C9877" s="70" t="str">
        <f t="shared" si="156"/>
        <v/>
      </c>
    </row>
    <row r="9878" spans="3:3" ht="15" customHeight="1">
      <c r="C9878" s="70" t="str">
        <f t="shared" si="156"/>
        <v/>
      </c>
    </row>
    <row r="9879" spans="3:3" ht="15" customHeight="1">
      <c r="C9879" s="70" t="str">
        <f t="shared" si="156"/>
        <v/>
      </c>
    </row>
    <row r="9880" spans="3:3" ht="15" customHeight="1">
      <c r="C9880" s="70" t="str">
        <f t="shared" si="156"/>
        <v/>
      </c>
    </row>
    <row r="9881" spans="3:3" ht="15" customHeight="1">
      <c r="C9881" s="70" t="str">
        <f t="shared" si="156"/>
        <v/>
      </c>
    </row>
    <row r="9882" spans="3:3" ht="15" customHeight="1">
      <c r="C9882" s="70" t="str">
        <f t="shared" si="156"/>
        <v/>
      </c>
    </row>
    <row r="9883" spans="3:3" ht="15" customHeight="1">
      <c r="C9883" s="70" t="str">
        <f t="shared" si="156"/>
        <v/>
      </c>
    </row>
    <row r="9884" spans="3:3" ht="15" customHeight="1">
      <c r="C9884" s="70" t="str">
        <f t="shared" si="156"/>
        <v/>
      </c>
    </row>
    <row r="9885" spans="3:3" ht="15" customHeight="1">
      <c r="C9885" s="70" t="str">
        <f t="shared" si="156"/>
        <v/>
      </c>
    </row>
    <row r="9886" spans="3:3" ht="15" customHeight="1">
      <c r="C9886" s="70" t="str">
        <f t="shared" si="156"/>
        <v/>
      </c>
    </row>
    <row r="9887" spans="3:3" ht="15" customHeight="1">
      <c r="C9887" s="70" t="str">
        <f t="shared" si="156"/>
        <v/>
      </c>
    </row>
    <row r="9888" spans="3:3" ht="15" customHeight="1">
      <c r="C9888" s="70" t="str">
        <f t="shared" si="156"/>
        <v/>
      </c>
    </row>
    <row r="9889" spans="3:3" ht="15" customHeight="1">
      <c r="C9889" s="70" t="str">
        <f t="shared" si="156"/>
        <v/>
      </c>
    </row>
    <row r="9890" spans="3:3" ht="15" customHeight="1">
      <c r="C9890" s="70" t="str">
        <f t="shared" si="156"/>
        <v/>
      </c>
    </row>
    <row r="9891" spans="3:3" ht="15" customHeight="1">
      <c r="C9891" s="70" t="str">
        <f t="shared" si="156"/>
        <v/>
      </c>
    </row>
    <row r="9892" spans="3:3" ht="15" customHeight="1">
      <c r="C9892" s="70" t="str">
        <f t="shared" si="156"/>
        <v/>
      </c>
    </row>
    <row r="9893" spans="3:3" ht="15" customHeight="1">
      <c r="C9893" s="70" t="str">
        <f t="shared" si="156"/>
        <v/>
      </c>
    </row>
    <row r="9894" spans="3:3" ht="15" customHeight="1">
      <c r="C9894" s="70" t="str">
        <f t="shared" si="156"/>
        <v/>
      </c>
    </row>
    <row r="9895" spans="3:3" ht="15" customHeight="1">
      <c r="C9895" s="70" t="str">
        <f t="shared" si="156"/>
        <v/>
      </c>
    </row>
    <row r="9896" spans="3:3" ht="15" customHeight="1">
      <c r="C9896" s="70" t="str">
        <f t="shared" si="156"/>
        <v/>
      </c>
    </row>
    <row r="9897" spans="3:3" ht="15" customHeight="1">
      <c r="C9897" s="70" t="str">
        <f t="shared" si="156"/>
        <v/>
      </c>
    </row>
    <row r="9898" spans="3:3" ht="15" customHeight="1">
      <c r="C9898" s="70" t="str">
        <f t="shared" si="156"/>
        <v/>
      </c>
    </row>
    <row r="9899" spans="3:3" ht="15" customHeight="1">
      <c r="C9899" s="70" t="str">
        <f t="shared" si="156"/>
        <v/>
      </c>
    </row>
    <row r="9900" spans="3:3" ht="15" customHeight="1">
      <c r="C9900" s="70" t="str">
        <f t="shared" si="156"/>
        <v/>
      </c>
    </row>
    <row r="9901" spans="3:3" ht="15" customHeight="1">
      <c r="C9901" s="70" t="str">
        <f t="shared" si="156"/>
        <v/>
      </c>
    </row>
    <row r="9902" spans="3:3" ht="15" customHeight="1">
      <c r="C9902" s="70" t="str">
        <f t="shared" si="156"/>
        <v/>
      </c>
    </row>
    <row r="9903" spans="3:3" ht="15" customHeight="1">
      <c r="C9903" s="70" t="str">
        <f t="shared" si="156"/>
        <v/>
      </c>
    </row>
    <row r="9904" spans="3:3" ht="15" customHeight="1">
      <c r="C9904" s="70" t="str">
        <f t="shared" si="156"/>
        <v/>
      </c>
    </row>
    <row r="9905" spans="3:3" ht="15" customHeight="1">
      <c r="C9905" s="70" t="str">
        <f t="shared" si="156"/>
        <v/>
      </c>
    </row>
    <row r="9906" spans="3:3" ht="15" customHeight="1">
      <c r="C9906" s="70" t="str">
        <f t="shared" si="156"/>
        <v/>
      </c>
    </row>
    <row r="9907" spans="3:3" ht="15" customHeight="1">
      <c r="C9907" s="70" t="str">
        <f t="shared" si="156"/>
        <v/>
      </c>
    </row>
    <row r="9908" spans="3:3" ht="15" customHeight="1">
      <c r="C9908" s="70" t="str">
        <f t="shared" si="156"/>
        <v/>
      </c>
    </row>
    <row r="9909" spans="3:3" ht="15" customHeight="1">
      <c r="C9909" s="70" t="str">
        <f t="shared" si="156"/>
        <v/>
      </c>
    </row>
    <row r="9910" spans="3:3" ht="15" customHeight="1">
      <c r="C9910" s="70" t="str">
        <f t="shared" si="156"/>
        <v/>
      </c>
    </row>
    <row r="9911" spans="3:3" ht="15" customHeight="1">
      <c r="C9911" s="70" t="str">
        <f t="shared" si="156"/>
        <v/>
      </c>
    </row>
    <row r="9912" spans="3:3" ht="15" customHeight="1">
      <c r="C9912" s="70" t="str">
        <f t="shared" si="156"/>
        <v/>
      </c>
    </row>
    <row r="9913" spans="3:3" ht="15" customHeight="1">
      <c r="C9913" s="70" t="str">
        <f t="shared" si="156"/>
        <v/>
      </c>
    </row>
    <row r="9914" spans="3:3" ht="15" customHeight="1">
      <c r="C9914" s="70" t="str">
        <f t="shared" si="156"/>
        <v/>
      </c>
    </row>
    <row r="1048572" spans="8:8" ht="15" customHeight="1">
      <c r="H1048572" s="381"/>
    </row>
  </sheetData>
  <mergeCells count="3">
    <mergeCell ref="B14:D14"/>
    <mergeCell ref="G1:H1"/>
    <mergeCell ref="B2:E2"/>
  </mergeCells>
  <conditionalFormatting sqref="A16:D1048576">
    <cfRule type="expression" dxfId="17" priority="3">
      <formula>$D16&gt;0</formula>
    </cfRule>
  </conditionalFormatting>
  <conditionalFormatting sqref="I4">
    <cfRule type="cellIs" dxfId="16" priority="4" operator="lessThan">
      <formula>0</formula>
    </cfRule>
    <cfRule type="cellIs" dxfId="15" priority="5" operator="greaterThan">
      <formula>0</formula>
    </cfRule>
  </conditionalFormatting>
  <conditionalFormatting sqref="I11">
    <cfRule type="expression" dxfId="14" priority="1">
      <formula>$D17&gt;0</formula>
    </cfRule>
  </conditionalFormatting>
  <conditionalFormatting sqref="K1">
    <cfRule type="expression" dxfId="13" priority="12">
      <formula>$D2&gt;0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CE90E775-2ED4-42F3-AA92-06B91BC8A423}">
          <x14:formula1>
            <xm:f>AUX!$G$3:$G$31</xm:f>
          </x14:formula1>
          <xm:sqref>H11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6C6C0-9C12-4C54-B1F2-70A2DD61027E}">
  <sheetPr>
    <tabColor rgb="FFFFFF00"/>
    <outlinePr summaryBelow="0" summaryRight="0"/>
    <pageSetUpPr fitToPage="1"/>
  </sheetPr>
  <dimension ref="A1:Q988"/>
  <sheetViews>
    <sheetView showGridLines="0" zoomScale="110" zoomScaleNormal="110" workbookViewId="0">
      <pane xSplit="3" ySplit="3" topLeftCell="D10" activePane="bottomRight" state="frozen"/>
      <selection pane="topRight" activeCell="D1" sqref="D1"/>
      <selection pane="bottomLeft" activeCell="A4" sqref="A4"/>
      <selection pane="bottomRight" activeCell="B17" sqref="B17"/>
    </sheetView>
  </sheetViews>
  <sheetFormatPr defaultColWidth="11.19921875" defaultRowHeight="15" customHeight="1"/>
  <cols>
    <col min="1" max="1" width="1.59765625" customWidth="1"/>
    <col min="2" max="2" width="50.3984375" customWidth="1"/>
    <col min="3" max="3" width="19.296875" customWidth="1"/>
    <col min="4" max="4" width="16.3984375" customWidth="1"/>
    <col min="5" max="5" width="17.5" customWidth="1"/>
    <col min="6" max="6" width="16.5" customWidth="1"/>
    <col min="7" max="7" width="17.69921875" customWidth="1"/>
    <col min="8" max="8" width="22.5" customWidth="1"/>
    <col min="9" max="9" width="19.69921875" customWidth="1"/>
    <col min="10" max="10" width="18.3984375" customWidth="1"/>
    <col min="11" max="11" width="20.5" customWidth="1"/>
    <col min="12" max="12" width="16.296875" customWidth="1"/>
    <col min="13" max="13" width="19.796875" customWidth="1"/>
    <col min="14" max="14" width="17.69921875" customWidth="1"/>
    <col min="15" max="15" width="19.69921875" customWidth="1"/>
    <col min="16" max="16" width="11.09765625" customWidth="1"/>
    <col min="17" max="17" width="13.09765625" customWidth="1"/>
  </cols>
  <sheetData>
    <row r="1" spans="1:17" ht="6.75" customHeight="1">
      <c r="B1" s="73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</row>
    <row r="2" spans="1:17" ht="18">
      <c r="B2" s="571" t="s">
        <v>81</v>
      </c>
      <c r="C2" s="572"/>
      <c r="D2" s="446">
        <f t="shared" ref="D2:O2" si="0">$C$3</f>
        <v>2026</v>
      </c>
      <c r="E2" s="446">
        <f t="shared" si="0"/>
        <v>2026</v>
      </c>
      <c r="F2" s="446">
        <f t="shared" si="0"/>
        <v>2026</v>
      </c>
      <c r="G2" s="446">
        <f t="shared" si="0"/>
        <v>2026</v>
      </c>
      <c r="H2" s="446">
        <f t="shared" si="0"/>
        <v>2026</v>
      </c>
      <c r="I2" s="446">
        <f t="shared" si="0"/>
        <v>2026</v>
      </c>
      <c r="J2" s="446">
        <f t="shared" si="0"/>
        <v>2026</v>
      </c>
      <c r="K2" s="446">
        <f t="shared" si="0"/>
        <v>2026</v>
      </c>
      <c r="L2" s="446">
        <f t="shared" si="0"/>
        <v>2026</v>
      </c>
      <c r="M2" s="446">
        <f t="shared" si="0"/>
        <v>2026</v>
      </c>
      <c r="N2" s="446">
        <f t="shared" si="0"/>
        <v>2026</v>
      </c>
      <c r="O2" s="446">
        <f t="shared" si="0"/>
        <v>2026</v>
      </c>
    </row>
    <row r="3" spans="1:17" ht="20.25" customHeight="1">
      <c r="B3" s="447" t="s">
        <v>82</v>
      </c>
      <c r="C3" s="513">
        <v>2026</v>
      </c>
      <c r="D3" s="448" t="s">
        <v>83</v>
      </c>
      <c r="E3" s="448" t="s">
        <v>84</v>
      </c>
      <c r="F3" s="448" t="s">
        <v>85</v>
      </c>
      <c r="G3" s="448" t="s">
        <v>86</v>
      </c>
      <c r="H3" s="448" t="s">
        <v>87</v>
      </c>
      <c r="I3" s="448" t="s">
        <v>88</v>
      </c>
      <c r="J3" s="448" t="s">
        <v>89</v>
      </c>
      <c r="K3" s="448" t="s">
        <v>90</v>
      </c>
      <c r="L3" s="448" t="s">
        <v>91</v>
      </c>
      <c r="M3" s="448" t="s">
        <v>92</v>
      </c>
      <c r="N3" s="448" t="s">
        <v>93</v>
      </c>
      <c r="O3" s="448" t="s">
        <v>94</v>
      </c>
      <c r="Q3" s="366"/>
    </row>
    <row r="4" spans="1:17" ht="18">
      <c r="A4" s="75"/>
      <c r="B4" s="449" t="s">
        <v>95</v>
      </c>
      <c r="C4" s="450">
        <f t="shared" ref="C4:C6" si="1">SUMIFS($D4:$Q4,$D$2:$Q$2,$C$3)</f>
        <v>10500</v>
      </c>
      <c r="D4" s="450">
        <f>'🏭 DRE'!D6</f>
        <v>0</v>
      </c>
      <c r="E4" s="450">
        <f>'🏭 DRE'!E6</f>
        <v>0</v>
      </c>
      <c r="F4" s="450">
        <f>'🏭 DRE'!F6</f>
        <v>0</v>
      </c>
      <c r="G4" s="450">
        <f>'🏭 DRE'!G6</f>
        <v>0</v>
      </c>
      <c r="H4" s="450">
        <f>'🏭 DRE'!H6</f>
        <v>0</v>
      </c>
      <c r="I4" s="450">
        <f>'🏭 DRE'!I6</f>
        <v>10500</v>
      </c>
      <c r="J4" s="450">
        <f>'🏭 DRE'!J6</f>
        <v>0</v>
      </c>
      <c r="K4" s="450">
        <f>'🏭 DRE'!K6</f>
        <v>0</v>
      </c>
      <c r="L4" s="450">
        <f>'🏭 DRE'!L6</f>
        <v>0</v>
      </c>
      <c r="M4" s="450">
        <f>'🏭 DRE'!M6</f>
        <v>0</v>
      </c>
      <c r="N4" s="450">
        <f>'🏭 DRE'!N6</f>
        <v>0</v>
      </c>
      <c r="O4" s="450">
        <f>'🏭 DRE'!O6</f>
        <v>0</v>
      </c>
      <c r="P4" s="75"/>
      <c r="Q4" s="75"/>
    </row>
    <row r="5" spans="1:17" ht="18">
      <c r="A5" s="75"/>
      <c r="B5" s="451" t="s">
        <v>216</v>
      </c>
      <c r="C5" s="452">
        <f t="shared" si="1"/>
        <v>0</v>
      </c>
      <c r="D5" s="452">
        <f t="shared" ref="D5:I5" si="2">D4-D6</f>
        <v>0</v>
      </c>
      <c r="E5" s="452">
        <f t="shared" si="2"/>
        <v>0</v>
      </c>
      <c r="F5" s="452">
        <f t="shared" si="2"/>
        <v>0</v>
      </c>
      <c r="G5" s="452">
        <f t="shared" si="2"/>
        <v>0</v>
      </c>
      <c r="H5" s="452">
        <f t="shared" si="2"/>
        <v>0</v>
      </c>
      <c r="I5" s="452">
        <f t="shared" si="2"/>
        <v>0</v>
      </c>
      <c r="J5" s="452">
        <f t="shared" ref="J5" si="3">J4-J6</f>
        <v>0</v>
      </c>
      <c r="K5" s="452">
        <f t="shared" ref="K5:O5" si="4">K4-K6</f>
        <v>0</v>
      </c>
      <c r="L5" s="452">
        <f t="shared" si="4"/>
        <v>0</v>
      </c>
      <c r="M5" s="452">
        <f t="shared" si="4"/>
        <v>0</v>
      </c>
      <c r="N5" s="452">
        <f t="shared" si="4"/>
        <v>0</v>
      </c>
      <c r="O5" s="452">
        <f t="shared" si="4"/>
        <v>0</v>
      </c>
      <c r="P5" s="75"/>
      <c r="Q5" s="75"/>
    </row>
    <row r="6" spans="1:17" ht="18">
      <c r="A6" s="75"/>
      <c r="B6" s="453" t="s">
        <v>96</v>
      </c>
      <c r="C6" s="454">
        <f t="shared" si="1"/>
        <v>10500</v>
      </c>
      <c r="D6" s="454">
        <f>SUMIFS('💸  Receitas'!$J$7:$J$681,'💸  Receitas'!$C$7:$C$681,D$2,'💸  Receitas'!$D$7:$D$681,'🏭 DRE'!D5)</f>
        <v>0</v>
      </c>
      <c r="E6" s="454">
        <f>SUMIFS('💸  Receitas'!$J$7:$J$681,'💸  Receitas'!$C$7:$C$681,E$2,'💸  Receitas'!$D$7:$D$681,'🏭 DRE'!E5)</f>
        <v>0</v>
      </c>
      <c r="F6" s="454">
        <f>SUMIFS('💸  Receitas'!$J$7:$J$681,'💸  Receitas'!$C$7:$C$681,F$2,'💸  Receitas'!$D$7:$D$681,'🏭 DRE'!F5)</f>
        <v>0</v>
      </c>
      <c r="G6" s="454">
        <f>SUMIFS('💸  Receitas'!$J$7:$J$681,'💸  Receitas'!$C$7:$C$681,G$2,'💸  Receitas'!$D$7:$D$681,'🏭 DRE'!G5)</f>
        <v>0</v>
      </c>
      <c r="H6" s="454">
        <f>SUMIFS('💸  Receitas'!$J$7:$J$681,'💸  Receitas'!$C$7:$C$681,H$2,'💸  Receitas'!$D$7:$D$681,'🏭 DRE'!H5)</f>
        <v>0</v>
      </c>
      <c r="I6" s="454">
        <f>SUMIFS('💸  Receitas'!$J$7:$J$681,'💸  Receitas'!$C$7:$C$681,I$2,'💸  Receitas'!$D$7:$D$681,'🏭 DRE'!I5)</f>
        <v>10500</v>
      </c>
      <c r="J6" s="454">
        <f>SUMIFS('💸  Receitas'!$J$7:$J$681,'💸  Receitas'!$C$7:$C$681,J$2,'💸  Receitas'!$D$7:$D$681,'🏭 DRE'!J5)</f>
        <v>0</v>
      </c>
      <c r="K6" s="454">
        <f>SUMIFS('💸  Receitas'!$J$7:$J$681,'💸  Receitas'!$C$7:$C$681,K$2,'💸  Receitas'!$D$7:$D$681,'🏭 DRE'!K5)</f>
        <v>0</v>
      </c>
      <c r="L6" s="454">
        <f>SUMIFS('💸  Receitas'!$J$7:$J$681,'💸  Receitas'!$C$7:$C$681,L$2,'💸  Receitas'!$D$7:$D$681,'🏭 DRE'!L5)</f>
        <v>0</v>
      </c>
      <c r="M6" s="454">
        <f>SUMIFS('💸  Receitas'!$J$7:$J$681,'💸  Receitas'!$C$7:$C$681,M$2,'💸  Receitas'!$D$7:$D$681,'🏭 DRE'!M5)</f>
        <v>0</v>
      </c>
      <c r="N6" s="454">
        <f>SUMIFS('💸  Receitas'!$J$7:$J$681,'💸  Receitas'!$C$7:$C$681,N$2,'💸  Receitas'!$D$7:$D$681,'🏭 DRE'!N5)</f>
        <v>0</v>
      </c>
      <c r="O6" s="454">
        <f>SUMIFS('💸  Receitas'!$J$7:$J$681,'💸  Receitas'!$C$7:$C$681,O$2,'💸  Receitas'!$D$7:$D$681,'🏭 DRE'!O5)</f>
        <v>0</v>
      </c>
      <c r="P6" s="75"/>
      <c r="Q6" s="75"/>
    </row>
    <row r="7" spans="1:17" ht="28.8">
      <c r="A7" s="75"/>
      <c r="B7" s="521" t="s">
        <v>196</v>
      </c>
      <c r="C7" s="522">
        <f>SUMIFS($D7:$Q7,$D$2:$Q$2,$C$3)</f>
        <v>10757.95</v>
      </c>
      <c r="D7" s="522">
        <f t="shared" ref="D7:O7" si="5">SUM(D8:D27)</f>
        <v>0</v>
      </c>
      <c r="E7" s="522">
        <f t="shared" si="5"/>
        <v>0</v>
      </c>
      <c r="F7" s="522">
        <f t="shared" si="5"/>
        <v>0</v>
      </c>
      <c r="G7" s="522">
        <f t="shared" si="5"/>
        <v>0</v>
      </c>
      <c r="H7" s="522">
        <f t="shared" si="5"/>
        <v>1840.3600000000001</v>
      </c>
      <c r="I7" s="522">
        <f t="shared" si="5"/>
        <v>4227.59</v>
      </c>
      <c r="J7" s="522">
        <f t="shared" si="5"/>
        <v>4690</v>
      </c>
      <c r="K7" s="522">
        <f t="shared" si="5"/>
        <v>0</v>
      </c>
      <c r="L7" s="522">
        <f t="shared" si="5"/>
        <v>0</v>
      </c>
      <c r="M7" s="522">
        <f t="shared" si="5"/>
        <v>0</v>
      </c>
      <c r="N7" s="522">
        <f t="shared" si="5"/>
        <v>0</v>
      </c>
      <c r="O7" s="522">
        <f t="shared" si="5"/>
        <v>0</v>
      </c>
      <c r="P7" s="75"/>
      <c r="Q7" s="75"/>
    </row>
    <row r="8" spans="1:17" ht="6" customHeight="1">
      <c r="B8" s="455"/>
      <c r="C8" s="456"/>
      <c r="D8" s="457"/>
      <c r="E8" s="457"/>
      <c r="F8" s="457"/>
      <c r="G8" s="457"/>
      <c r="H8" s="457"/>
      <c r="I8" s="457"/>
      <c r="J8" s="457"/>
      <c r="K8" s="457"/>
      <c r="L8" s="457"/>
      <c r="M8" s="457"/>
      <c r="N8" s="457"/>
      <c r="O8" s="457"/>
    </row>
    <row r="9" spans="1:17" ht="18">
      <c r="A9" s="76"/>
      <c r="B9" s="458" t="s">
        <v>24</v>
      </c>
      <c r="C9" s="459">
        <f t="shared" ref="C9:C27" si="6">SUM(D9:O9)</f>
        <v>7422.92</v>
      </c>
      <c r="D9" s="459">
        <f>SUMIFS('📋 Despesas'!$J$7:$J$17825,'📋 Despesas'!$F$7:$F$17825,$B9,'📋 Despesas'!$C$7:$C$17825,D$3,'📋 Despesas'!$D$7:$D$17825,D$2)</f>
        <v>0</v>
      </c>
      <c r="E9" s="459">
        <f>SUMIFS('📋 Despesas'!$J$7:$J$17825,'📋 Despesas'!$F$7:$F$17825,$B9,'📋 Despesas'!$C$7:$C$17825,E$3,'📋 Despesas'!$D$7:$D$17825,E$2)</f>
        <v>0</v>
      </c>
      <c r="F9" s="459">
        <f>SUMIFS('📋 Despesas'!$J$7:$J$17825,'📋 Despesas'!$F$7:$F$17825,$B9,'📋 Despesas'!$C$7:$C$17825,F$3,'📋 Despesas'!$D$7:$D$17825,F$2)</f>
        <v>0</v>
      </c>
      <c r="G9" s="459">
        <f>SUMIFS('📋 Despesas'!$J$7:$J$17825,'📋 Despesas'!$F$7:$F$17825,$B9,'📋 Despesas'!$C$7:$C$17825,G$3,'📋 Despesas'!$D$7:$D$17825,G$2)</f>
        <v>0</v>
      </c>
      <c r="H9" s="459">
        <f>SUMIFS('📋 Despesas'!$J$7:$J$17825,'📋 Despesas'!$F$7:$F$17825,$B9,'📋 Despesas'!$C$7:$C$17825,H$3,'📋 Despesas'!$D$7:$D$17825,H$2)</f>
        <v>1637.92</v>
      </c>
      <c r="I9" s="459">
        <f>SUMIFS('📋 Despesas'!$J$7:$J$17825,'📋 Despesas'!$F$7:$F$17825,$B9,'📋 Despesas'!$C$7:$C$17825,I$3,'📋 Despesas'!$D$7:$D$17825,I$2)</f>
        <v>2670</v>
      </c>
      <c r="J9" s="459">
        <f>SUMIFS('📋 Despesas'!$J$7:$J$17825,'📋 Despesas'!$F$7:$F$17825,$B9,'📋 Despesas'!$C$7:$C$17825,J$3,'📋 Despesas'!$D$7:$D$17825,J$2)</f>
        <v>3115</v>
      </c>
      <c r="K9" s="459">
        <f>SUMIFS('📋 Despesas'!$J$7:$J$17825,'📋 Despesas'!$F$7:$F$17825,$B9,'📋 Despesas'!$C$7:$C$17825,K$3,'📋 Despesas'!$D$7:$D$17825,K$2)</f>
        <v>0</v>
      </c>
      <c r="L9" s="459">
        <f>SUMIFS('📋 Despesas'!$J$7:$J$17825,'📋 Despesas'!$F$7:$F$17825,$B9,'📋 Despesas'!$C$7:$C$17825,L$3,'📋 Despesas'!$D$7:$D$17825,L$2)</f>
        <v>0</v>
      </c>
      <c r="M9" s="459">
        <f>SUMIFS('📋 Despesas'!$J$7:$J$17825,'📋 Despesas'!$F$7:$F$17825,$B9,'📋 Despesas'!$C$7:$C$17825,M$3,'📋 Despesas'!$D$7:$D$17825,M$2)</f>
        <v>0</v>
      </c>
      <c r="N9" s="459">
        <f>SUMIFS('📋 Despesas'!$J$7:$J$17825,'📋 Despesas'!$F$7:$F$17825,$B9,'📋 Despesas'!$C$7:$C$17825,N$3,'📋 Despesas'!$D$7:$D$17825,N$2)</f>
        <v>0</v>
      </c>
      <c r="O9" s="459">
        <f>SUMIFS('📋 Despesas'!$J$7:$J$17825,'📋 Despesas'!$F$7:$F$17825,$B9,'📋 Despesas'!$C$7:$C$17825,O$3,'📋 Despesas'!$D$7:$D$17825,O$2)</f>
        <v>0</v>
      </c>
      <c r="P9" s="78"/>
      <c r="Q9" s="76" t="str" cm="1">
        <f t="array" ref="Q9:Q16">_xlfn._xlws.FILTER($B$9:$B$27,$B$9:$B$27&lt;&gt;"")</f>
        <v>PROLABORE</v>
      </c>
    </row>
    <row r="10" spans="1:17" ht="18">
      <c r="A10" s="76"/>
      <c r="B10" s="458" t="s">
        <v>211</v>
      </c>
      <c r="C10" s="459">
        <f t="shared" si="6"/>
        <v>917.44</v>
      </c>
      <c r="D10" s="459">
        <f>SUMIFS('📋 Despesas'!$J$7:$J$17825,'📋 Despesas'!$F$7:$F$17825,$B10,'📋 Despesas'!$C$7:$C$17825,D$3,'📋 Despesas'!$D$7:$D$17825,D$2)</f>
        <v>0</v>
      </c>
      <c r="E10" s="459">
        <f>SUMIFS('📋 Despesas'!$J$7:$J$17825,'📋 Despesas'!$F$7:$F$17825,$B10,'📋 Despesas'!$C$7:$C$17825,E$3,'📋 Despesas'!$D$7:$D$17825,E$2)</f>
        <v>0</v>
      </c>
      <c r="F10" s="459">
        <f>SUMIFS('📋 Despesas'!$J$7:$J$17825,'📋 Despesas'!$F$7:$F$17825,$B10,'📋 Despesas'!$C$7:$C$17825,F$3,'📋 Despesas'!$D$7:$D$17825,F$2)</f>
        <v>0</v>
      </c>
      <c r="G10" s="459">
        <f>SUMIFS('📋 Despesas'!$J$7:$J$17825,'📋 Despesas'!$F$7:$F$17825,$B10,'📋 Despesas'!$C$7:$C$17825,G$3,'📋 Despesas'!$D$7:$D$17825,G$2)</f>
        <v>0</v>
      </c>
      <c r="H10" s="459">
        <f>SUMIFS('📋 Despesas'!$J$7:$J$17825,'📋 Despesas'!$F$7:$F$17825,$B10,'📋 Despesas'!$C$7:$C$17825,H$3,'📋 Despesas'!$D$7:$D$17825,H$2)</f>
        <v>202.44</v>
      </c>
      <c r="I10" s="459">
        <f>SUMIFS('📋 Despesas'!$J$7:$J$17825,'📋 Despesas'!$F$7:$F$17825,$B10,'📋 Despesas'!$C$7:$C$17825,I$3,'📋 Despesas'!$D$7:$D$17825,I$2)</f>
        <v>330</v>
      </c>
      <c r="J10" s="459">
        <f>SUMIFS('📋 Despesas'!$J$7:$J$17825,'📋 Despesas'!$F$7:$F$17825,$B10,'📋 Despesas'!$C$7:$C$17825,J$3,'📋 Despesas'!$D$7:$D$17825,J$2)</f>
        <v>385</v>
      </c>
      <c r="K10" s="459">
        <f>SUMIFS('📋 Despesas'!$J$7:$J$17825,'📋 Despesas'!$F$7:$F$17825,$B10,'📋 Despesas'!$C$7:$C$17825,K$3,'📋 Despesas'!$D$7:$D$17825,K$2)</f>
        <v>0</v>
      </c>
      <c r="L10" s="459">
        <f>SUMIFS('📋 Despesas'!$J$7:$J$17825,'📋 Despesas'!$F$7:$F$17825,$B10,'📋 Despesas'!$C$7:$C$17825,L$3,'📋 Despesas'!$D$7:$D$17825,L$2)</f>
        <v>0</v>
      </c>
      <c r="M10" s="459">
        <f>SUMIFS('📋 Despesas'!$J$7:$J$17825,'📋 Despesas'!$F$7:$F$17825,$B10,'📋 Despesas'!$C$7:$C$17825,M$3,'📋 Despesas'!$D$7:$D$17825,M$2)</f>
        <v>0</v>
      </c>
      <c r="N10" s="459">
        <f>SUMIFS('📋 Despesas'!$J$7:$J$17825,'📋 Despesas'!$F$7:$F$17825,$B10,'📋 Despesas'!$C$7:$C$17825,N$3,'📋 Despesas'!$D$7:$D$17825,N$2)</f>
        <v>0</v>
      </c>
      <c r="O10" s="459">
        <f>SUMIFS('📋 Despesas'!$J$7:$J$17825,'📋 Despesas'!$F$7:$F$17825,$B10,'📋 Despesas'!$C$7:$C$17825,O$3,'📋 Despesas'!$D$7:$D$17825,O$2)</f>
        <v>0</v>
      </c>
      <c r="P10" s="78"/>
      <c r="Q10" s="76" t="str">
        <v>INSS</v>
      </c>
    </row>
    <row r="11" spans="1:17" ht="18">
      <c r="A11" s="76"/>
      <c r="B11" s="458" t="s">
        <v>212</v>
      </c>
      <c r="C11" s="459">
        <f t="shared" si="6"/>
        <v>0</v>
      </c>
      <c r="D11" s="459">
        <f>SUMIFS('📋 Despesas'!$J$7:$J$17825,'📋 Despesas'!$F$7:$F$17825,$B11,'📋 Despesas'!$C$7:$C$17825,D$3,'📋 Despesas'!$D$7:$D$17825,D$2)</f>
        <v>0</v>
      </c>
      <c r="E11" s="459">
        <f>SUMIFS('📋 Despesas'!$J$7:$J$17825,'📋 Despesas'!$F$7:$F$17825,$B11,'📋 Despesas'!$C$7:$C$17825,E$3,'📋 Despesas'!$D$7:$D$17825,E$2)</f>
        <v>0</v>
      </c>
      <c r="F11" s="459">
        <f>SUMIFS('📋 Despesas'!$J$7:$J$17825,'📋 Despesas'!$F$7:$F$17825,$B11,'📋 Despesas'!$C$7:$C$17825,F$3,'📋 Despesas'!$D$7:$D$17825,F$2)</f>
        <v>0</v>
      </c>
      <c r="G11" s="459">
        <f>SUMIFS('📋 Despesas'!$J$7:$J$17825,'📋 Despesas'!$F$7:$F$17825,$B11,'📋 Despesas'!$C$7:$C$17825,G$3,'📋 Despesas'!$D$7:$D$17825,G$2)</f>
        <v>0</v>
      </c>
      <c r="H11" s="459">
        <f>SUMIFS('📋 Despesas'!$J$7:$J$17825,'📋 Despesas'!$F$7:$F$17825,$B11,'📋 Despesas'!$C$7:$C$17825,H$3,'📋 Despesas'!$D$7:$D$17825,H$2)</f>
        <v>0</v>
      </c>
      <c r="I11" s="459">
        <f>SUMIFS('📋 Despesas'!$J$7:$J$17825,'📋 Despesas'!$F$7:$F$17825,$B11,'📋 Despesas'!$C$7:$C$17825,I$3,'📋 Despesas'!$D$7:$D$17825,I$2)</f>
        <v>0</v>
      </c>
      <c r="J11" s="459">
        <f>SUMIFS('📋 Despesas'!$J$7:$J$17825,'📋 Despesas'!$F$7:$F$17825,$B11,'📋 Despesas'!$C$7:$C$17825,J$3,'📋 Despesas'!$D$7:$D$17825,J$2)</f>
        <v>0</v>
      </c>
      <c r="K11" s="459">
        <f>SUMIFS('📋 Despesas'!$J$7:$J$17825,'📋 Despesas'!$F$7:$F$17825,$B11,'📋 Despesas'!$C$7:$C$17825,K$3,'📋 Despesas'!$D$7:$D$17825,K$2)</f>
        <v>0</v>
      </c>
      <c r="L11" s="459">
        <f>SUMIFS('📋 Despesas'!$J$7:$J$17825,'📋 Despesas'!$F$7:$F$17825,$B11,'📋 Despesas'!$C$7:$C$17825,L$3,'📋 Despesas'!$D$7:$D$17825,L$2)</f>
        <v>0</v>
      </c>
      <c r="M11" s="459">
        <f>SUMIFS('📋 Despesas'!$J$7:$J$17825,'📋 Despesas'!$F$7:$F$17825,$B11,'📋 Despesas'!$C$7:$C$17825,M$3,'📋 Despesas'!$D$7:$D$17825,M$2)</f>
        <v>0</v>
      </c>
      <c r="N11" s="459">
        <f>SUMIFS('📋 Despesas'!$J$7:$J$17825,'📋 Despesas'!$F$7:$F$17825,$B11,'📋 Despesas'!$C$7:$C$17825,N$3,'📋 Despesas'!$D$7:$D$17825,N$2)</f>
        <v>0</v>
      </c>
      <c r="O11" s="459">
        <f>SUMIFS('📋 Despesas'!$J$7:$J$17825,'📋 Despesas'!$F$7:$F$17825,$B11,'📋 Despesas'!$C$7:$C$17825,O$3,'📋 Despesas'!$D$7:$D$17825,O$2)</f>
        <v>0</v>
      </c>
      <c r="P11" s="78"/>
      <c r="Q11" s="76" t="str">
        <v>LUCRO</v>
      </c>
    </row>
    <row r="12" spans="1:17" ht="18">
      <c r="A12" s="76"/>
      <c r="B12" s="458" t="s">
        <v>54</v>
      </c>
      <c r="C12" s="459">
        <f t="shared" si="6"/>
        <v>1540</v>
      </c>
      <c r="D12" s="459">
        <f>SUMIFS('📋 Despesas'!$J$7:$J$17825,'📋 Despesas'!$F$7:$F$17825,$B12,'📋 Despesas'!$C$7:$C$17825,D$3,'📋 Despesas'!$D$7:$D$17825,D$2)</f>
        <v>0</v>
      </c>
      <c r="E12" s="459">
        <f>SUMIFS('📋 Despesas'!$J$7:$J$17825,'📋 Despesas'!$F$7:$F$17825,$B12,'📋 Despesas'!$C$7:$C$17825,E$3,'📋 Despesas'!$D$7:$D$17825,E$2)</f>
        <v>0</v>
      </c>
      <c r="F12" s="459">
        <f>SUMIFS('📋 Despesas'!$J$7:$J$17825,'📋 Despesas'!$F$7:$F$17825,$B12,'📋 Despesas'!$C$7:$C$17825,F$3,'📋 Despesas'!$D$7:$D$17825,F$2)</f>
        <v>0</v>
      </c>
      <c r="G12" s="459">
        <f>SUMIFS('📋 Despesas'!$J$7:$J$17825,'📋 Despesas'!$F$7:$F$17825,$B12,'📋 Despesas'!$C$7:$C$17825,G$3,'📋 Despesas'!$D$7:$D$17825,G$2)</f>
        <v>0</v>
      </c>
      <c r="H12" s="459">
        <f>SUMIFS('📋 Despesas'!$J$7:$J$17825,'📋 Despesas'!$F$7:$F$17825,$B12,'📋 Despesas'!$C$7:$C$17825,H$3,'📋 Despesas'!$D$7:$D$17825,H$2)</f>
        <v>0</v>
      </c>
      <c r="I12" s="459">
        <f>SUMIFS('📋 Despesas'!$J$7:$J$17825,'📋 Despesas'!$F$7:$F$17825,$B12,'📋 Despesas'!$C$7:$C$17825,I$3,'📋 Despesas'!$D$7:$D$17825,I$2)</f>
        <v>950</v>
      </c>
      <c r="J12" s="459">
        <f>SUMIFS('📋 Despesas'!$J$7:$J$17825,'📋 Despesas'!$F$7:$F$17825,$B12,'📋 Despesas'!$C$7:$C$17825,J$3,'📋 Despesas'!$D$7:$D$17825,J$2)</f>
        <v>590</v>
      </c>
      <c r="K12" s="459">
        <f>SUMIFS('📋 Despesas'!$J$7:$J$17825,'📋 Despesas'!$F$7:$F$17825,$B12,'📋 Despesas'!$C$7:$C$17825,K$3,'📋 Despesas'!$D$7:$D$17825,K$2)</f>
        <v>0</v>
      </c>
      <c r="L12" s="459">
        <f>SUMIFS('📋 Despesas'!$J$7:$J$17825,'📋 Despesas'!$F$7:$F$17825,$B12,'📋 Despesas'!$C$7:$C$17825,L$3,'📋 Despesas'!$D$7:$D$17825,L$2)</f>
        <v>0</v>
      </c>
      <c r="M12" s="459">
        <f>SUMIFS('📋 Despesas'!$J$7:$J$17825,'📋 Despesas'!$F$7:$F$17825,$B12,'📋 Despesas'!$C$7:$C$17825,M$3,'📋 Despesas'!$D$7:$D$17825,M$2)</f>
        <v>0</v>
      </c>
      <c r="N12" s="459">
        <f>SUMIFS('📋 Despesas'!$J$7:$J$17825,'📋 Despesas'!$F$7:$F$17825,$B12,'📋 Despesas'!$C$7:$C$17825,N$3,'📋 Despesas'!$D$7:$D$17825,N$2)</f>
        <v>0</v>
      </c>
      <c r="O12" s="459">
        <f>SUMIFS('📋 Despesas'!$J$7:$J$17825,'📋 Despesas'!$F$7:$F$17825,$B12,'📋 Despesas'!$C$7:$C$17825,O$3,'📋 Despesas'!$D$7:$D$17825,O$2)</f>
        <v>0</v>
      </c>
      <c r="P12" s="78"/>
      <c r="Q12" s="76" t="str">
        <v>CONTABILIDADE</v>
      </c>
    </row>
    <row r="13" spans="1:17" ht="18">
      <c r="A13" s="76"/>
      <c r="B13" s="458" t="s">
        <v>215</v>
      </c>
      <c r="C13" s="459">
        <f t="shared" si="6"/>
        <v>0</v>
      </c>
      <c r="D13" s="459">
        <f>SUMIFS('📋 Despesas'!$J$7:$J$17825,'📋 Despesas'!$F$7:$F$17825,$B13,'📋 Despesas'!$C$7:$C$17825,D$3,'📋 Despesas'!$D$7:$D$17825,D$2)</f>
        <v>0</v>
      </c>
      <c r="E13" s="459">
        <f>SUMIFS('📋 Despesas'!$J$7:$J$17825,'📋 Despesas'!$F$7:$F$17825,$B13,'📋 Despesas'!$C$7:$C$17825,E$3,'📋 Despesas'!$D$7:$D$17825,E$2)</f>
        <v>0</v>
      </c>
      <c r="F13" s="459">
        <f>SUMIFS('📋 Despesas'!$J$7:$J$17825,'📋 Despesas'!$F$7:$F$17825,$B13,'📋 Despesas'!$C$7:$C$17825,F$3,'📋 Despesas'!$D$7:$D$17825,F$2)</f>
        <v>0</v>
      </c>
      <c r="G13" s="459">
        <f>SUMIFS('📋 Despesas'!$J$7:$J$17825,'📋 Despesas'!$F$7:$F$17825,$B13,'📋 Despesas'!$C$7:$C$17825,G$3,'📋 Despesas'!$D$7:$D$17825,G$2)</f>
        <v>0</v>
      </c>
      <c r="H13" s="459">
        <f>SUMIFS('📋 Despesas'!$J$7:$J$17825,'📋 Despesas'!$F$7:$F$17825,$B13,'📋 Despesas'!$C$7:$C$17825,H$3,'📋 Despesas'!$D$7:$D$17825,H$2)</f>
        <v>0</v>
      </c>
      <c r="I13" s="459">
        <f>SUMIFS('📋 Despesas'!$J$7:$J$17825,'📋 Despesas'!$F$7:$F$17825,$B13,'📋 Despesas'!$C$7:$C$17825,I$3,'📋 Despesas'!$D$7:$D$17825,I$2)</f>
        <v>0</v>
      </c>
      <c r="J13" s="459">
        <f>SUMIFS('📋 Despesas'!$J$7:$J$17825,'📋 Despesas'!$F$7:$F$17825,$B13,'📋 Despesas'!$C$7:$C$17825,J$3,'📋 Despesas'!$D$7:$D$17825,J$2)</f>
        <v>0</v>
      </c>
      <c r="K13" s="459">
        <f>SUMIFS('📋 Despesas'!$J$7:$J$17825,'📋 Despesas'!$F$7:$F$17825,$B13,'📋 Despesas'!$C$7:$C$17825,K$3,'📋 Despesas'!$D$7:$D$17825,K$2)</f>
        <v>0</v>
      </c>
      <c r="L13" s="459">
        <f>SUMIFS('📋 Despesas'!$J$7:$J$17825,'📋 Despesas'!$F$7:$F$17825,$B13,'📋 Despesas'!$C$7:$C$17825,L$3,'📋 Despesas'!$D$7:$D$17825,L$2)</f>
        <v>0</v>
      </c>
      <c r="M13" s="459">
        <f>SUMIFS('📋 Despesas'!$J$7:$J$17825,'📋 Despesas'!$F$7:$F$17825,$B13,'📋 Despesas'!$C$7:$C$17825,M$3,'📋 Despesas'!$D$7:$D$17825,M$2)</f>
        <v>0</v>
      </c>
      <c r="N13" s="459">
        <f>SUMIFS('📋 Despesas'!$J$7:$J$17825,'📋 Despesas'!$F$7:$F$17825,$B13,'📋 Despesas'!$C$7:$C$17825,N$3,'📋 Despesas'!$D$7:$D$17825,N$2)</f>
        <v>0</v>
      </c>
      <c r="O13" s="459">
        <f>SUMIFS('📋 Despesas'!$J$7:$J$17825,'📋 Despesas'!$F$7:$F$17825,$B13,'📋 Despesas'!$C$7:$C$17825,O$3,'📋 Despesas'!$D$7:$D$17825,O$2)</f>
        <v>0</v>
      </c>
      <c r="P13" s="78"/>
      <c r="Q13" s="76" t="str">
        <v>OUTROS</v>
      </c>
    </row>
    <row r="14" spans="1:17" ht="18">
      <c r="A14" s="76"/>
      <c r="B14" s="458" t="s">
        <v>226</v>
      </c>
      <c r="C14" s="459">
        <f t="shared" si="6"/>
        <v>277.59000000000003</v>
      </c>
      <c r="D14" s="459">
        <f>SUMIFS('📋 Despesas'!$J$7:$J$17825,'📋 Despesas'!$F$7:$F$17825,$B14,'📋 Despesas'!$C$7:$C$17825,D$3,'📋 Despesas'!$D$7:$D$17825,D$2)</f>
        <v>0</v>
      </c>
      <c r="E14" s="459">
        <f>SUMIFS('📋 Despesas'!$J$7:$J$17825,'📋 Despesas'!$F$7:$F$17825,$B14,'📋 Despesas'!$C$7:$C$17825,E$3,'📋 Despesas'!$D$7:$D$17825,E$2)</f>
        <v>0</v>
      </c>
      <c r="F14" s="459">
        <f>SUMIFS('📋 Despesas'!$J$7:$J$17825,'📋 Despesas'!$F$7:$F$17825,$B14,'📋 Despesas'!$C$7:$C$17825,F$3,'📋 Despesas'!$D$7:$D$17825,F$2)</f>
        <v>0</v>
      </c>
      <c r="G14" s="459">
        <f>SUMIFS('📋 Despesas'!$J$7:$J$17825,'📋 Despesas'!$F$7:$F$17825,$B14,'📋 Despesas'!$C$7:$C$17825,G$3,'📋 Despesas'!$D$7:$D$17825,G$2)</f>
        <v>0</v>
      </c>
      <c r="H14" s="459">
        <f>SUMIFS('📋 Despesas'!$J$7:$J$17825,'📋 Despesas'!$F$7:$F$17825,$B14,'📋 Despesas'!$C$7:$C$17825,H$3,'📋 Despesas'!$D$7:$D$17825,H$2)</f>
        <v>0</v>
      </c>
      <c r="I14" s="459">
        <f>SUMIFS('📋 Despesas'!$J$7:$J$17825,'📋 Despesas'!$F$7:$F$17825,$B14,'📋 Despesas'!$C$7:$C$17825,I$3,'📋 Despesas'!$D$7:$D$17825,I$2)</f>
        <v>277.59000000000003</v>
      </c>
      <c r="J14" s="459">
        <f>SUMIFS('📋 Despesas'!$J$7:$J$17825,'📋 Despesas'!$F$7:$F$17825,$B14,'📋 Despesas'!$C$7:$C$17825,J$3,'📋 Despesas'!$D$7:$D$17825,J$2)</f>
        <v>0</v>
      </c>
      <c r="K14" s="459">
        <f>SUMIFS('📋 Despesas'!$J$7:$J$17825,'📋 Despesas'!$F$7:$F$17825,$B14,'📋 Despesas'!$C$7:$C$17825,K$3,'📋 Despesas'!$D$7:$D$17825,K$2)</f>
        <v>0</v>
      </c>
      <c r="L14" s="459">
        <f>SUMIFS('📋 Despesas'!$J$7:$J$17825,'📋 Despesas'!$F$7:$F$17825,$B14,'📋 Despesas'!$C$7:$C$17825,L$3,'📋 Despesas'!$D$7:$D$17825,L$2)</f>
        <v>0</v>
      </c>
      <c r="M14" s="459">
        <f>SUMIFS('📋 Despesas'!$J$7:$J$17825,'📋 Despesas'!$F$7:$F$17825,$B14,'📋 Despesas'!$C$7:$C$17825,M$3,'📋 Despesas'!$D$7:$D$17825,M$2)</f>
        <v>0</v>
      </c>
      <c r="N14" s="459">
        <f>SUMIFS('📋 Despesas'!$J$7:$J$17825,'📋 Despesas'!$F$7:$F$17825,$B14,'📋 Despesas'!$C$7:$C$17825,N$3,'📋 Despesas'!$D$7:$D$17825,N$2)</f>
        <v>0</v>
      </c>
      <c r="O14" s="459">
        <f>SUMIFS('📋 Despesas'!$J$7:$J$17825,'📋 Despesas'!$F$7:$F$17825,$B14,'📋 Despesas'!$C$7:$C$17825,O$3,'📋 Despesas'!$D$7:$D$17825,O$2)</f>
        <v>0</v>
      </c>
      <c r="P14" s="78"/>
      <c r="Q14" s="76" t="str">
        <v>ADM</v>
      </c>
    </row>
    <row r="15" spans="1:17" ht="18">
      <c r="A15" s="79"/>
      <c r="B15" s="455"/>
      <c r="C15" s="456">
        <f t="shared" si="6"/>
        <v>0</v>
      </c>
      <c r="D15" s="460">
        <f>SUMIFS('📋 Despesas'!$J$7:$J$17825,'📋 Despesas'!$F$7:$F$17825,$B15,'📋 Despesas'!$C$7:$C$17825,D$3,'📋 Despesas'!$D$7:$D$17825,D$2)</f>
        <v>0</v>
      </c>
      <c r="E15" s="460">
        <f>SUMIFS('📋 Despesas'!$J$7:$J$17825,'📋 Despesas'!$F$7:$F$17825,$B15,'📋 Despesas'!$C$7:$C$17825,E$3,'📋 Despesas'!$D$7:$D$17825,E$2)</f>
        <v>0</v>
      </c>
      <c r="F15" s="460">
        <f>SUMIFS('📋 Despesas'!$J$7:$J$17825,'📋 Despesas'!$F$7:$F$17825,$B15,'📋 Despesas'!$C$7:$C$17825,F$3,'📋 Despesas'!$D$7:$D$17825,F$2)</f>
        <v>0</v>
      </c>
      <c r="G15" s="460">
        <f>SUMIFS('📋 Despesas'!$J$7:$J$17825,'📋 Despesas'!$F$7:$F$17825,$B15,'📋 Despesas'!$C$7:$C$17825,G$3,'📋 Despesas'!$D$7:$D$17825,G$2)</f>
        <v>0</v>
      </c>
      <c r="H15" s="460">
        <f>SUMIFS('📋 Despesas'!$J$7:$J$17825,'📋 Despesas'!$F$7:$F$17825,$B15,'📋 Despesas'!$C$7:$C$17825,H$3,'📋 Despesas'!$D$7:$D$17825,H$2)</f>
        <v>0</v>
      </c>
      <c r="I15" s="460">
        <f>SUMIFS('📋 Despesas'!$J$7:$J$17825,'📋 Despesas'!$F$7:$F$17825,$B15,'📋 Despesas'!$C$7:$C$17825,I$3,'📋 Despesas'!$D$7:$D$17825,I$2)</f>
        <v>0</v>
      </c>
      <c r="J15" s="460">
        <f>SUMIFS('📋 Despesas'!$J$7:$J$17825,'📋 Despesas'!$F$7:$F$17825,$B15,'📋 Despesas'!$C$7:$C$17825,J$3,'📋 Despesas'!$D$7:$D$17825,J$2)</f>
        <v>0</v>
      </c>
      <c r="K15" s="460">
        <f>SUMIFS('📋 Despesas'!$J$7:$J$17825,'📋 Despesas'!$F$7:$F$17825,$B15,'📋 Despesas'!$C$7:$C$17825,K$3,'📋 Despesas'!$D$7:$D$17825,K$2)</f>
        <v>0</v>
      </c>
      <c r="L15" s="460">
        <f>SUMIFS('📋 Despesas'!$J$7:$J$17825,'📋 Despesas'!$F$7:$F$17825,$B15,'📋 Despesas'!$C$7:$C$17825,L$3,'📋 Despesas'!$D$7:$D$17825,L$2)</f>
        <v>0</v>
      </c>
      <c r="M15" s="460">
        <f>SUMIFS('📋 Despesas'!$J$7:$J$17825,'📋 Despesas'!$F$7:$F$17825,$B15,'📋 Despesas'!$C$7:$C$17825,M$3,'📋 Despesas'!$D$7:$D$17825,M$2)</f>
        <v>0</v>
      </c>
      <c r="N15" s="460">
        <f>SUMIFS('📋 Despesas'!$J$7:$J$17825,'📋 Despesas'!$F$7:$F$17825,$B15,'📋 Despesas'!$C$7:$C$17825,N$3,'📋 Despesas'!$D$7:$D$17825,N$2)</f>
        <v>0</v>
      </c>
      <c r="O15" s="460">
        <f>SUMIFS('📋 Despesas'!$J$7:$J$17825,'📋 Despesas'!$F$7:$F$17825,$B15,'📋 Despesas'!$C$7:$C$17825,O$3,'📋 Despesas'!$D$7:$D$17825,O$2)</f>
        <v>0</v>
      </c>
      <c r="P15" s="253"/>
      <c r="Q15" s="254" t="str">
        <v>DAS</v>
      </c>
    </row>
    <row r="16" spans="1:17" ht="18">
      <c r="B16" s="455"/>
      <c r="C16" s="456">
        <f t="shared" si="6"/>
        <v>0</v>
      </c>
      <c r="D16" s="460">
        <f>SUMIFS('📋 Despesas'!$J$7:$J$17825,'📋 Despesas'!$F$7:$F$17825,$B16,'📋 Despesas'!$C$7:$C$17825,D$3,'📋 Despesas'!$D$7:$D$17825,D$2)</f>
        <v>0</v>
      </c>
      <c r="E16" s="460">
        <f>SUMIFS('📋 Despesas'!$J$7:$J$17825,'📋 Despesas'!$F$7:$F$17825,$B16,'📋 Despesas'!$C$7:$C$17825,E$3,'📋 Despesas'!$D$7:$D$17825,E$2)</f>
        <v>0</v>
      </c>
      <c r="F16" s="460">
        <f>SUMIFS('📋 Despesas'!$J$7:$J$17825,'📋 Despesas'!$F$7:$F$17825,$B16,'📋 Despesas'!$C$7:$C$17825,F$3,'📋 Despesas'!$D$7:$D$17825,F$2)</f>
        <v>0</v>
      </c>
      <c r="G16" s="460">
        <f>SUMIFS('📋 Despesas'!$J$7:$J$17825,'📋 Despesas'!$F$7:$F$17825,$B16,'📋 Despesas'!$C$7:$C$17825,G$3,'📋 Despesas'!$D$7:$D$17825,G$2)</f>
        <v>0</v>
      </c>
      <c r="H16" s="460">
        <f>SUMIFS('📋 Despesas'!$J$7:$J$17825,'📋 Despesas'!$F$7:$F$17825,$B16,'📋 Despesas'!$C$7:$C$17825,H$3,'📋 Despesas'!$D$7:$D$17825,H$2)</f>
        <v>0</v>
      </c>
      <c r="I16" s="460">
        <f>SUMIFS('📋 Despesas'!$J$7:$J$17825,'📋 Despesas'!$F$7:$F$17825,$B16,'📋 Despesas'!$C$7:$C$17825,I$3,'📋 Despesas'!$D$7:$D$17825,I$2)</f>
        <v>0</v>
      </c>
      <c r="J16" s="460">
        <f>SUMIFS('📋 Despesas'!$J$7:$J$17825,'📋 Despesas'!$F$7:$F$17825,$B16,'📋 Despesas'!$C$7:$C$17825,J$3,'📋 Despesas'!$D$7:$D$17825,J$2)</f>
        <v>0</v>
      </c>
      <c r="K16" s="460">
        <f>SUMIFS('📋 Despesas'!$J$7:$J$17825,'📋 Despesas'!$F$7:$F$17825,$B16,'📋 Despesas'!$C$7:$C$17825,K$3,'📋 Despesas'!$D$7:$D$17825,K$2)</f>
        <v>0</v>
      </c>
      <c r="L16" s="460">
        <f>SUMIFS('📋 Despesas'!$J$7:$J$17825,'📋 Despesas'!$F$7:$F$17825,$B16,'📋 Despesas'!$C$7:$C$17825,L$3,'📋 Despesas'!$D$7:$D$17825,L$2)</f>
        <v>0</v>
      </c>
      <c r="M16" s="460">
        <f>SUMIFS('📋 Despesas'!$J$7:$J$17825,'📋 Despesas'!$F$7:$F$17825,$B16,'📋 Despesas'!$C$7:$C$17825,M$3,'📋 Despesas'!$D$7:$D$17825,M$2)</f>
        <v>0</v>
      </c>
      <c r="N16" s="460">
        <f>SUMIFS('📋 Despesas'!$J$7:$J$17825,'📋 Despesas'!$F$7:$F$17825,$B16,'📋 Despesas'!$C$7:$C$17825,N$3,'📋 Despesas'!$D$7:$D$17825,N$2)</f>
        <v>0</v>
      </c>
      <c r="O16" s="460">
        <f>SUMIFS('📋 Despesas'!$J$7:$J$17825,'📋 Despesas'!$F$7:$F$17825,$B16,'📋 Despesas'!$C$7:$C$17825,O$3,'📋 Despesas'!$D$7:$D$17825,O$2)</f>
        <v>0</v>
      </c>
      <c r="P16" s="253"/>
      <c r="Q16" s="254" t="str">
        <v>TAXAS</v>
      </c>
    </row>
    <row r="17" spans="1:17" ht="18">
      <c r="B17" s="455"/>
      <c r="C17" s="456">
        <f t="shared" si="6"/>
        <v>0</v>
      </c>
      <c r="D17" s="460">
        <f>SUMIFS('📋 Despesas'!$J$7:$J$17825,'📋 Despesas'!$F$7:$F$17825,$B17,'📋 Despesas'!$C$7:$C$17825,D$3,'📋 Despesas'!$D$7:$D$17825,D$2)</f>
        <v>0</v>
      </c>
      <c r="E17" s="460">
        <f>SUMIFS('📋 Despesas'!$J$7:$J$17825,'📋 Despesas'!$F$7:$F$17825,$B17,'📋 Despesas'!$C$7:$C$17825,E$3,'📋 Despesas'!$D$7:$D$17825,E$2)</f>
        <v>0</v>
      </c>
      <c r="F17" s="460">
        <f>SUMIFS('📋 Despesas'!$J$7:$J$17825,'📋 Despesas'!$F$7:$F$17825,$B17,'📋 Despesas'!$C$7:$C$17825,F$3,'📋 Despesas'!$D$7:$D$17825,F$2)</f>
        <v>0</v>
      </c>
      <c r="G17" s="460">
        <f>SUMIFS('📋 Despesas'!$J$7:$J$17825,'📋 Despesas'!$F$7:$F$17825,$B17,'📋 Despesas'!$C$7:$C$17825,G$3,'📋 Despesas'!$D$7:$D$17825,G$2)</f>
        <v>0</v>
      </c>
      <c r="H17" s="460">
        <f>SUMIFS('📋 Despesas'!$J$7:$J$17825,'📋 Despesas'!$F$7:$F$17825,$B17,'📋 Despesas'!$C$7:$C$17825,H$3,'📋 Despesas'!$D$7:$D$17825,H$2)</f>
        <v>0</v>
      </c>
      <c r="I17" s="460">
        <f>SUMIFS('📋 Despesas'!$J$7:$J$17825,'📋 Despesas'!$F$7:$F$17825,$B17,'📋 Despesas'!$C$7:$C$17825,I$3,'📋 Despesas'!$D$7:$D$17825,I$2)</f>
        <v>0</v>
      </c>
      <c r="J17" s="460">
        <f>SUMIFS('📋 Despesas'!$J$7:$J$17825,'📋 Despesas'!$F$7:$F$17825,$B17,'📋 Despesas'!$C$7:$C$17825,J$3,'📋 Despesas'!$D$7:$D$17825,J$2)</f>
        <v>0</v>
      </c>
      <c r="K17" s="460">
        <f>SUMIFS('📋 Despesas'!$J$7:$J$17825,'📋 Despesas'!$F$7:$F$17825,$B17,'📋 Despesas'!$C$7:$C$17825,K$3,'📋 Despesas'!$D$7:$D$17825,K$2)</f>
        <v>0</v>
      </c>
      <c r="L17" s="460">
        <f>SUMIFS('📋 Despesas'!$J$7:$J$17825,'📋 Despesas'!$F$7:$F$17825,$B17,'📋 Despesas'!$C$7:$C$17825,L$3,'📋 Despesas'!$D$7:$D$17825,L$2)</f>
        <v>0</v>
      </c>
      <c r="M17" s="460">
        <f>SUMIFS('📋 Despesas'!$J$7:$J$17825,'📋 Despesas'!$F$7:$F$17825,$B17,'📋 Despesas'!$C$7:$C$17825,M$3,'📋 Despesas'!$D$7:$D$17825,M$2)</f>
        <v>0</v>
      </c>
      <c r="N17" s="460">
        <f>SUMIFS('📋 Despesas'!$J$7:$J$17825,'📋 Despesas'!$F$7:$F$17825,$B17,'📋 Despesas'!$C$7:$C$17825,N$3,'📋 Despesas'!$D$7:$D$17825,N$2)</f>
        <v>0</v>
      </c>
      <c r="O17" s="460">
        <f>SUMIFS('📋 Despesas'!$J$7:$J$17825,'📋 Despesas'!$F$7:$F$17825,$B17,'📋 Despesas'!$C$7:$C$17825,O$3,'📋 Despesas'!$D$7:$D$17825,O$2)</f>
        <v>0</v>
      </c>
      <c r="P17" s="253"/>
      <c r="Q17" s="254"/>
    </row>
    <row r="18" spans="1:17" ht="18" hidden="1">
      <c r="A18" s="79"/>
      <c r="B18" s="455"/>
      <c r="C18" s="456">
        <f t="shared" si="6"/>
        <v>0</v>
      </c>
      <c r="D18" s="460">
        <f>SUMIFS('📋 Despesas'!$J$7:$J$17825,'📋 Despesas'!$F$7:$F$17825,$B18,'📋 Despesas'!$C$7:$C$17825,D$3,'📋 Despesas'!$D$7:$D$17825,D$2)</f>
        <v>0</v>
      </c>
      <c r="E18" s="460">
        <f>SUMIFS('📋 Despesas'!$J$7:$J$17825,'📋 Despesas'!$F$7:$F$17825,$B18,'📋 Despesas'!$C$7:$C$17825,E$3,'📋 Despesas'!$D$7:$D$17825,E$2)</f>
        <v>0</v>
      </c>
      <c r="F18" s="460">
        <f>SUMIFS('📋 Despesas'!$J$7:$J$17825,'📋 Despesas'!$F$7:$F$17825,$B18,'📋 Despesas'!$C$7:$C$17825,F$3,'📋 Despesas'!$D$7:$D$17825,F$2)</f>
        <v>0</v>
      </c>
      <c r="G18" s="460">
        <f>SUMIFS('📋 Despesas'!$J$7:$J$17825,'📋 Despesas'!$F$7:$F$17825,$B18,'📋 Despesas'!$C$7:$C$17825,G$3,'📋 Despesas'!$D$7:$D$17825,G$2)</f>
        <v>0</v>
      </c>
      <c r="H18" s="460">
        <f>SUMIFS('📋 Despesas'!$J$7:$J$17825,'📋 Despesas'!$F$7:$F$17825,$B18,'📋 Despesas'!$C$7:$C$17825,H$3,'📋 Despesas'!$D$7:$D$17825,H$2)</f>
        <v>0</v>
      </c>
      <c r="I18" s="460">
        <f>SUMIFS('📋 Despesas'!$J$7:$J$17825,'📋 Despesas'!$F$7:$F$17825,$B18,'📋 Despesas'!$C$7:$C$17825,I$3,'📋 Despesas'!$D$7:$D$17825,I$2)</f>
        <v>0</v>
      </c>
      <c r="J18" s="460">
        <f>SUMIFS('📋 Despesas'!$J$7:$J$17825,'📋 Despesas'!$F$7:$F$17825,$B18,'📋 Despesas'!$C$7:$C$17825,J$3,'📋 Despesas'!$D$7:$D$17825,J$2)</f>
        <v>0</v>
      </c>
      <c r="K18" s="460">
        <f>SUMIFS('📋 Despesas'!$J$7:$J$17825,'📋 Despesas'!$F$7:$F$17825,$B18,'📋 Despesas'!$C$7:$C$17825,K$3,'📋 Despesas'!$D$7:$D$17825,K$2)</f>
        <v>0</v>
      </c>
      <c r="L18" s="460">
        <f>SUMIFS('📋 Despesas'!$J$7:$J$17825,'📋 Despesas'!$F$7:$F$17825,$B18,'📋 Despesas'!$C$7:$C$17825,L$3,'📋 Despesas'!$D$7:$D$17825,L$2)</f>
        <v>0</v>
      </c>
      <c r="M18" s="460">
        <f>SUMIFS('📋 Despesas'!$J$7:$J$17825,'📋 Despesas'!$F$7:$F$17825,$B18,'📋 Despesas'!$C$7:$C$17825,M$3,'📋 Despesas'!$D$7:$D$17825,M$2)</f>
        <v>0</v>
      </c>
      <c r="N18" s="460">
        <f>SUMIFS('📋 Despesas'!$J$7:$J$17825,'📋 Despesas'!$F$7:$F$17825,$B18,'📋 Despesas'!$C$7:$C$17825,N$3,'📋 Despesas'!$D$7:$D$17825,N$2)</f>
        <v>0</v>
      </c>
      <c r="O18" s="460">
        <f>SUMIFS('📋 Despesas'!$J$7:$J$17825,'📋 Despesas'!$F$7:$F$17825,$B18,'📋 Despesas'!$C$7:$C$17825,O$3,'📋 Despesas'!$D$7:$D$17825,O$2)</f>
        <v>0</v>
      </c>
      <c r="P18" s="253"/>
      <c r="Q18" s="254"/>
    </row>
    <row r="19" spans="1:17" ht="18">
      <c r="B19" s="455"/>
      <c r="C19" s="456">
        <f t="shared" si="6"/>
        <v>0</v>
      </c>
      <c r="D19" s="460">
        <f>SUMIFS('📋 Despesas'!$J$7:$J$17825,'📋 Despesas'!$F$7:$F$17825,$B19,'📋 Despesas'!$C$7:$C$17825,D$3,'📋 Despesas'!$D$7:$D$17825,D$2)</f>
        <v>0</v>
      </c>
      <c r="E19" s="460">
        <f>SUMIFS('📋 Despesas'!$J$7:$J$17825,'📋 Despesas'!$F$7:$F$17825,$B19,'📋 Despesas'!$C$7:$C$17825,E$3,'📋 Despesas'!$D$7:$D$17825,E$2)</f>
        <v>0</v>
      </c>
      <c r="F19" s="460">
        <f>SUMIFS('📋 Despesas'!$J$7:$J$17825,'📋 Despesas'!$F$7:$F$17825,$B19,'📋 Despesas'!$C$7:$C$17825,F$3,'📋 Despesas'!$D$7:$D$17825,F$2)</f>
        <v>0</v>
      </c>
      <c r="G19" s="460">
        <f>SUMIFS('📋 Despesas'!$J$7:$J$17825,'📋 Despesas'!$F$7:$F$17825,$B19,'📋 Despesas'!$C$7:$C$17825,G$3,'📋 Despesas'!$D$7:$D$17825,G$2)</f>
        <v>0</v>
      </c>
      <c r="H19" s="460">
        <f>SUMIFS('📋 Despesas'!$J$7:$J$17825,'📋 Despesas'!$F$7:$F$17825,$B19,'📋 Despesas'!$C$7:$C$17825,H$3,'📋 Despesas'!$D$7:$D$17825,H$2)</f>
        <v>0</v>
      </c>
      <c r="I19" s="460">
        <f>SUMIFS('📋 Despesas'!$J$7:$J$17825,'📋 Despesas'!$F$7:$F$17825,$B19,'📋 Despesas'!$C$7:$C$17825,I$3,'📋 Despesas'!$D$7:$D$17825,I$2)</f>
        <v>0</v>
      </c>
      <c r="J19" s="460">
        <f>SUMIFS('📋 Despesas'!$J$7:$J$17825,'📋 Despesas'!$F$7:$F$17825,$B19,'📋 Despesas'!$C$7:$C$17825,J$3,'📋 Despesas'!$D$7:$D$17825,J$2)</f>
        <v>0</v>
      </c>
      <c r="K19" s="460">
        <f>SUMIFS('📋 Despesas'!$J$7:$J$17825,'📋 Despesas'!$F$7:$F$17825,$B19,'📋 Despesas'!$C$7:$C$17825,K$3,'📋 Despesas'!$D$7:$D$17825,K$2)</f>
        <v>0</v>
      </c>
      <c r="L19" s="460">
        <f>SUMIFS('📋 Despesas'!$J$7:$J$17825,'📋 Despesas'!$F$7:$F$17825,$B19,'📋 Despesas'!$C$7:$C$17825,L$3,'📋 Despesas'!$D$7:$D$17825,L$2)</f>
        <v>0</v>
      </c>
      <c r="M19" s="460">
        <f>SUMIFS('📋 Despesas'!$J$7:$J$17825,'📋 Despesas'!$F$7:$F$17825,$B19,'📋 Despesas'!$C$7:$C$17825,M$3,'📋 Despesas'!$D$7:$D$17825,M$2)</f>
        <v>0</v>
      </c>
      <c r="N19" s="460">
        <f>SUMIFS('📋 Despesas'!$J$7:$J$17825,'📋 Despesas'!$F$7:$F$17825,$B19,'📋 Despesas'!$C$7:$C$17825,N$3,'📋 Despesas'!$D$7:$D$17825,N$2)</f>
        <v>0</v>
      </c>
      <c r="O19" s="460">
        <f>SUMIFS('📋 Despesas'!$J$7:$J$17825,'📋 Despesas'!$F$7:$F$17825,$B19,'📋 Despesas'!$C$7:$C$17825,O$3,'📋 Despesas'!$D$7:$D$17825,O$2)</f>
        <v>0</v>
      </c>
      <c r="P19" s="253"/>
      <c r="Q19" s="254"/>
    </row>
    <row r="20" spans="1:17" ht="18">
      <c r="B20" s="455"/>
      <c r="C20" s="456">
        <f t="shared" si="6"/>
        <v>0</v>
      </c>
      <c r="D20" s="460">
        <f>SUMIFS('📋 Despesas'!$J$7:$J$17825,'📋 Despesas'!$F$7:$F$17825,$B20,'📋 Despesas'!$C$7:$C$17825,D$3,'📋 Despesas'!$D$7:$D$17825,D$2)</f>
        <v>0</v>
      </c>
      <c r="E20" s="460">
        <f>SUMIFS('📋 Despesas'!$J$7:$J$17825,'📋 Despesas'!$F$7:$F$17825,$B20,'📋 Despesas'!$C$7:$C$17825,E$3,'📋 Despesas'!$D$7:$D$17825,E$2)</f>
        <v>0</v>
      </c>
      <c r="F20" s="460">
        <f>SUMIFS('📋 Despesas'!$J$7:$J$17825,'📋 Despesas'!$F$7:$F$17825,$B20,'📋 Despesas'!$C$7:$C$17825,F$3,'📋 Despesas'!$D$7:$D$17825,F$2)</f>
        <v>0</v>
      </c>
      <c r="G20" s="460">
        <f>SUMIFS('📋 Despesas'!$J$7:$J$17825,'📋 Despesas'!$F$7:$F$17825,$B20,'📋 Despesas'!$C$7:$C$17825,G$3,'📋 Despesas'!$D$7:$D$17825,G$2)</f>
        <v>0</v>
      </c>
      <c r="H20" s="460">
        <f>SUMIFS('📋 Despesas'!$J$7:$J$17825,'📋 Despesas'!$F$7:$F$17825,$B20,'📋 Despesas'!$C$7:$C$17825,H$3,'📋 Despesas'!$D$7:$D$17825,H$2)</f>
        <v>0</v>
      </c>
      <c r="I20" s="460">
        <f>SUMIFS('📋 Despesas'!$J$7:$J$17825,'📋 Despesas'!$F$7:$F$17825,$B20,'📋 Despesas'!$C$7:$C$17825,I$3,'📋 Despesas'!$D$7:$D$17825,I$2)</f>
        <v>0</v>
      </c>
      <c r="J20" s="460">
        <f>SUMIFS('📋 Despesas'!$J$7:$J$17825,'📋 Despesas'!$F$7:$F$17825,$B20,'📋 Despesas'!$C$7:$C$17825,J$3,'📋 Despesas'!$D$7:$D$17825,J$2)</f>
        <v>0</v>
      </c>
      <c r="K20" s="460">
        <f>SUMIFS('📋 Despesas'!$J$7:$J$17825,'📋 Despesas'!$F$7:$F$17825,$B20,'📋 Despesas'!$C$7:$C$17825,K$3,'📋 Despesas'!$D$7:$D$17825,K$2)</f>
        <v>0</v>
      </c>
      <c r="L20" s="460">
        <f>SUMIFS('📋 Despesas'!$J$7:$J$17825,'📋 Despesas'!$F$7:$F$17825,$B20,'📋 Despesas'!$C$7:$C$17825,L$3,'📋 Despesas'!$D$7:$D$17825,L$2)</f>
        <v>0</v>
      </c>
      <c r="M20" s="460">
        <f>SUMIFS('📋 Despesas'!$J$7:$J$17825,'📋 Despesas'!$F$7:$F$17825,$B20,'📋 Despesas'!$C$7:$C$17825,M$3,'📋 Despesas'!$D$7:$D$17825,M$2)</f>
        <v>0</v>
      </c>
      <c r="N20" s="460">
        <f>SUMIFS('📋 Despesas'!$J$7:$J$17825,'📋 Despesas'!$F$7:$F$17825,$B20,'📋 Despesas'!$C$7:$C$17825,N$3,'📋 Despesas'!$D$7:$D$17825,N$2)</f>
        <v>0</v>
      </c>
      <c r="O20" s="460">
        <f>SUMIFS('📋 Despesas'!$J$7:$J$17825,'📋 Despesas'!$F$7:$F$17825,$B20,'📋 Despesas'!$C$7:$C$17825,O$3,'📋 Despesas'!$D$7:$D$17825,O$2)</f>
        <v>0</v>
      </c>
      <c r="P20" s="253"/>
      <c r="Q20" s="254"/>
    </row>
    <row r="21" spans="1:17" ht="15.75" customHeight="1">
      <c r="B21" s="455"/>
      <c r="C21" s="456">
        <f t="shared" si="6"/>
        <v>0</v>
      </c>
      <c r="D21" s="460">
        <f>SUMIFS('📋 Despesas'!$J$7:$J$17825,'📋 Despesas'!$F$7:$F$17825,$B21,'📋 Despesas'!$C$7:$C$17825,D$3,'📋 Despesas'!$D$7:$D$17825,D$2)</f>
        <v>0</v>
      </c>
      <c r="E21" s="460">
        <f>SUMIFS('📋 Despesas'!$J$7:$J$17825,'📋 Despesas'!$F$7:$F$17825,$B21,'📋 Despesas'!$C$7:$C$17825,E$3,'📋 Despesas'!$D$7:$D$17825,E$2)</f>
        <v>0</v>
      </c>
      <c r="F21" s="460">
        <f>SUMIFS('📋 Despesas'!$J$7:$J$17825,'📋 Despesas'!$F$7:$F$17825,$B21,'📋 Despesas'!$C$7:$C$17825,F$3,'📋 Despesas'!$D$7:$D$17825,F$2)</f>
        <v>0</v>
      </c>
      <c r="G21" s="460">
        <f>SUMIFS('📋 Despesas'!$J$7:$J$17825,'📋 Despesas'!$F$7:$F$17825,$B21,'📋 Despesas'!$C$7:$C$17825,G$3,'📋 Despesas'!$D$7:$D$17825,G$2)</f>
        <v>0</v>
      </c>
      <c r="H21" s="460">
        <f>SUMIFS('📋 Despesas'!$J$7:$J$17825,'📋 Despesas'!$F$7:$F$17825,$B21,'📋 Despesas'!$C$7:$C$17825,H$3,'📋 Despesas'!$D$7:$D$17825,H$2)</f>
        <v>0</v>
      </c>
      <c r="I21" s="460">
        <f>SUMIFS('📋 Despesas'!$J$7:$J$17825,'📋 Despesas'!$F$7:$F$17825,$B21,'📋 Despesas'!$C$7:$C$17825,I$3,'📋 Despesas'!$D$7:$D$17825,I$2)</f>
        <v>0</v>
      </c>
      <c r="J21" s="460">
        <f>SUMIFS('📋 Despesas'!$J$7:$J$17825,'📋 Despesas'!$F$7:$F$17825,$B21,'📋 Despesas'!$C$7:$C$17825,J$3,'📋 Despesas'!$D$7:$D$17825,J$2)</f>
        <v>0</v>
      </c>
      <c r="K21" s="460">
        <f>SUMIFS('📋 Despesas'!$J$7:$J$17825,'📋 Despesas'!$F$7:$F$17825,$B21,'📋 Despesas'!$C$7:$C$17825,K$3,'📋 Despesas'!$D$7:$D$17825,K$2)</f>
        <v>0</v>
      </c>
      <c r="L21" s="460">
        <f>SUMIFS('📋 Despesas'!$J$7:$J$17825,'📋 Despesas'!$F$7:$F$17825,$B21,'📋 Despesas'!$C$7:$C$17825,L$3,'📋 Despesas'!$D$7:$D$17825,L$2)</f>
        <v>0</v>
      </c>
      <c r="M21" s="460">
        <f>SUMIFS('📋 Despesas'!$J$7:$J$17825,'📋 Despesas'!$F$7:$F$17825,$B21,'📋 Despesas'!$C$7:$C$17825,M$3,'📋 Despesas'!$D$7:$D$17825,M$2)</f>
        <v>0</v>
      </c>
      <c r="N21" s="460">
        <f>SUMIFS('📋 Despesas'!$J$7:$J$17825,'📋 Despesas'!$F$7:$F$17825,$B21,'📋 Despesas'!$C$7:$C$17825,N$3,'📋 Despesas'!$D$7:$D$17825,N$2)</f>
        <v>0</v>
      </c>
      <c r="O21" s="460">
        <f>SUMIFS('📋 Despesas'!$J$7:$J$17825,'📋 Despesas'!$F$7:$F$17825,$B21,'📋 Despesas'!$C$7:$C$17825,O$3,'📋 Despesas'!$D$7:$D$17825,O$2)</f>
        <v>0</v>
      </c>
      <c r="P21" s="253"/>
      <c r="Q21" s="254"/>
    </row>
    <row r="22" spans="1:17" ht="15.75" customHeight="1">
      <c r="B22" s="483" t="s">
        <v>231</v>
      </c>
      <c r="C22" s="485">
        <f t="shared" si="6"/>
        <v>600</v>
      </c>
      <c r="D22" s="485">
        <f>SUMIFS('📋 Despesas'!$J$7:$J$17825,'📋 Despesas'!$F$7:$F$17825,$B22,'📋 Despesas'!$C$7:$C$17825,D$3,'📋 Despesas'!$D$7:$D$17825,D$2)</f>
        <v>0</v>
      </c>
      <c r="E22" s="485">
        <f>SUMIFS('📋 Despesas'!$J$7:$J$17825,'📋 Despesas'!$F$7:$F$17825,$B22,'📋 Despesas'!$C$7:$C$17825,E$3,'📋 Despesas'!$D$7:$D$17825,E$2)</f>
        <v>0</v>
      </c>
      <c r="F22" s="485">
        <f>SUMIFS('📋 Despesas'!$J$7:$J$17825,'📋 Despesas'!$F$7:$F$17825,$B22,'📋 Despesas'!$C$7:$C$17825,F$3,'📋 Despesas'!$D$7:$D$17825,F$2)</f>
        <v>0</v>
      </c>
      <c r="G22" s="485">
        <f>SUMIFS('📋 Despesas'!$J$7:$J$17825,'📋 Despesas'!$F$7:$F$17825,$B22,'📋 Despesas'!$C$7:$C$17825,G$3,'📋 Despesas'!$D$7:$D$17825,G$2)</f>
        <v>0</v>
      </c>
      <c r="H22" s="485">
        <f>SUMIFS('📋 Despesas'!$J$7:$J$17825,'📋 Despesas'!$F$7:$F$17825,$B22,'📋 Despesas'!$C$7:$C$17825,H$3,'📋 Despesas'!$D$7:$D$17825,H$2)</f>
        <v>0</v>
      </c>
      <c r="I22" s="485">
        <f>SUMIFS('📋 Despesas'!$J$7:$J$17825,'📋 Despesas'!$F$7:$F$17825,$B22,'📋 Despesas'!$C$7:$C$17825,I$3,'📋 Despesas'!$D$7:$D$17825,I$2)</f>
        <v>0</v>
      </c>
      <c r="J22" s="485">
        <f>SUMIFS('📋 Despesas'!$J$7:$J$17825,'📋 Despesas'!$F$7:$F$17825,$B22,'📋 Despesas'!$C$7:$C$17825,J$3,'📋 Despesas'!$D$7:$D$17825,J$2)</f>
        <v>600</v>
      </c>
      <c r="K22" s="485">
        <f>SUMIFS('📋 Despesas'!$J$7:$J$17825,'📋 Despesas'!$F$7:$F$17825,$B22,'📋 Despesas'!$C$7:$C$17825,K$3,'📋 Despesas'!$D$7:$D$17825,K$2)</f>
        <v>0</v>
      </c>
      <c r="L22" s="485">
        <f>SUMIFS('📋 Despesas'!$J$7:$J$17825,'📋 Despesas'!$F$7:$F$17825,$B22,'📋 Despesas'!$C$7:$C$17825,L$3,'📋 Despesas'!$D$7:$D$17825,L$2)</f>
        <v>0</v>
      </c>
      <c r="M22" s="485">
        <f>SUMIFS('📋 Despesas'!$J$7:$J$17825,'📋 Despesas'!$F$7:$F$17825,$B22,'📋 Despesas'!$C$7:$C$17825,M$3,'📋 Despesas'!$D$7:$D$17825,M$2)</f>
        <v>0</v>
      </c>
      <c r="N22" s="485">
        <f>SUMIFS('📋 Despesas'!$J$7:$J$17825,'📋 Despesas'!$F$7:$F$17825,$B22,'📋 Despesas'!$C$7:$C$17825,N$3,'📋 Despesas'!$D$7:$D$17825,N$2)</f>
        <v>0</v>
      </c>
      <c r="O22" s="485">
        <f>SUMIFS('📋 Despesas'!$J$7:$J$17825,'📋 Despesas'!$F$7:$F$17825,$B22,'📋 Despesas'!$C$7:$C$17825,O$3,'📋 Despesas'!$D$7:$D$17825,O$2)</f>
        <v>0</v>
      </c>
      <c r="P22" s="253"/>
      <c r="Q22" s="254"/>
    </row>
    <row r="23" spans="1:17" ht="15.75" customHeight="1">
      <c r="B23" s="484" t="s">
        <v>201</v>
      </c>
      <c r="C23" s="486">
        <f t="shared" si="6"/>
        <v>0</v>
      </c>
      <c r="D23" s="486">
        <f>SUMIFS('📋 Despesas'!$J$7:$J$17825,'📋 Despesas'!$F$7:$F$17825,$B23,'📋 Despesas'!$C$7:$C$17825,D$3,'📋 Despesas'!$D$7:$D$17825,D$2)</f>
        <v>0</v>
      </c>
      <c r="E23" s="486">
        <f>SUMIFS('📋 Despesas'!$J$7:$J$17825,'📋 Despesas'!$F$7:$F$17825,$B23,'📋 Despesas'!$C$7:$C$17825,E$3,'📋 Despesas'!$D$7:$D$17825,E$2)</f>
        <v>0</v>
      </c>
      <c r="F23" s="486">
        <f>SUMIFS('📋 Despesas'!$J$7:$J$17825,'📋 Despesas'!$F$7:$F$17825,$B23,'📋 Despesas'!$C$7:$C$17825,F$3,'📋 Despesas'!$D$7:$D$17825,F$2)</f>
        <v>0</v>
      </c>
      <c r="G23" s="486">
        <f>SUMIFS('📋 Despesas'!$J$7:$J$17825,'📋 Despesas'!$F$7:$F$17825,$B23,'📋 Despesas'!$C$7:$C$17825,G$3,'📋 Despesas'!$D$7:$D$17825,G$2)</f>
        <v>0</v>
      </c>
      <c r="H23" s="486">
        <f>SUMIFS('📋 Despesas'!$J$7:$J$17825,'📋 Despesas'!$F$7:$F$17825,$B23,'📋 Despesas'!$C$7:$C$17825,H$3,'📋 Despesas'!$D$7:$D$17825,H$2)</f>
        <v>0</v>
      </c>
      <c r="I23" s="486">
        <f>SUMIFS('📋 Despesas'!$J$7:$J$17825,'📋 Despesas'!$F$7:$F$17825,$B23,'📋 Despesas'!$C$7:$C$17825,I$3,'📋 Despesas'!$D$7:$D$17825,I$2)</f>
        <v>0</v>
      </c>
      <c r="J23" s="486">
        <f>SUMIFS('📋 Despesas'!$J$7:$J$17825,'📋 Despesas'!$F$7:$F$17825,$B23,'📋 Despesas'!$C$7:$C$17825,J$3,'📋 Despesas'!$D$7:$D$17825,J$2)</f>
        <v>0</v>
      </c>
      <c r="K23" s="486">
        <f>SUMIFS('📋 Despesas'!$J$7:$J$17825,'📋 Despesas'!$F$7:$F$17825,$B23,'📋 Despesas'!$C$7:$C$17825,K$3,'📋 Despesas'!$D$7:$D$17825,K$2)</f>
        <v>0</v>
      </c>
      <c r="L23" s="486">
        <f>SUMIFS('📋 Despesas'!$J$7:$J$17825,'📋 Despesas'!$F$7:$F$17825,$B23,'📋 Despesas'!$C$7:$C$17825,L$3,'📋 Despesas'!$D$7:$D$17825,L$2)</f>
        <v>0</v>
      </c>
      <c r="M23" s="486">
        <f>SUMIFS('📋 Despesas'!$J$7:$J$17825,'📋 Despesas'!$F$7:$F$17825,$B23,'📋 Despesas'!$C$7:$C$17825,M$3,'📋 Despesas'!$D$7:$D$17825,M$2)</f>
        <v>0</v>
      </c>
      <c r="N23" s="486">
        <f>SUMIFS('📋 Despesas'!$J$7:$J$17825,'📋 Despesas'!$F$7:$F$17825,$B23,'📋 Despesas'!$C$7:$C$17825,N$3,'📋 Despesas'!$D$7:$D$17825,N$2)</f>
        <v>0</v>
      </c>
      <c r="O23" s="486">
        <f>SUMIFS('📋 Despesas'!$J$7:$J$17825,'📋 Despesas'!$F$7:$F$17825,$B23,'📋 Despesas'!$C$7:$C$17825,O$3,'📋 Despesas'!$D$7:$D$17825,O$2)</f>
        <v>0</v>
      </c>
      <c r="P23" s="253"/>
      <c r="Q23" s="254"/>
    </row>
    <row r="24" spans="1:17" ht="15.75" customHeight="1">
      <c r="A24" s="79"/>
      <c r="B24" s="455"/>
      <c r="C24" s="456">
        <f t="shared" si="6"/>
        <v>0</v>
      </c>
      <c r="D24" s="460">
        <f>SUMIFS('📋 Despesas'!$J$7:$J$17825,'📋 Despesas'!$F$7:$F$17825,$B24,'📋 Despesas'!$C$7:$C$17825,D$3,'📋 Despesas'!$D$7:$D$17825,D$2)</f>
        <v>0</v>
      </c>
      <c r="E24" s="460">
        <f>SUMIFS('📋 Despesas'!$J$7:$J$17825,'📋 Despesas'!$F$7:$F$17825,$B24,'📋 Despesas'!$C$7:$C$17825,E$3,'📋 Despesas'!$D$7:$D$17825,E$2)</f>
        <v>0</v>
      </c>
      <c r="F24" s="460">
        <f>SUMIFS('📋 Despesas'!$J$7:$J$17825,'📋 Despesas'!$F$7:$F$17825,$B24,'📋 Despesas'!$C$7:$C$17825,F$3,'📋 Despesas'!$D$7:$D$17825,F$2)</f>
        <v>0</v>
      </c>
      <c r="G24" s="460">
        <f>SUMIFS('📋 Despesas'!$J$7:$J$17825,'📋 Despesas'!$F$7:$F$17825,$B24,'📋 Despesas'!$C$7:$C$17825,G$3,'📋 Despesas'!$D$7:$D$17825,G$2)</f>
        <v>0</v>
      </c>
      <c r="H24" s="460">
        <f>SUMIFS('📋 Despesas'!$J$7:$J$17825,'📋 Despesas'!$F$7:$F$17825,$B24,'📋 Despesas'!$C$7:$C$17825,H$3,'📋 Despesas'!$D$7:$D$17825,H$2)</f>
        <v>0</v>
      </c>
      <c r="I24" s="460">
        <f>SUMIFS('📋 Despesas'!$J$7:$J$17825,'📋 Despesas'!$F$7:$F$17825,$B24,'📋 Despesas'!$C$7:$C$17825,I$3,'📋 Despesas'!$D$7:$D$17825,I$2)</f>
        <v>0</v>
      </c>
      <c r="J24" s="460">
        <f>SUMIFS('📋 Despesas'!$J$7:$J$17825,'📋 Despesas'!$F$7:$F$17825,$B24,'📋 Despesas'!$C$7:$C$17825,J$3,'📋 Despesas'!$D$7:$D$17825,J$2)</f>
        <v>0</v>
      </c>
      <c r="K24" s="460">
        <f>SUMIFS('📋 Despesas'!$J$7:$J$17825,'📋 Despesas'!$F$7:$F$17825,$B24,'📋 Despesas'!$C$7:$C$17825,K$3,'📋 Despesas'!$D$7:$D$17825,K$2)</f>
        <v>0</v>
      </c>
      <c r="L24" s="460">
        <f>SUMIFS('📋 Despesas'!$J$7:$J$17825,'📋 Despesas'!$F$7:$F$17825,$B24,'📋 Despesas'!$C$7:$C$17825,L$3,'📋 Despesas'!$D$7:$D$17825,L$2)</f>
        <v>0</v>
      </c>
      <c r="M24" s="460">
        <f>SUMIFS('📋 Despesas'!$J$7:$J$17825,'📋 Despesas'!$F$7:$F$17825,$B24,'📋 Despesas'!$C$7:$C$17825,M$3,'📋 Despesas'!$D$7:$D$17825,M$2)</f>
        <v>0</v>
      </c>
      <c r="N24" s="460">
        <f>SUMIFS('📋 Despesas'!$J$7:$J$17825,'📋 Despesas'!$F$7:$F$17825,$B24,'📋 Despesas'!$C$7:$C$17825,N$3,'📋 Despesas'!$D$7:$D$17825,N$2)</f>
        <v>0</v>
      </c>
      <c r="O24" s="460">
        <f>SUMIFS('📋 Despesas'!$J$7:$J$17825,'📋 Despesas'!$F$7:$F$17825,$B24,'📋 Despesas'!$C$7:$C$17825,O$3,'📋 Despesas'!$D$7:$D$17825,O$2)</f>
        <v>0</v>
      </c>
      <c r="P24" s="253"/>
      <c r="Q24" s="254"/>
    </row>
    <row r="25" spans="1:17" ht="15.75" customHeight="1">
      <c r="A25" s="79"/>
      <c r="B25" s="483"/>
      <c r="C25" s="485">
        <f t="shared" si="6"/>
        <v>0</v>
      </c>
      <c r="D25" s="485">
        <f>SUMIFS('📋 Despesas'!$J$7:$J$17825,'📋 Despesas'!$F$7:$F$17825,$B25,'📋 Despesas'!$C$7:$C$17825,D$3,'📋 Despesas'!$D$7:$D$17825,D$2)</f>
        <v>0</v>
      </c>
      <c r="E25" s="485">
        <f>SUMIFS('📋 Despesas'!$J$7:$J$17825,'📋 Despesas'!$F$7:$F$17825,$B25,'📋 Despesas'!$C$7:$C$17825,E$3,'📋 Despesas'!$D$7:$D$17825,E$2)</f>
        <v>0</v>
      </c>
      <c r="F25" s="485">
        <f>SUMIFS('📋 Despesas'!$J$7:$J$17825,'📋 Despesas'!$F$7:$F$17825,$B25,'📋 Despesas'!$C$7:$C$17825,F$3,'📋 Despesas'!$D$7:$D$17825,F$2)</f>
        <v>0</v>
      </c>
      <c r="G25" s="485">
        <f>SUMIFS('📋 Despesas'!$J$7:$J$17825,'📋 Despesas'!$F$7:$F$17825,$B25,'📋 Despesas'!$C$7:$C$17825,G$3,'📋 Despesas'!$D$7:$D$17825,G$2)</f>
        <v>0</v>
      </c>
      <c r="H25" s="485">
        <f>SUMIFS('📋 Despesas'!$J$7:$J$17825,'📋 Despesas'!$F$7:$F$17825,$B25,'📋 Despesas'!$C$7:$C$17825,H$3,'📋 Despesas'!$D$7:$D$17825,H$2)</f>
        <v>0</v>
      </c>
      <c r="I25" s="485">
        <f>SUMIFS('📋 Despesas'!$J$7:$J$17825,'📋 Despesas'!$F$7:$F$17825,$B25,'📋 Despesas'!$C$7:$C$17825,I$3,'📋 Despesas'!$D$7:$D$17825,I$2)</f>
        <v>0</v>
      </c>
      <c r="J25" s="485">
        <f>SUMIFS('📋 Despesas'!$J$7:$J$17825,'📋 Despesas'!$F$7:$F$17825,$B25,'📋 Despesas'!$C$7:$C$17825,J$3,'📋 Despesas'!$D$7:$D$17825,J$2)</f>
        <v>0</v>
      </c>
      <c r="K25" s="485">
        <f>SUMIFS('📋 Despesas'!$J$7:$J$17825,'📋 Despesas'!$F$7:$F$17825,$B25,'📋 Despesas'!$C$7:$C$17825,K$3,'📋 Despesas'!$D$7:$D$17825,K$2)</f>
        <v>0</v>
      </c>
      <c r="L25" s="485">
        <f>SUMIFS('📋 Despesas'!$J$7:$J$17825,'📋 Despesas'!$F$7:$F$17825,$B25,'📋 Despesas'!$C$7:$C$17825,L$3,'📋 Despesas'!$D$7:$D$17825,L$2)</f>
        <v>0</v>
      </c>
      <c r="M25" s="485">
        <f>SUMIFS('📋 Despesas'!$J$7:$J$17825,'📋 Despesas'!$F$7:$F$17825,$B25,'📋 Despesas'!$C$7:$C$17825,M$3,'📋 Despesas'!$D$7:$D$17825,M$2)</f>
        <v>0</v>
      </c>
      <c r="N25" s="485">
        <f>SUMIFS('📋 Despesas'!$J$7:$J$17825,'📋 Despesas'!$F$7:$F$17825,$B25,'📋 Despesas'!$C$7:$C$17825,N$3,'📋 Despesas'!$D$7:$D$17825,N$2)</f>
        <v>0</v>
      </c>
      <c r="O25" s="485">
        <f>SUMIFS('📋 Despesas'!$J$7:$J$17825,'📋 Despesas'!$F$7:$F$17825,$B25,'📋 Despesas'!$C$7:$C$17825,O$3,'📋 Despesas'!$D$7:$D$17825,O$2)</f>
        <v>0</v>
      </c>
      <c r="P25" s="253"/>
      <c r="Q25" s="254"/>
    </row>
    <row r="26" spans="1:17" ht="15.75" customHeight="1">
      <c r="A26" s="79"/>
      <c r="B26" s="483"/>
      <c r="C26" s="485">
        <f t="shared" si="6"/>
        <v>0</v>
      </c>
      <c r="D26" s="485">
        <f>SUMIFS('📋 Despesas'!$J$7:$J$17825,'📋 Despesas'!$F$7:$F$17825,$B26,'📋 Despesas'!$C$7:$C$17825,D$3,'📋 Despesas'!$D$7:$D$17825,D$2)</f>
        <v>0</v>
      </c>
      <c r="E26" s="485">
        <f>SUMIFS('📋 Despesas'!$J$7:$J$17825,'📋 Despesas'!$F$7:$F$17825,$B26,'📋 Despesas'!$C$7:$C$17825,E$3,'📋 Despesas'!$D$7:$D$17825,E$2)</f>
        <v>0</v>
      </c>
      <c r="F26" s="485">
        <f>SUMIFS('📋 Despesas'!$J$7:$J$17825,'📋 Despesas'!$F$7:$F$17825,$B26,'📋 Despesas'!$C$7:$C$17825,F$3,'📋 Despesas'!$D$7:$D$17825,F$2)</f>
        <v>0</v>
      </c>
      <c r="G26" s="485">
        <f>SUMIFS('📋 Despesas'!$J$7:$J$17825,'📋 Despesas'!$F$7:$F$17825,$B26,'📋 Despesas'!$C$7:$C$17825,G$3,'📋 Despesas'!$D$7:$D$17825,G$2)</f>
        <v>0</v>
      </c>
      <c r="H26" s="485">
        <f>SUMIFS('📋 Despesas'!$J$7:$J$17825,'📋 Despesas'!$F$7:$F$17825,$B26,'📋 Despesas'!$C$7:$C$17825,H$3,'📋 Despesas'!$D$7:$D$17825,H$2)</f>
        <v>0</v>
      </c>
      <c r="I26" s="485">
        <f>SUMIFS('📋 Despesas'!$J$7:$J$17825,'📋 Despesas'!$F$7:$F$17825,$B26,'📋 Despesas'!$C$7:$C$17825,I$3,'📋 Despesas'!$D$7:$D$17825,I$2)</f>
        <v>0</v>
      </c>
      <c r="J26" s="485">
        <f>SUMIFS('📋 Despesas'!$J$7:$J$17825,'📋 Despesas'!$F$7:$F$17825,$B26,'📋 Despesas'!$C$7:$C$17825,J$3,'📋 Despesas'!$D$7:$D$17825,J$2)</f>
        <v>0</v>
      </c>
      <c r="K26" s="485">
        <f>SUMIFS('📋 Despesas'!$J$7:$J$17825,'📋 Despesas'!$F$7:$F$17825,$B26,'📋 Despesas'!$C$7:$C$17825,K$3,'📋 Despesas'!$D$7:$D$17825,K$2)</f>
        <v>0</v>
      </c>
      <c r="L26" s="485">
        <f>SUMIFS('📋 Despesas'!$J$7:$J$17825,'📋 Despesas'!$F$7:$F$17825,$B26,'📋 Despesas'!$C$7:$C$17825,L$3,'📋 Despesas'!$D$7:$D$17825,L$2)</f>
        <v>0</v>
      </c>
      <c r="M26" s="485">
        <f>SUMIFS('📋 Despesas'!$J$7:$J$17825,'📋 Despesas'!$F$7:$F$17825,$B26,'📋 Despesas'!$C$7:$C$17825,M$3,'📋 Despesas'!$D$7:$D$17825,M$2)</f>
        <v>0</v>
      </c>
      <c r="N26" s="485">
        <f>SUMIFS('📋 Despesas'!$J$7:$J$17825,'📋 Despesas'!$F$7:$F$17825,$B26,'📋 Despesas'!$C$7:$C$17825,N$3,'📋 Despesas'!$D$7:$D$17825,N$2)</f>
        <v>0</v>
      </c>
      <c r="O26" s="485">
        <f>SUMIFS('📋 Despesas'!$J$7:$J$17825,'📋 Despesas'!$F$7:$F$17825,$B26,'📋 Despesas'!$C$7:$C$17825,O$3,'📋 Despesas'!$D$7:$D$17825,O$2)</f>
        <v>0</v>
      </c>
      <c r="P26" s="253"/>
      <c r="Q26" s="254"/>
    </row>
    <row r="27" spans="1:17" ht="15.6" customHeight="1">
      <c r="A27" s="192" t="s">
        <v>98</v>
      </c>
      <c r="B27" s="455"/>
      <c r="C27" s="456">
        <f t="shared" si="6"/>
        <v>0</v>
      </c>
      <c r="D27" s="461">
        <f>SUMIFS('📋 Despesas'!$J$7:$J$17825,'📋 Despesas'!$F$7:$F$17825,$B27,'📋 Despesas'!$C$7:$C$17825,D$3,'📋 Despesas'!$D$7:$D$17825,D$2)</f>
        <v>0</v>
      </c>
      <c r="E27" s="461">
        <f>SUMIFS('📋 Despesas'!$J$7:$J$17825,'📋 Despesas'!$F$7:$F$17825,$B27,'📋 Despesas'!$C$7:$C$17825,E$3,'📋 Despesas'!$D$7:$D$17825,E$2)</f>
        <v>0</v>
      </c>
      <c r="F27" s="461">
        <f>SUMIFS('📋 Despesas'!$J$7:$J$17825,'📋 Despesas'!$F$7:$F$17825,$B27,'📋 Despesas'!$C$7:$C$17825,F$3,'📋 Despesas'!$D$7:$D$17825,F$2)</f>
        <v>0</v>
      </c>
      <c r="G27" s="461">
        <f>SUMIFS('📋 Despesas'!$J$7:$J$17825,'📋 Despesas'!$F$7:$F$17825,$B27,'📋 Despesas'!$C$7:$C$17825,G$3,'📋 Despesas'!$D$7:$D$17825,G$2)</f>
        <v>0</v>
      </c>
      <c r="H27" s="461">
        <f>SUMIFS('📋 Despesas'!$J$7:$J$17825,'📋 Despesas'!$F$7:$F$17825,$B27,'📋 Despesas'!$C$7:$C$17825,H$3,'📋 Despesas'!$D$7:$D$17825,H$2)</f>
        <v>0</v>
      </c>
      <c r="I27" s="461">
        <f>SUMIFS('📋 Despesas'!$J$7:$J$17825,'📋 Despesas'!$F$7:$F$17825,$B27,'📋 Despesas'!$C$7:$C$17825,I$3,'📋 Despesas'!$D$7:$D$17825,I$2)</f>
        <v>0</v>
      </c>
      <c r="J27" s="461">
        <f>SUMIFS('📋 Despesas'!$J$7:$J$17825,'📋 Despesas'!$F$7:$F$17825,$B27,'📋 Despesas'!$C$7:$C$17825,J$3,'📋 Despesas'!$D$7:$D$17825,J$2)</f>
        <v>0</v>
      </c>
      <c r="K27" s="461">
        <f>SUMIFS('📋 Despesas'!$J$7:$J$17825,'📋 Despesas'!$F$7:$F$17825,$B27,'📋 Despesas'!$C$7:$C$17825,K$3,'📋 Despesas'!$D$7:$D$17825,K$2)</f>
        <v>0</v>
      </c>
      <c r="L27" s="461">
        <f>SUMIFS('📋 Despesas'!$J$7:$J$17825,'📋 Despesas'!$F$7:$F$17825,$B27,'📋 Despesas'!$C$7:$C$17825,L$3,'📋 Despesas'!$D$7:$D$17825,L$2)</f>
        <v>0</v>
      </c>
      <c r="M27" s="461">
        <f>SUMIFS('📋 Despesas'!$J$7:$J$17825,'📋 Despesas'!$F$7:$F$17825,$B27,'📋 Despesas'!$C$7:$C$17825,M$3,'📋 Despesas'!$D$7:$D$17825,M$2)</f>
        <v>0</v>
      </c>
      <c r="N27" s="461">
        <f>SUMIFS('📋 Despesas'!$J$7:$J$17825,'📋 Despesas'!$F$7:$F$17825,$B27,'📋 Despesas'!$C$7:$C$17825,N$3,'📋 Despesas'!$D$7:$D$17825,N$2)</f>
        <v>0</v>
      </c>
      <c r="O27" s="461">
        <f>SUMIFS('📋 Despesas'!$J$7:$J$17825,'📋 Despesas'!$F$7:$F$17825,$B27,'📋 Despesas'!$C$7:$C$17825,O$3,'📋 Despesas'!$D$7:$D$17825,O$2)</f>
        <v>0</v>
      </c>
      <c r="P27" s="253"/>
      <c r="Q27" s="254"/>
    </row>
    <row r="28" spans="1:17" ht="6" customHeight="1">
      <c r="B28" s="462"/>
      <c r="C28" s="463"/>
      <c r="D28" s="464"/>
      <c r="E28" s="464"/>
      <c r="F28" s="464"/>
      <c r="G28" s="464"/>
      <c r="H28" s="464"/>
      <c r="I28" s="464"/>
      <c r="J28" s="464"/>
      <c r="K28" s="464"/>
      <c r="L28" s="464"/>
      <c r="M28" s="464"/>
      <c r="N28" s="464"/>
      <c r="O28" s="464"/>
      <c r="P28" s="253"/>
      <c r="Q28" s="80"/>
    </row>
    <row r="29" spans="1:17" ht="6" customHeight="1">
      <c r="B29" s="455"/>
      <c r="C29" s="456"/>
      <c r="D29" s="457"/>
      <c r="E29" s="457"/>
      <c r="F29" s="457"/>
      <c r="G29" s="457"/>
      <c r="H29" s="457"/>
      <c r="I29" s="457"/>
      <c r="J29" s="465"/>
      <c r="K29" s="457"/>
      <c r="L29" s="457"/>
      <c r="M29" s="457"/>
      <c r="N29" s="457"/>
      <c r="O29" s="457"/>
    </row>
    <row r="30" spans="1:17" ht="21" customHeight="1">
      <c r="B30" s="481" t="s">
        <v>99</v>
      </c>
      <c r="C30" s="482">
        <f t="shared" ref="C30:O30" si="7">C6-C7</f>
        <v>-257.95000000000073</v>
      </c>
      <c r="D30" s="482">
        <f t="shared" si="7"/>
        <v>0</v>
      </c>
      <c r="E30" s="482">
        <f t="shared" si="7"/>
        <v>0</v>
      </c>
      <c r="F30" s="482">
        <f t="shared" si="7"/>
        <v>0</v>
      </c>
      <c r="G30" s="482">
        <f t="shared" si="7"/>
        <v>0</v>
      </c>
      <c r="H30" s="482">
        <f t="shared" si="7"/>
        <v>-1840.3600000000001</v>
      </c>
      <c r="I30" s="482">
        <f t="shared" si="7"/>
        <v>6272.41</v>
      </c>
      <c r="J30" s="482">
        <f t="shared" si="7"/>
        <v>-4690</v>
      </c>
      <c r="K30" s="482">
        <f t="shared" si="7"/>
        <v>0</v>
      </c>
      <c r="L30" s="482">
        <f t="shared" si="7"/>
        <v>0</v>
      </c>
      <c r="M30" s="482">
        <f t="shared" si="7"/>
        <v>0</v>
      </c>
      <c r="N30" s="482">
        <f t="shared" si="7"/>
        <v>0</v>
      </c>
      <c r="O30" s="482">
        <f t="shared" si="7"/>
        <v>0</v>
      </c>
    </row>
    <row r="31" spans="1:17" ht="15.75" customHeight="1">
      <c r="B31" s="466" t="s">
        <v>100</v>
      </c>
      <c r="C31" s="467">
        <f>IFERROR((C30/C4),0)</f>
        <v>-2.4566666666666737E-2</v>
      </c>
      <c r="D31" s="467" t="str">
        <f t="shared" ref="D31:O31" si="8">IFERROR(IF(D30=0,"",D30/D4),0)</f>
        <v/>
      </c>
      <c r="E31" s="467" t="str">
        <f t="shared" si="8"/>
        <v/>
      </c>
      <c r="F31" s="467" t="str">
        <f t="shared" si="8"/>
        <v/>
      </c>
      <c r="G31" s="467" t="str">
        <f t="shared" si="8"/>
        <v/>
      </c>
      <c r="H31" s="467">
        <f t="shared" si="8"/>
        <v>0</v>
      </c>
      <c r="I31" s="467">
        <f t="shared" si="8"/>
        <v>0.59737238095238099</v>
      </c>
      <c r="J31" s="467">
        <f t="shared" si="8"/>
        <v>0</v>
      </c>
      <c r="K31" s="467" t="str">
        <f t="shared" si="8"/>
        <v/>
      </c>
      <c r="L31" s="467" t="str">
        <f t="shared" si="8"/>
        <v/>
      </c>
      <c r="M31" s="467" t="str">
        <f t="shared" si="8"/>
        <v/>
      </c>
      <c r="N31" s="467" t="str">
        <f t="shared" si="8"/>
        <v/>
      </c>
      <c r="O31" s="467" t="str">
        <f t="shared" si="8"/>
        <v/>
      </c>
      <c r="P31" s="81"/>
    </row>
    <row r="32" spans="1:17" ht="6.75" customHeight="1">
      <c r="B32" s="468"/>
      <c r="C32" s="469"/>
      <c r="D32" s="470"/>
      <c r="E32" s="470"/>
      <c r="F32" s="470"/>
      <c r="G32" s="470"/>
      <c r="H32" s="470"/>
      <c r="I32" s="470"/>
      <c r="J32" s="470"/>
      <c r="K32" s="470"/>
      <c r="L32" s="470"/>
      <c r="M32" s="470"/>
      <c r="N32" s="470"/>
      <c r="O32" s="470"/>
    </row>
    <row r="33" spans="1:17" ht="15.75" customHeight="1">
      <c r="A33" s="514"/>
      <c r="B33" s="515" t="s">
        <v>208</v>
      </c>
      <c r="C33" s="516">
        <f t="shared" ref="C33:O33" si="9">SUM(C9:C13)</f>
        <v>9880.36</v>
      </c>
      <c r="D33" s="516">
        <f t="shared" si="9"/>
        <v>0</v>
      </c>
      <c r="E33" s="516">
        <f t="shared" si="9"/>
        <v>0</v>
      </c>
      <c r="F33" s="516">
        <f t="shared" si="9"/>
        <v>0</v>
      </c>
      <c r="G33" s="516">
        <f t="shared" si="9"/>
        <v>0</v>
      </c>
      <c r="H33" s="516">
        <f t="shared" si="9"/>
        <v>1840.3600000000001</v>
      </c>
      <c r="I33" s="516">
        <f t="shared" si="9"/>
        <v>3950</v>
      </c>
      <c r="J33" s="516">
        <f t="shared" si="9"/>
        <v>4090</v>
      </c>
      <c r="K33" s="516">
        <f t="shared" si="9"/>
        <v>0</v>
      </c>
      <c r="L33" s="516">
        <f t="shared" si="9"/>
        <v>0</v>
      </c>
      <c r="M33" s="516">
        <f t="shared" si="9"/>
        <v>0</v>
      </c>
      <c r="N33" s="516">
        <f t="shared" si="9"/>
        <v>0</v>
      </c>
      <c r="O33" s="516">
        <f t="shared" si="9"/>
        <v>0</v>
      </c>
      <c r="P33" s="75"/>
      <c r="Q33" s="75"/>
    </row>
    <row r="34" spans="1:17" ht="20.399999999999999" customHeight="1">
      <c r="A34" s="514"/>
      <c r="B34" s="517" t="s">
        <v>209</v>
      </c>
      <c r="C34" s="520">
        <f t="shared" ref="C34:O34" si="10">IFERROR((C33/C4),0)</f>
        <v>0.94098666666666675</v>
      </c>
      <c r="D34" s="520">
        <f t="shared" si="10"/>
        <v>0</v>
      </c>
      <c r="E34" s="520">
        <f t="shared" si="10"/>
        <v>0</v>
      </c>
      <c r="F34" s="520">
        <f t="shared" si="10"/>
        <v>0</v>
      </c>
      <c r="G34" s="520">
        <f t="shared" si="10"/>
        <v>0</v>
      </c>
      <c r="H34" s="520">
        <f t="shared" si="10"/>
        <v>0</v>
      </c>
      <c r="I34" s="520">
        <f t="shared" si="10"/>
        <v>0.37619047619047619</v>
      </c>
      <c r="J34" s="520">
        <f t="shared" si="10"/>
        <v>0</v>
      </c>
      <c r="K34" s="520">
        <f t="shared" si="10"/>
        <v>0</v>
      </c>
      <c r="L34" s="520">
        <f t="shared" si="10"/>
        <v>0</v>
      </c>
      <c r="M34" s="520">
        <f t="shared" si="10"/>
        <v>0</v>
      </c>
      <c r="N34" s="520">
        <f t="shared" si="10"/>
        <v>0</v>
      </c>
      <c r="O34" s="520">
        <f t="shared" si="10"/>
        <v>0</v>
      </c>
      <c r="P34" s="75"/>
      <c r="Q34" s="75"/>
    </row>
    <row r="35" spans="1:17" ht="15.75" hidden="1" customHeight="1">
      <c r="A35" s="75"/>
      <c r="B35" s="455" t="s">
        <v>101</v>
      </c>
      <c r="C35" s="471">
        <v>0</v>
      </c>
      <c r="D35" s="471" t="e">
        <f>SUMIFS('💸  Receitas'!#REF!,'💸  Receitas'!$D:$D,D3,'💸  Receitas'!$C:$C,D2)</f>
        <v>#REF!</v>
      </c>
      <c r="E35" s="471" t="e">
        <f>SUMIFS('💸  Receitas'!#REF!,'💸  Receitas'!$D:$D,E3,'💸  Receitas'!$C:$C,E2)</f>
        <v>#REF!</v>
      </c>
      <c r="F35" s="471" t="e">
        <f>SUMIFS('💸  Receitas'!#REF!,'💸  Receitas'!$D:$D,F3,'💸  Receitas'!$C:$C,F2)</f>
        <v>#REF!</v>
      </c>
      <c r="G35" s="471" t="e">
        <f>SUMIFS('💸  Receitas'!#REF!,'💸  Receitas'!$D:$D,G3,'💸  Receitas'!$C:$C,G2)</f>
        <v>#REF!</v>
      </c>
      <c r="H35" s="471" t="e">
        <f>SUMIFS('💸  Receitas'!#REF!,'💸  Receitas'!$D:$D,H3,'💸  Receitas'!$C:$C,H2)</f>
        <v>#REF!</v>
      </c>
      <c r="I35" s="471" t="e">
        <f>SUMIFS('💸  Receitas'!#REF!,'💸  Receitas'!$D:$D,I3,'💸  Receitas'!$C:$C,I2)</f>
        <v>#REF!</v>
      </c>
      <c r="J35" s="471" t="e">
        <f>SUMIFS('💸  Receitas'!#REF!,'💸  Receitas'!$D:$D,J3,'💸  Receitas'!$C:$C,J2)</f>
        <v>#REF!</v>
      </c>
      <c r="K35" s="471" t="e">
        <f>SUMIFS('💸  Receitas'!#REF!,'💸  Receitas'!$D:$D,K3,'💸  Receitas'!$C:$C,K2)</f>
        <v>#REF!</v>
      </c>
      <c r="L35" s="471" t="e">
        <f>SUMIFS('💸  Receitas'!#REF!,'💸  Receitas'!$D:$D,L3,'💸  Receitas'!$C:$C,L2)</f>
        <v>#REF!</v>
      </c>
      <c r="M35" s="471" t="e">
        <f>SUMIFS('💸  Receitas'!#REF!,'💸  Receitas'!$D:$D,M3,'💸  Receitas'!$C:$C,M2)</f>
        <v>#REF!</v>
      </c>
      <c r="N35" s="471" t="e">
        <f>SUMIFS('💸  Receitas'!#REF!,'💸  Receitas'!$D:$D,N3,'💸  Receitas'!$C:$C,N2)</f>
        <v>#REF!</v>
      </c>
      <c r="O35" s="471" t="e">
        <f>SUMIFS('💸  Receitas'!#REF!,'💸  Receitas'!$D:$D,O3,'💸  Receitas'!$C:$C,O2)</f>
        <v>#REF!</v>
      </c>
      <c r="P35" s="75"/>
      <c r="Q35" s="75"/>
    </row>
    <row r="36" spans="1:17" ht="15.75" hidden="1" customHeight="1">
      <c r="B36" s="462" t="s">
        <v>205</v>
      </c>
      <c r="C36" s="472">
        <f>IFERROR((C4/C35),0)</f>
        <v>0</v>
      </c>
      <c r="D36" s="472" t="e">
        <f t="shared" ref="D36:O36" si="11">IF(D35=0,"",D4/D35)</f>
        <v>#REF!</v>
      </c>
      <c r="E36" s="472" t="e">
        <f t="shared" si="11"/>
        <v>#REF!</v>
      </c>
      <c r="F36" s="472" t="e">
        <f t="shared" si="11"/>
        <v>#REF!</v>
      </c>
      <c r="G36" s="472" t="e">
        <f t="shared" si="11"/>
        <v>#REF!</v>
      </c>
      <c r="H36" s="472" t="e">
        <f t="shared" si="11"/>
        <v>#REF!</v>
      </c>
      <c r="I36" s="472" t="e">
        <f t="shared" si="11"/>
        <v>#REF!</v>
      </c>
      <c r="J36" s="472" t="e">
        <f t="shared" si="11"/>
        <v>#REF!</v>
      </c>
      <c r="K36" s="472" t="e">
        <f t="shared" si="11"/>
        <v>#REF!</v>
      </c>
      <c r="L36" s="472" t="e">
        <f t="shared" si="11"/>
        <v>#REF!</v>
      </c>
      <c r="M36" s="472" t="e">
        <f t="shared" si="11"/>
        <v>#REF!</v>
      </c>
      <c r="N36" s="472" t="e">
        <f t="shared" si="11"/>
        <v>#REF!</v>
      </c>
      <c r="O36" s="472" t="e">
        <f t="shared" si="11"/>
        <v>#REF!</v>
      </c>
    </row>
    <row r="37" spans="1:17" ht="15.75" customHeight="1">
      <c r="B37" s="473" t="s">
        <v>102</v>
      </c>
      <c r="C37" s="474">
        <f>SUM(D37:O37)</f>
        <v>600</v>
      </c>
      <c r="D37" s="475">
        <f t="shared" ref="D37:O37" si="12">SUM(D17:D27)</f>
        <v>0</v>
      </c>
      <c r="E37" s="475">
        <f t="shared" si="12"/>
        <v>0</v>
      </c>
      <c r="F37" s="475">
        <f t="shared" si="12"/>
        <v>0</v>
      </c>
      <c r="G37" s="475">
        <f t="shared" si="12"/>
        <v>0</v>
      </c>
      <c r="H37" s="475">
        <f t="shared" si="12"/>
        <v>0</v>
      </c>
      <c r="I37" s="475">
        <f t="shared" si="12"/>
        <v>0</v>
      </c>
      <c r="J37" s="475">
        <f t="shared" si="12"/>
        <v>600</v>
      </c>
      <c r="K37" s="475">
        <f t="shared" si="12"/>
        <v>0</v>
      </c>
      <c r="L37" s="475">
        <f t="shared" si="12"/>
        <v>0</v>
      </c>
      <c r="M37" s="475">
        <f t="shared" si="12"/>
        <v>0</v>
      </c>
      <c r="N37" s="475">
        <f t="shared" si="12"/>
        <v>0</v>
      </c>
      <c r="O37" s="475">
        <f t="shared" si="12"/>
        <v>0</v>
      </c>
    </row>
    <row r="38" spans="1:17" ht="15.75" customHeight="1">
      <c r="A38" s="206"/>
      <c r="B38" s="518" t="s">
        <v>103</v>
      </c>
      <c r="C38" s="519">
        <f t="shared" ref="C38:O38" si="13">IFERROR((C37/C4),0)</f>
        <v>5.7142857142857141E-2</v>
      </c>
      <c r="D38" s="519">
        <f t="shared" si="13"/>
        <v>0</v>
      </c>
      <c r="E38" s="519">
        <f t="shared" si="13"/>
        <v>0</v>
      </c>
      <c r="F38" s="519">
        <f t="shared" si="13"/>
        <v>0</v>
      </c>
      <c r="G38" s="519">
        <f t="shared" si="13"/>
        <v>0</v>
      </c>
      <c r="H38" s="519">
        <f t="shared" si="13"/>
        <v>0</v>
      </c>
      <c r="I38" s="519">
        <f t="shared" si="13"/>
        <v>0</v>
      </c>
      <c r="J38" s="519">
        <f t="shared" si="13"/>
        <v>0</v>
      </c>
      <c r="K38" s="519">
        <f t="shared" si="13"/>
        <v>0</v>
      </c>
      <c r="L38" s="519">
        <f t="shared" si="13"/>
        <v>0</v>
      </c>
      <c r="M38" s="519">
        <f t="shared" si="13"/>
        <v>0</v>
      </c>
      <c r="N38" s="519">
        <f t="shared" si="13"/>
        <v>0</v>
      </c>
      <c r="O38" s="519">
        <f t="shared" si="13"/>
        <v>0</v>
      </c>
      <c r="P38" s="80"/>
      <c r="Q38" s="80"/>
    </row>
    <row r="39" spans="1:17" ht="15.75" customHeight="1">
      <c r="B39" s="455" t="s">
        <v>206</v>
      </c>
      <c r="C39" s="476">
        <f t="shared" ref="C39:O39" si="14">IFERROR((C17/C4),0)</f>
        <v>0</v>
      </c>
      <c r="D39" s="476">
        <f t="shared" si="14"/>
        <v>0</v>
      </c>
      <c r="E39" s="476">
        <f t="shared" si="14"/>
        <v>0</v>
      </c>
      <c r="F39" s="476">
        <f t="shared" si="14"/>
        <v>0</v>
      </c>
      <c r="G39" s="476">
        <f t="shared" si="14"/>
        <v>0</v>
      </c>
      <c r="H39" s="476">
        <f t="shared" si="14"/>
        <v>0</v>
      </c>
      <c r="I39" s="476">
        <f t="shared" si="14"/>
        <v>0</v>
      </c>
      <c r="J39" s="476">
        <f t="shared" si="14"/>
        <v>0</v>
      </c>
      <c r="K39" s="476">
        <f t="shared" si="14"/>
        <v>0</v>
      </c>
      <c r="L39" s="476">
        <f t="shared" si="14"/>
        <v>0</v>
      </c>
      <c r="M39" s="476">
        <f t="shared" si="14"/>
        <v>0</v>
      </c>
      <c r="N39" s="476">
        <f t="shared" si="14"/>
        <v>0</v>
      </c>
      <c r="O39" s="476">
        <f t="shared" si="14"/>
        <v>0</v>
      </c>
    </row>
    <row r="40" spans="1:17" ht="15.75" customHeight="1">
      <c r="B40" s="455" t="s">
        <v>207</v>
      </c>
      <c r="C40" s="477">
        <f t="shared" ref="C40:O40" si="15">IFERROR(C4/C17,0)</f>
        <v>0</v>
      </c>
      <c r="D40" s="477">
        <f t="shared" si="15"/>
        <v>0</v>
      </c>
      <c r="E40" s="477">
        <f t="shared" si="15"/>
        <v>0</v>
      </c>
      <c r="F40" s="477">
        <f t="shared" si="15"/>
        <v>0</v>
      </c>
      <c r="G40" s="477">
        <f t="shared" si="15"/>
        <v>0</v>
      </c>
      <c r="H40" s="477">
        <f t="shared" si="15"/>
        <v>0</v>
      </c>
      <c r="I40" s="477">
        <f t="shared" si="15"/>
        <v>0</v>
      </c>
      <c r="J40" s="477">
        <f t="shared" si="15"/>
        <v>0</v>
      </c>
      <c r="K40" s="477">
        <f t="shared" si="15"/>
        <v>0</v>
      </c>
      <c r="L40" s="477">
        <f t="shared" si="15"/>
        <v>0</v>
      </c>
      <c r="M40" s="477">
        <f t="shared" si="15"/>
        <v>0</v>
      </c>
      <c r="N40" s="477">
        <f t="shared" si="15"/>
        <v>0</v>
      </c>
      <c r="O40" s="477">
        <f t="shared" si="15"/>
        <v>0</v>
      </c>
    </row>
    <row r="41" spans="1:17" ht="15.75" customHeight="1">
      <c r="B41" s="478" t="s">
        <v>104</v>
      </c>
      <c r="C41" s="479">
        <f t="shared" ref="C41:O41" si="16">IFERROR((C21/C4),0)</f>
        <v>0</v>
      </c>
      <c r="D41" s="479">
        <f t="shared" si="16"/>
        <v>0</v>
      </c>
      <c r="E41" s="479">
        <f t="shared" si="16"/>
        <v>0</v>
      </c>
      <c r="F41" s="479">
        <f t="shared" si="16"/>
        <v>0</v>
      </c>
      <c r="G41" s="479">
        <f t="shared" si="16"/>
        <v>0</v>
      </c>
      <c r="H41" s="479">
        <f t="shared" si="16"/>
        <v>0</v>
      </c>
      <c r="I41" s="479">
        <f t="shared" si="16"/>
        <v>0</v>
      </c>
      <c r="J41" s="479">
        <f t="shared" si="16"/>
        <v>0</v>
      </c>
      <c r="K41" s="479">
        <f t="shared" si="16"/>
        <v>0</v>
      </c>
      <c r="L41" s="479">
        <f t="shared" si="16"/>
        <v>0</v>
      </c>
      <c r="M41" s="479">
        <f t="shared" si="16"/>
        <v>0</v>
      </c>
      <c r="N41" s="479">
        <f t="shared" si="16"/>
        <v>0</v>
      </c>
      <c r="O41" s="479">
        <f t="shared" si="16"/>
        <v>0</v>
      </c>
    </row>
    <row r="42" spans="1:17" ht="6" customHeight="1">
      <c r="B42" s="480"/>
      <c r="C42" s="480"/>
      <c r="D42" s="480"/>
      <c r="E42" s="480"/>
      <c r="F42" s="480"/>
      <c r="G42" s="480"/>
      <c r="H42" s="480"/>
      <c r="I42" s="480"/>
      <c r="J42" s="480"/>
      <c r="K42" s="480"/>
      <c r="L42" s="480"/>
      <c r="M42" s="480"/>
      <c r="N42" s="480"/>
      <c r="O42" s="480"/>
    </row>
    <row r="43" spans="1:17" ht="15.75" customHeight="1"/>
    <row r="44" spans="1:17" ht="15.75" customHeight="1"/>
    <row r="45" spans="1:17" ht="15.75" customHeight="1"/>
    <row r="46" spans="1:17" ht="15.75" customHeight="1"/>
    <row r="47" spans="1:17" ht="15.75" customHeight="1"/>
    <row r="48" spans="1:17" ht="15.75" customHeight="1">
      <c r="A48" s="82"/>
      <c r="P48" s="82"/>
      <c r="Q48" s="82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spans="2:15" ht="15.75" customHeight="1">
      <c r="B65" s="83"/>
      <c r="C65" s="84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</row>
    <row r="66" spans="2:15" ht="15.75" customHeight="1">
      <c r="B66" s="73"/>
      <c r="D66" s="86"/>
      <c r="E66" s="86"/>
      <c r="F66" s="86"/>
      <c r="G66" s="86"/>
      <c r="H66" s="86"/>
      <c r="I66" s="86"/>
      <c r="J66" s="86"/>
      <c r="K66" s="86"/>
      <c r="L66" s="86"/>
      <c r="M66" s="86"/>
      <c r="N66" s="86"/>
      <c r="O66" s="86"/>
    </row>
    <row r="67" spans="2:15" ht="15.75" customHeight="1">
      <c r="B67" s="73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</row>
    <row r="68" spans="2:15" ht="15.75" customHeight="1">
      <c r="B68" s="73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</row>
    <row r="69" spans="2:15" ht="15.75" customHeight="1">
      <c r="B69" s="73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</row>
    <row r="70" spans="2:15" ht="15.75" customHeight="1">
      <c r="B70" s="73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</row>
    <row r="71" spans="2:15" ht="15.75" customHeight="1">
      <c r="B71" s="73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</row>
    <row r="72" spans="2:15" ht="15.75" customHeight="1">
      <c r="B72" s="73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</row>
    <row r="73" spans="2:15" ht="15.75" customHeight="1">
      <c r="B73" s="73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</row>
    <row r="74" spans="2:15" ht="15.75" customHeight="1">
      <c r="B74" s="73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</row>
    <row r="75" spans="2:15" ht="15.75" customHeight="1">
      <c r="B75" s="73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</row>
    <row r="76" spans="2:15" ht="15.75" customHeight="1">
      <c r="B76" s="73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</row>
    <row r="77" spans="2:15" ht="15.75" customHeight="1">
      <c r="B77" s="73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</row>
    <row r="78" spans="2:15" ht="15.75" customHeight="1">
      <c r="B78" s="73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</row>
    <row r="79" spans="2:15" ht="15.75" customHeight="1">
      <c r="B79" s="73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</row>
    <row r="80" spans="2:15" ht="15.75" customHeight="1">
      <c r="B80" s="73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</row>
    <row r="81" spans="2:15" ht="15.75" customHeight="1">
      <c r="B81" s="73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</row>
    <row r="82" spans="2:15" ht="15.75" customHeight="1">
      <c r="B82" s="73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</row>
    <row r="83" spans="2:15" ht="15.75" customHeight="1">
      <c r="B83" s="73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</row>
    <row r="84" spans="2:15" ht="15.75" customHeight="1">
      <c r="B84" s="73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</row>
    <row r="85" spans="2:15" ht="15.75" customHeight="1">
      <c r="B85" s="73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</row>
    <row r="86" spans="2:15" ht="15.75" customHeight="1">
      <c r="B86" s="73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</row>
    <row r="87" spans="2:15" ht="15.75" customHeight="1">
      <c r="B87" s="73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</row>
    <row r="88" spans="2:15" ht="15.75" customHeight="1">
      <c r="B88" s="73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</row>
    <row r="89" spans="2:15" ht="15.75" customHeight="1">
      <c r="B89" s="73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</row>
    <row r="90" spans="2:15" ht="15.75" customHeight="1">
      <c r="B90" s="73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</row>
    <row r="91" spans="2:15" ht="15.75" customHeight="1">
      <c r="B91" s="73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</row>
    <row r="92" spans="2:15" ht="15.75" customHeight="1">
      <c r="B92" s="73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</row>
    <row r="93" spans="2:15" ht="15.75" customHeight="1">
      <c r="B93" s="73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</row>
    <row r="94" spans="2:15" ht="15.75" customHeight="1">
      <c r="B94" s="73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</row>
    <row r="95" spans="2:15" ht="15.75" customHeight="1">
      <c r="B95" s="73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</row>
    <row r="96" spans="2:15" ht="15.75" customHeight="1">
      <c r="B96" s="73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</row>
    <row r="97" spans="2:15" ht="15.75" customHeight="1">
      <c r="B97" s="73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</row>
    <row r="98" spans="2:15" ht="15.75" customHeight="1">
      <c r="B98" s="73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</row>
    <row r="99" spans="2:15" ht="15.75" customHeight="1">
      <c r="B99" s="73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</row>
    <row r="100" spans="2:15" ht="15.75" customHeight="1">
      <c r="B100" s="73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</row>
    <row r="101" spans="2:15" ht="15.75" customHeight="1">
      <c r="B101" s="73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</row>
    <row r="102" spans="2:15" ht="15.75" customHeight="1">
      <c r="B102" s="73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</row>
    <row r="103" spans="2:15" ht="15.75" customHeight="1">
      <c r="B103" s="73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</row>
    <row r="104" spans="2:15" ht="15.75" customHeight="1">
      <c r="B104" s="73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</row>
    <row r="105" spans="2:15" ht="15.75" customHeight="1">
      <c r="B105" s="73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</row>
    <row r="106" spans="2:15" ht="15.75" customHeight="1">
      <c r="B106" s="73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</row>
    <row r="107" spans="2:15" ht="15.75" customHeight="1">
      <c r="B107" s="73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</row>
    <row r="108" spans="2:15" ht="15.75" customHeight="1">
      <c r="B108" s="73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</row>
    <row r="109" spans="2:15" ht="15.75" customHeight="1">
      <c r="B109" s="73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</row>
    <row r="110" spans="2:15" ht="15.75" customHeight="1">
      <c r="B110" s="73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</row>
    <row r="111" spans="2:15" ht="15.75" customHeight="1">
      <c r="B111" s="73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</row>
    <row r="112" spans="2:15" ht="15.75" customHeight="1">
      <c r="B112" s="73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</row>
    <row r="113" spans="2:15" ht="15.75" customHeight="1">
      <c r="B113" s="73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</row>
    <row r="114" spans="2:15" ht="15.75" customHeight="1">
      <c r="B114" s="73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</row>
    <row r="115" spans="2:15" ht="15.75" customHeight="1">
      <c r="B115" s="73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</row>
    <row r="116" spans="2:15" ht="15.75" customHeight="1">
      <c r="B116" s="73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</row>
    <row r="117" spans="2:15" ht="15.75" customHeight="1">
      <c r="B117" s="73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</row>
    <row r="118" spans="2:15" ht="15.75" customHeight="1">
      <c r="B118" s="73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</row>
    <row r="119" spans="2:15" ht="15.75" customHeight="1">
      <c r="B119" s="73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</row>
    <row r="120" spans="2:15" ht="15.75" customHeight="1">
      <c r="B120" s="73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</row>
    <row r="121" spans="2:15" ht="15.75" customHeight="1">
      <c r="B121" s="73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</row>
    <row r="122" spans="2:15" ht="15.75" customHeight="1">
      <c r="B122" s="73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</row>
    <row r="123" spans="2:15" ht="15.75" customHeight="1">
      <c r="B123" s="73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</row>
    <row r="124" spans="2:15" ht="15.75" customHeight="1">
      <c r="B124" s="73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</row>
    <row r="125" spans="2:15" ht="15.75" customHeight="1">
      <c r="B125" s="73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</row>
    <row r="126" spans="2:15" ht="15.75" customHeight="1">
      <c r="B126" s="73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</row>
    <row r="127" spans="2:15" ht="15.75" customHeight="1">
      <c r="B127" s="73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</row>
    <row r="128" spans="2:15" ht="15.75" customHeight="1">
      <c r="B128" s="73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</row>
    <row r="129" spans="2:15" ht="15.75" customHeight="1">
      <c r="B129" s="73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</row>
    <row r="130" spans="2:15" ht="15.75" customHeight="1">
      <c r="B130" s="73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</row>
    <row r="131" spans="2:15" ht="15.75" customHeight="1">
      <c r="B131" s="73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</row>
    <row r="132" spans="2:15" ht="15.75" customHeight="1">
      <c r="B132" s="73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</row>
    <row r="133" spans="2:15" ht="15.75" customHeight="1">
      <c r="B133" s="73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</row>
    <row r="134" spans="2:15" ht="15.75" customHeight="1">
      <c r="B134" s="73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</row>
    <row r="135" spans="2:15" ht="15.75" customHeight="1">
      <c r="B135" s="73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</row>
    <row r="136" spans="2:15" ht="15.75" customHeight="1">
      <c r="B136" s="73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</row>
    <row r="137" spans="2:15" ht="15.75" customHeight="1">
      <c r="B137" s="73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</row>
    <row r="138" spans="2:15" ht="15.75" customHeight="1">
      <c r="B138" s="73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</row>
    <row r="139" spans="2:15" ht="15.75" customHeight="1">
      <c r="B139" s="73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</row>
    <row r="140" spans="2:15" ht="15.75" customHeight="1">
      <c r="B140" s="73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</row>
    <row r="141" spans="2:15" ht="15.75" customHeight="1">
      <c r="B141" s="73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</row>
    <row r="142" spans="2:15" ht="15.75" customHeight="1">
      <c r="B142" s="73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</row>
    <row r="143" spans="2:15" ht="15.75" customHeight="1">
      <c r="B143" s="73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</row>
    <row r="144" spans="2:15" ht="15.75" customHeight="1">
      <c r="B144" s="73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</row>
    <row r="145" spans="2:15" ht="15.75" customHeight="1">
      <c r="B145" s="73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</row>
    <row r="146" spans="2:15" ht="15.75" customHeight="1">
      <c r="B146" s="73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</row>
    <row r="147" spans="2:15" ht="15.75" customHeight="1">
      <c r="B147" s="73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</row>
    <row r="148" spans="2:15" ht="15.75" customHeight="1">
      <c r="B148" s="73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</row>
    <row r="149" spans="2:15" ht="15.75" customHeight="1">
      <c r="B149" s="73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</row>
    <row r="150" spans="2:15" ht="15.75" customHeight="1">
      <c r="B150" s="73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</row>
    <row r="151" spans="2:15" ht="15.75" customHeight="1">
      <c r="B151" s="73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</row>
    <row r="152" spans="2:15" ht="15.75" customHeight="1">
      <c r="B152" s="73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</row>
    <row r="153" spans="2:15" ht="15.75" customHeight="1">
      <c r="B153" s="73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</row>
    <row r="154" spans="2:15" ht="15.75" customHeight="1">
      <c r="B154" s="73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</row>
    <row r="155" spans="2:15" ht="15.75" customHeight="1">
      <c r="B155" s="73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</row>
    <row r="156" spans="2:15" ht="15.75" customHeight="1">
      <c r="B156" s="73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</row>
    <row r="157" spans="2:15" ht="15.75" customHeight="1">
      <c r="B157" s="73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</row>
    <row r="158" spans="2:15" ht="15.75" customHeight="1">
      <c r="B158" s="73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</row>
    <row r="159" spans="2:15" ht="15.75" customHeight="1">
      <c r="B159" s="73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</row>
    <row r="160" spans="2:15" ht="15.75" customHeight="1">
      <c r="B160" s="73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</row>
    <row r="161" spans="2:15" ht="15.75" customHeight="1">
      <c r="B161" s="73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</row>
    <row r="162" spans="2:15" ht="15.75" customHeight="1">
      <c r="B162" s="73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</row>
    <row r="163" spans="2:15" ht="15.75" customHeight="1">
      <c r="B163" s="73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</row>
    <row r="164" spans="2:15" ht="15.75" customHeight="1">
      <c r="B164" s="73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</row>
    <row r="165" spans="2:15" ht="15.75" customHeight="1">
      <c r="B165" s="73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</row>
    <row r="166" spans="2:15" ht="15.75" customHeight="1">
      <c r="B166" s="73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</row>
    <row r="167" spans="2:15" ht="15.75" customHeight="1">
      <c r="B167" s="73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</row>
    <row r="168" spans="2:15" ht="15.75" customHeight="1">
      <c r="B168" s="73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</row>
    <row r="169" spans="2:15" ht="15.75" customHeight="1">
      <c r="B169" s="73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</row>
    <row r="170" spans="2:15" ht="15.75" customHeight="1">
      <c r="B170" s="73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</row>
    <row r="171" spans="2:15" ht="15.75" customHeight="1">
      <c r="B171" s="73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</row>
    <row r="172" spans="2:15" ht="15.75" customHeight="1">
      <c r="B172" s="73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</row>
    <row r="173" spans="2:15" ht="15.75" customHeight="1">
      <c r="B173" s="73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</row>
    <row r="174" spans="2:15" ht="15.75" customHeight="1">
      <c r="B174" s="73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</row>
    <row r="175" spans="2:15" ht="15.75" customHeight="1">
      <c r="B175" s="73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</row>
    <row r="176" spans="2:15" ht="15.75" customHeight="1">
      <c r="B176" s="73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</row>
    <row r="177" spans="2:15" ht="15.75" customHeight="1">
      <c r="B177" s="73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</row>
    <row r="178" spans="2:15" ht="15.75" customHeight="1">
      <c r="B178" s="73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</row>
    <row r="179" spans="2:15" ht="15.75" customHeight="1">
      <c r="B179" s="73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</row>
    <row r="180" spans="2:15" ht="15.75" customHeight="1">
      <c r="B180" s="73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</row>
    <row r="181" spans="2:15" ht="15.75" customHeight="1">
      <c r="B181" s="73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</row>
    <row r="182" spans="2:15" ht="15.75" customHeight="1">
      <c r="B182" s="73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</row>
    <row r="183" spans="2:15" ht="15.75" customHeight="1">
      <c r="B183" s="73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</row>
    <row r="184" spans="2:15" ht="15.75" customHeight="1">
      <c r="B184" s="73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</row>
    <row r="185" spans="2:15" ht="15.75" customHeight="1">
      <c r="B185" s="73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</row>
    <row r="186" spans="2:15" ht="15.75" customHeight="1">
      <c r="B186" s="73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</row>
    <row r="187" spans="2:15" ht="15.75" customHeight="1">
      <c r="B187" s="73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</row>
    <row r="188" spans="2:15" ht="15.75" customHeight="1">
      <c r="B188" s="73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</row>
    <row r="189" spans="2:15" ht="15.75" customHeight="1">
      <c r="B189" s="73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</row>
    <row r="190" spans="2:15" ht="15.75" customHeight="1">
      <c r="B190" s="73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</row>
    <row r="191" spans="2:15" ht="15.75" customHeight="1">
      <c r="B191" s="73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</row>
    <row r="192" spans="2:15" ht="15.75" customHeight="1">
      <c r="B192" s="73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</row>
    <row r="193" spans="2:15" ht="15.75" customHeight="1">
      <c r="B193" s="73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</row>
    <row r="194" spans="2:15" ht="15.75" customHeight="1">
      <c r="B194" s="73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</row>
    <row r="195" spans="2:15" ht="15.75" customHeight="1">
      <c r="B195" s="73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</row>
    <row r="196" spans="2:15" ht="15.75" customHeight="1">
      <c r="B196" s="73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</row>
    <row r="197" spans="2:15" ht="15.75" customHeight="1">
      <c r="B197" s="73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</row>
    <row r="198" spans="2:15" ht="15.75" customHeight="1">
      <c r="B198" s="73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</row>
    <row r="199" spans="2:15" ht="15.75" customHeight="1">
      <c r="B199" s="73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</row>
    <row r="200" spans="2:15" ht="15.75" customHeight="1">
      <c r="B200" s="73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</row>
    <row r="201" spans="2:15" ht="15.75" customHeight="1">
      <c r="B201" s="73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</row>
    <row r="202" spans="2:15" ht="15.75" customHeight="1">
      <c r="B202" s="73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</row>
    <row r="203" spans="2:15" ht="15.75" customHeight="1">
      <c r="B203" s="73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</row>
    <row r="204" spans="2:15" ht="15.75" customHeight="1">
      <c r="B204" s="73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</row>
    <row r="205" spans="2:15" ht="15.75" customHeight="1">
      <c r="B205" s="73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</row>
    <row r="206" spans="2:15" ht="15.75" customHeight="1">
      <c r="B206" s="73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</row>
    <row r="207" spans="2:15" ht="15.75" customHeight="1">
      <c r="B207" s="73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</row>
    <row r="208" spans="2:15" ht="15.75" customHeight="1">
      <c r="B208" s="73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</row>
    <row r="209" spans="2:15" ht="15.75" customHeight="1">
      <c r="B209" s="73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</row>
    <row r="210" spans="2:15" ht="15.75" customHeight="1">
      <c r="B210" s="73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</row>
    <row r="211" spans="2:15" ht="15.75" customHeight="1">
      <c r="B211" s="73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</row>
    <row r="212" spans="2:15" ht="15.75" customHeight="1">
      <c r="B212" s="73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</row>
    <row r="213" spans="2:15" ht="15.75" customHeight="1">
      <c r="B213" s="73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</row>
    <row r="214" spans="2:15" ht="15.75" customHeight="1">
      <c r="B214" s="73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</row>
    <row r="215" spans="2:15" ht="15.75" customHeight="1">
      <c r="B215" s="73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</row>
    <row r="216" spans="2:15" ht="15.75" customHeight="1">
      <c r="B216" s="73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</row>
    <row r="217" spans="2:15" ht="15.75" customHeight="1">
      <c r="B217" s="73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</row>
    <row r="218" spans="2:15" ht="15.75" customHeight="1">
      <c r="B218" s="73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</row>
    <row r="219" spans="2:15" ht="15.75" customHeight="1">
      <c r="B219" s="73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</row>
    <row r="220" spans="2:15" ht="15.75" customHeight="1">
      <c r="B220" s="73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</row>
    <row r="221" spans="2:15" ht="15.75" customHeight="1">
      <c r="B221" s="73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</row>
    <row r="222" spans="2:15" ht="15.75" customHeight="1">
      <c r="B222" s="73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</row>
    <row r="223" spans="2:15" ht="15.75" customHeight="1">
      <c r="B223" s="73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</row>
    <row r="224" spans="2:15" ht="15.75" customHeight="1">
      <c r="B224" s="73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</row>
    <row r="225" spans="2:15" ht="15.75" customHeight="1">
      <c r="B225" s="73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</row>
    <row r="226" spans="2:15" ht="15.75" customHeight="1">
      <c r="B226" s="73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</row>
    <row r="227" spans="2:15" ht="15.75" customHeight="1">
      <c r="B227" s="73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</row>
    <row r="228" spans="2:15" ht="15.75" customHeight="1">
      <c r="B228" s="73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</row>
    <row r="229" spans="2:15" ht="15.75" customHeight="1">
      <c r="B229" s="73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</row>
    <row r="230" spans="2:15" ht="15.75" customHeight="1">
      <c r="B230" s="73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</row>
    <row r="231" spans="2:15" ht="15.75" customHeight="1">
      <c r="B231" s="73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</row>
    <row r="232" spans="2:15" ht="15.75" customHeight="1">
      <c r="B232" s="73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</row>
    <row r="233" spans="2:15" ht="15.75" customHeight="1">
      <c r="B233" s="73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</row>
    <row r="234" spans="2:15" ht="15.75" customHeight="1">
      <c r="B234" s="73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</row>
    <row r="235" spans="2:15" ht="15.75" customHeight="1">
      <c r="B235" s="73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</row>
    <row r="236" spans="2:15" ht="15.75" customHeight="1">
      <c r="B236" s="73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</row>
    <row r="237" spans="2:15" ht="15.75" customHeight="1">
      <c r="B237" s="73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</row>
    <row r="238" spans="2:15" ht="15.75" customHeight="1">
      <c r="B238" s="73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</row>
    <row r="239" spans="2:15" ht="15.75" customHeight="1">
      <c r="B239" s="73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</row>
    <row r="240" spans="2:15" ht="15.75" customHeight="1">
      <c r="B240" s="73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</row>
    <row r="241" spans="2:15" ht="15.75" customHeight="1">
      <c r="B241" s="73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</row>
    <row r="242" spans="2:15" ht="15.75" customHeight="1">
      <c r="B242" s="73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</row>
    <row r="243" spans="2:15" ht="15.75" customHeight="1"/>
    <row r="244" spans="2:15" ht="15.75" customHeight="1"/>
    <row r="245" spans="2:15" ht="15.75" customHeight="1"/>
    <row r="246" spans="2:15" ht="15.75" customHeight="1"/>
    <row r="247" spans="2:15" ht="15.75" customHeight="1"/>
    <row r="248" spans="2:15" ht="15.75" customHeight="1"/>
    <row r="249" spans="2:15" ht="15.75" customHeight="1"/>
    <row r="250" spans="2:15" ht="15.75" customHeight="1"/>
    <row r="251" spans="2:15" ht="15.75" customHeight="1"/>
    <row r="252" spans="2:15" ht="15.75" customHeight="1"/>
    <row r="253" spans="2:15" ht="15.75" customHeight="1"/>
    <row r="254" spans="2:15" ht="15.75" customHeight="1"/>
    <row r="255" spans="2:15" ht="15.75" customHeight="1"/>
    <row r="256" spans="2:15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mergeCells count="1">
    <mergeCell ref="B2:C2"/>
  </mergeCells>
  <conditionalFormatting sqref="C30">
    <cfRule type="cellIs" dxfId="12" priority="1" operator="lessThan">
      <formula>0</formula>
    </cfRule>
  </conditionalFormatting>
  <conditionalFormatting sqref="C34:O34">
    <cfRule type="cellIs" dxfId="11" priority="4" operator="greaterThan">
      <formula>0.35</formula>
    </cfRule>
  </conditionalFormatting>
  <conditionalFormatting sqref="P9:P28">
    <cfRule type="cellIs" dxfId="10" priority="17" operator="greaterThan">
      <formula>0</formula>
    </cfRule>
  </conditionalFormatting>
  <conditionalFormatting sqref="P9:Q28 D30:O31">
    <cfRule type="cellIs" dxfId="9" priority="14" operator="lessThan">
      <formula>0</formula>
    </cfRule>
  </conditionalFormatting>
  <conditionalFormatting sqref="Q9:Q29">
    <cfRule type="cellIs" dxfId="8" priority="16" operator="greaterThan">
      <formula>0</formula>
    </cfRule>
  </conditionalFormatting>
  <dataValidations count="1">
    <dataValidation type="list" allowBlank="1" showInputMessage="1" showErrorMessage="1" sqref="C3" xr:uid="{A9B7206E-D3D2-4CC9-B013-30BE0D418BF0}">
      <formula1>"2025,2026,2027"</formula1>
    </dataValidation>
  </dataValidations>
  <pageMargins left="0.511811024" right="0.511811024" top="0.78740157499999996" bottom="0.78740157499999996" header="0" footer="0"/>
  <pageSetup paperSize="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20B2A-8839-42DD-9694-DBBEA3FB4551}">
  <sheetPr>
    <tabColor rgb="FF00FFFF"/>
    <outlinePr summaryBelow="0" summaryRight="0"/>
  </sheetPr>
  <dimension ref="A1:R1000"/>
  <sheetViews>
    <sheetView showGridLines="0" zoomScaleNormal="100" workbookViewId="0">
      <pane xSplit="3" ySplit="5" topLeftCell="D9" activePane="bottomRight" state="frozen"/>
      <selection pane="topRight" activeCell="D1" sqref="D1"/>
      <selection pane="bottomLeft" activeCell="A6" sqref="A6"/>
      <selection pane="bottomRight" activeCell="B14" sqref="B14"/>
    </sheetView>
  </sheetViews>
  <sheetFormatPr defaultColWidth="11.19921875" defaultRowHeight="15" customHeight="1"/>
  <cols>
    <col min="1" max="1" width="1.59765625" customWidth="1"/>
    <col min="2" max="2" width="45.5" customWidth="1"/>
    <col min="3" max="3" width="20.59765625" customWidth="1"/>
    <col min="4" max="4" width="16.796875" customWidth="1"/>
    <col min="5" max="5" width="23" customWidth="1"/>
    <col min="6" max="6" width="18" customWidth="1"/>
    <col min="7" max="7" width="17.5" customWidth="1"/>
    <col min="8" max="8" width="24" customWidth="1"/>
    <col min="9" max="9" width="20.59765625" customWidth="1"/>
    <col min="10" max="10" width="19.69921875" customWidth="1"/>
    <col min="11" max="11" width="20.09765625" customWidth="1"/>
    <col min="12" max="12" width="16" customWidth="1"/>
    <col min="13" max="13" width="16.5" customWidth="1"/>
    <col min="14" max="14" width="16.59765625" customWidth="1"/>
    <col min="15" max="15" width="19.296875" customWidth="1"/>
    <col min="16" max="16" width="2.296875" customWidth="1"/>
    <col min="17" max="17" width="13.09765625" customWidth="1"/>
    <col min="18" max="18" width="14" customWidth="1"/>
  </cols>
  <sheetData>
    <row r="1" spans="2:15" ht="6.75" customHeight="1">
      <c r="B1" s="73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</row>
    <row r="2" spans="2:15" ht="15.6">
      <c r="B2" s="73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</row>
    <row r="3" spans="2:15" ht="15.6">
      <c r="B3" s="73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</row>
    <row r="4" spans="2:15" ht="15.6">
      <c r="B4" s="573"/>
      <c r="C4" s="556"/>
      <c r="D4" s="87">
        <f t="shared" ref="D4:O4" si="0">$C$5</f>
        <v>2026</v>
      </c>
      <c r="E4" s="87">
        <f t="shared" si="0"/>
        <v>2026</v>
      </c>
      <c r="F4" s="87">
        <f t="shared" si="0"/>
        <v>2026</v>
      </c>
      <c r="G4" s="87">
        <f t="shared" si="0"/>
        <v>2026</v>
      </c>
      <c r="H4" s="87">
        <f t="shared" si="0"/>
        <v>2026</v>
      </c>
      <c r="I4" s="87">
        <f t="shared" si="0"/>
        <v>2026</v>
      </c>
      <c r="J4" s="87">
        <f t="shared" si="0"/>
        <v>2026</v>
      </c>
      <c r="K4" s="87">
        <f t="shared" si="0"/>
        <v>2026</v>
      </c>
      <c r="L4" s="87">
        <f t="shared" si="0"/>
        <v>2026</v>
      </c>
      <c r="M4" s="87">
        <f t="shared" si="0"/>
        <v>2026</v>
      </c>
      <c r="N4" s="87">
        <f t="shared" si="0"/>
        <v>2026</v>
      </c>
      <c r="O4" s="88">
        <f t="shared" si="0"/>
        <v>2026</v>
      </c>
    </row>
    <row r="5" spans="2:15" ht="15.6">
      <c r="B5" s="255" t="s">
        <v>105</v>
      </c>
      <c r="C5" s="255">
        <f>'📈Det. Resultados'!C3</f>
        <v>2026</v>
      </c>
      <c r="D5" s="74" t="s">
        <v>83</v>
      </c>
      <c r="E5" s="74" t="s">
        <v>84</v>
      </c>
      <c r="F5" s="74" t="s">
        <v>85</v>
      </c>
      <c r="G5" s="74" t="s">
        <v>86</v>
      </c>
      <c r="H5" s="74" t="s">
        <v>87</v>
      </c>
      <c r="I5" s="74" t="s">
        <v>88</v>
      </c>
      <c r="J5" s="74" t="s">
        <v>89</v>
      </c>
      <c r="K5" s="74" t="s">
        <v>90</v>
      </c>
      <c r="L5" s="74" t="s">
        <v>91</v>
      </c>
      <c r="M5" s="74" t="s">
        <v>92</v>
      </c>
      <c r="N5" s="74" t="s">
        <v>93</v>
      </c>
      <c r="O5" s="89" t="s">
        <v>94</v>
      </c>
    </row>
    <row r="6" spans="2:15" ht="15.6">
      <c r="B6" s="90" t="s">
        <v>106</v>
      </c>
      <c r="C6" s="91">
        <f>SUMIFS('🏭 DRE'!$D6:$R6,'🏭 DRE'!$D$4:$R$4,$C$5)</f>
        <v>10500</v>
      </c>
      <c r="D6" s="92">
        <f t="shared" ref="D6:O6" si="1">D7</f>
        <v>0</v>
      </c>
      <c r="E6" s="92">
        <f t="shared" si="1"/>
        <v>0</v>
      </c>
      <c r="F6" s="92">
        <f t="shared" si="1"/>
        <v>0</v>
      </c>
      <c r="G6" s="92">
        <f t="shared" si="1"/>
        <v>0</v>
      </c>
      <c r="H6" s="92">
        <f t="shared" si="1"/>
        <v>0</v>
      </c>
      <c r="I6" s="92">
        <f t="shared" si="1"/>
        <v>10500</v>
      </c>
      <c r="J6" s="92">
        <f t="shared" si="1"/>
        <v>0</v>
      </c>
      <c r="K6" s="92">
        <f t="shared" si="1"/>
        <v>0</v>
      </c>
      <c r="L6" s="92">
        <f t="shared" si="1"/>
        <v>0</v>
      </c>
      <c r="M6" s="92">
        <f t="shared" si="1"/>
        <v>0</v>
      </c>
      <c r="N6" s="92">
        <f t="shared" si="1"/>
        <v>0</v>
      </c>
      <c r="O6" s="93">
        <f t="shared" si="1"/>
        <v>0</v>
      </c>
    </row>
    <row r="7" spans="2:15" ht="15.6">
      <c r="B7" s="256" t="s">
        <v>107</v>
      </c>
      <c r="C7" s="257">
        <f>SUMIFS('🏭 DRE'!$D7:$R7,'🏭 DRE'!$D$4:$R$4,$C$5)</f>
        <v>10500</v>
      </c>
      <c r="D7" s="258">
        <f>SUMIFS('💸  Receitas'!$I$7:$I$681,'💸  Receitas'!$C$7:$C$681,D$4,'💸  Receitas'!$D$7:$D$681,D5)</f>
        <v>0</v>
      </c>
      <c r="E7" s="258">
        <f>SUMIFS('💸  Receitas'!$I$7:$I$681,'💸  Receitas'!$C$7:$C$681,E$4,'💸  Receitas'!$D$7:$D$681,E5)</f>
        <v>0</v>
      </c>
      <c r="F7" s="258">
        <f>SUMIFS('💸  Receitas'!$I$7:$I$681,'💸  Receitas'!$C$7:$C$681,F$4,'💸  Receitas'!$D$7:$D$681,F5)</f>
        <v>0</v>
      </c>
      <c r="G7" s="258">
        <f>SUMIFS('💸  Receitas'!$I$7:$I$681,'💸  Receitas'!$C$7:$C$681,G$4,'💸  Receitas'!$D$7:$D$681,G5)</f>
        <v>0</v>
      </c>
      <c r="H7" s="258">
        <f>SUMIFS('💸  Receitas'!$I$7:$I$681,'💸  Receitas'!$C$7:$C$681,H$4,'💸  Receitas'!$D$7:$D$681,H5)</f>
        <v>0</v>
      </c>
      <c r="I7" s="258">
        <f>SUMIFS('💸  Receitas'!$I$7:$I$681,'💸  Receitas'!$C$7:$C$681,I$4,'💸  Receitas'!$D$7:$D$681,I5)</f>
        <v>10500</v>
      </c>
      <c r="J7" s="258">
        <f>SUMIFS('💸  Receitas'!$I$7:$I$20001,'💸  Receitas'!$C$7:$C$20001,J$4,'💸  Receitas'!$D$7:$D$20001,J5)</f>
        <v>0</v>
      </c>
      <c r="K7" s="258">
        <f>SUMIFS('💸  Receitas'!$I$7:$I$20001,'💸  Receitas'!$C$7:$C$20001,K$4,'💸  Receitas'!$D$7:$D$20001,K5)</f>
        <v>0</v>
      </c>
      <c r="L7" s="258">
        <f>SUMIFS('💸  Receitas'!$I$7:$I$20001,'💸  Receitas'!$C$7:$C$20001,L$4,'💸  Receitas'!$D$7:$D$20001,L5)</f>
        <v>0</v>
      </c>
      <c r="M7" s="258">
        <f>SUMIFS('💸  Receitas'!$I$7:$I$20001,'💸  Receitas'!$C$7:$C$20001,M$4,'💸  Receitas'!$D$7:$D$20001,M5)</f>
        <v>0</v>
      </c>
      <c r="N7" s="258">
        <f>SUMIFS('💸  Receitas'!$I$7:$I$20001,'💸  Receitas'!$C$7:$C$20001,N$4,'💸  Receitas'!$D$7:$D$20001,N5)</f>
        <v>0</v>
      </c>
      <c r="O7" s="258">
        <f>SUMIFS('💸  Receitas'!$I$7:$I$20001,'💸  Receitas'!$C$7:$C$20001,O$4,'💸  Receitas'!$D$7:$D$20001,O5)</f>
        <v>0</v>
      </c>
    </row>
    <row r="8" spans="2:15" ht="18">
      <c r="B8" s="420" t="s">
        <v>108</v>
      </c>
      <c r="C8" s="421">
        <f>SUMIFS('🏭 DRE'!$D8:$R8,'🏭 DRE'!$D$4:$R$4,$C$5)</f>
        <v>0</v>
      </c>
      <c r="D8" s="422">
        <f t="shared" ref="D8:O8" si="2">D9+D10+D11</f>
        <v>0</v>
      </c>
      <c r="E8" s="422">
        <f t="shared" si="2"/>
        <v>0</v>
      </c>
      <c r="F8" s="422">
        <f t="shared" si="2"/>
        <v>0</v>
      </c>
      <c r="G8" s="422">
        <f t="shared" si="2"/>
        <v>0</v>
      </c>
      <c r="H8" s="422">
        <f t="shared" si="2"/>
        <v>0</v>
      </c>
      <c r="I8" s="422">
        <f t="shared" si="2"/>
        <v>0</v>
      </c>
      <c r="J8" s="422">
        <f t="shared" si="2"/>
        <v>0</v>
      </c>
      <c r="K8" s="422">
        <f t="shared" si="2"/>
        <v>0</v>
      </c>
      <c r="L8" s="422">
        <f t="shared" si="2"/>
        <v>0</v>
      </c>
      <c r="M8" s="422">
        <f t="shared" si="2"/>
        <v>0</v>
      </c>
      <c r="N8" s="422">
        <f t="shared" si="2"/>
        <v>0</v>
      </c>
      <c r="O8" s="423">
        <f t="shared" si="2"/>
        <v>0</v>
      </c>
    </row>
    <row r="9" spans="2:15" ht="15.6">
      <c r="B9" s="259" t="s">
        <v>204</v>
      </c>
      <c r="C9" s="501">
        <f>SUMIFS('🏭 DRE'!$D9:$R9,'🏭 DRE'!$D$4:$R$4,$C$5)</f>
        <v>0</v>
      </c>
      <c r="D9" s="502">
        <f>-'📈Det. Resultados'!D15</f>
        <v>0</v>
      </c>
      <c r="E9" s="502">
        <f>-'📈Det. Resultados'!E15</f>
        <v>0</v>
      </c>
      <c r="F9" s="502">
        <f>-'📈Det. Resultados'!F15</f>
        <v>0</v>
      </c>
      <c r="G9" s="502">
        <f>-'📈Det. Resultados'!G15</f>
        <v>0</v>
      </c>
      <c r="H9" s="502">
        <f>-'📈Det. Resultados'!H15</f>
        <v>0</v>
      </c>
      <c r="I9" s="502">
        <f>-'📈Det. Resultados'!I15</f>
        <v>0</v>
      </c>
      <c r="J9" s="502">
        <f>-'📈Det. Resultados'!J15</f>
        <v>0</v>
      </c>
      <c r="K9" s="502">
        <f>-'📈Det. Resultados'!K15</f>
        <v>0</v>
      </c>
      <c r="L9" s="502">
        <f>-'📈Det. Resultados'!L15</f>
        <v>0</v>
      </c>
      <c r="M9" s="502">
        <f>-'📈Det. Resultados'!M15</f>
        <v>0</v>
      </c>
      <c r="N9" s="502">
        <f>-'📈Det. Resultados'!N15</f>
        <v>0</v>
      </c>
      <c r="O9" s="503">
        <f>-'📈Det. Resultados'!O15</f>
        <v>0</v>
      </c>
    </row>
    <row r="10" spans="2:15" ht="15.6">
      <c r="B10" s="424" t="s">
        <v>109</v>
      </c>
      <c r="C10" s="425">
        <f>SUMIFS('🏭 DRE'!$D10:$R10,'🏭 DRE'!$D$4:$R$4,$C$5)</f>
        <v>0</v>
      </c>
      <c r="D10" s="426">
        <f>-(D7-'📈Det. Resultados'!D6)</f>
        <v>0</v>
      </c>
      <c r="E10" s="426">
        <f>-(E7-'📈Det. Resultados'!E6)</f>
        <v>0</v>
      </c>
      <c r="F10" s="426">
        <f>-(F7-'📈Det. Resultados'!F6)</f>
        <v>0</v>
      </c>
      <c r="G10" s="426">
        <f>-(G7-'📈Det. Resultados'!G6)</f>
        <v>0</v>
      </c>
      <c r="H10" s="426">
        <f>-(H7-'📈Det. Resultados'!H6)</f>
        <v>0</v>
      </c>
      <c r="I10" s="426">
        <f>-(I7-'📈Det. Resultados'!I6)</f>
        <v>0</v>
      </c>
      <c r="J10" s="426">
        <f>-(J7-'📈Det. Resultados'!J6)</f>
        <v>0</v>
      </c>
      <c r="K10" s="426">
        <f>-(K7-'📈Det. Resultados'!K6)</f>
        <v>0</v>
      </c>
      <c r="L10" s="426">
        <f>-(L7-'📈Det. Resultados'!L6)</f>
        <v>0</v>
      </c>
      <c r="M10" s="426">
        <f>-(M7-'📈Det. Resultados'!M6)</f>
        <v>0</v>
      </c>
      <c r="N10" s="426">
        <f>-(N7-'📈Det. Resultados'!N6)</f>
        <v>0</v>
      </c>
      <c r="O10" s="427">
        <f>-(O7-'📈Det. Resultados'!O6)</f>
        <v>0</v>
      </c>
    </row>
    <row r="11" spans="2:15" ht="15.6">
      <c r="B11" s="256" t="s">
        <v>110</v>
      </c>
      <c r="C11" s="260">
        <f>SUMIFS('🏭 DRE'!$D11:$R11,'🏭 DRE'!$D$4:$R$4,$C$5)</f>
        <v>0</v>
      </c>
      <c r="D11" s="94">
        <v>0</v>
      </c>
      <c r="E11" s="94">
        <v>0</v>
      </c>
      <c r="F11" s="94">
        <v>0</v>
      </c>
      <c r="G11" s="94">
        <v>0</v>
      </c>
      <c r="H11" s="94">
        <v>0</v>
      </c>
      <c r="I11" s="94">
        <v>0</v>
      </c>
      <c r="J11" s="94">
        <v>0</v>
      </c>
      <c r="K11" s="94">
        <v>0</v>
      </c>
      <c r="L11" s="94">
        <v>0</v>
      </c>
      <c r="M11" s="94">
        <v>0</v>
      </c>
      <c r="N11" s="94">
        <v>0</v>
      </c>
      <c r="O11" s="261">
        <v>0</v>
      </c>
    </row>
    <row r="12" spans="2:15" ht="15.6">
      <c r="B12" s="399" t="s">
        <v>111</v>
      </c>
      <c r="C12" s="400">
        <f>SUMIFS('🏭 DRE'!$D12:$R12,'🏭 DRE'!$D$4:$R$4,$C$5)</f>
        <v>10500</v>
      </c>
      <c r="D12" s="401">
        <f t="shared" ref="D12:O12" si="3">D7+D8</f>
        <v>0</v>
      </c>
      <c r="E12" s="401">
        <f t="shared" si="3"/>
        <v>0</v>
      </c>
      <c r="F12" s="401">
        <f t="shared" si="3"/>
        <v>0</v>
      </c>
      <c r="G12" s="401">
        <f t="shared" si="3"/>
        <v>0</v>
      </c>
      <c r="H12" s="401">
        <f t="shared" si="3"/>
        <v>0</v>
      </c>
      <c r="I12" s="401">
        <f t="shared" si="3"/>
        <v>10500</v>
      </c>
      <c r="J12" s="401">
        <f t="shared" si="3"/>
        <v>0</v>
      </c>
      <c r="K12" s="401">
        <f t="shared" si="3"/>
        <v>0</v>
      </c>
      <c r="L12" s="401">
        <f t="shared" si="3"/>
        <v>0</v>
      </c>
      <c r="M12" s="401">
        <f t="shared" si="3"/>
        <v>0</v>
      </c>
      <c r="N12" s="401">
        <f t="shared" si="3"/>
        <v>0</v>
      </c>
      <c r="O12" s="402">
        <f t="shared" si="3"/>
        <v>0</v>
      </c>
    </row>
    <row r="13" spans="2:15" ht="23.4">
      <c r="B13" s="498" t="s">
        <v>195</v>
      </c>
      <c r="C13" s="499">
        <f>SUMIFS('🏭 DRE'!$D13:$R13,'🏭 DRE'!$D$4:$R$4,$C$5)</f>
        <v>-10157.950000000001</v>
      </c>
      <c r="D13" s="500">
        <f>SUM(D14:D19)</f>
        <v>0</v>
      </c>
      <c r="E13" s="500">
        <f t="shared" ref="E13:O13" si="4">SUM(E14:E19)</f>
        <v>0</v>
      </c>
      <c r="F13" s="500">
        <f t="shared" si="4"/>
        <v>0</v>
      </c>
      <c r="G13" s="500">
        <f t="shared" si="4"/>
        <v>0</v>
      </c>
      <c r="H13" s="500">
        <f t="shared" si="4"/>
        <v>-1840.3600000000001</v>
      </c>
      <c r="I13" s="500">
        <f t="shared" si="4"/>
        <v>-4227.59</v>
      </c>
      <c r="J13" s="500">
        <f t="shared" si="4"/>
        <v>-4090</v>
      </c>
      <c r="K13" s="500">
        <f t="shared" si="4"/>
        <v>0</v>
      </c>
      <c r="L13" s="500">
        <f t="shared" si="4"/>
        <v>0</v>
      </c>
      <c r="M13" s="500">
        <f t="shared" si="4"/>
        <v>0</v>
      </c>
      <c r="N13" s="500">
        <f t="shared" si="4"/>
        <v>0</v>
      </c>
      <c r="O13" s="500">
        <f t="shared" si="4"/>
        <v>0</v>
      </c>
    </row>
    <row r="14" spans="2:15" ht="15.6">
      <c r="B14" s="77" t="str">
        <f>'📈Det. Resultados'!B9</f>
        <v>PROLABORE</v>
      </c>
      <c r="C14" s="260">
        <f>SUMIFS('🏭 DRE'!$D14:$R14,'🏭 DRE'!$D$4:$R$4,$C$5)</f>
        <v>-7422.92</v>
      </c>
      <c r="D14" s="94">
        <f>-'📈Det. Resultados'!D9</f>
        <v>0</v>
      </c>
      <c r="E14" s="94">
        <f>-'📈Det. Resultados'!E9</f>
        <v>0</v>
      </c>
      <c r="F14" s="94">
        <f>-'📈Det. Resultados'!F9</f>
        <v>0</v>
      </c>
      <c r="G14" s="94">
        <f>-'📈Det. Resultados'!G9</f>
        <v>0</v>
      </c>
      <c r="H14" s="94">
        <f>-'📈Det. Resultados'!H9</f>
        <v>-1637.92</v>
      </c>
      <c r="I14" s="94">
        <f>-'📈Det. Resultados'!I9</f>
        <v>-2670</v>
      </c>
      <c r="J14" s="94">
        <f>-'📈Det. Resultados'!J9</f>
        <v>-3115</v>
      </c>
      <c r="K14" s="94">
        <f>-'📈Det. Resultados'!K9</f>
        <v>0</v>
      </c>
      <c r="L14" s="94">
        <f>-'📈Det. Resultados'!L9</f>
        <v>0</v>
      </c>
      <c r="M14" s="94">
        <f>-'📈Det. Resultados'!M9</f>
        <v>0</v>
      </c>
      <c r="N14" s="94">
        <f>-'📈Det. Resultados'!N9</f>
        <v>0</v>
      </c>
      <c r="O14" s="261">
        <f>-'📈Det. Resultados'!O9</f>
        <v>0</v>
      </c>
    </row>
    <row r="15" spans="2:15" ht="15.6">
      <c r="B15" s="77" t="str">
        <f>'📈Det. Resultados'!B10</f>
        <v>INSS</v>
      </c>
      <c r="C15" s="260">
        <f>SUMIFS('🏭 DRE'!$D15:$R15,'🏭 DRE'!$D$4:$R$4,$C$5)</f>
        <v>-917.44</v>
      </c>
      <c r="D15" s="94">
        <f>-'📈Det. Resultados'!D10</f>
        <v>0</v>
      </c>
      <c r="E15" s="94">
        <f>-'📈Det. Resultados'!E10</f>
        <v>0</v>
      </c>
      <c r="F15" s="94">
        <f>-'📈Det. Resultados'!F10</f>
        <v>0</v>
      </c>
      <c r="G15" s="94">
        <f>-'📈Det. Resultados'!G10</f>
        <v>0</v>
      </c>
      <c r="H15" s="94">
        <f>-'📈Det. Resultados'!H10</f>
        <v>-202.44</v>
      </c>
      <c r="I15" s="94">
        <f>-'📈Det. Resultados'!I10</f>
        <v>-330</v>
      </c>
      <c r="J15" s="94">
        <f>-'📈Det. Resultados'!J10</f>
        <v>-385</v>
      </c>
      <c r="K15" s="94">
        <f>-'📈Det. Resultados'!K10</f>
        <v>0</v>
      </c>
      <c r="L15" s="94">
        <f>-'📈Det. Resultados'!L10</f>
        <v>0</v>
      </c>
      <c r="M15" s="94">
        <f>-'📈Det. Resultados'!M10</f>
        <v>0</v>
      </c>
      <c r="N15" s="94">
        <f>-'📈Det. Resultados'!N10</f>
        <v>0</v>
      </c>
      <c r="O15" s="261">
        <f>-'📈Det. Resultados'!O10</f>
        <v>0</v>
      </c>
    </row>
    <row r="16" spans="2:15" ht="15.6">
      <c r="B16" s="77" t="str">
        <f>'📈Det. Resultados'!B11</f>
        <v>LUCRO</v>
      </c>
      <c r="C16" s="260">
        <f>SUMIFS('🏭 DRE'!$D16:$R16,'🏭 DRE'!$D$4:$R$4,$C$5)</f>
        <v>0</v>
      </c>
      <c r="D16" s="94">
        <f>-'📈Det. Resultados'!D11</f>
        <v>0</v>
      </c>
      <c r="E16" s="94">
        <f>-'📈Det. Resultados'!E11</f>
        <v>0</v>
      </c>
      <c r="F16" s="94">
        <f>-'📈Det. Resultados'!F11</f>
        <v>0</v>
      </c>
      <c r="G16" s="94">
        <f>-'📈Det. Resultados'!G11</f>
        <v>0</v>
      </c>
      <c r="H16" s="94">
        <f>-'📈Det. Resultados'!H11</f>
        <v>0</v>
      </c>
      <c r="I16" s="94">
        <f>-'📈Det. Resultados'!I11</f>
        <v>0</v>
      </c>
      <c r="J16" s="94">
        <f>-'📈Det. Resultados'!J11</f>
        <v>0</v>
      </c>
      <c r="K16" s="94">
        <f>-'📈Det. Resultados'!K11</f>
        <v>0</v>
      </c>
      <c r="L16" s="94">
        <f>-'📈Det. Resultados'!L11</f>
        <v>0</v>
      </c>
      <c r="M16" s="94">
        <f>-'📈Det. Resultados'!M11</f>
        <v>0</v>
      </c>
      <c r="N16" s="94">
        <f>-'📈Det. Resultados'!N11</f>
        <v>0</v>
      </c>
      <c r="O16" s="261">
        <f>-'📈Det. Resultados'!O11</f>
        <v>0</v>
      </c>
    </row>
    <row r="17" spans="1:18" ht="15.6">
      <c r="B17" s="77" t="str">
        <f>'📈Det. Resultados'!B12</f>
        <v>CONTABILIDADE</v>
      </c>
      <c r="C17" s="260">
        <f>SUMIFS('🏭 DRE'!$D17:$R17,'🏭 DRE'!$D$4:$R$4,$C$5)</f>
        <v>-1540</v>
      </c>
      <c r="D17" s="94">
        <f>'📈Det. Resultados'!D12*-1</f>
        <v>0</v>
      </c>
      <c r="E17" s="94">
        <f>'📈Det. Resultados'!E12*-1</f>
        <v>0</v>
      </c>
      <c r="F17" s="94">
        <f>'📈Det. Resultados'!F12*-1</f>
        <v>0</v>
      </c>
      <c r="G17" s="94">
        <f>'📈Det. Resultados'!G12*-1</f>
        <v>0</v>
      </c>
      <c r="H17" s="94">
        <f>'📈Det. Resultados'!H12*-1</f>
        <v>0</v>
      </c>
      <c r="I17" s="94">
        <f>'📈Det. Resultados'!I12*-1</f>
        <v>-950</v>
      </c>
      <c r="J17" s="94">
        <f>'📈Det. Resultados'!J12*-1</f>
        <v>-590</v>
      </c>
      <c r="K17" s="94">
        <f>'📈Det. Resultados'!K12*-1</f>
        <v>0</v>
      </c>
      <c r="L17" s="94">
        <f>'📈Det. Resultados'!L12*-1</f>
        <v>0</v>
      </c>
      <c r="M17" s="94">
        <f>'📈Det. Resultados'!M12*-1</f>
        <v>0</v>
      </c>
      <c r="N17" s="94">
        <f>'📈Det. Resultados'!N12*-1</f>
        <v>0</v>
      </c>
      <c r="O17" s="94">
        <f>'📈Det. Resultados'!O12*-1</f>
        <v>0</v>
      </c>
    </row>
    <row r="18" spans="1:18" ht="15.6">
      <c r="B18" s="77" t="str">
        <f>'📈Det. Resultados'!B13</f>
        <v>OUTROS</v>
      </c>
      <c r="C18" s="260">
        <f>SUMIFS('🏭 DRE'!$D18:$R18,'🏭 DRE'!$D$4:$R$4,$C$5)</f>
        <v>0</v>
      </c>
      <c r="D18" s="94">
        <f>'📈Det. Resultados'!D13*-1</f>
        <v>0</v>
      </c>
      <c r="E18" s="94">
        <f>-'📈Det. Resultados'!E13</f>
        <v>0</v>
      </c>
      <c r="F18" s="94">
        <f>-'📈Det. Resultados'!F13</f>
        <v>0</v>
      </c>
      <c r="G18" s="94">
        <f>-'📈Det. Resultados'!G13</f>
        <v>0</v>
      </c>
      <c r="H18" s="94">
        <f>-'📈Det. Resultados'!H13</f>
        <v>0</v>
      </c>
      <c r="I18" s="94">
        <f>-'📈Det. Resultados'!I13</f>
        <v>0</v>
      </c>
      <c r="J18" s="94">
        <f>-'📈Det. Resultados'!J13</f>
        <v>0</v>
      </c>
      <c r="K18" s="94">
        <f>-'📈Det. Resultados'!K13</f>
        <v>0</v>
      </c>
      <c r="L18" s="94">
        <f>-'📈Det. Resultados'!L13</f>
        <v>0</v>
      </c>
      <c r="M18" s="94">
        <f>-'📈Det. Resultados'!M13</f>
        <v>0</v>
      </c>
      <c r="N18" s="94">
        <f>-'📈Det. Resultados'!N13</f>
        <v>0</v>
      </c>
      <c r="O18" s="94">
        <f>-'📈Det. Resultados'!O13</f>
        <v>0</v>
      </c>
    </row>
    <row r="19" spans="1:18" ht="15.6">
      <c r="B19" s="77" t="str">
        <f>'📈Det. Resultados'!B14</f>
        <v>ADM</v>
      </c>
      <c r="C19" s="260">
        <f>SUMIFS('🏭 DRE'!$D19:$R19,'🏭 DRE'!$D$4:$R$4,$C$5)</f>
        <v>-277.59000000000003</v>
      </c>
      <c r="D19" s="94">
        <f>-'📈Det. Resultados'!D14</f>
        <v>0</v>
      </c>
      <c r="E19" s="94">
        <f>-'📈Det. Resultados'!E14</f>
        <v>0</v>
      </c>
      <c r="F19" s="94">
        <f>-'📈Det. Resultados'!F14</f>
        <v>0</v>
      </c>
      <c r="G19" s="94">
        <f>-'📈Det. Resultados'!G14</f>
        <v>0</v>
      </c>
      <c r="H19" s="94">
        <f>-'📈Det. Resultados'!H14</f>
        <v>0</v>
      </c>
      <c r="I19" s="94">
        <f>-'📈Det. Resultados'!I14</f>
        <v>-277.59000000000003</v>
      </c>
      <c r="J19" s="94">
        <f>-'📈Det. Resultados'!J14</f>
        <v>0</v>
      </c>
      <c r="K19" s="94">
        <f>-'📈Det. Resultados'!K14</f>
        <v>0</v>
      </c>
      <c r="L19" s="94">
        <f>-'📈Det. Resultados'!L14</f>
        <v>0</v>
      </c>
      <c r="M19" s="94">
        <f>-'📈Det. Resultados'!M14</f>
        <v>0</v>
      </c>
      <c r="N19" s="94">
        <f>-'📈Det. Resultados'!N14</f>
        <v>0</v>
      </c>
      <c r="O19" s="94">
        <f>-'📈Det. Resultados'!O14</f>
        <v>0</v>
      </c>
    </row>
    <row r="20" spans="1:18" ht="15.6">
      <c r="B20" s="95" t="s">
        <v>112</v>
      </c>
      <c r="C20" s="96">
        <f>SUMIFS('🏭 DRE'!$D20:$R20,'🏭 DRE'!$D$4:$R$4,$C$5)</f>
        <v>342.04999999999927</v>
      </c>
      <c r="D20" s="262">
        <f t="shared" ref="D20:O20" si="5">D12+D13</f>
        <v>0</v>
      </c>
      <c r="E20" s="262">
        <f t="shared" si="5"/>
        <v>0</v>
      </c>
      <c r="F20" s="262">
        <f t="shared" si="5"/>
        <v>0</v>
      </c>
      <c r="G20" s="262">
        <f t="shared" si="5"/>
        <v>0</v>
      </c>
      <c r="H20" s="262">
        <f t="shared" si="5"/>
        <v>-1840.3600000000001</v>
      </c>
      <c r="I20" s="262">
        <f t="shared" si="5"/>
        <v>6272.41</v>
      </c>
      <c r="J20" s="262">
        <f t="shared" si="5"/>
        <v>-4090</v>
      </c>
      <c r="K20" s="262">
        <f t="shared" si="5"/>
        <v>0</v>
      </c>
      <c r="L20" s="262">
        <f t="shared" si="5"/>
        <v>0</v>
      </c>
      <c r="M20" s="262">
        <f t="shared" si="5"/>
        <v>0</v>
      </c>
      <c r="N20" s="262">
        <f t="shared" si="5"/>
        <v>0</v>
      </c>
      <c r="O20" s="97">
        <f t="shared" si="5"/>
        <v>0</v>
      </c>
    </row>
    <row r="21" spans="1:18" ht="21.6" customHeight="1">
      <c r="A21" s="82"/>
      <c r="B21" s="505" t="s">
        <v>113</v>
      </c>
      <c r="C21" s="506">
        <f t="shared" ref="C21:O21" si="6">IFERROR((C20/C12),0)</f>
        <v>3.2576190476190404E-2</v>
      </c>
      <c r="D21" s="507">
        <f t="shared" si="6"/>
        <v>0</v>
      </c>
      <c r="E21" s="507">
        <f t="shared" si="6"/>
        <v>0</v>
      </c>
      <c r="F21" s="507">
        <f t="shared" si="6"/>
        <v>0</v>
      </c>
      <c r="G21" s="507">
        <f t="shared" si="6"/>
        <v>0</v>
      </c>
      <c r="H21" s="507">
        <f t="shared" si="6"/>
        <v>0</v>
      </c>
      <c r="I21" s="507">
        <f t="shared" si="6"/>
        <v>0.59737238095238099</v>
      </c>
      <c r="J21" s="507">
        <f t="shared" si="6"/>
        <v>0</v>
      </c>
      <c r="K21" s="507">
        <f t="shared" si="6"/>
        <v>0</v>
      </c>
      <c r="L21" s="507">
        <f t="shared" si="6"/>
        <v>0</v>
      </c>
      <c r="M21" s="507">
        <f t="shared" si="6"/>
        <v>0</v>
      </c>
      <c r="N21" s="507">
        <f t="shared" si="6"/>
        <v>0</v>
      </c>
      <c r="O21" s="508">
        <f t="shared" si="6"/>
        <v>0</v>
      </c>
      <c r="P21" s="82"/>
      <c r="Q21" s="82"/>
      <c r="R21" s="82"/>
    </row>
    <row r="22" spans="1:18" ht="20.399999999999999" customHeight="1">
      <c r="B22" s="494" t="s">
        <v>97</v>
      </c>
      <c r="C22" s="495">
        <f>SUMIFS($D22:$R22,$D$4:$R$4,$C$5)</f>
        <v>-600</v>
      </c>
      <c r="D22" s="496">
        <f t="shared" ref="D22:O22" si="7">SUM(D23:D34)</f>
        <v>0</v>
      </c>
      <c r="E22" s="496">
        <f t="shared" si="7"/>
        <v>0</v>
      </c>
      <c r="F22" s="496">
        <f t="shared" si="7"/>
        <v>0</v>
      </c>
      <c r="G22" s="496">
        <f t="shared" si="7"/>
        <v>0</v>
      </c>
      <c r="H22" s="496">
        <f t="shared" si="7"/>
        <v>0</v>
      </c>
      <c r="I22" s="496">
        <f t="shared" si="7"/>
        <v>0</v>
      </c>
      <c r="J22" s="496">
        <f t="shared" si="7"/>
        <v>-600</v>
      </c>
      <c r="K22" s="496">
        <f t="shared" si="7"/>
        <v>0</v>
      </c>
      <c r="L22" s="496">
        <f t="shared" si="7"/>
        <v>0</v>
      </c>
      <c r="M22" s="496">
        <f t="shared" si="7"/>
        <v>0</v>
      </c>
      <c r="N22" s="496">
        <f t="shared" si="7"/>
        <v>0</v>
      </c>
      <c r="O22" s="497">
        <f t="shared" si="7"/>
        <v>0</v>
      </c>
    </row>
    <row r="23" spans="1:18" ht="15.75" customHeight="1">
      <c r="B23" s="504">
        <f>'📈Det. Resultados'!B16</f>
        <v>0</v>
      </c>
      <c r="C23" s="260">
        <f>SUMIFS('🏭 DRE'!$D23:$R23,'🏭 DRE'!$D$4:$R$4,$C$5)</f>
        <v>0</v>
      </c>
      <c r="D23" s="94">
        <f>-'📈Det. Resultados'!D16</f>
        <v>0</v>
      </c>
      <c r="E23" s="94">
        <f>-'📈Det. Resultados'!E16</f>
        <v>0</v>
      </c>
      <c r="F23" s="94">
        <f>-'📈Det. Resultados'!F16</f>
        <v>0</v>
      </c>
      <c r="G23" s="94">
        <f>-'📈Det. Resultados'!G16</f>
        <v>0</v>
      </c>
      <c r="H23" s="94">
        <f>-'📈Det. Resultados'!H16</f>
        <v>0</v>
      </c>
      <c r="I23" s="94">
        <f>-'📈Det. Resultados'!I16</f>
        <v>0</v>
      </c>
      <c r="J23" s="94">
        <f>-'📈Det. Resultados'!J16</f>
        <v>0</v>
      </c>
      <c r="K23" s="94">
        <f>-'📈Det. Resultados'!K16</f>
        <v>0</v>
      </c>
      <c r="L23" s="94">
        <f>-'📈Det. Resultados'!L16</f>
        <v>0</v>
      </c>
      <c r="M23" s="94">
        <f>-'📈Det. Resultados'!M16</f>
        <v>0</v>
      </c>
      <c r="N23" s="94">
        <f>-'📈Det. Resultados'!N16</f>
        <v>0</v>
      </c>
      <c r="O23" s="94">
        <f>-'📈Det. Resultados'!O16</f>
        <v>0</v>
      </c>
    </row>
    <row r="24" spans="1:18" ht="15.75" customHeight="1">
      <c r="B24" s="504">
        <f>'📈Det. Resultados'!B17</f>
        <v>0</v>
      </c>
      <c r="C24" s="260">
        <f>SUMIFS('🏭 DRE'!$D24:$R24,'🏭 DRE'!$D$4:$R$4,$C$5)</f>
        <v>0</v>
      </c>
      <c r="D24" s="94">
        <f>-'📈Det. Resultados'!D17</f>
        <v>0</v>
      </c>
      <c r="E24" s="94">
        <f>-'📈Det. Resultados'!E17</f>
        <v>0</v>
      </c>
      <c r="F24" s="94">
        <f>-'📈Det. Resultados'!F17</f>
        <v>0</v>
      </c>
      <c r="G24" s="94">
        <f>-'📈Det. Resultados'!G17</f>
        <v>0</v>
      </c>
      <c r="H24" s="94">
        <f>-'📈Det. Resultados'!H17</f>
        <v>0</v>
      </c>
      <c r="I24" s="94">
        <f>-'📈Det. Resultados'!I17</f>
        <v>0</v>
      </c>
      <c r="J24" s="94">
        <f>-'📈Det. Resultados'!J17</f>
        <v>0</v>
      </c>
      <c r="K24" s="94">
        <f>-'📈Det. Resultados'!K17</f>
        <v>0</v>
      </c>
      <c r="L24" s="94">
        <f>-'📈Det. Resultados'!L17</f>
        <v>0</v>
      </c>
      <c r="M24" s="94">
        <f>-'📈Det. Resultados'!M17</f>
        <v>0</v>
      </c>
      <c r="N24" s="94">
        <f>-'📈Det. Resultados'!N17</f>
        <v>0</v>
      </c>
      <c r="O24" s="94">
        <f>-'📈Det. Resultados'!O17</f>
        <v>0</v>
      </c>
    </row>
    <row r="25" spans="1:18" ht="15.75" customHeight="1">
      <c r="B25" s="504">
        <f>'📈Det. Resultados'!B18</f>
        <v>0</v>
      </c>
      <c r="C25" s="260">
        <f>SUMIFS('🏭 DRE'!$D25:$R25,'🏭 DRE'!$D$4:$R$4,$C$5)</f>
        <v>0</v>
      </c>
      <c r="D25" s="94">
        <f>-'📈Det. Resultados'!D18</f>
        <v>0</v>
      </c>
      <c r="E25" s="94">
        <f>-'📈Det. Resultados'!E18</f>
        <v>0</v>
      </c>
      <c r="F25" s="94">
        <f>-'📈Det. Resultados'!F18</f>
        <v>0</v>
      </c>
      <c r="G25" s="94">
        <f>-'📈Det. Resultados'!G18</f>
        <v>0</v>
      </c>
      <c r="H25" s="94">
        <f>-'📈Det. Resultados'!H18</f>
        <v>0</v>
      </c>
      <c r="I25" s="94">
        <f>-'📈Det. Resultados'!I18</f>
        <v>0</v>
      </c>
      <c r="J25" s="94">
        <f>-'📈Det. Resultados'!J18</f>
        <v>0</v>
      </c>
      <c r="K25" s="94">
        <f>-'📈Det. Resultados'!K18</f>
        <v>0</v>
      </c>
      <c r="L25" s="94">
        <f>-'📈Det. Resultados'!L18</f>
        <v>0</v>
      </c>
      <c r="M25" s="94">
        <f>-'📈Det. Resultados'!M18</f>
        <v>0</v>
      </c>
      <c r="N25" s="94">
        <f>-'📈Det. Resultados'!N18</f>
        <v>0</v>
      </c>
      <c r="O25" s="94">
        <f>-'📈Det. Resultados'!O18</f>
        <v>0</v>
      </c>
    </row>
    <row r="26" spans="1:18" ht="15.75" customHeight="1">
      <c r="B26" s="504">
        <f>'📈Det. Resultados'!B19</f>
        <v>0</v>
      </c>
      <c r="C26" s="260">
        <f>SUMIFS('🏭 DRE'!$D26:$R26,'🏭 DRE'!$D$4:$R$4,$C$5)</f>
        <v>0</v>
      </c>
      <c r="D26" s="94">
        <f>-'📈Det. Resultados'!D19</f>
        <v>0</v>
      </c>
      <c r="E26" s="94">
        <f>-'📈Det. Resultados'!E19</f>
        <v>0</v>
      </c>
      <c r="F26" s="94">
        <f>-'📈Det. Resultados'!F19</f>
        <v>0</v>
      </c>
      <c r="G26" s="94">
        <f>-'📈Det. Resultados'!G19</f>
        <v>0</v>
      </c>
      <c r="H26" s="94">
        <f>-'📈Det. Resultados'!H19</f>
        <v>0</v>
      </c>
      <c r="I26" s="94">
        <f>-'📈Det. Resultados'!I19</f>
        <v>0</v>
      </c>
      <c r="J26" s="94">
        <f>-'📈Det. Resultados'!J19</f>
        <v>0</v>
      </c>
      <c r="K26" s="94">
        <f>-'📈Det. Resultados'!K19</f>
        <v>0</v>
      </c>
      <c r="L26" s="94">
        <f>-'📈Det. Resultados'!L19</f>
        <v>0</v>
      </c>
      <c r="M26" s="94">
        <f>-'📈Det. Resultados'!M19</f>
        <v>0</v>
      </c>
      <c r="N26" s="94">
        <f>-'📈Det. Resultados'!N19</f>
        <v>0</v>
      </c>
      <c r="O26" s="94">
        <f>-'📈Det. Resultados'!O19</f>
        <v>0</v>
      </c>
    </row>
    <row r="27" spans="1:18" ht="15.75" customHeight="1">
      <c r="B27" s="504">
        <f>'📈Det. Resultados'!B20</f>
        <v>0</v>
      </c>
      <c r="C27" s="260">
        <f>SUMIFS('🏭 DRE'!$D27:$R27,'🏭 DRE'!$D$4:$R$4,$C$5)</f>
        <v>0</v>
      </c>
      <c r="D27" s="94">
        <f>-'📈Det. Resultados'!D20</f>
        <v>0</v>
      </c>
      <c r="E27" s="94">
        <f>-'📈Det. Resultados'!E20</f>
        <v>0</v>
      </c>
      <c r="F27" s="94">
        <f>-'📈Det. Resultados'!F20</f>
        <v>0</v>
      </c>
      <c r="G27" s="94">
        <f>-'📈Det. Resultados'!G20</f>
        <v>0</v>
      </c>
      <c r="H27" s="94">
        <f>-'📈Det. Resultados'!H20</f>
        <v>0</v>
      </c>
      <c r="I27" s="94">
        <f>-'📈Det. Resultados'!I20</f>
        <v>0</v>
      </c>
      <c r="J27" s="94">
        <f>-'📈Det. Resultados'!J20</f>
        <v>0</v>
      </c>
      <c r="K27" s="94">
        <f>-'📈Det. Resultados'!K20</f>
        <v>0</v>
      </c>
      <c r="L27" s="94">
        <f>-'📈Det. Resultados'!L20</f>
        <v>0</v>
      </c>
      <c r="M27" s="94">
        <f>-'📈Det. Resultados'!M20</f>
        <v>0</v>
      </c>
      <c r="N27" s="94">
        <f>-'📈Det. Resultados'!N20</f>
        <v>0</v>
      </c>
      <c r="O27" s="94">
        <f>-'📈Det. Resultados'!O20</f>
        <v>0</v>
      </c>
    </row>
    <row r="28" spans="1:18" ht="15.75" customHeight="1">
      <c r="B28" s="504">
        <f>'📈Det. Resultados'!B21</f>
        <v>0</v>
      </c>
      <c r="C28" s="260">
        <f>SUMIFS('🏭 DRE'!$D28:$R28,'🏭 DRE'!$D$4:$R$4,$C$5)</f>
        <v>0</v>
      </c>
      <c r="D28" s="94">
        <f>-'📈Det. Resultados'!D21</f>
        <v>0</v>
      </c>
      <c r="E28" s="94">
        <f>-'📈Det. Resultados'!E21</f>
        <v>0</v>
      </c>
      <c r="F28" s="94">
        <f>-'📈Det. Resultados'!F21</f>
        <v>0</v>
      </c>
      <c r="G28" s="94">
        <f>-'📈Det. Resultados'!G21</f>
        <v>0</v>
      </c>
      <c r="H28" s="94">
        <f>-'📈Det. Resultados'!H21</f>
        <v>0</v>
      </c>
      <c r="I28" s="94">
        <f>-'📈Det. Resultados'!I21</f>
        <v>0</v>
      </c>
      <c r="J28" s="94">
        <f>-'📈Det. Resultados'!J21</f>
        <v>0</v>
      </c>
      <c r="K28" s="94">
        <f>-'📈Det. Resultados'!K21</f>
        <v>0</v>
      </c>
      <c r="L28" s="94">
        <f>-'📈Det. Resultados'!L21</f>
        <v>0</v>
      </c>
      <c r="M28" s="94">
        <f>-'📈Det. Resultados'!M21</f>
        <v>0</v>
      </c>
      <c r="N28" s="94">
        <f>-'📈Det. Resultados'!N21</f>
        <v>0</v>
      </c>
      <c r="O28" s="94">
        <f>-'📈Det. Resultados'!O21</f>
        <v>0</v>
      </c>
    </row>
    <row r="29" spans="1:18" ht="15.75" customHeight="1">
      <c r="B29" s="488" t="str">
        <f>'📈Det. Resultados'!B22</f>
        <v>DAS</v>
      </c>
      <c r="C29" s="489">
        <f>SUMIFS('🏭 DRE'!$D29:$R29,'🏭 DRE'!$D$4:$R$4,$C$5)</f>
        <v>-600</v>
      </c>
      <c r="D29" s="426">
        <f>-'📈Det. Resultados'!D22</f>
        <v>0</v>
      </c>
      <c r="E29" s="426">
        <f>-'📈Det. Resultados'!E22</f>
        <v>0</v>
      </c>
      <c r="F29" s="426">
        <f>-'📈Det. Resultados'!F22</f>
        <v>0</v>
      </c>
      <c r="G29" s="426">
        <f>-'📈Det. Resultados'!G22</f>
        <v>0</v>
      </c>
      <c r="H29" s="426">
        <f>-'📈Det. Resultados'!H22</f>
        <v>0</v>
      </c>
      <c r="I29" s="426">
        <f>-'📈Det. Resultados'!I22</f>
        <v>0</v>
      </c>
      <c r="J29" s="426">
        <f>-'📈Det. Resultados'!J22</f>
        <v>-600</v>
      </c>
      <c r="K29" s="426">
        <f>-'📈Det. Resultados'!K22</f>
        <v>0</v>
      </c>
      <c r="L29" s="426">
        <f>-'📈Det. Resultados'!L22</f>
        <v>0</v>
      </c>
      <c r="M29" s="426">
        <f>-'📈Det. Resultados'!M22</f>
        <v>0</v>
      </c>
      <c r="N29" s="426">
        <f>-'📈Det. Resultados'!N22</f>
        <v>0</v>
      </c>
      <c r="O29" s="426">
        <f>-'📈Det. Resultados'!O22</f>
        <v>0</v>
      </c>
    </row>
    <row r="30" spans="1:18" ht="15.75" customHeight="1">
      <c r="B30" s="488" t="str">
        <f>'📈Det. Resultados'!B23</f>
        <v>TAXAS</v>
      </c>
      <c r="C30" s="489">
        <f>SUMIFS('🏭 DRE'!$D30:$R30,'🏭 DRE'!$D$4:$R$4,$C$5)</f>
        <v>0</v>
      </c>
      <c r="D30" s="487">
        <f>-'📈Det. Resultados'!D23</f>
        <v>0</v>
      </c>
      <c r="E30" s="487">
        <f>-'📈Det. Resultados'!E23</f>
        <v>0</v>
      </c>
      <c r="F30" s="487">
        <f>-'📈Det. Resultados'!F23</f>
        <v>0</v>
      </c>
      <c r="G30" s="487">
        <f>-'📈Det. Resultados'!G23</f>
        <v>0</v>
      </c>
      <c r="H30" s="487">
        <f>-'📈Det. Resultados'!H23</f>
        <v>0</v>
      </c>
      <c r="I30" s="487">
        <f>-'📈Det. Resultados'!I23</f>
        <v>0</v>
      </c>
      <c r="J30" s="487">
        <f>-'📈Det. Resultados'!J23</f>
        <v>0</v>
      </c>
      <c r="K30" s="487">
        <f>-'📈Det. Resultados'!K23</f>
        <v>0</v>
      </c>
      <c r="L30" s="487">
        <f>-'📈Det. Resultados'!L23</f>
        <v>0</v>
      </c>
      <c r="M30" s="487">
        <f>-'📈Det. Resultados'!M23</f>
        <v>0</v>
      </c>
      <c r="N30" s="487">
        <f>-'📈Det. Resultados'!N23</f>
        <v>0</v>
      </c>
      <c r="O30" s="487">
        <f>-'📈Det. Resultados'!O23</f>
        <v>0</v>
      </c>
    </row>
    <row r="31" spans="1:18" ht="15.75" customHeight="1">
      <c r="B31" s="504">
        <f>'📈Det. Resultados'!B24</f>
        <v>0</v>
      </c>
      <c r="C31" s="260">
        <f>SUMIFS('🏭 DRE'!$D31:$R31,'🏭 DRE'!$D$4:$R$4,$C$5)</f>
        <v>0</v>
      </c>
      <c r="D31" s="94">
        <f>-'📈Det. Resultados'!D24</f>
        <v>0</v>
      </c>
      <c r="E31" s="94">
        <f>-'📈Det. Resultados'!E24</f>
        <v>0</v>
      </c>
      <c r="F31" s="94">
        <f>-'📈Det. Resultados'!F24</f>
        <v>0</v>
      </c>
      <c r="G31" s="94">
        <f>-'📈Det. Resultados'!G24</f>
        <v>0</v>
      </c>
      <c r="H31" s="94">
        <f>-'📈Det. Resultados'!H24</f>
        <v>0</v>
      </c>
      <c r="I31" s="94">
        <f>-'📈Det. Resultados'!I24</f>
        <v>0</v>
      </c>
      <c r="J31" s="94">
        <f>-'📈Det. Resultados'!J24</f>
        <v>0</v>
      </c>
      <c r="K31" s="94">
        <f>-'📈Det. Resultados'!K24</f>
        <v>0</v>
      </c>
      <c r="L31" s="94">
        <f>-'📈Det. Resultados'!L24</f>
        <v>0</v>
      </c>
      <c r="M31" s="94">
        <f>-'📈Det. Resultados'!M24</f>
        <v>0</v>
      </c>
      <c r="N31" s="94">
        <f>-'📈Det. Resultados'!N24</f>
        <v>0</v>
      </c>
      <c r="O31" s="94">
        <f>-'📈Det. Resultados'!O24</f>
        <v>0</v>
      </c>
    </row>
    <row r="32" spans="1:18" ht="15.75" customHeight="1">
      <c r="B32" s="488">
        <f>'📈Det. Resultados'!B25</f>
        <v>0</v>
      </c>
      <c r="C32" s="425">
        <f>SUMIFS('🏭 DRE'!$D32:$R32,'🏭 DRE'!$D$4:$R$4,$C$5)</f>
        <v>0</v>
      </c>
      <c r="D32" s="426">
        <f>-'📈Det. Resultados'!D25</f>
        <v>0</v>
      </c>
      <c r="E32" s="426">
        <f>-'📈Det. Resultados'!E25</f>
        <v>0</v>
      </c>
      <c r="F32" s="426">
        <f>-'📈Det. Resultados'!F25</f>
        <v>0</v>
      </c>
      <c r="G32" s="426">
        <f>-'📈Det. Resultados'!G25</f>
        <v>0</v>
      </c>
      <c r="H32" s="426">
        <f>-'📈Det. Resultados'!H25</f>
        <v>0</v>
      </c>
      <c r="I32" s="426">
        <f>-'📈Det. Resultados'!I25</f>
        <v>0</v>
      </c>
      <c r="J32" s="426">
        <f>-'📈Det. Resultados'!J25</f>
        <v>0</v>
      </c>
      <c r="K32" s="426">
        <f>-'📈Det. Resultados'!K25</f>
        <v>0</v>
      </c>
      <c r="L32" s="426">
        <f>-'📈Det. Resultados'!L25</f>
        <v>0</v>
      </c>
      <c r="M32" s="426">
        <f>-'📈Det. Resultados'!M25</f>
        <v>0</v>
      </c>
      <c r="N32" s="426">
        <f>-'📈Det. Resultados'!N25</f>
        <v>0</v>
      </c>
      <c r="O32" s="426">
        <f>-'📈Det. Resultados'!O25</f>
        <v>0</v>
      </c>
    </row>
    <row r="33" spans="1:15" ht="15.75" customHeight="1">
      <c r="B33" s="504">
        <f>'📈Det. Resultados'!B26</f>
        <v>0</v>
      </c>
      <c r="C33" s="260">
        <f>SUMIFS('🏭 DRE'!$D33:$R33,'🏭 DRE'!$D$4:$R$4,$C$5)</f>
        <v>0</v>
      </c>
      <c r="D33" s="94">
        <f>-'📈Det. Resultados'!D26</f>
        <v>0</v>
      </c>
      <c r="E33" s="94">
        <f>-'📈Det. Resultados'!E26</f>
        <v>0</v>
      </c>
      <c r="F33" s="94">
        <f>-'📈Det. Resultados'!F26</f>
        <v>0</v>
      </c>
      <c r="G33" s="94">
        <f>-'📈Det. Resultados'!G26</f>
        <v>0</v>
      </c>
      <c r="H33" s="94">
        <f>-'📈Det. Resultados'!H26</f>
        <v>0</v>
      </c>
      <c r="I33" s="94">
        <f>-'📈Det. Resultados'!I26</f>
        <v>0</v>
      </c>
      <c r="J33" s="94">
        <f>-'📈Det. Resultados'!J26</f>
        <v>0</v>
      </c>
      <c r="K33" s="94">
        <f>-'📈Det. Resultados'!K26</f>
        <v>0</v>
      </c>
      <c r="L33" s="94">
        <f>-'📈Det. Resultados'!L26</f>
        <v>0</v>
      </c>
      <c r="M33" s="94">
        <f>-'📈Det. Resultados'!M26</f>
        <v>0</v>
      </c>
      <c r="N33" s="94">
        <f>-'📈Det. Resultados'!N26</f>
        <v>0</v>
      </c>
      <c r="O33" s="94">
        <f>-'📈Det. Resultados'!O26</f>
        <v>0</v>
      </c>
    </row>
    <row r="34" spans="1:15" ht="15.75" customHeight="1">
      <c r="B34" s="504">
        <f>'📈Det. Resultados'!B27</f>
        <v>0</v>
      </c>
      <c r="C34" s="260">
        <f>SUMIFS('🏭 DRE'!$D34:$R34,'🏭 DRE'!$D$4:$R$4,$C$5)</f>
        <v>0</v>
      </c>
      <c r="D34" s="94">
        <f>-'📈Det. Resultados'!D27</f>
        <v>0</v>
      </c>
      <c r="E34" s="94">
        <f>-'📈Det. Resultados'!E27</f>
        <v>0</v>
      </c>
      <c r="F34" s="94">
        <f>-'📈Det. Resultados'!F27</f>
        <v>0</v>
      </c>
      <c r="G34" s="94">
        <f>-'📈Det. Resultados'!G27</f>
        <v>0</v>
      </c>
      <c r="H34" s="94">
        <f>-'📈Det. Resultados'!H27</f>
        <v>0</v>
      </c>
      <c r="I34" s="94">
        <f>-'📈Det. Resultados'!I27</f>
        <v>0</v>
      </c>
      <c r="J34" s="94">
        <f>-'📈Det. Resultados'!J27</f>
        <v>0</v>
      </c>
      <c r="K34" s="94">
        <f>-'📈Det. Resultados'!K27</f>
        <v>0</v>
      </c>
      <c r="L34" s="94">
        <f>-'📈Det. Resultados'!L27</f>
        <v>0</v>
      </c>
      <c r="M34" s="94">
        <f>-'📈Det. Resultados'!M27</f>
        <v>0</v>
      </c>
      <c r="N34" s="94">
        <f>-'📈Det. Resultados'!N27</f>
        <v>0</v>
      </c>
      <c r="O34" s="94">
        <f>-'📈Det. Resultados'!O27</f>
        <v>0</v>
      </c>
    </row>
    <row r="35" spans="1:15" ht="15.75" customHeight="1">
      <c r="B35" s="259"/>
      <c r="C35" s="260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261"/>
    </row>
    <row r="36" spans="1:15" ht="21" customHeight="1">
      <c r="A36" s="193" t="s">
        <v>210</v>
      </c>
      <c r="B36" s="490" t="s">
        <v>114</v>
      </c>
      <c r="C36" s="491">
        <f>SUMIFS('🏭 DRE'!$D36:$R36,'🏭 DRE'!$D$4:$R$4,$C$5)</f>
        <v>-257.95000000000073</v>
      </c>
      <c r="D36" s="492">
        <f t="shared" ref="D36:O36" si="8">D20+D22</f>
        <v>0</v>
      </c>
      <c r="E36" s="492">
        <f t="shared" si="8"/>
        <v>0</v>
      </c>
      <c r="F36" s="492">
        <f t="shared" si="8"/>
        <v>0</v>
      </c>
      <c r="G36" s="492">
        <f t="shared" si="8"/>
        <v>0</v>
      </c>
      <c r="H36" s="492">
        <f t="shared" si="8"/>
        <v>-1840.3600000000001</v>
      </c>
      <c r="I36" s="492">
        <f t="shared" si="8"/>
        <v>6272.41</v>
      </c>
      <c r="J36" s="492">
        <f t="shared" si="8"/>
        <v>-4690</v>
      </c>
      <c r="K36" s="492">
        <f t="shared" si="8"/>
        <v>0</v>
      </c>
      <c r="L36" s="492">
        <f t="shared" si="8"/>
        <v>0</v>
      </c>
      <c r="M36" s="492">
        <f t="shared" si="8"/>
        <v>0</v>
      </c>
      <c r="N36" s="492">
        <f t="shared" si="8"/>
        <v>0</v>
      </c>
      <c r="O36" s="493">
        <f t="shared" si="8"/>
        <v>0</v>
      </c>
    </row>
    <row r="37" spans="1:15" ht="15.75" customHeight="1">
      <c r="A37" s="217"/>
      <c r="B37" s="509" t="s">
        <v>115</v>
      </c>
      <c r="C37" s="510">
        <f>C36/C6</f>
        <v>-2.4566666666666737E-2</v>
      </c>
      <c r="D37" s="511" t="str">
        <f t="shared" ref="D37:O37" si="9">IF(D6=0,"",D36/D6)</f>
        <v/>
      </c>
      <c r="E37" s="511" t="str">
        <f t="shared" si="9"/>
        <v/>
      </c>
      <c r="F37" s="511" t="str">
        <f t="shared" si="9"/>
        <v/>
      </c>
      <c r="G37" s="511" t="str">
        <f t="shared" si="9"/>
        <v/>
      </c>
      <c r="H37" s="511" t="str">
        <f t="shared" si="9"/>
        <v/>
      </c>
      <c r="I37" s="511">
        <f t="shared" si="9"/>
        <v>0.59737238095238099</v>
      </c>
      <c r="J37" s="511" t="str">
        <f t="shared" si="9"/>
        <v/>
      </c>
      <c r="K37" s="511" t="str">
        <f t="shared" si="9"/>
        <v/>
      </c>
      <c r="L37" s="511" t="str">
        <f t="shared" si="9"/>
        <v/>
      </c>
      <c r="M37" s="511" t="str">
        <f t="shared" si="9"/>
        <v/>
      </c>
      <c r="N37" s="511" t="str">
        <f t="shared" si="9"/>
        <v/>
      </c>
      <c r="O37" s="512" t="str">
        <f t="shared" si="9"/>
        <v/>
      </c>
    </row>
    <row r="38" spans="1:15" ht="15.75" customHeight="1">
      <c r="B38" s="83"/>
      <c r="C38" s="84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</row>
    <row r="39" spans="1:15" ht="15.75" customHeight="1">
      <c r="B39" s="73"/>
      <c r="D39" s="86"/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6"/>
    </row>
    <row r="40" spans="1:15" ht="15.75" customHeight="1">
      <c r="B40" s="73"/>
      <c r="D40" s="445"/>
      <c r="E40" s="86"/>
      <c r="F40" s="86"/>
      <c r="G40" s="86"/>
      <c r="H40" s="86"/>
      <c r="I40" s="86"/>
      <c r="J40" s="86"/>
      <c r="K40" s="86"/>
      <c r="L40" s="86"/>
      <c r="M40" s="86"/>
      <c r="N40" s="86"/>
      <c r="O40" s="86"/>
    </row>
    <row r="41" spans="1:15" ht="15.75" customHeight="1">
      <c r="B41" s="73"/>
      <c r="D41" s="445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</row>
    <row r="42" spans="1:15" ht="15.75" customHeight="1">
      <c r="B42" s="73"/>
      <c r="D42" s="445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</row>
    <row r="43" spans="1:15" ht="15.75" customHeight="1">
      <c r="B43" s="73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</row>
    <row r="44" spans="1:15" ht="15.75" customHeight="1">
      <c r="B44" s="73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</row>
    <row r="45" spans="1:15" ht="15.75" customHeight="1">
      <c r="B45" s="73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</row>
    <row r="46" spans="1:15" ht="15.75" customHeight="1">
      <c r="B46" s="73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</row>
    <row r="47" spans="1:15" ht="15.75" customHeight="1">
      <c r="B47" s="73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</row>
    <row r="48" spans="1:15" ht="15.75" customHeight="1">
      <c r="B48" s="73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</row>
    <row r="49" spans="2:15" ht="15.75" customHeight="1">
      <c r="B49" s="73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</row>
    <row r="50" spans="2:15" ht="15.75" customHeight="1">
      <c r="B50" s="73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</row>
    <row r="51" spans="2:15" ht="15.75" customHeight="1">
      <c r="B51" s="73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</row>
    <row r="52" spans="2:15" ht="15.75" customHeight="1">
      <c r="B52" s="73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</row>
    <row r="53" spans="2:15" ht="15.75" customHeight="1">
      <c r="B53" s="73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</row>
    <row r="54" spans="2:15" ht="15.75" customHeight="1">
      <c r="B54" s="73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</row>
    <row r="55" spans="2:15" ht="15.75" customHeight="1">
      <c r="B55" s="73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</row>
    <row r="56" spans="2:15" ht="15.75" customHeight="1">
      <c r="B56" s="73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</row>
    <row r="57" spans="2:15" ht="15.75" customHeight="1">
      <c r="B57" s="73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</row>
    <row r="58" spans="2:15" ht="15.75" customHeight="1">
      <c r="B58" s="73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</row>
    <row r="59" spans="2:15" ht="15.75" customHeight="1">
      <c r="B59" s="73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</row>
    <row r="60" spans="2:15" ht="15.75" customHeight="1">
      <c r="B60" s="73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</row>
    <row r="61" spans="2:15" ht="15.75" customHeight="1">
      <c r="B61" s="73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</row>
    <row r="62" spans="2:15" ht="15.75" customHeight="1">
      <c r="B62" s="73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</row>
    <row r="63" spans="2:15" ht="15.75" customHeight="1">
      <c r="B63" s="73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</row>
    <row r="64" spans="2:15" ht="15.75" customHeight="1">
      <c r="B64" s="73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</row>
    <row r="65" spans="2:15" ht="15.75" customHeight="1">
      <c r="B65" s="73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</row>
    <row r="66" spans="2:15" ht="15.75" customHeight="1">
      <c r="B66" s="73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</row>
    <row r="67" spans="2:15" ht="15.75" customHeight="1">
      <c r="B67" s="73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</row>
    <row r="68" spans="2:15" ht="15.75" customHeight="1">
      <c r="B68" s="73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</row>
    <row r="69" spans="2:15" ht="15.75" customHeight="1">
      <c r="B69" s="73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</row>
    <row r="70" spans="2:15" ht="15.75" customHeight="1">
      <c r="B70" s="73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</row>
    <row r="71" spans="2:15" ht="15.75" customHeight="1">
      <c r="B71" s="73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</row>
    <row r="72" spans="2:15" ht="15.75" customHeight="1">
      <c r="B72" s="73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</row>
    <row r="73" spans="2:15" ht="15.75" customHeight="1">
      <c r="B73" s="73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</row>
    <row r="74" spans="2:15" ht="15.75" customHeight="1">
      <c r="B74" s="73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</row>
    <row r="75" spans="2:15" ht="15.75" customHeight="1">
      <c r="B75" s="73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</row>
    <row r="76" spans="2:15" ht="15.75" customHeight="1">
      <c r="B76" s="73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</row>
    <row r="77" spans="2:15" ht="15.75" customHeight="1">
      <c r="B77" s="73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</row>
    <row r="78" spans="2:15" ht="15.75" customHeight="1">
      <c r="B78" s="73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</row>
    <row r="79" spans="2:15" ht="15.75" customHeight="1">
      <c r="B79" s="73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</row>
    <row r="80" spans="2:15" ht="15.75" customHeight="1">
      <c r="B80" s="73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</row>
    <row r="81" spans="2:15" ht="15.75" customHeight="1">
      <c r="B81" s="73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</row>
    <row r="82" spans="2:15" ht="15.75" customHeight="1">
      <c r="B82" s="73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</row>
    <row r="83" spans="2:15" ht="15.75" customHeight="1">
      <c r="B83" s="73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</row>
    <row r="84" spans="2:15" ht="15.75" customHeight="1">
      <c r="B84" s="73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</row>
    <row r="85" spans="2:15" ht="15.75" customHeight="1">
      <c r="B85" s="73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</row>
    <row r="86" spans="2:15" ht="15.75" customHeight="1">
      <c r="B86" s="73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</row>
    <row r="87" spans="2:15" ht="15.75" customHeight="1">
      <c r="B87" s="73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</row>
    <row r="88" spans="2:15" ht="15.75" customHeight="1">
      <c r="B88" s="73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</row>
    <row r="89" spans="2:15" ht="15.75" customHeight="1">
      <c r="B89" s="73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</row>
    <row r="90" spans="2:15" ht="15.75" customHeight="1">
      <c r="B90" s="73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</row>
    <row r="91" spans="2:15" ht="15.75" customHeight="1">
      <c r="B91" s="73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</row>
    <row r="92" spans="2:15" ht="15.75" customHeight="1">
      <c r="B92" s="73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</row>
    <row r="93" spans="2:15" ht="15.75" customHeight="1">
      <c r="B93" s="73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</row>
    <row r="94" spans="2:15" ht="15.75" customHeight="1">
      <c r="B94" s="73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</row>
    <row r="95" spans="2:15" ht="15.75" customHeight="1">
      <c r="B95" s="73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</row>
    <row r="96" spans="2:15" ht="15.75" customHeight="1">
      <c r="B96" s="73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</row>
    <row r="97" spans="2:15" ht="15.75" customHeight="1">
      <c r="B97" s="73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</row>
    <row r="98" spans="2:15" ht="15.75" customHeight="1">
      <c r="B98" s="73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</row>
    <row r="99" spans="2:15" ht="15.75" customHeight="1">
      <c r="B99" s="73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</row>
    <row r="100" spans="2:15" ht="15.75" customHeight="1">
      <c r="B100" s="73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</row>
    <row r="101" spans="2:15" ht="15.75" customHeight="1">
      <c r="B101" s="73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</row>
    <row r="102" spans="2:15" ht="15.75" customHeight="1">
      <c r="B102" s="73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</row>
    <row r="103" spans="2:15" ht="15.75" customHeight="1">
      <c r="B103" s="73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</row>
    <row r="104" spans="2:15" ht="15.75" customHeight="1">
      <c r="B104" s="73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</row>
    <row r="105" spans="2:15" ht="15.75" customHeight="1">
      <c r="B105" s="73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</row>
    <row r="106" spans="2:15" ht="15.75" customHeight="1">
      <c r="B106" s="73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</row>
    <row r="107" spans="2:15" ht="15.75" customHeight="1">
      <c r="B107" s="73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</row>
    <row r="108" spans="2:15" ht="15.75" customHeight="1">
      <c r="B108" s="73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</row>
    <row r="109" spans="2:15" ht="15.75" customHeight="1">
      <c r="B109" s="73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</row>
    <row r="110" spans="2:15" ht="15.75" customHeight="1">
      <c r="B110" s="73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</row>
    <row r="111" spans="2:15" ht="15.75" customHeight="1">
      <c r="B111" s="73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</row>
    <row r="112" spans="2:15" ht="15.75" customHeight="1">
      <c r="B112" s="73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</row>
    <row r="113" spans="2:15" ht="15.75" customHeight="1">
      <c r="B113" s="73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</row>
    <row r="114" spans="2:15" ht="15.75" customHeight="1">
      <c r="B114" s="73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</row>
    <row r="115" spans="2:15" ht="15.75" customHeight="1">
      <c r="B115" s="73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</row>
    <row r="116" spans="2:15" ht="15.75" customHeight="1">
      <c r="B116" s="73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</row>
    <row r="117" spans="2:15" ht="15.75" customHeight="1">
      <c r="B117" s="73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</row>
    <row r="118" spans="2:15" ht="15.75" customHeight="1">
      <c r="B118" s="73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</row>
    <row r="119" spans="2:15" ht="15.75" customHeight="1">
      <c r="B119" s="73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</row>
    <row r="120" spans="2:15" ht="15.75" customHeight="1">
      <c r="B120" s="73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</row>
    <row r="121" spans="2:15" ht="15.75" customHeight="1">
      <c r="B121" s="73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</row>
    <row r="122" spans="2:15" ht="15.75" customHeight="1">
      <c r="B122" s="73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</row>
    <row r="123" spans="2:15" ht="15.75" customHeight="1">
      <c r="B123" s="73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</row>
    <row r="124" spans="2:15" ht="15.75" customHeight="1">
      <c r="B124" s="73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</row>
    <row r="125" spans="2:15" ht="15.75" customHeight="1">
      <c r="B125" s="73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</row>
    <row r="126" spans="2:15" ht="15.75" customHeight="1">
      <c r="B126" s="73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</row>
    <row r="127" spans="2:15" ht="15.75" customHeight="1">
      <c r="B127" s="73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</row>
    <row r="128" spans="2:15" ht="15.75" customHeight="1">
      <c r="B128" s="73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</row>
    <row r="129" spans="2:15" ht="15.75" customHeight="1">
      <c r="B129" s="73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</row>
    <row r="130" spans="2:15" ht="15.75" customHeight="1">
      <c r="B130" s="73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</row>
    <row r="131" spans="2:15" ht="15.75" customHeight="1">
      <c r="B131" s="73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</row>
    <row r="132" spans="2:15" ht="15.75" customHeight="1">
      <c r="B132" s="73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</row>
    <row r="133" spans="2:15" ht="15.75" customHeight="1">
      <c r="B133" s="73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</row>
    <row r="134" spans="2:15" ht="15.75" customHeight="1">
      <c r="B134" s="73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</row>
    <row r="135" spans="2:15" ht="15.75" customHeight="1">
      <c r="B135" s="73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</row>
    <row r="136" spans="2:15" ht="15.75" customHeight="1">
      <c r="B136" s="73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</row>
    <row r="137" spans="2:15" ht="15.75" customHeight="1">
      <c r="B137" s="73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</row>
    <row r="138" spans="2:15" ht="15.75" customHeight="1">
      <c r="B138" s="73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</row>
    <row r="139" spans="2:15" ht="15.75" customHeight="1">
      <c r="B139" s="73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</row>
    <row r="140" spans="2:15" ht="15.75" customHeight="1">
      <c r="B140" s="73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</row>
    <row r="141" spans="2:15" ht="15.75" customHeight="1">
      <c r="B141" s="73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</row>
    <row r="142" spans="2:15" ht="15.75" customHeight="1">
      <c r="B142" s="73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</row>
    <row r="143" spans="2:15" ht="15.75" customHeight="1">
      <c r="B143" s="73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</row>
    <row r="144" spans="2:15" ht="15.75" customHeight="1">
      <c r="B144" s="73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</row>
    <row r="145" spans="2:15" ht="15.75" customHeight="1">
      <c r="B145" s="73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</row>
    <row r="146" spans="2:15" ht="15.75" customHeight="1">
      <c r="B146" s="73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</row>
    <row r="147" spans="2:15" ht="15.75" customHeight="1">
      <c r="B147" s="73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</row>
    <row r="148" spans="2:15" ht="15.75" customHeight="1">
      <c r="B148" s="73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</row>
    <row r="149" spans="2:15" ht="15.75" customHeight="1">
      <c r="B149" s="73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</row>
    <row r="150" spans="2:15" ht="15.75" customHeight="1">
      <c r="B150" s="73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</row>
    <row r="151" spans="2:15" ht="15.75" customHeight="1">
      <c r="B151" s="73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</row>
    <row r="152" spans="2:15" ht="15.75" customHeight="1">
      <c r="B152" s="73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</row>
    <row r="153" spans="2:15" ht="15.75" customHeight="1">
      <c r="B153" s="73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</row>
    <row r="154" spans="2:15" ht="15.75" customHeight="1">
      <c r="B154" s="73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</row>
    <row r="155" spans="2:15" ht="15.75" customHeight="1">
      <c r="B155" s="73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</row>
    <row r="156" spans="2:15" ht="15.75" customHeight="1">
      <c r="B156" s="73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</row>
    <row r="157" spans="2:15" ht="15.75" customHeight="1">
      <c r="B157" s="73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</row>
    <row r="158" spans="2:15" ht="15.75" customHeight="1">
      <c r="B158" s="73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</row>
    <row r="159" spans="2:15" ht="15.75" customHeight="1">
      <c r="B159" s="73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</row>
    <row r="160" spans="2:15" ht="15.75" customHeight="1">
      <c r="B160" s="73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</row>
    <row r="161" spans="2:15" ht="15.75" customHeight="1">
      <c r="B161" s="73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</row>
    <row r="162" spans="2:15" ht="15.75" customHeight="1">
      <c r="B162" s="73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</row>
    <row r="163" spans="2:15" ht="15.75" customHeight="1">
      <c r="B163" s="73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</row>
    <row r="164" spans="2:15" ht="15.75" customHeight="1">
      <c r="B164" s="73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</row>
    <row r="165" spans="2:15" ht="15.75" customHeight="1">
      <c r="B165" s="73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</row>
    <row r="166" spans="2:15" ht="15.75" customHeight="1">
      <c r="B166" s="73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</row>
    <row r="167" spans="2:15" ht="15.75" customHeight="1">
      <c r="B167" s="73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</row>
    <row r="168" spans="2:15" ht="15.75" customHeight="1">
      <c r="B168" s="73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</row>
    <row r="169" spans="2:15" ht="15.75" customHeight="1">
      <c r="B169" s="73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</row>
    <row r="170" spans="2:15" ht="15.75" customHeight="1">
      <c r="B170" s="73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</row>
    <row r="171" spans="2:15" ht="15.75" customHeight="1">
      <c r="B171" s="73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</row>
    <row r="172" spans="2:15" ht="15.75" customHeight="1">
      <c r="B172" s="73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</row>
    <row r="173" spans="2:15" ht="15.75" customHeight="1">
      <c r="B173" s="73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</row>
    <row r="174" spans="2:15" ht="15.75" customHeight="1">
      <c r="B174" s="73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</row>
    <row r="175" spans="2:15" ht="15.75" customHeight="1">
      <c r="B175" s="73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</row>
    <row r="176" spans="2:15" ht="15.75" customHeight="1">
      <c r="B176" s="73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</row>
    <row r="177" spans="2:15" ht="15.75" customHeight="1">
      <c r="B177" s="73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</row>
    <row r="178" spans="2:15" ht="15.75" customHeight="1">
      <c r="B178" s="73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</row>
    <row r="179" spans="2:15" ht="15.75" customHeight="1">
      <c r="B179" s="73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</row>
    <row r="180" spans="2:15" ht="15.75" customHeight="1">
      <c r="B180" s="73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</row>
    <row r="181" spans="2:15" ht="15.75" customHeight="1">
      <c r="B181" s="73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</row>
    <row r="182" spans="2:15" ht="15.75" customHeight="1">
      <c r="B182" s="73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</row>
    <row r="183" spans="2:15" ht="15.75" customHeight="1">
      <c r="B183" s="73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</row>
    <row r="184" spans="2:15" ht="15.75" customHeight="1">
      <c r="B184" s="73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</row>
    <row r="185" spans="2:15" ht="15.75" customHeight="1">
      <c r="B185" s="73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</row>
    <row r="186" spans="2:15" ht="15.75" customHeight="1">
      <c r="B186" s="73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</row>
    <row r="187" spans="2:15" ht="15.75" customHeight="1">
      <c r="B187" s="73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</row>
    <row r="188" spans="2:15" ht="15.75" customHeight="1">
      <c r="B188" s="73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</row>
    <row r="189" spans="2:15" ht="15.75" customHeight="1">
      <c r="B189" s="73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</row>
    <row r="190" spans="2:15" ht="15.75" customHeight="1">
      <c r="B190" s="73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</row>
    <row r="191" spans="2:15" ht="15.75" customHeight="1">
      <c r="B191" s="73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</row>
    <row r="192" spans="2:15" ht="15.75" customHeight="1">
      <c r="B192" s="73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</row>
    <row r="193" spans="2:15" ht="15.75" customHeight="1">
      <c r="B193" s="73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</row>
    <row r="194" spans="2:15" ht="15.75" customHeight="1">
      <c r="B194" s="73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</row>
    <row r="195" spans="2:15" ht="15.75" customHeight="1">
      <c r="B195" s="73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</row>
    <row r="196" spans="2:15" ht="15.75" customHeight="1">
      <c r="B196" s="73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</row>
    <row r="197" spans="2:15" ht="15.75" customHeight="1">
      <c r="B197" s="73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</row>
    <row r="198" spans="2:15" ht="15.75" customHeight="1">
      <c r="B198" s="73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</row>
    <row r="199" spans="2:15" ht="15.75" customHeight="1">
      <c r="B199" s="73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</row>
    <row r="200" spans="2:15" ht="15.75" customHeight="1">
      <c r="B200" s="73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</row>
    <row r="201" spans="2:15" ht="15.75" customHeight="1">
      <c r="B201" s="73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</row>
    <row r="202" spans="2:15" ht="15.75" customHeight="1">
      <c r="B202" s="73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</row>
    <row r="203" spans="2:15" ht="15.75" customHeight="1">
      <c r="B203" s="73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</row>
    <row r="204" spans="2:15" ht="15.75" customHeight="1">
      <c r="B204" s="73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</row>
    <row r="205" spans="2:15" ht="15.75" customHeight="1">
      <c r="B205" s="73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</row>
    <row r="206" spans="2:15" ht="15.75" customHeight="1">
      <c r="B206" s="73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</row>
    <row r="207" spans="2:15" ht="15.75" customHeight="1">
      <c r="B207" s="73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</row>
    <row r="208" spans="2:15" ht="15.75" customHeight="1">
      <c r="B208" s="73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</row>
    <row r="209" spans="2:15" ht="15.75" customHeight="1">
      <c r="B209" s="73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</row>
    <row r="210" spans="2:15" ht="15.75" customHeight="1">
      <c r="B210" s="73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</row>
    <row r="211" spans="2:15" ht="15.75" customHeight="1">
      <c r="B211" s="73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</row>
    <row r="212" spans="2:15" ht="15.75" customHeight="1">
      <c r="B212" s="73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</row>
    <row r="213" spans="2:15" ht="15.75" customHeight="1">
      <c r="B213" s="73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</row>
    <row r="214" spans="2:15" ht="15.75" customHeight="1">
      <c r="B214" s="73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</row>
    <row r="215" spans="2:15" ht="15.75" customHeight="1">
      <c r="B215" s="73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</row>
    <row r="216" spans="2:15" ht="15.75" customHeight="1">
      <c r="B216" s="73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</row>
    <row r="217" spans="2:15" ht="15.75" customHeight="1">
      <c r="B217" s="73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</row>
    <row r="218" spans="2:15" ht="15.75" customHeight="1">
      <c r="B218" s="73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</row>
    <row r="219" spans="2:15" ht="15.75" customHeight="1">
      <c r="B219" s="73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</row>
    <row r="220" spans="2:15" ht="15.75" customHeight="1">
      <c r="B220" s="73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</row>
    <row r="221" spans="2:15" ht="15.75" customHeight="1">
      <c r="B221" s="73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</row>
    <row r="222" spans="2:15" ht="15.75" customHeight="1">
      <c r="B222" s="73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</row>
    <row r="223" spans="2:15" ht="15.75" customHeight="1">
      <c r="B223" s="73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</row>
    <row r="224" spans="2:15" ht="15.75" customHeight="1">
      <c r="B224" s="73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</row>
    <row r="225" spans="2:15" ht="15.75" customHeight="1">
      <c r="B225" s="73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</row>
    <row r="226" spans="2:15" ht="15.75" customHeight="1">
      <c r="B226" s="73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</row>
    <row r="227" spans="2:15" ht="15.75" customHeight="1">
      <c r="B227" s="73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</row>
    <row r="228" spans="2:15" ht="15.75" customHeight="1">
      <c r="B228" s="73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</row>
    <row r="229" spans="2:15" ht="15.75" customHeight="1">
      <c r="B229" s="73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</row>
    <row r="230" spans="2:15" ht="15.75" customHeight="1">
      <c r="B230" s="73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</row>
    <row r="231" spans="2:15" ht="15.75" customHeight="1">
      <c r="B231" s="73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</row>
    <row r="232" spans="2:15" ht="15.75" customHeight="1">
      <c r="B232" s="73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</row>
    <row r="233" spans="2:15" ht="15.75" customHeight="1">
      <c r="B233" s="73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</row>
    <row r="234" spans="2:15" ht="15.75" customHeight="1">
      <c r="B234" s="73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</row>
    <row r="235" spans="2:15" ht="15.75" customHeight="1">
      <c r="B235" s="73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</row>
    <row r="236" spans="2:15" ht="15.75" customHeight="1">
      <c r="B236" s="73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</row>
    <row r="237" spans="2:15" ht="15.75" customHeight="1">
      <c r="B237" s="73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</row>
    <row r="238" spans="2:15" ht="15.75" customHeight="1"/>
    <row r="239" spans="2:15" ht="15.75" customHeight="1"/>
    <row r="240" spans="2:15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4:C4"/>
  </mergeCells>
  <conditionalFormatting sqref="A37:O37">
    <cfRule type="cellIs" dxfId="7" priority="7" operator="lessThan">
      <formula>0</formula>
    </cfRule>
  </conditionalFormatting>
  <conditionalFormatting sqref="C36:O36">
    <cfRule type="cellIs" dxfId="6" priority="6" operator="lessThan">
      <formula>0</formula>
    </cfRule>
  </conditionalFormatting>
  <pageMargins left="0.511811024" right="0.511811024" top="0.78740157499999996" bottom="0.78740157499999996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8FD21-DCC4-43F9-BCAB-75FD2EA9C6EA}">
  <dimension ref="A1"/>
  <sheetViews>
    <sheetView zoomScale="95" workbookViewId="0"/>
  </sheetViews>
  <sheetFormatPr defaultRowHeight="15.6"/>
  <sheetData/>
  <pageMargins left="0" right="0" top="0.78740157480314965" bottom="0" header="0.31496062992125984" footer="0.31496062992125984"/>
  <pageSetup paperSize="9" scale="115" orientation="portrait" r:id="rId1"/>
  <drawing r:id="rId2"/>
  <legacyDrawing r:id="rId3"/>
  <oleObjects>
    <mc:AlternateContent xmlns:mc="http://schemas.openxmlformats.org/markup-compatibility/2006">
      <mc:Choice Requires="x14">
        <oleObject progId="Word.Document.8" shapeId="11266" r:id="rId4">
          <objectPr defaultSize="0" autoPict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8</xdr:col>
                <xdr:colOff>114300</xdr:colOff>
                <xdr:row>14</xdr:row>
                <xdr:rowOff>114300</xdr:rowOff>
              </to>
            </anchor>
          </objectPr>
        </oleObject>
      </mc:Choice>
      <mc:Fallback>
        <oleObject progId="Word.Document.8" shapeId="11266" r:id="rId4"/>
      </mc:Fallback>
    </mc:AlternateContent>
    <mc:AlternateContent xmlns:mc="http://schemas.openxmlformats.org/markup-compatibility/2006">
      <mc:Choice Requires="x14">
        <oleObject progId="Word.Document.12" shapeId="11267" r:id="rId6">
          <objectPr defaultSize="0" r:id="rId7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8</xdr:col>
                <xdr:colOff>190500</xdr:colOff>
                <xdr:row>41</xdr:row>
                <xdr:rowOff>175260</xdr:rowOff>
              </to>
            </anchor>
          </objectPr>
        </oleObject>
      </mc:Choice>
      <mc:Fallback>
        <oleObject progId="Word.Document.12" shapeId="11267" r:id="rId6"/>
      </mc:Fallback>
    </mc:AlternateContent>
  </oleObjec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18E6C-AC2C-42CB-9C3A-BAB92C5881E2}">
  <sheetPr>
    <tabColor rgb="FF0F766E"/>
  </sheetPr>
  <dimension ref="A1:H29"/>
  <sheetViews>
    <sheetView tabSelected="1" workbookViewId="0">
      <pane ySplit="3" topLeftCell="A28" activePane="bottomLeft" state="frozen"/>
      <selection pane="bottomLeft" activeCell="F5" sqref="F5"/>
    </sheetView>
  </sheetViews>
  <sheetFormatPr defaultRowHeight="15.6"/>
  <cols>
    <col min="1" max="1" width="14" customWidth="1"/>
    <col min="2" max="5" width="17" customWidth="1"/>
    <col min="6" max="6" width="18.69921875" customWidth="1"/>
    <col min="7" max="7" width="17" customWidth="1"/>
    <col min="8" max="8" width="10.5" hidden="1" customWidth="1"/>
  </cols>
  <sheetData>
    <row r="1" spans="1:8" ht="24" customHeight="1">
      <c r="A1" s="574" t="s">
        <v>239</v>
      </c>
      <c r="B1" s="556"/>
      <c r="C1" s="556"/>
      <c r="D1" s="556"/>
      <c r="E1" s="556"/>
      <c r="F1" s="556"/>
      <c r="G1" s="556"/>
    </row>
    <row r="3" spans="1:8" ht="25.95" customHeight="1">
      <c r="A3" s="541" t="s">
        <v>232</v>
      </c>
      <c r="B3" s="542" t="s">
        <v>233</v>
      </c>
      <c r="C3" s="542" t="s">
        <v>211</v>
      </c>
      <c r="D3" s="542" t="s">
        <v>234</v>
      </c>
      <c r="E3" s="542" t="s">
        <v>231</v>
      </c>
      <c r="F3" s="542" t="s">
        <v>235</v>
      </c>
      <c r="G3" s="542" t="s">
        <v>236</v>
      </c>
      <c r="H3" s="538" t="s">
        <v>237</v>
      </c>
    </row>
    <row r="4" spans="1:8" ht="19.95" customHeight="1">
      <c r="A4" s="549" t="str">
        <f>CHOOSE(MONTH($H4),"JAN","FEV","MAR","ABR","MAIO","JUN","JUL","AGO","SET","OUT","NOV","DEZ")&amp;"/"&amp;TEXT($H4,"AA")</f>
        <v>MAIO/26</v>
      </c>
      <c r="B4" s="535">
        <f>IF(SUMIFS('💸  Receitas'!$G:$G,'💸  Receitas'!$A:$A,"&gt;="&amp;$H4,'💸  Receitas'!$A:$A,"&lt;"&amp;EDATE($H4,1),'💸  Receitas'!$E:$E,"FATURAMENTO")=0,SUMIFS('💸  Receitas'!$G:$G,'💸  Receitas'!$A:$A,"&gt;="&amp;$H4,'💸  Receitas'!$A:$A,"&lt;"&amp;EDATE($H4,1),'💸  Receitas'!$E:$E,"&lt;&gt;"),SUMIFS('💸  Receitas'!$G:$G,'💸  Receitas'!$A:$A,"&gt;="&amp;$H4,'💸  Receitas'!$A:$A,"&lt;"&amp;EDATE($H4,1),'💸  Receitas'!$E:$E,"FATURAMENTO"))</f>
        <v>0</v>
      </c>
      <c r="C4" s="535">
        <f>SUMIFS('📋 Despesas'!$J:$J,'📋 Despesas'!$B:$B,"&gt;="&amp;$H4,'📋 Despesas'!$B:$B,"&lt;"&amp;EDATE($H4,1),'📋 Despesas'!$E:$E,"*INSS*")</f>
        <v>202.44</v>
      </c>
      <c r="D4" s="535">
        <f>SUMIFS('📋 Despesas'!$J:$J,'📋 Despesas'!$B:$B,"&gt;="&amp;$H4,'📋 Despesas'!$B:$B,"&lt;"&amp;EDATE($H4,1),'📋 Despesas'!$E:$E,"*PROLABORE*")+SUMIFS('📋 Despesas'!$J:$J,'📋 Despesas'!$B:$B,"&gt;="&amp;$H4,'📋 Despesas'!$B:$B,"&lt;"&amp;EDATE($H4,1),'📋 Despesas'!$E:$E,"*PRÓ-LABORE*")</f>
        <v>1637.92</v>
      </c>
      <c r="E4" s="535">
        <f>SUMIFS('📋 Despesas'!$J:$J,'📋 Despesas'!$B:$B,"&gt;="&amp;$H4,'📋 Despesas'!$B:$B,"&lt;"&amp;EDATE($H4,1),'📋 Despesas'!$E:$E,"*DAS*")</f>
        <v>0</v>
      </c>
      <c r="F4" s="535">
        <f>SUMIFS('📋 Despesas'!$J:$J,'📋 Despesas'!$B:$B,"&gt;="&amp;$H4,'📋 Despesas'!$B:$B,"&lt;"&amp;EDATE($H4,1))-C4-D4-E4</f>
        <v>0</v>
      </c>
      <c r="G4" s="547">
        <f t="shared" ref="G4:G27" si="0">B4-C4-D4-E4-F4</f>
        <v>-1840.3600000000001</v>
      </c>
      <c r="H4" s="537">
        <v>46143</v>
      </c>
    </row>
    <row r="5" spans="1:8" ht="19.95" customHeight="1">
      <c r="A5" s="549" t="str">
        <f t="shared" ref="A5:A27" si="1">CHOOSE(MONTH($H5),"JAN","FEV","MAR","ABR","MAIO","JUN","JUL","AGO","SET","OUT","NOV","DEZ")&amp;"/"&amp;TEXT($H5,"AA")</f>
        <v>JUN/26</v>
      </c>
      <c r="B5" s="535">
        <f>IF(SUMIFS('💸  Receitas'!$G:$G,'💸  Receitas'!$A:$A,"&gt;="&amp;$H5,'💸  Receitas'!$A:$A,"&lt;"&amp;EDATE($H5,1),'💸  Receitas'!$E:$E,"FATURAMENTO")=0,SUMIFS('💸  Receitas'!$G:$G,'💸  Receitas'!$A:$A,"&gt;="&amp;$H5,'💸  Receitas'!$A:$A,"&lt;"&amp;EDATE($H5,1),'💸  Receitas'!$E:$E,"&lt;&gt;"),SUMIFS('💸  Receitas'!$G:$G,'💸  Receitas'!$A:$A,"&gt;="&amp;$H5,'💸  Receitas'!$A:$A,"&lt;"&amp;EDATE($H5,1),'💸  Receitas'!$E:$E,"FATURAMENTO"))</f>
        <v>10000</v>
      </c>
      <c r="C5" s="535">
        <f>SUMIFS('📋 Despesas'!$J:$J,'📋 Despesas'!$B:$B,"&gt;="&amp;$H5,'📋 Despesas'!$B:$B,"&lt;"&amp;EDATE($H5,1),'📋 Despesas'!$E:$E,"*INSS*")</f>
        <v>330</v>
      </c>
      <c r="D5" s="535">
        <f>SUMIFS('📋 Despesas'!$J:$J,'📋 Despesas'!$B:$B,"&gt;="&amp;$H5,'📋 Despesas'!$B:$B,"&lt;"&amp;EDATE($H5,1),'📋 Despesas'!$E:$E,"*PROLABORE*")+SUMIFS('📋 Despesas'!$J:$J,'📋 Despesas'!$B:$B,"&gt;="&amp;$H5,'📋 Despesas'!$B:$B,"&lt;"&amp;EDATE($H5,1),'📋 Despesas'!$E:$E,"*PRÓ-LABORE*")</f>
        <v>2670</v>
      </c>
      <c r="E5" s="535">
        <f>SUMIFS('📋 Despesas'!$J:$J,'📋 Despesas'!$B:$B,"&gt;="&amp;$H5,'📋 Despesas'!$B:$B,"&lt;"&amp;EDATE($H5,1),'📋 Despesas'!$E:$E,"*DAS*")</f>
        <v>0</v>
      </c>
      <c r="F5" s="535">
        <f>SUMIFS('📋 Despesas'!$J:$J,'📋 Despesas'!$B:$B,"&gt;="&amp;$H5,'📋 Despesas'!$B:$B,"&lt;"&amp;EDATE($H5,1))-C5-D5-E5</f>
        <v>1227.5900000000001</v>
      </c>
      <c r="G5" s="547">
        <f t="shared" si="0"/>
        <v>5772.41</v>
      </c>
      <c r="H5" s="537">
        <v>46174</v>
      </c>
    </row>
    <row r="6" spans="1:8" ht="19.95" customHeight="1">
      <c r="A6" s="549" t="str">
        <f t="shared" si="1"/>
        <v>JUL/26</v>
      </c>
      <c r="B6" s="535">
        <f>IF(SUMIFS('💸  Receitas'!$G:$G,'💸  Receitas'!$A:$A,"&gt;="&amp;$H6,'💸  Receitas'!$A:$A,"&lt;"&amp;EDATE($H6,1),'💸  Receitas'!$E:$E,"FATURAMENTO")=0,SUMIFS('💸  Receitas'!$G:$G,'💸  Receitas'!$A:$A,"&gt;="&amp;$H6,'💸  Receitas'!$A:$A,"&lt;"&amp;EDATE($H6,1),'💸  Receitas'!$E:$E,"&lt;&gt;"),SUMIFS('💸  Receitas'!$G:$G,'💸  Receitas'!$A:$A,"&gt;="&amp;$H6,'💸  Receitas'!$A:$A,"&lt;"&amp;EDATE($H6,1),'💸  Receitas'!$E:$E,"FATURAMENTO"))</f>
        <v>0</v>
      </c>
      <c r="C6" s="535">
        <f>SUMIFS('📋 Despesas'!$J:$J,'📋 Despesas'!$B:$B,"&gt;="&amp;$H6,'📋 Despesas'!$B:$B,"&lt;"&amp;EDATE($H6,1),'📋 Despesas'!$E:$E,"*INSS*")</f>
        <v>385</v>
      </c>
      <c r="D6" s="535">
        <f>SUMIFS('📋 Despesas'!$J:$J,'📋 Despesas'!$B:$B,"&gt;="&amp;$H6,'📋 Despesas'!$B:$B,"&lt;"&amp;EDATE($H6,1),'📋 Despesas'!$E:$E,"*PROLABORE*")+SUMIFS('📋 Despesas'!$J:$J,'📋 Despesas'!$B:$B,"&gt;="&amp;$H6,'📋 Despesas'!$B:$B,"&lt;"&amp;EDATE($H6,1),'📋 Despesas'!$E:$E,"*PRÓ-LABORE*")</f>
        <v>3115</v>
      </c>
      <c r="E6" s="535">
        <f>SUMIFS('📋 Despesas'!$J:$J,'📋 Despesas'!$B:$B,"&gt;="&amp;$H6,'📋 Despesas'!$B:$B,"&lt;"&amp;EDATE($H6,1),'📋 Despesas'!$E:$E,"*DAS*")</f>
        <v>600</v>
      </c>
      <c r="F6" s="535">
        <f>SUMIFS('📋 Despesas'!$J:$J,'📋 Despesas'!$B:$B,"&gt;="&amp;$H6,'📋 Despesas'!$B:$B,"&lt;"&amp;EDATE($H6,1))-C6-D6-E6</f>
        <v>590</v>
      </c>
      <c r="G6" s="547">
        <f t="shared" si="0"/>
        <v>-4690</v>
      </c>
      <c r="H6" s="537">
        <v>46204</v>
      </c>
    </row>
    <row r="7" spans="1:8" ht="19.95" customHeight="1">
      <c r="A7" s="549" t="str">
        <f t="shared" si="1"/>
        <v>AGO/26</v>
      </c>
      <c r="B7" s="535">
        <f>IF(SUMIFS('💸  Receitas'!$G:$G,'💸  Receitas'!$A:$A,"&gt;="&amp;$H7,'💸  Receitas'!$A:$A,"&lt;"&amp;EDATE($H7,1),'💸  Receitas'!$E:$E,"FATURAMENTO")=0,SUMIFS('💸  Receitas'!$G:$G,'💸  Receitas'!$A:$A,"&gt;="&amp;$H7,'💸  Receitas'!$A:$A,"&lt;"&amp;EDATE($H7,1),'💸  Receitas'!$E:$E,"&lt;&gt;"),SUMIFS('💸  Receitas'!$G:$G,'💸  Receitas'!$A:$A,"&gt;="&amp;$H7,'💸  Receitas'!$A:$A,"&lt;"&amp;EDATE($H7,1),'💸  Receitas'!$E:$E,"FATURAMENTO"))</f>
        <v>0</v>
      </c>
      <c r="C7" s="535">
        <f>SUMIFS('📋 Despesas'!$J:$J,'📋 Despesas'!$B:$B,"&gt;="&amp;$H7,'📋 Despesas'!$B:$B,"&lt;"&amp;EDATE($H7,1),'📋 Despesas'!$E:$E,"*INSS*")</f>
        <v>0</v>
      </c>
      <c r="D7" s="535">
        <f>SUMIFS('📋 Despesas'!$J:$J,'📋 Despesas'!$B:$B,"&gt;="&amp;$H7,'📋 Despesas'!$B:$B,"&lt;"&amp;EDATE($H7,1),'📋 Despesas'!$E:$E,"*PROLABORE*")+SUMIFS('📋 Despesas'!$J:$J,'📋 Despesas'!$B:$B,"&gt;="&amp;$H7,'📋 Despesas'!$B:$B,"&lt;"&amp;EDATE($H7,1),'📋 Despesas'!$E:$E,"*PRÓ-LABORE*")</f>
        <v>0</v>
      </c>
      <c r="E7" s="535">
        <f>SUMIFS('📋 Despesas'!$J:$J,'📋 Despesas'!$B:$B,"&gt;="&amp;$H7,'📋 Despesas'!$B:$B,"&lt;"&amp;EDATE($H7,1),'📋 Despesas'!$E:$E,"*DAS*")</f>
        <v>0</v>
      </c>
      <c r="F7" s="535">
        <f>SUMIFS('📋 Despesas'!$J:$J,'📋 Despesas'!$B:$B,"&gt;="&amp;$H7,'📋 Despesas'!$B:$B,"&lt;"&amp;EDATE($H7,1))-C7-D7-E7</f>
        <v>0</v>
      </c>
      <c r="G7" s="547">
        <f t="shared" si="0"/>
        <v>0</v>
      </c>
      <c r="H7" s="537">
        <v>46235</v>
      </c>
    </row>
    <row r="8" spans="1:8" ht="19.95" customHeight="1">
      <c r="A8" s="549" t="str">
        <f t="shared" si="1"/>
        <v>SET/26</v>
      </c>
      <c r="B8" s="535">
        <f>IF(SUMIFS('💸  Receitas'!$G:$G,'💸  Receitas'!$A:$A,"&gt;="&amp;$H8,'💸  Receitas'!$A:$A,"&lt;"&amp;EDATE($H8,1),'💸  Receitas'!$E:$E,"FATURAMENTO")=0,SUMIFS('💸  Receitas'!$G:$G,'💸  Receitas'!$A:$A,"&gt;="&amp;$H8,'💸  Receitas'!$A:$A,"&lt;"&amp;EDATE($H8,1),'💸  Receitas'!$E:$E,"&lt;&gt;"),SUMIFS('💸  Receitas'!$G:$G,'💸  Receitas'!$A:$A,"&gt;="&amp;$H8,'💸  Receitas'!$A:$A,"&lt;"&amp;EDATE($H8,1),'💸  Receitas'!$E:$E,"FATURAMENTO"))</f>
        <v>0</v>
      </c>
      <c r="C8" s="535">
        <f>SUMIFS('📋 Despesas'!$J:$J,'📋 Despesas'!$B:$B,"&gt;="&amp;$H8,'📋 Despesas'!$B:$B,"&lt;"&amp;EDATE($H8,1),'📋 Despesas'!$E:$E,"*INSS*")</f>
        <v>0</v>
      </c>
      <c r="D8" s="535">
        <f>SUMIFS('📋 Despesas'!$J:$J,'📋 Despesas'!$B:$B,"&gt;="&amp;$H8,'📋 Despesas'!$B:$B,"&lt;"&amp;EDATE($H8,1),'📋 Despesas'!$E:$E,"*PROLABORE*")+SUMIFS('📋 Despesas'!$J:$J,'📋 Despesas'!$B:$B,"&gt;="&amp;$H8,'📋 Despesas'!$B:$B,"&lt;"&amp;EDATE($H8,1),'📋 Despesas'!$E:$E,"*PRÓ-LABORE*")</f>
        <v>0</v>
      </c>
      <c r="E8" s="535">
        <f>SUMIFS('📋 Despesas'!$J:$J,'📋 Despesas'!$B:$B,"&gt;="&amp;$H8,'📋 Despesas'!$B:$B,"&lt;"&amp;EDATE($H8,1),'📋 Despesas'!$E:$E,"*DAS*")</f>
        <v>0</v>
      </c>
      <c r="F8" s="535">
        <f>SUMIFS('📋 Despesas'!$J:$J,'📋 Despesas'!$B:$B,"&gt;="&amp;$H8,'📋 Despesas'!$B:$B,"&lt;"&amp;EDATE($H8,1))-C8-D8-E8</f>
        <v>0</v>
      </c>
      <c r="G8" s="547">
        <f t="shared" si="0"/>
        <v>0</v>
      </c>
      <c r="H8" s="537">
        <v>46266</v>
      </c>
    </row>
    <row r="9" spans="1:8" ht="19.95" customHeight="1">
      <c r="A9" s="549" t="str">
        <f t="shared" si="1"/>
        <v>OUT/26</v>
      </c>
      <c r="B9" s="535">
        <f>IF(SUMIFS('💸  Receitas'!$G:$G,'💸  Receitas'!$A:$A,"&gt;="&amp;$H9,'💸  Receitas'!$A:$A,"&lt;"&amp;EDATE($H9,1),'💸  Receitas'!$E:$E,"FATURAMENTO")=0,SUMIFS('💸  Receitas'!$G:$G,'💸  Receitas'!$A:$A,"&gt;="&amp;$H9,'💸  Receitas'!$A:$A,"&lt;"&amp;EDATE($H9,1),'💸  Receitas'!$E:$E,"&lt;&gt;"),SUMIFS('💸  Receitas'!$G:$G,'💸  Receitas'!$A:$A,"&gt;="&amp;$H9,'💸  Receitas'!$A:$A,"&lt;"&amp;EDATE($H9,1),'💸  Receitas'!$E:$E,"FATURAMENTO"))</f>
        <v>0</v>
      </c>
      <c r="C9" s="535">
        <f>SUMIFS('📋 Despesas'!$J:$J,'📋 Despesas'!$B:$B,"&gt;="&amp;$H9,'📋 Despesas'!$B:$B,"&lt;"&amp;EDATE($H9,1),'📋 Despesas'!$E:$E,"*INSS*")</f>
        <v>0</v>
      </c>
      <c r="D9" s="535">
        <f>SUMIFS('📋 Despesas'!$J:$J,'📋 Despesas'!$B:$B,"&gt;="&amp;$H9,'📋 Despesas'!$B:$B,"&lt;"&amp;EDATE($H9,1),'📋 Despesas'!$E:$E,"*PROLABORE*")+SUMIFS('📋 Despesas'!$J:$J,'📋 Despesas'!$B:$B,"&gt;="&amp;$H9,'📋 Despesas'!$B:$B,"&lt;"&amp;EDATE($H9,1),'📋 Despesas'!$E:$E,"*PRÓ-LABORE*")</f>
        <v>0</v>
      </c>
      <c r="E9" s="535">
        <f>SUMIFS('📋 Despesas'!$J:$J,'📋 Despesas'!$B:$B,"&gt;="&amp;$H9,'📋 Despesas'!$B:$B,"&lt;"&amp;EDATE($H9,1),'📋 Despesas'!$E:$E,"*DAS*")</f>
        <v>0</v>
      </c>
      <c r="F9" s="535">
        <f>SUMIFS('📋 Despesas'!$J:$J,'📋 Despesas'!$B:$B,"&gt;="&amp;$H9,'📋 Despesas'!$B:$B,"&lt;"&amp;EDATE($H9,1))-C9-D9-E9</f>
        <v>0</v>
      </c>
      <c r="G9" s="547">
        <f t="shared" si="0"/>
        <v>0</v>
      </c>
      <c r="H9" s="537">
        <v>46296</v>
      </c>
    </row>
    <row r="10" spans="1:8" ht="19.95" customHeight="1">
      <c r="A10" s="549" t="str">
        <f t="shared" si="1"/>
        <v>NOV/26</v>
      </c>
      <c r="B10" s="535">
        <f>IF(SUMIFS('💸  Receitas'!$G:$G,'💸  Receitas'!$A:$A,"&gt;="&amp;$H10,'💸  Receitas'!$A:$A,"&lt;"&amp;EDATE($H10,1),'💸  Receitas'!$E:$E,"FATURAMENTO")=0,SUMIFS('💸  Receitas'!$G:$G,'💸  Receitas'!$A:$A,"&gt;="&amp;$H10,'💸  Receitas'!$A:$A,"&lt;"&amp;EDATE($H10,1),'💸  Receitas'!$E:$E,"&lt;&gt;"),SUMIFS('💸  Receitas'!$G:$G,'💸  Receitas'!$A:$A,"&gt;="&amp;$H10,'💸  Receitas'!$A:$A,"&lt;"&amp;EDATE($H10,1),'💸  Receitas'!$E:$E,"FATURAMENTO"))</f>
        <v>0</v>
      </c>
      <c r="C10" s="535">
        <f>SUMIFS('📋 Despesas'!$J:$J,'📋 Despesas'!$B:$B,"&gt;="&amp;$H10,'📋 Despesas'!$B:$B,"&lt;"&amp;EDATE($H10,1),'📋 Despesas'!$E:$E,"*INSS*")</f>
        <v>0</v>
      </c>
      <c r="D10" s="535">
        <f>SUMIFS('📋 Despesas'!$J:$J,'📋 Despesas'!$B:$B,"&gt;="&amp;$H10,'📋 Despesas'!$B:$B,"&lt;"&amp;EDATE($H10,1),'📋 Despesas'!$E:$E,"*PROLABORE*")+SUMIFS('📋 Despesas'!$J:$J,'📋 Despesas'!$B:$B,"&gt;="&amp;$H10,'📋 Despesas'!$B:$B,"&lt;"&amp;EDATE($H10,1),'📋 Despesas'!$E:$E,"*PRÓ-LABORE*")</f>
        <v>0</v>
      </c>
      <c r="E10" s="535">
        <f>SUMIFS('📋 Despesas'!$J:$J,'📋 Despesas'!$B:$B,"&gt;="&amp;$H10,'📋 Despesas'!$B:$B,"&lt;"&amp;EDATE($H10,1),'📋 Despesas'!$E:$E,"*DAS*")</f>
        <v>0</v>
      </c>
      <c r="F10" s="535">
        <f>SUMIFS('📋 Despesas'!$J:$J,'📋 Despesas'!$B:$B,"&gt;="&amp;$H10,'📋 Despesas'!$B:$B,"&lt;"&amp;EDATE($H10,1))-C10-D10-E10</f>
        <v>0</v>
      </c>
      <c r="G10" s="547">
        <f t="shared" si="0"/>
        <v>0</v>
      </c>
      <c r="H10" s="537">
        <v>46327</v>
      </c>
    </row>
    <row r="11" spans="1:8" ht="19.95" customHeight="1">
      <c r="A11" s="549" t="str">
        <f t="shared" si="1"/>
        <v>DEZ/26</v>
      </c>
      <c r="B11" s="535">
        <f>IF(SUMIFS('💸  Receitas'!$G:$G,'💸  Receitas'!$A:$A,"&gt;="&amp;$H11,'💸  Receitas'!$A:$A,"&lt;"&amp;EDATE($H11,1),'💸  Receitas'!$E:$E,"FATURAMENTO")=0,SUMIFS('💸  Receitas'!$G:$G,'💸  Receitas'!$A:$A,"&gt;="&amp;$H11,'💸  Receitas'!$A:$A,"&lt;"&amp;EDATE($H11,1),'💸  Receitas'!$E:$E,"&lt;&gt;"),SUMIFS('💸  Receitas'!$G:$G,'💸  Receitas'!$A:$A,"&gt;="&amp;$H11,'💸  Receitas'!$A:$A,"&lt;"&amp;EDATE($H11,1),'💸  Receitas'!$E:$E,"FATURAMENTO"))</f>
        <v>0</v>
      </c>
      <c r="C11" s="535">
        <f>SUMIFS('📋 Despesas'!$J:$J,'📋 Despesas'!$B:$B,"&gt;="&amp;$H11,'📋 Despesas'!$B:$B,"&lt;"&amp;EDATE($H11,1),'📋 Despesas'!$E:$E,"*INSS*")</f>
        <v>0</v>
      </c>
      <c r="D11" s="535">
        <f>SUMIFS('📋 Despesas'!$J:$J,'📋 Despesas'!$B:$B,"&gt;="&amp;$H11,'📋 Despesas'!$B:$B,"&lt;"&amp;EDATE($H11,1),'📋 Despesas'!$E:$E,"*PROLABORE*")+SUMIFS('📋 Despesas'!$J:$J,'📋 Despesas'!$B:$B,"&gt;="&amp;$H11,'📋 Despesas'!$B:$B,"&lt;"&amp;EDATE($H11,1),'📋 Despesas'!$E:$E,"*PRÓ-LABORE*")</f>
        <v>0</v>
      </c>
      <c r="E11" s="535">
        <f>SUMIFS('📋 Despesas'!$J:$J,'📋 Despesas'!$B:$B,"&gt;="&amp;$H11,'📋 Despesas'!$B:$B,"&lt;"&amp;EDATE($H11,1),'📋 Despesas'!$E:$E,"*DAS*")</f>
        <v>0</v>
      </c>
      <c r="F11" s="535">
        <f>SUMIFS('📋 Despesas'!$J:$J,'📋 Despesas'!$B:$B,"&gt;="&amp;$H11,'📋 Despesas'!$B:$B,"&lt;"&amp;EDATE($H11,1))-C11-D11-E11</f>
        <v>0</v>
      </c>
      <c r="G11" s="547">
        <f t="shared" si="0"/>
        <v>0</v>
      </c>
      <c r="H11" s="537">
        <v>46357</v>
      </c>
    </row>
    <row r="12" spans="1:8" ht="19.95" hidden="1" customHeight="1">
      <c r="A12" s="545" t="str">
        <f t="shared" si="1"/>
        <v>JAN/27</v>
      </c>
      <c r="B12" s="535">
        <f>IF(SUMIFS('💸  Receitas'!$G:$G,'💸  Receitas'!$A:$A,"&gt;="&amp;$H12,'💸  Receitas'!$A:$A,"&lt;"&amp;EDATE($H12,1),'💸  Receitas'!$E:$E,"FATURAMENTO")=0,SUMIFS('💸  Receitas'!$G:$G,'💸  Receitas'!$A:$A,"&gt;="&amp;$H12,'💸  Receitas'!$A:$A,"&lt;"&amp;EDATE($H12,1),'💸  Receitas'!$E:$E,"&lt;&gt;"),SUMIFS('💸  Receitas'!$G:$G,'💸  Receitas'!$A:$A,"&gt;="&amp;$H12,'💸  Receitas'!$A:$A,"&lt;"&amp;EDATE($H12,1),'💸  Receitas'!$E:$E,"FATURAMENTO"))</f>
        <v>0</v>
      </c>
      <c r="C12" s="535">
        <f>SUMIFS('📋 Despesas'!$J:$J,'📋 Despesas'!$B:$B,"&gt;="&amp;$H12,'📋 Despesas'!$B:$B,"&lt;"&amp;EDATE($H12,1),'📋 Despesas'!$E:$E,"*INSS*")</f>
        <v>0</v>
      </c>
      <c r="D12" s="535">
        <f>SUMIFS('📋 Despesas'!$J:$J,'📋 Despesas'!$B:$B,"&gt;="&amp;$H12,'📋 Despesas'!$B:$B,"&lt;"&amp;EDATE($H12,1),'📋 Despesas'!$E:$E,"*PROLABORE*")+SUMIFS('📋 Despesas'!$J:$J,'📋 Despesas'!$B:$B,"&gt;="&amp;$H12,'📋 Despesas'!$B:$B,"&lt;"&amp;EDATE($H12,1),'📋 Despesas'!$E:$E,"*PRÓ-LABORE*")</f>
        <v>0</v>
      </c>
      <c r="E12" s="535">
        <f>SUMIFS('📋 Despesas'!$J:$J,'📋 Despesas'!$B:$B,"&gt;="&amp;$H12,'📋 Despesas'!$B:$B,"&lt;"&amp;EDATE($H12,1),'📋 Despesas'!$E:$E,"*DAS*")</f>
        <v>0</v>
      </c>
      <c r="F12" s="535">
        <f>SUMIFS('📋 Despesas'!$J:$J,'📋 Despesas'!$B:$B,"&gt;="&amp;$H12,'📋 Despesas'!$B:$B,"&lt;"&amp;EDATE($H12,1))-C12-D12-E12</f>
        <v>0</v>
      </c>
      <c r="G12" s="543">
        <f t="shared" si="0"/>
        <v>0</v>
      </c>
      <c r="H12" s="537">
        <v>46388</v>
      </c>
    </row>
    <row r="13" spans="1:8" ht="19.95" hidden="1" customHeight="1">
      <c r="A13" s="545" t="str">
        <f t="shared" si="1"/>
        <v>FEV/27</v>
      </c>
      <c r="B13" s="535">
        <f>IF(SUMIFS('💸  Receitas'!$G:$G,'💸  Receitas'!$A:$A,"&gt;="&amp;$H13,'💸  Receitas'!$A:$A,"&lt;"&amp;EDATE($H13,1),'💸  Receitas'!$E:$E,"FATURAMENTO")=0,SUMIFS('💸  Receitas'!$G:$G,'💸  Receitas'!$A:$A,"&gt;="&amp;$H13,'💸  Receitas'!$A:$A,"&lt;"&amp;EDATE($H13,1),'💸  Receitas'!$E:$E,"&lt;&gt;"),SUMIFS('💸  Receitas'!$G:$G,'💸  Receitas'!$A:$A,"&gt;="&amp;$H13,'💸  Receitas'!$A:$A,"&lt;"&amp;EDATE($H13,1),'💸  Receitas'!$E:$E,"FATURAMENTO"))</f>
        <v>0</v>
      </c>
      <c r="C13" s="535">
        <f>SUMIFS('📋 Despesas'!$J:$J,'📋 Despesas'!$B:$B,"&gt;="&amp;$H13,'📋 Despesas'!$B:$B,"&lt;"&amp;EDATE($H13,1),'📋 Despesas'!$E:$E,"*INSS*")</f>
        <v>0</v>
      </c>
      <c r="D13" s="535">
        <f>SUMIFS('📋 Despesas'!$J:$J,'📋 Despesas'!$B:$B,"&gt;="&amp;$H13,'📋 Despesas'!$B:$B,"&lt;"&amp;EDATE($H13,1),'📋 Despesas'!$E:$E,"*PROLABORE*")+SUMIFS('📋 Despesas'!$J:$J,'📋 Despesas'!$B:$B,"&gt;="&amp;$H13,'📋 Despesas'!$B:$B,"&lt;"&amp;EDATE($H13,1),'📋 Despesas'!$E:$E,"*PRÓ-LABORE*")</f>
        <v>0</v>
      </c>
      <c r="E13" s="535">
        <f>SUMIFS('📋 Despesas'!$J:$J,'📋 Despesas'!$B:$B,"&gt;="&amp;$H13,'📋 Despesas'!$B:$B,"&lt;"&amp;EDATE($H13,1),'📋 Despesas'!$E:$E,"*DAS*")</f>
        <v>0</v>
      </c>
      <c r="F13" s="535">
        <f>SUMIFS('📋 Despesas'!$J:$J,'📋 Despesas'!$B:$B,"&gt;="&amp;$H13,'📋 Despesas'!$B:$B,"&lt;"&amp;EDATE($H13,1))-C13-D13-E13</f>
        <v>0</v>
      </c>
      <c r="G13" s="543">
        <f t="shared" si="0"/>
        <v>0</v>
      </c>
      <c r="H13" s="537">
        <v>46419</v>
      </c>
    </row>
    <row r="14" spans="1:8" ht="19.95" hidden="1" customHeight="1">
      <c r="A14" s="545" t="str">
        <f t="shared" si="1"/>
        <v>MAR/27</v>
      </c>
      <c r="B14" s="535">
        <f>IF(SUMIFS('💸  Receitas'!$G:$G,'💸  Receitas'!$A:$A,"&gt;="&amp;$H14,'💸  Receitas'!$A:$A,"&lt;"&amp;EDATE($H14,1),'💸  Receitas'!$E:$E,"FATURAMENTO")=0,SUMIFS('💸  Receitas'!$G:$G,'💸  Receitas'!$A:$A,"&gt;="&amp;$H14,'💸  Receitas'!$A:$A,"&lt;"&amp;EDATE($H14,1),'💸  Receitas'!$E:$E,"&lt;&gt;"),SUMIFS('💸  Receitas'!$G:$G,'💸  Receitas'!$A:$A,"&gt;="&amp;$H14,'💸  Receitas'!$A:$A,"&lt;"&amp;EDATE($H14,1),'💸  Receitas'!$E:$E,"FATURAMENTO"))</f>
        <v>0</v>
      </c>
      <c r="C14" s="535">
        <f>SUMIFS('📋 Despesas'!$J:$J,'📋 Despesas'!$B:$B,"&gt;="&amp;$H14,'📋 Despesas'!$B:$B,"&lt;"&amp;EDATE($H14,1),'📋 Despesas'!$E:$E,"*INSS*")</f>
        <v>0</v>
      </c>
      <c r="D14" s="535">
        <f>SUMIFS('📋 Despesas'!$J:$J,'📋 Despesas'!$B:$B,"&gt;="&amp;$H14,'📋 Despesas'!$B:$B,"&lt;"&amp;EDATE($H14,1),'📋 Despesas'!$E:$E,"*PROLABORE*")+SUMIFS('📋 Despesas'!$J:$J,'📋 Despesas'!$B:$B,"&gt;="&amp;$H14,'📋 Despesas'!$B:$B,"&lt;"&amp;EDATE($H14,1),'📋 Despesas'!$E:$E,"*PRÓ-LABORE*")</f>
        <v>0</v>
      </c>
      <c r="E14" s="535">
        <f>SUMIFS('📋 Despesas'!$J:$J,'📋 Despesas'!$B:$B,"&gt;="&amp;$H14,'📋 Despesas'!$B:$B,"&lt;"&amp;EDATE($H14,1),'📋 Despesas'!$E:$E,"*DAS*")</f>
        <v>0</v>
      </c>
      <c r="F14" s="535">
        <f>SUMIFS('📋 Despesas'!$J:$J,'📋 Despesas'!$B:$B,"&gt;="&amp;$H14,'📋 Despesas'!$B:$B,"&lt;"&amp;EDATE($H14,1))-C14-D14-E14</f>
        <v>0</v>
      </c>
      <c r="G14" s="543">
        <f t="shared" si="0"/>
        <v>0</v>
      </c>
      <c r="H14" s="537">
        <v>46447</v>
      </c>
    </row>
    <row r="15" spans="1:8" ht="19.95" hidden="1" customHeight="1">
      <c r="A15" s="545" t="str">
        <f t="shared" si="1"/>
        <v>ABR/27</v>
      </c>
      <c r="B15" s="535">
        <f>IF(SUMIFS('💸  Receitas'!$G:$G,'💸  Receitas'!$A:$A,"&gt;="&amp;$H15,'💸  Receitas'!$A:$A,"&lt;"&amp;EDATE($H15,1),'💸  Receitas'!$E:$E,"FATURAMENTO")=0,SUMIFS('💸  Receitas'!$G:$G,'💸  Receitas'!$A:$A,"&gt;="&amp;$H15,'💸  Receitas'!$A:$A,"&lt;"&amp;EDATE($H15,1),'💸  Receitas'!$E:$E,"&lt;&gt;"),SUMIFS('💸  Receitas'!$G:$G,'💸  Receitas'!$A:$A,"&gt;="&amp;$H15,'💸  Receitas'!$A:$A,"&lt;"&amp;EDATE($H15,1),'💸  Receitas'!$E:$E,"FATURAMENTO"))</f>
        <v>0</v>
      </c>
      <c r="C15" s="535">
        <f>SUMIFS('📋 Despesas'!$J:$J,'📋 Despesas'!$B:$B,"&gt;="&amp;$H15,'📋 Despesas'!$B:$B,"&lt;"&amp;EDATE($H15,1),'📋 Despesas'!$E:$E,"*INSS*")</f>
        <v>0</v>
      </c>
      <c r="D15" s="535">
        <f>SUMIFS('📋 Despesas'!$J:$J,'📋 Despesas'!$B:$B,"&gt;="&amp;$H15,'📋 Despesas'!$B:$B,"&lt;"&amp;EDATE($H15,1),'📋 Despesas'!$E:$E,"*PROLABORE*")+SUMIFS('📋 Despesas'!$J:$J,'📋 Despesas'!$B:$B,"&gt;="&amp;$H15,'📋 Despesas'!$B:$B,"&lt;"&amp;EDATE($H15,1),'📋 Despesas'!$E:$E,"*PRÓ-LABORE*")</f>
        <v>0</v>
      </c>
      <c r="E15" s="535">
        <f>SUMIFS('📋 Despesas'!$J:$J,'📋 Despesas'!$B:$B,"&gt;="&amp;$H15,'📋 Despesas'!$B:$B,"&lt;"&amp;EDATE($H15,1),'📋 Despesas'!$E:$E,"*DAS*")</f>
        <v>0</v>
      </c>
      <c r="F15" s="535">
        <f>SUMIFS('📋 Despesas'!$J:$J,'📋 Despesas'!$B:$B,"&gt;="&amp;$H15,'📋 Despesas'!$B:$B,"&lt;"&amp;EDATE($H15,1))-C15-D15-E15</f>
        <v>0</v>
      </c>
      <c r="G15" s="543">
        <f t="shared" si="0"/>
        <v>0</v>
      </c>
      <c r="H15" s="537">
        <v>46478</v>
      </c>
    </row>
    <row r="16" spans="1:8" ht="19.95" hidden="1" customHeight="1">
      <c r="A16" s="545" t="str">
        <f t="shared" si="1"/>
        <v>MAIO/27</v>
      </c>
      <c r="B16" s="535">
        <f>IF(SUMIFS('💸  Receitas'!$G:$G,'💸  Receitas'!$A:$A,"&gt;="&amp;$H16,'💸  Receitas'!$A:$A,"&lt;"&amp;EDATE($H16,1),'💸  Receitas'!$E:$E,"FATURAMENTO")=0,SUMIFS('💸  Receitas'!$G:$G,'💸  Receitas'!$A:$A,"&gt;="&amp;$H16,'💸  Receitas'!$A:$A,"&lt;"&amp;EDATE($H16,1),'💸  Receitas'!$E:$E,"&lt;&gt;"),SUMIFS('💸  Receitas'!$G:$G,'💸  Receitas'!$A:$A,"&gt;="&amp;$H16,'💸  Receitas'!$A:$A,"&lt;"&amp;EDATE($H16,1),'💸  Receitas'!$E:$E,"FATURAMENTO"))</f>
        <v>0</v>
      </c>
      <c r="C16" s="535">
        <f>SUMIFS('📋 Despesas'!$J:$J,'📋 Despesas'!$B:$B,"&gt;="&amp;$H16,'📋 Despesas'!$B:$B,"&lt;"&amp;EDATE($H16,1),'📋 Despesas'!$E:$E,"*INSS*")</f>
        <v>0</v>
      </c>
      <c r="D16" s="535">
        <f>SUMIFS('📋 Despesas'!$J:$J,'📋 Despesas'!$B:$B,"&gt;="&amp;$H16,'📋 Despesas'!$B:$B,"&lt;"&amp;EDATE($H16,1),'📋 Despesas'!$E:$E,"*PROLABORE*")+SUMIFS('📋 Despesas'!$J:$J,'📋 Despesas'!$B:$B,"&gt;="&amp;$H16,'📋 Despesas'!$B:$B,"&lt;"&amp;EDATE($H16,1),'📋 Despesas'!$E:$E,"*PRÓ-LABORE*")</f>
        <v>0</v>
      </c>
      <c r="E16" s="535">
        <f>SUMIFS('📋 Despesas'!$J:$J,'📋 Despesas'!$B:$B,"&gt;="&amp;$H16,'📋 Despesas'!$B:$B,"&lt;"&amp;EDATE($H16,1),'📋 Despesas'!$E:$E,"*DAS*")</f>
        <v>0</v>
      </c>
      <c r="F16" s="535">
        <f>SUMIFS('📋 Despesas'!$J:$J,'📋 Despesas'!$B:$B,"&gt;="&amp;$H16,'📋 Despesas'!$B:$B,"&lt;"&amp;EDATE($H16,1))-C16-D16-E16</f>
        <v>0</v>
      </c>
      <c r="G16" s="543">
        <f t="shared" si="0"/>
        <v>0</v>
      </c>
      <c r="H16" s="537">
        <v>46508</v>
      </c>
    </row>
    <row r="17" spans="1:8" ht="19.95" hidden="1" customHeight="1">
      <c r="A17" s="545" t="str">
        <f t="shared" si="1"/>
        <v>JUN/27</v>
      </c>
      <c r="B17" s="535">
        <f>IF(SUMIFS('💸  Receitas'!$G:$G,'💸  Receitas'!$A:$A,"&gt;="&amp;$H17,'💸  Receitas'!$A:$A,"&lt;"&amp;EDATE($H17,1),'💸  Receitas'!$E:$E,"FATURAMENTO")=0,SUMIFS('💸  Receitas'!$G:$G,'💸  Receitas'!$A:$A,"&gt;="&amp;$H17,'💸  Receitas'!$A:$A,"&lt;"&amp;EDATE($H17,1),'💸  Receitas'!$E:$E,"&lt;&gt;"),SUMIFS('💸  Receitas'!$G:$G,'💸  Receitas'!$A:$A,"&gt;="&amp;$H17,'💸  Receitas'!$A:$A,"&lt;"&amp;EDATE($H17,1),'💸  Receitas'!$E:$E,"FATURAMENTO"))</f>
        <v>0</v>
      </c>
      <c r="C17" s="535">
        <f>SUMIFS('📋 Despesas'!$J:$J,'📋 Despesas'!$B:$B,"&gt;="&amp;$H17,'📋 Despesas'!$B:$B,"&lt;"&amp;EDATE($H17,1),'📋 Despesas'!$E:$E,"*INSS*")</f>
        <v>0</v>
      </c>
      <c r="D17" s="535">
        <f>SUMIFS('📋 Despesas'!$J:$J,'📋 Despesas'!$B:$B,"&gt;="&amp;$H17,'📋 Despesas'!$B:$B,"&lt;"&amp;EDATE($H17,1),'📋 Despesas'!$E:$E,"*PROLABORE*")+SUMIFS('📋 Despesas'!$J:$J,'📋 Despesas'!$B:$B,"&gt;="&amp;$H17,'📋 Despesas'!$B:$B,"&lt;"&amp;EDATE($H17,1),'📋 Despesas'!$E:$E,"*PRÓ-LABORE*")</f>
        <v>0</v>
      </c>
      <c r="E17" s="535">
        <f>SUMIFS('📋 Despesas'!$J:$J,'📋 Despesas'!$B:$B,"&gt;="&amp;$H17,'📋 Despesas'!$B:$B,"&lt;"&amp;EDATE($H17,1),'📋 Despesas'!$E:$E,"*DAS*")</f>
        <v>0</v>
      </c>
      <c r="F17" s="535">
        <f>SUMIFS('📋 Despesas'!$J:$J,'📋 Despesas'!$B:$B,"&gt;="&amp;$H17,'📋 Despesas'!$B:$B,"&lt;"&amp;EDATE($H17,1))-C17-D17-E17</f>
        <v>0</v>
      </c>
      <c r="G17" s="543">
        <f t="shared" si="0"/>
        <v>0</v>
      </c>
      <c r="H17" s="537">
        <v>46539</v>
      </c>
    </row>
    <row r="18" spans="1:8" ht="19.95" hidden="1" customHeight="1">
      <c r="A18" s="545" t="str">
        <f t="shared" si="1"/>
        <v>JUL/27</v>
      </c>
      <c r="B18" s="535">
        <f>IF(SUMIFS('💸  Receitas'!$G:$G,'💸  Receitas'!$A:$A,"&gt;="&amp;$H18,'💸  Receitas'!$A:$A,"&lt;"&amp;EDATE($H18,1),'💸  Receitas'!$E:$E,"FATURAMENTO")=0,SUMIFS('💸  Receitas'!$G:$G,'💸  Receitas'!$A:$A,"&gt;="&amp;$H18,'💸  Receitas'!$A:$A,"&lt;"&amp;EDATE($H18,1),'💸  Receitas'!$E:$E,"&lt;&gt;"),SUMIFS('💸  Receitas'!$G:$G,'💸  Receitas'!$A:$A,"&gt;="&amp;$H18,'💸  Receitas'!$A:$A,"&lt;"&amp;EDATE($H18,1),'💸  Receitas'!$E:$E,"FATURAMENTO"))</f>
        <v>0</v>
      </c>
      <c r="C18" s="535">
        <f>SUMIFS('📋 Despesas'!$J:$J,'📋 Despesas'!$B:$B,"&gt;="&amp;$H18,'📋 Despesas'!$B:$B,"&lt;"&amp;EDATE($H18,1),'📋 Despesas'!$E:$E,"*INSS*")</f>
        <v>0</v>
      </c>
      <c r="D18" s="535">
        <f>SUMIFS('📋 Despesas'!$J:$J,'📋 Despesas'!$B:$B,"&gt;="&amp;$H18,'📋 Despesas'!$B:$B,"&lt;"&amp;EDATE($H18,1),'📋 Despesas'!$E:$E,"*PROLABORE*")+SUMIFS('📋 Despesas'!$J:$J,'📋 Despesas'!$B:$B,"&gt;="&amp;$H18,'📋 Despesas'!$B:$B,"&lt;"&amp;EDATE($H18,1),'📋 Despesas'!$E:$E,"*PRÓ-LABORE*")</f>
        <v>0</v>
      </c>
      <c r="E18" s="535">
        <f>SUMIFS('📋 Despesas'!$J:$J,'📋 Despesas'!$B:$B,"&gt;="&amp;$H18,'📋 Despesas'!$B:$B,"&lt;"&amp;EDATE($H18,1),'📋 Despesas'!$E:$E,"*DAS*")</f>
        <v>0</v>
      </c>
      <c r="F18" s="535">
        <f>SUMIFS('📋 Despesas'!$J:$J,'📋 Despesas'!$B:$B,"&gt;="&amp;$H18,'📋 Despesas'!$B:$B,"&lt;"&amp;EDATE($H18,1))-C18-D18-E18</f>
        <v>0</v>
      </c>
      <c r="G18" s="543">
        <f t="shared" si="0"/>
        <v>0</v>
      </c>
      <c r="H18" s="537">
        <v>46569</v>
      </c>
    </row>
    <row r="19" spans="1:8" ht="19.95" hidden="1" customHeight="1">
      <c r="A19" s="545" t="str">
        <f t="shared" si="1"/>
        <v>AGO/27</v>
      </c>
      <c r="B19" s="535">
        <f>IF(SUMIFS('💸  Receitas'!$G:$G,'💸  Receitas'!$A:$A,"&gt;="&amp;$H19,'💸  Receitas'!$A:$A,"&lt;"&amp;EDATE($H19,1),'💸  Receitas'!$E:$E,"FATURAMENTO")=0,SUMIFS('💸  Receitas'!$G:$G,'💸  Receitas'!$A:$A,"&gt;="&amp;$H19,'💸  Receitas'!$A:$A,"&lt;"&amp;EDATE($H19,1),'💸  Receitas'!$E:$E,"&lt;&gt;"),SUMIFS('💸  Receitas'!$G:$G,'💸  Receitas'!$A:$A,"&gt;="&amp;$H19,'💸  Receitas'!$A:$A,"&lt;"&amp;EDATE($H19,1),'💸  Receitas'!$E:$E,"FATURAMENTO"))</f>
        <v>0</v>
      </c>
      <c r="C19" s="535">
        <f>SUMIFS('📋 Despesas'!$J:$J,'📋 Despesas'!$B:$B,"&gt;="&amp;$H19,'📋 Despesas'!$B:$B,"&lt;"&amp;EDATE($H19,1),'📋 Despesas'!$E:$E,"*INSS*")</f>
        <v>0</v>
      </c>
      <c r="D19" s="535">
        <f>SUMIFS('📋 Despesas'!$J:$J,'📋 Despesas'!$B:$B,"&gt;="&amp;$H19,'📋 Despesas'!$B:$B,"&lt;"&amp;EDATE($H19,1),'📋 Despesas'!$E:$E,"*PROLABORE*")+SUMIFS('📋 Despesas'!$J:$J,'📋 Despesas'!$B:$B,"&gt;="&amp;$H19,'📋 Despesas'!$B:$B,"&lt;"&amp;EDATE($H19,1),'📋 Despesas'!$E:$E,"*PRÓ-LABORE*")</f>
        <v>0</v>
      </c>
      <c r="E19" s="535">
        <f>SUMIFS('📋 Despesas'!$J:$J,'📋 Despesas'!$B:$B,"&gt;="&amp;$H19,'📋 Despesas'!$B:$B,"&lt;"&amp;EDATE($H19,1),'📋 Despesas'!$E:$E,"*DAS*")</f>
        <v>0</v>
      </c>
      <c r="F19" s="535">
        <f>SUMIFS('📋 Despesas'!$J:$J,'📋 Despesas'!$B:$B,"&gt;="&amp;$H19,'📋 Despesas'!$B:$B,"&lt;"&amp;EDATE($H19,1))-C19-D19-E19</f>
        <v>0</v>
      </c>
      <c r="G19" s="543">
        <f t="shared" si="0"/>
        <v>0</v>
      </c>
      <c r="H19" s="537">
        <v>46600</v>
      </c>
    </row>
    <row r="20" spans="1:8" ht="19.95" hidden="1" customHeight="1">
      <c r="A20" s="545" t="str">
        <f t="shared" si="1"/>
        <v>SET/27</v>
      </c>
      <c r="B20" s="535">
        <f>IF(SUMIFS('💸  Receitas'!$G:$G,'💸  Receitas'!$A:$A,"&gt;="&amp;$H20,'💸  Receitas'!$A:$A,"&lt;"&amp;EDATE($H20,1),'💸  Receitas'!$E:$E,"FATURAMENTO")=0,SUMIFS('💸  Receitas'!$G:$G,'💸  Receitas'!$A:$A,"&gt;="&amp;$H20,'💸  Receitas'!$A:$A,"&lt;"&amp;EDATE($H20,1),'💸  Receitas'!$E:$E,"&lt;&gt;"),SUMIFS('💸  Receitas'!$G:$G,'💸  Receitas'!$A:$A,"&gt;="&amp;$H20,'💸  Receitas'!$A:$A,"&lt;"&amp;EDATE($H20,1),'💸  Receitas'!$E:$E,"FATURAMENTO"))</f>
        <v>0</v>
      </c>
      <c r="C20" s="535">
        <f>SUMIFS('📋 Despesas'!$J:$J,'📋 Despesas'!$B:$B,"&gt;="&amp;$H20,'📋 Despesas'!$B:$B,"&lt;"&amp;EDATE($H20,1),'📋 Despesas'!$E:$E,"*INSS*")</f>
        <v>0</v>
      </c>
      <c r="D20" s="535">
        <f>SUMIFS('📋 Despesas'!$J:$J,'📋 Despesas'!$B:$B,"&gt;="&amp;$H20,'📋 Despesas'!$B:$B,"&lt;"&amp;EDATE($H20,1),'📋 Despesas'!$E:$E,"*PROLABORE*")+SUMIFS('📋 Despesas'!$J:$J,'📋 Despesas'!$B:$B,"&gt;="&amp;$H20,'📋 Despesas'!$B:$B,"&lt;"&amp;EDATE($H20,1),'📋 Despesas'!$E:$E,"*PRÓ-LABORE*")</f>
        <v>0</v>
      </c>
      <c r="E20" s="535">
        <f>SUMIFS('📋 Despesas'!$J:$J,'📋 Despesas'!$B:$B,"&gt;="&amp;$H20,'📋 Despesas'!$B:$B,"&lt;"&amp;EDATE($H20,1),'📋 Despesas'!$E:$E,"*DAS*")</f>
        <v>0</v>
      </c>
      <c r="F20" s="535">
        <f>SUMIFS('📋 Despesas'!$J:$J,'📋 Despesas'!$B:$B,"&gt;="&amp;$H20,'📋 Despesas'!$B:$B,"&lt;"&amp;EDATE($H20,1))-C20-D20-E20</f>
        <v>0</v>
      </c>
      <c r="G20" s="543">
        <f t="shared" si="0"/>
        <v>0</v>
      </c>
      <c r="H20" s="537">
        <v>46631</v>
      </c>
    </row>
    <row r="21" spans="1:8" ht="19.95" hidden="1" customHeight="1">
      <c r="A21" s="545" t="str">
        <f t="shared" si="1"/>
        <v>OUT/27</v>
      </c>
      <c r="B21" s="535">
        <f>IF(SUMIFS('💸  Receitas'!$G:$G,'💸  Receitas'!$A:$A,"&gt;="&amp;$H21,'💸  Receitas'!$A:$A,"&lt;"&amp;EDATE($H21,1),'💸  Receitas'!$E:$E,"FATURAMENTO")=0,SUMIFS('💸  Receitas'!$G:$G,'💸  Receitas'!$A:$A,"&gt;="&amp;$H21,'💸  Receitas'!$A:$A,"&lt;"&amp;EDATE($H21,1),'💸  Receitas'!$E:$E,"&lt;&gt;"),SUMIFS('💸  Receitas'!$G:$G,'💸  Receitas'!$A:$A,"&gt;="&amp;$H21,'💸  Receitas'!$A:$A,"&lt;"&amp;EDATE($H21,1),'💸  Receitas'!$E:$E,"FATURAMENTO"))</f>
        <v>0</v>
      </c>
      <c r="C21" s="535">
        <f>SUMIFS('📋 Despesas'!$J:$J,'📋 Despesas'!$B:$B,"&gt;="&amp;$H21,'📋 Despesas'!$B:$B,"&lt;"&amp;EDATE($H21,1),'📋 Despesas'!$E:$E,"*INSS*")</f>
        <v>0</v>
      </c>
      <c r="D21" s="535">
        <f>SUMIFS('📋 Despesas'!$J:$J,'📋 Despesas'!$B:$B,"&gt;="&amp;$H21,'📋 Despesas'!$B:$B,"&lt;"&amp;EDATE($H21,1),'📋 Despesas'!$E:$E,"*PROLABORE*")+SUMIFS('📋 Despesas'!$J:$J,'📋 Despesas'!$B:$B,"&gt;="&amp;$H21,'📋 Despesas'!$B:$B,"&lt;"&amp;EDATE($H21,1),'📋 Despesas'!$E:$E,"*PRÓ-LABORE*")</f>
        <v>0</v>
      </c>
      <c r="E21" s="535">
        <f>SUMIFS('📋 Despesas'!$J:$J,'📋 Despesas'!$B:$B,"&gt;="&amp;$H21,'📋 Despesas'!$B:$B,"&lt;"&amp;EDATE($H21,1),'📋 Despesas'!$E:$E,"*DAS*")</f>
        <v>0</v>
      </c>
      <c r="F21" s="535">
        <f>SUMIFS('📋 Despesas'!$J:$J,'📋 Despesas'!$B:$B,"&gt;="&amp;$H21,'📋 Despesas'!$B:$B,"&lt;"&amp;EDATE($H21,1))-C21-D21-E21</f>
        <v>0</v>
      </c>
      <c r="G21" s="543">
        <f t="shared" si="0"/>
        <v>0</v>
      </c>
      <c r="H21" s="537">
        <v>46661</v>
      </c>
    </row>
    <row r="22" spans="1:8" ht="19.95" hidden="1" customHeight="1">
      <c r="A22" s="545" t="str">
        <f t="shared" si="1"/>
        <v>NOV/27</v>
      </c>
      <c r="B22" s="535">
        <f>IF(SUMIFS('💸  Receitas'!$G:$G,'💸  Receitas'!$A:$A,"&gt;="&amp;$H22,'💸  Receitas'!$A:$A,"&lt;"&amp;EDATE($H22,1),'💸  Receitas'!$E:$E,"FATURAMENTO")=0,SUMIFS('💸  Receitas'!$G:$G,'💸  Receitas'!$A:$A,"&gt;="&amp;$H22,'💸  Receitas'!$A:$A,"&lt;"&amp;EDATE($H22,1),'💸  Receitas'!$E:$E,"&lt;&gt;"),SUMIFS('💸  Receitas'!$G:$G,'💸  Receitas'!$A:$A,"&gt;="&amp;$H22,'💸  Receitas'!$A:$A,"&lt;"&amp;EDATE($H22,1),'💸  Receitas'!$E:$E,"FATURAMENTO"))</f>
        <v>0</v>
      </c>
      <c r="C22" s="535">
        <f>SUMIFS('📋 Despesas'!$J:$J,'📋 Despesas'!$B:$B,"&gt;="&amp;$H22,'📋 Despesas'!$B:$B,"&lt;"&amp;EDATE($H22,1),'📋 Despesas'!$E:$E,"*INSS*")</f>
        <v>0</v>
      </c>
      <c r="D22" s="535">
        <f>SUMIFS('📋 Despesas'!$J:$J,'📋 Despesas'!$B:$B,"&gt;="&amp;$H22,'📋 Despesas'!$B:$B,"&lt;"&amp;EDATE($H22,1),'📋 Despesas'!$E:$E,"*PROLABORE*")+SUMIFS('📋 Despesas'!$J:$J,'📋 Despesas'!$B:$B,"&gt;="&amp;$H22,'📋 Despesas'!$B:$B,"&lt;"&amp;EDATE($H22,1),'📋 Despesas'!$E:$E,"*PRÓ-LABORE*")</f>
        <v>0</v>
      </c>
      <c r="E22" s="535">
        <f>SUMIFS('📋 Despesas'!$J:$J,'📋 Despesas'!$B:$B,"&gt;="&amp;$H22,'📋 Despesas'!$B:$B,"&lt;"&amp;EDATE($H22,1),'📋 Despesas'!$E:$E,"*DAS*")</f>
        <v>0</v>
      </c>
      <c r="F22" s="535">
        <f>SUMIFS('📋 Despesas'!$J:$J,'📋 Despesas'!$B:$B,"&gt;="&amp;$H22,'📋 Despesas'!$B:$B,"&lt;"&amp;EDATE($H22,1))-C22-D22-E22</f>
        <v>0</v>
      </c>
      <c r="G22" s="543">
        <f t="shared" si="0"/>
        <v>0</v>
      </c>
      <c r="H22" s="537">
        <v>46692</v>
      </c>
    </row>
    <row r="23" spans="1:8" ht="19.95" hidden="1" customHeight="1">
      <c r="A23" s="545" t="str">
        <f t="shared" si="1"/>
        <v>DEZ/27</v>
      </c>
      <c r="B23" s="535">
        <f>IF(SUMIFS('💸  Receitas'!$G:$G,'💸  Receitas'!$A:$A,"&gt;="&amp;$H23,'💸  Receitas'!$A:$A,"&lt;"&amp;EDATE($H23,1),'💸  Receitas'!$E:$E,"FATURAMENTO")=0,SUMIFS('💸  Receitas'!$G:$G,'💸  Receitas'!$A:$A,"&gt;="&amp;$H23,'💸  Receitas'!$A:$A,"&lt;"&amp;EDATE($H23,1),'💸  Receitas'!$E:$E,"&lt;&gt;"),SUMIFS('💸  Receitas'!$G:$G,'💸  Receitas'!$A:$A,"&gt;="&amp;$H23,'💸  Receitas'!$A:$A,"&lt;"&amp;EDATE($H23,1),'💸  Receitas'!$E:$E,"FATURAMENTO"))</f>
        <v>0</v>
      </c>
      <c r="C23" s="535">
        <f>SUMIFS('📋 Despesas'!$J:$J,'📋 Despesas'!$B:$B,"&gt;="&amp;$H23,'📋 Despesas'!$B:$B,"&lt;"&amp;EDATE($H23,1),'📋 Despesas'!$E:$E,"*INSS*")</f>
        <v>0</v>
      </c>
      <c r="D23" s="535">
        <f>SUMIFS('📋 Despesas'!$J:$J,'📋 Despesas'!$B:$B,"&gt;="&amp;$H23,'📋 Despesas'!$B:$B,"&lt;"&amp;EDATE($H23,1),'📋 Despesas'!$E:$E,"*PROLABORE*")+SUMIFS('📋 Despesas'!$J:$J,'📋 Despesas'!$B:$B,"&gt;="&amp;$H23,'📋 Despesas'!$B:$B,"&lt;"&amp;EDATE($H23,1),'📋 Despesas'!$E:$E,"*PRÓ-LABORE*")</f>
        <v>0</v>
      </c>
      <c r="E23" s="535">
        <f>SUMIFS('📋 Despesas'!$J:$J,'📋 Despesas'!$B:$B,"&gt;="&amp;$H23,'📋 Despesas'!$B:$B,"&lt;"&amp;EDATE($H23,1),'📋 Despesas'!$E:$E,"*DAS*")</f>
        <v>0</v>
      </c>
      <c r="F23" s="535">
        <f>SUMIFS('📋 Despesas'!$J:$J,'📋 Despesas'!$B:$B,"&gt;="&amp;$H23,'📋 Despesas'!$B:$B,"&lt;"&amp;EDATE($H23,1))-C23-D23-E23</f>
        <v>0</v>
      </c>
      <c r="G23" s="543">
        <f t="shared" si="0"/>
        <v>0</v>
      </c>
      <c r="H23" s="537">
        <v>46722</v>
      </c>
    </row>
    <row r="24" spans="1:8" ht="19.95" hidden="1" customHeight="1">
      <c r="A24" s="545" t="str">
        <f t="shared" si="1"/>
        <v>JAN/28</v>
      </c>
      <c r="B24" s="535">
        <f>IF(SUMIFS('💸  Receitas'!$G:$G,'💸  Receitas'!$A:$A,"&gt;="&amp;$H24,'💸  Receitas'!$A:$A,"&lt;"&amp;EDATE($H24,1),'💸  Receitas'!$E:$E,"FATURAMENTO")=0,SUMIFS('💸  Receitas'!$G:$G,'💸  Receitas'!$A:$A,"&gt;="&amp;$H24,'💸  Receitas'!$A:$A,"&lt;"&amp;EDATE($H24,1),'💸  Receitas'!$E:$E,"&lt;&gt;"),SUMIFS('💸  Receitas'!$G:$G,'💸  Receitas'!$A:$A,"&gt;="&amp;$H24,'💸  Receitas'!$A:$A,"&lt;"&amp;EDATE($H24,1),'💸  Receitas'!$E:$E,"FATURAMENTO"))</f>
        <v>0</v>
      </c>
      <c r="C24" s="535">
        <f>SUMIFS('📋 Despesas'!$J:$J,'📋 Despesas'!$B:$B,"&gt;="&amp;$H24,'📋 Despesas'!$B:$B,"&lt;"&amp;EDATE($H24,1),'📋 Despesas'!$E:$E,"*INSS*")</f>
        <v>0</v>
      </c>
      <c r="D24" s="535">
        <f>SUMIFS('📋 Despesas'!$J:$J,'📋 Despesas'!$B:$B,"&gt;="&amp;$H24,'📋 Despesas'!$B:$B,"&lt;"&amp;EDATE($H24,1),'📋 Despesas'!$E:$E,"*PROLABORE*")+SUMIFS('📋 Despesas'!$J:$J,'📋 Despesas'!$B:$B,"&gt;="&amp;$H24,'📋 Despesas'!$B:$B,"&lt;"&amp;EDATE($H24,1),'📋 Despesas'!$E:$E,"*PRÓ-LABORE*")</f>
        <v>0</v>
      </c>
      <c r="E24" s="535">
        <f>SUMIFS('📋 Despesas'!$J:$J,'📋 Despesas'!$B:$B,"&gt;="&amp;$H24,'📋 Despesas'!$B:$B,"&lt;"&amp;EDATE($H24,1),'📋 Despesas'!$E:$E,"*DAS*")</f>
        <v>0</v>
      </c>
      <c r="F24" s="535">
        <f>SUMIFS('📋 Despesas'!$J:$J,'📋 Despesas'!$B:$B,"&gt;="&amp;$H24,'📋 Despesas'!$B:$B,"&lt;"&amp;EDATE($H24,1))-C24-D24-E24</f>
        <v>0</v>
      </c>
      <c r="G24" s="543">
        <f t="shared" si="0"/>
        <v>0</v>
      </c>
      <c r="H24" s="537">
        <v>46753</v>
      </c>
    </row>
    <row r="25" spans="1:8" ht="19.95" hidden="1" customHeight="1">
      <c r="A25" s="545" t="str">
        <f t="shared" si="1"/>
        <v>FEV/28</v>
      </c>
      <c r="B25" s="535">
        <f>IF(SUMIFS('💸  Receitas'!$G:$G,'💸  Receitas'!$A:$A,"&gt;="&amp;$H25,'💸  Receitas'!$A:$A,"&lt;"&amp;EDATE($H25,1),'💸  Receitas'!$E:$E,"FATURAMENTO")=0,SUMIFS('💸  Receitas'!$G:$G,'💸  Receitas'!$A:$A,"&gt;="&amp;$H25,'💸  Receitas'!$A:$A,"&lt;"&amp;EDATE($H25,1),'💸  Receitas'!$E:$E,"&lt;&gt;"),SUMIFS('💸  Receitas'!$G:$G,'💸  Receitas'!$A:$A,"&gt;="&amp;$H25,'💸  Receitas'!$A:$A,"&lt;"&amp;EDATE($H25,1),'💸  Receitas'!$E:$E,"FATURAMENTO"))</f>
        <v>0</v>
      </c>
      <c r="C25" s="535">
        <f>SUMIFS('📋 Despesas'!$J:$J,'📋 Despesas'!$B:$B,"&gt;="&amp;$H25,'📋 Despesas'!$B:$B,"&lt;"&amp;EDATE($H25,1),'📋 Despesas'!$E:$E,"*INSS*")</f>
        <v>0</v>
      </c>
      <c r="D25" s="535">
        <f>SUMIFS('📋 Despesas'!$J:$J,'📋 Despesas'!$B:$B,"&gt;="&amp;$H25,'📋 Despesas'!$B:$B,"&lt;"&amp;EDATE($H25,1),'📋 Despesas'!$E:$E,"*PROLABORE*")+SUMIFS('📋 Despesas'!$J:$J,'📋 Despesas'!$B:$B,"&gt;="&amp;$H25,'📋 Despesas'!$B:$B,"&lt;"&amp;EDATE($H25,1),'📋 Despesas'!$E:$E,"*PRÓ-LABORE*")</f>
        <v>0</v>
      </c>
      <c r="E25" s="535">
        <f>SUMIFS('📋 Despesas'!$J:$J,'📋 Despesas'!$B:$B,"&gt;="&amp;$H25,'📋 Despesas'!$B:$B,"&lt;"&amp;EDATE($H25,1),'📋 Despesas'!$E:$E,"*DAS*")</f>
        <v>0</v>
      </c>
      <c r="F25" s="535">
        <f>SUMIFS('📋 Despesas'!$J:$J,'📋 Despesas'!$B:$B,"&gt;="&amp;$H25,'📋 Despesas'!$B:$B,"&lt;"&amp;EDATE($H25,1))-C25-D25-E25</f>
        <v>0</v>
      </c>
      <c r="G25" s="543">
        <f t="shared" si="0"/>
        <v>0</v>
      </c>
      <c r="H25" s="537">
        <v>46784</v>
      </c>
    </row>
    <row r="26" spans="1:8" ht="19.95" hidden="1" customHeight="1">
      <c r="A26" s="545" t="str">
        <f t="shared" si="1"/>
        <v>MAR/28</v>
      </c>
      <c r="B26" s="535">
        <f>IF(SUMIFS('💸  Receitas'!$G:$G,'💸  Receitas'!$A:$A,"&gt;="&amp;$H26,'💸  Receitas'!$A:$A,"&lt;"&amp;EDATE($H26,1),'💸  Receitas'!$E:$E,"FATURAMENTO")=0,SUMIFS('💸  Receitas'!$G:$G,'💸  Receitas'!$A:$A,"&gt;="&amp;$H26,'💸  Receitas'!$A:$A,"&lt;"&amp;EDATE($H26,1),'💸  Receitas'!$E:$E,"&lt;&gt;"),SUMIFS('💸  Receitas'!$G:$G,'💸  Receitas'!$A:$A,"&gt;="&amp;$H26,'💸  Receitas'!$A:$A,"&lt;"&amp;EDATE($H26,1),'💸  Receitas'!$E:$E,"FATURAMENTO"))</f>
        <v>0</v>
      </c>
      <c r="C26" s="535">
        <f>SUMIFS('📋 Despesas'!$J:$J,'📋 Despesas'!$B:$B,"&gt;="&amp;$H26,'📋 Despesas'!$B:$B,"&lt;"&amp;EDATE($H26,1),'📋 Despesas'!$E:$E,"*INSS*")</f>
        <v>0</v>
      </c>
      <c r="D26" s="535">
        <f>SUMIFS('📋 Despesas'!$J:$J,'📋 Despesas'!$B:$B,"&gt;="&amp;$H26,'📋 Despesas'!$B:$B,"&lt;"&amp;EDATE($H26,1),'📋 Despesas'!$E:$E,"*PROLABORE*")+SUMIFS('📋 Despesas'!$J:$J,'📋 Despesas'!$B:$B,"&gt;="&amp;$H26,'📋 Despesas'!$B:$B,"&lt;"&amp;EDATE($H26,1),'📋 Despesas'!$E:$E,"*PRÓ-LABORE*")</f>
        <v>0</v>
      </c>
      <c r="E26" s="535">
        <f>SUMIFS('📋 Despesas'!$J:$J,'📋 Despesas'!$B:$B,"&gt;="&amp;$H26,'📋 Despesas'!$B:$B,"&lt;"&amp;EDATE($H26,1),'📋 Despesas'!$E:$E,"*DAS*")</f>
        <v>0</v>
      </c>
      <c r="F26" s="535">
        <f>SUMIFS('📋 Despesas'!$J:$J,'📋 Despesas'!$B:$B,"&gt;="&amp;$H26,'📋 Despesas'!$B:$B,"&lt;"&amp;EDATE($H26,1))-C26-D26-E26</f>
        <v>0</v>
      </c>
      <c r="G26" s="543">
        <f t="shared" si="0"/>
        <v>0</v>
      </c>
      <c r="H26" s="537">
        <v>46813</v>
      </c>
    </row>
    <row r="27" spans="1:8" ht="19.95" hidden="1" customHeight="1">
      <c r="A27" s="546" t="str">
        <f t="shared" si="1"/>
        <v>ABR/28</v>
      </c>
      <c r="B27" s="539">
        <f>IF(SUMIFS('💸  Receitas'!$G:$G,'💸  Receitas'!$A:$A,"&gt;="&amp;$H27,'💸  Receitas'!$A:$A,"&lt;"&amp;EDATE($H27,1),'💸  Receitas'!$E:$E,"FATURAMENTO")=0,SUMIFS('💸  Receitas'!$G:$G,'💸  Receitas'!$A:$A,"&gt;="&amp;$H27,'💸  Receitas'!$A:$A,"&lt;"&amp;EDATE($H27,1),'💸  Receitas'!$E:$E,"&lt;&gt;"),SUMIFS('💸  Receitas'!$G:$G,'💸  Receitas'!$A:$A,"&gt;="&amp;$H27,'💸  Receitas'!$A:$A,"&lt;"&amp;EDATE($H27,1),'💸  Receitas'!$E:$E,"FATURAMENTO"))</f>
        <v>0</v>
      </c>
      <c r="C27" s="539">
        <f>SUMIFS('📋 Despesas'!$J:$J,'📋 Despesas'!$B:$B,"&gt;="&amp;$H27,'📋 Despesas'!$B:$B,"&lt;"&amp;EDATE($H27,1),'📋 Despesas'!$E:$E,"*INSS*")</f>
        <v>0</v>
      </c>
      <c r="D27" s="539">
        <f>SUMIFS('📋 Despesas'!$J:$J,'📋 Despesas'!$B:$B,"&gt;="&amp;$H27,'📋 Despesas'!$B:$B,"&lt;"&amp;EDATE($H27,1),'📋 Despesas'!$E:$E,"*PROLABORE*")+SUMIFS('📋 Despesas'!$J:$J,'📋 Despesas'!$B:$B,"&gt;="&amp;$H27,'📋 Despesas'!$B:$B,"&lt;"&amp;EDATE($H27,1),'📋 Despesas'!$E:$E,"*PRÓ-LABORE*")</f>
        <v>0</v>
      </c>
      <c r="E27" s="539">
        <f>SUMIFS('📋 Despesas'!$J:$J,'📋 Despesas'!$B:$B,"&gt;="&amp;$H27,'📋 Despesas'!$B:$B,"&lt;"&amp;EDATE($H27,1),'📋 Despesas'!$E:$E,"*DAS*")</f>
        <v>0</v>
      </c>
      <c r="F27" s="539">
        <f>SUMIFS('📋 Despesas'!$J:$J,'📋 Despesas'!$B:$B,"&gt;="&amp;$H27,'📋 Despesas'!$B:$B,"&lt;"&amp;EDATE($H27,1))-C27-D27-E27</f>
        <v>0</v>
      </c>
      <c r="G27" s="544">
        <f t="shared" si="0"/>
        <v>0</v>
      </c>
      <c r="H27" s="540">
        <v>46844</v>
      </c>
    </row>
    <row r="29" spans="1:8" ht="22.05" customHeight="1">
      <c r="A29" s="548" t="s">
        <v>4</v>
      </c>
      <c r="B29" s="548">
        <f t="shared" ref="B29:G29" si="2">SUM(B4:B27)</f>
        <v>10000</v>
      </c>
      <c r="C29" s="548">
        <f t="shared" si="2"/>
        <v>917.44</v>
      </c>
      <c r="D29" s="548">
        <f t="shared" si="2"/>
        <v>7422.92</v>
      </c>
      <c r="E29" s="548">
        <f t="shared" si="2"/>
        <v>600</v>
      </c>
      <c r="F29" s="548">
        <f t="shared" si="2"/>
        <v>1817.5900000000001</v>
      </c>
      <c r="G29" s="548">
        <f t="shared" si="2"/>
        <v>-757.95000000000027</v>
      </c>
      <c r="H29" s="536" t="s">
        <v>98</v>
      </c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5C261-75F1-400E-822F-2256081405EF}">
  <dimension ref="B2:N36"/>
  <sheetViews>
    <sheetView workbookViewId="0">
      <selection activeCell="A18" sqref="A18"/>
    </sheetView>
  </sheetViews>
  <sheetFormatPr defaultRowHeight="15.6"/>
  <cols>
    <col min="7" max="7" width="10.5" bestFit="1" customWidth="1"/>
    <col min="12" max="12" width="13.5" customWidth="1"/>
    <col min="13" max="13" width="10.69921875" customWidth="1"/>
  </cols>
  <sheetData>
    <row r="2" spans="2:14">
      <c r="G2" s="193" t="s">
        <v>203</v>
      </c>
    </row>
    <row r="3" spans="2:14">
      <c r="B3" s="193" t="s">
        <v>29</v>
      </c>
      <c r="D3" s="193" t="s">
        <v>28</v>
      </c>
      <c r="E3" s="193" t="s">
        <v>116</v>
      </c>
      <c r="G3" s="220">
        <v>46082</v>
      </c>
      <c r="I3" s="193" t="s">
        <v>191</v>
      </c>
      <c r="J3" s="193" t="s">
        <v>192</v>
      </c>
      <c r="L3" s="220">
        <v>45839</v>
      </c>
      <c r="M3" t="str">
        <f>PROPER(TEXT(L3,"mmmm"))</f>
        <v>Julho</v>
      </c>
      <c r="N3">
        <v>2025</v>
      </c>
    </row>
    <row r="4" spans="2:14">
      <c r="B4" s="193" t="s">
        <v>30</v>
      </c>
      <c r="D4" s="193" t="s">
        <v>33</v>
      </c>
      <c r="E4" s="193" t="s">
        <v>117</v>
      </c>
      <c r="G4" s="220">
        <v>46083</v>
      </c>
      <c r="I4" s="191">
        <v>18075.169999999998</v>
      </c>
      <c r="J4" s="191">
        <v>24308.34</v>
      </c>
      <c r="L4" s="220">
        <v>45870</v>
      </c>
      <c r="M4" t="str">
        <f t="shared" ref="M4:M12" si="0">PROPER(TEXT(L4,"mmmm"))</f>
        <v>Agosto</v>
      </c>
      <c r="N4">
        <v>2026</v>
      </c>
    </row>
    <row r="5" spans="2:14">
      <c r="B5" s="193" t="s">
        <v>32</v>
      </c>
      <c r="D5" s="193" t="s">
        <v>31</v>
      </c>
      <c r="G5" s="220">
        <v>46084</v>
      </c>
      <c r="I5" s="191">
        <v>24308.34</v>
      </c>
      <c r="J5" s="191"/>
      <c r="L5" s="220">
        <v>45901</v>
      </c>
      <c r="M5" t="str">
        <f t="shared" si="0"/>
        <v>Setembro</v>
      </c>
    </row>
    <row r="6" spans="2:14">
      <c r="D6" s="193" t="s">
        <v>118</v>
      </c>
      <c r="G6" s="220">
        <v>46085</v>
      </c>
      <c r="L6" s="220">
        <v>45931</v>
      </c>
      <c r="M6" t="str">
        <f t="shared" si="0"/>
        <v>Outubro</v>
      </c>
    </row>
    <row r="7" spans="2:14">
      <c r="D7" s="193" t="s">
        <v>119</v>
      </c>
      <c r="G7" s="220">
        <v>46086</v>
      </c>
      <c r="L7" s="220">
        <v>45962</v>
      </c>
      <c r="M7" t="str">
        <f t="shared" si="0"/>
        <v>Novembro</v>
      </c>
    </row>
    <row r="8" spans="2:14">
      <c r="G8" s="220">
        <v>46087</v>
      </c>
      <c r="L8" s="220">
        <v>45992</v>
      </c>
      <c r="M8" t="str">
        <f t="shared" si="0"/>
        <v>Dezembro</v>
      </c>
    </row>
    <row r="9" spans="2:14">
      <c r="G9" s="220">
        <v>46088</v>
      </c>
      <c r="L9" s="220">
        <v>46023</v>
      </c>
      <c r="M9" t="str">
        <f t="shared" si="0"/>
        <v>Janeiro</v>
      </c>
    </row>
    <row r="10" spans="2:14">
      <c r="G10" s="220">
        <v>46089</v>
      </c>
      <c r="L10" s="220">
        <v>46054</v>
      </c>
      <c r="M10" t="str">
        <f t="shared" si="0"/>
        <v>Fevereiro</v>
      </c>
    </row>
    <row r="11" spans="2:14">
      <c r="G11" s="220">
        <v>46090</v>
      </c>
      <c r="L11" s="220">
        <v>46082</v>
      </c>
      <c r="M11" t="str">
        <f t="shared" si="0"/>
        <v>Março</v>
      </c>
    </row>
    <row r="12" spans="2:14">
      <c r="G12" s="220">
        <v>46091</v>
      </c>
      <c r="L12" s="220">
        <v>46113</v>
      </c>
      <c r="M12" t="str">
        <f t="shared" si="0"/>
        <v>Abril</v>
      </c>
    </row>
    <row r="13" spans="2:14">
      <c r="G13" s="220">
        <v>46092</v>
      </c>
    </row>
    <row r="14" spans="2:14">
      <c r="G14" s="220">
        <v>46093</v>
      </c>
    </row>
    <row r="15" spans="2:14">
      <c r="G15" s="220">
        <v>46094</v>
      </c>
    </row>
    <row r="16" spans="2:14">
      <c r="G16" s="220">
        <v>46095</v>
      </c>
    </row>
    <row r="17" spans="7:7">
      <c r="G17" s="220">
        <v>46096</v>
      </c>
    </row>
    <row r="18" spans="7:7">
      <c r="G18" s="220">
        <v>46097</v>
      </c>
    </row>
    <row r="19" spans="7:7">
      <c r="G19" s="220">
        <v>46098</v>
      </c>
    </row>
    <row r="20" spans="7:7">
      <c r="G20" s="220">
        <v>46099</v>
      </c>
    </row>
    <row r="21" spans="7:7">
      <c r="G21" s="220">
        <v>46100</v>
      </c>
    </row>
    <row r="22" spans="7:7">
      <c r="G22" s="220">
        <v>46101</v>
      </c>
    </row>
    <row r="23" spans="7:7">
      <c r="G23" s="220">
        <v>46102</v>
      </c>
    </row>
    <row r="24" spans="7:7">
      <c r="G24" s="220">
        <v>46103</v>
      </c>
    </row>
    <row r="25" spans="7:7">
      <c r="G25" s="220">
        <v>46104</v>
      </c>
    </row>
    <row r="26" spans="7:7">
      <c r="G26" s="220">
        <v>46105</v>
      </c>
    </row>
    <row r="27" spans="7:7">
      <c r="G27" s="220">
        <v>46106</v>
      </c>
    </row>
    <row r="28" spans="7:7">
      <c r="G28" s="220">
        <v>46107</v>
      </c>
    </row>
    <row r="29" spans="7:7">
      <c r="G29" s="220">
        <v>46108</v>
      </c>
    </row>
    <row r="30" spans="7:7">
      <c r="G30" s="220">
        <v>46109</v>
      </c>
    </row>
    <row r="31" spans="7:7">
      <c r="G31" s="220">
        <v>46110</v>
      </c>
    </row>
    <row r="32" spans="7:7">
      <c r="G32" s="220">
        <v>46111</v>
      </c>
    </row>
    <row r="33" spans="7:7">
      <c r="G33" s="220">
        <v>46112</v>
      </c>
    </row>
    <row r="34" spans="7:7">
      <c r="G34" s="220"/>
    </row>
    <row r="35" spans="7:7">
      <c r="G35" s="220"/>
    </row>
    <row r="36" spans="7:7">
      <c r="G36" s="220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358E9-61A3-4721-9C8F-434C0D3F2D4C}">
  <sheetPr>
    <tabColor rgb="FFFFFF00"/>
    <outlinePr summaryBelow="0" summaryRight="0"/>
  </sheetPr>
  <dimension ref="A1:AA1000"/>
  <sheetViews>
    <sheetView showGridLines="0" workbookViewId="0">
      <pane ySplit="18" topLeftCell="A19" activePane="bottomLeft" state="frozen"/>
      <selection pane="bottomLeft" activeCell="B20" sqref="B20"/>
    </sheetView>
  </sheetViews>
  <sheetFormatPr defaultColWidth="11.19921875" defaultRowHeight="15" customHeight="1"/>
  <cols>
    <col min="1" max="1" width="2.296875" customWidth="1"/>
    <col min="2" max="2" width="16.19921875" customWidth="1"/>
    <col min="3" max="4" width="22.59765625" customWidth="1"/>
    <col min="5" max="5" width="16.19921875" customWidth="1"/>
    <col min="6" max="6" width="13.09765625" customWidth="1"/>
    <col min="7" max="7" width="17.296875" customWidth="1"/>
    <col min="8" max="8" width="18.59765625" customWidth="1"/>
    <col min="9" max="12" width="19.59765625" customWidth="1"/>
    <col min="13" max="13" width="20.796875" customWidth="1"/>
    <col min="14" max="14" width="18.59765625" customWidth="1"/>
    <col min="15" max="16" width="3.19921875" customWidth="1"/>
    <col min="17" max="17" width="22.796875" customWidth="1"/>
    <col min="18" max="18" width="15" customWidth="1"/>
    <col min="19" max="19" width="16.19921875" customWidth="1"/>
    <col min="20" max="20" width="16.5" customWidth="1"/>
    <col min="21" max="22" width="16.19921875" customWidth="1"/>
    <col min="23" max="23" width="4" customWidth="1"/>
    <col min="24" max="24" width="12.19921875" customWidth="1"/>
    <col min="25" max="25" width="19.296875" customWidth="1"/>
  </cols>
  <sheetData>
    <row r="1" spans="1:27" ht="15.6">
      <c r="A1" s="263"/>
      <c r="B1" s="263"/>
      <c r="C1" s="264"/>
      <c r="D1" s="102"/>
      <c r="E1" s="102"/>
      <c r="F1" s="265"/>
      <c r="G1" s="263"/>
      <c r="H1" s="266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</row>
    <row r="2" spans="1:27" ht="18">
      <c r="A2" s="263"/>
      <c r="B2" s="98">
        <v>2024</v>
      </c>
      <c r="C2" s="99" t="s">
        <v>127</v>
      </c>
      <c r="D2" s="100" t="s">
        <v>128</v>
      </c>
      <c r="E2" s="101" t="s">
        <v>129</v>
      </c>
      <c r="F2" s="102"/>
      <c r="G2" s="103" t="s">
        <v>130</v>
      </c>
      <c r="H2" s="267" t="s">
        <v>4</v>
      </c>
      <c r="I2" s="104">
        <v>1</v>
      </c>
      <c r="J2" s="53"/>
      <c r="K2" s="105" t="str">
        <f>B3</f>
        <v>Setembro</v>
      </c>
      <c r="L2" s="106" t="s">
        <v>131</v>
      </c>
      <c r="M2" s="107">
        <f>F10</f>
        <v>1</v>
      </c>
      <c r="N2" s="108">
        <f>F11</f>
        <v>0</v>
      </c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</row>
    <row r="3" spans="1:27" ht="18">
      <c r="A3" s="263"/>
      <c r="B3" s="98" t="s">
        <v>121</v>
      </c>
      <c r="C3" s="268" t="e">
        <f>SUMIFS(E19:E936,C19:C936,B3,B19:B936,B2)</f>
        <v>#REF!</v>
      </c>
      <c r="D3" s="268" t="e">
        <f>SUMIFS(G19:G936,C19:C936,B3,B19:B936,B2)</f>
        <v>#REF!</v>
      </c>
      <c r="E3" s="109">
        <f>SUMIFS(H19:H936,C19:C936,B3,B19:B936,B2)</f>
        <v>0</v>
      </c>
      <c r="F3" s="102"/>
      <c r="G3" s="110" t="s">
        <v>6</v>
      </c>
      <c r="H3" s="111" t="s">
        <v>132</v>
      </c>
      <c r="I3" s="269" t="s">
        <v>133</v>
      </c>
      <c r="J3" s="53"/>
      <c r="K3" s="112">
        <f>I11</f>
        <v>0.02</v>
      </c>
      <c r="L3" s="113" t="s">
        <v>134</v>
      </c>
      <c r="M3" s="114">
        <f>G10</f>
        <v>1</v>
      </c>
      <c r="N3" s="115">
        <f>G11</f>
        <v>0</v>
      </c>
      <c r="O3" s="102"/>
      <c r="P3" s="367"/>
      <c r="Q3" s="367"/>
      <c r="R3" s="367"/>
      <c r="S3" s="367"/>
      <c r="T3" s="367"/>
      <c r="U3" s="367"/>
      <c r="V3" s="367"/>
      <c r="W3" s="367"/>
      <c r="X3" s="367"/>
      <c r="Y3" s="367"/>
      <c r="Z3" s="102"/>
      <c r="AA3" s="102"/>
    </row>
    <row r="4" spans="1:27" ht="17.25" customHeight="1">
      <c r="A4" s="102"/>
      <c r="B4" s="116" t="s">
        <v>135</v>
      </c>
      <c r="C4" s="117" t="s">
        <v>136</v>
      </c>
      <c r="D4" s="117" t="s">
        <v>137</v>
      </c>
      <c r="E4" s="118" t="s">
        <v>138</v>
      </c>
      <c r="F4" s="102"/>
      <c r="G4" s="119" t="s">
        <v>139</v>
      </c>
      <c r="H4" s="120">
        <v>0.05</v>
      </c>
      <c r="I4" s="270">
        <v>0.35</v>
      </c>
      <c r="J4" s="53"/>
      <c r="K4" s="121" t="s">
        <v>140</v>
      </c>
      <c r="L4" s="122" t="s">
        <v>141</v>
      </c>
      <c r="M4" s="122" t="s">
        <v>142</v>
      </c>
      <c r="N4" s="123" t="s">
        <v>10</v>
      </c>
      <c r="O4" s="102"/>
      <c r="P4" s="367"/>
      <c r="Q4" s="124" t="s">
        <v>143</v>
      </c>
      <c r="R4" s="125" t="str">
        <f>K2</f>
        <v>Setembro</v>
      </c>
      <c r="S4" s="126">
        <f>D5</f>
        <v>0</v>
      </c>
      <c r="T4" s="127">
        <f>D6</f>
        <v>0</v>
      </c>
      <c r="U4" s="128">
        <f>D7</f>
        <v>0</v>
      </c>
      <c r="V4" s="129">
        <f>D8</f>
        <v>0</v>
      </c>
      <c r="W4" s="367"/>
      <c r="X4" s="367"/>
      <c r="Y4" s="367"/>
      <c r="Z4" s="102"/>
      <c r="AA4" s="102"/>
    </row>
    <row r="5" spans="1:27" ht="16.5" customHeight="1">
      <c r="A5" s="102"/>
      <c r="B5" s="130" t="s">
        <v>144</v>
      </c>
      <c r="C5" s="131" t="s">
        <v>145</v>
      </c>
      <c r="D5" s="131">
        <f>SUMIFS(I19:I936,B19:B936,B2,C19:C936,B3)</f>
        <v>0</v>
      </c>
      <c r="E5" s="271">
        <f t="shared" ref="E5:E8" si="0">$E$3-D5</f>
        <v>0</v>
      </c>
      <c r="F5" s="102"/>
      <c r="G5" s="119" t="s">
        <v>146</v>
      </c>
      <c r="H5" s="120">
        <v>0.03</v>
      </c>
      <c r="I5" s="270">
        <v>0.35</v>
      </c>
      <c r="J5" s="53"/>
      <c r="K5" s="132" t="s">
        <v>147</v>
      </c>
      <c r="L5" s="133" t="s">
        <v>148</v>
      </c>
      <c r="M5" s="134">
        <f t="shared" ref="M5:M8" si="1">IF($K5=$B$12,$E$12,(IF($K5=$B$13,$E$13,(IF($K5=$B$14,$E$14,0)))))</f>
        <v>0.3</v>
      </c>
      <c r="N5" s="135">
        <f t="shared" ref="N5:N8" si="2">M5*$N$3</f>
        <v>0</v>
      </c>
      <c r="O5" s="102"/>
      <c r="P5" s="367"/>
      <c r="Q5" s="272" t="str">
        <f>K2</f>
        <v>Setembro</v>
      </c>
      <c r="R5" s="136" t="s">
        <v>149</v>
      </c>
      <c r="S5" s="273" t="s">
        <v>150</v>
      </c>
      <c r="T5" s="274" t="s">
        <v>151</v>
      </c>
      <c r="U5" s="275" t="s">
        <v>152</v>
      </c>
      <c r="V5" s="276" t="s">
        <v>153</v>
      </c>
      <c r="W5" s="367"/>
      <c r="X5" s="576" t="s">
        <v>154</v>
      </c>
      <c r="Y5" s="577"/>
      <c r="Z5" s="102"/>
      <c r="AA5" s="102"/>
    </row>
    <row r="6" spans="1:27" ht="16.5" customHeight="1">
      <c r="A6" s="102"/>
      <c r="B6" s="137" t="s">
        <v>155</v>
      </c>
      <c r="C6" s="138" t="s">
        <v>156</v>
      </c>
      <c r="D6" s="138">
        <f>SUMIFS(J19:J936,B19:B936,B2,C19:C936,B3)</f>
        <v>0</v>
      </c>
      <c r="E6" s="277">
        <f t="shared" si="0"/>
        <v>0</v>
      </c>
      <c r="F6" s="102"/>
      <c r="G6" s="139" t="s">
        <v>157</v>
      </c>
      <c r="H6" s="140">
        <v>0.1</v>
      </c>
      <c r="I6" s="278">
        <v>0.3</v>
      </c>
      <c r="J6" s="53"/>
      <c r="K6" s="132" t="s">
        <v>158</v>
      </c>
      <c r="L6" s="133" t="s">
        <v>159</v>
      </c>
      <c r="M6" s="134">
        <f t="shared" si="1"/>
        <v>0</v>
      </c>
      <c r="N6" s="135">
        <f t="shared" si="2"/>
        <v>0</v>
      </c>
      <c r="O6" s="263"/>
      <c r="P6" s="279"/>
      <c r="Q6" s="280" t="s">
        <v>160</v>
      </c>
      <c r="R6" s="281"/>
      <c r="S6" s="282"/>
      <c r="T6" s="282"/>
      <c r="U6" s="282"/>
      <c r="V6" s="282"/>
      <c r="W6" s="279"/>
      <c r="X6" s="141">
        <v>14</v>
      </c>
      <c r="Y6" s="142" t="s">
        <v>161</v>
      </c>
      <c r="Z6" s="102"/>
      <c r="AA6" s="102"/>
    </row>
    <row r="7" spans="1:27" ht="16.5" customHeight="1">
      <c r="A7" s="102"/>
      <c r="B7" s="143" t="s">
        <v>162</v>
      </c>
      <c r="C7" s="144" t="s">
        <v>163</v>
      </c>
      <c r="D7" s="144">
        <f>SUMIFS(K19:K936,B19:B936,B2,C19:C936,B3)</f>
        <v>0</v>
      </c>
      <c r="E7" s="283">
        <f t="shared" si="0"/>
        <v>0</v>
      </c>
      <c r="F7" s="102"/>
      <c r="G7" s="53"/>
      <c r="H7" s="53"/>
      <c r="I7" s="53"/>
      <c r="J7" s="53"/>
      <c r="K7" s="132" t="s">
        <v>164</v>
      </c>
      <c r="L7" s="133" t="s">
        <v>165</v>
      </c>
      <c r="M7" s="134">
        <f t="shared" si="1"/>
        <v>0.22499999999999998</v>
      </c>
      <c r="N7" s="135">
        <f t="shared" si="2"/>
        <v>0</v>
      </c>
      <c r="O7" s="263"/>
      <c r="P7" s="279"/>
      <c r="Q7" s="280" t="s">
        <v>166</v>
      </c>
      <c r="R7" s="281"/>
      <c r="S7" s="282"/>
      <c r="T7" s="282"/>
      <c r="U7" s="282"/>
      <c r="V7" s="282"/>
      <c r="W7" s="279"/>
      <c r="X7" s="145">
        <f>R11</f>
        <v>0</v>
      </c>
      <c r="Y7" s="142" t="s">
        <v>167</v>
      </c>
      <c r="Z7" s="102"/>
      <c r="AA7" s="102"/>
    </row>
    <row r="8" spans="1:27" ht="16.5" customHeight="1">
      <c r="A8" s="102"/>
      <c r="B8" s="146" t="s">
        <v>168</v>
      </c>
      <c r="C8" s="147" t="s">
        <v>169</v>
      </c>
      <c r="D8" s="147">
        <f>SUMIFS(L19:L936,B19:B936,B2,C19:C936,B3)</f>
        <v>0</v>
      </c>
      <c r="E8" s="284">
        <f t="shared" si="0"/>
        <v>0</v>
      </c>
      <c r="F8" s="102"/>
      <c r="G8" s="102"/>
      <c r="H8" s="53"/>
      <c r="I8" s="263"/>
      <c r="J8" s="53"/>
      <c r="K8" s="132" t="s">
        <v>164</v>
      </c>
      <c r="L8" s="133" t="s">
        <v>170</v>
      </c>
      <c r="M8" s="134">
        <f t="shared" si="1"/>
        <v>0.22499999999999998</v>
      </c>
      <c r="N8" s="135">
        <f t="shared" si="2"/>
        <v>0</v>
      </c>
      <c r="O8" s="263"/>
      <c r="P8" s="279"/>
      <c r="Q8" s="280" t="s">
        <v>171</v>
      </c>
      <c r="R8" s="281"/>
      <c r="S8" s="282"/>
      <c r="T8" s="282"/>
      <c r="U8" s="282"/>
      <c r="V8" s="282"/>
      <c r="W8" s="279"/>
      <c r="X8" s="145">
        <f>X7/X6</f>
        <v>0</v>
      </c>
      <c r="Y8" s="142" t="s">
        <v>172</v>
      </c>
      <c r="Z8" s="102"/>
      <c r="AA8" s="102"/>
    </row>
    <row r="9" spans="1:27" ht="15.6">
      <c r="A9" s="102"/>
      <c r="B9" s="102"/>
      <c r="C9" s="266"/>
      <c r="D9" s="102"/>
      <c r="E9" s="102"/>
      <c r="F9" s="102"/>
      <c r="G9" s="102"/>
      <c r="H9" s="53"/>
      <c r="I9" s="263"/>
      <c r="J9" s="53"/>
      <c r="K9" s="132"/>
      <c r="L9" s="133"/>
      <c r="M9" s="134"/>
      <c r="N9" s="135"/>
      <c r="O9" s="263"/>
      <c r="P9" s="279"/>
      <c r="Q9" s="280" t="s">
        <v>173</v>
      </c>
      <c r="R9" s="281"/>
      <c r="S9" s="282"/>
      <c r="T9" s="282"/>
      <c r="U9" s="282"/>
      <c r="V9" s="282"/>
      <c r="W9" s="279"/>
      <c r="X9" s="148">
        <v>26</v>
      </c>
      <c r="Y9" s="142" t="s">
        <v>174</v>
      </c>
      <c r="Z9" s="102"/>
      <c r="AA9" s="102"/>
    </row>
    <row r="10" spans="1:27" ht="18">
      <c r="A10" s="102"/>
      <c r="B10" s="578" t="s">
        <v>175</v>
      </c>
      <c r="C10" s="579"/>
      <c r="D10" s="579"/>
      <c r="E10" s="579"/>
      <c r="F10" s="149">
        <v>1</v>
      </c>
      <c r="G10" s="285">
        <f>I2</f>
        <v>1</v>
      </c>
      <c r="H10" s="53"/>
      <c r="I10" s="150" t="str">
        <f>IF(I11=I17,I18,(IF(I11=J17,J18,(IF(I11=K17,K18,(IF(I11=L17,L18,"NÃO BATEU")))))))</f>
        <v>ULTRA</v>
      </c>
      <c r="J10" s="53"/>
      <c r="K10" s="132"/>
      <c r="L10" s="133"/>
      <c r="M10" s="134"/>
      <c r="N10" s="135"/>
      <c r="O10" s="263"/>
      <c r="P10" s="279"/>
      <c r="Q10" s="280" t="s">
        <v>176</v>
      </c>
      <c r="R10" s="281"/>
      <c r="S10" s="282"/>
      <c r="T10" s="282"/>
      <c r="U10" s="282"/>
      <c r="V10" s="282"/>
      <c r="W10" s="367"/>
      <c r="X10" s="151">
        <f>X9*X8</f>
        <v>0</v>
      </c>
      <c r="Y10" s="152" t="s">
        <v>154</v>
      </c>
      <c r="Z10" s="102"/>
      <c r="AA10" s="102"/>
    </row>
    <row r="11" spans="1:27" ht="18">
      <c r="A11" s="102"/>
      <c r="B11" s="286" t="s">
        <v>177</v>
      </c>
      <c r="C11" s="287" t="s">
        <v>178</v>
      </c>
      <c r="D11" s="153" t="s">
        <v>179</v>
      </c>
      <c r="E11" s="154" t="s">
        <v>180</v>
      </c>
      <c r="F11" s="155">
        <f>E3*I11</f>
        <v>0</v>
      </c>
      <c r="G11" s="288">
        <f>G10*F11</f>
        <v>0</v>
      </c>
      <c r="H11" s="53"/>
      <c r="I11" s="156">
        <f>IF(E3&gt;=D8,L17,(IF(E3&gt;=D7,K17,(IF(E3&gt;=D6,J17,(IF(E3&gt;=D5,I17,0)))))))</f>
        <v>0.02</v>
      </c>
      <c r="J11" s="53"/>
      <c r="K11" s="132"/>
      <c r="L11" s="133"/>
      <c r="M11" s="134"/>
      <c r="N11" s="135"/>
      <c r="O11" s="102"/>
      <c r="P11" s="367"/>
      <c r="Q11" s="289" t="s">
        <v>181</v>
      </c>
      <c r="R11" s="157">
        <f>I34</f>
        <v>0</v>
      </c>
      <c r="S11" s="290">
        <f t="shared" ref="S11:V11" si="3">$R$11-S4</f>
        <v>0</v>
      </c>
      <c r="T11" s="290">
        <f t="shared" si="3"/>
        <v>0</v>
      </c>
      <c r="U11" s="290">
        <f t="shared" si="3"/>
        <v>0</v>
      </c>
      <c r="V11" s="290">
        <f t="shared" si="3"/>
        <v>0</v>
      </c>
      <c r="W11" s="279"/>
      <c r="X11" s="367"/>
      <c r="Y11" s="367"/>
      <c r="Z11" s="102"/>
      <c r="AA11" s="102"/>
    </row>
    <row r="12" spans="1:27" ht="15.6">
      <c r="A12" s="102"/>
      <c r="B12" s="291" t="s">
        <v>147</v>
      </c>
      <c r="C12" s="158">
        <v>1</v>
      </c>
      <c r="D12" s="159">
        <v>0.3</v>
      </c>
      <c r="E12" s="160">
        <f>D12/C12</f>
        <v>0.3</v>
      </c>
      <c r="F12" s="161">
        <f t="shared" ref="F12:F14" si="4">$F$11*E12</f>
        <v>0</v>
      </c>
      <c r="G12" s="161">
        <f t="shared" ref="G12:G14" si="5">$G$11*E12</f>
        <v>0</v>
      </c>
      <c r="H12" s="53"/>
      <c r="I12" s="102"/>
      <c r="J12" s="53"/>
      <c r="K12" s="132"/>
      <c r="L12" s="133"/>
      <c r="M12" s="134"/>
      <c r="N12" s="135"/>
      <c r="O12" s="102"/>
      <c r="P12" s="367"/>
      <c r="Q12" s="575"/>
      <c r="R12" s="575"/>
      <c r="S12" s="575"/>
      <c r="T12" s="575"/>
      <c r="U12" s="575"/>
      <c r="V12" s="575"/>
      <c r="W12" s="279"/>
      <c r="X12" s="575"/>
      <c r="Y12" s="575"/>
      <c r="Z12" s="102"/>
      <c r="AA12" s="102"/>
    </row>
    <row r="13" spans="1:27" ht="15.6">
      <c r="A13" s="102"/>
      <c r="B13" s="291" t="s">
        <v>182</v>
      </c>
      <c r="C13" s="158">
        <v>1</v>
      </c>
      <c r="D13" s="159">
        <v>0.25</v>
      </c>
      <c r="E13" s="292">
        <f>IF(C13="","",(IF(C13=0,"",(D13/C13))))</f>
        <v>0.25</v>
      </c>
      <c r="F13" s="293">
        <f t="shared" si="4"/>
        <v>0</v>
      </c>
      <c r="G13" s="293">
        <f t="shared" si="5"/>
        <v>0</v>
      </c>
      <c r="H13" s="53"/>
      <c r="I13" s="102"/>
      <c r="J13" s="53"/>
      <c r="K13" s="132"/>
      <c r="L13" s="133"/>
      <c r="M13" s="134"/>
      <c r="N13" s="135"/>
      <c r="O13" s="102"/>
      <c r="P13" s="367"/>
      <c r="Q13" s="556"/>
      <c r="R13" s="556"/>
      <c r="S13" s="556"/>
      <c r="T13" s="556"/>
      <c r="U13" s="556"/>
      <c r="V13" s="556"/>
      <c r="W13" s="279"/>
      <c r="X13" s="556"/>
      <c r="Y13" s="556"/>
      <c r="Z13" s="102"/>
      <c r="AA13" s="102"/>
    </row>
    <row r="14" spans="1:27" ht="15.6">
      <c r="A14" s="102"/>
      <c r="B14" s="294" t="s">
        <v>164</v>
      </c>
      <c r="C14" s="162">
        <v>2</v>
      </c>
      <c r="D14" s="295">
        <f>1-(D12+D13)</f>
        <v>0.44999999999999996</v>
      </c>
      <c r="E14" s="163">
        <f>D14/C14</f>
        <v>0.22499999999999998</v>
      </c>
      <c r="F14" s="296">
        <f t="shared" si="4"/>
        <v>0</v>
      </c>
      <c r="G14" s="296">
        <f t="shared" si="5"/>
        <v>0</v>
      </c>
      <c r="H14" s="53"/>
      <c r="I14" s="263"/>
      <c r="J14" s="53"/>
      <c r="K14" s="164"/>
      <c r="L14" s="133"/>
      <c r="M14" s="134"/>
      <c r="N14" s="135"/>
      <c r="O14" s="263"/>
      <c r="P14" s="263"/>
      <c r="Q14" s="102"/>
      <c r="R14" s="102"/>
      <c r="S14" s="102"/>
      <c r="T14" s="102"/>
      <c r="U14" s="102"/>
      <c r="V14" s="102"/>
      <c r="W14" s="102"/>
      <c r="X14" s="102"/>
      <c r="Y14" s="102"/>
      <c r="Z14" s="102"/>
      <c r="AA14" s="102"/>
    </row>
    <row r="15" spans="1:27" ht="15.6">
      <c r="A15" s="102"/>
      <c r="B15" s="53"/>
      <c r="C15" s="53"/>
      <c r="D15" s="53"/>
      <c r="E15" s="53"/>
      <c r="F15" s="102"/>
      <c r="G15" s="102"/>
      <c r="H15" s="266"/>
      <c r="I15" s="102"/>
      <c r="J15" s="102"/>
      <c r="K15" s="297"/>
      <c r="L15" s="165"/>
      <c r="M15" s="165"/>
      <c r="N15" s="166"/>
      <c r="O15" s="263"/>
      <c r="P15" s="263"/>
      <c r="Q15" s="102"/>
      <c r="R15" s="102"/>
      <c r="S15" s="102"/>
      <c r="T15" s="102"/>
      <c r="U15" s="102"/>
      <c r="V15" s="102"/>
      <c r="W15" s="102"/>
      <c r="X15" s="102"/>
      <c r="Y15" s="102"/>
      <c r="Z15" s="102"/>
      <c r="AA15" s="102"/>
    </row>
    <row r="16" spans="1:27" ht="6" customHeight="1">
      <c r="A16" s="53"/>
      <c r="B16" s="53"/>
      <c r="C16" s="53"/>
      <c r="D16" s="53"/>
      <c r="E16" s="53"/>
      <c r="F16" s="53"/>
      <c r="G16" s="53"/>
      <c r="H16" s="298"/>
      <c r="I16" s="53"/>
      <c r="J16" s="53"/>
      <c r="K16" s="53"/>
      <c r="L16" s="53"/>
      <c r="M16" s="53"/>
      <c r="N16" s="299"/>
      <c r="O16" s="299"/>
      <c r="P16" s="299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</row>
    <row r="17" spans="1:27" ht="15.6">
      <c r="A17" s="53"/>
      <c r="B17" s="167"/>
      <c r="C17" s="167"/>
      <c r="D17" s="167"/>
      <c r="E17" s="167"/>
      <c r="F17" s="168"/>
      <c r="G17" s="169"/>
      <c r="H17" s="169"/>
      <c r="I17" s="170">
        <v>1.4999999999999999E-2</v>
      </c>
      <c r="J17" s="170">
        <v>1.6E-2</v>
      </c>
      <c r="K17" s="170">
        <v>1.7500000000000002E-2</v>
      </c>
      <c r="L17" s="170">
        <v>0.02</v>
      </c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</row>
    <row r="18" spans="1:27" ht="15.6">
      <c r="A18" s="53"/>
      <c r="B18" s="171" t="s">
        <v>42</v>
      </c>
      <c r="C18" s="300" t="s">
        <v>183</v>
      </c>
      <c r="D18" s="171" t="s">
        <v>184</v>
      </c>
      <c r="E18" s="171" t="s">
        <v>9</v>
      </c>
      <c r="F18" s="172" t="s">
        <v>185</v>
      </c>
      <c r="G18" s="173" t="s">
        <v>9</v>
      </c>
      <c r="H18" s="174" t="s">
        <v>186</v>
      </c>
      <c r="I18" s="172" t="s">
        <v>145</v>
      </c>
      <c r="J18" s="172" t="s">
        <v>156</v>
      </c>
      <c r="K18" s="172" t="s">
        <v>163</v>
      </c>
      <c r="L18" s="172" t="s">
        <v>169</v>
      </c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</row>
    <row r="19" spans="1:27" ht="15.6">
      <c r="A19" s="53"/>
      <c r="B19" s="175">
        <v>2024</v>
      </c>
      <c r="C19" s="301" t="s">
        <v>125</v>
      </c>
      <c r="D19" s="176" t="e">
        <f t="shared" ref="D19:D42" si="6">H19-F19</f>
        <v>#REF!</v>
      </c>
      <c r="E19" s="177" t="e">
        <f t="shared" ref="E19:E42" si="7">IF(D19=0,"",D19/H19)</f>
        <v>#REF!</v>
      </c>
      <c r="F19" s="176" t="e">
        <f>SUMIFS('💸  Receitas'!#REF!,'💸  Receitas'!C:C,B19,'💸  Receitas'!D:D,C19)</f>
        <v>#REF!</v>
      </c>
      <c r="G19" s="177" t="e">
        <f t="shared" ref="G19:G42" si="8">IF(F19=0,"",F19/H19)</f>
        <v>#REF!</v>
      </c>
      <c r="H19" s="178">
        <f>SUMIFS('💸  Receitas'!I:I,'💸  Receitas'!C:C,B19,'💸  Receitas'!D:D,C19)</f>
        <v>0</v>
      </c>
      <c r="I19" s="179">
        <v>305000</v>
      </c>
      <c r="J19" s="180">
        <v>320000</v>
      </c>
      <c r="K19" s="180">
        <v>345000</v>
      </c>
      <c r="L19" s="180">
        <v>365000</v>
      </c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</row>
    <row r="20" spans="1:27" ht="15.6">
      <c r="A20" s="53"/>
      <c r="B20" s="175">
        <v>2024</v>
      </c>
      <c r="C20" s="301" t="s">
        <v>126</v>
      </c>
      <c r="D20" s="176" t="e">
        <f t="shared" si="6"/>
        <v>#REF!</v>
      </c>
      <c r="E20" s="177" t="e">
        <f t="shared" si="7"/>
        <v>#REF!</v>
      </c>
      <c r="F20" s="176" t="e">
        <f>SUMIFS('💸  Receitas'!#REF!,'💸  Receitas'!C:C,B20,'💸  Receitas'!D:D,C20)</f>
        <v>#REF!</v>
      </c>
      <c r="G20" s="177" t="e">
        <f t="shared" si="8"/>
        <v>#REF!</v>
      </c>
      <c r="H20" s="178">
        <f>SUMIFS('💸  Receitas'!I:I,'💸  Receitas'!C:C,B20,'💸  Receitas'!D:D,C20)</f>
        <v>0</v>
      </c>
      <c r="I20" s="179">
        <v>305000</v>
      </c>
      <c r="J20" s="180">
        <v>320000</v>
      </c>
      <c r="K20" s="180">
        <v>345000</v>
      </c>
      <c r="L20" s="180">
        <v>365000</v>
      </c>
      <c r="M20" s="53"/>
      <c r="N20" s="53"/>
      <c r="O20" s="53"/>
      <c r="P20" s="53"/>
      <c r="Q20" s="53"/>
      <c r="R20" s="53"/>
      <c r="S20" s="181"/>
      <c r="T20" s="53"/>
      <c r="U20" s="53"/>
      <c r="V20" s="53"/>
      <c r="W20" s="53"/>
      <c r="X20" s="53"/>
      <c r="Y20" s="53"/>
      <c r="Z20" s="53"/>
      <c r="AA20" s="53"/>
    </row>
    <row r="21" spans="1:27" ht="15.75" customHeight="1">
      <c r="A21" s="53"/>
      <c r="B21" s="175">
        <v>2024</v>
      </c>
      <c r="C21" s="301" t="s">
        <v>187</v>
      </c>
      <c r="D21" s="176" t="e">
        <f t="shared" si="6"/>
        <v>#REF!</v>
      </c>
      <c r="E21" s="177" t="e">
        <f t="shared" si="7"/>
        <v>#REF!</v>
      </c>
      <c r="F21" s="176" t="e">
        <f>SUMIFS('💸  Receitas'!#REF!,'💸  Receitas'!C:C,B21,'💸  Receitas'!D:D,C21)</f>
        <v>#REF!</v>
      </c>
      <c r="G21" s="177" t="e">
        <f t="shared" si="8"/>
        <v>#REF!</v>
      </c>
      <c r="H21" s="178">
        <f>SUMIFS('💸  Receitas'!I:I,'💸  Receitas'!C:C,B21,'💸  Receitas'!D:D,C21)</f>
        <v>0</v>
      </c>
      <c r="I21" s="179"/>
      <c r="J21" s="180"/>
      <c r="K21" s="180"/>
      <c r="L21" s="180"/>
      <c r="M21" s="53"/>
      <c r="N21" s="53"/>
      <c r="O21" s="53"/>
      <c r="P21" s="53"/>
      <c r="Q21" s="53"/>
      <c r="R21" s="53"/>
      <c r="S21" s="182"/>
      <c r="T21" s="53"/>
      <c r="U21" s="53"/>
      <c r="V21" s="53"/>
      <c r="W21" s="53"/>
      <c r="X21" s="53"/>
      <c r="Y21" s="53"/>
      <c r="Z21" s="53"/>
      <c r="AA21" s="53"/>
    </row>
    <row r="22" spans="1:27" ht="15.75" customHeight="1">
      <c r="A22" s="53"/>
      <c r="B22" s="175">
        <v>2024</v>
      </c>
      <c r="C22" s="301" t="s">
        <v>188</v>
      </c>
      <c r="D22" s="176" t="e">
        <f t="shared" si="6"/>
        <v>#REF!</v>
      </c>
      <c r="E22" s="177" t="e">
        <f t="shared" si="7"/>
        <v>#REF!</v>
      </c>
      <c r="F22" s="176" t="e">
        <f>SUMIFS('💸  Receitas'!#REF!,'💸  Receitas'!C:C,B22,'💸  Receitas'!D:D,C22)</f>
        <v>#REF!</v>
      </c>
      <c r="G22" s="177" t="e">
        <f t="shared" si="8"/>
        <v>#REF!</v>
      </c>
      <c r="H22" s="178">
        <f>SUMIFS('💸  Receitas'!I:I,'💸  Receitas'!C:C,B22,'💸  Receitas'!D:D,C22)</f>
        <v>0</v>
      </c>
      <c r="I22" s="179"/>
      <c r="J22" s="180"/>
      <c r="K22" s="180"/>
      <c r="L22" s="180"/>
      <c r="M22" s="53"/>
      <c r="N22" s="53"/>
      <c r="O22" s="53"/>
      <c r="P22" s="53"/>
      <c r="Q22" s="53"/>
      <c r="R22" s="53"/>
      <c r="S22" s="181"/>
      <c r="T22" s="53"/>
      <c r="U22" s="53"/>
      <c r="V22" s="53"/>
      <c r="W22" s="53"/>
      <c r="X22" s="53"/>
      <c r="Y22" s="53"/>
      <c r="Z22" s="53"/>
      <c r="AA22" s="53"/>
    </row>
    <row r="23" spans="1:27" ht="15.75" customHeight="1">
      <c r="A23" s="53"/>
      <c r="B23" s="175">
        <v>2024</v>
      </c>
      <c r="C23" s="301" t="s">
        <v>189</v>
      </c>
      <c r="D23" s="176" t="e">
        <f t="shared" si="6"/>
        <v>#REF!</v>
      </c>
      <c r="E23" s="177" t="e">
        <f t="shared" si="7"/>
        <v>#REF!</v>
      </c>
      <c r="F23" s="176" t="e">
        <f>SUMIFS('💸  Receitas'!#REF!,'💸  Receitas'!C:C,B23,'💸  Receitas'!D:D,C23)</f>
        <v>#REF!</v>
      </c>
      <c r="G23" s="177" t="e">
        <f t="shared" si="8"/>
        <v>#REF!</v>
      </c>
      <c r="H23" s="178">
        <f>SUMIFS('💸  Receitas'!I:I,'💸  Receitas'!C:C,B23,'💸  Receitas'!D:D,C23)</f>
        <v>0</v>
      </c>
      <c r="I23" s="179"/>
      <c r="J23" s="180"/>
      <c r="K23" s="180"/>
      <c r="L23" s="180"/>
      <c r="M23" s="53"/>
      <c r="N23" s="53"/>
      <c r="O23" s="53"/>
      <c r="P23" s="53"/>
      <c r="Q23" s="53"/>
      <c r="R23" s="53"/>
      <c r="S23" s="182"/>
      <c r="T23" s="53"/>
      <c r="U23" s="53"/>
      <c r="V23" s="53"/>
      <c r="W23" s="53"/>
      <c r="X23" s="53"/>
      <c r="Y23" s="53"/>
      <c r="Z23" s="53"/>
      <c r="AA23" s="53"/>
    </row>
    <row r="24" spans="1:27" ht="15.75" customHeight="1">
      <c r="A24" s="53"/>
      <c r="B24" s="175">
        <v>2024</v>
      </c>
      <c r="C24" s="301" t="s">
        <v>190</v>
      </c>
      <c r="D24" s="176" t="e">
        <f t="shared" si="6"/>
        <v>#REF!</v>
      </c>
      <c r="E24" s="177" t="e">
        <f t="shared" si="7"/>
        <v>#REF!</v>
      </c>
      <c r="F24" s="176" t="e">
        <f>SUMIFS('💸  Receitas'!#REF!,'💸  Receitas'!C:C,B24,'💸  Receitas'!D:D,C24)</f>
        <v>#REF!</v>
      </c>
      <c r="G24" s="177" t="e">
        <f t="shared" si="8"/>
        <v>#REF!</v>
      </c>
      <c r="H24" s="178">
        <f>SUMIFS('💸  Receitas'!I:I,'💸  Receitas'!C:C,B24,'💸  Receitas'!D:D,C24)</f>
        <v>0</v>
      </c>
      <c r="I24" s="179"/>
      <c r="J24" s="180"/>
      <c r="K24" s="180"/>
      <c r="L24" s="180"/>
      <c r="M24" s="53"/>
      <c r="N24" s="53"/>
      <c r="O24" s="53"/>
      <c r="P24" s="53"/>
      <c r="Q24" s="53"/>
      <c r="R24" s="53"/>
      <c r="S24" s="181"/>
      <c r="T24" s="53"/>
      <c r="U24" s="53"/>
      <c r="V24" s="53"/>
      <c r="W24" s="53"/>
      <c r="X24" s="53"/>
      <c r="Y24" s="53"/>
      <c r="Z24" s="53"/>
      <c r="AA24" s="53"/>
    </row>
    <row r="25" spans="1:27" ht="15.75" customHeight="1">
      <c r="A25" s="53"/>
      <c r="B25" s="175">
        <v>2024</v>
      </c>
      <c r="C25" s="301" t="s">
        <v>5</v>
      </c>
      <c r="D25" s="176" t="e">
        <f t="shared" si="6"/>
        <v>#REF!</v>
      </c>
      <c r="E25" s="177" t="e">
        <f t="shared" si="7"/>
        <v>#REF!</v>
      </c>
      <c r="F25" s="176" t="e">
        <f>SUMIFS('💸  Receitas'!#REF!,'💸  Receitas'!C:C,B25,'💸  Receitas'!D:D,C25)</f>
        <v>#REF!</v>
      </c>
      <c r="G25" s="177" t="e">
        <f t="shared" si="8"/>
        <v>#REF!</v>
      </c>
      <c r="H25" s="178">
        <f>SUMIFS('💸  Receitas'!I:I,'💸  Receitas'!C:C,B25,'💸  Receitas'!D:D,C25)</f>
        <v>0</v>
      </c>
      <c r="I25" s="179"/>
      <c r="J25" s="180"/>
      <c r="K25" s="180"/>
      <c r="L25" s="180"/>
      <c r="M25" s="53"/>
      <c r="N25" s="53"/>
      <c r="O25" s="53"/>
      <c r="P25" s="53"/>
      <c r="Q25" s="53"/>
      <c r="R25" s="53"/>
      <c r="S25" s="182"/>
      <c r="T25" s="53"/>
      <c r="U25" s="53"/>
      <c r="V25" s="53"/>
      <c r="W25" s="53"/>
      <c r="X25" s="53"/>
      <c r="Y25" s="53"/>
      <c r="Z25" s="53"/>
      <c r="AA25" s="53"/>
    </row>
    <row r="26" spans="1:27" ht="15.75" customHeight="1">
      <c r="A26" s="53"/>
      <c r="B26" s="175">
        <v>2024</v>
      </c>
      <c r="C26" s="301" t="s">
        <v>120</v>
      </c>
      <c r="D26" s="176" t="e">
        <f t="shared" si="6"/>
        <v>#REF!</v>
      </c>
      <c r="E26" s="177" t="e">
        <f t="shared" si="7"/>
        <v>#REF!</v>
      </c>
      <c r="F26" s="176" t="e">
        <f>SUMIFS('💸  Receitas'!#REF!,'💸  Receitas'!C:C,B26,'💸  Receitas'!D:D,C26)</f>
        <v>#REF!</v>
      </c>
      <c r="G26" s="177" t="e">
        <f t="shared" si="8"/>
        <v>#REF!</v>
      </c>
      <c r="H26" s="178">
        <f>SUMIFS('💸  Receitas'!I:I,'💸  Receitas'!C:C,B26,'💸  Receitas'!D:D,C26)</f>
        <v>0</v>
      </c>
      <c r="I26" s="179"/>
      <c r="J26" s="180"/>
      <c r="K26" s="180"/>
      <c r="L26" s="180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</row>
    <row r="27" spans="1:27" ht="15.75" customHeight="1">
      <c r="A27" s="53"/>
      <c r="B27" s="175">
        <v>2024</v>
      </c>
      <c r="C27" s="301" t="s">
        <v>121</v>
      </c>
      <c r="D27" s="176" t="e">
        <f t="shared" si="6"/>
        <v>#REF!</v>
      </c>
      <c r="E27" s="177" t="e">
        <f t="shared" si="7"/>
        <v>#REF!</v>
      </c>
      <c r="F27" s="176" t="e">
        <f>SUMIFS('💸  Receitas'!#REF!,'💸  Receitas'!C:C,B27,'💸  Receitas'!D:D,C27)</f>
        <v>#REF!</v>
      </c>
      <c r="G27" s="177" t="e">
        <f t="shared" si="8"/>
        <v>#REF!</v>
      </c>
      <c r="H27" s="178">
        <f>SUMIFS('💸  Receitas'!I:I,'💸  Receitas'!C:C,B27,'💸  Receitas'!D:D,C27)</f>
        <v>0</v>
      </c>
      <c r="I27" s="179"/>
      <c r="J27" s="180"/>
      <c r="K27" s="180"/>
      <c r="L27" s="180"/>
      <c r="M27" s="53"/>
      <c r="N27" s="53"/>
      <c r="O27" s="53"/>
      <c r="P27" s="53"/>
      <c r="Q27" s="53"/>
      <c r="R27" s="53"/>
      <c r="S27" s="54"/>
      <c r="T27" s="53"/>
      <c r="U27" s="183"/>
      <c r="V27" s="184"/>
      <c r="W27" s="53"/>
      <c r="X27" s="53"/>
      <c r="Y27" s="53"/>
      <c r="Z27" s="53"/>
      <c r="AA27" s="53"/>
    </row>
    <row r="28" spans="1:27" ht="15.75" customHeight="1">
      <c r="A28" s="53"/>
      <c r="B28" s="175">
        <v>2024</v>
      </c>
      <c r="C28" s="301" t="s">
        <v>122</v>
      </c>
      <c r="D28" s="176" t="e">
        <f t="shared" si="6"/>
        <v>#REF!</v>
      </c>
      <c r="E28" s="177" t="e">
        <f t="shared" si="7"/>
        <v>#REF!</v>
      </c>
      <c r="F28" s="176" t="e">
        <f>SUMIFS('💸  Receitas'!#REF!,'💸  Receitas'!C:C,B28,'💸  Receitas'!D:D,C28)</f>
        <v>#REF!</v>
      </c>
      <c r="G28" s="177" t="e">
        <f t="shared" si="8"/>
        <v>#REF!</v>
      </c>
      <c r="H28" s="178">
        <f>SUMIFS('💸  Receitas'!I:I,'💸  Receitas'!C:C,B28,'💸  Receitas'!D:D,C28)</f>
        <v>0</v>
      </c>
      <c r="I28" s="179"/>
      <c r="J28" s="185"/>
      <c r="K28" s="180"/>
      <c r="L28" s="180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</row>
    <row r="29" spans="1:27" ht="15.75" customHeight="1">
      <c r="A29" s="53"/>
      <c r="B29" s="175">
        <v>2024</v>
      </c>
      <c r="C29" s="301" t="s">
        <v>123</v>
      </c>
      <c r="D29" s="176" t="e">
        <f t="shared" si="6"/>
        <v>#REF!</v>
      </c>
      <c r="E29" s="177" t="e">
        <f t="shared" si="7"/>
        <v>#REF!</v>
      </c>
      <c r="F29" s="176" t="e">
        <f>SUMIFS('💸  Receitas'!#REF!,'💸  Receitas'!C:C,B29,'💸  Receitas'!D:D,C29)</f>
        <v>#REF!</v>
      </c>
      <c r="G29" s="177" t="e">
        <f t="shared" si="8"/>
        <v>#REF!</v>
      </c>
      <c r="H29" s="178">
        <f>SUMIFS('💸  Receitas'!I:I,'💸  Receitas'!C:C,B29,'💸  Receitas'!D:D,C29)</f>
        <v>0</v>
      </c>
      <c r="I29" s="179"/>
      <c r="J29" s="180"/>
      <c r="K29" s="180"/>
      <c r="L29" s="180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</row>
    <row r="30" spans="1:27" ht="15.75" customHeight="1">
      <c r="A30" s="53"/>
      <c r="B30" s="175">
        <v>2024</v>
      </c>
      <c r="C30" s="301" t="s">
        <v>124</v>
      </c>
      <c r="D30" s="176" t="e">
        <f t="shared" si="6"/>
        <v>#REF!</v>
      </c>
      <c r="E30" s="177" t="e">
        <f t="shared" si="7"/>
        <v>#REF!</v>
      </c>
      <c r="F30" s="176" t="e">
        <f>SUMIFS('💸  Receitas'!#REF!,'💸  Receitas'!C:C,B30,'💸  Receitas'!D:D,C30)</f>
        <v>#REF!</v>
      </c>
      <c r="G30" s="177" t="e">
        <f t="shared" si="8"/>
        <v>#REF!</v>
      </c>
      <c r="H30" s="178">
        <f>SUMIFS('💸  Receitas'!I:I,'💸  Receitas'!C:C,B30,'💸  Receitas'!D:D,C30)</f>
        <v>0</v>
      </c>
      <c r="I30" s="179"/>
      <c r="J30" s="185"/>
      <c r="K30" s="180"/>
      <c r="L30" s="180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</row>
    <row r="31" spans="1:27" ht="15.75" customHeight="1">
      <c r="A31" s="53"/>
      <c r="B31" s="175">
        <v>2025</v>
      </c>
      <c r="C31" s="301" t="s">
        <v>125</v>
      </c>
      <c r="D31" s="176" t="e">
        <f t="shared" si="6"/>
        <v>#REF!</v>
      </c>
      <c r="E31" s="177" t="e">
        <f t="shared" si="7"/>
        <v>#REF!</v>
      </c>
      <c r="F31" s="176" t="e">
        <f>SUMIFS('💸  Receitas'!#REF!,'💸  Receitas'!C:C,B31,'💸  Receitas'!D:D,C31)</f>
        <v>#REF!</v>
      </c>
      <c r="G31" s="177" t="e">
        <f t="shared" si="8"/>
        <v>#REF!</v>
      </c>
      <c r="H31" s="178">
        <f>SUMIFS('💸  Receitas'!I:I,'💸  Receitas'!C:C,B31,'💸  Receitas'!D:D,C31)</f>
        <v>0</v>
      </c>
      <c r="I31" s="179"/>
      <c r="J31" s="186"/>
      <c r="K31" s="180"/>
      <c r="L31" s="180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</row>
    <row r="32" spans="1:27" ht="15.75" customHeight="1">
      <c r="A32" s="53"/>
      <c r="B32" s="175">
        <v>2025</v>
      </c>
      <c r="C32" s="301" t="s">
        <v>126</v>
      </c>
      <c r="D32" s="176" t="e">
        <f t="shared" si="6"/>
        <v>#REF!</v>
      </c>
      <c r="E32" s="177" t="e">
        <f t="shared" si="7"/>
        <v>#REF!</v>
      </c>
      <c r="F32" s="176" t="e">
        <f>SUMIFS('💸  Receitas'!#REF!,'💸  Receitas'!C:C,B32,'💸  Receitas'!D:D,C32)</f>
        <v>#REF!</v>
      </c>
      <c r="G32" s="177" t="e">
        <f t="shared" si="8"/>
        <v>#REF!</v>
      </c>
      <c r="H32" s="178">
        <f>SUMIFS('💸  Receitas'!I:I,'💸  Receitas'!C:C,B32,'💸  Receitas'!D:D,C32)</f>
        <v>0</v>
      </c>
      <c r="I32" s="179"/>
      <c r="J32" s="185"/>
      <c r="K32" s="180"/>
      <c r="L32" s="180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</row>
    <row r="33" spans="1:27" ht="15.75" customHeight="1">
      <c r="A33" s="53"/>
      <c r="B33" s="175">
        <v>2025</v>
      </c>
      <c r="C33" s="301" t="s">
        <v>187</v>
      </c>
      <c r="D33" s="176" t="e">
        <f t="shared" si="6"/>
        <v>#REF!</v>
      </c>
      <c r="E33" s="177" t="e">
        <f t="shared" si="7"/>
        <v>#REF!</v>
      </c>
      <c r="F33" s="176" t="e">
        <f>SUMIFS('💸  Receitas'!#REF!,'💸  Receitas'!C:C,B33,'💸  Receitas'!D:D,C33)</f>
        <v>#REF!</v>
      </c>
      <c r="G33" s="177" t="e">
        <f t="shared" si="8"/>
        <v>#REF!</v>
      </c>
      <c r="H33" s="178">
        <f>SUMIFS('💸  Receitas'!I:I,'💸  Receitas'!C:C,B33,'💸  Receitas'!D:D,C33)</f>
        <v>0</v>
      </c>
      <c r="I33" s="179"/>
      <c r="J33" s="186"/>
      <c r="K33" s="180"/>
      <c r="L33" s="180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</row>
    <row r="34" spans="1:27" ht="15.75" customHeight="1">
      <c r="A34" s="53"/>
      <c r="B34" s="175">
        <v>2025</v>
      </c>
      <c r="C34" s="301" t="s">
        <v>188</v>
      </c>
      <c r="D34" s="176" t="e">
        <f t="shared" si="6"/>
        <v>#REF!</v>
      </c>
      <c r="E34" s="177" t="e">
        <f t="shared" si="7"/>
        <v>#REF!</v>
      </c>
      <c r="F34" s="176" t="e">
        <f>SUMIFS('💸  Receitas'!#REF!,'💸  Receitas'!C:C,B34,'💸  Receitas'!D:D,C34)</f>
        <v>#REF!</v>
      </c>
      <c r="G34" s="177" t="e">
        <f t="shared" si="8"/>
        <v>#REF!</v>
      </c>
      <c r="H34" s="178">
        <f>SUMIFS('💸  Receitas'!I:I,'💸  Receitas'!C:C,B34,'💸  Receitas'!D:D,C34)</f>
        <v>0</v>
      </c>
      <c r="I34" s="179"/>
      <c r="J34" s="185"/>
      <c r="K34" s="180"/>
      <c r="L34" s="180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</row>
    <row r="35" spans="1:27" ht="15.75" customHeight="1">
      <c r="A35" s="53"/>
      <c r="B35" s="175">
        <v>2025</v>
      </c>
      <c r="C35" s="301" t="s">
        <v>189</v>
      </c>
      <c r="D35" s="176" t="e">
        <f t="shared" si="6"/>
        <v>#REF!</v>
      </c>
      <c r="E35" s="177" t="e">
        <f t="shared" si="7"/>
        <v>#REF!</v>
      </c>
      <c r="F35" s="176" t="e">
        <f>SUMIFS('💸  Receitas'!#REF!,'💸  Receitas'!C:C,B35,'💸  Receitas'!D:D,C35)</f>
        <v>#REF!</v>
      </c>
      <c r="G35" s="177" t="e">
        <f t="shared" si="8"/>
        <v>#REF!</v>
      </c>
      <c r="H35" s="178">
        <f>SUMIFS('💸  Receitas'!I:I,'💸  Receitas'!C:C,B35,'💸  Receitas'!D:D,C35)</f>
        <v>0</v>
      </c>
      <c r="I35" s="179"/>
      <c r="J35" s="186"/>
      <c r="K35" s="180"/>
      <c r="L35" s="180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</row>
    <row r="36" spans="1:27" ht="15.75" customHeight="1">
      <c r="A36" s="53"/>
      <c r="B36" s="175">
        <v>2025</v>
      </c>
      <c r="C36" s="301" t="s">
        <v>190</v>
      </c>
      <c r="D36" s="176" t="e">
        <f t="shared" si="6"/>
        <v>#REF!</v>
      </c>
      <c r="E36" s="177" t="e">
        <f t="shared" si="7"/>
        <v>#REF!</v>
      </c>
      <c r="F36" s="176" t="e">
        <f>SUMIFS('💸  Receitas'!#REF!,'💸  Receitas'!C:C,B36,'💸  Receitas'!D:D,C36)</f>
        <v>#REF!</v>
      </c>
      <c r="G36" s="177" t="e">
        <f t="shared" si="8"/>
        <v>#REF!</v>
      </c>
      <c r="H36" s="178">
        <f>SUMIFS('💸  Receitas'!I:I,'💸  Receitas'!C:C,B36,'💸  Receitas'!D:D,C36)</f>
        <v>0</v>
      </c>
      <c r="I36" s="179"/>
      <c r="J36" s="302"/>
      <c r="K36" s="180"/>
      <c r="L36" s="180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</row>
    <row r="37" spans="1:27" ht="15.75" customHeight="1">
      <c r="A37" s="53"/>
      <c r="B37" s="175">
        <v>2025</v>
      </c>
      <c r="C37" s="301" t="s">
        <v>5</v>
      </c>
      <c r="D37" s="176" t="e">
        <f t="shared" si="6"/>
        <v>#REF!</v>
      </c>
      <c r="E37" s="177" t="e">
        <f t="shared" si="7"/>
        <v>#REF!</v>
      </c>
      <c r="F37" s="176" t="e">
        <f>SUMIFS('💸  Receitas'!#REF!,'💸  Receitas'!C:C,B37,'💸  Receitas'!D:D,C37)</f>
        <v>#REF!</v>
      </c>
      <c r="G37" s="177" t="e">
        <f t="shared" si="8"/>
        <v>#REF!</v>
      </c>
      <c r="H37" s="178">
        <f>SUMIFS('💸  Receitas'!I:I,'💸  Receitas'!C:C,B37,'💸  Receitas'!D:D,C37)</f>
        <v>0</v>
      </c>
      <c r="I37" s="179"/>
      <c r="J37" s="302"/>
      <c r="K37" s="180"/>
      <c r="L37" s="180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</row>
    <row r="38" spans="1:27" ht="15.75" customHeight="1">
      <c r="A38" s="53"/>
      <c r="B38" s="175">
        <v>2025</v>
      </c>
      <c r="C38" s="301" t="s">
        <v>120</v>
      </c>
      <c r="D38" s="176" t="e">
        <f t="shared" si="6"/>
        <v>#REF!</v>
      </c>
      <c r="E38" s="177" t="e">
        <f t="shared" si="7"/>
        <v>#REF!</v>
      </c>
      <c r="F38" s="176" t="e">
        <f>SUMIFS('💸  Receitas'!#REF!,'💸  Receitas'!C:C,B38,'💸  Receitas'!D:D,C38)</f>
        <v>#REF!</v>
      </c>
      <c r="G38" s="177" t="e">
        <f t="shared" si="8"/>
        <v>#REF!</v>
      </c>
      <c r="H38" s="178">
        <f>SUMIFS('💸  Receitas'!I:I,'💸  Receitas'!C:C,B38,'💸  Receitas'!D:D,C38)</f>
        <v>0</v>
      </c>
      <c r="I38" s="302"/>
      <c r="J38" s="302"/>
      <c r="K38" s="180"/>
      <c r="L38" s="180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</row>
    <row r="39" spans="1:27" ht="15.75" customHeight="1">
      <c r="A39" s="53"/>
      <c r="B39" s="175">
        <v>2025</v>
      </c>
      <c r="C39" s="301" t="s">
        <v>121</v>
      </c>
      <c r="D39" s="176" t="e">
        <f t="shared" si="6"/>
        <v>#REF!</v>
      </c>
      <c r="E39" s="177" t="e">
        <f t="shared" si="7"/>
        <v>#REF!</v>
      </c>
      <c r="F39" s="176" t="e">
        <f>SUMIFS('💸  Receitas'!#REF!,'💸  Receitas'!C:C,B39,'💸  Receitas'!D:D,C39)</f>
        <v>#REF!</v>
      </c>
      <c r="G39" s="177" t="e">
        <f t="shared" si="8"/>
        <v>#REF!</v>
      </c>
      <c r="H39" s="178">
        <f>SUMIFS('💸  Receitas'!I:I,'💸  Receitas'!C:C,B39,'💸  Receitas'!D:D,C39)</f>
        <v>0</v>
      </c>
      <c r="I39" s="302"/>
      <c r="J39" s="302"/>
      <c r="K39" s="180"/>
      <c r="L39" s="180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</row>
    <row r="40" spans="1:27" ht="15.75" customHeight="1">
      <c r="A40" s="53"/>
      <c r="B40" s="175">
        <v>2025</v>
      </c>
      <c r="C40" s="301" t="s">
        <v>122</v>
      </c>
      <c r="D40" s="176" t="e">
        <f t="shared" si="6"/>
        <v>#REF!</v>
      </c>
      <c r="E40" s="177" t="e">
        <f t="shared" si="7"/>
        <v>#REF!</v>
      </c>
      <c r="F40" s="176" t="e">
        <f>SUMIFS('💸  Receitas'!#REF!,'💸  Receitas'!C:C,B40,'💸  Receitas'!D:D,C40)</f>
        <v>#REF!</v>
      </c>
      <c r="G40" s="177" t="e">
        <f t="shared" si="8"/>
        <v>#REF!</v>
      </c>
      <c r="H40" s="178">
        <f>SUMIFS('💸  Receitas'!I:I,'💸  Receitas'!C:C,B40,'💸  Receitas'!D:D,C40)</f>
        <v>0</v>
      </c>
      <c r="I40" s="302"/>
      <c r="J40" s="302"/>
      <c r="K40" s="180"/>
      <c r="L40" s="180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</row>
    <row r="41" spans="1:27" ht="15.75" customHeight="1">
      <c r="A41" s="53"/>
      <c r="B41" s="175">
        <v>2025</v>
      </c>
      <c r="C41" s="301" t="s">
        <v>123</v>
      </c>
      <c r="D41" s="176" t="e">
        <f t="shared" si="6"/>
        <v>#REF!</v>
      </c>
      <c r="E41" s="177" t="e">
        <f t="shared" si="7"/>
        <v>#REF!</v>
      </c>
      <c r="F41" s="176" t="e">
        <f>SUMIFS('💸  Receitas'!#REF!,'💸  Receitas'!C:C,B41,'💸  Receitas'!D:D,C41)</f>
        <v>#REF!</v>
      </c>
      <c r="G41" s="177" t="e">
        <f t="shared" si="8"/>
        <v>#REF!</v>
      </c>
      <c r="H41" s="178">
        <f>SUMIFS('💸  Receitas'!I:I,'💸  Receitas'!C:C,B41,'💸  Receitas'!D:D,C41)</f>
        <v>0</v>
      </c>
      <c r="I41" s="302"/>
      <c r="J41" s="302"/>
      <c r="K41" s="180"/>
      <c r="L41" s="180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</row>
    <row r="42" spans="1:27" ht="15.75" customHeight="1">
      <c r="A42" s="53"/>
      <c r="B42" s="175">
        <v>2025</v>
      </c>
      <c r="C42" s="301" t="s">
        <v>124</v>
      </c>
      <c r="D42" s="176" t="e">
        <f t="shared" si="6"/>
        <v>#REF!</v>
      </c>
      <c r="E42" s="177" t="e">
        <f t="shared" si="7"/>
        <v>#REF!</v>
      </c>
      <c r="F42" s="176" t="e">
        <f>SUMIFS('💸  Receitas'!#REF!,'💸  Receitas'!C:C,B42,'💸  Receitas'!D:D,C42)</f>
        <v>#REF!</v>
      </c>
      <c r="G42" s="177" t="e">
        <f t="shared" si="8"/>
        <v>#REF!</v>
      </c>
      <c r="H42" s="178">
        <f>SUMIFS('💸  Receitas'!I:I,'💸  Receitas'!C:C,B42,'💸  Receitas'!D:D,C42)</f>
        <v>0</v>
      </c>
      <c r="I42" s="302"/>
      <c r="J42" s="302"/>
      <c r="K42" s="180"/>
      <c r="L42" s="180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</row>
    <row r="43" spans="1:27" ht="15.75" customHeight="1">
      <c r="A43" s="53"/>
      <c r="B43" s="303"/>
      <c r="C43" s="304"/>
      <c r="D43" s="305"/>
      <c r="E43" s="306"/>
      <c r="F43" s="307"/>
      <c r="G43" s="307"/>
      <c r="H43" s="308"/>
      <c r="I43" s="302"/>
      <c r="J43" s="302"/>
      <c r="K43" s="180"/>
      <c r="L43" s="180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</row>
    <row r="44" spans="1:27" ht="15.75" customHeight="1">
      <c r="A44" s="53"/>
      <c r="B44" s="303"/>
      <c r="C44" s="304"/>
      <c r="D44" s="305"/>
      <c r="E44" s="306"/>
      <c r="F44" s="307"/>
      <c r="G44" s="307"/>
      <c r="H44" s="308"/>
      <c r="I44" s="302"/>
      <c r="J44" s="302"/>
      <c r="K44" s="180"/>
      <c r="L44" s="180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</row>
    <row r="45" spans="1:27" ht="15.75" customHeight="1">
      <c r="A45" s="53"/>
      <c r="B45" s="303"/>
      <c r="C45" s="304"/>
      <c r="D45" s="305"/>
      <c r="E45" s="306"/>
      <c r="F45" s="307"/>
      <c r="G45" s="307"/>
      <c r="H45" s="308"/>
      <c r="I45" s="302"/>
      <c r="J45" s="302"/>
      <c r="K45" s="180"/>
      <c r="L45" s="180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</row>
    <row r="46" spans="1:27" ht="15.75" customHeight="1">
      <c r="A46" s="53"/>
      <c r="B46" s="303"/>
      <c r="C46" s="304"/>
      <c r="D46" s="305"/>
      <c r="E46" s="306"/>
      <c r="F46" s="307"/>
      <c r="G46" s="307"/>
      <c r="H46" s="308"/>
      <c r="I46" s="302"/>
      <c r="J46" s="302"/>
      <c r="K46" s="180"/>
      <c r="L46" s="180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</row>
    <row r="47" spans="1:27" ht="15.75" customHeight="1">
      <c r="A47" s="53"/>
      <c r="B47" s="303"/>
      <c r="C47" s="304"/>
      <c r="D47" s="305"/>
      <c r="E47" s="306"/>
      <c r="F47" s="307"/>
      <c r="G47" s="307"/>
      <c r="H47" s="308"/>
      <c r="I47" s="302"/>
      <c r="J47" s="302"/>
      <c r="K47" s="180"/>
      <c r="L47" s="180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</row>
    <row r="48" spans="1:27" ht="15.75" customHeight="1">
      <c r="A48" s="53"/>
      <c r="B48" s="303"/>
      <c r="C48" s="304"/>
      <c r="D48" s="305"/>
      <c r="E48" s="306"/>
      <c r="F48" s="307"/>
      <c r="G48" s="307"/>
      <c r="H48" s="308"/>
      <c r="I48" s="302"/>
      <c r="J48" s="302"/>
      <c r="K48" s="180"/>
      <c r="L48" s="180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</row>
    <row r="49" spans="1:27" ht="15.75" customHeight="1">
      <c r="A49" s="53"/>
      <c r="B49" s="303"/>
      <c r="C49" s="304"/>
      <c r="D49" s="305"/>
      <c r="E49" s="306"/>
      <c r="F49" s="307"/>
      <c r="G49" s="307"/>
      <c r="H49" s="308"/>
      <c r="I49" s="302"/>
      <c r="J49" s="302"/>
      <c r="K49" s="180"/>
      <c r="L49" s="180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</row>
    <row r="50" spans="1:27" ht="15.75" customHeight="1">
      <c r="A50" s="53"/>
      <c r="B50" s="303"/>
      <c r="C50" s="304"/>
      <c r="D50" s="305"/>
      <c r="E50" s="306"/>
      <c r="F50" s="307"/>
      <c r="G50" s="307"/>
      <c r="H50" s="308"/>
      <c r="I50" s="302"/>
      <c r="J50" s="302"/>
      <c r="K50" s="180"/>
      <c r="L50" s="180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</row>
    <row r="51" spans="1:27" ht="15.75" customHeight="1">
      <c r="A51" s="53"/>
      <c r="B51" s="303"/>
      <c r="C51" s="304"/>
      <c r="D51" s="305"/>
      <c r="E51" s="306"/>
      <c r="F51" s="307"/>
      <c r="G51" s="307"/>
      <c r="H51" s="308"/>
      <c r="I51" s="302"/>
      <c r="J51" s="302"/>
      <c r="K51" s="180"/>
      <c r="L51" s="180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</row>
    <row r="52" spans="1:27" ht="15.75" customHeight="1">
      <c r="A52" s="53"/>
      <c r="B52" s="303"/>
      <c r="C52" s="304"/>
      <c r="D52" s="305"/>
      <c r="E52" s="306"/>
      <c r="F52" s="307"/>
      <c r="G52" s="307"/>
      <c r="H52" s="308"/>
      <c r="I52" s="302"/>
      <c r="J52" s="302"/>
      <c r="K52" s="180"/>
      <c r="L52" s="180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</row>
    <row r="53" spans="1:27" ht="15.75" customHeight="1">
      <c r="A53" s="53"/>
      <c r="B53" s="303"/>
      <c r="C53" s="304"/>
      <c r="D53" s="305"/>
      <c r="E53" s="306"/>
      <c r="F53" s="307"/>
      <c r="G53" s="307"/>
      <c r="H53" s="308"/>
      <c r="I53" s="302"/>
      <c r="J53" s="302"/>
      <c r="K53" s="180"/>
      <c r="L53" s="180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</row>
    <row r="54" spans="1:27" ht="15.75" customHeight="1">
      <c r="A54" s="53"/>
      <c r="B54" s="303"/>
      <c r="C54" s="304"/>
      <c r="D54" s="305"/>
      <c r="E54" s="306"/>
      <c r="F54" s="307"/>
      <c r="G54" s="307"/>
      <c r="H54" s="308"/>
      <c r="I54" s="302"/>
      <c r="J54" s="302"/>
      <c r="K54" s="180"/>
      <c r="L54" s="180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</row>
    <row r="55" spans="1:27" ht="15.75" customHeight="1">
      <c r="A55" s="53"/>
      <c r="B55" s="303"/>
      <c r="C55" s="304"/>
      <c r="D55" s="305"/>
      <c r="E55" s="306"/>
      <c r="F55" s="307"/>
      <c r="G55" s="307"/>
      <c r="H55" s="308"/>
      <c r="I55" s="302"/>
      <c r="J55" s="302"/>
      <c r="K55" s="180"/>
      <c r="L55" s="180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</row>
    <row r="56" spans="1:27" ht="15.75" customHeight="1">
      <c r="A56" s="53"/>
      <c r="B56" s="303"/>
      <c r="C56" s="304"/>
      <c r="D56" s="305"/>
      <c r="E56" s="306"/>
      <c r="F56" s="307"/>
      <c r="G56" s="307"/>
      <c r="H56" s="308"/>
      <c r="I56" s="302"/>
      <c r="J56" s="302"/>
      <c r="K56" s="180"/>
      <c r="L56" s="180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</row>
    <row r="57" spans="1:27" ht="15.75" customHeight="1">
      <c r="A57" s="53"/>
      <c r="B57" s="303"/>
      <c r="C57" s="304"/>
      <c r="D57" s="305"/>
      <c r="E57" s="306"/>
      <c r="F57" s="307"/>
      <c r="G57" s="307"/>
      <c r="H57" s="308"/>
      <c r="I57" s="302"/>
      <c r="J57" s="302"/>
      <c r="K57" s="180"/>
      <c r="L57" s="180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</row>
    <row r="58" spans="1:27" ht="15.75" customHeight="1">
      <c r="A58" s="53"/>
      <c r="B58" s="303"/>
      <c r="C58" s="304"/>
      <c r="D58" s="305"/>
      <c r="E58" s="306"/>
      <c r="F58" s="307"/>
      <c r="G58" s="307"/>
      <c r="H58" s="308"/>
      <c r="I58" s="302"/>
      <c r="J58" s="302"/>
      <c r="K58" s="180"/>
      <c r="L58" s="180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</row>
    <row r="59" spans="1:27" ht="15.75" customHeight="1">
      <c r="A59" s="53"/>
      <c r="B59" s="303"/>
      <c r="C59" s="304"/>
      <c r="D59" s="305"/>
      <c r="E59" s="306"/>
      <c r="F59" s="307"/>
      <c r="G59" s="307"/>
      <c r="H59" s="308"/>
      <c r="I59" s="302"/>
      <c r="J59" s="302"/>
      <c r="K59" s="180"/>
      <c r="L59" s="180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</row>
    <row r="60" spans="1:27" ht="15.75" customHeight="1">
      <c r="A60" s="53"/>
      <c r="B60" s="303"/>
      <c r="C60" s="304"/>
      <c r="D60" s="305"/>
      <c r="E60" s="306"/>
      <c r="F60" s="307"/>
      <c r="G60" s="307"/>
      <c r="H60" s="308"/>
      <c r="I60" s="302"/>
      <c r="J60" s="302"/>
      <c r="K60" s="180"/>
      <c r="L60" s="180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</row>
    <row r="61" spans="1:27" ht="15.75" customHeight="1">
      <c r="A61" s="53"/>
      <c r="B61" s="303"/>
      <c r="C61" s="304"/>
      <c r="D61" s="305"/>
      <c r="E61" s="306"/>
      <c r="F61" s="307"/>
      <c r="G61" s="307"/>
      <c r="H61" s="308"/>
      <c r="I61" s="302"/>
      <c r="J61" s="302"/>
      <c r="K61" s="180"/>
      <c r="L61" s="180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</row>
    <row r="62" spans="1:27" ht="15.75" customHeight="1">
      <c r="A62" s="53"/>
      <c r="B62" s="303"/>
      <c r="C62" s="304"/>
      <c r="D62" s="305"/>
      <c r="E62" s="306"/>
      <c r="F62" s="307"/>
      <c r="G62" s="307"/>
      <c r="H62" s="308"/>
      <c r="I62" s="302"/>
      <c r="J62" s="302"/>
      <c r="K62" s="180"/>
      <c r="L62" s="180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</row>
    <row r="63" spans="1:27" ht="15.75" customHeight="1">
      <c r="A63" s="53"/>
      <c r="B63" s="303"/>
      <c r="C63" s="304"/>
      <c r="D63" s="305"/>
      <c r="E63" s="306"/>
      <c r="F63" s="307"/>
      <c r="G63" s="307"/>
      <c r="H63" s="308"/>
      <c r="I63" s="302"/>
      <c r="J63" s="302"/>
      <c r="K63" s="180"/>
      <c r="L63" s="180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</row>
    <row r="64" spans="1:27" ht="15.75" customHeight="1">
      <c r="A64" s="53"/>
      <c r="B64" s="303"/>
      <c r="C64" s="304"/>
      <c r="D64" s="305"/>
      <c r="E64" s="306"/>
      <c r="F64" s="307"/>
      <c r="G64" s="307"/>
      <c r="H64" s="308"/>
      <c r="I64" s="302"/>
      <c r="J64" s="302"/>
      <c r="K64" s="180"/>
      <c r="L64" s="180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</row>
    <row r="65" spans="1:27" ht="15.75" customHeight="1">
      <c r="A65" s="53"/>
      <c r="B65" s="303"/>
      <c r="C65" s="304"/>
      <c r="D65" s="305"/>
      <c r="E65" s="306"/>
      <c r="F65" s="307"/>
      <c r="G65" s="307"/>
      <c r="H65" s="308"/>
      <c r="I65" s="302"/>
      <c r="J65" s="302"/>
      <c r="K65" s="180"/>
      <c r="L65" s="180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</row>
    <row r="66" spans="1:27" ht="15.75" customHeight="1">
      <c r="A66" s="53"/>
      <c r="B66" s="303"/>
      <c r="C66" s="304"/>
      <c r="D66" s="305"/>
      <c r="E66" s="306"/>
      <c r="F66" s="307"/>
      <c r="G66" s="307"/>
      <c r="H66" s="308"/>
      <c r="I66" s="302"/>
      <c r="J66" s="302"/>
      <c r="K66" s="180"/>
      <c r="L66" s="180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</row>
    <row r="67" spans="1:27" ht="15.75" customHeight="1">
      <c r="A67" s="53"/>
      <c r="B67" s="303"/>
      <c r="C67" s="304"/>
      <c r="D67" s="305"/>
      <c r="E67" s="306"/>
      <c r="F67" s="307"/>
      <c r="G67" s="307"/>
      <c r="H67" s="308"/>
      <c r="I67" s="302"/>
      <c r="J67" s="302"/>
      <c r="K67" s="180"/>
      <c r="L67" s="180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</row>
    <row r="68" spans="1:27" ht="15.75" customHeight="1">
      <c r="A68" s="53"/>
      <c r="B68" s="303"/>
      <c r="C68" s="304"/>
      <c r="D68" s="305"/>
      <c r="E68" s="306"/>
      <c r="F68" s="307"/>
      <c r="G68" s="307"/>
      <c r="H68" s="308"/>
      <c r="I68" s="302"/>
      <c r="J68" s="302"/>
      <c r="K68" s="180"/>
      <c r="L68" s="180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</row>
    <row r="69" spans="1:27" ht="15.75" customHeight="1">
      <c r="A69" s="53"/>
      <c r="B69" s="303"/>
      <c r="C69" s="304"/>
      <c r="D69" s="305"/>
      <c r="E69" s="306"/>
      <c r="F69" s="307"/>
      <c r="G69" s="307"/>
      <c r="H69" s="308"/>
      <c r="I69" s="302"/>
      <c r="J69" s="302"/>
      <c r="K69" s="302"/>
      <c r="L69" s="180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</row>
    <row r="70" spans="1:27" ht="15.75" customHeight="1">
      <c r="A70" s="53"/>
      <c r="B70" s="303"/>
      <c r="C70" s="304"/>
      <c r="D70" s="305"/>
      <c r="E70" s="306"/>
      <c r="F70" s="307"/>
      <c r="G70" s="307"/>
      <c r="H70" s="308"/>
      <c r="I70" s="302"/>
      <c r="J70" s="302"/>
      <c r="K70" s="302"/>
      <c r="L70" s="180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</row>
    <row r="71" spans="1:27" ht="15.75" customHeight="1">
      <c r="A71" s="53"/>
      <c r="B71" s="303"/>
      <c r="C71" s="304"/>
      <c r="D71" s="305"/>
      <c r="E71" s="306"/>
      <c r="F71" s="307"/>
      <c r="G71" s="307"/>
      <c r="H71" s="308"/>
      <c r="I71" s="302"/>
      <c r="J71" s="302"/>
      <c r="K71" s="302"/>
      <c r="L71" s="180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</row>
    <row r="72" spans="1:27" ht="15.75" customHeight="1">
      <c r="A72" s="53"/>
      <c r="B72" s="303"/>
      <c r="C72" s="304"/>
      <c r="D72" s="305"/>
      <c r="E72" s="306"/>
      <c r="F72" s="307"/>
      <c r="G72" s="307"/>
      <c r="H72" s="308"/>
      <c r="I72" s="302"/>
      <c r="J72" s="302"/>
      <c r="K72" s="302"/>
      <c r="L72" s="180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</row>
    <row r="73" spans="1:27" ht="15.75" customHeight="1">
      <c r="A73" s="53"/>
      <c r="B73" s="303"/>
      <c r="C73" s="304"/>
      <c r="D73" s="305"/>
      <c r="E73" s="306"/>
      <c r="F73" s="307"/>
      <c r="G73" s="307"/>
      <c r="H73" s="308"/>
      <c r="I73" s="302"/>
      <c r="J73" s="302"/>
      <c r="K73" s="302"/>
      <c r="L73" s="180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</row>
    <row r="74" spans="1:27" ht="15.75" customHeight="1">
      <c r="A74" s="53"/>
      <c r="B74" s="303"/>
      <c r="C74" s="304"/>
      <c r="D74" s="305"/>
      <c r="E74" s="306"/>
      <c r="F74" s="307"/>
      <c r="G74" s="307"/>
      <c r="H74" s="308"/>
      <c r="I74" s="302"/>
      <c r="J74" s="302"/>
      <c r="K74" s="302"/>
      <c r="L74" s="180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</row>
    <row r="75" spans="1:27" ht="15.75" customHeight="1">
      <c r="A75" s="53"/>
      <c r="B75" s="303"/>
      <c r="C75" s="304"/>
      <c r="D75" s="305"/>
      <c r="E75" s="306"/>
      <c r="F75" s="307"/>
      <c r="G75" s="307"/>
      <c r="H75" s="308"/>
      <c r="I75" s="302"/>
      <c r="J75" s="302"/>
      <c r="K75" s="302"/>
      <c r="L75" s="180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</row>
    <row r="76" spans="1:27" ht="15.75" customHeight="1">
      <c r="A76" s="53"/>
      <c r="B76" s="303"/>
      <c r="C76" s="304"/>
      <c r="D76" s="305"/>
      <c r="E76" s="306"/>
      <c r="F76" s="307"/>
      <c r="G76" s="307"/>
      <c r="H76" s="308"/>
      <c r="I76" s="302"/>
      <c r="J76" s="302"/>
      <c r="K76" s="302"/>
      <c r="L76" s="180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</row>
    <row r="77" spans="1:27" ht="15.75" customHeight="1">
      <c r="A77" s="53"/>
      <c r="B77" s="303"/>
      <c r="C77" s="304"/>
      <c r="D77" s="305"/>
      <c r="E77" s="306"/>
      <c r="F77" s="307"/>
      <c r="G77" s="307"/>
      <c r="H77" s="308"/>
      <c r="I77" s="302"/>
      <c r="J77" s="302"/>
      <c r="K77" s="302"/>
      <c r="L77" s="180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</row>
    <row r="78" spans="1:27" ht="15.75" customHeight="1">
      <c r="A78" s="53"/>
      <c r="B78" s="303"/>
      <c r="C78" s="304"/>
      <c r="D78" s="305"/>
      <c r="E78" s="306"/>
      <c r="F78" s="307"/>
      <c r="G78" s="307"/>
      <c r="H78" s="308"/>
      <c r="I78" s="302"/>
      <c r="J78" s="302"/>
      <c r="K78" s="302"/>
      <c r="L78" s="180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</row>
    <row r="79" spans="1:27" ht="15.75" customHeight="1">
      <c r="A79" s="53"/>
      <c r="B79" s="303"/>
      <c r="C79" s="304"/>
      <c r="D79" s="305"/>
      <c r="E79" s="306"/>
      <c r="F79" s="307"/>
      <c r="G79" s="307"/>
      <c r="H79" s="308"/>
      <c r="I79" s="302"/>
      <c r="J79" s="302"/>
      <c r="K79" s="302"/>
      <c r="L79" s="180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</row>
    <row r="80" spans="1:27" ht="15.75" customHeight="1">
      <c r="A80" s="53"/>
      <c r="B80" s="303"/>
      <c r="C80" s="304"/>
      <c r="D80" s="305"/>
      <c r="E80" s="306"/>
      <c r="F80" s="307"/>
      <c r="G80" s="307"/>
      <c r="H80" s="308"/>
      <c r="I80" s="302"/>
      <c r="J80" s="302"/>
      <c r="K80" s="302"/>
      <c r="L80" s="180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</row>
    <row r="81" spans="1:27" ht="15.75" customHeight="1">
      <c r="A81" s="53"/>
      <c r="B81" s="303"/>
      <c r="C81" s="304"/>
      <c r="D81" s="305"/>
      <c r="E81" s="306"/>
      <c r="F81" s="307"/>
      <c r="G81" s="307"/>
      <c r="H81" s="308"/>
      <c r="I81" s="302"/>
      <c r="J81" s="302"/>
      <c r="K81" s="302"/>
      <c r="L81" s="180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</row>
    <row r="82" spans="1:27" ht="15.75" customHeight="1">
      <c r="A82" s="53"/>
      <c r="B82" s="303"/>
      <c r="C82" s="304"/>
      <c r="D82" s="305"/>
      <c r="E82" s="306"/>
      <c r="F82" s="307"/>
      <c r="G82" s="307"/>
      <c r="H82" s="308"/>
      <c r="I82" s="302"/>
      <c r="J82" s="302"/>
      <c r="K82" s="302"/>
      <c r="L82" s="180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</row>
    <row r="83" spans="1:27" ht="15.75" customHeight="1">
      <c r="A83" s="53"/>
      <c r="B83" s="303"/>
      <c r="C83" s="304"/>
      <c r="D83" s="305"/>
      <c r="E83" s="306"/>
      <c r="F83" s="307"/>
      <c r="G83" s="307"/>
      <c r="H83" s="308"/>
      <c r="I83" s="302"/>
      <c r="J83" s="302"/>
      <c r="K83" s="302"/>
      <c r="L83" s="180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</row>
    <row r="84" spans="1:27" ht="15.75" customHeight="1">
      <c r="A84" s="53"/>
      <c r="B84" s="303"/>
      <c r="C84" s="304"/>
      <c r="D84" s="305"/>
      <c r="E84" s="306"/>
      <c r="F84" s="307"/>
      <c r="G84" s="307"/>
      <c r="H84" s="308"/>
      <c r="I84" s="302"/>
      <c r="J84" s="302"/>
      <c r="K84" s="302"/>
      <c r="L84" s="180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</row>
    <row r="85" spans="1:27" ht="15.75" customHeight="1">
      <c r="A85" s="53"/>
      <c r="B85" s="303"/>
      <c r="C85" s="304"/>
      <c r="D85" s="305"/>
      <c r="E85" s="306"/>
      <c r="F85" s="307"/>
      <c r="G85" s="307"/>
      <c r="H85" s="308"/>
      <c r="I85" s="302"/>
      <c r="J85" s="302"/>
      <c r="K85" s="302"/>
      <c r="L85" s="180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</row>
    <row r="86" spans="1:27" ht="15.75" customHeight="1">
      <c r="A86" s="53"/>
      <c r="B86" s="303"/>
      <c r="C86" s="304"/>
      <c r="D86" s="305"/>
      <c r="E86" s="306"/>
      <c r="F86" s="307"/>
      <c r="G86" s="307"/>
      <c r="H86" s="308"/>
      <c r="I86" s="302"/>
      <c r="J86" s="302"/>
      <c r="K86" s="302"/>
      <c r="L86" s="180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</row>
    <row r="87" spans="1:27" ht="15.75" customHeight="1">
      <c r="A87" s="53"/>
      <c r="B87" s="303"/>
      <c r="C87" s="304"/>
      <c r="D87" s="305"/>
      <c r="E87" s="306"/>
      <c r="F87" s="307"/>
      <c r="G87" s="307"/>
      <c r="H87" s="308"/>
      <c r="I87" s="302"/>
      <c r="J87" s="302"/>
      <c r="K87" s="302"/>
      <c r="L87" s="180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</row>
    <row r="88" spans="1:27" ht="15.75" customHeight="1">
      <c r="A88" s="53"/>
      <c r="B88" s="303"/>
      <c r="C88" s="304"/>
      <c r="D88" s="305"/>
      <c r="E88" s="306"/>
      <c r="F88" s="307"/>
      <c r="G88" s="307"/>
      <c r="H88" s="308"/>
      <c r="I88" s="302"/>
      <c r="J88" s="302"/>
      <c r="K88" s="302"/>
      <c r="L88" s="180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</row>
    <row r="89" spans="1:27" ht="15.75" customHeight="1">
      <c r="A89" s="53"/>
      <c r="B89" s="303"/>
      <c r="C89" s="304"/>
      <c r="D89" s="305"/>
      <c r="E89" s="306"/>
      <c r="F89" s="307"/>
      <c r="G89" s="307"/>
      <c r="H89" s="308"/>
      <c r="I89" s="302"/>
      <c r="J89" s="302"/>
      <c r="K89" s="302"/>
      <c r="L89" s="180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</row>
    <row r="90" spans="1:27" ht="15.75" customHeight="1">
      <c r="A90" s="53"/>
      <c r="B90" s="303"/>
      <c r="C90" s="304"/>
      <c r="D90" s="305"/>
      <c r="E90" s="306"/>
      <c r="F90" s="307"/>
      <c r="G90" s="307"/>
      <c r="H90" s="308"/>
      <c r="I90" s="302"/>
      <c r="J90" s="302"/>
      <c r="K90" s="302"/>
      <c r="L90" s="180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</row>
    <row r="91" spans="1:27" ht="15.75" customHeight="1">
      <c r="A91" s="53"/>
      <c r="B91" s="303"/>
      <c r="C91" s="304"/>
      <c r="D91" s="305"/>
      <c r="E91" s="306"/>
      <c r="F91" s="307"/>
      <c r="G91" s="307"/>
      <c r="H91" s="308"/>
      <c r="I91" s="302"/>
      <c r="J91" s="302"/>
      <c r="K91" s="302"/>
      <c r="L91" s="180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</row>
    <row r="92" spans="1:27" ht="15.75" customHeight="1">
      <c r="A92" s="53"/>
      <c r="B92" s="303"/>
      <c r="C92" s="304"/>
      <c r="D92" s="305"/>
      <c r="E92" s="306"/>
      <c r="F92" s="307"/>
      <c r="G92" s="307"/>
      <c r="H92" s="308"/>
      <c r="I92" s="302"/>
      <c r="J92" s="302"/>
      <c r="K92" s="302"/>
      <c r="L92" s="180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</row>
    <row r="93" spans="1:27" ht="15.75" customHeight="1">
      <c r="A93" s="53"/>
      <c r="B93" s="303"/>
      <c r="C93" s="304"/>
      <c r="D93" s="305"/>
      <c r="E93" s="306"/>
      <c r="F93" s="307"/>
      <c r="G93" s="307"/>
      <c r="H93" s="308"/>
      <c r="I93" s="302"/>
      <c r="J93" s="302"/>
      <c r="K93" s="302"/>
      <c r="L93" s="180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</row>
    <row r="94" spans="1:27" ht="15.75" customHeight="1">
      <c r="A94" s="53"/>
      <c r="B94" s="303"/>
      <c r="C94" s="304"/>
      <c r="D94" s="305"/>
      <c r="E94" s="306"/>
      <c r="F94" s="307"/>
      <c r="G94" s="307"/>
      <c r="H94" s="308"/>
      <c r="I94" s="302"/>
      <c r="J94" s="302"/>
      <c r="K94" s="302"/>
      <c r="L94" s="180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</row>
    <row r="95" spans="1:27" ht="15.75" customHeight="1">
      <c r="A95" s="53"/>
      <c r="B95" s="303"/>
      <c r="C95" s="304"/>
      <c r="D95" s="305"/>
      <c r="E95" s="306"/>
      <c r="F95" s="307"/>
      <c r="G95" s="307"/>
      <c r="H95" s="308"/>
      <c r="I95" s="302"/>
      <c r="J95" s="302"/>
      <c r="K95" s="302"/>
      <c r="L95" s="180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</row>
    <row r="96" spans="1:27" ht="15.75" customHeight="1">
      <c r="A96" s="53"/>
      <c r="B96" s="303"/>
      <c r="C96" s="304"/>
      <c r="D96" s="305"/>
      <c r="E96" s="306"/>
      <c r="F96" s="307"/>
      <c r="G96" s="307"/>
      <c r="H96" s="308"/>
      <c r="I96" s="302"/>
      <c r="J96" s="302"/>
      <c r="K96" s="302"/>
      <c r="L96" s="180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</row>
    <row r="97" spans="1:27" ht="15.75" customHeight="1">
      <c r="A97" s="53"/>
      <c r="B97" s="303"/>
      <c r="C97" s="304"/>
      <c r="D97" s="305"/>
      <c r="E97" s="306"/>
      <c r="F97" s="307"/>
      <c r="G97" s="307"/>
      <c r="H97" s="308"/>
      <c r="I97" s="302"/>
      <c r="J97" s="302"/>
      <c r="K97" s="302"/>
      <c r="L97" s="180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</row>
    <row r="98" spans="1:27" ht="15.75" customHeight="1">
      <c r="A98" s="53"/>
      <c r="B98" s="303"/>
      <c r="C98" s="304"/>
      <c r="D98" s="305"/>
      <c r="E98" s="306"/>
      <c r="F98" s="307"/>
      <c r="G98" s="307"/>
      <c r="H98" s="308"/>
      <c r="I98" s="302"/>
      <c r="J98" s="302"/>
      <c r="K98" s="302"/>
      <c r="L98" s="180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</row>
    <row r="99" spans="1:27" ht="15.75" customHeight="1">
      <c r="A99" s="53"/>
      <c r="B99" s="303"/>
      <c r="C99" s="304"/>
      <c r="D99" s="305"/>
      <c r="E99" s="306"/>
      <c r="F99" s="307"/>
      <c r="G99" s="307"/>
      <c r="H99" s="308"/>
      <c r="I99" s="302"/>
      <c r="J99" s="302"/>
      <c r="K99" s="302"/>
      <c r="L99" s="180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</row>
    <row r="100" spans="1:27" ht="15.75" customHeight="1">
      <c r="A100" s="53"/>
      <c r="B100" s="303"/>
      <c r="C100" s="304"/>
      <c r="D100" s="305"/>
      <c r="E100" s="306"/>
      <c r="F100" s="307"/>
      <c r="G100" s="307"/>
      <c r="H100" s="308"/>
      <c r="I100" s="302"/>
      <c r="J100" s="302"/>
      <c r="K100" s="302"/>
      <c r="L100" s="180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</row>
    <row r="101" spans="1:27" ht="15.75" customHeight="1">
      <c r="A101" s="53"/>
      <c r="B101" s="303"/>
      <c r="C101" s="304"/>
      <c r="D101" s="305"/>
      <c r="E101" s="306"/>
      <c r="F101" s="307"/>
      <c r="G101" s="307"/>
      <c r="H101" s="308"/>
      <c r="I101" s="302"/>
      <c r="J101" s="302"/>
      <c r="K101" s="302"/>
      <c r="L101" s="180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</row>
    <row r="102" spans="1:27" ht="15.75" customHeight="1">
      <c r="A102" s="53"/>
      <c r="B102" s="303"/>
      <c r="C102" s="304"/>
      <c r="D102" s="305"/>
      <c r="E102" s="306"/>
      <c r="F102" s="307"/>
      <c r="G102" s="307"/>
      <c r="H102" s="308"/>
      <c r="I102" s="302"/>
      <c r="J102" s="302"/>
      <c r="K102" s="302"/>
      <c r="L102" s="180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</row>
    <row r="103" spans="1:27" ht="15.75" customHeight="1">
      <c r="A103" s="53"/>
      <c r="B103" s="303"/>
      <c r="C103" s="304"/>
      <c r="D103" s="305"/>
      <c r="E103" s="306"/>
      <c r="F103" s="307"/>
      <c r="G103" s="307"/>
      <c r="H103" s="308"/>
      <c r="I103" s="302"/>
      <c r="J103" s="302"/>
      <c r="K103" s="302"/>
      <c r="L103" s="180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</row>
    <row r="104" spans="1:27" ht="15.75" customHeight="1">
      <c r="A104" s="53"/>
      <c r="B104" s="303"/>
      <c r="C104" s="304"/>
      <c r="D104" s="305"/>
      <c r="E104" s="306"/>
      <c r="F104" s="307"/>
      <c r="G104" s="307"/>
      <c r="H104" s="308"/>
      <c r="I104" s="302"/>
      <c r="J104" s="302"/>
      <c r="K104" s="302"/>
      <c r="L104" s="180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</row>
    <row r="105" spans="1:27" ht="15.75" customHeight="1">
      <c r="A105" s="53"/>
      <c r="B105" s="303"/>
      <c r="C105" s="304"/>
      <c r="D105" s="305"/>
      <c r="E105" s="306"/>
      <c r="F105" s="307"/>
      <c r="G105" s="307"/>
      <c r="H105" s="308"/>
      <c r="I105" s="302"/>
      <c r="J105" s="302"/>
      <c r="K105" s="302"/>
      <c r="L105" s="180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</row>
    <row r="106" spans="1:27" ht="15.75" customHeight="1">
      <c r="A106" s="53"/>
      <c r="B106" s="303"/>
      <c r="C106" s="304"/>
      <c r="D106" s="305"/>
      <c r="E106" s="306"/>
      <c r="F106" s="307"/>
      <c r="G106" s="307"/>
      <c r="H106" s="308"/>
      <c r="I106" s="302"/>
      <c r="J106" s="302"/>
      <c r="K106" s="302"/>
      <c r="L106" s="180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</row>
    <row r="107" spans="1:27" ht="15.75" customHeight="1">
      <c r="A107" s="53"/>
      <c r="B107" s="303"/>
      <c r="C107" s="304"/>
      <c r="D107" s="305"/>
      <c r="E107" s="306"/>
      <c r="F107" s="307"/>
      <c r="G107" s="307"/>
      <c r="H107" s="308"/>
      <c r="I107" s="302"/>
      <c r="J107" s="302"/>
      <c r="K107" s="302"/>
      <c r="L107" s="180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</row>
    <row r="108" spans="1:27" ht="15.75" customHeight="1">
      <c r="A108" s="53"/>
      <c r="B108" s="303"/>
      <c r="C108" s="304"/>
      <c r="D108" s="305"/>
      <c r="E108" s="306"/>
      <c r="F108" s="307"/>
      <c r="G108" s="307"/>
      <c r="H108" s="308"/>
      <c r="I108" s="302"/>
      <c r="J108" s="302"/>
      <c r="K108" s="302"/>
      <c r="L108" s="180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</row>
    <row r="109" spans="1:27" ht="15.75" customHeight="1">
      <c r="A109" s="53"/>
      <c r="B109" s="303"/>
      <c r="C109" s="304"/>
      <c r="D109" s="305"/>
      <c r="E109" s="306"/>
      <c r="F109" s="307"/>
      <c r="G109" s="307"/>
      <c r="H109" s="308"/>
      <c r="I109" s="302"/>
      <c r="J109" s="302"/>
      <c r="K109" s="302"/>
      <c r="L109" s="180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</row>
    <row r="110" spans="1:27" ht="15.75" customHeight="1">
      <c r="A110" s="53"/>
      <c r="B110" s="303"/>
      <c r="C110" s="304"/>
      <c r="D110" s="305"/>
      <c r="E110" s="306"/>
      <c r="F110" s="307"/>
      <c r="G110" s="307"/>
      <c r="H110" s="308"/>
      <c r="I110" s="302"/>
      <c r="J110" s="302"/>
      <c r="K110" s="302"/>
      <c r="L110" s="180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</row>
    <row r="111" spans="1:27" ht="15.75" customHeight="1">
      <c r="A111" s="53"/>
      <c r="B111" s="303"/>
      <c r="C111" s="304"/>
      <c r="D111" s="305"/>
      <c r="E111" s="306"/>
      <c r="F111" s="307"/>
      <c r="G111" s="307"/>
      <c r="H111" s="308"/>
      <c r="I111" s="302"/>
      <c r="J111" s="302"/>
      <c r="K111" s="302"/>
      <c r="L111" s="180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</row>
    <row r="112" spans="1:27" ht="15.75" customHeight="1">
      <c r="A112" s="53"/>
      <c r="B112" s="303"/>
      <c r="C112" s="304"/>
      <c r="D112" s="305"/>
      <c r="E112" s="306"/>
      <c r="F112" s="307"/>
      <c r="G112" s="307"/>
      <c r="H112" s="308"/>
      <c r="I112" s="302"/>
      <c r="J112" s="302"/>
      <c r="K112" s="302"/>
      <c r="L112" s="180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</row>
    <row r="113" spans="1:27" ht="15.75" customHeight="1">
      <c r="A113" s="53"/>
      <c r="B113" s="303"/>
      <c r="C113" s="304"/>
      <c r="D113" s="305"/>
      <c r="E113" s="306"/>
      <c r="F113" s="307"/>
      <c r="G113" s="307"/>
      <c r="H113" s="308"/>
      <c r="I113" s="302"/>
      <c r="J113" s="302"/>
      <c r="K113" s="302"/>
      <c r="L113" s="180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</row>
    <row r="114" spans="1:27" ht="15.75" customHeight="1">
      <c r="A114" s="53"/>
      <c r="B114" s="303"/>
      <c r="C114" s="304"/>
      <c r="D114" s="305"/>
      <c r="E114" s="306"/>
      <c r="F114" s="307"/>
      <c r="G114" s="307"/>
      <c r="H114" s="308"/>
      <c r="I114" s="302"/>
      <c r="J114" s="302"/>
      <c r="K114" s="302"/>
      <c r="L114" s="180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</row>
    <row r="115" spans="1:27" ht="15.75" customHeight="1">
      <c r="A115" s="53"/>
      <c r="B115" s="303"/>
      <c r="C115" s="304"/>
      <c r="D115" s="305"/>
      <c r="E115" s="306"/>
      <c r="F115" s="307"/>
      <c r="G115" s="307"/>
      <c r="H115" s="308"/>
      <c r="I115" s="302"/>
      <c r="J115" s="302"/>
      <c r="K115" s="302"/>
      <c r="L115" s="180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</row>
    <row r="116" spans="1:27" ht="15.75" customHeight="1">
      <c r="A116" s="53"/>
      <c r="B116" s="303"/>
      <c r="C116" s="304"/>
      <c r="D116" s="305"/>
      <c r="E116" s="306"/>
      <c r="F116" s="307"/>
      <c r="G116" s="307"/>
      <c r="H116" s="308"/>
      <c r="I116" s="302"/>
      <c r="J116" s="302"/>
      <c r="K116" s="302"/>
      <c r="L116" s="180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</row>
    <row r="117" spans="1:27" ht="15.75" customHeight="1">
      <c r="A117" s="53"/>
      <c r="B117" s="303"/>
      <c r="C117" s="304"/>
      <c r="D117" s="305"/>
      <c r="E117" s="306"/>
      <c r="F117" s="307"/>
      <c r="G117" s="307"/>
      <c r="H117" s="308"/>
      <c r="I117" s="302"/>
      <c r="J117" s="302"/>
      <c r="K117" s="302"/>
      <c r="L117" s="180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</row>
    <row r="118" spans="1:27" ht="15.75" customHeight="1">
      <c r="A118" s="53"/>
      <c r="B118" s="303"/>
      <c r="C118" s="304"/>
      <c r="D118" s="305"/>
      <c r="E118" s="306"/>
      <c r="F118" s="307"/>
      <c r="G118" s="307"/>
      <c r="H118" s="308"/>
      <c r="I118" s="302"/>
      <c r="J118" s="302"/>
      <c r="K118" s="302"/>
      <c r="L118" s="180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</row>
    <row r="119" spans="1:27" ht="15.75" customHeight="1">
      <c r="A119" s="53"/>
      <c r="B119" s="303"/>
      <c r="C119" s="304"/>
      <c r="D119" s="305"/>
      <c r="E119" s="306"/>
      <c r="F119" s="307"/>
      <c r="G119" s="307"/>
      <c r="H119" s="308"/>
      <c r="I119" s="302"/>
      <c r="J119" s="302"/>
      <c r="K119" s="302"/>
      <c r="L119" s="180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</row>
    <row r="120" spans="1:27" ht="15.75" customHeight="1">
      <c r="A120" s="53"/>
      <c r="B120" s="303"/>
      <c r="C120" s="304"/>
      <c r="D120" s="305"/>
      <c r="E120" s="306"/>
      <c r="F120" s="307"/>
      <c r="G120" s="307"/>
      <c r="H120" s="308"/>
      <c r="I120" s="302"/>
      <c r="J120" s="302"/>
      <c r="K120" s="302"/>
      <c r="L120" s="180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</row>
    <row r="121" spans="1:27" ht="15.75" customHeight="1">
      <c r="A121" s="53"/>
      <c r="B121" s="303"/>
      <c r="C121" s="304"/>
      <c r="D121" s="305"/>
      <c r="E121" s="306"/>
      <c r="F121" s="307"/>
      <c r="G121" s="307"/>
      <c r="H121" s="308"/>
      <c r="I121" s="302"/>
      <c r="J121" s="302"/>
      <c r="K121" s="302"/>
      <c r="L121" s="180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</row>
    <row r="122" spans="1:27" ht="15.75" customHeight="1">
      <c r="A122" s="53"/>
      <c r="B122" s="303"/>
      <c r="C122" s="304"/>
      <c r="D122" s="305"/>
      <c r="E122" s="306"/>
      <c r="F122" s="307"/>
      <c r="G122" s="307"/>
      <c r="H122" s="308"/>
      <c r="I122" s="302"/>
      <c r="J122" s="302"/>
      <c r="K122" s="302"/>
      <c r="L122" s="180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</row>
    <row r="123" spans="1:27" ht="15.75" customHeight="1">
      <c r="A123" s="53"/>
      <c r="B123" s="303"/>
      <c r="C123" s="304"/>
      <c r="D123" s="305"/>
      <c r="E123" s="306"/>
      <c r="F123" s="307"/>
      <c r="G123" s="307"/>
      <c r="H123" s="308"/>
      <c r="I123" s="302"/>
      <c r="J123" s="302"/>
      <c r="K123" s="302"/>
      <c r="L123" s="180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</row>
    <row r="124" spans="1:27" ht="15.75" customHeight="1">
      <c r="A124" s="53"/>
      <c r="B124" s="303"/>
      <c r="C124" s="304"/>
      <c r="D124" s="305"/>
      <c r="E124" s="306"/>
      <c r="F124" s="307"/>
      <c r="G124" s="307"/>
      <c r="H124" s="308"/>
      <c r="I124" s="302"/>
      <c r="J124" s="302"/>
      <c r="K124" s="302"/>
      <c r="L124" s="180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</row>
    <row r="125" spans="1:27" ht="15.75" customHeight="1">
      <c r="A125" s="53"/>
      <c r="B125" s="303"/>
      <c r="C125" s="304"/>
      <c r="D125" s="305"/>
      <c r="E125" s="306"/>
      <c r="F125" s="307"/>
      <c r="G125" s="307"/>
      <c r="H125" s="308"/>
      <c r="I125" s="302"/>
      <c r="J125" s="302"/>
      <c r="K125" s="302"/>
      <c r="L125" s="180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</row>
    <row r="126" spans="1:27" ht="15.75" customHeight="1">
      <c r="A126" s="53"/>
      <c r="B126" s="303"/>
      <c r="C126" s="304"/>
      <c r="D126" s="305"/>
      <c r="E126" s="306"/>
      <c r="F126" s="307"/>
      <c r="G126" s="307"/>
      <c r="H126" s="308"/>
      <c r="I126" s="302"/>
      <c r="J126" s="302"/>
      <c r="K126" s="302"/>
      <c r="L126" s="180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</row>
    <row r="127" spans="1:27" ht="15.75" customHeight="1">
      <c r="A127" s="53"/>
      <c r="B127" s="303"/>
      <c r="C127" s="304"/>
      <c r="D127" s="305"/>
      <c r="E127" s="306"/>
      <c r="F127" s="307"/>
      <c r="G127" s="307"/>
      <c r="H127" s="308"/>
      <c r="I127" s="302"/>
      <c r="J127" s="302"/>
      <c r="K127" s="302"/>
      <c r="L127" s="180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</row>
    <row r="128" spans="1:27" ht="15.75" customHeight="1">
      <c r="A128" s="53"/>
      <c r="B128" s="303"/>
      <c r="C128" s="304"/>
      <c r="D128" s="305"/>
      <c r="E128" s="306"/>
      <c r="F128" s="307"/>
      <c r="G128" s="307"/>
      <c r="H128" s="308"/>
      <c r="I128" s="302"/>
      <c r="J128" s="302"/>
      <c r="K128" s="302"/>
      <c r="L128" s="180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</row>
    <row r="129" spans="1:27" ht="15.75" customHeight="1">
      <c r="A129" s="53"/>
      <c r="B129" s="303"/>
      <c r="C129" s="304"/>
      <c r="D129" s="305"/>
      <c r="E129" s="306"/>
      <c r="F129" s="307"/>
      <c r="G129" s="307"/>
      <c r="H129" s="308"/>
      <c r="I129" s="302"/>
      <c r="J129" s="302"/>
      <c r="K129" s="302"/>
      <c r="L129" s="180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</row>
    <row r="130" spans="1:27" ht="15.75" customHeight="1">
      <c r="A130" s="53"/>
      <c r="B130" s="303"/>
      <c r="C130" s="304"/>
      <c r="D130" s="305"/>
      <c r="E130" s="306"/>
      <c r="F130" s="307"/>
      <c r="G130" s="307"/>
      <c r="H130" s="308"/>
      <c r="I130" s="302"/>
      <c r="J130" s="302"/>
      <c r="K130" s="302"/>
      <c r="L130" s="180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</row>
    <row r="131" spans="1:27" ht="15.75" customHeight="1">
      <c r="A131" s="53"/>
      <c r="B131" s="303"/>
      <c r="C131" s="304"/>
      <c r="D131" s="305"/>
      <c r="E131" s="306"/>
      <c r="F131" s="307"/>
      <c r="G131" s="307"/>
      <c r="H131" s="308"/>
      <c r="I131" s="302"/>
      <c r="J131" s="302"/>
      <c r="K131" s="302"/>
      <c r="L131" s="180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</row>
    <row r="132" spans="1:27" ht="15.75" customHeight="1">
      <c r="A132" s="53"/>
      <c r="B132" s="303"/>
      <c r="C132" s="304"/>
      <c r="D132" s="305"/>
      <c r="E132" s="306"/>
      <c r="F132" s="307"/>
      <c r="G132" s="307"/>
      <c r="H132" s="308"/>
      <c r="I132" s="302"/>
      <c r="J132" s="302"/>
      <c r="K132" s="302"/>
      <c r="L132" s="180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</row>
    <row r="133" spans="1:27" ht="15.75" customHeight="1">
      <c r="A133" s="53"/>
      <c r="B133" s="303"/>
      <c r="C133" s="304"/>
      <c r="D133" s="305"/>
      <c r="E133" s="306"/>
      <c r="F133" s="307"/>
      <c r="G133" s="307"/>
      <c r="H133" s="308"/>
      <c r="I133" s="302"/>
      <c r="J133" s="302"/>
      <c r="K133" s="302"/>
      <c r="L133" s="180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</row>
    <row r="134" spans="1:27" ht="15.75" customHeight="1">
      <c r="A134" s="53"/>
      <c r="B134" s="303"/>
      <c r="C134" s="304"/>
      <c r="D134" s="305"/>
      <c r="E134" s="306"/>
      <c r="F134" s="307"/>
      <c r="G134" s="307"/>
      <c r="H134" s="308"/>
      <c r="I134" s="302"/>
      <c r="J134" s="302"/>
      <c r="K134" s="302"/>
      <c r="L134" s="180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</row>
    <row r="135" spans="1:27" ht="15.75" customHeight="1">
      <c r="A135" s="53"/>
      <c r="B135" s="303"/>
      <c r="C135" s="304"/>
      <c r="D135" s="305"/>
      <c r="E135" s="306"/>
      <c r="F135" s="307"/>
      <c r="G135" s="307"/>
      <c r="H135" s="308"/>
      <c r="I135" s="302"/>
      <c r="J135" s="302"/>
      <c r="K135" s="302"/>
      <c r="L135" s="180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</row>
    <row r="136" spans="1:27" ht="15.75" customHeight="1">
      <c r="A136" s="53"/>
      <c r="B136" s="303"/>
      <c r="C136" s="304"/>
      <c r="D136" s="305"/>
      <c r="E136" s="306"/>
      <c r="F136" s="307"/>
      <c r="G136" s="307"/>
      <c r="H136" s="308"/>
      <c r="I136" s="302"/>
      <c r="J136" s="302"/>
      <c r="K136" s="302"/>
      <c r="L136" s="180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</row>
    <row r="137" spans="1:27" ht="15.75" customHeight="1">
      <c r="A137" s="53"/>
      <c r="B137" s="303"/>
      <c r="C137" s="304"/>
      <c r="D137" s="305"/>
      <c r="E137" s="306"/>
      <c r="F137" s="307"/>
      <c r="G137" s="307"/>
      <c r="H137" s="308"/>
      <c r="I137" s="302"/>
      <c r="J137" s="302"/>
      <c r="K137" s="302"/>
      <c r="L137" s="180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</row>
    <row r="138" spans="1:27" ht="15.75" customHeight="1">
      <c r="A138" s="53"/>
      <c r="B138" s="303"/>
      <c r="C138" s="304"/>
      <c r="D138" s="305"/>
      <c r="E138" s="306"/>
      <c r="F138" s="307"/>
      <c r="G138" s="307"/>
      <c r="H138" s="308"/>
      <c r="I138" s="302"/>
      <c r="J138" s="302"/>
      <c r="K138" s="302"/>
      <c r="L138" s="180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</row>
    <row r="139" spans="1:27" ht="15.75" customHeight="1">
      <c r="A139" s="53"/>
      <c r="B139" s="303"/>
      <c r="C139" s="304"/>
      <c r="D139" s="305"/>
      <c r="E139" s="306"/>
      <c r="F139" s="307"/>
      <c r="G139" s="307"/>
      <c r="H139" s="308"/>
      <c r="I139" s="302"/>
      <c r="J139" s="302"/>
      <c r="K139" s="302"/>
      <c r="L139" s="180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</row>
    <row r="140" spans="1:27" ht="15.75" customHeight="1">
      <c r="A140" s="53"/>
      <c r="B140" s="303"/>
      <c r="C140" s="304"/>
      <c r="D140" s="305"/>
      <c r="E140" s="306"/>
      <c r="F140" s="307"/>
      <c r="G140" s="307"/>
      <c r="H140" s="308"/>
      <c r="I140" s="302"/>
      <c r="J140" s="302"/>
      <c r="K140" s="302"/>
      <c r="L140" s="180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  <c r="AA140" s="53"/>
    </row>
    <row r="141" spans="1:27" ht="15.75" customHeight="1">
      <c r="A141" s="53"/>
      <c r="B141" s="303"/>
      <c r="C141" s="304"/>
      <c r="D141" s="305"/>
      <c r="E141" s="306"/>
      <c r="F141" s="307"/>
      <c r="G141" s="307"/>
      <c r="H141" s="308"/>
      <c r="I141" s="302"/>
      <c r="J141" s="302"/>
      <c r="K141" s="302"/>
      <c r="L141" s="180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  <c r="AA141" s="53"/>
    </row>
    <row r="142" spans="1:27" ht="15.75" customHeight="1">
      <c r="A142" s="53"/>
      <c r="B142" s="303"/>
      <c r="C142" s="304"/>
      <c r="D142" s="305"/>
      <c r="E142" s="306"/>
      <c r="F142" s="307"/>
      <c r="G142" s="307"/>
      <c r="H142" s="308"/>
      <c r="I142" s="302"/>
      <c r="J142" s="302"/>
      <c r="K142" s="302"/>
      <c r="L142" s="180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</row>
    <row r="143" spans="1:27" ht="15.75" customHeight="1">
      <c r="A143" s="53"/>
      <c r="B143" s="303"/>
      <c r="C143" s="304"/>
      <c r="D143" s="305"/>
      <c r="E143" s="306"/>
      <c r="F143" s="307"/>
      <c r="G143" s="307"/>
      <c r="H143" s="308"/>
      <c r="I143" s="302"/>
      <c r="J143" s="302"/>
      <c r="K143" s="302"/>
      <c r="L143" s="180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</row>
    <row r="144" spans="1:27" ht="15.75" customHeight="1">
      <c r="A144" s="53"/>
      <c r="B144" s="303"/>
      <c r="C144" s="304"/>
      <c r="D144" s="305"/>
      <c r="E144" s="306"/>
      <c r="F144" s="307"/>
      <c r="G144" s="307"/>
      <c r="H144" s="308"/>
      <c r="I144" s="302"/>
      <c r="J144" s="302"/>
      <c r="K144" s="302"/>
      <c r="L144" s="180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  <c r="AA144" s="53"/>
    </row>
    <row r="145" spans="1:27" ht="15.75" customHeight="1">
      <c r="A145" s="53"/>
      <c r="B145" s="303"/>
      <c r="C145" s="304"/>
      <c r="D145" s="305"/>
      <c r="E145" s="306"/>
      <c r="F145" s="307"/>
      <c r="G145" s="307"/>
      <c r="H145" s="308"/>
      <c r="I145" s="302"/>
      <c r="J145" s="302"/>
      <c r="K145" s="302"/>
      <c r="L145" s="180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  <c r="AA145" s="53"/>
    </row>
    <row r="146" spans="1:27" ht="15.75" customHeight="1">
      <c r="A146" s="53"/>
      <c r="B146" s="303"/>
      <c r="C146" s="304"/>
      <c r="D146" s="305"/>
      <c r="E146" s="306"/>
      <c r="F146" s="307"/>
      <c r="G146" s="307"/>
      <c r="H146" s="308"/>
      <c r="I146" s="302"/>
      <c r="J146" s="302"/>
      <c r="K146" s="302"/>
      <c r="L146" s="180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  <c r="AA146" s="53"/>
    </row>
    <row r="147" spans="1:27" ht="15.75" customHeight="1">
      <c r="A147" s="53"/>
      <c r="B147" s="303"/>
      <c r="C147" s="304"/>
      <c r="D147" s="305"/>
      <c r="E147" s="306"/>
      <c r="F147" s="307"/>
      <c r="G147" s="307"/>
      <c r="H147" s="308"/>
      <c r="I147" s="302"/>
      <c r="J147" s="302"/>
      <c r="K147" s="302"/>
      <c r="L147" s="180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  <c r="AA147" s="53"/>
    </row>
    <row r="148" spans="1:27" ht="15.75" customHeight="1">
      <c r="A148" s="53"/>
      <c r="B148" s="303"/>
      <c r="C148" s="304"/>
      <c r="D148" s="305"/>
      <c r="E148" s="306"/>
      <c r="F148" s="307"/>
      <c r="G148" s="307"/>
      <c r="H148" s="308"/>
      <c r="I148" s="302"/>
      <c r="J148" s="302"/>
      <c r="K148" s="302"/>
      <c r="L148" s="180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  <c r="AA148" s="53"/>
    </row>
    <row r="149" spans="1:27" ht="15.75" customHeight="1">
      <c r="A149" s="53"/>
      <c r="B149" s="303"/>
      <c r="C149" s="304"/>
      <c r="D149" s="305"/>
      <c r="E149" s="306"/>
      <c r="F149" s="307"/>
      <c r="G149" s="307"/>
      <c r="H149" s="308"/>
      <c r="I149" s="302"/>
      <c r="J149" s="302"/>
      <c r="K149" s="302"/>
      <c r="L149" s="180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</row>
    <row r="150" spans="1:27" ht="15.75" customHeight="1">
      <c r="A150" s="53"/>
      <c r="B150" s="303"/>
      <c r="C150" s="304"/>
      <c r="D150" s="305"/>
      <c r="E150" s="306"/>
      <c r="F150" s="307"/>
      <c r="G150" s="307"/>
      <c r="H150" s="308"/>
      <c r="I150" s="302"/>
      <c r="J150" s="302"/>
      <c r="K150" s="302"/>
      <c r="L150" s="180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</row>
    <row r="151" spans="1:27" ht="15.75" customHeight="1">
      <c r="A151" s="53"/>
      <c r="B151" s="303"/>
      <c r="C151" s="304"/>
      <c r="D151" s="305"/>
      <c r="E151" s="306"/>
      <c r="F151" s="307"/>
      <c r="G151" s="307"/>
      <c r="H151" s="308"/>
      <c r="I151" s="302"/>
      <c r="J151" s="302"/>
      <c r="K151" s="302"/>
      <c r="L151" s="180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  <c r="AA151" s="53"/>
    </row>
    <row r="152" spans="1:27" ht="15.75" customHeight="1">
      <c r="A152" s="53"/>
      <c r="B152" s="303"/>
      <c r="C152" s="304"/>
      <c r="D152" s="305"/>
      <c r="E152" s="306"/>
      <c r="F152" s="307"/>
      <c r="G152" s="307"/>
      <c r="H152" s="308"/>
      <c r="I152" s="302"/>
      <c r="J152" s="302"/>
      <c r="K152" s="302"/>
      <c r="L152" s="180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  <c r="AA152" s="53"/>
    </row>
    <row r="153" spans="1:27" ht="15.75" customHeight="1">
      <c r="A153" s="53"/>
      <c r="B153" s="303"/>
      <c r="C153" s="304"/>
      <c r="D153" s="305"/>
      <c r="E153" s="306"/>
      <c r="F153" s="307"/>
      <c r="G153" s="307"/>
      <c r="H153" s="308"/>
      <c r="I153" s="302"/>
      <c r="J153" s="302"/>
      <c r="K153" s="302"/>
      <c r="L153" s="180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  <c r="AA153" s="53"/>
    </row>
    <row r="154" spans="1:27" ht="15.75" customHeight="1">
      <c r="A154" s="53"/>
      <c r="B154" s="303"/>
      <c r="C154" s="304"/>
      <c r="D154" s="305"/>
      <c r="E154" s="306"/>
      <c r="F154" s="307"/>
      <c r="G154" s="307"/>
      <c r="H154" s="308"/>
      <c r="I154" s="302"/>
      <c r="J154" s="302"/>
      <c r="K154" s="302"/>
      <c r="L154" s="180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3"/>
    </row>
    <row r="155" spans="1:27" ht="15.75" customHeight="1">
      <c r="A155" s="53"/>
      <c r="B155" s="303"/>
      <c r="C155" s="304"/>
      <c r="D155" s="305"/>
      <c r="E155" s="306"/>
      <c r="F155" s="307"/>
      <c r="G155" s="307"/>
      <c r="H155" s="308"/>
      <c r="I155" s="302"/>
      <c r="J155" s="302"/>
      <c r="K155" s="302"/>
      <c r="L155" s="180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  <c r="AA155" s="53"/>
    </row>
    <row r="156" spans="1:27" ht="15.75" customHeight="1">
      <c r="A156" s="53"/>
      <c r="B156" s="303"/>
      <c r="C156" s="304"/>
      <c r="D156" s="305"/>
      <c r="E156" s="306"/>
      <c r="F156" s="307"/>
      <c r="G156" s="307"/>
      <c r="H156" s="308"/>
      <c r="I156" s="302"/>
      <c r="J156" s="302"/>
      <c r="K156" s="302"/>
      <c r="L156" s="180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  <c r="AA156" s="53"/>
    </row>
    <row r="157" spans="1:27" ht="15.75" customHeight="1">
      <c r="A157" s="53"/>
      <c r="B157" s="303"/>
      <c r="C157" s="304"/>
      <c r="D157" s="305"/>
      <c r="E157" s="306"/>
      <c r="F157" s="307"/>
      <c r="G157" s="307"/>
      <c r="H157" s="308"/>
      <c r="I157" s="302"/>
      <c r="J157" s="302"/>
      <c r="K157" s="302"/>
      <c r="L157" s="180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53"/>
    </row>
    <row r="158" spans="1:27" ht="15.75" customHeight="1">
      <c r="A158" s="53"/>
      <c r="B158" s="303"/>
      <c r="C158" s="304"/>
      <c r="D158" s="305"/>
      <c r="E158" s="306"/>
      <c r="F158" s="307"/>
      <c r="G158" s="307"/>
      <c r="H158" s="308"/>
      <c r="I158" s="302"/>
      <c r="J158" s="302"/>
      <c r="K158" s="302"/>
      <c r="L158" s="180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  <c r="AA158" s="53"/>
    </row>
    <row r="159" spans="1:27" ht="15.75" customHeight="1">
      <c r="A159" s="53"/>
      <c r="B159" s="303"/>
      <c r="C159" s="304"/>
      <c r="D159" s="305"/>
      <c r="E159" s="306"/>
      <c r="F159" s="307"/>
      <c r="G159" s="307"/>
      <c r="H159" s="308"/>
      <c r="I159" s="302"/>
      <c r="J159" s="302"/>
      <c r="K159" s="302"/>
      <c r="L159" s="180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  <c r="AA159" s="53"/>
    </row>
    <row r="160" spans="1:27" ht="15.75" customHeight="1">
      <c r="A160" s="53"/>
      <c r="B160" s="303"/>
      <c r="C160" s="304"/>
      <c r="D160" s="305"/>
      <c r="E160" s="306"/>
      <c r="F160" s="307"/>
      <c r="G160" s="307"/>
      <c r="H160" s="308"/>
      <c r="I160" s="302"/>
      <c r="J160" s="302"/>
      <c r="K160" s="302"/>
      <c r="L160" s="180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  <c r="AA160" s="53"/>
    </row>
    <row r="161" spans="1:27" ht="15.75" customHeight="1">
      <c r="A161" s="53"/>
      <c r="B161" s="303"/>
      <c r="C161" s="304"/>
      <c r="D161" s="305"/>
      <c r="E161" s="306"/>
      <c r="F161" s="307"/>
      <c r="G161" s="307"/>
      <c r="H161" s="308"/>
      <c r="I161" s="302"/>
      <c r="J161" s="302"/>
      <c r="K161" s="302"/>
      <c r="L161" s="180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  <c r="AA161" s="53"/>
    </row>
    <row r="162" spans="1:27" ht="15.75" customHeight="1">
      <c r="A162" s="53"/>
      <c r="B162" s="303"/>
      <c r="C162" s="304"/>
      <c r="D162" s="305"/>
      <c r="E162" s="306"/>
      <c r="F162" s="307"/>
      <c r="G162" s="307"/>
      <c r="H162" s="308"/>
      <c r="I162" s="302"/>
      <c r="J162" s="302"/>
      <c r="K162" s="302"/>
      <c r="L162" s="180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  <c r="AA162" s="53"/>
    </row>
    <row r="163" spans="1:27" ht="15.75" customHeight="1">
      <c r="A163" s="53"/>
      <c r="B163" s="303"/>
      <c r="C163" s="304"/>
      <c r="D163" s="305"/>
      <c r="E163" s="306"/>
      <c r="F163" s="307"/>
      <c r="G163" s="307"/>
      <c r="H163" s="308"/>
      <c r="I163" s="302"/>
      <c r="J163" s="302"/>
      <c r="K163" s="302"/>
      <c r="L163" s="180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  <c r="AA163" s="53"/>
    </row>
    <row r="164" spans="1:27" ht="15.75" customHeight="1">
      <c r="A164" s="53"/>
      <c r="B164" s="303"/>
      <c r="C164" s="304"/>
      <c r="D164" s="305"/>
      <c r="E164" s="306"/>
      <c r="F164" s="307"/>
      <c r="G164" s="307"/>
      <c r="H164" s="308"/>
      <c r="I164" s="302"/>
      <c r="J164" s="302"/>
      <c r="K164" s="302"/>
      <c r="L164" s="180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  <c r="AA164" s="53"/>
    </row>
    <row r="165" spans="1:27" ht="15.75" customHeight="1">
      <c r="A165" s="53"/>
      <c r="B165" s="303"/>
      <c r="C165" s="304"/>
      <c r="D165" s="305"/>
      <c r="E165" s="306"/>
      <c r="F165" s="307"/>
      <c r="G165" s="307"/>
      <c r="H165" s="308"/>
      <c r="I165" s="302"/>
      <c r="J165" s="302"/>
      <c r="K165" s="302"/>
      <c r="L165" s="180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  <c r="AA165" s="53"/>
    </row>
    <row r="166" spans="1:27" ht="15.75" customHeight="1">
      <c r="A166" s="53"/>
      <c r="B166" s="303"/>
      <c r="C166" s="304"/>
      <c r="D166" s="305"/>
      <c r="E166" s="306"/>
      <c r="F166" s="307"/>
      <c r="G166" s="307"/>
      <c r="H166" s="308"/>
      <c r="I166" s="302"/>
      <c r="J166" s="302"/>
      <c r="K166" s="302"/>
      <c r="L166" s="180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  <c r="AA166" s="53"/>
    </row>
    <row r="167" spans="1:27" ht="15.75" customHeight="1">
      <c r="A167" s="53"/>
      <c r="B167" s="303"/>
      <c r="C167" s="304"/>
      <c r="D167" s="305"/>
      <c r="E167" s="306"/>
      <c r="F167" s="307"/>
      <c r="G167" s="307"/>
      <c r="H167" s="308"/>
      <c r="I167" s="302"/>
      <c r="J167" s="302"/>
      <c r="K167" s="302"/>
      <c r="L167" s="180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  <c r="AA167" s="53"/>
    </row>
    <row r="168" spans="1:27" ht="15.75" customHeight="1">
      <c r="A168" s="53"/>
      <c r="B168" s="303"/>
      <c r="C168" s="304"/>
      <c r="D168" s="305"/>
      <c r="E168" s="306"/>
      <c r="F168" s="307"/>
      <c r="G168" s="307"/>
      <c r="H168" s="308"/>
      <c r="I168" s="302"/>
      <c r="J168" s="302"/>
      <c r="K168" s="302"/>
      <c r="L168" s="180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  <c r="AA168" s="53"/>
    </row>
    <row r="169" spans="1:27" ht="15.75" customHeight="1">
      <c r="A169" s="53"/>
      <c r="B169" s="303"/>
      <c r="C169" s="304"/>
      <c r="D169" s="305"/>
      <c r="E169" s="306"/>
      <c r="F169" s="307"/>
      <c r="G169" s="307"/>
      <c r="H169" s="308"/>
      <c r="I169" s="302"/>
      <c r="J169" s="302"/>
      <c r="K169" s="302"/>
      <c r="L169" s="180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  <c r="AA169" s="53"/>
    </row>
    <row r="170" spans="1:27" ht="15.75" customHeight="1">
      <c r="A170" s="53"/>
      <c r="B170" s="303"/>
      <c r="C170" s="304"/>
      <c r="D170" s="305"/>
      <c r="E170" s="306"/>
      <c r="F170" s="307"/>
      <c r="G170" s="307"/>
      <c r="H170" s="308"/>
      <c r="I170" s="302"/>
      <c r="J170" s="302"/>
      <c r="K170" s="302"/>
      <c r="L170" s="180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  <c r="AA170" s="53"/>
    </row>
    <row r="171" spans="1:27" ht="15.75" customHeight="1">
      <c r="A171" s="53"/>
      <c r="B171" s="303"/>
      <c r="C171" s="304"/>
      <c r="D171" s="305"/>
      <c r="E171" s="306"/>
      <c r="F171" s="307"/>
      <c r="G171" s="307"/>
      <c r="H171" s="308"/>
      <c r="I171" s="302"/>
      <c r="J171" s="302"/>
      <c r="K171" s="302"/>
      <c r="L171" s="180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  <c r="AA171" s="53"/>
    </row>
    <row r="172" spans="1:27" ht="15.75" customHeight="1">
      <c r="A172" s="53"/>
      <c r="B172" s="303"/>
      <c r="C172" s="304"/>
      <c r="D172" s="305"/>
      <c r="E172" s="306"/>
      <c r="F172" s="307"/>
      <c r="G172" s="307"/>
      <c r="H172" s="308"/>
      <c r="I172" s="302"/>
      <c r="J172" s="302"/>
      <c r="K172" s="302"/>
      <c r="L172" s="180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  <c r="AA172" s="53"/>
    </row>
    <row r="173" spans="1:27" ht="15.75" customHeight="1">
      <c r="A173" s="53"/>
      <c r="B173" s="303"/>
      <c r="C173" s="304"/>
      <c r="D173" s="305"/>
      <c r="E173" s="306"/>
      <c r="F173" s="307"/>
      <c r="G173" s="307"/>
      <c r="H173" s="308"/>
      <c r="I173" s="302"/>
      <c r="J173" s="302"/>
      <c r="K173" s="302"/>
      <c r="L173" s="180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  <c r="AA173" s="53"/>
    </row>
    <row r="174" spans="1:27" ht="15.75" customHeight="1">
      <c r="A174" s="53"/>
      <c r="B174" s="303"/>
      <c r="C174" s="304"/>
      <c r="D174" s="305"/>
      <c r="E174" s="306"/>
      <c r="F174" s="307"/>
      <c r="G174" s="307"/>
      <c r="H174" s="308"/>
      <c r="I174" s="302"/>
      <c r="J174" s="302"/>
      <c r="K174" s="302"/>
      <c r="L174" s="180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  <c r="AA174" s="53"/>
    </row>
    <row r="175" spans="1:27" ht="15.75" customHeight="1">
      <c r="A175" s="53"/>
      <c r="B175" s="303"/>
      <c r="C175" s="304"/>
      <c r="D175" s="305"/>
      <c r="E175" s="306"/>
      <c r="F175" s="307"/>
      <c r="G175" s="307"/>
      <c r="H175" s="308"/>
      <c r="I175" s="302"/>
      <c r="J175" s="302"/>
      <c r="K175" s="302"/>
      <c r="L175" s="180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  <c r="AA175" s="53"/>
    </row>
    <row r="176" spans="1:27" ht="15.75" customHeight="1">
      <c r="A176" s="53"/>
      <c r="B176" s="303"/>
      <c r="C176" s="304"/>
      <c r="D176" s="305"/>
      <c r="E176" s="306"/>
      <c r="F176" s="307"/>
      <c r="G176" s="307"/>
      <c r="H176" s="308"/>
      <c r="I176" s="302"/>
      <c r="J176" s="302"/>
      <c r="K176" s="302"/>
      <c r="L176" s="180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  <c r="AA176" s="53"/>
    </row>
    <row r="177" spans="1:27" ht="15.75" customHeight="1">
      <c r="A177" s="53"/>
      <c r="B177" s="303"/>
      <c r="C177" s="304"/>
      <c r="D177" s="305"/>
      <c r="E177" s="306"/>
      <c r="F177" s="307"/>
      <c r="G177" s="307"/>
      <c r="H177" s="308"/>
      <c r="I177" s="302"/>
      <c r="J177" s="302"/>
      <c r="K177" s="302"/>
      <c r="L177" s="180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</row>
    <row r="178" spans="1:27" ht="15.75" customHeight="1">
      <c r="A178" s="53"/>
      <c r="B178" s="303"/>
      <c r="C178" s="304"/>
      <c r="D178" s="305"/>
      <c r="E178" s="306"/>
      <c r="F178" s="307"/>
      <c r="G178" s="307"/>
      <c r="H178" s="308"/>
      <c r="I178" s="302"/>
      <c r="J178" s="302"/>
      <c r="K178" s="302"/>
      <c r="L178" s="180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  <c r="AA178" s="53"/>
    </row>
    <row r="179" spans="1:27" ht="15.75" customHeight="1">
      <c r="A179" s="53"/>
      <c r="B179" s="303"/>
      <c r="C179" s="304"/>
      <c r="D179" s="305"/>
      <c r="E179" s="306"/>
      <c r="F179" s="307"/>
      <c r="G179" s="307"/>
      <c r="H179" s="308"/>
      <c r="I179" s="302"/>
      <c r="J179" s="302"/>
      <c r="K179" s="302"/>
      <c r="L179" s="180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  <c r="AA179" s="53"/>
    </row>
    <row r="180" spans="1:27" ht="15.75" customHeight="1">
      <c r="A180" s="53"/>
      <c r="B180" s="303"/>
      <c r="C180" s="304"/>
      <c r="D180" s="305"/>
      <c r="E180" s="306"/>
      <c r="F180" s="307"/>
      <c r="G180" s="307"/>
      <c r="H180" s="308"/>
      <c r="I180" s="302"/>
      <c r="J180" s="302"/>
      <c r="K180" s="302"/>
      <c r="L180" s="180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  <c r="AA180" s="53"/>
    </row>
    <row r="181" spans="1:27" ht="15.75" customHeight="1">
      <c r="A181" s="53"/>
      <c r="B181" s="303"/>
      <c r="C181" s="304"/>
      <c r="D181" s="305"/>
      <c r="E181" s="306"/>
      <c r="F181" s="307"/>
      <c r="G181" s="307"/>
      <c r="H181" s="308"/>
      <c r="I181" s="302"/>
      <c r="J181" s="302"/>
      <c r="K181" s="302"/>
      <c r="L181" s="180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  <c r="AA181" s="53"/>
    </row>
    <row r="182" spans="1:27" ht="15.75" customHeight="1">
      <c r="A182" s="53"/>
      <c r="B182" s="303"/>
      <c r="C182" s="304"/>
      <c r="D182" s="305"/>
      <c r="E182" s="306"/>
      <c r="F182" s="307"/>
      <c r="G182" s="307"/>
      <c r="H182" s="308"/>
      <c r="I182" s="302"/>
      <c r="J182" s="302"/>
      <c r="K182" s="302"/>
      <c r="L182" s="180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  <c r="AA182" s="53"/>
    </row>
    <row r="183" spans="1:27" ht="15.75" customHeight="1">
      <c r="A183" s="53"/>
      <c r="B183" s="303"/>
      <c r="C183" s="304"/>
      <c r="D183" s="305"/>
      <c r="E183" s="306"/>
      <c r="F183" s="307"/>
      <c r="G183" s="307"/>
      <c r="H183" s="308"/>
      <c r="I183" s="302"/>
      <c r="J183" s="302"/>
      <c r="K183" s="302"/>
      <c r="L183" s="180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  <c r="AA183" s="53"/>
    </row>
    <row r="184" spans="1:27" ht="15.75" customHeight="1">
      <c r="A184" s="53"/>
      <c r="B184" s="303"/>
      <c r="C184" s="304"/>
      <c r="D184" s="305"/>
      <c r="E184" s="306"/>
      <c r="F184" s="307"/>
      <c r="G184" s="307"/>
      <c r="H184" s="308"/>
      <c r="I184" s="302"/>
      <c r="J184" s="302"/>
      <c r="K184" s="302"/>
      <c r="L184" s="180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  <c r="AA184" s="53"/>
    </row>
    <row r="185" spans="1:27" ht="15.75" customHeight="1">
      <c r="A185" s="53"/>
      <c r="B185" s="303"/>
      <c r="C185" s="304"/>
      <c r="D185" s="305"/>
      <c r="E185" s="306"/>
      <c r="F185" s="307"/>
      <c r="G185" s="307"/>
      <c r="H185" s="308"/>
      <c r="I185" s="302"/>
      <c r="J185" s="302"/>
      <c r="K185" s="302"/>
      <c r="L185" s="180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  <c r="AA185" s="53"/>
    </row>
    <row r="186" spans="1:27" ht="15.75" customHeight="1">
      <c r="A186" s="53"/>
      <c r="B186" s="303"/>
      <c r="C186" s="304"/>
      <c r="D186" s="305"/>
      <c r="E186" s="306"/>
      <c r="F186" s="307"/>
      <c r="G186" s="307"/>
      <c r="H186" s="308"/>
      <c r="I186" s="302"/>
      <c r="J186" s="302"/>
      <c r="K186" s="302"/>
      <c r="L186" s="180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  <c r="AA186" s="53"/>
    </row>
    <row r="187" spans="1:27" ht="15.75" customHeight="1">
      <c r="A187" s="53"/>
      <c r="B187" s="303"/>
      <c r="C187" s="304"/>
      <c r="D187" s="305"/>
      <c r="E187" s="306"/>
      <c r="F187" s="307"/>
      <c r="G187" s="307"/>
      <c r="H187" s="308"/>
      <c r="I187" s="302"/>
      <c r="J187" s="302"/>
      <c r="K187" s="302"/>
      <c r="L187" s="180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  <c r="AA187" s="53"/>
    </row>
    <row r="188" spans="1:27" ht="15.75" customHeight="1">
      <c r="A188" s="53"/>
      <c r="B188" s="303"/>
      <c r="C188" s="304"/>
      <c r="D188" s="305"/>
      <c r="E188" s="306"/>
      <c r="F188" s="307"/>
      <c r="G188" s="307"/>
      <c r="H188" s="308"/>
      <c r="I188" s="302"/>
      <c r="J188" s="302"/>
      <c r="K188" s="302"/>
      <c r="L188" s="180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  <c r="AA188" s="53"/>
    </row>
    <row r="189" spans="1:27" ht="15.75" customHeight="1">
      <c r="A189" s="53"/>
      <c r="B189" s="303"/>
      <c r="C189" s="304"/>
      <c r="D189" s="305"/>
      <c r="E189" s="306"/>
      <c r="F189" s="307"/>
      <c r="G189" s="307"/>
      <c r="H189" s="308"/>
      <c r="I189" s="302"/>
      <c r="J189" s="302"/>
      <c r="K189" s="302"/>
      <c r="L189" s="180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  <c r="AA189" s="53"/>
    </row>
    <row r="190" spans="1:27" ht="15.75" customHeight="1">
      <c r="A190" s="53"/>
      <c r="B190" s="303"/>
      <c r="C190" s="304"/>
      <c r="D190" s="305"/>
      <c r="E190" s="306"/>
      <c r="F190" s="307"/>
      <c r="G190" s="307"/>
      <c r="H190" s="308"/>
      <c r="I190" s="302"/>
      <c r="J190" s="302"/>
      <c r="K190" s="302"/>
      <c r="L190" s="180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  <c r="AA190" s="53"/>
    </row>
    <row r="191" spans="1:27" ht="15.75" customHeight="1">
      <c r="A191" s="53"/>
      <c r="B191" s="303"/>
      <c r="C191" s="304"/>
      <c r="D191" s="305"/>
      <c r="E191" s="306"/>
      <c r="F191" s="307"/>
      <c r="G191" s="307"/>
      <c r="H191" s="308"/>
      <c r="I191" s="302"/>
      <c r="J191" s="302"/>
      <c r="K191" s="302"/>
      <c r="L191" s="180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  <c r="AA191" s="53"/>
    </row>
    <row r="192" spans="1:27" ht="15.75" customHeight="1">
      <c r="A192" s="53"/>
      <c r="B192" s="303"/>
      <c r="C192" s="304"/>
      <c r="D192" s="305"/>
      <c r="E192" s="306"/>
      <c r="F192" s="307"/>
      <c r="G192" s="307"/>
      <c r="H192" s="308"/>
      <c r="I192" s="302"/>
      <c r="J192" s="302"/>
      <c r="K192" s="302"/>
      <c r="L192" s="180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  <c r="AA192" s="53"/>
    </row>
    <row r="193" spans="1:27" ht="15.75" customHeight="1">
      <c r="A193" s="53"/>
      <c r="B193" s="303"/>
      <c r="C193" s="304"/>
      <c r="D193" s="305"/>
      <c r="E193" s="306"/>
      <c r="F193" s="307"/>
      <c r="G193" s="307"/>
      <c r="H193" s="308"/>
      <c r="I193" s="302"/>
      <c r="J193" s="302"/>
      <c r="K193" s="302"/>
      <c r="L193" s="180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  <c r="AA193" s="53"/>
    </row>
    <row r="194" spans="1:27" ht="15.75" customHeight="1">
      <c r="A194" s="53"/>
      <c r="B194" s="303"/>
      <c r="C194" s="304"/>
      <c r="D194" s="305"/>
      <c r="E194" s="306"/>
      <c r="F194" s="307"/>
      <c r="G194" s="307"/>
      <c r="H194" s="308"/>
      <c r="I194" s="302"/>
      <c r="J194" s="302"/>
      <c r="K194" s="302"/>
      <c r="L194" s="180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  <c r="AA194" s="53"/>
    </row>
    <row r="195" spans="1:27" ht="15.75" customHeight="1">
      <c r="A195" s="53"/>
      <c r="B195" s="303"/>
      <c r="C195" s="304"/>
      <c r="D195" s="305"/>
      <c r="E195" s="306"/>
      <c r="F195" s="307"/>
      <c r="G195" s="307"/>
      <c r="H195" s="308"/>
      <c r="I195" s="302"/>
      <c r="J195" s="302"/>
      <c r="K195" s="302"/>
      <c r="L195" s="180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</row>
    <row r="196" spans="1:27" ht="15.75" customHeight="1">
      <c r="A196" s="53"/>
      <c r="B196" s="303"/>
      <c r="C196" s="304"/>
      <c r="D196" s="305"/>
      <c r="E196" s="306"/>
      <c r="F196" s="307"/>
      <c r="G196" s="307"/>
      <c r="H196" s="308"/>
      <c r="I196" s="302"/>
      <c r="J196" s="302"/>
      <c r="K196" s="302"/>
      <c r="L196" s="180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  <c r="AA196" s="53"/>
    </row>
    <row r="197" spans="1:27" ht="15.75" customHeight="1">
      <c r="A197" s="53"/>
      <c r="B197" s="303"/>
      <c r="C197" s="304"/>
      <c r="D197" s="305"/>
      <c r="E197" s="306"/>
      <c r="F197" s="307"/>
      <c r="G197" s="307"/>
      <c r="H197" s="308"/>
      <c r="I197" s="302"/>
      <c r="J197" s="302"/>
      <c r="K197" s="302"/>
      <c r="L197" s="180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  <c r="AA197" s="53"/>
    </row>
    <row r="198" spans="1:27" ht="15.75" customHeight="1">
      <c r="A198" s="53"/>
      <c r="B198" s="303"/>
      <c r="C198" s="304"/>
      <c r="D198" s="305"/>
      <c r="E198" s="306"/>
      <c r="F198" s="307"/>
      <c r="G198" s="307"/>
      <c r="H198" s="308"/>
      <c r="I198" s="302"/>
      <c r="J198" s="302"/>
      <c r="K198" s="302"/>
      <c r="L198" s="180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  <c r="AA198" s="53"/>
    </row>
    <row r="199" spans="1:27" ht="15.75" customHeight="1">
      <c r="A199" s="53"/>
      <c r="B199" s="303"/>
      <c r="C199" s="304"/>
      <c r="D199" s="305"/>
      <c r="E199" s="306"/>
      <c r="F199" s="307"/>
      <c r="G199" s="307"/>
      <c r="H199" s="308"/>
      <c r="I199" s="302"/>
      <c r="J199" s="302"/>
      <c r="K199" s="302"/>
      <c r="L199" s="180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  <c r="AA199" s="53"/>
    </row>
    <row r="200" spans="1:27" ht="15.75" customHeight="1">
      <c r="A200" s="53"/>
      <c r="B200" s="303"/>
      <c r="C200" s="304"/>
      <c r="D200" s="305"/>
      <c r="E200" s="306"/>
      <c r="F200" s="307"/>
      <c r="G200" s="307"/>
      <c r="H200" s="308"/>
      <c r="I200" s="302"/>
      <c r="J200" s="302"/>
      <c r="K200" s="302"/>
      <c r="L200" s="180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  <c r="AA200" s="53"/>
    </row>
    <row r="201" spans="1:27" ht="15.75" customHeight="1">
      <c r="A201" s="53"/>
      <c r="B201" s="303"/>
      <c r="C201" s="304"/>
      <c r="D201" s="305"/>
      <c r="E201" s="306"/>
      <c r="F201" s="307"/>
      <c r="G201" s="307"/>
      <c r="H201" s="308"/>
      <c r="I201" s="302"/>
      <c r="J201" s="302"/>
      <c r="K201" s="302"/>
      <c r="L201" s="180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  <c r="AA201" s="53"/>
    </row>
    <row r="202" spans="1:27" ht="15.75" customHeight="1">
      <c r="A202" s="53"/>
      <c r="B202" s="303"/>
      <c r="C202" s="304"/>
      <c r="D202" s="305"/>
      <c r="E202" s="306"/>
      <c r="F202" s="307"/>
      <c r="G202" s="307"/>
      <c r="H202" s="308"/>
      <c r="I202" s="302"/>
      <c r="J202" s="302"/>
      <c r="K202" s="302"/>
      <c r="L202" s="180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  <c r="AA202" s="53"/>
    </row>
    <row r="203" spans="1:27" ht="15.75" customHeight="1">
      <c r="A203" s="53"/>
      <c r="B203" s="303"/>
      <c r="C203" s="304"/>
      <c r="D203" s="305"/>
      <c r="E203" s="306"/>
      <c r="F203" s="307"/>
      <c r="G203" s="307"/>
      <c r="H203" s="308"/>
      <c r="I203" s="302"/>
      <c r="J203" s="302"/>
      <c r="K203" s="302"/>
      <c r="L203" s="180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</row>
    <row r="204" spans="1:27" ht="15.75" customHeight="1">
      <c r="A204" s="53"/>
      <c r="B204" s="303"/>
      <c r="C204" s="304"/>
      <c r="D204" s="305"/>
      <c r="E204" s="306"/>
      <c r="F204" s="307"/>
      <c r="G204" s="307"/>
      <c r="H204" s="308"/>
      <c r="I204" s="302"/>
      <c r="J204" s="302"/>
      <c r="K204" s="302"/>
      <c r="L204" s="180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  <c r="AA204" s="53"/>
    </row>
    <row r="205" spans="1:27" ht="15.75" customHeight="1">
      <c r="A205" s="53"/>
      <c r="B205" s="303"/>
      <c r="C205" s="304"/>
      <c r="D205" s="305"/>
      <c r="E205" s="306"/>
      <c r="F205" s="307"/>
      <c r="G205" s="307"/>
      <c r="H205" s="308"/>
      <c r="I205" s="302"/>
      <c r="J205" s="302"/>
      <c r="K205" s="302"/>
      <c r="L205" s="180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  <c r="AA205" s="53"/>
    </row>
    <row r="206" spans="1:27" ht="15.75" customHeight="1">
      <c r="A206" s="53"/>
      <c r="B206" s="303"/>
      <c r="C206" s="304"/>
      <c r="D206" s="305"/>
      <c r="E206" s="306"/>
      <c r="F206" s="307"/>
      <c r="G206" s="307"/>
      <c r="H206" s="308"/>
      <c r="I206" s="302"/>
      <c r="J206" s="302"/>
      <c r="K206" s="302"/>
      <c r="L206" s="180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  <c r="AA206" s="53"/>
    </row>
    <row r="207" spans="1:27" ht="15.75" customHeight="1">
      <c r="A207" s="53"/>
      <c r="B207" s="303"/>
      <c r="C207" s="304"/>
      <c r="D207" s="305"/>
      <c r="E207" s="306"/>
      <c r="F207" s="307"/>
      <c r="G207" s="307"/>
      <c r="H207" s="308"/>
      <c r="I207" s="302"/>
      <c r="J207" s="302"/>
      <c r="K207" s="302"/>
      <c r="L207" s="180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  <c r="AA207" s="53"/>
    </row>
    <row r="208" spans="1:27" ht="15.75" customHeight="1">
      <c r="A208" s="53"/>
      <c r="B208" s="303"/>
      <c r="C208" s="304"/>
      <c r="D208" s="305"/>
      <c r="E208" s="306"/>
      <c r="F208" s="307"/>
      <c r="G208" s="307"/>
      <c r="H208" s="308"/>
      <c r="I208" s="302"/>
      <c r="J208" s="302"/>
      <c r="K208" s="302"/>
      <c r="L208" s="180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  <c r="AA208" s="53"/>
    </row>
    <row r="209" spans="1:27" ht="15.75" customHeight="1">
      <c r="A209" s="53"/>
      <c r="B209" s="303"/>
      <c r="C209" s="304"/>
      <c r="D209" s="305"/>
      <c r="E209" s="306"/>
      <c r="F209" s="307"/>
      <c r="G209" s="307"/>
      <c r="H209" s="308"/>
      <c r="I209" s="302"/>
      <c r="J209" s="302"/>
      <c r="K209" s="302"/>
      <c r="L209" s="180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  <c r="AA209" s="53"/>
    </row>
    <row r="210" spans="1:27" ht="15.75" customHeight="1">
      <c r="A210" s="53"/>
      <c r="B210" s="303"/>
      <c r="C210" s="304"/>
      <c r="D210" s="305"/>
      <c r="E210" s="306"/>
      <c r="F210" s="307"/>
      <c r="G210" s="307"/>
      <c r="H210" s="308"/>
      <c r="I210" s="302"/>
      <c r="J210" s="302"/>
      <c r="K210" s="302"/>
      <c r="L210" s="180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  <c r="AA210" s="53"/>
    </row>
    <row r="211" spans="1:27" ht="15.75" customHeight="1">
      <c r="A211" s="53"/>
      <c r="B211" s="303"/>
      <c r="C211" s="304"/>
      <c r="D211" s="305"/>
      <c r="E211" s="306"/>
      <c r="F211" s="307"/>
      <c r="G211" s="307"/>
      <c r="H211" s="308"/>
      <c r="I211" s="302"/>
      <c r="J211" s="302"/>
      <c r="K211" s="302"/>
      <c r="L211" s="180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  <c r="AA211" s="53"/>
    </row>
    <row r="212" spans="1:27" ht="15.75" customHeight="1">
      <c r="A212" s="53"/>
      <c r="B212" s="303"/>
      <c r="C212" s="304"/>
      <c r="D212" s="305"/>
      <c r="E212" s="306"/>
      <c r="F212" s="307"/>
      <c r="G212" s="307"/>
      <c r="H212" s="308"/>
      <c r="I212" s="302"/>
      <c r="J212" s="302"/>
      <c r="K212" s="302"/>
      <c r="L212" s="180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  <c r="AA212" s="53"/>
    </row>
    <row r="213" spans="1:27" ht="15.75" customHeight="1">
      <c r="A213" s="53"/>
      <c r="B213" s="303"/>
      <c r="C213" s="304"/>
      <c r="D213" s="305"/>
      <c r="E213" s="306"/>
      <c r="F213" s="307"/>
      <c r="G213" s="307"/>
      <c r="H213" s="308"/>
      <c r="I213" s="302"/>
      <c r="J213" s="302"/>
      <c r="K213" s="302"/>
      <c r="L213" s="180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  <c r="AA213" s="53"/>
    </row>
    <row r="214" spans="1:27" ht="15.75" customHeight="1">
      <c r="A214" s="53"/>
      <c r="B214" s="303"/>
      <c r="C214" s="304"/>
      <c r="D214" s="305"/>
      <c r="E214" s="306"/>
      <c r="F214" s="307"/>
      <c r="G214" s="307"/>
      <c r="H214" s="308"/>
      <c r="I214" s="302"/>
      <c r="J214" s="302"/>
      <c r="K214" s="302"/>
      <c r="L214" s="180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  <c r="AA214" s="53"/>
    </row>
    <row r="215" spans="1:27" ht="15.75" customHeight="1">
      <c r="A215" s="53"/>
      <c r="B215" s="303"/>
      <c r="C215" s="304"/>
      <c r="D215" s="305"/>
      <c r="E215" s="306"/>
      <c r="F215" s="307"/>
      <c r="G215" s="307"/>
      <c r="H215" s="308"/>
      <c r="I215" s="302"/>
      <c r="J215" s="302"/>
      <c r="K215" s="302"/>
      <c r="L215" s="180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  <c r="AA215" s="53"/>
    </row>
    <row r="216" spans="1:27" ht="15.75" customHeight="1">
      <c r="A216" s="53"/>
      <c r="B216" s="303"/>
      <c r="C216" s="304"/>
      <c r="D216" s="305"/>
      <c r="E216" s="306"/>
      <c r="F216" s="307"/>
      <c r="G216" s="307"/>
      <c r="H216" s="308"/>
      <c r="I216" s="302"/>
      <c r="J216" s="302"/>
      <c r="K216" s="302"/>
      <c r="L216" s="180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  <c r="AA216" s="53"/>
    </row>
    <row r="217" spans="1:27" ht="15.75" customHeight="1">
      <c r="A217" s="53"/>
      <c r="B217" s="303"/>
      <c r="C217" s="304"/>
      <c r="D217" s="305"/>
      <c r="E217" s="306"/>
      <c r="F217" s="307"/>
      <c r="G217" s="307"/>
      <c r="H217" s="308"/>
      <c r="I217" s="302"/>
      <c r="J217" s="302"/>
      <c r="K217" s="302"/>
      <c r="L217" s="180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  <c r="AA217" s="53"/>
    </row>
    <row r="218" spans="1:27" ht="15.75" customHeight="1">
      <c r="A218" s="53"/>
      <c r="B218" s="303"/>
      <c r="C218" s="304"/>
      <c r="D218" s="305"/>
      <c r="E218" s="306"/>
      <c r="F218" s="307"/>
      <c r="G218" s="307"/>
      <c r="H218" s="308"/>
      <c r="I218" s="302"/>
      <c r="J218" s="302"/>
      <c r="K218" s="302"/>
      <c r="L218" s="180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  <c r="AA218" s="53"/>
    </row>
    <row r="219" spans="1:27" ht="15.75" customHeight="1">
      <c r="A219" s="53"/>
      <c r="B219" s="303"/>
      <c r="C219" s="304"/>
      <c r="D219" s="305"/>
      <c r="E219" s="306"/>
      <c r="F219" s="307"/>
      <c r="G219" s="307"/>
      <c r="H219" s="308"/>
      <c r="I219" s="302"/>
      <c r="J219" s="302"/>
      <c r="K219" s="302"/>
      <c r="L219" s="180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  <c r="AA219" s="53"/>
    </row>
    <row r="220" spans="1:27" ht="15.75" customHeight="1">
      <c r="A220" s="53"/>
      <c r="B220" s="303"/>
      <c r="C220" s="304"/>
      <c r="D220" s="305"/>
      <c r="E220" s="306"/>
      <c r="F220" s="307"/>
      <c r="G220" s="307"/>
      <c r="H220" s="308"/>
      <c r="I220" s="302"/>
      <c r="J220" s="302"/>
      <c r="K220" s="302"/>
      <c r="L220" s="187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  <c r="AA220" s="53"/>
    </row>
    <row r="221" spans="1:27" ht="15.75" customHeight="1">
      <c r="A221" s="53"/>
      <c r="B221" s="303"/>
      <c r="C221" s="304"/>
      <c r="D221" s="305"/>
      <c r="E221" s="306"/>
      <c r="F221" s="307"/>
      <c r="G221" s="307"/>
      <c r="H221" s="308"/>
      <c r="I221" s="302"/>
      <c r="J221" s="302"/>
      <c r="K221" s="302"/>
      <c r="L221" s="187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  <c r="AA221" s="53"/>
    </row>
    <row r="222" spans="1:27" ht="15.75" customHeight="1">
      <c r="A222" s="53"/>
      <c r="B222" s="303"/>
      <c r="C222" s="304"/>
      <c r="D222" s="305"/>
      <c r="E222" s="306"/>
      <c r="F222" s="307"/>
      <c r="G222" s="307"/>
      <c r="H222" s="308"/>
      <c r="I222" s="302"/>
      <c r="J222" s="302"/>
      <c r="K222" s="302"/>
      <c r="L222" s="187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  <c r="AA222" s="53"/>
    </row>
    <row r="223" spans="1:27" ht="15.75" customHeight="1">
      <c r="A223" s="53"/>
      <c r="B223" s="303"/>
      <c r="C223" s="304"/>
      <c r="D223" s="305"/>
      <c r="E223" s="306"/>
      <c r="F223" s="307"/>
      <c r="G223" s="307"/>
      <c r="H223" s="308"/>
      <c r="I223" s="302"/>
      <c r="J223" s="302"/>
      <c r="K223" s="302"/>
      <c r="L223" s="187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  <c r="AA223" s="53"/>
    </row>
    <row r="224" spans="1:27" ht="15.75" customHeight="1">
      <c r="A224" s="53"/>
      <c r="B224" s="303"/>
      <c r="C224" s="304"/>
      <c r="D224" s="305"/>
      <c r="E224" s="306"/>
      <c r="F224" s="307"/>
      <c r="G224" s="307"/>
      <c r="H224" s="308"/>
      <c r="I224" s="302"/>
      <c r="J224" s="302"/>
      <c r="K224" s="302"/>
      <c r="L224" s="187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  <c r="AA224" s="53"/>
    </row>
    <row r="225" spans="1:27" ht="15.75" customHeight="1">
      <c r="A225" s="53"/>
      <c r="B225" s="303"/>
      <c r="C225" s="304"/>
      <c r="D225" s="305"/>
      <c r="E225" s="306"/>
      <c r="F225" s="307"/>
      <c r="G225" s="307"/>
      <c r="H225" s="308"/>
      <c r="I225" s="302"/>
      <c r="J225" s="302"/>
      <c r="K225" s="302"/>
      <c r="L225" s="187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  <c r="AA225" s="53"/>
    </row>
    <row r="226" spans="1:27" ht="15.75" customHeight="1">
      <c r="A226" s="53"/>
      <c r="B226" s="303"/>
      <c r="C226" s="304"/>
      <c r="D226" s="305"/>
      <c r="E226" s="306"/>
      <c r="F226" s="307"/>
      <c r="G226" s="307"/>
      <c r="H226" s="308"/>
      <c r="I226" s="302"/>
      <c r="J226" s="302"/>
      <c r="K226" s="302"/>
      <c r="L226" s="187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  <c r="AA226" s="53"/>
    </row>
    <row r="227" spans="1:27" ht="15.75" customHeight="1">
      <c r="A227" s="53"/>
      <c r="B227" s="303"/>
      <c r="C227" s="304"/>
      <c r="D227" s="305"/>
      <c r="E227" s="306"/>
      <c r="F227" s="307"/>
      <c r="G227" s="307"/>
      <c r="H227" s="308"/>
      <c r="I227" s="302"/>
      <c r="J227" s="302"/>
      <c r="K227" s="302"/>
      <c r="L227" s="187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  <c r="AA227" s="53"/>
    </row>
    <row r="228" spans="1:27" ht="15.75" customHeight="1">
      <c r="A228" s="53"/>
      <c r="B228" s="303"/>
      <c r="C228" s="304"/>
      <c r="D228" s="305"/>
      <c r="E228" s="306"/>
      <c r="F228" s="307"/>
      <c r="G228" s="307"/>
      <c r="H228" s="308"/>
      <c r="I228" s="302"/>
      <c r="J228" s="302"/>
      <c r="K228" s="302"/>
      <c r="L228" s="187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  <c r="AA228" s="53"/>
    </row>
    <row r="229" spans="1:27" ht="15.75" customHeight="1">
      <c r="A229" s="53"/>
      <c r="B229" s="303"/>
      <c r="C229" s="304"/>
      <c r="D229" s="305"/>
      <c r="E229" s="306"/>
      <c r="F229" s="307"/>
      <c r="G229" s="307"/>
      <c r="H229" s="308"/>
      <c r="I229" s="302"/>
      <c r="J229" s="302"/>
      <c r="K229" s="302"/>
      <c r="L229" s="187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  <c r="AA229" s="53"/>
    </row>
    <row r="230" spans="1:27" ht="15.75" customHeight="1">
      <c r="A230" s="53"/>
      <c r="B230" s="303"/>
      <c r="C230" s="304"/>
      <c r="D230" s="305"/>
      <c r="E230" s="306"/>
      <c r="F230" s="307"/>
      <c r="G230" s="307"/>
      <c r="H230" s="308"/>
      <c r="I230" s="302"/>
      <c r="J230" s="302"/>
      <c r="K230" s="302"/>
      <c r="L230" s="187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  <c r="AA230" s="53"/>
    </row>
    <row r="231" spans="1:27" ht="15.75" customHeight="1">
      <c r="A231" s="53"/>
      <c r="B231" s="303"/>
      <c r="C231" s="304"/>
      <c r="D231" s="305"/>
      <c r="E231" s="306"/>
      <c r="F231" s="307"/>
      <c r="G231" s="307"/>
      <c r="H231" s="308"/>
      <c r="I231" s="302"/>
      <c r="J231" s="302"/>
      <c r="K231" s="302"/>
      <c r="L231" s="187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  <c r="AA231" s="53"/>
    </row>
    <row r="232" spans="1:27" ht="15.75" customHeight="1">
      <c r="A232" s="53"/>
      <c r="B232" s="303"/>
      <c r="C232" s="304"/>
      <c r="D232" s="305"/>
      <c r="E232" s="306"/>
      <c r="F232" s="307"/>
      <c r="G232" s="307"/>
      <c r="H232" s="308"/>
      <c r="I232" s="302"/>
      <c r="J232" s="302"/>
      <c r="K232" s="302"/>
      <c r="L232" s="187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  <c r="AA232" s="53"/>
    </row>
    <row r="233" spans="1:27" ht="15.75" customHeight="1">
      <c r="A233" s="53"/>
      <c r="B233" s="303"/>
      <c r="C233" s="304"/>
      <c r="D233" s="305"/>
      <c r="E233" s="306"/>
      <c r="F233" s="307"/>
      <c r="G233" s="307"/>
      <c r="H233" s="308"/>
      <c r="I233" s="302"/>
      <c r="J233" s="302"/>
      <c r="K233" s="302"/>
      <c r="L233" s="187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  <c r="AA233" s="53"/>
    </row>
    <row r="234" spans="1:27" ht="15.75" customHeight="1">
      <c r="A234" s="53"/>
      <c r="B234" s="303"/>
      <c r="C234" s="304"/>
      <c r="D234" s="305"/>
      <c r="E234" s="306"/>
      <c r="F234" s="307"/>
      <c r="G234" s="307"/>
      <c r="H234" s="308"/>
      <c r="I234" s="302"/>
      <c r="J234" s="302"/>
      <c r="K234" s="302"/>
      <c r="L234" s="187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  <c r="AA234" s="53"/>
    </row>
    <row r="235" spans="1:27" ht="15.75" customHeight="1">
      <c r="A235" s="53"/>
      <c r="B235" s="303"/>
      <c r="C235" s="304"/>
      <c r="D235" s="305"/>
      <c r="E235" s="306"/>
      <c r="F235" s="307"/>
      <c r="G235" s="307"/>
      <c r="H235" s="308"/>
      <c r="I235" s="302"/>
      <c r="J235" s="302"/>
      <c r="K235" s="302"/>
      <c r="L235" s="187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  <c r="AA235" s="53"/>
    </row>
    <row r="236" spans="1:27" ht="15.75" customHeight="1">
      <c r="A236" s="53"/>
      <c r="B236" s="303"/>
      <c r="C236" s="304"/>
      <c r="D236" s="305"/>
      <c r="E236" s="306"/>
      <c r="F236" s="307"/>
      <c r="G236" s="307"/>
      <c r="H236" s="308"/>
      <c r="I236" s="302"/>
      <c r="J236" s="302"/>
      <c r="K236" s="302"/>
      <c r="L236" s="187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  <c r="AA236" s="53"/>
    </row>
    <row r="237" spans="1:27" ht="15.75" customHeight="1">
      <c r="A237" s="53"/>
      <c r="B237" s="303"/>
      <c r="C237" s="304"/>
      <c r="D237" s="305"/>
      <c r="E237" s="306"/>
      <c r="F237" s="307"/>
      <c r="G237" s="307"/>
      <c r="H237" s="308"/>
      <c r="I237" s="302"/>
      <c r="J237" s="302"/>
      <c r="K237" s="302"/>
      <c r="L237" s="187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  <c r="AA237" s="53"/>
    </row>
    <row r="238" spans="1:27" ht="15.75" customHeight="1">
      <c r="A238" s="53"/>
      <c r="B238" s="303"/>
      <c r="C238" s="304"/>
      <c r="D238" s="305"/>
      <c r="E238" s="306"/>
      <c r="F238" s="307"/>
      <c r="G238" s="307"/>
      <c r="H238" s="308"/>
      <c r="I238" s="302"/>
      <c r="J238" s="302"/>
      <c r="K238" s="302"/>
      <c r="L238" s="187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  <c r="AA238" s="53"/>
    </row>
    <row r="239" spans="1:27" ht="15.75" customHeight="1">
      <c r="A239" s="53"/>
      <c r="B239" s="303"/>
      <c r="C239" s="304"/>
      <c r="D239" s="305"/>
      <c r="E239" s="306"/>
      <c r="F239" s="307"/>
      <c r="G239" s="307"/>
      <c r="H239" s="308"/>
      <c r="I239" s="302"/>
      <c r="J239" s="302"/>
      <c r="K239" s="302"/>
      <c r="L239" s="187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  <c r="AA239" s="53"/>
    </row>
    <row r="240" spans="1:27" ht="15.75" customHeight="1">
      <c r="A240" s="53"/>
      <c r="B240" s="303"/>
      <c r="C240" s="304"/>
      <c r="D240" s="305"/>
      <c r="E240" s="306"/>
      <c r="F240" s="307"/>
      <c r="G240" s="307"/>
      <c r="H240" s="308"/>
      <c r="I240" s="302"/>
      <c r="J240" s="302"/>
      <c r="K240" s="302"/>
      <c r="L240" s="187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  <c r="AA240" s="53"/>
    </row>
    <row r="241" spans="1:27" ht="15.75" customHeight="1">
      <c r="A241" s="53"/>
      <c r="B241" s="303"/>
      <c r="C241" s="304"/>
      <c r="D241" s="305"/>
      <c r="E241" s="306"/>
      <c r="F241" s="307"/>
      <c r="G241" s="307"/>
      <c r="H241" s="308"/>
      <c r="I241" s="302"/>
      <c r="J241" s="302"/>
      <c r="K241" s="302"/>
      <c r="L241" s="187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  <c r="AA241" s="53"/>
    </row>
    <row r="242" spans="1:27" ht="15.75" customHeight="1">
      <c r="A242" s="53"/>
      <c r="B242" s="303"/>
      <c r="C242" s="304"/>
      <c r="D242" s="305"/>
      <c r="E242" s="306"/>
      <c r="F242" s="307"/>
      <c r="G242" s="307"/>
      <c r="H242" s="308"/>
      <c r="I242" s="302"/>
      <c r="J242" s="302"/>
      <c r="K242" s="302"/>
      <c r="L242" s="187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  <c r="AA242" s="53"/>
    </row>
    <row r="243" spans="1:27" ht="15.75" customHeight="1"/>
    <row r="244" spans="1:27" ht="15.75" customHeight="1"/>
    <row r="245" spans="1:27" ht="15.75" customHeight="1"/>
    <row r="246" spans="1:27" ht="15.75" customHeight="1"/>
    <row r="247" spans="1:27" ht="15.75" customHeight="1"/>
    <row r="248" spans="1:27" ht="15.75" customHeight="1"/>
    <row r="249" spans="1:27" ht="15.75" customHeight="1"/>
    <row r="250" spans="1:27" ht="15.75" customHeight="1"/>
    <row r="251" spans="1:27" ht="15.75" customHeight="1"/>
    <row r="252" spans="1:27" ht="15.75" customHeight="1"/>
    <row r="253" spans="1:27" ht="15.75" customHeight="1"/>
    <row r="254" spans="1:27" ht="15.75" customHeight="1"/>
    <row r="255" spans="1:27" ht="15.75" customHeight="1"/>
    <row r="256" spans="1:27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V12:V13"/>
    <mergeCell ref="X12:X13"/>
    <mergeCell ref="X5:Y5"/>
    <mergeCell ref="B10:E10"/>
    <mergeCell ref="Q12:Q13"/>
    <mergeCell ref="R12:R13"/>
    <mergeCell ref="S12:S13"/>
    <mergeCell ref="T12:T13"/>
    <mergeCell ref="U12:U13"/>
    <mergeCell ref="Y12:Y13"/>
  </mergeCells>
  <conditionalFormatting sqref="C3">
    <cfRule type="cellIs" dxfId="5" priority="3" operator="greaterThan">
      <formula>0.6</formula>
    </cfRule>
    <cfRule type="cellIs" dxfId="4" priority="4" operator="lessThan">
      <formula>0.6</formula>
    </cfRule>
  </conditionalFormatting>
  <conditionalFormatting sqref="D3">
    <cfRule type="cellIs" dxfId="3" priority="5" operator="greaterThan">
      <formula>0.4</formula>
    </cfRule>
    <cfRule type="cellIs" dxfId="2" priority="6" operator="lessThan">
      <formula>0.4</formula>
    </cfRule>
  </conditionalFormatting>
  <conditionalFormatting sqref="E5:E8">
    <cfRule type="cellIs" dxfId="1" priority="1" operator="lessThan">
      <formula>0</formula>
    </cfRule>
    <cfRule type="cellIs" dxfId="0" priority="2" operator="lessThan">
      <formula>0</formula>
    </cfRule>
  </conditionalFormatting>
  <dataValidations count="3">
    <dataValidation type="list" allowBlank="1" showErrorMessage="1" sqref="K5:K13" xr:uid="{00000000-0002-0000-0600-000000000000}">
      <formula1>"GERENTE,SUBGERENTE,EQUIPE"</formula1>
    </dataValidation>
    <dataValidation type="list" allowBlank="1" showErrorMessage="1" sqref="B3" xr:uid="{00000000-0002-0000-0600-000001000000}">
      <formula1>"Janeiro,Fevereiro,Março,Abril,Maio,Junho,Julho,Agosto,Setembro,Outubro,Novembro,Dezembro"</formula1>
    </dataValidation>
    <dataValidation type="list" allowBlank="1" showErrorMessage="1" sqref="B2" xr:uid="{00000000-0002-0000-0600-000002000000}">
      <formula1>"2023,2024,2025,2026"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📊 DASHBOAD</vt:lpstr>
      <vt:lpstr>📋 Despesas</vt:lpstr>
      <vt:lpstr>💸  Receitas</vt:lpstr>
      <vt:lpstr>💰Fluxo de Pagamentos</vt:lpstr>
      <vt:lpstr>📈Det. Resultados</vt:lpstr>
      <vt:lpstr>🏭 DRE</vt:lpstr>
      <vt:lpstr>explicação MC</vt:lpstr>
      <vt:lpstr>Controle Distr. Lucro</vt:lpstr>
      <vt:lpstr>AUX</vt:lpstr>
      <vt:lpstr>Metas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Renato.Neves</dc:creator>
  <cp:keywords/>
  <dc:description/>
  <cp:lastModifiedBy>Renato Neves</cp:lastModifiedBy>
  <cp:revision/>
  <cp:lastPrinted>2025-12-27T14:37:51Z</cp:lastPrinted>
  <dcterms:created xsi:type="dcterms:W3CDTF">2025-06-24T13:16:37Z</dcterms:created>
  <dcterms:modified xsi:type="dcterms:W3CDTF">2026-06-17T18:47:33Z</dcterms:modified>
  <cp:category/>
  <cp:contentStatus/>
</cp:coreProperties>
</file>